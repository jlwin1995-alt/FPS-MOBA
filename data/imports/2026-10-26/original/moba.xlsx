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2026-10-26 · 65 board legs · 8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DOTA · OG vs GL</t>
        </is>
      </c>
    </row>
    <row r="4">
      <c r="A4" s="4" t="inlineStr">
        <is>
          <t>Teams</t>
        </is>
      </c>
      <c r="B4">
        <f>IFERROR(IF(INDEX(Matches!$E$5:$E$12,MATCH($B$2,Matches!$A$5:$A$12,0))="","",INDEX(Matches!$E$5:$E$12,MATCH($B$2,Matches!$A$5:$A$12,0))),"")&amp;"  vs  "&amp;IFERROR(IF(INDEX(Matches!$F$5:$F$12,MATCH($B$2,Matches!$A$5:$A$12,0))="","",INDEX(Matches!$F$5:$F$12,MATCH($B$2,Matches!$A$5:$A$12,0))),"")</f>
        <v/>
      </c>
      <c r="D4" s="4" t="inlineStr">
        <is>
          <t>Start (CT)</t>
        </is>
      </c>
      <c r="E4">
        <f>IFERROR(IF(INDEX(Matches!$C$5:$C$12,MATCH($B$2,Matches!$A$5:$A$12,0))="","",INDEX(Matches!$C$5:$C$12,MATCH($B$2,Matches!$A$5:$A$12,0))),"")</f>
        <v/>
      </c>
      <c r="G4" s="4" t="inlineStr">
        <is>
          <t>Bo</t>
        </is>
      </c>
      <c r="H4">
        <f>IFERROR(IF(INDEX(Matches!$D$5:$D$12,MATCH($B$2,Matches!$A$5:$A$12,0))="","",INDEX(Matches!$D$5:$D$12,MATCH($B$2,Matches!$A$5:$A$12,0))),"")</f>
        <v/>
      </c>
    </row>
    <row r="5">
      <c r="A5" s="4" t="inlineStr">
        <is>
          <t>Event</t>
        </is>
      </c>
      <c r="B5">
        <f>IFERROR(IF(INDEX(Matches!$B$5:$B$12,MATCH($B$2,Matches!$A$5:$A$12,0))="","",INDEX(Matches!$B$5:$B$12,MATCH($B$2,Matches!$A$5:$A$12,0))),"")</f>
        <v/>
      </c>
      <c r="D5" s="4" t="inlineStr">
        <is>
          <t>P(A wins)</t>
        </is>
      </c>
      <c r="E5" s="6">
        <f>IFERROR(IF(INDEX(Matches!$G$5:$G$12,MATCH($B$2,Matches!$A$5:$A$12,0))="","",INDEX(Matches!$G$5:$G$12,MATCH($B$2,Matches!$A$5:$A$12,0))),"")</f>
        <v/>
      </c>
      <c r="G5" s="4" t="inlineStr">
        <is>
          <t>P(A wins M1)</t>
        </is>
      </c>
      <c r="H5" s="6">
        <f>IFERROR(IF(INDEX(Matches!$M$5:$M$12,MATCH($B$2,Matches!$A$5:$A$12,0))="","",INDEX(Matches!$M$5:$M$12,MATCH($B$2,Matches!$A$5:$A$12,0))),"")</f>
        <v/>
      </c>
    </row>
    <row r="6">
      <c r="A6" s="4" t="inlineStr">
        <is>
          <t>TP total kills M1</t>
        </is>
      </c>
      <c r="B6" s="7">
        <f>IFERROR(IF(INDEX(Matches!$H$5:$H$12,MATCH($B$2,Matches!$A$5:$A$12,0))="","",INDEX(Matches!$H$5:$H$12,MATCH($B$2,Matches!$A$5:$A$12,0))),"")</f>
        <v/>
      </c>
      <c r="D6" s="4" t="inlineStr">
        <is>
          <t>TP A / B kills M1</t>
        </is>
      </c>
      <c r="E6">
        <f>IF(IFERROR(IF(INDEX(Matches!$I$5:$I$12,MATCH($B$2,Matches!$A$5:$A$12,0))="","",INDEX(Matches!$I$5:$I$12,MATCH($B$2,Matches!$A$5:$A$12,0))),"")="","",TEXT(IFERROR(IF(INDEX(Matches!$I$5:$I$12,MATCH($B$2,Matches!$A$5:$A$12,0))="","",INDEX(Matches!$I$5:$I$12,MATCH($B$2,Matches!$A$5:$A$12,0))),""),"0.0")&amp;" / "&amp;TEXT(IFERROR(IF(INDEX(Matches!$J$5:$J$12,MATCH($B$2,Matches!$A$5:$A$12,0))="","",INDEX(Matches!$J$5:$J$12,MATCH($B$2,Matches!$A$5:$A$12,0))),""),"0.0"))</f>
        <v/>
      </c>
      <c r="G6" s="4" t="inlineStr">
        <is>
          <t>TP duration M1</t>
        </is>
      </c>
      <c r="H6" s="7">
        <f>IFERROR(IF(INDEX(Matches!$K$5:$K$12,MATCH($B$2,Matches!$A$5:$A$12,0))="","",INDEX(Matches!$K$5:$K$12,MATCH($B$2,Matches!$A$5:$A$12,0))),"")</f>
        <v/>
      </c>
    </row>
    <row r="7">
      <c r="A7" s="4" t="inlineStr">
        <is>
          <t>Kills env ×</t>
        </is>
      </c>
      <c r="B7">
        <f>IFERROR(IF(INDEX(Matches!$R$5:$R$12,MATCH($B$2,Matches!$A$5:$A$12,0))="","",INDEX(Matches!$R$5:$R$12,MATCH($B$2,Matches!$A$5:$A$12,0))),"")</f>
        <v/>
      </c>
      <c r="D7" s="4" t="inlineStr">
        <is>
          <t>P(M2 / M3 played)</t>
        </is>
      </c>
      <c r="E7">
        <f>TEXT(IFERROR(IF(INDEX(Matches!$P$5:$P$12,MATCH($B$2,Matches!$A$5:$A$12,0))="","",INDEX(Matches!$P$5:$P$12,MATCH($B$2,Matches!$A$5:$A$12,0))),""),"0%")&amp;" / "&amp;TEXT(IFERROR(IF(INDEX(Matches!$Q$5:$Q$12,MATCH($B$2,Matches!$A$5:$A$12,0))="","",INDEX(Matches!$Q$5:$Q$12,MATCH($B$2,Matches!$A$5:$A$12,0))),""),"0%")</f>
        <v/>
      </c>
      <c r="G7" s="4" t="inlineStr">
        <is>
          <t>TP A − B kills M1</t>
        </is>
      </c>
      <c r="H7" s="7">
        <f>IF(IFERROR(IF(INDEX(Matches!$I$5:$I$12,MATCH($B$2,Matches!$A$5:$A$12,0))="","",INDEX(Matches!$I$5:$I$12,MATCH($B$2,Matches!$A$5:$A$12,0))),"")="","",IFERROR(IF(INDEX(Matches!$I$5:$I$12,MATCH($B$2,Matches!$A$5:$A$12,0))="","",INDEX(Matches!$I$5:$I$12,MATCH($B$2,Matches!$A$5:$A$12,0))),"")-IFERROR(IF(INDEX(Matches!$J$5:$J$12,MATCH($B$2,Matches!$A$5:$A$12,0))="","",INDEX(Matches!$J$5:$J$12,MATCH($B$2,Matches!$A$5:$A$12,0))),""))</f>
        <v/>
      </c>
    </row>
    <row r="9">
      <c r="B9" s="3">
        <f>"Change P(win), maps played or kill environment on the Matches tab, row "&amp;(MATCH($B$2,Matches!$A$5:$A$12,0)+4)&amp;"."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IF($T12="","",INDEX(Calc!$C$2:$C$66,$T12))</f>
        <v/>
      </c>
      <c r="B12">
        <f>IF($T12="","",INDEX(Calc!$D$2:$D$66,$T12))</f>
        <v/>
      </c>
      <c r="C12" s="6">
        <f>IF($T12="","",INDEX(Calc!$H$2:$H$66,$T12))</f>
        <v/>
      </c>
      <c r="D12" s="7">
        <f>IF($T12="","",INDEX(Calc!$I$2:$I$66,$T12))</f>
        <v/>
      </c>
      <c r="E12" s="7">
        <f>IF($T12="","",INDEX(Calc!$J$2:$J$66,$T12))</f>
        <v/>
      </c>
      <c r="F12" s="7">
        <f>IF($T12="","",INDEX(Calc!$K$2:$K$66,$T12))</f>
        <v/>
      </c>
      <c r="G12" s="6">
        <f>IF($T12="","",INDEX(Calc!$M$2:$M$66,$T12))</f>
        <v/>
      </c>
      <c r="H12" s="7">
        <f>IF($T12="","",INDEX(Calc!$Y$2:$Y$66,$T12))</f>
        <v/>
      </c>
      <c r="I12" s="7">
        <f>IF($T12="","",INDEX(Calc!$AE$2:$AE$66,$T12))</f>
        <v/>
      </c>
      <c r="J12">
        <f>IF($T12="","",IFERROR(INDEX(Projections!$E$2:$E$66,MATCH(INDEX(Calc!$A$2:$A$66,$T12)&amp;"|K1",Projections!$AA$2:$AA$66,0)),""))</f>
        <v/>
      </c>
      <c r="K12" s="6">
        <f>IF($T12="","",IFERROR(INDEX(Projections!$H$2:$H$66,MATCH(INDEX(Calc!$A$2:$A$66,$T12)&amp;"|K1",Projections!$AA$2:$AA$66,0)),""))</f>
        <v/>
      </c>
      <c r="L12" s="7">
        <f>IF($T12="","",INDEX(Calc!$AK$2:$AK$66,$T12))</f>
        <v/>
      </c>
      <c r="M12">
        <f>IF($T12="","",IFERROR(INDEX(Projections!$E$2:$E$66,MATCH(INDEX(Calc!$A$2:$A$66,$T12)&amp;"|"&amp;INDEX(Calc!$AJ$2:$AJ$66,$T12),Projections!$AA$2:$AA$66,0)),""))</f>
        <v/>
      </c>
      <c r="N12" s="6">
        <f>IF($T12="","",IFERROR(INDEX(Projections!$H$2:$H$66,MATCH(INDEX(Calc!$A$2:$A$66,$T12)&amp;"|"&amp;INDEX(Calc!$AJ$2:$AJ$66,$T12),Projections!$AA$2:$AA$66,0)),""))</f>
        <v/>
      </c>
      <c r="O12">
        <f>IF($T12="","",IFERROR(INDEX(Projections!$N$2:$N$66,MATCH(INDEX(Calc!$A$2:$A$66,$T12)&amp;"|K1",Projections!$AA$2:$AA$66,0)),IFERROR(INDEX(Projections!$N$2:$N$66,MATCH(INDEX(Calc!$A$2:$A$66,$T12)&amp;"|"&amp;INDEX(Calc!$AJ$2:$AJ$66,$T12),Projections!$AA$2:$AA$66,0)),"")))</f>
        <v/>
      </c>
      <c r="P12" s="6">
        <f>IF($T12="","",IFERROR(INDEX(Projections!$S$2:$S$66,MATCH(INDEX(Calc!$A$2:$A$66,$T12)&amp;"|K1",Projections!$AA$2:$AA$66,0)),IFERROR(INDEX(Projections!$S$2:$S$66,MATCH(INDEX(Calc!$A$2:$A$66,$T12)&amp;"|"&amp;INDEX(Calc!$AJ$2:$AJ$66,$T12),Projections!$AA$2:$AA$66,0)),"")))</f>
        <v/>
      </c>
      <c r="Q12">
        <f>IF($T12="","",INDEX(Calc!$G$2:$G$66,$T12))</f>
        <v/>
      </c>
      <c r="R12">
        <f>IF($T12="","",INDEX(Calc!$AH$2:$AH$66,$T12))</f>
        <v/>
      </c>
      <c r="T12">
        <f>IFERROR(MATCH(1,Calc!$AI$2:$AI$66,0),"")</f>
        <v/>
      </c>
    </row>
    <row r="13">
      <c r="A13">
        <f>IF($T13="","",INDEX(Calc!$C$2:$C$66,$T13))</f>
        <v/>
      </c>
      <c r="B13">
        <f>IF($T13="","",INDEX(Calc!$D$2:$D$66,$T13))</f>
        <v/>
      </c>
      <c r="C13" s="6">
        <f>IF($T13="","",INDEX(Calc!$H$2:$H$66,$T13))</f>
        <v/>
      </c>
      <c r="D13" s="7">
        <f>IF($T13="","",INDEX(Calc!$I$2:$I$66,$T13))</f>
        <v/>
      </c>
      <c r="E13" s="7">
        <f>IF($T13="","",INDEX(Calc!$J$2:$J$66,$T13))</f>
        <v/>
      </c>
      <c r="F13" s="7">
        <f>IF($T13="","",INDEX(Calc!$K$2:$K$66,$T13))</f>
        <v/>
      </c>
      <c r="G13" s="6">
        <f>IF($T13="","",INDEX(Calc!$M$2:$M$66,$T13))</f>
        <v/>
      </c>
      <c r="H13" s="7">
        <f>IF($T13="","",INDEX(Calc!$Y$2:$Y$66,$T13))</f>
        <v/>
      </c>
      <c r="I13" s="7">
        <f>IF($T13="","",INDEX(Calc!$AE$2:$AE$66,$T13))</f>
        <v/>
      </c>
      <c r="J13">
        <f>IF($T13="","",IFERROR(INDEX(Projections!$E$2:$E$66,MATCH(INDEX(Calc!$A$2:$A$66,$T13)&amp;"|K1",Projections!$AA$2:$AA$66,0)),""))</f>
        <v/>
      </c>
      <c r="K13" s="6">
        <f>IF($T13="","",IFERROR(INDEX(Projections!$H$2:$H$66,MATCH(INDEX(Calc!$A$2:$A$66,$T13)&amp;"|K1",Projections!$AA$2:$AA$66,0)),""))</f>
        <v/>
      </c>
      <c r="L13" s="7">
        <f>IF($T13="","",INDEX(Calc!$AK$2:$AK$66,$T13))</f>
        <v/>
      </c>
      <c r="M13">
        <f>IF($T13="","",IFERROR(INDEX(Projections!$E$2:$E$66,MATCH(INDEX(Calc!$A$2:$A$66,$T13)&amp;"|"&amp;INDEX(Calc!$AJ$2:$AJ$66,$T13),Projections!$AA$2:$AA$66,0)),""))</f>
        <v/>
      </c>
      <c r="N13" s="6">
        <f>IF($T13="","",IFERROR(INDEX(Projections!$H$2:$H$66,MATCH(INDEX(Calc!$A$2:$A$66,$T13)&amp;"|"&amp;INDEX(Calc!$AJ$2:$AJ$66,$T13),Projections!$AA$2:$AA$66,0)),""))</f>
        <v/>
      </c>
      <c r="O13">
        <f>IF($T13="","",IFERROR(INDEX(Projections!$N$2:$N$66,MATCH(INDEX(Calc!$A$2:$A$66,$T13)&amp;"|K1",Projections!$AA$2:$AA$66,0)),IFERROR(INDEX(Projections!$N$2:$N$66,MATCH(INDEX(Calc!$A$2:$A$66,$T13)&amp;"|"&amp;INDEX(Calc!$AJ$2:$AJ$66,$T13),Projections!$AA$2:$AA$66,0)),"")))</f>
        <v/>
      </c>
      <c r="P13" s="6">
        <f>IF($T13="","",IFERROR(INDEX(Projections!$S$2:$S$66,MATCH(INDEX(Calc!$A$2:$A$66,$T13)&amp;"|K1",Projections!$AA$2:$AA$66,0)),IFERROR(INDEX(Projections!$S$2:$S$66,MATCH(INDEX(Calc!$A$2:$A$66,$T13)&amp;"|"&amp;INDEX(Calc!$AJ$2:$AJ$66,$T13),Projections!$AA$2:$AA$66,0)),"")))</f>
        <v/>
      </c>
      <c r="Q13">
        <f>IF($T13="","",INDEX(Calc!$G$2:$G$66,$T13))</f>
        <v/>
      </c>
      <c r="R13">
        <f>IF($T13="","",INDEX(Calc!$AH$2:$AH$66,$T13))</f>
        <v/>
      </c>
      <c r="T13">
        <f>IFERROR(MATCH(2,Calc!$AI$2:$AI$66,0),"")</f>
        <v/>
      </c>
    </row>
    <row r="14">
      <c r="A14">
        <f>IF($T14="","",INDEX(Calc!$C$2:$C$66,$T14))</f>
        <v/>
      </c>
      <c r="B14">
        <f>IF($T14="","",INDEX(Calc!$D$2:$D$66,$T14))</f>
        <v/>
      </c>
      <c r="C14" s="6">
        <f>IF($T14="","",INDEX(Calc!$H$2:$H$66,$T14))</f>
        <v/>
      </c>
      <c r="D14" s="7">
        <f>IF($T14="","",INDEX(Calc!$I$2:$I$66,$T14))</f>
        <v/>
      </c>
      <c r="E14" s="7">
        <f>IF($T14="","",INDEX(Calc!$J$2:$J$66,$T14))</f>
        <v/>
      </c>
      <c r="F14" s="7">
        <f>IF($T14="","",INDEX(Calc!$K$2:$K$66,$T14))</f>
        <v/>
      </c>
      <c r="G14" s="6">
        <f>IF($T14="","",INDEX(Calc!$M$2:$M$66,$T14))</f>
        <v/>
      </c>
      <c r="H14" s="7">
        <f>IF($T14="","",INDEX(Calc!$Y$2:$Y$66,$T14))</f>
        <v/>
      </c>
      <c r="I14" s="7">
        <f>IF($T14="","",INDEX(Calc!$AE$2:$AE$66,$T14))</f>
        <v/>
      </c>
      <c r="J14">
        <f>IF($T14="","",IFERROR(INDEX(Projections!$E$2:$E$66,MATCH(INDEX(Calc!$A$2:$A$66,$T14)&amp;"|K1",Projections!$AA$2:$AA$66,0)),""))</f>
        <v/>
      </c>
      <c r="K14" s="6">
        <f>IF($T14="","",IFERROR(INDEX(Projections!$H$2:$H$66,MATCH(INDEX(Calc!$A$2:$A$66,$T14)&amp;"|K1",Projections!$AA$2:$AA$66,0)),""))</f>
        <v/>
      </c>
      <c r="L14" s="7">
        <f>IF($T14="","",INDEX(Calc!$AK$2:$AK$66,$T14))</f>
        <v/>
      </c>
      <c r="M14">
        <f>IF($T14="","",IFERROR(INDEX(Projections!$E$2:$E$66,MATCH(INDEX(Calc!$A$2:$A$66,$T14)&amp;"|"&amp;INDEX(Calc!$AJ$2:$AJ$66,$T14),Projections!$AA$2:$AA$66,0)),""))</f>
        <v/>
      </c>
      <c r="N14" s="6">
        <f>IF($T14="","",IFERROR(INDEX(Projections!$H$2:$H$66,MATCH(INDEX(Calc!$A$2:$A$66,$T14)&amp;"|"&amp;INDEX(Calc!$AJ$2:$AJ$66,$T14),Projections!$AA$2:$AA$66,0)),""))</f>
        <v/>
      </c>
      <c r="O14">
        <f>IF($T14="","",IFERROR(INDEX(Projections!$N$2:$N$66,MATCH(INDEX(Calc!$A$2:$A$66,$T14)&amp;"|K1",Projections!$AA$2:$AA$66,0)),IFERROR(INDEX(Projections!$N$2:$N$66,MATCH(INDEX(Calc!$A$2:$A$66,$T14)&amp;"|"&amp;INDEX(Calc!$AJ$2:$AJ$66,$T14),Projections!$AA$2:$AA$66,0)),"")))</f>
        <v/>
      </c>
      <c r="P14" s="6">
        <f>IF($T14="","",IFERROR(INDEX(Projections!$S$2:$S$66,MATCH(INDEX(Calc!$A$2:$A$66,$T14)&amp;"|K1",Projections!$AA$2:$AA$66,0)),IFERROR(INDEX(Projections!$S$2:$S$66,MATCH(INDEX(Calc!$A$2:$A$66,$T14)&amp;"|"&amp;INDEX(Calc!$AJ$2:$AJ$66,$T14),Projections!$AA$2:$AA$66,0)),"")))</f>
        <v/>
      </c>
      <c r="Q14">
        <f>IF($T14="","",INDEX(Calc!$G$2:$G$66,$T14))</f>
        <v/>
      </c>
      <c r="R14">
        <f>IF($T14="","",INDEX(Calc!$AH$2:$AH$66,$T14))</f>
        <v/>
      </c>
      <c r="T14">
        <f>IFERROR(MATCH(3,Calc!$AI$2:$AI$66,0),"")</f>
        <v/>
      </c>
    </row>
    <row r="15">
      <c r="A15">
        <f>IF($T15="","",INDEX(Calc!$C$2:$C$66,$T15))</f>
        <v/>
      </c>
      <c r="B15">
        <f>IF($T15="","",INDEX(Calc!$D$2:$D$66,$T15))</f>
        <v/>
      </c>
      <c r="C15" s="6">
        <f>IF($T15="","",INDEX(Calc!$H$2:$H$66,$T15))</f>
        <v/>
      </c>
      <c r="D15" s="7">
        <f>IF($T15="","",INDEX(Calc!$I$2:$I$66,$T15))</f>
        <v/>
      </c>
      <c r="E15" s="7">
        <f>IF($T15="","",INDEX(Calc!$J$2:$J$66,$T15))</f>
        <v/>
      </c>
      <c r="F15" s="7">
        <f>IF($T15="","",INDEX(Calc!$K$2:$K$66,$T15))</f>
        <v/>
      </c>
      <c r="G15" s="6">
        <f>IF($T15="","",INDEX(Calc!$M$2:$M$66,$T15))</f>
        <v/>
      </c>
      <c r="H15" s="7">
        <f>IF($T15="","",INDEX(Calc!$Y$2:$Y$66,$T15))</f>
        <v/>
      </c>
      <c r="I15" s="7">
        <f>IF($T15="","",INDEX(Calc!$AE$2:$AE$66,$T15))</f>
        <v/>
      </c>
      <c r="J15">
        <f>IF($T15="","",IFERROR(INDEX(Projections!$E$2:$E$66,MATCH(INDEX(Calc!$A$2:$A$66,$T15)&amp;"|K1",Projections!$AA$2:$AA$66,0)),""))</f>
        <v/>
      </c>
      <c r="K15" s="6">
        <f>IF($T15="","",IFERROR(INDEX(Projections!$H$2:$H$66,MATCH(INDEX(Calc!$A$2:$A$66,$T15)&amp;"|K1",Projections!$AA$2:$AA$66,0)),""))</f>
        <v/>
      </c>
      <c r="L15" s="7">
        <f>IF($T15="","",INDEX(Calc!$AK$2:$AK$66,$T15))</f>
        <v/>
      </c>
      <c r="M15">
        <f>IF($T15="","",IFERROR(INDEX(Projections!$E$2:$E$66,MATCH(INDEX(Calc!$A$2:$A$66,$T15)&amp;"|"&amp;INDEX(Calc!$AJ$2:$AJ$66,$T15),Projections!$AA$2:$AA$66,0)),""))</f>
        <v/>
      </c>
      <c r="N15" s="6">
        <f>IF($T15="","",IFERROR(INDEX(Projections!$H$2:$H$66,MATCH(INDEX(Calc!$A$2:$A$66,$T15)&amp;"|"&amp;INDEX(Calc!$AJ$2:$AJ$66,$T15),Projections!$AA$2:$AA$66,0)),""))</f>
        <v/>
      </c>
      <c r="O15">
        <f>IF($T15="","",IFERROR(INDEX(Projections!$N$2:$N$66,MATCH(INDEX(Calc!$A$2:$A$66,$T15)&amp;"|K1",Projections!$AA$2:$AA$66,0)),IFERROR(INDEX(Projections!$N$2:$N$66,MATCH(INDEX(Calc!$A$2:$A$66,$T15)&amp;"|"&amp;INDEX(Calc!$AJ$2:$AJ$66,$T15),Projections!$AA$2:$AA$66,0)),"")))</f>
        <v/>
      </c>
      <c r="P15" s="6">
        <f>IF($T15="","",IFERROR(INDEX(Projections!$S$2:$S$66,MATCH(INDEX(Calc!$A$2:$A$66,$T15)&amp;"|K1",Projections!$AA$2:$AA$66,0)),IFERROR(INDEX(Projections!$S$2:$S$66,MATCH(INDEX(Calc!$A$2:$A$66,$T15)&amp;"|"&amp;INDEX(Calc!$AJ$2:$AJ$66,$T15),Projections!$AA$2:$AA$66,0)),"")))</f>
        <v/>
      </c>
      <c r="Q15">
        <f>IF($T15="","",INDEX(Calc!$G$2:$G$66,$T15))</f>
        <v/>
      </c>
      <c r="R15">
        <f>IF($T15="","",INDEX(Calc!$AH$2:$AH$66,$T15))</f>
        <v/>
      </c>
      <c r="T15">
        <f>IFERROR(MATCH(4,Calc!$AI$2:$AI$66,0),"")</f>
        <v/>
      </c>
    </row>
    <row r="16">
      <c r="A16">
        <f>IF($T16="","",INDEX(Calc!$C$2:$C$66,$T16))</f>
        <v/>
      </c>
      <c r="B16">
        <f>IF($T16="","",INDEX(Calc!$D$2:$D$66,$T16))</f>
        <v/>
      </c>
      <c r="C16" s="6">
        <f>IF($T16="","",INDEX(Calc!$H$2:$H$66,$T16))</f>
        <v/>
      </c>
      <c r="D16" s="7">
        <f>IF($T16="","",INDEX(Calc!$I$2:$I$66,$T16))</f>
        <v/>
      </c>
      <c r="E16" s="7">
        <f>IF($T16="","",INDEX(Calc!$J$2:$J$66,$T16))</f>
        <v/>
      </c>
      <c r="F16" s="7">
        <f>IF($T16="","",INDEX(Calc!$K$2:$K$66,$T16))</f>
        <v/>
      </c>
      <c r="G16" s="6">
        <f>IF($T16="","",INDEX(Calc!$M$2:$M$66,$T16))</f>
        <v/>
      </c>
      <c r="H16" s="7">
        <f>IF($T16="","",INDEX(Calc!$Y$2:$Y$66,$T16))</f>
        <v/>
      </c>
      <c r="I16" s="7">
        <f>IF($T16="","",INDEX(Calc!$AE$2:$AE$66,$T16))</f>
        <v/>
      </c>
      <c r="J16">
        <f>IF($T16="","",IFERROR(INDEX(Projections!$E$2:$E$66,MATCH(INDEX(Calc!$A$2:$A$66,$T16)&amp;"|K1",Projections!$AA$2:$AA$66,0)),""))</f>
        <v/>
      </c>
      <c r="K16" s="6">
        <f>IF($T16="","",IFERROR(INDEX(Projections!$H$2:$H$66,MATCH(INDEX(Calc!$A$2:$A$66,$T16)&amp;"|K1",Projections!$AA$2:$AA$66,0)),""))</f>
        <v/>
      </c>
      <c r="L16" s="7">
        <f>IF($T16="","",INDEX(Calc!$AK$2:$AK$66,$T16))</f>
        <v/>
      </c>
      <c r="M16">
        <f>IF($T16="","",IFERROR(INDEX(Projections!$E$2:$E$66,MATCH(INDEX(Calc!$A$2:$A$66,$T16)&amp;"|"&amp;INDEX(Calc!$AJ$2:$AJ$66,$T16),Projections!$AA$2:$AA$66,0)),""))</f>
        <v/>
      </c>
      <c r="N16" s="6">
        <f>IF($T16="","",IFERROR(INDEX(Projections!$H$2:$H$66,MATCH(INDEX(Calc!$A$2:$A$66,$T16)&amp;"|"&amp;INDEX(Calc!$AJ$2:$AJ$66,$T16),Projections!$AA$2:$AA$66,0)),""))</f>
        <v/>
      </c>
      <c r="O16">
        <f>IF($T16="","",IFERROR(INDEX(Projections!$N$2:$N$66,MATCH(INDEX(Calc!$A$2:$A$66,$T16)&amp;"|K1",Projections!$AA$2:$AA$66,0)),IFERROR(INDEX(Projections!$N$2:$N$66,MATCH(INDEX(Calc!$A$2:$A$66,$T16)&amp;"|"&amp;INDEX(Calc!$AJ$2:$AJ$66,$T16),Projections!$AA$2:$AA$66,0)),"")))</f>
        <v/>
      </c>
      <c r="P16" s="6">
        <f>IF($T16="","",IFERROR(INDEX(Projections!$S$2:$S$66,MATCH(INDEX(Calc!$A$2:$A$66,$T16)&amp;"|K1",Projections!$AA$2:$AA$66,0)),IFERROR(INDEX(Projections!$S$2:$S$66,MATCH(INDEX(Calc!$A$2:$A$66,$T16)&amp;"|"&amp;INDEX(Calc!$AJ$2:$AJ$66,$T16),Projections!$AA$2:$AA$66,0)),"")))</f>
        <v/>
      </c>
      <c r="Q16">
        <f>IF($T16="","",INDEX(Calc!$G$2:$G$66,$T16))</f>
        <v/>
      </c>
      <c r="R16">
        <f>IF($T16="","",INDEX(Calc!$AH$2:$AH$66,$T16))</f>
        <v/>
      </c>
      <c r="T16">
        <f>IFERROR(MATCH(5,Calc!$AI$2:$AI$66,0),"")</f>
        <v/>
      </c>
    </row>
    <row r="17">
      <c r="A17">
        <f>IF($T17="","",INDEX(Calc!$C$2:$C$66,$T17))</f>
        <v/>
      </c>
      <c r="B17">
        <f>IF($T17="","",INDEX(Calc!$D$2:$D$66,$T17))</f>
        <v/>
      </c>
      <c r="C17" s="6">
        <f>IF($T17="","",INDEX(Calc!$H$2:$H$66,$T17))</f>
        <v/>
      </c>
      <c r="D17" s="7">
        <f>IF($T17="","",INDEX(Calc!$I$2:$I$66,$T17))</f>
        <v/>
      </c>
      <c r="E17" s="7">
        <f>IF($T17="","",INDEX(Calc!$J$2:$J$66,$T17))</f>
        <v/>
      </c>
      <c r="F17" s="7">
        <f>IF($T17="","",INDEX(Calc!$K$2:$K$66,$T17))</f>
        <v/>
      </c>
      <c r="G17" s="6">
        <f>IF($T17="","",INDEX(Calc!$M$2:$M$66,$T17))</f>
        <v/>
      </c>
      <c r="H17" s="7">
        <f>IF($T17="","",INDEX(Calc!$Y$2:$Y$66,$T17))</f>
        <v/>
      </c>
      <c r="I17" s="7">
        <f>IF($T17="","",INDEX(Calc!$AE$2:$AE$66,$T17))</f>
        <v/>
      </c>
      <c r="J17">
        <f>IF($T17="","",IFERROR(INDEX(Projections!$E$2:$E$66,MATCH(INDEX(Calc!$A$2:$A$66,$T17)&amp;"|K1",Projections!$AA$2:$AA$66,0)),""))</f>
        <v/>
      </c>
      <c r="K17" s="6">
        <f>IF($T17="","",IFERROR(INDEX(Projections!$H$2:$H$66,MATCH(INDEX(Calc!$A$2:$A$66,$T17)&amp;"|K1",Projections!$AA$2:$AA$66,0)),""))</f>
        <v/>
      </c>
      <c r="L17" s="7">
        <f>IF($T17="","",INDEX(Calc!$AK$2:$AK$66,$T17))</f>
        <v/>
      </c>
      <c r="M17">
        <f>IF($T17="","",IFERROR(INDEX(Projections!$E$2:$E$66,MATCH(INDEX(Calc!$A$2:$A$66,$T17)&amp;"|"&amp;INDEX(Calc!$AJ$2:$AJ$66,$T17),Projections!$AA$2:$AA$66,0)),""))</f>
        <v/>
      </c>
      <c r="N17" s="6">
        <f>IF($T17="","",IFERROR(INDEX(Projections!$H$2:$H$66,MATCH(INDEX(Calc!$A$2:$A$66,$T17)&amp;"|"&amp;INDEX(Calc!$AJ$2:$AJ$66,$T17),Projections!$AA$2:$AA$66,0)),""))</f>
        <v/>
      </c>
      <c r="O17">
        <f>IF($T17="","",IFERROR(INDEX(Projections!$N$2:$N$66,MATCH(INDEX(Calc!$A$2:$A$66,$T17)&amp;"|K1",Projections!$AA$2:$AA$66,0)),IFERROR(INDEX(Projections!$N$2:$N$66,MATCH(INDEX(Calc!$A$2:$A$66,$T17)&amp;"|"&amp;INDEX(Calc!$AJ$2:$AJ$66,$T17),Projections!$AA$2:$AA$66,0)),"")))</f>
        <v/>
      </c>
      <c r="P17" s="6">
        <f>IF($T17="","",IFERROR(INDEX(Projections!$S$2:$S$66,MATCH(INDEX(Calc!$A$2:$A$66,$T17)&amp;"|K1",Projections!$AA$2:$AA$66,0)),IFERROR(INDEX(Projections!$S$2:$S$66,MATCH(INDEX(Calc!$A$2:$A$66,$T17)&amp;"|"&amp;INDEX(Calc!$AJ$2:$AJ$66,$T17),Projections!$AA$2:$AA$66,0)),"")))</f>
        <v/>
      </c>
      <c r="Q17">
        <f>IF($T17="","",INDEX(Calc!$G$2:$G$66,$T17))</f>
        <v/>
      </c>
      <c r="R17">
        <f>IF($T17="","",INDEX(Calc!$AH$2:$AH$66,$T17))</f>
        <v/>
      </c>
      <c r="T17">
        <f>IFERROR(MATCH(6,Calc!$AI$2:$AI$66,0),"")</f>
        <v/>
      </c>
    </row>
    <row r="18">
      <c r="A18">
        <f>IF($T18="","",INDEX(Calc!$C$2:$C$66,$T18))</f>
        <v/>
      </c>
      <c r="B18">
        <f>IF($T18="","",INDEX(Calc!$D$2:$D$66,$T18))</f>
        <v/>
      </c>
      <c r="C18" s="6">
        <f>IF($T18="","",INDEX(Calc!$H$2:$H$66,$T18))</f>
        <v/>
      </c>
      <c r="D18" s="7">
        <f>IF($T18="","",INDEX(Calc!$I$2:$I$66,$T18))</f>
        <v/>
      </c>
      <c r="E18" s="7">
        <f>IF($T18="","",INDEX(Calc!$J$2:$J$66,$T18))</f>
        <v/>
      </c>
      <c r="F18" s="7">
        <f>IF($T18="","",INDEX(Calc!$K$2:$K$66,$T18))</f>
        <v/>
      </c>
      <c r="G18" s="6">
        <f>IF($T18="","",INDEX(Calc!$M$2:$M$66,$T18))</f>
        <v/>
      </c>
      <c r="H18" s="7">
        <f>IF($T18="","",INDEX(Calc!$Y$2:$Y$66,$T18))</f>
        <v/>
      </c>
      <c r="I18" s="7">
        <f>IF($T18="","",INDEX(Calc!$AE$2:$AE$66,$T18))</f>
        <v/>
      </c>
      <c r="J18">
        <f>IF($T18="","",IFERROR(INDEX(Projections!$E$2:$E$66,MATCH(INDEX(Calc!$A$2:$A$66,$T18)&amp;"|K1",Projections!$AA$2:$AA$66,0)),""))</f>
        <v/>
      </c>
      <c r="K18" s="6">
        <f>IF($T18="","",IFERROR(INDEX(Projections!$H$2:$H$66,MATCH(INDEX(Calc!$A$2:$A$66,$T18)&amp;"|K1",Projections!$AA$2:$AA$66,0)),""))</f>
        <v/>
      </c>
      <c r="L18" s="7">
        <f>IF($T18="","",INDEX(Calc!$AK$2:$AK$66,$T18))</f>
        <v/>
      </c>
      <c r="M18">
        <f>IF($T18="","",IFERROR(INDEX(Projections!$E$2:$E$66,MATCH(INDEX(Calc!$A$2:$A$66,$T18)&amp;"|"&amp;INDEX(Calc!$AJ$2:$AJ$66,$T18),Projections!$AA$2:$AA$66,0)),""))</f>
        <v/>
      </c>
      <c r="N18" s="6">
        <f>IF($T18="","",IFERROR(INDEX(Projections!$H$2:$H$66,MATCH(INDEX(Calc!$A$2:$A$66,$T18)&amp;"|"&amp;INDEX(Calc!$AJ$2:$AJ$66,$T18),Projections!$AA$2:$AA$66,0)),""))</f>
        <v/>
      </c>
      <c r="O18">
        <f>IF($T18="","",IFERROR(INDEX(Projections!$N$2:$N$66,MATCH(INDEX(Calc!$A$2:$A$66,$T18)&amp;"|K1",Projections!$AA$2:$AA$66,0)),IFERROR(INDEX(Projections!$N$2:$N$66,MATCH(INDEX(Calc!$A$2:$A$66,$T18)&amp;"|"&amp;INDEX(Calc!$AJ$2:$AJ$66,$T18),Projections!$AA$2:$AA$66,0)),"")))</f>
        <v/>
      </c>
      <c r="P18" s="6">
        <f>IF($T18="","",IFERROR(INDEX(Projections!$S$2:$S$66,MATCH(INDEX(Calc!$A$2:$A$66,$T18)&amp;"|K1",Projections!$AA$2:$AA$66,0)),IFERROR(INDEX(Projections!$S$2:$S$66,MATCH(INDEX(Calc!$A$2:$A$66,$T18)&amp;"|"&amp;INDEX(Calc!$AJ$2:$AJ$66,$T18),Projections!$AA$2:$AA$66,0)),"")))</f>
        <v/>
      </c>
      <c r="Q18">
        <f>IF($T18="","",INDEX(Calc!$G$2:$G$66,$T18))</f>
        <v/>
      </c>
      <c r="R18">
        <f>IF($T18="","",INDEX(Calc!$AH$2:$AH$66,$T18))</f>
        <v/>
      </c>
      <c r="T18">
        <f>IFERROR(MATCH(7,Calc!$AI$2:$AI$66,0),"")</f>
        <v/>
      </c>
    </row>
    <row r="19">
      <c r="A19">
        <f>IF($T19="","",INDEX(Calc!$C$2:$C$66,$T19))</f>
        <v/>
      </c>
      <c r="B19">
        <f>IF($T19="","",INDEX(Calc!$D$2:$D$66,$T19))</f>
        <v/>
      </c>
      <c r="C19" s="6">
        <f>IF($T19="","",INDEX(Calc!$H$2:$H$66,$T19))</f>
        <v/>
      </c>
      <c r="D19" s="7">
        <f>IF($T19="","",INDEX(Calc!$I$2:$I$66,$T19))</f>
        <v/>
      </c>
      <c r="E19" s="7">
        <f>IF($T19="","",INDEX(Calc!$J$2:$J$66,$T19))</f>
        <v/>
      </c>
      <c r="F19" s="7">
        <f>IF($T19="","",INDEX(Calc!$K$2:$K$66,$T19))</f>
        <v/>
      </c>
      <c r="G19" s="6">
        <f>IF($T19="","",INDEX(Calc!$M$2:$M$66,$T19))</f>
        <v/>
      </c>
      <c r="H19" s="7">
        <f>IF($T19="","",INDEX(Calc!$Y$2:$Y$66,$T19))</f>
        <v/>
      </c>
      <c r="I19" s="7">
        <f>IF($T19="","",INDEX(Calc!$AE$2:$AE$66,$T19))</f>
        <v/>
      </c>
      <c r="J19">
        <f>IF($T19="","",IFERROR(INDEX(Projections!$E$2:$E$66,MATCH(INDEX(Calc!$A$2:$A$66,$T19)&amp;"|K1",Projections!$AA$2:$AA$66,0)),""))</f>
        <v/>
      </c>
      <c r="K19" s="6">
        <f>IF($T19="","",IFERROR(INDEX(Projections!$H$2:$H$66,MATCH(INDEX(Calc!$A$2:$A$66,$T19)&amp;"|K1",Projections!$AA$2:$AA$66,0)),""))</f>
        <v/>
      </c>
      <c r="L19" s="7">
        <f>IF($T19="","",INDEX(Calc!$AK$2:$AK$66,$T19))</f>
        <v/>
      </c>
      <c r="M19">
        <f>IF($T19="","",IFERROR(INDEX(Projections!$E$2:$E$66,MATCH(INDEX(Calc!$A$2:$A$66,$T19)&amp;"|"&amp;INDEX(Calc!$AJ$2:$AJ$66,$T19),Projections!$AA$2:$AA$66,0)),""))</f>
        <v/>
      </c>
      <c r="N19" s="6">
        <f>IF($T19="","",IFERROR(INDEX(Projections!$H$2:$H$66,MATCH(INDEX(Calc!$A$2:$A$66,$T19)&amp;"|"&amp;INDEX(Calc!$AJ$2:$AJ$66,$T19),Projections!$AA$2:$AA$66,0)),""))</f>
        <v/>
      </c>
      <c r="O19">
        <f>IF($T19="","",IFERROR(INDEX(Projections!$N$2:$N$66,MATCH(INDEX(Calc!$A$2:$A$66,$T19)&amp;"|K1",Projections!$AA$2:$AA$66,0)),IFERROR(INDEX(Projections!$N$2:$N$66,MATCH(INDEX(Calc!$A$2:$A$66,$T19)&amp;"|"&amp;INDEX(Calc!$AJ$2:$AJ$66,$T19),Projections!$AA$2:$AA$66,0)),"")))</f>
        <v/>
      </c>
      <c r="P19" s="6">
        <f>IF($T19="","",IFERROR(INDEX(Projections!$S$2:$S$66,MATCH(INDEX(Calc!$A$2:$A$66,$T19)&amp;"|K1",Projections!$AA$2:$AA$66,0)),IFERROR(INDEX(Projections!$S$2:$S$66,MATCH(INDEX(Calc!$A$2:$A$66,$T19)&amp;"|"&amp;INDEX(Calc!$AJ$2:$AJ$66,$T19),Projections!$AA$2:$AA$66,0)),"")))</f>
        <v/>
      </c>
      <c r="Q19">
        <f>IF($T19="","",INDEX(Calc!$G$2:$G$66,$T19))</f>
        <v/>
      </c>
      <c r="R19">
        <f>IF($T19="","",INDEX(Calc!$AH$2:$AH$66,$T19))</f>
        <v/>
      </c>
      <c r="T19">
        <f>IFERROR(MATCH(8,Calc!$AI$2:$AI$66,0),"")</f>
        <v/>
      </c>
    </row>
    <row r="20">
      <c r="A20">
        <f>IF($T20="","",INDEX(Calc!$C$2:$C$66,$T20))</f>
        <v/>
      </c>
      <c r="B20">
        <f>IF($T20="","",INDEX(Calc!$D$2:$D$66,$T20))</f>
        <v/>
      </c>
      <c r="C20" s="6">
        <f>IF($T20="","",INDEX(Calc!$H$2:$H$66,$T20))</f>
        <v/>
      </c>
      <c r="D20" s="7">
        <f>IF($T20="","",INDEX(Calc!$I$2:$I$66,$T20))</f>
        <v/>
      </c>
      <c r="E20" s="7">
        <f>IF($T20="","",INDEX(Calc!$J$2:$J$66,$T20))</f>
        <v/>
      </c>
      <c r="F20" s="7">
        <f>IF($T20="","",INDEX(Calc!$K$2:$K$66,$T20))</f>
        <v/>
      </c>
      <c r="G20" s="6">
        <f>IF($T20="","",INDEX(Calc!$M$2:$M$66,$T20))</f>
        <v/>
      </c>
      <c r="H20" s="7">
        <f>IF($T20="","",INDEX(Calc!$Y$2:$Y$66,$T20))</f>
        <v/>
      </c>
      <c r="I20" s="7">
        <f>IF($T20="","",INDEX(Calc!$AE$2:$AE$66,$T20))</f>
        <v/>
      </c>
      <c r="J20">
        <f>IF($T20="","",IFERROR(INDEX(Projections!$E$2:$E$66,MATCH(INDEX(Calc!$A$2:$A$66,$T20)&amp;"|K1",Projections!$AA$2:$AA$66,0)),""))</f>
        <v/>
      </c>
      <c r="K20" s="6">
        <f>IF($T20="","",IFERROR(INDEX(Projections!$H$2:$H$66,MATCH(INDEX(Calc!$A$2:$A$66,$T20)&amp;"|K1",Projections!$AA$2:$AA$66,0)),""))</f>
        <v/>
      </c>
      <c r="L20" s="7">
        <f>IF($T20="","",INDEX(Calc!$AK$2:$AK$66,$T20))</f>
        <v/>
      </c>
      <c r="M20">
        <f>IF($T20="","",IFERROR(INDEX(Projections!$E$2:$E$66,MATCH(INDEX(Calc!$A$2:$A$66,$T20)&amp;"|"&amp;INDEX(Calc!$AJ$2:$AJ$66,$T20),Projections!$AA$2:$AA$66,0)),""))</f>
        <v/>
      </c>
      <c r="N20" s="6">
        <f>IF($T20="","",IFERROR(INDEX(Projections!$H$2:$H$66,MATCH(INDEX(Calc!$A$2:$A$66,$T20)&amp;"|"&amp;INDEX(Calc!$AJ$2:$AJ$66,$T20),Projections!$AA$2:$AA$66,0)),""))</f>
        <v/>
      </c>
      <c r="O20">
        <f>IF($T20="","",IFERROR(INDEX(Projections!$N$2:$N$66,MATCH(INDEX(Calc!$A$2:$A$66,$T20)&amp;"|K1",Projections!$AA$2:$AA$66,0)),IFERROR(INDEX(Projections!$N$2:$N$66,MATCH(INDEX(Calc!$A$2:$A$66,$T20)&amp;"|"&amp;INDEX(Calc!$AJ$2:$AJ$66,$T20),Projections!$AA$2:$AA$66,0)),"")))</f>
        <v/>
      </c>
      <c r="P20" s="6">
        <f>IF($T20="","",IFERROR(INDEX(Projections!$S$2:$S$66,MATCH(INDEX(Calc!$A$2:$A$66,$T20)&amp;"|K1",Projections!$AA$2:$AA$66,0)),IFERROR(INDEX(Projections!$S$2:$S$66,MATCH(INDEX(Calc!$A$2:$A$66,$T20)&amp;"|"&amp;INDEX(Calc!$AJ$2:$AJ$66,$T20),Projections!$AA$2:$AA$66,0)),"")))</f>
        <v/>
      </c>
      <c r="Q20">
        <f>IF($T20="","",INDEX(Calc!$G$2:$G$66,$T20))</f>
        <v/>
      </c>
      <c r="R20">
        <f>IF($T20="","",INDEX(Calc!$AH$2:$AH$66,$T20))</f>
        <v/>
      </c>
      <c r="T20">
        <f>IFERROR(MATCH(9,Calc!$AI$2:$AI$66,0),"")</f>
        <v/>
      </c>
    </row>
    <row r="21">
      <c r="A21">
        <f>IF($T21="","",INDEX(Calc!$C$2:$C$66,$T21))</f>
        <v/>
      </c>
      <c r="B21">
        <f>IF($T21="","",INDEX(Calc!$D$2:$D$66,$T21))</f>
        <v/>
      </c>
      <c r="C21" s="6">
        <f>IF($T21="","",INDEX(Calc!$H$2:$H$66,$T21))</f>
        <v/>
      </c>
      <c r="D21" s="7">
        <f>IF($T21="","",INDEX(Calc!$I$2:$I$66,$T21))</f>
        <v/>
      </c>
      <c r="E21" s="7">
        <f>IF($T21="","",INDEX(Calc!$J$2:$J$66,$T21))</f>
        <v/>
      </c>
      <c r="F21" s="7">
        <f>IF($T21="","",INDEX(Calc!$K$2:$K$66,$T21))</f>
        <v/>
      </c>
      <c r="G21" s="6">
        <f>IF($T21="","",INDEX(Calc!$M$2:$M$66,$T21))</f>
        <v/>
      </c>
      <c r="H21" s="7">
        <f>IF($T21="","",INDEX(Calc!$Y$2:$Y$66,$T21))</f>
        <v/>
      </c>
      <c r="I21" s="7">
        <f>IF($T21="","",INDEX(Calc!$AE$2:$AE$66,$T21))</f>
        <v/>
      </c>
      <c r="J21">
        <f>IF($T21="","",IFERROR(INDEX(Projections!$E$2:$E$66,MATCH(INDEX(Calc!$A$2:$A$66,$T21)&amp;"|K1",Projections!$AA$2:$AA$66,0)),""))</f>
        <v/>
      </c>
      <c r="K21" s="6">
        <f>IF($T21="","",IFERROR(INDEX(Projections!$H$2:$H$66,MATCH(INDEX(Calc!$A$2:$A$66,$T21)&amp;"|K1",Projections!$AA$2:$AA$66,0)),""))</f>
        <v/>
      </c>
      <c r="L21" s="7">
        <f>IF($T21="","",INDEX(Calc!$AK$2:$AK$66,$T21))</f>
        <v/>
      </c>
      <c r="M21">
        <f>IF($T21="","",IFERROR(INDEX(Projections!$E$2:$E$66,MATCH(INDEX(Calc!$A$2:$A$66,$T21)&amp;"|"&amp;INDEX(Calc!$AJ$2:$AJ$66,$T21),Projections!$AA$2:$AA$66,0)),""))</f>
        <v/>
      </c>
      <c r="N21" s="6">
        <f>IF($T21="","",IFERROR(INDEX(Projections!$H$2:$H$66,MATCH(INDEX(Calc!$A$2:$A$66,$T21)&amp;"|"&amp;INDEX(Calc!$AJ$2:$AJ$66,$T21),Projections!$AA$2:$AA$66,0)),""))</f>
        <v/>
      </c>
      <c r="O21">
        <f>IF($T21="","",IFERROR(INDEX(Projections!$N$2:$N$66,MATCH(INDEX(Calc!$A$2:$A$66,$T21)&amp;"|K1",Projections!$AA$2:$AA$66,0)),IFERROR(INDEX(Projections!$N$2:$N$66,MATCH(INDEX(Calc!$A$2:$A$66,$T21)&amp;"|"&amp;INDEX(Calc!$AJ$2:$AJ$66,$T21),Projections!$AA$2:$AA$66,0)),"")))</f>
        <v/>
      </c>
      <c r="P21" s="6">
        <f>IF($T21="","",IFERROR(INDEX(Projections!$S$2:$S$66,MATCH(INDEX(Calc!$A$2:$A$66,$T21)&amp;"|K1",Projections!$AA$2:$AA$66,0)),IFERROR(INDEX(Projections!$S$2:$S$66,MATCH(INDEX(Calc!$A$2:$A$66,$T21)&amp;"|"&amp;INDEX(Calc!$AJ$2:$AJ$66,$T21),Projections!$AA$2:$AA$66,0)),"")))</f>
        <v/>
      </c>
      <c r="Q21">
        <f>IF($T21="","",INDEX(Calc!$G$2:$G$66,$T21))</f>
        <v/>
      </c>
      <c r="R21">
        <f>IF($T21="","",INDEX(Calc!$AH$2:$AH$66,$T21))</f>
        <v/>
      </c>
      <c r="T21">
        <f>IFERROR(MATCH(10,Calc!$AI$2:$AI$66,0),"")</f>
        <v/>
      </c>
    </row>
    <row r="22">
      <c r="A22">
        <f>IF($T22="","",INDEX(Calc!$C$2:$C$66,$T22))</f>
        <v/>
      </c>
      <c r="B22">
        <f>IF($T22="","",INDEX(Calc!$D$2:$D$66,$T22))</f>
        <v/>
      </c>
      <c r="C22" s="6">
        <f>IF($T22="","",INDEX(Calc!$H$2:$H$66,$T22))</f>
        <v/>
      </c>
      <c r="D22" s="7">
        <f>IF($T22="","",INDEX(Calc!$I$2:$I$66,$T22))</f>
        <v/>
      </c>
      <c r="E22" s="7">
        <f>IF($T22="","",INDEX(Calc!$J$2:$J$66,$T22))</f>
        <v/>
      </c>
      <c r="F22" s="7">
        <f>IF($T22="","",INDEX(Calc!$K$2:$K$66,$T22))</f>
        <v/>
      </c>
      <c r="G22" s="6">
        <f>IF($T22="","",INDEX(Calc!$M$2:$M$66,$T22))</f>
        <v/>
      </c>
      <c r="H22" s="7">
        <f>IF($T22="","",INDEX(Calc!$Y$2:$Y$66,$T22))</f>
        <v/>
      </c>
      <c r="I22" s="7">
        <f>IF($T22="","",INDEX(Calc!$AE$2:$AE$66,$T22))</f>
        <v/>
      </c>
      <c r="J22">
        <f>IF($T22="","",IFERROR(INDEX(Projections!$E$2:$E$66,MATCH(INDEX(Calc!$A$2:$A$66,$T22)&amp;"|K1",Projections!$AA$2:$AA$66,0)),""))</f>
        <v/>
      </c>
      <c r="K22" s="6">
        <f>IF($T22="","",IFERROR(INDEX(Projections!$H$2:$H$66,MATCH(INDEX(Calc!$A$2:$A$66,$T22)&amp;"|K1",Projections!$AA$2:$AA$66,0)),""))</f>
        <v/>
      </c>
      <c r="L22" s="7">
        <f>IF($T22="","",INDEX(Calc!$AK$2:$AK$66,$T22))</f>
        <v/>
      </c>
      <c r="M22">
        <f>IF($T22="","",IFERROR(INDEX(Projections!$E$2:$E$66,MATCH(INDEX(Calc!$A$2:$A$66,$T22)&amp;"|"&amp;INDEX(Calc!$AJ$2:$AJ$66,$T22),Projections!$AA$2:$AA$66,0)),""))</f>
        <v/>
      </c>
      <c r="N22" s="6">
        <f>IF($T22="","",IFERROR(INDEX(Projections!$H$2:$H$66,MATCH(INDEX(Calc!$A$2:$A$66,$T22)&amp;"|"&amp;INDEX(Calc!$AJ$2:$AJ$66,$T22),Projections!$AA$2:$AA$66,0)),""))</f>
        <v/>
      </c>
      <c r="O22">
        <f>IF($T22="","",IFERROR(INDEX(Projections!$N$2:$N$66,MATCH(INDEX(Calc!$A$2:$A$66,$T22)&amp;"|K1",Projections!$AA$2:$AA$66,0)),IFERROR(INDEX(Projections!$N$2:$N$66,MATCH(INDEX(Calc!$A$2:$A$66,$T22)&amp;"|"&amp;INDEX(Calc!$AJ$2:$AJ$66,$T22),Projections!$AA$2:$AA$66,0)),"")))</f>
        <v/>
      </c>
      <c r="P22" s="6">
        <f>IF($T22="","",IFERROR(INDEX(Projections!$S$2:$S$66,MATCH(INDEX(Calc!$A$2:$A$66,$T22)&amp;"|K1",Projections!$AA$2:$AA$66,0)),IFERROR(INDEX(Projections!$S$2:$S$66,MATCH(INDEX(Calc!$A$2:$A$66,$T22)&amp;"|"&amp;INDEX(Calc!$AJ$2:$AJ$66,$T22),Projections!$AA$2:$AA$66,0)),"")))</f>
        <v/>
      </c>
      <c r="Q22">
        <f>IF($T22="","",INDEX(Calc!$G$2:$G$66,$T22))</f>
        <v/>
      </c>
      <c r="R22">
        <f>IF($T22="","",INDEX(Calc!$AH$2:$AH$66,$T22))</f>
        <v/>
      </c>
      <c r="T22">
        <f>IFERROR(MATCH(11,Calc!$AI$2:$AI$66,0),"")</f>
        <v/>
      </c>
    </row>
    <row r="23">
      <c r="A23">
        <f>IF($T23="","",INDEX(Calc!$C$2:$C$66,$T23))</f>
        <v/>
      </c>
      <c r="B23">
        <f>IF($T23="","",INDEX(Calc!$D$2:$D$66,$T23))</f>
        <v/>
      </c>
      <c r="C23" s="6">
        <f>IF($T23="","",INDEX(Calc!$H$2:$H$66,$T23))</f>
        <v/>
      </c>
      <c r="D23" s="7">
        <f>IF($T23="","",INDEX(Calc!$I$2:$I$66,$T23))</f>
        <v/>
      </c>
      <c r="E23" s="7">
        <f>IF($T23="","",INDEX(Calc!$J$2:$J$66,$T23))</f>
        <v/>
      </c>
      <c r="F23" s="7">
        <f>IF($T23="","",INDEX(Calc!$K$2:$K$66,$T23))</f>
        <v/>
      </c>
      <c r="G23" s="6">
        <f>IF($T23="","",INDEX(Calc!$M$2:$M$66,$T23))</f>
        <v/>
      </c>
      <c r="H23" s="7">
        <f>IF($T23="","",INDEX(Calc!$Y$2:$Y$66,$T23))</f>
        <v/>
      </c>
      <c r="I23" s="7">
        <f>IF($T23="","",INDEX(Calc!$AE$2:$AE$66,$T23))</f>
        <v/>
      </c>
      <c r="J23">
        <f>IF($T23="","",IFERROR(INDEX(Projections!$E$2:$E$66,MATCH(INDEX(Calc!$A$2:$A$66,$T23)&amp;"|K1",Projections!$AA$2:$AA$66,0)),""))</f>
        <v/>
      </c>
      <c r="K23" s="6">
        <f>IF($T23="","",IFERROR(INDEX(Projections!$H$2:$H$66,MATCH(INDEX(Calc!$A$2:$A$66,$T23)&amp;"|K1",Projections!$AA$2:$AA$66,0)),""))</f>
        <v/>
      </c>
      <c r="L23" s="7">
        <f>IF($T23="","",INDEX(Calc!$AK$2:$AK$66,$T23))</f>
        <v/>
      </c>
      <c r="M23">
        <f>IF($T23="","",IFERROR(INDEX(Projections!$E$2:$E$66,MATCH(INDEX(Calc!$A$2:$A$66,$T23)&amp;"|"&amp;INDEX(Calc!$AJ$2:$AJ$66,$T23),Projections!$AA$2:$AA$66,0)),""))</f>
        <v/>
      </c>
      <c r="N23" s="6">
        <f>IF($T23="","",IFERROR(INDEX(Projections!$H$2:$H$66,MATCH(INDEX(Calc!$A$2:$A$66,$T23)&amp;"|"&amp;INDEX(Calc!$AJ$2:$AJ$66,$T23),Projections!$AA$2:$AA$66,0)),""))</f>
        <v/>
      </c>
      <c r="O23">
        <f>IF($T23="","",IFERROR(INDEX(Projections!$N$2:$N$66,MATCH(INDEX(Calc!$A$2:$A$66,$T23)&amp;"|K1",Projections!$AA$2:$AA$66,0)),IFERROR(INDEX(Projections!$N$2:$N$66,MATCH(INDEX(Calc!$A$2:$A$66,$T23)&amp;"|"&amp;INDEX(Calc!$AJ$2:$AJ$66,$T23),Projections!$AA$2:$AA$66,0)),"")))</f>
        <v/>
      </c>
      <c r="P23" s="6">
        <f>IF($T23="","",IFERROR(INDEX(Projections!$S$2:$S$66,MATCH(INDEX(Calc!$A$2:$A$66,$T23)&amp;"|K1",Projections!$AA$2:$AA$66,0)),IFERROR(INDEX(Projections!$S$2:$S$66,MATCH(INDEX(Calc!$A$2:$A$66,$T23)&amp;"|"&amp;INDEX(Calc!$AJ$2:$AJ$66,$T23),Projections!$AA$2:$AA$66,0)),"")))</f>
        <v/>
      </c>
      <c r="Q23">
        <f>IF($T23="","",INDEX(Calc!$G$2:$G$66,$T23))</f>
        <v/>
      </c>
      <c r="R23">
        <f>IF($T23="","",INDEX(Calc!$AH$2:$AH$66,$T23))</f>
        <v/>
      </c>
      <c r="T23">
        <f>IFERROR(MATCH(12,Calc!$AI$2:$AI$66,0),"")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DOTA · OG vs GL</t>
        </is>
      </c>
      <c r="B5" t="inlineStr">
        <is>
          <t>P Universe</t>
        </is>
      </c>
      <c r="C5" t="inlineStr">
        <is>
          <t>Mon 03:00</t>
        </is>
      </c>
      <c r="D5" t="n">
        <v>3</v>
      </c>
      <c r="E5" t="inlineStr">
        <is>
          <t>OG (OG)</t>
        </is>
      </c>
      <c r="F5" t="inlineStr">
        <is>
          <t>GamerLegion (GL)</t>
        </is>
      </c>
      <c r="G5" s="6" t="n">
        <v>0.5695538057742783</v>
      </c>
      <c r="H5" s="7" t="n">
        <v>51.94444444444444</v>
      </c>
      <c r="I5" s="7" t="n">
        <v>27.45</v>
      </c>
      <c r="J5" s="7" t="n">
        <v>26.22222222222222</v>
      </c>
      <c r="K5" s="7" t="n">
        <v>44.36363636363637</v>
      </c>
      <c r="L5" t="n">
        <v>316</v>
      </c>
      <c r="M5" s="9" t="n">
        <v>0.5464</v>
      </c>
      <c r="N5" s="9" t="n">
        <v>0.5476</v>
      </c>
      <c r="O5" s="9" t="n">
        <v>0.5696</v>
      </c>
      <c r="P5" s="9" t="n">
        <v>1</v>
      </c>
      <c r="Q5" s="9" t="n">
        <v>0.4899</v>
      </c>
      <c r="R5" s="10" t="n">
        <v>1</v>
      </c>
      <c r="S5" t="inlineStr">
        <is>
          <t>OG</t>
        </is>
      </c>
      <c r="T5" t="inlineStr">
        <is>
          <t>GL</t>
        </is>
      </c>
    </row>
    <row r="6">
      <c r="A6" t="inlineStr">
        <is>
          <t>DOTA · TY vs Liquid</t>
        </is>
      </c>
      <c r="B6" t="inlineStr">
        <is>
          <t>P Universe</t>
        </is>
      </c>
      <c r="C6" t="inlineStr">
        <is>
          <t>Mon 06:00</t>
        </is>
      </c>
      <c r="D6" t="n">
        <v>3</v>
      </c>
      <c r="E6" t="inlineStr">
        <is>
          <t>Team Yandex (TY)</t>
        </is>
      </c>
      <c r="F6" t="inlineStr">
        <is>
          <t>Team Liquid (Liquid)</t>
        </is>
      </c>
      <c r="G6" s="6" t="n">
        <v>0.7759259259259259</v>
      </c>
      <c r="H6" s="7" t="n">
        <v>55.11111111111111</v>
      </c>
      <c r="I6" s="7" t="n">
        <v>32.36363636363637</v>
      </c>
      <c r="J6" s="7" t="n">
        <v>23.85</v>
      </c>
      <c r="K6" s="7" t="n">
        <v>42.45833333333334</v>
      </c>
      <c r="L6" t="n">
        <v>302</v>
      </c>
      <c r="M6" s="9" t="n">
        <v>0.7030999999999999</v>
      </c>
      <c r="N6" s="9" t="n">
        <v>0.7030999999999999</v>
      </c>
      <c r="O6" s="9" t="n">
        <v>0.7759</v>
      </c>
      <c r="P6" s="9" t="n">
        <v>1</v>
      </c>
      <c r="Q6" s="9" t="n">
        <v>0.412</v>
      </c>
      <c r="R6" s="10" t="n">
        <v>1</v>
      </c>
      <c r="S6" t="inlineStr">
        <is>
          <t>TY</t>
        </is>
      </c>
      <c r="T6" t="inlineStr">
        <is>
          <t>Liquid</t>
        </is>
      </c>
    </row>
    <row r="7">
      <c r="A7" t="inlineStr">
        <is>
          <t>DOTA · TS vs PARI</t>
        </is>
      </c>
      <c r="B7" t="inlineStr">
        <is>
          <t>P Universe</t>
        </is>
      </c>
      <c r="C7" t="inlineStr">
        <is>
          <t>Mon 09:00</t>
        </is>
      </c>
      <c r="D7" t="n">
        <v>3</v>
      </c>
      <c r="E7" t="inlineStr">
        <is>
          <t>Team Spirit (TS)</t>
        </is>
      </c>
      <c r="F7" t="inlineStr">
        <is>
          <t>PariVision (PARI)</t>
        </is>
      </c>
      <c r="G7" s="6" t="n">
        <v>0.4509283819628647</v>
      </c>
      <c r="H7" s="7" t="n">
        <v>57.3125</v>
      </c>
      <c r="I7" s="7" t="n">
        <v>29.22222222222222</v>
      </c>
      <c r="J7" s="7" t="n"/>
      <c r="K7" s="7" t="n">
        <v>44.45454545454545</v>
      </c>
      <c r="L7" t="n">
        <v>324</v>
      </c>
      <c r="M7" s="9" t="n">
        <v>0.4667</v>
      </c>
      <c r="N7" s="9" t="n">
        <v>0.4667</v>
      </c>
      <c r="O7" s="9" t="n">
        <v>0.4509</v>
      </c>
      <c r="P7" s="9" t="n">
        <v>1</v>
      </c>
      <c r="Q7" s="9" t="n">
        <v>0.4965</v>
      </c>
      <c r="R7" s="10" t="n">
        <v>1</v>
      </c>
      <c r="S7" t="inlineStr">
        <is>
          <t>TS</t>
        </is>
      </c>
      <c r="T7" t="inlineStr">
        <is>
          <t>PARI</t>
        </is>
      </c>
    </row>
    <row r="8">
      <c r="A8" t="inlineStr">
        <is>
          <t>LOL · T1 vs CFO</t>
        </is>
      </c>
      <c r="B8" t="inlineStr">
        <is>
          <t>Worlds 2026</t>
        </is>
      </c>
      <c r="C8" t="inlineStr">
        <is>
          <t>Mon 12:00</t>
        </is>
      </c>
      <c r="D8" t="n">
        <v>1</v>
      </c>
      <c r="E8" t="inlineStr">
        <is>
          <t>T1 (T1)</t>
        </is>
      </c>
      <c r="F8" t="inlineStr">
        <is>
          <t>CTBC Flying Oyster (CFO)</t>
        </is>
      </c>
      <c r="G8" s="6" t="n">
        <v>0.8405797101449275</v>
      </c>
      <c r="H8" s="7" t="n">
        <v>28.5</v>
      </c>
      <c r="I8" s="7" t="n">
        <v>18.95522388059701</v>
      </c>
      <c r="J8" s="7" t="n">
        <v>9.375120540019287</v>
      </c>
      <c r="K8" s="7" t="n">
        <v>29.20949477351916</v>
      </c>
      <c r="L8" t="n">
        <v>115</v>
      </c>
      <c r="M8" s="9" t="n">
        <v>0.8406</v>
      </c>
      <c r="N8" s="9" t="n"/>
      <c r="O8" s="9" t="n"/>
      <c r="P8" s="9" t="n">
        <v>0</v>
      </c>
      <c r="Q8" s="9" t="n">
        <v>0</v>
      </c>
      <c r="R8" s="10" t="n">
        <v>1</v>
      </c>
      <c r="S8" t="inlineStr">
        <is>
          <t>T1</t>
        </is>
      </c>
      <c r="T8" t="inlineStr">
        <is>
          <t>CFO</t>
        </is>
      </c>
    </row>
    <row r="9">
      <c r="A9" t="inlineStr">
        <is>
          <t>DOTA · BB vs LEGION</t>
        </is>
      </c>
      <c r="B9" t="inlineStr">
        <is>
          <t>P Universe</t>
        </is>
      </c>
      <c r="C9" t="inlineStr">
        <is>
          <t>Mon 12:00</t>
        </is>
      </c>
      <c r="D9" t="n">
        <v>3</v>
      </c>
      <c r="E9" t="inlineStr">
        <is>
          <t>BB Team (BB)</t>
        </is>
      </c>
      <c r="F9" t="inlineStr">
        <is>
          <t>LEGION (LEGION)</t>
        </is>
      </c>
      <c r="G9" s="6" t="n">
        <v>0.7266949152542374</v>
      </c>
      <c r="H9" s="7" t="n">
        <v>53.22222222222222</v>
      </c>
      <c r="I9" s="7" t="n">
        <v>31.54359156597963</v>
      </c>
      <c r="J9" s="7" t="n">
        <v>23.15</v>
      </c>
      <c r="K9" s="7" t="n">
        <v>42.45833333333334</v>
      </c>
      <c r="L9" t="n">
        <v>304</v>
      </c>
      <c r="M9" s="9" t="n">
        <v>0.6619</v>
      </c>
      <c r="N9" s="9" t="n">
        <v>0.6619</v>
      </c>
      <c r="O9" s="9" t="n">
        <v>0.7267</v>
      </c>
      <c r="P9" s="9" t="n">
        <v>1</v>
      </c>
      <c r="Q9" s="9" t="n">
        <v>0.4433</v>
      </c>
      <c r="R9" s="10" t="n">
        <v>1</v>
      </c>
      <c r="S9" t="inlineStr">
        <is>
          <t>BB</t>
        </is>
      </c>
      <c r="T9" t="inlineStr">
        <is>
          <t>LEGION</t>
        </is>
      </c>
    </row>
    <row r="10">
      <c r="A10" t="inlineStr">
        <is>
          <t>LOL · KC vs BLG</t>
        </is>
      </c>
      <c r="B10" t="inlineStr">
        <is>
          <t>Worlds 2026</t>
        </is>
      </c>
      <c r="C10" t="inlineStr">
        <is>
          <t>Mon 13:00</t>
        </is>
      </c>
      <c r="D10" t="n">
        <v>1</v>
      </c>
      <c r="E10" t="inlineStr">
        <is>
          <t>Karmine Corp (KC)</t>
        </is>
      </c>
      <c r="F10" t="inlineStr">
        <is>
          <t>Bilibili Gaming (BLG)</t>
        </is>
      </c>
      <c r="G10" s="6" t="n">
        <v>0.3176470588235294</v>
      </c>
      <c r="H10" s="7" t="n">
        <v>27.5</v>
      </c>
      <c r="I10" s="7" t="n">
        <v>11</v>
      </c>
      <c r="J10" s="7" t="n">
        <v>16.80406441717792</v>
      </c>
      <c r="K10" s="7" t="n">
        <v>31.79050522648084</v>
      </c>
      <c r="L10" t="n">
        <v>120</v>
      </c>
      <c r="M10" s="9" t="n">
        <v>0.3176</v>
      </c>
      <c r="N10" s="9" t="n"/>
      <c r="O10" s="9" t="n"/>
      <c r="P10" s="9" t="n">
        <v>0</v>
      </c>
      <c r="Q10" s="9" t="n">
        <v>0</v>
      </c>
      <c r="R10" s="10" t="n">
        <v>1</v>
      </c>
      <c r="S10" t="inlineStr">
        <is>
          <t>KC</t>
        </is>
      </c>
      <c r="T10" t="inlineStr">
        <is>
          <t>BLG</t>
        </is>
      </c>
    </row>
    <row r="11">
      <c r="A11" t="inlineStr">
        <is>
          <t>LOL · LOS vs TSW</t>
        </is>
      </c>
      <c r="B11" t="inlineStr">
        <is>
          <t>Worlds 2026</t>
        </is>
      </c>
      <c r="C11" t="inlineStr">
        <is>
          <t>Mon 14:00</t>
        </is>
      </c>
      <c r="D11" t="n">
        <v>3</v>
      </c>
      <c r="E11" t="inlineStr">
        <is>
          <t>LOS (LOS)</t>
        </is>
      </c>
      <c r="F11" t="inlineStr">
        <is>
          <t>Team Secret Whales (TSW)</t>
        </is>
      </c>
      <c r="G11" s="6" t="n">
        <v>0.3718592964824121</v>
      </c>
      <c r="H11" s="7" t="n">
        <v>29.5</v>
      </c>
      <c r="I11" s="7" t="n">
        <v>13.71969045571797</v>
      </c>
      <c r="J11" s="7" t="n">
        <v>16.69045495093667</v>
      </c>
      <c r="K11" s="7" t="n">
        <v>32</v>
      </c>
      <c r="L11" t="n">
        <v>414</v>
      </c>
      <c r="M11" s="9" t="n">
        <v>0.4026</v>
      </c>
      <c r="N11" s="9" t="n">
        <v>0.4026</v>
      </c>
      <c r="O11" s="9" t="n">
        <v>0.4297</v>
      </c>
      <c r="P11" s="9" t="n">
        <v>1</v>
      </c>
      <c r="Q11" s="9" t="n">
        <v>0.4815</v>
      </c>
      <c r="R11" s="10" t="n">
        <v>1</v>
      </c>
      <c r="S11" t="inlineStr">
        <is>
          <t>LOS</t>
        </is>
      </c>
      <c r="T11" t="inlineStr">
        <is>
          <t>TSW</t>
        </is>
      </c>
    </row>
    <row r="12">
      <c r="A12" t="inlineStr">
        <is>
          <t>LOL · TL vs AL</t>
        </is>
      </c>
      <c r="B12" t="inlineStr">
        <is>
          <t>Worlds 2026</t>
        </is>
      </c>
      <c r="C12" t="inlineStr">
        <is>
          <t>Mon 17:00</t>
        </is>
      </c>
      <c r="D12" t="n">
        <v>3</v>
      </c>
      <c r="E12" t="inlineStr">
        <is>
          <t>Team Liquid (TL)</t>
        </is>
      </c>
      <c r="F12" t="inlineStr">
        <is>
          <t>Anyone's Legend (AL)</t>
        </is>
      </c>
      <c r="G12" s="6" t="n">
        <v>0.2986425339366516</v>
      </c>
      <c r="H12" s="7" t="n">
        <v>26</v>
      </c>
      <c r="I12" s="7" t="n">
        <v>10.8945963975984</v>
      </c>
      <c r="J12" s="7" t="n">
        <v>15.45496932515337</v>
      </c>
      <c r="K12" s="7" t="n">
        <v>31.58838043965904</v>
      </c>
      <c r="L12" t="n">
        <v>392</v>
      </c>
      <c r="M12" s="9" t="n">
        <v>0.358</v>
      </c>
      <c r="N12" s="9" t="n">
        <v>0.358</v>
      </c>
      <c r="O12" s="9" t="n">
        <v>0.3846</v>
      </c>
      <c r="P12" s="9" t="n">
        <v>1</v>
      </c>
      <c r="Q12" s="9" t="n">
        <v>0.4554</v>
      </c>
      <c r="R12" s="10" t="n">
        <v>1</v>
      </c>
      <c r="S12" t="inlineStr">
        <is>
          <t>TL</t>
        </is>
      </c>
      <c r="T12" t="inlineStr">
        <is>
          <t>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DOTA · BB vs LEGION</t>
        </is>
      </c>
      <c r="B2" t="inlineStr">
        <is>
          <t>Kataomi`</t>
        </is>
      </c>
      <c r="C2" t="inlineStr">
        <is>
          <t>BB</t>
        </is>
      </c>
      <c r="D2" t="inlineStr">
        <is>
          <t>Maps 1-2 Kills</t>
        </is>
      </c>
      <c r="E2" t="n">
        <v>5.5</v>
      </c>
      <c r="F2" s="7">
        <f>IFERROR(INDEX(CHOOSE(MATCH($Z2,{"K1","K12","K13"},0),Calc!$Y$2:$Y$66,Calc!$AA$2:$AA$66,Calc!$AC$2:$AC$66),MATCH($Y2,Calc!$A$2:$A$66,0)),"")</f>
        <v/>
      </c>
      <c r="G2" s="7">
        <f>IFERROR(SQRT(INDEX(CHOOSE(MATCH($Z2,{"K1","K12","K13"},0),Calc!$Z$2:$Z$66,Calc!$AB$2:$AB$66,Calc!$AD$2:$AD$66),MATCH($Y2,Calc!$A$2:$A$66,0))),"")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IFERROR(INDEX(CHOOSE(MATCH($Z2,{"K1","K12","K13"},0),Calc!$AE$2:$AE$66,Calc!$AF$2:$AF$66,Calc!$AG$2:$AG$66),MATCH($Y2,Calc!$A$2:$A$66,0)),"")</f>
        <v/>
      </c>
      <c r="M2" s="6">
        <f>IF(OR($E2="",$L2="",N($G2)&lt;=0),"",1-NORMDIST(FLOOR($E2,1)+0.5,$L2,$G2*SQRT($L2/$F2),TRUE))</f>
        <v/>
      </c>
      <c r="N2" t="n">
        <v>5.24</v>
      </c>
      <c r="O2" s="6">
        <f>IFERROR(INDEX(Calc!$H$2:$H$66,MATCH($Y2,Calc!$A$2:$A$66,0)),"")</f>
        <v/>
      </c>
      <c r="P2" s="6">
        <f>IFERROR(INDEX(Calc!$M$2:$M$66,MATCH($Y2,Calc!$A$2:$A$66,0)),"")</f>
        <v/>
      </c>
      <c r="Q2" t="n">
        <v>4.9</v>
      </c>
      <c r="R2" s="6" t="n">
        <v>0.4</v>
      </c>
      <c r="S2" s="6" t="n">
        <v>0.3</v>
      </c>
      <c r="T2" s="6" t="n">
        <v>0.27</v>
      </c>
      <c r="U2" t="inlineStr">
        <is>
          <t>-</t>
        </is>
      </c>
      <c r="V2" t="n">
        <v>-2</v>
      </c>
      <c r="X2">
        <f>IFERROR(INDEX(Calc!$AH$2:$AH$66,MATCH($Y2,Calc!$A$2:$A$66,0)),"")</f>
        <v/>
      </c>
      <c r="Y2" t="inlineStr">
        <is>
          <t>d5vtssc59tcc007|DOTA · BB vs LEGION</t>
        </is>
      </c>
      <c r="Z2" t="inlineStr">
        <is>
          <t>K12</t>
        </is>
      </c>
      <c r="AA2">
        <f>Y2&amp;"|"&amp;Z2</f>
        <v/>
      </c>
    </row>
    <row r="3">
      <c r="A3" t="inlineStr">
        <is>
          <t>DOTA · BB vs LEGION</t>
        </is>
      </c>
      <c r="B3" t="inlineStr">
        <is>
          <t>Kiritych~</t>
        </is>
      </c>
      <c r="C3" t="inlineStr">
        <is>
          <t>BB</t>
        </is>
      </c>
      <c r="D3" t="inlineStr">
        <is>
          <t>Maps 1-2 Kills</t>
        </is>
      </c>
      <c r="E3" t="n">
        <v>19.5</v>
      </c>
      <c r="F3" s="7">
        <f>IFERROR(INDEX(CHOOSE(MATCH($Z3,{"K1","K12","K13"},0),Calc!$Y$2:$Y$66,Calc!$AA$2:$AA$66,Calc!$AC$2:$AC$66),MATCH($Y3,Calc!$A$2:$A$66,0)),"")</f>
        <v/>
      </c>
      <c r="G3" s="7">
        <f>IFERROR(SQRT(INDEX(CHOOSE(MATCH($Z3,{"K1","K12","K13"},0),Calc!$Z$2:$Z$66,Calc!$AB$2:$AB$66,Calc!$AD$2:$AD$66),MATCH($Y3,Calc!$A$2:$A$66,0))),"")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IFERROR(INDEX(CHOOSE(MATCH($Z3,{"K1","K12","K13"},0),Calc!$AE$2:$AE$66,Calc!$AF$2:$AF$66,Calc!$AG$2:$AG$66),MATCH($Y3,Calc!$A$2:$A$66,0)),"")</f>
        <v/>
      </c>
      <c r="M3" s="6">
        <f>IF(OR($E3="",$L3="",N($G3)&lt;=0),"",1-NORMDIST(FLOOR($E3,1)+0.5,$L3,$G3*SQRT($L3/$F3),TRUE))</f>
        <v/>
      </c>
      <c r="O3" s="6">
        <f>IFERROR(INDEX(Calc!$H$2:$H$66,MATCH($Y3,Calc!$A$2:$A$66,0)),"")</f>
        <v/>
      </c>
      <c r="P3" s="6">
        <f>IFERROR(INDEX(Calc!$M$2:$M$66,MATCH($Y3,Calc!$A$2:$A$66,0)),"")</f>
        <v/>
      </c>
      <c r="Q3" t="n">
        <v>13.1</v>
      </c>
      <c r="R3" s="6" t="n">
        <v>0</v>
      </c>
      <c r="S3" s="6" t="n">
        <v>0.1</v>
      </c>
      <c r="T3" s="6" t="n">
        <v>0.07000000000000001</v>
      </c>
      <c r="U3" t="inlineStr">
        <is>
          <t>-</t>
        </is>
      </c>
      <c r="V3" t="n">
        <v>-9</v>
      </c>
      <c r="X3">
        <f>IFERROR(INDEX(Calc!$AH$2:$AH$66,MATCH($Y3,Calc!$A$2:$A$66,0)),"")</f>
        <v/>
      </c>
      <c r="Y3" t="inlineStr">
        <is>
          <t>qcmgn2st7qcaqxc|DOTA · BB vs LEGION</t>
        </is>
      </c>
      <c r="Z3" t="inlineStr">
        <is>
          <t>K12</t>
        </is>
      </c>
      <c r="AA3">
        <f>Y3&amp;"|"&amp;Z3</f>
        <v/>
      </c>
    </row>
    <row r="4">
      <c r="A4" t="inlineStr">
        <is>
          <t>DOTA · BB vs LEGION</t>
        </is>
      </c>
      <c r="B4" t="inlineStr">
        <is>
          <t>MieRo</t>
        </is>
      </c>
      <c r="C4" t="inlineStr">
        <is>
          <t>BB</t>
        </is>
      </c>
      <c r="D4" t="inlineStr">
        <is>
          <t>Maps 1-2 Kills</t>
        </is>
      </c>
      <c r="E4" t="n">
        <v>11.5</v>
      </c>
      <c r="F4" s="7">
        <f>IFERROR(INDEX(CHOOSE(MATCH($Z4,{"K1","K12","K13"},0),Calc!$Y$2:$Y$66,Calc!$AA$2:$AA$66,Calc!$AC$2:$AC$66),MATCH($Y4,Calc!$A$2:$A$66,0)),"")</f>
        <v/>
      </c>
      <c r="G4" s="7">
        <f>IFERROR(SQRT(INDEX(CHOOSE(MATCH($Z4,{"K1","K12","K13"},0),Calc!$Z$2:$Z$66,Calc!$AB$2:$AB$66,Calc!$AD$2:$AD$66),MATCH($Y4,Calc!$A$2:$A$66,0))),"")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IFERROR(INDEX(CHOOSE(MATCH($Z4,{"K1","K12","K13"},0),Calc!$AE$2:$AE$66,Calc!$AF$2:$AF$66,Calc!$AG$2:$AG$66),MATCH($Y4,Calc!$A$2:$A$66,0)),"")</f>
        <v/>
      </c>
      <c r="M4" s="6">
        <f>IF(OR($E4="",$L4="",N($G4)&lt;=0),"",1-NORMDIST(FLOOR($E4,1)+0.5,$L4,$G4*SQRT($L4/$F4),TRUE))</f>
        <v/>
      </c>
      <c r="O4" s="6">
        <f>IFERROR(INDEX(Calc!$H$2:$H$66,MATCH($Y4,Calc!$A$2:$A$66,0)),"")</f>
        <v/>
      </c>
      <c r="P4" s="6">
        <f>IFERROR(INDEX(Calc!$M$2:$M$66,MATCH($Y4,Calc!$A$2:$A$66,0)),"")</f>
        <v/>
      </c>
      <c r="Q4" t="n">
        <v>7.9</v>
      </c>
      <c r="R4" s="6" t="n">
        <v>0.6</v>
      </c>
      <c r="S4" s="6" t="n">
        <v>0.3</v>
      </c>
      <c r="T4" s="6" t="n">
        <v>0.27</v>
      </c>
      <c r="U4" t="inlineStr">
        <is>
          <t>-</t>
        </is>
      </c>
      <c r="V4" t="n">
        <v>-1</v>
      </c>
      <c r="X4">
        <f>IFERROR(INDEX(Calc!$AH$2:$AH$66,MATCH($Y4,Calc!$A$2:$A$66,0)),"")</f>
        <v/>
      </c>
      <c r="Y4" t="inlineStr">
        <is>
          <t>nbyoi46qk2ybg8b|DOTA · BB vs LEGION</t>
        </is>
      </c>
      <c r="Z4" t="inlineStr">
        <is>
          <t>K12</t>
        </is>
      </c>
      <c r="AA4">
        <f>Y4&amp;"|"&amp;Z4</f>
        <v/>
      </c>
    </row>
    <row r="5">
      <c r="A5" t="inlineStr">
        <is>
          <t>DOTA · BB vs LEGION</t>
        </is>
      </c>
      <c r="B5" t="inlineStr">
        <is>
          <t>swedenstrong</t>
        </is>
      </c>
      <c r="C5" t="inlineStr">
        <is>
          <t>BB</t>
        </is>
      </c>
      <c r="D5" t="inlineStr">
        <is>
          <t>Maps 1-2 Kills</t>
        </is>
      </c>
      <c r="E5" t="n">
        <v>8.5</v>
      </c>
      <c r="F5" s="7">
        <f>IFERROR(INDEX(CHOOSE(MATCH($Z5,{"K1","K12","K13"},0),Calc!$Y$2:$Y$66,Calc!$AA$2:$AA$66,Calc!$AC$2:$AC$66),MATCH($Y5,Calc!$A$2:$A$66,0)),"")</f>
        <v/>
      </c>
      <c r="G5" s="7">
        <f>IFERROR(SQRT(INDEX(CHOOSE(MATCH($Z5,{"K1","K12","K13"},0),Calc!$Z$2:$Z$66,Calc!$AB$2:$AB$66,Calc!$AD$2:$AD$66),MATCH($Y5,Calc!$A$2:$A$66,0))),"")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IFERROR(INDEX(CHOOSE(MATCH($Z5,{"K1","K12","K13"},0),Calc!$AE$2:$AE$66,Calc!$AF$2:$AF$66,Calc!$AG$2:$AG$66),MATCH($Y5,Calc!$A$2:$A$66,0)),"")</f>
        <v/>
      </c>
      <c r="M5" s="6">
        <f>IF(OR($E5="",$L5="",N($G5)&lt;=0),"",1-NORMDIST(FLOOR($E5,1)+0.5,$L5,$G5*SQRT($L5/$F5),TRUE))</f>
        <v/>
      </c>
      <c r="N5" t="n">
        <v>10.76</v>
      </c>
      <c r="O5" s="6">
        <f>IFERROR(INDEX(Calc!$H$2:$H$66,MATCH($Y5,Calc!$A$2:$A$66,0)),"")</f>
        <v/>
      </c>
      <c r="P5" s="6">
        <f>IFERROR(INDEX(Calc!$M$2:$M$66,MATCH($Y5,Calc!$A$2:$A$66,0)),"")</f>
        <v/>
      </c>
      <c r="Q5" t="n">
        <v>5.3</v>
      </c>
      <c r="R5" s="6" t="n">
        <v>0</v>
      </c>
      <c r="S5" s="6" t="n">
        <v>0.1</v>
      </c>
      <c r="T5" s="6" t="n">
        <v>0.2</v>
      </c>
      <c r="U5" t="inlineStr">
        <is>
          <t>-</t>
        </is>
      </c>
      <c r="V5" t="n">
        <v>-7</v>
      </c>
      <c r="X5">
        <f>IFERROR(INDEX(Calc!$AH$2:$AH$66,MATCH($Y5,Calc!$A$2:$A$66,0)),"")</f>
        <v/>
      </c>
      <c r="Y5" t="inlineStr">
        <is>
          <t>7ht2ppu8ke3cch9|DOTA · BB vs LEGION</t>
        </is>
      </c>
      <c r="Z5" t="inlineStr">
        <is>
          <t>K12</t>
        </is>
      </c>
      <c r="AA5">
        <f>Y5&amp;"|"&amp;Z5</f>
        <v/>
      </c>
    </row>
    <row r="6">
      <c r="A6" t="inlineStr">
        <is>
          <t>DOTA · BB vs LEGION</t>
        </is>
      </c>
      <c r="B6" t="inlineStr">
        <is>
          <t>DarkLord^</t>
        </is>
      </c>
      <c r="C6" t="inlineStr">
        <is>
          <t>LEGION</t>
        </is>
      </c>
      <c r="D6" t="inlineStr">
        <is>
          <t>Maps 1-2 Kills</t>
        </is>
      </c>
      <c r="E6" t="n">
        <v>14.5</v>
      </c>
      <c r="F6" s="7">
        <f>IFERROR(INDEX(CHOOSE(MATCH($Z6,{"K1","K12","K13"},0),Calc!$Y$2:$Y$66,Calc!$AA$2:$AA$66,Calc!$AC$2:$AC$66),MATCH($Y6,Calc!$A$2:$A$66,0)),"")</f>
        <v/>
      </c>
      <c r="G6" s="7">
        <f>IFERROR(SQRT(INDEX(CHOOSE(MATCH($Z6,{"K1","K12","K13"},0),Calc!$Z$2:$Z$66,Calc!$AB$2:$AB$66,Calc!$AD$2:$AD$66),MATCH($Y6,Calc!$A$2:$A$66,0))),"")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IFERROR(INDEX(CHOOSE(MATCH($Z6,{"K1","K12","K13"},0),Calc!$AE$2:$AE$66,Calc!$AF$2:$AF$66,Calc!$AG$2:$AG$66),MATCH($Y6,Calc!$A$2:$A$66,0)),"")</f>
        <v/>
      </c>
      <c r="M6" s="6">
        <f>IF(OR($E6="",$L6="",N($G6)&lt;=0),"",1-NORMDIST(FLOOR($E6,1)+0.5,$L6,$G6*SQRT($L6/$F6),TRUE))</f>
        <v/>
      </c>
      <c r="O6" s="6">
        <f>IFERROR(INDEX(Calc!$H$2:$H$66,MATCH($Y6,Calc!$A$2:$A$66,0)),"")</f>
        <v/>
      </c>
      <c r="P6" s="6">
        <f>IFERROR(INDEX(Calc!$M$2:$M$66,MATCH($Y6,Calc!$A$2:$A$66,0)),"")</f>
        <v/>
      </c>
      <c r="Q6" t="n">
        <v>14.8</v>
      </c>
      <c r="R6" s="6" t="n">
        <v>0.6</v>
      </c>
      <c r="S6" s="6" t="n">
        <v>0.6</v>
      </c>
      <c r="T6" s="6" t="n">
        <v>0.53</v>
      </c>
      <c r="U6" t="inlineStr">
        <is>
          <t>33%/1/3</t>
        </is>
      </c>
      <c r="V6" t="n">
        <v>1</v>
      </c>
      <c r="X6">
        <f>IFERROR(INDEX(Calc!$AH$2:$AH$66,MATCH($Y6,Calc!$A$2:$A$66,0)),"")</f>
        <v/>
      </c>
      <c r="Y6" t="inlineStr">
        <is>
          <t>sb23yl47osfxk2h|DOTA · BB vs LEGION</t>
        </is>
      </c>
      <c r="Z6" t="inlineStr">
        <is>
          <t>K12</t>
        </is>
      </c>
      <c r="AA6">
        <f>Y6&amp;"|"&amp;Z6</f>
        <v/>
      </c>
    </row>
    <row r="7">
      <c r="A7" t="inlineStr">
        <is>
          <t>DOTA · BB vs LEGION</t>
        </is>
      </c>
      <c r="B7" t="inlineStr">
        <is>
          <t>Kidaro</t>
        </is>
      </c>
      <c r="C7" t="inlineStr">
        <is>
          <t>LEGION</t>
        </is>
      </c>
      <c r="D7" t="inlineStr">
        <is>
          <t>Maps 1-2 Kills</t>
        </is>
      </c>
      <c r="E7" t="n">
        <v>4.5</v>
      </c>
      <c r="F7" s="7">
        <f>IFERROR(INDEX(CHOOSE(MATCH($Z7,{"K1","K12","K13"},0),Calc!$Y$2:$Y$66,Calc!$AA$2:$AA$66,Calc!$AC$2:$AC$66),MATCH($Y7,Calc!$A$2:$A$66,0)),"")</f>
        <v/>
      </c>
      <c r="G7" s="7">
        <f>IFERROR(SQRT(INDEX(CHOOSE(MATCH($Z7,{"K1","K12","K13"},0),Calc!$Z$2:$Z$66,Calc!$AB$2:$AB$66,Calc!$AD$2:$AD$66),MATCH($Y7,Calc!$A$2:$A$66,0))),"")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IFERROR(INDEX(CHOOSE(MATCH($Z7,{"K1","K12","K13"},0),Calc!$AE$2:$AE$66,Calc!$AF$2:$AF$66,Calc!$AG$2:$AG$66),MATCH($Y7,Calc!$A$2:$A$66,0)),"")</f>
        <v/>
      </c>
      <c r="M7" s="6">
        <f>IF(OR($E7="",$L7="",N($G7)&lt;=0),"",1-NORMDIST(FLOOR($E7,1)+0.5,$L7,$G7*SQRT($L7/$F7),TRUE))</f>
        <v/>
      </c>
      <c r="O7" s="6">
        <f>IFERROR(INDEX(Calc!$H$2:$H$66,MATCH($Y7,Calc!$A$2:$A$66,0)),"")</f>
        <v/>
      </c>
      <c r="P7" s="6">
        <f>IFERROR(INDEX(Calc!$M$2:$M$66,MATCH($Y7,Calc!$A$2:$A$66,0)),"")</f>
        <v/>
      </c>
      <c r="Q7" t="n">
        <v>4.8</v>
      </c>
      <c r="R7" s="6" t="n">
        <v>0.8</v>
      </c>
      <c r="S7" s="6" t="n">
        <v>0.6</v>
      </c>
      <c r="T7" s="6" t="n">
        <v>0.53</v>
      </c>
      <c r="U7" t="inlineStr">
        <is>
          <t>0%/0/3</t>
        </is>
      </c>
      <c r="V7" t="n">
        <v>-1</v>
      </c>
      <c r="X7">
        <f>IFERROR(INDEX(Calc!$AH$2:$AH$66,MATCH($Y7,Calc!$A$2:$A$66,0)),"")</f>
        <v/>
      </c>
      <c r="Y7" t="inlineStr">
        <is>
          <t>y820p7y1cpfqy6w|DOTA · BB vs LEGION</t>
        </is>
      </c>
      <c r="Z7" t="inlineStr">
        <is>
          <t>K12</t>
        </is>
      </c>
      <c r="AA7">
        <f>Y7&amp;"|"&amp;Z7</f>
        <v/>
      </c>
    </row>
    <row r="8">
      <c r="A8" t="inlineStr">
        <is>
          <t>DOTA · BB vs LEGION</t>
        </is>
      </c>
      <c r="B8" t="inlineStr">
        <is>
          <t>SaberLight</t>
        </is>
      </c>
      <c r="C8" t="inlineStr">
        <is>
          <t>LEGION</t>
        </is>
      </c>
      <c r="D8" t="inlineStr">
        <is>
          <t>Maps 1-2 Kills</t>
        </is>
      </c>
      <c r="E8" t="n">
        <v>10.5</v>
      </c>
      <c r="F8" s="7">
        <f>IFERROR(INDEX(CHOOSE(MATCH($Z8,{"K1","K12","K13"},0),Calc!$Y$2:$Y$66,Calc!$AA$2:$AA$66,Calc!$AC$2:$AC$66),MATCH($Y8,Calc!$A$2:$A$66,0)),"")</f>
        <v/>
      </c>
      <c r="G8" s="7">
        <f>IFERROR(SQRT(INDEX(CHOOSE(MATCH($Z8,{"K1","K12","K13"},0),Calc!$Z$2:$Z$66,Calc!$AB$2:$AB$66,Calc!$AD$2:$AD$66),MATCH($Y8,Calc!$A$2:$A$66,0))),"")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IFERROR(INDEX(CHOOSE(MATCH($Z8,{"K1","K12","K13"},0),Calc!$AE$2:$AE$66,Calc!$AF$2:$AF$66,Calc!$AG$2:$AG$66),MATCH($Y8,Calc!$A$2:$A$66,0)),"")</f>
        <v/>
      </c>
      <c r="M8" s="6">
        <f>IF(OR($E8="",$L8="",N($G8)&lt;=0),"",1-NORMDIST(FLOOR($E8,1)+0.5,$L8,$G8*SQRT($L8/$F8),TRUE))</f>
        <v/>
      </c>
      <c r="N8" t="n">
        <v>10.17</v>
      </c>
      <c r="O8" s="6">
        <f>IFERROR(INDEX(Calc!$H$2:$H$66,MATCH($Y8,Calc!$A$2:$A$66,0)),"")</f>
        <v/>
      </c>
      <c r="P8" s="6">
        <f>IFERROR(INDEX(Calc!$M$2:$M$66,MATCH($Y8,Calc!$A$2:$A$66,0)),"")</f>
        <v/>
      </c>
      <c r="Q8" t="n">
        <v>11.1</v>
      </c>
      <c r="R8" s="6" t="n">
        <v>0.4</v>
      </c>
      <c r="S8" s="6" t="n">
        <v>0.6</v>
      </c>
      <c r="T8" s="6" t="n">
        <v>0.67</v>
      </c>
      <c r="U8" t="inlineStr">
        <is>
          <t>18%/3/17</t>
        </is>
      </c>
      <c r="V8" t="n">
        <v>1</v>
      </c>
      <c r="X8">
        <f>IFERROR(INDEX(Calc!$AH$2:$AH$66,MATCH($Y8,Calc!$A$2:$A$66,0)),"")</f>
        <v/>
      </c>
      <c r="Y8" t="inlineStr">
        <is>
          <t>pd8esajdvd6l5ul|DOTA · BB vs LEGION</t>
        </is>
      </c>
      <c r="Z8" t="inlineStr">
        <is>
          <t>K12</t>
        </is>
      </c>
      <c r="AA8">
        <f>Y8&amp;"|"&amp;Z8</f>
        <v/>
      </c>
    </row>
    <row r="9">
      <c r="A9" t="inlineStr">
        <is>
          <t>DOTA · BB vs LEGION</t>
        </is>
      </c>
      <c r="B9" t="inlineStr">
        <is>
          <t>Stojkov</t>
        </is>
      </c>
      <c r="C9" t="inlineStr">
        <is>
          <t>LEGION</t>
        </is>
      </c>
      <c r="D9" t="inlineStr">
        <is>
          <t>Maps 1-2 Kills</t>
        </is>
      </c>
      <c r="E9" t="n">
        <v>12.5</v>
      </c>
      <c r="F9" s="7">
        <f>IFERROR(INDEX(CHOOSE(MATCH($Z9,{"K1","K12","K13"},0),Calc!$Y$2:$Y$66,Calc!$AA$2:$AA$66,Calc!$AC$2:$AC$66),MATCH($Y9,Calc!$A$2:$A$66,0)),"")</f>
        <v/>
      </c>
      <c r="G9" s="7">
        <f>IFERROR(SQRT(INDEX(CHOOSE(MATCH($Z9,{"K1","K12","K13"},0),Calc!$Z$2:$Z$66,Calc!$AB$2:$AB$66,Calc!$AD$2:$AD$66),MATCH($Y9,Calc!$A$2:$A$66,0))),"")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IFERROR(INDEX(CHOOSE(MATCH($Z9,{"K1","K12","K13"},0),Calc!$AE$2:$AE$66,Calc!$AF$2:$AF$66,Calc!$AG$2:$AG$66),MATCH($Y9,Calc!$A$2:$A$66,0)),"")</f>
        <v/>
      </c>
      <c r="M9" s="6">
        <f>IF(OR($E9="",$L9="",N($G9)&lt;=0),"",1-NORMDIST(FLOOR($E9,1)+0.5,$L9,$G9*SQRT($L9/$F9),TRUE))</f>
        <v/>
      </c>
      <c r="O9" s="6">
        <f>IFERROR(INDEX(Calc!$H$2:$H$66,MATCH($Y9,Calc!$A$2:$A$66,0)),"")</f>
        <v/>
      </c>
      <c r="P9" s="6">
        <f>IFERROR(INDEX(Calc!$M$2:$M$66,MATCH($Y9,Calc!$A$2:$A$66,0)),"")</f>
        <v/>
      </c>
      <c r="Q9" t="n">
        <v>14.5</v>
      </c>
      <c r="R9" s="6" t="n">
        <v>0.6</v>
      </c>
      <c r="S9" s="6" t="n">
        <v>0.6</v>
      </c>
      <c r="T9" s="6" t="n">
        <v>0.67</v>
      </c>
      <c r="U9" t="inlineStr">
        <is>
          <t>-</t>
        </is>
      </c>
      <c r="V9" t="n">
        <v>1</v>
      </c>
      <c r="X9">
        <f>IFERROR(INDEX(Calc!$AH$2:$AH$66,MATCH($Y9,Calc!$A$2:$A$66,0)),"")</f>
        <v/>
      </c>
      <c r="Y9" t="inlineStr">
        <is>
          <t>e8li27evib4y4db|DOTA · BB vs LEGION</t>
        </is>
      </c>
      <c r="Z9" t="inlineStr">
        <is>
          <t>K12</t>
        </is>
      </c>
      <c r="AA9">
        <f>Y9&amp;"|"&amp;Z9</f>
        <v/>
      </c>
    </row>
    <row r="10">
      <c r="A10" t="inlineStr">
        <is>
          <t>DOTA · OG vs GL</t>
        </is>
      </c>
      <c r="B10" t="inlineStr">
        <is>
          <t>Bignum</t>
        </is>
      </c>
      <c r="C10" t="inlineStr">
        <is>
          <t>GL</t>
        </is>
      </c>
      <c r="D10" t="inlineStr">
        <is>
          <t>Maps 1-2 Kills</t>
        </is>
      </c>
      <c r="E10" t="n">
        <v>6.5</v>
      </c>
      <c r="F10" s="7">
        <f>IFERROR(INDEX(CHOOSE(MATCH($Z10,{"K1","K12","K13"},0),Calc!$Y$2:$Y$66,Calc!$AA$2:$AA$66,Calc!$AC$2:$AC$66),MATCH($Y10,Calc!$A$2:$A$66,0)),"")</f>
        <v/>
      </c>
      <c r="G10" s="7">
        <f>IFERROR(SQRT(INDEX(CHOOSE(MATCH($Z10,{"K1","K12","K13"},0),Calc!$Z$2:$Z$66,Calc!$AB$2:$AB$66,Calc!$AD$2:$AD$66),MATCH($Y10,Calc!$A$2:$A$66,0))),"")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IFERROR(INDEX(CHOOSE(MATCH($Z10,{"K1","K12","K13"},0),Calc!$AE$2:$AE$66,Calc!$AF$2:$AF$66,Calc!$AG$2:$AG$66),MATCH($Y10,Calc!$A$2:$A$66,0)),"")</f>
        <v/>
      </c>
      <c r="M10" s="6">
        <f>IF(OR($E10="",$L10="",N($G10)&lt;=0),"",1-NORMDIST(FLOOR($E10,1)+0.5,$L10,$G10*SQRT($L10/$F10),TRUE))</f>
        <v/>
      </c>
      <c r="N10" t="n">
        <v>6.28</v>
      </c>
      <c r="O10" s="6">
        <f>IFERROR(INDEX(Calc!$H$2:$H$66,MATCH($Y10,Calc!$A$2:$A$66,0)),"")</f>
        <v/>
      </c>
      <c r="P10" s="6">
        <f>IFERROR(INDEX(Calc!$M$2:$M$66,MATCH($Y10,Calc!$A$2:$A$66,0)),"")</f>
        <v/>
      </c>
      <c r="Q10" t="n">
        <v>8.9</v>
      </c>
      <c r="R10" s="6" t="n">
        <v>0.6</v>
      </c>
      <c r="S10" s="6" t="n">
        <v>0.7</v>
      </c>
      <c r="T10" s="6" t="n">
        <v>0.53</v>
      </c>
      <c r="U10" t="inlineStr">
        <is>
          <t>50%/3/6</t>
        </is>
      </c>
      <c r="V10" t="n">
        <v>-1</v>
      </c>
      <c r="X10">
        <f>IFERROR(INDEX(Calc!$AH$2:$AH$66,MATCH($Y10,Calc!$A$2:$A$66,0)),"")</f>
        <v/>
      </c>
      <c r="Y10" t="inlineStr">
        <is>
          <t>qviujqdmb4jzi0q|DOTA · OG vs GL</t>
        </is>
      </c>
      <c r="Z10" t="inlineStr">
        <is>
          <t>K12</t>
        </is>
      </c>
      <c r="AA10">
        <f>Y10&amp;"|"&amp;Z10</f>
        <v/>
      </c>
    </row>
    <row r="11">
      <c r="A11" t="inlineStr">
        <is>
          <t>DOTA · OG vs GL</t>
        </is>
      </c>
      <c r="B11" t="inlineStr">
        <is>
          <t>Fayde</t>
        </is>
      </c>
      <c r="C11" t="inlineStr">
        <is>
          <t>GL</t>
        </is>
      </c>
      <c r="D11" t="inlineStr">
        <is>
          <t>Maps 1-2 Kills</t>
        </is>
      </c>
      <c r="E11" t="n">
        <v>9.5</v>
      </c>
      <c r="F11" s="7">
        <f>IFERROR(INDEX(CHOOSE(MATCH($Z11,{"K1","K12","K13"},0),Calc!$Y$2:$Y$66,Calc!$AA$2:$AA$66,Calc!$AC$2:$AC$66),MATCH($Y11,Calc!$A$2:$A$66,0)),"")</f>
        <v/>
      </c>
      <c r="G11" s="7">
        <f>IFERROR(SQRT(INDEX(CHOOSE(MATCH($Z11,{"K1","K12","K13"},0),Calc!$Z$2:$Z$66,Calc!$AB$2:$AB$66,Calc!$AD$2:$AD$66),MATCH($Y11,Calc!$A$2:$A$66,0))),"")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IFERROR(INDEX(CHOOSE(MATCH($Z11,{"K1","K12","K13"},0),Calc!$AE$2:$AE$66,Calc!$AF$2:$AF$66,Calc!$AG$2:$AG$66),MATCH($Y11,Calc!$A$2:$A$66,0)),"")</f>
        <v/>
      </c>
      <c r="M11" s="6">
        <f>IF(OR($E11="",$L11="",N($G11)&lt;=0),"",1-NORMDIST(FLOOR($E11,1)+0.5,$L11,$G11*SQRT($L11/$F11),TRUE))</f>
        <v/>
      </c>
      <c r="N11" t="n">
        <v>7.97</v>
      </c>
      <c r="O11" s="6">
        <f>IFERROR(INDEX(Calc!$H$2:$H$66,MATCH($Y11,Calc!$A$2:$A$66,0)),"")</f>
        <v/>
      </c>
      <c r="P11" s="6">
        <f>IFERROR(INDEX(Calc!$M$2:$M$66,MATCH($Y11,Calc!$A$2:$A$66,0)),"")</f>
        <v/>
      </c>
      <c r="Q11" t="n">
        <v>11.8</v>
      </c>
      <c r="R11" s="6" t="n">
        <v>0.6</v>
      </c>
      <c r="S11" s="6" t="n">
        <v>0.5</v>
      </c>
      <c r="T11" s="6" t="n">
        <v>0.47</v>
      </c>
      <c r="U11" t="inlineStr">
        <is>
          <t>33%/2/6</t>
        </is>
      </c>
      <c r="V11" t="n">
        <v>2</v>
      </c>
      <c r="X11">
        <f>IFERROR(INDEX(Calc!$AH$2:$AH$66,MATCH($Y11,Calc!$A$2:$A$66,0)),"")</f>
        <v/>
      </c>
      <c r="Y11" t="inlineStr">
        <is>
          <t>7f340lwfa48ats4|DOTA · OG vs GL</t>
        </is>
      </c>
      <c r="Z11" t="inlineStr">
        <is>
          <t>K12</t>
        </is>
      </c>
      <c r="AA11">
        <f>Y11&amp;"|"&amp;Z11</f>
        <v/>
      </c>
    </row>
    <row r="12">
      <c r="A12" t="inlineStr">
        <is>
          <t>DOTA · OG vs GL</t>
        </is>
      </c>
      <c r="B12" t="inlineStr">
        <is>
          <t>RCY</t>
        </is>
      </c>
      <c r="C12" t="inlineStr">
        <is>
          <t>GL</t>
        </is>
      </c>
      <c r="D12" t="inlineStr">
        <is>
          <t>Maps 1-2 Kills</t>
        </is>
      </c>
      <c r="E12" t="n">
        <v>13.5</v>
      </c>
      <c r="F12" s="7">
        <f>IFERROR(INDEX(CHOOSE(MATCH($Z12,{"K1","K12","K13"},0),Calc!$Y$2:$Y$66,Calc!$AA$2:$AA$66,Calc!$AC$2:$AC$66),MATCH($Y12,Calc!$A$2:$A$66,0)),"")</f>
        <v/>
      </c>
      <c r="G12" s="7">
        <f>IFERROR(SQRT(INDEX(CHOOSE(MATCH($Z12,{"K1","K12","K13"},0),Calc!$Z$2:$Z$66,Calc!$AB$2:$AB$66,Calc!$AD$2:$AD$66),MATCH($Y12,Calc!$A$2:$A$66,0))),"")</f>
        <v/>
      </c>
      <c r="H12" s="6">
        <f>IF(OR($E12="",$F12="",N($G12)&lt;=0),"",1-NORMDIST(FLOOR($E12,1)+0.5,$F12,$G12,TRUE))</f>
        <v/>
      </c>
      <c r="I12" s="6">
        <f>IF($H12="","",NORMDIST(CEILING($E12,1)-0.5,$F12,$G12,TRUE))</f>
        <v/>
      </c>
      <c r="J12" s="6">
        <f>IF($H12="","",MAX(0,1-$H12-$I12))</f>
        <v/>
      </c>
      <c r="K12">
        <f>IF($H12="","",IF($H12&gt;=0.5+Config!$B$8,"OVER",IF($I12&gt;=0.5+Config!$B$8,"UNDER","—")))</f>
        <v/>
      </c>
      <c r="L12" s="7">
        <f>IFERROR(INDEX(CHOOSE(MATCH($Z12,{"K1","K12","K13"},0),Calc!$AE$2:$AE$66,Calc!$AF$2:$AF$66,Calc!$AG$2:$AG$66),MATCH($Y12,Calc!$A$2:$A$66,0)),"")</f>
        <v/>
      </c>
      <c r="M12" s="6">
        <f>IF(OR($E12="",$L12="",N($G12)&lt;=0),"",1-NORMDIST(FLOOR($E12,1)+0.5,$L12,$G12*SQRT($L12/$F12),TRUE))</f>
        <v/>
      </c>
      <c r="N12" t="n">
        <v>12.82</v>
      </c>
      <c r="O12" s="6">
        <f>IFERROR(INDEX(Calc!$H$2:$H$66,MATCH($Y12,Calc!$A$2:$A$66,0)),"")</f>
        <v/>
      </c>
      <c r="P12" s="6">
        <f>IFERROR(INDEX(Calc!$M$2:$M$66,MATCH($Y12,Calc!$A$2:$A$66,0)),"")</f>
        <v/>
      </c>
      <c r="Q12" t="n">
        <v>15.5</v>
      </c>
      <c r="R12" s="6" t="n">
        <v>0.4</v>
      </c>
      <c r="S12" s="6" t="n">
        <v>0.4</v>
      </c>
      <c r="T12" s="6" t="n">
        <v>0.4</v>
      </c>
      <c r="U12" t="inlineStr">
        <is>
          <t>60%/3/5</t>
        </is>
      </c>
      <c r="V12" t="n">
        <v>-1</v>
      </c>
      <c r="X12">
        <f>IFERROR(INDEX(Calc!$AH$2:$AH$66,MATCH($Y12,Calc!$A$2:$A$66,0)),"")</f>
        <v/>
      </c>
      <c r="Y12" t="inlineStr">
        <is>
          <t>3zaze8op521xnc4|DOTA · OG vs GL</t>
        </is>
      </c>
      <c r="Z12" t="inlineStr">
        <is>
          <t>K12</t>
        </is>
      </c>
      <c r="AA12">
        <f>Y12&amp;"|"&amp;Z12</f>
        <v/>
      </c>
    </row>
    <row r="13">
      <c r="A13" t="inlineStr">
        <is>
          <t>DOTA · OG vs GL</t>
        </is>
      </c>
      <c r="B13" t="inlineStr">
        <is>
          <t>Speeed</t>
        </is>
      </c>
      <c r="C13" t="inlineStr">
        <is>
          <t>GL</t>
        </is>
      </c>
      <c r="D13" t="inlineStr">
        <is>
          <t>Maps 1-2 Kills</t>
        </is>
      </c>
      <c r="E13" t="n">
        <v>5</v>
      </c>
      <c r="F13" s="7">
        <f>IFERROR(INDEX(CHOOSE(MATCH($Z13,{"K1","K12","K13"},0),Calc!$Y$2:$Y$66,Calc!$AA$2:$AA$66,Calc!$AC$2:$AC$66),MATCH($Y13,Calc!$A$2:$A$66,0)),"")</f>
        <v/>
      </c>
      <c r="G13" s="7">
        <f>IFERROR(SQRT(INDEX(CHOOSE(MATCH($Z13,{"K1","K12","K13"},0),Calc!$Z$2:$Z$66,Calc!$AB$2:$AB$66,Calc!$AD$2:$AD$66),MATCH($Y13,Calc!$A$2:$A$66,0))),"")</f>
        <v/>
      </c>
      <c r="H13" s="6">
        <f>IF(OR($E13="",$F13="",N($G13)&lt;=0),"",1-NORMDIST(FLOOR($E13,1)+0.5,$F13,$G13,TRUE))</f>
        <v/>
      </c>
      <c r="I13" s="6">
        <f>IF($H13="","",NORMDIST(CEILING($E13,1)-0.5,$F13,$G13,TRUE))</f>
        <v/>
      </c>
      <c r="J13" s="6">
        <f>IF($H13="","",MAX(0,1-$H13-$I13))</f>
        <v/>
      </c>
      <c r="K13">
        <f>IF($H13="","",IF($H13&gt;=0.5+Config!$B$8,"OVER",IF($I13&gt;=0.5+Config!$B$8,"UNDER","—")))</f>
        <v/>
      </c>
      <c r="L13" s="7">
        <f>IFERROR(INDEX(CHOOSE(MATCH($Z13,{"K1","K12","K13"},0),Calc!$AE$2:$AE$66,Calc!$AF$2:$AF$66,Calc!$AG$2:$AG$66),MATCH($Y13,Calc!$A$2:$A$66,0)),"")</f>
        <v/>
      </c>
      <c r="M13" s="6">
        <f>IF(OR($E13="",$L13="",N($G13)&lt;=0),"",1-NORMDIST(FLOOR($E13,1)+0.5,$L13,$G13*SQRT($L13/$F13),TRUE))</f>
        <v/>
      </c>
      <c r="N13" t="n">
        <v>5.02</v>
      </c>
      <c r="O13" s="6">
        <f>IFERROR(INDEX(Calc!$H$2:$H$66,MATCH($Y13,Calc!$A$2:$A$66,0)),"")</f>
        <v/>
      </c>
      <c r="P13" s="6">
        <f>IFERROR(INDEX(Calc!$M$2:$M$66,MATCH($Y13,Calc!$A$2:$A$66,0)),"")</f>
        <v/>
      </c>
      <c r="Q13" t="n">
        <v>4.9</v>
      </c>
      <c r="R13" s="6" t="n">
        <v>0.6</v>
      </c>
      <c r="S13" s="6" t="n">
        <v>0.5</v>
      </c>
      <c r="T13" s="6" t="n">
        <v>0.6</v>
      </c>
      <c r="U13" t="inlineStr">
        <is>
          <t>40%/2/5</t>
        </is>
      </c>
      <c r="V13" t="n">
        <v>-1</v>
      </c>
      <c r="W13" t="n">
        <v>0</v>
      </c>
      <c r="X13">
        <f>IFERROR(INDEX(Calc!$AH$2:$AH$66,MATCH($Y13,Calc!$A$2:$A$66,0)),"")</f>
        <v/>
      </c>
      <c r="Y13" t="inlineStr">
        <is>
          <t>t3b3k5ym37f128b|DOTA · OG vs GL</t>
        </is>
      </c>
      <c r="Z13" t="inlineStr">
        <is>
          <t>K12</t>
        </is>
      </c>
      <c r="AA13">
        <f>Y13&amp;"|"&amp;Z13</f>
        <v/>
      </c>
    </row>
    <row r="14">
      <c r="A14" t="inlineStr">
        <is>
          <t>DOTA · OG vs GL</t>
        </is>
      </c>
      <c r="B14" t="inlineStr">
        <is>
          <t>Yuma</t>
        </is>
      </c>
      <c r="C14" t="inlineStr">
        <is>
          <t>GL</t>
        </is>
      </c>
      <c r="D14" t="inlineStr">
        <is>
          <t>Maps 1-2 Kills</t>
        </is>
      </c>
      <c r="E14" t="n">
        <v>17</v>
      </c>
      <c r="F14" s="7">
        <f>IFERROR(INDEX(CHOOSE(MATCH($Z14,{"K1","K12","K13"},0),Calc!$Y$2:$Y$66,Calc!$AA$2:$AA$66,Calc!$AC$2:$AC$66),MATCH($Y14,Calc!$A$2:$A$66,0)),"")</f>
        <v/>
      </c>
      <c r="G14" s="7">
        <f>IFERROR(SQRT(INDEX(CHOOSE(MATCH($Z14,{"K1","K12","K13"},0),Calc!$Z$2:$Z$66,Calc!$AB$2:$AB$66,Calc!$AD$2:$AD$66),MATCH($Y14,Calc!$A$2:$A$66,0))),"")</f>
        <v/>
      </c>
      <c r="H14" s="6">
        <f>IF(OR($E14="",$F14="",N($G14)&lt;=0),"",1-NORMDIST(FLOOR($E14,1)+0.5,$F14,$G14,TRUE))</f>
        <v/>
      </c>
      <c r="I14" s="6">
        <f>IF($H14="","",NORMDIST(CEILING($E14,1)-0.5,$F14,$G14,TRUE))</f>
        <v/>
      </c>
      <c r="J14" s="6">
        <f>IF($H14="","",MAX(0,1-$H14-$I14))</f>
        <v/>
      </c>
      <c r="K14">
        <f>IF($H14="","",IF($H14&gt;=0.5+Config!$B$8,"OVER",IF($I14&gt;=0.5+Config!$B$8,"UNDER","—")))</f>
        <v/>
      </c>
      <c r="L14" s="7">
        <f>IFERROR(INDEX(CHOOSE(MATCH($Z14,{"K1","K12","K13"},0),Calc!$AE$2:$AE$66,Calc!$AF$2:$AF$66,Calc!$AG$2:$AG$66),MATCH($Y14,Calc!$A$2:$A$66,0)),"")</f>
        <v/>
      </c>
      <c r="M14" s="6">
        <f>IF(OR($E14="",$L14="",N($G14)&lt;=0),"",1-NORMDIST(FLOOR($E14,1)+0.5,$L14,$G14*SQRT($L14/$F14),TRUE))</f>
        <v/>
      </c>
      <c r="N14" t="n">
        <v>14.12</v>
      </c>
      <c r="O14" s="6">
        <f>IFERROR(INDEX(Calc!$H$2:$H$66,MATCH($Y14,Calc!$A$2:$A$66,0)),"")</f>
        <v/>
      </c>
      <c r="P14" s="6">
        <f>IFERROR(INDEX(Calc!$M$2:$M$66,MATCH($Y14,Calc!$A$2:$A$66,0)),"")</f>
        <v/>
      </c>
      <c r="Q14" t="n">
        <v>16.3</v>
      </c>
      <c r="R14" s="6" t="n">
        <v>0.4</v>
      </c>
      <c r="S14" s="6" t="n">
        <v>0.4</v>
      </c>
      <c r="T14" s="6" t="n">
        <v>0.47</v>
      </c>
      <c r="U14" t="inlineStr">
        <is>
          <t>0%/0/6</t>
        </is>
      </c>
      <c r="V14" t="n">
        <v>2</v>
      </c>
      <c r="W14" t="n">
        <v>0</v>
      </c>
      <c r="X14">
        <f>IFERROR(INDEX(Calc!$AH$2:$AH$66,MATCH($Y14,Calc!$A$2:$A$66,0)),"")</f>
        <v/>
      </c>
      <c r="Y14" t="inlineStr">
        <is>
          <t>388xfoz6m2jbt95|DOTA · OG vs GL</t>
        </is>
      </c>
      <c r="Z14" t="inlineStr">
        <is>
          <t>K12</t>
        </is>
      </c>
      <c r="AA14">
        <f>Y14&amp;"|"&amp;Z14</f>
        <v/>
      </c>
    </row>
    <row r="15">
      <c r="A15" t="inlineStr">
        <is>
          <t>DOTA · OG vs GL</t>
        </is>
      </c>
      <c r="B15" t="inlineStr">
        <is>
          <t>Natsumi-</t>
        </is>
      </c>
      <c r="C15" t="inlineStr">
        <is>
          <t>OG</t>
        </is>
      </c>
      <c r="D15" t="inlineStr">
        <is>
          <t>Maps 1-2 Kills</t>
        </is>
      </c>
      <c r="E15" t="n">
        <v>15.5</v>
      </c>
      <c r="F15" s="7">
        <f>IFERROR(INDEX(CHOOSE(MATCH($Z15,{"K1","K12","K13"},0),Calc!$Y$2:$Y$66,Calc!$AA$2:$AA$66,Calc!$AC$2:$AC$66),MATCH($Y15,Calc!$A$2:$A$66,0)),"")</f>
        <v/>
      </c>
      <c r="G15" s="7">
        <f>IFERROR(SQRT(INDEX(CHOOSE(MATCH($Z15,{"K1","K12","K13"},0),Calc!$Z$2:$Z$66,Calc!$AB$2:$AB$66,Calc!$AD$2:$AD$66),MATCH($Y15,Calc!$A$2:$A$66,0))),"")</f>
        <v/>
      </c>
      <c r="H15" s="6">
        <f>IF(OR($E15="",$F15="",N($G15)&lt;=0),"",1-NORMDIST(FLOOR($E15,1)+0.5,$F15,$G15,TRUE))</f>
        <v/>
      </c>
      <c r="I15" s="6">
        <f>IF($H15="","",NORMDIST(CEILING($E15,1)-0.5,$F15,$G15,TRUE))</f>
        <v/>
      </c>
      <c r="J15" s="6">
        <f>IF($H15="","",MAX(0,1-$H15-$I15))</f>
        <v/>
      </c>
      <c r="K15">
        <f>IF($H15="","",IF($H15&gt;=0.5+Config!$B$8,"OVER",IF($I15&gt;=0.5+Config!$B$8,"UNDER","—")))</f>
        <v/>
      </c>
      <c r="L15" s="7">
        <f>IFERROR(INDEX(CHOOSE(MATCH($Z15,{"K1","K12","K13"},0),Calc!$AE$2:$AE$66,Calc!$AF$2:$AF$66,Calc!$AG$2:$AG$66),MATCH($Y15,Calc!$A$2:$A$66,0)),"")</f>
        <v/>
      </c>
      <c r="M15" s="6">
        <f>IF(OR($E15="",$L15="",N($G15)&lt;=0),"",1-NORMDIST(FLOOR($E15,1)+0.5,$L15,$G15*SQRT($L15/$F15),TRUE))</f>
        <v/>
      </c>
      <c r="O15" s="6">
        <f>IFERROR(INDEX(Calc!$H$2:$H$66,MATCH($Y15,Calc!$A$2:$A$66,0)),"")</f>
        <v/>
      </c>
      <c r="P15" s="6">
        <f>IFERROR(INDEX(Calc!$M$2:$M$66,MATCH($Y15,Calc!$A$2:$A$66,0)),"")</f>
        <v/>
      </c>
      <c r="Q15" t="n">
        <v>13.7</v>
      </c>
      <c r="R15" s="6" t="n">
        <v>0.4</v>
      </c>
      <c r="S15" s="6" t="n">
        <v>0.3</v>
      </c>
      <c r="T15" s="6" t="n">
        <v>0.27</v>
      </c>
      <c r="U15" t="inlineStr">
        <is>
          <t>50%/1/2</t>
        </is>
      </c>
      <c r="V15" t="n">
        <v>-1</v>
      </c>
      <c r="X15">
        <f>IFERROR(INDEX(Calc!$AH$2:$AH$66,MATCH($Y15,Calc!$A$2:$A$66,0)),"")</f>
        <v/>
      </c>
      <c r="Y15" t="inlineStr">
        <is>
          <t>5vihvu65ghkyan1|DOTA · OG vs GL</t>
        </is>
      </c>
      <c r="Z15" t="inlineStr">
        <is>
          <t>K12</t>
        </is>
      </c>
      <c r="AA15">
        <f>Y15&amp;"|"&amp;Z15</f>
        <v/>
      </c>
    </row>
    <row r="16">
      <c r="A16" t="inlineStr">
        <is>
          <t>DOTA · OG vs GL</t>
        </is>
      </c>
      <c r="B16" t="inlineStr">
        <is>
          <t>OneJey</t>
        </is>
      </c>
      <c r="C16" t="inlineStr">
        <is>
          <t>OG</t>
        </is>
      </c>
      <c r="D16" t="inlineStr">
        <is>
          <t>Maps 1-2 Kills</t>
        </is>
      </c>
      <c r="E16" t="n">
        <v>7</v>
      </c>
      <c r="F16" s="7">
        <f>IFERROR(INDEX(CHOOSE(MATCH($Z16,{"K1","K12","K13"},0),Calc!$Y$2:$Y$66,Calc!$AA$2:$AA$66,Calc!$AC$2:$AC$66),MATCH($Y16,Calc!$A$2:$A$66,0)),"")</f>
        <v/>
      </c>
      <c r="G16" s="7">
        <f>IFERROR(SQRT(INDEX(CHOOSE(MATCH($Z16,{"K1","K12","K13"},0),Calc!$Z$2:$Z$66,Calc!$AB$2:$AB$66,Calc!$AD$2:$AD$66),MATCH($Y16,Calc!$A$2:$A$66,0))),"")</f>
        <v/>
      </c>
      <c r="H16" s="6">
        <f>IF(OR($E16="",$F16="",N($G16)&lt;=0),"",1-NORMDIST(FLOOR($E16,1)+0.5,$F16,$G16,TRUE))</f>
        <v/>
      </c>
      <c r="I16" s="6">
        <f>IF($H16="","",NORMDIST(CEILING($E16,1)-0.5,$F16,$G16,TRUE))</f>
        <v/>
      </c>
      <c r="J16" s="6">
        <f>IF($H16="","",MAX(0,1-$H16-$I16))</f>
        <v/>
      </c>
      <c r="K16">
        <f>IF($H16="","",IF($H16&gt;=0.5+Config!$B$8,"OVER",IF($I16&gt;=0.5+Config!$B$8,"UNDER","—")))</f>
        <v/>
      </c>
      <c r="L16" s="7">
        <f>IFERROR(INDEX(CHOOSE(MATCH($Z16,{"K1","K12","K13"},0),Calc!$AE$2:$AE$66,Calc!$AF$2:$AF$66,Calc!$AG$2:$AG$66),MATCH($Y16,Calc!$A$2:$A$66,0)),"")</f>
        <v/>
      </c>
      <c r="M16" s="6">
        <f>IF(OR($E16="",$L16="",N($G16)&lt;=0),"",1-NORMDIST(FLOOR($E16,1)+0.5,$L16,$G16*SQRT($L16/$F16),TRUE))</f>
        <v/>
      </c>
      <c r="N16" t="n">
        <v>6.51</v>
      </c>
      <c r="O16" s="6">
        <f>IFERROR(INDEX(Calc!$H$2:$H$66,MATCH($Y16,Calc!$A$2:$A$66,0)),"")</f>
        <v/>
      </c>
      <c r="P16" s="6">
        <f>IFERROR(INDEX(Calc!$M$2:$M$66,MATCH($Y16,Calc!$A$2:$A$66,0)),"")</f>
        <v/>
      </c>
      <c r="Q16" t="n">
        <v>5.8</v>
      </c>
      <c r="R16" s="6" t="n">
        <v>0.4</v>
      </c>
      <c r="S16" s="6" t="n">
        <v>0.3</v>
      </c>
      <c r="T16" s="6" t="n">
        <v>0.4</v>
      </c>
      <c r="U16" t="inlineStr">
        <is>
          <t>0%/0/1</t>
        </is>
      </c>
      <c r="V16" t="n">
        <v>-1</v>
      </c>
      <c r="W16" t="n">
        <v>1</v>
      </c>
      <c r="X16">
        <f>IFERROR(INDEX(Calc!$AH$2:$AH$66,MATCH($Y16,Calc!$A$2:$A$66,0)),"")</f>
        <v/>
      </c>
      <c r="Y16" t="inlineStr">
        <is>
          <t>gf5trr3nqlr6rzi|DOTA · OG vs GL</t>
        </is>
      </c>
      <c r="Z16" t="inlineStr">
        <is>
          <t>K12</t>
        </is>
      </c>
      <c r="AA16">
        <f>Y16&amp;"|"&amp;Z16</f>
        <v/>
      </c>
    </row>
    <row r="17">
      <c r="A17" t="inlineStr">
        <is>
          <t>DOTA · OG vs GL</t>
        </is>
      </c>
      <c r="B17" t="inlineStr">
        <is>
          <t>Skem</t>
        </is>
      </c>
      <c r="C17" t="inlineStr">
        <is>
          <t>OG</t>
        </is>
      </c>
      <c r="D17" t="inlineStr">
        <is>
          <t>Maps 1-2 Kills</t>
        </is>
      </c>
      <c r="E17" t="n">
        <v>5.5</v>
      </c>
      <c r="F17" s="7">
        <f>IFERROR(INDEX(CHOOSE(MATCH($Z17,{"K1","K12","K13"},0),Calc!$Y$2:$Y$66,Calc!$AA$2:$AA$66,Calc!$AC$2:$AC$66),MATCH($Y17,Calc!$A$2:$A$66,0)),"")</f>
        <v/>
      </c>
      <c r="G17" s="7">
        <f>IFERROR(SQRT(INDEX(CHOOSE(MATCH($Z17,{"K1","K12","K13"},0),Calc!$Z$2:$Z$66,Calc!$AB$2:$AB$66,Calc!$AD$2:$AD$66),MATCH($Y17,Calc!$A$2:$A$66,0))),"")</f>
        <v/>
      </c>
      <c r="H17" s="6">
        <f>IF(OR($E17="",$F17="",N($G17)&lt;=0),"",1-NORMDIST(FLOOR($E17,1)+0.5,$F17,$G17,TRUE))</f>
        <v/>
      </c>
      <c r="I17" s="6">
        <f>IF($H17="","",NORMDIST(CEILING($E17,1)-0.5,$F17,$G17,TRUE))</f>
        <v/>
      </c>
      <c r="J17" s="6">
        <f>IF($H17="","",MAX(0,1-$H17-$I17))</f>
        <v/>
      </c>
      <c r="K17">
        <f>IF($H17="","",IF($H17&gt;=0.5+Config!$B$8,"OVER",IF($I17&gt;=0.5+Config!$B$8,"UNDER","—")))</f>
        <v/>
      </c>
      <c r="L17" s="7">
        <f>IFERROR(INDEX(CHOOSE(MATCH($Z17,{"K1","K12","K13"},0),Calc!$AE$2:$AE$66,Calc!$AF$2:$AF$66,Calc!$AG$2:$AG$66),MATCH($Y17,Calc!$A$2:$A$66,0)),"")</f>
        <v/>
      </c>
      <c r="M17" s="6">
        <f>IF(OR($E17="",$L17="",N($G17)&lt;=0),"",1-NORMDIST(FLOOR($E17,1)+0.5,$L17,$G17*SQRT($L17/$F17),TRUE))</f>
        <v/>
      </c>
      <c r="N17" t="n">
        <v>5.49</v>
      </c>
      <c r="O17" s="6">
        <f>IFERROR(INDEX(Calc!$H$2:$H$66,MATCH($Y17,Calc!$A$2:$A$66,0)),"")</f>
        <v/>
      </c>
      <c r="P17" s="6">
        <f>IFERROR(INDEX(Calc!$M$2:$M$66,MATCH($Y17,Calc!$A$2:$A$66,0)),"")</f>
        <v/>
      </c>
      <c r="Q17" t="n">
        <v>6.4</v>
      </c>
      <c r="R17" s="6" t="n">
        <v>0.6</v>
      </c>
      <c r="S17" s="6" t="n">
        <v>0.6</v>
      </c>
      <c r="T17" s="6" t="n">
        <v>0.6</v>
      </c>
      <c r="U17" t="inlineStr">
        <is>
          <t>50%/1/2</t>
        </is>
      </c>
      <c r="V17" t="n">
        <v>1</v>
      </c>
      <c r="X17">
        <f>IFERROR(INDEX(Calc!$AH$2:$AH$66,MATCH($Y17,Calc!$A$2:$A$66,0)),"")</f>
        <v/>
      </c>
      <c r="Y17" t="inlineStr">
        <is>
          <t>327bydu6uqe51dl|DOTA · OG vs GL</t>
        </is>
      </c>
      <c r="Z17" t="inlineStr">
        <is>
          <t>K12</t>
        </is>
      </c>
      <c r="AA17">
        <f>Y17&amp;"|"&amp;Z17</f>
        <v/>
      </c>
    </row>
    <row r="18">
      <c r="A18" t="inlineStr">
        <is>
          <t>DOTA · OG vs GL</t>
        </is>
      </c>
      <c r="B18" t="inlineStr">
        <is>
          <t>TOPSON</t>
        </is>
      </c>
      <c r="C18" t="inlineStr">
        <is>
          <t>OG</t>
        </is>
      </c>
      <c r="D18" t="inlineStr">
        <is>
          <t>Maps 1-2 Kills</t>
        </is>
      </c>
      <c r="E18" t="n">
        <v>14.5</v>
      </c>
      <c r="F18" s="7">
        <f>IFERROR(INDEX(CHOOSE(MATCH($Z18,{"K1","K12","K13"},0),Calc!$Y$2:$Y$66,Calc!$AA$2:$AA$66,Calc!$AC$2:$AC$66),MATCH($Y18,Calc!$A$2:$A$66,0)),"")</f>
        <v/>
      </c>
      <c r="G18" s="7">
        <f>IFERROR(SQRT(INDEX(CHOOSE(MATCH($Z18,{"K1","K12","K13"},0),Calc!$Z$2:$Z$66,Calc!$AB$2:$AB$66,Calc!$AD$2:$AD$66),MATCH($Y18,Calc!$A$2:$A$66,0))),"")</f>
        <v/>
      </c>
      <c r="H18" s="6">
        <f>IF(OR($E18="",$F18="",N($G18)&lt;=0),"",1-NORMDIST(FLOOR($E18,1)+0.5,$F18,$G18,TRUE))</f>
        <v/>
      </c>
      <c r="I18" s="6">
        <f>IF($H18="","",NORMDIST(CEILING($E18,1)-0.5,$F18,$G18,TRUE))</f>
        <v/>
      </c>
      <c r="J18" s="6">
        <f>IF($H18="","",MAX(0,1-$H18-$I18))</f>
        <v/>
      </c>
      <c r="K18">
        <f>IF($H18="","",IF($H18&gt;=0.5+Config!$B$8,"OVER",IF($I18&gt;=0.5+Config!$B$8,"UNDER","—")))</f>
        <v/>
      </c>
      <c r="L18" s="7">
        <f>IFERROR(INDEX(CHOOSE(MATCH($Z18,{"K1","K12","K13"},0),Calc!$AE$2:$AE$66,Calc!$AF$2:$AF$66,Calc!$AG$2:$AG$66),MATCH($Y18,Calc!$A$2:$A$66,0)),"")</f>
        <v/>
      </c>
      <c r="M18" s="6">
        <f>IF(OR($E18="",$L18="",N($G18)&lt;=0),"",1-NORMDIST(FLOOR($E18,1)+0.5,$L18,$G18*SQRT($L18/$F18),TRUE))</f>
        <v/>
      </c>
      <c r="N18" t="n">
        <v>12.07</v>
      </c>
      <c r="O18" s="6">
        <f>IFERROR(INDEX(Calc!$H$2:$H$66,MATCH($Y18,Calc!$A$2:$A$66,0)),"")</f>
        <v/>
      </c>
      <c r="P18" s="6">
        <f>IFERROR(INDEX(Calc!$M$2:$M$66,MATCH($Y18,Calc!$A$2:$A$66,0)),"")</f>
        <v/>
      </c>
      <c r="Q18" t="n">
        <v>14</v>
      </c>
      <c r="R18" s="6" t="n">
        <v>0.8</v>
      </c>
      <c r="S18" s="6" t="n">
        <v>0.5</v>
      </c>
      <c r="T18" s="6" t="n">
        <v>0.53</v>
      </c>
      <c r="U18" t="inlineStr">
        <is>
          <t>-</t>
        </is>
      </c>
      <c r="V18" t="n">
        <v>3</v>
      </c>
      <c r="X18">
        <f>IFERROR(INDEX(Calc!$AH$2:$AH$66,MATCH($Y18,Calc!$A$2:$A$66,0)),"")</f>
        <v/>
      </c>
      <c r="Y18" t="inlineStr">
        <is>
          <t>c9666oyxnrvurur|DOTA · OG vs GL</t>
        </is>
      </c>
      <c r="Z18" t="inlineStr">
        <is>
          <t>K12</t>
        </is>
      </c>
      <c r="AA18">
        <f>Y18&amp;"|"&amp;Z18</f>
        <v/>
      </c>
    </row>
    <row r="19">
      <c r="A19" t="inlineStr">
        <is>
          <t>DOTA · TS vs PARI</t>
        </is>
      </c>
      <c r="B19" t="inlineStr">
        <is>
          <t>9Class</t>
        </is>
      </c>
      <c r="C19" t="inlineStr">
        <is>
          <t>PARI</t>
        </is>
      </c>
      <c r="D19" t="inlineStr">
        <is>
          <t>Maps 1-2 Kills</t>
        </is>
      </c>
      <c r="E19" t="n">
        <v>7</v>
      </c>
      <c r="F19" s="7">
        <f>IFERROR(INDEX(CHOOSE(MATCH($Z19,{"K1","K12","K13"},0),Calc!$Y$2:$Y$66,Calc!$AA$2:$AA$66,Calc!$AC$2:$AC$66),MATCH($Y19,Calc!$A$2:$A$66,0)),"")</f>
        <v/>
      </c>
      <c r="G19" s="7">
        <f>IFERROR(SQRT(INDEX(CHOOSE(MATCH($Z19,{"K1","K12","K13"},0),Calc!$Z$2:$Z$66,Calc!$AB$2:$AB$66,Calc!$AD$2:$AD$66),MATCH($Y19,Calc!$A$2:$A$66,0))),"")</f>
        <v/>
      </c>
      <c r="H19" s="6">
        <f>IF(OR($E19="",$F19="",N($G19)&lt;=0),"",1-NORMDIST(FLOOR($E19,1)+0.5,$F19,$G19,TRUE))</f>
        <v/>
      </c>
      <c r="I19" s="6">
        <f>IF($H19="","",NORMDIST(CEILING($E19,1)-0.5,$F19,$G19,TRUE))</f>
        <v/>
      </c>
      <c r="J19" s="6">
        <f>IF($H19="","",MAX(0,1-$H19-$I19))</f>
        <v/>
      </c>
      <c r="K19">
        <f>IF($H19="","",IF($H19&gt;=0.5+Config!$B$8,"OVER",IF($I19&gt;=0.5+Config!$B$8,"UNDER","—")))</f>
        <v/>
      </c>
      <c r="L19" s="7">
        <f>IFERROR(INDEX(CHOOSE(MATCH($Z19,{"K1","K12","K13"},0),Calc!$AE$2:$AE$66,Calc!$AF$2:$AF$66,Calc!$AG$2:$AG$66),MATCH($Y19,Calc!$A$2:$A$66,0)),"")</f>
        <v/>
      </c>
      <c r="M19" s="6">
        <f>IF(OR($E19="",$L19="",N($G19)&lt;=0),"",1-NORMDIST(FLOOR($E19,1)+0.5,$L19,$G19*SQRT($L19/$F19),TRUE))</f>
        <v/>
      </c>
      <c r="N19" t="n">
        <v>6.62</v>
      </c>
      <c r="O19" s="6">
        <f>IFERROR(INDEX(Calc!$H$2:$H$66,MATCH($Y19,Calc!$A$2:$A$66,0)),"")</f>
        <v/>
      </c>
      <c r="P19" s="6">
        <f>IFERROR(INDEX(Calc!$M$2:$M$66,MATCH($Y19,Calc!$A$2:$A$66,0)),"")</f>
        <v/>
      </c>
      <c r="Q19" t="n">
        <v>10.3</v>
      </c>
      <c r="R19" s="6" t="n">
        <v>0.6</v>
      </c>
      <c r="S19" s="6" t="n">
        <v>0.7</v>
      </c>
      <c r="T19" s="6" t="n">
        <v>0.6</v>
      </c>
      <c r="U19" t="inlineStr">
        <is>
          <t>35%/9/26</t>
        </is>
      </c>
      <c r="V19" t="n">
        <v>1</v>
      </c>
      <c r="W19" t="n">
        <v>0</v>
      </c>
      <c r="X19">
        <f>IFERROR(INDEX(Calc!$AH$2:$AH$66,MATCH($Y19,Calc!$A$2:$A$66,0)),"")</f>
        <v/>
      </c>
      <c r="Y19" t="inlineStr">
        <is>
          <t>p48p2vywpenq4iz|DOTA · TS vs PARI</t>
        </is>
      </c>
      <c r="Z19" t="inlineStr">
        <is>
          <t>K12</t>
        </is>
      </c>
      <c r="AA19">
        <f>Y19&amp;"|"&amp;Z19</f>
        <v/>
      </c>
    </row>
    <row r="20">
      <c r="A20" t="inlineStr">
        <is>
          <t>DOTA · TS vs PARI</t>
        </is>
      </c>
      <c r="B20" t="inlineStr">
        <is>
          <t>Dukalis</t>
        </is>
      </c>
      <c r="C20" t="inlineStr">
        <is>
          <t>PARI</t>
        </is>
      </c>
      <c r="D20" t="inlineStr">
        <is>
          <t>Maps 1-2 Kills</t>
        </is>
      </c>
      <c r="E20" t="n">
        <v>5.5</v>
      </c>
      <c r="F20" s="7">
        <f>IFERROR(INDEX(CHOOSE(MATCH($Z20,{"K1","K12","K13"},0),Calc!$Y$2:$Y$66,Calc!$AA$2:$AA$66,Calc!$AC$2:$AC$66),MATCH($Y20,Calc!$A$2:$A$66,0)),"")</f>
        <v/>
      </c>
      <c r="G20" s="7">
        <f>IFERROR(SQRT(INDEX(CHOOSE(MATCH($Z20,{"K1","K12","K13"},0),Calc!$Z$2:$Z$66,Calc!$AB$2:$AB$66,Calc!$AD$2:$AD$66),MATCH($Y20,Calc!$A$2:$A$66,0))),"")</f>
        <v/>
      </c>
      <c r="H20" s="6">
        <f>IF(OR($E20="",$F20="",N($G20)&lt;=0),"",1-NORMDIST(FLOOR($E20,1)+0.5,$F20,$G20,TRUE))</f>
        <v/>
      </c>
      <c r="I20" s="6">
        <f>IF($H20="","",NORMDIST(CEILING($E20,1)-0.5,$F20,$G20,TRUE))</f>
        <v/>
      </c>
      <c r="J20" s="6">
        <f>IF($H20="","",MAX(0,1-$H20-$I20))</f>
        <v/>
      </c>
      <c r="K20">
        <f>IF($H20="","",IF($H20&gt;=0.5+Config!$B$8,"OVER",IF($I20&gt;=0.5+Config!$B$8,"UNDER","—")))</f>
        <v/>
      </c>
      <c r="L20" s="7">
        <f>IFERROR(INDEX(CHOOSE(MATCH($Z20,{"K1","K12","K13"},0),Calc!$AE$2:$AE$66,Calc!$AF$2:$AF$66,Calc!$AG$2:$AG$66),MATCH($Y20,Calc!$A$2:$A$66,0)),"")</f>
        <v/>
      </c>
      <c r="M20" s="6">
        <f>IF(OR($E20="",$L20="",N($G20)&lt;=0),"",1-NORMDIST(FLOOR($E20,1)+0.5,$L20,$G20*SQRT($L20/$F20),TRUE))</f>
        <v/>
      </c>
      <c r="O20" s="6">
        <f>IFERROR(INDEX(Calc!$H$2:$H$66,MATCH($Y20,Calc!$A$2:$A$66,0)),"")</f>
        <v/>
      </c>
      <c r="P20" s="6">
        <f>IFERROR(INDEX(Calc!$M$2:$M$66,MATCH($Y20,Calc!$A$2:$A$66,0)),"")</f>
        <v/>
      </c>
      <c r="Q20" t="n">
        <v>6.6</v>
      </c>
      <c r="R20" s="6" t="n">
        <v>0.4</v>
      </c>
      <c r="S20" s="6" t="n">
        <v>0.5</v>
      </c>
      <c r="T20" s="6" t="n">
        <v>0.47</v>
      </c>
      <c r="U20" t="inlineStr">
        <is>
          <t>35%/9/26</t>
        </is>
      </c>
      <c r="V20" t="n">
        <v>-1</v>
      </c>
      <c r="X20">
        <f>IFERROR(INDEX(Calc!$AH$2:$AH$66,MATCH($Y20,Calc!$A$2:$A$66,0)),"")</f>
        <v/>
      </c>
      <c r="Y20" t="inlineStr">
        <is>
          <t>38c4z9ycctww8gl|DOTA · TS vs PARI</t>
        </is>
      </c>
      <c r="Z20" t="inlineStr">
        <is>
          <t>K12</t>
        </is>
      </c>
      <c r="AA20">
        <f>Y20&amp;"|"&amp;Z20</f>
        <v/>
      </c>
    </row>
    <row r="21">
      <c r="A21" t="inlineStr">
        <is>
          <t>DOTA · TS vs PARI</t>
        </is>
      </c>
      <c r="B21" t="inlineStr">
        <is>
          <t>No[o]ne</t>
        </is>
      </c>
      <c r="C21" t="inlineStr">
        <is>
          <t>PARI</t>
        </is>
      </c>
      <c r="D21" t="inlineStr">
        <is>
          <t>Maps 1-2 Kills</t>
        </is>
      </c>
      <c r="E21" t="n">
        <v>15.5</v>
      </c>
      <c r="F21" s="7">
        <f>IFERROR(INDEX(CHOOSE(MATCH($Z21,{"K1","K12","K13"},0),Calc!$Y$2:$Y$66,Calc!$AA$2:$AA$66,Calc!$AC$2:$AC$66),MATCH($Y21,Calc!$A$2:$A$66,0)),"")</f>
        <v/>
      </c>
      <c r="G21" s="7">
        <f>IFERROR(SQRT(INDEX(CHOOSE(MATCH($Z21,{"K1","K12","K13"},0),Calc!$Z$2:$Z$66,Calc!$AB$2:$AB$66,Calc!$AD$2:$AD$66),MATCH($Y21,Calc!$A$2:$A$66,0))),"")</f>
        <v/>
      </c>
      <c r="H21" s="6">
        <f>IF(OR($E21="",$F21="",N($G21)&lt;=0),"",1-NORMDIST(FLOOR($E21,1)+0.5,$F21,$G21,TRUE))</f>
        <v/>
      </c>
      <c r="I21" s="6">
        <f>IF($H21="","",NORMDIST(CEILING($E21,1)-0.5,$F21,$G21,TRUE))</f>
        <v/>
      </c>
      <c r="J21" s="6">
        <f>IF($H21="","",MAX(0,1-$H21-$I21))</f>
        <v/>
      </c>
      <c r="K21">
        <f>IF($H21="","",IF($H21&gt;=0.5+Config!$B$8,"OVER",IF($I21&gt;=0.5+Config!$B$8,"UNDER","—")))</f>
        <v/>
      </c>
      <c r="L21" s="7">
        <f>IFERROR(INDEX(CHOOSE(MATCH($Z21,{"K1","K12","K13"},0),Calc!$AE$2:$AE$66,Calc!$AF$2:$AF$66,Calc!$AG$2:$AG$66),MATCH($Y21,Calc!$A$2:$A$66,0)),"")</f>
        <v/>
      </c>
      <c r="M21" s="6">
        <f>IF(OR($E21="",$L21="",N($G21)&lt;=0),"",1-NORMDIST(FLOOR($E21,1)+0.5,$L21,$G21*SQRT($L21/$F21),TRUE))</f>
        <v/>
      </c>
      <c r="O21" s="6">
        <f>IFERROR(INDEX(Calc!$H$2:$H$66,MATCH($Y21,Calc!$A$2:$A$66,0)),"")</f>
        <v/>
      </c>
      <c r="P21" s="6">
        <f>IFERROR(INDEX(Calc!$M$2:$M$66,MATCH($Y21,Calc!$A$2:$A$66,0)),"")</f>
        <v/>
      </c>
      <c r="Q21" t="n">
        <v>16.8</v>
      </c>
      <c r="R21" s="6" t="n">
        <v>0.6</v>
      </c>
      <c r="S21" s="6" t="n">
        <v>0.7</v>
      </c>
      <c r="T21" s="6" t="n">
        <v>0.67</v>
      </c>
      <c r="U21" t="inlineStr">
        <is>
          <t>42%/11/26</t>
        </is>
      </c>
      <c r="V21" t="n">
        <v>-1</v>
      </c>
      <c r="X21">
        <f>IFERROR(INDEX(Calc!$AH$2:$AH$66,MATCH($Y21,Calc!$A$2:$A$66,0)),"")</f>
        <v/>
      </c>
      <c r="Y21" t="inlineStr">
        <is>
          <t>te1ihvul0whu8k1|DOTA · TS vs PARI</t>
        </is>
      </c>
      <c r="Z21" t="inlineStr">
        <is>
          <t>K12</t>
        </is>
      </c>
      <c r="AA21">
        <f>Y21&amp;"|"&amp;Z21</f>
        <v/>
      </c>
    </row>
    <row r="22">
      <c r="A22" t="inlineStr">
        <is>
          <t>DOTA · TS vs PARI</t>
        </is>
      </c>
      <c r="B22" t="inlineStr">
        <is>
          <t>Noticed</t>
        </is>
      </c>
      <c r="C22" t="inlineStr">
        <is>
          <t>PARI</t>
        </is>
      </c>
      <c r="D22" t="inlineStr">
        <is>
          <t>Maps 1-2 Kills</t>
        </is>
      </c>
      <c r="E22" t="n">
        <v>11.5</v>
      </c>
      <c r="F22" s="7">
        <f>IFERROR(INDEX(CHOOSE(MATCH($Z22,{"K1","K12","K13"},0),Calc!$Y$2:$Y$66,Calc!$AA$2:$AA$66,Calc!$AC$2:$AC$66),MATCH($Y22,Calc!$A$2:$A$66,0)),"")</f>
        <v/>
      </c>
      <c r="G22" s="7">
        <f>IFERROR(SQRT(INDEX(CHOOSE(MATCH($Z22,{"K1","K12","K13"},0),Calc!$Z$2:$Z$66,Calc!$AB$2:$AB$66,Calc!$AD$2:$AD$66),MATCH($Y22,Calc!$A$2:$A$66,0))),"")</f>
        <v/>
      </c>
      <c r="H22" s="6">
        <f>IF(OR($E22="",$F22="",N($G22)&lt;=0),"",1-NORMDIST(FLOOR($E22,1)+0.5,$F22,$G22,TRUE))</f>
        <v/>
      </c>
      <c r="I22" s="6">
        <f>IF($H22="","",NORMDIST(CEILING($E22,1)-0.5,$F22,$G22,TRUE))</f>
        <v/>
      </c>
      <c r="J22" s="6">
        <f>IF($H22="","",MAX(0,1-$H22-$I22))</f>
        <v/>
      </c>
      <c r="K22">
        <f>IF($H22="","",IF($H22&gt;=0.5+Config!$B$8,"OVER",IF($I22&gt;=0.5+Config!$B$8,"UNDER","—")))</f>
        <v/>
      </c>
      <c r="L22" s="7">
        <f>IFERROR(INDEX(CHOOSE(MATCH($Z22,{"K1","K12","K13"},0),Calc!$AE$2:$AE$66,Calc!$AF$2:$AF$66,Calc!$AG$2:$AG$66),MATCH($Y22,Calc!$A$2:$A$66,0)),"")</f>
        <v/>
      </c>
      <c r="M22" s="6">
        <f>IF(OR($E22="",$L22="",N($G22)&lt;=0),"",1-NORMDIST(FLOOR($E22,1)+0.5,$L22,$G22*SQRT($L22/$F22),TRUE))</f>
        <v/>
      </c>
      <c r="N22" t="n">
        <v>8.9</v>
      </c>
      <c r="O22" s="6">
        <f>IFERROR(INDEX(Calc!$H$2:$H$66,MATCH($Y22,Calc!$A$2:$A$66,0)),"")</f>
        <v/>
      </c>
      <c r="P22" s="6">
        <f>IFERROR(INDEX(Calc!$M$2:$M$66,MATCH($Y22,Calc!$A$2:$A$66,0)),"")</f>
        <v/>
      </c>
      <c r="Q22" t="n">
        <v>11</v>
      </c>
      <c r="R22" s="6" t="n">
        <v>0.6</v>
      </c>
      <c r="S22" s="6" t="n">
        <v>0.4</v>
      </c>
      <c r="T22" s="6" t="n">
        <v>0.53</v>
      </c>
      <c r="U22" t="inlineStr">
        <is>
          <t>13%/2/16</t>
        </is>
      </c>
      <c r="V22" t="n">
        <v>-1</v>
      </c>
      <c r="X22">
        <f>IFERROR(INDEX(Calc!$AH$2:$AH$66,MATCH($Y22,Calc!$A$2:$A$66,0)),"")</f>
        <v/>
      </c>
      <c r="Y22" t="inlineStr">
        <is>
          <t>hkpy2i1q2cf4qrd|DOTA · TS vs PARI</t>
        </is>
      </c>
      <c r="Z22" t="inlineStr">
        <is>
          <t>K12</t>
        </is>
      </c>
      <c r="AA22">
        <f>Y22&amp;"|"&amp;Z22</f>
        <v/>
      </c>
    </row>
    <row r="23">
      <c r="A23" t="inlineStr">
        <is>
          <t>DOTA · TS vs PARI</t>
        </is>
      </c>
      <c r="B23" t="inlineStr">
        <is>
          <t>Satanic</t>
        </is>
      </c>
      <c r="C23" t="inlineStr">
        <is>
          <t>PARI</t>
        </is>
      </c>
      <c r="D23" t="inlineStr">
        <is>
          <t>Maps 1-2 Kills</t>
        </is>
      </c>
      <c r="E23" t="n">
        <v>19.5</v>
      </c>
      <c r="F23" s="7">
        <f>IFERROR(INDEX(CHOOSE(MATCH($Z23,{"K1","K12","K13"},0),Calc!$Y$2:$Y$66,Calc!$AA$2:$AA$66,Calc!$AC$2:$AC$66),MATCH($Y23,Calc!$A$2:$A$66,0)),"")</f>
        <v/>
      </c>
      <c r="G23" s="7">
        <f>IFERROR(SQRT(INDEX(CHOOSE(MATCH($Z23,{"K1","K12","K13"},0),Calc!$Z$2:$Z$66,Calc!$AB$2:$AB$66,Calc!$AD$2:$AD$66),MATCH($Y23,Calc!$A$2:$A$66,0))),"")</f>
        <v/>
      </c>
      <c r="H23" s="6">
        <f>IF(OR($E23="",$F23="",N($G23)&lt;=0),"",1-NORMDIST(FLOOR($E23,1)+0.5,$F23,$G23,TRUE))</f>
        <v/>
      </c>
      <c r="I23" s="6">
        <f>IF($H23="","",NORMDIST(CEILING($E23,1)-0.5,$F23,$G23,TRUE))</f>
        <v/>
      </c>
      <c r="J23" s="6">
        <f>IF($H23="","",MAX(0,1-$H23-$I23))</f>
        <v/>
      </c>
      <c r="K23">
        <f>IF($H23="","",IF($H23&gt;=0.5+Config!$B$8,"OVER",IF($I23&gt;=0.5+Config!$B$8,"UNDER","—")))</f>
        <v/>
      </c>
      <c r="L23" s="7">
        <f>IFERROR(INDEX(CHOOSE(MATCH($Z23,{"K1","K12","K13"},0),Calc!$AE$2:$AE$66,Calc!$AF$2:$AF$66,Calc!$AG$2:$AG$66),MATCH($Y23,Calc!$A$2:$A$66,0)),"")</f>
        <v/>
      </c>
      <c r="M23" s="6">
        <f>IF(OR($E23="",$L23="",N($G23)&lt;=0),"",1-NORMDIST(FLOOR($E23,1)+0.5,$L23,$G23*SQRT($L23/$F23),TRUE))</f>
        <v/>
      </c>
      <c r="N23" t="n">
        <v>18.21</v>
      </c>
      <c r="O23" s="6">
        <f>IFERROR(INDEX(Calc!$H$2:$H$66,MATCH($Y23,Calc!$A$2:$A$66,0)),"")</f>
        <v/>
      </c>
      <c r="P23" s="6">
        <f>IFERROR(INDEX(Calc!$M$2:$M$66,MATCH($Y23,Calc!$A$2:$A$66,0)),"")</f>
        <v/>
      </c>
      <c r="Q23" t="n">
        <v>21.6</v>
      </c>
      <c r="R23" s="6" t="n">
        <v>0.6</v>
      </c>
      <c r="S23" s="6" t="n">
        <v>0.6</v>
      </c>
      <c r="T23" s="6" t="n">
        <v>0.6</v>
      </c>
      <c r="U23" t="inlineStr">
        <is>
          <t>14%/3/21</t>
        </is>
      </c>
      <c r="V23" t="n">
        <v>-1</v>
      </c>
      <c r="X23">
        <f>IFERROR(INDEX(Calc!$AH$2:$AH$66,MATCH($Y23,Calc!$A$2:$A$66,0)),"")</f>
        <v/>
      </c>
      <c r="Y23" t="inlineStr">
        <is>
          <t>s178rxweg2uixdf|DOTA · TS vs PARI</t>
        </is>
      </c>
      <c r="Z23" t="inlineStr">
        <is>
          <t>K12</t>
        </is>
      </c>
      <c r="AA23">
        <f>Y23&amp;"|"&amp;Z23</f>
        <v/>
      </c>
    </row>
    <row r="24">
      <c r="A24" t="inlineStr">
        <is>
          <t>DOTA · TS vs PARI</t>
        </is>
      </c>
      <c r="B24" t="inlineStr">
        <is>
          <t>Larl</t>
        </is>
      </c>
      <c r="C24" t="inlineStr">
        <is>
          <t>TS</t>
        </is>
      </c>
      <c r="D24" t="inlineStr">
        <is>
          <t>Maps 1-2 Kills</t>
        </is>
      </c>
      <c r="E24" t="n">
        <v>14.5</v>
      </c>
      <c r="F24" s="7">
        <f>IFERROR(INDEX(CHOOSE(MATCH($Z24,{"K1","K12","K13"},0),Calc!$Y$2:$Y$66,Calc!$AA$2:$AA$66,Calc!$AC$2:$AC$66),MATCH($Y24,Calc!$A$2:$A$66,0)),"")</f>
        <v/>
      </c>
      <c r="G24" s="7">
        <f>IFERROR(SQRT(INDEX(CHOOSE(MATCH($Z24,{"K1","K12","K13"},0),Calc!$Z$2:$Z$66,Calc!$AB$2:$AB$66,Calc!$AD$2:$AD$66),MATCH($Y24,Calc!$A$2:$A$66,0))),"")</f>
        <v/>
      </c>
      <c r="H24" s="6">
        <f>IF(OR($E24="",$F24="",N($G24)&lt;=0),"",1-NORMDIST(FLOOR($E24,1)+0.5,$F24,$G24,TRUE))</f>
        <v/>
      </c>
      <c r="I24" s="6">
        <f>IF($H24="","",NORMDIST(CEILING($E24,1)-0.5,$F24,$G24,TRUE))</f>
        <v/>
      </c>
      <c r="J24" s="6">
        <f>IF($H24="","",MAX(0,1-$H24-$I24))</f>
        <v/>
      </c>
      <c r="K24">
        <f>IF($H24="","",IF($H24&gt;=0.5+Config!$B$8,"OVER",IF($I24&gt;=0.5+Config!$B$8,"UNDER","—")))</f>
        <v/>
      </c>
      <c r="L24" s="7">
        <f>IFERROR(INDEX(CHOOSE(MATCH($Z24,{"K1","K12","K13"},0),Calc!$AE$2:$AE$66,Calc!$AF$2:$AF$66,Calc!$AG$2:$AG$66),MATCH($Y24,Calc!$A$2:$A$66,0)),"")</f>
        <v/>
      </c>
      <c r="M24" s="6">
        <f>IF(OR($E24="",$L24="",N($G24)&lt;=0),"",1-NORMDIST(FLOOR($E24,1)+0.5,$L24,$G24*SQRT($L24/$F24),TRUE))</f>
        <v/>
      </c>
      <c r="N24" t="n">
        <v>13.35</v>
      </c>
      <c r="O24" s="6">
        <f>IFERROR(INDEX(Calc!$H$2:$H$66,MATCH($Y24,Calc!$A$2:$A$66,0)),"")</f>
        <v/>
      </c>
      <c r="P24" s="6">
        <f>IFERROR(INDEX(Calc!$M$2:$M$66,MATCH($Y24,Calc!$A$2:$A$66,0)),"")</f>
        <v/>
      </c>
      <c r="Q24" t="n">
        <v>16.7</v>
      </c>
      <c r="R24" s="6" t="n">
        <v>0.6</v>
      </c>
      <c r="S24" s="6" t="n">
        <v>0.6</v>
      </c>
      <c r="T24" s="6" t="n">
        <v>0.67</v>
      </c>
      <c r="U24" t="inlineStr">
        <is>
          <t>25%/5/20</t>
        </is>
      </c>
      <c r="V24" t="n">
        <v>-1</v>
      </c>
      <c r="X24">
        <f>IFERROR(INDEX(Calc!$AH$2:$AH$66,MATCH($Y24,Calc!$A$2:$A$66,0)),"")</f>
        <v/>
      </c>
      <c r="Y24" t="inlineStr">
        <is>
          <t>3nhf9uupulsq9gw|DOTA · TS vs PARI</t>
        </is>
      </c>
      <c r="Z24" t="inlineStr">
        <is>
          <t>K12</t>
        </is>
      </c>
      <c r="AA24">
        <f>Y24&amp;"|"&amp;Z24</f>
        <v/>
      </c>
    </row>
    <row r="25">
      <c r="A25" t="inlineStr">
        <is>
          <t>DOTA · TS vs PARI</t>
        </is>
      </c>
      <c r="B25" t="inlineStr">
        <is>
          <t>not me</t>
        </is>
      </c>
      <c r="C25" t="inlineStr">
        <is>
          <t>TS</t>
        </is>
      </c>
      <c r="D25" t="inlineStr">
        <is>
          <t>Maps 1-2 Kills</t>
        </is>
      </c>
      <c r="E25" t="n">
        <v>7.5</v>
      </c>
      <c r="F25" s="7">
        <f>IFERROR(INDEX(CHOOSE(MATCH($Z25,{"K1","K12","K13"},0),Calc!$Y$2:$Y$66,Calc!$AA$2:$AA$66,Calc!$AC$2:$AC$66),MATCH($Y25,Calc!$A$2:$A$66,0)),"")</f>
        <v/>
      </c>
      <c r="G25" s="7">
        <f>IFERROR(SQRT(INDEX(CHOOSE(MATCH($Z25,{"K1","K12","K13"},0),Calc!$Z$2:$Z$66,Calc!$AB$2:$AB$66,Calc!$AD$2:$AD$66),MATCH($Y25,Calc!$A$2:$A$66,0))),"")</f>
        <v/>
      </c>
      <c r="H25" s="6">
        <f>IF(OR($E25="",$F25="",N($G25)&lt;=0),"",1-NORMDIST(FLOOR($E25,1)+0.5,$F25,$G25,TRUE))</f>
        <v/>
      </c>
      <c r="I25" s="6">
        <f>IF($H25="","",NORMDIST(CEILING($E25,1)-0.5,$F25,$G25,TRUE))</f>
        <v/>
      </c>
      <c r="J25" s="6">
        <f>IF($H25="","",MAX(0,1-$H25-$I25))</f>
        <v/>
      </c>
      <c r="K25">
        <f>IF($H25="","",IF($H25&gt;=0.5+Config!$B$8,"OVER",IF($I25&gt;=0.5+Config!$B$8,"UNDER","—")))</f>
        <v/>
      </c>
      <c r="L25" s="7">
        <f>IFERROR(INDEX(CHOOSE(MATCH($Z25,{"K1","K12","K13"},0),Calc!$AE$2:$AE$66,Calc!$AF$2:$AF$66,Calc!$AG$2:$AG$66),MATCH($Y25,Calc!$A$2:$A$66,0)),"")</f>
        <v/>
      </c>
      <c r="M25" s="6">
        <f>IF(OR($E25="",$L25="",N($G25)&lt;=0),"",1-NORMDIST(FLOOR($E25,1)+0.5,$L25,$G25*SQRT($L25/$F25),TRUE))</f>
        <v/>
      </c>
      <c r="N25" t="n">
        <v>6.96</v>
      </c>
      <c r="O25" s="6">
        <f>IFERROR(INDEX(Calc!$H$2:$H$66,MATCH($Y25,Calc!$A$2:$A$66,0)),"")</f>
        <v/>
      </c>
      <c r="P25" s="6">
        <f>IFERROR(INDEX(Calc!$M$2:$M$66,MATCH($Y25,Calc!$A$2:$A$66,0)),"")</f>
        <v/>
      </c>
      <c r="Q25" t="n">
        <v>10.8</v>
      </c>
      <c r="R25" s="6" t="n">
        <v>0.8</v>
      </c>
      <c r="S25" s="6" t="n">
        <v>0.7</v>
      </c>
      <c r="T25" s="6" t="n">
        <v>0.73</v>
      </c>
      <c r="U25" t="inlineStr">
        <is>
          <t>75%/3/4</t>
        </is>
      </c>
      <c r="V25" t="n">
        <v>-1</v>
      </c>
      <c r="X25">
        <f>IFERROR(INDEX(Calc!$AH$2:$AH$66,MATCH($Y25,Calc!$A$2:$A$66,0)),"")</f>
        <v/>
      </c>
      <c r="Y25" t="inlineStr">
        <is>
          <t>eu78tcmea0duae0|DOTA · TS vs PARI</t>
        </is>
      </c>
      <c r="Z25" t="inlineStr">
        <is>
          <t>K12</t>
        </is>
      </c>
      <c r="AA25">
        <f>Y25&amp;"|"&amp;Z25</f>
        <v/>
      </c>
    </row>
    <row r="26">
      <c r="A26" t="inlineStr">
        <is>
          <t>DOTA · TS vs PARI</t>
        </is>
      </c>
      <c r="B26" t="inlineStr">
        <is>
          <t>rue</t>
        </is>
      </c>
      <c r="C26" t="inlineStr">
        <is>
          <t>TS</t>
        </is>
      </c>
      <c r="D26" t="inlineStr">
        <is>
          <t>Maps 1-2 Kills</t>
        </is>
      </c>
      <c r="E26" t="n">
        <v>5.5</v>
      </c>
      <c r="F26" s="7">
        <f>IFERROR(INDEX(CHOOSE(MATCH($Z26,{"K1","K12","K13"},0),Calc!$Y$2:$Y$66,Calc!$AA$2:$AA$66,Calc!$AC$2:$AC$66),MATCH($Y26,Calc!$A$2:$A$66,0)),"")</f>
        <v/>
      </c>
      <c r="G26" s="7">
        <f>IFERROR(SQRT(INDEX(CHOOSE(MATCH($Z26,{"K1","K12","K13"},0),Calc!$Z$2:$Z$66,Calc!$AB$2:$AB$66,Calc!$AD$2:$AD$66),MATCH($Y26,Calc!$A$2:$A$66,0))),"")</f>
        <v/>
      </c>
      <c r="H26" s="6">
        <f>IF(OR($E26="",$F26="",N($G26)&lt;=0),"",1-NORMDIST(FLOOR($E26,1)+0.5,$F26,$G26,TRUE))</f>
        <v/>
      </c>
      <c r="I26" s="6">
        <f>IF($H26="","",NORMDIST(CEILING($E26,1)-0.5,$F26,$G26,TRUE))</f>
        <v/>
      </c>
      <c r="J26" s="6">
        <f>IF($H26="","",MAX(0,1-$H26-$I26))</f>
        <v/>
      </c>
      <c r="K26">
        <f>IF($H26="","",IF($H26&gt;=0.5+Config!$B$8,"OVER",IF($I26&gt;=0.5+Config!$B$8,"UNDER","—")))</f>
        <v/>
      </c>
      <c r="L26" s="7">
        <f>IFERROR(INDEX(CHOOSE(MATCH($Z26,{"K1","K12","K13"},0),Calc!$AE$2:$AE$66,Calc!$AF$2:$AF$66,Calc!$AG$2:$AG$66),MATCH($Y26,Calc!$A$2:$A$66,0)),"")</f>
        <v/>
      </c>
      <c r="M26" s="6">
        <f>IF(OR($E26="",$L26="",N($G26)&lt;=0),"",1-NORMDIST(FLOOR($E26,1)+0.5,$L26,$G26*SQRT($L26/$F26),TRUE))</f>
        <v/>
      </c>
      <c r="O26" s="6">
        <f>IFERROR(INDEX(Calc!$H$2:$H$66,MATCH($Y26,Calc!$A$2:$A$66,0)),"")</f>
        <v/>
      </c>
      <c r="P26" s="6">
        <f>IFERROR(INDEX(Calc!$M$2:$M$66,MATCH($Y26,Calc!$A$2:$A$66,0)),"")</f>
        <v/>
      </c>
      <c r="Q26" t="n">
        <v>6.5</v>
      </c>
      <c r="R26" s="6" t="n">
        <v>0.8</v>
      </c>
      <c r="S26" s="6" t="n">
        <v>0.5</v>
      </c>
      <c r="T26" s="6" t="n">
        <v>0.47</v>
      </c>
      <c r="U26" t="inlineStr">
        <is>
          <t>50%/10/20</t>
        </is>
      </c>
      <c r="V26" t="n">
        <v>3</v>
      </c>
      <c r="X26">
        <f>IFERROR(INDEX(Calc!$AH$2:$AH$66,MATCH($Y26,Calc!$A$2:$A$66,0)),"")</f>
        <v/>
      </c>
      <c r="Y26" t="inlineStr">
        <is>
          <t>sw7j8rqyn0xsj7y|DOTA · TS vs PARI</t>
        </is>
      </c>
      <c r="Z26" t="inlineStr">
        <is>
          <t>K12</t>
        </is>
      </c>
      <c r="AA26">
        <f>Y26&amp;"|"&amp;Z26</f>
        <v/>
      </c>
    </row>
    <row r="27">
      <c r="A27" t="inlineStr">
        <is>
          <t>DOTA · TS vs PARI</t>
        </is>
      </c>
      <c r="B27" t="inlineStr">
        <is>
          <t>Yatoro</t>
        </is>
      </c>
      <c r="C27" t="inlineStr">
        <is>
          <t>TS</t>
        </is>
      </c>
      <c r="D27" t="inlineStr">
        <is>
          <t>Maps 1-2 Kills</t>
        </is>
      </c>
      <c r="E27" t="n">
        <v>18.5</v>
      </c>
      <c r="F27" s="7">
        <f>IFERROR(INDEX(CHOOSE(MATCH($Z27,{"K1","K12","K13"},0),Calc!$Y$2:$Y$66,Calc!$AA$2:$AA$66,Calc!$AC$2:$AC$66),MATCH($Y27,Calc!$A$2:$A$66,0)),"")</f>
        <v/>
      </c>
      <c r="G27" s="7">
        <f>IFERROR(SQRT(INDEX(CHOOSE(MATCH($Z27,{"K1","K12","K13"},0),Calc!$Z$2:$Z$66,Calc!$AB$2:$AB$66,Calc!$AD$2:$AD$66),MATCH($Y27,Calc!$A$2:$A$66,0))),"")</f>
        <v/>
      </c>
      <c r="H27" s="6">
        <f>IF(OR($E27="",$F27="",N($G27)&lt;=0),"",1-NORMDIST(FLOOR($E27,1)+0.5,$F27,$G27,TRUE))</f>
        <v/>
      </c>
      <c r="I27" s="6">
        <f>IF($H27="","",NORMDIST(CEILING($E27,1)-0.5,$F27,$G27,TRUE))</f>
        <v/>
      </c>
      <c r="J27" s="6">
        <f>IF($H27="","",MAX(0,1-$H27-$I27))</f>
        <v/>
      </c>
      <c r="K27">
        <f>IF($H27="","",IF($H27&gt;=0.5+Config!$B$8,"OVER",IF($I27&gt;=0.5+Config!$B$8,"UNDER","—")))</f>
        <v/>
      </c>
      <c r="L27" s="7">
        <f>IFERROR(INDEX(CHOOSE(MATCH($Z27,{"K1","K12","K13"},0),Calc!$AE$2:$AE$66,Calc!$AF$2:$AF$66,Calc!$AG$2:$AG$66),MATCH($Y27,Calc!$A$2:$A$66,0)),"")</f>
        <v/>
      </c>
      <c r="M27" s="6">
        <f>IF(OR($E27="",$L27="",N($G27)&lt;=0),"",1-NORMDIST(FLOOR($E27,1)+0.5,$L27,$G27*SQRT($L27/$F27),TRUE))</f>
        <v/>
      </c>
      <c r="N27" t="n">
        <v>17.15</v>
      </c>
      <c r="O27" s="6">
        <f>IFERROR(INDEX(Calc!$H$2:$H$66,MATCH($Y27,Calc!$A$2:$A$66,0)),"")</f>
        <v/>
      </c>
      <c r="P27" s="6">
        <f>IFERROR(INDEX(Calc!$M$2:$M$66,MATCH($Y27,Calc!$A$2:$A$66,0)),"")</f>
        <v/>
      </c>
      <c r="Q27" t="n">
        <v>16.3</v>
      </c>
      <c r="R27" s="6" t="n">
        <v>0.6</v>
      </c>
      <c r="S27" s="6" t="n">
        <v>0.4</v>
      </c>
      <c r="T27" s="6" t="n">
        <v>0.47</v>
      </c>
      <c r="U27" t="inlineStr">
        <is>
          <t>17%/3/18</t>
        </is>
      </c>
      <c r="V27" t="n">
        <v>-1</v>
      </c>
      <c r="X27">
        <f>IFERROR(INDEX(Calc!$AH$2:$AH$66,MATCH($Y27,Calc!$A$2:$A$66,0)),"")</f>
        <v/>
      </c>
      <c r="Y27" t="inlineStr">
        <is>
          <t>7i0n30c69c9zmve|DOTA · TS vs PARI</t>
        </is>
      </c>
      <c r="Z27" t="inlineStr">
        <is>
          <t>K12</t>
        </is>
      </c>
      <c r="AA27">
        <f>Y27&amp;"|"&amp;Z27</f>
        <v/>
      </c>
    </row>
    <row r="28">
      <c r="A28" t="inlineStr">
        <is>
          <t>DOTA · TY vs Liquid</t>
        </is>
      </c>
      <c r="B28" t="inlineStr">
        <is>
          <t>Boxi</t>
        </is>
      </c>
      <c r="C28" t="inlineStr">
        <is>
          <t>Liquid</t>
        </is>
      </c>
      <c r="D28" t="inlineStr">
        <is>
          <t>Maps 1-2 Kills</t>
        </is>
      </c>
      <c r="E28" t="n">
        <v>5.5</v>
      </c>
      <c r="F28" s="7">
        <f>IFERROR(INDEX(CHOOSE(MATCH($Z28,{"K1","K12","K13"},0),Calc!$Y$2:$Y$66,Calc!$AA$2:$AA$66,Calc!$AC$2:$AC$66),MATCH($Y28,Calc!$A$2:$A$66,0)),"")</f>
        <v/>
      </c>
      <c r="G28" s="7">
        <f>IFERROR(SQRT(INDEX(CHOOSE(MATCH($Z28,{"K1","K12","K13"},0),Calc!$Z$2:$Z$66,Calc!$AB$2:$AB$66,Calc!$AD$2:$AD$66),MATCH($Y28,Calc!$A$2:$A$66,0))),"")</f>
        <v/>
      </c>
      <c r="H28" s="6">
        <f>IF(OR($E28="",$F28="",N($G28)&lt;=0),"",1-NORMDIST(FLOOR($E28,1)+0.5,$F28,$G28,TRUE))</f>
        <v/>
      </c>
      <c r="I28" s="6">
        <f>IF($H28="","",NORMDIST(CEILING($E28,1)-0.5,$F28,$G28,TRUE))</f>
        <v/>
      </c>
      <c r="J28" s="6">
        <f>IF($H28="","",MAX(0,1-$H28-$I28))</f>
        <v/>
      </c>
      <c r="K28">
        <f>IF($H28="","",IF($H28&gt;=0.5+Config!$B$8,"OVER",IF($I28&gt;=0.5+Config!$B$8,"UNDER","—")))</f>
        <v/>
      </c>
      <c r="L28" s="7">
        <f>IFERROR(INDEX(CHOOSE(MATCH($Z28,{"K1","K12","K13"},0),Calc!$AE$2:$AE$66,Calc!$AF$2:$AF$66,Calc!$AG$2:$AG$66),MATCH($Y28,Calc!$A$2:$A$66,0)),"")</f>
        <v/>
      </c>
      <c r="M28" s="6">
        <f>IF(OR($E28="",$L28="",N($G28)&lt;=0),"",1-NORMDIST(FLOOR($E28,1)+0.5,$L28,$G28*SQRT($L28/$F28),TRUE))</f>
        <v/>
      </c>
      <c r="O28" s="6">
        <f>IFERROR(INDEX(Calc!$H$2:$H$66,MATCH($Y28,Calc!$A$2:$A$66,0)),"")</f>
        <v/>
      </c>
      <c r="P28" s="6">
        <f>IFERROR(INDEX(Calc!$M$2:$M$66,MATCH($Y28,Calc!$A$2:$A$66,0)),"")</f>
        <v/>
      </c>
      <c r="Q28" t="n">
        <v>6.1</v>
      </c>
      <c r="R28" s="6" t="n">
        <v>1</v>
      </c>
      <c r="S28" s="6" t="n">
        <v>0.6</v>
      </c>
      <c r="T28" s="6" t="n">
        <v>0.67</v>
      </c>
      <c r="U28" t="inlineStr">
        <is>
          <t>33%/2/6</t>
        </is>
      </c>
      <c r="V28" t="n">
        <v>5</v>
      </c>
      <c r="X28">
        <f>IFERROR(INDEX(Calc!$AH$2:$AH$66,MATCH($Y28,Calc!$A$2:$A$66,0)),"")</f>
        <v/>
      </c>
      <c r="Y28" t="inlineStr">
        <is>
          <t>6fh3v4zhup45apx|DOTA · TY vs Liquid</t>
        </is>
      </c>
      <c r="Z28" t="inlineStr">
        <is>
          <t>K12</t>
        </is>
      </c>
      <c r="AA28">
        <f>Y28&amp;"|"&amp;Z28</f>
        <v/>
      </c>
    </row>
    <row r="29">
      <c r="A29" t="inlineStr">
        <is>
          <t>DOTA · TY vs Liquid</t>
        </is>
      </c>
      <c r="B29" t="inlineStr">
        <is>
          <t>Malr1ne</t>
        </is>
      </c>
      <c r="C29" t="inlineStr">
        <is>
          <t>Liquid</t>
        </is>
      </c>
      <c r="D29" t="inlineStr">
        <is>
          <t>Maps 1-2 Kills</t>
        </is>
      </c>
      <c r="E29" t="n">
        <v>13.5</v>
      </c>
      <c r="F29" s="7">
        <f>IFERROR(INDEX(CHOOSE(MATCH($Z29,{"K1","K12","K13"},0),Calc!$Y$2:$Y$66,Calc!$AA$2:$AA$66,Calc!$AC$2:$AC$66),MATCH($Y29,Calc!$A$2:$A$66,0)),"")</f>
        <v/>
      </c>
      <c r="G29" s="7">
        <f>IFERROR(SQRT(INDEX(CHOOSE(MATCH($Z29,{"K1","K12","K13"},0),Calc!$Z$2:$Z$66,Calc!$AB$2:$AB$66,Calc!$AD$2:$AD$66),MATCH($Y29,Calc!$A$2:$A$66,0))),"")</f>
        <v/>
      </c>
      <c r="H29" s="6">
        <f>IF(OR($E29="",$F29="",N($G29)&lt;=0),"",1-NORMDIST(FLOOR($E29,1)+0.5,$F29,$G29,TRUE))</f>
        <v/>
      </c>
      <c r="I29" s="6">
        <f>IF($H29="","",NORMDIST(CEILING($E29,1)-0.5,$F29,$G29,TRUE))</f>
        <v/>
      </c>
      <c r="J29" s="6">
        <f>IF($H29="","",MAX(0,1-$H29-$I29))</f>
        <v/>
      </c>
      <c r="K29">
        <f>IF($H29="","",IF($H29&gt;=0.5+Config!$B$8,"OVER",IF($I29&gt;=0.5+Config!$B$8,"UNDER","—")))</f>
        <v/>
      </c>
      <c r="L29" s="7">
        <f>IFERROR(INDEX(CHOOSE(MATCH($Z29,{"K1","K12","K13"},0),Calc!$AE$2:$AE$66,Calc!$AF$2:$AF$66,Calc!$AG$2:$AG$66),MATCH($Y29,Calc!$A$2:$A$66,0)),"")</f>
        <v/>
      </c>
      <c r="M29" s="6">
        <f>IF(OR($E29="",$L29="",N($G29)&lt;=0),"",1-NORMDIST(FLOOR($E29,1)+0.5,$L29,$G29*SQRT($L29/$F29),TRUE))</f>
        <v/>
      </c>
      <c r="N29" t="n">
        <v>11.98</v>
      </c>
      <c r="O29" s="6">
        <f>IFERROR(INDEX(Calc!$H$2:$H$66,MATCH($Y29,Calc!$A$2:$A$66,0)),"")</f>
        <v/>
      </c>
      <c r="P29" s="6">
        <f>IFERROR(INDEX(Calc!$M$2:$M$66,MATCH($Y29,Calc!$A$2:$A$66,0)),"")</f>
        <v/>
      </c>
      <c r="Q29" t="n">
        <v>16.3</v>
      </c>
      <c r="R29" s="6" t="n">
        <v>0.6</v>
      </c>
      <c r="S29" s="6" t="n">
        <v>0.7</v>
      </c>
      <c r="T29" s="6" t="n">
        <v>0.67</v>
      </c>
      <c r="U29" t="inlineStr">
        <is>
          <t>33%/1/3</t>
        </is>
      </c>
      <c r="V29" t="n">
        <v>3</v>
      </c>
      <c r="X29">
        <f>IFERROR(INDEX(Calc!$AH$2:$AH$66,MATCH($Y29,Calc!$A$2:$A$66,0)),"")</f>
        <v/>
      </c>
      <c r="Y29" t="inlineStr">
        <is>
          <t>okwa876y1o8h4ow|DOTA · TY vs Liquid</t>
        </is>
      </c>
      <c r="Z29" t="inlineStr">
        <is>
          <t>K12</t>
        </is>
      </c>
      <c r="AA29">
        <f>Y29&amp;"|"&amp;Z29</f>
        <v/>
      </c>
    </row>
    <row r="30">
      <c r="A30" t="inlineStr">
        <is>
          <t>DOTA · TY vs Liquid</t>
        </is>
      </c>
      <c r="B30" t="inlineStr">
        <is>
          <t>miCKe</t>
        </is>
      </c>
      <c r="C30" t="inlineStr">
        <is>
          <t>Liquid</t>
        </is>
      </c>
      <c r="D30" t="inlineStr">
        <is>
          <t>Maps 1-2 Kills</t>
        </is>
      </c>
      <c r="E30" t="n">
        <v>14</v>
      </c>
      <c r="F30" s="7">
        <f>IFERROR(INDEX(CHOOSE(MATCH($Z30,{"K1","K12","K13"},0),Calc!$Y$2:$Y$66,Calc!$AA$2:$AA$66,Calc!$AC$2:$AC$66),MATCH($Y30,Calc!$A$2:$A$66,0)),"")</f>
        <v/>
      </c>
      <c r="G30" s="7">
        <f>IFERROR(SQRT(INDEX(CHOOSE(MATCH($Z30,{"K1","K12","K13"},0),Calc!$Z$2:$Z$66,Calc!$AB$2:$AB$66,Calc!$AD$2:$AD$66),MATCH($Y30,Calc!$A$2:$A$66,0))),"")</f>
        <v/>
      </c>
      <c r="H30" s="6">
        <f>IF(OR($E30="",$F30="",N($G30)&lt;=0),"",1-NORMDIST(FLOOR($E30,1)+0.5,$F30,$G30,TRUE))</f>
        <v/>
      </c>
      <c r="I30" s="6">
        <f>IF($H30="","",NORMDIST(CEILING($E30,1)-0.5,$F30,$G30,TRUE))</f>
        <v/>
      </c>
      <c r="J30" s="6">
        <f>IF($H30="","",MAX(0,1-$H30-$I30))</f>
        <v/>
      </c>
      <c r="K30">
        <f>IF($H30="","",IF($H30&gt;=0.5+Config!$B$8,"OVER",IF($I30&gt;=0.5+Config!$B$8,"UNDER","—")))</f>
        <v/>
      </c>
      <c r="L30" s="7">
        <f>IFERROR(INDEX(CHOOSE(MATCH($Z30,{"K1","K12","K13"},0),Calc!$AE$2:$AE$66,Calc!$AF$2:$AF$66,Calc!$AG$2:$AG$66),MATCH($Y30,Calc!$A$2:$A$66,0)),"")</f>
        <v/>
      </c>
      <c r="M30" s="6">
        <f>IF(OR($E30="",$L30="",N($G30)&lt;=0),"",1-NORMDIST(FLOOR($E30,1)+0.5,$L30,$G30*SQRT($L30/$F30),TRUE))</f>
        <v/>
      </c>
      <c r="N30" t="n">
        <v>11.21</v>
      </c>
      <c r="O30" s="6">
        <f>IFERROR(INDEX(Calc!$H$2:$H$66,MATCH($Y30,Calc!$A$2:$A$66,0)),"")</f>
        <v/>
      </c>
      <c r="P30" s="6">
        <f>IFERROR(INDEX(Calc!$M$2:$M$66,MATCH($Y30,Calc!$A$2:$A$66,0)),"")</f>
        <v/>
      </c>
      <c r="Q30" t="n">
        <v>13.9</v>
      </c>
      <c r="R30" s="6" t="n">
        <v>0.6</v>
      </c>
      <c r="S30" s="6" t="n">
        <v>0.4</v>
      </c>
      <c r="T30" s="6" t="n">
        <v>0.6</v>
      </c>
      <c r="U30" t="inlineStr">
        <is>
          <t>50%/3/6</t>
        </is>
      </c>
      <c r="V30" t="n">
        <v>2</v>
      </c>
      <c r="W30" t="n">
        <v>0</v>
      </c>
      <c r="X30">
        <f>IFERROR(INDEX(Calc!$AH$2:$AH$66,MATCH($Y30,Calc!$A$2:$A$66,0)),"")</f>
        <v/>
      </c>
      <c r="Y30" t="inlineStr">
        <is>
          <t>m59p9wlox0y2f5p|DOTA · TY vs Liquid</t>
        </is>
      </c>
      <c r="Z30" t="inlineStr">
        <is>
          <t>K12</t>
        </is>
      </c>
      <c r="AA30">
        <f>Y30&amp;"|"&amp;Z30</f>
        <v/>
      </c>
    </row>
    <row r="31">
      <c r="A31" t="inlineStr">
        <is>
          <t>DOTA · TY vs Liquid</t>
        </is>
      </c>
      <c r="B31" t="inlineStr">
        <is>
          <t>tOfu</t>
        </is>
      </c>
      <c r="C31" t="inlineStr">
        <is>
          <t>Liquid</t>
        </is>
      </c>
      <c r="D31" t="inlineStr">
        <is>
          <t>Maps 1-2 Kills</t>
        </is>
      </c>
      <c r="E31" t="n">
        <v>6.5</v>
      </c>
      <c r="F31" s="7">
        <f>IFERROR(INDEX(CHOOSE(MATCH($Z31,{"K1","K12","K13"},0),Calc!$Y$2:$Y$66,Calc!$AA$2:$AA$66,Calc!$AC$2:$AC$66),MATCH($Y31,Calc!$A$2:$A$66,0)),"")</f>
        <v/>
      </c>
      <c r="G31" s="7">
        <f>IFERROR(SQRT(INDEX(CHOOSE(MATCH($Z31,{"K1","K12","K13"},0),Calc!$Z$2:$Z$66,Calc!$AB$2:$AB$66,Calc!$AD$2:$AD$66),MATCH($Y31,Calc!$A$2:$A$66,0))),"")</f>
        <v/>
      </c>
      <c r="H31" s="6">
        <f>IF(OR($E31="",$F31="",N($G31)&lt;=0),"",1-NORMDIST(FLOOR($E31,1)+0.5,$F31,$G31,TRUE))</f>
        <v/>
      </c>
      <c r="I31" s="6">
        <f>IF($H31="","",NORMDIST(CEILING($E31,1)-0.5,$F31,$G31,TRUE))</f>
        <v/>
      </c>
      <c r="J31" s="6">
        <f>IF($H31="","",MAX(0,1-$H31-$I31))</f>
        <v/>
      </c>
      <c r="K31">
        <f>IF($H31="","",IF($H31&gt;=0.5+Config!$B$8,"OVER",IF($I31&gt;=0.5+Config!$B$8,"UNDER","—")))</f>
        <v/>
      </c>
      <c r="L31" s="7">
        <f>IFERROR(INDEX(CHOOSE(MATCH($Z31,{"K1","K12","K13"},0),Calc!$AE$2:$AE$66,Calc!$AF$2:$AF$66,Calc!$AG$2:$AG$66),MATCH($Y31,Calc!$A$2:$A$66,0)),"")</f>
        <v/>
      </c>
      <c r="M31" s="6">
        <f>IF(OR($E31="",$L31="",N($G31)&lt;=0),"",1-NORMDIST(FLOOR($E31,1)+0.5,$L31,$G31*SQRT($L31/$F31),TRUE))</f>
        <v/>
      </c>
      <c r="N31" t="n">
        <v>5.94</v>
      </c>
      <c r="O31" s="6">
        <f>IFERROR(INDEX(Calc!$H$2:$H$66,MATCH($Y31,Calc!$A$2:$A$66,0)),"")</f>
        <v/>
      </c>
      <c r="P31" s="6">
        <f>IFERROR(INDEX(Calc!$M$2:$M$66,MATCH($Y31,Calc!$A$2:$A$66,0)),"")</f>
        <v/>
      </c>
      <c r="Q31" t="n">
        <v>8.1</v>
      </c>
      <c r="R31" s="6" t="n">
        <v>0.6</v>
      </c>
      <c r="S31" s="6" t="n">
        <v>0.6</v>
      </c>
      <c r="T31" s="6" t="n">
        <v>0.67</v>
      </c>
      <c r="U31" t="inlineStr">
        <is>
          <t>56%/5/9</t>
        </is>
      </c>
      <c r="V31" t="n">
        <v>-1</v>
      </c>
      <c r="X31">
        <f>IFERROR(INDEX(Calc!$AH$2:$AH$66,MATCH($Y31,Calc!$A$2:$A$66,0)),"")</f>
        <v/>
      </c>
      <c r="Y31" t="inlineStr">
        <is>
          <t>27h10ey3h2ra0ol|DOTA · TY vs Liquid</t>
        </is>
      </c>
      <c r="Z31" t="inlineStr">
        <is>
          <t>K12</t>
        </is>
      </c>
      <c r="AA31">
        <f>Y31&amp;"|"&amp;Z31</f>
        <v/>
      </c>
    </row>
    <row r="32">
      <c r="A32" t="inlineStr">
        <is>
          <t>DOTA · TY vs Liquid</t>
        </is>
      </c>
      <c r="B32" t="inlineStr">
        <is>
          <t>Wisper</t>
        </is>
      </c>
      <c r="C32" t="inlineStr">
        <is>
          <t>Liquid</t>
        </is>
      </c>
      <c r="D32" t="inlineStr">
        <is>
          <t>Maps 1-2 Kills</t>
        </is>
      </c>
      <c r="E32" t="n">
        <v>10.5</v>
      </c>
      <c r="F32" s="7">
        <f>IFERROR(INDEX(CHOOSE(MATCH($Z32,{"K1","K12","K13"},0),Calc!$Y$2:$Y$66,Calc!$AA$2:$AA$66,Calc!$AC$2:$AC$66),MATCH($Y32,Calc!$A$2:$A$66,0)),"")</f>
        <v/>
      </c>
      <c r="G32" s="7">
        <f>IFERROR(SQRT(INDEX(CHOOSE(MATCH($Z32,{"K1","K12","K13"},0),Calc!$Z$2:$Z$66,Calc!$AB$2:$AB$66,Calc!$AD$2:$AD$66),MATCH($Y32,Calc!$A$2:$A$66,0))),"")</f>
        <v/>
      </c>
      <c r="H32" s="6">
        <f>IF(OR($E32="",$F32="",N($G32)&lt;=0),"",1-NORMDIST(FLOOR($E32,1)+0.5,$F32,$G32,TRUE))</f>
        <v/>
      </c>
      <c r="I32" s="6">
        <f>IF($H32="","",NORMDIST(CEILING($E32,1)-0.5,$F32,$G32,TRUE))</f>
        <v/>
      </c>
      <c r="J32" s="6">
        <f>IF($H32="","",MAX(0,1-$H32-$I32))</f>
        <v/>
      </c>
      <c r="K32">
        <f>IF($H32="","",IF($H32&gt;=0.5+Config!$B$8,"OVER",IF($I32&gt;=0.5+Config!$B$8,"UNDER","—")))</f>
        <v/>
      </c>
      <c r="L32" s="7">
        <f>IFERROR(INDEX(CHOOSE(MATCH($Z32,{"K1","K12","K13"},0),Calc!$AE$2:$AE$66,Calc!$AF$2:$AF$66,Calc!$AG$2:$AG$66),MATCH($Y32,Calc!$A$2:$A$66,0)),"")</f>
        <v/>
      </c>
      <c r="M32" s="6">
        <f>IF(OR($E32="",$L32="",N($G32)&lt;=0),"",1-NORMDIST(FLOOR($E32,1)+0.5,$L32,$G32*SQRT($L32/$F32),TRUE))</f>
        <v/>
      </c>
      <c r="N32" t="n">
        <v>9.789999999999999</v>
      </c>
      <c r="O32" s="6">
        <f>IFERROR(INDEX(Calc!$H$2:$H$66,MATCH($Y32,Calc!$A$2:$A$66,0)),"")</f>
        <v/>
      </c>
      <c r="P32" s="6">
        <f>IFERROR(INDEX(Calc!$M$2:$M$66,MATCH($Y32,Calc!$A$2:$A$66,0)),"")</f>
        <v/>
      </c>
      <c r="Q32" t="n">
        <v>12</v>
      </c>
      <c r="R32" s="6" t="n">
        <v>0.4</v>
      </c>
      <c r="S32" s="6" t="n">
        <v>0.5</v>
      </c>
      <c r="T32" s="6" t="n">
        <v>0.53</v>
      </c>
      <c r="U32" t="inlineStr">
        <is>
          <t>29%/2/7</t>
        </is>
      </c>
      <c r="V32" t="n">
        <v>1</v>
      </c>
      <c r="X32">
        <f>IFERROR(INDEX(Calc!$AH$2:$AH$66,MATCH($Y32,Calc!$A$2:$A$66,0)),"")</f>
        <v/>
      </c>
      <c r="Y32" t="inlineStr">
        <is>
          <t>yfzz8fis0ra5e8p|DOTA · TY vs Liquid</t>
        </is>
      </c>
      <c r="Z32" t="inlineStr">
        <is>
          <t>K12</t>
        </is>
      </c>
      <c r="AA32">
        <f>Y32&amp;"|"&amp;Z32</f>
        <v/>
      </c>
    </row>
    <row r="33">
      <c r="A33" t="inlineStr">
        <is>
          <t>DOTA · TY vs Liquid</t>
        </is>
      </c>
      <c r="B33" t="inlineStr">
        <is>
          <t>ATF</t>
        </is>
      </c>
      <c r="C33" t="inlineStr">
        <is>
          <t>TY</t>
        </is>
      </c>
      <c r="D33" t="inlineStr">
        <is>
          <t>Maps 1-2 Kills</t>
        </is>
      </c>
      <c r="E33" t="n">
        <v>16.5</v>
      </c>
      <c r="F33" s="7">
        <f>IFERROR(INDEX(CHOOSE(MATCH($Z33,{"K1","K12","K13"},0),Calc!$Y$2:$Y$66,Calc!$AA$2:$AA$66,Calc!$AC$2:$AC$66),MATCH($Y33,Calc!$A$2:$A$66,0)),"")</f>
        <v/>
      </c>
      <c r="G33" s="7">
        <f>IFERROR(SQRT(INDEX(CHOOSE(MATCH($Z33,{"K1","K12","K13"},0),Calc!$Z$2:$Z$66,Calc!$AB$2:$AB$66,Calc!$AD$2:$AD$66),MATCH($Y33,Calc!$A$2:$A$66,0))),"")</f>
        <v/>
      </c>
      <c r="H33" s="6">
        <f>IF(OR($E33="",$F33="",N($G33)&lt;=0),"",1-NORMDIST(FLOOR($E33,1)+0.5,$F33,$G33,TRUE))</f>
        <v/>
      </c>
      <c r="I33" s="6">
        <f>IF($H33="","",NORMDIST(CEILING($E33,1)-0.5,$F33,$G33,TRUE))</f>
        <v/>
      </c>
      <c r="J33" s="6">
        <f>IF($H33="","",MAX(0,1-$H33-$I33))</f>
        <v/>
      </c>
      <c r="K33">
        <f>IF($H33="","",IF($H33&gt;=0.5+Config!$B$8,"OVER",IF($I33&gt;=0.5+Config!$B$8,"UNDER","—")))</f>
        <v/>
      </c>
      <c r="L33" s="7">
        <f>IFERROR(INDEX(CHOOSE(MATCH($Z33,{"K1","K12","K13"},0),Calc!$AE$2:$AE$66,Calc!$AF$2:$AF$66,Calc!$AG$2:$AG$66),MATCH($Y33,Calc!$A$2:$A$66,0)),"")</f>
        <v/>
      </c>
      <c r="M33" s="6">
        <f>IF(OR($E33="",$L33="",N($G33)&lt;=0),"",1-NORMDIST(FLOOR($E33,1)+0.5,$L33,$G33*SQRT($L33/$F33),TRUE))</f>
        <v/>
      </c>
      <c r="N33" t="n">
        <v>14.31</v>
      </c>
      <c r="O33" s="6">
        <f>IFERROR(INDEX(Calc!$H$2:$H$66,MATCH($Y33,Calc!$A$2:$A$66,0)),"")</f>
        <v/>
      </c>
      <c r="P33" s="6">
        <f>IFERROR(INDEX(Calc!$M$2:$M$66,MATCH($Y33,Calc!$A$2:$A$66,0)),"")</f>
        <v/>
      </c>
      <c r="Q33" t="n">
        <v>19.2</v>
      </c>
      <c r="R33" s="6" t="n">
        <v>1</v>
      </c>
      <c r="S33" s="6" t="n">
        <v>0.6</v>
      </c>
      <c r="T33" s="6" t="n">
        <v>0.53</v>
      </c>
      <c r="U33" t="inlineStr">
        <is>
          <t>28%/7/25</t>
        </is>
      </c>
      <c r="V33" t="n">
        <v>5</v>
      </c>
      <c r="X33">
        <f>IFERROR(INDEX(Calc!$AH$2:$AH$66,MATCH($Y33,Calc!$A$2:$A$66,0)),"")</f>
        <v/>
      </c>
      <c r="Y33" t="inlineStr">
        <is>
          <t>gjtmq8fbk0gya2i|DOTA · TY vs Liquid</t>
        </is>
      </c>
      <c r="Z33" t="inlineStr">
        <is>
          <t>K12</t>
        </is>
      </c>
      <c r="AA33">
        <f>Y33&amp;"|"&amp;Z33</f>
        <v/>
      </c>
    </row>
    <row r="34">
      <c r="A34" t="inlineStr">
        <is>
          <t>DOTA · TY vs Liquid</t>
        </is>
      </c>
      <c r="B34" t="inlineStr">
        <is>
          <t>Chira JUNIOR</t>
        </is>
      </c>
      <c r="C34" t="inlineStr">
        <is>
          <t>TY</t>
        </is>
      </c>
      <c r="D34" t="inlineStr">
        <is>
          <t>Maps 1-2 Kills</t>
        </is>
      </c>
      <c r="E34" t="n">
        <v>15.5</v>
      </c>
      <c r="F34" s="7">
        <f>IFERROR(INDEX(CHOOSE(MATCH($Z34,{"K1","K12","K13"},0),Calc!$Y$2:$Y$66,Calc!$AA$2:$AA$66,Calc!$AC$2:$AC$66),MATCH($Y34,Calc!$A$2:$A$66,0)),"")</f>
        <v/>
      </c>
      <c r="G34" s="7">
        <f>IFERROR(SQRT(INDEX(CHOOSE(MATCH($Z34,{"K1","K12","K13"},0),Calc!$Z$2:$Z$66,Calc!$AB$2:$AB$66,Calc!$AD$2:$AD$66),MATCH($Y34,Calc!$A$2:$A$66,0))),"")</f>
        <v/>
      </c>
      <c r="H34" s="6">
        <f>IF(OR($E34="",$F34="",N($G34)&lt;=0),"",1-NORMDIST(FLOOR($E34,1)+0.5,$F34,$G34,TRUE))</f>
        <v/>
      </c>
      <c r="I34" s="6">
        <f>IF($H34="","",NORMDIST(CEILING($E34,1)-0.5,$F34,$G34,TRUE))</f>
        <v/>
      </c>
      <c r="J34" s="6">
        <f>IF($H34="","",MAX(0,1-$H34-$I34))</f>
        <v/>
      </c>
      <c r="K34">
        <f>IF($H34="","",IF($H34&gt;=0.5+Config!$B$8,"OVER",IF($I34&gt;=0.5+Config!$B$8,"UNDER","—")))</f>
        <v/>
      </c>
      <c r="L34" s="7">
        <f>IFERROR(INDEX(CHOOSE(MATCH($Z34,{"K1","K12","K13"},0),Calc!$AE$2:$AE$66,Calc!$AF$2:$AF$66,Calc!$AG$2:$AG$66),MATCH($Y34,Calc!$A$2:$A$66,0)),"")</f>
        <v/>
      </c>
      <c r="M34" s="6">
        <f>IF(OR($E34="",$L34="",N($G34)&lt;=0),"",1-NORMDIST(FLOOR($E34,1)+0.5,$L34,$G34*SQRT($L34/$F34),TRUE))</f>
        <v/>
      </c>
      <c r="O34" s="6">
        <f>IFERROR(INDEX(Calc!$H$2:$H$66,MATCH($Y34,Calc!$A$2:$A$66,0)),"")</f>
        <v/>
      </c>
      <c r="P34" s="6">
        <f>IFERROR(INDEX(Calc!$M$2:$M$66,MATCH($Y34,Calc!$A$2:$A$66,0)),"")</f>
        <v/>
      </c>
      <c r="Q34" t="n">
        <v>15.6</v>
      </c>
      <c r="R34" s="6" t="n">
        <v>0.6</v>
      </c>
      <c r="S34" s="6" t="n">
        <v>0.4</v>
      </c>
      <c r="T34" s="6" t="n">
        <v>0.47</v>
      </c>
      <c r="U34" t="inlineStr">
        <is>
          <t>18%/2/11</t>
        </is>
      </c>
      <c r="V34" t="n">
        <v>-1</v>
      </c>
      <c r="X34">
        <f>IFERROR(INDEX(Calc!$AH$2:$AH$66,MATCH($Y34,Calc!$A$2:$A$66,0)),"")</f>
        <v/>
      </c>
      <c r="Y34" t="inlineStr">
        <is>
          <t>ms674i51eq6w83k|DOTA · TY vs Liquid</t>
        </is>
      </c>
      <c r="Z34" t="inlineStr">
        <is>
          <t>K12</t>
        </is>
      </c>
      <c r="AA34">
        <f>Y34&amp;"|"&amp;Z34</f>
        <v/>
      </c>
    </row>
    <row r="35">
      <c r="A35" t="inlineStr">
        <is>
          <t>DOTA · TY vs Liquid</t>
        </is>
      </c>
      <c r="B35" t="inlineStr">
        <is>
          <t>Malady</t>
        </is>
      </c>
      <c r="C35" t="inlineStr">
        <is>
          <t>TY</t>
        </is>
      </c>
      <c r="D35" t="inlineStr">
        <is>
          <t>Maps 1-2 Kills</t>
        </is>
      </c>
      <c r="E35" t="n">
        <v>6.5</v>
      </c>
      <c r="F35" s="7">
        <f>IFERROR(INDEX(CHOOSE(MATCH($Z35,{"K1","K12","K13"},0),Calc!$Y$2:$Y$66,Calc!$AA$2:$AA$66,Calc!$AC$2:$AC$66),MATCH($Y35,Calc!$A$2:$A$66,0)),"")</f>
        <v/>
      </c>
      <c r="G35" s="7">
        <f>IFERROR(SQRT(INDEX(CHOOSE(MATCH($Z35,{"K1","K12","K13"},0),Calc!$Z$2:$Z$66,Calc!$AB$2:$AB$66,Calc!$AD$2:$AD$66),MATCH($Y35,Calc!$A$2:$A$66,0))),"")</f>
        <v/>
      </c>
      <c r="H35" s="6">
        <f>IF(OR($E35="",$F35="",N($G35)&lt;=0),"",1-NORMDIST(FLOOR($E35,1)+0.5,$F35,$G35,TRUE))</f>
        <v/>
      </c>
      <c r="I35" s="6">
        <f>IF($H35="","",NORMDIST(CEILING($E35,1)-0.5,$F35,$G35,TRUE))</f>
        <v/>
      </c>
      <c r="J35" s="6">
        <f>IF($H35="","",MAX(0,1-$H35-$I35))</f>
        <v/>
      </c>
      <c r="K35">
        <f>IF($H35="","",IF($H35&gt;=0.5+Config!$B$8,"OVER",IF($I35&gt;=0.5+Config!$B$8,"UNDER","—")))</f>
        <v/>
      </c>
      <c r="L35" s="7">
        <f>IFERROR(INDEX(CHOOSE(MATCH($Z35,{"K1","K12","K13"},0),Calc!$AE$2:$AE$66,Calc!$AF$2:$AF$66,Calc!$AG$2:$AG$66),MATCH($Y35,Calc!$A$2:$A$66,0)),"")</f>
        <v/>
      </c>
      <c r="M35" s="6">
        <f>IF(OR($E35="",$L35="",N($G35)&lt;=0),"",1-NORMDIST(FLOOR($E35,1)+0.5,$L35,$G35*SQRT($L35/$F35),TRUE))</f>
        <v/>
      </c>
      <c r="N35" t="n">
        <v>5.57</v>
      </c>
      <c r="O35" s="6">
        <f>IFERROR(INDEX(Calc!$H$2:$H$66,MATCH($Y35,Calc!$A$2:$A$66,0)),"")</f>
        <v/>
      </c>
      <c r="P35" s="6">
        <f>IFERROR(INDEX(Calc!$M$2:$M$66,MATCH($Y35,Calc!$A$2:$A$66,0)),"")</f>
        <v/>
      </c>
      <c r="Q35" t="n">
        <v>6.8</v>
      </c>
      <c r="R35" s="6" t="n">
        <v>0.4</v>
      </c>
      <c r="S35" s="6" t="n">
        <v>0.3</v>
      </c>
      <c r="T35" s="6" t="n">
        <v>0.53</v>
      </c>
      <c r="U35" t="inlineStr">
        <is>
          <t>70%/7/10</t>
        </is>
      </c>
      <c r="V35" t="n">
        <v>-1</v>
      </c>
      <c r="X35">
        <f>IFERROR(INDEX(Calc!$AH$2:$AH$66,MATCH($Y35,Calc!$A$2:$A$66,0)),"")</f>
        <v/>
      </c>
      <c r="Y35" t="inlineStr">
        <is>
          <t>0ajkyqw3r0k1f5j|DOTA · TY vs Liquid</t>
        </is>
      </c>
      <c r="Z35" t="inlineStr">
        <is>
          <t>K12</t>
        </is>
      </c>
      <c r="AA35">
        <f>Y35&amp;"|"&amp;Z35</f>
        <v/>
      </c>
    </row>
    <row r="36">
      <c r="A36" t="inlineStr">
        <is>
          <t>DOTA · TY vs Liquid</t>
        </is>
      </c>
      <c r="B36" t="inlineStr">
        <is>
          <t>Saksa</t>
        </is>
      </c>
      <c r="C36" t="inlineStr">
        <is>
          <t>TY</t>
        </is>
      </c>
      <c r="D36" t="inlineStr">
        <is>
          <t>Maps 1-2 Kills</t>
        </is>
      </c>
      <c r="E36" t="n">
        <v>7.5</v>
      </c>
      <c r="F36" s="7">
        <f>IFERROR(INDEX(CHOOSE(MATCH($Z36,{"K1","K12","K13"},0),Calc!$Y$2:$Y$66,Calc!$AA$2:$AA$66,Calc!$AC$2:$AC$66),MATCH($Y36,Calc!$A$2:$A$66,0)),"")</f>
        <v/>
      </c>
      <c r="G36" s="7">
        <f>IFERROR(SQRT(INDEX(CHOOSE(MATCH($Z36,{"K1","K12","K13"},0),Calc!$Z$2:$Z$66,Calc!$AB$2:$AB$66,Calc!$AD$2:$AD$66),MATCH($Y36,Calc!$A$2:$A$66,0))),"")</f>
        <v/>
      </c>
      <c r="H36" s="6">
        <f>IF(OR($E36="",$F36="",N($G36)&lt;=0),"",1-NORMDIST(FLOOR($E36,1)+0.5,$F36,$G36,TRUE))</f>
        <v/>
      </c>
      <c r="I36" s="6">
        <f>IF($H36="","",NORMDIST(CEILING($E36,1)-0.5,$F36,$G36,TRUE))</f>
        <v/>
      </c>
      <c r="J36" s="6">
        <f>IF($H36="","",MAX(0,1-$H36-$I36))</f>
        <v/>
      </c>
      <c r="K36">
        <f>IF($H36="","",IF($H36&gt;=0.5+Config!$B$8,"OVER",IF($I36&gt;=0.5+Config!$B$8,"UNDER","—")))</f>
        <v/>
      </c>
      <c r="L36" s="7">
        <f>IFERROR(INDEX(CHOOSE(MATCH($Z36,{"K1","K12","K13"},0),Calc!$AE$2:$AE$66,Calc!$AF$2:$AF$66,Calc!$AG$2:$AG$66),MATCH($Y36,Calc!$A$2:$A$66,0)),"")</f>
        <v/>
      </c>
      <c r="M36" s="6">
        <f>IF(OR($E36="",$L36="",N($G36)&lt;=0),"",1-NORMDIST(FLOOR($E36,1)+0.5,$L36,$G36*SQRT($L36/$F36),TRUE))</f>
        <v/>
      </c>
      <c r="N36" t="n">
        <v>6.64</v>
      </c>
      <c r="O36" s="6">
        <f>IFERROR(INDEX(Calc!$H$2:$H$66,MATCH($Y36,Calc!$A$2:$A$66,0)),"")</f>
        <v/>
      </c>
      <c r="P36" s="6">
        <f>IFERROR(INDEX(Calc!$M$2:$M$66,MATCH($Y36,Calc!$A$2:$A$66,0)),"")</f>
        <v/>
      </c>
      <c r="Q36" t="n">
        <v>9.4</v>
      </c>
      <c r="R36" s="6" t="n">
        <v>0.6</v>
      </c>
      <c r="S36" s="6" t="n">
        <v>0.7</v>
      </c>
      <c r="T36" s="6" t="n">
        <v>0.6</v>
      </c>
      <c r="U36" t="inlineStr">
        <is>
          <t>56%/9/16</t>
        </is>
      </c>
      <c r="V36" t="n">
        <v>1</v>
      </c>
      <c r="X36">
        <f>IFERROR(INDEX(Calc!$AH$2:$AH$66,MATCH($Y36,Calc!$A$2:$A$66,0)),"")</f>
        <v/>
      </c>
      <c r="Y36" t="inlineStr">
        <is>
          <t>b2idu6d2bllmgsq|DOTA · TY vs Liquid</t>
        </is>
      </c>
      <c r="Z36" t="inlineStr">
        <is>
          <t>K12</t>
        </is>
      </c>
      <c r="AA36">
        <f>Y36&amp;"|"&amp;Z36</f>
        <v/>
      </c>
    </row>
    <row r="37">
      <c r="A37" t="inlineStr">
        <is>
          <t>DOTA · TY vs Liquid</t>
        </is>
      </c>
      <c r="B37" t="inlineStr">
        <is>
          <t>watson</t>
        </is>
      </c>
      <c r="C37" t="inlineStr">
        <is>
          <t>TY</t>
        </is>
      </c>
      <c r="D37" t="inlineStr">
        <is>
          <t>Maps 1-2 Kills</t>
        </is>
      </c>
      <c r="E37" t="n">
        <v>20.5</v>
      </c>
      <c r="F37" s="7">
        <f>IFERROR(INDEX(CHOOSE(MATCH($Z37,{"K1","K12","K13"},0),Calc!$Y$2:$Y$66,Calc!$AA$2:$AA$66,Calc!$AC$2:$AC$66),MATCH($Y37,Calc!$A$2:$A$66,0)),"")</f>
        <v/>
      </c>
      <c r="G37" s="7">
        <f>IFERROR(SQRT(INDEX(CHOOSE(MATCH($Z37,{"K1","K12","K13"},0),Calc!$Z$2:$Z$66,Calc!$AB$2:$AB$66,Calc!$AD$2:$AD$66),MATCH($Y37,Calc!$A$2:$A$66,0))),"")</f>
        <v/>
      </c>
      <c r="H37" s="6">
        <f>IF(OR($E37="",$F37="",N($G37)&lt;=0),"",1-NORMDIST(FLOOR($E37,1)+0.5,$F37,$G37,TRUE))</f>
        <v/>
      </c>
      <c r="I37" s="6">
        <f>IF($H37="","",NORMDIST(CEILING($E37,1)-0.5,$F37,$G37,TRUE))</f>
        <v/>
      </c>
      <c r="J37" s="6">
        <f>IF($H37="","",MAX(0,1-$H37-$I37))</f>
        <v/>
      </c>
      <c r="K37">
        <f>IF($H37="","",IF($H37&gt;=0.5+Config!$B$8,"OVER",IF($I37&gt;=0.5+Config!$B$8,"UNDER","—")))</f>
        <v/>
      </c>
      <c r="L37" s="7">
        <f>IFERROR(INDEX(CHOOSE(MATCH($Z37,{"K1","K12","K13"},0),Calc!$AE$2:$AE$66,Calc!$AF$2:$AF$66,Calc!$AG$2:$AG$66),MATCH($Y37,Calc!$A$2:$A$66,0)),"")</f>
        <v/>
      </c>
      <c r="M37" s="6">
        <f>IF(OR($E37="",$L37="",N($G37)&lt;=0),"",1-NORMDIST(FLOOR($E37,1)+0.5,$L37,$G37*SQRT($L37/$F37),TRUE))</f>
        <v/>
      </c>
      <c r="N37" t="n">
        <v>16.77</v>
      </c>
      <c r="O37" s="6">
        <f>IFERROR(INDEX(Calc!$H$2:$H$66,MATCH($Y37,Calc!$A$2:$A$66,0)),"")</f>
        <v/>
      </c>
      <c r="P37" s="6">
        <f>IFERROR(INDEX(Calc!$M$2:$M$66,MATCH($Y37,Calc!$A$2:$A$66,0)),"")</f>
        <v/>
      </c>
      <c r="Q37" t="n">
        <v>21</v>
      </c>
      <c r="R37" s="6" t="n">
        <v>0.4</v>
      </c>
      <c r="S37" s="6" t="n">
        <v>0.4</v>
      </c>
      <c r="T37" s="6" t="n">
        <v>0.47</v>
      </c>
      <c r="U37" t="inlineStr">
        <is>
          <t>40%/6/15</t>
        </is>
      </c>
      <c r="V37" t="n">
        <v>-1</v>
      </c>
      <c r="X37">
        <f>IFERROR(INDEX(Calc!$AH$2:$AH$66,MATCH($Y37,Calc!$A$2:$A$66,0)),"")</f>
        <v/>
      </c>
      <c r="Y37" t="inlineStr">
        <is>
          <t>sm63cqd6f6fdapn|DOTA · TY vs Liquid</t>
        </is>
      </c>
      <c r="Z37" t="inlineStr">
        <is>
          <t>K12</t>
        </is>
      </c>
      <c r="AA37">
        <f>Y37&amp;"|"&amp;Z37</f>
        <v/>
      </c>
    </row>
    <row r="38">
      <c r="A38" t="inlineStr">
        <is>
          <t>LOL · KC vs BLG</t>
        </is>
      </c>
      <c r="B38" t="inlineStr">
        <is>
          <t>knight</t>
        </is>
      </c>
      <c r="C38" t="inlineStr">
        <is>
          <t>BLG</t>
        </is>
      </c>
      <c r="D38" t="inlineStr">
        <is>
          <t>Map 1 Kills</t>
        </is>
      </c>
      <c r="E38" t="n">
        <v>5.5</v>
      </c>
      <c r="F38" s="7">
        <f>IFERROR(INDEX(CHOOSE(MATCH($Z38,{"K1","K12","K13"},0),Calc!$Y$2:$Y$66,Calc!$AA$2:$AA$66,Calc!$AC$2:$AC$66),MATCH($Y38,Calc!$A$2:$A$66,0)),"")</f>
        <v/>
      </c>
      <c r="G38" s="7">
        <f>IFERROR(SQRT(INDEX(CHOOSE(MATCH($Z38,{"K1","K12","K13"},0),Calc!$Z$2:$Z$66,Calc!$AB$2:$AB$66,Calc!$AD$2:$AD$66),MATCH($Y38,Calc!$A$2:$A$66,0))),"")</f>
        <v/>
      </c>
      <c r="H38" s="6">
        <f>IF(OR($E38="",$F38="",N($G38)&lt;=0),"",1-NORMDIST(FLOOR($E38,1)+0.5,$F38,$G38,TRUE))</f>
        <v/>
      </c>
      <c r="I38" s="6">
        <f>IF($H38="","",NORMDIST(CEILING($E38,1)-0.5,$F38,$G38,TRUE))</f>
        <v/>
      </c>
      <c r="J38" s="6">
        <f>IF($H38="","",MAX(0,1-$H38-$I38))</f>
        <v/>
      </c>
      <c r="K38">
        <f>IF($H38="","",IF($H38&gt;=0.5+Config!$B$8,"OVER",IF($I38&gt;=0.5+Config!$B$8,"UNDER","—")))</f>
        <v/>
      </c>
      <c r="L38" s="7">
        <f>IFERROR(INDEX(CHOOSE(MATCH($Z38,{"K1","K12","K13"},0),Calc!$AE$2:$AE$66,Calc!$AF$2:$AF$66,Calc!$AG$2:$AG$66),MATCH($Y38,Calc!$A$2:$A$66,0)),"")</f>
        <v/>
      </c>
      <c r="M38" s="6">
        <f>IF(OR($E38="",$L38="",N($G38)&lt;=0),"",1-NORMDIST(FLOOR($E38,1)+0.5,$L38,$G38*SQRT($L38/$F38),TRUE))</f>
        <v/>
      </c>
      <c r="N38" t="n">
        <v>4.91</v>
      </c>
      <c r="O38" s="6">
        <f>IFERROR(INDEX(Calc!$H$2:$H$66,MATCH($Y38,Calc!$A$2:$A$66,0)),"")</f>
        <v/>
      </c>
      <c r="P38" s="6">
        <f>IFERROR(INDEX(Calc!$M$2:$M$66,MATCH($Y38,Calc!$A$2:$A$66,0)),"")</f>
        <v/>
      </c>
      <c r="Q38" t="n">
        <v>4.6</v>
      </c>
      <c r="R38" s="6" t="n">
        <v>0.6</v>
      </c>
      <c r="S38" s="6" t="n">
        <v>0.5</v>
      </c>
      <c r="T38" s="6" t="n">
        <v>0.53</v>
      </c>
      <c r="U38" t="inlineStr">
        <is>
          <t>-</t>
        </is>
      </c>
      <c r="V38" t="n">
        <v>2</v>
      </c>
      <c r="X38">
        <f>IFERROR(INDEX(Calc!$AH$2:$AH$66,MATCH($Y38,Calc!$A$2:$A$66,0)),"")</f>
        <v/>
      </c>
      <c r="Y38" t="inlineStr">
        <is>
          <t>n4f7lv5wvxndbnw|LOL · KC vs BLG</t>
        </is>
      </c>
      <c r="Z38" t="inlineStr">
        <is>
          <t>K1</t>
        </is>
      </c>
      <c r="AA38">
        <f>Y38&amp;"|"&amp;Z38</f>
        <v/>
      </c>
    </row>
    <row r="39">
      <c r="A39" t="inlineStr">
        <is>
          <t>LOL · KC vs BLG</t>
        </is>
      </c>
      <c r="B39" t="inlineStr">
        <is>
          <t>ON</t>
        </is>
      </c>
      <c r="C39" t="inlineStr">
        <is>
          <t>BLG</t>
        </is>
      </c>
      <c r="D39" t="inlineStr">
        <is>
          <t>Map 1 Kills</t>
        </is>
      </c>
      <c r="E39" t="n">
        <v>0.5</v>
      </c>
      <c r="F39" s="7">
        <f>IFERROR(INDEX(CHOOSE(MATCH($Z39,{"K1","K12","K13"},0),Calc!$Y$2:$Y$66,Calc!$AA$2:$AA$66,Calc!$AC$2:$AC$66),MATCH($Y39,Calc!$A$2:$A$66,0)),"")</f>
        <v/>
      </c>
      <c r="G39" s="7">
        <f>IFERROR(SQRT(INDEX(CHOOSE(MATCH($Z39,{"K1","K12","K13"},0),Calc!$Z$2:$Z$66,Calc!$AB$2:$AB$66,Calc!$AD$2:$AD$66),MATCH($Y39,Calc!$A$2:$A$66,0))),"")</f>
        <v/>
      </c>
      <c r="H39" s="6">
        <f>IF(OR($E39="",$F39="",N($G39)&lt;=0),"",1-NORMDIST(FLOOR($E39,1)+0.5,$F39,$G39,TRUE))</f>
        <v/>
      </c>
      <c r="I39" s="6">
        <f>IF($H39="","",NORMDIST(CEILING($E39,1)-0.5,$F39,$G39,TRUE))</f>
        <v/>
      </c>
      <c r="J39" s="6">
        <f>IF($H39="","",MAX(0,1-$H39-$I39))</f>
        <v/>
      </c>
      <c r="K39">
        <f>IF($H39="","",IF($H39&gt;=0.5+Config!$B$8,"OVER",IF($I39&gt;=0.5+Config!$B$8,"UNDER","—")))</f>
        <v/>
      </c>
      <c r="L39" s="7">
        <f>IFERROR(INDEX(CHOOSE(MATCH($Z39,{"K1","K12","K13"},0),Calc!$AE$2:$AE$66,Calc!$AF$2:$AF$66,Calc!$AG$2:$AG$66),MATCH($Y39,Calc!$A$2:$A$66,0)),"")</f>
        <v/>
      </c>
      <c r="M39" s="6">
        <f>IF(OR($E39="",$L39="",N($G39)&lt;=0),"",1-NORMDIST(FLOOR($E39,1)+0.5,$L39,$G39*SQRT($L39/$F39),TRUE))</f>
        <v/>
      </c>
      <c r="O39" s="6">
        <f>IFERROR(INDEX(Calc!$H$2:$H$66,MATCH($Y39,Calc!$A$2:$A$66,0)),"")</f>
        <v/>
      </c>
      <c r="P39" s="6">
        <f>IFERROR(INDEX(Calc!$M$2:$M$66,MATCH($Y39,Calc!$A$2:$A$66,0)),"")</f>
        <v/>
      </c>
      <c r="Q39" t="n">
        <v>0.6</v>
      </c>
      <c r="R39" s="6" t="n">
        <v>0</v>
      </c>
      <c r="S39" s="6" t="n">
        <v>0.3</v>
      </c>
      <c r="T39" s="6" t="n">
        <v>0.4</v>
      </c>
      <c r="U39" t="inlineStr">
        <is>
          <t>-</t>
        </is>
      </c>
      <c r="V39" t="n">
        <v>-5</v>
      </c>
      <c r="X39">
        <f>IFERROR(INDEX(Calc!$AH$2:$AH$66,MATCH($Y39,Calc!$A$2:$A$66,0)),"")</f>
        <v/>
      </c>
      <c r="Y39" t="inlineStr">
        <is>
          <t>rxzjxi7ziezffrs|LOL · KC vs BLG</t>
        </is>
      </c>
      <c r="Z39" t="inlineStr">
        <is>
          <t>K1</t>
        </is>
      </c>
      <c r="AA39">
        <f>Y39&amp;"|"&amp;Z39</f>
        <v/>
      </c>
    </row>
    <row r="40">
      <c r="A40" t="inlineStr">
        <is>
          <t>LOL · KC vs BLG</t>
        </is>
      </c>
      <c r="B40" t="inlineStr">
        <is>
          <t>Viper</t>
        </is>
      </c>
      <c r="C40" t="inlineStr">
        <is>
          <t>BLG</t>
        </is>
      </c>
      <c r="D40" t="inlineStr">
        <is>
          <t>Map 1 Kills</t>
        </is>
      </c>
      <c r="E40" t="n">
        <v>4.5</v>
      </c>
      <c r="F40" s="7">
        <f>IFERROR(INDEX(CHOOSE(MATCH($Z40,{"K1","K12","K13"},0),Calc!$Y$2:$Y$66,Calc!$AA$2:$AA$66,Calc!$AC$2:$AC$66),MATCH($Y40,Calc!$A$2:$A$66,0)),"")</f>
        <v/>
      </c>
      <c r="G40" s="7">
        <f>IFERROR(SQRT(INDEX(CHOOSE(MATCH($Z40,{"K1","K12","K13"},0),Calc!$Z$2:$Z$66,Calc!$AB$2:$AB$66,Calc!$AD$2:$AD$66),MATCH($Y40,Calc!$A$2:$A$66,0))),"")</f>
        <v/>
      </c>
      <c r="H40" s="6">
        <f>IF(OR($E40="",$F40="",N($G40)&lt;=0),"",1-NORMDIST(FLOOR($E40,1)+0.5,$F40,$G40,TRUE))</f>
        <v/>
      </c>
      <c r="I40" s="6">
        <f>IF($H40="","",NORMDIST(CEILING($E40,1)-0.5,$F40,$G40,TRUE))</f>
        <v/>
      </c>
      <c r="J40" s="6">
        <f>IF($H40="","",MAX(0,1-$H40-$I40))</f>
        <v/>
      </c>
      <c r="K40">
        <f>IF($H40="","",IF($H40&gt;=0.5+Config!$B$8,"OVER",IF($I40&gt;=0.5+Config!$B$8,"UNDER","—")))</f>
        <v/>
      </c>
      <c r="L40" s="7">
        <f>IFERROR(INDEX(CHOOSE(MATCH($Z40,{"K1","K12","K13"},0),Calc!$AE$2:$AE$66,Calc!$AF$2:$AF$66,Calc!$AG$2:$AG$66),MATCH($Y40,Calc!$A$2:$A$66,0)),"")</f>
        <v/>
      </c>
      <c r="M40" s="6">
        <f>IF(OR($E40="",$L40="",N($G40)&lt;=0),"",1-NORMDIST(FLOOR($E40,1)+0.5,$L40,$G40*SQRT($L40/$F40),TRUE))</f>
        <v/>
      </c>
      <c r="N40" t="n">
        <v>4.43</v>
      </c>
      <c r="O40" s="6">
        <f>IFERROR(INDEX(Calc!$H$2:$H$66,MATCH($Y40,Calc!$A$2:$A$66,0)),"")</f>
        <v/>
      </c>
      <c r="P40" s="6">
        <f>IFERROR(INDEX(Calc!$M$2:$M$66,MATCH($Y40,Calc!$A$2:$A$66,0)),"")</f>
        <v/>
      </c>
      <c r="Q40" t="n">
        <v>4.4</v>
      </c>
      <c r="R40" s="6" t="n">
        <v>0.2</v>
      </c>
      <c r="S40" s="6" t="n">
        <v>0.3</v>
      </c>
      <c r="T40" s="6" t="n">
        <v>0.4</v>
      </c>
      <c r="U40" t="inlineStr">
        <is>
          <t>100%/2/2</t>
        </is>
      </c>
      <c r="V40" t="n">
        <v>-4</v>
      </c>
      <c r="X40">
        <f>IFERROR(INDEX(Calc!$AH$2:$AH$66,MATCH($Y40,Calc!$A$2:$A$66,0)),"")</f>
        <v/>
      </c>
      <c r="Y40" t="inlineStr">
        <is>
          <t>ik18oe6e112nifa|LOL · KC vs BLG</t>
        </is>
      </c>
      <c r="Z40" t="inlineStr">
        <is>
          <t>K1</t>
        </is>
      </c>
      <c r="AA40">
        <f>Y40&amp;"|"&amp;Z40</f>
        <v/>
      </c>
    </row>
    <row r="41">
      <c r="A41" t="inlineStr">
        <is>
          <t>LOL · KC vs BLG</t>
        </is>
      </c>
      <c r="B41" t="inlineStr">
        <is>
          <t>XUN</t>
        </is>
      </c>
      <c r="C41" t="inlineStr">
        <is>
          <t>BLG</t>
        </is>
      </c>
      <c r="D41" t="inlineStr">
        <is>
          <t>Map 1 Kills</t>
        </is>
      </c>
      <c r="E41" t="n">
        <v>3.5</v>
      </c>
      <c r="F41" s="7">
        <f>IFERROR(INDEX(CHOOSE(MATCH($Z41,{"K1","K12","K13"},0),Calc!$Y$2:$Y$66,Calc!$AA$2:$AA$66,Calc!$AC$2:$AC$66),MATCH($Y41,Calc!$A$2:$A$66,0)),"")</f>
        <v/>
      </c>
      <c r="G41" s="7">
        <f>IFERROR(SQRT(INDEX(CHOOSE(MATCH($Z41,{"K1","K12","K13"},0),Calc!$Z$2:$Z$66,Calc!$AB$2:$AB$66,Calc!$AD$2:$AD$66),MATCH($Y41,Calc!$A$2:$A$66,0))),"")</f>
        <v/>
      </c>
      <c r="H41" s="6">
        <f>IF(OR($E41="",$F41="",N($G41)&lt;=0),"",1-NORMDIST(FLOOR($E41,1)+0.5,$F41,$G41,TRUE))</f>
        <v/>
      </c>
      <c r="I41" s="6">
        <f>IF($H41="","",NORMDIST(CEILING($E41,1)-0.5,$F41,$G41,TRUE))</f>
        <v/>
      </c>
      <c r="J41" s="6">
        <f>IF($H41="","",MAX(0,1-$H41-$I41))</f>
        <v/>
      </c>
      <c r="K41">
        <f>IF($H41="","",IF($H41&gt;=0.5+Config!$B$8,"OVER",IF($I41&gt;=0.5+Config!$B$8,"UNDER","—")))</f>
        <v/>
      </c>
      <c r="L41" s="7">
        <f>IFERROR(INDEX(CHOOSE(MATCH($Z41,{"K1","K12","K13"},0),Calc!$AE$2:$AE$66,Calc!$AF$2:$AF$66,Calc!$AG$2:$AG$66),MATCH($Y41,Calc!$A$2:$A$66,0)),"")</f>
        <v/>
      </c>
      <c r="M41" s="6">
        <f>IF(OR($E41="",$L41="",N($G41)&lt;=0),"",1-NORMDIST(FLOOR($E41,1)+0.5,$L41,$G41*SQRT($L41/$F41),TRUE))</f>
        <v/>
      </c>
      <c r="N41" t="n">
        <v>3.4</v>
      </c>
      <c r="O41" s="6">
        <f>IFERROR(INDEX(Calc!$H$2:$H$66,MATCH($Y41,Calc!$A$2:$A$66,0)),"")</f>
        <v/>
      </c>
      <c r="P41" s="6">
        <f>IFERROR(INDEX(Calc!$M$2:$M$66,MATCH($Y41,Calc!$A$2:$A$66,0)),"")</f>
        <v/>
      </c>
      <c r="Q41" t="n">
        <v>3.8</v>
      </c>
      <c r="R41" s="6" t="n">
        <v>0.4</v>
      </c>
      <c r="S41" s="6" t="n">
        <v>0.4</v>
      </c>
      <c r="T41" s="6" t="n">
        <v>0.47</v>
      </c>
      <c r="U41" t="inlineStr">
        <is>
          <t>-</t>
        </is>
      </c>
      <c r="V41" t="n">
        <v>-3</v>
      </c>
      <c r="X41">
        <f>IFERROR(INDEX(Calc!$AH$2:$AH$66,MATCH($Y41,Calc!$A$2:$A$66,0)),"")</f>
        <v/>
      </c>
      <c r="Y41" t="inlineStr">
        <is>
          <t>3565cqfb2f3cq21|LOL · KC vs BLG</t>
        </is>
      </c>
      <c r="Z41" t="inlineStr">
        <is>
          <t>K1</t>
        </is>
      </c>
      <c r="AA41">
        <f>Y41&amp;"|"&amp;Z41</f>
        <v/>
      </c>
    </row>
    <row r="42">
      <c r="A42" t="inlineStr">
        <is>
          <t>LOL · KC vs BLG</t>
        </is>
      </c>
      <c r="B42" t="inlineStr">
        <is>
          <t>Caliste</t>
        </is>
      </c>
      <c r="C42" t="inlineStr">
        <is>
          <t>KC</t>
        </is>
      </c>
      <c r="D42" t="inlineStr">
        <is>
          <t>Map 1 Kills</t>
        </is>
      </c>
      <c r="E42" t="n">
        <v>3</v>
      </c>
      <c r="F42" s="7">
        <f>IFERROR(INDEX(CHOOSE(MATCH($Z42,{"K1","K12","K13"},0),Calc!$Y$2:$Y$66,Calc!$AA$2:$AA$66,Calc!$AC$2:$AC$66),MATCH($Y42,Calc!$A$2:$A$66,0)),"")</f>
        <v/>
      </c>
      <c r="G42" s="7">
        <f>IFERROR(SQRT(INDEX(CHOOSE(MATCH($Z42,{"K1","K12","K13"},0),Calc!$Z$2:$Z$66,Calc!$AB$2:$AB$66,Calc!$AD$2:$AD$66),MATCH($Y42,Calc!$A$2:$A$66,0))),"")</f>
        <v/>
      </c>
      <c r="H42" s="6">
        <f>IF(OR($E42="",$F42="",N($G42)&lt;=0),"",1-NORMDIST(FLOOR($E42,1)+0.5,$F42,$G42,TRUE))</f>
        <v/>
      </c>
      <c r="I42" s="6">
        <f>IF($H42="","",NORMDIST(CEILING($E42,1)-0.5,$F42,$G42,TRUE))</f>
        <v/>
      </c>
      <c r="J42" s="6">
        <f>IF($H42="","",MAX(0,1-$H42-$I42))</f>
        <v/>
      </c>
      <c r="K42">
        <f>IF($H42="","",IF($H42&gt;=0.5+Config!$B$8,"OVER",IF($I42&gt;=0.5+Config!$B$8,"UNDER","—")))</f>
        <v/>
      </c>
      <c r="L42" s="7">
        <f>IFERROR(INDEX(CHOOSE(MATCH($Z42,{"K1","K12","K13"},0),Calc!$AE$2:$AE$66,Calc!$AF$2:$AF$66,Calc!$AG$2:$AG$66),MATCH($Y42,Calc!$A$2:$A$66,0)),"")</f>
        <v/>
      </c>
      <c r="M42" s="6">
        <f>IF(OR($E42="",$L42="",N($G42)&lt;=0),"",1-NORMDIST(FLOOR($E42,1)+0.5,$L42,$G42*SQRT($L42/$F42),TRUE))</f>
        <v/>
      </c>
      <c r="N42" t="n">
        <v>2.92</v>
      </c>
      <c r="O42" s="6">
        <f>IFERROR(INDEX(Calc!$H$2:$H$66,MATCH($Y42,Calc!$A$2:$A$66,0)),"")</f>
        <v/>
      </c>
      <c r="P42" s="6">
        <f>IFERROR(INDEX(Calc!$M$2:$M$66,MATCH($Y42,Calc!$A$2:$A$66,0)),"")</f>
        <v/>
      </c>
      <c r="Q42" t="n">
        <v>4.2</v>
      </c>
      <c r="R42" s="6" t="n">
        <v>0.8</v>
      </c>
      <c r="S42" s="6" t="n">
        <v>0.8</v>
      </c>
      <c r="T42" s="6" t="n">
        <v>0.87</v>
      </c>
      <c r="U42" t="inlineStr">
        <is>
          <t>-</t>
        </is>
      </c>
      <c r="V42" t="n">
        <v>4</v>
      </c>
      <c r="W42" t="n">
        <v>3</v>
      </c>
      <c r="X42">
        <f>IFERROR(INDEX(Calc!$AH$2:$AH$66,MATCH($Y42,Calc!$A$2:$A$66,0)),"")</f>
        <v/>
      </c>
      <c r="Y42" t="inlineStr">
        <is>
          <t>60n3jocjohvthia|LOL · KC vs BLG</t>
        </is>
      </c>
      <c r="Z42" t="inlineStr">
        <is>
          <t>K1</t>
        </is>
      </c>
      <c r="AA42">
        <f>Y42&amp;"|"&amp;Z42</f>
        <v/>
      </c>
    </row>
    <row r="43">
      <c r="A43" t="inlineStr">
        <is>
          <t>LOL · KC vs BLG</t>
        </is>
      </c>
      <c r="B43" t="inlineStr">
        <is>
          <t>Kyeahoo</t>
        </is>
      </c>
      <c r="C43" t="inlineStr">
        <is>
          <t>KC</t>
        </is>
      </c>
      <c r="D43" t="inlineStr">
        <is>
          <t>Map 1 Kills</t>
        </is>
      </c>
      <c r="E43" t="n">
        <v>2</v>
      </c>
      <c r="F43" s="7">
        <f>IFERROR(INDEX(CHOOSE(MATCH($Z43,{"K1","K12","K13"},0),Calc!$Y$2:$Y$66,Calc!$AA$2:$AA$66,Calc!$AC$2:$AC$66),MATCH($Y43,Calc!$A$2:$A$66,0)),"")</f>
        <v/>
      </c>
      <c r="G43" s="7">
        <f>IFERROR(SQRT(INDEX(CHOOSE(MATCH($Z43,{"K1","K12","K13"},0),Calc!$Z$2:$Z$66,Calc!$AB$2:$AB$66,Calc!$AD$2:$AD$66),MATCH($Y43,Calc!$A$2:$A$66,0))),"")</f>
        <v/>
      </c>
      <c r="H43" s="6">
        <f>IF(OR($E43="",$F43="",N($G43)&lt;=0),"",1-NORMDIST(FLOOR($E43,1)+0.5,$F43,$G43,TRUE))</f>
        <v/>
      </c>
      <c r="I43" s="6">
        <f>IF($H43="","",NORMDIST(CEILING($E43,1)-0.5,$F43,$G43,TRUE))</f>
        <v/>
      </c>
      <c r="J43" s="6">
        <f>IF($H43="","",MAX(0,1-$H43-$I43))</f>
        <v/>
      </c>
      <c r="K43">
        <f>IF($H43="","",IF($H43&gt;=0.5+Config!$B$8,"OVER",IF($I43&gt;=0.5+Config!$B$8,"UNDER","—")))</f>
        <v/>
      </c>
      <c r="L43" s="7">
        <f>IFERROR(INDEX(CHOOSE(MATCH($Z43,{"K1","K12","K13"},0),Calc!$AE$2:$AE$66,Calc!$AF$2:$AF$66,Calc!$AG$2:$AG$66),MATCH($Y43,Calc!$A$2:$A$66,0)),"")</f>
        <v/>
      </c>
      <c r="M43" s="6">
        <f>IF(OR($E43="",$L43="",N($G43)&lt;=0),"",1-NORMDIST(FLOOR($E43,1)+0.5,$L43,$G43*SQRT($L43/$F43),TRUE))</f>
        <v/>
      </c>
      <c r="N43" t="n">
        <v>2.16</v>
      </c>
      <c r="O43" s="6">
        <f>IFERROR(INDEX(Calc!$H$2:$H$66,MATCH($Y43,Calc!$A$2:$A$66,0)),"")</f>
        <v/>
      </c>
      <c r="P43" s="6">
        <f>IFERROR(INDEX(Calc!$M$2:$M$66,MATCH($Y43,Calc!$A$2:$A$66,0)),"")</f>
        <v/>
      </c>
      <c r="Q43" t="n">
        <v>2.4</v>
      </c>
      <c r="R43" s="6" t="n">
        <v>0.4</v>
      </c>
      <c r="S43" s="6" t="n">
        <v>0.6</v>
      </c>
      <c r="T43" s="6" t="n">
        <v>0.67</v>
      </c>
      <c r="U43" t="inlineStr">
        <is>
          <t>-</t>
        </is>
      </c>
      <c r="V43" t="n">
        <v>-2</v>
      </c>
      <c r="W43" t="n">
        <v>2</v>
      </c>
      <c r="X43">
        <f>IFERROR(INDEX(Calc!$AH$2:$AH$66,MATCH($Y43,Calc!$A$2:$A$66,0)),"")</f>
        <v/>
      </c>
      <c r="Y43" t="inlineStr">
        <is>
          <t>cp4ibkwui10xeyj|LOL · KC vs BLG</t>
        </is>
      </c>
      <c r="Z43" t="inlineStr">
        <is>
          <t>K1</t>
        </is>
      </c>
      <c r="AA43">
        <f>Y43&amp;"|"&amp;Z43</f>
        <v/>
      </c>
    </row>
    <row r="44">
      <c r="A44" t="inlineStr">
        <is>
          <t>LOL · KC vs BLG</t>
        </is>
      </c>
      <c r="B44" t="inlineStr">
        <is>
          <t>Yike</t>
        </is>
      </c>
      <c r="C44" t="inlineStr">
        <is>
          <t>KC</t>
        </is>
      </c>
      <c r="D44" t="inlineStr">
        <is>
          <t>Map 1 Kills</t>
        </is>
      </c>
      <c r="E44" t="n">
        <v>2.5</v>
      </c>
      <c r="F44" s="7">
        <f>IFERROR(INDEX(CHOOSE(MATCH($Z44,{"K1","K12","K13"},0),Calc!$Y$2:$Y$66,Calc!$AA$2:$AA$66,Calc!$AC$2:$AC$66),MATCH($Y44,Calc!$A$2:$A$66,0)),"")</f>
        <v/>
      </c>
      <c r="G44" s="7">
        <f>IFERROR(SQRT(INDEX(CHOOSE(MATCH($Z44,{"K1","K12","K13"},0),Calc!$Z$2:$Z$66,Calc!$AB$2:$AB$66,Calc!$AD$2:$AD$66),MATCH($Y44,Calc!$A$2:$A$66,0))),"")</f>
        <v/>
      </c>
      <c r="H44" s="6">
        <f>IF(OR($E44="",$F44="",N($G44)&lt;=0),"",1-NORMDIST(FLOOR($E44,1)+0.5,$F44,$G44,TRUE))</f>
        <v/>
      </c>
      <c r="I44" s="6">
        <f>IF($H44="","",NORMDIST(CEILING($E44,1)-0.5,$F44,$G44,TRUE))</f>
        <v/>
      </c>
      <c r="J44" s="6">
        <f>IF($H44="","",MAX(0,1-$H44-$I44))</f>
        <v/>
      </c>
      <c r="K44">
        <f>IF($H44="","",IF($H44&gt;=0.5+Config!$B$8,"OVER",IF($I44&gt;=0.5+Config!$B$8,"UNDER","—")))</f>
        <v/>
      </c>
      <c r="L44" s="7">
        <f>IFERROR(INDEX(CHOOSE(MATCH($Z44,{"K1","K12","K13"},0),Calc!$AE$2:$AE$66,Calc!$AF$2:$AF$66,Calc!$AG$2:$AG$66),MATCH($Y44,Calc!$A$2:$A$66,0)),"")</f>
        <v/>
      </c>
      <c r="M44" s="6">
        <f>IF(OR($E44="",$L44="",N($G44)&lt;=0),"",1-NORMDIST(FLOOR($E44,1)+0.5,$L44,$G44*SQRT($L44/$F44),TRUE))</f>
        <v/>
      </c>
      <c r="N44" t="n">
        <v>2.1</v>
      </c>
      <c r="O44" s="6">
        <f>IFERROR(INDEX(Calc!$H$2:$H$66,MATCH($Y44,Calc!$A$2:$A$66,0)),"")</f>
        <v/>
      </c>
      <c r="P44" s="6">
        <f>IFERROR(INDEX(Calc!$M$2:$M$66,MATCH($Y44,Calc!$A$2:$A$66,0)),"")</f>
        <v/>
      </c>
      <c r="Q44" t="n">
        <v>3.1</v>
      </c>
      <c r="R44" s="6" t="n">
        <v>0.4</v>
      </c>
      <c r="S44" s="6" t="n">
        <v>0.5</v>
      </c>
      <c r="T44" s="6" t="n">
        <v>0.53</v>
      </c>
      <c r="U44" t="inlineStr">
        <is>
          <t>0%/0/1</t>
        </is>
      </c>
      <c r="V44" t="n">
        <v>2</v>
      </c>
      <c r="X44">
        <f>IFERROR(INDEX(Calc!$AH$2:$AH$66,MATCH($Y44,Calc!$A$2:$A$66,0)),"")</f>
        <v/>
      </c>
      <c r="Y44" t="inlineStr">
        <is>
          <t>rfespsq7mcurckt|LOL · KC vs BLG</t>
        </is>
      </c>
      <c r="Z44" t="inlineStr">
        <is>
          <t>K1</t>
        </is>
      </c>
      <c r="AA44">
        <f>Y44&amp;"|"&amp;Z44</f>
        <v/>
      </c>
    </row>
    <row r="45">
      <c r="A45" t="inlineStr">
        <is>
          <t>LOL · LOS vs TSW</t>
        </is>
      </c>
      <c r="B45" t="inlineStr">
        <is>
          <t>Duduhh</t>
        </is>
      </c>
      <c r="C45" t="inlineStr">
        <is>
          <t>LOS</t>
        </is>
      </c>
      <c r="D45" t="inlineStr">
        <is>
          <t>Maps 1-2 Kills</t>
        </is>
      </c>
      <c r="E45" t="n">
        <v>6.5</v>
      </c>
      <c r="F45" s="7">
        <f>IFERROR(INDEX(CHOOSE(MATCH($Z45,{"K1","K12","K13"},0),Calc!$Y$2:$Y$66,Calc!$AA$2:$AA$66,Calc!$AC$2:$AC$66),MATCH($Y45,Calc!$A$2:$A$66,0)),"")</f>
        <v/>
      </c>
      <c r="G45" s="7">
        <f>IFERROR(SQRT(INDEX(CHOOSE(MATCH($Z45,{"K1","K12","K13"},0),Calc!$Z$2:$Z$66,Calc!$AB$2:$AB$66,Calc!$AD$2:$AD$66),MATCH($Y45,Calc!$A$2:$A$66,0))),"")</f>
        <v/>
      </c>
      <c r="H45" s="6">
        <f>IF(OR($E45="",$F45="",N($G45)&lt;=0),"",1-NORMDIST(FLOOR($E45,1)+0.5,$F45,$G45,TRUE))</f>
        <v/>
      </c>
      <c r="I45" s="6">
        <f>IF($H45="","",NORMDIST(CEILING($E45,1)-0.5,$F45,$G45,TRUE))</f>
        <v/>
      </c>
      <c r="J45" s="6">
        <f>IF($H45="","",MAX(0,1-$H45-$I45))</f>
        <v/>
      </c>
      <c r="K45">
        <f>IF($H45="","",IF($H45&gt;=0.5+Config!$B$8,"OVER",IF($I45&gt;=0.5+Config!$B$8,"UNDER","—")))</f>
        <v/>
      </c>
      <c r="L45" s="7">
        <f>IFERROR(INDEX(CHOOSE(MATCH($Z45,{"K1","K12","K13"},0),Calc!$AE$2:$AE$66,Calc!$AF$2:$AF$66,Calc!$AG$2:$AG$66),MATCH($Y45,Calc!$A$2:$A$66,0)),"")</f>
        <v/>
      </c>
      <c r="M45" s="6">
        <f>IF(OR($E45="",$L45="",N($G45)&lt;=0),"",1-NORMDIST(FLOOR($E45,1)+0.5,$L45,$G45*SQRT($L45/$F45),TRUE))</f>
        <v/>
      </c>
      <c r="O45" s="6">
        <f>IFERROR(INDEX(Calc!$H$2:$H$66,MATCH($Y45,Calc!$A$2:$A$66,0)),"")</f>
        <v/>
      </c>
      <c r="P45" s="6">
        <f>IFERROR(INDEX(Calc!$M$2:$M$66,MATCH($Y45,Calc!$A$2:$A$66,0)),"")</f>
        <v/>
      </c>
      <c r="Q45" t="n">
        <v>7.7</v>
      </c>
      <c r="R45" s="6" t="n">
        <v>0.6</v>
      </c>
      <c r="S45" s="6" t="n">
        <v>0.6</v>
      </c>
      <c r="T45" s="6" t="n">
        <v>0.6</v>
      </c>
      <c r="U45" t="inlineStr">
        <is>
          <t>-</t>
        </is>
      </c>
      <c r="V45" t="n">
        <v>1</v>
      </c>
      <c r="X45">
        <f>IFERROR(INDEX(Calc!$AH$2:$AH$66,MATCH($Y45,Calc!$A$2:$A$66,0)),"")</f>
        <v/>
      </c>
      <c r="Y45" t="inlineStr">
        <is>
          <t>f3sr4wlphwob12v|LOL · LOS vs TSW</t>
        </is>
      </c>
      <c r="Z45" t="inlineStr">
        <is>
          <t>K12</t>
        </is>
      </c>
      <c r="AA45">
        <f>Y45&amp;"|"&amp;Z45</f>
        <v/>
      </c>
    </row>
    <row r="46">
      <c r="A46" t="inlineStr">
        <is>
          <t>LOL · LOS vs TSW</t>
        </is>
      </c>
      <c r="B46" t="inlineStr">
        <is>
          <t>Feisty</t>
        </is>
      </c>
      <c r="C46" t="inlineStr">
        <is>
          <t>LOS</t>
        </is>
      </c>
      <c r="D46" t="inlineStr">
        <is>
          <t>Maps 1-2 Kills</t>
        </is>
      </c>
      <c r="E46" t="n">
        <v>6</v>
      </c>
      <c r="F46" s="7">
        <f>IFERROR(INDEX(CHOOSE(MATCH($Z46,{"K1","K12","K13"},0),Calc!$Y$2:$Y$66,Calc!$AA$2:$AA$66,Calc!$AC$2:$AC$66),MATCH($Y46,Calc!$A$2:$A$66,0)),"")</f>
        <v/>
      </c>
      <c r="G46" s="7">
        <f>IFERROR(SQRT(INDEX(CHOOSE(MATCH($Z46,{"K1","K12","K13"},0),Calc!$Z$2:$Z$66,Calc!$AB$2:$AB$66,Calc!$AD$2:$AD$66),MATCH($Y46,Calc!$A$2:$A$66,0))),"")</f>
        <v/>
      </c>
      <c r="H46" s="6">
        <f>IF(OR($E46="",$F46="",N($G46)&lt;=0),"",1-NORMDIST(FLOOR($E46,1)+0.5,$F46,$G46,TRUE))</f>
        <v/>
      </c>
      <c r="I46" s="6">
        <f>IF($H46="","",NORMDIST(CEILING($E46,1)-0.5,$F46,$G46,TRUE))</f>
        <v/>
      </c>
      <c r="J46" s="6">
        <f>IF($H46="","",MAX(0,1-$H46-$I46))</f>
        <v/>
      </c>
      <c r="K46">
        <f>IF($H46="","",IF($H46&gt;=0.5+Config!$B$8,"OVER",IF($I46&gt;=0.5+Config!$B$8,"UNDER","—")))</f>
        <v/>
      </c>
      <c r="L46" s="7">
        <f>IFERROR(INDEX(CHOOSE(MATCH($Z46,{"K1","K12","K13"},0),Calc!$AE$2:$AE$66,Calc!$AF$2:$AF$66,Calc!$AG$2:$AG$66),MATCH($Y46,Calc!$A$2:$A$66,0)),"")</f>
        <v/>
      </c>
      <c r="M46" s="6">
        <f>IF(OR($E46="",$L46="",N($G46)&lt;=0),"",1-NORMDIST(FLOOR($E46,1)+0.5,$L46,$G46*SQRT($L46/$F46),TRUE))</f>
        <v/>
      </c>
      <c r="O46" s="6">
        <f>IFERROR(INDEX(Calc!$H$2:$H$66,MATCH($Y46,Calc!$A$2:$A$66,0)),"")</f>
        <v/>
      </c>
      <c r="P46" s="6">
        <f>IFERROR(INDEX(Calc!$M$2:$M$66,MATCH($Y46,Calc!$A$2:$A$66,0)),"")</f>
        <v/>
      </c>
      <c r="Q46" t="n">
        <v>8.199999999999999</v>
      </c>
      <c r="R46" s="6" t="n">
        <v>0.8</v>
      </c>
      <c r="S46" s="6" t="n">
        <v>0.8</v>
      </c>
      <c r="T46" s="6" t="n">
        <v>0.73</v>
      </c>
      <c r="U46" t="inlineStr">
        <is>
          <t>-</t>
        </is>
      </c>
      <c r="V46" t="n">
        <v>3</v>
      </c>
      <c r="W46" t="n">
        <v>1</v>
      </c>
      <c r="X46">
        <f>IFERROR(INDEX(Calc!$AH$2:$AH$66,MATCH($Y46,Calc!$A$2:$A$66,0)),"")</f>
        <v/>
      </c>
      <c r="Y46" t="inlineStr">
        <is>
          <t>7an3gm5ji18vw08|LOL · LOS vs TSW</t>
        </is>
      </c>
      <c r="Z46" t="inlineStr">
        <is>
          <t>K12</t>
        </is>
      </c>
      <c r="AA46">
        <f>Y46&amp;"|"&amp;Z46</f>
        <v/>
      </c>
    </row>
    <row r="47">
      <c r="A47" t="inlineStr">
        <is>
          <t>LOL · LOS vs TSW</t>
        </is>
      </c>
      <c r="B47" t="inlineStr">
        <is>
          <t>ZEST</t>
        </is>
      </c>
      <c r="C47" t="inlineStr">
        <is>
          <t>LOS</t>
        </is>
      </c>
      <c r="D47" t="inlineStr">
        <is>
          <t>Maps 1-2 Kills</t>
        </is>
      </c>
      <c r="E47" t="n">
        <v>5.5</v>
      </c>
      <c r="F47" s="7">
        <f>IFERROR(INDEX(CHOOSE(MATCH($Z47,{"K1","K12","K13"},0),Calc!$Y$2:$Y$66,Calc!$AA$2:$AA$66,Calc!$AC$2:$AC$66),MATCH($Y47,Calc!$A$2:$A$66,0)),"")</f>
        <v/>
      </c>
      <c r="G47" s="7">
        <f>IFERROR(SQRT(INDEX(CHOOSE(MATCH($Z47,{"K1","K12","K13"},0),Calc!$Z$2:$Z$66,Calc!$AB$2:$AB$66,Calc!$AD$2:$AD$66),MATCH($Y47,Calc!$A$2:$A$66,0))),"")</f>
        <v/>
      </c>
      <c r="H47" s="6">
        <f>IF(OR($E47="",$F47="",N($G47)&lt;=0),"",1-NORMDIST(FLOOR($E47,1)+0.5,$F47,$G47,TRUE))</f>
        <v/>
      </c>
      <c r="I47" s="6">
        <f>IF($H47="","",NORMDIST(CEILING($E47,1)-0.5,$F47,$G47,TRUE))</f>
        <v/>
      </c>
      <c r="J47" s="6">
        <f>IF($H47="","",MAX(0,1-$H47-$I47))</f>
        <v/>
      </c>
      <c r="K47">
        <f>IF($H47="","",IF($H47&gt;=0.5+Config!$B$8,"OVER",IF($I47&gt;=0.5+Config!$B$8,"UNDER","—")))</f>
        <v/>
      </c>
      <c r="L47" s="7">
        <f>IFERROR(INDEX(CHOOSE(MATCH($Z47,{"K1","K12","K13"},0),Calc!$AE$2:$AE$66,Calc!$AF$2:$AF$66,Calc!$AG$2:$AG$66),MATCH($Y47,Calc!$A$2:$A$66,0)),"")</f>
        <v/>
      </c>
      <c r="M47" s="6">
        <f>IF(OR($E47="",$L47="",N($G47)&lt;=0),"",1-NORMDIST(FLOOR($E47,1)+0.5,$L47,$G47*SQRT($L47/$F47),TRUE))</f>
        <v/>
      </c>
      <c r="O47" s="6">
        <f>IFERROR(INDEX(Calc!$H$2:$H$66,MATCH($Y47,Calc!$A$2:$A$66,0)),"")</f>
        <v/>
      </c>
      <c r="P47" s="6">
        <f>IFERROR(INDEX(Calc!$M$2:$M$66,MATCH($Y47,Calc!$A$2:$A$66,0)),"")</f>
        <v/>
      </c>
      <c r="Q47" t="n">
        <v>7</v>
      </c>
      <c r="R47" s="6" t="n">
        <v>0.8</v>
      </c>
      <c r="S47" s="6" t="n">
        <v>0.7</v>
      </c>
      <c r="T47" s="6" t="n">
        <v>0.73</v>
      </c>
      <c r="U47" t="inlineStr">
        <is>
          <t>-</t>
        </is>
      </c>
      <c r="V47" t="n">
        <v>4</v>
      </c>
      <c r="X47">
        <f>IFERROR(INDEX(Calc!$AH$2:$AH$66,MATCH($Y47,Calc!$A$2:$A$66,0)),"")</f>
        <v/>
      </c>
      <c r="Y47" t="inlineStr">
        <is>
          <t>1wrgwhi0wuse7fq|LOL · LOS vs TSW</t>
        </is>
      </c>
      <c r="Z47" t="inlineStr">
        <is>
          <t>K12</t>
        </is>
      </c>
      <c r="AA47">
        <f>Y47&amp;"|"&amp;Z47</f>
        <v/>
      </c>
    </row>
    <row r="48">
      <c r="A48" t="inlineStr">
        <is>
          <t>LOL · LOS vs TSW</t>
        </is>
      </c>
      <c r="B48" t="inlineStr">
        <is>
          <t>Dire</t>
        </is>
      </c>
      <c r="C48" t="inlineStr">
        <is>
          <t>TSW</t>
        </is>
      </c>
      <c r="D48" t="inlineStr">
        <is>
          <t>Maps 1-2 Kills</t>
        </is>
      </c>
      <c r="E48" t="n">
        <v>8</v>
      </c>
      <c r="F48" s="7">
        <f>IFERROR(INDEX(CHOOSE(MATCH($Z48,{"K1","K12","K13"},0),Calc!$Y$2:$Y$66,Calc!$AA$2:$AA$66,Calc!$AC$2:$AC$66),MATCH($Y48,Calc!$A$2:$A$66,0)),"")</f>
        <v/>
      </c>
      <c r="G48" s="7">
        <f>IFERROR(SQRT(INDEX(CHOOSE(MATCH($Z48,{"K1","K12","K13"},0),Calc!$Z$2:$Z$66,Calc!$AB$2:$AB$66,Calc!$AD$2:$AD$66),MATCH($Y48,Calc!$A$2:$A$66,0))),"")</f>
        <v/>
      </c>
      <c r="H48" s="6">
        <f>IF(OR($E48="",$F48="",N($G48)&lt;=0),"",1-NORMDIST(FLOOR($E48,1)+0.5,$F48,$G48,TRUE))</f>
        <v/>
      </c>
      <c r="I48" s="6">
        <f>IF($H48="","",NORMDIST(CEILING($E48,1)-0.5,$F48,$G48,TRUE))</f>
        <v/>
      </c>
      <c r="J48" s="6">
        <f>IF($H48="","",MAX(0,1-$H48-$I48))</f>
        <v/>
      </c>
      <c r="K48">
        <f>IF($H48="","",IF($H48&gt;=0.5+Config!$B$8,"OVER",IF($I48&gt;=0.5+Config!$B$8,"UNDER","—")))</f>
        <v/>
      </c>
      <c r="L48" s="7">
        <f>IFERROR(INDEX(CHOOSE(MATCH($Z48,{"K1","K12","K13"},0),Calc!$AE$2:$AE$66,Calc!$AF$2:$AF$66,Calc!$AG$2:$AG$66),MATCH($Y48,Calc!$A$2:$A$66,0)),"")</f>
        <v/>
      </c>
      <c r="M48" s="6">
        <f>IF(OR($E48="",$L48="",N($G48)&lt;=0),"",1-NORMDIST(FLOOR($E48,1)+0.5,$L48,$G48*SQRT($L48/$F48),TRUE))</f>
        <v/>
      </c>
      <c r="O48" s="6">
        <f>IFERROR(INDEX(Calc!$H$2:$H$66,MATCH($Y48,Calc!$A$2:$A$66,0)),"")</f>
        <v/>
      </c>
      <c r="P48" s="6">
        <f>IFERROR(INDEX(Calc!$M$2:$M$66,MATCH($Y48,Calc!$A$2:$A$66,0)),"")</f>
        <v/>
      </c>
      <c r="Q48" t="n">
        <v>9.5</v>
      </c>
      <c r="R48" s="6" t="n">
        <v>0.8</v>
      </c>
      <c r="S48" s="6" t="n">
        <v>0.7</v>
      </c>
      <c r="T48" s="6" t="n">
        <v>0.67</v>
      </c>
      <c r="U48" t="inlineStr">
        <is>
          <t>-</t>
        </is>
      </c>
      <c r="V48" t="n">
        <v>4</v>
      </c>
      <c r="W48" t="n">
        <v>1</v>
      </c>
      <c r="X48">
        <f>IFERROR(INDEX(Calc!$AH$2:$AH$66,MATCH($Y48,Calc!$A$2:$A$66,0)),"")</f>
        <v/>
      </c>
      <c r="Y48" t="inlineStr">
        <is>
          <t>gvmentfvocz0hg6|LOL · LOS vs TSW</t>
        </is>
      </c>
      <c r="Z48" t="inlineStr">
        <is>
          <t>K12</t>
        </is>
      </c>
      <c r="AA48">
        <f>Y48&amp;"|"&amp;Z48</f>
        <v/>
      </c>
    </row>
    <row r="49">
      <c r="A49" t="inlineStr">
        <is>
          <t>LOL · LOS vs TSW</t>
        </is>
      </c>
      <c r="B49" t="inlineStr">
        <is>
          <t>Eddie</t>
        </is>
      </c>
      <c r="C49" t="inlineStr">
        <is>
          <t>TSW</t>
        </is>
      </c>
      <c r="D49" t="inlineStr">
        <is>
          <t>Maps 1-2 Kills</t>
        </is>
      </c>
      <c r="E49" t="n">
        <v>8.5</v>
      </c>
      <c r="F49" s="7">
        <f>IFERROR(INDEX(CHOOSE(MATCH($Z49,{"K1","K12","K13"},0),Calc!$Y$2:$Y$66,Calc!$AA$2:$AA$66,Calc!$AC$2:$AC$66),MATCH($Y49,Calc!$A$2:$A$66,0)),"")</f>
        <v/>
      </c>
      <c r="G49" s="7">
        <f>IFERROR(SQRT(INDEX(CHOOSE(MATCH($Z49,{"K1","K12","K13"},0),Calc!$Z$2:$Z$66,Calc!$AB$2:$AB$66,Calc!$AD$2:$AD$66),MATCH($Y49,Calc!$A$2:$A$66,0))),"")</f>
        <v/>
      </c>
      <c r="H49" s="6">
        <f>IF(OR($E49="",$F49="",N($G49)&lt;=0),"",1-NORMDIST(FLOOR($E49,1)+0.5,$F49,$G49,TRUE))</f>
        <v/>
      </c>
      <c r="I49" s="6">
        <f>IF($H49="","",NORMDIST(CEILING($E49,1)-0.5,$F49,$G49,TRUE))</f>
        <v/>
      </c>
      <c r="J49" s="6">
        <f>IF($H49="","",MAX(0,1-$H49-$I49))</f>
        <v/>
      </c>
      <c r="K49">
        <f>IF($H49="","",IF($H49&gt;=0.5+Config!$B$8,"OVER",IF($I49&gt;=0.5+Config!$B$8,"UNDER","—")))</f>
        <v/>
      </c>
      <c r="L49" s="7">
        <f>IFERROR(INDEX(CHOOSE(MATCH($Z49,{"K1","K12","K13"},0),Calc!$AE$2:$AE$66,Calc!$AF$2:$AF$66,Calc!$AG$2:$AG$66),MATCH($Y49,Calc!$A$2:$A$66,0)),"")</f>
        <v/>
      </c>
      <c r="M49" s="6">
        <f>IF(OR($E49="",$L49="",N($G49)&lt;=0),"",1-NORMDIST(FLOOR($E49,1)+0.5,$L49,$G49*SQRT($L49/$F49),TRUE))</f>
        <v/>
      </c>
      <c r="O49" s="6">
        <f>IFERROR(INDEX(Calc!$H$2:$H$66,MATCH($Y49,Calc!$A$2:$A$66,0)),"")</f>
        <v/>
      </c>
      <c r="P49" s="6">
        <f>IFERROR(INDEX(Calc!$M$2:$M$66,MATCH($Y49,Calc!$A$2:$A$66,0)),"")</f>
        <v/>
      </c>
      <c r="Q49" t="n">
        <v>10.1</v>
      </c>
      <c r="R49" s="6" t="n">
        <v>0.8</v>
      </c>
      <c r="S49" s="6" t="n">
        <v>0.7</v>
      </c>
      <c r="T49" s="6" t="n">
        <v>0.6</v>
      </c>
      <c r="U49" t="inlineStr">
        <is>
          <t>-</t>
        </is>
      </c>
      <c r="V49" t="n">
        <v>4</v>
      </c>
      <c r="X49">
        <f>IFERROR(INDEX(Calc!$AH$2:$AH$66,MATCH($Y49,Calc!$A$2:$A$66,0)),"")</f>
        <v/>
      </c>
      <c r="Y49" t="inlineStr">
        <is>
          <t>83idh6ozvn5jb33|LOL · LOS vs TSW</t>
        </is>
      </c>
      <c r="Z49" t="inlineStr">
        <is>
          <t>K12</t>
        </is>
      </c>
      <c r="AA49">
        <f>Y49&amp;"|"&amp;Z49</f>
        <v/>
      </c>
    </row>
    <row r="50">
      <c r="A50" t="inlineStr">
        <is>
          <t>LOL · LOS vs TSW</t>
        </is>
      </c>
      <c r="B50" t="inlineStr">
        <is>
          <t>Hizto</t>
        </is>
      </c>
      <c r="C50" t="inlineStr">
        <is>
          <t>TSW</t>
        </is>
      </c>
      <c r="D50" t="inlineStr">
        <is>
          <t>Maps 1-2 Kills</t>
        </is>
      </c>
      <c r="E50" t="n">
        <v>7.5</v>
      </c>
      <c r="F50" s="7">
        <f>IFERROR(INDEX(CHOOSE(MATCH($Z50,{"K1","K12","K13"},0),Calc!$Y$2:$Y$66,Calc!$AA$2:$AA$66,Calc!$AC$2:$AC$66),MATCH($Y50,Calc!$A$2:$A$66,0)),"")</f>
        <v/>
      </c>
      <c r="G50" s="7">
        <f>IFERROR(SQRT(INDEX(CHOOSE(MATCH($Z50,{"K1","K12","K13"},0),Calc!$Z$2:$Z$66,Calc!$AB$2:$AB$66,Calc!$AD$2:$AD$66),MATCH($Y50,Calc!$A$2:$A$66,0))),"")</f>
        <v/>
      </c>
      <c r="H50" s="6">
        <f>IF(OR($E50="",$F50="",N($G50)&lt;=0),"",1-NORMDIST(FLOOR($E50,1)+0.5,$F50,$G50,TRUE))</f>
        <v/>
      </c>
      <c r="I50" s="6">
        <f>IF($H50="","",NORMDIST(CEILING($E50,1)-0.5,$F50,$G50,TRUE))</f>
        <v/>
      </c>
      <c r="J50" s="6">
        <f>IF($H50="","",MAX(0,1-$H50-$I50))</f>
        <v/>
      </c>
      <c r="K50">
        <f>IF($H50="","",IF($H50&gt;=0.5+Config!$B$8,"OVER",IF($I50&gt;=0.5+Config!$B$8,"UNDER","—")))</f>
        <v/>
      </c>
      <c r="L50" s="7">
        <f>IFERROR(INDEX(CHOOSE(MATCH($Z50,{"K1","K12","K13"},0),Calc!$AE$2:$AE$66,Calc!$AF$2:$AF$66,Calc!$AG$2:$AG$66),MATCH($Y50,Calc!$A$2:$A$66,0)),"")</f>
        <v/>
      </c>
      <c r="M50" s="6">
        <f>IF(OR($E50="",$L50="",N($G50)&lt;=0),"",1-NORMDIST(FLOOR($E50,1)+0.5,$L50,$G50*SQRT($L50/$F50),TRUE))</f>
        <v/>
      </c>
      <c r="O50" s="6">
        <f>IFERROR(INDEX(Calc!$H$2:$H$66,MATCH($Y50,Calc!$A$2:$A$66,0)),"")</f>
        <v/>
      </c>
      <c r="P50" s="6">
        <f>IFERROR(INDEX(Calc!$M$2:$M$66,MATCH($Y50,Calc!$A$2:$A$66,0)),"")</f>
        <v/>
      </c>
      <c r="Q50" t="n">
        <v>8.4</v>
      </c>
      <c r="R50" s="6" t="n">
        <v>0.2</v>
      </c>
      <c r="S50" s="6" t="n">
        <v>0.5</v>
      </c>
      <c r="T50" s="6" t="n">
        <v>0.53</v>
      </c>
      <c r="U50" t="inlineStr">
        <is>
          <t>-</t>
        </is>
      </c>
      <c r="V50" t="n">
        <v>-2</v>
      </c>
      <c r="X50">
        <f>IFERROR(INDEX(Calc!$AH$2:$AH$66,MATCH($Y50,Calc!$A$2:$A$66,0)),"")</f>
        <v/>
      </c>
      <c r="Y50" t="inlineStr">
        <is>
          <t>coeji50w1xpfl1z|LOL · LOS vs TSW</t>
        </is>
      </c>
      <c r="Z50" t="inlineStr">
        <is>
          <t>K12</t>
        </is>
      </c>
      <c r="AA50">
        <f>Y50&amp;"|"&amp;Z50</f>
        <v/>
      </c>
    </row>
    <row r="51">
      <c r="A51" t="inlineStr">
        <is>
          <t>LOL · LOS vs TSW</t>
        </is>
      </c>
      <c r="B51" t="inlineStr">
        <is>
          <t>Pun</t>
        </is>
      </c>
      <c r="C51" t="inlineStr">
        <is>
          <t>TSW</t>
        </is>
      </c>
      <c r="D51" t="inlineStr">
        <is>
          <t>Maps 1-2 Kills</t>
        </is>
      </c>
      <c r="E51" t="n">
        <v>6</v>
      </c>
      <c r="F51" s="7">
        <f>IFERROR(INDEX(CHOOSE(MATCH($Z51,{"K1","K12","K13"},0),Calc!$Y$2:$Y$66,Calc!$AA$2:$AA$66,Calc!$AC$2:$AC$66),MATCH($Y51,Calc!$A$2:$A$66,0)),"")</f>
        <v/>
      </c>
      <c r="G51" s="7">
        <f>IFERROR(SQRT(INDEX(CHOOSE(MATCH($Z51,{"K1","K12","K13"},0),Calc!$Z$2:$Z$66,Calc!$AB$2:$AB$66,Calc!$AD$2:$AD$66),MATCH($Y51,Calc!$A$2:$A$66,0))),"")</f>
        <v/>
      </c>
      <c r="H51" s="6">
        <f>IF(OR($E51="",$F51="",N($G51)&lt;=0),"",1-NORMDIST(FLOOR($E51,1)+0.5,$F51,$G51,TRUE))</f>
        <v/>
      </c>
      <c r="I51" s="6">
        <f>IF($H51="","",NORMDIST(CEILING($E51,1)-0.5,$F51,$G51,TRUE))</f>
        <v/>
      </c>
      <c r="J51" s="6">
        <f>IF($H51="","",MAX(0,1-$H51-$I51))</f>
        <v/>
      </c>
      <c r="K51">
        <f>IF($H51="","",IF($H51&gt;=0.5+Config!$B$8,"OVER",IF($I51&gt;=0.5+Config!$B$8,"UNDER","—")))</f>
        <v/>
      </c>
      <c r="L51" s="7">
        <f>IFERROR(INDEX(CHOOSE(MATCH($Z51,{"K1","K12","K13"},0),Calc!$AE$2:$AE$66,Calc!$AF$2:$AF$66,Calc!$AG$2:$AG$66),MATCH($Y51,Calc!$A$2:$A$66,0)),"")</f>
        <v/>
      </c>
      <c r="M51" s="6">
        <f>IF(OR($E51="",$L51="",N($G51)&lt;=0),"",1-NORMDIST(FLOOR($E51,1)+0.5,$L51,$G51*SQRT($L51/$F51),TRUE))</f>
        <v/>
      </c>
      <c r="O51" s="6">
        <f>IFERROR(INDEX(Calc!$H$2:$H$66,MATCH($Y51,Calc!$A$2:$A$66,0)),"")</f>
        <v/>
      </c>
      <c r="P51" s="6">
        <f>IFERROR(INDEX(Calc!$M$2:$M$66,MATCH($Y51,Calc!$A$2:$A$66,0)),"")</f>
        <v/>
      </c>
      <c r="Q51" t="n">
        <v>5.8</v>
      </c>
      <c r="R51" s="6" t="n">
        <v>0.4</v>
      </c>
      <c r="S51" s="6" t="n">
        <v>0.6</v>
      </c>
      <c r="T51" s="6" t="n">
        <v>0.53</v>
      </c>
      <c r="U51" t="inlineStr">
        <is>
          <t>-</t>
        </is>
      </c>
      <c r="V51" t="n">
        <v>1</v>
      </c>
      <c r="W51" t="n">
        <v>2</v>
      </c>
      <c r="X51">
        <f>IFERROR(INDEX(Calc!$AH$2:$AH$66,MATCH($Y51,Calc!$A$2:$A$66,0)),"")</f>
        <v/>
      </c>
      <c r="Y51" t="inlineStr">
        <is>
          <t>exrkst6ic4sj8yi|LOL · LOS vs TSW</t>
        </is>
      </c>
      <c r="Z51" t="inlineStr">
        <is>
          <t>K12</t>
        </is>
      </c>
      <c r="AA51">
        <f>Y51&amp;"|"&amp;Z51</f>
        <v/>
      </c>
    </row>
    <row r="52">
      <c r="A52" t="inlineStr">
        <is>
          <t>LOL · T1 vs CFO</t>
        </is>
      </c>
      <c r="B52" t="inlineStr">
        <is>
          <t>Doggo</t>
        </is>
      </c>
      <c r="C52" t="inlineStr">
        <is>
          <t>CFO</t>
        </is>
      </c>
      <c r="D52" t="inlineStr">
        <is>
          <t>Map 1 Kills</t>
        </is>
      </c>
      <c r="E52" t="n">
        <v>3</v>
      </c>
      <c r="F52" s="7">
        <f>IFERROR(INDEX(CHOOSE(MATCH($Z52,{"K1","K12","K13"},0),Calc!$Y$2:$Y$66,Calc!$AA$2:$AA$66,Calc!$AC$2:$AC$66),MATCH($Y52,Calc!$A$2:$A$66,0)),"")</f>
        <v/>
      </c>
      <c r="G52" s="7">
        <f>IFERROR(SQRT(INDEX(CHOOSE(MATCH($Z52,{"K1","K12","K13"},0),Calc!$Z$2:$Z$66,Calc!$AB$2:$AB$66,Calc!$AD$2:$AD$66),MATCH($Y52,Calc!$A$2:$A$66,0))),"")</f>
        <v/>
      </c>
      <c r="H52" s="6">
        <f>IF(OR($E52="",$F52="",N($G52)&lt;=0),"",1-NORMDIST(FLOOR($E52,1)+0.5,$F52,$G52,TRUE))</f>
        <v/>
      </c>
      <c r="I52" s="6">
        <f>IF($H52="","",NORMDIST(CEILING($E52,1)-0.5,$F52,$G52,TRUE))</f>
        <v/>
      </c>
      <c r="J52" s="6">
        <f>IF($H52="","",MAX(0,1-$H52-$I52))</f>
        <v/>
      </c>
      <c r="K52">
        <f>IF($H52="","",IF($H52&gt;=0.5+Config!$B$8,"OVER",IF($I52&gt;=0.5+Config!$B$8,"UNDER","—")))</f>
        <v/>
      </c>
      <c r="L52" s="7">
        <f>IFERROR(INDEX(CHOOSE(MATCH($Z52,{"K1","K12","K13"},0),Calc!$AE$2:$AE$66,Calc!$AF$2:$AF$66,Calc!$AG$2:$AG$66),MATCH($Y52,Calc!$A$2:$A$66,0)),"")</f>
        <v/>
      </c>
      <c r="M52" s="6">
        <f>IF(OR($E52="",$L52="",N($G52)&lt;=0),"",1-NORMDIST(FLOOR($E52,1)+0.5,$L52,$G52*SQRT($L52/$F52),TRUE))</f>
        <v/>
      </c>
      <c r="N52" t="n">
        <v>2.69</v>
      </c>
      <c r="O52" s="6">
        <f>IFERROR(INDEX(Calc!$H$2:$H$66,MATCH($Y52,Calc!$A$2:$A$66,0)),"")</f>
        <v/>
      </c>
      <c r="P52" s="6">
        <f>IFERROR(INDEX(Calc!$M$2:$M$66,MATCH($Y52,Calc!$A$2:$A$66,0)),"")</f>
        <v/>
      </c>
      <c r="Q52" t="n">
        <v>5.1</v>
      </c>
      <c r="R52" s="6" t="n">
        <v>0.6</v>
      </c>
      <c r="S52" s="6" t="n">
        <v>0.6</v>
      </c>
      <c r="T52" s="6" t="n">
        <v>0.6</v>
      </c>
      <c r="U52" t="inlineStr">
        <is>
          <t>100%/2/2</t>
        </is>
      </c>
      <c r="V52" t="n">
        <v>-2</v>
      </c>
      <c r="W52" t="n">
        <v>0</v>
      </c>
      <c r="X52">
        <f>IFERROR(INDEX(Calc!$AH$2:$AH$66,MATCH($Y52,Calc!$A$2:$A$66,0)),"")</f>
        <v/>
      </c>
      <c r="Y52" t="inlineStr">
        <is>
          <t>a5wl3rb1ss2ow7n|LOL · T1 vs CFO</t>
        </is>
      </c>
      <c r="Z52" t="inlineStr">
        <is>
          <t>K1</t>
        </is>
      </c>
      <c r="AA52">
        <f>Y52&amp;"|"&amp;Z52</f>
        <v/>
      </c>
    </row>
    <row r="53">
      <c r="A53" t="inlineStr">
        <is>
          <t>LOL · T1 vs CFO</t>
        </is>
      </c>
      <c r="B53" t="inlineStr">
        <is>
          <t>Pout</t>
        </is>
      </c>
      <c r="C53" t="inlineStr">
        <is>
          <t>CFO</t>
        </is>
      </c>
      <c r="D53" t="inlineStr">
        <is>
          <t>Map 1 Kills</t>
        </is>
      </c>
      <c r="E53" t="n">
        <v>2</v>
      </c>
      <c r="F53" s="7">
        <f>IFERROR(INDEX(CHOOSE(MATCH($Z53,{"K1","K12","K13"},0),Calc!$Y$2:$Y$66,Calc!$AA$2:$AA$66,Calc!$AC$2:$AC$66),MATCH($Y53,Calc!$A$2:$A$66,0)),"")</f>
        <v/>
      </c>
      <c r="G53" s="7">
        <f>IFERROR(SQRT(INDEX(CHOOSE(MATCH($Z53,{"K1","K12","K13"},0),Calc!$Z$2:$Z$66,Calc!$AB$2:$AB$66,Calc!$AD$2:$AD$66),MATCH($Y53,Calc!$A$2:$A$66,0))),"")</f>
        <v/>
      </c>
      <c r="H53" s="6">
        <f>IF(OR($E53="",$F53="",N($G53)&lt;=0),"",1-NORMDIST(FLOOR($E53,1)+0.5,$F53,$G53,TRUE))</f>
        <v/>
      </c>
      <c r="I53" s="6">
        <f>IF($H53="","",NORMDIST(CEILING($E53,1)-0.5,$F53,$G53,TRUE))</f>
        <v/>
      </c>
      <c r="J53" s="6">
        <f>IF($H53="","",MAX(0,1-$H53-$I53))</f>
        <v/>
      </c>
      <c r="K53">
        <f>IF($H53="","",IF($H53&gt;=0.5+Config!$B$8,"OVER",IF($I53&gt;=0.5+Config!$B$8,"UNDER","—")))</f>
        <v/>
      </c>
      <c r="L53" s="7">
        <f>IFERROR(INDEX(CHOOSE(MATCH($Z53,{"K1","K12","K13"},0),Calc!$AE$2:$AE$66,Calc!$AF$2:$AF$66,Calc!$AG$2:$AG$66),MATCH($Y53,Calc!$A$2:$A$66,0)),"")</f>
        <v/>
      </c>
      <c r="M53" s="6">
        <f>IF(OR($E53="",$L53="",N($G53)&lt;=0),"",1-NORMDIST(FLOOR($E53,1)+0.5,$L53,$G53*SQRT($L53/$F53),TRUE))</f>
        <v/>
      </c>
      <c r="N53" t="n">
        <v>2.12</v>
      </c>
      <c r="O53" s="6">
        <f>IFERROR(INDEX(Calc!$H$2:$H$66,MATCH($Y53,Calc!$A$2:$A$66,0)),"")</f>
        <v/>
      </c>
      <c r="P53" s="6">
        <f>IFERROR(INDEX(Calc!$M$2:$M$66,MATCH($Y53,Calc!$A$2:$A$66,0)),"")</f>
        <v/>
      </c>
      <c r="Q53" t="n">
        <v>2.6</v>
      </c>
      <c r="R53" s="6" t="n">
        <v>0.6</v>
      </c>
      <c r="S53" s="6" t="n">
        <v>0.6</v>
      </c>
      <c r="T53" s="6" t="n">
        <v>0.73</v>
      </c>
      <c r="U53" t="inlineStr">
        <is>
          <t>-</t>
        </is>
      </c>
      <c r="V53" t="n">
        <v>1</v>
      </c>
      <c r="W53" t="n">
        <v>3</v>
      </c>
      <c r="X53">
        <f>IFERROR(INDEX(Calc!$AH$2:$AH$66,MATCH($Y53,Calc!$A$2:$A$66,0)),"")</f>
        <v/>
      </c>
      <c r="Y53" t="inlineStr">
        <is>
          <t>tn5wihneq593t21|LOL · T1 vs CFO</t>
        </is>
      </c>
      <c r="Z53" t="inlineStr">
        <is>
          <t>K1</t>
        </is>
      </c>
      <c r="AA53">
        <f>Y53&amp;"|"&amp;Z53</f>
        <v/>
      </c>
    </row>
    <row r="54">
      <c r="A54" t="inlineStr">
        <is>
          <t>LOL · T1 vs CFO</t>
        </is>
      </c>
      <c r="B54" t="inlineStr">
        <is>
          <t>Rest</t>
        </is>
      </c>
      <c r="C54" t="inlineStr">
        <is>
          <t>CFO</t>
        </is>
      </c>
      <c r="D54" t="inlineStr">
        <is>
          <t>Map 1 Kills</t>
        </is>
      </c>
      <c r="E54" t="n">
        <v>1.5</v>
      </c>
      <c r="F54" s="7">
        <f>IFERROR(INDEX(CHOOSE(MATCH($Z54,{"K1","K12","K13"},0),Calc!$Y$2:$Y$66,Calc!$AA$2:$AA$66,Calc!$AC$2:$AC$66),MATCH($Y54,Calc!$A$2:$A$66,0)),"")</f>
        <v/>
      </c>
      <c r="G54" s="7">
        <f>IFERROR(SQRT(INDEX(CHOOSE(MATCH($Z54,{"K1","K12","K13"},0),Calc!$Z$2:$Z$66,Calc!$AB$2:$AB$66,Calc!$AD$2:$AD$66),MATCH($Y54,Calc!$A$2:$A$66,0))),"")</f>
        <v/>
      </c>
      <c r="H54" s="6">
        <f>IF(OR($E54="",$F54="",N($G54)&lt;=0),"",1-NORMDIST(FLOOR($E54,1)+0.5,$F54,$G54,TRUE))</f>
        <v/>
      </c>
      <c r="I54" s="6">
        <f>IF($H54="","",NORMDIST(CEILING($E54,1)-0.5,$F54,$G54,TRUE))</f>
        <v/>
      </c>
      <c r="J54" s="6">
        <f>IF($H54="","",MAX(0,1-$H54-$I54))</f>
        <v/>
      </c>
      <c r="K54">
        <f>IF($H54="","",IF($H54&gt;=0.5+Config!$B$8,"OVER",IF($I54&gt;=0.5+Config!$B$8,"UNDER","—")))</f>
        <v/>
      </c>
      <c r="L54" s="7">
        <f>IFERROR(INDEX(CHOOSE(MATCH($Z54,{"K1","K12","K13"},0),Calc!$AE$2:$AE$66,Calc!$AF$2:$AF$66,Calc!$AG$2:$AG$66),MATCH($Y54,Calc!$A$2:$A$66,0)),"")</f>
        <v/>
      </c>
      <c r="M54" s="6">
        <f>IF(OR($E54="",$L54="",N($G54)&lt;=0),"",1-NORMDIST(FLOOR($E54,1)+0.5,$L54,$G54*SQRT($L54/$F54),TRUE))</f>
        <v/>
      </c>
      <c r="N54" t="n">
        <v>1.39</v>
      </c>
      <c r="O54" s="6">
        <f>IFERROR(INDEX(Calc!$H$2:$H$66,MATCH($Y54,Calc!$A$2:$A$66,0)),"")</f>
        <v/>
      </c>
      <c r="P54" s="6">
        <f>IFERROR(INDEX(Calc!$M$2:$M$66,MATCH($Y54,Calc!$A$2:$A$66,0)),"")</f>
        <v/>
      </c>
      <c r="Q54" t="n">
        <v>1.7</v>
      </c>
      <c r="R54" s="6" t="n">
        <v>0.6</v>
      </c>
      <c r="S54" s="6" t="n">
        <v>0.4</v>
      </c>
      <c r="T54" s="6" t="n">
        <v>0.4</v>
      </c>
      <c r="U54" t="inlineStr">
        <is>
          <t>0%/0/1</t>
        </is>
      </c>
      <c r="V54" t="n">
        <v>2</v>
      </c>
      <c r="X54">
        <f>IFERROR(INDEX(Calc!$AH$2:$AH$66,MATCH($Y54,Calc!$A$2:$A$66,0)),"")</f>
        <v/>
      </c>
      <c r="Y54" t="inlineStr">
        <is>
          <t>53mtwbqgfk1n5zk|LOL · T1 vs CFO</t>
        </is>
      </c>
      <c r="Z54" t="inlineStr">
        <is>
          <t>K1</t>
        </is>
      </c>
      <c r="AA54">
        <f>Y54&amp;"|"&amp;Z54</f>
        <v/>
      </c>
    </row>
    <row r="55">
      <c r="A55" t="inlineStr">
        <is>
          <t>LOL · T1 vs CFO</t>
        </is>
      </c>
      <c r="B55" t="inlineStr">
        <is>
          <t>Shad0w</t>
        </is>
      </c>
      <c r="C55" t="inlineStr">
        <is>
          <t>CFO</t>
        </is>
      </c>
      <c r="D55" t="inlineStr">
        <is>
          <t>Map 1 Kills</t>
        </is>
      </c>
      <c r="E55" t="n">
        <v>2.5</v>
      </c>
      <c r="F55" s="7">
        <f>IFERROR(INDEX(CHOOSE(MATCH($Z55,{"K1","K12","K13"},0),Calc!$Y$2:$Y$66,Calc!$AA$2:$AA$66,Calc!$AC$2:$AC$66),MATCH($Y55,Calc!$A$2:$A$66,0)),"")</f>
        <v/>
      </c>
      <c r="G55" s="7">
        <f>IFERROR(SQRT(INDEX(CHOOSE(MATCH($Z55,{"K1","K12","K13"},0),Calc!$Z$2:$Z$66,Calc!$AB$2:$AB$66,Calc!$AD$2:$AD$66),MATCH($Y55,Calc!$A$2:$A$66,0))),"")</f>
        <v/>
      </c>
      <c r="H55" s="6">
        <f>IF(OR($E55="",$F55="",N($G55)&lt;=0),"",1-NORMDIST(FLOOR($E55,1)+0.5,$F55,$G55,TRUE))</f>
        <v/>
      </c>
      <c r="I55" s="6">
        <f>IF($H55="","",NORMDIST(CEILING($E55,1)-0.5,$F55,$G55,TRUE))</f>
        <v/>
      </c>
      <c r="J55" s="6">
        <f>IF($H55="","",MAX(0,1-$H55-$I55))</f>
        <v/>
      </c>
      <c r="K55">
        <f>IF($H55="","",IF($H55&gt;=0.5+Config!$B$8,"OVER",IF($I55&gt;=0.5+Config!$B$8,"UNDER","—")))</f>
        <v/>
      </c>
      <c r="L55" s="7">
        <f>IFERROR(INDEX(CHOOSE(MATCH($Z55,{"K1","K12","K13"},0),Calc!$AE$2:$AE$66,Calc!$AF$2:$AF$66,Calc!$AG$2:$AG$66),MATCH($Y55,Calc!$A$2:$A$66,0)),"")</f>
        <v/>
      </c>
      <c r="M55" s="6">
        <f>IF(OR($E55="",$L55="",N($G55)&lt;=0),"",1-NORMDIST(FLOOR($E55,1)+0.5,$L55,$G55*SQRT($L55/$F55),TRUE))</f>
        <v/>
      </c>
      <c r="N55" t="n">
        <v>1.88</v>
      </c>
      <c r="O55" s="6">
        <f>IFERROR(INDEX(Calc!$H$2:$H$66,MATCH($Y55,Calc!$A$2:$A$66,0)),"")</f>
        <v/>
      </c>
      <c r="P55" s="6">
        <f>IFERROR(INDEX(Calc!$M$2:$M$66,MATCH($Y55,Calc!$A$2:$A$66,0)),"")</f>
        <v/>
      </c>
      <c r="Q55" t="n">
        <v>3.1</v>
      </c>
      <c r="R55" s="6" t="n">
        <v>0.4</v>
      </c>
      <c r="S55" s="6" t="n">
        <v>0.4</v>
      </c>
      <c r="T55" s="6" t="n">
        <v>0.47</v>
      </c>
      <c r="U55" t="inlineStr">
        <is>
          <t>-</t>
        </is>
      </c>
      <c r="V55" t="n">
        <v>-1</v>
      </c>
      <c r="X55">
        <f>IFERROR(INDEX(Calc!$AH$2:$AH$66,MATCH($Y55,Calc!$A$2:$A$66,0)),"")</f>
        <v/>
      </c>
      <c r="Y55" t="inlineStr">
        <is>
          <t>ko4ayhltzyln940|LOL · T1 vs CFO</t>
        </is>
      </c>
      <c r="Z55" t="inlineStr">
        <is>
          <t>K1</t>
        </is>
      </c>
      <c r="AA55">
        <f>Y55&amp;"|"&amp;Z55</f>
        <v/>
      </c>
    </row>
    <row r="56">
      <c r="A56" t="inlineStr">
        <is>
          <t>LOL · T1 vs CFO</t>
        </is>
      </c>
      <c r="B56" t="inlineStr">
        <is>
          <t>Faker</t>
        </is>
      </c>
      <c r="C56" t="inlineStr">
        <is>
          <t>T1</t>
        </is>
      </c>
      <c r="D56" t="inlineStr">
        <is>
          <t>Map 1 Kills</t>
        </is>
      </c>
      <c r="E56" t="n">
        <v>4.5</v>
      </c>
      <c r="F56" s="7">
        <f>IFERROR(INDEX(CHOOSE(MATCH($Z56,{"K1","K12","K13"},0),Calc!$Y$2:$Y$66,Calc!$AA$2:$AA$66,Calc!$AC$2:$AC$66),MATCH($Y56,Calc!$A$2:$A$66,0)),"")</f>
        <v/>
      </c>
      <c r="G56" s="7">
        <f>IFERROR(SQRT(INDEX(CHOOSE(MATCH($Z56,{"K1","K12","K13"},0),Calc!$Z$2:$Z$66,Calc!$AB$2:$AB$66,Calc!$AD$2:$AD$66),MATCH($Y56,Calc!$A$2:$A$66,0))),"")</f>
        <v/>
      </c>
      <c r="H56" s="6">
        <f>IF(OR($E56="",$F56="",N($G56)&lt;=0),"",1-NORMDIST(FLOOR($E56,1)+0.5,$F56,$G56,TRUE))</f>
        <v/>
      </c>
      <c r="I56" s="6">
        <f>IF($H56="","",NORMDIST(CEILING($E56,1)-0.5,$F56,$G56,TRUE))</f>
        <v/>
      </c>
      <c r="J56" s="6">
        <f>IF($H56="","",MAX(0,1-$H56-$I56))</f>
        <v/>
      </c>
      <c r="K56">
        <f>IF($H56="","",IF($H56&gt;=0.5+Config!$B$8,"OVER",IF($I56&gt;=0.5+Config!$B$8,"UNDER","—")))</f>
        <v/>
      </c>
      <c r="L56" s="7">
        <f>IFERROR(INDEX(CHOOSE(MATCH($Z56,{"K1","K12","K13"},0),Calc!$AE$2:$AE$66,Calc!$AF$2:$AF$66,Calc!$AG$2:$AG$66),MATCH($Y56,Calc!$A$2:$A$66,0)),"")</f>
        <v/>
      </c>
      <c r="M56" s="6">
        <f>IF(OR($E56="",$L56="",N($G56)&lt;=0),"",1-NORMDIST(FLOOR($E56,1)+0.5,$L56,$G56*SQRT($L56/$F56),TRUE))</f>
        <v/>
      </c>
      <c r="N56" t="n">
        <v>3.76</v>
      </c>
      <c r="O56" s="6">
        <f>IFERROR(INDEX(Calc!$H$2:$H$66,MATCH($Y56,Calc!$A$2:$A$66,0)),"")</f>
        <v/>
      </c>
      <c r="P56" s="6">
        <f>IFERROR(INDEX(Calc!$M$2:$M$66,MATCH($Y56,Calc!$A$2:$A$66,0)),"")</f>
        <v/>
      </c>
      <c r="Q56" t="n">
        <v>2.9</v>
      </c>
      <c r="R56" s="6" t="n">
        <v>0.2</v>
      </c>
      <c r="S56" s="6" t="n">
        <v>0.2</v>
      </c>
      <c r="T56" s="6" t="n">
        <v>0.33</v>
      </c>
      <c r="U56" t="inlineStr">
        <is>
          <t>50%/1/2</t>
        </is>
      </c>
      <c r="V56" t="n">
        <v>-1</v>
      </c>
      <c r="X56">
        <f>IFERROR(INDEX(Calc!$AH$2:$AH$66,MATCH($Y56,Calc!$A$2:$A$66,0)),"")</f>
        <v/>
      </c>
      <c r="Y56" t="inlineStr">
        <is>
          <t>xejs6635mp9yjls|LOL · T1 vs CFO</t>
        </is>
      </c>
      <c r="Z56" t="inlineStr">
        <is>
          <t>K1</t>
        </is>
      </c>
      <c r="AA56">
        <f>Y56&amp;"|"&amp;Z56</f>
        <v/>
      </c>
    </row>
    <row r="57">
      <c r="A57" t="inlineStr">
        <is>
          <t>LOL · T1 vs CFO</t>
        </is>
      </c>
      <c r="B57" t="inlineStr">
        <is>
          <t>Oner</t>
        </is>
      </c>
      <c r="C57" t="inlineStr">
        <is>
          <t>T1</t>
        </is>
      </c>
      <c r="D57" t="inlineStr">
        <is>
          <t>Map 1 Kills</t>
        </is>
      </c>
      <c r="E57" t="n">
        <v>4.5</v>
      </c>
      <c r="F57" s="7">
        <f>IFERROR(INDEX(CHOOSE(MATCH($Z57,{"K1","K12","K13"},0),Calc!$Y$2:$Y$66,Calc!$AA$2:$AA$66,Calc!$AC$2:$AC$66),MATCH($Y57,Calc!$A$2:$A$66,0)),"")</f>
        <v/>
      </c>
      <c r="G57" s="7">
        <f>IFERROR(SQRT(INDEX(CHOOSE(MATCH($Z57,{"K1","K12","K13"},0),Calc!$Z$2:$Z$66,Calc!$AB$2:$AB$66,Calc!$AD$2:$AD$66),MATCH($Y57,Calc!$A$2:$A$66,0))),"")</f>
        <v/>
      </c>
      <c r="H57" s="6">
        <f>IF(OR($E57="",$F57="",N($G57)&lt;=0),"",1-NORMDIST(FLOOR($E57,1)+0.5,$F57,$G57,TRUE))</f>
        <v/>
      </c>
      <c r="I57" s="6">
        <f>IF($H57="","",NORMDIST(CEILING($E57,1)-0.5,$F57,$G57,TRUE))</f>
        <v/>
      </c>
      <c r="J57" s="6">
        <f>IF($H57="","",MAX(0,1-$H57-$I57))</f>
        <v/>
      </c>
      <c r="K57">
        <f>IF($H57="","",IF($H57&gt;=0.5+Config!$B$8,"OVER",IF($I57&gt;=0.5+Config!$B$8,"UNDER","—")))</f>
        <v/>
      </c>
      <c r="L57" s="7">
        <f>IFERROR(INDEX(CHOOSE(MATCH($Z57,{"K1","K12","K13"},0),Calc!$AE$2:$AE$66,Calc!$AF$2:$AF$66,Calc!$AG$2:$AG$66),MATCH($Y57,Calc!$A$2:$A$66,0)),"")</f>
        <v/>
      </c>
      <c r="M57" s="6">
        <f>IF(OR($E57="",$L57="",N($G57)&lt;=0),"",1-NORMDIST(FLOOR($E57,1)+0.5,$L57,$G57*SQRT($L57/$F57),TRUE))</f>
        <v/>
      </c>
      <c r="N57" t="n">
        <v>3.92</v>
      </c>
      <c r="O57" s="6">
        <f>IFERROR(INDEX(Calc!$H$2:$H$66,MATCH($Y57,Calc!$A$2:$A$66,0)),"")</f>
        <v/>
      </c>
      <c r="P57" s="6">
        <f>IFERROR(INDEX(Calc!$M$2:$M$66,MATCH($Y57,Calc!$A$2:$A$66,0)),"")</f>
        <v/>
      </c>
      <c r="Q57" t="n">
        <v>3.7</v>
      </c>
      <c r="R57" s="6" t="n">
        <v>0.4</v>
      </c>
      <c r="S57" s="6" t="n">
        <v>0.3</v>
      </c>
      <c r="T57" s="6" t="n">
        <v>0.27</v>
      </c>
      <c r="U57" t="inlineStr">
        <is>
          <t>50%/1/2</t>
        </is>
      </c>
      <c r="V57" t="n">
        <v>-1</v>
      </c>
      <c r="X57">
        <f>IFERROR(INDEX(Calc!$AH$2:$AH$66,MATCH($Y57,Calc!$A$2:$A$66,0)),"")</f>
        <v/>
      </c>
      <c r="Y57" t="inlineStr">
        <is>
          <t>0qs18ll8c1ghzp5|LOL · T1 vs CFO</t>
        </is>
      </c>
      <c r="Z57" t="inlineStr">
        <is>
          <t>K1</t>
        </is>
      </c>
      <c r="AA57">
        <f>Y57&amp;"|"&amp;Z57</f>
        <v/>
      </c>
    </row>
    <row r="58">
      <c r="A58" t="inlineStr">
        <is>
          <t>LOL · T1 vs CFO</t>
        </is>
      </c>
      <c r="B58" t="inlineStr">
        <is>
          <t>Peyz</t>
        </is>
      </c>
      <c r="C58" t="inlineStr">
        <is>
          <t>T1</t>
        </is>
      </c>
      <c r="D58" t="inlineStr">
        <is>
          <t>Map 1 Kills</t>
        </is>
      </c>
      <c r="E58" t="n">
        <v>6.5</v>
      </c>
      <c r="F58" s="7">
        <f>IFERROR(INDEX(CHOOSE(MATCH($Z58,{"K1","K12","K13"},0),Calc!$Y$2:$Y$66,Calc!$AA$2:$AA$66,Calc!$AC$2:$AC$66),MATCH($Y58,Calc!$A$2:$A$66,0)),"")</f>
        <v/>
      </c>
      <c r="G58" s="7">
        <f>IFERROR(SQRT(INDEX(CHOOSE(MATCH($Z58,{"K1","K12","K13"},0),Calc!$Z$2:$Z$66,Calc!$AB$2:$AB$66,Calc!$AD$2:$AD$66),MATCH($Y58,Calc!$A$2:$A$66,0))),"")</f>
        <v/>
      </c>
      <c r="H58" s="6">
        <f>IF(OR($E58="",$F58="",N($G58)&lt;=0),"",1-NORMDIST(FLOOR($E58,1)+0.5,$F58,$G58,TRUE))</f>
        <v/>
      </c>
      <c r="I58" s="6">
        <f>IF($H58="","",NORMDIST(CEILING($E58,1)-0.5,$F58,$G58,TRUE))</f>
        <v/>
      </c>
      <c r="J58" s="6">
        <f>IF($H58="","",MAX(0,1-$H58-$I58))</f>
        <v/>
      </c>
      <c r="K58">
        <f>IF($H58="","",IF($H58&gt;=0.5+Config!$B$8,"OVER",IF($I58&gt;=0.5+Config!$B$8,"UNDER","—")))</f>
        <v/>
      </c>
      <c r="L58" s="7">
        <f>IFERROR(INDEX(CHOOSE(MATCH($Z58,{"K1","K12","K13"},0),Calc!$AE$2:$AE$66,Calc!$AF$2:$AF$66,Calc!$AG$2:$AG$66),MATCH($Y58,Calc!$A$2:$A$66,0)),"")</f>
        <v/>
      </c>
      <c r="M58" s="6">
        <f>IF(OR($E58="",$L58="",N($G58)&lt;=0),"",1-NORMDIST(FLOOR($E58,1)+0.5,$L58,$G58*SQRT($L58/$F58),TRUE))</f>
        <v/>
      </c>
      <c r="N58" t="n">
        <v>6.5</v>
      </c>
      <c r="O58" s="6">
        <f>IFERROR(INDEX(Calc!$H$2:$H$66,MATCH($Y58,Calc!$A$2:$A$66,0)),"")</f>
        <v/>
      </c>
      <c r="P58" s="6">
        <f>IFERROR(INDEX(Calc!$M$2:$M$66,MATCH($Y58,Calc!$A$2:$A$66,0)),"")</f>
        <v/>
      </c>
      <c r="Q58" t="n">
        <v>6.1</v>
      </c>
      <c r="R58" s="6" t="n">
        <v>0.4</v>
      </c>
      <c r="S58" s="6" t="n">
        <v>0.4</v>
      </c>
      <c r="T58" s="6" t="n">
        <v>0.33</v>
      </c>
      <c r="U58" t="inlineStr">
        <is>
          <t>-</t>
        </is>
      </c>
      <c r="V58" t="n">
        <v>-3</v>
      </c>
      <c r="X58">
        <f>IFERROR(INDEX(Calc!$AH$2:$AH$66,MATCH($Y58,Calc!$A$2:$A$66,0)),"")</f>
        <v/>
      </c>
      <c r="Y58" t="inlineStr">
        <is>
          <t>98d05n24zmlpwll|LOL · T1 vs CFO</t>
        </is>
      </c>
      <c r="Z58" t="inlineStr">
        <is>
          <t>K1</t>
        </is>
      </c>
      <c r="AA58">
        <f>Y58&amp;"|"&amp;Z58</f>
        <v/>
      </c>
    </row>
    <row r="59">
      <c r="A59" t="inlineStr">
        <is>
          <t>LOL · TL vs AL</t>
        </is>
      </c>
      <c r="B59" t="inlineStr">
        <is>
          <t>Breathe</t>
        </is>
      </c>
      <c r="C59" t="inlineStr">
        <is>
          <t>AL</t>
        </is>
      </c>
      <c r="D59" t="inlineStr">
        <is>
          <t>Maps 1-2 Kills</t>
        </is>
      </c>
      <c r="E59" t="n">
        <v>6</v>
      </c>
      <c r="F59" s="7">
        <f>IFERROR(INDEX(CHOOSE(MATCH($Z59,{"K1","K12","K13"},0),Calc!$Y$2:$Y$66,Calc!$AA$2:$AA$66,Calc!$AC$2:$AC$66),MATCH($Y59,Calc!$A$2:$A$66,0)),"")</f>
        <v/>
      </c>
      <c r="G59" s="7">
        <f>IFERROR(SQRT(INDEX(CHOOSE(MATCH($Z59,{"K1","K12","K13"},0),Calc!$Z$2:$Z$66,Calc!$AB$2:$AB$66,Calc!$AD$2:$AD$66),MATCH($Y59,Calc!$A$2:$A$66,0))),"")</f>
        <v/>
      </c>
      <c r="H59" s="6">
        <f>IF(OR($E59="",$F59="",N($G59)&lt;=0),"",1-NORMDIST(FLOOR($E59,1)+0.5,$F59,$G59,TRUE))</f>
        <v/>
      </c>
      <c r="I59" s="6">
        <f>IF($H59="","",NORMDIST(CEILING($E59,1)-0.5,$F59,$G59,TRUE))</f>
        <v/>
      </c>
      <c r="J59" s="6">
        <f>IF($H59="","",MAX(0,1-$H59-$I59))</f>
        <v/>
      </c>
      <c r="K59">
        <f>IF($H59="","",IF($H59&gt;=0.5+Config!$B$8,"OVER",IF($I59&gt;=0.5+Config!$B$8,"UNDER","—")))</f>
        <v/>
      </c>
      <c r="L59" s="7">
        <f>IFERROR(INDEX(CHOOSE(MATCH($Z59,{"K1","K12","K13"},0),Calc!$AE$2:$AE$66,Calc!$AF$2:$AF$66,Calc!$AG$2:$AG$66),MATCH($Y59,Calc!$A$2:$A$66,0)),"")</f>
        <v/>
      </c>
      <c r="M59" s="6">
        <f>IF(OR($E59="",$L59="",N($G59)&lt;=0),"",1-NORMDIST(FLOOR($E59,1)+0.5,$L59,$G59*SQRT($L59/$F59),TRUE))</f>
        <v/>
      </c>
      <c r="O59" s="6">
        <f>IFERROR(INDEX(Calc!$H$2:$H$66,MATCH($Y59,Calc!$A$2:$A$66,0)),"")</f>
        <v/>
      </c>
      <c r="P59" s="6">
        <f>IFERROR(INDEX(Calc!$M$2:$M$66,MATCH($Y59,Calc!$A$2:$A$66,0)),"")</f>
        <v/>
      </c>
      <c r="Q59" t="n">
        <v>5.3</v>
      </c>
      <c r="R59" s="6" t="n">
        <v>0.4</v>
      </c>
      <c r="S59" s="6" t="n">
        <v>0.5</v>
      </c>
      <c r="T59" s="6" t="n">
        <v>0.67</v>
      </c>
      <c r="U59" t="inlineStr">
        <is>
          <t>-</t>
        </is>
      </c>
      <c r="V59" t="n">
        <v>-1</v>
      </c>
      <c r="W59" t="n">
        <v>0</v>
      </c>
      <c r="X59">
        <f>IFERROR(INDEX(Calc!$AH$2:$AH$66,MATCH($Y59,Calc!$A$2:$A$66,0)),"")</f>
        <v/>
      </c>
      <c r="Y59" t="inlineStr">
        <is>
          <t>mhg6ds61hvmgcyz|LOL · TL vs AL</t>
        </is>
      </c>
      <c r="Z59" t="inlineStr">
        <is>
          <t>K12</t>
        </is>
      </c>
      <c r="AA59">
        <f>Y59&amp;"|"&amp;Z59</f>
        <v/>
      </c>
    </row>
    <row r="60">
      <c r="A60" t="inlineStr">
        <is>
          <t>LOL · TL vs AL</t>
        </is>
      </c>
      <c r="B60" t="inlineStr">
        <is>
          <t>Hope</t>
        </is>
      </c>
      <c r="C60" t="inlineStr">
        <is>
          <t>AL</t>
        </is>
      </c>
      <c r="D60" t="inlineStr">
        <is>
          <t>Maps 1-2 Kills</t>
        </is>
      </c>
      <c r="E60" t="n">
        <v>9.5</v>
      </c>
      <c r="F60" s="7">
        <f>IFERROR(INDEX(CHOOSE(MATCH($Z60,{"K1","K12","K13"},0),Calc!$Y$2:$Y$66,Calc!$AA$2:$AA$66,Calc!$AC$2:$AC$66),MATCH($Y60,Calc!$A$2:$A$66,0)),"")</f>
        <v/>
      </c>
      <c r="G60" s="7">
        <f>IFERROR(SQRT(INDEX(CHOOSE(MATCH($Z60,{"K1","K12","K13"},0),Calc!$Z$2:$Z$66,Calc!$AB$2:$AB$66,Calc!$AD$2:$AD$66),MATCH($Y60,Calc!$A$2:$A$66,0))),"")</f>
        <v/>
      </c>
      <c r="H60" s="6">
        <f>IF(OR($E60="",$F60="",N($G60)&lt;=0),"",1-NORMDIST(FLOOR($E60,1)+0.5,$F60,$G60,TRUE))</f>
        <v/>
      </c>
      <c r="I60" s="6">
        <f>IF($H60="","",NORMDIST(CEILING($E60,1)-0.5,$F60,$G60,TRUE))</f>
        <v/>
      </c>
      <c r="J60" s="6">
        <f>IF($H60="","",MAX(0,1-$H60-$I60))</f>
        <v/>
      </c>
      <c r="K60">
        <f>IF($H60="","",IF($H60&gt;=0.5+Config!$B$8,"OVER",IF($I60&gt;=0.5+Config!$B$8,"UNDER","—")))</f>
        <v/>
      </c>
      <c r="L60" s="7">
        <f>IFERROR(INDEX(CHOOSE(MATCH($Z60,{"K1","K12","K13"},0),Calc!$AE$2:$AE$66,Calc!$AF$2:$AF$66,Calc!$AG$2:$AG$66),MATCH($Y60,Calc!$A$2:$A$66,0)),"")</f>
        <v/>
      </c>
      <c r="M60" s="6">
        <f>IF(OR($E60="",$L60="",N($G60)&lt;=0),"",1-NORMDIST(FLOOR($E60,1)+0.5,$L60,$G60*SQRT($L60/$F60),TRUE))</f>
        <v/>
      </c>
      <c r="O60" s="6">
        <f>IFERROR(INDEX(Calc!$H$2:$H$66,MATCH($Y60,Calc!$A$2:$A$66,0)),"")</f>
        <v/>
      </c>
      <c r="P60" s="6">
        <f>IFERROR(INDEX(Calc!$M$2:$M$66,MATCH($Y60,Calc!$A$2:$A$66,0)),"")</f>
        <v/>
      </c>
      <c r="Q60" t="n">
        <v>7.6</v>
      </c>
      <c r="R60" s="6" t="n">
        <v>0.4</v>
      </c>
      <c r="S60" s="6" t="n">
        <v>0.4</v>
      </c>
      <c r="T60" s="6" t="n">
        <v>0.6</v>
      </c>
      <c r="U60" t="inlineStr">
        <is>
          <t>-</t>
        </is>
      </c>
      <c r="V60" t="n">
        <v>-1</v>
      </c>
      <c r="X60">
        <f>IFERROR(INDEX(Calc!$AH$2:$AH$66,MATCH($Y60,Calc!$A$2:$A$66,0)),"")</f>
        <v/>
      </c>
      <c r="Y60" t="inlineStr">
        <is>
          <t>4wiuvlxt09y1lfa|LOL · TL vs AL</t>
        </is>
      </c>
      <c r="Z60" t="inlineStr">
        <is>
          <t>K12</t>
        </is>
      </c>
      <c r="AA60">
        <f>Y60&amp;"|"&amp;Z60</f>
        <v/>
      </c>
    </row>
    <row r="61">
      <c r="A61" t="inlineStr">
        <is>
          <t>LOL · TL vs AL</t>
        </is>
      </c>
      <c r="B61" t="inlineStr">
        <is>
          <t>Shanks</t>
        </is>
      </c>
      <c r="C61" t="inlineStr">
        <is>
          <t>AL</t>
        </is>
      </c>
      <c r="D61" t="inlineStr">
        <is>
          <t>Maps 1-2 Kills</t>
        </is>
      </c>
      <c r="E61" t="n">
        <v>8.5</v>
      </c>
      <c r="F61" s="7">
        <f>IFERROR(INDEX(CHOOSE(MATCH($Z61,{"K1","K12","K13"},0),Calc!$Y$2:$Y$66,Calc!$AA$2:$AA$66,Calc!$AC$2:$AC$66),MATCH($Y61,Calc!$A$2:$A$66,0)),"")</f>
        <v/>
      </c>
      <c r="G61" s="7">
        <f>IFERROR(SQRT(INDEX(CHOOSE(MATCH($Z61,{"K1","K12","K13"},0),Calc!$Z$2:$Z$66,Calc!$AB$2:$AB$66,Calc!$AD$2:$AD$66),MATCH($Y61,Calc!$A$2:$A$66,0))),"")</f>
        <v/>
      </c>
      <c r="H61" s="6">
        <f>IF(OR($E61="",$F61="",N($G61)&lt;=0),"",1-NORMDIST(FLOOR($E61,1)+0.5,$F61,$G61,TRUE))</f>
        <v/>
      </c>
      <c r="I61" s="6">
        <f>IF($H61="","",NORMDIST(CEILING($E61,1)-0.5,$F61,$G61,TRUE))</f>
        <v/>
      </c>
      <c r="J61" s="6">
        <f>IF($H61="","",MAX(0,1-$H61-$I61))</f>
        <v/>
      </c>
      <c r="K61">
        <f>IF($H61="","",IF($H61&gt;=0.5+Config!$B$8,"OVER",IF($I61&gt;=0.5+Config!$B$8,"UNDER","—")))</f>
        <v/>
      </c>
      <c r="L61" s="7">
        <f>IFERROR(INDEX(CHOOSE(MATCH($Z61,{"K1","K12","K13"},0),Calc!$AE$2:$AE$66,Calc!$AF$2:$AF$66,Calc!$AG$2:$AG$66),MATCH($Y61,Calc!$A$2:$A$66,0)),"")</f>
        <v/>
      </c>
      <c r="M61" s="6">
        <f>IF(OR($E61="",$L61="",N($G61)&lt;=0),"",1-NORMDIST(FLOOR($E61,1)+0.5,$L61,$G61*SQRT($L61/$F61),TRUE))</f>
        <v/>
      </c>
      <c r="O61" s="6">
        <f>IFERROR(INDEX(Calc!$H$2:$H$66,MATCH($Y61,Calc!$A$2:$A$66,0)),"")</f>
        <v/>
      </c>
      <c r="P61" s="6">
        <f>IFERROR(INDEX(Calc!$M$2:$M$66,MATCH($Y61,Calc!$A$2:$A$66,0)),"")</f>
        <v/>
      </c>
      <c r="Q61" t="n">
        <v>8.699999999999999</v>
      </c>
      <c r="R61" s="6" t="n">
        <v>0.2</v>
      </c>
      <c r="S61" s="6" t="n">
        <v>0.5</v>
      </c>
      <c r="T61" s="6" t="n">
        <v>0.47</v>
      </c>
      <c r="U61" t="inlineStr">
        <is>
          <t>-</t>
        </is>
      </c>
      <c r="V61" t="n">
        <v>1</v>
      </c>
      <c r="X61">
        <f>IFERROR(INDEX(Calc!$AH$2:$AH$66,MATCH($Y61,Calc!$A$2:$A$66,0)),"")</f>
        <v/>
      </c>
      <c r="Y61" t="inlineStr">
        <is>
          <t>tesiepsb2upme55|LOL · TL vs AL</t>
        </is>
      </c>
      <c r="Z61" t="inlineStr">
        <is>
          <t>K12</t>
        </is>
      </c>
      <c r="AA61">
        <f>Y61&amp;"|"&amp;Z61</f>
        <v/>
      </c>
    </row>
    <row r="62">
      <c r="A62" t="inlineStr">
        <is>
          <t>LOL · TL vs AL</t>
        </is>
      </c>
      <c r="B62" t="inlineStr">
        <is>
          <t>Tarzan</t>
        </is>
      </c>
      <c r="C62" t="inlineStr">
        <is>
          <t>AL</t>
        </is>
      </c>
      <c r="D62" t="inlineStr">
        <is>
          <t>Maps 1-2 Kills</t>
        </is>
      </c>
      <c r="E62" t="n">
        <v>6.5</v>
      </c>
      <c r="F62" s="7">
        <f>IFERROR(INDEX(CHOOSE(MATCH($Z62,{"K1","K12","K13"},0),Calc!$Y$2:$Y$66,Calc!$AA$2:$AA$66,Calc!$AC$2:$AC$66),MATCH($Y62,Calc!$A$2:$A$66,0)),"")</f>
        <v/>
      </c>
      <c r="G62" s="7">
        <f>IFERROR(SQRT(INDEX(CHOOSE(MATCH($Z62,{"K1","K12","K13"},0),Calc!$Z$2:$Z$66,Calc!$AB$2:$AB$66,Calc!$AD$2:$AD$66),MATCH($Y62,Calc!$A$2:$A$66,0))),"")</f>
        <v/>
      </c>
      <c r="H62" s="6">
        <f>IF(OR($E62="",$F62="",N($G62)&lt;=0),"",1-NORMDIST(FLOOR($E62,1)+0.5,$F62,$G62,TRUE))</f>
        <v/>
      </c>
      <c r="I62" s="6">
        <f>IF($H62="","",NORMDIST(CEILING($E62,1)-0.5,$F62,$G62,TRUE))</f>
        <v/>
      </c>
      <c r="J62" s="6">
        <f>IF($H62="","",MAX(0,1-$H62-$I62))</f>
        <v/>
      </c>
      <c r="K62">
        <f>IF($H62="","",IF($H62&gt;=0.5+Config!$B$8,"OVER",IF($I62&gt;=0.5+Config!$B$8,"UNDER","—")))</f>
        <v/>
      </c>
      <c r="L62" s="7">
        <f>IFERROR(INDEX(CHOOSE(MATCH($Z62,{"K1","K12","K13"},0),Calc!$AE$2:$AE$66,Calc!$AF$2:$AF$66,Calc!$AG$2:$AG$66),MATCH($Y62,Calc!$A$2:$A$66,0)),"")</f>
        <v/>
      </c>
      <c r="M62" s="6">
        <f>IF(OR($E62="",$L62="",N($G62)&lt;=0),"",1-NORMDIST(FLOOR($E62,1)+0.5,$L62,$G62*SQRT($L62/$F62),TRUE))</f>
        <v/>
      </c>
      <c r="O62" s="6">
        <f>IFERROR(INDEX(Calc!$H$2:$H$66,MATCH($Y62,Calc!$A$2:$A$66,0)),"")</f>
        <v/>
      </c>
      <c r="P62" s="6">
        <f>IFERROR(INDEX(Calc!$M$2:$M$66,MATCH($Y62,Calc!$A$2:$A$66,0)),"")</f>
        <v/>
      </c>
      <c r="Q62" t="n">
        <v>7</v>
      </c>
      <c r="R62" s="6" t="n">
        <v>0.4</v>
      </c>
      <c r="S62" s="6" t="n">
        <v>0.5</v>
      </c>
      <c r="T62" s="6" t="n">
        <v>0.67</v>
      </c>
      <c r="U62" t="inlineStr">
        <is>
          <t>-</t>
        </is>
      </c>
      <c r="V62" t="n">
        <v>1</v>
      </c>
      <c r="X62">
        <f>IFERROR(INDEX(Calc!$AH$2:$AH$66,MATCH($Y62,Calc!$A$2:$A$66,0)),"")</f>
        <v/>
      </c>
      <c r="Y62" t="inlineStr">
        <is>
          <t>3dqp61os0zjpa7c|LOL · TL vs AL</t>
        </is>
      </c>
      <c r="Z62" t="inlineStr">
        <is>
          <t>K12</t>
        </is>
      </c>
      <c r="AA62">
        <f>Y62&amp;"|"&amp;Z62</f>
        <v/>
      </c>
    </row>
    <row r="63">
      <c r="A63" t="inlineStr">
        <is>
          <t>LOL · TL vs AL</t>
        </is>
      </c>
      <c r="B63" t="inlineStr">
        <is>
          <t>Josedeodo</t>
        </is>
      </c>
      <c r="C63" t="inlineStr">
        <is>
          <t>TL</t>
        </is>
      </c>
      <c r="D63" t="inlineStr">
        <is>
          <t>Maps 1-2 Kills</t>
        </is>
      </c>
      <c r="E63" t="n">
        <v>5</v>
      </c>
      <c r="F63" s="7">
        <f>IFERROR(INDEX(CHOOSE(MATCH($Z63,{"K1","K12","K13"},0),Calc!$Y$2:$Y$66,Calc!$AA$2:$AA$66,Calc!$AC$2:$AC$66),MATCH($Y63,Calc!$A$2:$A$66,0)),"")</f>
        <v/>
      </c>
      <c r="G63" s="7">
        <f>IFERROR(SQRT(INDEX(CHOOSE(MATCH($Z63,{"K1","K12","K13"},0),Calc!$Z$2:$Z$66,Calc!$AB$2:$AB$66,Calc!$AD$2:$AD$66),MATCH($Y63,Calc!$A$2:$A$66,0))),"")</f>
        <v/>
      </c>
      <c r="H63" s="6">
        <f>IF(OR($E63="",$F63="",N($G63)&lt;=0),"",1-NORMDIST(FLOOR($E63,1)+0.5,$F63,$G63,TRUE))</f>
        <v/>
      </c>
      <c r="I63" s="6">
        <f>IF($H63="","",NORMDIST(CEILING($E63,1)-0.5,$F63,$G63,TRUE))</f>
        <v/>
      </c>
      <c r="J63" s="6">
        <f>IF($H63="","",MAX(0,1-$H63-$I63))</f>
        <v/>
      </c>
      <c r="K63">
        <f>IF($H63="","",IF($H63&gt;=0.5+Config!$B$8,"OVER",IF($I63&gt;=0.5+Config!$B$8,"UNDER","—")))</f>
        <v/>
      </c>
      <c r="L63" s="7">
        <f>IFERROR(INDEX(CHOOSE(MATCH($Z63,{"K1","K12","K13"},0),Calc!$AE$2:$AE$66,Calc!$AF$2:$AF$66,Calc!$AG$2:$AG$66),MATCH($Y63,Calc!$A$2:$A$66,0)),"")</f>
        <v/>
      </c>
      <c r="M63" s="6">
        <f>IF(OR($E63="",$L63="",N($G63)&lt;=0),"",1-NORMDIST(FLOOR($E63,1)+0.5,$L63,$G63*SQRT($L63/$F63),TRUE))</f>
        <v/>
      </c>
      <c r="O63" s="6">
        <f>IFERROR(INDEX(Calc!$H$2:$H$66,MATCH($Y63,Calc!$A$2:$A$66,0)),"")</f>
        <v/>
      </c>
      <c r="P63" s="6">
        <f>IFERROR(INDEX(Calc!$M$2:$M$66,MATCH($Y63,Calc!$A$2:$A$66,0)),"")</f>
        <v/>
      </c>
      <c r="Q63" t="n">
        <v>8.6</v>
      </c>
      <c r="R63" s="6" t="n">
        <v>1</v>
      </c>
      <c r="S63" s="6" t="n">
        <v>0.7</v>
      </c>
      <c r="T63" s="6" t="n">
        <v>0.73</v>
      </c>
      <c r="U63" t="inlineStr">
        <is>
          <t>-</t>
        </is>
      </c>
      <c r="V63" t="n">
        <v>5</v>
      </c>
      <c r="W63" t="n">
        <v>1</v>
      </c>
      <c r="X63">
        <f>IFERROR(INDEX(Calc!$AH$2:$AH$66,MATCH($Y63,Calc!$A$2:$A$66,0)),"")</f>
        <v/>
      </c>
      <c r="Y63" t="inlineStr">
        <is>
          <t>qq49f66td1g1ang|LOL · TL vs AL</t>
        </is>
      </c>
      <c r="Z63" t="inlineStr">
        <is>
          <t>K12</t>
        </is>
      </c>
      <c r="AA63">
        <f>Y63&amp;"|"&amp;Z63</f>
        <v/>
      </c>
    </row>
    <row r="64">
      <c r="A64" t="inlineStr">
        <is>
          <t>LOL · TL vs AL</t>
        </is>
      </c>
      <c r="B64" t="inlineStr">
        <is>
          <t>Morgan</t>
        </is>
      </c>
      <c r="C64" t="inlineStr">
        <is>
          <t>TL</t>
        </is>
      </c>
      <c r="D64" t="inlineStr">
        <is>
          <t>Maps 1-2 Kills</t>
        </is>
      </c>
      <c r="E64" t="n">
        <v>3.5</v>
      </c>
      <c r="F64" s="7">
        <f>IFERROR(INDEX(CHOOSE(MATCH($Z64,{"K1","K12","K13"},0),Calc!$Y$2:$Y$66,Calc!$AA$2:$AA$66,Calc!$AC$2:$AC$66),MATCH($Y64,Calc!$A$2:$A$66,0)),"")</f>
        <v/>
      </c>
      <c r="G64" s="7">
        <f>IFERROR(SQRT(INDEX(CHOOSE(MATCH($Z64,{"K1","K12","K13"},0),Calc!$Z$2:$Z$66,Calc!$AB$2:$AB$66,Calc!$AD$2:$AD$66),MATCH($Y64,Calc!$A$2:$A$66,0))),"")</f>
        <v/>
      </c>
      <c r="H64" s="6">
        <f>IF(OR($E64="",$F64="",N($G64)&lt;=0),"",1-NORMDIST(FLOOR($E64,1)+0.5,$F64,$G64,TRUE))</f>
        <v/>
      </c>
      <c r="I64" s="6">
        <f>IF($H64="","",NORMDIST(CEILING($E64,1)-0.5,$F64,$G64,TRUE))</f>
        <v/>
      </c>
      <c r="J64" s="6">
        <f>IF($H64="","",MAX(0,1-$H64-$I64))</f>
        <v/>
      </c>
      <c r="K64">
        <f>IF($H64="","",IF($H64&gt;=0.5+Config!$B$8,"OVER",IF($I64&gt;=0.5+Config!$B$8,"UNDER","—")))</f>
        <v/>
      </c>
      <c r="L64" s="7">
        <f>IFERROR(INDEX(CHOOSE(MATCH($Z64,{"K1","K12","K13"},0),Calc!$AE$2:$AE$66,Calc!$AF$2:$AF$66,Calc!$AG$2:$AG$66),MATCH($Y64,Calc!$A$2:$A$66,0)),"")</f>
        <v/>
      </c>
      <c r="M64" s="6">
        <f>IF(OR($E64="",$L64="",N($G64)&lt;=0),"",1-NORMDIST(FLOOR($E64,1)+0.5,$L64,$G64*SQRT($L64/$F64),TRUE))</f>
        <v/>
      </c>
      <c r="O64" s="6">
        <f>IFERROR(INDEX(Calc!$H$2:$H$66,MATCH($Y64,Calc!$A$2:$A$66,0)),"")</f>
        <v/>
      </c>
      <c r="P64" s="6">
        <f>IFERROR(INDEX(Calc!$M$2:$M$66,MATCH($Y64,Calc!$A$2:$A$66,0)),"")</f>
        <v/>
      </c>
      <c r="Q64" t="n">
        <v>5.7</v>
      </c>
      <c r="R64" s="6" t="n">
        <v>0.6</v>
      </c>
      <c r="S64" s="6" t="n">
        <v>0.7</v>
      </c>
      <c r="T64" s="6" t="n">
        <v>0.73</v>
      </c>
      <c r="U64" t="inlineStr">
        <is>
          <t>-</t>
        </is>
      </c>
      <c r="V64" t="n">
        <v>3</v>
      </c>
      <c r="X64">
        <f>IFERROR(INDEX(Calc!$AH$2:$AH$66,MATCH($Y64,Calc!$A$2:$A$66,0)),"")</f>
        <v/>
      </c>
      <c r="Y64" t="inlineStr">
        <is>
          <t>2ol95p2vqnex4vi|LOL · TL vs AL</t>
        </is>
      </c>
      <c r="Z64" t="inlineStr">
        <is>
          <t>K12</t>
        </is>
      </c>
      <c r="AA64">
        <f>Y64&amp;"|"&amp;Z64</f>
        <v/>
      </c>
    </row>
    <row r="65">
      <c r="A65" t="inlineStr">
        <is>
          <t>LOL · TL vs AL</t>
        </is>
      </c>
      <c r="B65" t="inlineStr">
        <is>
          <t>Quid</t>
        </is>
      </c>
      <c r="C65" t="inlineStr">
        <is>
          <t>TL</t>
        </is>
      </c>
      <c r="D65" t="inlineStr">
        <is>
          <t>Maps 1-2 Kills</t>
        </is>
      </c>
      <c r="E65" t="n">
        <v>6</v>
      </c>
      <c r="F65" s="7">
        <f>IFERROR(INDEX(CHOOSE(MATCH($Z65,{"K1","K12","K13"},0),Calc!$Y$2:$Y$66,Calc!$AA$2:$AA$66,Calc!$AC$2:$AC$66),MATCH($Y65,Calc!$A$2:$A$66,0)),"")</f>
        <v/>
      </c>
      <c r="G65" s="7">
        <f>IFERROR(SQRT(INDEX(CHOOSE(MATCH($Z65,{"K1","K12","K13"},0),Calc!$Z$2:$Z$66,Calc!$AB$2:$AB$66,Calc!$AD$2:$AD$66),MATCH($Y65,Calc!$A$2:$A$66,0))),"")</f>
        <v/>
      </c>
      <c r="H65" s="6">
        <f>IF(OR($E65="",$F65="",N($G65)&lt;=0),"",1-NORMDIST(FLOOR($E65,1)+0.5,$F65,$G65,TRUE))</f>
        <v/>
      </c>
      <c r="I65" s="6">
        <f>IF($H65="","",NORMDIST(CEILING($E65,1)-0.5,$F65,$G65,TRUE))</f>
        <v/>
      </c>
      <c r="J65" s="6">
        <f>IF($H65="","",MAX(0,1-$H65-$I65))</f>
        <v/>
      </c>
      <c r="K65">
        <f>IF($H65="","",IF($H65&gt;=0.5+Config!$B$8,"OVER",IF($I65&gt;=0.5+Config!$B$8,"UNDER","—")))</f>
        <v/>
      </c>
      <c r="L65" s="7">
        <f>IFERROR(INDEX(CHOOSE(MATCH($Z65,{"K1","K12","K13"},0),Calc!$AE$2:$AE$66,Calc!$AF$2:$AF$66,Calc!$AG$2:$AG$66),MATCH($Y65,Calc!$A$2:$A$66,0)),"")</f>
        <v/>
      </c>
      <c r="M65" s="6">
        <f>IF(OR($E65="",$L65="",N($G65)&lt;=0),"",1-NORMDIST(FLOOR($E65,1)+0.5,$L65,$G65*SQRT($L65/$F65),TRUE))</f>
        <v/>
      </c>
      <c r="O65" s="6">
        <f>IFERROR(INDEX(Calc!$H$2:$H$66,MATCH($Y65,Calc!$A$2:$A$66,0)),"")</f>
        <v/>
      </c>
      <c r="P65" s="6">
        <f>IFERROR(INDEX(Calc!$M$2:$M$66,MATCH($Y65,Calc!$A$2:$A$66,0)),"")</f>
        <v/>
      </c>
      <c r="Q65" t="n">
        <v>10.7</v>
      </c>
      <c r="R65" s="6" t="n">
        <v>1</v>
      </c>
      <c r="S65" s="6" t="n">
        <v>1</v>
      </c>
      <c r="T65" s="6" t="n">
        <v>1</v>
      </c>
      <c r="U65" t="inlineStr">
        <is>
          <t>-</t>
        </is>
      </c>
      <c r="V65" t="n">
        <v>16</v>
      </c>
      <c r="W65" t="n">
        <v>2</v>
      </c>
      <c r="X65">
        <f>IFERROR(INDEX(Calc!$AH$2:$AH$66,MATCH($Y65,Calc!$A$2:$A$66,0)),"")</f>
        <v/>
      </c>
      <c r="Y65" t="inlineStr">
        <is>
          <t>i3s02n3914ztm0s|LOL · TL vs AL</t>
        </is>
      </c>
      <c r="Z65" t="inlineStr">
        <is>
          <t>K12</t>
        </is>
      </c>
      <c r="AA65">
        <f>Y65&amp;"|"&amp;Z65</f>
        <v/>
      </c>
    </row>
    <row r="66">
      <c r="A66" t="inlineStr">
        <is>
          <t>LOL · TL vs AL</t>
        </is>
      </c>
      <c r="B66" t="inlineStr">
        <is>
          <t>Yeon</t>
        </is>
      </c>
      <c r="C66" t="inlineStr">
        <is>
          <t>TL</t>
        </is>
      </c>
      <c r="D66" t="inlineStr">
        <is>
          <t>Maps 1-2 Kills</t>
        </is>
      </c>
      <c r="E66" t="n">
        <v>6</v>
      </c>
      <c r="F66" s="7">
        <f>IFERROR(INDEX(CHOOSE(MATCH($Z66,{"K1","K12","K13"},0),Calc!$Y$2:$Y$66,Calc!$AA$2:$AA$66,Calc!$AC$2:$AC$66),MATCH($Y66,Calc!$A$2:$A$66,0)),"")</f>
        <v/>
      </c>
      <c r="G66" s="7">
        <f>IFERROR(SQRT(INDEX(CHOOSE(MATCH($Z66,{"K1","K12","K13"},0),Calc!$Z$2:$Z$66,Calc!$AB$2:$AB$66,Calc!$AD$2:$AD$66),MATCH($Y66,Calc!$A$2:$A$66,0))),"")</f>
        <v/>
      </c>
      <c r="H66" s="6">
        <f>IF(OR($E66="",$F66="",N($G66)&lt;=0),"",1-NORMDIST(FLOOR($E66,1)+0.5,$F66,$G66,TRUE))</f>
        <v/>
      </c>
      <c r="I66" s="6">
        <f>IF($H66="","",NORMDIST(CEILING($E66,1)-0.5,$F66,$G66,TRUE))</f>
        <v/>
      </c>
      <c r="J66" s="6">
        <f>IF($H66="","",MAX(0,1-$H66-$I66))</f>
        <v/>
      </c>
      <c r="K66">
        <f>IF($H66="","",IF($H66&gt;=0.5+Config!$B$8,"OVER",IF($I66&gt;=0.5+Config!$B$8,"UNDER","—")))</f>
        <v/>
      </c>
      <c r="L66" s="7">
        <f>IFERROR(INDEX(CHOOSE(MATCH($Z66,{"K1","K12","K13"},0),Calc!$AE$2:$AE$66,Calc!$AF$2:$AF$66,Calc!$AG$2:$AG$66),MATCH($Y66,Calc!$A$2:$A$66,0)),"")</f>
        <v/>
      </c>
      <c r="M66" s="6">
        <f>IF(OR($E66="",$L66="",N($G66)&lt;=0),"",1-NORMDIST(FLOOR($E66,1)+0.5,$L66,$G66*SQRT($L66/$F66),TRUE))</f>
        <v/>
      </c>
      <c r="O66" s="6">
        <f>IFERROR(INDEX(Calc!$H$2:$H$66,MATCH($Y66,Calc!$A$2:$A$66,0)),"")</f>
        <v/>
      </c>
      <c r="P66" s="6">
        <f>IFERROR(INDEX(Calc!$M$2:$M$66,MATCH($Y66,Calc!$A$2:$A$66,0)),"")</f>
        <v/>
      </c>
      <c r="Q66" t="n">
        <v>9.300000000000001</v>
      </c>
      <c r="R66" s="6" t="n">
        <v>0.6</v>
      </c>
      <c r="S66" s="6" t="n">
        <v>0.8</v>
      </c>
      <c r="T66" s="6" t="n">
        <v>0.8</v>
      </c>
      <c r="U66" t="inlineStr">
        <is>
          <t>-</t>
        </is>
      </c>
      <c r="V66" t="n">
        <v>-1</v>
      </c>
      <c r="W66" t="n">
        <v>1</v>
      </c>
      <c r="X66">
        <f>IFERROR(INDEX(Calc!$AH$2:$AH$66,MATCH($Y66,Calc!$A$2:$A$66,0)),"")</f>
        <v/>
      </c>
      <c r="Y66" t="inlineStr">
        <is>
          <t>3veg6sl2qg2nwcd|LOL · TL vs AL</t>
        </is>
      </c>
      <c r="Z66" t="inlineStr">
        <is>
          <t>K12</t>
        </is>
      </c>
      <c r="AA66">
        <f>Y66&amp;"|"&amp;Z66</f>
        <v/>
      </c>
    </row>
  </sheetData>
  <autoFilter ref="A1:AA66"/>
  <conditionalFormatting sqref="H2:H66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d5vtssc59tcc007|DOTA · BB vs LEGION</t>
        </is>
      </c>
      <c r="B2" t="inlineStr">
        <is>
          <t>DOTA · BB vs LEGION</t>
        </is>
      </c>
      <c r="C2" t="inlineStr">
        <is>
          <t>BB</t>
        </is>
      </c>
      <c r="D2" t="inlineStr">
        <is>
          <t>Kataomi`</t>
        </is>
      </c>
      <c r="E2" t="inlineStr">
        <is>
          <t>d5vtssc59tcc007</t>
        </is>
      </c>
      <c r="F2">
        <f>IFERROR(IF($C2=INDEX(Matches!$S$5:$S$12,MATCH($B2,Matches!$A$5:$A$12,0)),"A",IF($C2=INDEX(Matches!$T$5:$T$12,MATCH($B2,Matches!$A$5:$A$12,0)),"B","")),"")</f>
        <v/>
      </c>
      <c r="G2">
        <f>IFERROR(INDEX(Players!$E$2:$E$66,MATCH($E2,Players!$A$2:$A$66,0)),0)</f>
        <v/>
      </c>
      <c r="H2" s="6">
        <f>IFERROR(INDEX(Players!$F$2:$F$66,MATCH($E2,Players!$A$2:$A$66,0)),"")</f>
        <v/>
      </c>
      <c r="I2">
        <f>IFERROR(INDEX(Players!$G$2:$G$66,MATCH($E2,Players!$A$2:$A$66,0)),"")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IFERROR(INDEX(Matches!$R$5:$R$12,MATCH($B2,Matches!$A$5:$A$12,0)),1)</f>
        <v/>
      </c>
      <c r="M2" s="6">
        <f>IFERROR(IF(INDEX(Matches!$M$5:$M$12,MATCH($B2,Matches!$A$5:$A$12,0))="","",IF($F2="A",INDEX(Matches!$M$5:$M$12,MATCH($B2,Matches!$A$5:$A$12,0)),1-INDEX(Matches!$M$5:$M$12,MATCH($B2,Matches!$A$5:$A$12,0)))),"")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IFERROR(IF(INDEX(Matches!$N$5:$N$12,MATCH($B2,Matches!$A$5:$A$12,0))="","",IF($F2="A",INDEX(Matches!$N$5:$N$12,MATCH($B2,Matches!$A$5:$A$12,0)),1-INDEX(Matches!$N$5:$N$12,MATCH($B2,Matches!$A$5:$A$12,0)))),"")</f>
        <v/>
      </c>
      <c r="R2">
        <f>IFERROR(N(INDEX(Matches!$P$5:$P$12,MATCH($B2,Matches!$A$5:$A$12,0))),0)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IFERROR(IF(INDEX(Matches!$O$5:$O$12,MATCH($B2,Matches!$A$5:$A$12,0))="","",IF($F2="A",INDEX(Matches!$O$5:$O$12,MATCH($B2,Matches!$A$5:$A$12,0)),1-INDEX(Matches!$O$5:$O$12,MATCH($B2,Matches!$A$5:$A$12,0)))),"")</f>
        <v/>
      </c>
      <c r="V2">
        <f>IFERROR(N(INDEX(Matches!$Q$5:$Q$12,MATCH($B2,Matches!$A$5:$A$12,0))),0)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","")&amp;IFERROR(IF(INDEX(Players!$T$2:$T$66,MATCH($E2,Players!$A$2:$A$66,0))&lt;0.5,"new roster: "&amp;TEXT(INDEX(Players!$T$2:$T$66,MATCH($E2,Players!$A$2:$A$66,0)),"0%")&amp;" of his recent games with these teammates",""),""))</f>
        <v/>
      </c>
      <c r="AI2">
        <f>IF($B2=Board!$B$2,COUNTIFS($B$2:$B$66,Board!$B$2,$Y$2:$Y$66,"&gt;"&amp;$Y2)+COUNTIFS($B$1:$B1,Board!$B$2,$Y$1:$Y1,$Y2)+1,"")</f>
        <v/>
      </c>
      <c r="AJ2">
        <f>IFERROR(IF(INDEX(Matches!$D$5:$D$12,MATCH($B2,Matches!$A$5:$A$12,0))=3,"K12","K13"),"K13")</f>
        <v/>
      </c>
      <c r="AK2" s="11">
        <f>IF($AJ2="K12",$AA2,$AC2)</f>
        <v/>
      </c>
    </row>
    <row r="3">
      <c r="A3" t="inlineStr">
        <is>
          <t>qcmgn2st7qcaqxc|DOTA · BB vs LEGION</t>
        </is>
      </c>
      <c r="B3" t="inlineStr">
        <is>
          <t>DOTA · BB vs LEGION</t>
        </is>
      </c>
      <c r="C3" t="inlineStr">
        <is>
          <t>BB</t>
        </is>
      </c>
      <c r="D3" t="inlineStr">
        <is>
          <t>Kiritych~</t>
        </is>
      </c>
      <c r="E3" t="inlineStr">
        <is>
          <t>qcmgn2st7qcaqxc</t>
        </is>
      </c>
      <c r="F3">
        <f>IFERROR(IF($C3=INDEX(Matches!$S$5:$S$12,MATCH($B3,Matches!$A$5:$A$12,0)),"A",IF($C3=INDEX(Matches!$T$5:$T$12,MATCH($B3,Matches!$A$5:$A$12,0)),"B","")),"")</f>
        <v/>
      </c>
      <c r="G3">
        <f>IFERROR(INDEX(Players!$E$2:$E$66,MATCH($E3,Players!$A$2:$A$66,0)),0)</f>
        <v/>
      </c>
      <c r="H3" s="6">
        <f>IFERROR(INDEX(Players!$F$2:$F$66,MATCH($E3,Players!$A$2:$A$66,0)),"")</f>
        <v/>
      </c>
      <c r="I3">
        <f>IFERROR(INDEX(Players!$G$2:$G$66,MATCH($E3,Players!$A$2:$A$66,0)),"")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IFERROR(INDEX(Matches!$R$5:$R$12,MATCH($B3,Matches!$A$5:$A$12,0)),1)</f>
        <v/>
      </c>
      <c r="M3" s="6">
        <f>IFERROR(IF(INDEX(Matches!$M$5:$M$12,MATCH($B3,Matches!$A$5:$A$12,0))="","",IF($F3="A",INDEX(Matches!$M$5:$M$12,MATCH($B3,Matches!$A$5:$A$12,0)),1-INDEX(Matches!$M$5:$M$12,MATCH($B3,Matches!$A$5:$A$12,0)))),"")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IFERROR(IF(INDEX(Matches!$N$5:$N$12,MATCH($B3,Matches!$A$5:$A$12,0))="","",IF($F3="A",INDEX(Matches!$N$5:$N$12,MATCH($B3,Matches!$A$5:$A$12,0)),1-INDEX(Matches!$N$5:$N$12,MATCH($B3,Matches!$A$5:$A$12,0)))),"")</f>
        <v/>
      </c>
      <c r="R3">
        <f>IFERROR(N(INDEX(Matches!$P$5:$P$12,MATCH($B3,Matches!$A$5:$A$12,0))),0)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IFERROR(IF(INDEX(Matches!$O$5:$O$12,MATCH($B3,Matches!$A$5:$A$12,0))="","",IF($F3="A",INDEX(Matches!$O$5:$O$12,MATCH($B3,Matches!$A$5:$A$12,0)),1-INDEX(Matches!$O$5:$O$12,MATCH($B3,Matches!$A$5:$A$12,0)))),"")</f>
        <v/>
      </c>
      <c r="V3">
        <f>IFERROR(N(INDEX(Matches!$Q$5:$Q$12,MATCH($B3,Matches!$A$5:$A$12,0))),0)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","")&amp;IFERROR(IF(INDEX(Players!$T$2:$T$66,MATCH($E3,Players!$A$2:$A$66,0))&lt;0.5,"new roster: "&amp;TEXT(INDEX(Players!$T$2:$T$66,MATCH($E3,Players!$A$2:$A$66,0)),"0%")&amp;" of his recent games with these teammates",""),""))</f>
        <v/>
      </c>
      <c r="AI3">
        <f>IF($B3=Board!$B$2,COUNTIFS($B$2:$B$66,Board!$B$2,$Y$2:$Y$66,"&gt;"&amp;$Y3)+COUNTIFS($B$1:$B2,Board!$B$2,$Y$1:$Y2,$Y3)+1,"")</f>
        <v/>
      </c>
      <c r="AJ3">
        <f>IFERROR(IF(INDEX(Matches!$D$5:$D$12,MATCH($B3,Matches!$A$5:$A$12,0))=3,"K12","K13"),"K13")</f>
        <v/>
      </c>
      <c r="AK3" s="11">
        <f>IF($AJ3="K12",$AA3,$AC3)</f>
        <v/>
      </c>
    </row>
    <row r="4">
      <c r="A4" t="inlineStr">
        <is>
          <t>nbyoi46qk2ybg8b|DOTA · BB vs LEGION</t>
        </is>
      </c>
      <c r="B4" t="inlineStr">
        <is>
          <t>DOTA · BB vs LEGION</t>
        </is>
      </c>
      <c r="C4" t="inlineStr">
        <is>
          <t>BB</t>
        </is>
      </c>
      <c r="D4" t="inlineStr">
        <is>
          <t>MieRo</t>
        </is>
      </c>
      <c r="E4" t="inlineStr">
        <is>
          <t>nbyoi46qk2ybg8b</t>
        </is>
      </c>
      <c r="F4">
        <f>IFERROR(IF($C4=INDEX(Matches!$S$5:$S$12,MATCH($B4,Matches!$A$5:$A$12,0)),"A",IF($C4=INDEX(Matches!$T$5:$T$12,MATCH($B4,Matches!$A$5:$A$12,0)),"B","")),"")</f>
        <v/>
      </c>
      <c r="G4">
        <f>IFERROR(INDEX(Players!$E$2:$E$66,MATCH($E4,Players!$A$2:$A$66,0)),0)</f>
        <v/>
      </c>
      <c r="H4" s="6">
        <f>IFERROR(INDEX(Players!$F$2:$F$66,MATCH($E4,Players!$A$2:$A$66,0)),"")</f>
        <v/>
      </c>
      <c r="I4">
        <f>IFERROR(INDEX(Players!$G$2:$G$66,MATCH($E4,Players!$A$2:$A$66,0)),"")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IFERROR(INDEX(Matches!$R$5:$R$12,MATCH($B4,Matches!$A$5:$A$12,0)),1)</f>
        <v/>
      </c>
      <c r="M4" s="6">
        <f>IFERROR(IF(INDEX(Matches!$M$5:$M$12,MATCH($B4,Matches!$A$5:$A$12,0))="","",IF($F4="A",INDEX(Matches!$M$5:$M$12,MATCH($B4,Matches!$A$5:$A$12,0)),1-INDEX(Matches!$M$5:$M$12,MATCH($B4,Matches!$A$5:$A$12,0)))),"")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IFERROR(IF(INDEX(Matches!$N$5:$N$12,MATCH($B4,Matches!$A$5:$A$12,0))="","",IF($F4="A",INDEX(Matches!$N$5:$N$12,MATCH($B4,Matches!$A$5:$A$12,0)),1-INDEX(Matches!$N$5:$N$12,MATCH($B4,Matches!$A$5:$A$12,0)))),"")</f>
        <v/>
      </c>
      <c r="R4">
        <f>IFERROR(N(INDEX(Matches!$P$5:$P$12,MATCH($B4,Matches!$A$5:$A$12,0))),0)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IFERROR(IF(INDEX(Matches!$O$5:$O$12,MATCH($B4,Matches!$A$5:$A$12,0))="","",IF($F4="A",INDEX(Matches!$O$5:$O$12,MATCH($B4,Matches!$A$5:$A$12,0)),1-INDEX(Matches!$O$5:$O$12,MATCH($B4,Matches!$A$5:$A$12,0)))),"")</f>
        <v/>
      </c>
      <c r="V4">
        <f>IFERROR(N(INDEX(Matches!$Q$5:$Q$12,MATCH($B4,Matches!$A$5:$A$12,0))),0)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","")&amp;IFERROR(IF(INDEX(Players!$T$2:$T$66,MATCH($E4,Players!$A$2:$A$66,0))&lt;0.5,"new roster: "&amp;TEXT(INDEX(Players!$T$2:$T$66,MATCH($E4,Players!$A$2:$A$66,0)),"0%")&amp;" of his recent games with these teammates",""),""))</f>
        <v/>
      </c>
      <c r="AI4">
        <f>IF($B4=Board!$B$2,COUNTIFS($B$2:$B$66,Board!$B$2,$Y$2:$Y$66,"&gt;"&amp;$Y4)+COUNTIFS($B$1:$B3,Board!$B$2,$Y$1:$Y3,$Y4)+1,"")</f>
        <v/>
      </c>
      <c r="AJ4">
        <f>IFERROR(IF(INDEX(Matches!$D$5:$D$12,MATCH($B4,Matches!$A$5:$A$12,0))=3,"K12","K13"),"K13")</f>
        <v/>
      </c>
      <c r="AK4" s="11">
        <f>IF($AJ4="K12",$AA4,$AC4)</f>
        <v/>
      </c>
    </row>
    <row r="5">
      <c r="A5" t="inlineStr">
        <is>
          <t>7ht2ppu8ke3cch9|DOTA · BB vs LEGION</t>
        </is>
      </c>
      <c r="B5" t="inlineStr">
        <is>
          <t>DOTA · BB vs LEGION</t>
        </is>
      </c>
      <c r="C5" t="inlineStr">
        <is>
          <t>BB</t>
        </is>
      </c>
      <c r="D5" t="inlineStr">
        <is>
          <t>swedenstrong</t>
        </is>
      </c>
      <c r="E5" t="inlineStr">
        <is>
          <t>7ht2ppu8ke3cch9</t>
        </is>
      </c>
      <c r="F5">
        <f>IFERROR(IF($C5=INDEX(Matches!$S$5:$S$12,MATCH($B5,Matches!$A$5:$A$12,0)),"A",IF($C5=INDEX(Matches!$T$5:$T$12,MATCH($B5,Matches!$A$5:$A$12,0)),"B","")),"")</f>
        <v/>
      </c>
      <c r="G5">
        <f>IFERROR(INDEX(Players!$E$2:$E$66,MATCH($E5,Players!$A$2:$A$66,0)),0)</f>
        <v/>
      </c>
      <c r="H5" s="6">
        <f>IFERROR(INDEX(Players!$F$2:$F$66,MATCH($E5,Players!$A$2:$A$66,0)),"")</f>
        <v/>
      </c>
      <c r="I5">
        <f>IFERROR(INDEX(Players!$G$2:$G$66,MATCH($E5,Players!$A$2:$A$66,0)),"")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IFERROR(INDEX(Matches!$R$5:$R$12,MATCH($B5,Matches!$A$5:$A$12,0)),1)</f>
        <v/>
      </c>
      <c r="M5" s="6">
        <f>IFERROR(IF(INDEX(Matches!$M$5:$M$12,MATCH($B5,Matches!$A$5:$A$12,0))="","",IF($F5="A",INDEX(Matches!$M$5:$M$12,MATCH($B5,Matches!$A$5:$A$12,0)),1-INDEX(Matches!$M$5:$M$12,MATCH($B5,Matches!$A$5:$A$12,0)))),"")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IFERROR(IF(INDEX(Matches!$N$5:$N$12,MATCH($B5,Matches!$A$5:$A$12,0))="","",IF($F5="A",INDEX(Matches!$N$5:$N$12,MATCH($B5,Matches!$A$5:$A$12,0)),1-INDEX(Matches!$N$5:$N$12,MATCH($B5,Matches!$A$5:$A$12,0)))),"")</f>
        <v/>
      </c>
      <c r="R5">
        <f>IFERROR(N(INDEX(Matches!$P$5:$P$12,MATCH($B5,Matches!$A$5:$A$12,0))),0)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IFERROR(IF(INDEX(Matches!$O$5:$O$12,MATCH($B5,Matches!$A$5:$A$12,0))="","",IF($F5="A",INDEX(Matches!$O$5:$O$12,MATCH($B5,Matches!$A$5:$A$12,0)),1-INDEX(Matches!$O$5:$O$12,MATCH($B5,Matches!$A$5:$A$12,0)))),"")</f>
        <v/>
      </c>
      <c r="V5">
        <f>IFERROR(N(INDEX(Matches!$Q$5:$Q$12,MATCH($B5,Matches!$A$5:$A$12,0))),0)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","")&amp;IFERROR(IF(INDEX(Players!$T$2:$T$66,MATCH($E5,Players!$A$2:$A$66,0))&lt;0.5,"new roster: "&amp;TEXT(INDEX(Players!$T$2:$T$66,MATCH($E5,Players!$A$2:$A$66,0)),"0%")&amp;" of his recent games with these teammates",""),""))</f>
        <v/>
      </c>
      <c r="AI5">
        <f>IF($B5=Board!$B$2,COUNTIFS($B$2:$B$66,Board!$B$2,$Y$2:$Y$66,"&gt;"&amp;$Y5)+COUNTIFS($B$1:$B4,Board!$B$2,$Y$1:$Y4,$Y5)+1,"")</f>
        <v/>
      </c>
      <c r="AJ5">
        <f>IFERROR(IF(INDEX(Matches!$D$5:$D$12,MATCH($B5,Matches!$A$5:$A$12,0))=3,"K12","K13"),"K13")</f>
        <v/>
      </c>
      <c r="AK5" s="11">
        <f>IF($AJ5="K12",$AA5,$AC5)</f>
        <v/>
      </c>
    </row>
    <row r="6">
      <c r="A6" t="inlineStr">
        <is>
          <t>sb23yl47osfxk2h|DOTA · BB vs LEGION</t>
        </is>
      </c>
      <c r="B6" t="inlineStr">
        <is>
          <t>DOTA · BB vs LEGION</t>
        </is>
      </c>
      <c r="C6" t="inlineStr">
        <is>
          <t>LEGION</t>
        </is>
      </c>
      <c r="D6" t="inlineStr">
        <is>
          <t>DarkLord^</t>
        </is>
      </c>
      <c r="E6" t="inlineStr">
        <is>
          <t>sb23yl47osfxk2h</t>
        </is>
      </c>
      <c r="F6">
        <f>IFERROR(IF($C6=INDEX(Matches!$S$5:$S$12,MATCH($B6,Matches!$A$5:$A$12,0)),"A",IF($C6=INDEX(Matches!$T$5:$T$12,MATCH($B6,Matches!$A$5:$A$12,0)),"B","")),"")</f>
        <v/>
      </c>
      <c r="G6">
        <f>IFERROR(INDEX(Players!$E$2:$E$66,MATCH($E6,Players!$A$2:$A$66,0)),0)</f>
        <v/>
      </c>
      <c r="H6" s="6">
        <f>IFERROR(INDEX(Players!$F$2:$F$66,MATCH($E6,Players!$A$2:$A$66,0)),"")</f>
        <v/>
      </c>
      <c r="I6">
        <f>IFERROR(INDEX(Players!$G$2:$G$66,MATCH($E6,Players!$A$2:$A$66,0)),"")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IFERROR(INDEX(Matches!$R$5:$R$12,MATCH($B6,Matches!$A$5:$A$12,0)),1)</f>
        <v/>
      </c>
      <c r="M6" s="6">
        <f>IFERROR(IF(INDEX(Matches!$M$5:$M$12,MATCH($B6,Matches!$A$5:$A$12,0))="","",IF($F6="A",INDEX(Matches!$M$5:$M$12,MATCH($B6,Matches!$A$5:$A$12,0)),1-INDEX(Matches!$M$5:$M$12,MATCH($B6,Matches!$A$5:$A$12,0)))),"")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IFERROR(IF(INDEX(Matches!$N$5:$N$12,MATCH($B6,Matches!$A$5:$A$12,0))="","",IF($F6="A",INDEX(Matches!$N$5:$N$12,MATCH($B6,Matches!$A$5:$A$12,0)),1-INDEX(Matches!$N$5:$N$12,MATCH($B6,Matches!$A$5:$A$12,0)))),"")</f>
        <v/>
      </c>
      <c r="R6">
        <f>IFERROR(N(INDEX(Matches!$P$5:$P$12,MATCH($B6,Matches!$A$5:$A$12,0))),0)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IFERROR(IF(INDEX(Matches!$O$5:$O$12,MATCH($B6,Matches!$A$5:$A$12,0))="","",IF($F6="A",INDEX(Matches!$O$5:$O$12,MATCH($B6,Matches!$A$5:$A$12,0)),1-INDEX(Matches!$O$5:$O$12,MATCH($B6,Matches!$A$5:$A$12,0)))),"")</f>
        <v/>
      </c>
      <c r="V6">
        <f>IFERROR(N(INDEX(Matches!$Q$5:$Q$12,MATCH($B6,Matches!$A$5:$A$12,0))),0)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","")&amp;IFERROR(IF(INDEX(Players!$T$2:$T$66,MATCH($E6,Players!$A$2:$A$66,0))&lt;0.5,"new roster: "&amp;TEXT(INDEX(Players!$T$2:$T$66,MATCH($E6,Players!$A$2:$A$66,0)),"0%")&amp;" of his recent games with these teammates",""),""))</f>
        <v/>
      </c>
      <c r="AI6">
        <f>IF($B6=Board!$B$2,COUNTIFS($B$2:$B$66,Board!$B$2,$Y$2:$Y$66,"&gt;"&amp;$Y6)+COUNTIFS($B$1:$B5,Board!$B$2,$Y$1:$Y5,$Y6)+1,"")</f>
        <v/>
      </c>
      <c r="AJ6">
        <f>IFERROR(IF(INDEX(Matches!$D$5:$D$12,MATCH($B6,Matches!$A$5:$A$12,0))=3,"K12","K13"),"K13")</f>
        <v/>
      </c>
      <c r="AK6" s="11">
        <f>IF($AJ6="K12",$AA6,$AC6)</f>
        <v/>
      </c>
    </row>
    <row r="7">
      <c r="A7" t="inlineStr">
        <is>
          <t>y820p7y1cpfqy6w|DOTA · BB vs LEGION</t>
        </is>
      </c>
      <c r="B7" t="inlineStr">
        <is>
          <t>DOTA · BB vs LEGION</t>
        </is>
      </c>
      <c r="C7" t="inlineStr">
        <is>
          <t>LEGION</t>
        </is>
      </c>
      <c r="D7" t="inlineStr">
        <is>
          <t>Kidaro</t>
        </is>
      </c>
      <c r="E7" t="inlineStr">
        <is>
          <t>y820p7y1cpfqy6w</t>
        </is>
      </c>
      <c r="F7">
        <f>IFERROR(IF($C7=INDEX(Matches!$S$5:$S$12,MATCH($B7,Matches!$A$5:$A$12,0)),"A",IF($C7=INDEX(Matches!$T$5:$T$12,MATCH($B7,Matches!$A$5:$A$12,0)),"B","")),"")</f>
        <v/>
      </c>
      <c r="G7">
        <f>IFERROR(INDEX(Players!$E$2:$E$66,MATCH($E7,Players!$A$2:$A$66,0)),0)</f>
        <v/>
      </c>
      <c r="H7" s="6">
        <f>IFERROR(INDEX(Players!$F$2:$F$66,MATCH($E7,Players!$A$2:$A$66,0)),"")</f>
        <v/>
      </c>
      <c r="I7">
        <f>IFERROR(INDEX(Players!$G$2:$G$66,MATCH($E7,Players!$A$2:$A$66,0)),"")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IFERROR(INDEX(Matches!$R$5:$R$12,MATCH($B7,Matches!$A$5:$A$12,0)),1)</f>
        <v/>
      </c>
      <c r="M7" s="6">
        <f>IFERROR(IF(INDEX(Matches!$M$5:$M$12,MATCH($B7,Matches!$A$5:$A$12,0))="","",IF($F7="A",INDEX(Matches!$M$5:$M$12,MATCH($B7,Matches!$A$5:$A$12,0)),1-INDEX(Matches!$M$5:$M$12,MATCH($B7,Matches!$A$5:$A$12,0)))),"")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IFERROR(IF(INDEX(Matches!$N$5:$N$12,MATCH($B7,Matches!$A$5:$A$12,0))="","",IF($F7="A",INDEX(Matches!$N$5:$N$12,MATCH($B7,Matches!$A$5:$A$12,0)),1-INDEX(Matches!$N$5:$N$12,MATCH($B7,Matches!$A$5:$A$12,0)))),"")</f>
        <v/>
      </c>
      <c r="R7">
        <f>IFERROR(N(INDEX(Matches!$P$5:$P$12,MATCH($B7,Matches!$A$5:$A$12,0))),0)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IFERROR(IF(INDEX(Matches!$O$5:$O$12,MATCH($B7,Matches!$A$5:$A$12,0))="","",IF($F7="A",INDEX(Matches!$O$5:$O$12,MATCH($B7,Matches!$A$5:$A$12,0)),1-INDEX(Matches!$O$5:$O$12,MATCH($B7,Matches!$A$5:$A$12,0)))),"")</f>
        <v/>
      </c>
      <c r="V7">
        <f>IFERROR(N(INDEX(Matches!$Q$5:$Q$12,MATCH($B7,Matches!$A$5:$A$12,0))),0)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","")&amp;IFERROR(IF(INDEX(Players!$T$2:$T$66,MATCH($E7,Players!$A$2:$A$66,0))&lt;0.5,"new roster: "&amp;TEXT(INDEX(Players!$T$2:$T$66,MATCH($E7,Players!$A$2:$A$66,0)),"0%")&amp;" of his recent games with these teammates",""),""))</f>
        <v/>
      </c>
      <c r="AI7">
        <f>IF($B7=Board!$B$2,COUNTIFS($B$2:$B$66,Board!$B$2,$Y$2:$Y$66,"&gt;"&amp;$Y7)+COUNTIFS($B$1:$B6,Board!$B$2,$Y$1:$Y6,$Y7)+1,"")</f>
        <v/>
      </c>
      <c r="AJ7">
        <f>IFERROR(IF(INDEX(Matches!$D$5:$D$12,MATCH($B7,Matches!$A$5:$A$12,0))=3,"K12","K13"),"K13")</f>
        <v/>
      </c>
      <c r="AK7" s="11">
        <f>IF($AJ7="K12",$AA7,$AC7)</f>
        <v/>
      </c>
    </row>
    <row r="8">
      <c r="A8" t="inlineStr">
        <is>
          <t>pd8esajdvd6l5ul|DOTA · BB vs LEGION</t>
        </is>
      </c>
      <c r="B8" t="inlineStr">
        <is>
          <t>DOTA · BB vs LEGION</t>
        </is>
      </c>
      <c r="C8" t="inlineStr">
        <is>
          <t>LEGION</t>
        </is>
      </c>
      <c r="D8" t="inlineStr">
        <is>
          <t>SaberLight</t>
        </is>
      </c>
      <c r="E8" t="inlineStr">
        <is>
          <t>pd8esajdvd6l5ul</t>
        </is>
      </c>
      <c r="F8">
        <f>IFERROR(IF($C8=INDEX(Matches!$S$5:$S$12,MATCH($B8,Matches!$A$5:$A$12,0)),"A",IF($C8=INDEX(Matches!$T$5:$T$12,MATCH($B8,Matches!$A$5:$A$12,0)),"B","")),"")</f>
        <v/>
      </c>
      <c r="G8">
        <f>IFERROR(INDEX(Players!$E$2:$E$66,MATCH($E8,Players!$A$2:$A$66,0)),0)</f>
        <v/>
      </c>
      <c r="H8" s="6">
        <f>IFERROR(INDEX(Players!$F$2:$F$66,MATCH($E8,Players!$A$2:$A$66,0)),"")</f>
        <v/>
      </c>
      <c r="I8">
        <f>IFERROR(INDEX(Players!$G$2:$G$66,MATCH($E8,Players!$A$2:$A$66,0)),"")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IFERROR(INDEX(Matches!$R$5:$R$12,MATCH($B8,Matches!$A$5:$A$12,0)),1)</f>
        <v/>
      </c>
      <c r="M8" s="6">
        <f>IFERROR(IF(INDEX(Matches!$M$5:$M$12,MATCH($B8,Matches!$A$5:$A$12,0))="","",IF($F8="A",INDEX(Matches!$M$5:$M$12,MATCH($B8,Matches!$A$5:$A$12,0)),1-INDEX(Matches!$M$5:$M$12,MATCH($B8,Matches!$A$5:$A$12,0)))),"")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IFERROR(IF(INDEX(Matches!$N$5:$N$12,MATCH($B8,Matches!$A$5:$A$12,0))="","",IF($F8="A",INDEX(Matches!$N$5:$N$12,MATCH($B8,Matches!$A$5:$A$12,0)),1-INDEX(Matches!$N$5:$N$12,MATCH($B8,Matches!$A$5:$A$12,0)))),"")</f>
        <v/>
      </c>
      <c r="R8">
        <f>IFERROR(N(INDEX(Matches!$P$5:$P$12,MATCH($B8,Matches!$A$5:$A$12,0))),0)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IFERROR(IF(INDEX(Matches!$O$5:$O$12,MATCH($B8,Matches!$A$5:$A$12,0))="","",IF($F8="A",INDEX(Matches!$O$5:$O$12,MATCH($B8,Matches!$A$5:$A$12,0)),1-INDEX(Matches!$O$5:$O$12,MATCH($B8,Matches!$A$5:$A$12,0)))),"")</f>
        <v/>
      </c>
      <c r="V8">
        <f>IFERROR(N(INDEX(Matches!$Q$5:$Q$12,MATCH($B8,Matches!$A$5:$A$12,0))),0)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","")&amp;IFERROR(IF(INDEX(Players!$T$2:$T$66,MATCH($E8,Players!$A$2:$A$66,0))&lt;0.5,"new roster: "&amp;TEXT(INDEX(Players!$T$2:$T$66,MATCH($E8,Players!$A$2:$A$66,0)),"0%")&amp;" of his recent games with these teammates",""),""))</f>
        <v/>
      </c>
      <c r="AI8">
        <f>IF($B8=Board!$B$2,COUNTIFS($B$2:$B$66,Board!$B$2,$Y$2:$Y$66,"&gt;"&amp;$Y8)+COUNTIFS($B$1:$B7,Board!$B$2,$Y$1:$Y7,$Y8)+1,"")</f>
        <v/>
      </c>
      <c r="AJ8">
        <f>IFERROR(IF(INDEX(Matches!$D$5:$D$12,MATCH($B8,Matches!$A$5:$A$12,0))=3,"K12","K13"),"K13")</f>
        <v/>
      </c>
      <c r="AK8" s="11">
        <f>IF($AJ8="K12",$AA8,$AC8)</f>
        <v/>
      </c>
    </row>
    <row r="9">
      <c r="A9" t="inlineStr">
        <is>
          <t>e8li27evib4y4db|DOTA · BB vs LEGION</t>
        </is>
      </c>
      <c r="B9" t="inlineStr">
        <is>
          <t>DOTA · BB vs LEGION</t>
        </is>
      </c>
      <c r="C9" t="inlineStr">
        <is>
          <t>LEGION</t>
        </is>
      </c>
      <c r="D9" t="inlineStr">
        <is>
          <t>Stojkov</t>
        </is>
      </c>
      <c r="E9" t="inlineStr">
        <is>
          <t>e8li27evib4y4db</t>
        </is>
      </c>
      <c r="F9">
        <f>IFERROR(IF($C9=INDEX(Matches!$S$5:$S$12,MATCH($B9,Matches!$A$5:$A$12,0)),"A",IF($C9=INDEX(Matches!$T$5:$T$12,MATCH($B9,Matches!$A$5:$A$12,0)),"B","")),"")</f>
        <v/>
      </c>
      <c r="G9">
        <f>IFERROR(INDEX(Players!$E$2:$E$66,MATCH($E9,Players!$A$2:$A$66,0)),0)</f>
        <v/>
      </c>
      <c r="H9" s="6">
        <f>IFERROR(INDEX(Players!$F$2:$F$66,MATCH($E9,Players!$A$2:$A$66,0)),"")</f>
        <v/>
      </c>
      <c r="I9">
        <f>IFERROR(INDEX(Players!$G$2:$G$66,MATCH($E9,Players!$A$2:$A$66,0)),"")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IFERROR(INDEX(Matches!$R$5:$R$12,MATCH($B9,Matches!$A$5:$A$12,0)),1)</f>
        <v/>
      </c>
      <c r="M9" s="6">
        <f>IFERROR(IF(INDEX(Matches!$M$5:$M$12,MATCH($B9,Matches!$A$5:$A$12,0))="","",IF($F9="A",INDEX(Matches!$M$5:$M$12,MATCH($B9,Matches!$A$5:$A$12,0)),1-INDEX(Matches!$M$5:$M$12,MATCH($B9,Matches!$A$5:$A$12,0)))),"")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IFERROR(IF(INDEX(Matches!$N$5:$N$12,MATCH($B9,Matches!$A$5:$A$12,0))="","",IF($F9="A",INDEX(Matches!$N$5:$N$12,MATCH($B9,Matches!$A$5:$A$12,0)),1-INDEX(Matches!$N$5:$N$12,MATCH($B9,Matches!$A$5:$A$12,0)))),"")</f>
        <v/>
      </c>
      <c r="R9">
        <f>IFERROR(N(INDEX(Matches!$P$5:$P$12,MATCH($B9,Matches!$A$5:$A$12,0))),0)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IFERROR(IF(INDEX(Matches!$O$5:$O$12,MATCH($B9,Matches!$A$5:$A$12,0))="","",IF($F9="A",INDEX(Matches!$O$5:$O$12,MATCH($B9,Matches!$A$5:$A$12,0)),1-INDEX(Matches!$O$5:$O$12,MATCH($B9,Matches!$A$5:$A$12,0)))),"")</f>
        <v/>
      </c>
      <c r="V9">
        <f>IFERROR(N(INDEX(Matches!$Q$5:$Q$12,MATCH($B9,Matches!$A$5:$A$12,0))),0)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","")&amp;IFERROR(IF(INDEX(Players!$T$2:$T$66,MATCH($E9,Players!$A$2:$A$66,0))&lt;0.5,"new roster: "&amp;TEXT(INDEX(Players!$T$2:$T$66,MATCH($E9,Players!$A$2:$A$66,0)),"0%")&amp;" of his recent games with these teammates",""),""))</f>
        <v/>
      </c>
      <c r="AI9">
        <f>IF($B9=Board!$B$2,COUNTIFS($B$2:$B$66,Board!$B$2,$Y$2:$Y$66,"&gt;"&amp;$Y9)+COUNTIFS($B$1:$B8,Board!$B$2,$Y$1:$Y8,$Y9)+1,"")</f>
        <v/>
      </c>
      <c r="AJ9">
        <f>IFERROR(IF(INDEX(Matches!$D$5:$D$12,MATCH($B9,Matches!$A$5:$A$12,0))=3,"K12","K13"),"K13")</f>
        <v/>
      </c>
      <c r="AK9" s="11">
        <f>IF($AJ9="K12",$AA9,$AC9)</f>
        <v/>
      </c>
    </row>
    <row r="10">
      <c r="A10" t="inlineStr">
        <is>
          <t>qviujqdmb4jzi0q|DOTA · OG vs GL</t>
        </is>
      </c>
      <c r="B10" t="inlineStr">
        <is>
          <t>DOTA · OG vs GL</t>
        </is>
      </c>
      <c r="C10" t="inlineStr">
        <is>
          <t>GL</t>
        </is>
      </c>
      <c r="D10" t="inlineStr">
        <is>
          <t>Bignum</t>
        </is>
      </c>
      <c r="E10" t="inlineStr">
        <is>
          <t>qviujqdmb4jzi0q</t>
        </is>
      </c>
      <c r="F10">
        <f>IFERROR(IF($C10=INDEX(Matches!$S$5:$S$12,MATCH($B10,Matches!$A$5:$A$12,0)),"A",IF($C10=INDEX(Matches!$T$5:$T$12,MATCH($B10,Matches!$A$5:$A$12,0)),"B","")),"")</f>
        <v/>
      </c>
      <c r="G10">
        <f>IFERROR(INDEX(Players!$E$2:$E$66,MATCH($E10,Players!$A$2:$A$66,0)),0)</f>
        <v/>
      </c>
      <c r="H10" s="6">
        <f>IFERROR(INDEX(Players!$F$2:$F$66,MATCH($E10,Players!$A$2:$A$66,0)),"")</f>
        <v/>
      </c>
      <c r="I10">
        <f>IFERROR(INDEX(Players!$G$2:$G$66,MATCH($E10,Players!$A$2:$A$66,0)),"")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IFERROR(INDEX(Matches!$R$5:$R$12,MATCH($B10,Matches!$A$5:$A$12,0)),1)</f>
        <v/>
      </c>
      <c r="M10" s="6">
        <f>IFERROR(IF(INDEX(Matches!$M$5:$M$12,MATCH($B10,Matches!$A$5:$A$12,0))="","",IF($F10="A",INDEX(Matches!$M$5:$M$12,MATCH($B10,Matches!$A$5:$A$12,0)),1-INDEX(Matches!$M$5:$M$12,MATCH($B10,Matches!$A$5:$A$12,0)))),"")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IFERROR(IF(INDEX(Matches!$N$5:$N$12,MATCH($B10,Matches!$A$5:$A$12,0))="","",IF($F10="A",INDEX(Matches!$N$5:$N$12,MATCH($B10,Matches!$A$5:$A$12,0)),1-INDEX(Matches!$N$5:$N$12,MATCH($B10,Matches!$A$5:$A$12,0)))),"")</f>
        <v/>
      </c>
      <c r="R10">
        <f>IFERROR(N(INDEX(Matches!$P$5:$P$12,MATCH($B10,Matches!$A$5:$A$12,0))),0)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IFERROR(IF(INDEX(Matches!$O$5:$O$12,MATCH($B10,Matches!$A$5:$A$12,0))="","",IF($F10="A",INDEX(Matches!$O$5:$O$12,MATCH($B10,Matches!$A$5:$A$12,0)),1-INDEX(Matches!$O$5:$O$12,MATCH($B10,Matches!$A$5:$A$12,0)))),"")</f>
        <v/>
      </c>
      <c r="V10">
        <f>IFERROR(N(INDEX(Matches!$Q$5:$Q$12,MATCH($B10,Matches!$A$5:$A$12,0))),0)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","")&amp;IFERROR(IF(INDEX(Players!$T$2:$T$66,MATCH($E10,Players!$A$2:$A$66,0))&lt;0.5,"new roster: "&amp;TEXT(INDEX(Players!$T$2:$T$66,MATCH($E10,Players!$A$2:$A$66,0)),"0%")&amp;" of his recent games with these teammates",""),""))</f>
        <v/>
      </c>
      <c r="AI10">
        <f>IF($B10=Board!$B$2,COUNTIFS($B$2:$B$66,Board!$B$2,$Y$2:$Y$66,"&gt;"&amp;$Y10)+COUNTIFS($B$1:$B9,Board!$B$2,$Y$1:$Y9,$Y10)+1,"")</f>
        <v/>
      </c>
      <c r="AJ10">
        <f>IFERROR(IF(INDEX(Matches!$D$5:$D$12,MATCH($B10,Matches!$A$5:$A$12,0))=3,"K12","K13"),"K13")</f>
        <v/>
      </c>
      <c r="AK10" s="11">
        <f>IF($AJ10="K12",$AA10,$AC10)</f>
        <v/>
      </c>
    </row>
    <row r="11">
      <c r="A11" t="inlineStr">
        <is>
          <t>7f340lwfa48ats4|DOTA · OG vs GL</t>
        </is>
      </c>
      <c r="B11" t="inlineStr">
        <is>
          <t>DOTA · OG vs GL</t>
        </is>
      </c>
      <c r="C11" t="inlineStr">
        <is>
          <t>GL</t>
        </is>
      </c>
      <c r="D11" t="inlineStr">
        <is>
          <t>Fayde</t>
        </is>
      </c>
      <c r="E11" t="inlineStr">
        <is>
          <t>7f340lwfa48ats4</t>
        </is>
      </c>
      <c r="F11">
        <f>IFERROR(IF($C11=INDEX(Matches!$S$5:$S$12,MATCH($B11,Matches!$A$5:$A$12,0)),"A",IF($C11=INDEX(Matches!$T$5:$T$12,MATCH($B11,Matches!$A$5:$A$12,0)),"B","")),"")</f>
        <v/>
      </c>
      <c r="G11">
        <f>IFERROR(INDEX(Players!$E$2:$E$66,MATCH($E11,Players!$A$2:$A$66,0)),0)</f>
        <v/>
      </c>
      <c r="H11" s="6">
        <f>IFERROR(INDEX(Players!$F$2:$F$66,MATCH($E11,Players!$A$2:$A$66,0)),"")</f>
        <v/>
      </c>
      <c r="I11">
        <f>IFERROR(INDEX(Players!$G$2:$G$66,MATCH($E11,Players!$A$2:$A$66,0)),"")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IFERROR(INDEX(Matches!$R$5:$R$12,MATCH($B11,Matches!$A$5:$A$12,0)),1)</f>
        <v/>
      </c>
      <c r="M11" s="6">
        <f>IFERROR(IF(INDEX(Matches!$M$5:$M$12,MATCH($B11,Matches!$A$5:$A$12,0))="","",IF($F11="A",INDEX(Matches!$M$5:$M$12,MATCH($B11,Matches!$A$5:$A$12,0)),1-INDEX(Matches!$M$5:$M$12,MATCH($B11,Matches!$A$5:$A$12,0)))),"")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IFERROR(IF(INDEX(Matches!$N$5:$N$12,MATCH($B11,Matches!$A$5:$A$12,0))="","",IF($F11="A",INDEX(Matches!$N$5:$N$12,MATCH($B11,Matches!$A$5:$A$12,0)),1-INDEX(Matches!$N$5:$N$12,MATCH($B11,Matches!$A$5:$A$12,0)))),"")</f>
        <v/>
      </c>
      <c r="R11">
        <f>IFERROR(N(INDEX(Matches!$P$5:$P$12,MATCH($B11,Matches!$A$5:$A$12,0))),0)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IFERROR(IF(INDEX(Matches!$O$5:$O$12,MATCH($B11,Matches!$A$5:$A$12,0))="","",IF($F11="A",INDEX(Matches!$O$5:$O$12,MATCH($B11,Matches!$A$5:$A$12,0)),1-INDEX(Matches!$O$5:$O$12,MATCH($B11,Matches!$A$5:$A$12,0)))),"")</f>
        <v/>
      </c>
      <c r="V11">
        <f>IFERROR(N(INDEX(Matches!$Q$5:$Q$12,MATCH($B11,Matches!$A$5:$A$12,0))),0)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","")&amp;IFERROR(IF(INDEX(Players!$T$2:$T$66,MATCH($E11,Players!$A$2:$A$66,0))&lt;0.5,"new roster: "&amp;TEXT(INDEX(Players!$T$2:$T$66,MATCH($E11,Players!$A$2:$A$66,0)),"0%")&amp;" of his recent games with these teammates",""),""))</f>
        <v/>
      </c>
      <c r="AI11">
        <f>IF($B11=Board!$B$2,COUNTIFS($B$2:$B$66,Board!$B$2,$Y$2:$Y$66,"&gt;"&amp;$Y11)+COUNTIFS($B$1:$B10,Board!$B$2,$Y$1:$Y10,$Y11)+1,"")</f>
        <v/>
      </c>
      <c r="AJ11">
        <f>IFERROR(IF(INDEX(Matches!$D$5:$D$12,MATCH($B11,Matches!$A$5:$A$12,0))=3,"K12","K13"),"K13")</f>
        <v/>
      </c>
      <c r="AK11" s="11">
        <f>IF($AJ11="K12",$AA11,$AC11)</f>
        <v/>
      </c>
    </row>
    <row r="12">
      <c r="A12" t="inlineStr">
        <is>
          <t>3zaze8op521xnc4|DOTA · OG vs GL</t>
        </is>
      </c>
      <c r="B12" t="inlineStr">
        <is>
          <t>DOTA · OG vs GL</t>
        </is>
      </c>
      <c r="C12" t="inlineStr">
        <is>
          <t>GL</t>
        </is>
      </c>
      <c r="D12" t="inlineStr">
        <is>
          <t>RCY</t>
        </is>
      </c>
      <c r="E12" t="inlineStr">
        <is>
          <t>3zaze8op521xnc4</t>
        </is>
      </c>
      <c r="F12">
        <f>IFERROR(IF($C12=INDEX(Matches!$S$5:$S$12,MATCH($B12,Matches!$A$5:$A$12,0)),"A",IF($C12=INDEX(Matches!$T$5:$T$12,MATCH($B12,Matches!$A$5:$A$12,0)),"B","")),"")</f>
        <v/>
      </c>
      <c r="G12">
        <f>IFERROR(INDEX(Players!$E$2:$E$66,MATCH($E12,Players!$A$2:$A$66,0)),0)</f>
        <v/>
      </c>
      <c r="H12" s="6">
        <f>IFERROR(INDEX(Players!$F$2:$F$66,MATCH($E12,Players!$A$2:$A$66,0)),"")</f>
        <v/>
      </c>
      <c r="I12">
        <f>IFERROR(INDEX(Players!$G$2:$G$66,MATCH($E12,Players!$A$2:$A$66,0)),"")</f>
        <v/>
      </c>
      <c r="J12" s="11">
        <f>IF(OR($I12="",$H12=""),"",$I12*IF(LEFT($B12,4)="DOTA",Config!$B$5,Config!$B$4)/($H12*IF(LEFT($B12,4)="DOTA",Config!$B$5,Config!$B$4)+1-$H12))</f>
        <v/>
      </c>
      <c r="K12" s="11">
        <f>IF(OR($I12="",$H12=""),"",$I12/($H12*IF(LEFT($B12,4)="DOTA",Config!$B$5,Config!$B$4)+1-$H12))</f>
        <v/>
      </c>
      <c r="L12">
        <f>IFERROR(INDEX(Matches!$R$5:$R$12,MATCH($B12,Matches!$A$5:$A$12,0)),1)</f>
        <v/>
      </c>
      <c r="M12" s="6">
        <f>IFERROR(IF(INDEX(Matches!$M$5:$M$12,MATCH($B12,Matches!$A$5:$A$12,0))="","",IF($F12="A",INDEX(Matches!$M$5:$M$12,MATCH($B12,Matches!$A$5:$A$12,0)),1-INDEX(Matches!$M$5:$M$12,MATCH($B12,Matches!$A$5:$A$12,0)))),"")</f>
        <v/>
      </c>
      <c r="N12">
        <f>1</f>
        <v/>
      </c>
      <c r="O12" s="11">
        <f>IF(OR($M12="",$J12=""),"",$L12*($M12*$J12+(1-$M12)*$K12))</f>
        <v/>
      </c>
      <c r="P12">
        <f>IF($O12="","",IF(LEFT($B12,4)="DOTA",Config!$B$7,Config!$B$6)*$O12+$L12^2*$M12*(1-$M12)*($J12-$K12)^2)</f>
        <v/>
      </c>
      <c r="Q12" s="6">
        <f>IFERROR(IF(INDEX(Matches!$N$5:$N$12,MATCH($B12,Matches!$A$5:$A$12,0))="","",IF($F12="A",INDEX(Matches!$N$5:$N$12,MATCH($B12,Matches!$A$5:$A$12,0)),1-INDEX(Matches!$N$5:$N$12,MATCH($B12,Matches!$A$5:$A$12,0)))),"")</f>
        <v/>
      </c>
      <c r="R12">
        <f>IFERROR(N(INDEX(Matches!$P$5:$P$12,MATCH($B12,Matches!$A$5:$A$12,0))),0)</f>
        <v/>
      </c>
      <c r="S12" s="11">
        <f>IF(OR($Q12="",$J12=""),"",$L12*($Q12*$J12+(1-$Q12)*$K12))</f>
        <v/>
      </c>
      <c r="T12">
        <f>IF($S12="","",IF(LEFT($B12,4)="DOTA",Config!$B$7,Config!$B$6)*$S12+$L12^2*$Q12*(1-$Q12)*($J12-$K12)^2)</f>
        <v/>
      </c>
      <c r="U12" s="6">
        <f>IFERROR(IF(INDEX(Matches!$O$5:$O$12,MATCH($B12,Matches!$A$5:$A$12,0))="","",IF($F12="A",INDEX(Matches!$O$5:$O$12,MATCH($B12,Matches!$A$5:$A$12,0)),1-INDEX(Matches!$O$5:$O$12,MATCH($B12,Matches!$A$5:$A$12,0)))),"")</f>
        <v/>
      </c>
      <c r="V12">
        <f>IFERROR(N(INDEX(Matches!$Q$5:$Q$12,MATCH($B12,Matches!$A$5:$A$12,0))),0)</f>
        <v/>
      </c>
      <c r="W12" s="11">
        <f>IF(OR($U12="",$J12=""),"",$L12*($U12*$J12+(1-$U12)*$K12))</f>
        <v/>
      </c>
      <c r="X12">
        <f>IF($W12="","",IF(LEFT($B12,4)="DOTA",Config!$B$7,Config!$B$6)*$W12+$L12^2*$U12*(1-$U12)*($J12-$K12)^2)</f>
        <v/>
      </c>
      <c r="Y12" s="11">
        <f>IF($O12="","",$O12)</f>
        <v/>
      </c>
      <c r="Z12">
        <f>IF($P12="","",$P12)</f>
        <v/>
      </c>
      <c r="AA12" s="11">
        <f>IF($O12="","",N($N12)*N($O12)+N($R12)*N($S12))</f>
        <v/>
      </c>
      <c r="AB12">
        <f>IF($O12="","",(N($N12)*N($P12)+N($N12)*(1-N($N12))*N($O12)^2)+(N($R12)*N($T12)+N($R12)*(1-N($R12))*N($S12)^2))</f>
        <v/>
      </c>
      <c r="AC12" s="11">
        <f>IF($O12="","",N($N12)*N($O12)+N($R12)*N($S12)+N($V12)*N($W12))</f>
        <v/>
      </c>
      <c r="AD12">
        <f>IF($O12="","",(N($N12)*N($P12)+N($N12)*(1-N($N12))*N($O12)^2)+(N($R12)*N($T12)+N($R12)*(1-N($R12))*N($S12)^2)+(N($V12)*N($X12)+N($V12)*(1-N($V12))*N($W12)^2))</f>
        <v/>
      </c>
      <c r="AE12" s="11">
        <f>IF($I12="","",$I12*$L12)</f>
        <v/>
      </c>
      <c r="AF12" s="11">
        <f>IF($I12="","",$I12*$L12*(1+N($R12)))</f>
        <v/>
      </c>
      <c r="AG12" s="11">
        <f>IF($I12="","",$I12*$L12*(1+N($R12)+N($V12)))</f>
        <v/>
      </c>
      <c r="AH12">
        <f>TRIM(IF($G12&lt;Config!$B$9,"thin sample ("&amp;$G12&amp;" maps) · ","")&amp;IF($I12="","no PickFinder stats · ","")&amp;IFERROR(IF(INDEX(Players!$T$2:$T$66,MATCH($E12,Players!$A$2:$A$66,0))&lt;0.5,"new roster: "&amp;TEXT(INDEX(Players!$T$2:$T$66,MATCH($E12,Players!$A$2:$A$66,0)),"0%")&amp;" of his recent games with these teammates",""),""))</f>
        <v/>
      </c>
      <c r="AI12">
        <f>IF($B12=Board!$B$2,COUNTIFS($B$2:$B$66,Board!$B$2,$Y$2:$Y$66,"&gt;"&amp;$Y12)+COUNTIFS($B$1:$B11,Board!$B$2,$Y$1:$Y11,$Y12)+1,"")</f>
        <v/>
      </c>
      <c r="AJ12">
        <f>IFERROR(IF(INDEX(Matches!$D$5:$D$12,MATCH($B12,Matches!$A$5:$A$12,0))=3,"K12","K13"),"K13")</f>
        <v/>
      </c>
      <c r="AK12" s="11">
        <f>IF($AJ12="K12",$AA12,$AC12)</f>
        <v/>
      </c>
    </row>
    <row r="13">
      <c r="A13" t="inlineStr">
        <is>
          <t>t3b3k5ym37f128b|DOTA · OG vs GL</t>
        </is>
      </c>
      <c r="B13" t="inlineStr">
        <is>
          <t>DOTA · OG vs GL</t>
        </is>
      </c>
      <c r="C13" t="inlineStr">
        <is>
          <t>GL</t>
        </is>
      </c>
      <c r="D13" t="inlineStr">
        <is>
          <t>Speeed</t>
        </is>
      </c>
      <c r="E13" t="inlineStr">
        <is>
          <t>t3b3k5ym37f128b</t>
        </is>
      </c>
      <c r="F13">
        <f>IFERROR(IF($C13=INDEX(Matches!$S$5:$S$12,MATCH($B13,Matches!$A$5:$A$12,0)),"A",IF($C13=INDEX(Matches!$T$5:$T$12,MATCH($B13,Matches!$A$5:$A$12,0)),"B","")),"")</f>
        <v/>
      </c>
      <c r="G13">
        <f>IFERROR(INDEX(Players!$E$2:$E$66,MATCH($E13,Players!$A$2:$A$66,0)),0)</f>
        <v/>
      </c>
      <c r="H13" s="6">
        <f>IFERROR(INDEX(Players!$F$2:$F$66,MATCH($E13,Players!$A$2:$A$66,0)),"")</f>
        <v/>
      </c>
      <c r="I13">
        <f>IFERROR(INDEX(Players!$G$2:$G$66,MATCH($E13,Players!$A$2:$A$66,0)),"")</f>
        <v/>
      </c>
      <c r="J13" s="11">
        <f>IF(OR($I13="",$H13=""),"",$I13*IF(LEFT($B13,4)="DOTA",Config!$B$5,Config!$B$4)/($H13*IF(LEFT($B13,4)="DOTA",Config!$B$5,Config!$B$4)+1-$H13))</f>
        <v/>
      </c>
      <c r="K13" s="11">
        <f>IF(OR($I13="",$H13=""),"",$I13/($H13*IF(LEFT($B13,4)="DOTA",Config!$B$5,Config!$B$4)+1-$H13))</f>
        <v/>
      </c>
      <c r="L13">
        <f>IFERROR(INDEX(Matches!$R$5:$R$12,MATCH($B13,Matches!$A$5:$A$12,0)),1)</f>
        <v/>
      </c>
      <c r="M13" s="6">
        <f>IFERROR(IF(INDEX(Matches!$M$5:$M$12,MATCH($B13,Matches!$A$5:$A$12,0))="","",IF($F13="A",INDEX(Matches!$M$5:$M$12,MATCH($B13,Matches!$A$5:$A$12,0)),1-INDEX(Matches!$M$5:$M$12,MATCH($B13,Matches!$A$5:$A$12,0)))),"")</f>
        <v/>
      </c>
      <c r="N13">
        <f>1</f>
        <v/>
      </c>
      <c r="O13" s="11">
        <f>IF(OR($M13="",$J13=""),"",$L13*($M13*$J13+(1-$M13)*$K13))</f>
        <v/>
      </c>
      <c r="P13">
        <f>IF($O13="","",IF(LEFT($B13,4)="DOTA",Config!$B$7,Config!$B$6)*$O13+$L13^2*$M13*(1-$M13)*($J13-$K13)^2)</f>
        <v/>
      </c>
      <c r="Q13" s="6">
        <f>IFERROR(IF(INDEX(Matches!$N$5:$N$12,MATCH($B13,Matches!$A$5:$A$12,0))="","",IF($F13="A",INDEX(Matches!$N$5:$N$12,MATCH($B13,Matches!$A$5:$A$12,0)),1-INDEX(Matches!$N$5:$N$12,MATCH($B13,Matches!$A$5:$A$12,0)))),"")</f>
        <v/>
      </c>
      <c r="R13">
        <f>IFERROR(N(INDEX(Matches!$P$5:$P$12,MATCH($B13,Matches!$A$5:$A$12,0))),0)</f>
        <v/>
      </c>
      <c r="S13" s="11">
        <f>IF(OR($Q13="",$J13=""),"",$L13*($Q13*$J13+(1-$Q13)*$K13))</f>
        <v/>
      </c>
      <c r="T13">
        <f>IF($S13="","",IF(LEFT($B13,4)="DOTA",Config!$B$7,Config!$B$6)*$S13+$L13^2*$Q13*(1-$Q13)*($J13-$K13)^2)</f>
        <v/>
      </c>
      <c r="U13" s="6">
        <f>IFERROR(IF(INDEX(Matches!$O$5:$O$12,MATCH($B13,Matches!$A$5:$A$12,0))="","",IF($F13="A",INDEX(Matches!$O$5:$O$12,MATCH($B13,Matches!$A$5:$A$12,0)),1-INDEX(Matches!$O$5:$O$12,MATCH($B13,Matches!$A$5:$A$12,0)))),"")</f>
        <v/>
      </c>
      <c r="V13">
        <f>IFERROR(N(INDEX(Matches!$Q$5:$Q$12,MATCH($B13,Matches!$A$5:$A$12,0))),0)</f>
        <v/>
      </c>
      <c r="W13" s="11">
        <f>IF(OR($U13="",$J13=""),"",$L13*($U13*$J13+(1-$U13)*$K13))</f>
        <v/>
      </c>
      <c r="X13">
        <f>IF($W13="","",IF(LEFT($B13,4)="DOTA",Config!$B$7,Config!$B$6)*$W13+$L13^2*$U13*(1-$U13)*($J13-$K13)^2)</f>
        <v/>
      </c>
      <c r="Y13" s="11">
        <f>IF($O13="","",$O13)</f>
        <v/>
      </c>
      <c r="Z13">
        <f>IF($P13="","",$P13)</f>
        <v/>
      </c>
      <c r="AA13" s="11">
        <f>IF($O13="","",N($N13)*N($O13)+N($R13)*N($S13))</f>
        <v/>
      </c>
      <c r="AB13">
        <f>IF($O13="","",(N($N13)*N($P13)+N($N13)*(1-N($N13))*N($O13)^2)+(N($R13)*N($T13)+N($R13)*(1-N($R13))*N($S13)^2))</f>
        <v/>
      </c>
      <c r="AC13" s="11">
        <f>IF($O13="","",N($N13)*N($O13)+N($R13)*N($S13)+N($V13)*N($W13))</f>
        <v/>
      </c>
      <c r="AD13">
        <f>IF($O13="","",(N($N13)*N($P13)+N($N13)*(1-N($N13))*N($O13)^2)+(N($R13)*N($T13)+N($R13)*(1-N($R13))*N($S13)^2)+(N($V13)*N($X13)+N($V13)*(1-N($V13))*N($W13)^2))</f>
        <v/>
      </c>
      <c r="AE13" s="11">
        <f>IF($I13="","",$I13*$L13)</f>
        <v/>
      </c>
      <c r="AF13" s="11">
        <f>IF($I13="","",$I13*$L13*(1+N($R13)))</f>
        <v/>
      </c>
      <c r="AG13" s="11">
        <f>IF($I13="","",$I13*$L13*(1+N($R13)+N($V13)))</f>
        <v/>
      </c>
      <c r="AH13">
        <f>TRIM(IF($G13&lt;Config!$B$9,"thin sample ("&amp;$G13&amp;" maps) · ","")&amp;IF($I13="","no PickFinder stats · ","")&amp;IFERROR(IF(INDEX(Players!$T$2:$T$66,MATCH($E13,Players!$A$2:$A$66,0))&lt;0.5,"new roster: "&amp;TEXT(INDEX(Players!$T$2:$T$66,MATCH($E13,Players!$A$2:$A$66,0)),"0%")&amp;" of his recent games with these teammates",""),""))</f>
        <v/>
      </c>
      <c r="AI13">
        <f>IF($B13=Board!$B$2,COUNTIFS($B$2:$B$66,Board!$B$2,$Y$2:$Y$66,"&gt;"&amp;$Y13)+COUNTIFS($B$1:$B12,Board!$B$2,$Y$1:$Y12,$Y13)+1,"")</f>
        <v/>
      </c>
      <c r="AJ13">
        <f>IFERROR(IF(INDEX(Matches!$D$5:$D$12,MATCH($B13,Matches!$A$5:$A$12,0))=3,"K12","K13"),"K13")</f>
        <v/>
      </c>
      <c r="AK13" s="11">
        <f>IF($AJ13="K12",$AA13,$AC13)</f>
        <v/>
      </c>
    </row>
    <row r="14">
      <c r="A14" t="inlineStr">
        <is>
          <t>388xfoz6m2jbt95|DOTA · OG vs GL</t>
        </is>
      </c>
      <c r="B14" t="inlineStr">
        <is>
          <t>DOTA · OG vs GL</t>
        </is>
      </c>
      <c r="C14" t="inlineStr">
        <is>
          <t>GL</t>
        </is>
      </c>
      <c r="D14" t="inlineStr">
        <is>
          <t>Yuma</t>
        </is>
      </c>
      <c r="E14" t="inlineStr">
        <is>
          <t>388xfoz6m2jbt95</t>
        </is>
      </c>
      <c r="F14">
        <f>IFERROR(IF($C14=INDEX(Matches!$S$5:$S$12,MATCH($B14,Matches!$A$5:$A$12,0)),"A",IF($C14=INDEX(Matches!$T$5:$T$12,MATCH($B14,Matches!$A$5:$A$12,0)),"B","")),"")</f>
        <v/>
      </c>
      <c r="G14">
        <f>IFERROR(INDEX(Players!$E$2:$E$66,MATCH($E14,Players!$A$2:$A$66,0)),0)</f>
        <v/>
      </c>
      <c r="H14" s="6">
        <f>IFERROR(INDEX(Players!$F$2:$F$66,MATCH($E14,Players!$A$2:$A$66,0)),"")</f>
        <v/>
      </c>
      <c r="I14">
        <f>IFERROR(INDEX(Players!$G$2:$G$66,MATCH($E14,Players!$A$2:$A$66,0)),"")</f>
        <v/>
      </c>
      <c r="J14" s="11">
        <f>IF(OR($I14="",$H14=""),"",$I14*IF(LEFT($B14,4)="DOTA",Config!$B$5,Config!$B$4)/($H14*IF(LEFT($B14,4)="DOTA",Config!$B$5,Config!$B$4)+1-$H14))</f>
        <v/>
      </c>
      <c r="K14" s="11">
        <f>IF(OR($I14="",$H14=""),"",$I14/($H14*IF(LEFT($B14,4)="DOTA",Config!$B$5,Config!$B$4)+1-$H14))</f>
        <v/>
      </c>
      <c r="L14">
        <f>IFERROR(INDEX(Matches!$R$5:$R$12,MATCH($B14,Matches!$A$5:$A$12,0)),1)</f>
        <v/>
      </c>
      <c r="M14" s="6">
        <f>IFERROR(IF(INDEX(Matches!$M$5:$M$12,MATCH($B14,Matches!$A$5:$A$12,0))="","",IF($F14="A",INDEX(Matches!$M$5:$M$12,MATCH($B14,Matches!$A$5:$A$12,0)),1-INDEX(Matches!$M$5:$M$12,MATCH($B14,Matches!$A$5:$A$12,0)))),"")</f>
        <v/>
      </c>
      <c r="N14">
        <f>1</f>
        <v/>
      </c>
      <c r="O14" s="11">
        <f>IF(OR($M14="",$J14=""),"",$L14*($M14*$J14+(1-$M14)*$K14))</f>
        <v/>
      </c>
      <c r="P14">
        <f>IF($O14="","",IF(LEFT($B14,4)="DOTA",Config!$B$7,Config!$B$6)*$O14+$L14^2*$M14*(1-$M14)*($J14-$K14)^2)</f>
        <v/>
      </c>
      <c r="Q14" s="6">
        <f>IFERROR(IF(INDEX(Matches!$N$5:$N$12,MATCH($B14,Matches!$A$5:$A$12,0))="","",IF($F14="A",INDEX(Matches!$N$5:$N$12,MATCH($B14,Matches!$A$5:$A$12,0)),1-INDEX(Matches!$N$5:$N$12,MATCH($B14,Matches!$A$5:$A$12,0)))),"")</f>
        <v/>
      </c>
      <c r="R14">
        <f>IFERROR(N(INDEX(Matches!$P$5:$P$12,MATCH($B14,Matches!$A$5:$A$12,0))),0)</f>
        <v/>
      </c>
      <c r="S14" s="11">
        <f>IF(OR($Q14="",$J14=""),"",$L14*($Q14*$J14+(1-$Q14)*$K14))</f>
        <v/>
      </c>
      <c r="T14">
        <f>IF($S14="","",IF(LEFT($B14,4)="DOTA",Config!$B$7,Config!$B$6)*$S14+$L14^2*$Q14*(1-$Q14)*($J14-$K14)^2)</f>
        <v/>
      </c>
      <c r="U14" s="6">
        <f>IFERROR(IF(INDEX(Matches!$O$5:$O$12,MATCH($B14,Matches!$A$5:$A$12,0))="","",IF($F14="A",INDEX(Matches!$O$5:$O$12,MATCH($B14,Matches!$A$5:$A$12,0)),1-INDEX(Matches!$O$5:$O$12,MATCH($B14,Matches!$A$5:$A$12,0)))),"")</f>
        <v/>
      </c>
      <c r="V14">
        <f>IFERROR(N(INDEX(Matches!$Q$5:$Q$12,MATCH($B14,Matches!$A$5:$A$12,0))),0)</f>
        <v/>
      </c>
      <c r="W14" s="11">
        <f>IF(OR($U14="",$J14=""),"",$L14*($U14*$J14+(1-$U14)*$K14))</f>
        <v/>
      </c>
      <c r="X14">
        <f>IF($W14="","",IF(LEFT($B14,4)="DOTA",Config!$B$7,Config!$B$6)*$W14+$L14^2*$U14*(1-$U14)*($J14-$K14)^2)</f>
        <v/>
      </c>
      <c r="Y14" s="11">
        <f>IF($O14="","",$O14)</f>
        <v/>
      </c>
      <c r="Z14">
        <f>IF($P14="","",$P14)</f>
        <v/>
      </c>
      <c r="AA14" s="11">
        <f>IF($O14="","",N($N14)*N($O14)+N($R14)*N($S14))</f>
        <v/>
      </c>
      <c r="AB14">
        <f>IF($O14="","",(N($N14)*N($P14)+N($N14)*(1-N($N14))*N($O14)^2)+(N($R14)*N($T14)+N($R14)*(1-N($R14))*N($S14)^2))</f>
        <v/>
      </c>
      <c r="AC14" s="11">
        <f>IF($O14="","",N($N14)*N($O14)+N($R14)*N($S14)+N($V14)*N($W14))</f>
        <v/>
      </c>
      <c r="AD14">
        <f>IF($O14="","",(N($N14)*N($P14)+N($N14)*(1-N($N14))*N($O14)^2)+(N($R14)*N($T14)+N($R14)*(1-N($R14))*N($S14)^2)+(N($V14)*N($X14)+N($V14)*(1-N($V14))*N($W14)^2))</f>
        <v/>
      </c>
      <c r="AE14" s="11">
        <f>IF($I14="","",$I14*$L14)</f>
        <v/>
      </c>
      <c r="AF14" s="11">
        <f>IF($I14="","",$I14*$L14*(1+N($R14)))</f>
        <v/>
      </c>
      <c r="AG14" s="11">
        <f>IF($I14="","",$I14*$L14*(1+N($R14)+N($V14)))</f>
        <v/>
      </c>
      <c r="AH14">
        <f>TRIM(IF($G14&lt;Config!$B$9,"thin sample ("&amp;$G14&amp;" maps) · ","")&amp;IF($I14="","no PickFinder stats · ","")&amp;IFERROR(IF(INDEX(Players!$T$2:$T$66,MATCH($E14,Players!$A$2:$A$66,0))&lt;0.5,"new roster: "&amp;TEXT(INDEX(Players!$T$2:$T$66,MATCH($E14,Players!$A$2:$A$66,0)),"0%")&amp;" of his recent games with these teammates",""),""))</f>
        <v/>
      </c>
      <c r="AI14">
        <f>IF($B14=Board!$B$2,COUNTIFS($B$2:$B$66,Board!$B$2,$Y$2:$Y$66,"&gt;"&amp;$Y14)+COUNTIFS($B$1:$B13,Board!$B$2,$Y$1:$Y13,$Y14)+1,"")</f>
        <v/>
      </c>
      <c r="AJ14">
        <f>IFERROR(IF(INDEX(Matches!$D$5:$D$12,MATCH($B14,Matches!$A$5:$A$12,0))=3,"K12","K13"),"K13")</f>
        <v/>
      </c>
      <c r="AK14" s="11">
        <f>IF($AJ14="K12",$AA14,$AC14)</f>
        <v/>
      </c>
    </row>
    <row r="15">
      <c r="A15" t="inlineStr">
        <is>
          <t>5vihvu65ghkyan1|DOTA · OG vs GL</t>
        </is>
      </c>
      <c r="B15" t="inlineStr">
        <is>
          <t>DOTA · OG vs GL</t>
        </is>
      </c>
      <c r="C15" t="inlineStr">
        <is>
          <t>OG</t>
        </is>
      </c>
      <c r="D15" t="inlineStr">
        <is>
          <t>Natsumi-</t>
        </is>
      </c>
      <c r="E15" t="inlineStr">
        <is>
          <t>5vihvu65ghkyan1</t>
        </is>
      </c>
      <c r="F15">
        <f>IFERROR(IF($C15=INDEX(Matches!$S$5:$S$12,MATCH($B15,Matches!$A$5:$A$12,0)),"A",IF($C15=INDEX(Matches!$T$5:$T$12,MATCH($B15,Matches!$A$5:$A$12,0)),"B","")),"")</f>
        <v/>
      </c>
      <c r="G15">
        <f>IFERROR(INDEX(Players!$E$2:$E$66,MATCH($E15,Players!$A$2:$A$66,0)),0)</f>
        <v/>
      </c>
      <c r="H15" s="6">
        <f>IFERROR(INDEX(Players!$F$2:$F$66,MATCH($E15,Players!$A$2:$A$66,0)),"")</f>
        <v/>
      </c>
      <c r="I15">
        <f>IFERROR(INDEX(Players!$G$2:$G$66,MATCH($E15,Players!$A$2:$A$66,0)),"")</f>
        <v/>
      </c>
      <c r="J15" s="11">
        <f>IF(OR($I15="",$H15=""),"",$I15*IF(LEFT($B15,4)="DOTA",Config!$B$5,Config!$B$4)/($H15*IF(LEFT($B15,4)="DOTA",Config!$B$5,Config!$B$4)+1-$H15))</f>
        <v/>
      </c>
      <c r="K15" s="11">
        <f>IF(OR($I15="",$H15=""),"",$I15/($H15*IF(LEFT($B15,4)="DOTA",Config!$B$5,Config!$B$4)+1-$H15))</f>
        <v/>
      </c>
      <c r="L15">
        <f>IFERROR(INDEX(Matches!$R$5:$R$12,MATCH($B15,Matches!$A$5:$A$12,0)),1)</f>
        <v/>
      </c>
      <c r="M15" s="6">
        <f>IFERROR(IF(INDEX(Matches!$M$5:$M$12,MATCH($B15,Matches!$A$5:$A$12,0))="","",IF($F15="A",INDEX(Matches!$M$5:$M$12,MATCH($B15,Matches!$A$5:$A$12,0)),1-INDEX(Matches!$M$5:$M$12,MATCH($B15,Matches!$A$5:$A$12,0)))),"")</f>
        <v/>
      </c>
      <c r="N15">
        <f>1</f>
        <v/>
      </c>
      <c r="O15" s="11">
        <f>IF(OR($M15="",$J15=""),"",$L15*($M15*$J15+(1-$M15)*$K15))</f>
        <v/>
      </c>
      <c r="P15">
        <f>IF($O15="","",IF(LEFT($B15,4)="DOTA",Config!$B$7,Config!$B$6)*$O15+$L15^2*$M15*(1-$M15)*($J15-$K15)^2)</f>
        <v/>
      </c>
      <c r="Q15" s="6">
        <f>IFERROR(IF(INDEX(Matches!$N$5:$N$12,MATCH($B15,Matches!$A$5:$A$12,0))="","",IF($F15="A",INDEX(Matches!$N$5:$N$12,MATCH($B15,Matches!$A$5:$A$12,0)),1-INDEX(Matches!$N$5:$N$12,MATCH($B15,Matches!$A$5:$A$12,0)))),"")</f>
        <v/>
      </c>
      <c r="R15">
        <f>IFERROR(N(INDEX(Matches!$P$5:$P$12,MATCH($B15,Matches!$A$5:$A$12,0))),0)</f>
        <v/>
      </c>
      <c r="S15" s="11">
        <f>IF(OR($Q15="",$J15=""),"",$L15*($Q15*$J15+(1-$Q15)*$K15))</f>
        <v/>
      </c>
      <c r="T15">
        <f>IF($S15="","",IF(LEFT($B15,4)="DOTA",Config!$B$7,Config!$B$6)*$S15+$L15^2*$Q15*(1-$Q15)*($J15-$K15)^2)</f>
        <v/>
      </c>
      <c r="U15" s="6">
        <f>IFERROR(IF(INDEX(Matches!$O$5:$O$12,MATCH($B15,Matches!$A$5:$A$12,0))="","",IF($F15="A",INDEX(Matches!$O$5:$O$12,MATCH($B15,Matches!$A$5:$A$12,0)),1-INDEX(Matches!$O$5:$O$12,MATCH($B15,Matches!$A$5:$A$12,0)))),"")</f>
        <v/>
      </c>
      <c r="V15">
        <f>IFERROR(N(INDEX(Matches!$Q$5:$Q$12,MATCH($B15,Matches!$A$5:$A$12,0))),0)</f>
        <v/>
      </c>
      <c r="W15" s="11">
        <f>IF(OR($U15="",$J15=""),"",$L15*($U15*$J15+(1-$U15)*$K15))</f>
        <v/>
      </c>
      <c r="X15">
        <f>IF($W15="","",IF(LEFT($B15,4)="DOTA",Config!$B$7,Config!$B$6)*$W15+$L15^2*$U15*(1-$U15)*($J15-$K15)^2)</f>
        <v/>
      </c>
      <c r="Y15" s="11">
        <f>IF($O15="","",$O15)</f>
        <v/>
      </c>
      <c r="Z15">
        <f>IF($P15="","",$P15)</f>
        <v/>
      </c>
      <c r="AA15" s="11">
        <f>IF($O15="","",N($N15)*N($O15)+N($R15)*N($S15))</f>
        <v/>
      </c>
      <c r="AB15">
        <f>IF($O15="","",(N($N15)*N($P15)+N($N15)*(1-N($N15))*N($O15)^2)+(N($R15)*N($T15)+N($R15)*(1-N($R15))*N($S15)^2))</f>
        <v/>
      </c>
      <c r="AC15" s="11">
        <f>IF($O15="","",N($N15)*N($O15)+N($R15)*N($S15)+N($V15)*N($W15))</f>
        <v/>
      </c>
      <c r="AD15">
        <f>IF($O15="","",(N($N15)*N($P15)+N($N15)*(1-N($N15))*N($O15)^2)+(N($R15)*N($T15)+N($R15)*(1-N($R15))*N($S15)^2)+(N($V15)*N($X15)+N($V15)*(1-N($V15))*N($W15)^2))</f>
        <v/>
      </c>
      <c r="AE15" s="11">
        <f>IF($I15="","",$I15*$L15)</f>
        <v/>
      </c>
      <c r="AF15" s="11">
        <f>IF($I15="","",$I15*$L15*(1+N($R15)))</f>
        <v/>
      </c>
      <c r="AG15" s="11">
        <f>IF($I15="","",$I15*$L15*(1+N($R15)+N($V15)))</f>
        <v/>
      </c>
      <c r="AH15">
        <f>TRIM(IF($G15&lt;Config!$B$9,"thin sample ("&amp;$G15&amp;" maps) · ","")&amp;IF($I15="","no PickFinder stats · ","")&amp;IFERROR(IF(INDEX(Players!$T$2:$T$66,MATCH($E15,Players!$A$2:$A$66,0))&lt;0.5,"new roster: "&amp;TEXT(INDEX(Players!$T$2:$T$66,MATCH($E15,Players!$A$2:$A$66,0)),"0%")&amp;" of his recent games with these teammates",""),""))</f>
        <v/>
      </c>
      <c r="AI15">
        <f>IF($B15=Board!$B$2,COUNTIFS($B$2:$B$66,Board!$B$2,$Y$2:$Y$66,"&gt;"&amp;$Y15)+COUNTIFS($B$1:$B14,Board!$B$2,$Y$1:$Y14,$Y15)+1,"")</f>
        <v/>
      </c>
      <c r="AJ15">
        <f>IFERROR(IF(INDEX(Matches!$D$5:$D$12,MATCH($B15,Matches!$A$5:$A$12,0))=3,"K12","K13"),"K13")</f>
        <v/>
      </c>
      <c r="AK15" s="11">
        <f>IF($AJ15="K12",$AA15,$AC15)</f>
        <v/>
      </c>
    </row>
    <row r="16">
      <c r="A16" t="inlineStr">
        <is>
          <t>gf5trr3nqlr6rzi|DOTA · OG vs GL</t>
        </is>
      </c>
      <c r="B16" t="inlineStr">
        <is>
          <t>DOTA · OG vs GL</t>
        </is>
      </c>
      <c r="C16" t="inlineStr">
        <is>
          <t>OG</t>
        </is>
      </c>
      <c r="D16" t="inlineStr">
        <is>
          <t>OneJey</t>
        </is>
      </c>
      <c r="E16" t="inlineStr">
        <is>
          <t>gf5trr3nqlr6rzi</t>
        </is>
      </c>
      <c r="F16">
        <f>IFERROR(IF($C16=INDEX(Matches!$S$5:$S$12,MATCH($B16,Matches!$A$5:$A$12,0)),"A",IF($C16=INDEX(Matches!$T$5:$T$12,MATCH($B16,Matches!$A$5:$A$12,0)),"B","")),"")</f>
        <v/>
      </c>
      <c r="G16">
        <f>IFERROR(INDEX(Players!$E$2:$E$66,MATCH($E16,Players!$A$2:$A$66,0)),0)</f>
        <v/>
      </c>
      <c r="H16" s="6">
        <f>IFERROR(INDEX(Players!$F$2:$F$66,MATCH($E16,Players!$A$2:$A$66,0)),"")</f>
        <v/>
      </c>
      <c r="I16">
        <f>IFERROR(INDEX(Players!$G$2:$G$66,MATCH($E16,Players!$A$2:$A$66,0)),"")</f>
        <v/>
      </c>
      <c r="J16" s="11">
        <f>IF(OR($I16="",$H16=""),"",$I16*IF(LEFT($B16,4)="DOTA",Config!$B$5,Config!$B$4)/($H16*IF(LEFT($B16,4)="DOTA",Config!$B$5,Config!$B$4)+1-$H16))</f>
        <v/>
      </c>
      <c r="K16" s="11">
        <f>IF(OR($I16="",$H16=""),"",$I16/($H16*IF(LEFT($B16,4)="DOTA",Config!$B$5,Config!$B$4)+1-$H16))</f>
        <v/>
      </c>
      <c r="L16">
        <f>IFERROR(INDEX(Matches!$R$5:$R$12,MATCH($B16,Matches!$A$5:$A$12,0)),1)</f>
        <v/>
      </c>
      <c r="M16" s="6">
        <f>IFERROR(IF(INDEX(Matches!$M$5:$M$12,MATCH($B16,Matches!$A$5:$A$12,0))="","",IF($F16="A",INDEX(Matches!$M$5:$M$12,MATCH($B16,Matches!$A$5:$A$12,0)),1-INDEX(Matches!$M$5:$M$12,MATCH($B16,Matches!$A$5:$A$12,0)))),"")</f>
        <v/>
      </c>
      <c r="N16">
        <f>1</f>
        <v/>
      </c>
      <c r="O16" s="11">
        <f>IF(OR($M16="",$J16=""),"",$L16*($M16*$J16+(1-$M16)*$K16))</f>
        <v/>
      </c>
      <c r="P16">
        <f>IF($O16="","",IF(LEFT($B16,4)="DOTA",Config!$B$7,Config!$B$6)*$O16+$L16^2*$M16*(1-$M16)*($J16-$K16)^2)</f>
        <v/>
      </c>
      <c r="Q16" s="6">
        <f>IFERROR(IF(INDEX(Matches!$N$5:$N$12,MATCH($B16,Matches!$A$5:$A$12,0))="","",IF($F16="A",INDEX(Matches!$N$5:$N$12,MATCH($B16,Matches!$A$5:$A$12,0)),1-INDEX(Matches!$N$5:$N$12,MATCH($B16,Matches!$A$5:$A$12,0)))),"")</f>
        <v/>
      </c>
      <c r="R16">
        <f>IFERROR(N(INDEX(Matches!$P$5:$P$12,MATCH($B16,Matches!$A$5:$A$12,0))),0)</f>
        <v/>
      </c>
      <c r="S16" s="11">
        <f>IF(OR($Q16="",$J16=""),"",$L16*($Q16*$J16+(1-$Q16)*$K16))</f>
        <v/>
      </c>
      <c r="T16">
        <f>IF($S16="","",IF(LEFT($B16,4)="DOTA",Config!$B$7,Config!$B$6)*$S16+$L16^2*$Q16*(1-$Q16)*($J16-$K16)^2)</f>
        <v/>
      </c>
      <c r="U16" s="6">
        <f>IFERROR(IF(INDEX(Matches!$O$5:$O$12,MATCH($B16,Matches!$A$5:$A$12,0))="","",IF($F16="A",INDEX(Matches!$O$5:$O$12,MATCH($B16,Matches!$A$5:$A$12,0)),1-INDEX(Matches!$O$5:$O$12,MATCH($B16,Matches!$A$5:$A$12,0)))),"")</f>
        <v/>
      </c>
      <c r="V16">
        <f>IFERROR(N(INDEX(Matches!$Q$5:$Q$12,MATCH($B16,Matches!$A$5:$A$12,0))),0)</f>
        <v/>
      </c>
      <c r="W16" s="11">
        <f>IF(OR($U16="",$J16=""),"",$L16*($U16*$J16+(1-$U16)*$K16))</f>
        <v/>
      </c>
      <c r="X16">
        <f>IF($W16="","",IF(LEFT($B16,4)="DOTA",Config!$B$7,Config!$B$6)*$W16+$L16^2*$U16*(1-$U16)*($J16-$K16)^2)</f>
        <v/>
      </c>
      <c r="Y16" s="11">
        <f>IF($O16="","",$O16)</f>
        <v/>
      </c>
      <c r="Z16">
        <f>IF($P16="","",$P16)</f>
        <v/>
      </c>
      <c r="AA16" s="11">
        <f>IF($O16="","",N($N16)*N($O16)+N($R16)*N($S16))</f>
        <v/>
      </c>
      <c r="AB16">
        <f>IF($O16="","",(N($N16)*N($P16)+N($N16)*(1-N($N16))*N($O16)^2)+(N($R16)*N($T16)+N($R16)*(1-N($R16))*N($S16)^2))</f>
        <v/>
      </c>
      <c r="AC16" s="11">
        <f>IF($O16="","",N($N16)*N($O16)+N($R16)*N($S16)+N($V16)*N($W16))</f>
        <v/>
      </c>
      <c r="AD16">
        <f>IF($O16="","",(N($N16)*N($P16)+N($N16)*(1-N($N16))*N($O16)^2)+(N($R16)*N($T16)+N($R16)*(1-N($R16))*N($S16)^2)+(N($V16)*N($X16)+N($V16)*(1-N($V16))*N($W16)^2))</f>
        <v/>
      </c>
      <c r="AE16" s="11">
        <f>IF($I16="","",$I16*$L16)</f>
        <v/>
      </c>
      <c r="AF16" s="11">
        <f>IF($I16="","",$I16*$L16*(1+N($R16)))</f>
        <v/>
      </c>
      <c r="AG16" s="11">
        <f>IF($I16="","",$I16*$L16*(1+N($R16)+N($V16)))</f>
        <v/>
      </c>
      <c r="AH16">
        <f>TRIM(IF($G16&lt;Config!$B$9,"thin sample ("&amp;$G16&amp;" maps) · ","")&amp;IF($I16="","no PickFinder stats · ","")&amp;IFERROR(IF(INDEX(Players!$T$2:$T$66,MATCH($E16,Players!$A$2:$A$66,0))&lt;0.5,"new roster: "&amp;TEXT(INDEX(Players!$T$2:$T$66,MATCH($E16,Players!$A$2:$A$66,0)),"0%")&amp;" of his recent games with these teammates",""),""))</f>
        <v/>
      </c>
      <c r="AI16">
        <f>IF($B16=Board!$B$2,COUNTIFS($B$2:$B$66,Board!$B$2,$Y$2:$Y$66,"&gt;"&amp;$Y16)+COUNTIFS($B$1:$B15,Board!$B$2,$Y$1:$Y15,$Y16)+1,"")</f>
        <v/>
      </c>
      <c r="AJ16">
        <f>IFERROR(IF(INDEX(Matches!$D$5:$D$12,MATCH($B16,Matches!$A$5:$A$12,0))=3,"K12","K13"),"K13")</f>
        <v/>
      </c>
      <c r="AK16" s="11">
        <f>IF($AJ16="K12",$AA16,$AC16)</f>
        <v/>
      </c>
    </row>
    <row r="17">
      <c r="A17" t="inlineStr">
        <is>
          <t>327bydu6uqe51dl|DOTA · OG vs GL</t>
        </is>
      </c>
      <c r="B17" t="inlineStr">
        <is>
          <t>DOTA · OG vs GL</t>
        </is>
      </c>
      <c r="C17" t="inlineStr">
        <is>
          <t>OG</t>
        </is>
      </c>
      <c r="D17" t="inlineStr">
        <is>
          <t>Skem</t>
        </is>
      </c>
      <c r="E17" t="inlineStr">
        <is>
          <t>327bydu6uqe51dl</t>
        </is>
      </c>
      <c r="F17">
        <f>IFERROR(IF($C17=INDEX(Matches!$S$5:$S$12,MATCH($B17,Matches!$A$5:$A$12,0)),"A",IF($C17=INDEX(Matches!$T$5:$T$12,MATCH($B17,Matches!$A$5:$A$12,0)),"B","")),"")</f>
        <v/>
      </c>
      <c r="G17">
        <f>IFERROR(INDEX(Players!$E$2:$E$66,MATCH($E17,Players!$A$2:$A$66,0)),0)</f>
        <v/>
      </c>
      <c r="H17" s="6">
        <f>IFERROR(INDEX(Players!$F$2:$F$66,MATCH($E17,Players!$A$2:$A$66,0)),"")</f>
        <v/>
      </c>
      <c r="I17">
        <f>IFERROR(INDEX(Players!$G$2:$G$66,MATCH($E17,Players!$A$2:$A$66,0)),"")</f>
        <v/>
      </c>
      <c r="J17" s="11">
        <f>IF(OR($I17="",$H17=""),"",$I17*IF(LEFT($B17,4)="DOTA",Config!$B$5,Config!$B$4)/($H17*IF(LEFT($B17,4)="DOTA",Config!$B$5,Config!$B$4)+1-$H17))</f>
        <v/>
      </c>
      <c r="K17" s="11">
        <f>IF(OR($I17="",$H17=""),"",$I17/($H17*IF(LEFT($B17,4)="DOTA",Config!$B$5,Config!$B$4)+1-$H17))</f>
        <v/>
      </c>
      <c r="L17">
        <f>IFERROR(INDEX(Matches!$R$5:$R$12,MATCH($B17,Matches!$A$5:$A$12,0)),1)</f>
        <v/>
      </c>
      <c r="M17" s="6">
        <f>IFERROR(IF(INDEX(Matches!$M$5:$M$12,MATCH($B17,Matches!$A$5:$A$12,0))="","",IF($F17="A",INDEX(Matches!$M$5:$M$12,MATCH($B17,Matches!$A$5:$A$12,0)),1-INDEX(Matches!$M$5:$M$12,MATCH($B17,Matches!$A$5:$A$12,0)))),"")</f>
        <v/>
      </c>
      <c r="N17">
        <f>1</f>
        <v/>
      </c>
      <c r="O17" s="11">
        <f>IF(OR($M17="",$J17=""),"",$L17*($M17*$J17+(1-$M17)*$K17))</f>
        <v/>
      </c>
      <c r="P17">
        <f>IF($O17="","",IF(LEFT($B17,4)="DOTA",Config!$B$7,Config!$B$6)*$O17+$L17^2*$M17*(1-$M17)*($J17-$K17)^2)</f>
        <v/>
      </c>
      <c r="Q17" s="6">
        <f>IFERROR(IF(INDEX(Matches!$N$5:$N$12,MATCH($B17,Matches!$A$5:$A$12,0))="","",IF($F17="A",INDEX(Matches!$N$5:$N$12,MATCH($B17,Matches!$A$5:$A$12,0)),1-INDEX(Matches!$N$5:$N$12,MATCH($B17,Matches!$A$5:$A$12,0)))),"")</f>
        <v/>
      </c>
      <c r="R17">
        <f>IFERROR(N(INDEX(Matches!$P$5:$P$12,MATCH($B17,Matches!$A$5:$A$12,0))),0)</f>
        <v/>
      </c>
      <c r="S17" s="11">
        <f>IF(OR($Q17="",$J17=""),"",$L17*($Q17*$J17+(1-$Q17)*$K17))</f>
        <v/>
      </c>
      <c r="T17">
        <f>IF($S17="","",IF(LEFT($B17,4)="DOTA",Config!$B$7,Config!$B$6)*$S17+$L17^2*$Q17*(1-$Q17)*($J17-$K17)^2)</f>
        <v/>
      </c>
      <c r="U17" s="6">
        <f>IFERROR(IF(INDEX(Matches!$O$5:$O$12,MATCH($B17,Matches!$A$5:$A$12,0))="","",IF($F17="A",INDEX(Matches!$O$5:$O$12,MATCH($B17,Matches!$A$5:$A$12,0)),1-INDEX(Matches!$O$5:$O$12,MATCH($B17,Matches!$A$5:$A$12,0)))),"")</f>
        <v/>
      </c>
      <c r="V17">
        <f>IFERROR(N(INDEX(Matches!$Q$5:$Q$12,MATCH($B17,Matches!$A$5:$A$12,0))),0)</f>
        <v/>
      </c>
      <c r="W17" s="11">
        <f>IF(OR($U17="",$J17=""),"",$L17*($U17*$J17+(1-$U17)*$K17))</f>
        <v/>
      </c>
      <c r="X17">
        <f>IF($W17="","",IF(LEFT($B17,4)="DOTA",Config!$B$7,Config!$B$6)*$W17+$L17^2*$U17*(1-$U17)*($J17-$K17)^2)</f>
        <v/>
      </c>
      <c r="Y17" s="11">
        <f>IF($O17="","",$O17)</f>
        <v/>
      </c>
      <c r="Z17">
        <f>IF($P17="","",$P17)</f>
        <v/>
      </c>
      <c r="AA17" s="11">
        <f>IF($O17="","",N($N17)*N($O17)+N($R17)*N($S17))</f>
        <v/>
      </c>
      <c r="AB17">
        <f>IF($O17="","",(N($N17)*N($P17)+N($N17)*(1-N($N17))*N($O17)^2)+(N($R17)*N($T17)+N($R17)*(1-N($R17))*N($S17)^2))</f>
        <v/>
      </c>
      <c r="AC17" s="11">
        <f>IF($O17="","",N($N17)*N($O17)+N($R17)*N($S17)+N($V17)*N($W17))</f>
        <v/>
      </c>
      <c r="AD17">
        <f>IF($O17="","",(N($N17)*N($P17)+N($N17)*(1-N($N17))*N($O17)^2)+(N($R17)*N($T17)+N($R17)*(1-N($R17))*N($S17)^2)+(N($V17)*N($X17)+N($V17)*(1-N($V17))*N($W17)^2))</f>
        <v/>
      </c>
      <c r="AE17" s="11">
        <f>IF($I17="","",$I17*$L17)</f>
        <v/>
      </c>
      <c r="AF17" s="11">
        <f>IF($I17="","",$I17*$L17*(1+N($R17)))</f>
        <v/>
      </c>
      <c r="AG17" s="11">
        <f>IF($I17="","",$I17*$L17*(1+N($R17)+N($V17)))</f>
        <v/>
      </c>
      <c r="AH17">
        <f>TRIM(IF($G17&lt;Config!$B$9,"thin sample ("&amp;$G17&amp;" maps) · ","")&amp;IF($I17="","no PickFinder stats · ","")&amp;IFERROR(IF(INDEX(Players!$T$2:$T$66,MATCH($E17,Players!$A$2:$A$66,0))&lt;0.5,"new roster: "&amp;TEXT(INDEX(Players!$T$2:$T$66,MATCH($E17,Players!$A$2:$A$66,0)),"0%")&amp;" of his recent games with these teammates",""),""))</f>
        <v/>
      </c>
      <c r="AI17">
        <f>IF($B17=Board!$B$2,COUNTIFS($B$2:$B$66,Board!$B$2,$Y$2:$Y$66,"&gt;"&amp;$Y17)+COUNTIFS($B$1:$B16,Board!$B$2,$Y$1:$Y16,$Y17)+1,"")</f>
        <v/>
      </c>
      <c r="AJ17">
        <f>IFERROR(IF(INDEX(Matches!$D$5:$D$12,MATCH($B17,Matches!$A$5:$A$12,0))=3,"K12","K13"),"K13")</f>
        <v/>
      </c>
      <c r="AK17" s="11">
        <f>IF($AJ17="K12",$AA17,$AC17)</f>
        <v/>
      </c>
    </row>
    <row r="18">
      <c r="A18" t="inlineStr">
        <is>
          <t>c9666oyxnrvurur|DOTA · OG vs GL</t>
        </is>
      </c>
      <c r="B18" t="inlineStr">
        <is>
          <t>DOTA · OG vs GL</t>
        </is>
      </c>
      <c r="C18" t="inlineStr">
        <is>
          <t>OG</t>
        </is>
      </c>
      <c r="D18" t="inlineStr">
        <is>
          <t>TOPSON</t>
        </is>
      </c>
      <c r="E18" t="inlineStr">
        <is>
          <t>c9666oyxnrvurur</t>
        </is>
      </c>
      <c r="F18">
        <f>IFERROR(IF($C18=INDEX(Matches!$S$5:$S$12,MATCH($B18,Matches!$A$5:$A$12,0)),"A",IF($C18=INDEX(Matches!$T$5:$T$12,MATCH($B18,Matches!$A$5:$A$12,0)),"B","")),"")</f>
        <v/>
      </c>
      <c r="G18">
        <f>IFERROR(INDEX(Players!$E$2:$E$66,MATCH($E18,Players!$A$2:$A$66,0)),0)</f>
        <v/>
      </c>
      <c r="H18" s="6">
        <f>IFERROR(INDEX(Players!$F$2:$F$66,MATCH($E18,Players!$A$2:$A$66,0)),"")</f>
        <v/>
      </c>
      <c r="I18">
        <f>IFERROR(INDEX(Players!$G$2:$G$66,MATCH($E18,Players!$A$2:$A$66,0)),"")</f>
        <v/>
      </c>
      <c r="J18" s="11">
        <f>IF(OR($I18="",$H18=""),"",$I18*IF(LEFT($B18,4)="DOTA",Config!$B$5,Config!$B$4)/($H18*IF(LEFT($B18,4)="DOTA",Config!$B$5,Config!$B$4)+1-$H18))</f>
        <v/>
      </c>
      <c r="K18" s="11">
        <f>IF(OR($I18="",$H18=""),"",$I18/($H18*IF(LEFT($B18,4)="DOTA",Config!$B$5,Config!$B$4)+1-$H18))</f>
        <v/>
      </c>
      <c r="L18">
        <f>IFERROR(INDEX(Matches!$R$5:$R$12,MATCH($B18,Matches!$A$5:$A$12,0)),1)</f>
        <v/>
      </c>
      <c r="M18" s="6">
        <f>IFERROR(IF(INDEX(Matches!$M$5:$M$12,MATCH($B18,Matches!$A$5:$A$12,0))="","",IF($F18="A",INDEX(Matches!$M$5:$M$12,MATCH($B18,Matches!$A$5:$A$12,0)),1-INDEX(Matches!$M$5:$M$12,MATCH($B18,Matches!$A$5:$A$12,0)))),"")</f>
        <v/>
      </c>
      <c r="N18">
        <f>1</f>
        <v/>
      </c>
      <c r="O18" s="11">
        <f>IF(OR($M18="",$J18=""),"",$L18*($M18*$J18+(1-$M18)*$K18))</f>
        <v/>
      </c>
      <c r="P18">
        <f>IF($O18="","",IF(LEFT($B18,4)="DOTA",Config!$B$7,Config!$B$6)*$O18+$L18^2*$M18*(1-$M18)*($J18-$K18)^2)</f>
        <v/>
      </c>
      <c r="Q18" s="6">
        <f>IFERROR(IF(INDEX(Matches!$N$5:$N$12,MATCH($B18,Matches!$A$5:$A$12,0))="","",IF($F18="A",INDEX(Matches!$N$5:$N$12,MATCH($B18,Matches!$A$5:$A$12,0)),1-INDEX(Matches!$N$5:$N$12,MATCH($B18,Matches!$A$5:$A$12,0)))),"")</f>
        <v/>
      </c>
      <c r="R18">
        <f>IFERROR(N(INDEX(Matches!$P$5:$P$12,MATCH($B18,Matches!$A$5:$A$12,0))),0)</f>
        <v/>
      </c>
      <c r="S18" s="11">
        <f>IF(OR($Q18="",$J18=""),"",$L18*($Q18*$J18+(1-$Q18)*$K18))</f>
        <v/>
      </c>
      <c r="T18">
        <f>IF($S18="","",IF(LEFT($B18,4)="DOTA",Config!$B$7,Config!$B$6)*$S18+$L18^2*$Q18*(1-$Q18)*($J18-$K18)^2)</f>
        <v/>
      </c>
      <c r="U18" s="6">
        <f>IFERROR(IF(INDEX(Matches!$O$5:$O$12,MATCH($B18,Matches!$A$5:$A$12,0))="","",IF($F18="A",INDEX(Matches!$O$5:$O$12,MATCH($B18,Matches!$A$5:$A$12,0)),1-INDEX(Matches!$O$5:$O$12,MATCH($B18,Matches!$A$5:$A$12,0)))),"")</f>
        <v/>
      </c>
      <c r="V18">
        <f>IFERROR(N(INDEX(Matches!$Q$5:$Q$12,MATCH($B18,Matches!$A$5:$A$12,0))),0)</f>
        <v/>
      </c>
      <c r="W18" s="11">
        <f>IF(OR($U18="",$J18=""),"",$L18*($U18*$J18+(1-$U18)*$K18))</f>
        <v/>
      </c>
      <c r="X18">
        <f>IF($W18="","",IF(LEFT($B18,4)="DOTA",Config!$B$7,Config!$B$6)*$W18+$L18^2*$U18*(1-$U18)*($J18-$K18)^2)</f>
        <v/>
      </c>
      <c r="Y18" s="11">
        <f>IF($O18="","",$O18)</f>
        <v/>
      </c>
      <c r="Z18">
        <f>IF($P18="","",$P18)</f>
        <v/>
      </c>
      <c r="AA18" s="11">
        <f>IF($O18="","",N($N18)*N($O18)+N($R18)*N($S18))</f>
        <v/>
      </c>
      <c r="AB18">
        <f>IF($O18="","",(N($N18)*N($P18)+N($N18)*(1-N($N18))*N($O18)^2)+(N($R18)*N($T18)+N($R18)*(1-N($R18))*N($S18)^2))</f>
        <v/>
      </c>
      <c r="AC18" s="11">
        <f>IF($O18="","",N($N18)*N($O18)+N($R18)*N($S18)+N($V18)*N($W18))</f>
        <v/>
      </c>
      <c r="AD18">
        <f>IF($O18="","",(N($N18)*N($P18)+N($N18)*(1-N($N18))*N($O18)^2)+(N($R18)*N($T18)+N($R18)*(1-N($R18))*N($S18)^2)+(N($V18)*N($X18)+N($V18)*(1-N($V18))*N($W18)^2))</f>
        <v/>
      </c>
      <c r="AE18" s="11">
        <f>IF($I18="","",$I18*$L18)</f>
        <v/>
      </c>
      <c r="AF18" s="11">
        <f>IF($I18="","",$I18*$L18*(1+N($R18)))</f>
        <v/>
      </c>
      <c r="AG18" s="11">
        <f>IF($I18="","",$I18*$L18*(1+N($R18)+N($V18)))</f>
        <v/>
      </c>
      <c r="AH18">
        <f>TRIM(IF($G18&lt;Config!$B$9,"thin sample ("&amp;$G18&amp;" maps) · ","")&amp;IF($I18="","no PickFinder stats · ","")&amp;IFERROR(IF(INDEX(Players!$T$2:$T$66,MATCH($E18,Players!$A$2:$A$66,0))&lt;0.5,"new roster: "&amp;TEXT(INDEX(Players!$T$2:$T$66,MATCH($E18,Players!$A$2:$A$66,0)),"0%")&amp;" of his recent games with these teammates",""),""))</f>
        <v/>
      </c>
      <c r="AI18">
        <f>IF($B18=Board!$B$2,COUNTIFS($B$2:$B$66,Board!$B$2,$Y$2:$Y$66,"&gt;"&amp;$Y18)+COUNTIFS($B$1:$B17,Board!$B$2,$Y$1:$Y17,$Y18)+1,"")</f>
        <v/>
      </c>
      <c r="AJ18">
        <f>IFERROR(IF(INDEX(Matches!$D$5:$D$12,MATCH($B18,Matches!$A$5:$A$12,0))=3,"K12","K13"),"K13")</f>
        <v/>
      </c>
      <c r="AK18" s="11">
        <f>IF($AJ18="K12",$AA18,$AC18)</f>
        <v/>
      </c>
    </row>
    <row r="19">
      <c r="A19" t="inlineStr">
        <is>
          <t>p48p2vywpenq4iz|DOTA · TS vs PARI</t>
        </is>
      </c>
      <c r="B19" t="inlineStr">
        <is>
          <t>DOTA · TS vs PARI</t>
        </is>
      </c>
      <c r="C19" t="inlineStr">
        <is>
          <t>PARI</t>
        </is>
      </c>
      <c r="D19" t="inlineStr">
        <is>
          <t>9Class</t>
        </is>
      </c>
      <c r="E19" t="inlineStr">
        <is>
          <t>p48p2vywpenq4iz</t>
        </is>
      </c>
      <c r="F19">
        <f>IFERROR(IF($C19=INDEX(Matches!$S$5:$S$12,MATCH($B19,Matches!$A$5:$A$12,0)),"A",IF($C19=INDEX(Matches!$T$5:$T$12,MATCH($B19,Matches!$A$5:$A$12,0)),"B","")),"")</f>
        <v/>
      </c>
      <c r="G19">
        <f>IFERROR(INDEX(Players!$E$2:$E$66,MATCH($E19,Players!$A$2:$A$66,0)),0)</f>
        <v/>
      </c>
      <c r="H19" s="6">
        <f>IFERROR(INDEX(Players!$F$2:$F$66,MATCH($E19,Players!$A$2:$A$66,0)),"")</f>
        <v/>
      </c>
      <c r="I19">
        <f>IFERROR(INDEX(Players!$G$2:$G$66,MATCH($E19,Players!$A$2:$A$66,0)),"")</f>
        <v/>
      </c>
      <c r="J19" s="11">
        <f>IF(OR($I19="",$H19=""),"",$I19*IF(LEFT($B19,4)="DOTA",Config!$B$5,Config!$B$4)/($H19*IF(LEFT($B19,4)="DOTA",Config!$B$5,Config!$B$4)+1-$H19))</f>
        <v/>
      </c>
      <c r="K19" s="11">
        <f>IF(OR($I19="",$H19=""),"",$I19/($H19*IF(LEFT($B19,4)="DOTA",Config!$B$5,Config!$B$4)+1-$H19))</f>
        <v/>
      </c>
      <c r="L19">
        <f>IFERROR(INDEX(Matches!$R$5:$R$12,MATCH($B19,Matches!$A$5:$A$12,0)),1)</f>
        <v/>
      </c>
      <c r="M19" s="6">
        <f>IFERROR(IF(INDEX(Matches!$M$5:$M$12,MATCH($B19,Matches!$A$5:$A$12,0))="","",IF($F19="A",INDEX(Matches!$M$5:$M$12,MATCH($B19,Matches!$A$5:$A$12,0)),1-INDEX(Matches!$M$5:$M$12,MATCH($B19,Matches!$A$5:$A$12,0)))),"")</f>
        <v/>
      </c>
      <c r="N19">
        <f>1</f>
        <v/>
      </c>
      <c r="O19" s="11">
        <f>IF(OR($M19="",$J19=""),"",$L19*($M19*$J19+(1-$M19)*$K19))</f>
        <v/>
      </c>
      <c r="P19">
        <f>IF($O19="","",IF(LEFT($B19,4)="DOTA",Config!$B$7,Config!$B$6)*$O19+$L19^2*$M19*(1-$M19)*($J19-$K19)^2)</f>
        <v/>
      </c>
      <c r="Q19" s="6">
        <f>IFERROR(IF(INDEX(Matches!$N$5:$N$12,MATCH($B19,Matches!$A$5:$A$12,0))="","",IF($F19="A",INDEX(Matches!$N$5:$N$12,MATCH($B19,Matches!$A$5:$A$12,0)),1-INDEX(Matches!$N$5:$N$12,MATCH($B19,Matches!$A$5:$A$12,0)))),"")</f>
        <v/>
      </c>
      <c r="R19">
        <f>IFERROR(N(INDEX(Matches!$P$5:$P$12,MATCH($B19,Matches!$A$5:$A$12,0))),0)</f>
        <v/>
      </c>
      <c r="S19" s="11">
        <f>IF(OR($Q19="",$J19=""),"",$L19*($Q19*$J19+(1-$Q19)*$K19))</f>
        <v/>
      </c>
      <c r="T19">
        <f>IF($S19="","",IF(LEFT($B19,4)="DOTA",Config!$B$7,Config!$B$6)*$S19+$L19^2*$Q19*(1-$Q19)*($J19-$K19)^2)</f>
        <v/>
      </c>
      <c r="U19" s="6">
        <f>IFERROR(IF(INDEX(Matches!$O$5:$O$12,MATCH($B19,Matches!$A$5:$A$12,0))="","",IF($F19="A",INDEX(Matches!$O$5:$O$12,MATCH($B19,Matches!$A$5:$A$12,0)),1-INDEX(Matches!$O$5:$O$12,MATCH($B19,Matches!$A$5:$A$12,0)))),"")</f>
        <v/>
      </c>
      <c r="V19">
        <f>IFERROR(N(INDEX(Matches!$Q$5:$Q$12,MATCH($B19,Matches!$A$5:$A$12,0))),0)</f>
        <v/>
      </c>
      <c r="W19" s="11">
        <f>IF(OR($U19="",$J19=""),"",$L19*($U19*$J19+(1-$U19)*$K19))</f>
        <v/>
      </c>
      <c r="X19">
        <f>IF($W19="","",IF(LEFT($B19,4)="DOTA",Config!$B$7,Config!$B$6)*$W19+$L19^2*$U19*(1-$U19)*($J19-$K19)^2)</f>
        <v/>
      </c>
      <c r="Y19" s="11">
        <f>IF($O19="","",$O19)</f>
        <v/>
      </c>
      <c r="Z19">
        <f>IF($P19="","",$P19)</f>
        <v/>
      </c>
      <c r="AA19" s="11">
        <f>IF($O19="","",N($N19)*N($O19)+N($R19)*N($S19))</f>
        <v/>
      </c>
      <c r="AB19">
        <f>IF($O19="","",(N($N19)*N($P19)+N($N19)*(1-N($N19))*N($O19)^2)+(N($R19)*N($T19)+N($R19)*(1-N($R19))*N($S19)^2))</f>
        <v/>
      </c>
      <c r="AC19" s="11">
        <f>IF($O19="","",N($N19)*N($O19)+N($R19)*N($S19)+N($V19)*N($W19))</f>
        <v/>
      </c>
      <c r="AD19">
        <f>IF($O19="","",(N($N19)*N($P19)+N($N19)*(1-N($N19))*N($O19)^2)+(N($R19)*N($T19)+N($R19)*(1-N($R19))*N($S19)^2)+(N($V19)*N($X19)+N($V19)*(1-N($V19))*N($W19)^2))</f>
        <v/>
      </c>
      <c r="AE19" s="11">
        <f>IF($I19="","",$I19*$L19)</f>
        <v/>
      </c>
      <c r="AF19" s="11">
        <f>IF($I19="","",$I19*$L19*(1+N($R19)))</f>
        <v/>
      </c>
      <c r="AG19" s="11">
        <f>IF($I19="","",$I19*$L19*(1+N($R19)+N($V19)))</f>
        <v/>
      </c>
      <c r="AH19">
        <f>TRIM(IF($G19&lt;Config!$B$9,"thin sample ("&amp;$G19&amp;" maps) · ","")&amp;IF($I19="","no PickFinder stats · ","")&amp;IFERROR(IF(INDEX(Players!$T$2:$T$66,MATCH($E19,Players!$A$2:$A$66,0))&lt;0.5,"new roster: "&amp;TEXT(INDEX(Players!$T$2:$T$66,MATCH($E19,Players!$A$2:$A$66,0)),"0%")&amp;" of his recent games with these teammates",""),""))</f>
        <v/>
      </c>
      <c r="AI19">
        <f>IF($B19=Board!$B$2,COUNTIFS($B$2:$B$66,Board!$B$2,$Y$2:$Y$66,"&gt;"&amp;$Y19)+COUNTIFS($B$1:$B18,Board!$B$2,$Y$1:$Y18,$Y19)+1,"")</f>
        <v/>
      </c>
      <c r="AJ19">
        <f>IFERROR(IF(INDEX(Matches!$D$5:$D$12,MATCH($B19,Matches!$A$5:$A$12,0))=3,"K12","K13"),"K13")</f>
        <v/>
      </c>
      <c r="AK19" s="11">
        <f>IF($AJ19="K12",$AA19,$AC19)</f>
        <v/>
      </c>
    </row>
    <row r="20">
      <c r="A20" t="inlineStr">
        <is>
          <t>38c4z9ycctww8gl|DOTA · TS vs PARI</t>
        </is>
      </c>
      <c r="B20" t="inlineStr">
        <is>
          <t>DOTA · TS vs PARI</t>
        </is>
      </c>
      <c r="C20" t="inlineStr">
        <is>
          <t>PARI</t>
        </is>
      </c>
      <c r="D20" t="inlineStr">
        <is>
          <t>Dukalis</t>
        </is>
      </c>
      <c r="E20" t="inlineStr">
        <is>
          <t>38c4z9ycctww8gl</t>
        </is>
      </c>
      <c r="F20">
        <f>IFERROR(IF($C20=INDEX(Matches!$S$5:$S$12,MATCH($B20,Matches!$A$5:$A$12,0)),"A",IF($C20=INDEX(Matches!$T$5:$T$12,MATCH($B20,Matches!$A$5:$A$12,0)),"B","")),"")</f>
        <v/>
      </c>
      <c r="G20">
        <f>IFERROR(INDEX(Players!$E$2:$E$66,MATCH($E20,Players!$A$2:$A$66,0)),0)</f>
        <v/>
      </c>
      <c r="H20" s="6">
        <f>IFERROR(INDEX(Players!$F$2:$F$66,MATCH($E20,Players!$A$2:$A$66,0)),"")</f>
        <v/>
      </c>
      <c r="I20">
        <f>IFERROR(INDEX(Players!$G$2:$G$66,MATCH($E20,Players!$A$2:$A$66,0)),"")</f>
        <v/>
      </c>
      <c r="J20" s="11">
        <f>IF(OR($I20="",$H20=""),"",$I20*IF(LEFT($B20,4)="DOTA",Config!$B$5,Config!$B$4)/($H20*IF(LEFT($B20,4)="DOTA",Config!$B$5,Config!$B$4)+1-$H20))</f>
        <v/>
      </c>
      <c r="K20" s="11">
        <f>IF(OR($I20="",$H20=""),"",$I20/($H20*IF(LEFT($B20,4)="DOTA",Config!$B$5,Config!$B$4)+1-$H20))</f>
        <v/>
      </c>
      <c r="L20">
        <f>IFERROR(INDEX(Matches!$R$5:$R$12,MATCH($B20,Matches!$A$5:$A$12,0)),1)</f>
        <v/>
      </c>
      <c r="M20" s="6">
        <f>IFERROR(IF(INDEX(Matches!$M$5:$M$12,MATCH($B20,Matches!$A$5:$A$12,0))="","",IF($F20="A",INDEX(Matches!$M$5:$M$12,MATCH($B20,Matches!$A$5:$A$12,0)),1-INDEX(Matches!$M$5:$M$12,MATCH($B20,Matches!$A$5:$A$12,0)))),"")</f>
        <v/>
      </c>
      <c r="N20">
        <f>1</f>
        <v/>
      </c>
      <c r="O20" s="11">
        <f>IF(OR($M20="",$J20=""),"",$L20*($M20*$J20+(1-$M20)*$K20))</f>
        <v/>
      </c>
      <c r="P20">
        <f>IF($O20="","",IF(LEFT($B20,4)="DOTA",Config!$B$7,Config!$B$6)*$O20+$L20^2*$M20*(1-$M20)*($J20-$K20)^2)</f>
        <v/>
      </c>
      <c r="Q20" s="6">
        <f>IFERROR(IF(INDEX(Matches!$N$5:$N$12,MATCH($B20,Matches!$A$5:$A$12,0))="","",IF($F20="A",INDEX(Matches!$N$5:$N$12,MATCH($B20,Matches!$A$5:$A$12,0)),1-INDEX(Matches!$N$5:$N$12,MATCH($B20,Matches!$A$5:$A$12,0)))),"")</f>
        <v/>
      </c>
      <c r="R20">
        <f>IFERROR(N(INDEX(Matches!$P$5:$P$12,MATCH($B20,Matches!$A$5:$A$12,0))),0)</f>
        <v/>
      </c>
      <c r="S20" s="11">
        <f>IF(OR($Q20="",$J20=""),"",$L20*($Q20*$J20+(1-$Q20)*$K20))</f>
        <v/>
      </c>
      <c r="T20">
        <f>IF($S20="","",IF(LEFT($B20,4)="DOTA",Config!$B$7,Config!$B$6)*$S20+$L20^2*$Q20*(1-$Q20)*($J20-$K20)^2)</f>
        <v/>
      </c>
      <c r="U20" s="6">
        <f>IFERROR(IF(INDEX(Matches!$O$5:$O$12,MATCH($B20,Matches!$A$5:$A$12,0))="","",IF($F20="A",INDEX(Matches!$O$5:$O$12,MATCH($B20,Matches!$A$5:$A$12,0)),1-INDEX(Matches!$O$5:$O$12,MATCH($B20,Matches!$A$5:$A$12,0)))),"")</f>
        <v/>
      </c>
      <c r="V20">
        <f>IFERROR(N(INDEX(Matches!$Q$5:$Q$12,MATCH($B20,Matches!$A$5:$A$12,0))),0)</f>
        <v/>
      </c>
      <c r="W20" s="11">
        <f>IF(OR($U20="",$J20=""),"",$L20*($U20*$J20+(1-$U20)*$K20))</f>
        <v/>
      </c>
      <c r="X20">
        <f>IF($W20="","",IF(LEFT($B20,4)="DOTA",Config!$B$7,Config!$B$6)*$W20+$L20^2*$U20*(1-$U20)*($J20-$K20)^2)</f>
        <v/>
      </c>
      <c r="Y20" s="11">
        <f>IF($O20="","",$O20)</f>
        <v/>
      </c>
      <c r="Z20">
        <f>IF($P20="","",$P20)</f>
        <v/>
      </c>
      <c r="AA20" s="11">
        <f>IF($O20="","",N($N20)*N($O20)+N($R20)*N($S20))</f>
        <v/>
      </c>
      <c r="AB20">
        <f>IF($O20="","",(N($N20)*N($P20)+N($N20)*(1-N($N20))*N($O20)^2)+(N($R20)*N($T20)+N($R20)*(1-N($R20))*N($S20)^2))</f>
        <v/>
      </c>
      <c r="AC20" s="11">
        <f>IF($O20="","",N($N20)*N($O20)+N($R20)*N($S20)+N($V20)*N($W20))</f>
        <v/>
      </c>
      <c r="AD20">
        <f>IF($O20="","",(N($N20)*N($P20)+N($N20)*(1-N($N20))*N($O20)^2)+(N($R20)*N($T20)+N($R20)*(1-N($R20))*N($S20)^2)+(N($V20)*N($X20)+N($V20)*(1-N($V20))*N($W20)^2))</f>
        <v/>
      </c>
      <c r="AE20" s="11">
        <f>IF($I20="","",$I20*$L20)</f>
        <v/>
      </c>
      <c r="AF20" s="11">
        <f>IF($I20="","",$I20*$L20*(1+N($R20)))</f>
        <v/>
      </c>
      <c r="AG20" s="11">
        <f>IF($I20="","",$I20*$L20*(1+N($R20)+N($V20)))</f>
        <v/>
      </c>
      <c r="AH20">
        <f>TRIM(IF($G20&lt;Config!$B$9,"thin sample ("&amp;$G20&amp;" maps) · ","")&amp;IF($I20="","no PickFinder stats · ","")&amp;IFERROR(IF(INDEX(Players!$T$2:$T$66,MATCH($E20,Players!$A$2:$A$66,0))&lt;0.5,"new roster: "&amp;TEXT(INDEX(Players!$T$2:$T$66,MATCH($E20,Players!$A$2:$A$66,0)),"0%")&amp;" of his recent games with these teammates",""),""))</f>
        <v/>
      </c>
      <c r="AI20">
        <f>IF($B20=Board!$B$2,COUNTIFS($B$2:$B$66,Board!$B$2,$Y$2:$Y$66,"&gt;"&amp;$Y20)+COUNTIFS($B$1:$B19,Board!$B$2,$Y$1:$Y19,$Y20)+1,"")</f>
        <v/>
      </c>
      <c r="AJ20">
        <f>IFERROR(IF(INDEX(Matches!$D$5:$D$12,MATCH($B20,Matches!$A$5:$A$12,0))=3,"K12","K13"),"K13")</f>
        <v/>
      </c>
      <c r="AK20" s="11">
        <f>IF($AJ20="K12",$AA20,$AC20)</f>
        <v/>
      </c>
    </row>
    <row r="21">
      <c r="A21" t="inlineStr">
        <is>
          <t>te1ihvul0whu8k1|DOTA · TS vs PARI</t>
        </is>
      </c>
      <c r="B21" t="inlineStr">
        <is>
          <t>DOTA · TS vs PARI</t>
        </is>
      </c>
      <c r="C21" t="inlineStr">
        <is>
          <t>PARI</t>
        </is>
      </c>
      <c r="D21" t="inlineStr">
        <is>
          <t>No[o]ne</t>
        </is>
      </c>
      <c r="E21" t="inlineStr">
        <is>
          <t>te1ihvul0whu8k1</t>
        </is>
      </c>
      <c r="F21">
        <f>IFERROR(IF($C21=INDEX(Matches!$S$5:$S$12,MATCH($B21,Matches!$A$5:$A$12,0)),"A",IF($C21=INDEX(Matches!$T$5:$T$12,MATCH($B21,Matches!$A$5:$A$12,0)),"B","")),"")</f>
        <v/>
      </c>
      <c r="G21">
        <f>IFERROR(INDEX(Players!$E$2:$E$66,MATCH($E21,Players!$A$2:$A$66,0)),0)</f>
        <v/>
      </c>
      <c r="H21" s="6">
        <f>IFERROR(INDEX(Players!$F$2:$F$66,MATCH($E21,Players!$A$2:$A$66,0)),"")</f>
        <v/>
      </c>
      <c r="I21">
        <f>IFERROR(INDEX(Players!$G$2:$G$66,MATCH($E21,Players!$A$2:$A$66,0)),"")</f>
        <v/>
      </c>
      <c r="J21" s="11">
        <f>IF(OR($I21="",$H21=""),"",$I21*IF(LEFT($B21,4)="DOTA",Config!$B$5,Config!$B$4)/($H21*IF(LEFT($B21,4)="DOTA",Config!$B$5,Config!$B$4)+1-$H21))</f>
        <v/>
      </c>
      <c r="K21" s="11">
        <f>IF(OR($I21="",$H21=""),"",$I21/($H21*IF(LEFT($B21,4)="DOTA",Config!$B$5,Config!$B$4)+1-$H21))</f>
        <v/>
      </c>
      <c r="L21">
        <f>IFERROR(INDEX(Matches!$R$5:$R$12,MATCH($B21,Matches!$A$5:$A$12,0)),1)</f>
        <v/>
      </c>
      <c r="M21" s="6">
        <f>IFERROR(IF(INDEX(Matches!$M$5:$M$12,MATCH($B21,Matches!$A$5:$A$12,0))="","",IF($F21="A",INDEX(Matches!$M$5:$M$12,MATCH($B21,Matches!$A$5:$A$12,0)),1-INDEX(Matches!$M$5:$M$12,MATCH($B21,Matches!$A$5:$A$12,0)))),"")</f>
        <v/>
      </c>
      <c r="N21">
        <f>1</f>
        <v/>
      </c>
      <c r="O21" s="11">
        <f>IF(OR($M21="",$J21=""),"",$L21*($M21*$J21+(1-$M21)*$K21))</f>
        <v/>
      </c>
      <c r="P21">
        <f>IF($O21="","",IF(LEFT($B21,4)="DOTA",Config!$B$7,Config!$B$6)*$O21+$L21^2*$M21*(1-$M21)*($J21-$K21)^2)</f>
        <v/>
      </c>
      <c r="Q21" s="6">
        <f>IFERROR(IF(INDEX(Matches!$N$5:$N$12,MATCH($B21,Matches!$A$5:$A$12,0))="","",IF($F21="A",INDEX(Matches!$N$5:$N$12,MATCH($B21,Matches!$A$5:$A$12,0)),1-INDEX(Matches!$N$5:$N$12,MATCH($B21,Matches!$A$5:$A$12,0)))),"")</f>
        <v/>
      </c>
      <c r="R21">
        <f>IFERROR(N(INDEX(Matches!$P$5:$P$12,MATCH($B21,Matches!$A$5:$A$12,0))),0)</f>
        <v/>
      </c>
      <c r="S21" s="11">
        <f>IF(OR($Q21="",$J21=""),"",$L21*($Q21*$J21+(1-$Q21)*$K21))</f>
        <v/>
      </c>
      <c r="T21">
        <f>IF($S21="","",IF(LEFT($B21,4)="DOTA",Config!$B$7,Config!$B$6)*$S21+$L21^2*$Q21*(1-$Q21)*($J21-$K21)^2)</f>
        <v/>
      </c>
      <c r="U21" s="6">
        <f>IFERROR(IF(INDEX(Matches!$O$5:$O$12,MATCH($B21,Matches!$A$5:$A$12,0))="","",IF($F21="A",INDEX(Matches!$O$5:$O$12,MATCH($B21,Matches!$A$5:$A$12,0)),1-INDEX(Matches!$O$5:$O$12,MATCH($B21,Matches!$A$5:$A$12,0)))),"")</f>
        <v/>
      </c>
      <c r="V21">
        <f>IFERROR(N(INDEX(Matches!$Q$5:$Q$12,MATCH($B21,Matches!$A$5:$A$12,0))),0)</f>
        <v/>
      </c>
      <c r="W21" s="11">
        <f>IF(OR($U21="",$J21=""),"",$L21*($U21*$J21+(1-$U21)*$K21))</f>
        <v/>
      </c>
      <c r="X21">
        <f>IF($W21="","",IF(LEFT($B21,4)="DOTA",Config!$B$7,Config!$B$6)*$W21+$L21^2*$U21*(1-$U21)*($J21-$K21)^2)</f>
        <v/>
      </c>
      <c r="Y21" s="11">
        <f>IF($O21="","",$O21)</f>
        <v/>
      </c>
      <c r="Z21">
        <f>IF($P21="","",$P21)</f>
        <v/>
      </c>
      <c r="AA21" s="11">
        <f>IF($O21="","",N($N21)*N($O21)+N($R21)*N($S21))</f>
        <v/>
      </c>
      <c r="AB21">
        <f>IF($O21="","",(N($N21)*N($P21)+N($N21)*(1-N($N21))*N($O21)^2)+(N($R21)*N($T21)+N($R21)*(1-N($R21))*N($S21)^2))</f>
        <v/>
      </c>
      <c r="AC21" s="11">
        <f>IF($O21="","",N($N21)*N($O21)+N($R21)*N($S21)+N($V21)*N($W21))</f>
        <v/>
      </c>
      <c r="AD21">
        <f>IF($O21="","",(N($N21)*N($P21)+N($N21)*(1-N($N21))*N($O21)^2)+(N($R21)*N($T21)+N($R21)*(1-N($R21))*N($S21)^2)+(N($V21)*N($X21)+N($V21)*(1-N($V21))*N($W21)^2))</f>
        <v/>
      </c>
      <c r="AE21" s="11">
        <f>IF($I21="","",$I21*$L21)</f>
        <v/>
      </c>
      <c r="AF21" s="11">
        <f>IF($I21="","",$I21*$L21*(1+N($R21)))</f>
        <v/>
      </c>
      <c r="AG21" s="11">
        <f>IF($I21="","",$I21*$L21*(1+N($R21)+N($V21)))</f>
        <v/>
      </c>
      <c r="AH21">
        <f>TRIM(IF($G21&lt;Config!$B$9,"thin sample ("&amp;$G21&amp;" maps) · ","")&amp;IF($I21="","no PickFinder stats · ","")&amp;IFERROR(IF(INDEX(Players!$T$2:$T$66,MATCH($E21,Players!$A$2:$A$66,0))&lt;0.5,"new roster: "&amp;TEXT(INDEX(Players!$T$2:$T$66,MATCH($E21,Players!$A$2:$A$66,0)),"0%")&amp;" of his recent games with these teammates",""),""))</f>
        <v/>
      </c>
      <c r="AI21">
        <f>IF($B21=Board!$B$2,COUNTIFS($B$2:$B$66,Board!$B$2,$Y$2:$Y$66,"&gt;"&amp;$Y21)+COUNTIFS($B$1:$B20,Board!$B$2,$Y$1:$Y20,$Y21)+1,"")</f>
        <v/>
      </c>
      <c r="AJ21">
        <f>IFERROR(IF(INDEX(Matches!$D$5:$D$12,MATCH($B21,Matches!$A$5:$A$12,0))=3,"K12","K13"),"K13")</f>
        <v/>
      </c>
      <c r="AK21" s="11">
        <f>IF($AJ21="K12",$AA21,$AC21)</f>
        <v/>
      </c>
    </row>
    <row r="22">
      <c r="A22" t="inlineStr">
        <is>
          <t>hkpy2i1q2cf4qrd|DOTA · TS vs PARI</t>
        </is>
      </c>
      <c r="B22" t="inlineStr">
        <is>
          <t>DOTA · TS vs PARI</t>
        </is>
      </c>
      <c r="C22" t="inlineStr">
        <is>
          <t>PARI</t>
        </is>
      </c>
      <c r="D22" t="inlineStr">
        <is>
          <t>Noticed</t>
        </is>
      </c>
      <c r="E22" t="inlineStr">
        <is>
          <t>hkpy2i1q2cf4qrd</t>
        </is>
      </c>
      <c r="F22">
        <f>IFERROR(IF($C22=INDEX(Matches!$S$5:$S$12,MATCH($B22,Matches!$A$5:$A$12,0)),"A",IF($C22=INDEX(Matches!$T$5:$T$12,MATCH($B22,Matches!$A$5:$A$12,0)),"B","")),"")</f>
        <v/>
      </c>
      <c r="G22">
        <f>IFERROR(INDEX(Players!$E$2:$E$66,MATCH($E22,Players!$A$2:$A$66,0)),0)</f>
        <v/>
      </c>
      <c r="H22" s="6">
        <f>IFERROR(INDEX(Players!$F$2:$F$66,MATCH($E22,Players!$A$2:$A$66,0)),"")</f>
        <v/>
      </c>
      <c r="I22">
        <f>IFERROR(INDEX(Players!$G$2:$G$66,MATCH($E22,Players!$A$2:$A$66,0)),"")</f>
        <v/>
      </c>
      <c r="J22" s="11">
        <f>IF(OR($I22="",$H22=""),"",$I22*IF(LEFT($B22,4)="DOTA",Config!$B$5,Config!$B$4)/($H22*IF(LEFT($B22,4)="DOTA",Config!$B$5,Config!$B$4)+1-$H22))</f>
        <v/>
      </c>
      <c r="K22" s="11">
        <f>IF(OR($I22="",$H22=""),"",$I22/($H22*IF(LEFT($B22,4)="DOTA",Config!$B$5,Config!$B$4)+1-$H22))</f>
        <v/>
      </c>
      <c r="L22">
        <f>IFERROR(INDEX(Matches!$R$5:$R$12,MATCH($B22,Matches!$A$5:$A$12,0)),1)</f>
        <v/>
      </c>
      <c r="M22" s="6">
        <f>IFERROR(IF(INDEX(Matches!$M$5:$M$12,MATCH($B22,Matches!$A$5:$A$12,0))="","",IF($F22="A",INDEX(Matches!$M$5:$M$12,MATCH($B22,Matches!$A$5:$A$12,0)),1-INDEX(Matches!$M$5:$M$12,MATCH($B22,Matches!$A$5:$A$12,0)))),"")</f>
        <v/>
      </c>
      <c r="N22">
        <f>1</f>
        <v/>
      </c>
      <c r="O22" s="11">
        <f>IF(OR($M22="",$J22=""),"",$L22*($M22*$J22+(1-$M22)*$K22))</f>
        <v/>
      </c>
      <c r="P22">
        <f>IF($O22="","",IF(LEFT($B22,4)="DOTA",Config!$B$7,Config!$B$6)*$O22+$L22^2*$M22*(1-$M22)*($J22-$K22)^2)</f>
        <v/>
      </c>
      <c r="Q22" s="6">
        <f>IFERROR(IF(INDEX(Matches!$N$5:$N$12,MATCH($B22,Matches!$A$5:$A$12,0))="","",IF($F22="A",INDEX(Matches!$N$5:$N$12,MATCH($B22,Matches!$A$5:$A$12,0)),1-INDEX(Matches!$N$5:$N$12,MATCH($B22,Matches!$A$5:$A$12,0)))),"")</f>
        <v/>
      </c>
      <c r="R22">
        <f>IFERROR(N(INDEX(Matches!$P$5:$P$12,MATCH($B22,Matches!$A$5:$A$12,0))),0)</f>
        <v/>
      </c>
      <c r="S22" s="11">
        <f>IF(OR($Q22="",$J22=""),"",$L22*($Q22*$J22+(1-$Q22)*$K22))</f>
        <v/>
      </c>
      <c r="T22">
        <f>IF($S22="","",IF(LEFT($B22,4)="DOTA",Config!$B$7,Config!$B$6)*$S22+$L22^2*$Q22*(1-$Q22)*($J22-$K22)^2)</f>
        <v/>
      </c>
      <c r="U22" s="6">
        <f>IFERROR(IF(INDEX(Matches!$O$5:$O$12,MATCH($B22,Matches!$A$5:$A$12,0))="","",IF($F22="A",INDEX(Matches!$O$5:$O$12,MATCH($B22,Matches!$A$5:$A$12,0)),1-INDEX(Matches!$O$5:$O$12,MATCH($B22,Matches!$A$5:$A$12,0)))),"")</f>
        <v/>
      </c>
      <c r="V22">
        <f>IFERROR(N(INDEX(Matches!$Q$5:$Q$12,MATCH($B22,Matches!$A$5:$A$12,0))),0)</f>
        <v/>
      </c>
      <c r="W22" s="11">
        <f>IF(OR($U22="",$J22=""),"",$L22*($U22*$J22+(1-$U22)*$K22))</f>
        <v/>
      </c>
      <c r="X22">
        <f>IF($W22="","",IF(LEFT($B22,4)="DOTA",Config!$B$7,Config!$B$6)*$W22+$L22^2*$U22*(1-$U22)*($J22-$K22)^2)</f>
        <v/>
      </c>
      <c r="Y22" s="11">
        <f>IF($O22="","",$O22)</f>
        <v/>
      </c>
      <c r="Z22">
        <f>IF($P22="","",$P22)</f>
        <v/>
      </c>
      <c r="AA22" s="11">
        <f>IF($O22="","",N($N22)*N($O22)+N($R22)*N($S22))</f>
        <v/>
      </c>
      <c r="AB22">
        <f>IF($O22="","",(N($N22)*N($P22)+N($N22)*(1-N($N22))*N($O22)^2)+(N($R22)*N($T22)+N($R22)*(1-N($R22))*N($S22)^2))</f>
        <v/>
      </c>
      <c r="AC22" s="11">
        <f>IF($O22="","",N($N22)*N($O22)+N($R22)*N($S22)+N($V22)*N($W22))</f>
        <v/>
      </c>
      <c r="AD22">
        <f>IF($O22="","",(N($N22)*N($P22)+N($N22)*(1-N($N22))*N($O22)^2)+(N($R22)*N($T22)+N($R22)*(1-N($R22))*N($S22)^2)+(N($V22)*N($X22)+N($V22)*(1-N($V22))*N($W22)^2))</f>
        <v/>
      </c>
      <c r="AE22" s="11">
        <f>IF($I22="","",$I22*$L22)</f>
        <v/>
      </c>
      <c r="AF22" s="11">
        <f>IF($I22="","",$I22*$L22*(1+N($R22)))</f>
        <v/>
      </c>
      <c r="AG22" s="11">
        <f>IF($I22="","",$I22*$L22*(1+N($R22)+N($V22)))</f>
        <v/>
      </c>
      <c r="AH22">
        <f>TRIM(IF($G22&lt;Config!$B$9,"thin sample ("&amp;$G22&amp;" maps) · ","")&amp;IF($I22="","no PickFinder stats · ","")&amp;IFERROR(IF(INDEX(Players!$T$2:$T$66,MATCH($E22,Players!$A$2:$A$66,0))&lt;0.5,"new roster: "&amp;TEXT(INDEX(Players!$T$2:$T$66,MATCH($E22,Players!$A$2:$A$66,0)),"0%")&amp;" of his recent games with these teammates",""),""))</f>
        <v/>
      </c>
      <c r="AI22">
        <f>IF($B22=Board!$B$2,COUNTIFS($B$2:$B$66,Board!$B$2,$Y$2:$Y$66,"&gt;"&amp;$Y22)+COUNTIFS($B$1:$B21,Board!$B$2,$Y$1:$Y21,$Y22)+1,"")</f>
        <v/>
      </c>
      <c r="AJ22">
        <f>IFERROR(IF(INDEX(Matches!$D$5:$D$12,MATCH($B22,Matches!$A$5:$A$12,0))=3,"K12","K13"),"K13")</f>
        <v/>
      </c>
      <c r="AK22" s="11">
        <f>IF($AJ22="K12",$AA22,$AC22)</f>
        <v/>
      </c>
    </row>
    <row r="23">
      <c r="A23" t="inlineStr">
        <is>
          <t>s178rxweg2uixdf|DOTA · TS vs PARI</t>
        </is>
      </c>
      <c r="B23" t="inlineStr">
        <is>
          <t>DOTA · TS vs PARI</t>
        </is>
      </c>
      <c r="C23" t="inlineStr">
        <is>
          <t>PARI</t>
        </is>
      </c>
      <c r="D23" t="inlineStr">
        <is>
          <t>Satanic</t>
        </is>
      </c>
      <c r="E23" t="inlineStr">
        <is>
          <t>s178rxweg2uixdf</t>
        </is>
      </c>
      <c r="F23">
        <f>IFERROR(IF($C23=INDEX(Matches!$S$5:$S$12,MATCH($B23,Matches!$A$5:$A$12,0)),"A",IF($C23=INDEX(Matches!$T$5:$T$12,MATCH($B23,Matches!$A$5:$A$12,0)),"B","")),"")</f>
        <v/>
      </c>
      <c r="G23">
        <f>IFERROR(INDEX(Players!$E$2:$E$66,MATCH($E23,Players!$A$2:$A$66,0)),0)</f>
        <v/>
      </c>
      <c r="H23" s="6">
        <f>IFERROR(INDEX(Players!$F$2:$F$66,MATCH($E23,Players!$A$2:$A$66,0)),"")</f>
        <v/>
      </c>
      <c r="I23">
        <f>IFERROR(INDEX(Players!$G$2:$G$66,MATCH($E23,Players!$A$2:$A$66,0)),"")</f>
        <v/>
      </c>
      <c r="J23" s="11">
        <f>IF(OR($I23="",$H23=""),"",$I23*IF(LEFT($B23,4)="DOTA",Config!$B$5,Config!$B$4)/($H23*IF(LEFT($B23,4)="DOTA",Config!$B$5,Config!$B$4)+1-$H23))</f>
        <v/>
      </c>
      <c r="K23" s="11">
        <f>IF(OR($I23="",$H23=""),"",$I23/($H23*IF(LEFT($B23,4)="DOTA",Config!$B$5,Config!$B$4)+1-$H23))</f>
        <v/>
      </c>
      <c r="L23">
        <f>IFERROR(INDEX(Matches!$R$5:$R$12,MATCH($B23,Matches!$A$5:$A$12,0)),1)</f>
        <v/>
      </c>
      <c r="M23" s="6">
        <f>IFERROR(IF(INDEX(Matches!$M$5:$M$12,MATCH($B23,Matches!$A$5:$A$12,0))="","",IF($F23="A",INDEX(Matches!$M$5:$M$12,MATCH($B23,Matches!$A$5:$A$12,0)),1-INDEX(Matches!$M$5:$M$12,MATCH($B23,Matches!$A$5:$A$12,0)))),"")</f>
        <v/>
      </c>
      <c r="N23">
        <f>1</f>
        <v/>
      </c>
      <c r="O23" s="11">
        <f>IF(OR($M23="",$J23=""),"",$L23*($M23*$J23+(1-$M23)*$K23))</f>
        <v/>
      </c>
      <c r="P23">
        <f>IF($O23="","",IF(LEFT($B23,4)="DOTA",Config!$B$7,Config!$B$6)*$O23+$L23^2*$M23*(1-$M23)*($J23-$K23)^2)</f>
        <v/>
      </c>
      <c r="Q23" s="6">
        <f>IFERROR(IF(INDEX(Matches!$N$5:$N$12,MATCH($B23,Matches!$A$5:$A$12,0))="","",IF($F23="A",INDEX(Matches!$N$5:$N$12,MATCH($B23,Matches!$A$5:$A$12,0)),1-INDEX(Matches!$N$5:$N$12,MATCH($B23,Matches!$A$5:$A$12,0)))),"")</f>
        <v/>
      </c>
      <c r="R23">
        <f>IFERROR(N(INDEX(Matches!$P$5:$P$12,MATCH($B23,Matches!$A$5:$A$12,0))),0)</f>
        <v/>
      </c>
      <c r="S23" s="11">
        <f>IF(OR($Q23="",$J23=""),"",$L23*($Q23*$J23+(1-$Q23)*$K23))</f>
        <v/>
      </c>
      <c r="T23">
        <f>IF($S23="","",IF(LEFT($B23,4)="DOTA",Config!$B$7,Config!$B$6)*$S23+$L23^2*$Q23*(1-$Q23)*($J23-$K23)^2)</f>
        <v/>
      </c>
      <c r="U23" s="6">
        <f>IFERROR(IF(INDEX(Matches!$O$5:$O$12,MATCH($B23,Matches!$A$5:$A$12,0))="","",IF($F23="A",INDEX(Matches!$O$5:$O$12,MATCH($B23,Matches!$A$5:$A$12,0)),1-INDEX(Matches!$O$5:$O$12,MATCH($B23,Matches!$A$5:$A$12,0)))),"")</f>
        <v/>
      </c>
      <c r="V23">
        <f>IFERROR(N(INDEX(Matches!$Q$5:$Q$12,MATCH($B23,Matches!$A$5:$A$12,0))),0)</f>
        <v/>
      </c>
      <c r="W23" s="11">
        <f>IF(OR($U23="",$J23=""),"",$L23*($U23*$J23+(1-$U23)*$K23))</f>
        <v/>
      </c>
      <c r="X23">
        <f>IF($W23="","",IF(LEFT($B23,4)="DOTA",Config!$B$7,Config!$B$6)*$W23+$L23^2*$U23*(1-$U23)*($J23-$K23)^2)</f>
        <v/>
      </c>
      <c r="Y23" s="11">
        <f>IF($O23="","",$O23)</f>
        <v/>
      </c>
      <c r="Z23">
        <f>IF($P23="","",$P23)</f>
        <v/>
      </c>
      <c r="AA23" s="11">
        <f>IF($O23="","",N($N23)*N($O23)+N($R23)*N($S23))</f>
        <v/>
      </c>
      <c r="AB23">
        <f>IF($O23="","",(N($N23)*N($P23)+N($N23)*(1-N($N23))*N($O23)^2)+(N($R23)*N($T23)+N($R23)*(1-N($R23))*N($S23)^2))</f>
        <v/>
      </c>
      <c r="AC23" s="11">
        <f>IF($O23="","",N($N23)*N($O23)+N($R23)*N($S23)+N($V23)*N($W23))</f>
        <v/>
      </c>
      <c r="AD23">
        <f>IF($O23="","",(N($N23)*N($P23)+N($N23)*(1-N($N23))*N($O23)^2)+(N($R23)*N($T23)+N($R23)*(1-N($R23))*N($S23)^2)+(N($V23)*N($X23)+N($V23)*(1-N($V23))*N($W23)^2))</f>
        <v/>
      </c>
      <c r="AE23" s="11">
        <f>IF($I23="","",$I23*$L23)</f>
        <v/>
      </c>
      <c r="AF23" s="11">
        <f>IF($I23="","",$I23*$L23*(1+N($R23)))</f>
        <v/>
      </c>
      <c r="AG23" s="11">
        <f>IF($I23="","",$I23*$L23*(1+N($R23)+N($V23)))</f>
        <v/>
      </c>
      <c r="AH23">
        <f>TRIM(IF($G23&lt;Config!$B$9,"thin sample ("&amp;$G23&amp;" maps) · ","")&amp;IF($I23="","no PickFinder stats · ","")&amp;IFERROR(IF(INDEX(Players!$T$2:$T$66,MATCH($E23,Players!$A$2:$A$66,0))&lt;0.5,"new roster: "&amp;TEXT(INDEX(Players!$T$2:$T$66,MATCH($E23,Players!$A$2:$A$66,0)),"0%")&amp;" of his recent games with these teammates",""),""))</f>
        <v/>
      </c>
      <c r="AI23">
        <f>IF($B23=Board!$B$2,COUNTIFS($B$2:$B$66,Board!$B$2,$Y$2:$Y$66,"&gt;"&amp;$Y23)+COUNTIFS($B$1:$B22,Board!$B$2,$Y$1:$Y22,$Y23)+1,"")</f>
        <v/>
      </c>
      <c r="AJ23">
        <f>IFERROR(IF(INDEX(Matches!$D$5:$D$12,MATCH($B23,Matches!$A$5:$A$12,0))=3,"K12","K13"),"K13")</f>
        <v/>
      </c>
      <c r="AK23" s="11">
        <f>IF($AJ23="K12",$AA23,$AC23)</f>
        <v/>
      </c>
    </row>
    <row r="24">
      <c r="A24" t="inlineStr">
        <is>
          <t>3nhf9uupulsq9gw|DOTA · TS vs PARI</t>
        </is>
      </c>
      <c r="B24" t="inlineStr">
        <is>
          <t>DOTA · TS vs PARI</t>
        </is>
      </c>
      <c r="C24" t="inlineStr">
        <is>
          <t>TS</t>
        </is>
      </c>
      <c r="D24" t="inlineStr">
        <is>
          <t>Larl</t>
        </is>
      </c>
      <c r="E24" t="inlineStr">
        <is>
          <t>3nhf9uupulsq9gw</t>
        </is>
      </c>
      <c r="F24">
        <f>IFERROR(IF($C24=INDEX(Matches!$S$5:$S$12,MATCH($B24,Matches!$A$5:$A$12,0)),"A",IF($C24=INDEX(Matches!$T$5:$T$12,MATCH($B24,Matches!$A$5:$A$12,0)),"B","")),"")</f>
        <v/>
      </c>
      <c r="G24">
        <f>IFERROR(INDEX(Players!$E$2:$E$66,MATCH($E24,Players!$A$2:$A$66,0)),0)</f>
        <v/>
      </c>
      <c r="H24" s="6">
        <f>IFERROR(INDEX(Players!$F$2:$F$66,MATCH($E24,Players!$A$2:$A$66,0)),"")</f>
        <v/>
      </c>
      <c r="I24">
        <f>IFERROR(INDEX(Players!$G$2:$G$66,MATCH($E24,Players!$A$2:$A$66,0)),"")</f>
        <v/>
      </c>
      <c r="J24" s="11">
        <f>IF(OR($I24="",$H24=""),"",$I24*IF(LEFT($B24,4)="DOTA",Config!$B$5,Config!$B$4)/($H24*IF(LEFT($B24,4)="DOTA",Config!$B$5,Config!$B$4)+1-$H24))</f>
        <v/>
      </c>
      <c r="K24" s="11">
        <f>IF(OR($I24="",$H24=""),"",$I24/($H24*IF(LEFT($B24,4)="DOTA",Config!$B$5,Config!$B$4)+1-$H24))</f>
        <v/>
      </c>
      <c r="L24">
        <f>IFERROR(INDEX(Matches!$R$5:$R$12,MATCH($B24,Matches!$A$5:$A$12,0)),1)</f>
        <v/>
      </c>
      <c r="M24" s="6">
        <f>IFERROR(IF(INDEX(Matches!$M$5:$M$12,MATCH($B24,Matches!$A$5:$A$12,0))="","",IF($F24="A",INDEX(Matches!$M$5:$M$12,MATCH($B24,Matches!$A$5:$A$12,0)),1-INDEX(Matches!$M$5:$M$12,MATCH($B24,Matches!$A$5:$A$12,0)))),"")</f>
        <v/>
      </c>
      <c r="N24">
        <f>1</f>
        <v/>
      </c>
      <c r="O24" s="11">
        <f>IF(OR($M24="",$J24=""),"",$L24*($M24*$J24+(1-$M24)*$K24))</f>
        <v/>
      </c>
      <c r="P24">
        <f>IF($O24="","",IF(LEFT($B24,4)="DOTA",Config!$B$7,Config!$B$6)*$O24+$L24^2*$M24*(1-$M24)*($J24-$K24)^2)</f>
        <v/>
      </c>
      <c r="Q24" s="6">
        <f>IFERROR(IF(INDEX(Matches!$N$5:$N$12,MATCH($B24,Matches!$A$5:$A$12,0))="","",IF($F24="A",INDEX(Matches!$N$5:$N$12,MATCH($B24,Matches!$A$5:$A$12,0)),1-INDEX(Matches!$N$5:$N$12,MATCH($B24,Matches!$A$5:$A$12,0)))),"")</f>
        <v/>
      </c>
      <c r="R24">
        <f>IFERROR(N(INDEX(Matches!$P$5:$P$12,MATCH($B24,Matches!$A$5:$A$12,0))),0)</f>
        <v/>
      </c>
      <c r="S24" s="11">
        <f>IF(OR($Q24="",$J24=""),"",$L24*($Q24*$J24+(1-$Q24)*$K24))</f>
        <v/>
      </c>
      <c r="T24">
        <f>IF($S24="","",IF(LEFT($B24,4)="DOTA",Config!$B$7,Config!$B$6)*$S24+$L24^2*$Q24*(1-$Q24)*($J24-$K24)^2)</f>
        <v/>
      </c>
      <c r="U24" s="6">
        <f>IFERROR(IF(INDEX(Matches!$O$5:$O$12,MATCH($B24,Matches!$A$5:$A$12,0))="","",IF($F24="A",INDEX(Matches!$O$5:$O$12,MATCH($B24,Matches!$A$5:$A$12,0)),1-INDEX(Matches!$O$5:$O$12,MATCH($B24,Matches!$A$5:$A$12,0)))),"")</f>
        <v/>
      </c>
      <c r="V24">
        <f>IFERROR(N(INDEX(Matches!$Q$5:$Q$12,MATCH($B24,Matches!$A$5:$A$12,0))),0)</f>
        <v/>
      </c>
      <c r="W24" s="11">
        <f>IF(OR($U24="",$J24=""),"",$L24*($U24*$J24+(1-$U24)*$K24))</f>
        <v/>
      </c>
      <c r="X24">
        <f>IF($W24="","",IF(LEFT($B24,4)="DOTA",Config!$B$7,Config!$B$6)*$W24+$L24^2*$U24*(1-$U24)*($J24-$K24)^2)</f>
        <v/>
      </c>
      <c r="Y24" s="11">
        <f>IF($O24="","",$O24)</f>
        <v/>
      </c>
      <c r="Z24">
        <f>IF($P24="","",$P24)</f>
        <v/>
      </c>
      <c r="AA24" s="11">
        <f>IF($O24="","",N($N24)*N($O24)+N($R24)*N($S24))</f>
        <v/>
      </c>
      <c r="AB24">
        <f>IF($O24="","",(N($N24)*N($P24)+N($N24)*(1-N($N24))*N($O24)^2)+(N($R24)*N($T24)+N($R24)*(1-N($R24))*N($S24)^2))</f>
        <v/>
      </c>
      <c r="AC24" s="11">
        <f>IF($O24="","",N($N24)*N($O24)+N($R24)*N($S24)+N($V24)*N($W24))</f>
        <v/>
      </c>
      <c r="AD24">
        <f>IF($O24="","",(N($N24)*N($P24)+N($N24)*(1-N($N24))*N($O24)^2)+(N($R24)*N($T24)+N($R24)*(1-N($R24))*N($S24)^2)+(N($V24)*N($X24)+N($V24)*(1-N($V24))*N($W24)^2))</f>
        <v/>
      </c>
      <c r="AE24" s="11">
        <f>IF($I24="","",$I24*$L24)</f>
        <v/>
      </c>
      <c r="AF24" s="11">
        <f>IF($I24="","",$I24*$L24*(1+N($R24)))</f>
        <v/>
      </c>
      <c r="AG24" s="11">
        <f>IF($I24="","",$I24*$L24*(1+N($R24)+N($V24)))</f>
        <v/>
      </c>
      <c r="AH24">
        <f>TRIM(IF($G24&lt;Config!$B$9,"thin sample ("&amp;$G24&amp;" maps) · ","")&amp;IF($I24="","no PickFinder stats · ","")&amp;IFERROR(IF(INDEX(Players!$T$2:$T$66,MATCH($E24,Players!$A$2:$A$66,0))&lt;0.5,"new roster: "&amp;TEXT(INDEX(Players!$T$2:$T$66,MATCH($E24,Players!$A$2:$A$66,0)),"0%")&amp;" of his recent games with these teammates",""),""))</f>
        <v/>
      </c>
      <c r="AI24">
        <f>IF($B24=Board!$B$2,COUNTIFS($B$2:$B$66,Board!$B$2,$Y$2:$Y$66,"&gt;"&amp;$Y24)+COUNTIFS($B$1:$B23,Board!$B$2,$Y$1:$Y23,$Y24)+1,"")</f>
        <v/>
      </c>
      <c r="AJ24">
        <f>IFERROR(IF(INDEX(Matches!$D$5:$D$12,MATCH($B24,Matches!$A$5:$A$12,0))=3,"K12","K13"),"K13")</f>
        <v/>
      </c>
      <c r="AK24" s="11">
        <f>IF($AJ24="K12",$AA24,$AC24)</f>
        <v/>
      </c>
    </row>
    <row r="25">
      <c r="A25" t="inlineStr">
        <is>
          <t>eu78tcmea0duae0|DOTA · TS vs PARI</t>
        </is>
      </c>
      <c r="B25" t="inlineStr">
        <is>
          <t>DOTA · TS vs PARI</t>
        </is>
      </c>
      <c r="C25" t="inlineStr">
        <is>
          <t>TS</t>
        </is>
      </c>
      <c r="D25" t="inlineStr">
        <is>
          <t>not me</t>
        </is>
      </c>
      <c r="E25" t="inlineStr">
        <is>
          <t>eu78tcmea0duae0</t>
        </is>
      </c>
      <c r="F25">
        <f>IFERROR(IF($C25=INDEX(Matches!$S$5:$S$12,MATCH($B25,Matches!$A$5:$A$12,0)),"A",IF($C25=INDEX(Matches!$T$5:$T$12,MATCH($B25,Matches!$A$5:$A$12,0)),"B","")),"")</f>
        <v/>
      </c>
      <c r="G25">
        <f>IFERROR(INDEX(Players!$E$2:$E$66,MATCH($E25,Players!$A$2:$A$66,0)),0)</f>
        <v/>
      </c>
      <c r="H25" s="6">
        <f>IFERROR(INDEX(Players!$F$2:$F$66,MATCH($E25,Players!$A$2:$A$66,0)),"")</f>
        <v/>
      </c>
      <c r="I25">
        <f>IFERROR(INDEX(Players!$G$2:$G$66,MATCH($E25,Players!$A$2:$A$66,0)),"")</f>
        <v/>
      </c>
      <c r="J25" s="11">
        <f>IF(OR($I25="",$H25=""),"",$I25*IF(LEFT($B25,4)="DOTA",Config!$B$5,Config!$B$4)/($H25*IF(LEFT($B25,4)="DOTA",Config!$B$5,Config!$B$4)+1-$H25))</f>
        <v/>
      </c>
      <c r="K25" s="11">
        <f>IF(OR($I25="",$H25=""),"",$I25/($H25*IF(LEFT($B25,4)="DOTA",Config!$B$5,Config!$B$4)+1-$H25))</f>
        <v/>
      </c>
      <c r="L25">
        <f>IFERROR(INDEX(Matches!$R$5:$R$12,MATCH($B25,Matches!$A$5:$A$12,0)),1)</f>
        <v/>
      </c>
      <c r="M25" s="6">
        <f>IFERROR(IF(INDEX(Matches!$M$5:$M$12,MATCH($B25,Matches!$A$5:$A$12,0))="","",IF($F25="A",INDEX(Matches!$M$5:$M$12,MATCH($B25,Matches!$A$5:$A$12,0)),1-INDEX(Matches!$M$5:$M$12,MATCH($B25,Matches!$A$5:$A$12,0)))),"")</f>
        <v/>
      </c>
      <c r="N25">
        <f>1</f>
        <v/>
      </c>
      <c r="O25" s="11">
        <f>IF(OR($M25="",$J25=""),"",$L25*($M25*$J25+(1-$M25)*$K25))</f>
        <v/>
      </c>
      <c r="P25">
        <f>IF($O25="","",IF(LEFT($B25,4)="DOTA",Config!$B$7,Config!$B$6)*$O25+$L25^2*$M25*(1-$M25)*($J25-$K25)^2)</f>
        <v/>
      </c>
      <c r="Q25" s="6">
        <f>IFERROR(IF(INDEX(Matches!$N$5:$N$12,MATCH($B25,Matches!$A$5:$A$12,0))="","",IF($F25="A",INDEX(Matches!$N$5:$N$12,MATCH($B25,Matches!$A$5:$A$12,0)),1-INDEX(Matches!$N$5:$N$12,MATCH($B25,Matches!$A$5:$A$12,0)))),"")</f>
        <v/>
      </c>
      <c r="R25">
        <f>IFERROR(N(INDEX(Matches!$P$5:$P$12,MATCH($B25,Matches!$A$5:$A$12,0))),0)</f>
        <v/>
      </c>
      <c r="S25" s="11">
        <f>IF(OR($Q25="",$J25=""),"",$L25*($Q25*$J25+(1-$Q25)*$K25))</f>
        <v/>
      </c>
      <c r="T25">
        <f>IF($S25="","",IF(LEFT($B25,4)="DOTA",Config!$B$7,Config!$B$6)*$S25+$L25^2*$Q25*(1-$Q25)*($J25-$K25)^2)</f>
        <v/>
      </c>
      <c r="U25" s="6">
        <f>IFERROR(IF(INDEX(Matches!$O$5:$O$12,MATCH($B25,Matches!$A$5:$A$12,0))="","",IF($F25="A",INDEX(Matches!$O$5:$O$12,MATCH($B25,Matches!$A$5:$A$12,0)),1-INDEX(Matches!$O$5:$O$12,MATCH($B25,Matches!$A$5:$A$12,0)))),"")</f>
        <v/>
      </c>
      <c r="V25">
        <f>IFERROR(N(INDEX(Matches!$Q$5:$Q$12,MATCH($B25,Matches!$A$5:$A$12,0))),0)</f>
        <v/>
      </c>
      <c r="W25" s="11">
        <f>IF(OR($U25="",$J25=""),"",$L25*($U25*$J25+(1-$U25)*$K25))</f>
        <v/>
      </c>
      <c r="X25">
        <f>IF($W25="","",IF(LEFT($B25,4)="DOTA",Config!$B$7,Config!$B$6)*$W25+$L25^2*$U25*(1-$U25)*($J25-$K25)^2)</f>
        <v/>
      </c>
      <c r="Y25" s="11">
        <f>IF($O25="","",$O25)</f>
        <v/>
      </c>
      <c r="Z25">
        <f>IF($P25="","",$P25)</f>
        <v/>
      </c>
      <c r="AA25" s="11">
        <f>IF($O25="","",N($N25)*N($O25)+N($R25)*N($S25))</f>
        <v/>
      </c>
      <c r="AB25">
        <f>IF($O25="","",(N($N25)*N($P25)+N($N25)*(1-N($N25))*N($O25)^2)+(N($R25)*N($T25)+N($R25)*(1-N($R25))*N($S25)^2))</f>
        <v/>
      </c>
      <c r="AC25" s="11">
        <f>IF($O25="","",N($N25)*N($O25)+N($R25)*N($S25)+N($V25)*N($W25))</f>
        <v/>
      </c>
      <c r="AD25">
        <f>IF($O25="","",(N($N25)*N($P25)+N($N25)*(1-N($N25))*N($O25)^2)+(N($R25)*N($T25)+N($R25)*(1-N($R25))*N($S25)^2)+(N($V25)*N($X25)+N($V25)*(1-N($V25))*N($W25)^2))</f>
        <v/>
      </c>
      <c r="AE25" s="11">
        <f>IF($I25="","",$I25*$L25)</f>
        <v/>
      </c>
      <c r="AF25" s="11">
        <f>IF($I25="","",$I25*$L25*(1+N($R25)))</f>
        <v/>
      </c>
      <c r="AG25" s="11">
        <f>IF($I25="","",$I25*$L25*(1+N($R25)+N($V25)))</f>
        <v/>
      </c>
      <c r="AH25">
        <f>TRIM(IF($G25&lt;Config!$B$9,"thin sample ("&amp;$G25&amp;" maps) · ","")&amp;IF($I25="","no PickFinder stats · ","")&amp;IFERROR(IF(INDEX(Players!$T$2:$T$66,MATCH($E25,Players!$A$2:$A$66,0))&lt;0.5,"new roster: "&amp;TEXT(INDEX(Players!$T$2:$T$66,MATCH($E25,Players!$A$2:$A$66,0)),"0%")&amp;" of his recent games with these teammates",""),""))</f>
        <v/>
      </c>
      <c r="AI25">
        <f>IF($B25=Board!$B$2,COUNTIFS($B$2:$B$66,Board!$B$2,$Y$2:$Y$66,"&gt;"&amp;$Y25)+COUNTIFS($B$1:$B24,Board!$B$2,$Y$1:$Y24,$Y25)+1,"")</f>
        <v/>
      </c>
      <c r="AJ25">
        <f>IFERROR(IF(INDEX(Matches!$D$5:$D$12,MATCH($B25,Matches!$A$5:$A$12,0))=3,"K12","K13"),"K13")</f>
        <v/>
      </c>
      <c r="AK25" s="11">
        <f>IF($AJ25="K12",$AA25,$AC25)</f>
        <v/>
      </c>
    </row>
    <row r="26">
      <c r="A26" t="inlineStr">
        <is>
          <t>sw7j8rqyn0xsj7y|DOTA · TS vs PARI</t>
        </is>
      </c>
      <c r="B26" t="inlineStr">
        <is>
          <t>DOTA · TS vs PARI</t>
        </is>
      </c>
      <c r="C26" t="inlineStr">
        <is>
          <t>TS</t>
        </is>
      </c>
      <c r="D26" t="inlineStr">
        <is>
          <t>rue</t>
        </is>
      </c>
      <c r="E26" t="inlineStr">
        <is>
          <t>sw7j8rqyn0xsj7y</t>
        </is>
      </c>
      <c r="F26">
        <f>IFERROR(IF($C26=INDEX(Matches!$S$5:$S$12,MATCH($B26,Matches!$A$5:$A$12,0)),"A",IF($C26=INDEX(Matches!$T$5:$T$12,MATCH($B26,Matches!$A$5:$A$12,0)),"B","")),"")</f>
        <v/>
      </c>
      <c r="G26">
        <f>IFERROR(INDEX(Players!$E$2:$E$66,MATCH($E26,Players!$A$2:$A$66,0)),0)</f>
        <v/>
      </c>
      <c r="H26" s="6">
        <f>IFERROR(INDEX(Players!$F$2:$F$66,MATCH($E26,Players!$A$2:$A$66,0)),"")</f>
        <v/>
      </c>
      <c r="I26">
        <f>IFERROR(INDEX(Players!$G$2:$G$66,MATCH($E26,Players!$A$2:$A$66,0)),"")</f>
        <v/>
      </c>
      <c r="J26" s="11">
        <f>IF(OR($I26="",$H26=""),"",$I26*IF(LEFT($B26,4)="DOTA",Config!$B$5,Config!$B$4)/($H26*IF(LEFT($B26,4)="DOTA",Config!$B$5,Config!$B$4)+1-$H26))</f>
        <v/>
      </c>
      <c r="K26" s="11">
        <f>IF(OR($I26="",$H26=""),"",$I26/($H26*IF(LEFT($B26,4)="DOTA",Config!$B$5,Config!$B$4)+1-$H26))</f>
        <v/>
      </c>
      <c r="L26">
        <f>IFERROR(INDEX(Matches!$R$5:$R$12,MATCH($B26,Matches!$A$5:$A$12,0)),1)</f>
        <v/>
      </c>
      <c r="M26" s="6">
        <f>IFERROR(IF(INDEX(Matches!$M$5:$M$12,MATCH($B26,Matches!$A$5:$A$12,0))="","",IF($F26="A",INDEX(Matches!$M$5:$M$12,MATCH($B26,Matches!$A$5:$A$12,0)),1-INDEX(Matches!$M$5:$M$12,MATCH($B26,Matches!$A$5:$A$12,0)))),"")</f>
        <v/>
      </c>
      <c r="N26">
        <f>1</f>
        <v/>
      </c>
      <c r="O26" s="11">
        <f>IF(OR($M26="",$J26=""),"",$L26*($M26*$J26+(1-$M26)*$K26))</f>
        <v/>
      </c>
      <c r="P26">
        <f>IF($O26="","",IF(LEFT($B26,4)="DOTA",Config!$B$7,Config!$B$6)*$O26+$L26^2*$M26*(1-$M26)*($J26-$K26)^2)</f>
        <v/>
      </c>
      <c r="Q26" s="6">
        <f>IFERROR(IF(INDEX(Matches!$N$5:$N$12,MATCH($B26,Matches!$A$5:$A$12,0))="","",IF($F26="A",INDEX(Matches!$N$5:$N$12,MATCH($B26,Matches!$A$5:$A$12,0)),1-INDEX(Matches!$N$5:$N$12,MATCH($B26,Matches!$A$5:$A$12,0)))),"")</f>
        <v/>
      </c>
      <c r="R26">
        <f>IFERROR(N(INDEX(Matches!$P$5:$P$12,MATCH($B26,Matches!$A$5:$A$12,0))),0)</f>
        <v/>
      </c>
      <c r="S26" s="11">
        <f>IF(OR($Q26="",$J26=""),"",$L26*($Q26*$J26+(1-$Q26)*$K26))</f>
        <v/>
      </c>
      <c r="T26">
        <f>IF($S26="","",IF(LEFT($B26,4)="DOTA",Config!$B$7,Config!$B$6)*$S26+$L26^2*$Q26*(1-$Q26)*($J26-$K26)^2)</f>
        <v/>
      </c>
      <c r="U26" s="6">
        <f>IFERROR(IF(INDEX(Matches!$O$5:$O$12,MATCH($B26,Matches!$A$5:$A$12,0))="","",IF($F26="A",INDEX(Matches!$O$5:$O$12,MATCH($B26,Matches!$A$5:$A$12,0)),1-INDEX(Matches!$O$5:$O$12,MATCH($B26,Matches!$A$5:$A$12,0)))),"")</f>
        <v/>
      </c>
      <c r="V26">
        <f>IFERROR(N(INDEX(Matches!$Q$5:$Q$12,MATCH($B26,Matches!$A$5:$A$12,0))),0)</f>
        <v/>
      </c>
      <c r="W26" s="11">
        <f>IF(OR($U26="",$J26=""),"",$L26*($U26*$J26+(1-$U26)*$K26))</f>
        <v/>
      </c>
      <c r="X26">
        <f>IF($W26="","",IF(LEFT($B26,4)="DOTA",Config!$B$7,Config!$B$6)*$W26+$L26^2*$U26*(1-$U26)*($J26-$K26)^2)</f>
        <v/>
      </c>
      <c r="Y26" s="11">
        <f>IF($O26="","",$O26)</f>
        <v/>
      </c>
      <c r="Z26">
        <f>IF($P26="","",$P26)</f>
        <v/>
      </c>
      <c r="AA26" s="11">
        <f>IF($O26="","",N($N26)*N($O26)+N($R26)*N($S26))</f>
        <v/>
      </c>
      <c r="AB26">
        <f>IF($O26="","",(N($N26)*N($P26)+N($N26)*(1-N($N26))*N($O26)^2)+(N($R26)*N($T26)+N($R26)*(1-N($R26))*N($S26)^2))</f>
        <v/>
      </c>
      <c r="AC26" s="11">
        <f>IF($O26="","",N($N26)*N($O26)+N($R26)*N($S26)+N($V26)*N($W26))</f>
        <v/>
      </c>
      <c r="AD26">
        <f>IF($O26="","",(N($N26)*N($P26)+N($N26)*(1-N($N26))*N($O26)^2)+(N($R26)*N($T26)+N($R26)*(1-N($R26))*N($S26)^2)+(N($V26)*N($X26)+N($V26)*(1-N($V26))*N($W26)^2))</f>
        <v/>
      </c>
      <c r="AE26" s="11">
        <f>IF($I26="","",$I26*$L26)</f>
        <v/>
      </c>
      <c r="AF26" s="11">
        <f>IF($I26="","",$I26*$L26*(1+N($R26)))</f>
        <v/>
      </c>
      <c r="AG26" s="11">
        <f>IF($I26="","",$I26*$L26*(1+N($R26)+N($V26)))</f>
        <v/>
      </c>
      <c r="AH26">
        <f>TRIM(IF($G26&lt;Config!$B$9,"thin sample ("&amp;$G26&amp;" maps) · ","")&amp;IF($I26="","no PickFinder stats · ","")&amp;IFERROR(IF(INDEX(Players!$T$2:$T$66,MATCH($E26,Players!$A$2:$A$66,0))&lt;0.5,"new roster: "&amp;TEXT(INDEX(Players!$T$2:$T$66,MATCH($E26,Players!$A$2:$A$66,0)),"0%")&amp;" of his recent games with these teammates",""),""))</f>
        <v/>
      </c>
      <c r="AI26">
        <f>IF($B26=Board!$B$2,COUNTIFS($B$2:$B$66,Board!$B$2,$Y$2:$Y$66,"&gt;"&amp;$Y26)+COUNTIFS($B$1:$B25,Board!$B$2,$Y$1:$Y25,$Y26)+1,"")</f>
        <v/>
      </c>
      <c r="AJ26">
        <f>IFERROR(IF(INDEX(Matches!$D$5:$D$12,MATCH($B26,Matches!$A$5:$A$12,0))=3,"K12","K13"),"K13")</f>
        <v/>
      </c>
      <c r="AK26" s="11">
        <f>IF($AJ26="K12",$AA26,$AC26)</f>
        <v/>
      </c>
    </row>
    <row r="27">
      <c r="A27" t="inlineStr">
        <is>
          <t>7i0n30c69c9zmve|DOTA · TS vs PARI</t>
        </is>
      </c>
      <c r="B27" t="inlineStr">
        <is>
          <t>DOTA · TS vs PARI</t>
        </is>
      </c>
      <c r="C27" t="inlineStr">
        <is>
          <t>TS</t>
        </is>
      </c>
      <c r="D27" t="inlineStr">
        <is>
          <t>Yatoro</t>
        </is>
      </c>
      <c r="E27" t="inlineStr">
        <is>
          <t>7i0n30c69c9zmve</t>
        </is>
      </c>
      <c r="F27">
        <f>IFERROR(IF($C27=INDEX(Matches!$S$5:$S$12,MATCH($B27,Matches!$A$5:$A$12,0)),"A",IF($C27=INDEX(Matches!$T$5:$T$12,MATCH($B27,Matches!$A$5:$A$12,0)),"B","")),"")</f>
        <v/>
      </c>
      <c r="G27">
        <f>IFERROR(INDEX(Players!$E$2:$E$66,MATCH($E27,Players!$A$2:$A$66,0)),0)</f>
        <v/>
      </c>
      <c r="H27" s="6">
        <f>IFERROR(INDEX(Players!$F$2:$F$66,MATCH($E27,Players!$A$2:$A$66,0)),"")</f>
        <v/>
      </c>
      <c r="I27">
        <f>IFERROR(INDEX(Players!$G$2:$G$66,MATCH($E27,Players!$A$2:$A$66,0)),"")</f>
        <v/>
      </c>
      <c r="J27" s="11">
        <f>IF(OR($I27="",$H27=""),"",$I27*IF(LEFT($B27,4)="DOTA",Config!$B$5,Config!$B$4)/($H27*IF(LEFT($B27,4)="DOTA",Config!$B$5,Config!$B$4)+1-$H27))</f>
        <v/>
      </c>
      <c r="K27" s="11">
        <f>IF(OR($I27="",$H27=""),"",$I27/($H27*IF(LEFT($B27,4)="DOTA",Config!$B$5,Config!$B$4)+1-$H27))</f>
        <v/>
      </c>
      <c r="L27">
        <f>IFERROR(INDEX(Matches!$R$5:$R$12,MATCH($B27,Matches!$A$5:$A$12,0)),1)</f>
        <v/>
      </c>
      <c r="M27" s="6">
        <f>IFERROR(IF(INDEX(Matches!$M$5:$M$12,MATCH($B27,Matches!$A$5:$A$12,0))="","",IF($F27="A",INDEX(Matches!$M$5:$M$12,MATCH($B27,Matches!$A$5:$A$12,0)),1-INDEX(Matches!$M$5:$M$12,MATCH($B27,Matches!$A$5:$A$12,0)))),"")</f>
        <v/>
      </c>
      <c r="N27">
        <f>1</f>
        <v/>
      </c>
      <c r="O27" s="11">
        <f>IF(OR($M27="",$J27=""),"",$L27*($M27*$J27+(1-$M27)*$K27))</f>
        <v/>
      </c>
      <c r="P27">
        <f>IF($O27="","",IF(LEFT($B27,4)="DOTA",Config!$B$7,Config!$B$6)*$O27+$L27^2*$M27*(1-$M27)*($J27-$K27)^2)</f>
        <v/>
      </c>
      <c r="Q27" s="6">
        <f>IFERROR(IF(INDEX(Matches!$N$5:$N$12,MATCH($B27,Matches!$A$5:$A$12,0))="","",IF($F27="A",INDEX(Matches!$N$5:$N$12,MATCH($B27,Matches!$A$5:$A$12,0)),1-INDEX(Matches!$N$5:$N$12,MATCH($B27,Matches!$A$5:$A$12,0)))),"")</f>
        <v/>
      </c>
      <c r="R27">
        <f>IFERROR(N(INDEX(Matches!$P$5:$P$12,MATCH($B27,Matches!$A$5:$A$12,0))),0)</f>
        <v/>
      </c>
      <c r="S27" s="11">
        <f>IF(OR($Q27="",$J27=""),"",$L27*($Q27*$J27+(1-$Q27)*$K27))</f>
        <v/>
      </c>
      <c r="T27">
        <f>IF($S27="","",IF(LEFT($B27,4)="DOTA",Config!$B$7,Config!$B$6)*$S27+$L27^2*$Q27*(1-$Q27)*($J27-$K27)^2)</f>
        <v/>
      </c>
      <c r="U27" s="6">
        <f>IFERROR(IF(INDEX(Matches!$O$5:$O$12,MATCH($B27,Matches!$A$5:$A$12,0))="","",IF($F27="A",INDEX(Matches!$O$5:$O$12,MATCH($B27,Matches!$A$5:$A$12,0)),1-INDEX(Matches!$O$5:$O$12,MATCH($B27,Matches!$A$5:$A$12,0)))),"")</f>
        <v/>
      </c>
      <c r="V27">
        <f>IFERROR(N(INDEX(Matches!$Q$5:$Q$12,MATCH($B27,Matches!$A$5:$A$12,0))),0)</f>
        <v/>
      </c>
      <c r="W27" s="11">
        <f>IF(OR($U27="",$J27=""),"",$L27*($U27*$J27+(1-$U27)*$K27))</f>
        <v/>
      </c>
      <c r="X27">
        <f>IF($W27="","",IF(LEFT($B27,4)="DOTA",Config!$B$7,Config!$B$6)*$W27+$L27^2*$U27*(1-$U27)*($J27-$K27)^2)</f>
        <v/>
      </c>
      <c r="Y27" s="11">
        <f>IF($O27="","",$O27)</f>
        <v/>
      </c>
      <c r="Z27">
        <f>IF($P27="","",$P27)</f>
        <v/>
      </c>
      <c r="AA27" s="11">
        <f>IF($O27="","",N($N27)*N($O27)+N($R27)*N($S27))</f>
        <v/>
      </c>
      <c r="AB27">
        <f>IF($O27="","",(N($N27)*N($P27)+N($N27)*(1-N($N27))*N($O27)^2)+(N($R27)*N($T27)+N($R27)*(1-N($R27))*N($S27)^2))</f>
        <v/>
      </c>
      <c r="AC27" s="11">
        <f>IF($O27="","",N($N27)*N($O27)+N($R27)*N($S27)+N($V27)*N($W27))</f>
        <v/>
      </c>
      <c r="AD27">
        <f>IF($O27="","",(N($N27)*N($P27)+N($N27)*(1-N($N27))*N($O27)^2)+(N($R27)*N($T27)+N($R27)*(1-N($R27))*N($S27)^2)+(N($V27)*N($X27)+N($V27)*(1-N($V27))*N($W27)^2))</f>
        <v/>
      </c>
      <c r="AE27" s="11">
        <f>IF($I27="","",$I27*$L27)</f>
        <v/>
      </c>
      <c r="AF27" s="11">
        <f>IF($I27="","",$I27*$L27*(1+N($R27)))</f>
        <v/>
      </c>
      <c r="AG27" s="11">
        <f>IF($I27="","",$I27*$L27*(1+N($R27)+N($V27)))</f>
        <v/>
      </c>
      <c r="AH27">
        <f>TRIM(IF($G27&lt;Config!$B$9,"thin sample ("&amp;$G27&amp;" maps) · ","")&amp;IF($I27="","no PickFinder stats · ","")&amp;IFERROR(IF(INDEX(Players!$T$2:$T$66,MATCH($E27,Players!$A$2:$A$66,0))&lt;0.5,"new roster: "&amp;TEXT(INDEX(Players!$T$2:$T$66,MATCH($E27,Players!$A$2:$A$66,0)),"0%")&amp;" of his recent games with these teammates",""),""))</f>
        <v/>
      </c>
      <c r="AI27">
        <f>IF($B27=Board!$B$2,COUNTIFS($B$2:$B$66,Board!$B$2,$Y$2:$Y$66,"&gt;"&amp;$Y27)+COUNTIFS($B$1:$B26,Board!$B$2,$Y$1:$Y26,$Y27)+1,"")</f>
        <v/>
      </c>
      <c r="AJ27">
        <f>IFERROR(IF(INDEX(Matches!$D$5:$D$12,MATCH($B27,Matches!$A$5:$A$12,0))=3,"K12","K13"),"K13")</f>
        <v/>
      </c>
      <c r="AK27" s="11">
        <f>IF($AJ27="K12",$AA27,$AC27)</f>
        <v/>
      </c>
    </row>
    <row r="28">
      <c r="A28" t="inlineStr">
        <is>
          <t>6fh3v4zhup45apx|DOTA · TY vs Liquid</t>
        </is>
      </c>
      <c r="B28" t="inlineStr">
        <is>
          <t>DOTA · TY vs Liquid</t>
        </is>
      </c>
      <c r="C28" t="inlineStr">
        <is>
          <t>Liquid</t>
        </is>
      </c>
      <c r="D28" t="inlineStr">
        <is>
          <t>Boxi</t>
        </is>
      </c>
      <c r="E28" t="inlineStr">
        <is>
          <t>6fh3v4zhup45apx</t>
        </is>
      </c>
      <c r="F28">
        <f>IFERROR(IF($C28=INDEX(Matches!$S$5:$S$12,MATCH($B28,Matches!$A$5:$A$12,0)),"A",IF($C28=INDEX(Matches!$T$5:$T$12,MATCH($B28,Matches!$A$5:$A$12,0)),"B","")),"")</f>
        <v/>
      </c>
      <c r="G28">
        <f>IFERROR(INDEX(Players!$E$2:$E$66,MATCH($E28,Players!$A$2:$A$66,0)),0)</f>
        <v/>
      </c>
      <c r="H28" s="6">
        <f>IFERROR(INDEX(Players!$F$2:$F$66,MATCH($E28,Players!$A$2:$A$66,0)),"")</f>
        <v/>
      </c>
      <c r="I28">
        <f>IFERROR(INDEX(Players!$G$2:$G$66,MATCH($E28,Players!$A$2:$A$66,0)),"")</f>
        <v/>
      </c>
      <c r="J28" s="11">
        <f>IF(OR($I28="",$H28=""),"",$I28*IF(LEFT($B28,4)="DOTA",Config!$B$5,Config!$B$4)/($H28*IF(LEFT($B28,4)="DOTA",Config!$B$5,Config!$B$4)+1-$H28))</f>
        <v/>
      </c>
      <c r="K28" s="11">
        <f>IF(OR($I28="",$H28=""),"",$I28/($H28*IF(LEFT($B28,4)="DOTA",Config!$B$5,Config!$B$4)+1-$H28))</f>
        <v/>
      </c>
      <c r="L28">
        <f>IFERROR(INDEX(Matches!$R$5:$R$12,MATCH($B28,Matches!$A$5:$A$12,0)),1)</f>
        <v/>
      </c>
      <c r="M28" s="6">
        <f>IFERROR(IF(INDEX(Matches!$M$5:$M$12,MATCH($B28,Matches!$A$5:$A$12,0))="","",IF($F28="A",INDEX(Matches!$M$5:$M$12,MATCH($B28,Matches!$A$5:$A$12,0)),1-INDEX(Matches!$M$5:$M$12,MATCH($B28,Matches!$A$5:$A$12,0)))),"")</f>
        <v/>
      </c>
      <c r="N28">
        <f>1</f>
        <v/>
      </c>
      <c r="O28" s="11">
        <f>IF(OR($M28="",$J28=""),"",$L28*($M28*$J28+(1-$M28)*$K28))</f>
        <v/>
      </c>
      <c r="P28">
        <f>IF($O28="","",IF(LEFT($B28,4)="DOTA",Config!$B$7,Config!$B$6)*$O28+$L28^2*$M28*(1-$M28)*($J28-$K28)^2)</f>
        <v/>
      </c>
      <c r="Q28" s="6">
        <f>IFERROR(IF(INDEX(Matches!$N$5:$N$12,MATCH($B28,Matches!$A$5:$A$12,0))="","",IF($F28="A",INDEX(Matches!$N$5:$N$12,MATCH($B28,Matches!$A$5:$A$12,0)),1-INDEX(Matches!$N$5:$N$12,MATCH($B28,Matches!$A$5:$A$12,0)))),"")</f>
        <v/>
      </c>
      <c r="R28">
        <f>IFERROR(N(INDEX(Matches!$P$5:$P$12,MATCH($B28,Matches!$A$5:$A$12,0))),0)</f>
        <v/>
      </c>
      <c r="S28" s="11">
        <f>IF(OR($Q28="",$J28=""),"",$L28*($Q28*$J28+(1-$Q28)*$K28))</f>
        <v/>
      </c>
      <c r="T28">
        <f>IF($S28="","",IF(LEFT($B28,4)="DOTA",Config!$B$7,Config!$B$6)*$S28+$L28^2*$Q28*(1-$Q28)*($J28-$K28)^2)</f>
        <v/>
      </c>
      <c r="U28" s="6">
        <f>IFERROR(IF(INDEX(Matches!$O$5:$O$12,MATCH($B28,Matches!$A$5:$A$12,0))="","",IF($F28="A",INDEX(Matches!$O$5:$O$12,MATCH($B28,Matches!$A$5:$A$12,0)),1-INDEX(Matches!$O$5:$O$12,MATCH($B28,Matches!$A$5:$A$12,0)))),"")</f>
        <v/>
      </c>
      <c r="V28">
        <f>IFERROR(N(INDEX(Matches!$Q$5:$Q$12,MATCH($B28,Matches!$A$5:$A$12,0))),0)</f>
        <v/>
      </c>
      <c r="W28" s="11">
        <f>IF(OR($U28="",$J28=""),"",$L28*($U28*$J28+(1-$U28)*$K28))</f>
        <v/>
      </c>
      <c r="X28">
        <f>IF($W28="","",IF(LEFT($B28,4)="DOTA",Config!$B$7,Config!$B$6)*$W28+$L28^2*$U28*(1-$U28)*($J28-$K28)^2)</f>
        <v/>
      </c>
      <c r="Y28" s="11">
        <f>IF($O28="","",$O28)</f>
        <v/>
      </c>
      <c r="Z28">
        <f>IF($P28="","",$P28)</f>
        <v/>
      </c>
      <c r="AA28" s="11">
        <f>IF($O28="","",N($N28)*N($O28)+N($R28)*N($S28))</f>
        <v/>
      </c>
      <c r="AB28">
        <f>IF($O28="","",(N($N28)*N($P28)+N($N28)*(1-N($N28))*N($O28)^2)+(N($R28)*N($T28)+N($R28)*(1-N($R28))*N($S28)^2))</f>
        <v/>
      </c>
      <c r="AC28" s="11">
        <f>IF($O28="","",N($N28)*N($O28)+N($R28)*N($S28)+N($V28)*N($W28))</f>
        <v/>
      </c>
      <c r="AD28">
        <f>IF($O28="","",(N($N28)*N($P28)+N($N28)*(1-N($N28))*N($O28)^2)+(N($R28)*N($T28)+N($R28)*(1-N($R28))*N($S28)^2)+(N($V28)*N($X28)+N($V28)*(1-N($V28))*N($W28)^2))</f>
        <v/>
      </c>
      <c r="AE28" s="11">
        <f>IF($I28="","",$I28*$L28)</f>
        <v/>
      </c>
      <c r="AF28" s="11">
        <f>IF($I28="","",$I28*$L28*(1+N($R28)))</f>
        <v/>
      </c>
      <c r="AG28" s="11">
        <f>IF($I28="","",$I28*$L28*(1+N($R28)+N($V28)))</f>
        <v/>
      </c>
      <c r="AH28">
        <f>TRIM(IF($G28&lt;Config!$B$9,"thin sample ("&amp;$G28&amp;" maps) · ","")&amp;IF($I28="","no PickFinder stats · ","")&amp;IFERROR(IF(INDEX(Players!$T$2:$T$66,MATCH($E28,Players!$A$2:$A$66,0))&lt;0.5,"new roster: "&amp;TEXT(INDEX(Players!$T$2:$T$66,MATCH($E28,Players!$A$2:$A$66,0)),"0%")&amp;" of his recent games with these teammates",""),""))</f>
        <v/>
      </c>
      <c r="AI28">
        <f>IF($B28=Board!$B$2,COUNTIFS($B$2:$B$66,Board!$B$2,$Y$2:$Y$66,"&gt;"&amp;$Y28)+COUNTIFS($B$1:$B27,Board!$B$2,$Y$1:$Y27,$Y28)+1,"")</f>
        <v/>
      </c>
      <c r="AJ28">
        <f>IFERROR(IF(INDEX(Matches!$D$5:$D$12,MATCH($B28,Matches!$A$5:$A$12,0))=3,"K12","K13"),"K13")</f>
        <v/>
      </c>
      <c r="AK28" s="11">
        <f>IF($AJ28="K12",$AA28,$AC28)</f>
        <v/>
      </c>
    </row>
    <row r="29">
      <c r="A29" t="inlineStr">
        <is>
          <t>okwa876y1o8h4ow|DOTA · TY vs Liquid</t>
        </is>
      </c>
      <c r="B29" t="inlineStr">
        <is>
          <t>DOTA · TY vs Liquid</t>
        </is>
      </c>
      <c r="C29" t="inlineStr">
        <is>
          <t>Liquid</t>
        </is>
      </c>
      <c r="D29" t="inlineStr">
        <is>
          <t>Malr1ne</t>
        </is>
      </c>
      <c r="E29" t="inlineStr">
        <is>
          <t>okwa876y1o8h4ow</t>
        </is>
      </c>
      <c r="F29">
        <f>IFERROR(IF($C29=INDEX(Matches!$S$5:$S$12,MATCH($B29,Matches!$A$5:$A$12,0)),"A",IF($C29=INDEX(Matches!$T$5:$T$12,MATCH($B29,Matches!$A$5:$A$12,0)),"B","")),"")</f>
        <v/>
      </c>
      <c r="G29">
        <f>IFERROR(INDEX(Players!$E$2:$E$66,MATCH($E29,Players!$A$2:$A$66,0)),0)</f>
        <v/>
      </c>
      <c r="H29" s="6">
        <f>IFERROR(INDEX(Players!$F$2:$F$66,MATCH($E29,Players!$A$2:$A$66,0)),"")</f>
        <v/>
      </c>
      <c r="I29">
        <f>IFERROR(INDEX(Players!$G$2:$G$66,MATCH($E29,Players!$A$2:$A$66,0)),"")</f>
        <v/>
      </c>
      <c r="J29" s="11">
        <f>IF(OR($I29="",$H29=""),"",$I29*IF(LEFT($B29,4)="DOTA",Config!$B$5,Config!$B$4)/($H29*IF(LEFT($B29,4)="DOTA",Config!$B$5,Config!$B$4)+1-$H29))</f>
        <v/>
      </c>
      <c r="K29" s="11">
        <f>IF(OR($I29="",$H29=""),"",$I29/($H29*IF(LEFT($B29,4)="DOTA",Config!$B$5,Config!$B$4)+1-$H29))</f>
        <v/>
      </c>
      <c r="L29">
        <f>IFERROR(INDEX(Matches!$R$5:$R$12,MATCH($B29,Matches!$A$5:$A$12,0)),1)</f>
        <v/>
      </c>
      <c r="M29" s="6">
        <f>IFERROR(IF(INDEX(Matches!$M$5:$M$12,MATCH($B29,Matches!$A$5:$A$12,0))="","",IF($F29="A",INDEX(Matches!$M$5:$M$12,MATCH($B29,Matches!$A$5:$A$12,0)),1-INDEX(Matches!$M$5:$M$12,MATCH($B29,Matches!$A$5:$A$12,0)))),"")</f>
        <v/>
      </c>
      <c r="N29">
        <f>1</f>
        <v/>
      </c>
      <c r="O29" s="11">
        <f>IF(OR($M29="",$J29=""),"",$L29*($M29*$J29+(1-$M29)*$K29))</f>
        <v/>
      </c>
      <c r="P29">
        <f>IF($O29="","",IF(LEFT($B29,4)="DOTA",Config!$B$7,Config!$B$6)*$O29+$L29^2*$M29*(1-$M29)*($J29-$K29)^2)</f>
        <v/>
      </c>
      <c r="Q29" s="6">
        <f>IFERROR(IF(INDEX(Matches!$N$5:$N$12,MATCH($B29,Matches!$A$5:$A$12,0))="","",IF($F29="A",INDEX(Matches!$N$5:$N$12,MATCH($B29,Matches!$A$5:$A$12,0)),1-INDEX(Matches!$N$5:$N$12,MATCH($B29,Matches!$A$5:$A$12,0)))),"")</f>
        <v/>
      </c>
      <c r="R29">
        <f>IFERROR(N(INDEX(Matches!$P$5:$P$12,MATCH($B29,Matches!$A$5:$A$12,0))),0)</f>
        <v/>
      </c>
      <c r="S29" s="11">
        <f>IF(OR($Q29="",$J29=""),"",$L29*($Q29*$J29+(1-$Q29)*$K29))</f>
        <v/>
      </c>
      <c r="T29">
        <f>IF($S29="","",IF(LEFT($B29,4)="DOTA",Config!$B$7,Config!$B$6)*$S29+$L29^2*$Q29*(1-$Q29)*($J29-$K29)^2)</f>
        <v/>
      </c>
      <c r="U29" s="6">
        <f>IFERROR(IF(INDEX(Matches!$O$5:$O$12,MATCH($B29,Matches!$A$5:$A$12,0))="","",IF($F29="A",INDEX(Matches!$O$5:$O$12,MATCH($B29,Matches!$A$5:$A$12,0)),1-INDEX(Matches!$O$5:$O$12,MATCH($B29,Matches!$A$5:$A$12,0)))),"")</f>
        <v/>
      </c>
      <c r="V29">
        <f>IFERROR(N(INDEX(Matches!$Q$5:$Q$12,MATCH($B29,Matches!$A$5:$A$12,0))),0)</f>
        <v/>
      </c>
      <c r="W29" s="11">
        <f>IF(OR($U29="",$J29=""),"",$L29*($U29*$J29+(1-$U29)*$K29))</f>
        <v/>
      </c>
      <c r="X29">
        <f>IF($W29="","",IF(LEFT($B29,4)="DOTA",Config!$B$7,Config!$B$6)*$W29+$L29^2*$U29*(1-$U29)*($J29-$K29)^2)</f>
        <v/>
      </c>
      <c r="Y29" s="11">
        <f>IF($O29="","",$O29)</f>
        <v/>
      </c>
      <c r="Z29">
        <f>IF($P29="","",$P29)</f>
        <v/>
      </c>
      <c r="AA29" s="11">
        <f>IF($O29="","",N($N29)*N($O29)+N($R29)*N($S29))</f>
        <v/>
      </c>
      <c r="AB29">
        <f>IF($O29="","",(N($N29)*N($P29)+N($N29)*(1-N($N29))*N($O29)^2)+(N($R29)*N($T29)+N($R29)*(1-N($R29))*N($S29)^2))</f>
        <v/>
      </c>
      <c r="AC29" s="11">
        <f>IF($O29="","",N($N29)*N($O29)+N($R29)*N($S29)+N($V29)*N($W29))</f>
        <v/>
      </c>
      <c r="AD29">
        <f>IF($O29="","",(N($N29)*N($P29)+N($N29)*(1-N($N29))*N($O29)^2)+(N($R29)*N($T29)+N($R29)*(1-N($R29))*N($S29)^2)+(N($V29)*N($X29)+N($V29)*(1-N($V29))*N($W29)^2))</f>
        <v/>
      </c>
      <c r="AE29" s="11">
        <f>IF($I29="","",$I29*$L29)</f>
        <v/>
      </c>
      <c r="AF29" s="11">
        <f>IF($I29="","",$I29*$L29*(1+N($R29)))</f>
        <v/>
      </c>
      <c r="AG29" s="11">
        <f>IF($I29="","",$I29*$L29*(1+N($R29)+N($V29)))</f>
        <v/>
      </c>
      <c r="AH29">
        <f>TRIM(IF($G29&lt;Config!$B$9,"thin sample ("&amp;$G29&amp;" maps) · ","")&amp;IF($I29="","no PickFinder stats · ","")&amp;IFERROR(IF(INDEX(Players!$T$2:$T$66,MATCH($E29,Players!$A$2:$A$66,0))&lt;0.5,"new roster: "&amp;TEXT(INDEX(Players!$T$2:$T$66,MATCH($E29,Players!$A$2:$A$66,0)),"0%")&amp;" of his recent games with these teammates",""),""))</f>
        <v/>
      </c>
      <c r="AI29">
        <f>IF($B29=Board!$B$2,COUNTIFS($B$2:$B$66,Board!$B$2,$Y$2:$Y$66,"&gt;"&amp;$Y29)+COUNTIFS($B$1:$B28,Board!$B$2,$Y$1:$Y28,$Y29)+1,"")</f>
        <v/>
      </c>
      <c r="AJ29">
        <f>IFERROR(IF(INDEX(Matches!$D$5:$D$12,MATCH($B29,Matches!$A$5:$A$12,0))=3,"K12","K13"),"K13")</f>
        <v/>
      </c>
      <c r="AK29" s="11">
        <f>IF($AJ29="K12",$AA29,$AC29)</f>
        <v/>
      </c>
    </row>
    <row r="30">
      <c r="A30" t="inlineStr">
        <is>
          <t>m59p9wlox0y2f5p|DOTA · TY vs Liquid</t>
        </is>
      </c>
      <c r="B30" t="inlineStr">
        <is>
          <t>DOTA · TY vs Liquid</t>
        </is>
      </c>
      <c r="C30" t="inlineStr">
        <is>
          <t>Liquid</t>
        </is>
      </c>
      <c r="D30" t="inlineStr">
        <is>
          <t>miCKe</t>
        </is>
      </c>
      <c r="E30" t="inlineStr">
        <is>
          <t>m59p9wlox0y2f5p</t>
        </is>
      </c>
      <c r="F30">
        <f>IFERROR(IF($C30=INDEX(Matches!$S$5:$S$12,MATCH($B30,Matches!$A$5:$A$12,0)),"A",IF($C30=INDEX(Matches!$T$5:$T$12,MATCH($B30,Matches!$A$5:$A$12,0)),"B","")),"")</f>
        <v/>
      </c>
      <c r="G30">
        <f>IFERROR(INDEX(Players!$E$2:$E$66,MATCH($E30,Players!$A$2:$A$66,0)),0)</f>
        <v/>
      </c>
      <c r="H30" s="6">
        <f>IFERROR(INDEX(Players!$F$2:$F$66,MATCH($E30,Players!$A$2:$A$66,0)),"")</f>
        <v/>
      </c>
      <c r="I30">
        <f>IFERROR(INDEX(Players!$G$2:$G$66,MATCH($E30,Players!$A$2:$A$66,0)),"")</f>
        <v/>
      </c>
      <c r="J30" s="11">
        <f>IF(OR($I30="",$H30=""),"",$I30*IF(LEFT($B30,4)="DOTA",Config!$B$5,Config!$B$4)/($H30*IF(LEFT($B30,4)="DOTA",Config!$B$5,Config!$B$4)+1-$H30))</f>
        <v/>
      </c>
      <c r="K30" s="11">
        <f>IF(OR($I30="",$H30=""),"",$I30/($H30*IF(LEFT($B30,4)="DOTA",Config!$B$5,Config!$B$4)+1-$H30))</f>
        <v/>
      </c>
      <c r="L30">
        <f>IFERROR(INDEX(Matches!$R$5:$R$12,MATCH($B30,Matches!$A$5:$A$12,0)),1)</f>
        <v/>
      </c>
      <c r="M30" s="6">
        <f>IFERROR(IF(INDEX(Matches!$M$5:$M$12,MATCH($B30,Matches!$A$5:$A$12,0))="","",IF($F30="A",INDEX(Matches!$M$5:$M$12,MATCH($B30,Matches!$A$5:$A$12,0)),1-INDEX(Matches!$M$5:$M$12,MATCH($B30,Matches!$A$5:$A$12,0)))),"")</f>
        <v/>
      </c>
      <c r="N30">
        <f>1</f>
        <v/>
      </c>
      <c r="O30" s="11">
        <f>IF(OR($M30="",$J30=""),"",$L30*($M30*$J30+(1-$M30)*$K30))</f>
        <v/>
      </c>
      <c r="P30">
        <f>IF($O30="","",IF(LEFT($B30,4)="DOTA",Config!$B$7,Config!$B$6)*$O30+$L30^2*$M30*(1-$M30)*($J30-$K30)^2)</f>
        <v/>
      </c>
      <c r="Q30" s="6">
        <f>IFERROR(IF(INDEX(Matches!$N$5:$N$12,MATCH($B30,Matches!$A$5:$A$12,0))="","",IF($F30="A",INDEX(Matches!$N$5:$N$12,MATCH($B30,Matches!$A$5:$A$12,0)),1-INDEX(Matches!$N$5:$N$12,MATCH($B30,Matches!$A$5:$A$12,0)))),"")</f>
        <v/>
      </c>
      <c r="R30">
        <f>IFERROR(N(INDEX(Matches!$P$5:$P$12,MATCH($B30,Matches!$A$5:$A$12,0))),0)</f>
        <v/>
      </c>
      <c r="S30" s="11">
        <f>IF(OR($Q30="",$J30=""),"",$L30*($Q30*$J30+(1-$Q30)*$K30))</f>
        <v/>
      </c>
      <c r="T30">
        <f>IF($S30="","",IF(LEFT($B30,4)="DOTA",Config!$B$7,Config!$B$6)*$S30+$L30^2*$Q30*(1-$Q30)*($J30-$K30)^2)</f>
        <v/>
      </c>
      <c r="U30" s="6">
        <f>IFERROR(IF(INDEX(Matches!$O$5:$O$12,MATCH($B30,Matches!$A$5:$A$12,0))="","",IF($F30="A",INDEX(Matches!$O$5:$O$12,MATCH($B30,Matches!$A$5:$A$12,0)),1-INDEX(Matches!$O$5:$O$12,MATCH($B30,Matches!$A$5:$A$12,0)))),"")</f>
        <v/>
      </c>
      <c r="V30">
        <f>IFERROR(N(INDEX(Matches!$Q$5:$Q$12,MATCH($B30,Matches!$A$5:$A$12,0))),0)</f>
        <v/>
      </c>
      <c r="W30" s="11">
        <f>IF(OR($U30="",$J30=""),"",$L30*($U30*$J30+(1-$U30)*$K30))</f>
        <v/>
      </c>
      <c r="X30">
        <f>IF($W30="","",IF(LEFT($B30,4)="DOTA",Config!$B$7,Config!$B$6)*$W30+$L30^2*$U30*(1-$U30)*($J30-$K30)^2)</f>
        <v/>
      </c>
      <c r="Y30" s="11">
        <f>IF($O30="","",$O30)</f>
        <v/>
      </c>
      <c r="Z30">
        <f>IF($P30="","",$P30)</f>
        <v/>
      </c>
      <c r="AA30" s="11">
        <f>IF($O30="","",N($N30)*N($O30)+N($R30)*N($S30))</f>
        <v/>
      </c>
      <c r="AB30">
        <f>IF($O30="","",(N($N30)*N($P30)+N($N30)*(1-N($N30))*N($O30)^2)+(N($R30)*N($T30)+N($R30)*(1-N($R30))*N($S30)^2))</f>
        <v/>
      </c>
      <c r="AC30" s="11">
        <f>IF($O30="","",N($N30)*N($O30)+N($R30)*N($S30)+N($V30)*N($W30))</f>
        <v/>
      </c>
      <c r="AD30">
        <f>IF($O30="","",(N($N30)*N($P30)+N($N30)*(1-N($N30))*N($O30)^2)+(N($R30)*N($T30)+N($R30)*(1-N($R30))*N($S30)^2)+(N($V30)*N($X30)+N($V30)*(1-N($V30))*N($W30)^2))</f>
        <v/>
      </c>
      <c r="AE30" s="11">
        <f>IF($I30="","",$I30*$L30)</f>
        <v/>
      </c>
      <c r="AF30" s="11">
        <f>IF($I30="","",$I30*$L30*(1+N($R30)))</f>
        <v/>
      </c>
      <c r="AG30" s="11">
        <f>IF($I30="","",$I30*$L30*(1+N($R30)+N($V30)))</f>
        <v/>
      </c>
      <c r="AH30">
        <f>TRIM(IF($G30&lt;Config!$B$9,"thin sample ("&amp;$G30&amp;" maps) · ","")&amp;IF($I30="","no PickFinder stats · ","")&amp;IFERROR(IF(INDEX(Players!$T$2:$T$66,MATCH($E30,Players!$A$2:$A$66,0))&lt;0.5,"new roster: "&amp;TEXT(INDEX(Players!$T$2:$T$66,MATCH($E30,Players!$A$2:$A$66,0)),"0%")&amp;" of his recent games with these teammates",""),""))</f>
        <v/>
      </c>
      <c r="AI30">
        <f>IF($B30=Board!$B$2,COUNTIFS($B$2:$B$66,Board!$B$2,$Y$2:$Y$66,"&gt;"&amp;$Y30)+COUNTIFS($B$1:$B29,Board!$B$2,$Y$1:$Y29,$Y30)+1,"")</f>
        <v/>
      </c>
      <c r="AJ30">
        <f>IFERROR(IF(INDEX(Matches!$D$5:$D$12,MATCH($B30,Matches!$A$5:$A$12,0))=3,"K12","K13"),"K13")</f>
        <v/>
      </c>
      <c r="AK30" s="11">
        <f>IF($AJ30="K12",$AA30,$AC30)</f>
        <v/>
      </c>
    </row>
    <row r="31">
      <c r="A31" t="inlineStr">
        <is>
          <t>27h10ey3h2ra0ol|DOTA · TY vs Liquid</t>
        </is>
      </c>
      <c r="B31" t="inlineStr">
        <is>
          <t>DOTA · TY vs Liquid</t>
        </is>
      </c>
      <c r="C31" t="inlineStr">
        <is>
          <t>Liquid</t>
        </is>
      </c>
      <c r="D31" t="inlineStr">
        <is>
          <t>tOfu</t>
        </is>
      </c>
      <c r="E31" t="inlineStr">
        <is>
          <t>27h10ey3h2ra0ol</t>
        </is>
      </c>
      <c r="F31">
        <f>IFERROR(IF($C31=INDEX(Matches!$S$5:$S$12,MATCH($B31,Matches!$A$5:$A$12,0)),"A",IF($C31=INDEX(Matches!$T$5:$T$12,MATCH($B31,Matches!$A$5:$A$12,0)),"B","")),"")</f>
        <v/>
      </c>
      <c r="G31">
        <f>IFERROR(INDEX(Players!$E$2:$E$66,MATCH($E31,Players!$A$2:$A$66,0)),0)</f>
        <v/>
      </c>
      <c r="H31" s="6">
        <f>IFERROR(INDEX(Players!$F$2:$F$66,MATCH($E31,Players!$A$2:$A$66,0)),"")</f>
        <v/>
      </c>
      <c r="I31">
        <f>IFERROR(INDEX(Players!$G$2:$G$66,MATCH($E31,Players!$A$2:$A$66,0)),"")</f>
        <v/>
      </c>
      <c r="J31" s="11">
        <f>IF(OR($I31="",$H31=""),"",$I31*IF(LEFT($B31,4)="DOTA",Config!$B$5,Config!$B$4)/($H31*IF(LEFT($B31,4)="DOTA",Config!$B$5,Config!$B$4)+1-$H31))</f>
        <v/>
      </c>
      <c r="K31" s="11">
        <f>IF(OR($I31="",$H31=""),"",$I31/($H31*IF(LEFT($B31,4)="DOTA",Config!$B$5,Config!$B$4)+1-$H31))</f>
        <v/>
      </c>
      <c r="L31">
        <f>IFERROR(INDEX(Matches!$R$5:$R$12,MATCH($B31,Matches!$A$5:$A$12,0)),1)</f>
        <v/>
      </c>
      <c r="M31" s="6">
        <f>IFERROR(IF(INDEX(Matches!$M$5:$M$12,MATCH($B31,Matches!$A$5:$A$12,0))="","",IF($F31="A",INDEX(Matches!$M$5:$M$12,MATCH($B31,Matches!$A$5:$A$12,0)),1-INDEX(Matches!$M$5:$M$12,MATCH($B31,Matches!$A$5:$A$12,0)))),"")</f>
        <v/>
      </c>
      <c r="N31">
        <f>1</f>
        <v/>
      </c>
      <c r="O31" s="11">
        <f>IF(OR($M31="",$J31=""),"",$L31*($M31*$J31+(1-$M31)*$K31))</f>
        <v/>
      </c>
      <c r="P31">
        <f>IF($O31="","",IF(LEFT($B31,4)="DOTA",Config!$B$7,Config!$B$6)*$O31+$L31^2*$M31*(1-$M31)*($J31-$K31)^2)</f>
        <v/>
      </c>
      <c r="Q31" s="6">
        <f>IFERROR(IF(INDEX(Matches!$N$5:$N$12,MATCH($B31,Matches!$A$5:$A$12,0))="","",IF($F31="A",INDEX(Matches!$N$5:$N$12,MATCH($B31,Matches!$A$5:$A$12,0)),1-INDEX(Matches!$N$5:$N$12,MATCH($B31,Matches!$A$5:$A$12,0)))),"")</f>
        <v/>
      </c>
      <c r="R31">
        <f>IFERROR(N(INDEX(Matches!$P$5:$P$12,MATCH($B31,Matches!$A$5:$A$12,0))),0)</f>
        <v/>
      </c>
      <c r="S31" s="11">
        <f>IF(OR($Q31="",$J31=""),"",$L31*($Q31*$J31+(1-$Q31)*$K31))</f>
        <v/>
      </c>
      <c r="T31">
        <f>IF($S31="","",IF(LEFT($B31,4)="DOTA",Config!$B$7,Config!$B$6)*$S31+$L31^2*$Q31*(1-$Q31)*($J31-$K31)^2)</f>
        <v/>
      </c>
      <c r="U31" s="6">
        <f>IFERROR(IF(INDEX(Matches!$O$5:$O$12,MATCH($B31,Matches!$A$5:$A$12,0))="","",IF($F31="A",INDEX(Matches!$O$5:$O$12,MATCH($B31,Matches!$A$5:$A$12,0)),1-INDEX(Matches!$O$5:$O$12,MATCH($B31,Matches!$A$5:$A$12,0)))),"")</f>
        <v/>
      </c>
      <c r="V31">
        <f>IFERROR(N(INDEX(Matches!$Q$5:$Q$12,MATCH($B31,Matches!$A$5:$A$12,0))),0)</f>
        <v/>
      </c>
      <c r="W31" s="11">
        <f>IF(OR($U31="",$J31=""),"",$L31*($U31*$J31+(1-$U31)*$K31))</f>
        <v/>
      </c>
      <c r="X31">
        <f>IF($W31="","",IF(LEFT($B31,4)="DOTA",Config!$B$7,Config!$B$6)*$W31+$L31^2*$U31*(1-$U31)*($J31-$K31)^2)</f>
        <v/>
      </c>
      <c r="Y31" s="11">
        <f>IF($O31="","",$O31)</f>
        <v/>
      </c>
      <c r="Z31">
        <f>IF($P31="","",$P31)</f>
        <v/>
      </c>
      <c r="AA31" s="11">
        <f>IF($O31="","",N($N31)*N($O31)+N($R31)*N($S31))</f>
        <v/>
      </c>
      <c r="AB31">
        <f>IF($O31="","",(N($N31)*N($P31)+N($N31)*(1-N($N31))*N($O31)^2)+(N($R31)*N($T31)+N($R31)*(1-N($R31))*N($S31)^2))</f>
        <v/>
      </c>
      <c r="AC31" s="11">
        <f>IF($O31="","",N($N31)*N($O31)+N($R31)*N($S31)+N($V31)*N($W31))</f>
        <v/>
      </c>
      <c r="AD31">
        <f>IF($O31="","",(N($N31)*N($P31)+N($N31)*(1-N($N31))*N($O31)^2)+(N($R31)*N($T31)+N($R31)*(1-N($R31))*N($S31)^2)+(N($V31)*N($X31)+N($V31)*(1-N($V31))*N($W31)^2))</f>
        <v/>
      </c>
      <c r="AE31" s="11">
        <f>IF($I31="","",$I31*$L31)</f>
        <v/>
      </c>
      <c r="AF31" s="11">
        <f>IF($I31="","",$I31*$L31*(1+N($R31)))</f>
        <v/>
      </c>
      <c r="AG31" s="11">
        <f>IF($I31="","",$I31*$L31*(1+N($R31)+N($V31)))</f>
        <v/>
      </c>
      <c r="AH31">
        <f>TRIM(IF($G31&lt;Config!$B$9,"thin sample ("&amp;$G31&amp;" maps) · ","")&amp;IF($I31="","no PickFinder stats · ","")&amp;IFERROR(IF(INDEX(Players!$T$2:$T$66,MATCH($E31,Players!$A$2:$A$66,0))&lt;0.5,"new roster: "&amp;TEXT(INDEX(Players!$T$2:$T$66,MATCH($E31,Players!$A$2:$A$66,0)),"0%")&amp;" of his recent games with these teammates",""),""))</f>
        <v/>
      </c>
      <c r="AI31">
        <f>IF($B31=Board!$B$2,COUNTIFS($B$2:$B$66,Board!$B$2,$Y$2:$Y$66,"&gt;"&amp;$Y31)+COUNTIFS($B$1:$B30,Board!$B$2,$Y$1:$Y30,$Y31)+1,"")</f>
        <v/>
      </c>
      <c r="AJ31">
        <f>IFERROR(IF(INDEX(Matches!$D$5:$D$12,MATCH($B31,Matches!$A$5:$A$12,0))=3,"K12","K13"),"K13")</f>
        <v/>
      </c>
      <c r="AK31" s="11">
        <f>IF($AJ31="K12",$AA31,$AC31)</f>
        <v/>
      </c>
    </row>
    <row r="32">
      <c r="A32" t="inlineStr">
        <is>
          <t>yfzz8fis0ra5e8p|DOTA · TY vs Liquid</t>
        </is>
      </c>
      <c r="B32" t="inlineStr">
        <is>
          <t>DOTA · TY vs Liquid</t>
        </is>
      </c>
      <c r="C32" t="inlineStr">
        <is>
          <t>Liquid</t>
        </is>
      </c>
      <c r="D32" t="inlineStr">
        <is>
          <t>Wisper</t>
        </is>
      </c>
      <c r="E32" t="inlineStr">
        <is>
          <t>yfzz8fis0ra5e8p</t>
        </is>
      </c>
      <c r="F32">
        <f>IFERROR(IF($C32=INDEX(Matches!$S$5:$S$12,MATCH($B32,Matches!$A$5:$A$12,0)),"A",IF($C32=INDEX(Matches!$T$5:$T$12,MATCH($B32,Matches!$A$5:$A$12,0)),"B","")),"")</f>
        <v/>
      </c>
      <c r="G32">
        <f>IFERROR(INDEX(Players!$E$2:$E$66,MATCH($E32,Players!$A$2:$A$66,0)),0)</f>
        <v/>
      </c>
      <c r="H32" s="6">
        <f>IFERROR(INDEX(Players!$F$2:$F$66,MATCH($E32,Players!$A$2:$A$66,0)),"")</f>
        <v/>
      </c>
      <c r="I32">
        <f>IFERROR(INDEX(Players!$G$2:$G$66,MATCH($E32,Players!$A$2:$A$66,0)),"")</f>
        <v/>
      </c>
      <c r="J32" s="11">
        <f>IF(OR($I32="",$H32=""),"",$I32*IF(LEFT($B32,4)="DOTA",Config!$B$5,Config!$B$4)/($H32*IF(LEFT($B32,4)="DOTA",Config!$B$5,Config!$B$4)+1-$H32))</f>
        <v/>
      </c>
      <c r="K32" s="11">
        <f>IF(OR($I32="",$H32=""),"",$I32/($H32*IF(LEFT($B32,4)="DOTA",Config!$B$5,Config!$B$4)+1-$H32))</f>
        <v/>
      </c>
      <c r="L32">
        <f>IFERROR(INDEX(Matches!$R$5:$R$12,MATCH($B32,Matches!$A$5:$A$12,0)),1)</f>
        <v/>
      </c>
      <c r="M32" s="6">
        <f>IFERROR(IF(INDEX(Matches!$M$5:$M$12,MATCH($B32,Matches!$A$5:$A$12,0))="","",IF($F32="A",INDEX(Matches!$M$5:$M$12,MATCH($B32,Matches!$A$5:$A$12,0)),1-INDEX(Matches!$M$5:$M$12,MATCH($B32,Matches!$A$5:$A$12,0)))),"")</f>
        <v/>
      </c>
      <c r="N32">
        <f>1</f>
        <v/>
      </c>
      <c r="O32" s="11">
        <f>IF(OR($M32="",$J32=""),"",$L32*($M32*$J32+(1-$M32)*$K32))</f>
        <v/>
      </c>
      <c r="P32">
        <f>IF($O32="","",IF(LEFT($B32,4)="DOTA",Config!$B$7,Config!$B$6)*$O32+$L32^2*$M32*(1-$M32)*($J32-$K32)^2)</f>
        <v/>
      </c>
      <c r="Q32" s="6">
        <f>IFERROR(IF(INDEX(Matches!$N$5:$N$12,MATCH($B32,Matches!$A$5:$A$12,0))="","",IF($F32="A",INDEX(Matches!$N$5:$N$12,MATCH($B32,Matches!$A$5:$A$12,0)),1-INDEX(Matches!$N$5:$N$12,MATCH($B32,Matches!$A$5:$A$12,0)))),"")</f>
        <v/>
      </c>
      <c r="R32">
        <f>IFERROR(N(INDEX(Matches!$P$5:$P$12,MATCH($B32,Matches!$A$5:$A$12,0))),0)</f>
        <v/>
      </c>
      <c r="S32" s="11">
        <f>IF(OR($Q32="",$J32=""),"",$L32*($Q32*$J32+(1-$Q32)*$K32))</f>
        <v/>
      </c>
      <c r="T32">
        <f>IF($S32="","",IF(LEFT($B32,4)="DOTA",Config!$B$7,Config!$B$6)*$S32+$L32^2*$Q32*(1-$Q32)*($J32-$K32)^2)</f>
        <v/>
      </c>
      <c r="U32" s="6">
        <f>IFERROR(IF(INDEX(Matches!$O$5:$O$12,MATCH($B32,Matches!$A$5:$A$12,0))="","",IF($F32="A",INDEX(Matches!$O$5:$O$12,MATCH($B32,Matches!$A$5:$A$12,0)),1-INDEX(Matches!$O$5:$O$12,MATCH($B32,Matches!$A$5:$A$12,0)))),"")</f>
        <v/>
      </c>
      <c r="V32">
        <f>IFERROR(N(INDEX(Matches!$Q$5:$Q$12,MATCH($B32,Matches!$A$5:$A$12,0))),0)</f>
        <v/>
      </c>
      <c r="W32" s="11">
        <f>IF(OR($U32="",$J32=""),"",$L32*($U32*$J32+(1-$U32)*$K32))</f>
        <v/>
      </c>
      <c r="X32">
        <f>IF($W32="","",IF(LEFT($B32,4)="DOTA",Config!$B$7,Config!$B$6)*$W32+$L32^2*$U32*(1-$U32)*($J32-$K32)^2)</f>
        <v/>
      </c>
      <c r="Y32" s="11">
        <f>IF($O32="","",$O32)</f>
        <v/>
      </c>
      <c r="Z32">
        <f>IF($P32="","",$P32)</f>
        <v/>
      </c>
      <c r="AA32" s="11">
        <f>IF($O32="","",N($N32)*N($O32)+N($R32)*N($S32))</f>
        <v/>
      </c>
      <c r="AB32">
        <f>IF($O32="","",(N($N32)*N($P32)+N($N32)*(1-N($N32))*N($O32)^2)+(N($R32)*N($T32)+N($R32)*(1-N($R32))*N($S32)^2))</f>
        <v/>
      </c>
      <c r="AC32" s="11">
        <f>IF($O32="","",N($N32)*N($O32)+N($R32)*N($S32)+N($V32)*N($W32))</f>
        <v/>
      </c>
      <c r="AD32">
        <f>IF($O32="","",(N($N32)*N($P32)+N($N32)*(1-N($N32))*N($O32)^2)+(N($R32)*N($T32)+N($R32)*(1-N($R32))*N($S32)^2)+(N($V32)*N($X32)+N($V32)*(1-N($V32))*N($W32)^2))</f>
        <v/>
      </c>
      <c r="AE32" s="11">
        <f>IF($I32="","",$I32*$L32)</f>
        <v/>
      </c>
      <c r="AF32" s="11">
        <f>IF($I32="","",$I32*$L32*(1+N($R32)))</f>
        <v/>
      </c>
      <c r="AG32" s="11">
        <f>IF($I32="","",$I32*$L32*(1+N($R32)+N($V32)))</f>
        <v/>
      </c>
      <c r="AH32">
        <f>TRIM(IF($G32&lt;Config!$B$9,"thin sample ("&amp;$G32&amp;" maps) · ","")&amp;IF($I32="","no PickFinder stats · ","")&amp;IFERROR(IF(INDEX(Players!$T$2:$T$66,MATCH($E32,Players!$A$2:$A$66,0))&lt;0.5,"new roster: "&amp;TEXT(INDEX(Players!$T$2:$T$66,MATCH($E32,Players!$A$2:$A$66,0)),"0%")&amp;" of his recent games with these teammates",""),""))</f>
        <v/>
      </c>
      <c r="AI32">
        <f>IF($B32=Board!$B$2,COUNTIFS($B$2:$B$66,Board!$B$2,$Y$2:$Y$66,"&gt;"&amp;$Y32)+COUNTIFS($B$1:$B31,Board!$B$2,$Y$1:$Y31,$Y32)+1,"")</f>
        <v/>
      </c>
      <c r="AJ32">
        <f>IFERROR(IF(INDEX(Matches!$D$5:$D$12,MATCH($B32,Matches!$A$5:$A$12,0))=3,"K12","K13"),"K13")</f>
        <v/>
      </c>
      <c r="AK32" s="11">
        <f>IF($AJ32="K12",$AA32,$AC32)</f>
        <v/>
      </c>
    </row>
    <row r="33">
      <c r="A33" t="inlineStr">
        <is>
          <t>gjtmq8fbk0gya2i|DOTA · TY vs Liquid</t>
        </is>
      </c>
      <c r="B33" t="inlineStr">
        <is>
          <t>DOTA · TY vs Liquid</t>
        </is>
      </c>
      <c r="C33" t="inlineStr">
        <is>
          <t>TY</t>
        </is>
      </c>
      <c r="D33" t="inlineStr">
        <is>
          <t>ATF</t>
        </is>
      </c>
      <c r="E33" t="inlineStr">
        <is>
          <t>gjtmq8fbk0gya2i</t>
        </is>
      </c>
      <c r="F33">
        <f>IFERROR(IF($C33=INDEX(Matches!$S$5:$S$12,MATCH($B33,Matches!$A$5:$A$12,0)),"A",IF($C33=INDEX(Matches!$T$5:$T$12,MATCH($B33,Matches!$A$5:$A$12,0)),"B","")),"")</f>
        <v/>
      </c>
      <c r="G33">
        <f>IFERROR(INDEX(Players!$E$2:$E$66,MATCH($E33,Players!$A$2:$A$66,0)),0)</f>
        <v/>
      </c>
      <c r="H33" s="6">
        <f>IFERROR(INDEX(Players!$F$2:$F$66,MATCH($E33,Players!$A$2:$A$66,0)),"")</f>
        <v/>
      </c>
      <c r="I33">
        <f>IFERROR(INDEX(Players!$G$2:$G$66,MATCH($E33,Players!$A$2:$A$66,0)),"")</f>
        <v/>
      </c>
      <c r="J33" s="11">
        <f>IF(OR($I33="",$H33=""),"",$I33*IF(LEFT($B33,4)="DOTA",Config!$B$5,Config!$B$4)/($H33*IF(LEFT($B33,4)="DOTA",Config!$B$5,Config!$B$4)+1-$H33))</f>
        <v/>
      </c>
      <c r="K33" s="11">
        <f>IF(OR($I33="",$H33=""),"",$I33/($H33*IF(LEFT($B33,4)="DOTA",Config!$B$5,Config!$B$4)+1-$H33))</f>
        <v/>
      </c>
      <c r="L33">
        <f>IFERROR(INDEX(Matches!$R$5:$R$12,MATCH($B33,Matches!$A$5:$A$12,0)),1)</f>
        <v/>
      </c>
      <c r="M33" s="6">
        <f>IFERROR(IF(INDEX(Matches!$M$5:$M$12,MATCH($B33,Matches!$A$5:$A$12,0))="","",IF($F33="A",INDEX(Matches!$M$5:$M$12,MATCH($B33,Matches!$A$5:$A$12,0)),1-INDEX(Matches!$M$5:$M$12,MATCH($B33,Matches!$A$5:$A$12,0)))),"")</f>
        <v/>
      </c>
      <c r="N33">
        <f>1</f>
        <v/>
      </c>
      <c r="O33" s="11">
        <f>IF(OR($M33="",$J33=""),"",$L33*($M33*$J33+(1-$M33)*$K33))</f>
        <v/>
      </c>
      <c r="P33">
        <f>IF($O33="","",IF(LEFT($B33,4)="DOTA",Config!$B$7,Config!$B$6)*$O33+$L33^2*$M33*(1-$M33)*($J33-$K33)^2)</f>
        <v/>
      </c>
      <c r="Q33" s="6">
        <f>IFERROR(IF(INDEX(Matches!$N$5:$N$12,MATCH($B33,Matches!$A$5:$A$12,0))="","",IF($F33="A",INDEX(Matches!$N$5:$N$12,MATCH($B33,Matches!$A$5:$A$12,0)),1-INDEX(Matches!$N$5:$N$12,MATCH($B33,Matches!$A$5:$A$12,0)))),"")</f>
        <v/>
      </c>
      <c r="R33">
        <f>IFERROR(N(INDEX(Matches!$P$5:$P$12,MATCH($B33,Matches!$A$5:$A$12,0))),0)</f>
        <v/>
      </c>
      <c r="S33" s="11">
        <f>IF(OR($Q33="",$J33=""),"",$L33*($Q33*$J33+(1-$Q33)*$K33))</f>
        <v/>
      </c>
      <c r="T33">
        <f>IF($S33="","",IF(LEFT($B33,4)="DOTA",Config!$B$7,Config!$B$6)*$S33+$L33^2*$Q33*(1-$Q33)*($J33-$K33)^2)</f>
        <v/>
      </c>
      <c r="U33" s="6">
        <f>IFERROR(IF(INDEX(Matches!$O$5:$O$12,MATCH($B33,Matches!$A$5:$A$12,0))="","",IF($F33="A",INDEX(Matches!$O$5:$O$12,MATCH($B33,Matches!$A$5:$A$12,0)),1-INDEX(Matches!$O$5:$O$12,MATCH($B33,Matches!$A$5:$A$12,0)))),"")</f>
        <v/>
      </c>
      <c r="V33">
        <f>IFERROR(N(INDEX(Matches!$Q$5:$Q$12,MATCH($B33,Matches!$A$5:$A$12,0))),0)</f>
        <v/>
      </c>
      <c r="W33" s="11">
        <f>IF(OR($U33="",$J33=""),"",$L33*($U33*$J33+(1-$U33)*$K33))</f>
        <v/>
      </c>
      <c r="X33">
        <f>IF($W33="","",IF(LEFT($B33,4)="DOTA",Config!$B$7,Config!$B$6)*$W33+$L33^2*$U33*(1-$U33)*($J33-$K33)^2)</f>
        <v/>
      </c>
      <c r="Y33" s="11">
        <f>IF($O33="","",$O33)</f>
        <v/>
      </c>
      <c r="Z33">
        <f>IF($P33="","",$P33)</f>
        <v/>
      </c>
      <c r="AA33" s="11">
        <f>IF($O33="","",N($N33)*N($O33)+N($R33)*N($S33))</f>
        <v/>
      </c>
      <c r="AB33">
        <f>IF($O33="","",(N($N33)*N($P33)+N($N33)*(1-N($N33))*N($O33)^2)+(N($R33)*N($T33)+N($R33)*(1-N($R33))*N($S33)^2))</f>
        <v/>
      </c>
      <c r="AC33" s="11">
        <f>IF($O33="","",N($N33)*N($O33)+N($R33)*N($S33)+N($V33)*N($W33))</f>
        <v/>
      </c>
      <c r="AD33">
        <f>IF($O33="","",(N($N33)*N($P33)+N($N33)*(1-N($N33))*N($O33)^2)+(N($R33)*N($T33)+N($R33)*(1-N($R33))*N($S33)^2)+(N($V33)*N($X33)+N($V33)*(1-N($V33))*N($W33)^2))</f>
        <v/>
      </c>
      <c r="AE33" s="11">
        <f>IF($I33="","",$I33*$L33)</f>
        <v/>
      </c>
      <c r="AF33" s="11">
        <f>IF($I33="","",$I33*$L33*(1+N($R33)))</f>
        <v/>
      </c>
      <c r="AG33" s="11">
        <f>IF($I33="","",$I33*$L33*(1+N($R33)+N($V33)))</f>
        <v/>
      </c>
      <c r="AH33">
        <f>TRIM(IF($G33&lt;Config!$B$9,"thin sample ("&amp;$G33&amp;" maps) · ","")&amp;IF($I33="","no PickFinder stats · ","")&amp;IFERROR(IF(INDEX(Players!$T$2:$T$66,MATCH($E33,Players!$A$2:$A$66,0))&lt;0.5,"new roster: "&amp;TEXT(INDEX(Players!$T$2:$T$66,MATCH($E33,Players!$A$2:$A$66,0)),"0%")&amp;" of his recent games with these teammates",""),""))</f>
        <v/>
      </c>
      <c r="AI33">
        <f>IF($B33=Board!$B$2,COUNTIFS($B$2:$B$66,Board!$B$2,$Y$2:$Y$66,"&gt;"&amp;$Y33)+COUNTIFS($B$1:$B32,Board!$B$2,$Y$1:$Y32,$Y33)+1,"")</f>
        <v/>
      </c>
      <c r="AJ33">
        <f>IFERROR(IF(INDEX(Matches!$D$5:$D$12,MATCH($B33,Matches!$A$5:$A$12,0))=3,"K12","K13"),"K13")</f>
        <v/>
      </c>
      <c r="AK33" s="11">
        <f>IF($AJ33="K12",$AA33,$AC33)</f>
        <v/>
      </c>
    </row>
    <row r="34">
      <c r="A34" t="inlineStr">
        <is>
          <t>ms674i51eq6w83k|DOTA · TY vs Liquid</t>
        </is>
      </c>
      <c r="B34" t="inlineStr">
        <is>
          <t>DOTA · TY vs Liquid</t>
        </is>
      </c>
      <c r="C34" t="inlineStr">
        <is>
          <t>TY</t>
        </is>
      </c>
      <c r="D34" t="inlineStr">
        <is>
          <t>Chira JUNIOR</t>
        </is>
      </c>
      <c r="E34" t="inlineStr">
        <is>
          <t>ms674i51eq6w83k</t>
        </is>
      </c>
      <c r="F34">
        <f>IFERROR(IF($C34=INDEX(Matches!$S$5:$S$12,MATCH($B34,Matches!$A$5:$A$12,0)),"A",IF($C34=INDEX(Matches!$T$5:$T$12,MATCH($B34,Matches!$A$5:$A$12,0)),"B","")),"")</f>
        <v/>
      </c>
      <c r="G34">
        <f>IFERROR(INDEX(Players!$E$2:$E$66,MATCH($E34,Players!$A$2:$A$66,0)),0)</f>
        <v/>
      </c>
      <c r="H34" s="6">
        <f>IFERROR(INDEX(Players!$F$2:$F$66,MATCH($E34,Players!$A$2:$A$66,0)),"")</f>
        <v/>
      </c>
      <c r="I34">
        <f>IFERROR(INDEX(Players!$G$2:$G$66,MATCH($E34,Players!$A$2:$A$66,0)),"")</f>
        <v/>
      </c>
      <c r="J34" s="11">
        <f>IF(OR($I34="",$H34=""),"",$I34*IF(LEFT($B34,4)="DOTA",Config!$B$5,Config!$B$4)/($H34*IF(LEFT($B34,4)="DOTA",Config!$B$5,Config!$B$4)+1-$H34))</f>
        <v/>
      </c>
      <c r="K34" s="11">
        <f>IF(OR($I34="",$H34=""),"",$I34/($H34*IF(LEFT($B34,4)="DOTA",Config!$B$5,Config!$B$4)+1-$H34))</f>
        <v/>
      </c>
      <c r="L34">
        <f>IFERROR(INDEX(Matches!$R$5:$R$12,MATCH($B34,Matches!$A$5:$A$12,0)),1)</f>
        <v/>
      </c>
      <c r="M34" s="6">
        <f>IFERROR(IF(INDEX(Matches!$M$5:$M$12,MATCH($B34,Matches!$A$5:$A$12,0))="","",IF($F34="A",INDEX(Matches!$M$5:$M$12,MATCH($B34,Matches!$A$5:$A$12,0)),1-INDEX(Matches!$M$5:$M$12,MATCH($B34,Matches!$A$5:$A$12,0)))),"")</f>
        <v/>
      </c>
      <c r="N34">
        <f>1</f>
        <v/>
      </c>
      <c r="O34" s="11">
        <f>IF(OR($M34="",$J34=""),"",$L34*($M34*$J34+(1-$M34)*$K34))</f>
        <v/>
      </c>
      <c r="P34">
        <f>IF($O34="","",IF(LEFT($B34,4)="DOTA",Config!$B$7,Config!$B$6)*$O34+$L34^2*$M34*(1-$M34)*($J34-$K34)^2)</f>
        <v/>
      </c>
      <c r="Q34" s="6">
        <f>IFERROR(IF(INDEX(Matches!$N$5:$N$12,MATCH($B34,Matches!$A$5:$A$12,0))="","",IF($F34="A",INDEX(Matches!$N$5:$N$12,MATCH($B34,Matches!$A$5:$A$12,0)),1-INDEX(Matches!$N$5:$N$12,MATCH($B34,Matches!$A$5:$A$12,0)))),"")</f>
        <v/>
      </c>
      <c r="R34">
        <f>IFERROR(N(INDEX(Matches!$P$5:$P$12,MATCH($B34,Matches!$A$5:$A$12,0))),0)</f>
        <v/>
      </c>
      <c r="S34" s="11">
        <f>IF(OR($Q34="",$J34=""),"",$L34*($Q34*$J34+(1-$Q34)*$K34))</f>
        <v/>
      </c>
      <c r="T34">
        <f>IF($S34="","",IF(LEFT($B34,4)="DOTA",Config!$B$7,Config!$B$6)*$S34+$L34^2*$Q34*(1-$Q34)*($J34-$K34)^2)</f>
        <v/>
      </c>
      <c r="U34" s="6">
        <f>IFERROR(IF(INDEX(Matches!$O$5:$O$12,MATCH($B34,Matches!$A$5:$A$12,0))="","",IF($F34="A",INDEX(Matches!$O$5:$O$12,MATCH($B34,Matches!$A$5:$A$12,0)),1-INDEX(Matches!$O$5:$O$12,MATCH($B34,Matches!$A$5:$A$12,0)))),"")</f>
        <v/>
      </c>
      <c r="V34">
        <f>IFERROR(N(INDEX(Matches!$Q$5:$Q$12,MATCH($B34,Matches!$A$5:$A$12,0))),0)</f>
        <v/>
      </c>
      <c r="W34" s="11">
        <f>IF(OR($U34="",$J34=""),"",$L34*($U34*$J34+(1-$U34)*$K34))</f>
        <v/>
      </c>
      <c r="X34">
        <f>IF($W34="","",IF(LEFT($B34,4)="DOTA",Config!$B$7,Config!$B$6)*$W34+$L34^2*$U34*(1-$U34)*($J34-$K34)^2)</f>
        <v/>
      </c>
      <c r="Y34" s="11">
        <f>IF($O34="","",$O34)</f>
        <v/>
      </c>
      <c r="Z34">
        <f>IF($P34="","",$P34)</f>
        <v/>
      </c>
      <c r="AA34" s="11">
        <f>IF($O34="","",N($N34)*N($O34)+N($R34)*N($S34))</f>
        <v/>
      </c>
      <c r="AB34">
        <f>IF($O34="","",(N($N34)*N($P34)+N($N34)*(1-N($N34))*N($O34)^2)+(N($R34)*N($T34)+N($R34)*(1-N($R34))*N($S34)^2))</f>
        <v/>
      </c>
      <c r="AC34" s="11">
        <f>IF($O34="","",N($N34)*N($O34)+N($R34)*N($S34)+N($V34)*N($W34))</f>
        <v/>
      </c>
      <c r="AD34">
        <f>IF($O34="","",(N($N34)*N($P34)+N($N34)*(1-N($N34))*N($O34)^2)+(N($R34)*N($T34)+N($R34)*(1-N($R34))*N($S34)^2)+(N($V34)*N($X34)+N($V34)*(1-N($V34))*N($W34)^2))</f>
        <v/>
      </c>
      <c r="AE34" s="11">
        <f>IF($I34="","",$I34*$L34)</f>
        <v/>
      </c>
      <c r="AF34" s="11">
        <f>IF($I34="","",$I34*$L34*(1+N($R34)))</f>
        <v/>
      </c>
      <c r="AG34" s="11">
        <f>IF($I34="","",$I34*$L34*(1+N($R34)+N($V34)))</f>
        <v/>
      </c>
      <c r="AH34">
        <f>TRIM(IF($G34&lt;Config!$B$9,"thin sample ("&amp;$G34&amp;" maps) · ","")&amp;IF($I34="","no PickFinder stats · ","")&amp;IFERROR(IF(INDEX(Players!$T$2:$T$66,MATCH($E34,Players!$A$2:$A$66,0))&lt;0.5,"new roster: "&amp;TEXT(INDEX(Players!$T$2:$T$66,MATCH($E34,Players!$A$2:$A$66,0)),"0%")&amp;" of his recent games with these teammates",""),""))</f>
        <v/>
      </c>
      <c r="AI34">
        <f>IF($B34=Board!$B$2,COUNTIFS($B$2:$B$66,Board!$B$2,$Y$2:$Y$66,"&gt;"&amp;$Y34)+COUNTIFS($B$1:$B33,Board!$B$2,$Y$1:$Y33,$Y34)+1,"")</f>
        <v/>
      </c>
      <c r="AJ34">
        <f>IFERROR(IF(INDEX(Matches!$D$5:$D$12,MATCH($B34,Matches!$A$5:$A$12,0))=3,"K12","K13"),"K13")</f>
        <v/>
      </c>
      <c r="AK34" s="11">
        <f>IF($AJ34="K12",$AA34,$AC34)</f>
        <v/>
      </c>
    </row>
    <row r="35">
      <c r="A35" t="inlineStr">
        <is>
          <t>0ajkyqw3r0k1f5j|DOTA · TY vs Liquid</t>
        </is>
      </c>
      <c r="B35" t="inlineStr">
        <is>
          <t>DOTA · TY vs Liquid</t>
        </is>
      </c>
      <c r="C35" t="inlineStr">
        <is>
          <t>TY</t>
        </is>
      </c>
      <c r="D35" t="inlineStr">
        <is>
          <t>Malady</t>
        </is>
      </c>
      <c r="E35" t="inlineStr">
        <is>
          <t>0ajkyqw3r0k1f5j</t>
        </is>
      </c>
      <c r="F35">
        <f>IFERROR(IF($C35=INDEX(Matches!$S$5:$S$12,MATCH($B35,Matches!$A$5:$A$12,0)),"A",IF($C35=INDEX(Matches!$T$5:$T$12,MATCH($B35,Matches!$A$5:$A$12,0)),"B","")),"")</f>
        <v/>
      </c>
      <c r="G35">
        <f>IFERROR(INDEX(Players!$E$2:$E$66,MATCH($E35,Players!$A$2:$A$66,0)),0)</f>
        <v/>
      </c>
      <c r="H35" s="6">
        <f>IFERROR(INDEX(Players!$F$2:$F$66,MATCH($E35,Players!$A$2:$A$66,0)),"")</f>
        <v/>
      </c>
      <c r="I35">
        <f>IFERROR(INDEX(Players!$G$2:$G$66,MATCH($E35,Players!$A$2:$A$66,0)),"")</f>
        <v/>
      </c>
      <c r="J35" s="11">
        <f>IF(OR($I35="",$H35=""),"",$I35*IF(LEFT($B35,4)="DOTA",Config!$B$5,Config!$B$4)/($H35*IF(LEFT($B35,4)="DOTA",Config!$B$5,Config!$B$4)+1-$H35))</f>
        <v/>
      </c>
      <c r="K35" s="11">
        <f>IF(OR($I35="",$H35=""),"",$I35/($H35*IF(LEFT($B35,4)="DOTA",Config!$B$5,Config!$B$4)+1-$H35))</f>
        <v/>
      </c>
      <c r="L35">
        <f>IFERROR(INDEX(Matches!$R$5:$R$12,MATCH($B35,Matches!$A$5:$A$12,0)),1)</f>
        <v/>
      </c>
      <c r="M35" s="6">
        <f>IFERROR(IF(INDEX(Matches!$M$5:$M$12,MATCH($B35,Matches!$A$5:$A$12,0))="","",IF($F35="A",INDEX(Matches!$M$5:$M$12,MATCH($B35,Matches!$A$5:$A$12,0)),1-INDEX(Matches!$M$5:$M$12,MATCH($B35,Matches!$A$5:$A$12,0)))),"")</f>
        <v/>
      </c>
      <c r="N35">
        <f>1</f>
        <v/>
      </c>
      <c r="O35" s="11">
        <f>IF(OR($M35="",$J35=""),"",$L35*($M35*$J35+(1-$M35)*$K35))</f>
        <v/>
      </c>
      <c r="P35">
        <f>IF($O35="","",IF(LEFT($B35,4)="DOTA",Config!$B$7,Config!$B$6)*$O35+$L35^2*$M35*(1-$M35)*($J35-$K35)^2)</f>
        <v/>
      </c>
      <c r="Q35" s="6">
        <f>IFERROR(IF(INDEX(Matches!$N$5:$N$12,MATCH($B35,Matches!$A$5:$A$12,0))="","",IF($F35="A",INDEX(Matches!$N$5:$N$12,MATCH($B35,Matches!$A$5:$A$12,0)),1-INDEX(Matches!$N$5:$N$12,MATCH($B35,Matches!$A$5:$A$12,0)))),"")</f>
        <v/>
      </c>
      <c r="R35">
        <f>IFERROR(N(INDEX(Matches!$P$5:$P$12,MATCH($B35,Matches!$A$5:$A$12,0))),0)</f>
        <v/>
      </c>
      <c r="S35" s="11">
        <f>IF(OR($Q35="",$J35=""),"",$L35*($Q35*$J35+(1-$Q35)*$K35))</f>
        <v/>
      </c>
      <c r="T35">
        <f>IF($S35="","",IF(LEFT($B35,4)="DOTA",Config!$B$7,Config!$B$6)*$S35+$L35^2*$Q35*(1-$Q35)*($J35-$K35)^2)</f>
        <v/>
      </c>
      <c r="U35" s="6">
        <f>IFERROR(IF(INDEX(Matches!$O$5:$O$12,MATCH($B35,Matches!$A$5:$A$12,0))="","",IF($F35="A",INDEX(Matches!$O$5:$O$12,MATCH($B35,Matches!$A$5:$A$12,0)),1-INDEX(Matches!$O$5:$O$12,MATCH($B35,Matches!$A$5:$A$12,0)))),"")</f>
        <v/>
      </c>
      <c r="V35">
        <f>IFERROR(N(INDEX(Matches!$Q$5:$Q$12,MATCH($B35,Matches!$A$5:$A$12,0))),0)</f>
        <v/>
      </c>
      <c r="W35" s="11">
        <f>IF(OR($U35="",$J35=""),"",$L35*($U35*$J35+(1-$U35)*$K35))</f>
        <v/>
      </c>
      <c r="X35">
        <f>IF($W35="","",IF(LEFT($B35,4)="DOTA",Config!$B$7,Config!$B$6)*$W35+$L35^2*$U35*(1-$U35)*($J35-$K35)^2)</f>
        <v/>
      </c>
      <c r="Y35" s="11">
        <f>IF($O35="","",$O35)</f>
        <v/>
      </c>
      <c r="Z35">
        <f>IF($P35="","",$P35)</f>
        <v/>
      </c>
      <c r="AA35" s="11">
        <f>IF($O35="","",N($N35)*N($O35)+N($R35)*N($S35))</f>
        <v/>
      </c>
      <c r="AB35">
        <f>IF($O35="","",(N($N35)*N($P35)+N($N35)*(1-N($N35))*N($O35)^2)+(N($R35)*N($T35)+N($R35)*(1-N($R35))*N($S35)^2))</f>
        <v/>
      </c>
      <c r="AC35" s="11">
        <f>IF($O35="","",N($N35)*N($O35)+N($R35)*N($S35)+N($V35)*N($W35))</f>
        <v/>
      </c>
      <c r="AD35">
        <f>IF($O35="","",(N($N35)*N($P35)+N($N35)*(1-N($N35))*N($O35)^2)+(N($R35)*N($T35)+N($R35)*(1-N($R35))*N($S35)^2)+(N($V35)*N($X35)+N($V35)*(1-N($V35))*N($W35)^2))</f>
        <v/>
      </c>
      <c r="AE35" s="11">
        <f>IF($I35="","",$I35*$L35)</f>
        <v/>
      </c>
      <c r="AF35" s="11">
        <f>IF($I35="","",$I35*$L35*(1+N($R35)))</f>
        <v/>
      </c>
      <c r="AG35" s="11">
        <f>IF($I35="","",$I35*$L35*(1+N($R35)+N($V35)))</f>
        <v/>
      </c>
      <c r="AH35">
        <f>TRIM(IF($G35&lt;Config!$B$9,"thin sample ("&amp;$G35&amp;" maps) · ","")&amp;IF($I35="","no PickFinder stats · ","")&amp;IFERROR(IF(INDEX(Players!$T$2:$T$66,MATCH($E35,Players!$A$2:$A$66,0))&lt;0.5,"new roster: "&amp;TEXT(INDEX(Players!$T$2:$T$66,MATCH($E35,Players!$A$2:$A$66,0)),"0%")&amp;" of his recent games with these teammates",""),""))</f>
        <v/>
      </c>
      <c r="AI35">
        <f>IF($B35=Board!$B$2,COUNTIFS($B$2:$B$66,Board!$B$2,$Y$2:$Y$66,"&gt;"&amp;$Y35)+COUNTIFS($B$1:$B34,Board!$B$2,$Y$1:$Y34,$Y35)+1,"")</f>
        <v/>
      </c>
      <c r="AJ35">
        <f>IFERROR(IF(INDEX(Matches!$D$5:$D$12,MATCH($B35,Matches!$A$5:$A$12,0))=3,"K12","K13"),"K13")</f>
        <v/>
      </c>
      <c r="AK35" s="11">
        <f>IF($AJ35="K12",$AA35,$AC35)</f>
        <v/>
      </c>
    </row>
    <row r="36">
      <c r="A36" t="inlineStr">
        <is>
          <t>b2idu6d2bllmgsq|DOTA · TY vs Liquid</t>
        </is>
      </c>
      <c r="B36" t="inlineStr">
        <is>
          <t>DOTA · TY vs Liquid</t>
        </is>
      </c>
      <c r="C36" t="inlineStr">
        <is>
          <t>TY</t>
        </is>
      </c>
      <c r="D36" t="inlineStr">
        <is>
          <t>Saksa</t>
        </is>
      </c>
      <c r="E36" t="inlineStr">
        <is>
          <t>b2idu6d2bllmgsq</t>
        </is>
      </c>
      <c r="F36">
        <f>IFERROR(IF($C36=INDEX(Matches!$S$5:$S$12,MATCH($B36,Matches!$A$5:$A$12,0)),"A",IF($C36=INDEX(Matches!$T$5:$T$12,MATCH($B36,Matches!$A$5:$A$12,0)),"B","")),"")</f>
        <v/>
      </c>
      <c r="G36">
        <f>IFERROR(INDEX(Players!$E$2:$E$66,MATCH($E36,Players!$A$2:$A$66,0)),0)</f>
        <v/>
      </c>
      <c r="H36" s="6">
        <f>IFERROR(INDEX(Players!$F$2:$F$66,MATCH($E36,Players!$A$2:$A$66,0)),"")</f>
        <v/>
      </c>
      <c r="I36">
        <f>IFERROR(INDEX(Players!$G$2:$G$66,MATCH($E36,Players!$A$2:$A$66,0)),"")</f>
        <v/>
      </c>
      <c r="J36" s="11">
        <f>IF(OR($I36="",$H36=""),"",$I36*IF(LEFT($B36,4)="DOTA",Config!$B$5,Config!$B$4)/($H36*IF(LEFT($B36,4)="DOTA",Config!$B$5,Config!$B$4)+1-$H36))</f>
        <v/>
      </c>
      <c r="K36" s="11">
        <f>IF(OR($I36="",$H36=""),"",$I36/($H36*IF(LEFT($B36,4)="DOTA",Config!$B$5,Config!$B$4)+1-$H36))</f>
        <v/>
      </c>
      <c r="L36">
        <f>IFERROR(INDEX(Matches!$R$5:$R$12,MATCH($B36,Matches!$A$5:$A$12,0)),1)</f>
        <v/>
      </c>
      <c r="M36" s="6">
        <f>IFERROR(IF(INDEX(Matches!$M$5:$M$12,MATCH($B36,Matches!$A$5:$A$12,0))="","",IF($F36="A",INDEX(Matches!$M$5:$M$12,MATCH($B36,Matches!$A$5:$A$12,0)),1-INDEX(Matches!$M$5:$M$12,MATCH($B36,Matches!$A$5:$A$12,0)))),"")</f>
        <v/>
      </c>
      <c r="N36">
        <f>1</f>
        <v/>
      </c>
      <c r="O36" s="11">
        <f>IF(OR($M36="",$J36=""),"",$L36*($M36*$J36+(1-$M36)*$K36))</f>
        <v/>
      </c>
      <c r="P36">
        <f>IF($O36="","",IF(LEFT($B36,4)="DOTA",Config!$B$7,Config!$B$6)*$O36+$L36^2*$M36*(1-$M36)*($J36-$K36)^2)</f>
        <v/>
      </c>
      <c r="Q36" s="6">
        <f>IFERROR(IF(INDEX(Matches!$N$5:$N$12,MATCH($B36,Matches!$A$5:$A$12,0))="","",IF($F36="A",INDEX(Matches!$N$5:$N$12,MATCH($B36,Matches!$A$5:$A$12,0)),1-INDEX(Matches!$N$5:$N$12,MATCH($B36,Matches!$A$5:$A$12,0)))),"")</f>
        <v/>
      </c>
      <c r="R36">
        <f>IFERROR(N(INDEX(Matches!$P$5:$P$12,MATCH($B36,Matches!$A$5:$A$12,0))),0)</f>
        <v/>
      </c>
      <c r="S36" s="11">
        <f>IF(OR($Q36="",$J36=""),"",$L36*($Q36*$J36+(1-$Q36)*$K36))</f>
        <v/>
      </c>
      <c r="T36">
        <f>IF($S36="","",IF(LEFT($B36,4)="DOTA",Config!$B$7,Config!$B$6)*$S36+$L36^2*$Q36*(1-$Q36)*($J36-$K36)^2)</f>
        <v/>
      </c>
      <c r="U36" s="6">
        <f>IFERROR(IF(INDEX(Matches!$O$5:$O$12,MATCH($B36,Matches!$A$5:$A$12,0))="","",IF($F36="A",INDEX(Matches!$O$5:$O$12,MATCH($B36,Matches!$A$5:$A$12,0)),1-INDEX(Matches!$O$5:$O$12,MATCH($B36,Matches!$A$5:$A$12,0)))),"")</f>
        <v/>
      </c>
      <c r="V36">
        <f>IFERROR(N(INDEX(Matches!$Q$5:$Q$12,MATCH($B36,Matches!$A$5:$A$12,0))),0)</f>
        <v/>
      </c>
      <c r="W36" s="11">
        <f>IF(OR($U36="",$J36=""),"",$L36*($U36*$J36+(1-$U36)*$K36))</f>
        <v/>
      </c>
      <c r="X36">
        <f>IF($W36="","",IF(LEFT($B36,4)="DOTA",Config!$B$7,Config!$B$6)*$W36+$L36^2*$U36*(1-$U36)*($J36-$K36)^2)</f>
        <v/>
      </c>
      <c r="Y36" s="11">
        <f>IF($O36="","",$O36)</f>
        <v/>
      </c>
      <c r="Z36">
        <f>IF($P36="","",$P36)</f>
        <v/>
      </c>
      <c r="AA36" s="11">
        <f>IF($O36="","",N($N36)*N($O36)+N($R36)*N($S36))</f>
        <v/>
      </c>
      <c r="AB36">
        <f>IF($O36="","",(N($N36)*N($P36)+N($N36)*(1-N($N36))*N($O36)^2)+(N($R36)*N($T36)+N($R36)*(1-N($R36))*N($S36)^2))</f>
        <v/>
      </c>
      <c r="AC36" s="11">
        <f>IF($O36="","",N($N36)*N($O36)+N($R36)*N($S36)+N($V36)*N($W36))</f>
        <v/>
      </c>
      <c r="AD36">
        <f>IF($O36="","",(N($N36)*N($P36)+N($N36)*(1-N($N36))*N($O36)^2)+(N($R36)*N($T36)+N($R36)*(1-N($R36))*N($S36)^2)+(N($V36)*N($X36)+N($V36)*(1-N($V36))*N($W36)^2))</f>
        <v/>
      </c>
      <c r="AE36" s="11">
        <f>IF($I36="","",$I36*$L36)</f>
        <v/>
      </c>
      <c r="AF36" s="11">
        <f>IF($I36="","",$I36*$L36*(1+N($R36)))</f>
        <v/>
      </c>
      <c r="AG36" s="11">
        <f>IF($I36="","",$I36*$L36*(1+N($R36)+N($V36)))</f>
        <v/>
      </c>
      <c r="AH36">
        <f>TRIM(IF($G36&lt;Config!$B$9,"thin sample ("&amp;$G36&amp;" maps) · ","")&amp;IF($I36="","no PickFinder stats · ","")&amp;IFERROR(IF(INDEX(Players!$T$2:$T$66,MATCH($E36,Players!$A$2:$A$66,0))&lt;0.5,"new roster: "&amp;TEXT(INDEX(Players!$T$2:$T$66,MATCH($E36,Players!$A$2:$A$66,0)),"0%")&amp;" of his recent games with these teammates",""),""))</f>
        <v/>
      </c>
      <c r="AI36">
        <f>IF($B36=Board!$B$2,COUNTIFS($B$2:$B$66,Board!$B$2,$Y$2:$Y$66,"&gt;"&amp;$Y36)+COUNTIFS($B$1:$B35,Board!$B$2,$Y$1:$Y35,$Y36)+1,"")</f>
        <v/>
      </c>
      <c r="AJ36">
        <f>IFERROR(IF(INDEX(Matches!$D$5:$D$12,MATCH($B36,Matches!$A$5:$A$12,0))=3,"K12","K13"),"K13")</f>
        <v/>
      </c>
      <c r="AK36" s="11">
        <f>IF($AJ36="K12",$AA36,$AC36)</f>
        <v/>
      </c>
    </row>
    <row r="37">
      <c r="A37" t="inlineStr">
        <is>
          <t>sm63cqd6f6fdapn|DOTA · TY vs Liquid</t>
        </is>
      </c>
      <c r="B37" t="inlineStr">
        <is>
          <t>DOTA · TY vs Liquid</t>
        </is>
      </c>
      <c r="C37" t="inlineStr">
        <is>
          <t>TY</t>
        </is>
      </c>
      <c r="D37" t="inlineStr">
        <is>
          <t>watson</t>
        </is>
      </c>
      <c r="E37" t="inlineStr">
        <is>
          <t>sm63cqd6f6fdapn</t>
        </is>
      </c>
      <c r="F37">
        <f>IFERROR(IF($C37=INDEX(Matches!$S$5:$S$12,MATCH($B37,Matches!$A$5:$A$12,0)),"A",IF($C37=INDEX(Matches!$T$5:$T$12,MATCH($B37,Matches!$A$5:$A$12,0)),"B","")),"")</f>
        <v/>
      </c>
      <c r="G37">
        <f>IFERROR(INDEX(Players!$E$2:$E$66,MATCH($E37,Players!$A$2:$A$66,0)),0)</f>
        <v/>
      </c>
      <c r="H37" s="6">
        <f>IFERROR(INDEX(Players!$F$2:$F$66,MATCH($E37,Players!$A$2:$A$66,0)),"")</f>
        <v/>
      </c>
      <c r="I37">
        <f>IFERROR(INDEX(Players!$G$2:$G$66,MATCH($E37,Players!$A$2:$A$66,0)),"")</f>
        <v/>
      </c>
      <c r="J37" s="11">
        <f>IF(OR($I37="",$H37=""),"",$I37*IF(LEFT($B37,4)="DOTA",Config!$B$5,Config!$B$4)/($H37*IF(LEFT($B37,4)="DOTA",Config!$B$5,Config!$B$4)+1-$H37))</f>
        <v/>
      </c>
      <c r="K37" s="11">
        <f>IF(OR($I37="",$H37=""),"",$I37/($H37*IF(LEFT($B37,4)="DOTA",Config!$B$5,Config!$B$4)+1-$H37))</f>
        <v/>
      </c>
      <c r="L37">
        <f>IFERROR(INDEX(Matches!$R$5:$R$12,MATCH($B37,Matches!$A$5:$A$12,0)),1)</f>
        <v/>
      </c>
      <c r="M37" s="6">
        <f>IFERROR(IF(INDEX(Matches!$M$5:$M$12,MATCH($B37,Matches!$A$5:$A$12,0))="","",IF($F37="A",INDEX(Matches!$M$5:$M$12,MATCH($B37,Matches!$A$5:$A$12,0)),1-INDEX(Matches!$M$5:$M$12,MATCH($B37,Matches!$A$5:$A$12,0)))),"")</f>
        <v/>
      </c>
      <c r="N37">
        <f>1</f>
        <v/>
      </c>
      <c r="O37" s="11">
        <f>IF(OR($M37="",$J37=""),"",$L37*($M37*$J37+(1-$M37)*$K37))</f>
        <v/>
      </c>
      <c r="P37">
        <f>IF($O37="","",IF(LEFT($B37,4)="DOTA",Config!$B$7,Config!$B$6)*$O37+$L37^2*$M37*(1-$M37)*($J37-$K37)^2)</f>
        <v/>
      </c>
      <c r="Q37" s="6">
        <f>IFERROR(IF(INDEX(Matches!$N$5:$N$12,MATCH($B37,Matches!$A$5:$A$12,0))="","",IF($F37="A",INDEX(Matches!$N$5:$N$12,MATCH($B37,Matches!$A$5:$A$12,0)),1-INDEX(Matches!$N$5:$N$12,MATCH($B37,Matches!$A$5:$A$12,0)))),"")</f>
        <v/>
      </c>
      <c r="R37">
        <f>IFERROR(N(INDEX(Matches!$P$5:$P$12,MATCH($B37,Matches!$A$5:$A$12,0))),0)</f>
        <v/>
      </c>
      <c r="S37" s="11">
        <f>IF(OR($Q37="",$J37=""),"",$L37*($Q37*$J37+(1-$Q37)*$K37))</f>
        <v/>
      </c>
      <c r="T37">
        <f>IF($S37="","",IF(LEFT($B37,4)="DOTA",Config!$B$7,Config!$B$6)*$S37+$L37^2*$Q37*(1-$Q37)*($J37-$K37)^2)</f>
        <v/>
      </c>
      <c r="U37" s="6">
        <f>IFERROR(IF(INDEX(Matches!$O$5:$O$12,MATCH($B37,Matches!$A$5:$A$12,0))="","",IF($F37="A",INDEX(Matches!$O$5:$O$12,MATCH($B37,Matches!$A$5:$A$12,0)),1-INDEX(Matches!$O$5:$O$12,MATCH($B37,Matches!$A$5:$A$12,0)))),"")</f>
        <v/>
      </c>
      <c r="V37">
        <f>IFERROR(N(INDEX(Matches!$Q$5:$Q$12,MATCH($B37,Matches!$A$5:$A$12,0))),0)</f>
        <v/>
      </c>
      <c r="W37" s="11">
        <f>IF(OR($U37="",$J37=""),"",$L37*($U37*$J37+(1-$U37)*$K37))</f>
        <v/>
      </c>
      <c r="X37">
        <f>IF($W37="","",IF(LEFT($B37,4)="DOTA",Config!$B$7,Config!$B$6)*$W37+$L37^2*$U37*(1-$U37)*($J37-$K37)^2)</f>
        <v/>
      </c>
      <c r="Y37" s="11">
        <f>IF($O37="","",$O37)</f>
        <v/>
      </c>
      <c r="Z37">
        <f>IF($P37="","",$P37)</f>
        <v/>
      </c>
      <c r="AA37" s="11">
        <f>IF($O37="","",N($N37)*N($O37)+N($R37)*N($S37))</f>
        <v/>
      </c>
      <c r="AB37">
        <f>IF($O37="","",(N($N37)*N($P37)+N($N37)*(1-N($N37))*N($O37)^2)+(N($R37)*N($T37)+N($R37)*(1-N($R37))*N($S37)^2))</f>
        <v/>
      </c>
      <c r="AC37" s="11">
        <f>IF($O37="","",N($N37)*N($O37)+N($R37)*N($S37)+N($V37)*N($W37))</f>
        <v/>
      </c>
      <c r="AD37">
        <f>IF($O37="","",(N($N37)*N($P37)+N($N37)*(1-N($N37))*N($O37)^2)+(N($R37)*N($T37)+N($R37)*(1-N($R37))*N($S37)^2)+(N($V37)*N($X37)+N($V37)*(1-N($V37))*N($W37)^2))</f>
        <v/>
      </c>
      <c r="AE37" s="11">
        <f>IF($I37="","",$I37*$L37)</f>
        <v/>
      </c>
      <c r="AF37" s="11">
        <f>IF($I37="","",$I37*$L37*(1+N($R37)))</f>
        <v/>
      </c>
      <c r="AG37" s="11">
        <f>IF($I37="","",$I37*$L37*(1+N($R37)+N($V37)))</f>
        <v/>
      </c>
      <c r="AH37">
        <f>TRIM(IF($G37&lt;Config!$B$9,"thin sample ("&amp;$G37&amp;" maps) · ","")&amp;IF($I37="","no PickFinder stats · ","")&amp;IFERROR(IF(INDEX(Players!$T$2:$T$66,MATCH($E37,Players!$A$2:$A$66,0))&lt;0.5,"new roster: "&amp;TEXT(INDEX(Players!$T$2:$T$66,MATCH($E37,Players!$A$2:$A$66,0)),"0%")&amp;" of his recent games with these teammates",""),""))</f>
        <v/>
      </c>
      <c r="AI37">
        <f>IF($B37=Board!$B$2,COUNTIFS($B$2:$B$66,Board!$B$2,$Y$2:$Y$66,"&gt;"&amp;$Y37)+COUNTIFS($B$1:$B36,Board!$B$2,$Y$1:$Y36,$Y37)+1,"")</f>
        <v/>
      </c>
      <c r="AJ37">
        <f>IFERROR(IF(INDEX(Matches!$D$5:$D$12,MATCH($B37,Matches!$A$5:$A$12,0))=3,"K12","K13"),"K13")</f>
        <v/>
      </c>
      <c r="AK37" s="11">
        <f>IF($AJ37="K12",$AA37,$AC37)</f>
        <v/>
      </c>
    </row>
    <row r="38">
      <c r="A38" t="inlineStr">
        <is>
          <t>n4f7lv5wvxndbnw|LOL · KC vs BLG</t>
        </is>
      </c>
      <c r="B38" t="inlineStr">
        <is>
          <t>LOL · KC vs BLG</t>
        </is>
      </c>
      <c r="C38" t="inlineStr">
        <is>
          <t>BLG</t>
        </is>
      </c>
      <c r="D38" t="inlineStr">
        <is>
          <t>knight</t>
        </is>
      </c>
      <c r="E38" t="inlineStr">
        <is>
          <t>n4f7lv5wvxndbnw</t>
        </is>
      </c>
      <c r="F38">
        <f>IFERROR(IF($C38=INDEX(Matches!$S$5:$S$12,MATCH($B38,Matches!$A$5:$A$12,0)),"A",IF($C38=INDEX(Matches!$T$5:$T$12,MATCH($B38,Matches!$A$5:$A$12,0)),"B","")),"")</f>
        <v/>
      </c>
      <c r="G38">
        <f>IFERROR(INDEX(Players!$E$2:$E$66,MATCH($E38,Players!$A$2:$A$66,0)),0)</f>
        <v/>
      </c>
      <c r="H38" s="6">
        <f>IFERROR(INDEX(Players!$F$2:$F$66,MATCH($E38,Players!$A$2:$A$66,0)),"")</f>
        <v/>
      </c>
      <c r="I38">
        <f>IFERROR(INDEX(Players!$G$2:$G$66,MATCH($E38,Players!$A$2:$A$66,0)),"")</f>
        <v/>
      </c>
      <c r="J38" s="11">
        <f>IF(OR($I38="",$H38=""),"",$I38*IF(LEFT($B38,4)="DOTA",Config!$B$5,Config!$B$4)/($H38*IF(LEFT($B38,4)="DOTA",Config!$B$5,Config!$B$4)+1-$H38))</f>
        <v/>
      </c>
      <c r="K38" s="11">
        <f>IF(OR($I38="",$H38=""),"",$I38/($H38*IF(LEFT($B38,4)="DOTA",Config!$B$5,Config!$B$4)+1-$H38))</f>
        <v/>
      </c>
      <c r="L38">
        <f>IFERROR(INDEX(Matches!$R$5:$R$12,MATCH($B38,Matches!$A$5:$A$12,0)),1)</f>
        <v/>
      </c>
      <c r="M38" s="6">
        <f>IFERROR(IF(INDEX(Matches!$M$5:$M$12,MATCH($B38,Matches!$A$5:$A$12,0))="","",IF($F38="A",INDEX(Matches!$M$5:$M$12,MATCH($B38,Matches!$A$5:$A$12,0)),1-INDEX(Matches!$M$5:$M$12,MATCH($B38,Matches!$A$5:$A$12,0)))),"")</f>
        <v/>
      </c>
      <c r="N38">
        <f>1</f>
        <v/>
      </c>
      <c r="O38" s="11">
        <f>IF(OR($M38="",$J38=""),"",$L38*($M38*$J38+(1-$M38)*$K38))</f>
        <v/>
      </c>
      <c r="P38">
        <f>IF($O38="","",IF(LEFT($B38,4)="DOTA",Config!$B$7,Config!$B$6)*$O38+$L38^2*$M38*(1-$M38)*($J38-$K38)^2)</f>
        <v/>
      </c>
      <c r="Q38" s="6">
        <f>IFERROR(IF(INDEX(Matches!$N$5:$N$12,MATCH($B38,Matches!$A$5:$A$12,0))="","",IF($F38="A",INDEX(Matches!$N$5:$N$12,MATCH($B38,Matches!$A$5:$A$12,0)),1-INDEX(Matches!$N$5:$N$12,MATCH($B38,Matches!$A$5:$A$12,0)))),"")</f>
        <v/>
      </c>
      <c r="R38">
        <f>IFERROR(N(INDEX(Matches!$P$5:$P$12,MATCH($B38,Matches!$A$5:$A$12,0))),0)</f>
        <v/>
      </c>
      <c r="S38" s="11">
        <f>IF(OR($Q38="",$J38=""),"",$L38*($Q38*$J38+(1-$Q38)*$K38))</f>
        <v/>
      </c>
      <c r="T38">
        <f>IF($S38="","",IF(LEFT($B38,4)="DOTA",Config!$B$7,Config!$B$6)*$S38+$L38^2*$Q38*(1-$Q38)*($J38-$K38)^2)</f>
        <v/>
      </c>
      <c r="U38" s="6">
        <f>IFERROR(IF(INDEX(Matches!$O$5:$O$12,MATCH($B38,Matches!$A$5:$A$12,0))="","",IF($F38="A",INDEX(Matches!$O$5:$O$12,MATCH($B38,Matches!$A$5:$A$12,0)),1-INDEX(Matches!$O$5:$O$12,MATCH($B38,Matches!$A$5:$A$12,0)))),"")</f>
        <v/>
      </c>
      <c r="V38">
        <f>IFERROR(N(INDEX(Matches!$Q$5:$Q$12,MATCH($B38,Matches!$A$5:$A$12,0))),0)</f>
        <v/>
      </c>
      <c r="W38" s="11">
        <f>IF(OR($U38="",$J38=""),"",$L38*($U38*$J38+(1-$U38)*$K38))</f>
        <v/>
      </c>
      <c r="X38">
        <f>IF($W38="","",IF(LEFT($B38,4)="DOTA",Config!$B$7,Config!$B$6)*$W38+$L38^2*$U38*(1-$U38)*($J38-$K38)^2)</f>
        <v/>
      </c>
      <c r="Y38" s="11">
        <f>IF($O38="","",$O38)</f>
        <v/>
      </c>
      <c r="Z38">
        <f>IF($P38="","",$P38)</f>
        <v/>
      </c>
      <c r="AA38" s="11">
        <f>IF($O38="","",N($N38)*N($O38)+N($R38)*N($S38))</f>
        <v/>
      </c>
      <c r="AB38">
        <f>IF($O38="","",(N($N38)*N($P38)+N($N38)*(1-N($N38))*N($O38)^2)+(N($R38)*N($T38)+N($R38)*(1-N($R38))*N($S38)^2))</f>
        <v/>
      </c>
      <c r="AC38" s="11">
        <f>IF($O38="","",N($N38)*N($O38)+N($R38)*N($S38)+N($V38)*N($W38))</f>
        <v/>
      </c>
      <c r="AD38">
        <f>IF($O38="","",(N($N38)*N($P38)+N($N38)*(1-N($N38))*N($O38)^2)+(N($R38)*N($T38)+N($R38)*(1-N($R38))*N($S38)^2)+(N($V38)*N($X38)+N($V38)*(1-N($V38))*N($W38)^2))</f>
        <v/>
      </c>
      <c r="AE38" s="11">
        <f>IF($I38="","",$I38*$L38)</f>
        <v/>
      </c>
      <c r="AF38" s="11">
        <f>IF($I38="","",$I38*$L38*(1+N($R38)))</f>
        <v/>
      </c>
      <c r="AG38" s="11">
        <f>IF($I38="","",$I38*$L38*(1+N($R38)+N($V38)))</f>
        <v/>
      </c>
      <c r="AH38">
        <f>TRIM(IF($G38&lt;Config!$B$9,"thin sample ("&amp;$G38&amp;" maps) · ","")&amp;IF($I38="","no PickFinder stats · ","")&amp;IFERROR(IF(INDEX(Players!$T$2:$T$66,MATCH($E38,Players!$A$2:$A$66,0))&lt;0.5,"new roster: "&amp;TEXT(INDEX(Players!$T$2:$T$66,MATCH($E38,Players!$A$2:$A$66,0)),"0%")&amp;" of his recent games with these teammates",""),""))</f>
        <v/>
      </c>
      <c r="AI38">
        <f>IF($B38=Board!$B$2,COUNTIFS($B$2:$B$66,Board!$B$2,$Y$2:$Y$66,"&gt;"&amp;$Y38)+COUNTIFS($B$1:$B37,Board!$B$2,$Y$1:$Y37,$Y38)+1,"")</f>
        <v/>
      </c>
      <c r="AJ38">
        <f>IFERROR(IF(INDEX(Matches!$D$5:$D$12,MATCH($B38,Matches!$A$5:$A$12,0))=3,"K12","K13"),"K13")</f>
        <v/>
      </c>
      <c r="AK38" s="11">
        <f>IF($AJ38="K12",$AA38,$AC38)</f>
        <v/>
      </c>
    </row>
    <row r="39">
      <c r="A39" t="inlineStr">
        <is>
          <t>rxzjxi7ziezffrs|LOL · KC vs BLG</t>
        </is>
      </c>
      <c r="B39" t="inlineStr">
        <is>
          <t>LOL · KC vs BLG</t>
        </is>
      </c>
      <c r="C39" t="inlineStr">
        <is>
          <t>BLG</t>
        </is>
      </c>
      <c r="D39" t="inlineStr">
        <is>
          <t>ON</t>
        </is>
      </c>
      <c r="E39" t="inlineStr">
        <is>
          <t>rxzjxi7ziezffrs</t>
        </is>
      </c>
      <c r="F39">
        <f>IFERROR(IF($C39=INDEX(Matches!$S$5:$S$12,MATCH($B39,Matches!$A$5:$A$12,0)),"A",IF($C39=INDEX(Matches!$T$5:$T$12,MATCH($B39,Matches!$A$5:$A$12,0)),"B","")),"")</f>
        <v/>
      </c>
      <c r="G39">
        <f>IFERROR(INDEX(Players!$E$2:$E$66,MATCH($E39,Players!$A$2:$A$66,0)),0)</f>
        <v/>
      </c>
      <c r="H39" s="6">
        <f>IFERROR(INDEX(Players!$F$2:$F$66,MATCH($E39,Players!$A$2:$A$66,0)),"")</f>
        <v/>
      </c>
      <c r="I39">
        <f>IFERROR(INDEX(Players!$G$2:$G$66,MATCH($E39,Players!$A$2:$A$66,0)),"")</f>
        <v/>
      </c>
      <c r="J39" s="11">
        <f>IF(OR($I39="",$H39=""),"",$I39*IF(LEFT($B39,4)="DOTA",Config!$B$5,Config!$B$4)/($H39*IF(LEFT($B39,4)="DOTA",Config!$B$5,Config!$B$4)+1-$H39))</f>
        <v/>
      </c>
      <c r="K39" s="11">
        <f>IF(OR($I39="",$H39=""),"",$I39/($H39*IF(LEFT($B39,4)="DOTA",Config!$B$5,Config!$B$4)+1-$H39))</f>
        <v/>
      </c>
      <c r="L39">
        <f>IFERROR(INDEX(Matches!$R$5:$R$12,MATCH($B39,Matches!$A$5:$A$12,0)),1)</f>
        <v/>
      </c>
      <c r="M39" s="6">
        <f>IFERROR(IF(INDEX(Matches!$M$5:$M$12,MATCH($B39,Matches!$A$5:$A$12,0))="","",IF($F39="A",INDEX(Matches!$M$5:$M$12,MATCH($B39,Matches!$A$5:$A$12,0)),1-INDEX(Matches!$M$5:$M$12,MATCH($B39,Matches!$A$5:$A$12,0)))),"")</f>
        <v/>
      </c>
      <c r="N39">
        <f>1</f>
        <v/>
      </c>
      <c r="O39" s="11">
        <f>IF(OR($M39="",$J39=""),"",$L39*($M39*$J39+(1-$M39)*$K39))</f>
        <v/>
      </c>
      <c r="P39">
        <f>IF($O39="","",IF(LEFT($B39,4)="DOTA",Config!$B$7,Config!$B$6)*$O39+$L39^2*$M39*(1-$M39)*($J39-$K39)^2)</f>
        <v/>
      </c>
      <c r="Q39" s="6">
        <f>IFERROR(IF(INDEX(Matches!$N$5:$N$12,MATCH($B39,Matches!$A$5:$A$12,0))="","",IF($F39="A",INDEX(Matches!$N$5:$N$12,MATCH($B39,Matches!$A$5:$A$12,0)),1-INDEX(Matches!$N$5:$N$12,MATCH($B39,Matches!$A$5:$A$12,0)))),"")</f>
        <v/>
      </c>
      <c r="R39">
        <f>IFERROR(N(INDEX(Matches!$P$5:$P$12,MATCH($B39,Matches!$A$5:$A$12,0))),0)</f>
        <v/>
      </c>
      <c r="S39" s="11">
        <f>IF(OR($Q39="",$J39=""),"",$L39*($Q39*$J39+(1-$Q39)*$K39))</f>
        <v/>
      </c>
      <c r="T39">
        <f>IF($S39="","",IF(LEFT($B39,4)="DOTA",Config!$B$7,Config!$B$6)*$S39+$L39^2*$Q39*(1-$Q39)*($J39-$K39)^2)</f>
        <v/>
      </c>
      <c r="U39" s="6">
        <f>IFERROR(IF(INDEX(Matches!$O$5:$O$12,MATCH($B39,Matches!$A$5:$A$12,0))="","",IF($F39="A",INDEX(Matches!$O$5:$O$12,MATCH($B39,Matches!$A$5:$A$12,0)),1-INDEX(Matches!$O$5:$O$12,MATCH($B39,Matches!$A$5:$A$12,0)))),"")</f>
        <v/>
      </c>
      <c r="V39">
        <f>IFERROR(N(INDEX(Matches!$Q$5:$Q$12,MATCH($B39,Matches!$A$5:$A$12,0))),0)</f>
        <v/>
      </c>
      <c r="W39" s="11">
        <f>IF(OR($U39="",$J39=""),"",$L39*($U39*$J39+(1-$U39)*$K39))</f>
        <v/>
      </c>
      <c r="X39">
        <f>IF($W39="","",IF(LEFT($B39,4)="DOTA",Config!$B$7,Config!$B$6)*$W39+$L39^2*$U39*(1-$U39)*($J39-$K39)^2)</f>
        <v/>
      </c>
      <c r="Y39" s="11">
        <f>IF($O39="","",$O39)</f>
        <v/>
      </c>
      <c r="Z39">
        <f>IF($P39="","",$P39)</f>
        <v/>
      </c>
      <c r="AA39" s="11">
        <f>IF($O39="","",N($N39)*N($O39)+N($R39)*N($S39))</f>
        <v/>
      </c>
      <c r="AB39">
        <f>IF($O39="","",(N($N39)*N($P39)+N($N39)*(1-N($N39))*N($O39)^2)+(N($R39)*N($T39)+N($R39)*(1-N($R39))*N($S39)^2))</f>
        <v/>
      </c>
      <c r="AC39" s="11">
        <f>IF($O39="","",N($N39)*N($O39)+N($R39)*N($S39)+N($V39)*N($W39))</f>
        <v/>
      </c>
      <c r="AD39">
        <f>IF($O39="","",(N($N39)*N($P39)+N($N39)*(1-N($N39))*N($O39)^2)+(N($R39)*N($T39)+N($R39)*(1-N($R39))*N($S39)^2)+(N($V39)*N($X39)+N($V39)*(1-N($V39))*N($W39)^2))</f>
        <v/>
      </c>
      <c r="AE39" s="11">
        <f>IF($I39="","",$I39*$L39)</f>
        <v/>
      </c>
      <c r="AF39" s="11">
        <f>IF($I39="","",$I39*$L39*(1+N($R39)))</f>
        <v/>
      </c>
      <c r="AG39" s="11">
        <f>IF($I39="","",$I39*$L39*(1+N($R39)+N($V39)))</f>
        <v/>
      </c>
      <c r="AH39">
        <f>TRIM(IF($G39&lt;Config!$B$9,"thin sample ("&amp;$G39&amp;" maps) · ","")&amp;IF($I39="","no PickFinder stats · ","")&amp;IFERROR(IF(INDEX(Players!$T$2:$T$66,MATCH($E39,Players!$A$2:$A$66,0))&lt;0.5,"new roster: "&amp;TEXT(INDEX(Players!$T$2:$T$66,MATCH($E39,Players!$A$2:$A$66,0)),"0%")&amp;" of his recent games with these teammates",""),""))</f>
        <v/>
      </c>
      <c r="AI39">
        <f>IF($B39=Board!$B$2,COUNTIFS($B$2:$B$66,Board!$B$2,$Y$2:$Y$66,"&gt;"&amp;$Y39)+COUNTIFS($B$1:$B38,Board!$B$2,$Y$1:$Y38,$Y39)+1,"")</f>
        <v/>
      </c>
      <c r="AJ39">
        <f>IFERROR(IF(INDEX(Matches!$D$5:$D$12,MATCH($B39,Matches!$A$5:$A$12,0))=3,"K12","K13"),"K13")</f>
        <v/>
      </c>
      <c r="AK39" s="11">
        <f>IF($AJ39="K12",$AA39,$AC39)</f>
        <v/>
      </c>
    </row>
    <row r="40">
      <c r="A40" t="inlineStr">
        <is>
          <t>ik18oe6e112nifa|LOL · KC vs BLG</t>
        </is>
      </c>
      <c r="B40" t="inlineStr">
        <is>
          <t>LOL · KC vs BLG</t>
        </is>
      </c>
      <c r="C40" t="inlineStr">
        <is>
          <t>BLG</t>
        </is>
      </c>
      <c r="D40" t="inlineStr">
        <is>
          <t>Viper</t>
        </is>
      </c>
      <c r="E40" t="inlineStr">
        <is>
          <t>ik18oe6e112nifa</t>
        </is>
      </c>
      <c r="F40">
        <f>IFERROR(IF($C40=INDEX(Matches!$S$5:$S$12,MATCH($B40,Matches!$A$5:$A$12,0)),"A",IF($C40=INDEX(Matches!$T$5:$T$12,MATCH($B40,Matches!$A$5:$A$12,0)),"B","")),"")</f>
        <v/>
      </c>
      <c r="G40">
        <f>IFERROR(INDEX(Players!$E$2:$E$66,MATCH($E40,Players!$A$2:$A$66,0)),0)</f>
        <v/>
      </c>
      <c r="H40" s="6">
        <f>IFERROR(INDEX(Players!$F$2:$F$66,MATCH($E40,Players!$A$2:$A$66,0)),"")</f>
        <v/>
      </c>
      <c r="I40">
        <f>IFERROR(INDEX(Players!$G$2:$G$66,MATCH($E40,Players!$A$2:$A$66,0)),"")</f>
        <v/>
      </c>
      <c r="J40" s="11">
        <f>IF(OR($I40="",$H40=""),"",$I40*IF(LEFT($B40,4)="DOTA",Config!$B$5,Config!$B$4)/($H40*IF(LEFT($B40,4)="DOTA",Config!$B$5,Config!$B$4)+1-$H40))</f>
        <v/>
      </c>
      <c r="K40" s="11">
        <f>IF(OR($I40="",$H40=""),"",$I40/($H40*IF(LEFT($B40,4)="DOTA",Config!$B$5,Config!$B$4)+1-$H40))</f>
        <v/>
      </c>
      <c r="L40">
        <f>IFERROR(INDEX(Matches!$R$5:$R$12,MATCH($B40,Matches!$A$5:$A$12,0)),1)</f>
        <v/>
      </c>
      <c r="M40" s="6">
        <f>IFERROR(IF(INDEX(Matches!$M$5:$M$12,MATCH($B40,Matches!$A$5:$A$12,0))="","",IF($F40="A",INDEX(Matches!$M$5:$M$12,MATCH($B40,Matches!$A$5:$A$12,0)),1-INDEX(Matches!$M$5:$M$12,MATCH($B40,Matches!$A$5:$A$12,0)))),"")</f>
        <v/>
      </c>
      <c r="N40">
        <f>1</f>
        <v/>
      </c>
      <c r="O40" s="11">
        <f>IF(OR($M40="",$J40=""),"",$L40*($M40*$J40+(1-$M40)*$K40))</f>
        <v/>
      </c>
      <c r="P40">
        <f>IF($O40="","",IF(LEFT($B40,4)="DOTA",Config!$B$7,Config!$B$6)*$O40+$L40^2*$M40*(1-$M40)*($J40-$K40)^2)</f>
        <v/>
      </c>
      <c r="Q40" s="6">
        <f>IFERROR(IF(INDEX(Matches!$N$5:$N$12,MATCH($B40,Matches!$A$5:$A$12,0))="","",IF($F40="A",INDEX(Matches!$N$5:$N$12,MATCH($B40,Matches!$A$5:$A$12,0)),1-INDEX(Matches!$N$5:$N$12,MATCH($B40,Matches!$A$5:$A$12,0)))),"")</f>
        <v/>
      </c>
      <c r="R40">
        <f>IFERROR(N(INDEX(Matches!$P$5:$P$12,MATCH($B40,Matches!$A$5:$A$12,0))),0)</f>
        <v/>
      </c>
      <c r="S40" s="11">
        <f>IF(OR($Q40="",$J40=""),"",$L40*($Q40*$J40+(1-$Q40)*$K40))</f>
        <v/>
      </c>
      <c r="T40">
        <f>IF($S40="","",IF(LEFT($B40,4)="DOTA",Config!$B$7,Config!$B$6)*$S40+$L40^2*$Q40*(1-$Q40)*($J40-$K40)^2)</f>
        <v/>
      </c>
      <c r="U40" s="6">
        <f>IFERROR(IF(INDEX(Matches!$O$5:$O$12,MATCH($B40,Matches!$A$5:$A$12,0))="","",IF($F40="A",INDEX(Matches!$O$5:$O$12,MATCH($B40,Matches!$A$5:$A$12,0)),1-INDEX(Matches!$O$5:$O$12,MATCH($B40,Matches!$A$5:$A$12,0)))),"")</f>
        <v/>
      </c>
      <c r="V40">
        <f>IFERROR(N(INDEX(Matches!$Q$5:$Q$12,MATCH($B40,Matches!$A$5:$A$12,0))),0)</f>
        <v/>
      </c>
      <c r="W40" s="11">
        <f>IF(OR($U40="",$J40=""),"",$L40*($U40*$J40+(1-$U40)*$K40))</f>
        <v/>
      </c>
      <c r="X40">
        <f>IF($W40="","",IF(LEFT($B40,4)="DOTA",Config!$B$7,Config!$B$6)*$W40+$L40^2*$U40*(1-$U40)*($J40-$K40)^2)</f>
        <v/>
      </c>
      <c r="Y40" s="11">
        <f>IF($O40="","",$O40)</f>
        <v/>
      </c>
      <c r="Z40">
        <f>IF($P40="","",$P40)</f>
        <v/>
      </c>
      <c r="AA40" s="11">
        <f>IF($O40="","",N($N40)*N($O40)+N($R40)*N($S40))</f>
        <v/>
      </c>
      <c r="AB40">
        <f>IF($O40="","",(N($N40)*N($P40)+N($N40)*(1-N($N40))*N($O40)^2)+(N($R40)*N($T40)+N($R40)*(1-N($R40))*N($S40)^2))</f>
        <v/>
      </c>
      <c r="AC40" s="11">
        <f>IF($O40="","",N($N40)*N($O40)+N($R40)*N($S40)+N($V40)*N($W40))</f>
        <v/>
      </c>
      <c r="AD40">
        <f>IF($O40="","",(N($N40)*N($P40)+N($N40)*(1-N($N40))*N($O40)^2)+(N($R40)*N($T40)+N($R40)*(1-N($R40))*N($S40)^2)+(N($V40)*N($X40)+N($V40)*(1-N($V40))*N($W40)^2))</f>
        <v/>
      </c>
      <c r="AE40" s="11">
        <f>IF($I40="","",$I40*$L40)</f>
        <v/>
      </c>
      <c r="AF40" s="11">
        <f>IF($I40="","",$I40*$L40*(1+N($R40)))</f>
        <v/>
      </c>
      <c r="AG40" s="11">
        <f>IF($I40="","",$I40*$L40*(1+N($R40)+N($V40)))</f>
        <v/>
      </c>
      <c r="AH40">
        <f>TRIM(IF($G40&lt;Config!$B$9,"thin sample ("&amp;$G40&amp;" maps) · ","")&amp;IF($I40="","no PickFinder stats · ","")&amp;IFERROR(IF(INDEX(Players!$T$2:$T$66,MATCH($E40,Players!$A$2:$A$66,0))&lt;0.5,"new roster: "&amp;TEXT(INDEX(Players!$T$2:$T$66,MATCH($E40,Players!$A$2:$A$66,0)),"0%")&amp;" of his recent games with these teammates",""),""))</f>
        <v/>
      </c>
      <c r="AI40">
        <f>IF($B40=Board!$B$2,COUNTIFS($B$2:$B$66,Board!$B$2,$Y$2:$Y$66,"&gt;"&amp;$Y40)+COUNTIFS($B$1:$B39,Board!$B$2,$Y$1:$Y39,$Y40)+1,"")</f>
        <v/>
      </c>
      <c r="AJ40">
        <f>IFERROR(IF(INDEX(Matches!$D$5:$D$12,MATCH($B40,Matches!$A$5:$A$12,0))=3,"K12","K13"),"K13")</f>
        <v/>
      </c>
      <c r="AK40" s="11">
        <f>IF($AJ40="K12",$AA40,$AC40)</f>
        <v/>
      </c>
    </row>
    <row r="41">
      <c r="A41" t="inlineStr">
        <is>
          <t>3565cqfb2f3cq21|LOL · KC vs BLG</t>
        </is>
      </c>
      <c r="B41" t="inlineStr">
        <is>
          <t>LOL · KC vs BLG</t>
        </is>
      </c>
      <c r="C41" t="inlineStr">
        <is>
          <t>BLG</t>
        </is>
      </c>
      <c r="D41" t="inlineStr">
        <is>
          <t>XUN</t>
        </is>
      </c>
      <c r="E41" t="inlineStr">
        <is>
          <t>3565cqfb2f3cq21</t>
        </is>
      </c>
      <c r="F41">
        <f>IFERROR(IF($C41=INDEX(Matches!$S$5:$S$12,MATCH($B41,Matches!$A$5:$A$12,0)),"A",IF($C41=INDEX(Matches!$T$5:$T$12,MATCH($B41,Matches!$A$5:$A$12,0)),"B","")),"")</f>
        <v/>
      </c>
      <c r="G41">
        <f>IFERROR(INDEX(Players!$E$2:$E$66,MATCH($E41,Players!$A$2:$A$66,0)),0)</f>
        <v/>
      </c>
      <c r="H41" s="6">
        <f>IFERROR(INDEX(Players!$F$2:$F$66,MATCH($E41,Players!$A$2:$A$66,0)),"")</f>
        <v/>
      </c>
      <c r="I41">
        <f>IFERROR(INDEX(Players!$G$2:$G$66,MATCH($E41,Players!$A$2:$A$66,0)),"")</f>
        <v/>
      </c>
      <c r="J41" s="11">
        <f>IF(OR($I41="",$H41=""),"",$I41*IF(LEFT($B41,4)="DOTA",Config!$B$5,Config!$B$4)/($H41*IF(LEFT($B41,4)="DOTA",Config!$B$5,Config!$B$4)+1-$H41))</f>
        <v/>
      </c>
      <c r="K41" s="11">
        <f>IF(OR($I41="",$H41=""),"",$I41/($H41*IF(LEFT($B41,4)="DOTA",Config!$B$5,Config!$B$4)+1-$H41))</f>
        <v/>
      </c>
      <c r="L41">
        <f>IFERROR(INDEX(Matches!$R$5:$R$12,MATCH($B41,Matches!$A$5:$A$12,0)),1)</f>
        <v/>
      </c>
      <c r="M41" s="6">
        <f>IFERROR(IF(INDEX(Matches!$M$5:$M$12,MATCH($B41,Matches!$A$5:$A$12,0))="","",IF($F41="A",INDEX(Matches!$M$5:$M$12,MATCH($B41,Matches!$A$5:$A$12,0)),1-INDEX(Matches!$M$5:$M$12,MATCH($B41,Matches!$A$5:$A$12,0)))),"")</f>
        <v/>
      </c>
      <c r="N41">
        <f>1</f>
        <v/>
      </c>
      <c r="O41" s="11">
        <f>IF(OR($M41="",$J41=""),"",$L41*($M41*$J41+(1-$M41)*$K41))</f>
        <v/>
      </c>
      <c r="P41">
        <f>IF($O41="","",IF(LEFT($B41,4)="DOTA",Config!$B$7,Config!$B$6)*$O41+$L41^2*$M41*(1-$M41)*($J41-$K41)^2)</f>
        <v/>
      </c>
      <c r="Q41" s="6">
        <f>IFERROR(IF(INDEX(Matches!$N$5:$N$12,MATCH($B41,Matches!$A$5:$A$12,0))="","",IF($F41="A",INDEX(Matches!$N$5:$N$12,MATCH($B41,Matches!$A$5:$A$12,0)),1-INDEX(Matches!$N$5:$N$12,MATCH($B41,Matches!$A$5:$A$12,0)))),"")</f>
        <v/>
      </c>
      <c r="R41">
        <f>IFERROR(N(INDEX(Matches!$P$5:$P$12,MATCH($B41,Matches!$A$5:$A$12,0))),0)</f>
        <v/>
      </c>
      <c r="S41" s="11">
        <f>IF(OR($Q41="",$J41=""),"",$L41*($Q41*$J41+(1-$Q41)*$K41))</f>
        <v/>
      </c>
      <c r="T41">
        <f>IF($S41="","",IF(LEFT($B41,4)="DOTA",Config!$B$7,Config!$B$6)*$S41+$L41^2*$Q41*(1-$Q41)*($J41-$K41)^2)</f>
        <v/>
      </c>
      <c r="U41" s="6">
        <f>IFERROR(IF(INDEX(Matches!$O$5:$O$12,MATCH($B41,Matches!$A$5:$A$12,0))="","",IF($F41="A",INDEX(Matches!$O$5:$O$12,MATCH($B41,Matches!$A$5:$A$12,0)),1-INDEX(Matches!$O$5:$O$12,MATCH($B41,Matches!$A$5:$A$12,0)))),"")</f>
        <v/>
      </c>
      <c r="V41">
        <f>IFERROR(N(INDEX(Matches!$Q$5:$Q$12,MATCH($B41,Matches!$A$5:$A$12,0))),0)</f>
        <v/>
      </c>
      <c r="W41" s="11">
        <f>IF(OR($U41="",$J41=""),"",$L41*($U41*$J41+(1-$U41)*$K41))</f>
        <v/>
      </c>
      <c r="X41">
        <f>IF($W41="","",IF(LEFT($B41,4)="DOTA",Config!$B$7,Config!$B$6)*$W41+$L41^2*$U41*(1-$U41)*($J41-$K41)^2)</f>
        <v/>
      </c>
      <c r="Y41" s="11">
        <f>IF($O41="","",$O41)</f>
        <v/>
      </c>
      <c r="Z41">
        <f>IF($P41="","",$P41)</f>
        <v/>
      </c>
      <c r="AA41" s="11">
        <f>IF($O41="","",N($N41)*N($O41)+N($R41)*N($S41))</f>
        <v/>
      </c>
      <c r="AB41">
        <f>IF($O41="","",(N($N41)*N($P41)+N($N41)*(1-N($N41))*N($O41)^2)+(N($R41)*N($T41)+N($R41)*(1-N($R41))*N($S41)^2))</f>
        <v/>
      </c>
      <c r="AC41" s="11">
        <f>IF($O41="","",N($N41)*N($O41)+N($R41)*N($S41)+N($V41)*N($W41))</f>
        <v/>
      </c>
      <c r="AD41">
        <f>IF($O41="","",(N($N41)*N($P41)+N($N41)*(1-N($N41))*N($O41)^2)+(N($R41)*N($T41)+N($R41)*(1-N($R41))*N($S41)^2)+(N($V41)*N($X41)+N($V41)*(1-N($V41))*N($W41)^2))</f>
        <v/>
      </c>
      <c r="AE41" s="11">
        <f>IF($I41="","",$I41*$L41)</f>
        <v/>
      </c>
      <c r="AF41" s="11">
        <f>IF($I41="","",$I41*$L41*(1+N($R41)))</f>
        <v/>
      </c>
      <c r="AG41" s="11">
        <f>IF($I41="","",$I41*$L41*(1+N($R41)+N($V41)))</f>
        <v/>
      </c>
      <c r="AH41">
        <f>TRIM(IF($G41&lt;Config!$B$9,"thin sample ("&amp;$G41&amp;" maps) · ","")&amp;IF($I41="","no PickFinder stats · ","")&amp;IFERROR(IF(INDEX(Players!$T$2:$T$66,MATCH($E41,Players!$A$2:$A$66,0))&lt;0.5,"new roster: "&amp;TEXT(INDEX(Players!$T$2:$T$66,MATCH($E41,Players!$A$2:$A$66,0)),"0%")&amp;" of his recent games with these teammates",""),""))</f>
        <v/>
      </c>
      <c r="AI41">
        <f>IF($B41=Board!$B$2,COUNTIFS($B$2:$B$66,Board!$B$2,$Y$2:$Y$66,"&gt;"&amp;$Y41)+COUNTIFS($B$1:$B40,Board!$B$2,$Y$1:$Y40,$Y41)+1,"")</f>
        <v/>
      </c>
      <c r="AJ41">
        <f>IFERROR(IF(INDEX(Matches!$D$5:$D$12,MATCH($B41,Matches!$A$5:$A$12,0))=3,"K12","K13"),"K13")</f>
        <v/>
      </c>
      <c r="AK41" s="11">
        <f>IF($AJ41="K12",$AA41,$AC41)</f>
        <v/>
      </c>
    </row>
    <row r="42">
      <c r="A42" t="inlineStr">
        <is>
          <t>60n3jocjohvthia|LOL · KC vs BLG</t>
        </is>
      </c>
      <c r="B42" t="inlineStr">
        <is>
          <t>LOL · KC vs BLG</t>
        </is>
      </c>
      <c r="C42" t="inlineStr">
        <is>
          <t>KC</t>
        </is>
      </c>
      <c r="D42" t="inlineStr">
        <is>
          <t>Caliste</t>
        </is>
      </c>
      <c r="E42" t="inlineStr">
        <is>
          <t>60n3jocjohvthia</t>
        </is>
      </c>
      <c r="F42">
        <f>IFERROR(IF($C42=INDEX(Matches!$S$5:$S$12,MATCH($B42,Matches!$A$5:$A$12,0)),"A",IF($C42=INDEX(Matches!$T$5:$T$12,MATCH($B42,Matches!$A$5:$A$12,0)),"B","")),"")</f>
        <v/>
      </c>
      <c r="G42">
        <f>IFERROR(INDEX(Players!$E$2:$E$66,MATCH($E42,Players!$A$2:$A$66,0)),0)</f>
        <v/>
      </c>
      <c r="H42" s="6">
        <f>IFERROR(INDEX(Players!$F$2:$F$66,MATCH($E42,Players!$A$2:$A$66,0)),"")</f>
        <v/>
      </c>
      <c r="I42">
        <f>IFERROR(INDEX(Players!$G$2:$G$66,MATCH($E42,Players!$A$2:$A$66,0)),"")</f>
        <v/>
      </c>
      <c r="J42" s="11">
        <f>IF(OR($I42="",$H42=""),"",$I42*IF(LEFT($B42,4)="DOTA",Config!$B$5,Config!$B$4)/($H42*IF(LEFT($B42,4)="DOTA",Config!$B$5,Config!$B$4)+1-$H42))</f>
        <v/>
      </c>
      <c r="K42" s="11">
        <f>IF(OR($I42="",$H42=""),"",$I42/($H42*IF(LEFT($B42,4)="DOTA",Config!$B$5,Config!$B$4)+1-$H42))</f>
        <v/>
      </c>
      <c r="L42">
        <f>IFERROR(INDEX(Matches!$R$5:$R$12,MATCH($B42,Matches!$A$5:$A$12,0)),1)</f>
        <v/>
      </c>
      <c r="M42" s="6">
        <f>IFERROR(IF(INDEX(Matches!$M$5:$M$12,MATCH($B42,Matches!$A$5:$A$12,0))="","",IF($F42="A",INDEX(Matches!$M$5:$M$12,MATCH($B42,Matches!$A$5:$A$12,0)),1-INDEX(Matches!$M$5:$M$12,MATCH($B42,Matches!$A$5:$A$12,0)))),"")</f>
        <v/>
      </c>
      <c r="N42">
        <f>1</f>
        <v/>
      </c>
      <c r="O42" s="11">
        <f>IF(OR($M42="",$J42=""),"",$L42*($M42*$J42+(1-$M42)*$K42))</f>
        <v/>
      </c>
      <c r="P42">
        <f>IF($O42="","",IF(LEFT($B42,4)="DOTA",Config!$B$7,Config!$B$6)*$O42+$L42^2*$M42*(1-$M42)*($J42-$K42)^2)</f>
        <v/>
      </c>
      <c r="Q42" s="6">
        <f>IFERROR(IF(INDEX(Matches!$N$5:$N$12,MATCH($B42,Matches!$A$5:$A$12,0))="","",IF($F42="A",INDEX(Matches!$N$5:$N$12,MATCH($B42,Matches!$A$5:$A$12,0)),1-INDEX(Matches!$N$5:$N$12,MATCH($B42,Matches!$A$5:$A$12,0)))),"")</f>
        <v/>
      </c>
      <c r="R42">
        <f>IFERROR(N(INDEX(Matches!$P$5:$P$12,MATCH($B42,Matches!$A$5:$A$12,0))),0)</f>
        <v/>
      </c>
      <c r="S42" s="11">
        <f>IF(OR($Q42="",$J42=""),"",$L42*($Q42*$J42+(1-$Q42)*$K42))</f>
        <v/>
      </c>
      <c r="T42">
        <f>IF($S42="","",IF(LEFT($B42,4)="DOTA",Config!$B$7,Config!$B$6)*$S42+$L42^2*$Q42*(1-$Q42)*($J42-$K42)^2)</f>
        <v/>
      </c>
      <c r="U42" s="6">
        <f>IFERROR(IF(INDEX(Matches!$O$5:$O$12,MATCH($B42,Matches!$A$5:$A$12,0))="","",IF($F42="A",INDEX(Matches!$O$5:$O$12,MATCH($B42,Matches!$A$5:$A$12,0)),1-INDEX(Matches!$O$5:$O$12,MATCH($B42,Matches!$A$5:$A$12,0)))),"")</f>
        <v/>
      </c>
      <c r="V42">
        <f>IFERROR(N(INDEX(Matches!$Q$5:$Q$12,MATCH($B42,Matches!$A$5:$A$12,0))),0)</f>
        <v/>
      </c>
      <c r="W42" s="11">
        <f>IF(OR($U42="",$J42=""),"",$L42*($U42*$J42+(1-$U42)*$K42))</f>
        <v/>
      </c>
      <c r="X42">
        <f>IF($W42="","",IF(LEFT($B42,4)="DOTA",Config!$B$7,Config!$B$6)*$W42+$L42^2*$U42*(1-$U42)*($J42-$K42)^2)</f>
        <v/>
      </c>
      <c r="Y42" s="11">
        <f>IF($O42="","",$O42)</f>
        <v/>
      </c>
      <c r="Z42">
        <f>IF($P42="","",$P42)</f>
        <v/>
      </c>
      <c r="AA42" s="11">
        <f>IF($O42="","",N($N42)*N($O42)+N($R42)*N($S42))</f>
        <v/>
      </c>
      <c r="AB42">
        <f>IF($O42="","",(N($N42)*N($P42)+N($N42)*(1-N($N42))*N($O42)^2)+(N($R42)*N($T42)+N($R42)*(1-N($R42))*N($S42)^2))</f>
        <v/>
      </c>
      <c r="AC42" s="11">
        <f>IF($O42="","",N($N42)*N($O42)+N($R42)*N($S42)+N($V42)*N($W42))</f>
        <v/>
      </c>
      <c r="AD42">
        <f>IF($O42="","",(N($N42)*N($P42)+N($N42)*(1-N($N42))*N($O42)^2)+(N($R42)*N($T42)+N($R42)*(1-N($R42))*N($S42)^2)+(N($V42)*N($X42)+N($V42)*(1-N($V42))*N($W42)^2))</f>
        <v/>
      </c>
      <c r="AE42" s="11">
        <f>IF($I42="","",$I42*$L42)</f>
        <v/>
      </c>
      <c r="AF42" s="11">
        <f>IF($I42="","",$I42*$L42*(1+N($R42)))</f>
        <v/>
      </c>
      <c r="AG42" s="11">
        <f>IF($I42="","",$I42*$L42*(1+N($R42)+N($V42)))</f>
        <v/>
      </c>
      <c r="AH42">
        <f>TRIM(IF($G42&lt;Config!$B$9,"thin sample ("&amp;$G42&amp;" maps) · ","")&amp;IF($I42="","no PickFinder stats · ","")&amp;IFERROR(IF(INDEX(Players!$T$2:$T$66,MATCH($E42,Players!$A$2:$A$66,0))&lt;0.5,"new roster: "&amp;TEXT(INDEX(Players!$T$2:$T$66,MATCH($E42,Players!$A$2:$A$66,0)),"0%")&amp;" of his recent games with these teammates",""),""))</f>
        <v/>
      </c>
      <c r="AI42">
        <f>IF($B42=Board!$B$2,COUNTIFS($B$2:$B$66,Board!$B$2,$Y$2:$Y$66,"&gt;"&amp;$Y42)+COUNTIFS($B$1:$B41,Board!$B$2,$Y$1:$Y41,$Y42)+1,"")</f>
        <v/>
      </c>
      <c r="AJ42">
        <f>IFERROR(IF(INDEX(Matches!$D$5:$D$12,MATCH($B42,Matches!$A$5:$A$12,0))=3,"K12","K13"),"K13")</f>
        <v/>
      </c>
      <c r="AK42" s="11">
        <f>IF($AJ42="K12",$AA42,$AC42)</f>
        <v/>
      </c>
    </row>
    <row r="43">
      <c r="A43" t="inlineStr">
        <is>
          <t>cp4ibkwui10xeyj|LOL · KC vs BLG</t>
        </is>
      </c>
      <c r="B43" t="inlineStr">
        <is>
          <t>LOL · KC vs BLG</t>
        </is>
      </c>
      <c r="C43" t="inlineStr">
        <is>
          <t>KC</t>
        </is>
      </c>
      <c r="D43" t="inlineStr">
        <is>
          <t>Kyeahoo</t>
        </is>
      </c>
      <c r="E43" t="inlineStr">
        <is>
          <t>cp4ibkwui10xeyj</t>
        </is>
      </c>
      <c r="F43">
        <f>IFERROR(IF($C43=INDEX(Matches!$S$5:$S$12,MATCH($B43,Matches!$A$5:$A$12,0)),"A",IF($C43=INDEX(Matches!$T$5:$T$12,MATCH($B43,Matches!$A$5:$A$12,0)),"B","")),"")</f>
        <v/>
      </c>
      <c r="G43">
        <f>IFERROR(INDEX(Players!$E$2:$E$66,MATCH($E43,Players!$A$2:$A$66,0)),0)</f>
        <v/>
      </c>
      <c r="H43" s="6">
        <f>IFERROR(INDEX(Players!$F$2:$F$66,MATCH($E43,Players!$A$2:$A$66,0)),"")</f>
        <v/>
      </c>
      <c r="I43">
        <f>IFERROR(INDEX(Players!$G$2:$G$66,MATCH($E43,Players!$A$2:$A$66,0)),"")</f>
        <v/>
      </c>
      <c r="J43" s="11">
        <f>IF(OR($I43="",$H43=""),"",$I43*IF(LEFT($B43,4)="DOTA",Config!$B$5,Config!$B$4)/($H43*IF(LEFT($B43,4)="DOTA",Config!$B$5,Config!$B$4)+1-$H43))</f>
        <v/>
      </c>
      <c r="K43" s="11">
        <f>IF(OR($I43="",$H43=""),"",$I43/($H43*IF(LEFT($B43,4)="DOTA",Config!$B$5,Config!$B$4)+1-$H43))</f>
        <v/>
      </c>
      <c r="L43">
        <f>IFERROR(INDEX(Matches!$R$5:$R$12,MATCH($B43,Matches!$A$5:$A$12,0)),1)</f>
        <v/>
      </c>
      <c r="M43" s="6">
        <f>IFERROR(IF(INDEX(Matches!$M$5:$M$12,MATCH($B43,Matches!$A$5:$A$12,0))="","",IF($F43="A",INDEX(Matches!$M$5:$M$12,MATCH($B43,Matches!$A$5:$A$12,0)),1-INDEX(Matches!$M$5:$M$12,MATCH($B43,Matches!$A$5:$A$12,0)))),"")</f>
        <v/>
      </c>
      <c r="N43">
        <f>1</f>
        <v/>
      </c>
      <c r="O43" s="11">
        <f>IF(OR($M43="",$J43=""),"",$L43*($M43*$J43+(1-$M43)*$K43))</f>
        <v/>
      </c>
      <c r="P43">
        <f>IF($O43="","",IF(LEFT($B43,4)="DOTA",Config!$B$7,Config!$B$6)*$O43+$L43^2*$M43*(1-$M43)*($J43-$K43)^2)</f>
        <v/>
      </c>
      <c r="Q43" s="6">
        <f>IFERROR(IF(INDEX(Matches!$N$5:$N$12,MATCH($B43,Matches!$A$5:$A$12,0))="","",IF($F43="A",INDEX(Matches!$N$5:$N$12,MATCH($B43,Matches!$A$5:$A$12,0)),1-INDEX(Matches!$N$5:$N$12,MATCH($B43,Matches!$A$5:$A$12,0)))),"")</f>
        <v/>
      </c>
      <c r="R43">
        <f>IFERROR(N(INDEX(Matches!$P$5:$P$12,MATCH($B43,Matches!$A$5:$A$12,0))),0)</f>
        <v/>
      </c>
      <c r="S43" s="11">
        <f>IF(OR($Q43="",$J43=""),"",$L43*($Q43*$J43+(1-$Q43)*$K43))</f>
        <v/>
      </c>
      <c r="T43">
        <f>IF($S43="","",IF(LEFT($B43,4)="DOTA",Config!$B$7,Config!$B$6)*$S43+$L43^2*$Q43*(1-$Q43)*($J43-$K43)^2)</f>
        <v/>
      </c>
      <c r="U43" s="6">
        <f>IFERROR(IF(INDEX(Matches!$O$5:$O$12,MATCH($B43,Matches!$A$5:$A$12,0))="","",IF($F43="A",INDEX(Matches!$O$5:$O$12,MATCH($B43,Matches!$A$5:$A$12,0)),1-INDEX(Matches!$O$5:$O$12,MATCH($B43,Matches!$A$5:$A$12,0)))),"")</f>
        <v/>
      </c>
      <c r="V43">
        <f>IFERROR(N(INDEX(Matches!$Q$5:$Q$12,MATCH($B43,Matches!$A$5:$A$12,0))),0)</f>
        <v/>
      </c>
      <c r="W43" s="11">
        <f>IF(OR($U43="",$J43=""),"",$L43*($U43*$J43+(1-$U43)*$K43))</f>
        <v/>
      </c>
      <c r="X43">
        <f>IF($W43="","",IF(LEFT($B43,4)="DOTA",Config!$B$7,Config!$B$6)*$W43+$L43^2*$U43*(1-$U43)*($J43-$K43)^2)</f>
        <v/>
      </c>
      <c r="Y43" s="11">
        <f>IF($O43="","",$O43)</f>
        <v/>
      </c>
      <c r="Z43">
        <f>IF($P43="","",$P43)</f>
        <v/>
      </c>
      <c r="AA43" s="11">
        <f>IF($O43="","",N($N43)*N($O43)+N($R43)*N($S43))</f>
        <v/>
      </c>
      <c r="AB43">
        <f>IF($O43="","",(N($N43)*N($P43)+N($N43)*(1-N($N43))*N($O43)^2)+(N($R43)*N($T43)+N($R43)*(1-N($R43))*N($S43)^2))</f>
        <v/>
      </c>
      <c r="AC43" s="11">
        <f>IF($O43="","",N($N43)*N($O43)+N($R43)*N($S43)+N($V43)*N($W43))</f>
        <v/>
      </c>
      <c r="AD43">
        <f>IF($O43="","",(N($N43)*N($P43)+N($N43)*(1-N($N43))*N($O43)^2)+(N($R43)*N($T43)+N($R43)*(1-N($R43))*N($S43)^2)+(N($V43)*N($X43)+N($V43)*(1-N($V43))*N($W43)^2))</f>
        <v/>
      </c>
      <c r="AE43" s="11">
        <f>IF($I43="","",$I43*$L43)</f>
        <v/>
      </c>
      <c r="AF43" s="11">
        <f>IF($I43="","",$I43*$L43*(1+N($R43)))</f>
        <v/>
      </c>
      <c r="AG43" s="11">
        <f>IF($I43="","",$I43*$L43*(1+N($R43)+N($V43)))</f>
        <v/>
      </c>
      <c r="AH43">
        <f>TRIM(IF($G43&lt;Config!$B$9,"thin sample ("&amp;$G43&amp;" maps) · ","")&amp;IF($I43="","no PickFinder stats · ","")&amp;IFERROR(IF(INDEX(Players!$T$2:$T$66,MATCH($E43,Players!$A$2:$A$66,0))&lt;0.5,"new roster: "&amp;TEXT(INDEX(Players!$T$2:$T$66,MATCH($E43,Players!$A$2:$A$66,0)),"0%")&amp;" of his recent games with these teammates",""),""))</f>
        <v/>
      </c>
      <c r="AI43">
        <f>IF($B43=Board!$B$2,COUNTIFS($B$2:$B$66,Board!$B$2,$Y$2:$Y$66,"&gt;"&amp;$Y43)+COUNTIFS($B$1:$B42,Board!$B$2,$Y$1:$Y42,$Y43)+1,"")</f>
        <v/>
      </c>
      <c r="AJ43">
        <f>IFERROR(IF(INDEX(Matches!$D$5:$D$12,MATCH($B43,Matches!$A$5:$A$12,0))=3,"K12","K13"),"K13")</f>
        <v/>
      </c>
      <c r="AK43" s="11">
        <f>IF($AJ43="K12",$AA43,$AC43)</f>
        <v/>
      </c>
    </row>
    <row r="44">
      <c r="A44" t="inlineStr">
        <is>
          <t>rfespsq7mcurckt|LOL · KC vs BLG</t>
        </is>
      </c>
      <c r="B44" t="inlineStr">
        <is>
          <t>LOL · KC vs BLG</t>
        </is>
      </c>
      <c r="C44" t="inlineStr">
        <is>
          <t>KC</t>
        </is>
      </c>
      <c r="D44" t="inlineStr">
        <is>
          <t>Yike</t>
        </is>
      </c>
      <c r="E44" t="inlineStr">
        <is>
          <t>rfespsq7mcurckt</t>
        </is>
      </c>
      <c r="F44">
        <f>IFERROR(IF($C44=INDEX(Matches!$S$5:$S$12,MATCH($B44,Matches!$A$5:$A$12,0)),"A",IF($C44=INDEX(Matches!$T$5:$T$12,MATCH($B44,Matches!$A$5:$A$12,0)),"B","")),"")</f>
        <v/>
      </c>
      <c r="G44">
        <f>IFERROR(INDEX(Players!$E$2:$E$66,MATCH($E44,Players!$A$2:$A$66,0)),0)</f>
        <v/>
      </c>
      <c r="H44" s="6">
        <f>IFERROR(INDEX(Players!$F$2:$F$66,MATCH($E44,Players!$A$2:$A$66,0)),"")</f>
        <v/>
      </c>
      <c r="I44">
        <f>IFERROR(INDEX(Players!$G$2:$G$66,MATCH($E44,Players!$A$2:$A$66,0)),"")</f>
        <v/>
      </c>
      <c r="J44" s="11">
        <f>IF(OR($I44="",$H44=""),"",$I44*IF(LEFT($B44,4)="DOTA",Config!$B$5,Config!$B$4)/($H44*IF(LEFT($B44,4)="DOTA",Config!$B$5,Config!$B$4)+1-$H44))</f>
        <v/>
      </c>
      <c r="K44" s="11">
        <f>IF(OR($I44="",$H44=""),"",$I44/($H44*IF(LEFT($B44,4)="DOTA",Config!$B$5,Config!$B$4)+1-$H44))</f>
        <v/>
      </c>
      <c r="L44">
        <f>IFERROR(INDEX(Matches!$R$5:$R$12,MATCH($B44,Matches!$A$5:$A$12,0)),1)</f>
        <v/>
      </c>
      <c r="M44" s="6">
        <f>IFERROR(IF(INDEX(Matches!$M$5:$M$12,MATCH($B44,Matches!$A$5:$A$12,0))="","",IF($F44="A",INDEX(Matches!$M$5:$M$12,MATCH($B44,Matches!$A$5:$A$12,0)),1-INDEX(Matches!$M$5:$M$12,MATCH($B44,Matches!$A$5:$A$12,0)))),"")</f>
        <v/>
      </c>
      <c r="N44">
        <f>1</f>
        <v/>
      </c>
      <c r="O44" s="11">
        <f>IF(OR($M44="",$J44=""),"",$L44*($M44*$J44+(1-$M44)*$K44))</f>
        <v/>
      </c>
      <c r="P44">
        <f>IF($O44="","",IF(LEFT($B44,4)="DOTA",Config!$B$7,Config!$B$6)*$O44+$L44^2*$M44*(1-$M44)*($J44-$K44)^2)</f>
        <v/>
      </c>
      <c r="Q44" s="6">
        <f>IFERROR(IF(INDEX(Matches!$N$5:$N$12,MATCH($B44,Matches!$A$5:$A$12,0))="","",IF($F44="A",INDEX(Matches!$N$5:$N$12,MATCH($B44,Matches!$A$5:$A$12,0)),1-INDEX(Matches!$N$5:$N$12,MATCH($B44,Matches!$A$5:$A$12,0)))),"")</f>
        <v/>
      </c>
      <c r="R44">
        <f>IFERROR(N(INDEX(Matches!$P$5:$P$12,MATCH($B44,Matches!$A$5:$A$12,0))),0)</f>
        <v/>
      </c>
      <c r="S44" s="11">
        <f>IF(OR($Q44="",$J44=""),"",$L44*($Q44*$J44+(1-$Q44)*$K44))</f>
        <v/>
      </c>
      <c r="T44">
        <f>IF($S44="","",IF(LEFT($B44,4)="DOTA",Config!$B$7,Config!$B$6)*$S44+$L44^2*$Q44*(1-$Q44)*($J44-$K44)^2)</f>
        <v/>
      </c>
      <c r="U44" s="6">
        <f>IFERROR(IF(INDEX(Matches!$O$5:$O$12,MATCH($B44,Matches!$A$5:$A$12,0))="","",IF($F44="A",INDEX(Matches!$O$5:$O$12,MATCH($B44,Matches!$A$5:$A$12,0)),1-INDEX(Matches!$O$5:$O$12,MATCH($B44,Matches!$A$5:$A$12,0)))),"")</f>
        <v/>
      </c>
      <c r="V44">
        <f>IFERROR(N(INDEX(Matches!$Q$5:$Q$12,MATCH($B44,Matches!$A$5:$A$12,0))),0)</f>
        <v/>
      </c>
      <c r="W44" s="11">
        <f>IF(OR($U44="",$J44=""),"",$L44*($U44*$J44+(1-$U44)*$K44))</f>
        <v/>
      </c>
      <c r="X44">
        <f>IF($W44="","",IF(LEFT($B44,4)="DOTA",Config!$B$7,Config!$B$6)*$W44+$L44^2*$U44*(1-$U44)*($J44-$K44)^2)</f>
        <v/>
      </c>
      <c r="Y44" s="11">
        <f>IF($O44="","",$O44)</f>
        <v/>
      </c>
      <c r="Z44">
        <f>IF($P44="","",$P44)</f>
        <v/>
      </c>
      <c r="AA44" s="11">
        <f>IF($O44="","",N($N44)*N($O44)+N($R44)*N($S44))</f>
        <v/>
      </c>
      <c r="AB44">
        <f>IF($O44="","",(N($N44)*N($P44)+N($N44)*(1-N($N44))*N($O44)^2)+(N($R44)*N($T44)+N($R44)*(1-N($R44))*N($S44)^2))</f>
        <v/>
      </c>
      <c r="AC44" s="11">
        <f>IF($O44="","",N($N44)*N($O44)+N($R44)*N($S44)+N($V44)*N($W44))</f>
        <v/>
      </c>
      <c r="AD44">
        <f>IF($O44="","",(N($N44)*N($P44)+N($N44)*(1-N($N44))*N($O44)^2)+(N($R44)*N($T44)+N($R44)*(1-N($R44))*N($S44)^2)+(N($V44)*N($X44)+N($V44)*(1-N($V44))*N($W44)^2))</f>
        <v/>
      </c>
      <c r="AE44" s="11">
        <f>IF($I44="","",$I44*$L44)</f>
        <v/>
      </c>
      <c r="AF44" s="11">
        <f>IF($I44="","",$I44*$L44*(1+N($R44)))</f>
        <v/>
      </c>
      <c r="AG44" s="11">
        <f>IF($I44="","",$I44*$L44*(1+N($R44)+N($V44)))</f>
        <v/>
      </c>
      <c r="AH44">
        <f>TRIM(IF($G44&lt;Config!$B$9,"thin sample ("&amp;$G44&amp;" maps) · ","")&amp;IF($I44="","no PickFinder stats · ","")&amp;IFERROR(IF(INDEX(Players!$T$2:$T$66,MATCH($E44,Players!$A$2:$A$66,0))&lt;0.5,"new roster: "&amp;TEXT(INDEX(Players!$T$2:$T$66,MATCH($E44,Players!$A$2:$A$66,0)),"0%")&amp;" of his recent games with these teammates",""),""))</f>
        <v/>
      </c>
      <c r="AI44">
        <f>IF($B44=Board!$B$2,COUNTIFS($B$2:$B$66,Board!$B$2,$Y$2:$Y$66,"&gt;"&amp;$Y44)+COUNTIFS($B$1:$B43,Board!$B$2,$Y$1:$Y43,$Y44)+1,"")</f>
        <v/>
      </c>
      <c r="AJ44">
        <f>IFERROR(IF(INDEX(Matches!$D$5:$D$12,MATCH($B44,Matches!$A$5:$A$12,0))=3,"K12","K13"),"K13")</f>
        <v/>
      </c>
      <c r="AK44" s="11">
        <f>IF($AJ44="K12",$AA44,$AC44)</f>
        <v/>
      </c>
    </row>
    <row r="45">
      <c r="A45" t="inlineStr">
        <is>
          <t>f3sr4wlphwob12v|LOL · LOS vs TSW</t>
        </is>
      </c>
      <c r="B45" t="inlineStr">
        <is>
          <t>LOL · LOS vs TSW</t>
        </is>
      </c>
      <c r="C45" t="inlineStr">
        <is>
          <t>LOS</t>
        </is>
      </c>
      <c r="D45" t="inlineStr">
        <is>
          <t>Duduhh</t>
        </is>
      </c>
      <c r="E45" t="inlineStr">
        <is>
          <t>f3sr4wlphwob12v</t>
        </is>
      </c>
      <c r="F45">
        <f>IFERROR(IF($C45=INDEX(Matches!$S$5:$S$12,MATCH($B45,Matches!$A$5:$A$12,0)),"A",IF($C45=INDEX(Matches!$T$5:$T$12,MATCH($B45,Matches!$A$5:$A$12,0)),"B","")),"")</f>
        <v/>
      </c>
      <c r="G45">
        <f>IFERROR(INDEX(Players!$E$2:$E$66,MATCH($E45,Players!$A$2:$A$66,0)),0)</f>
        <v/>
      </c>
      <c r="H45" s="6">
        <f>IFERROR(INDEX(Players!$F$2:$F$66,MATCH($E45,Players!$A$2:$A$66,0)),"")</f>
        <v/>
      </c>
      <c r="I45">
        <f>IFERROR(INDEX(Players!$G$2:$G$66,MATCH($E45,Players!$A$2:$A$66,0)),"")</f>
        <v/>
      </c>
      <c r="J45" s="11">
        <f>IF(OR($I45="",$H45=""),"",$I45*IF(LEFT($B45,4)="DOTA",Config!$B$5,Config!$B$4)/($H45*IF(LEFT($B45,4)="DOTA",Config!$B$5,Config!$B$4)+1-$H45))</f>
        <v/>
      </c>
      <c r="K45" s="11">
        <f>IF(OR($I45="",$H45=""),"",$I45/($H45*IF(LEFT($B45,4)="DOTA",Config!$B$5,Config!$B$4)+1-$H45))</f>
        <v/>
      </c>
      <c r="L45">
        <f>IFERROR(INDEX(Matches!$R$5:$R$12,MATCH($B45,Matches!$A$5:$A$12,0)),1)</f>
        <v/>
      </c>
      <c r="M45" s="6">
        <f>IFERROR(IF(INDEX(Matches!$M$5:$M$12,MATCH($B45,Matches!$A$5:$A$12,0))="","",IF($F45="A",INDEX(Matches!$M$5:$M$12,MATCH($B45,Matches!$A$5:$A$12,0)),1-INDEX(Matches!$M$5:$M$12,MATCH($B45,Matches!$A$5:$A$12,0)))),"")</f>
        <v/>
      </c>
      <c r="N45">
        <f>1</f>
        <v/>
      </c>
      <c r="O45" s="11">
        <f>IF(OR($M45="",$J45=""),"",$L45*($M45*$J45+(1-$M45)*$K45))</f>
        <v/>
      </c>
      <c r="P45">
        <f>IF($O45="","",IF(LEFT($B45,4)="DOTA",Config!$B$7,Config!$B$6)*$O45+$L45^2*$M45*(1-$M45)*($J45-$K45)^2)</f>
        <v/>
      </c>
      <c r="Q45" s="6">
        <f>IFERROR(IF(INDEX(Matches!$N$5:$N$12,MATCH($B45,Matches!$A$5:$A$12,0))="","",IF($F45="A",INDEX(Matches!$N$5:$N$12,MATCH($B45,Matches!$A$5:$A$12,0)),1-INDEX(Matches!$N$5:$N$12,MATCH($B45,Matches!$A$5:$A$12,0)))),"")</f>
        <v/>
      </c>
      <c r="R45">
        <f>IFERROR(N(INDEX(Matches!$P$5:$P$12,MATCH($B45,Matches!$A$5:$A$12,0))),0)</f>
        <v/>
      </c>
      <c r="S45" s="11">
        <f>IF(OR($Q45="",$J45=""),"",$L45*($Q45*$J45+(1-$Q45)*$K45))</f>
        <v/>
      </c>
      <c r="T45">
        <f>IF($S45="","",IF(LEFT($B45,4)="DOTA",Config!$B$7,Config!$B$6)*$S45+$L45^2*$Q45*(1-$Q45)*($J45-$K45)^2)</f>
        <v/>
      </c>
      <c r="U45" s="6">
        <f>IFERROR(IF(INDEX(Matches!$O$5:$O$12,MATCH($B45,Matches!$A$5:$A$12,0))="","",IF($F45="A",INDEX(Matches!$O$5:$O$12,MATCH($B45,Matches!$A$5:$A$12,0)),1-INDEX(Matches!$O$5:$O$12,MATCH($B45,Matches!$A$5:$A$12,0)))),"")</f>
        <v/>
      </c>
      <c r="V45">
        <f>IFERROR(N(INDEX(Matches!$Q$5:$Q$12,MATCH($B45,Matches!$A$5:$A$12,0))),0)</f>
        <v/>
      </c>
      <c r="W45" s="11">
        <f>IF(OR($U45="",$J45=""),"",$L45*($U45*$J45+(1-$U45)*$K45))</f>
        <v/>
      </c>
      <c r="X45">
        <f>IF($W45="","",IF(LEFT($B45,4)="DOTA",Config!$B$7,Config!$B$6)*$W45+$L45^2*$U45*(1-$U45)*($J45-$K45)^2)</f>
        <v/>
      </c>
      <c r="Y45" s="11">
        <f>IF($O45="","",$O45)</f>
        <v/>
      </c>
      <c r="Z45">
        <f>IF($P45="","",$P45)</f>
        <v/>
      </c>
      <c r="AA45" s="11">
        <f>IF($O45="","",N($N45)*N($O45)+N($R45)*N($S45))</f>
        <v/>
      </c>
      <c r="AB45">
        <f>IF($O45="","",(N($N45)*N($P45)+N($N45)*(1-N($N45))*N($O45)^2)+(N($R45)*N($T45)+N($R45)*(1-N($R45))*N($S45)^2))</f>
        <v/>
      </c>
      <c r="AC45" s="11">
        <f>IF($O45="","",N($N45)*N($O45)+N($R45)*N($S45)+N($V45)*N($W45))</f>
        <v/>
      </c>
      <c r="AD45">
        <f>IF($O45="","",(N($N45)*N($P45)+N($N45)*(1-N($N45))*N($O45)^2)+(N($R45)*N($T45)+N($R45)*(1-N($R45))*N($S45)^2)+(N($V45)*N($X45)+N($V45)*(1-N($V45))*N($W45)^2))</f>
        <v/>
      </c>
      <c r="AE45" s="11">
        <f>IF($I45="","",$I45*$L45)</f>
        <v/>
      </c>
      <c r="AF45" s="11">
        <f>IF($I45="","",$I45*$L45*(1+N($R45)))</f>
        <v/>
      </c>
      <c r="AG45" s="11">
        <f>IF($I45="","",$I45*$L45*(1+N($R45)+N($V45)))</f>
        <v/>
      </c>
      <c r="AH45">
        <f>TRIM(IF($G45&lt;Config!$B$9,"thin sample ("&amp;$G45&amp;" maps) · ","")&amp;IF($I45="","no PickFinder stats · ","")&amp;IFERROR(IF(INDEX(Players!$T$2:$T$66,MATCH($E45,Players!$A$2:$A$66,0))&lt;0.5,"new roster: "&amp;TEXT(INDEX(Players!$T$2:$T$66,MATCH($E45,Players!$A$2:$A$66,0)),"0%")&amp;" of his recent games with these teammates",""),""))</f>
        <v/>
      </c>
      <c r="AI45">
        <f>IF($B45=Board!$B$2,COUNTIFS($B$2:$B$66,Board!$B$2,$Y$2:$Y$66,"&gt;"&amp;$Y45)+COUNTIFS($B$1:$B44,Board!$B$2,$Y$1:$Y44,$Y45)+1,"")</f>
        <v/>
      </c>
      <c r="AJ45">
        <f>IFERROR(IF(INDEX(Matches!$D$5:$D$12,MATCH($B45,Matches!$A$5:$A$12,0))=3,"K12","K13"),"K13")</f>
        <v/>
      </c>
      <c r="AK45" s="11">
        <f>IF($AJ45="K12",$AA45,$AC45)</f>
        <v/>
      </c>
    </row>
    <row r="46">
      <c r="A46" t="inlineStr">
        <is>
          <t>7an3gm5ji18vw08|LOL · LOS vs TSW</t>
        </is>
      </c>
      <c r="B46" t="inlineStr">
        <is>
          <t>LOL · LOS vs TSW</t>
        </is>
      </c>
      <c r="C46" t="inlineStr">
        <is>
          <t>LOS</t>
        </is>
      </c>
      <c r="D46" t="inlineStr">
        <is>
          <t>Feisty</t>
        </is>
      </c>
      <c r="E46" t="inlineStr">
        <is>
          <t>7an3gm5ji18vw08</t>
        </is>
      </c>
      <c r="F46">
        <f>IFERROR(IF($C46=INDEX(Matches!$S$5:$S$12,MATCH($B46,Matches!$A$5:$A$12,0)),"A",IF($C46=INDEX(Matches!$T$5:$T$12,MATCH($B46,Matches!$A$5:$A$12,0)),"B","")),"")</f>
        <v/>
      </c>
      <c r="G46">
        <f>IFERROR(INDEX(Players!$E$2:$E$66,MATCH($E46,Players!$A$2:$A$66,0)),0)</f>
        <v/>
      </c>
      <c r="H46" s="6">
        <f>IFERROR(INDEX(Players!$F$2:$F$66,MATCH($E46,Players!$A$2:$A$66,0)),"")</f>
        <v/>
      </c>
      <c r="I46">
        <f>IFERROR(INDEX(Players!$G$2:$G$66,MATCH($E46,Players!$A$2:$A$66,0)),"")</f>
        <v/>
      </c>
      <c r="J46" s="11">
        <f>IF(OR($I46="",$H46=""),"",$I46*IF(LEFT($B46,4)="DOTA",Config!$B$5,Config!$B$4)/($H46*IF(LEFT($B46,4)="DOTA",Config!$B$5,Config!$B$4)+1-$H46))</f>
        <v/>
      </c>
      <c r="K46" s="11">
        <f>IF(OR($I46="",$H46=""),"",$I46/($H46*IF(LEFT($B46,4)="DOTA",Config!$B$5,Config!$B$4)+1-$H46))</f>
        <v/>
      </c>
      <c r="L46">
        <f>IFERROR(INDEX(Matches!$R$5:$R$12,MATCH($B46,Matches!$A$5:$A$12,0)),1)</f>
        <v/>
      </c>
      <c r="M46" s="6">
        <f>IFERROR(IF(INDEX(Matches!$M$5:$M$12,MATCH($B46,Matches!$A$5:$A$12,0))="","",IF($F46="A",INDEX(Matches!$M$5:$M$12,MATCH($B46,Matches!$A$5:$A$12,0)),1-INDEX(Matches!$M$5:$M$12,MATCH($B46,Matches!$A$5:$A$12,0)))),"")</f>
        <v/>
      </c>
      <c r="N46">
        <f>1</f>
        <v/>
      </c>
      <c r="O46" s="11">
        <f>IF(OR($M46="",$J46=""),"",$L46*($M46*$J46+(1-$M46)*$K46))</f>
        <v/>
      </c>
      <c r="P46">
        <f>IF($O46="","",IF(LEFT($B46,4)="DOTA",Config!$B$7,Config!$B$6)*$O46+$L46^2*$M46*(1-$M46)*($J46-$K46)^2)</f>
        <v/>
      </c>
      <c r="Q46" s="6">
        <f>IFERROR(IF(INDEX(Matches!$N$5:$N$12,MATCH($B46,Matches!$A$5:$A$12,0))="","",IF($F46="A",INDEX(Matches!$N$5:$N$12,MATCH($B46,Matches!$A$5:$A$12,0)),1-INDEX(Matches!$N$5:$N$12,MATCH($B46,Matches!$A$5:$A$12,0)))),"")</f>
        <v/>
      </c>
      <c r="R46">
        <f>IFERROR(N(INDEX(Matches!$P$5:$P$12,MATCH($B46,Matches!$A$5:$A$12,0))),0)</f>
        <v/>
      </c>
      <c r="S46" s="11">
        <f>IF(OR($Q46="",$J46=""),"",$L46*($Q46*$J46+(1-$Q46)*$K46))</f>
        <v/>
      </c>
      <c r="T46">
        <f>IF($S46="","",IF(LEFT($B46,4)="DOTA",Config!$B$7,Config!$B$6)*$S46+$L46^2*$Q46*(1-$Q46)*($J46-$K46)^2)</f>
        <v/>
      </c>
      <c r="U46" s="6">
        <f>IFERROR(IF(INDEX(Matches!$O$5:$O$12,MATCH($B46,Matches!$A$5:$A$12,0))="","",IF($F46="A",INDEX(Matches!$O$5:$O$12,MATCH($B46,Matches!$A$5:$A$12,0)),1-INDEX(Matches!$O$5:$O$12,MATCH($B46,Matches!$A$5:$A$12,0)))),"")</f>
        <v/>
      </c>
      <c r="V46">
        <f>IFERROR(N(INDEX(Matches!$Q$5:$Q$12,MATCH($B46,Matches!$A$5:$A$12,0))),0)</f>
        <v/>
      </c>
      <c r="W46" s="11">
        <f>IF(OR($U46="",$J46=""),"",$L46*($U46*$J46+(1-$U46)*$K46))</f>
        <v/>
      </c>
      <c r="X46">
        <f>IF($W46="","",IF(LEFT($B46,4)="DOTA",Config!$B$7,Config!$B$6)*$W46+$L46^2*$U46*(1-$U46)*($J46-$K46)^2)</f>
        <v/>
      </c>
      <c r="Y46" s="11">
        <f>IF($O46="","",$O46)</f>
        <v/>
      </c>
      <c r="Z46">
        <f>IF($P46="","",$P46)</f>
        <v/>
      </c>
      <c r="AA46" s="11">
        <f>IF($O46="","",N($N46)*N($O46)+N($R46)*N($S46))</f>
        <v/>
      </c>
      <c r="AB46">
        <f>IF($O46="","",(N($N46)*N($P46)+N($N46)*(1-N($N46))*N($O46)^2)+(N($R46)*N($T46)+N($R46)*(1-N($R46))*N($S46)^2))</f>
        <v/>
      </c>
      <c r="AC46" s="11">
        <f>IF($O46="","",N($N46)*N($O46)+N($R46)*N($S46)+N($V46)*N($W46))</f>
        <v/>
      </c>
      <c r="AD46">
        <f>IF($O46="","",(N($N46)*N($P46)+N($N46)*(1-N($N46))*N($O46)^2)+(N($R46)*N($T46)+N($R46)*(1-N($R46))*N($S46)^2)+(N($V46)*N($X46)+N($V46)*(1-N($V46))*N($W46)^2))</f>
        <v/>
      </c>
      <c r="AE46" s="11">
        <f>IF($I46="","",$I46*$L46)</f>
        <v/>
      </c>
      <c r="AF46" s="11">
        <f>IF($I46="","",$I46*$L46*(1+N($R46)))</f>
        <v/>
      </c>
      <c r="AG46" s="11">
        <f>IF($I46="","",$I46*$L46*(1+N($R46)+N($V46)))</f>
        <v/>
      </c>
      <c r="AH46">
        <f>TRIM(IF($G46&lt;Config!$B$9,"thin sample ("&amp;$G46&amp;" maps) · ","")&amp;IF($I46="","no PickFinder stats · ","")&amp;IFERROR(IF(INDEX(Players!$T$2:$T$66,MATCH($E46,Players!$A$2:$A$66,0))&lt;0.5,"new roster: "&amp;TEXT(INDEX(Players!$T$2:$T$66,MATCH($E46,Players!$A$2:$A$66,0)),"0%")&amp;" of his recent games with these teammates",""),""))</f>
        <v/>
      </c>
      <c r="AI46">
        <f>IF($B46=Board!$B$2,COUNTIFS($B$2:$B$66,Board!$B$2,$Y$2:$Y$66,"&gt;"&amp;$Y46)+COUNTIFS($B$1:$B45,Board!$B$2,$Y$1:$Y45,$Y46)+1,"")</f>
        <v/>
      </c>
      <c r="AJ46">
        <f>IFERROR(IF(INDEX(Matches!$D$5:$D$12,MATCH($B46,Matches!$A$5:$A$12,0))=3,"K12","K13"),"K13")</f>
        <v/>
      </c>
      <c r="AK46" s="11">
        <f>IF($AJ46="K12",$AA46,$AC46)</f>
        <v/>
      </c>
    </row>
    <row r="47">
      <c r="A47" t="inlineStr">
        <is>
          <t>1wrgwhi0wuse7fq|LOL · LOS vs TSW</t>
        </is>
      </c>
      <c r="B47" t="inlineStr">
        <is>
          <t>LOL · LOS vs TSW</t>
        </is>
      </c>
      <c r="C47" t="inlineStr">
        <is>
          <t>LOS</t>
        </is>
      </c>
      <c r="D47" t="inlineStr">
        <is>
          <t>ZEST</t>
        </is>
      </c>
      <c r="E47" t="inlineStr">
        <is>
          <t>1wrgwhi0wuse7fq</t>
        </is>
      </c>
      <c r="F47">
        <f>IFERROR(IF($C47=INDEX(Matches!$S$5:$S$12,MATCH($B47,Matches!$A$5:$A$12,0)),"A",IF($C47=INDEX(Matches!$T$5:$T$12,MATCH($B47,Matches!$A$5:$A$12,0)),"B","")),"")</f>
        <v/>
      </c>
      <c r="G47">
        <f>IFERROR(INDEX(Players!$E$2:$E$66,MATCH($E47,Players!$A$2:$A$66,0)),0)</f>
        <v/>
      </c>
      <c r="H47" s="6">
        <f>IFERROR(INDEX(Players!$F$2:$F$66,MATCH($E47,Players!$A$2:$A$66,0)),"")</f>
        <v/>
      </c>
      <c r="I47">
        <f>IFERROR(INDEX(Players!$G$2:$G$66,MATCH($E47,Players!$A$2:$A$66,0)),"")</f>
        <v/>
      </c>
      <c r="J47" s="11">
        <f>IF(OR($I47="",$H47=""),"",$I47*IF(LEFT($B47,4)="DOTA",Config!$B$5,Config!$B$4)/($H47*IF(LEFT($B47,4)="DOTA",Config!$B$5,Config!$B$4)+1-$H47))</f>
        <v/>
      </c>
      <c r="K47" s="11">
        <f>IF(OR($I47="",$H47=""),"",$I47/($H47*IF(LEFT($B47,4)="DOTA",Config!$B$5,Config!$B$4)+1-$H47))</f>
        <v/>
      </c>
      <c r="L47">
        <f>IFERROR(INDEX(Matches!$R$5:$R$12,MATCH($B47,Matches!$A$5:$A$12,0)),1)</f>
        <v/>
      </c>
      <c r="M47" s="6">
        <f>IFERROR(IF(INDEX(Matches!$M$5:$M$12,MATCH($B47,Matches!$A$5:$A$12,0))="","",IF($F47="A",INDEX(Matches!$M$5:$M$12,MATCH($B47,Matches!$A$5:$A$12,0)),1-INDEX(Matches!$M$5:$M$12,MATCH($B47,Matches!$A$5:$A$12,0)))),"")</f>
        <v/>
      </c>
      <c r="N47">
        <f>1</f>
        <v/>
      </c>
      <c r="O47" s="11">
        <f>IF(OR($M47="",$J47=""),"",$L47*($M47*$J47+(1-$M47)*$K47))</f>
        <v/>
      </c>
      <c r="P47">
        <f>IF($O47="","",IF(LEFT($B47,4)="DOTA",Config!$B$7,Config!$B$6)*$O47+$L47^2*$M47*(1-$M47)*($J47-$K47)^2)</f>
        <v/>
      </c>
      <c r="Q47" s="6">
        <f>IFERROR(IF(INDEX(Matches!$N$5:$N$12,MATCH($B47,Matches!$A$5:$A$12,0))="","",IF($F47="A",INDEX(Matches!$N$5:$N$12,MATCH($B47,Matches!$A$5:$A$12,0)),1-INDEX(Matches!$N$5:$N$12,MATCH($B47,Matches!$A$5:$A$12,0)))),"")</f>
        <v/>
      </c>
      <c r="R47">
        <f>IFERROR(N(INDEX(Matches!$P$5:$P$12,MATCH($B47,Matches!$A$5:$A$12,0))),0)</f>
        <v/>
      </c>
      <c r="S47" s="11">
        <f>IF(OR($Q47="",$J47=""),"",$L47*($Q47*$J47+(1-$Q47)*$K47))</f>
        <v/>
      </c>
      <c r="T47">
        <f>IF($S47="","",IF(LEFT($B47,4)="DOTA",Config!$B$7,Config!$B$6)*$S47+$L47^2*$Q47*(1-$Q47)*($J47-$K47)^2)</f>
        <v/>
      </c>
      <c r="U47" s="6">
        <f>IFERROR(IF(INDEX(Matches!$O$5:$O$12,MATCH($B47,Matches!$A$5:$A$12,0))="","",IF($F47="A",INDEX(Matches!$O$5:$O$12,MATCH($B47,Matches!$A$5:$A$12,0)),1-INDEX(Matches!$O$5:$O$12,MATCH($B47,Matches!$A$5:$A$12,0)))),"")</f>
        <v/>
      </c>
      <c r="V47">
        <f>IFERROR(N(INDEX(Matches!$Q$5:$Q$12,MATCH($B47,Matches!$A$5:$A$12,0))),0)</f>
        <v/>
      </c>
      <c r="W47" s="11">
        <f>IF(OR($U47="",$J47=""),"",$L47*($U47*$J47+(1-$U47)*$K47))</f>
        <v/>
      </c>
      <c r="X47">
        <f>IF($W47="","",IF(LEFT($B47,4)="DOTA",Config!$B$7,Config!$B$6)*$W47+$L47^2*$U47*(1-$U47)*($J47-$K47)^2)</f>
        <v/>
      </c>
      <c r="Y47" s="11">
        <f>IF($O47="","",$O47)</f>
        <v/>
      </c>
      <c r="Z47">
        <f>IF($P47="","",$P47)</f>
        <v/>
      </c>
      <c r="AA47" s="11">
        <f>IF($O47="","",N($N47)*N($O47)+N($R47)*N($S47))</f>
        <v/>
      </c>
      <c r="AB47">
        <f>IF($O47="","",(N($N47)*N($P47)+N($N47)*(1-N($N47))*N($O47)^2)+(N($R47)*N($T47)+N($R47)*(1-N($R47))*N($S47)^2))</f>
        <v/>
      </c>
      <c r="AC47" s="11">
        <f>IF($O47="","",N($N47)*N($O47)+N($R47)*N($S47)+N($V47)*N($W47))</f>
        <v/>
      </c>
      <c r="AD47">
        <f>IF($O47="","",(N($N47)*N($P47)+N($N47)*(1-N($N47))*N($O47)^2)+(N($R47)*N($T47)+N($R47)*(1-N($R47))*N($S47)^2)+(N($V47)*N($X47)+N($V47)*(1-N($V47))*N($W47)^2))</f>
        <v/>
      </c>
      <c r="AE47" s="11">
        <f>IF($I47="","",$I47*$L47)</f>
        <v/>
      </c>
      <c r="AF47" s="11">
        <f>IF($I47="","",$I47*$L47*(1+N($R47)))</f>
        <v/>
      </c>
      <c r="AG47" s="11">
        <f>IF($I47="","",$I47*$L47*(1+N($R47)+N($V47)))</f>
        <v/>
      </c>
      <c r="AH47">
        <f>TRIM(IF($G47&lt;Config!$B$9,"thin sample ("&amp;$G47&amp;" maps) · ","")&amp;IF($I47="","no PickFinder stats · ","")&amp;IFERROR(IF(INDEX(Players!$T$2:$T$66,MATCH($E47,Players!$A$2:$A$66,0))&lt;0.5,"new roster: "&amp;TEXT(INDEX(Players!$T$2:$T$66,MATCH($E47,Players!$A$2:$A$66,0)),"0%")&amp;" of his recent games with these teammates",""),""))</f>
        <v/>
      </c>
      <c r="AI47">
        <f>IF($B47=Board!$B$2,COUNTIFS($B$2:$B$66,Board!$B$2,$Y$2:$Y$66,"&gt;"&amp;$Y47)+COUNTIFS($B$1:$B46,Board!$B$2,$Y$1:$Y46,$Y47)+1,"")</f>
        <v/>
      </c>
      <c r="AJ47">
        <f>IFERROR(IF(INDEX(Matches!$D$5:$D$12,MATCH($B47,Matches!$A$5:$A$12,0))=3,"K12","K13"),"K13")</f>
        <v/>
      </c>
      <c r="AK47" s="11">
        <f>IF($AJ47="K12",$AA47,$AC47)</f>
        <v/>
      </c>
    </row>
    <row r="48">
      <c r="A48" t="inlineStr">
        <is>
          <t>gvmentfvocz0hg6|LOL · LOS vs TSW</t>
        </is>
      </c>
      <c r="B48" t="inlineStr">
        <is>
          <t>LOL · LOS vs TSW</t>
        </is>
      </c>
      <c r="C48" t="inlineStr">
        <is>
          <t>TSW</t>
        </is>
      </c>
      <c r="D48" t="inlineStr">
        <is>
          <t>Dire</t>
        </is>
      </c>
      <c r="E48" t="inlineStr">
        <is>
          <t>gvmentfvocz0hg6</t>
        </is>
      </c>
      <c r="F48">
        <f>IFERROR(IF($C48=INDEX(Matches!$S$5:$S$12,MATCH($B48,Matches!$A$5:$A$12,0)),"A",IF($C48=INDEX(Matches!$T$5:$T$12,MATCH($B48,Matches!$A$5:$A$12,0)),"B","")),"")</f>
        <v/>
      </c>
      <c r="G48">
        <f>IFERROR(INDEX(Players!$E$2:$E$66,MATCH($E48,Players!$A$2:$A$66,0)),0)</f>
        <v/>
      </c>
      <c r="H48" s="6">
        <f>IFERROR(INDEX(Players!$F$2:$F$66,MATCH($E48,Players!$A$2:$A$66,0)),"")</f>
        <v/>
      </c>
      <c r="I48">
        <f>IFERROR(INDEX(Players!$G$2:$G$66,MATCH($E48,Players!$A$2:$A$66,0)),"")</f>
        <v/>
      </c>
      <c r="J48" s="11">
        <f>IF(OR($I48="",$H48=""),"",$I48*IF(LEFT($B48,4)="DOTA",Config!$B$5,Config!$B$4)/($H48*IF(LEFT($B48,4)="DOTA",Config!$B$5,Config!$B$4)+1-$H48))</f>
        <v/>
      </c>
      <c r="K48" s="11">
        <f>IF(OR($I48="",$H48=""),"",$I48/($H48*IF(LEFT($B48,4)="DOTA",Config!$B$5,Config!$B$4)+1-$H48))</f>
        <v/>
      </c>
      <c r="L48">
        <f>IFERROR(INDEX(Matches!$R$5:$R$12,MATCH($B48,Matches!$A$5:$A$12,0)),1)</f>
        <v/>
      </c>
      <c r="M48" s="6">
        <f>IFERROR(IF(INDEX(Matches!$M$5:$M$12,MATCH($B48,Matches!$A$5:$A$12,0))="","",IF($F48="A",INDEX(Matches!$M$5:$M$12,MATCH($B48,Matches!$A$5:$A$12,0)),1-INDEX(Matches!$M$5:$M$12,MATCH($B48,Matches!$A$5:$A$12,0)))),"")</f>
        <v/>
      </c>
      <c r="N48">
        <f>1</f>
        <v/>
      </c>
      <c r="O48" s="11">
        <f>IF(OR($M48="",$J48=""),"",$L48*($M48*$J48+(1-$M48)*$K48))</f>
        <v/>
      </c>
      <c r="P48">
        <f>IF($O48="","",IF(LEFT($B48,4)="DOTA",Config!$B$7,Config!$B$6)*$O48+$L48^2*$M48*(1-$M48)*($J48-$K48)^2)</f>
        <v/>
      </c>
      <c r="Q48" s="6">
        <f>IFERROR(IF(INDEX(Matches!$N$5:$N$12,MATCH($B48,Matches!$A$5:$A$12,0))="","",IF($F48="A",INDEX(Matches!$N$5:$N$12,MATCH($B48,Matches!$A$5:$A$12,0)),1-INDEX(Matches!$N$5:$N$12,MATCH($B48,Matches!$A$5:$A$12,0)))),"")</f>
        <v/>
      </c>
      <c r="R48">
        <f>IFERROR(N(INDEX(Matches!$P$5:$P$12,MATCH($B48,Matches!$A$5:$A$12,0))),0)</f>
        <v/>
      </c>
      <c r="S48" s="11">
        <f>IF(OR($Q48="",$J48=""),"",$L48*($Q48*$J48+(1-$Q48)*$K48))</f>
        <v/>
      </c>
      <c r="T48">
        <f>IF($S48="","",IF(LEFT($B48,4)="DOTA",Config!$B$7,Config!$B$6)*$S48+$L48^2*$Q48*(1-$Q48)*($J48-$K48)^2)</f>
        <v/>
      </c>
      <c r="U48" s="6">
        <f>IFERROR(IF(INDEX(Matches!$O$5:$O$12,MATCH($B48,Matches!$A$5:$A$12,0))="","",IF($F48="A",INDEX(Matches!$O$5:$O$12,MATCH($B48,Matches!$A$5:$A$12,0)),1-INDEX(Matches!$O$5:$O$12,MATCH($B48,Matches!$A$5:$A$12,0)))),"")</f>
        <v/>
      </c>
      <c r="V48">
        <f>IFERROR(N(INDEX(Matches!$Q$5:$Q$12,MATCH($B48,Matches!$A$5:$A$12,0))),0)</f>
        <v/>
      </c>
      <c r="W48" s="11">
        <f>IF(OR($U48="",$J48=""),"",$L48*($U48*$J48+(1-$U48)*$K48))</f>
        <v/>
      </c>
      <c r="X48">
        <f>IF($W48="","",IF(LEFT($B48,4)="DOTA",Config!$B$7,Config!$B$6)*$W48+$L48^2*$U48*(1-$U48)*($J48-$K48)^2)</f>
        <v/>
      </c>
      <c r="Y48" s="11">
        <f>IF($O48="","",$O48)</f>
        <v/>
      </c>
      <c r="Z48">
        <f>IF($P48="","",$P48)</f>
        <v/>
      </c>
      <c r="AA48" s="11">
        <f>IF($O48="","",N($N48)*N($O48)+N($R48)*N($S48))</f>
        <v/>
      </c>
      <c r="AB48">
        <f>IF($O48="","",(N($N48)*N($P48)+N($N48)*(1-N($N48))*N($O48)^2)+(N($R48)*N($T48)+N($R48)*(1-N($R48))*N($S48)^2))</f>
        <v/>
      </c>
      <c r="AC48" s="11">
        <f>IF($O48="","",N($N48)*N($O48)+N($R48)*N($S48)+N($V48)*N($W48))</f>
        <v/>
      </c>
      <c r="AD48">
        <f>IF($O48="","",(N($N48)*N($P48)+N($N48)*(1-N($N48))*N($O48)^2)+(N($R48)*N($T48)+N($R48)*(1-N($R48))*N($S48)^2)+(N($V48)*N($X48)+N($V48)*(1-N($V48))*N($W48)^2))</f>
        <v/>
      </c>
      <c r="AE48" s="11">
        <f>IF($I48="","",$I48*$L48)</f>
        <v/>
      </c>
      <c r="AF48" s="11">
        <f>IF($I48="","",$I48*$L48*(1+N($R48)))</f>
        <v/>
      </c>
      <c r="AG48" s="11">
        <f>IF($I48="","",$I48*$L48*(1+N($R48)+N($V48)))</f>
        <v/>
      </c>
      <c r="AH48">
        <f>TRIM(IF($G48&lt;Config!$B$9,"thin sample ("&amp;$G48&amp;" maps) · ","")&amp;IF($I48="","no PickFinder stats · ","")&amp;IFERROR(IF(INDEX(Players!$T$2:$T$66,MATCH($E48,Players!$A$2:$A$66,0))&lt;0.5,"new roster: "&amp;TEXT(INDEX(Players!$T$2:$T$66,MATCH($E48,Players!$A$2:$A$66,0)),"0%")&amp;" of his recent games with these teammates",""),""))</f>
        <v/>
      </c>
      <c r="AI48">
        <f>IF($B48=Board!$B$2,COUNTIFS($B$2:$B$66,Board!$B$2,$Y$2:$Y$66,"&gt;"&amp;$Y48)+COUNTIFS($B$1:$B47,Board!$B$2,$Y$1:$Y47,$Y48)+1,"")</f>
        <v/>
      </c>
      <c r="AJ48">
        <f>IFERROR(IF(INDEX(Matches!$D$5:$D$12,MATCH($B48,Matches!$A$5:$A$12,0))=3,"K12","K13"),"K13")</f>
        <v/>
      </c>
      <c r="AK48" s="11">
        <f>IF($AJ48="K12",$AA48,$AC48)</f>
        <v/>
      </c>
    </row>
    <row r="49">
      <c r="A49" t="inlineStr">
        <is>
          <t>83idh6ozvn5jb33|LOL · LOS vs TSW</t>
        </is>
      </c>
      <c r="B49" t="inlineStr">
        <is>
          <t>LOL · LOS vs TSW</t>
        </is>
      </c>
      <c r="C49" t="inlineStr">
        <is>
          <t>TSW</t>
        </is>
      </c>
      <c r="D49" t="inlineStr">
        <is>
          <t>Eddie</t>
        </is>
      </c>
      <c r="E49" t="inlineStr">
        <is>
          <t>83idh6ozvn5jb33</t>
        </is>
      </c>
      <c r="F49">
        <f>IFERROR(IF($C49=INDEX(Matches!$S$5:$S$12,MATCH($B49,Matches!$A$5:$A$12,0)),"A",IF($C49=INDEX(Matches!$T$5:$T$12,MATCH($B49,Matches!$A$5:$A$12,0)),"B","")),"")</f>
        <v/>
      </c>
      <c r="G49">
        <f>IFERROR(INDEX(Players!$E$2:$E$66,MATCH($E49,Players!$A$2:$A$66,0)),0)</f>
        <v/>
      </c>
      <c r="H49" s="6">
        <f>IFERROR(INDEX(Players!$F$2:$F$66,MATCH($E49,Players!$A$2:$A$66,0)),"")</f>
        <v/>
      </c>
      <c r="I49">
        <f>IFERROR(INDEX(Players!$G$2:$G$66,MATCH($E49,Players!$A$2:$A$66,0)),"")</f>
        <v/>
      </c>
      <c r="J49" s="11">
        <f>IF(OR($I49="",$H49=""),"",$I49*IF(LEFT($B49,4)="DOTA",Config!$B$5,Config!$B$4)/($H49*IF(LEFT($B49,4)="DOTA",Config!$B$5,Config!$B$4)+1-$H49))</f>
        <v/>
      </c>
      <c r="K49" s="11">
        <f>IF(OR($I49="",$H49=""),"",$I49/($H49*IF(LEFT($B49,4)="DOTA",Config!$B$5,Config!$B$4)+1-$H49))</f>
        <v/>
      </c>
      <c r="L49">
        <f>IFERROR(INDEX(Matches!$R$5:$R$12,MATCH($B49,Matches!$A$5:$A$12,0)),1)</f>
        <v/>
      </c>
      <c r="M49" s="6">
        <f>IFERROR(IF(INDEX(Matches!$M$5:$M$12,MATCH($B49,Matches!$A$5:$A$12,0))="","",IF($F49="A",INDEX(Matches!$M$5:$M$12,MATCH($B49,Matches!$A$5:$A$12,0)),1-INDEX(Matches!$M$5:$M$12,MATCH($B49,Matches!$A$5:$A$12,0)))),"")</f>
        <v/>
      </c>
      <c r="N49">
        <f>1</f>
        <v/>
      </c>
      <c r="O49" s="11">
        <f>IF(OR($M49="",$J49=""),"",$L49*($M49*$J49+(1-$M49)*$K49))</f>
        <v/>
      </c>
      <c r="P49">
        <f>IF($O49="","",IF(LEFT($B49,4)="DOTA",Config!$B$7,Config!$B$6)*$O49+$L49^2*$M49*(1-$M49)*($J49-$K49)^2)</f>
        <v/>
      </c>
      <c r="Q49" s="6">
        <f>IFERROR(IF(INDEX(Matches!$N$5:$N$12,MATCH($B49,Matches!$A$5:$A$12,0))="","",IF($F49="A",INDEX(Matches!$N$5:$N$12,MATCH($B49,Matches!$A$5:$A$12,0)),1-INDEX(Matches!$N$5:$N$12,MATCH($B49,Matches!$A$5:$A$12,0)))),"")</f>
        <v/>
      </c>
      <c r="R49">
        <f>IFERROR(N(INDEX(Matches!$P$5:$P$12,MATCH($B49,Matches!$A$5:$A$12,0))),0)</f>
        <v/>
      </c>
      <c r="S49" s="11">
        <f>IF(OR($Q49="",$J49=""),"",$L49*($Q49*$J49+(1-$Q49)*$K49))</f>
        <v/>
      </c>
      <c r="T49">
        <f>IF($S49="","",IF(LEFT($B49,4)="DOTA",Config!$B$7,Config!$B$6)*$S49+$L49^2*$Q49*(1-$Q49)*($J49-$K49)^2)</f>
        <v/>
      </c>
      <c r="U49" s="6">
        <f>IFERROR(IF(INDEX(Matches!$O$5:$O$12,MATCH($B49,Matches!$A$5:$A$12,0))="","",IF($F49="A",INDEX(Matches!$O$5:$O$12,MATCH($B49,Matches!$A$5:$A$12,0)),1-INDEX(Matches!$O$5:$O$12,MATCH($B49,Matches!$A$5:$A$12,0)))),"")</f>
        <v/>
      </c>
      <c r="V49">
        <f>IFERROR(N(INDEX(Matches!$Q$5:$Q$12,MATCH($B49,Matches!$A$5:$A$12,0))),0)</f>
        <v/>
      </c>
      <c r="W49" s="11">
        <f>IF(OR($U49="",$J49=""),"",$L49*($U49*$J49+(1-$U49)*$K49))</f>
        <v/>
      </c>
      <c r="X49">
        <f>IF($W49="","",IF(LEFT($B49,4)="DOTA",Config!$B$7,Config!$B$6)*$W49+$L49^2*$U49*(1-$U49)*($J49-$K49)^2)</f>
        <v/>
      </c>
      <c r="Y49" s="11">
        <f>IF($O49="","",$O49)</f>
        <v/>
      </c>
      <c r="Z49">
        <f>IF($P49="","",$P49)</f>
        <v/>
      </c>
      <c r="AA49" s="11">
        <f>IF($O49="","",N($N49)*N($O49)+N($R49)*N($S49))</f>
        <v/>
      </c>
      <c r="AB49">
        <f>IF($O49="","",(N($N49)*N($P49)+N($N49)*(1-N($N49))*N($O49)^2)+(N($R49)*N($T49)+N($R49)*(1-N($R49))*N($S49)^2))</f>
        <v/>
      </c>
      <c r="AC49" s="11">
        <f>IF($O49="","",N($N49)*N($O49)+N($R49)*N($S49)+N($V49)*N($W49))</f>
        <v/>
      </c>
      <c r="AD49">
        <f>IF($O49="","",(N($N49)*N($P49)+N($N49)*(1-N($N49))*N($O49)^2)+(N($R49)*N($T49)+N($R49)*(1-N($R49))*N($S49)^2)+(N($V49)*N($X49)+N($V49)*(1-N($V49))*N($W49)^2))</f>
        <v/>
      </c>
      <c r="AE49" s="11">
        <f>IF($I49="","",$I49*$L49)</f>
        <v/>
      </c>
      <c r="AF49" s="11">
        <f>IF($I49="","",$I49*$L49*(1+N($R49)))</f>
        <v/>
      </c>
      <c r="AG49" s="11">
        <f>IF($I49="","",$I49*$L49*(1+N($R49)+N($V49)))</f>
        <v/>
      </c>
      <c r="AH49">
        <f>TRIM(IF($G49&lt;Config!$B$9,"thin sample ("&amp;$G49&amp;" maps) · ","")&amp;IF($I49="","no PickFinder stats · ","")&amp;IFERROR(IF(INDEX(Players!$T$2:$T$66,MATCH($E49,Players!$A$2:$A$66,0))&lt;0.5,"new roster: "&amp;TEXT(INDEX(Players!$T$2:$T$66,MATCH($E49,Players!$A$2:$A$66,0)),"0%")&amp;" of his recent games with these teammates",""),""))</f>
        <v/>
      </c>
      <c r="AI49">
        <f>IF($B49=Board!$B$2,COUNTIFS($B$2:$B$66,Board!$B$2,$Y$2:$Y$66,"&gt;"&amp;$Y49)+COUNTIFS($B$1:$B48,Board!$B$2,$Y$1:$Y48,$Y49)+1,"")</f>
        <v/>
      </c>
      <c r="AJ49">
        <f>IFERROR(IF(INDEX(Matches!$D$5:$D$12,MATCH($B49,Matches!$A$5:$A$12,0))=3,"K12","K13"),"K13")</f>
        <v/>
      </c>
      <c r="AK49" s="11">
        <f>IF($AJ49="K12",$AA49,$AC49)</f>
        <v/>
      </c>
    </row>
    <row r="50">
      <c r="A50" t="inlineStr">
        <is>
          <t>coeji50w1xpfl1z|LOL · LOS vs TSW</t>
        </is>
      </c>
      <c r="B50" t="inlineStr">
        <is>
          <t>LOL · LOS vs TSW</t>
        </is>
      </c>
      <c r="C50" t="inlineStr">
        <is>
          <t>TSW</t>
        </is>
      </c>
      <c r="D50" t="inlineStr">
        <is>
          <t>Hizto</t>
        </is>
      </c>
      <c r="E50" t="inlineStr">
        <is>
          <t>coeji50w1xpfl1z</t>
        </is>
      </c>
      <c r="F50">
        <f>IFERROR(IF($C50=INDEX(Matches!$S$5:$S$12,MATCH($B50,Matches!$A$5:$A$12,0)),"A",IF($C50=INDEX(Matches!$T$5:$T$12,MATCH($B50,Matches!$A$5:$A$12,0)),"B","")),"")</f>
        <v/>
      </c>
      <c r="G50">
        <f>IFERROR(INDEX(Players!$E$2:$E$66,MATCH($E50,Players!$A$2:$A$66,0)),0)</f>
        <v/>
      </c>
      <c r="H50" s="6">
        <f>IFERROR(INDEX(Players!$F$2:$F$66,MATCH($E50,Players!$A$2:$A$66,0)),"")</f>
        <v/>
      </c>
      <c r="I50">
        <f>IFERROR(INDEX(Players!$G$2:$G$66,MATCH($E50,Players!$A$2:$A$66,0)),"")</f>
        <v/>
      </c>
      <c r="J50" s="11">
        <f>IF(OR($I50="",$H50=""),"",$I50*IF(LEFT($B50,4)="DOTA",Config!$B$5,Config!$B$4)/($H50*IF(LEFT($B50,4)="DOTA",Config!$B$5,Config!$B$4)+1-$H50))</f>
        <v/>
      </c>
      <c r="K50" s="11">
        <f>IF(OR($I50="",$H50=""),"",$I50/($H50*IF(LEFT($B50,4)="DOTA",Config!$B$5,Config!$B$4)+1-$H50))</f>
        <v/>
      </c>
      <c r="L50">
        <f>IFERROR(INDEX(Matches!$R$5:$R$12,MATCH($B50,Matches!$A$5:$A$12,0)),1)</f>
        <v/>
      </c>
      <c r="M50" s="6">
        <f>IFERROR(IF(INDEX(Matches!$M$5:$M$12,MATCH($B50,Matches!$A$5:$A$12,0))="","",IF($F50="A",INDEX(Matches!$M$5:$M$12,MATCH($B50,Matches!$A$5:$A$12,0)),1-INDEX(Matches!$M$5:$M$12,MATCH($B50,Matches!$A$5:$A$12,0)))),"")</f>
        <v/>
      </c>
      <c r="N50">
        <f>1</f>
        <v/>
      </c>
      <c r="O50" s="11">
        <f>IF(OR($M50="",$J50=""),"",$L50*($M50*$J50+(1-$M50)*$K50))</f>
        <v/>
      </c>
      <c r="P50">
        <f>IF($O50="","",IF(LEFT($B50,4)="DOTA",Config!$B$7,Config!$B$6)*$O50+$L50^2*$M50*(1-$M50)*($J50-$K50)^2)</f>
        <v/>
      </c>
      <c r="Q50" s="6">
        <f>IFERROR(IF(INDEX(Matches!$N$5:$N$12,MATCH($B50,Matches!$A$5:$A$12,0))="","",IF($F50="A",INDEX(Matches!$N$5:$N$12,MATCH($B50,Matches!$A$5:$A$12,0)),1-INDEX(Matches!$N$5:$N$12,MATCH($B50,Matches!$A$5:$A$12,0)))),"")</f>
        <v/>
      </c>
      <c r="R50">
        <f>IFERROR(N(INDEX(Matches!$P$5:$P$12,MATCH($B50,Matches!$A$5:$A$12,0))),0)</f>
        <v/>
      </c>
      <c r="S50" s="11">
        <f>IF(OR($Q50="",$J50=""),"",$L50*($Q50*$J50+(1-$Q50)*$K50))</f>
        <v/>
      </c>
      <c r="T50">
        <f>IF($S50="","",IF(LEFT($B50,4)="DOTA",Config!$B$7,Config!$B$6)*$S50+$L50^2*$Q50*(1-$Q50)*($J50-$K50)^2)</f>
        <v/>
      </c>
      <c r="U50" s="6">
        <f>IFERROR(IF(INDEX(Matches!$O$5:$O$12,MATCH($B50,Matches!$A$5:$A$12,0))="","",IF($F50="A",INDEX(Matches!$O$5:$O$12,MATCH($B50,Matches!$A$5:$A$12,0)),1-INDEX(Matches!$O$5:$O$12,MATCH($B50,Matches!$A$5:$A$12,0)))),"")</f>
        <v/>
      </c>
      <c r="V50">
        <f>IFERROR(N(INDEX(Matches!$Q$5:$Q$12,MATCH($B50,Matches!$A$5:$A$12,0))),0)</f>
        <v/>
      </c>
      <c r="W50" s="11">
        <f>IF(OR($U50="",$J50=""),"",$L50*($U50*$J50+(1-$U50)*$K50))</f>
        <v/>
      </c>
      <c r="X50">
        <f>IF($W50="","",IF(LEFT($B50,4)="DOTA",Config!$B$7,Config!$B$6)*$W50+$L50^2*$U50*(1-$U50)*($J50-$K50)^2)</f>
        <v/>
      </c>
      <c r="Y50" s="11">
        <f>IF($O50="","",$O50)</f>
        <v/>
      </c>
      <c r="Z50">
        <f>IF($P50="","",$P50)</f>
        <v/>
      </c>
      <c r="AA50" s="11">
        <f>IF($O50="","",N($N50)*N($O50)+N($R50)*N($S50))</f>
        <v/>
      </c>
      <c r="AB50">
        <f>IF($O50="","",(N($N50)*N($P50)+N($N50)*(1-N($N50))*N($O50)^2)+(N($R50)*N($T50)+N($R50)*(1-N($R50))*N($S50)^2))</f>
        <v/>
      </c>
      <c r="AC50" s="11">
        <f>IF($O50="","",N($N50)*N($O50)+N($R50)*N($S50)+N($V50)*N($W50))</f>
        <v/>
      </c>
      <c r="AD50">
        <f>IF($O50="","",(N($N50)*N($P50)+N($N50)*(1-N($N50))*N($O50)^2)+(N($R50)*N($T50)+N($R50)*(1-N($R50))*N($S50)^2)+(N($V50)*N($X50)+N($V50)*(1-N($V50))*N($W50)^2))</f>
        <v/>
      </c>
      <c r="AE50" s="11">
        <f>IF($I50="","",$I50*$L50)</f>
        <v/>
      </c>
      <c r="AF50" s="11">
        <f>IF($I50="","",$I50*$L50*(1+N($R50)))</f>
        <v/>
      </c>
      <c r="AG50" s="11">
        <f>IF($I50="","",$I50*$L50*(1+N($R50)+N($V50)))</f>
        <v/>
      </c>
      <c r="AH50">
        <f>TRIM(IF($G50&lt;Config!$B$9,"thin sample ("&amp;$G50&amp;" maps) · ","")&amp;IF($I50="","no PickFinder stats · ","")&amp;IFERROR(IF(INDEX(Players!$T$2:$T$66,MATCH($E50,Players!$A$2:$A$66,0))&lt;0.5,"new roster: "&amp;TEXT(INDEX(Players!$T$2:$T$66,MATCH($E50,Players!$A$2:$A$66,0)),"0%")&amp;" of his recent games with these teammates",""),""))</f>
        <v/>
      </c>
      <c r="AI50">
        <f>IF($B50=Board!$B$2,COUNTIFS($B$2:$B$66,Board!$B$2,$Y$2:$Y$66,"&gt;"&amp;$Y50)+COUNTIFS($B$1:$B49,Board!$B$2,$Y$1:$Y49,$Y50)+1,"")</f>
        <v/>
      </c>
      <c r="AJ50">
        <f>IFERROR(IF(INDEX(Matches!$D$5:$D$12,MATCH($B50,Matches!$A$5:$A$12,0))=3,"K12","K13"),"K13")</f>
        <v/>
      </c>
      <c r="AK50" s="11">
        <f>IF($AJ50="K12",$AA50,$AC50)</f>
        <v/>
      </c>
    </row>
    <row r="51">
      <c r="A51" t="inlineStr">
        <is>
          <t>exrkst6ic4sj8yi|LOL · LOS vs TSW</t>
        </is>
      </c>
      <c r="B51" t="inlineStr">
        <is>
          <t>LOL · LOS vs TSW</t>
        </is>
      </c>
      <c r="C51" t="inlineStr">
        <is>
          <t>TSW</t>
        </is>
      </c>
      <c r="D51" t="inlineStr">
        <is>
          <t>Pun</t>
        </is>
      </c>
      <c r="E51" t="inlineStr">
        <is>
          <t>exrkst6ic4sj8yi</t>
        </is>
      </c>
      <c r="F51">
        <f>IFERROR(IF($C51=INDEX(Matches!$S$5:$S$12,MATCH($B51,Matches!$A$5:$A$12,0)),"A",IF($C51=INDEX(Matches!$T$5:$T$12,MATCH($B51,Matches!$A$5:$A$12,0)),"B","")),"")</f>
        <v/>
      </c>
      <c r="G51">
        <f>IFERROR(INDEX(Players!$E$2:$E$66,MATCH($E51,Players!$A$2:$A$66,0)),0)</f>
        <v/>
      </c>
      <c r="H51" s="6">
        <f>IFERROR(INDEX(Players!$F$2:$F$66,MATCH($E51,Players!$A$2:$A$66,0)),"")</f>
        <v/>
      </c>
      <c r="I51">
        <f>IFERROR(INDEX(Players!$G$2:$G$66,MATCH($E51,Players!$A$2:$A$66,0)),"")</f>
        <v/>
      </c>
      <c r="J51" s="11">
        <f>IF(OR($I51="",$H51=""),"",$I51*IF(LEFT($B51,4)="DOTA",Config!$B$5,Config!$B$4)/($H51*IF(LEFT($B51,4)="DOTA",Config!$B$5,Config!$B$4)+1-$H51))</f>
        <v/>
      </c>
      <c r="K51" s="11">
        <f>IF(OR($I51="",$H51=""),"",$I51/($H51*IF(LEFT($B51,4)="DOTA",Config!$B$5,Config!$B$4)+1-$H51))</f>
        <v/>
      </c>
      <c r="L51">
        <f>IFERROR(INDEX(Matches!$R$5:$R$12,MATCH($B51,Matches!$A$5:$A$12,0)),1)</f>
        <v/>
      </c>
      <c r="M51" s="6">
        <f>IFERROR(IF(INDEX(Matches!$M$5:$M$12,MATCH($B51,Matches!$A$5:$A$12,0))="","",IF($F51="A",INDEX(Matches!$M$5:$M$12,MATCH($B51,Matches!$A$5:$A$12,0)),1-INDEX(Matches!$M$5:$M$12,MATCH($B51,Matches!$A$5:$A$12,0)))),"")</f>
        <v/>
      </c>
      <c r="N51">
        <f>1</f>
        <v/>
      </c>
      <c r="O51" s="11">
        <f>IF(OR($M51="",$J51=""),"",$L51*($M51*$J51+(1-$M51)*$K51))</f>
        <v/>
      </c>
      <c r="P51">
        <f>IF($O51="","",IF(LEFT($B51,4)="DOTA",Config!$B$7,Config!$B$6)*$O51+$L51^2*$M51*(1-$M51)*($J51-$K51)^2)</f>
        <v/>
      </c>
      <c r="Q51" s="6">
        <f>IFERROR(IF(INDEX(Matches!$N$5:$N$12,MATCH($B51,Matches!$A$5:$A$12,0))="","",IF($F51="A",INDEX(Matches!$N$5:$N$12,MATCH($B51,Matches!$A$5:$A$12,0)),1-INDEX(Matches!$N$5:$N$12,MATCH($B51,Matches!$A$5:$A$12,0)))),"")</f>
        <v/>
      </c>
      <c r="R51">
        <f>IFERROR(N(INDEX(Matches!$P$5:$P$12,MATCH($B51,Matches!$A$5:$A$12,0))),0)</f>
        <v/>
      </c>
      <c r="S51" s="11">
        <f>IF(OR($Q51="",$J51=""),"",$L51*($Q51*$J51+(1-$Q51)*$K51))</f>
        <v/>
      </c>
      <c r="T51">
        <f>IF($S51="","",IF(LEFT($B51,4)="DOTA",Config!$B$7,Config!$B$6)*$S51+$L51^2*$Q51*(1-$Q51)*($J51-$K51)^2)</f>
        <v/>
      </c>
      <c r="U51" s="6">
        <f>IFERROR(IF(INDEX(Matches!$O$5:$O$12,MATCH($B51,Matches!$A$5:$A$12,0))="","",IF($F51="A",INDEX(Matches!$O$5:$O$12,MATCH($B51,Matches!$A$5:$A$12,0)),1-INDEX(Matches!$O$5:$O$12,MATCH($B51,Matches!$A$5:$A$12,0)))),"")</f>
        <v/>
      </c>
      <c r="V51">
        <f>IFERROR(N(INDEX(Matches!$Q$5:$Q$12,MATCH($B51,Matches!$A$5:$A$12,0))),0)</f>
        <v/>
      </c>
      <c r="W51" s="11">
        <f>IF(OR($U51="",$J51=""),"",$L51*($U51*$J51+(1-$U51)*$K51))</f>
        <v/>
      </c>
      <c r="X51">
        <f>IF($W51="","",IF(LEFT($B51,4)="DOTA",Config!$B$7,Config!$B$6)*$W51+$L51^2*$U51*(1-$U51)*($J51-$K51)^2)</f>
        <v/>
      </c>
      <c r="Y51" s="11">
        <f>IF($O51="","",$O51)</f>
        <v/>
      </c>
      <c r="Z51">
        <f>IF($P51="","",$P51)</f>
        <v/>
      </c>
      <c r="AA51" s="11">
        <f>IF($O51="","",N($N51)*N($O51)+N($R51)*N($S51))</f>
        <v/>
      </c>
      <c r="AB51">
        <f>IF($O51="","",(N($N51)*N($P51)+N($N51)*(1-N($N51))*N($O51)^2)+(N($R51)*N($T51)+N($R51)*(1-N($R51))*N($S51)^2))</f>
        <v/>
      </c>
      <c r="AC51" s="11">
        <f>IF($O51="","",N($N51)*N($O51)+N($R51)*N($S51)+N($V51)*N($W51))</f>
        <v/>
      </c>
      <c r="AD51">
        <f>IF($O51="","",(N($N51)*N($P51)+N($N51)*(1-N($N51))*N($O51)^2)+(N($R51)*N($T51)+N($R51)*(1-N($R51))*N($S51)^2)+(N($V51)*N($X51)+N($V51)*(1-N($V51))*N($W51)^2))</f>
        <v/>
      </c>
      <c r="AE51" s="11">
        <f>IF($I51="","",$I51*$L51)</f>
        <v/>
      </c>
      <c r="AF51" s="11">
        <f>IF($I51="","",$I51*$L51*(1+N($R51)))</f>
        <v/>
      </c>
      <c r="AG51" s="11">
        <f>IF($I51="","",$I51*$L51*(1+N($R51)+N($V51)))</f>
        <v/>
      </c>
      <c r="AH51">
        <f>TRIM(IF($G51&lt;Config!$B$9,"thin sample ("&amp;$G51&amp;" maps) · ","")&amp;IF($I51="","no PickFinder stats · ","")&amp;IFERROR(IF(INDEX(Players!$T$2:$T$66,MATCH($E51,Players!$A$2:$A$66,0))&lt;0.5,"new roster: "&amp;TEXT(INDEX(Players!$T$2:$T$66,MATCH($E51,Players!$A$2:$A$66,0)),"0%")&amp;" of his recent games with these teammates",""),""))</f>
        <v/>
      </c>
      <c r="AI51">
        <f>IF($B51=Board!$B$2,COUNTIFS($B$2:$B$66,Board!$B$2,$Y$2:$Y$66,"&gt;"&amp;$Y51)+COUNTIFS($B$1:$B50,Board!$B$2,$Y$1:$Y50,$Y51)+1,"")</f>
        <v/>
      </c>
      <c r="AJ51">
        <f>IFERROR(IF(INDEX(Matches!$D$5:$D$12,MATCH($B51,Matches!$A$5:$A$12,0))=3,"K12","K13"),"K13")</f>
        <v/>
      </c>
      <c r="AK51" s="11">
        <f>IF($AJ51="K12",$AA51,$AC51)</f>
        <v/>
      </c>
    </row>
    <row r="52">
      <c r="A52" t="inlineStr">
        <is>
          <t>a5wl3rb1ss2ow7n|LOL · T1 vs CFO</t>
        </is>
      </c>
      <c r="B52" t="inlineStr">
        <is>
          <t>LOL · T1 vs CFO</t>
        </is>
      </c>
      <c r="C52" t="inlineStr">
        <is>
          <t>CFO</t>
        </is>
      </c>
      <c r="D52" t="inlineStr">
        <is>
          <t>Doggo</t>
        </is>
      </c>
      <c r="E52" t="inlineStr">
        <is>
          <t>a5wl3rb1ss2ow7n</t>
        </is>
      </c>
      <c r="F52">
        <f>IFERROR(IF($C52=INDEX(Matches!$S$5:$S$12,MATCH($B52,Matches!$A$5:$A$12,0)),"A",IF($C52=INDEX(Matches!$T$5:$T$12,MATCH($B52,Matches!$A$5:$A$12,0)),"B","")),"")</f>
        <v/>
      </c>
      <c r="G52">
        <f>IFERROR(INDEX(Players!$E$2:$E$66,MATCH($E52,Players!$A$2:$A$66,0)),0)</f>
        <v/>
      </c>
      <c r="H52" s="6">
        <f>IFERROR(INDEX(Players!$F$2:$F$66,MATCH($E52,Players!$A$2:$A$66,0)),"")</f>
        <v/>
      </c>
      <c r="I52">
        <f>IFERROR(INDEX(Players!$G$2:$G$66,MATCH($E52,Players!$A$2:$A$66,0)),"")</f>
        <v/>
      </c>
      <c r="J52" s="11">
        <f>IF(OR($I52="",$H52=""),"",$I52*IF(LEFT($B52,4)="DOTA",Config!$B$5,Config!$B$4)/($H52*IF(LEFT($B52,4)="DOTA",Config!$B$5,Config!$B$4)+1-$H52))</f>
        <v/>
      </c>
      <c r="K52" s="11">
        <f>IF(OR($I52="",$H52=""),"",$I52/($H52*IF(LEFT($B52,4)="DOTA",Config!$B$5,Config!$B$4)+1-$H52))</f>
        <v/>
      </c>
      <c r="L52">
        <f>IFERROR(INDEX(Matches!$R$5:$R$12,MATCH($B52,Matches!$A$5:$A$12,0)),1)</f>
        <v/>
      </c>
      <c r="M52" s="6">
        <f>IFERROR(IF(INDEX(Matches!$M$5:$M$12,MATCH($B52,Matches!$A$5:$A$12,0))="","",IF($F52="A",INDEX(Matches!$M$5:$M$12,MATCH($B52,Matches!$A$5:$A$12,0)),1-INDEX(Matches!$M$5:$M$12,MATCH($B52,Matches!$A$5:$A$12,0)))),"")</f>
        <v/>
      </c>
      <c r="N52">
        <f>1</f>
        <v/>
      </c>
      <c r="O52" s="11">
        <f>IF(OR($M52="",$J52=""),"",$L52*($M52*$J52+(1-$M52)*$K52))</f>
        <v/>
      </c>
      <c r="P52">
        <f>IF($O52="","",IF(LEFT($B52,4)="DOTA",Config!$B$7,Config!$B$6)*$O52+$L52^2*$M52*(1-$M52)*($J52-$K52)^2)</f>
        <v/>
      </c>
      <c r="Q52" s="6">
        <f>IFERROR(IF(INDEX(Matches!$N$5:$N$12,MATCH($B52,Matches!$A$5:$A$12,0))="","",IF($F52="A",INDEX(Matches!$N$5:$N$12,MATCH($B52,Matches!$A$5:$A$12,0)),1-INDEX(Matches!$N$5:$N$12,MATCH($B52,Matches!$A$5:$A$12,0)))),"")</f>
        <v/>
      </c>
      <c r="R52">
        <f>IFERROR(N(INDEX(Matches!$P$5:$P$12,MATCH($B52,Matches!$A$5:$A$12,0))),0)</f>
        <v/>
      </c>
      <c r="S52" s="11">
        <f>IF(OR($Q52="",$J52=""),"",$L52*($Q52*$J52+(1-$Q52)*$K52))</f>
        <v/>
      </c>
      <c r="T52">
        <f>IF($S52="","",IF(LEFT($B52,4)="DOTA",Config!$B$7,Config!$B$6)*$S52+$L52^2*$Q52*(1-$Q52)*($J52-$K52)^2)</f>
        <v/>
      </c>
      <c r="U52" s="6">
        <f>IFERROR(IF(INDEX(Matches!$O$5:$O$12,MATCH($B52,Matches!$A$5:$A$12,0))="","",IF($F52="A",INDEX(Matches!$O$5:$O$12,MATCH($B52,Matches!$A$5:$A$12,0)),1-INDEX(Matches!$O$5:$O$12,MATCH($B52,Matches!$A$5:$A$12,0)))),"")</f>
        <v/>
      </c>
      <c r="V52">
        <f>IFERROR(N(INDEX(Matches!$Q$5:$Q$12,MATCH($B52,Matches!$A$5:$A$12,0))),0)</f>
        <v/>
      </c>
      <c r="W52" s="11">
        <f>IF(OR($U52="",$J52=""),"",$L52*($U52*$J52+(1-$U52)*$K52))</f>
        <v/>
      </c>
      <c r="X52">
        <f>IF($W52="","",IF(LEFT($B52,4)="DOTA",Config!$B$7,Config!$B$6)*$W52+$L52^2*$U52*(1-$U52)*($J52-$K52)^2)</f>
        <v/>
      </c>
      <c r="Y52" s="11">
        <f>IF($O52="","",$O52)</f>
        <v/>
      </c>
      <c r="Z52">
        <f>IF($P52="","",$P52)</f>
        <v/>
      </c>
      <c r="AA52" s="11">
        <f>IF($O52="","",N($N52)*N($O52)+N($R52)*N($S52))</f>
        <v/>
      </c>
      <c r="AB52">
        <f>IF($O52="","",(N($N52)*N($P52)+N($N52)*(1-N($N52))*N($O52)^2)+(N($R52)*N($T52)+N($R52)*(1-N($R52))*N($S52)^2))</f>
        <v/>
      </c>
      <c r="AC52" s="11">
        <f>IF($O52="","",N($N52)*N($O52)+N($R52)*N($S52)+N($V52)*N($W52))</f>
        <v/>
      </c>
      <c r="AD52">
        <f>IF($O52="","",(N($N52)*N($P52)+N($N52)*(1-N($N52))*N($O52)^2)+(N($R52)*N($T52)+N($R52)*(1-N($R52))*N($S52)^2)+(N($V52)*N($X52)+N($V52)*(1-N($V52))*N($W52)^2))</f>
        <v/>
      </c>
      <c r="AE52" s="11">
        <f>IF($I52="","",$I52*$L52)</f>
        <v/>
      </c>
      <c r="AF52" s="11">
        <f>IF($I52="","",$I52*$L52*(1+N($R52)))</f>
        <v/>
      </c>
      <c r="AG52" s="11">
        <f>IF($I52="","",$I52*$L52*(1+N($R52)+N($V52)))</f>
        <v/>
      </c>
      <c r="AH52">
        <f>TRIM(IF($G52&lt;Config!$B$9,"thin sample ("&amp;$G52&amp;" maps) · ","")&amp;IF($I52="","no PickFinder stats · ","")&amp;IFERROR(IF(INDEX(Players!$T$2:$T$66,MATCH($E52,Players!$A$2:$A$66,0))&lt;0.5,"new roster: "&amp;TEXT(INDEX(Players!$T$2:$T$66,MATCH($E52,Players!$A$2:$A$66,0)),"0%")&amp;" of his recent games with these teammates",""),""))</f>
        <v/>
      </c>
      <c r="AI52">
        <f>IF($B52=Board!$B$2,COUNTIFS($B$2:$B$66,Board!$B$2,$Y$2:$Y$66,"&gt;"&amp;$Y52)+COUNTIFS($B$1:$B51,Board!$B$2,$Y$1:$Y51,$Y52)+1,"")</f>
        <v/>
      </c>
      <c r="AJ52">
        <f>IFERROR(IF(INDEX(Matches!$D$5:$D$12,MATCH($B52,Matches!$A$5:$A$12,0))=3,"K12","K13"),"K13")</f>
        <v/>
      </c>
      <c r="AK52" s="11">
        <f>IF($AJ52="K12",$AA52,$AC52)</f>
        <v/>
      </c>
    </row>
    <row r="53">
      <c r="A53" t="inlineStr">
        <is>
          <t>tn5wihneq593t21|LOL · T1 vs CFO</t>
        </is>
      </c>
      <c r="B53" t="inlineStr">
        <is>
          <t>LOL · T1 vs CFO</t>
        </is>
      </c>
      <c r="C53" t="inlineStr">
        <is>
          <t>CFO</t>
        </is>
      </c>
      <c r="D53" t="inlineStr">
        <is>
          <t>Pout</t>
        </is>
      </c>
      <c r="E53" t="inlineStr">
        <is>
          <t>tn5wihneq593t21</t>
        </is>
      </c>
      <c r="F53">
        <f>IFERROR(IF($C53=INDEX(Matches!$S$5:$S$12,MATCH($B53,Matches!$A$5:$A$12,0)),"A",IF($C53=INDEX(Matches!$T$5:$T$12,MATCH($B53,Matches!$A$5:$A$12,0)),"B","")),"")</f>
        <v/>
      </c>
      <c r="G53">
        <f>IFERROR(INDEX(Players!$E$2:$E$66,MATCH($E53,Players!$A$2:$A$66,0)),0)</f>
        <v/>
      </c>
      <c r="H53" s="6">
        <f>IFERROR(INDEX(Players!$F$2:$F$66,MATCH($E53,Players!$A$2:$A$66,0)),"")</f>
        <v/>
      </c>
      <c r="I53">
        <f>IFERROR(INDEX(Players!$G$2:$G$66,MATCH($E53,Players!$A$2:$A$66,0)),"")</f>
        <v/>
      </c>
      <c r="J53" s="11">
        <f>IF(OR($I53="",$H53=""),"",$I53*IF(LEFT($B53,4)="DOTA",Config!$B$5,Config!$B$4)/($H53*IF(LEFT($B53,4)="DOTA",Config!$B$5,Config!$B$4)+1-$H53))</f>
        <v/>
      </c>
      <c r="K53" s="11">
        <f>IF(OR($I53="",$H53=""),"",$I53/($H53*IF(LEFT($B53,4)="DOTA",Config!$B$5,Config!$B$4)+1-$H53))</f>
        <v/>
      </c>
      <c r="L53">
        <f>IFERROR(INDEX(Matches!$R$5:$R$12,MATCH($B53,Matches!$A$5:$A$12,0)),1)</f>
        <v/>
      </c>
      <c r="M53" s="6">
        <f>IFERROR(IF(INDEX(Matches!$M$5:$M$12,MATCH($B53,Matches!$A$5:$A$12,0))="","",IF($F53="A",INDEX(Matches!$M$5:$M$12,MATCH($B53,Matches!$A$5:$A$12,0)),1-INDEX(Matches!$M$5:$M$12,MATCH($B53,Matches!$A$5:$A$12,0)))),"")</f>
        <v/>
      </c>
      <c r="N53">
        <f>1</f>
        <v/>
      </c>
      <c r="O53" s="11">
        <f>IF(OR($M53="",$J53=""),"",$L53*($M53*$J53+(1-$M53)*$K53))</f>
        <v/>
      </c>
      <c r="P53">
        <f>IF($O53="","",IF(LEFT($B53,4)="DOTA",Config!$B$7,Config!$B$6)*$O53+$L53^2*$M53*(1-$M53)*($J53-$K53)^2)</f>
        <v/>
      </c>
      <c r="Q53" s="6">
        <f>IFERROR(IF(INDEX(Matches!$N$5:$N$12,MATCH($B53,Matches!$A$5:$A$12,0))="","",IF($F53="A",INDEX(Matches!$N$5:$N$12,MATCH($B53,Matches!$A$5:$A$12,0)),1-INDEX(Matches!$N$5:$N$12,MATCH($B53,Matches!$A$5:$A$12,0)))),"")</f>
        <v/>
      </c>
      <c r="R53">
        <f>IFERROR(N(INDEX(Matches!$P$5:$P$12,MATCH($B53,Matches!$A$5:$A$12,0))),0)</f>
        <v/>
      </c>
      <c r="S53" s="11">
        <f>IF(OR($Q53="",$J53=""),"",$L53*($Q53*$J53+(1-$Q53)*$K53))</f>
        <v/>
      </c>
      <c r="T53">
        <f>IF($S53="","",IF(LEFT($B53,4)="DOTA",Config!$B$7,Config!$B$6)*$S53+$L53^2*$Q53*(1-$Q53)*($J53-$K53)^2)</f>
        <v/>
      </c>
      <c r="U53" s="6">
        <f>IFERROR(IF(INDEX(Matches!$O$5:$O$12,MATCH($B53,Matches!$A$5:$A$12,0))="","",IF($F53="A",INDEX(Matches!$O$5:$O$12,MATCH($B53,Matches!$A$5:$A$12,0)),1-INDEX(Matches!$O$5:$O$12,MATCH($B53,Matches!$A$5:$A$12,0)))),"")</f>
        <v/>
      </c>
      <c r="V53">
        <f>IFERROR(N(INDEX(Matches!$Q$5:$Q$12,MATCH($B53,Matches!$A$5:$A$12,0))),0)</f>
        <v/>
      </c>
      <c r="W53" s="11">
        <f>IF(OR($U53="",$J53=""),"",$L53*($U53*$J53+(1-$U53)*$K53))</f>
        <v/>
      </c>
      <c r="X53">
        <f>IF($W53="","",IF(LEFT($B53,4)="DOTA",Config!$B$7,Config!$B$6)*$W53+$L53^2*$U53*(1-$U53)*($J53-$K53)^2)</f>
        <v/>
      </c>
      <c r="Y53" s="11">
        <f>IF($O53="","",$O53)</f>
        <v/>
      </c>
      <c r="Z53">
        <f>IF($P53="","",$P53)</f>
        <v/>
      </c>
      <c r="AA53" s="11">
        <f>IF($O53="","",N($N53)*N($O53)+N($R53)*N($S53))</f>
        <v/>
      </c>
      <c r="AB53">
        <f>IF($O53="","",(N($N53)*N($P53)+N($N53)*(1-N($N53))*N($O53)^2)+(N($R53)*N($T53)+N($R53)*(1-N($R53))*N($S53)^2))</f>
        <v/>
      </c>
      <c r="AC53" s="11">
        <f>IF($O53="","",N($N53)*N($O53)+N($R53)*N($S53)+N($V53)*N($W53))</f>
        <v/>
      </c>
      <c r="AD53">
        <f>IF($O53="","",(N($N53)*N($P53)+N($N53)*(1-N($N53))*N($O53)^2)+(N($R53)*N($T53)+N($R53)*(1-N($R53))*N($S53)^2)+(N($V53)*N($X53)+N($V53)*(1-N($V53))*N($W53)^2))</f>
        <v/>
      </c>
      <c r="AE53" s="11">
        <f>IF($I53="","",$I53*$L53)</f>
        <v/>
      </c>
      <c r="AF53" s="11">
        <f>IF($I53="","",$I53*$L53*(1+N($R53)))</f>
        <v/>
      </c>
      <c r="AG53" s="11">
        <f>IF($I53="","",$I53*$L53*(1+N($R53)+N($V53)))</f>
        <v/>
      </c>
      <c r="AH53">
        <f>TRIM(IF($G53&lt;Config!$B$9,"thin sample ("&amp;$G53&amp;" maps) · ","")&amp;IF($I53="","no PickFinder stats · ","")&amp;IFERROR(IF(INDEX(Players!$T$2:$T$66,MATCH($E53,Players!$A$2:$A$66,0))&lt;0.5,"new roster: "&amp;TEXT(INDEX(Players!$T$2:$T$66,MATCH($E53,Players!$A$2:$A$66,0)),"0%")&amp;" of his recent games with these teammates",""),""))</f>
        <v/>
      </c>
      <c r="AI53">
        <f>IF($B53=Board!$B$2,COUNTIFS($B$2:$B$66,Board!$B$2,$Y$2:$Y$66,"&gt;"&amp;$Y53)+COUNTIFS($B$1:$B52,Board!$B$2,$Y$1:$Y52,$Y53)+1,"")</f>
        <v/>
      </c>
      <c r="AJ53">
        <f>IFERROR(IF(INDEX(Matches!$D$5:$D$12,MATCH($B53,Matches!$A$5:$A$12,0))=3,"K12","K13"),"K13")</f>
        <v/>
      </c>
      <c r="AK53" s="11">
        <f>IF($AJ53="K12",$AA53,$AC53)</f>
        <v/>
      </c>
    </row>
    <row r="54">
      <c r="A54" t="inlineStr">
        <is>
          <t>53mtwbqgfk1n5zk|LOL · T1 vs CFO</t>
        </is>
      </c>
      <c r="B54" t="inlineStr">
        <is>
          <t>LOL · T1 vs CFO</t>
        </is>
      </c>
      <c r="C54" t="inlineStr">
        <is>
          <t>CFO</t>
        </is>
      </c>
      <c r="D54" t="inlineStr">
        <is>
          <t>Rest</t>
        </is>
      </c>
      <c r="E54" t="inlineStr">
        <is>
          <t>53mtwbqgfk1n5zk</t>
        </is>
      </c>
      <c r="F54">
        <f>IFERROR(IF($C54=INDEX(Matches!$S$5:$S$12,MATCH($B54,Matches!$A$5:$A$12,0)),"A",IF($C54=INDEX(Matches!$T$5:$T$12,MATCH($B54,Matches!$A$5:$A$12,0)),"B","")),"")</f>
        <v/>
      </c>
      <c r="G54">
        <f>IFERROR(INDEX(Players!$E$2:$E$66,MATCH($E54,Players!$A$2:$A$66,0)),0)</f>
        <v/>
      </c>
      <c r="H54" s="6">
        <f>IFERROR(INDEX(Players!$F$2:$F$66,MATCH($E54,Players!$A$2:$A$66,0)),"")</f>
        <v/>
      </c>
      <c r="I54">
        <f>IFERROR(INDEX(Players!$G$2:$G$66,MATCH($E54,Players!$A$2:$A$66,0)),"")</f>
        <v/>
      </c>
      <c r="J54" s="11">
        <f>IF(OR($I54="",$H54=""),"",$I54*IF(LEFT($B54,4)="DOTA",Config!$B$5,Config!$B$4)/($H54*IF(LEFT($B54,4)="DOTA",Config!$B$5,Config!$B$4)+1-$H54))</f>
        <v/>
      </c>
      <c r="K54" s="11">
        <f>IF(OR($I54="",$H54=""),"",$I54/($H54*IF(LEFT($B54,4)="DOTA",Config!$B$5,Config!$B$4)+1-$H54))</f>
        <v/>
      </c>
      <c r="L54">
        <f>IFERROR(INDEX(Matches!$R$5:$R$12,MATCH($B54,Matches!$A$5:$A$12,0)),1)</f>
        <v/>
      </c>
      <c r="M54" s="6">
        <f>IFERROR(IF(INDEX(Matches!$M$5:$M$12,MATCH($B54,Matches!$A$5:$A$12,0))="","",IF($F54="A",INDEX(Matches!$M$5:$M$12,MATCH($B54,Matches!$A$5:$A$12,0)),1-INDEX(Matches!$M$5:$M$12,MATCH($B54,Matches!$A$5:$A$12,0)))),"")</f>
        <v/>
      </c>
      <c r="N54">
        <f>1</f>
        <v/>
      </c>
      <c r="O54" s="11">
        <f>IF(OR($M54="",$J54=""),"",$L54*($M54*$J54+(1-$M54)*$K54))</f>
        <v/>
      </c>
      <c r="P54">
        <f>IF($O54="","",IF(LEFT($B54,4)="DOTA",Config!$B$7,Config!$B$6)*$O54+$L54^2*$M54*(1-$M54)*($J54-$K54)^2)</f>
        <v/>
      </c>
      <c r="Q54" s="6">
        <f>IFERROR(IF(INDEX(Matches!$N$5:$N$12,MATCH($B54,Matches!$A$5:$A$12,0))="","",IF($F54="A",INDEX(Matches!$N$5:$N$12,MATCH($B54,Matches!$A$5:$A$12,0)),1-INDEX(Matches!$N$5:$N$12,MATCH($B54,Matches!$A$5:$A$12,0)))),"")</f>
        <v/>
      </c>
      <c r="R54">
        <f>IFERROR(N(INDEX(Matches!$P$5:$P$12,MATCH($B54,Matches!$A$5:$A$12,0))),0)</f>
        <v/>
      </c>
      <c r="S54" s="11">
        <f>IF(OR($Q54="",$J54=""),"",$L54*($Q54*$J54+(1-$Q54)*$K54))</f>
        <v/>
      </c>
      <c r="T54">
        <f>IF($S54="","",IF(LEFT($B54,4)="DOTA",Config!$B$7,Config!$B$6)*$S54+$L54^2*$Q54*(1-$Q54)*($J54-$K54)^2)</f>
        <v/>
      </c>
      <c r="U54" s="6">
        <f>IFERROR(IF(INDEX(Matches!$O$5:$O$12,MATCH($B54,Matches!$A$5:$A$12,0))="","",IF($F54="A",INDEX(Matches!$O$5:$O$12,MATCH($B54,Matches!$A$5:$A$12,0)),1-INDEX(Matches!$O$5:$O$12,MATCH($B54,Matches!$A$5:$A$12,0)))),"")</f>
        <v/>
      </c>
      <c r="V54">
        <f>IFERROR(N(INDEX(Matches!$Q$5:$Q$12,MATCH($B54,Matches!$A$5:$A$12,0))),0)</f>
        <v/>
      </c>
      <c r="W54" s="11">
        <f>IF(OR($U54="",$J54=""),"",$L54*($U54*$J54+(1-$U54)*$K54))</f>
        <v/>
      </c>
      <c r="X54">
        <f>IF($W54="","",IF(LEFT($B54,4)="DOTA",Config!$B$7,Config!$B$6)*$W54+$L54^2*$U54*(1-$U54)*($J54-$K54)^2)</f>
        <v/>
      </c>
      <c r="Y54" s="11">
        <f>IF($O54="","",$O54)</f>
        <v/>
      </c>
      <c r="Z54">
        <f>IF($P54="","",$P54)</f>
        <v/>
      </c>
      <c r="AA54" s="11">
        <f>IF($O54="","",N($N54)*N($O54)+N($R54)*N($S54))</f>
        <v/>
      </c>
      <c r="AB54">
        <f>IF($O54="","",(N($N54)*N($P54)+N($N54)*(1-N($N54))*N($O54)^2)+(N($R54)*N($T54)+N($R54)*(1-N($R54))*N($S54)^2))</f>
        <v/>
      </c>
      <c r="AC54" s="11">
        <f>IF($O54="","",N($N54)*N($O54)+N($R54)*N($S54)+N($V54)*N($W54))</f>
        <v/>
      </c>
      <c r="AD54">
        <f>IF($O54="","",(N($N54)*N($P54)+N($N54)*(1-N($N54))*N($O54)^2)+(N($R54)*N($T54)+N($R54)*(1-N($R54))*N($S54)^2)+(N($V54)*N($X54)+N($V54)*(1-N($V54))*N($W54)^2))</f>
        <v/>
      </c>
      <c r="AE54" s="11">
        <f>IF($I54="","",$I54*$L54)</f>
        <v/>
      </c>
      <c r="AF54" s="11">
        <f>IF($I54="","",$I54*$L54*(1+N($R54)))</f>
        <v/>
      </c>
      <c r="AG54" s="11">
        <f>IF($I54="","",$I54*$L54*(1+N($R54)+N($V54)))</f>
        <v/>
      </c>
      <c r="AH54">
        <f>TRIM(IF($G54&lt;Config!$B$9,"thin sample ("&amp;$G54&amp;" maps) · ","")&amp;IF($I54="","no PickFinder stats · ","")&amp;IFERROR(IF(INDEX(Players!$T$2:$T$66,MATCH($E54,Players!$A$2:$A$66,0))&lt;0.5,"new roster: "&amp;TEXT(INDEX(Players!$T$2:$T$66,MATCH($E54,Players!$A$2:$A$66,0)),"0%")&amp;" of his recent games with these teammates",""),""))</f>
        <v/>
      </c>
      <c r="AI54">
        <f>IF($B54=Board!$B$2,COUNTIFS($B$2:$B$66,Board!$B$2,$Y$2:$Y$66,"&gt;"&amp;$Y54)+COUNTIFS($B$1:$B53,Board!$B$2,$Y$1:$Y53,$Y54)+1,"")</f>
        <v/>
      </c>
      <c r="AJ54">
        <f>IFERROR(IF(INDEX(Matches!$D$5:$D$12,MATCH($B54,Matches!$A$5:$A$12,0))=3,"K12","K13"),"K13")</f>
        <v/>
      </c>
      <c r="AK54" s="11">
        <f>IF($AJ54="K12",$AA54,$AC54)</f>
        <v/>
      </c>
    </row>
    <row r="55">
      <c r="A55" t="inlineStr">
        <is>
          <t>ko4ayhltzyln940|LOL · T1 vs CFO</t>
        </is>
      </c>
      <c r="B55" t="inlineStr">
        <is>
          <t>LOL · T1 vs CFO</t>
        </is>
      </c>
      <c r="C55" t="inlineStr">
        <is>
          <t>CFO</t>
        </is>
      </c>
      <c r="D55" t="inlineStr">
        <is>
          <t>Shad0w</t>
        </is>
      </c>
      <c r="E55" t="inlineStr">
        <is>
          <t>ko4ayhltzyln940</t>
        </is>
      </c>
      <c r="F55">
        <f>IFERROR(IF($C55=INDEX(Matches!$S$5:$S$12,MATCH($B55,Matches!$A$5:$A$12,0)),"A",IF($C55=INDEX(Matches!$T$5:$T$12,MATCH($B55,Matches!$A$5:$A$12,0)),"B","")),"")</f>
        <v/>
      </c>
      <c r="G55">
        <f>IFERROR(INDEX(Players!$E$2:$E$66,MATCH($E55,Players!$A$2:$A$66,0)),0)</f>
        <v/>
      </c>
      <c r="H55" s="6">
        <f>IFERROR(INDEX(Players!$F$2:$F$66,MATCH($E55,Players!$A$2:$A$66,0)),"")</f>
        <v/>
      </c>
      <c r="I55">
        <f>IFERROR(INDEX(Players!$G$2:$G$66,MATCH($E55,Players!$A$2:$A$66,0)),"")</f>
        <v/>
      </c>
      <c r="J55" s="11">
        <f>IF(OR($I55="",$H55=""),"",$I55*IF(LEFT($B55,4)="DOTA",Config!$B$5,Config!$B$4)/($H55*IF(LEFT($B55,4)="DOTA",Config!$B$5,Config!$B$4)+1-$H55))</f>
        <v/>
      </c>
      <c r="K55" s="11">
        <f>IF(OR($I55="",$H55=""),"",$I55/($H55*IF(LEFT($B55,4)="DOTA",Config!$B$5,Config!$B$4)+1-$H55))</f>
        <v/>
      </c>
      <c r="L55">
        <f>IFERROR(INDEX(Matches!$R$5:$R$12,MATCH($B55,Matches!$A$5:$A$12,0)),1)</f>
        <v/>
      </c>
      <c r="M55" s="6">
        <f>IFERROR(IF(INDEX(Matches!$M$5:$M$12,MATCH($B55,Matches!$A$5:$A$12,0))="","",IF($F55="A",INDEX(Matches!$M$5:$M$12,MATCH($B55,Matches!$A$5:$A$12,0)),1-INDEX(Matches!$M$5:$M$12,MATCH($B55,Matches!$A$5:$A$12,0)))),"")</f>
        <v/>
      </c>
      <c r="N55">
        <f>1</f>
        <v/>
      </c>
      <c r="O55" s="11">
        <f>IF(OR($M55="",$J55=""),"",$L55*($M55*$J55+(1-$M55)*$K55))</f>
        <v/>
      </c>
      <c r="P55">
        <f>IF($O55="","",IF(LEFT($B55,4)="DOTA",Config!$B$7,Config!$B$6)*$O55+$L55^2*$M55*(1-$M55)*($J55-$K55)^2)</f>
        <v/>
      </c>
      <c r="Q55" s="6">
        <f>IFERROR(IF(INDEX(Matches!$N$5:$N$12,MATCH($B55,Matches!$A$5:$A$12,0))="","",IF($F55="A",INDEX(Matches!$N$5:$N$12,MATCH($B55,Matches!$A$5:$A$12,0)),1-INDEX(Matches!$N$5:$N$12,MATCH($B55,Matches!$A$5:$A$12,0)))),"")</f>
        <v/>
      </c>
      <c r="R55">
        <f>IFERROR(N(INDEX(Matches!$P$5:$P$12,MATCH($B55,Matches!$A$5:$A$12,0))),0)</f>
        <v/>
      </c>
      <c r="S55" s="11">
        <f>IF(OR($Q55="",$J55=""),"",$L55*($Q55*$J55+(1-$Q55)*$K55))</f>
        <v/>
      </c>
      <c r="T55">
        <f>IF($S55="","",IF(LEFT($B55,4)="DOTA",Config!$B$7,Config!$B$6)*$S55+$L55^2*$Q55*(1-$Q55)*($J55-$K55)^2)</f>
        <v/>
      </c>
      <c r="U55" s="6">
        <f>IFERROR(IF(INDEX(Matches!$O$5:$O$12,MATCH($B55,Matches!$A$5:$A$12,0))="","",IF($F55="A",INDEX(Matches!$O$5:$O$12,MATCH($B55,Matches!$A$5:$A$12,0)),1-INDEX(Matches!$O$5:$O$12,MATCH($B55,Matches!$A$5:$A$12,0)))),"")</f>
        <v/>
      </c>
      <c r="V55">
        <f>IFERROR(N(INDEX(Matches!$Q$5:$Q$12,MATCH($B55,Matches!$A$5:$A$12,0))),0)</f>
        <v/>
      </c>
      <c r="W55" s="11">
        <f>IF(OR($U55="",$J55=""),"",$L55*($U55*$J55+(1-$U55)*$K55))</f>
        <v/>
      </c>
      <c r="X55">
        <f>IF($W55="","",IF(LEFT($B55,4)="DOTA",Config!$B$7,Config!$B$6)*$W55+$L55^2*$U55*(1-$U55)*($J55-$K55)^2)</f>
        <v/>
      </c>
      <c r="Y55" s="11">
        <f>IF($O55="","",$O55)</f>
        <v/>
      </c>
      <c r="Z55">
        <f>IF($P55="","",$P55)</f>
        <v/>
      </c>
      <c r="AA55" s="11">
        <f>IF($O55="","",N($N55)*N($O55)+N($R55)*N($S55))</f>
        <v/>
      </c>
      <c r="AB55">
        <f>IF($O55="","",(N($N55)*N($P55)+N($N55)*(1-N($N55))*N($O55)^2)+(N($R55)*N($T55)+N($R55)*(1-N($R55))*N($S55)^2))</f>
        <v/>
      </c>
      <c r="AC55" s="11">
        <f>IF($O55="","",N($N55)*N($O55)+N($R55)*N($S55)+N($V55)*N($W55))</f>
        <v/>
      </c>
      <c r="AD55">
        <f>IF($O55="","",(N($N55)*N($P55)+N($N55)*(1-N($N55))*N($O55)^2)+(N($R55)*N($T55)+N($R55)*(1-N($R55))*N($S55)^2)+(N($V55)*N($X55)+N($V55)*(1-N($V55))*N($W55)^2))</f>
        <v/>
      </c>
      <c r="AE55" s="11">
        <f>IF($I55="","",$I55*$L55)</f>
        <v/>
      </c>
      <c r="AF55" s="11">
        <f>IF($I55="","",$I55*$L55*(1+N($R55)))</f>
        <v/>
      </c>
      <c r="AG55" s="11">
        <f>IF($I55="","",$I55*$L55*(1+N($R55)+N($V55)))</f>
        <v/>
      </c>
      <c r="AH55">
        <f>TRIM(IF($G55&lt;Config!$B$9,"thin sample ("&amp;$G55&amp;" maps) · ","")&amp;IF($I55="","no PickFinder stats · ","")&amp;IFERROR(IF(INDEX(Players!$T$2:$T$66,MATCH($E55,Players!$A$2:$A$66,0))&lt;0.5,"new roster: "&amp;TEXT(INDEX(Players!$T$2:$T$66,MATCH($E55,Players!$A$2:$A$66,0)),"0%")&amp;" of his recent games with these teammates",""),""))</f>
        <v/>
      </c>
      <c r="AI55">
        <f>IF($B55=Board!$B$2,COUNTIFS($B$2:$B$66,Board!$B$2,$Y$2:$Y$66,"&gt;"&amp;$Y55)+COUNTIFS($B$1:$B54,Board!$B$2,$Y$1:$Y54,$Y55)+1,"")</f>
        <v/>
      </c>
      <c r="AJ55">
        <f>IFERROR(IF(INDEX(Matches!$D$5:$D$12,MATCH($B55,Matches!$A$5:$A$12,0))=3,"K12","K13"),"K13")</f>
        <v/>
      </c>
      <c r="AK55" s="11">
        <f>IF($AJ55="K12",$AA55,$AC55)</f>
        <v/>
      </c>
    </row>
    <row r="56">
      <c r="A56" t="inlineStr">
        <is>
          <t>xejs6635mp9yjls|LOL · T1 vs CFO</t>
        </is>
      </c>
      <c r="B56" t="inlineStr">
        <is>
          <t>LOL · T1 vs CFO</t>
        </is>
      </c>
      <c r="C56" t="inlineStr">
        <is>
          <t>T1</t>
        </is>
      </c>
      <c r="D56" t="inlineStr">
        <is>
          <t>Faker</t>
        </is>
      </c>
      <c r="E56" t="inlineStr">
        <is>
          <t>xejs6635mp9yjls</t>
        </is>
      </c>
      <c r="F56">
        <f>IFERROR(IF($C56=INDEX(Matches!$S$5:$S$12,MATCH($B56,Matches!$A$5:$A$12,0)),"A",IF($C56=INDEX(Matches!$T$5:$T$12,MATCH($B56,Matches!$A$5:$A$12,0)),"B","")),"")</f>
        <v/>
      </c>
      <c r="G56">
        <f>IFERROR(INDEX(Players!$E$2:$E$66,MATCH($E56,Players!$A$2:$A$66,0)),0)</f>
        <v/>
      </c>
      <c r="H56" s="6">
        <f>IFERROR(INDEX(Players!$F$2:$F$66,MATCH($E56,Players!$A$2:$A$66,0)),"")</f>
        <v/>
      </c>
      <c r="I56">
        <f>IFERROR(INDEX(Players!$G$2:$G$66,MATCH($E56,Players!$A$2:$A$66,0)),"")</f>
        <v/>
      </c>
      <c r="J56" s="11">
        <f>IF(OR($I56="",$H56=""),"",$I56*IF(LEFT($B56,4)="DOTA",Config!$B$5,Config!$B$4)/($H56*IF(LEFT($B56,4)="DOTA",Config!$B$5,Config!$B$4)+1-$H56))</f>
        <v/>
      </c>
      <c r="K56" s="11">
        <f>IF(OR($I56="",$H56=""),"",$I56/($H56*IF(LEFT($B56,4)="DOTA",Config!$B$5,Config!$B$4)+1-$H56))</f>
        <v/>
      </c>
      <c r="L56">
        <f>IFERROR(INDEX(Matches!$R$5:$R$12,MATCH($B56,Matches!$A$5:$A$12,0)),1)</f>
        <v/>
      </c>
      <c r="M56" s="6">
        <f>IFERROR(IF(INDEX(Matches!$M$5:$M$12,MATCH($B56,Matches!$A$5:$A$12,0))="","",IF($F56="A",INDEX(Matches!$M$5:$M$12,MATCH($B56,Matches!$A$5:$A$12,0)),1-INDEX(Matches!$M$5:$M$12,MATCH($B56,Matches!$A$5:$A$12,0)))),"")</f>
        <v/>
      </c>
      <c r="N56">
        <f>1</f>
        <v/>
      </c>
      <c r="O56" s="11">
        <f>IF(OR($M56="",$J56=""),"",$L56*($M56*$J56+(1-$M56)*$K56))</f>
        <v/>
      </c>
      <c r="P56">
        <f>IF($O56="","",IF(LEFT($B56,4)="DOTA",Config!$B$7,Config!$B$6)*$O56+$L56^2*$M56*(1-$M56)*($J56-$K56)^2)</f>
        <v/>
      </c>
      <c r="Q56" s="6">
        <f>IFERROR(IF(INDEX(Matches!$N$5:$N$12,MATCH($B56,Matches!$A$5:$A$12,0))="","",IF($F56="A",INDEX(Matches!$N$5:$N$12,MATCH($B56,Matches!$A$5:$A$12,0)),1-INDEX(Matches!$N$5:$N$12,MATCH($B56,Matches!$A$5:$A$12,0)))),"")</f>
        <v/>
      </c>
      <c r="R56">
        <f>IFERROR(N(INDEX(Matches!$P$5:$P$12,MATCH($B56,Matches!$A$5:$A$12,0))),0)</f>
        <v/>
      </c>
      <c r="S56" s="11">
        <f>IF(OR($Q56="",$J56=""),"",$L56*($Q56*$J56+(1-$Q56)*$K56))</f>
        <v/>
      </c>
      <c r="T56">
        <f>IF($S56="","",IF(LEFT($B56,4)="DOTA",Config!$B$7,Config!$B$6)*$S56+$L56^2*$Q56*(1-$Q56)*($J56-$K56)^2)</f>
        <v/>
      </c>
      <c r="U56" s="6">
        <f>IFERROR(IF(INDEX(Matches!$O$5:$O$12,MATCH($B56,Matches!$A$5:$A$12,0))="","",IF($F56="A",INDEX(Matches!$O$5:$O$12,MATCH($B56,Matches!$A$5:$A$12,0)),1-INDEX(Matches!$O$5:$O$12,MATCH($B56,Matches!$A$5:$A$12,0)))),"")</f>
        <v/>
      </c>
      <c r="V56">
        <f>IFERROR(N(INDEX(Matches!$Q$5:$Q$12,MATCH($B56,Matches!$A$5:$A$12,0))),0)</f>
        <v/>
      </c>
      <c r="W56" s="11">
        <f>IF(OR($U56="",$J56=""),"",$L56*($U56*$J56+(1-$U56)*$K56))</f>
        <v/>
      </c>
      <c r="X56">
        <f>IF($W56="","",IF(LEFT($B56,4)="DOTA",Config!$B$7,Config!$B$6)*$W56+$L56^2*$U56*(1-$U56)*($J56-$K56)^2)</f>
        <v/>
      </c>
      <c r="Y56" s="11">
        <f>IF($O56="","",$O56)</f>
        <v/>
      </c>
      <c r="Z56">
        <f>IF($P56="","",$P56)</f>
        <v/>
      </c>
      <c r="AA56" s="11">
        <f>IF($O56="","",N($N56)*N($O56)+N($R56)*N($S56))</f>
        <v/>
      </c>
      <c r="AB56">
        <f>IF($O56="","",(N($N56)*N($P56)+N($N56)*(1-N($N56))*N($O56)^2)+(N($R56)*N($T56)+N($R56)*(1-N($R56))*N($S56)^2))</f>
        <v/>
      </c>
      <c r="AC56" s="11">
        <f>IF($O56="","",N($N56)*N($O56)+N($R56)*N($S56)+N($V56)*N($W56))</f>
        <v/>
      </c>
      <c r="AD56">
        <f>IF($O56="","",(N($N56)*N($P56)+N($N56)*(1-N($N56))*N($O56)^2)+(N($R56)*N($T56)+N($R56)*(1-N($R56))*N($S56)^2)+(N($V56)*N($X56)+N($V56)*(1-N($V56))*N($W56)^2))</f>
        <v/>
      </c>
      <c r="AE56" s="11">
        <f>IF($I56="","",$I56*$L56)</f>
        <v/>
      </c>
      <c r="AF56" s="11">
        <f>IF($I56="","",$I56*$L56*(1+N($R56)))</f>
        <v/>
      </c>
      <c r="AG56" s="11">
        <f>IF($I56="","",$I56*$L56*(1+N($R56)+N($V56)))</f>
        <v/>
      </c>
      <c r="AH56">
        <f>TRIM(IF($G56&lt;Config!$B$9,"thin sample ("&amp;$G56&amp;" maps) · ","")&amp;IF($I56="","no PickFinder stats · ","")&amp;IFERROR(IF(INDEX(Players!$T$2:$T$66,MATCH($E56,Players!$A$2:$A$66,0))&lt;0.5,"new roster: "&amp;TEXT(INDEX(Players!$T$2:$T$66,MATCH($E56,Players!$A$2:$A$66,0)),"0%")&amp;" of his recent games with these teammates",""),""))</f>
        <v/>
      </c>
      <c r="AI56">
        <f>IF($B56=Board!$B$2,COUNTIFS($B$2:$B$66,Board!$B$2,$Y$2:$Y$66,"&gt;"&amp;$Y56)+COUNTIFS($B$1:$B55,Board!$B$2,$Y$1:$Y55,$Y56)+1,"")</f>
        <v/>
      </c>
      <c r="AJ56">
        <f>IFERROR(IF(INDEX(Matches!$D$5:$D$12,MATCH($B56,Matches!$A$5:$A$12,0))=3,"K12","K13"),"K13")</f>
        <v/>
      </c>
      <c r="AK56" s="11">
        <f>IF($AJ56="K12",$AA56,$AC56)</f>
        <v/>
      </c>
    </row>
    <row r="57">
      <c r="A57" t="inlineStr">
        <is>
          <t>0qs18ll8c1ghzp5|LOL · T1 vs CFO</t>
        </is>
      </c>
      <c r="B57" t="inlineStr">
        <is>
          <t>LOL · T1 vs CFO</t>
        </is>
      </c>
      <c r="C57" t="inlineStr">
        <is>
          <t>T1</t>
        </is>
      </c>
      <c r="D57" t="inlineStr">
        <is>
          <t>Oner</t>
        </is>
      </c>
      <c r="E57" t="inlineStr">
        <is>
          <t>0qs18ll8c1ghzp5</t>
        </is>
      </c>
      <c r="F57">
        <f>IFERROR(IF($C57=INDEX(Matches!$S$5:$S$12,MATCH($B57,Matches!$A$5:$A$12,0)),"A",IF($C57=INDEX(Matches!$T$5:$T$12,MATCH($B57,Matches!$A$5:$A$12,0)),"B","")),"")</f>
        <v/>
      </c>
      <c r="G57">
        <f>IFERROR(INDEX(Players!$E$2:$E$66,MATCH($E57,Players!$A$2:$A$66,0)),0)</f>
        <v/>
      </c>
      <c r="H57" s="6">
        <f>IFERROR(INDEX(Players!$F$2:$F$66,MATCH($E57,Players!$A$2:$A$66,0)),"")</f>
        <v/>
      </c>
      <c r="I57">
        <f>IFERROR(INDEX(Players!$G$2:$G$66,MATCH($E57,Players!$A$2:$A$66,0)),"")</f>
        <v/>
      </c>
      <c r="J57" s="11">
        <f>IF(OR($I57="",$H57=""),"",$I57*IF(LEFT($B57,4)="DOTA",Config!$B$5,Config!$B$4)/($H57*IF(LEFT($B57,4)="DOTA",Config!$B$5,Config!$B$4)+1-$H57))</f>
        <v/>
      </c>
      <c r="K57" s="11">
        <f>IF(OR($I57="",$H57=""),"",$I57/($H57*IF(LEFT($B57,4)="DOTA",Config!$B$5,Config!$B$4)+1-$H57))</f>
        <v/>
      </c>
      <c r="L57">
        <f>IFERROR(INDEX(Matches!$R$5:$R$12,MATCH($B57,Matches!$A$5:$A$12,0)),1)</f>
        <v/>
      </c>
      <c r="M57" s="6">
        <f>IFERROR(IF(INDEX(Matches!$M$5:$M$12,MATCH($B57,Matches!$A$5:$A$12,0))="","",IF($F57="A",INDEX(Matches!$M$5:$M$12,MATCH($B57,Matches!$A$5:$A$12,0)),1-INDEX(Matches!$M$5:$M$12,MATCH($B57,Matches!$A$5:$A$12,0)))),"")</f>
        <v/>
      </c>
      <c r="N57">
        <f>1</f>
        <v/>
      </c>
      <c r="O57" s="11">
        <f>IF(OR($M57="",$J57=""),"",$L57*($M57*$J57+(1-$M57)*$K57))</f>
        <v/>
      </c>
      <c r="P57">
        <f>IF($O57="","",IF(LEFT($B57,4)="DOTA",Config!$B$7,Config!$B$6)*$O57+$L57^2*$M57*(1-$M57)*($J57-$K57)^2)</f>
        <v/>
      </c>
      <c r="Q57" s="6">
        <f>IFERROR(IF(INDEX(Matches!$N$5:$N$12,MATCH($B57,Matches!$A$5:$A$12,0))="","",IF($F57="A",INDEX(Matches!$N$5:$N$12,MATCH($B57,Matches!$A$5:$A$12,0)),1-INDEX(Matches!$N$5:$N$12,MATCH($B57,Matches!$A$5:$A$12,0)))),"")</f>
        <v/>
      </c>
      <c r="R57">
        <f>IFERROR(N(INDEX(Matches!$P$5:$P$12,MATCH($B57,Matches!$A$5:$A$12,0))),0)</f>
        <v/>
      </c>
      <c r="S57" s="11">
        <f>IF(OR($Q57="",$J57=""),"",$L57*($Q57*$J57+(1-$Q57)*$K57))</f>
        <v/>
      </c>
      <c r="T57">
        <f>IF($S57="","",IF(LEFT($B57,4)="DOTA",Config!$B$7,Config!$B$6)*$S57+$L57^2*$Q57*(1-$Q57)*($J57-$K57)^2)</f>
        <v/>
      </c>
      <c r="U57" s="6">
        <f>IFERROR(IF(INDEX(Matches!$O$5:$O$12,MATCH($B57,Matches!$A$5:$A$12,0))="","",IF($F57="A",INDEX(Matches!$O$5:$O$12,MATCH($B57,Matches!$A$5:$A$12,0)),1-INDEX(Matches!$O$5:$O$12,MATCH($B57,Matches!$A$5:$A$12,0)))),"")</f>
        <v/>
      </c>
      <c r="V57">
        <f>IFERROR(N(INDEX(Matches!$Q$5:$Q$12,MATCH($B57,Matches!$A$5:$A$12,0))),0)</f>
        <v/>
      </c>
      <c r="W57" s="11">
        <f>IF(OR($U57="",$J57=""),"",$L57*($U57*$J57+(1-$U57)*$K57))</f>
        <v/>
      </c>
      <c r="X57">
        <f>IF($W57="","",IF(LEFT($B57,4)="DOTA",Config!$B$7,Config!$B$6)*$W57+$L57^2*$U57*(1-$U57)*($J57-$K57)^2)</f>
        <v/>
      </c>
      <c r="Y57" s="11">
        <f>IF($O57="","",$O57)</f>
        <v/>
      </c>
      <c r="Z57">
        <f>IF($P57="","",$P57)</f>
        <v/>
      </c>
      <c r="AA57" s="11">
        <f>IF($O57="","",N($N57)*N($O57)+N($R57)*N($S57))</f>
        <v/>
      </c>
      <c r="AB57">
        <f>IF($O57="","",(N($N57)*N($P57)+N($N57)*(1-N($N57))*N($O57)^2)+(N($R57)*N($T57)+N($R57)*(1-N($R57))*N($S57)^2))</f>
        <v/>
      </c>
      <c r="AC57" s="11">
        <f>IF($O57="","",N($N57)*N($O57)+N($R57)*N($S57)+N($V57)*N($W57))</f>
        <v/>
      </c>
      <c r="AD57">
        <f>IF($O57="","",(N($N57)*N($P57)+N($N57)*(1-N($N57))*N($O57)^2)+(N($R57)*N($T57)+N($R57)*(1-N($R57))*N($S57)^2)+(N($V57)*N($X57)+N($V57)*(1-N($V57))*N($W57)^2))</f>
        <v/>
      </c>
      <c r="AE57" s="11">
        <f>IF($I57="","",$I57*$L57)</f>
        <v/>
      </c>
      <c r="AF57" s="11">
        <f>IF($I57="","",$I57*$L57*(1+N($R57)))</f>
        <v/>
      </c>
      <c r="AG57" s="11">
        <f>IF($I57="","",$I57*$L57*(1+N($R57)+N($V57)))</f>
        <v/>
      </c>
      <c r="AH57">
        <f>TRIM(IF($G57&lt;Config!$B$9,"thin sample ("&amp;$G57&amp;" maps) · ","")&amp;IF($I57="","no PickFinder stats · ","")&amp;IFERROR(IF(INDEX(Players!$T$2:$T$66,MATCH($E57,Players!$A$2:$A$66,0))&lt;0.5,"new roster: "&amp;TEXT(INDEX(Players!$T$2:$T$66,MATCH($E57,Players!$A$2:$A$66,0)),"0%")&amp;" of his recent games with these teammates",""),""))</f>
        <v/>
      </c>
      <c r="AI57">
        <f>IF($B57=Board!$B$2,COUNTIFS($B$2:$B$66,Board!$B$2,$Y$2:$Y$66,"&gt;"&amp;$Y57)+COUNTIFS($B$1:$B56,Board!$B$2,$Y$1:$Y56,$Y57)+1,"")</f>
        <v/>
      </c>
      <c r="AJ57">
        <f>IFERROR(IF(INDEX(Matches!$D$5:$D$12,MATCH($B57,Matches!$A$5:$A$12,0))=3,"K12","K13"),"K13")</f>
        <v/>
      </c>
      <c r="AK57" s="11">
        <f>IF($AJ57="K12",$AA57,$AC57)</f>
        <v/>
      </c>
    </row>
    <row r="58">
      <c r="A58" t="inlineStr">
        <is>
          <t>98d05n24zmlpwll|LOL · T1 vs CFO</t>
        </is>
      </c>
      <c r="B58" t="inlineStr">
        <is>
          <t>LOL · T1 vs CFO</t>
        </is>
      </c>
      <c r="C58" t="inlineStr">
        <is>
          <t>T1</t>
        </is>
      </c>
      <c r="D58" t="inlineStr">
        <is>
          <t>Peyz</t>
        </is>
      </c>
      <c r="E58" t="inlineStr">
        <is>
          <t>98d05n24zmlpwll</t>
        </is>
      </c>
      <c r="F58">
        <f>IFERROR(IF($C58=INDEX(Matches!$S$5:$S$12,MATCH($B58,Matches!$A$5:$A$12,0)),"A",IF($C58=INDEX(Matches!$T$5:$T$12,MATCH($B58,Matches!$A$5:$A$12,0)),"B","")),"")</f>
        <v/>
      </c>
      <c r="G58">
        <f>IFERROR(INDEX(Players!$E$2:$E$66,MATCH($E58,Players!$A$2:$A$66,0)),0)</f>
        <v/>
      </c>
      <c r="H58" s="6">
        <f>IFERROR(INDEX(Players!$F$2:$F$66,MATCH($E58,Players!$A$2:$A$66,0)),"")</f>
        <v/>
      </c>
      <c r="I58">
        <f>IFERROR(INDEX(Players!$G$2:$G$66,MATCH($E58,Players!$A$2:$A$66,0)),"")</f>
        <v/>
      </c>
      <c r="J58" s="11">
        <f>IF(OR($I58="",$H58=""),"",$I58*IF(LEFT($B58,4)="DOTA",Config!$B$5,Config!$B$4)/($H58*IF(LEFT($B58,4)="DOTA",Config!$B$5,Config!$B$4)+1-$H58))</f>
        <v/>
      </c>
      <c r="K58" s="11">
        <f>IF(OR($I58="",$H58=""),"",$I58/($H58*IF(LEFT($B58,4)="DOTA",Config!$B$5,Config!$B$4)+1-$H58))</f>
        <v/>
      </c>
      <c r="L58">
        <f>IFERROR(INDEX(Matches!$R$5:$R$12,MATCH($B58,Matches!$A$5:$A$12,0)),1)</f>
        <v/>
      </c>
      <c r="M58" s="6">
        <f>IFERROR(IF(INDEX(Matches!$M$5:$M$12,MATCH($B58,Matches!$A$5:$A$12,0))="","",IF($F58="A",INDEX(Matches!$M$5:$M$12,MATCH($B58,Matches!$A$5:$A$12,0)),1-INDEX(Matches!$M$5:$M$12,MATCH($B58,Matches!$A$5:$A$12,0)))),"")</f>
        <v/>
      </c>
      <c r="N58">
        <f>1</f>
        <v/>
      </c>
      <c r="O58" s="11">
        <f>IF(OR($M58="",$J58=""),"",$L58*($M58*$J58+(1-$M58)*$K58))</f>
        <v/>
      </c>
      <c r="P58">
        <f>IF($O58="","",IF(LEFT($B58,4)="DOTA",Config!$B$7,Config!$B$6)*$O58+$L58^2*$M58*(1-$M58)*($J58-$K58)^2)</f>
        <v/>
      </c>
      <c r="Q58" s="6">
        <f>IFERROR(IF(INDEX(Matches!$N$5:$N$12,MATCH($B58,Matches!$A$5:$A$12,0))="","",IF($F58="A",INDEX(Matches!$N$5:$N$12,MATCH($B58,Matches!$A$5:$A$12,0)),1-INDEX(Matches!$N$5:$N$12,MATCH($B58,Matches!$A$5:$A$12,0)))),"")</f>
        <v/>
      </c>
      <c r="R58">
        <f>IFERROR(N(INDEX(Matches!$P$5:$P$12,MATCH($B58,Matches!$A$5:$A$12,0))),0)</f>
        <v/>
      </c>
      <c r="S58" s="11">
        <f>IF(OR($Q58="",$J58=""),"",$L58*($Q58*$J58+(1-$Q58)*$K58))</f>
        <v/>
      </c>
      <c r="T58">
        <f>IF($S58="","",IF(LEFT($B58,4)="DOTA",Config!$B$7,Config!$B$6)*$S58+$L58^2*$Q58*(1-$Q58)*($J58-$K58)^2)</f>
        <v/>
      </c>
      <c r="U58" s="6">
        <f>IFERROR(IF(INDEX(Matches!$O$5:$O$12,MATCH($B58,Matches!$A$5:$A$12,0))="","",IF($F58="A",INDEX(Matches!$O$5:$O$12,MATCH($B58,Matches!$A$5:$A$12,0)),1-INDEX(Matches!$O$5:$O$12,MATCH($B58,Matches!$A$5:$A$12,0)))),"")</f>
        <v/>
      </c>
      <c r="V58">
        <f>IFERROR(N(INDEX(Matches!$Q$5:$Q$12,MATCH($B58,Matches!$A$5:$A$12,0))),0)</f>
        <v/>
      </c>
      <c r="W58" s="11">
        <f>IF(OR($U58="",$J58=""),"",$L58*($U58*$J58+(1-$U58)*$K58))</f>
        <v/>
      </c>
      <c r="X58">
        <f>IF($W58="","",IF(LEFT($B58,4)="DOTA",Config!$B$7,Config!$B$6)*$W58+$L58^2*$U58*(1-$U58)*($J58-$K58)^2)</f>
        <v/>
      </c>
      <c r="Y58" s="11">
        <f>IF($O58="","",$O58)</f>
        <v/>
      </c>
      <c r="Z58">
        <f>IF($P58="","",$P58)</f>
        <v/>
      </c>
      <c r="AA58" s="11">
        <f>IF($O58="","",N($N58)*N($O58)+N($R58)*N($S58))</f>
        <v/>
      </c>
      <c r="AB58">
        <f>IF($O58="","",(N($N58)*N($P58)+N($N58)*(1-N($N58))*N($O58)^2)+(N($R58)*N($T58)+N($R58)*(1-N($R58))*N($S58)^2))</f>
        <v/>
      </c>
      <c r="AC58" s="11">
        <f>IF($O58="","",N($N58)*N($O58)+N($R58)*N($S58)+N($V58)*N($W58))</f>
        <v/>
      </c>
      <c r="AD58">
        <f>IF($O58="","",(N($N58)*N($P58)+N($N58)*(1-N($N58))*N($O58)^2)+(N($R58)*N($T58)+N($R58)*(1-N($R58))*N($S58)^2)+(N($V58)*N($X58)+N($V58)*(1-N($V58))*N($W58)^2))</f>
        <v/>
      </c>
      <c r="AE58" s="11">
        <f>IF($I58="","",$I58*$L58)</f>
        <v/>
      </c>
      <c r="AF58" s="11">
        <f>IF($I58="","",$I58*$L58*(1+N($R58)))</f>
        <v/>
      </c>
      <c r="AG58" s="11">
        <f>IF($I58="","",$I58*$L58*(1+N($R58)+N($V58)))</f>
        <v/>
      </c>
      <c r="AH58">
        <f>TRIM(IF($G58&lt;Config!$B$9,"thin sample ("&amp;$G58&amp;" maps) · ","")&amp;IF($I58="","no PickFinder stats · ","")&amp;IFERROR(IF(INDEX(Players!$T$2:$T$66,MATCH($E58,Players!$A$2:$A$66,0))&lt;0.5,"new roster: "&amp;TEXT(INDEX(Players!$T$2:$T$66,MATCH($E58,Players!$A$2:$A$66,0)),"0%")&amp;" of his recent games with these teammates",""),""))</f>
        <v/>
      </c>
      <c r="AI58">
        <f>IF($B58=Board!$B$2,COUNTIFS($B$2:$B$66,Board!$B$2,$Y$2:$Y$66,"&gt;"&amp;$Y58)+COUNTIFS($B$1:$B57,Board!$B$2,$Y$1:$Y57,$Y58)+1,"")</f>
        <v/>
      </c>
      <c r="AJ58">
        <f>IFERROR(IF(INDEX(Matches!$D$5:$D$12,MATCH($B58,Matches!$A$5:$A$12,0))=3,"K12","K13"),"K13")</f>
        <v/>
      </c>
      <c r="AK58" s="11">
        <f>IF($AJ58="K12",$AA58,$AC58)</f>
        <v/>
      </c>
    </row>
    <row r="59">
      <c r="A59" t="inlineStr">
        <is>
          <t>mhg6ds61hvmgcyz|LOL · TL vs AL</t>
        </is>
      </c>
      <c r="B59" t="inlineStr">
        <is>
          <t>LOL · TL vs AL</t>
        </is>
      </c>
      <c r="C59" t="inlineStr">
        <is>
          <t>AL</t>
        </is>
      </c>
      <c r="D59" t="inlineStr">
        <is>
          <t>Breathe</t>
        </is>
      </c>
      <c r="E59" t="inlineStr">
        <is>
          <t>mhg6ds61hvmgcyz</t>
        </is>
      </c>
      <c r="F59">
        <f>IFERROR(IF($C59=INDEX(Matches!$S$5:$S$12,MATCH($B59,Matches!$A$5:$A$12,0)),"A",IF($C59=INDEX(Matches!$T$5:$T$12,MATCH($B59,Matches!$A$5:$A$12,0)),"B","")),"")</f>
        <v/>
      </c>
      <c r="G59">
        <f>IFERROR(INDEX(Players!$E$2:$E$66,MATCH($E59,Players!$A$2:$A$66,0)),0)</f>
        <v/>
      </c>
      <c r="H59" s="6">
        <f>IFERROR(INDEX(Players!$F$2:$F$66,MATCH($E59,Players!$A$2:$A$66,0)),"")</f>
        <v/>
      </c>
      <c r="I59">
        <f>IFERROR(INDEX(Players!$G$2:$G$66,MATCH($E59,Players!$A$2:$A$66,0)),"")</f>
        <v/>
      </c>
      <c r="J59" s="11">
        <f>IF(OR($I59="",$H59=""),"",$I59*IF(LEFT($B59,4)="DOTA",Config!$B$5,Config!$B$4)/($H59*IF(LEFT($B59,4)="DOTA",Config!$B$5,Config!$B$4)+1-$H59))</f>
        <v/>
      </c>
      <c r="K59" s="11">
        <f>IF(OR($I59="",$H59=""),"",$I59/($H59*IF(LEFT($B59,4)="DOTA",Config!$B$5,Config!$B$4)+1-$H59))</f>
        <v/>
      </c>
      <c r="L59">
        <f>IFERROR(INDEX(Matches!$R$5:$R$12,MATCH($B59,Matches!$A$5:$A$12,0)),1)</f>
        <v/>
      </c>
      <c r="M59" s="6">
        <f>IFERROR(IF(INDEX(Matches!$M$5:$M$12,MATCH($B59,Matches!$A$5:$A$12,0))="","",IF($F59="A",INDEX(Matches!$M$5:$M$12,MATCH($B59,Matches!$A$5:$A$12,0)),1-INDEX(Matches!$M$5:$M$12,MATCH($B59,Matches!$A$5:$A$12,0)))),"")</f>
        <v/>
      </c>
      <c r="N59">
        <f>1</f>
        <v/>
      </c>
      <c r="O59" s="11">
        <f>IF(OR($M59="",$J59=""),"",$L59*($M59*$J59+(1-$M59)*$K59))</f>
        <v/>
      </c>
      <c r="P59">
        <f>IF($O59="","",IF(LEFT($B59,4)="DOTA",Config!$B$7,Config!$B$6)*$O59+$L59^2*$M59*(1-$M59)*($J59-$K59)^2)</f>
        <v/>
      </c>
      <c r="Q59" s="6">
        <f>IFERROR(IF(INDEX(Matches!$N$5:$N$12,MATCH($B59,Matches!$A$5:$A$12,0))="","",IF($F59="A",INDEX(Matches!$N$5:$N$12,MATCH($B59,Matches!$A$5:$A$12,0)),1-INDEX(Matches!$N$5:$N$12,MATCH($B59,Matches!$A$5:$A$12,0)))),"")</f>
        <v/>
      </c>
      <c r="R59">
        <f>IFERROR(N(INDEX(Matches!$P$5:$P$12,MATCH($B59,Matches!$A$5:$A$12,0))),0)</f>
        <v/>
      </c>
      <c r="S59" s="11">
        <f>IF(OR($Q59="",$J59=""),"",$L59*($Q59*$J59+(1-$Q59)*$K59))</f>
        <v/>
      </c>
      <c r="T59">
        <f>IF($S59="","",IF(LEFT($B59,4)="DOTA",Config!$B$7,Config!$B$6)*$S59+$L59^2*$Q59*(1-$Q59)*($J59-$K59)^2)</f>
        <v/>
      </c>
      <c r="U59" s="6">
        <f>IFERROR(IF(INDEX(Matches!$O$5:$O$12,MATCH($B59,Matches!$A$5:$A$12,0))="","",IF($F59="A",INDEX(Matches!$O$5:$O$12,MATCH($B59,Matches!$A$5:$A$12,0)),1-INDEX(Matches!$O$5:$O$12,MATCH($B59,Matches!$A$5:$A$12,0)))),"")</f>
        <v/>
      </c>
      <c r="V59">
        <f>IFERROR(N(INDEX(Matches!$Q$5:$Q$12,MATCH($B59,Matches!$A$5:$A$12,0))),0)</f>
        <v/>
      </c>
      <c r="W59" s="11">
        <f>IF(OR($U59="",$J59=""),"",$L59*($U59*$J59+(1-$U59)*$K59))</f>
        <v/>
      </c>
      <c r="X59">
        <f>IF($W59="","",IF(LEFT($B59,4)="DOTA",Config!$B$7,Config!$B$6)*$W59+$L59^2*$U59*(1-$U59)*($J59-$K59)^2)</f>
        <v/>
      </c>
      <c r="Y59" s="11">
        <f>IF($O59="","",$O59)</f>
        <v/>
      </c>
      <c r="Z59">
        <f>IF($P59="","",$P59)</f>
        <v/>
      </c>
      <c r="AA59" s="11">
        <f>IF($O59="","",N($N59)*N($O59)+N($R59)*N($S59))</f>
        <v/>
      </c>
      <c r="AB59">
        <f>IF($O59="","",(N($N59)*N($P59)+N($N59)*(1-N($N59))*N($O59)^2)+(N($R59)*N($T59)+N($R59)*(1-N($R59))*N($S59)^2))</f>
        <v/>
      </c>
      <c r="AC59" s="11">
        <f>IF($O59="","",N($N59)*N($O59)+N($R59)*N($S59)+N($V59)*N($W59))</f>
        <v/>
      </c>
      <c r="AD59">
        <f>IF($O59="","",(N($N59)*N($P59)+N($N59)*(1-N($N59))*N($O59)^2)+(N($R59)*N($T59)+N($R59)*(1-N($R59))*N($S59)^2)+(N($V59)*N($X59)+N($V59)*(1-N($V59))*N($W59)^2))</f>
        <v/>
      </c>
      <c r="AE59" s="11">
        <f>IF($I59="","",$I59*$L59)</f>
        <v/>
      </c>
      <c r="AF59" s="11">
        <f>IF($I59="","",$I59*$L59*(1+N($R59)))</f>
        <v/>
      </c>
      <c r="AG59" s="11">
        <f>IF($I59="","",$I59*$L59*(1+N($R59)+N($V59)))</f>
        <v/>
      </c>
      <c r="AH59">
        <f>TRIM(IF($G59&lt;Config!$B$9,"thin sample ("&amp;$G59&amp;" maps) · ","")&amp;IF($I59="","no PickFinder stats · ","")&amp;IFERROR(IF(INDEX(Players!$T$2:$T$66,MATCH($E59,Players!$A$2:$A$66,0))&lt;0.5,"new roster: "&amp;TEXT(INDEX(Players!$T$2:$T$66,MATCH($E59,Players!$A$2:$A$66,0)),"0%")&amp;" of his recent games with these teammates",""),""))</f>
        <v/>
      </c>
      <c r="AI59">
        <f>IF($B59=Board!$B$2,COUNTIFS($B$2:$B$66,Board!$B$2,$Y$2:$Y$66,"&gt;"&amp;$Y59)+COUNTIFS($B$1:$B58,Board!$B$2,$Y$1:$Y58,$Y59)+1,"")</f>
        <v/>
      </c>
      <c r="AJ59">
        <f>IFERROR(IF(INDEX(Matches!$D$5:$D$12,MATCH($B59,Matches!$A$5:$A$12,0))=3,"K12","K13"),"K13")</f>
        <v/>
      </c>
      <c r="AK59" s="11">
        <f>IF($AJ59="K12",$AA59,$AC59)</f>
        <v/>
      </c>
    </row>
    <row r="60">
      <c r="A60" t="inlineStr">
        <is>
          <t>4wiuvlxt09y1lfa|LOL · TL vs AL</t>
        </is>
      </c>
      <c r="B60" t="inlineStr">
        <is>
          <t>LOL · TL vs AL</t>
        </is>
      </c>
      <c r="C60" t="inlineStr">
        <is>
          <t>AL</t>
        </is>
      </c>
      <c r="D60" t="inlineStr">
        <is>
          <t>Hope</t>
        </is>
      </c>
      <c r="E60" t="inlineStr">
        <is>
          <t>4wiuvlxt09y1lfa</t>
        </is>
      </c>
      <c r="F60">
        <f>IFERROR(IF($C60=INDEX(Matches!$S$5:$S$12,MATCH($B60,Matches!$A$5:$A$12,0)),"A",IF($C60=INDEX(Matches!$T$5:$T$12,MATCH($B60,Matches!$A$5:$A$12,0)),"B","")),"")</f>
        <v/>
      </c>
      <c r="G60">
        <f>IFERROR(INDEX(Players!$E$2:$E$66,MATCH($E60,Players!$A$2:$A$66,0)),0)</f>
        <v/>
      </c>
      <c r="H60" s="6">
        <f>IFERROR(INDEX(Players!$F$2:$F$66,MATCH($E60,Players!$A$2:$A$66,0)),"")</f>
        <v/>
      </c>
      <c r="I60">
        <f>IFERROR(INDEX(Players!$G$2:$G$66,MATCH($E60,Players!$A$2:$A$66,0)),"")</f>
        <v/>
      </c>
      <c r="J60" s="11">
        <f>IF(OR($I60="",$H60=""),"",$I60*IF(LEFT($B60,4)="DOTA",Config!$B$5,Config!$B$4)/($H60*IF(LEFT($B60,4)="DOTA",Config!$B$5,Config!$B$4)+1-$H60))</f>
        <v/>
      </c>
      <c r="K60" s="11">
        <f>IF(OR($I60="",$H60=""),"",$I60/($H60*IF(LEFT($B60,4)="DOTA",Config!$B$5,Config!$B$4)+1-$H60))</f>
        <v/>
      </c>
      <c r="L60">
        <f>IFERROR(INDEX(Matches!$R$5:$R$12,MATCH($B60,Matches!$A$5:$A$12,0)),1)</f>
        <v/>
      </c>
      <c r="M60" s="6">
        <f>IFERROR(IF(INDEX(Matches!$M$5:$M$12,MATCH($B60,Matches!$A$5:$A$12,0))="","",IF($F60="A",INDEX(Matches!$M$5:$M$12,MATCH($B60,Matches!$A$5:$A$12,0)),1-INDEX(Matches!$M$5:$M$12,MATCH($B60,Matches!$A$5:$A$12,0)))),"")</f>
        <v/>
      </c>
      <c r="N60">
        <f>1</f>
        <v/>
      </c>
      <c r="O60" s="11">
        <f>IF(OR($M60="",$J60=""),"",$L60*($M60*$J60+(1-$M60)*$K60))</f>
        <v/>
      </c>
      <c r="P60">
        <f>IF($O60="","",IF(LEFT($B60,4)="DOTA",Config!$B$7,Config!$B$6)*$O60+$L60^2*$M60*(1-$M60)*($J60-$K60)^2)</f>
        <v/>
      </c>
      <c r="Q60" s="6">
        <f>IFERROR(IF(INDEX(Matches!$N$5:$N$12,MATCH($B60,Matches!$A$5:$A$12,0))="","",IF($F60="A",INDEX(Matches!$N$5:$N$12,MATCH($B60,Matches!$A$5:$A$12,0)),1-INDEX(Matches!$N$5:$N$12,MATCH($B60,Matches!$A$5:$A$12,0)))),"")</f>
        <v/>
      </c>
      <c r="R60">
        <f>IFERROR(N(INDEX(Matches!$P$5:$P$12,MATCH($B60,Matches!$A$5:$A$12,0))),0)</f>
        <v/>
      </c>
      <c r="S60" s="11">
        <f>IF(OR($Q60="",$J60=""),"",$L60*($Q60*$J60+(1-$Q60)*$K60))</f>
        <v/>
      </c>
      <c r="T60">
        <f>IF($S60="","",IF(LEFT($B60,4)="DOTA",Config!$B$7,Config!$B$6)*$S60+$L60^2*$Q60*(1-$Q60)*($J60-$K60)^2)</f>
        <v/>
      </c>
      <c r="U60" s="6">
        <f>IFERROR(IF(INDEX(Matches!$O$5:$O$12,MATCH($B60,Matches!$A$5:$A$12,0))="","",IF($F60="A",INDEX(Matches!$O$5:$O$12,MATCH($B60,Matches!$A$5:$A$12,0)),1-INDEX(Matches!$O$5:$O$12,MATCH($B60,Matches!$A$5:$A$12,0)))),"")</f>
        <v/>
      </c>
      <c r="V60">
        <f>IFERROR(N(INDEX(Matches!$Q$5:$Q$12,MATCH($B60,Matches!$A$5:$A$12,0))),0)</f>
        <v/>
      </c>
      <c r="W60" s="11">
        <f>IF(OR($U60="",$J60=""),"",$L60*($U60*$J60+(1-$U60)*$K60))</f>
        <v/>
      </c>
      <c r="X60">
        <f>IF($W60="","",IF(LEFT($B60,4)="DOTA",Config!$B$7,Config!$B$6)*$W60+$L60^2*$U60*(1-$U60)*($J60-$K60)^2)</f>
        <v/>
      </c>
      <c r="Y60" s="11">
        <f>IF($O60="","",$O60)</f>
        <v/>
      </c>
      <c r="Z60">
        <f>IF($P60="","",$P60)</f>
        <v/>
      </c>
      <c r="AA60" s="11">
        <f>IF($O60="","",N($N60)*N($O60)+N($R60)*N($S60))</f>
        <v/>
      </c>
      <c r="AB60">
        <f>IF($O60="","",(N($N60)*N($P60)+N($N60)*(1-N($N60))*N($O60)^2)+(N($R60)*N($T60)+N($R60)*(1-N($R60))*N($S60)^2))</f>
        <v/>
      </c>
      <c r="AC60" s="11">
        <f>IF($O60="","",N($N60)*N($O60)+N($R60)*N($S60)+N($V60)*N($W60))</f>
        <v/>
      </c>
      <c r="AD60">
        <f>IF($O60="","",(N($N60)*N($P60)+N($N60)*(1-N($N60))*N($O60)^2)+(N($R60)*N($T60)+N($R60)*(1-N($R60))*N($S60)^2)+(N($V60)*N($X60)+N($V60)*(1-N($V60))*N($W60)^2))</f>
        <v/>
      </c>
      <c r="AE60" s="11">
        <f>IF($I60="","",$I60*$L60)</f>
        <v/>
      </c>
      <c r="AF60" s="11">
        <f>IF($I60="","",$I60*$L60*(1+N($R60)))</f>
        <v/>
      </c>
      <c r="AG60" s="11">
        <f>IF($I60="","",$I60*$L60*(1+N($R60)+N($V60)))</f>
        <v/>
      </c>
      <c r="AH60">
        <f>TRIM(IF($G60&lt;Config!$B$9,"thin sample ("&amp;$G60&amp;" maps) · ","")&amp;IF($I60="","no PickFinder stats · ","")&amp;IFERROR(IF(INDEX(Players!$T$2:$T$66,MATCH($E60,Players!$A$2:$A$66,0))&lt;0.5,"new roster: "&amp;TEXT(INDEX(Players!$T$2:$T$66,MATCH($E60,Players!$A$2:$A$66,0)),"0%")&amp;" of his recent games with these teammates",""),""))</f>
        <v/>
      </c>
      <c r="AI60">
        <f>IF($B60=Board!$B$2,COUNTIFS($B$2:$B$66,Board!$B$2,$Y$2:$Y$66,"&gt;"&amp;$Y60)+COUNTIFS($B$1:$B59,Board!$B$2,$Y$1:$Y59,$Y60)+1,"")</f>
        <v/>
      </c>
      <c r="AJ60">
        <f>IFERROR(IF(INDEX(Matches!$D$5:$D$12,MATCH($B60,Matches!$A$5:$A$12,0))=3,"K12","K13"),"K13")</f>
        <v/>
      </c>
      <c r="AK60" s="11">
        <f>IF($AJ60="K12",$AA60,$AC60)</f>
        <v/>
      </c>
    </row>
    <row r="61">
      <c r="A61" t="inlineStr">
        <is>
          <t>tesiepsb2upme55|LOL · TL vs AL</t>
        </is>
      </c>
      <c r="B61" t="inlineStr">
        <is>
          <t>LOL · TL vs AL</t>
        </is>
      </c>
      <c r="C61" t="inlineStr">
        <is>
          <t>AL</t>
        </is>
      </c>
      <c r="D61" t="inlineStr">
        <is>
          <t>Shanks</t>
        </is>
      </c>
      <c r="E61" t="inlineStr">
        <is>
          <t>tesiepsb2upme55</t>
        </is>
      </c>
      <c r="F61">
        <f>IFERROR(IF($C61=INDEX(Matches!$S$5:$S$12,MATCH($B61,Matches!$A$5:$A$12,0)),"A",IF($C61=INDEX(Matches!$T$5:$T$12,MATCH($B61,Matches!$A$5:$A$12,0)),"B","")),"")</f>
        <v/>
      </c>
      <c r="G61">
        <f>IFERROR(INDEX(Players!$E$2:$E$66,MATCH($E61,Players!$A$2:$A$66,0)),0)</f>
        <v/>
      </c>
      <c r="H61" s="6">
        <f>IFERROR(INDEX(Players!$F$2:$F$66,MATCH($E61,Players!$A$2:$A$66,0)),"")</f>
        <v/>
      </c>
      <c r="I61">
        <f>IFERROR(INDEX(Players!$G$2:$G$66,MATCH($E61,Players!$A$2:$A$66,0)),"")</f>
        <v/>
      </c>
      <c r="J61" s="11">
        <f>IF(OR($I61="",$H61=""),"",$I61*IF(LEFT($B61,4)="DOTA",Config!$B$5,Config!$B$4)/($H61*IF(LEFT($B61,4)="DOTA",Config!$B$5,Config!$B$4)+1-$H61))</f>
        <v/>
      </c>
      <c r="K61" s="11">
        <f>IF(OR($I61="",$H61=""),"",$I61/($H61*IF(LEFT($B61,4)="DOTA",Config!$B$5,Config!$B$4)+1-$H61))</f>
        <v/>
      </c>
      <c r="L61">
        <f>IFERROR(INDEX(Matches!$R$5:$R$12,MATCH($B61,Matches!$A$5:$A$12,0)),1)</f>
        <v/>
      </c>
      <c r="M61" s="6">
        <f>IFERROR(IF(INDEX(Matches!$M$5:$M$12,MATCH($B61,Matches!$A$5:$A$12,0))="","",IF($F61="A",INDEX(Matches!$M$5:$M$12,MATCH($B61,Matches!$A$5:$A$12,0)),1-INDEX(Matches!$M$5:$M$12,MATCH($B61,Matches!$A$5:$A$12,0)))),"")</f>
        <v/>
      </c>
      <c r="N61">
        <f>1</f>
        <v/>
      </c>
      <c r="O61" s="11">
        <f>IF(OR($M61="",$J61=""),"",$L61*($M61*$J61+(1-$M61)*$K61))</f>
        <v/>
      </c>
      <c r="P61">
        <f>IF($O61="","",IF(LEFT($B61,4)="DOTA",Config!$B$7,Config!$B$6)*$O61+$L61^2*$M61*(1-$M61)*($J61-$K61)^2)</f>
        <v/>
      </c>
      <c r="Q61" s="6">
        <f>IFERROR(IF(INDEX(Matches!$N$5:$N$12,MATCH($B61,Matches!$A$5:$A$12,0))="","",IF($F61="A",INDEX(Matches!$N$5:$N$12,MATCH($B61,Matches!$A$5:$A$12,0)),1-INDEX(Matches!$N$5:$N$12,MATCH($B61,Matches!$A$5:$A$12,0)))),"")</f>
        <v/>
      </c>
      <c r="R61">
        <f>IFERROR(N(INDEX(Matches!$P$5:$P$12,MATCH($B61,Matches!$A$5:$A$12,0))),0)</f>
        <v/>
      </c>
      <c r="S61" s="11">
        <f>IF(OR($Q61="",$J61=""),"",$L61*($Q61*$J61+(1-$Q61)*$K61))</f>
        <v/>
      </c>
      <c r="T61">
        <f>IF($S61="","",IF(LEFT($B61,4)="DOTA",Config!$B$7,Config!$B$6)*$S61+$L61^2*$Q61*(1-$Q61)*($J61-$K61)^2)</f>
        <v/>
      </c>
      <c r="U61" s="6">
        <f>IFERROR(IF(INDEX(Matches!$O$5:$O$12,MATCH($B61,Matches!$A$5:$A$12,0))="","",IF($F61="A",INDEX(Matches!$O$5:$O$12,MATCH($B61,Matches!$A$5:$A$12,0)),1-INDEX(Matches!$O$5:$O$12,MATCH($B61,Matches!$A$5:$A$12,0)))),"")</f>
        <v/>
      </c>
      <c r="V61">
        <f>IFERROR(N(INDEX(Matches!$Q$5:$Q$12,MATCH($B61,Matches!$A$5:$A$12,0))),0)</f>
        <v/>
      </c>
      <c r="W61" s="11">
        <f>IF(OR($U61="",$J61=""),"",$L61*($U61*$J61+(1-$U61)*$K61))</f>
        <v/>
      </c>
      <c r="X61">
        <f>IF($W61="","",IF(LEFT($B61,4)="DOTA",Config!$B$7,Config!$B$6)*$W61+$L61^2*$U61*(1-$U61)*($J61-$K61)^2)</f>
        <v/>
      </c>
      <c r="Y61" s="11">
        <f>IF($O61="","",$O61)</f>
        <v/>
      </c>
      <c r="Z61">
        <f>IF($P61="","",$P61)</f>
        <v/>
      </c>
      <c r="AA61" s="11">
        <f>IF($O61="","",N($N61)*N($O61)+N($R61)*N($S61))</f>
        <v/>
      </c>
      <c r="AB61">
        <f>IF($O61="","",(N($N61)*N($P61)+N($N61)*(1-N($N61))*N($O61)^2)+(N($R61)*N($T61)+N($R61)*(1-N($R61))*N($S61)^2))</f>
        <v/>
      </c>
      <c r="AC61" s="11">
        <f>IF($O61="","",N($N61)*N($O61)+N($R61)*N($S61)+N($V61)*N($W61))</f>
        <v/>
      </c>
      <c r="AD61">
        <f>IF($O61="","",(N($N61)*N($P61)+N($N61)*(1-N($N61))*N($O61)^2)+(N($R61)*N($T61)+N($R61)*(1-N($R61))*N($S61)^2)+(N($V61)*N($X61)+N($V61)*(1-N($V61))*N($W61)^2))</f>
        <v/>
      </c>
      <c r="AE61" s="11">
        <f>IF($I61="","",$I61*$L61)</f>
        <v/>
      </c>
      <c r="AF61" s="11">
        <f>IF($I61="","",$I61*$L61*(1+N($R61)))</f>
        <v/>
      </c>
      <c r="AG61" s="11">
        <f>IF($I61="","",$I61*$L61*(1+N($R61)+N($V61)))</f>
        <v/>
      </c>
      <c r="AH61">
        <f>TRIM(IF($G61&lt;Config!$B$9,"thin sample ("&amp;$G61&amp;" maps) · ","")&amp;IF($I61="","no PickFinder stats · ","")&amp;IFERROR(IF(INDEX(Players!$T$2:$T$66,MATCH($E61,Players!$A$2:$A$66,0))&lt;0.5,"new roster: "&amp;TEXT(INDEX(Players!$T$2:$T$66,MATCH($E61,Players!$A$2:$A$66,0)),"0%")&amp;" of his recent games with these teammates",""),""))</f>
        <v/>
      </c>
      <c r="AI61">
        <f>IF($B61=Board!$B$2,COUNTIFS($B$2:$B$66,Board!$B$2,$Y$2:$Y$66,"&gt;"&amp;$Y61)+COUNTIFS($B$1:$B60,Board!$B$2,$Y$1:$Y60,$Y61)+1,"")</f>
        <v/>
      </c>
      <c r="AJ61">
        <f>IFERROR(IF(INDEX(Matches!$D$5:$D$12,MATCH($B61,Matches!$A$5:$A$12,0))=3,"K12","K13"),"K13")</f>
        <v/>
      </c>
      <c r="AK61" s="11">
        <f>IF($AJ61="K12",$AA61,$AC61)</f>
        <v/>
      </c>
    </row>
    <row r="62">
      <c r="A62" t="inlineStr">
        <is>
          <t>3dqp61os0zjpa7c|LOL · TL vs AL</t>
        </is>
      </c>
      <c r="B62" t="inlineStr">
        <is>
          <t>LOL · TL vs AL</t>
        </is>
      </c>
      <c r="C62" t="inlineStr">
        <is>
          <t>AL</t>
        </is>
      </c>
      <c r="D62" t="inlineStr">
        <is>
          <t>Tarzan</t>
        </is>
      </c>
      <c r="E62" t="inlineStr">
        <is>
          <t>3dqp61os0zjpa7c</t>
        </is>
      </c>
      <c r="F62">
        <f>IFERROR(IF($C62=INDEX(Matches!$S$5:$S$12,MATCH($B62,Matches!$A$5:$A$12,0)),"A",IF($C62=INDEX(Matches!$T$5:$T$12,MATCH($B62,Matches!$A$5:$A$12,0)),"B","")),"")</f>
        <v/>
      </c>
      <c r="G62">
        <f>IFERROR(INDEX(Players!$E$2:$E$66,MATCH($E62,Players!$A$2:$A$66,0)),0)</f>
        <v/>
      </c>
      <c r="H62" s="6">
        <f>IFERROR(INDEX(Players!$F$2:$F$66,MATCH($E62,Players!$A$2:$A$66,0)),"")</f>
        <v/>
      </c>
      <c r="I62">
        <f>IFERROR(INDEX(Players!$G$2:$G$66,MATCH($E62,Players!$A$2:$A$66,0)),"")</f>
        <v/>
      </c>
      <c r="J62" s="11">
        <f>IF(OR($I62="",$H62=""),"",$I62*IF(LEFT($B62,4)="DOTA",Config!$B$5,Config!$B$4)/($H62*IF(LEFT($B62,4)="DOTA",Config!$B$5,Config!$B$4)+1-$H62))</f>
        <v/>
      </c>
      <c r="K62" s="11">
        <f>IF(OR($I62="",$H62=""),"",$I62/($H62*IF(LEFT($B62,4)="DOTA",Config!$B$5,Config!$B$4)+1-$H62))</f>
        <v/>
      </c>
      <c r="L62">
        <f>IFERROR(INDEX(Matches!$R$5:$R$12,MATCH($B62,Matches!$A$5:$A$12,0)),1)</f>
        <v/>
      </c>
      <c r="M62" s="6">
        <f>IFERROR(IF(INDEX(Matches!$M$5:$M$12,MATCH($B62,Matches!$A$5:$A$12,0))="","",IF($F62="A",INDEX(Matches!$M$5:$M$12,MATCH($B62,Matches!$A$5:$A$12,0)),1-INDEX(Matches!$M$5:$M$12,MATCH($B62,Matches!$A$5:$A$12,0)))),"")</f>
        <v/>
      </c>
      <c r="N62">
        <f>1</f>
        <v/>
      </c>
      <c r="O62" s="11">
        <f>IF(OR($M62="",$J62=""),"",$L62*($M62*$J62+(1-$M62)*$K62))</f>
        <v/>
      </c>
      <c r="P62">
        <f>IF($O62="","",IF(LEFT($B62,4)="DOTA",Config!$B$7,Config!$B$6)*$O62+$L62^2*$M62*(1-$M62)*($J62-$K62)^2)</f>
        <v/>
      </c>
      <c r="Q62" s="6">
        <f>IFERROR(IF(INDEX(Matches!$N$5:$N$12,MATCH($B62,Matches!$A$5:$A$12,0))="","",IF($F62="A",INDEX(Matches!$N$5:$N$12,MATCH($B62,Matches!$A$5:$A$12,0)),1-INDEX(Matches!$N$5:$N$12,MATCH($B62,Matches!$A$5:$A$12,0)))),"")</f>
        <v/>
      </c>
      <c r="R62">
        <f>IFERROR(N(INDEX(Matches!$P$5:$P$12,MATCH($B62,Matches!$A$5:$A$12,0))),0)</f>
        <v/>
      </c>
      <c r="S62" s="11">
        <f>IF(OR($Q62="",$J62=""),"",$L62*($Q62*$J62+(1-$Q62)*$K62))</f>
        <v/>
      </c>
      <c r="T62">
        <f>IF($S62="","",IF(LEFT($B62,4)="DOTA",Config!$B$7,Config!$B$6)*$S62+$L62^2*$Q62*(1-$Q62)*($J62-$K62)^2)</f>
        <v/>
      </c>
      <c r="U62" s="6">
        <f>IFERROR(IF(INDEX(Matches!$O$5:$O$12,MATCH($B62,Matches!$A$5:$A$12,0))="","",IF($F62="A",INDEX(Matches!$O$5:$O$12,MATCH($B62,Matches!$A$5:$A$12,0)),1-INDEX(Matches!$O$5:$O$12,MATCH($B62,Matches!$A$5:$A$12,0)))),"")</f>
        <v/>
      </c>
      <c r="V62">
        <f>IFERROR(N(INDEX(Matches!$Q$5:$Q$12,MATCH($B62,Matches!$A$5:$A$12,0))),0)</f>
        <v/>
      </c>
      <c r="W62" s="11">
        <f>IF(OR($U62="",$J62=""),"",$L62*($U62*$J62+(1-$U62)*$K62))</f>
        <v/>
      </c>
      <c r="X62">
        <f>IF($W62="","",IF(LEFT($B62,4)="DOTA",Config!$B$7,Config!$B$6)*$W62+$L62^2*$U62*(1-$U62)*($J62-$K62)^2)</f>
        <v/>
      </c>
      <c r="Y62" s="11">
        <f>IF($O62="","",$O62)</f>
        <v/>
      </c>
      <c r="Z62">
        <f>IF($P62="","",$P62)</f>
        <v/>
      </c>
      <c r="AA62" s="11">
        <f>IF($O62="","",N($N62)*N($O62)+N($R62)*N($S62))</f>
        <v/>
      </c>
      <c r="AB62">
        <f>IF($O62="","",(N($N62)*N($P62)+N($N62)*(1-N($N62))*N($O62)^2)+(N($R62)*N($T62)+N($R62)*(1-N($R62))*N($S62)^2))</f>
        <v/>
      </c>
      <c r="AC62" s="11">
        <f>IF($O62="","",N($N62)*N($O62)+N($R62)*N($S62)+N($V62)*N($W62))</f>
        <v/>
      </c>
      <c r="AD62">
        <f>IF($O62="","",(N($N62)*N($P62)+N($N62)*(1-N($N62))*N($O62)^2)+(N($R62)*N($T62)+N($R62)*(1-N($R62))*N($S62)^2)+(N($V62)*N($X62)+N($V62)*(1-N($V62))*N($W62)^2))</f>
        <v/>
      </c>
      <c r="AE62" s="11">
        <f>IF($I62="","",$I62*$L62)</f>
        <v/>
      </c>
      <c r="AF62" s="11">
        <f>IF($I62="","",$I62*$L62*(1+N($R62)))</f>
        <v/>
      </c>
      <c r="AG62" s="11">
        <f>IF($I62="","",$I62*$L62*(1+N($R62)+N($V62)))</f>
        <v/>
      </c>
      <c r="AH62">
        <f>TRIM(IF($G62&lt;Config!$B$9,"thin sample ("&amp;$G62&amp;" maps) · ","")&amp;IF($I62="","no PickFinder stats · ","")&amp;IFERROR(IF(INDEX(Players!$T$2:$T$66,MATCH($E62,Players!$A$2:$A$66,0))&lt;0.5,"new roster: "&amp;TEXT(INDEX(Players!$T$2:$T$66,MATCH($E62,Players!$A$2:$A$66,0)),"0%")&amp;" of his recent games with these teammates",""),""))</f>
        <v/>
      </c>
      <c r="AI62">
        <f>IF($B62=Board!$B$2,COUNTIFS($B$2:$B$66,Board!$B$2,$Y$2:$Y$66,"&gt;"&amp;$Y62)+COUNTIFS($B$1:$B61,Board!$B$2,$Y$1:$Y61,$Y62)+1,"")</f>
        <v/>
      </c>
      <c r="AJ62">
        <f>IFERROR(IF(INDEX(Matches!$D$5:$D$12,MATCH($B62,Matches!$A$5:$A$12,0))=3,"K12","K13"),"K13")</f>
        <v/>
      </c>
      <c r="AK62" s="11">
        <f>IF($AJ62="K12",$AA62,$AC62)</f>
        <v/>
      </c>
    </row>
    <row r="63">
      <c r="A63" t="inlineStr">
        <is>
          <t>qq49f66td1g1ang|LOL · TL vs AL</t>
        </is>
      </c>
      <c r="B63" t="inlineStr">
        <is>
          <t>LOL · TL vs AL</t>
        </is>
      </c>
      <c r="C63" t="inlineStr">
        <is>
          <t>TL</t>
        </is>
      </c>
      <c r="D63" t="inlineStr">
        <is>
          <t>Josedeodo</t>
        </is>
      </c>
      <c r="E63" t="inlineStr">
        <is>
          <t>qq49f66td1g1ang</t>
        </is>
      </c>
      <c r="F63">
        <f>IFERROR(IF($C63=INDEX(Matches!$S$5:$S$12,MATCH($B63,Matches!$A$5:$A$12,0)),"A",IF($C63=INDEX(Matches!$T$5:$T$12,MATCH($B63,Matches!$A$5:$A$12,0)),"B","")),"")</f>
        <v/>
      </c>
      <c r="G63">
        <f>IFERROR(INDEX(Players!$E$2:$E$66,MATCH($E63,Players!$A$2:$A$66,0)),0)</f>
        <v/>
      </c>
      <c r="H63" s="6">
        <f>IFERROR(INDEX(Players!$F$2:$F$66,MATCH($E63,Players!$A$2:$A$66,0)),"")</f>
        <v/>
      </c>
      <c r="I63">
        <f>IFERROR(INDEX(Players!$G$2:$G$66,MATCH($E63,Players!$A$2:$A$66,0)),"")</f>
        <v/>
      </c>
      <c r="J63" s="11">
        <f>IF(OR($I63="",$H63=""),"",$I63*IF(LEFT($B63,4)="DOTA",Config!$B$5,Config!$B$4)/($H63*IF(LEFT($B63,4)="DOTA",Config!$B$5,Config!$B$4)+1-$H63))</f>
        <v/>
      </c>
      <c r="K63" s="11">
        <f>IF(OR($I63="",$H63=""),"",$I63/($H63*IF(LEFT($B63,4)="DOTA",Config!$B$5,Config!$B$4)+1-$H63))</f>
        <v/>
      </c>
      <c r="L63">
        <f>IFERROR(INDEX(Matches!$R$5:$R$12,MATCH($B63,Matches!$A$5:$A$12,0)),1)</f>
        <v/>
      </c>
      <c r="M63" s="6">
        <f>IFERROR(IF(INDEX(Matches!$M$5:$M$12,MATCH($B63,Matches!$A$5:$A$12,0))="","",IF($F63="A",INDEX(Matches!$M$5:$M$12,MATCH($B63,Matches!$A$5:$A$12,0)),1-INDEX(Matches!$M$5:$M$12,MATCH($B63,Matches!$A$5:$A$12,0)))),"")</f>
        <v/>
      </c>
      <c r="N63">
        <f>1</f>
        <v/>
      </c>
      <c r="O63" s="11">
        <f>IF(OR($M63="",$J63=""),"",$L63*($M63*$J63+(1-$M63)*$K63))</f>
        <v/>
      </c>
      <c r="P63">
        <f>IF($O63="","",IF(LEFT($B63,4)="DOTA",Config!$B$7,Config!$B$6)*$O63+$L63^2*$M63*(1-$M63)*($J63-$K63)^2)</f>
        <v/>
      </c>
      <c r="Q63" s="6">
        <f>IFERROR(IF(INDEX(Matches!$N$5:$N$12,MATCH($B63,Matches!$A$5:$A$12,0))="","",IF($F63="A",INDEX(Matches!$N$5:$N$12,MATCH($B63,Matches!$A$5:$A$12,0)),1-INDEX(Matches!$N$5:$N$12,MATCH($B63,Matches!$A$5:$A$12,0)))),"")</f>
        <v/>
      </c>
      <c r="R63">
        <f>IFERROR(N(INDEX(Matches!$P$5:$P$12,MATCH($B63,Matches!$A$5:$A$12,0))),0)</f>
        <v/>
      </c>
      <c r="S63" s="11">
        <f>IF(OR($Q63="",$J63=""),"",$L63*($Q63*$J63+(1-$Q63)*$K63))</f>
        <v/>
      </c>
      <c r="T63">
        <f>IF($S63="","",IF(LEFT($B63,4)="DOTA",Config!$B$7,Config!$B$6)*$S63+$L63^2*$Q63*(1-$Q63)*($J63-$K63)^2)</f>
        <v/>
      </c>
      <c r="U63" s="6">
        <f>IFERROR(IF(INDEX(Matches!$O$5:$O$12,MATCH($B63,Matches!$A$5:$A$12,0))="","",IF($F63="A",INDEX(Matches!$O$5:$O$12,MATCH($B63,Matches!$A$5:$A$12,0)),1-INDEX(Matches!$O$5:$O$12,MATCH($B63,Matches!$A$5:$A$12,0)))),"")</f>
        <v/>
      </c>
      <c r="V63">
        <f>IFERROR(N(INDEX(Matches!$Q$5:$Q$12,MATCH($B63,Matches!$A$5:$A$12,0))),0)</f>
        <v/>
      </c>
      <c r="W63" s="11">
        <f>IF(OR($U63="",$J63=""),"",$L63*($U63*$J63+(1-$U63)*$K63))</f>
        <v/>
      </c>
      <c r="X63">
        <f>IF($W63="","",IF(LEFT($B63,4)="DOTA",Config!$B$7,Config!$B$6)*$W63+$L63^2*$U63*(1-$U63)*($J63-$K63)^2)</f>
        <v/>
      </c>
      <c r="Y63" s="11">
        <f>IF($O63="","",$O63)</f>
        <v/>
      </c>
      <c r="Z63">
        <f>IF($P63="","",$P63)</f>
        <v/>
      </c>
      <c r="AA63" s="11">
        <f>IF($O63="","",N($N63)*N($O63)+N($R63)*N($S63))</f>
        <v/>
      </c>
      <c r="AB63">
        <f>IF($O63="","",(N($N63)*N($P63)+N($N63)*(1-N($N63))*N($O63)^2)+(N($R63)*N($T63)+N($R63)*(1-N($R63))*N($S63)^2))</f>
        <v/>
      </c>
      <c r="AC63" s="11">
        <f>IF($O63="","",N($N63)*N($O63)+N($R63)*N($S63)+N($V63)*N($W63))</f>
        <v/>
      </c>
      <c r="AD63">
        <f>IF($O63="","",(N($N63)*N($P63)+N($N63)*(1-N($N63))*N($O63)^2)+(N($R63)*N($T63)+N($R63)*(1-N($R63))*N($S63)^2)+(N($V63)*N($X63)+N($V63)*(1-N($V63))*N($W63)^2))</f>
        <v/>
      </c>
      <c r="AE63" s="11">
        <f>IF($I63="","",$I63*$L63)</f>
        <v/>
      </c>
      <c r="AF63" s="11">
        <f>IF($I63="","",$I63*$L63*(1+N($R63)))</f>
        <v/>
      </c>
      <c r="AG63" s="11">
        <f>IF($I63="","",$I63*$L63*(1+N($R63)+N($V63)))</f>
        <v/>
      </c>
      <c r="AH63">
        <f>TRIM(IF($G63&lt;Config!$B$9,"thin sample ("&amp;$G63&amp;" maps) · ","")&amp;IF($I63="","no PickFinder stats · ","")&amp;IFERROR(IF(INDEX(Players!$T$2:$T$66,MATCH($E63,Players!$A$2:$A$66,0))&lt;0.5,"new roster: "&amp;TEXT(INDEX(Players!$T$2:$T$66,MATCH($E63,Players!$A$2:$A$66,0)),"0%")&amp;" of his recent games with these teammates",""),""))</f>
        <v/>
      </c>
      <c r="AI63">
        <f>IF($B63=Board!$B$2,COUNTIFS($B$2:$B$66,Board!$B$2,$Y$2:$Y$66,"&gt;"&amp;$Y63)+COUNTIFS($B$1:$B62,Board!$B$2,$Y$1:$Y62,$Y63)+1,"")</f>
        <v/>
      </c>
      <c r="AJ63">
        <f>IFERROR(IF(INDEX(Matches!$D$5:$D$12,MATCH($B63,Matches!$A$5:$A$12,0))=3,"K12","K13"),"K13")</f>
        <v/>
      </c>
      <c r="AK63" s="11">
        <f>IF($AJ63="K12",$AA63,$AC63)</f>
        <v/>
      </c>
    </row>
    <row r="64">
      <c r="A64" t="inlineStr">
        <is>
          <t>2ol95p2vqnex4vi|LOL · TL vs AL</t>
        </is>
      </c>
      <c r="B64" t="inlineStr">
        <is>
          <t>LOL · TL vs AL</t>
        </is>
      </c>
      <c r="C64" t="inlineStr">
        <is>
          <t>TL</t>
        </is>
      </c>
      <c r="D64" t="inlineStr">
        <is>
          <t>Morgan</t>
        </is>
      </c>
      <c r="E64" t="inlineStr">
        <is>
          <t>2ol95p2vqnex4vi</t>
        </is>
      </c>
      <c r="F64">
        <f>IFERROR(IF($C64=INDEX(Matches!$S$5:$S$12,MATCH($B64,Matches!$A$5:$A$12,0)),"A",IF($C64=INDEX(Matches!$T$5:$T$12,MATCH($B64,Matches!$A$5:$A$12,0)),"B","")),"")</f>
        <v/>
      </c>
      <c r="G64">
        <f>IFERROR(INDEX(Players!$E$2:$E$66,MATCH($E64,Players!$A$2:$A$66,0)),0)</f>
        <v/>
      </c>
      <c r="H64" s="6">
        <f>IFERROR(INDEX(Players!$F$2:$F$66,MATCH($E64,Players!$A$2:$A$66,0)),"")</f>
        <v/>
      </c>
      <c r="I64">
        <f>IFERROR(INDEX(Players!$G$2:$G$66,MATCH($E64,Players!$A$2:$A$66,0)),"")</f>
        <v/>
      </c>
      <c r="J64" s="11">
        <f>IF(OR($I64="",$H64=""),"",$I64*IF(LEFT($B64,4)="DOTA",Config!$B$5,Config!$B$4)/($H64*IF(LEFT($B64,4)="DOTA",Config!$B$5,Config!$B$4)+1-$H64))</f>
        <v/>
      </c>
      <c r="K64" s="11">
        <f>IF(OR($I64="",$H64=""),"",$I64/($H64*IF(LEFT($B64,4)="DOTA",Config!$B$5,Config!$B$4)+1-$H64))</f>
        <v/>
      </c>
      <c r="L64">
        <f>IFERROR(INDEX(Matches!$R$5:$R$12,MATCH($B64,Matches!$A$5:$A$12,0)),1)</f>
        <v/>
      </c>
      <c r="M64" s="6">
        <f>IFERROR(IF(INDEX(Matches!$M$5:$M$12,MATCH($B64,Matches!$A$5:$A$12,0))="","",IF($F64="A",INDEX(Matches!$M$5:$M$12,MATCH($B64,Matches!$A$5:$A$12,0)),1-INDEX(Matches!$M$5:$M$12,MATCH($B64,Matches!$A$5:$A$12,0)))),"")</f>
        <v/>
      </c>
      <c r="N64">
        <f>1</f>
        <v/>
      </c>
      <c r="O64" s="11">
        <f>IF(OR($M64="",$J64=""),"",$L64*($M64*$J64+(1-$M64)*$K64))</f>
        <v/>
      </c>
      <c r="P64">
        <f>IF($O64="","",IF(LEFT($B64,4)="DOTA",Config!$B$7,Config!$B$6)*$O64+$L64^2*$M64*(1-$M64)*($J64-$K64)^2)</f>
        <v/>
      </c>
      <c r="Q64" s="6">
        <f>IFERROR(IF(INDEX(Matches!$N$5:$N$12,MATCH($B64,Matches!$A$5:$A$12,0))="","",IF($F64="A",INDEX(Matches!$N$5:$N$12,MATCH($B64,Matches!$A$5:$A$12,0)),1-INDEX(Matches!$N$5:$N$12,MATCH($B64,Matches!$A$5:$A$12,0)))),"")</f>
        <v/>
      </c>
      <c r="R64">
        <f>IFERROR(N(INDEX(Matches!$P$5:$P$12,MATCH($B64,Matches!$A$5:$A$12,0))),0)</f>
        <v/>
      </c>
      <c r="S64" s="11">
        <f>IF(OR($Q64="",$J64=""),"",$L64*($Q64*$J64+(1-$Q64)*$K64))</f>
        <v/>
      </c>
      <c r="T64">
        <f>IF($S64="","",IF(LEFT($B64,4)="DOTA",Config!$B$7,Config!$B$6)*$S64+$L64^2*$Q64*(1-$Q64)*($J64-$K64)^2)</f>
        <v/>
      </c>
      <c r="U64" s="6">
        <f>IFERROR(IF(INDEX(Matches!$O$5:$O$12,MATCH($B64,Matches!$A$5:$A$12,0))="","",IF($F64="A",INDEX(Matches!$O$5:$O$12,MATCH($B64,Matches!$A$5:$A$12,0)),1-INDEX(Matches!$O$5:$O$12,MATCH($B64,Matches!$A$5:$A$12,0)))),"")</f>
        <v/>
      </c>
      <c r="V64">
        <f>IFERROR(N(INDEX(Matches!$Q$5:$Q$12,MATCH($B64,Matches!$A$5:$A$12,0))),0)</f>
        <v/>
      </c>
      <c r="W64" s="11">
        <f>IF(OR($U64="",$J64=""),"",$L64*($U64*$J64+(1-$U64)*$K64))</f>
        <v/>
      </c>
      <c r="X64">
        <f>IF($W64="","",IF(LEFT($B64,4)="DOTA",Config!$B$7,Config!$B$6)*$W64+$L64^2*$U64*(1-$U64)*($J64-$K64)^2)</f>
        <v/>
      </c>
      <c r="Y64" s="11">
        <f>IF($O64="","",$O64)</f>
        <v/>
      </c>
      <c r="Z64">
        <f>IF($P64="","",$P64)</f>
        <v/>
      </c>
      <c r="AA64" s="11">
        <f>IF($O64="","",N($N64)*N($O64)+N($R64)*N($S64))</f>
        <v/>
      </c>
      <c r="AB64">
        <f>IF($O64="","",(N($N64)*N($P64)+N($N64)*(1-N($N64))*N($O64)^2)+(N($R64)*N($T64)+N($R64)*(1-N($R64))*N($S64)^2))</f>
        <v/>
      </c>
      <c r="AC64" s="11">
        <f>IF($O64="","",N($N64)*N($O64)+N($R64)*N($S64)+N($V64)*N($W64))</f>
        <v/>
      </c>
      <c r="AD64">
        <f>IF($O64="","",(N($N64)*N($P64)+N($N64)*(1-N($N64))*N($O64)^2)+(N($R64)*N($T64)+N($R64)*(1-N($R64))*N($S64)^2)+(N($V64)*N($X64)+N($V64)*(1-N($V64))*N($W64)^2))</f>
        <v/>
      </c>
      <c r="AE64" s="11">
        <f>IF($I64="","",$I64*$L64)</f>
        <v/>
      </c>
      <c r="AF64" s="11">
        <f>IF($I64="","",$I64*$L64*(1+N($R64)))</f>
        <v/>
      </c>
      <c r="AG64" s="11">
        <f>IF($I64="","",$I64*$L64*(1+N($R64)+N($V64)))</f>
        <v/>
      </c>
      <c r="AH64">
        <f>TRIM(IF($G64&lt;Config!$B$9,"thin sample ("&amp;$G64&amp;" maps) · ","")&amp;IF($I64="","no PickFinder stats · ","")&amp;IFERROR(IF(INDEX(Players!$T$2:$T$66,MATCH($E64,Players!$A$2:$A$66,0))&lt;0.5,"new roster: "&amp;TEXT(INDEX(Players!$T$2:$T$66,MATCH($E64,Players!$A$2:$A$66,0)),"0%")&amp;" of his recent games with these teammates",""),""))</f>
        <v/>
      </c>
      <c r="AI64">
        <f>IF($B64=Board!$B$2,COUNTIFS($B$2:$B$66,Board!$B$2,$Y$2:$Y$66,"&gt;"&amp;$Y64)+COUNTIFS($B$1:$B63,Board!$B$2,$Y$1:$Y63,$Y64)+1,"")</f>
        <v/>
      </c>
      <c r="AJ64">
        <f>IFERROR(IF(INDEX(Matches!$D$5:$D$12,MATCH($B64,Matches!$A$5:$A$12,0))=3,"K12","K13"),"K13")</f>
        <v/>
      </c>
      <c r="AK64" s="11">
        <f>IF($AJ64="K12",$AA64,$AC64)</f>
        <v/>
      </c>
    </row>
    <row r="65">
      <c r="A65" t="inlineStr">
        <is>
          <t>i3s02n3914ztm0s|LOL · TL vs AL</t>
        </is>
      </c>
      <c r="B65" t="inlineStr">
        <is>
          <t>LOL · TL vs AL</t>
        </is>
      </c>
      <c r="C65" t="inlineStr">
        <is>
          <t>TL</t>
        </is>
      </c>
      <c r="D65" t="inlineStr">
        <is>
          <t>Quid</t>
        </is>
      </c>
      <c r="E65" t="inlineStr">
        <is>
          <t>i3s02n3914ztm0s</t>
        </is>
      </c>
      <c r="F65">
        <f>IFERROR(IF($C65=INDEX(Matches!$S$5:$S$12,MATCH($B65,Matches!$A$5:$A$12,0)),"A",IF($C65=INDEX(Matches!$T$5:$T$12,MATCH($B65,Matches!$A$5:$A$12,0)),"B","")),"")</f>
        <v/>
      </c>
      <c r="G65">
        <f>IFERROR(INDEX(Players!$E$2:$E$66,MATCH($E65,Players!$A$2:$A$66,0)),0)</f>
        <v/>
      </c>
      <c r="H65" s="6">
        <f>IFERROR(INDEX(Players!$F$2:$F$66,MATCH($E65,Players!$A$2:$A$66,0)),"")</f>
        <v/>
      </c>
      <c r="I65">
        <f>IFERROR(INDEX(Players!$G$2:$G$66,MATCH($E65,Players!$A$2:$A$66,0)),"")</f>
        <v/>
      </c>
      <c r="J65" s="11">
        <f>IF(OR($I65="",$H65=""),"",$I65*IF(LEFT($B65,4)="DOTA",Config!$B$5,Config!$B$4)/($H65*IF(LEFT($B65,4)="DOTA",Config!$B$5,Config!$B$4)+1-$H65))</f>
        <v/>
      </c>
      <c r="K65" s="11">
        <f>IF(OR($I65="",$H65=""),"",$I65/($H65*IF(LEFT($B65,4)="DOTA",Config!$B$5,Config!$B$4)+1-$H65))</f>
        <v/>
      </c>
      <c r="L65">
        <f>IFERROR(INDEX(Matches!$R$5:$R$12,MATCH($B65,Matches!$A$5:$A$12,0)),1)</f>
        <v/>
      </c>
      <c r="M65" s="6">
        <f>IFERROR(IF(INDEX(Matches!$M$5:$M$12,MATCH($B65,Matches!$A$5:$A$12,0))="","",IF($F65="A",INDEX(Matches!$M$5:$M$12,MATCH($B65,Matches!$A$5:$A$12,0)),1-INDEX(Matches!$M$5:$M$12,MATCH($B65,Matches!$A$5:$A$12,0)))),"")</f>
        <v/>
      </c>
      <c r="N65">
        <f>1</f>
        <v/>
      </c>
      <c r="O65" s="11">
        <f>IF(OR($M65="",$J65=""),"",$L65*($M65*$J65+(1-$M65)*$K65))</f>
        <v/>
      </c>
      <c r="P65">
        <f>IF($O65="","",IF(LEFT($B65,4)="DOTA",Config!$B$7,Config!$B$6)*$O65+$L65^2*$M65*(1-$M65)*($J65-$K65)^2)</f>
        <v/>
      </c>
      <c r="Q65" s="6">
        <f>IFERROR(IF(INDEX(Matches!$N$5:$N$12,MATCH($B65,Matches!$A$5:$A$12,0))="","",IF($F65="A",INDEX(Matches!$N$5:$N$12,MATCH($B65,Matches!$A$5:$A$12,0)),1-INDEX(Matches!$N$5:$N$12,MATCH($B65,Matches!$A$5:$A$12,0)))),"")</f>
        <v/>
      </c>
      <c r="R65">
        <f>IFERROR(N(INDEX(Matches!$P$5:$P$12,MATCH($B65,Matches!$A$5:$A$12,0))),0)</f>
        <v/>
      </c>
      <c r="S65" s="11">
        <f>IF(OR($Q65="",$J65=""),"",$L65*($Q65*$J65+(1-$Q65)*$K65))</f>
        <v/>
      </c>
      <c r="T65">
        <f>IF($S65="","",IF(LEFT($B65,4)="DOTA",Config!$B$7,Config!$B$6)*$S65+$L65^2*$Q65*(1-$Q65)*($J65-$K65)^2)</f>
        <v/>
      </c>
      <c r="U65" s="6">
        <f>IFERROR(IF(INDEX(Matches!$O$5:$O$12,MATCH($B65,Matches!$A$5:$A$12,0))="","",IF($F65="A",INDEX(Matches!$O$5:$O$12,MATCH($B65,Matches!$A$5:$A$12,0)),1-INDEX(Matches!$O$5:$O$12,MATCH($B65,Matches!$A$5:$A$12,0)))),"")</f>
        <v/>
      </c>
      <c r="V65">
        <f>IFERROR(N(INDEX(Matches!$Q$5:$Q$12,MATCH($B65,Matches!$A$5:$A$12,0))),0)</f>
        <v/>
      </c>
      <c r="W65" s="11">
        <f>IF(OR($U65="",$J65=""),"",$L65*($U65*$J65+(1-$U65)*$K65))</f>
        <v/>
      </c>
      <c r="X65">
        <f>IF($W65="","",IF(LEFT($B65,4)="DOTA",Config!$B$7,Config!$B$6)*$W65+$L65^2*$U65*(1-$U65)*($J65-$K65)^2)</f>
        <v/>
      </c>
      <c r="Y65" s="11">
        <f>IF($O65="","",$O65)</f>
        <v/>
      </c>
      <c r="Z65">
        <f>IF($P65="","",$P65)</f>
        <v/>
      </c>
      <c r="AA65" s="11">
        <f>IF($O65="","",N($N65)*N($O65)+N($R65)*N($S65))</f>
        <v/>
      </c>
      <c r="AB65">
        <f>IF($O65="","",(N($N65)*N($P65)+N($N65)*(1-N($N65))*N($O65)^2)+(N($R65)*N($T65)+N($R65)*(1-N($R65))*N($S65)^2))</f>
        <v/>
      </c>
      <c r="AC65" s="11">
        <f>IF($O65="","",N($N65)*N($O65)+N($R65)*N($S65)+N($V65)*N($W65))</f>
        <v/>
      </c>
      <c r="AD65">
        <f>IF($O65="","",(N($N65)*N($P65)+N($N65)*(1-N($N65))*N($O65)^2)+(N($R65)*N($T65)+N($R65)*(1-N($R65))*N($S65)^2)+(N($V65)*N($X65)+N($V65)*(1-N($V65))*N($W65)^2))</f>
        <v/>
      </c>
      <c r="AE65" s="11">
        <f>IF($I65="","",$I65*$L65)</f>
        <v/>
      </c>
      <c r="AF65" s="11">
        <f>IF($I65="","",$I65*$L65*(1+N($R65)))</f>
        <v/>
      </c>
      <c r="AG65" s="11">
        <f>IF($I65="","",$I65*$L65*(1+N($R65)+N($V65)))</f>
        <v/>
      </c>
      <c r="AH65">
        <f>TRIM(IF($G65&lt;Config!$B$9,"thin sample ("&amp;$G65&amp;" maps) · ","")&amp;IF($I65="","no PickFinder stats · ","")&amp;IFERROR(IF(INDEX(Players!$T$2:$T$66,MATCH($E65,Players!$A$2:$A$66,0))&lt;0.5,"new roster: "&amp;TEXT(INDEX(Players!$T$2:$T$66,MATCH($E65,Players!$A$2:$A$66,0)),"0%")&amp;" of his recent games with these teammates",""),""))</f>
        <v/>
      </c>
      <c r="AI65">
        <f>IF($B65=Board!$B$2,COUNTIFS($B$2:$B$66,Board!$B$2,$Y$2:$Y$66,"&gt;"&amp;$Y65)+COUNTIFS($B$1:$B64,Board!$B$2,$Y$1:$Y64,$Y65)+1,"")</f>
        <v/>
      </c>
      <c r="AJ65">
        <f>IFERROR(IF(INDEX(Matches!$D$5:$D$12,MATCH($B65,Matches!$A$5:$A$12,0))=3,"K12","K13"),"K13")</f>
        <v/>
      </c>
      <c r="AK65" s="11">
        <f>IF($AJ65="K12",$AA65,$AC65)</f>
        <v/>
      </c>
    </row>
    <row r="66">
      <c r="A66" t="inlineStr">
        <is>
          <t>3veg6sl2qg2nwcd|LOL · TL vs AL</t>
        </is>
      </c>
      <c r="B66" t="inlineStr">
        <is>
          <t>LOL · TL vs AL</t>
        </is>
      </c>
      <c r="C66" t="inlineStr">
        <is>
          <t>TL</t>
        </is>
      </c>
      <c r="D66" t="inlineStr">
        <is>
          <t>Yeon</t>
        </is>
      </c>
      <c r="E66" t="inlineStr">
        <is>
          <t>3veg6sl2qg2nwcd</t>
        </is>
      </c>
      <c r="F66">
        <f>IFERROR(IF($C66=INDEX(Matches!$S$5:$S$12,MATCH($B66,Matches!$A$5:$A$12,0)),"A",IF($C66=INDEX(Matches!$T$5:$T$12,MATCH($B66,Matches!$A$5:$A$12,0)),"B","")),"")</f>
        <v/>
      </c>
      <c r="G66">
        <f>IFERROR(INDEX(Players!$E$2:$E$66,MATCH($E66,Players!$A$2:$A$66,0)),0)</f>
        <v/>
      </c>
      <c r="H66" s="6">
        <f>IFERROR(INDEX(Players!$F$2:$F$66,MATCH($E66,Players!$A$2:$A$66,0)),"")</f>
        <v/>
      </c>
      <c r="I66">
        <f>IFERROR(INDEX(Players!$G$2:$G$66,MATCH($E66,Players!$A$2:$A$66,0)),"")</f>
        <v/>
      </c>
      <c r="J66" s="11">
        <f>IF(OR($I66="",$H66=""),"",$I66*IF(LEFT($B66,4)="DOTA",Config!$B$5,Config!$B$4)/($H66*IF(LEFT($B66,4)="DOTA",Config!$B$5,Config!$B$4)+1-$H66))</f>
        <v/>
      </c>
      <c r="K66" s="11">
        <f>IF(OR($I66="",$H66=""),"",$I66/($H66*IF(LEFT($B66,4)="DOTA",Config!$B$5,Config!$B$4)+1-$H66))</f>
        <v/>
      </c>
      <c r="L66">
        <f>IFERROR(INDEX(Matches!$R$5:$R$12,MATCH($B66,Matches!$A$5:$A$12,0)),1)</f>
        <v/>
      </c>
      <c r="M66" s="6">
        <f>IFERROR(IF(INDEX(Matches!$M$5:$M$12,MATCH($B66,Matches!$A$5:$A$12,0))="","",IF($F66="A",INDEX(Matches!$M$5:$M$12,MATCH($B66,Matches!$A$5:$A$12,0)),1-INDEX(Matches!$M$5:$M$12,MATCH($B66,Matches!$A$5:$A$12,0)))),"")</f>
        <v/>
      </c>
      <c r="N66">
        <f>1</f>
        <v/>
      </c>
      <c r="O66" s="11">
        <f>IF(OR($M66="",$J66=""),"",$L66*($M66*$J66+(1-$M66)*$K66))</f>
        <v/>
      </c>
      <c r="P66">
        <f>IF($O66="","",IF(LEFT($B66,4)="DOTA",Config!$B$7,Config!$B$6)*$O66+$L66^2*$M66*(1-$M66)*($J66-$K66)^2)</f>
        <v/>
      </c>
      <c r="Q66" s="6">
        <f>IFERROR(IF(INDEX(Matches!$N$5:$N$12,MATCH($B66,Matches!$A$5:$A$12,0))="","",IF($F66="A",INDEX(Matches!$N$5:$N$12,MATCH($B66,Matches!$A$5:$A$12,0)),1-INDEX(Matches!$N$5:$N$12,MATCH($B66,Matches!$A$5:$A$12,0)))),"")</f>
        <v/>
      </c>
      <c r="R66">
        <f>IFERROR(N(INDEX(Matches!$P$5:$P$12,MATCH($B66,Matches!$A$5:$A$12,0))),0)</f>
        <v/>
      </c>
      <c r="S66" s="11">
        <f>IF(OR($Q66="",$J66=""),"",$L66*($Q66*$J66+(1-$Q66)*$K66))</f>
        <v/>
      </c>
      <c r="T66">
        <f>IF($S66="","",IF(LEFT($B66,4)="DOTA",Config!$B$7,Config!$B$6)*$S66+$L66^2*$Q66*(1-$Q66)*($J66-$K66)^2)</f>
        <v/>
      </c>
      <c r="U66" s="6">
        <f>IFERROR(IF(INDEX(Matches!$O$5:$O$12,MATCH($B66,Matches!$A$5:$A$12,0))="","",IF($F66="A",INDEX(Matches!$O$5:$O$12,MATCH($B66,Matches!$A$5:$A$12,0)),1-INDEX(Matches!$O$5:$O$12,MATCH($B66,Matches!$A$5:$A$12,0)))),"")</f>
        <v/>
      </c>
      <c r="V66">
        <f>IFERROR(N(INDEX(Matches!$Q$5:$Q$12,MATCH($B66,Matches!$A$5:$A$12,0))),0)</f>
        <v/>
      </c>
      <c r="W66" s="11">
        <f>IF(OR($U66="",$J66=""),"",$L66*($U66*$J66+(1-$U66)*$K66))</f>
        <v/>
      </c>
      <c r="X66">
        <f>IF($W66="","",IF(LEFT($B66,4)="DOTA",Config!$B$7,Config!$B$6)*$W66+$L66^2*$U66*(1-$U66)*($J66-$K66)^2)</f>
        <v/>
      </c>
      <c r="Y66" s="11">
        <f>IF($O66="","",$O66)</f>
        <v/>
      </c>
      <c r="Z66">
        <f>IF($P66="","",$P66)</f>
        <v/>
      </c>
      <c r="AA66" s="11">
        <f>IF($O66="","",N($N66)*N($O66)+N($R66)*N($S66))</f>
        <v/>
      </c>
      <c r="AB66">
        <f>IF($O66="","",(N($N66)*N($P66)+N($N66)*(1-N($N66))*N($O66)^2)+(N($R66)*N($T66)+N($R66)*(1-N($R66))*N($S66)^2))</f>
        <v/>
      </c>
      <c r="AC66" s="11">
        <f>IF($O66="","",N($N66)*N($O66)+N($R66)*N($S66)+N($V66)*N($W66))</f>
        <v/>
      </c>
      <c r="AD66">
        <f>IF($O66="","",(N($N66)*N($P66)+N($N66)*(1-N($N66))*N($O66)^2)+(N($R66)*N($T66)+N($R66)*(1-N($R66))*N($S66)^2)+(N($V66)*N($X66)+N($V66)*(1-N($V66))*N($W66)^2))</f>
        <v/>
      </c>
      <c r="AE66" s="11">
        <f>IF($I66="","",$I66*$L66)</f>
        <v/>
      </c>
      <c r="AF66" s="11">
        <f>IF($I66="","",$I66*$L66*(1+N($R66)))</f>
        <v/>
      </c>
      <c r="AG66" s="11">
        <f>IF($I66="","",$I66*$L66*(1+N($R66)+N($V66)))</f>
        <v/>
      </c>
      <c r="AH66">
        <f>TRIM(IF($G66&lt;Config!$B$9,"thin sample ("&amp;$G66&amp;" maps) · ","")&amp;IF($I66="","no PickFinder stats · ","")&amp;IFERROR(IF(INDEX(Players!$T$2:$T$66,MATCH($E66,Players!$A$2:$A$66,0))&lt;0.5,"new roster: "&amp;TEXT(INDEX(Players!$T$2:$T$66,MATCH($E66,Players!$A$2:$A$66,0)),"0%")&amp;" of his recent games with these teammates",""),""))</f>
        <v/>
      </c>
      <c r="AI66">
        <f>IF($B66=Board!$B$2,COUNTIFS($B$2:$B$66,Board!$B$2,$Y$2:$Y$66,"&gt;"&amp;$Y66)+COUNTIFS($B$1:$B65,Board!$B$2,$Y$1:$Y65,$Y66)+1,"")</f>
        <v/>
      </c>
      <c r="AJ66">
        <f>IFERROR(IF(INDEX(Matches!$D$5:$D$12,MATCH($B66,Matches!$A$5:$A$12,0))=3,"K12","K13"),"K13")</f>
        <v/>
      </c>
      <c r="AK66" s="11">
        <f>IF($AJ66="K12",$AA66,$AC66)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2026-10-26</t>
        </is>
      </c>
    </row>
    <row r="12">
      <c r="A12" t="inlineStr">
        <is>
          <t>BUILT_UTC</t>
        </is>
      </c>
      <c r="B12" t="inlineStr">
        <is>
          <t>2026-10-26 02:22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mhg6ds61hvmgcyz</t>
        </is>
      </c>
      <c r="B2" t="inlineStr">
        <is>
          <t>Breathe</t>
        </is>
      </c>
      <c r="C2" t="inlineStr">
        <is>
          <t>AL</t>
        </is>
      </c>
      <c r="D2" t="inlineStr">
        <is>
          <t>AL vs TL</t>
        </is>
      </c>
      <c r="E2" t="n">
        <v>30</v>
      </c>
      <c r="F2" s="12" t="n">
        <v>0.47</v>
      </c>
      <c r="G2" t="n">
        <v>2.8</v>
      </c>
      <c r="H2" t="n">
        <v>2.8</v>
      </c>
      <c r="I2" t="n">
        <v>4.2</v>
      </c>
      <c r="J2" t="n">
        <v>1</v>
      </c>
      <c r="K2" t="n">
        <v>45</v>
      </c>
      <c r="L2" t="n">
        <v>2.42</v>
      </c>
      <c r="M2" t="inlineStr">
        <is>
          <t>OK</t>
        </is>
      </c>
      <c r="N2" t="inlineStr">
        <is>
          <t>https://www.pickfinder.app/players/lol/mhg6ds61hvmgcyz</t>
        </is>
      </c>
      <c r="O2" t="inlineStr">
        <is>
          <t>LOL</t>
        </is>
      </c>
      <c r="P2" t="inlineStr">
        <is>
          <t>top</t>
        </is>
      </c>
      <c r="T2" s="12" t="n"/>
    </row>
    <row r="3">
      <c r="A3" t="inlineStr">
        <is>
          <t>4wiuvlxt09y1lfa</t>
        </is>
      </c>
      <c r="B3" t="inlineStr">
        <is>
          <t>Hope</t>
        </is>
      </c>
      <c r="C3" t="inlineStr">
        <is>
          <t>AL</t>
        </is>
      </c>
      <c r="D3" t="inlineStr">
        <is>
          <t>AL vs TL</t>
        </is>
      </c>
      <c r="E3" t="n">
        <v>30</v>
      </c>
      <c r="F3" s="12" t="n">
        <v>0.47</v>
      </c>
      <c r="G3" t="n">
        <v>3.9</v>
      </c>
      <c r="H3" t="n">
        <v>2.6</v>
      </c>
      <c r="I3" t="n">
        <v>5.5</v>
      </c>
      <c r="J3" t="n">
        <v>1.5</v>
      </c>
      <c r="K3" t="n">
        <v>45</v>
      </c>
      <c r="L3" t="n">
        <v>3.49</v>
      </c>
      <c r="M3" t="inlineStr">
        <is>
          <t>OK</t>
        </is>
      </c>
      <c r="N3" t="inlineStr">
        <is>
          <t>https://www.pickfinder.app/players/lol/4wiuvlxt09y1lfa</t>
        </is>
      </c>
      <c r="O3" t="inlineStr">
        <is>
          <t>LOL</t>
        </is>
      </c>
      <c r="P3" t="inlineStr">
        <is>
          <t>adc</t>
        </is>
      </c>
      <c r="T3" s="12" t="n"/>
    </row>
    <row r="4">
      <c r="A4" t="inlineStr">
        <is>
          <t>tesiepsb2upme55</t>
        </is>
      </c>
      <c r="B4" t="inlineStr">
        <is>
          <t>Shanks</t>
        </is>
      </c>
      <c r="C4" t="inlineStr">
        <is>
          <t>AL</t>
        </is>
      </c>
      <c r="D4" t="inlineStr">
        <is>
          <t>AL vs TL</t>
        </is>
      </c>
      <c r="E4" t="n">
        <v>30</v>
      </c>
      <c r="F4" s="12" t="n">
        <v>0.47</v>
      </c>
      <c r="G4" t="n">
        <v>3.3</v>
      </c>
      <c r="H4" t="n">
        <v>3</v>
      </c>
      <c r="I4" t="n">
        <v>5.3</v>
      </c>
      <c r="J4" t="n">
        <v>1.1</v>
      </c>
      <c r="K4" t="n">
        <v>45</v>
      </c>
      <c r="L4" t="n">
        <v>3.56</v>
      </c>
      <c r="M4" t="inlineStr">
        <is>
          <t>OK</t>
        </is>
      </c>
      <c r="N4" t="inlineStr">
        <is>
          <t>https://www.pickfinder.app/players/lol/tesiepsb2upme55</t>
        </is>
      </c>
      <c r="O4" t="inlineStr">
        <is>
          <t>LOL</t>
        </is>
      </c>
      <c r="P4" t="inlineStr">
        <is>
          <t>mid</t>
        </is>
      </c>
      <c r="T4" s="12" t="n"/>
    </row>
    <row r="5">
      <c r="A5" t="inlineStr">
        <is>
          <t>3dqp61os0zjpa7c</t>
        </is>
      </c>
      <c r="B5" t="inlineStr">
        <is>
          <t>Tarzan</t>
        </is>
      </c>
      <c r="C5" t="inlineStr">
        <is>
          <t>AL</t>
        </is>
      </c>
      <c r="D5" t="inlineStr">
        <is>
          <t>AL vs TL</t>
        </is>
      </c>
      <c r="E5" t="n">
        <v>30</v>
      </c>
      <c r="F5" s="12" t="n">
        <v>0.47</v>
      </c>
      <c r="G5" t="n">
        <v>3</v>
      </c>
      <c r="H5" t="n">
        <v>2.9</v>
      </c>
      <c r="I5" t="n">
        <v>6.6</v>
      </c>
      <c r="J5" t="n">
        <v>1.1</v>
      </c>
      <c r="K5" t="n">
        <v>45</v>
      </c>
      <c r="L5" t="n">
        <v>2.93</v>
      </c>
      <c r="M5" t="inlineStr">
        <is>
          <t>OK</t>
        </is>
      </c>
      <c r="N5" t="inlineStr">
        <is>
          <t>https://www.pickfinder.app/players/lol/3dqp61os0zjpa7c</t>
        </is>
      </c>
      <c r="O5" t="inlineStr">
        <is>
          <t>LOL</t>
        </is>
      </c>
      <c r="P5" t="inlineStr">
        <is>
          <t>jun</t>
        </is>
      </c>
      <c r="T5" s="12" t="n"/>
    </row>
    <row r="6">
      <c r="A6" t="inlineStr">
        <is>
          <t>d5vtssc59tcc007</t>
        </is>
      </c>
      <c r="B6" t="inlineStr">
        <is>
          <t>Kataomi`</t>
        </is>
      </c>
      <c r="C6" t="inlineStr">
        <is>
          <t>BB</t>
        </is>
      </c>
      <c r="D6" t="inlineStr">
        <is>
          <t>BB vs LEGION</t>
        </is>
      </c>
      <c r="E6" t="n">
        <v>30</v>
      </c>
      <c r="F6" s="12" t="n">
        <v>0.37</v>
      </c>
      <c r="G6" t="n">
        <v>2.2</v>
      </c>
      <c r="H6" t="n">
        <v>8.4</v>
      </c>
      <c r="I6" t="n">
        <v>11.2</v>
      </c>
      <c r="J6" t="n">
        <v>0.3</v>
      </c>
      <c r="K6" t="n">
        <v>45</v>
      </c>
      <c r="L6" t="n">
        <v>1.8</v>
      </c>
      <c r="M6" t="inlineStr">
        <is>
          <t>OK</t>
        </is>
      </c>
      <c r="N6" t="inlineStr">
        <is>
          <t>https://www.pickfinder.app/players/dota2/d5vtssc59tcc007</t>
        </is>
      </c>
      <c r="O6" t="inlineStr">
        <is>
          <t>DOTA</t>
        </is>
      </c>
      <c r="P6" t="inlineStr">
        <is>
          <t>5</t>
        </is>
      </c>
      <c r="T6" s="12" t="n"/>
    </row>
    <row r="7">
      <c r="A7" t="inlineStr">
        <is>
          <t>qcmgn2st7qcaqxc</t>
        </is>
      </c>
      <c r="B7" t="inlineStr">
        <is>
          <t>Kiritych~</t>
        </is>
      </c>
      <c r="C7" t="inlineStr">
        <is>
          <t>BB</t>
        </is>
      </c>
      <c r="D7" t="inlineStr">
        <is>
          <t>BB vs LEGION</t>
        </is>
      </c>
      <c r="E7" t="n">
        <v>30</v>
      </c>
      <c r="F7" s="12" t="n">
        <v>0.37</v>
      </c>
      <c r="G7" t="n">
        <v>6.4</v>
      </c>
      <c r="H7" t="n">
        <v>3.7</v>
      </c>
      <c r="I7" t="n">
        <v>7</v>
      </c>
      <c r="J7" t="n">
        <v>1.7</v>
      </c>
      <c r="K7" t="n">
        <v>45</v>
      </c>
      <c r="L7" t="n">
        <v>5.47</v>
      </c>
      <c r="M7" t="inlineStr">
        <is>
          <t>OK</t>
        </is>
      </c>
      <c r="N7" t="inlineStr">
        <is>
          <t>https://www.pickfinder.app/players/dota2/qcmgn2st7qcaqxc</t>
        </is>
      </c>
      <c r="O7" t="inlineStr">
        <is>
          <t>DOTA</t>
        </is>
      </c>
      <c r="P7" t="inlineStr">
        <is>
          <t>1</t>
        </is>
      </c>
      <c r="T7" s="12" t="n"/>
    </row>
    <row r="8">
      <c r="A8" t="inlineStr">
        <is>
          <t>nbyoi46qk2ybg8b</t>
        </is>
      </c>
      <c r="B8" t="inlineStr">
        <is>
          <t>MieRo</t>
        </is>
      </c>
      <c r="C8" t="inlineStr">
        <is>
          <t>BB</t>
        </is>
      </c>
      <c r="D8" t="inlineStr">
        <is>
          <t>BB vs LEGION</t>
        </is>
      </c>
      <c r="E8" t="n">
        <v>30</v>
      </c>
      <c r="F8" s="12" t="n">
        <v>0.37</v>
      </c>
      <c r="G8" t="n">
        <v>4.2</v>
      </c>
      <c r="H8" t="n">
        <v>3.9</v>
      </c>
      <c r="I8" t="n">
        <v>9.9</v>
      </c>
      <c r="J8" t="n">
        <v>1.1</v>
      </c>
      <c r="K8" t="n">
        <v>45</v>
      </c>
      <c r="L8" t="n">
        <v>3.76</v>
      </c>
      <c r="M8" t="inlineStr">
        <is>
          <t>OK</t>
        </is>
      </c>
      <c r="N8" t="inlineStr">
        <is>
          <t>https://www.pickfinder.app/players/dota2/nbyoi46qk2ybg8b</t>
        </is>
      </c>
      <c r="O8" t="inlineStr">
        <is>
          <t>DOTA</t>
        </is>
      </c>
      <c r="P8" t="inlineStr">
        <is>
          <t>3</t>
        </is>
      </c>
      <c r="T8" s="12" t="n"/>
    </row>
    <row r="9">
      <c r="A9" t="inlineStr">
        <is>
          <t>7ht2ppu8ke3cch9</t>
        </is>
      </c>
      <c r="B9" t="inlineStr">
        <is>
          <t>swedenstrong</t>
        </is>
      </c>
      <c r="C9" t="inlineStr">
        <is>
          <t>BB</t>
        </is>
      </c>
      <c r="D9" t="inlineStr">
        <is>
          <t>BB vs LEGION</t>
        </is>
      </c>
      <c r="E9" t="n">
        <v>30</v>
      </c>
      <c r="F9" s="12" t="n">
        <v>0.37</v>
      </c>
      <c r="G9" t="n">
        <v>2.5</v>
      </c>
      <c r="H9" t="n">
        <v>6.5</v>
      </c>
      <c r="I9" t="n">
        <v>14.2</v>
      </c>
      <c r="J9" t="n">
        <v>0.4</v>
      </c>
      <c r="K9" t="n">
        <v>45</v>
      </c>
      <c r="L9" t="n">
        <v>2.47</v>
      </c>
      <c r="M9" t="inlineStr">
        <is>
          <t>OK</t>
        </is>
      </c>
      <c r="N9" t="inlineStr">
        <is>
          <t>https://www.pickfinder.app/players/dota2/7ht2ppu8ke3cch9</t>
        </is>
      </c>
      <c r="O9" t="inlineStr">
        <is>
          <t>DOTA</t>
        </is>
      </c>
      <c r="P9" t="inlineStr">
        <is>
          <t>4</t>
        </is>
      </c>
      <c r="T9" s="12" t="n"/>
    </row>
    <row r="10">
      <c r="A10" t="inlineStr">
        <is>
          <t>n4f7lv5wvxndbnw</t>
        </is>
      </c>
      <c r="B10" t="inlineStr">
        <is>
          <t>knight</t>
        </is>
      </c>
      <c r="C10" t="inlineStr">
        <is>
          <t>BLG</t>
        </is>
      </c>
      <c r="D10" t="inlineStr">
        <is>
          <t>BLG vs KC</t>
        </is>
      </c>
      <c r="E10" t="n">
        <v>30</v>
      </c>
      <c r="F10" s="12" t="n">
        <v>0.7</v>
      </c>
      <c r="G10" t="n">
        <v>5.5</v>
      </c>
      <c r="H10" t="n">
        <v>2.2</v>
      </c>
      <c r="I10" t="n">
        <v>7</v>
      </c>
      <c r="J10" t="n">
        <v>2.5</v>
      </c>
      <c r="K10" t="n">
        <v>45</v>
      </c>
      <c r="L10" t="n">
        <v>4.18</v>
      </c>
      <c r="M10" t="inlineStr">
        <is>
          <t>OK</t>
        </is>
      </c>
      <c r="N10" t="inlineStr">
        <is>
          <t>https://www.pickfinder.app/players/lol/n4f7lv5wvxndbnw</t>
        </is>
      </c>
      <c r="O10" t="inlineStr">
        <is>
          <t>LOL</t>
        </is>
      </c>
      <c r="P10" t="inlineStr">
        <is>
          <t>mid</t>
        </is>
      </c>
      <c r="T10" s="12" t="n"/>
    </row>
    <row r="11">
      <c r="A11" t="inlineStr">
        <is>
          <t>rxzjxi7ziezffrs</t>
        </is>
      </c>
      <c r="B11" t="inlineStr">
        <is>
          <t>ON</t>
        </is>
      </c>
      <c r="C11" t="inlineStr">
        <is>
          <t>BLG</t>
        </is>
      </c>
      <c r="D11" t="inlineStr">
        <is>
          <t>BLG vs KC</t>
        </is>
      </c>
      <c r="E11" t="n">
        <v>30</v>
      </c>
      <c r="F11" s="12" t="n">
        <v>0.7</v>
      </c>
      <c r="G11" t="n">
        <v>0.6</v>
      </c>
      <c r="H11" t="n">
        <v>3</v>
      </c>
      <c r="I11" t="n">
        <v>13.7</v>
      </c>
      <c r="J11" t="n">
        <v>0.2</v>
      </c>
      <c r="K11" t="n">
        <v>45</v>
      </c>
      <c r="L11" t="n">
        <v>0.6</v>
      </c>
      <c r="M11" t="inlineStr">
        <is>
          <t>OK</t>
        </is>
      </c>
      <c r="N11" t="inlineStr">
        <is>
          <t>https://www.pickfinder.app/players/lol/rxzjxi7ziezffrs</t>
        </is>
      </c>
      <c r="O11" t="inlineStr">
        <is>
          <t>LOL</t>
        </is>
      </c>
      <c r="P11" t="inlineStr">
        <is>
          <t>sup</t>
        </is>
      </c>
      <c r="T11" s="12" t="n"/>
    </row>
    <row r="12">
      <c r="A12" t="inlineStr">
        <is>
          <t>ik18oe6e112nifa</t>
        </is>
      </c>
      <c r="B12" t="inlineStr">
        <is>
          <t>Viper</t>
        </is>
      </c>
      <c r="C12" t="inlineStr">
        <is>
          <t>BLG</t>
        </is>
      </c>
      <c r="D12" t="inlineStr">
        <is>
          <t>BLG vs KC</t>
        </is>
      </c>
      <c r="E12" t="n">
        <v>30</v>
      </c>
      <c r="F12" s="12" t="n">
        <v>0.7</v>
      </c>
      <c r="G12" t="n">
        <v>5.4</v>
      </c>
      <c r="H12" t="n">
        <v>2.2</v>
      </c>
      <c r="I12" t="n">
        <v>7.3</v>
      </c>
      <c r="J12" t="n">
        <v>2.5</v>
      </c>
      <c r="K12" t="n">
        <v>45</v>
      </c>
      <c r="L12" t="n">
        <v>4.22</v>
      </c>
      <c r="M12" t="inlineStr">
        <is>
          <t>OK</t>
        </is>
      </c>
      <c r="N12" t="inlineStr">
        <is>
          <t>https://www.pickfinder.app/players/lol/ik18oe6e112nifa</t>
        </is>
      </c>
      <c r="O12" t="inlineStr">
        <is>
          <t>LOL</t>
        </is>
      </c>
      <c r="P12" t="inlineStr">
        <is>
          <t>adc</t>
        </is>
      </c>
      <c r="T12" s="12" t="n"/>
    </row>
    <row r="13">
      <c r="A13" t="inlineStr">
        <is>
          <t>3565cqfb2f3cq21</t>
        </is>
      </c>
      <c r="B13" t="inlineStr">
        <is>
          <t>XUN</t>
        </is>
      </c>
      <c r="C13" t="inlineStr">
        <is>
          <t>BLG</t>
        </is>
      </c>
      <c r="D13" t="inlineStr">
        <is>
          <t>BLG vs KC</t>
        </is>
      </c>
      <c r="E13" t="n">
        <v>30</v>
      </c>
      <c r="F13" s="12" t="n">
        <v>0.7</v>
      </c>
      <c r="G13" t="n">
        <v>3.8</v>
      </c>
      <c r="H13" t="n">
        <v>2.5</v>
      </c>
      <c r="I13" t="n">
        <v>9.1</v>
      </c>
      <c r="J13" t="n">
        <v>1.5</v>
      </c>
      <c r="K13" t="n">
        <v>45</v>
      </c>
      <c r="L13" t="n">
        <v>2.82</v>
      </c>
      <c r="M13" t="inlineStr">
        <is>
          <t>OK</t>
        </is>
      </c>
      <c r="N13" t="inlineStr">
        <is>
          <t>https://www.pickfinder.app/players/lol/3565cqfb2f3cq21</t>
        </is>
      </c>
      <c r="O13" t="inlineStr">
        <is>
          <t>LOL</t>
        </is>
      </c>
      <c r="P13" t="inlineStr">
        <is>
          <t>jun</t>
        </is>
      </c>
      <c r="T13" s="12" t="n"/>
    </row>
    <row r="14">
      <c r="A14" t="inlineStr">
        <is>
          <t>a5wl3rb1ss2ow7n</t>
        </is>
      </c>
      <c r="B14" t="inlineStr">
        <is>
          <t>Doggo</t>
        </is>
      </c>
      <c r="C14" t="inlineStr">
        <is>
          <t>CFO</t>
        </is>
      </c>
      <c r="D14" t="inlineStr">
        <is>
          <t>CFO vs T1</t>
        </is>
      </c>
      <c r="E14" t="n">
        <v>30</v>
      </c>
      <c r="F14" s="12" t="n">
        <v>0.53</v>
      </c>
      <c r="G14" t="n">
        <v>5</v>
      </c>
      <c r="H14" t="n">
        <v>3</v>
      </c>
      <c r="I14" t="n">
        <v>5.9</v>
      </c>
      <c r="J14" t="n">
        <v>1.7</v>
      </c>
      <c r="K14" t="n">
        <v>45</v>
      </c>
      <c r="L14" t="n">
        <v>4.24</v>
      </c>
      <c r="M14" t="inlineStr">
        <is>
          <t>OK</t>
        </is>
      </c>
      <c r="N14" t="inlineStr">
        <is>
          <t>https://www.pickfinder.app/players/lol/a5wl3rb1ss2ow7n</t>
        </is>
      </c>
      <c r="O14" t="inlineStr">
        <is>
          <t>LOL</t>
        </is>
      </c>
      <c r="P14" t="inlineStr">
        <is>
          <t>adc</t>
        </is>
      </c>
      <c r="T14" s="12" t="n"/>
    </row>
    <row r="15">
      <c r="A15" t="inlineStr">
        <is>
          <t>tn5wihneq593t21</t>
        </is>
      </c>
      <c r="B15" t="inlineStr">
        <is>
          <t>Pout</t>
        </is>
      </c>
      <c r="C15" t="inlineStr">
        <is>
          <t>CFO</t>
        </is>
      </c>
      <c r="D15" t="inlineStr">
        <is>
          <t>CFO vs T1</t>
        </is>
      </c>
      <c r="E15" t="n">
        <v>30</v>
      </c>
      <c r="F15" s="12" t="n">
        <v>0.53</v>
      </c>
      <c r="G15" t="n">
        <v>4.1</v>
      </c>
      <c r="H15" t="n">
        <v>2.5</v>
      </c>
      <c r="I15" t="n">
        <v>6.2</v>
      </c>
      <c r="J15" t="n">
        <v>1.6</v>
      </c>
      <c r="K15" t="n">
        <v>45</v>
      </c>
      <c r="L15" t="n">
        <v>3.36</v>
      </c>
      <c r="M15" t="inlineStr">
        <is>
          <t>OK</t>
        </is>
      </c>
      <c r="N15" t="inlineStr">
        <is>
          <t>https://www.pickfinder.app/players/lol/tn5wihneq593t21</t>
        </is>
      </c>
      <c r="O15" t="inlineStr">
        <is>
          <t>LOL</t>
        </is>
      </c>
      <c r="P15" t="inlineStr">
        <is>
          <t>mid</t>
        </is>
      </c>
      <c r="T15" s="12" t="n"/>
    </row>
    <row r="16">
      <c r="A16" t="inlineStr">
        <is>
          <t>53mtwbqgfk1n5zk</t>
        </is>
      </c>
      <c r="B16" t="inlineStr">
        <is>
          <t>Rest</t>
        </is>
      </c>
      <c r="C16" t="inlineStr">
        <is>
          <t>CFO</t>
        </is>
      </c>
      <c r="D16" t="inlineStr">
        <is>
          <t>CFO vs T1</t>
        </is>
      </c>
      <c r="E16" t="n">
        <v>30</v>
      </c>
      <c r="F16" s="12" t="n">
        <v>0.53</v>
      </c>
      <c r="G16" t="n">
        <v>2.8</v>
      </c>
      <c r="H16" t="n">
        <v>2.9</v>
      </c>
      <c r="I16" t="n">
        <v>6.4</v>
      </c>
      <c r="J16" t="n">
        <v>1</v>
      </c>
      <c r="K16" t="n">
        <v>45</v>
      </c>
      <c r="L16" t="n">
        <v>2.04</v>
      </c>
      <c r="M16" t="inlineStr">
        <is>
          <t>OK</t>
        </is>
      </c>
      <c r="N16" t="inlineStr">
        <is>
          <t>https://www.pickfinder.app/players/lol/53mtwbqgfk1n5zk</t>
        </is>
      </c>
      <c r="O16" t="inlineStr">
        <is>
          <t>LOL</t>
        </is>
      </c>
      <c r="P16" t="inlineStr">
        <is>
          <t>top</t>
        </is>
      </c>
      <c r="T16" s="12" t="n"/>
    </row>
    <row r="17">
      <c r="A17" t="inlineStr">
        <is>
          <t>ko4ayhltzyln940</t>
        </is>
      </c>
      <c r="B17" t="inlineStr">
        <is>
          <t>Shad0w</t>
        </is>
      </c>
      <c r="C17" t="inlineStr">
        <is>
          <t>CFO</t>
        </is>
      </c>
      <c r="D17" t="inlineStr">
        <is>
          <t>CFO vs T1</t>
        </is>
      </c>
      <c r="E17" t="n">
        <v>30</v>
      </c>
      <c r="F17" s="12" t="n">
        <v>0.53</v>
      </c>
      <c r="G17" t="n">
        <v>3.5</v>
      </c>
      <c r="H17" t="n">
        <v>3.2</v>
      </c>
      <c r="I17" t="n">
        <v>8.800000000000001</v>
      </c>
      <c r="J17" t="n">
        <v>1.1</v>
      </c>
      <c r="K17" t="n">
        <v>45</v>
      </c>
      <c r="L17" t="n">
        <v>2.76</v>
      </c>
      <c r="M17" t="inlineStr">
        <is>
          <t>OK</t>
        </is>
      </c>
      <c r="N17" t="inlineStr">
        <is>
          <t>https://www.pickfinder.app/players/lol/ko4ayhltzyln940</t>
        </is>
      </c>
      <c r="O17" t="inlineStr">
        <is>
          <t>LOL</t>
        </is>
      </c>
      <c r="P17" t="inlineStr">
        <is>
          <t>jun</t>
        </is>
      </c>
      <c r="T17" s="12" t="n"/>
    </row>
    <row r="18">
      <c r="A18" t="inlineStr">
        <is>
          <t>qviujqdmb4jzi0q</t>
        </is>
      </c>
      <c r="B18" t="inlineStr">
        <is>
          <t>Bignum</t>
        </is>
      </c>
      <c r="C18" t="inlineStr">
        <is>
          <t>GL</t>
        </is>
      </c>
      <c r="D18" t="inlineStr">
        <is>
          <t>GL vs OG</t>
        </is>
      </c>
      <c r="E18" t="n">
        <v>30</v>
      </c>
      <c r="F18" s="12" t="n">
        <v>0.5</v>
      </c>
      <c r="G18" t="n">
        <v>3.9</v>
      </c>
      <c r="H18" t="n">
        <v>6.9</v>
      </c>
      <c r="I18" t="n">
        <v>14.9</v>
      </c>
      <c r="J18" t="n">
        <v>0.6</v>
      </c>
      <c r="K18" t="n">
        <v>45</v>
      </c>
      <c r="L18" t="n">
        <v>2.84</v>
      </c>
      <c r="M18" t="inlineStr">
        <is>
          <t>OK</t>
        </is>
      </c>
      <c r="N18" t="inlineStr">
        <is>
          <t>https://www.pickfinder.app/players/dota2/qviujqdmb4jzi0q</t>
        </is>
      </c>
      <c r="O18" t="inlineStr">
        <is>
          <t>DOTA</t>
        </is>
      </c>
      <c r="P18" t="inlineStr">
        <is>
          <t>4</t>
        </is>
      </c>
      <c r="T18" s="12" t="n"/>
    </row>
    <row r="19">
      <c r="A19" t="inlineStr">
        <is>
          <t>7f340lwfa48ats4</t>
        </is>
      </c>
      <c r="B19" t="inlineStr">
        <is>
          <t>Fayde</t>
        </is>
      </c>
      <c r="C19" t="inlineStr">
        <is>
          <t>GL</t>
        </is>
      </c>
      <c r="D19" t="inlineStr">
        <is>
          <t>GL vs OG</t>
        </is>
      </c>
      <c r="E19" t="n">
        <v>30</v>
      </c>
      <c r="F19" s="12" t="n">
        <v>0.53</v>
      </c>
      <c r="G19" t="n">
        <v>5.7</v>
      </c>
      <c r="H19" t="n">
        <v>4.5</v>
      </c>
      <c r="I19" t="n">
        <v>11.7</v>
      </c>
      <c r="J19" t="n">
        <v>1.3</v>
      </c>
      <c r="K19" t="n">
        <v>45</v>
      </c>
      <c r="L19" t="n">
        <v>4.29</v>
      </c>
      <c r="M19" t="inlineStr">
        <is>
          <t>OK</t>
        </is>
      </c>
      <c r="N19" t="inlineStr">
        <is>
          <t>https://www.pickfinder.app/players/dota2/7f340lwfa48ats4</t>
        </is>
      </c>
      <c r="O19" t="inlineStr">
        <is>
          <t>DOTA</t>
        </is>
      </c>
      <c r="P19" t="inlineStr">
        <is>
          <t>3</t>
        </is>
      </c>
      <c r="T19" s="12" t="n"/>
    </row>
    <row r="20">
      <c r="A20" t="inlineStr">
        <is>
          <t>3zaze8op521xnc4</t>
        </is>
      </c>
      <c r="B20" t="inlineStr">
        <is>
          <t>RCY</t>
        </is>
      </c>
      <c r="C20" t="inlineStr">
        <is>
          <t>GL</t>
        </is>
      </c>
      <c r="D20" t="inlineStr">
        <is>
          <t>GL vs OG</t>
        </is>
      </c>
      <c r="E20" t="n">
        <v>30</v>
      </c>
      <c r="F20" s="12" t="n">
        <v>0.5</v>
      </c>
      <c r="G20" t="n">
        <v>7.7</v>
      </c>
      <c r="H20" t="n">
        <v>3.4</v>
      </c>
      <c r="I20" t="n">
        <v>11.3</v>
      </c>
      <c r="J20" t="n">
        <v>2.3</v>
      </c>
      <c r="K20" t="n">
        <v>45</v>
      </c>
      <c r="L20" t="n">
        <v>5.91</v>
      </c>
      <c r="M20" t="inlineStr">
        <is>
          <t>OK</t>
        </is>
      </c>
      <c r="N20" t="inlineStr">
        <is>
          <t>https://www.pickfinder.app/players/dota2/3zaze8op521xnc4</t>
        </is>
      </c>
      <c r="O20" t="inlineStr">
        <is>
          <t>DOTA</t>
        </is>
      </c>
      <c r="P20" t="inlineStr">
        <is>
          <t>2</t>
        </is>
      </c>
      <c r="T20" s="12" t="n"/>
    </row>
    <row r="21">
      <c r="A21" t="inlineStr">
        <is>
          <t>t3b3k5ym37f128b</t>
        </is>
      </c>
      <c r="B21" t="inlineStr">
        <is>
          <t>Speeed</t>
        </is>
      </c>
      <c r="C21" t="inlineStr">
        <is>
          <t>GL</t>
        </is>
      </c>
      <c r="D21" t="inlineStr">
        <is>
          <t>GL vs OG</t>
        </is>
      </c>
      <c r="E21" t="n">
        <v>30</v>
      </c>
      <c r="F21" s="12" t="n">
        <v>0.5</v>
      </c>
      <c r="G21" t="n">
        <v>2.5</v>
      </c>
      <c r="H21" t="n">
        <v>6.4</v>
      </c>
      <c r="I21" t="n">
        <v>14.9</v>
      </c>
      <c r="J21" t="n">
        <v>0.4</v>
      </c>
      <c r="K21" t="n">
        <v>45</v>
      </c>
      <c r="L21" t="n">
        <v>1.91</v>
      </c>
      <c r="M21" t="inlineStr">
        <is>
          <t>OK</t>
        </is>
      </c>
      <c r="N21" t="inlineStr">
        <is>
          <t>https://www.pickfinder.app/players/dota2/t3b3k5ym37f128b</t>
        </is>
      </c>
      <c r="O21" t="inlineStr">
        <is>
          <t>DOTA</t>
        </is>
      </c>
      <c r="P21" t="inlineStr">
        <is>
          <t>5</t>
        </is>
      </c>
      <c r="T21" s="12" t="n"/>
    </row>
    <row r="22">
      <c r="A22" t="inlineStr">
        <is>
          <t>388xfoz6m2jbt95</t>
        </is>
      </c>
      <c r="B22" t="inlineStr">
        <is>
          <t>Yuma</t>
        </is>
      </c>
      <c r="C22" t="inlineStr">
        <is>
          <t>GL</t>
        </is>
      </c>
      <c r="D22" t="inlineStr">
        <is>
          <t>GL vs OG</t>
        </is>
      </c>
      <c r="E22" t="n">
        <v>30</v>
      </c>
      <c r="F22" s="12" t="n">
        <v>0.53</v>
      </c>
      <c r="G22" t="n">
        <v>8.1</v>
      </c>
      <c r="H22" t="n">
        <v>4</v>
      </c>
      <c r="I22" t="n">
        <v>8.6</v>
      </c>
      <c r="J22" t="n">
        <v>2</v>
      </c>
      <c r="K22" t="n">
        <v>45</v>
      </c>
      <c r="L22" t="n">
        <v>6.98</v>
      </c>
      <c r="M22" t="inlineStr">
        <is>
          <t>OK</t>
        </is>
      </c>
      <c r="N22" t="inlineStr">
        <is>
          <t>https://www.pickfinder.app/players/dota2/388xfoz6m2jbt95</t>
        </is>
      </c>
      <c r="O22" t="inlineStr">
        <is>
          <t>DOTA</t>
        </is>
      </c>
      <c r="P22" t="inlineStr">
        <is>
          <t>1</t>
        </is>
      </c>
      <c r="T22" s="12" t="n"/>
    </row>
    <row r="23">
      <c r="A23" t="inlineStr">
        <is>
          <t>60n3jocjohvthia</t>
        </is>
      </c>
      <c r="B23" t="inlineStr">
        <is>
          <t>Caliste</t>
        </is>
      </c>
      <c r="C23" t="inlineStr">
        <is>
          <t>KC</t>
        </is>
      </c>
      <c r="D23" t="inlineStr">
        <is>
          <t>KC vs BLG</t>
        </is>
      </c>
      <c r="E23" t="n">
        <v>30</v>
      </c>
      <c r="F23" s="12" t="n">
        <v>0.63</v>
      </c>
      <c r="G23" t="n">
        <v>4.2</v>
      </c>
      <c r="H23" t="n">
        <v>1.9</v>
      </c>
      <c r="I23" t="n">
        <v>5.2</v>
      </c>
      <c r="J23" t="n">
        <v>2.3</v>
      </c>
      <c r="K23" t="n">
        <v>45</v>
      </c>
      <c r="L23" t="n">
        <v>3.76</v>
      </c>
      <c r="M23" t="inlineStr">
        <is>
          <t>OK</t>
        </is>
      </c>
      <c r="N23" t="inlineStr">
        <is>
          <t>https://www.pickfinder.app/players/lol/60n3jocjohvthia</t>
        </is>
      </c>
      <c r="O23" t="inlineStr">
        <is>
          <t>LOL</t>
        </is>
      </c>
      <c r="P23" t="inlineStr">
        <is>
          <t>adc</t>
        </is>
      </c>
      <c r="T23" s="12" t="n"/>
    </row>
    <row r="24">
      <c r="A24" t="inlineStr">
        <is>
          <t>cp4ibkwui10xeyj</t>
        </is>
      </c>
      <c r="B24" t="inlineStr">
        <is>
          <t>Kyeahoo</t>
        </is>
      </c>
      <c r="C24" t="inlineStr">
        <is>
          <t>KC</t>
        </is>
      </c>
      <c r="D24" t="inlineStr">
        <is>
          <t>KC vs BLG</t>
        </is>
      </c>
      <c r="E24" t="n">
        <v>30</v>
      </c>
      <c r="F24" s="12" t="n">
        <v>0.63</v>
      </c>
      <c r="G24" t="n">
        <v>2.4</v>
      </c>
      <c r="H24" t="n">
        <v>2.5</v>
      </c>
      <c r="I24" t="n">
        <v>5.7</v>
      </c>
      <c r="J24" t="n">
        <v>1</v>
      </c>
      <c r="K24" t="n">
        <v>45</v>
      </c>
      <c r="L24" t="n">
        <v>2</v>
      </c>
      <c r="M24" t="inlineStr">
        <is>
          <t>OK</t>
        </is>
      </c>
      <c r="N24" t="inlineStr">
        <is>
          <t>https://www.pickfinder.app/players/lol/cp4ibkwui10xeyj</t>
        </is>
      </c>
      <c r="O24" t="inlineStr">
        <is>
          <t>LOL</t>
        </is>
      </c>
      <c r="P24" t="inlineStr">
        <is>
          <t>mid</t>
        </is>
      </c>
      <c r="T24" s="12" t="n"/>
    </row>
    <row r="25">
      <c r="A25" t="inlineStr">
        <is>
          <t>rfespsq7mcurckt</t>
        </is>
      </c>
      <c r="B25" t="inlineStr">
        <is>
          <t>Yike</t>
        </is>
      </c>
      <c r="C25" t="inlineStr">
        <is>
          <t>KC</t>
        </is>
      </c>
      <c r="D25" t="inlineStr">
        <is>
          <t>KC vs BLG</t>
        </is>
      </c>
      <c r="E25" t="n">
        <v>30</v>
      </c>
      <c r="F25" s="12" t="n">
        <v>0.63</v>
      </c>
      <c r="G25" t="n">
        <v>3.9</v>
      </c>
      <c r="H25" t="n">
        <v>2.7</v>
      </c>
      <c r="I25" t="n">
        <v>6.1</v>
      </c>
      <c r="J25" t="n">
        <v>1.5</v>
      </c>
      <c r="K25" t="n">
        <v>45</v>
      </c>
      <c r="L25" t="n">
        <v>3.16</v>
      </c>
      <c r="M25" t="inlineStr">
        <is>
          <t>OK</t>
        </is>
      </c>
      <c r="N25" t="inlineStr">
        <is>
          <t>https://www.pickfinder.app/players/lol/rfespsq7mcurckt</t>
        </is>
      </c>
      <c r="O25" t="inlineStr">
        <is>
          <t>LOL</t>
        </is>
      </c>
      <c r="P25" t="inlineStr">
        <is>
          <t>jun</t>
        </is>
      </c>
      <c r="T25" s="12" t="n"/>
    </row>
    <row r="26">
      <c r="A26" t="inlineStr">
        <is>
          <t>sb23yl47osfxk2h</t>
        </is>
      </c>
      <c r="B26" t="inlineStr">
        <is>
          <t>DarkLord^</t>
        </is>
      </c>
      <c r="C26" t="inlineStr">
        <is>
          <t>LEGION</t>
        </is>
      </c>
      <c r="D26" t="inlineStr">
        <is>
          <t>LEGION vs BB</t>
        </is>
      </c>
      <c r="E26" t="n">
        <v>30</v>
      </c>
      <c r="F26" s="12" t="n">
        <v>0.57</v>
      </c>
      <c r="G26" t="n">
        <v>8</v>
      </c>
      <c r="H26" t="n">
        <v>3.5</v>
      </c>
      <c r="I26" t="n">
        <v>8.699999999999999</v>
      </c>
      <c r="J26" t="n">
        <v>2.3</v>
      </c>
      <c r="K26" t="n">
        <v>45</v>
      </c>
      <c r="L26" t="n">
        <v>6.31</v>
      </c>
      <c r="M26" t="inlineStr">
        <is>
          <t>OK</t>
        </is>
      </c>
      <c r="N26" t="inlineStr">
        <is>
          <t>https://www.pickfinder.app/players/dota2/sb23yl47osfxk2h</t>
        </is>
      </c>
      <c r="O26" t="inlineStr">
        <is>
          <t>DOTA</t>
        </is>
      </c>
      <c r="P26" t="inlineStr">
        <is>
          <t>1</t>
        </is>
      </c>
      <c r="T26" s="12" t="n"/>
    </row>
    <row r="27">
      <c r="A27" t="inlineStr">
        <is>
          <t>y820p7y1cpfqy6w</t>
        </is>
      </c>
      <c r="B27" t="inlineStr">
        <is>
          <t>Kidaro</t>
        </is>
      </c>
      <c r="C27" t="inlineStr">
        <is>
          <t>LEGION</t>
        </is>
      </c>
      <c r="D27" t="inlineStr">
        <is>
          <t>LEGION vs BB</t>
        </is>
      </c>
      <c r="E27" t="n">
        <v>30</v>
      </c>
      <c r="F27" s="12" t="n">
        <v>0.5</v>
      </c>
      <c r="G27" t="n">
        <v>2.5</v>
      </c>
      <c r="H27" t="n">
        <v>8.300000000000001</v>
      </c>
      <c r="I27" t="n">
        <v>13.2</v>
      </c>
      <c r="J27" t="n">
        <v>0.3</v>
      </c>
      <c r="K27" t="n">
        <v>45</v>
      </c>
      <c r="L27" t="n">
        <v>1.84</v>
      </c>
      <c r="M27" t="inlineStr">
        <is>
          <t>OK</t>
        </is>
      </c>
      <c r="N27" t="inlineStr">
        <is>
          <t>https://www.pickfinder.app/players/dota2/y820p7y1cpfqy6w</t>
        </is>
      </c>
      <c r="O27" t="inlineStr">
        <is>
          <t>DOTA</t>
        </is>
      </c>
      <c r="P27" t="inlineStr">
        <is>
          <t>5</t>
        </is>
      </c>
      <c r="T27" s="12" t="n"/>
    </row>
    <row r="28">
      <c r="A28" t="inlineStr">
        <is>
          <t>pd8esajdvd6l5ul</t>
        </is>
      </c>
      <c r="B28" t="inlineStr">
        <is>
          <t>SaberLight</t>
        </is>
      </c>
      <c r="C28" t="inlineStr">
        <is>
          <t>LEGION</t>
        </is>
      </c>
      <c r="D28" t="inlineStr">
        <is>
          <t>LEGION vs BB</t>
        </is>
      </c>
      <c r="E28" t="n">
        <v>30</v>
      </c>
      <c r="F28" s="12" t="n">
        <v>0.47</v>
      </c>
      <c r="G28" t="n">
        <v>6</v>
      </c>
      <c r="H28" t="n">
        <v>5.5</v>
      </c>
      <c r="I28" t="n">
        <v>14.7</v>
      </c>
      <c r="J28" t="n">
        <v>1.1</v>
      </c>
      <c r="K28" t="n">
        <v>45</v>
      </c>
      <c r="L28" t="n">
        <v>5.33</v>
      </c>
      <c r="M28" t="inlineStr">
        <is>
          <t>OK</t>
        </is>
      </c>
      <c r="N28" t="inlineStr">
        <is>
          <t>https://www.pickfinder.app/players/dota2/pd8esajdvd6l5ul</t>
        </is>
      </c>
      <c r="O28" t="inlineStr">
        <is>
          <t>DOTA</t>
        </is>
      </c>
      <c r="P28" t="inlineStr">
        <is>
          <t>3</t>
        </is>
      </c>
      <c r="T28" s="12" t="n"/>
    </row>
    <row r="29">
      <c r="A29" t="inlineStr">
        <is>
          <t>e8li27evib4y4db</t>
        </is>
      </c>
      <c r="B29" t="inlineStr">
        <is>
          <t>Stojkov</t>
        </is>
      </c>
      <c r="C29" t="inlineStr">
        <is>
          <t>LEGION</t>
        </is>
      </c>
      <c r="D29" t="inlineStr">
        <is>
          <t>LEGION vs BB</t>
        </is>
      </c>
      <c r="E29" t="n">
        <v>30</v>
      </c>
      <c r="F29" s="12" t="n">
        <v>0.57</v>
      </c>
      <c r="G29" t="n">
        <v>7.6</v>
      </c>
      <c r="H29" t="n">
        <v>4.2</v>
      </c>
      <c r="I29" t="n">
        <v>9.5</v>
      </c>
      <c r="J29" t="n">
        <v>1.8</v>
      </c>
      <c r="K29" t="n">
        <v>45</v>
      </c>
      <c r="L29" t="n">
        <v>5.98</v>
      </c>
      <c r="M29" t="inlineStr">
        <is>
          <t>OK</t>
        </is>
      </c>
      <c r="N29" t="inlineStr">
        <is>
          <t>https://www.pickfinder.app/players/dota2/e8li27evib4y4db</t>
        </is>
      </c>
      <c r="O29" t="inlineStr">
        <is>
          <t>DOTA</t>
        </is>
      </c>
      <c r="P29" t="inlineStr">
        <is>
          <t>2</t>
        </is>
      </c>
      <c r="T29" s="12" t="n"/>
    </row>
    <row r="30">
      <c r="A30" t="inlineStr">
        <is>
          <t>f3sr4wlphwob12v</t>
        </is>
      </c>
      <c r="B30" t="inlineStr">
        <is>
          <t>Duduhh</t>
        </is>
      </c>
      <c r="C30" t="inlineStr">
        <is>
          <t>LOS</t>
        </is>
      </c>
      <c r="D30" t="inlineStr">
        <is>
          <t>LOS vs TSW</t>
        </is>
      </c>
      <c r="E30" t="n">
        <v>30</v>
      </c>
      <c r="F30" s="12" t="n">
        <v>0.67</v>
      </c>
      <c r="G30" t="n">
        <v>4.3</v>
      </c>
      <c r="H30" t="n">
        <v>3.1</v>
      </c>
      <c r="I30" t="n">
        <v>5.6</v>
      </c>
      <c r="J30" t="n">
        <v>1.4</v>
      </c>
      <c r="K30" t="n">
        <v>45</v>
      </c>
      <c r="L30" t="n">
        <v>3.62</v>
      </c>
      <c r="M30" t="inlineStr">
        <is>
          <t>OK</t>
        </is>
      </c>
      <c r="N30" t="inlineStr">
        <is>
          <t>https://www.pickfinder.app/players/lol/f3sr4wlphwob12v</t>
        </is>
      </c>
      <c r="O30" t="inlineStr">
        <is>
          <t>LOL</t>
        </is>
      </c>
      <c r="P30" t="inlineStr">
        <is>
          <t>adc</t>
        </is>
      </c>
      <c r="T30" s="12" t="n"/>
    </row>
    <row r="31">
      <c r="A31" t="inlineStr">
        <is>
          <t>7an3gm5ji18vw08</t>
        </is>
      </c>
      <c r="B31" t="inlineStr">
        <is>
          <t>Feisty</t>
        </is>
      </c>
      <c r="C31" t="inlineStr">
        <is>
          <t>LOS</t>
        </is>
      </c>
      <c r="D31" t="inlineStr">
        <is>
          <t>LOS vs TSW</t>
        </is>
      </c>
      <c r="E31" t="n">
        <v>30</v>
      </c>
      <c r="F31" s="12" t="n">
        <v>0.67</v>
      </c>
      <c r="G31" t="n">
        <v>3.7</v>
      </c>
      <c r="H31" t="n">
        <v>2.3</v>
      </c>
      <c r="I31" t="n">
        <v>6.1</v>
      </c>
      <c r="J31" t="n">
        <v>1.6</v>
      </c>
      <c r="K31" t="n">
        <v>45</v>
      </c>
      <c r="L31" t="n">
        <v>3.16</v>
      </c>
      <c r="M31" t="inlineStr">
        <is>
          <t>OK</t>
        </is>
      </c>
      <c r="N31" t="inlineStr">
        <is>
          <t>https://www.pickfinder.app/players/lol/7an3gm5ji18vw08</t>
        </is>
      </c>
      <c r="O31" t="inlineStr">
        <is>
          <t>LOL</t>
        </is>
      </c>
      <c r="P31" t="inlineStr">
        <is>
          <t>mid</t>
        </is>
      </c>
      <c r="T31" s="12" t="n"/>
    </row>
    <row r="32">
      <c r="A32" t="inlineStr">
        <is>
          <t>1wrgwhi0wuse7fq</t>
        </is>
      </c>
      <c r="B32" t="inlineStr">
        <is>
          <t>ZEST</t>
        </is>
      </c>
      <c r="C32" t="inlineStr">
        <is>
          <t>LOS</t>
        </is>
      </c>
      <c r="D32" t="inlineStr">
        <is>
          <t>LOS vs TSW</t>
        </is>
      </c>
      <c r="E32" t="n">
        <v>30</v>
      </c>
      <c r="F32" s="12" t="n">
        <v>0.67</v>
      </c>
      <c r="G32" t="n">
        <v>3.4</v>
      </c>
      <c r="H32" t="n">
        <v>2.9</v>
      </c>
      <c r="I32" t="n">
        <v>5.1</v>
      </c>
      <c r="J32" t="n">
        <v>1.2</v>
      </c>
      <c r="K32" t="n">
        <v>45</v>
      </c>
      <c r="L32" t="n">
        <v>2.93</v>
      </c>
      <c r="M32" t="inlineStr">
        <is>
          <t>OK</t>
        </is>
      </c>
      <c r="N32" t="inlineStr">
        <is>
          <t>https://www.pickfinder.app/players/lol/1wrgwhi0wuse7fq</t>
        </is>
      </c>
      <c r="O32" t="inlineStr">
        <is>
          <t>LOL</t>
        </is>
      </c>
      <c r="P32" t="inlineStr">
        <is>
          <t>top</t>
        </is>
      </c>
      <c r="T32" s="12" t="n"/>
    </row>
    <row r="33">
      <c r="A33" t="inlineStr">
        <is>
          <t>6fh3v4zhup45apx</t>
        </is>
      </c>
      <c r="B33" t="inlineStr">
        <is>
          <t>Boxi</t>
        </is>
      </c>
      <c r="C33" t="inlineStr">
        <is>
          <t>Liquid</t>
        </is>
      </c>
      <c r="D33" t="inlineStr">
        <is>
          <t>Liquid vs TY</t>
        </is>
      </c>
      <c r="E33" t="n">
        <v>30</v>
      </c>
      <c r="F33" s="12" t="n">
        <v>0.43</v>
      </c>
      <c r="G33" t="n">
        <v>3.2</v>
      </c>
      <c r="H33" t="n">
        <v>6.6</v>
      </c>
      <c r="I33" t="n">
        <v>15.5</v>
      </c>
      <c r="J33" t="n">
        <v>0.5</v>
      </c>
      <c r="K33" t="n">
        <v>45</v>
      </c>
      <c r="L33" t="n">
        <v>2.84</v>
      </c>
      <c r="M33" t="inlineStr">
        <is>
          <t>OK</t>
        </is>
      </c>
      <c r="N33" t="inlineStr">
        <is>
          <t>https://www.pickfinder.app/players/dota2/6fh3v4zhup45apx</t>
        </is>
      </c>
      <c r="O33" t="inlineStr">
        <is>
          <t>DOTA</t>
        </is>
      </c>
      <c r="P33" t="inlineStr">
        <is>
          <t>4</t>
        </is>
      </c>
      <c r="T33" s="12" t="n"/>
    </row>
    <row r="34">
      <c r="A34" t="inlineStr">
        <is>
          <t>okwa876y1o8h4ow</t>
        </is>
      </c>
      <c r="B34" t="inlineStr">
        <is>
          <t>Malr1ne</t>
        </is>
      </c>
      <c r="C34" t="inlineStr">
        <is>
          <t>Liquid</t>
        </is>
      </c>
      <c r="D34" t="inlineStr">
        <is>
          <t>Liquid vs TY</t>
        </is>
      </c>
      <c r="E34" t="n">
        <v>30</v>
      </c>
      <c r="F34" s="12" t="n">
        <v>0.5</v>
      </c>
      <c r="G34" t="n">
        <v>8.1</v>
      </c>
      <c r="H34" t="n">
        <v>4.2</v>
      </c>
      <c r="I34" t="n">
        <v>11.1</v>
      </c>
      <c r="J34" t="n">
        <v>1.9</v>
      </c>
      <c r="K34" t="n">
        <v>45</v>
      </c>
      <c r="L34" t="n">
        <v>6.67</v>
      </c>
      <c r="M34" t="inlineStr">
        <is>
          <t>OK</t>
        </is>
      </c>
      <c r="N34" t="inlineStr">
        <is>
          <t>https://www.pickfinder.app/players/dota2/okwa876y1o8h4ow</t>
        </is>
      </c>
      <c r="O34" t="inlineStr">
        <is>
          <t>DOTA</t>
        </is>
      </c>
      <c r="P34" t="inlineStr">
        <is>
          <t>2</t>
        </is>
      </c>
      <c r="T34" s="12" t="n"/>
    </row>
    <row r="35">
      <c r="A35" t="inlineStr">
        <is>
          <t>m59p9wlox0y2f5p</t>
        </is>
      </c>
      <c r="B35" t="inlineStr">
        <is>
          <t>miCKe</t>
        </is>
      </c>
      <c r="C35" t="inlineStr">
        <is>
          <t>Liquid</t>
        </is>
      </c>
      <c r="D35" t="inlineStr">
        <is>
          <t>Liquid vs TY</t>
        </is>
      </c>
      <c r="E35" t="n">
        <v>30</v>
      </c>
      <c r="F35" s="12" t="n">
        <v>0.47</v>
      </c>
      <c r="G35" t="n">
        <v>7.6</v>
      </c>
      <c r="H35" t="n">
        <v>3.7</v>
      </c>
      <c r="I35" t="n">
        <v>9.6</v>
      </c>
      <c r="J35" t="n">
        <v>2</v>
      </c>
      <c r="K35" t="n">
        <v>45</v>
      </c>
      <c r="L35" t="n">
        <v>7.38</v>
      </c>
      <c r="M35" t="inlineStr">
        <is>
          <t>OK</t>
        </is>
      </c>
      <c r="N35" t="inlineStr">
        <is>
          <t>https://www.pickfinder.app/players/dota2/m59p9wlox0y2f5p</t>
        </is>
      </c>
      <c r="O35" t="inlineStr">
        <is>
          <t>DOTA</t>
        </is>
      </c>
      <c r="P35" t="inlineStr">
        <is>
          <t>1</t>
        </is>
      </c>
      <c r="T35" s="12" t="n"/>
    </row>
    <row r="36">
      <c r="A36" t="inlineStr">
        <is>
          <t>27h10ey3h2ra0ol</t>
        </is>
      </c>
      <c r="B36" t="inlineStr">
        <is>
          <t>tOfu</t>
        </is>
      </c>
      <c r="C36" t="inlineStr">
        <is>
          <t>Liquid</t>
        </is>
      </c>
      <c r="D36" t="inlineStr">
        <is>
          <t>Liquid vs TY</t>
        </is>
      </c>
      <c r="E36" t="n">
        <v>30</v>
      </c>
      <c r="F36" s="12" t="n">
        <v>0.43</v>
      </c>
      <c r="G36" t="n">
        <v>4.6</v>
      </c>
      <c r="H36" t="n">
        <v>7.7</v>
      </c>
      <c r="I36" t="n">
        <v>15.2</v>
      </c>
      <c r="J36" t="n">
        <v>0.6</v>
      </c>
      <c r="K36" t="n">
        <v>45</v>
      </c>
      <c r="L36" t="n">
        <v>3.98</v>
      </c>
      <c r="M36" t="inlineStr">
        <is>
          <t>OK</t>
        </is>
      </c>
      <c r="N36" t="inlineStr">
        <is>
          <t>https://www.pickfinder.app/players/dota2/27h10ey3h2ra0ol</t>
        </is>
      </c>
      <c r="O36" t="inlineStr">
        <is>
          <t>DOTA</t>
        </is>
      </c>
      <c r="P36" t="inlineStr">
        <is>
          <t>5</t>
        </is>
      </c>
      <c r="T36" s="12" t="n"/>
    </row>
    <row r="37">
      <c r="A37" t="inlineStr">
        <is>
          <t>yfzz8fis0ra5e8p</t>
        </is>
      </c>
      <c r="B37" t="inlineStr">
        <is>
          <t>Wisper</t>
        </is>
      </c>
      <c r="C37" t="inlineStr">
        <is>
          <t>Liquid</t>
        </is>
      </c>
      <c r="D37" t="inlineStr">
        <is>
          <t>Liquid vs TY</t>
        </is>
      </c>
      <c r="E37" t="n">
        <v>30</v>
      </c>
      <c r="F37" s="12" t="n">
        <v>0.43</v>
      </c>
      <c r="G37" t="n">
        <v>6.7</v>
      </c>
      <c r="H37" t="n">
        <v>5.1</v>
      </c>
      <c r="I37" t="n">
        <v>12.8</v>
      </c>
      <c r="J37" t="n">
        <v>1.3</v>
      </c>
      <c r="K37" t="n">
        <v>45</v>
      </c>
      <c r="L37" t="n">
        <v>5.49</v>
      </c>
      <c r="M37" t="inlineStr">
        <is>
          <t>OK</t>
        </is>
      </c>
      <c r="N37" t="inlineStr">
        <is>
          <t>https://www.pickfinder.app/players/dota2/yfzz8fis0ra5e8p</t>
        </is>
      </c>
      <c r="O37" t="inlineStr">
        <is>
          <t>DOTA</t>
        </is>
      </c>
      <c r="P37" t="inlineStr">
        <is>
          <t>3</t>
        </is>
      </c>
      <c r="T37" s="12" t="n"/>
    </row>
    <row r="38">
      <c r="A38" t="inlineStr">
        <is>
          <t>5vihvu65ghkyan1</t>
        </is>
      </c>
      <c r="B38" t="inlineStr">
        <is>
          <t>Natsumi-</t>
        </is>
      </c>
      <c r="C38" t="inlineStr">
        <is>
          <t>OG</t>
        </is>
      </c>
      <c r="D38" t="inlineStr">
        <is>
          <t>OG vs GL</t>
        </is>
      </c>
      <c r="E38" t="n">
        <v>30</v>
      </c>
      <c r="F38" s="12" t="n">
        <v>0.6</v>
      </c>
      <c r="G38" t="n">
        <v>7.7</v>
      </c>
      <c r="H38" t="n">
        <v>3.5</v>
      </c>
      <c r="I38" t="n">
        <v>7.8</v>
      </c>
      <c r="J38" t="n">
        <v>2.2</v>
      </c>
      <c r="K38" t="n">
        <v>45</v>
      </c>
      <c r="L38" t="n">
        <v>5.04</v>
      </c>
      <c r="M38" t="inlineStr">
        <is>
          <t>OK</t>
        </is>
      </c>
      <c r="N38" t="inlineStr">
        <is>
          <t>https://www.pickfinder.app/players/dota2/5vihvu65ghkyan1</t>
        </is>
      </c>
      <c r="O38" t="inlineStr">
        <is>
          <t>DOTA</t>
        </is>
      </c>
      <c r="P38" t="inlineStr">
        <is>
          <t>1</t>
        </is>
      </c>
      <c r="T38" s="12" t="n"/>
    </row>
    <row r="39">
      <c r="A39" t="inlineStr">
        <is>
          <t>gf5trr3nqlr6rzi</t>
        </is>
      </c>
      <c r="B39" t="inlineStr">
        <is>
          <t>OneJey</t>
        </is>
      </c>
      <c r="C39" t="inlineStr">
        <is>
          <t>OG</t>
        </is>
      </c>
      <c r="D39" t="inlineStr">
        <is>
          <t>OG vs GL</t>
        </is>
      </c>
      <c r="E39" t="n">
        <v>30</v>
      </c>
      <c r="F39" s="12" t="n">
        <v>0.63</v>
      </c>
      <c r="G39" t="n">
        <v>3.8</v>
      </c>
      <c r="H39" t="n">
        <v>8.199999999999999</v>
      </c>
      <c r="I39" t="n">
        <v>13.1</v>
      </c>
      <c r="J39" t="n">
        <v>0.5</v>
      </c>
      <c r="K39" t="n">
        <v>45</v>
      </c>
      <c r="L39" t="n">
        <v>3.02</v>
      </c>
      <c r="M39" t="inlineStr">
        <is>
          <t>OK</t>
        </is>
      </c>
      <c r="N39" t="inlineStr">
        <is>
          <t>https://www.pickfinder.app/players/dota2/gf5trr3nqlr6rzi</t>
        </is>
      </c>
      <c r="O39" t="inlineStr">
        <is>
          <t>DOTA</t>
        </is>
      </c>
      <c r="P39" t="inlineStr">
        <is>
          <t>4</t>
        </is>
      </c>
      <c r="T39" s="12" t="n"/>
    </row>
    <row r="40">
      <c r="A40" t="inlineStr">
        <is>
          <t>327bydu6uqe51dl</t>
        </is>
      </c>
      <c r="B40" t="inlineStr">
        <is>
          <t>Skem</t>
        </is>
      </c>
      <c r="C40" t="inlineStr">
        <is>
          <t>OG</t>
        </is>
      </c>
      <c r="D40" t="inlineStr">
        <is>
          <t>OG vs GL</t>
        </is>
      </c>
      <c r="E40" t="n">
        <v>30</v>
      </c>
      <c r="F40" s="12" t="n">
        <v>0.63</v>
      </c>
      <c r="G40" t="n">
        <v>3.3</v>
      </c>
      <c r="H40" t="n">
        <v>6.4</v>
      </c>
      <c r="I40" t="n">
        <v>12.6</v>
      </c>
      <c r="J40" t="n">
        <v>0.5</v>
      </c>
      <c r="K40" t="n">
        <v>45</v>
      </c>
      <c r="L40" t="n">
        <v>2.38</v>
      </c>
      <c r="M40" t="inlineStr">
        <is>
          <t>OK</t>
        </is>
      </c>
      <c r="N40" t="inlineStr">
        <is>
          <t>https://www.pickfinder.app/players/dota2/327bydu6uqe51dl</t>
        </is>
      </c>
      <c r="O40" t="inlineStr">
        <is>
          <t>DOTA</t>
        </is>
      </c>
      <c r="P40" t="inlineStr">
        <is>
          <t>5</t>
        </is>
      </c>
      <c r="T40" s="12" t="n"/>
    </row>
    <row r="41">
      <c r="A41" t="inlineStr">
        <is>
          <t>c9666oyxnrvurur</t>
        </is>
      </c>
      <c r="B41" t="inlineStr">
        <is>
          <t>TOPSON</t>
        </is>
      </c>
      <c r="C41" t="inlineStr">
        <is>
          <t>OG</t>
        </is>
      </c>
      <c r="D41" t="inlineStr">
        <is>
          <t>OG vs GL</t>
        </is>
      </c>
      <c r="E41" t="n">
        <v>30</v>
      </c>
      <c r="F41" s="12" t="n">
        <v>0.67</v>
      </c>
      <c r="G41" t="n">
        <v>7</v>
      </c>
      <c r="H41" t="n">
        <v>4.2</v>
      </c>
      <c r="I41" t="n">
        <v>12.2</v>
      </c>
      <c r="J41" t="n">
        <v>1.7</v>
      </c>
      <c r="K41" t="n">
        <v>45</v>
      </c>
      <c r="L41" t="n">
        <v>6.09</v>
      </c>
      <c r="M41" t="inlineStr">
        <is>
          <t>OK</t>
        </is>
      </c>
      <c r="N41" t="inlineStr">
        <is>
          <t>https://www.pickfinder.app/players/dota2/c9666oyxnrvurur</t>
        </is>
      </c>
      <c r="O41" t="inlineStr">
        <is>
          <t>DOTA</t>
        </is>
      </c>
      <c r="P41" t="inlineStr">
        <is>
          <t>2</t>
        </is>
      </c>
      <c r="T41" s="12" t="n"/>
    </row>
    <row r="42">
      <c r="A42" t="inlineStr">
        <is>
          <t>p48p2vywpenq4iz</t>
        </is>
      </c>
      <c r="B42" t="inlineStr">
        <is>
          <t>9Class</t>
        </is>
      </c>
      <c r="C42" t="inlineStr">
        <is>
          <t>PARI</t>
        </is>
      </c>
      <c r="D42" t="inlineStr">
        <is>
          <t>PARI vs TS</t>
        </is>
      </c>
      <c r="E42" t="n">
        <v>30</v>
      </c>
      <c r="F42" s="12" t="n">
        <v>0.7</v>
      </c>
      <c r="G42" t="n">
        <v>4.6</v>
      </c>
      <c r="H42" t="n">
        <v>7</v>
      </c>
      <c r="I42" t="n">
        <v>16.6</v>
      </c>
      <c r="J42" t="n">
        <v>0.7</v>
      </c>
      <c r="K42" t="n">
        <v>45</v>
      </c>
      <c r="L42" t="n">
        <v>3.64</v>
      </c>
      <c r="M42" t="inlineStr">
        <is>
          <t>OK</t>
        </is>
      </c>
      <c r="N42" t="inlineStr">
        <is>
          <t>https://www.pickfinder.app/players/dota2/p48p2vywpenq4iz</t>
        </is>
      </c>
      <c r="O42" t="inlineStr">
        <is>
          <t>DOTA</t>
        </is>
      </c>
      <c r="P42" t="inlineStr">
        <is>
          <t>4</t>
        </is>
      </c>
      <c r="T42" s="12" t="n"/>
    </row>
    <row r="43">
      <c r="A43" t="inlineStr">
        <is>
          <t>38c4z9ycctww8gl</t>
        </is>
      </c>
      <c r="B43" t="inlineStr">
        <is>
          <t>Dukalis</t>
        </is>
      </c>
      <c r="C43" t="inlineStr">
        <is>
          <t>PARI</t>
        </is>
      </c>
      <c r="D43" t="inlineStr">
        <is>
          <t>PARI vs TS</t>
        </is>
      </c>
      <c r="E43" t="n">
        <v>30</v>
      </c>
      <c r="F43" s="12" t="n">
        <v>0.7</v>
      </c>
      <c r="G43" t="n">
        <v>3.6</v>
      </c>
      <c r="H43" t="n">
        <v>6.4</v>
      </c>
      <c r="I43" t="n">
        <v>16.2</v>
      </c>
      <c r="J43" t="n">
        <v>0.6</v>
      </c>
      <c r="K43" t="n">
        <v>45</v>
      </c>
      <c r="L43" t="n">
        <v>2.51</v>
      </c>
      <c r="M43" t="inlineStr">
        <is>
          <t>OK</t>
        </is>
      </c>
      <c r="N43" t="inlineStr">
        <is>
          <t>https://www.pickfinder.app/players/dota2/38c4z9ycctww8gl</t>
        </is>
      </c>
      <c r="O43" t="inlineStr">
        <is>
          <t>DOTA</t>
        </is>
      </c>
      <c r="P43" t="inlineStr">
        <is>
          <t>5</t>
        </is>
      </c>
      <c r="T43" s="12" t="n"/>
    </row>
    <row r="44">
      <c r="A44" t="inlineStr">
        <is>
          <t>te1ihvul0whu8k1</t>
        </is>
      </c>
      <c r="B44" t="inlineStr">
        <is>
          <t>No[o]ne</t>
        </is>
      </c>
      <c r="C44" t="inlineStr">
        <is>
          <t>PARI</t>
        </is>
      </c>
      <c r="D44" t="inlineStr">
        <is>
          <t>PARI vs TS</t>
        </is>
      </c>
      <c r="E44" t="n">
        <v>30</v>
      </c>
      <c r="F44" s="12" t="n">
        <v>0.7</v>
      </c>
      <c r="G44" t="n">
        <v>7.5</v>
      </c>
      <c r="H44" t="n">
        <v>3.3</v>
      </c>
      <c r="I44" t="n">
        <v>15</v>
      </c>
      <c r="J44" t="n">
        <v>2.2</v>
      </c>
      <c r="K44" t="n">
        <v>45</v>
      </c>
      <c r="L44" t="n">
        <v>6.44</v>
      </c>
      <c r="M44" t="inlineStr">
        <is>
          <t>OK</t>
        </is>
      </c>
      <c r="N44" t="inlineStr">
        <is>
          <t>https://www.pickfinder.app/players/dota2/te1ihvul0whu8k1</t>
        </is>
      </c>
      <c r="O44" t="inlineStr">
        <is>
          <t>DOTA</t>
        </is>
      </c>
      <c r="P44" t="inlineStr">
        <is>
          <t>2</t>
        </is>
      </c>
      <c r="T44" s="12" t="n"/>
    </row>
    <row r="45">
      <c r="A45" t="inlineStr">
        <is>
          <t>hkpy2i1q2cf4qrd</t>
        </is>
      </c>
      <c r="B45" t="inlineStr">
        <is>
          <t>Noticed</t>
        </is>
      </c>
      <c r="C45" t="inlineStr">
        <is>
          <t>PARI</t>
        </is>
      </c>
      <c r="D45" t="inlineStr">
        <is>
          <t>PARI vs TS</t>
        </is>
      </c>
      <c r="E45" t="n">
        <v>30</v>
      </c>
      <c r="F45" s="12" t="n">
        <v>0.7</v>
      </c>
      <c r="G45" t="n">
        <v>5.8</v>
      </c>
      <c r="H45" t="n">
        <v>4</v>
      </c>
      <c r="I45" t="n">
        <v>13.6</v>
      </c>
      <c r="J45" t="n">
        <v>1.5</v>
      </c>
      <c r="K45" t="n">
        <v>45</v>
      </c>
      <c r="L45" t="n">
        <v>5.02</v>
      </c>
      <c r="M45" t="inlineStr">
        <is>
          <t>OK</t>
        </is>
      </c>
      <c r="N45" t="inlineStr">
        <is>
          <t>https://www.pickfinder.app/players/dota2/hkpy2i1q2cf4qrd</t>
        </is>
      </c>
      <c r="O45" t="inlineStr">
        <is>
          <t>DOTA</t>
        </is>
      </c>
      <c r="P45" t="inlineStr">
        <is>
          <t>3</t>
        </is>
      </c>
      <c r="T45" s="12" t="n"/>
    </row>
    <row r="46">
      <c r="A46" t="inlineStr">
        <is>
          <t>s178rxweg2uixdf</t>
        </is>
      </c>
      <c r="B46" t="inlineStr">
        <is>
          <t>Satanic</t>
        </is>
      </c>
      <c r="C46" t="inlineStr">
        <is>
          <t>PARI</t>
        </is>
      </c>
      <c r="D46" t="inlineStr">
        <is>
          <t>PARI vs TS</t>
        </is>
      </c>
      <c r="E46" t="n">
        <v>30</v>
      </c>
      <c r="F46" s="12" t="n">
        <v>0.67</v>
      </c>
      <c r="G46" t="n">
        <v>10.8</v>
      </c>
      <c r="H46" t="n">
        <v>3.5</v>
      </c>
      <c r="I46" t="n">
        <v>8.9</v>
      </c>
      <c r="J46" t="n">
        <v>3.1</v>
      </c>
      <c r="K46" t="n">
        <v>45</v>
      </c>
      <c r="L46" t="n">
        <v>9.199999999999999</v>
      </c>
      <c r="M46" t="inlineStr">
        <is>
          <t>OK</t>
        </is>
      </c>
      <c r="N46" t="inlineStr">
        <is>
          <t>https://www.pickfinder.app/players/dota2/s178rxweg2uixdf</t>
        </is>
      </c>
      <c r="O46" t="inlineStr">
        <is>
          <t>DOTA</t>
        </is>
      </c>
      <c r="P46" t="inlineStr">
        <is>
          <t>1</t>
        </is>
      </c>
      <c r="T46" s="12" t="n"/>
    </row>
    <row r="47">
      <c r="A47" t="inlineStr">
        <is>
          <t>xejs6635mp9yjls</t>
        </is>
      </c>
      <c r="B47" t="inlineStr">
        <is>
          <t>Faker</t>
        </is>
      </c>
      <c r="C47" t="inlineStr">
        <is>
          <t>T1</t>
        </is>
      </c>
      <c r="D47" t="inlineStr">
        <is>
          <t>T1 vs CFO</t>
        </is>
      </c>
      <c r="E47" t="n">
        <v>30</v>
      </c>
      <c r="F47" s="12" t="n">
        <v>0.43</v>
      </c>
      <c r="G47" t="n">
        <v>2.5</v>
      </c>
      <c r="H47" t="n">
        <v>3</v>
      </c>
      <c r="I47" t="n">
        <v>6.1</v>
      </c>
      <c r="J47" t="n">
        <v>0.8</v>
      </c>
      <c r="K47" t="n">
        <v>45</v>
      </c>
      <c r="L47" t="n">
        <v>2.53</v>
      </c>
      <c r="M47" t="inlineStr">
        <is>
          <t>OK</t>
        </is>
      </c>
      <c r="N47" t="inlineStr">
        <is>
          <t>https://www.pickfinder.app/players/lol/xejs6635mp9yjls</t>
        </is>
      </c>
      <c r="O47" t="inlineStr">
        <is>
          <t>LOL</t>
        </is>
      </c>
      <c r="P47" t="inlineStr">
        <is>
          <t>mid</t>
        </is>
      </c>
      <c r="T47" s="12" t="n"/>
    </row>
    <row r="48">
      <c r="A48" t="inlineStr">
        <is>
          <t>0qs18ll8c1ghzp5</t>
        </is>
      </c>
      <c r="B48" t="inlineStr">
        <is>
          <t>Oner</t>
        </is>
      </c>
      <c r="C48" t="inlineStr">
        <is>
          <t>T1</t>
        </is>
      </c>
      <c r="D48" t="inlineStr">
        <is>
          <t>T1 vs CFO</t>
        </is>
      </c>
      <c r="E48" t="n">
        <v>30</v>
      </c>
      <c r="F48" s="12" t="n">
        <v>0.43</v>
      </c>
      <c r="G48" t="n">
        <v>2.9</v>
      </c>
      <c r="H48" t="n">
        <v>3.3</v>
      </c>
      <c r="I48" t="n">
        <v>6.5</v>
      </c>
      <c r="J48" t="n">
        <v>0.9</v>
      </c>
      <c r="K48" t="n">
        <v>45</v>
      </c>
      <c r="L48" t="n">
        <v>2.4</v>
      </c>
      <c r="M48" t="inlineStr">
        <is>
          <t>OK</t>
        </is>
      </c>
      <c r="N48" t="inlineStr">
        <is>
          <t>https://www.pickfinder.app/players/lol/0qs18ll8c1ghzp5</t>
        </is>
      </c>
      <c r="O48" t="inlineStr">
        <is>
          <t>LOL</t>
        </is>
      </c>
      <c r="P48" t="inlineStr">
        <is>
          <t>jun</t>
        </is>
      </c>
      <c r="T48" s="12" t="n"/>
    </row>
    <row r="49">
      <c r="A49" t="inlineStr">
        <is>
          <t>98d05n24zmlpwll</t>
        </is>
      </c>
      <c r="B49" t="inlineStr">
        <is>
          <t>Peyz</t>
        </is>
      </c>
      <c r="C49" t="inlineStr">
        <is>
          <t>T1</t>
        </is>
      </c>
      <c r="D49" t="inlineStr">
        <is>
          <t>T1 vs CFO</t>
        </is>
      </c>
      <c r="E49" t="n">
        <v>30</v>
      </c>
      <c r="F49" s="12" t="n">
        <v>0.43</v>
      </c>
      <c r="G49" t="n">
        <v>5.4</v>
      </c>
      <c r="H49" t="n">
        <v>2.8</v>
      </c>
      <c r="I49" t="n">
        <v>5.1</v>
      </c>
      <c r="J49" t="n">
        <v>1.9</v>
      </c>
      <c r="K49" t="n">
        <v>45</v>
      </c>
      <c r="L49" t="n">
        <v>4.71</v>
      </c>
      <c r="M49" t="inlineStr">
        <is>
          <t>OK</t>
        </is>
      </c>
      <c r="N49" t="inlineStr">
        <is>
          <t>https://www.pickfinder.app/players/lol/98d05n24zmlpwll</t>
        </is>
      </c>
      <c r="O49" t="inlineStr">
        <is>
          <t>LOL</t>
        </is>
      </c>
      <c r="P49" t="inlineStr">
        <is>
          <t>adc</t>
        </is>
      </c>
      <c r="T49" s="12" t="n"/>
    </row>
    <row r="50">
      <c r="A50" t="inlineStr">
        <is>
          <t>qq49f66td1g1ang</t>
        </is>
      </c>
      <c r="B50" t="inlineStr">
        <is>
          <t>Josedeodo</t>
        </is>
      </c>
      <c r="C50" t="inlineStr">
        <is>
          <t>TL</t>
        </is>
      </c>
      <c r="D50" t="inlineStr">
        <is>
          <t>TL vs AL</t>
        </is>
      </c>
      <c r="E50" t="n">
        <v>30</v>
      </c>
      <c r="F50" s="12" t="n">
        <v>0.7</v>
      </c>
      <c r="G50" t="n">
        <v>3.6</v>
      </c>
      <c r="H50" t="n">
        <v>2</v>
      </c>
      <c r="I50" t="n">
        <v>7.6</v>
      </c>
      <c r="J50" t="n">
        <v>1.8</v>
      </c>
      <c r="K50" t="n">
        <v>45</v>
      </c>
      <c r="L50" t="n">
        <v>3.13</v>
      </c>
      <c r="M50" t="inlineStr">
        <is>
          <t>OK</t>
        </is>
      </c>
      <c r="N50" t="inlineStr">
        <is>
          <t>https://www.pickfinder.app/players/lol/qq49f66td1g1ang</t>
        </is>
      </c>
      <c r="O50" t="inlineStr">
        <is>
          <t>LOL</t>
        </is>
      </c>
      <c r="P50" t="inlineStr">
        <is>
          <t>jun</t>
        </is>
      </c>
      <c r="T50" s="12" t="n"/>
    </row>
    <row r="51">
      <c r="A51" t="inlineStr">
        <is>
          <t>2ol95p2vqnex4vi</t>
        </is>
      </c>
      <c r="B51" t="inlineStr">
        <is>
          <t>Morgan</t>
        </is>
      </c>
      <c r="C51" t="inlineStr">
        <is>
          <t>TL</t>
        </is>
      </c>
      <c r="D51" t="inlineStr">
        <is>
          <t>TL vs AL</t>
        </is>
      </c>
      <c r="E51" t="n">
        <v>30</v>
      </c>
      <c r="F51" s="12" t="n">
        <v>0.7</v>
      </c>
      <c r="G51" t="n">
        <v>2.8</v>
      </c>
      <c r="H51" t="n">
        <v>1.8</v>
      </c>
      <c r="I51" t="n">
        <v>6.2</v>
      </c>
      <c r="J51" t="n">
        <v>1.6</v>
      </c>
      <c r="K51" t="n">
        <v>45</v>
      </c>
      <c r="L51" t="n">
        <v>2.2</v>
      </c>
      <c r="M51" t="inlineStr">
        <is>
          <t>OK</t>
        </is>
      </c>
      <c r="N51" t="inlineStr">
        <is>
          <t>https://www.pickfinder.app/players/lol/2ol95p2vqnex4vi</t>
        </is>
      </c>
      <c r="O51" t="inlineStr">
        <is>
          <t>LOL</t>
        </is>
      </c>
      <c r="P51" t="inlineStr">
        <is>
          <t>top</t>
        </is>
      </c>
      <c r="T51" s="12" t="n"/>
    </row>
    <row r="52">
      <c r="A52" t="inlineStr">
        <is>
          <t>i3s02n3914ztm0s</t>
        </is>
      </c>
      <c r="B52" t="inlineStr">
        <is>
          <t>Quid</t>
        </is>
      </c>
      <c r="C52" t="inlineStr">
        <is>
          <t>TL</t>
        </is>
      </c>
      <c r="D52" t="inlineStr">
        <is>
          <t>TL vs AL</t>
        </is>
      </c>
      <c r="E52" t="n">
        <v>30</v>
      </c>
      <c r="F52" s="12" t="n">
        <v>0.7</v>
      </c>
      <c r="G52" t="n">
        <v>4.7</v>
      </c>
      <c r="H52" t="n">
        <v>2.4</v>
      </c>
      <c r="I52" t="n">
        <v>6.9</v>
      </c>
      <c r="J52" t="n">
        <v>1.9</v>
      </c>
      <c r="K52" t="n">
        <v>45</v>
      </c>
      <c r="L52" t="n">
        <v>3.8</v>
      </c>
      <c r="M52" t="inlineStr">
        <is>
          <t>OK</t>
        </is>
      </c>
      <c r="N52" t="inlineStr">
        <is>
          <t>https://www.pickfinder.app/players/lol/i3s02n3914ztm0s</t>
        </is>
      </c>
      <c r="O52" t="inlineStr">
        <is>
          <t>LOL</t>
        </is>
      </c>
      <c r="P52" t="inlineStr">
        <is>
          <t>mid</t>
        </is>
      </c>
      <c r="T52" s="12" t="n"/>
    </row>
    <row r="53">
      <c r="A53" t="inlineStr">
        <is>
          <t>3veg6sl2qg2nwcd</t>
        </is>
      </c>
      <c r="B53" t="inlineStr">
        <is>
          <t>Yeon</t>
        </is>
      </c>
      <c r="C53" t="inlineStr">
        <is>
          <t>TL</t>
        </is>
      </c>
      <c r="D53" t="inlineStr">
        <is>
          <t>TL vs AL</t>
        </is>
      </c>
      <c r="E53" t="n">
        <v>30</v>
      </c>
      <c r="F53" s="12" t="n">
        <v>0.7</v>
      </c>
      <c r="G53" t="n">
        <v>4.4</v>
      </c>
      <c r="H53" t="n">
        <v>2</v>
      </c>
      <c r="I53" t="n">
        <v>6.2</v>
      </c>
      <c r="J53" t="n">
        <v>2.2</v>
      </c>
      <c r="K53" t="n">
        <v>45</v>
      </c>
      <c r="L53" t="n">
        <v>3.47</v>
      </c>
      <c r="M53" t="inlineStr">
        <is>
          <t>OK</t>
        </is>
      </c>
      <c r="N53" t="inlineStr">
        <is>
          <t>https://www.pickfinder.app/players/lol/3veg6sl2qg2nwcd</t>
        </is>
      </c>
      <c r="O53" t="inlineStr">
        <is>
          <t>LOL</t>
        </is>
      </c>
      <c r="P53" t="inlineStr">
        <is>
          <t>adc</t>
        </is>
      </c>
      <c r="T53" s="12" t="n"/>
    </row>
    <row r="54">
      <c r="A54" t="inlineStr">
        <is>
          <t>3nhf9uupulsq9gw</t>
        </is>
      </c>
      <c r="B54" t="inlineStr">
        <is>
          <t>Larl</t>
        </is>
      </c>
      <c r="C54" t="inlineStr">
        <is>
          <t>TS</t>
        </is>
      </c>
      <c r="D54" t="inlineStr">
        <is>
          <t>TS vs PARI</t>
        </is>
      </c>
      <c r="E54" t="n">
        <v>30</v>
      </c>
      <c r="F54" s="12" t="n">
        <v>0.63</v>
      </c>
      <c r="G54" t="n">
        <v>8.300000000000001</v>
      </c>
      <c r="H54" t="n">
        <v>4.6</v>
      </c>
      <c r="I54" t="n">
        <v>15.1</v>
      </c>
      <c r="J54" t="n">
        <v>1.8</v>
      </c>
      <c r="K54" t="n">
        <v>45</v>
      </c>
      <c r="L54" t="n">
        <v>6.71</v>
      </c>
      <c r="M54" t="inlineStr">
        <is>
          <t>OK</t>
        </is>
      </c>
      <c r="N54" t="inlineStr">
        <is>
          <t>https://www.pickfinder.app/players/dota2/3nhf9uupulsq9gw</t>
        </is>
      </c>
      <c r="O54" t="inlineStr">
        <is>
          <t>DOTA</t>
        </is>
      </c>
      <c r="P54" t="inlineStr">
        <is>
          <t>2</t>
        </is>
      </c>
      <c r="T54" s="12" t="n"/>
    </row>
    <row r="55">
      <c r="A55" t="inlineStr">
        <is>
          <t>eu78tcmea0duae0</t>
        </is>
      </c>
      <c r="B55" t="inlineStr">
        <is>
          <t>not me</t>
        </is>
      </c>
      <c r="C55" t="inlineStr">
        <is>
          <t>TS</t>
        </is>
      </c>
      <c r="D55" t="inlineStr">
        <is>
          <t>TS vs PARI</t>
        </is>
      </c>
      <c r="E55" t="n">
        <v>30</v>
      </c>
      <c r="F55" s="12" t="n">
        <v>0.6</v>
      </c>
      <c r="G55" t="n">
        <v>5.4</v>
      </c>
      <c r="H55" t="n">
        <v>9.699999999999999</v>
      </c>
      <c r="I55" t="n">
        <v>16.6</v>
      </c>
      <c r="J55" t="n">
        <v>0.6</v>
      </c>
      <c r="K55" t="n">
        <v>45</v>
      </c>
      <c r="L55" t="n">
        <v>4.73</v>
      </c>
      <c r="M55" t="inlineStr">
        <is>
          <t>OK</t>
        </is>
      </c>
      <c r="N55" t="inlineStr">
        <is>
          <t>https://www.pickfinder.app/players/dota2/eu78tcmea0duae0</t>
        </is>
      </c>
      <c r="O55" t="inlineStr">
        <is>
          <t>DOTA</t>
        </is>
      </c>
      <c r="P55" t="inlineStr">
        <is>
          <t>4</t>
        </is>
      </c>
      <c r="T55" s="12" t="n"/>
    </row>
    <row r="56">
      <c r="A56" t="inlineStr">
        <is>
          <t>sw7j8rqyn0xsj7y</t>
        </is>
      </c>
      <c r="B56" t="inlineStr">
        <is>
          <t>rue</t>
        </is>
      </c>
      <c r="C56" t="inlineStr">
        <is>
          <t>TS</t>
        </is>
      </c>
      <c r="D56" t="inlineStr">
        <is>
          <t>TS vs PARI</t>
        </is>
      </c>
      <c r="E56" t="n">
        <v>30</v>
      </c>
      <c r="F56" s="12" t="n">
        <v>0.63</v>
      </c>
      <c r="G56" t="n">
        <v>3.1</v>
      </c>
      <c r="H56" t="n">
        <v>6.8</v>
      </c>
      <c r="I56" t="n">
        <v>18.1</v>
      </c>
      <c r="J56" t="n">
        <v>0.5</v>
      </c>
      <c r="K56" t="n">
        <v>45</v>
      </c>
      <c r="L56" t="n">
        <v>2.38</v>
      </c>
      <c r="M56" t="inlineStr">
        <is>
          <t>OK</t>
        </is>
      </c>
      <c r="N56" t="inlineStr">
        <is>
          <t>https://www.pickfinder.app/players/dota2/sw7j8rqyn0xsj7y</t>
        </is>
      </c>
      <c r="O56" t="inlineStr">
        <is>
          <t>DOTA</t>
        </is>
      </c>
      <c r="P56" t="inlineStr">
        <is>
          <t>5</t>
        </is>
      </c>
      <c r="T56" s="12" t="n"/>
    </row>
    <row r="57">
      <c r="A57" t="inlineStr">
        <is>
          <t>7i0n30c69c9zmve</t>
        </is>
      </c>
      <c r="B57" t="inlineStr">
        <is>
          <t>Yatoro</t>
        </is>
      </c>
      <c r="C57" t="inlineStr">
        <is>
          <t>TS</t>
        </is>
      </c>
      <c r="D57" t="inlineStr">
        <is>
          <t>TS vs PARI</t>
        </is>
      </c>
      <c r="E57" t="n">
        <v>30</v>
      </c>
      <c r="F57" s="12" t="n">
        <v>0.6</v>
      </c>
      <c r="G57" t="n">
        <v>8.699999999999999</v>
      </c>
      <c r="H57" t="n">
        <v>4.7</v>
      </c>
      <c r="I57" t="n">
        <v>8.800000000000001</v>
      </c>
      <c r="J57" t="n">
        <v>1.9</v>
      </c>
      <c r="K57" t="n">
        <v>45</v>
      </c>
      <c r="L57" t="n">
        <v>6.51</v>
      </c>
      <c r="M57" t="inlineStr">
        <is>
          <t>OK</t>
        </is>
      </c>
      <c r="N57" t="inlineStr">
        <is>
          <t>https://www.pickfinder.app/players/dota2/7i0n30c69c9zmve</t>
        </is>
      </c>
      <c r="O57" t="inlineStr">
        <is>
          <t>DOTA</t>
        </is>
      </c>
      <c r="P57" t="inlineStr">
        <is>
          <t>1</t>
        </is>
      </c>
      <c r="T57" s="12" t="n"/>
    </row>
    <row r="58">
      <c r="A58" t="inlineStr">
        <is>
          <t>gvmentfvocz0hg6</t>
        </is>
      </c>
      <c r="B58" t="inlineStr">
        <is>
          <t>Dire</t>
        </is>
      </c>
      <c r="C58" t="inlineStr">
        <is>
          <t>TSW</t>
        </is>
      </c>
      <c r="D58" t="inlineStr">
        <is>
          <t>TSW vs LOS</t>
        </is>
      </c>
      <c r="E58" t="n">
        <v>30</v>
      </c>
      <c r="F58" s="12" t="n">
        <v>0.7</v>
      </c>
      <c r="G58" t="n">
        <v>5.9</v>
      </c>
      <c r="H58" t="n">
        <v>2.4</v>
      </c>
      <c r="I58" t="n">
        <v>6.6</v>
      </c>
      <c r="J58" t="n">
        <v>2.5</v>
      </c>
      <c r="K58" t="n">
        <v>45</v>
      </c>
      <c r="L58" t="n">
        <v>3.44</v>
      </c>
      <c r="M58" t="inlineStr">
        <is>
          <t>OK</t>
        </is>
      </c>
      <c r="N58" t="inlineStr">
        <is>
          <t>https://www.pickfinder.app/players/lol/gvmentfvocz0hg6</t>
        </is>
      </c>
      <c r="O58" t="inlineStr">
        <is>
          <t>LOL</t>
        </is>
      </c>
      <c r="P58" t="inlineStr">
        <is>
          <t>mid</t>
        </is>
      </c>
      <c r="T58" s="12" t="n"/>
    </row>
    <row r="59">
      <c r="A59" t="inlineStr">
        <is>
          <t>83idh6ozvn5jb33</t>
        </is>
      </c>
      <c r="B59" t="inlineStr">
        <is>
          <t>Eddie</t>
        </is>
      </c>
      <c r="C59" t="inlineStr">
        <is>
          <t>TSW</t>
        </is>
      </c>
      <c r="D59" t="inlineStr">
        <is>
          <t>TSW vs LOS</t>
        </is>
      </c>
      <c r="E59" t="n">
        <v>30</v>
      </c>
      <c r="F59" s="12" t="n">
        <v>0.7</v>
      </c>
      <c r="G59" t="n">
        <v>5</v>
      </c>
      <c r="H59" t="n">
        <v>2.7</v>
      </c>
      <c r="I59" t="n">
        <v>6.8</v>
      </c>
      <c r="J59" t="n">
        <v>1.8</v>
      </c>
      <c r="K59" t="n">
        <v>45</v>
      </c>
      <c r="L59" t="n">
        <v>3.49</v>
      </c>
      <c r="M59" t="inlineStr">
        <is>
          <t>OK</t>
        </is>
      </c>
      <c r="N59" t="inlineStr">
        <is>
          <t>https://www.pickfinder.app/players/lol/83idh6ozvn5jb33</t>
        </is>
      </c>
      <c r="O59" t="inlineStr">
        <is>
          <t>LOL</t>
        </is>
      </c>
      <c r="P59" t="inlineStr">
        <is>
          <t>adc</t>
        </is>
      </c>
      <c r="T59" s="12" t="n"/>
    </row>
    <row r="60">
      <c r="A60" t="inlineStr">
        <is>
          <t>coeji50w1xpfl1z</t>
        </is>
      </c>
      <c r="B60" t="inlineStr">
        <is>
          <t>Hizto</t>
        </is>
      </c>
      <c r="C60" t="inlineStr">
        <is>
          <t>TSW</t>
        </is>
      </c>
      <c r="D60" t="inlineStr">
        <is>
          <t>TSW vs LOS</t>
        </is>
      </c>
      <c r="E60" t="n">
        <v>30</v>
      </c>
      <c r="F60" s="12" t="n">
        <v>0.7</v>
      </c>
      <c r="G60" t="n">
        <v>4.8</v>
      </c>
      <c r="H60" t="n">
        <v>2.6</v>
      </c>
      <c r="I60" t="n">
        <v>8.9</v>
      </c>
      <c r="J60" t="n">
        <v>1.9</v>
      </c>
      <c r="K60" t="n">
        <v>45</v>
      </c>
      <c r="L60" t="n">
        <v>3.31</v>
      </c>
      <c r="M60" t="inlineStr">
        <is>
          <t>OK</t>
        </is>
      </c>
      <c r="N60" t="inlineStr">
        <is>
          <t>https://www.pickfinder.app/players/lol/coeji50w1xpfl1z</t>
        </is>
      </c>
      <c r="O60" t="inlineStr">
        <is>
          <t>LOL</t>
        </is>
      </c>
      <c r="P60" t="inlineStr">
        <is>
          <t>jun</t>
        </is>
      </c>
      <c r="T60" s="12" t="n"/>
    </row>
    <row r="61">
      <c r="A61" t="inlineStr">
        <is>
          <t>exrkst6ic4sj8yi</t>
        </is>
      </c>
      <c r="B61" t="inlineStr">
        <is>
          <t>Pun</t>
        </is>
      </c>
      <c r="C61" t="inlineStr">
        <is>
          <t>TSW</t>
        </is>
      </c>
      <c r="D61" t="inlineStr">
        <is>
          <t>TSW vs LOS</t>
        </is>
      </c>
      <c r="E61" t="n">
        <v>30</v>
      </c>
      <c r="F61" s="12" t="n">
        <v>0.7</v>
      </c>
      <c r="G61" t="n">
        <v>3.1</v>
      </c>
      <c r="H61" t="n">
        <v>3.4</v>
      </c>
      <c r="I61" t="n">
        <v>6</v>
      </c>
      <c r="J61" t="n">
        <v>0.9</v>
      </c>
      <c r="K61" t="n">
        <v>45</v>
      </c>
      <c r="L61" t="n">
        <v>2.13</v>
      </c>
      <c r="M61" t="inlineStr">
        <is>
          <t>OK</t>
        </is>
      </c>
      <c r="N61" t="inlineStr">
        <is>
          <t>https://www.pickfinder.app/players/lol/exrkst6ic4sj8yi</t>
        </is>
      </c>
      <c r="O61" t="inlineStr">
        <is>
          <t>LOL</t>
        </is>
      </c>
      <c r="P61" t="inlineStr">
        <is>
          <t>top</t>
        </is>
      </c>
      <c r="T61" s="12" t="n"/>
    </row>
    <row r="62">
      <c r="A62" t="inlineStr">
        <is>
          <t>gjtmq8fbk0gya2i</t>
        </is>
      </c>
      <c r="B62" t="inlineStr">
        <is>
          <t>ATF</t>
        </is>
      </c>
      <c r="C62" t="inlineStr">
        <is>
          <t>TY</t>
        </is>
      </c>
      <c r="D62" t="inlineStr">
        <is>
          <t>TY vs Liquid</t>
        </is>
      </c>
      <c r="E62" t="n">
        <v>30</v>
      </c>
      <c r="F62" s="12" t="n">
        <v>0.83</v>
      </c>
      <c r="G62" t="n">
        <v>9.6</v>
      </c>
      <c r="H62" t="n">
        <v>3.8</v>
      </c>
      <c r="I62" t="n">
        <v>12.4</v>
      </c>
      <c r="J62" t="n">
        <v>2.5</v>
      </c>
      <c r="K62" t="n">
        <v>45</v>
      </c>
      <c r="L62" t="n">
        <v>7.13</v>
      </c>
      <c r="M62" t="inlineStr">
        <is>
          <t>OK</t>
        </is>
      </c>
      <c r="N62" t="inlineStr">
        <is>
          <t>https://www.pickfinder.app/players/dota2/gjtmq8fbk0gya2i</t>
        </is>
      </c>
      <c r="O62" t="inlineStr">
        <is>
          <t>DOTA</t>
        </is>
      </c>
      <c r="P62" t="inlineStr">
        <is>
          <t>3</t>
        </is>
      </c>
      <c r="T62" s="12" t="n"/>
    </row>
    <row r="63">
      <c r="A63" t="inlineStr">
        <is>
          <t>ms674i51eq6w83k</t>
        </is>
      </c>
      <c r="B63" t="inlineStr">
        <is>
          <t>Chira JUNIOR</t>
        </is>
      </c>
      <c r="C63" t="inlineStr">
        <is>
          <t>TY</t>
        </is>
      </c>
      <c r="D63" t="inlineStr">
        <is>
          <t>TY vs Liquid</t>
        </is>
      </c>
      <c r="E63" t="n">
        <v>30</v>
      </c>
      <c r="F63" s="12" t="n">
        <v>0.83</v>
      </c>
      <c r="G63" t="n">
        <v>7.9</v>
      </c>
      <c r="H63" t="n">
        <v>3.7</v>
      </c>
      <c r="I63" t="n">
        <v>15.4</v>
      </c>
      <c r="J63" t="n">
        <v>2.2</v>
      </c>
      <c r="K63" t="n">
        <v>45</v>
      </c>
      <c r="L63" t="n">
        <v>6.31</v>
      </c>
      <c r="M63" t="inlineStr">
        <is>
          <t>OK</t>
        </is>
      </c>
      <c r="N63" t="inlineStr">
        <is>
          <t>https://www.pickfinder.app/players/dota2/ms674i51eq6w83k</t>
        </is>
      </c>
      <c r="O63" t="inlineStr">
        <is>
          <t>DOTA</t>
        </is>
      </c>
      <c r="P63" t="inlineStr">
        <is>
          <t>2</t>
        </is>
      </c>
      <c r="T63" s="12" t="n"/>
    </row>
    <row r="64">
      <c r="A64" t="inlineStr">
        <is>
          <t>0ajkyqw3r0k1f5j</t>
        </is>
      </c>
      <c r="B64" t="inlineStr">
        <is>
          <t>Malady</t>
        </is>
      </c>
      <c r="C64" t="inlineStr">
        <is>
          <t>TY</t>
        </is>
      </c>
      <c r="D64" t="inlineStr">
        <is>
          <t>TY vs Liquid</t>
        </is>
      </c>
      <c r="E64" t="n">
        <v>30</v>
      </c>
      <c r="F64" s="12" t="n">
        <v>0.83</v>
      </c>
      <c r="G64" t="n">
        <v>3.5</v>
      </c>
      <c r="H64" t="n">
        <v>8.300000000000001</v>
      </c>
      <c r="I64" t="n">
        <v>16.6</v>
      </c>
      <c r="J64" t="n">
        <v>0.4</v>
      </c>
      <c r="K64" t="n">
        <v>45</v>
      </c>
      <c r="L64" t="n">
        <v>3.04</v>
      </c>
      <c r="M64" t="inlineStr">
        <is>
          <t>OK</t>
        </is>
      </c>
      <c r="N64" t="inlineStr">
        <is>
          <t>https://www.pickfinder.app/players/dota2/0ajkyqw3r0k1f5j</t>
        </is>
      </c>
      <c r="O64" t="inlineStr">
        <is>
          <t>DOTA</t>
        </is>
      </c>
      <c r="P64" t="inlineStr">
        <is>
          <t>5</t>
        </is>
      </c>
      <c r="T64" s="12" t="n"/>
    </row>
    <row r="65">
      <c r="A65" t="inlineStr">
        <is>
          <t>b2idu6d2bllmgsq</t>
        </is>
      </c>
      <c r="B65" t="inlineStr">
        <is>
          <t>Saksa</t>
        </is>
      </c>
      <c r="C65" t="inlineStr">
        <is>
          <t>TY</t>
        </is>
      </c>
      <c r="D65" t="inlineStr">
        <is>
          <t>TY vs Liquid</t>
        </is>
      </c>
      <c r="E65" t="n">
        <v>30</v>
      </c>
      <c r="F65" s="12" t="n">
        <v>0.83</v>
      </c>
      <c r="G65" t="n">
        <v>4.1</v>
      </c>
      <c r="H65" t="n">
        <v>6.4</v>
      </c>
      <c r="I65" t="n">
        <v>19.4</v>
      </c>
      <c r="J65" t="n">
        <v>0.6</v>
      </c>
      <c r="K65" t="n">
        <v>45</v>
      </c>
      <c r="L65" t="n">
        <v>3.22</v>
      </c>
      <c r="M65" t="inlineStr">
        <is>
          <t>OK</t>
        </is>
      </c>
      <c r="N65" t="inlineStr">
        <is>
          <t>https://www.pickfinder.app/players/dota2/b2idu6d2bllmgsq</t>
        </is>
      </c>
      <c r="O65" t="inlineStr">
        <is>
          <t>DOTA</t>
        </is>
      </c>
      <c r="P65" t="inlineStr">
        <is>
          <t>4</t>
        </is>
      </c>
      <c r="T65" s="12" t="n"/>
    </row>
    <row r="66">
      <c r="A66" t="inlineStr">
        <is>
          <t>sm63cqd6f6fdapn</t>
        </is>
      </c>
      <c r="B66" t="inlineStr">
        <is>
          <t>watson</t>
        </is>
      </c>
      <c r="C66" t="inlineStr">
        <is>
          <t>TY</t>
        </is>
      </c>
      <c r="D66" t="inlineStr">
        <is>
          <t>TY vs Liquid</t>
        </is>
      </c>
      <c r="E66" t="n">
        <v>30</v>
      </c>
      <c r="F66" s="12" t="n">
        <v>0.83</v>
      </c>
      <c r="G66" t="n">
        <v>11.2</v>
      </c>
      <c r="H66" t="n">
        <v>2.7</v>
      </c>
      <c r="I66" t="n">
        <v>11.7</v>
      </c>
      <c r="J66" t="n">
        <v>4.2</v>
      </c>
      <c r="K66" t="n">
        <v>45</v>
      </c>
      <c r="L66" t="n">
        <v>8.33</v>
      </c>
      <c r="M66" t="inlineStr">
        <is>
          <t>OK</t>
        </is>
      </c>
      <c r="N66" t="inlineStr">
        <is>
          <t>https://www.pickfinder.app/players/dota2/sm63cqd6f6fdapn</t>
        </is>
      </c>
      <c r="O66" t="inlineStr">
        <is>
          <t>DOTA</t>
        </is>
      </c>
      <c r="P66" t="inlineStr">
        <is>
          <t>1</t>
        </is>
      </c>
      <c r="T66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Breathe</t>
        </is>
      </c>
      <c r="B2" t="inlineStr">
        <is>
          <t>10/24</t>
        </is>
      </c>
      <c r="C2" t="inlineStr">
        <is>
          <t>TES</t>
        </is>
      </c>
      <c r="D2" t="n">
        <v>2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Breathe</t>
        </is>
      </c>
      <c r="B3" t="inlineStr">
        <is>
          <t>10/23</t>
        </is>
      </c>
      <c r="C3" t="inlineStr">
        <is>
          <t>KC</t>
        </is>
      </c>
      <c r="D3" t="n">
        <v>1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Breathe</t>
        </is>
      </c>
      <c r="B4" t="inlineStr">
        <is>
          <t>09/13</t>
        </is>
      </c>
      <c r="C4" t="inlineStr">
        <is>
          <t>BLG</t>
        </is>
      </c>
      <c r="D4" t="n">
        <v>2</v>
      </c>
      <c r="E4" t="n">
        <v>2</v>
      </c>
      <c r="F4" t="n">
        <v>3</v>
      </c>
      <c r="G4" t="n">
        <v>4</v>
      </c>
      <c r="H4" t="n">
        <v>7</v>
      </c>
    </row>
    <row r="5">
      <c r="A5" t="inlineStr">
        <is>
          <t>Breathe</t>
        </is>
      </c>
      <c r="B5" t="inlineStr">
        <is>
          <t>09/12</t>
        </is>
      </c>
      <c r="C5" t="inlineStr">
        <is>
          <t>IG</t>
        </is>
      </c>
      <c r="D5" t="n">
        <v>3</v>
      </c>
      <c r="E5" t="n">
        <v>4</v>
      </c>
      <c r="F5" t="n">
        <v>5</v>
      </c>
      <c r="G5" t="n">
        <v>7</v>
      </c>
      <c r="H5" t="n">
        <v>12</v>
      </c>
    </row>
    <row r="6">
      <c r="A6" t="inlineStr">
        <is>
          <t>Breathe</t>
        </is>
      </c>
      <c r="B6" t="inlineStr">
        <is>
          <t>09/07</t>
        </is>
      </c>
      <c r="C6" t="inlineStr">
        <is>
          <t>BLG</t>
        </is>
      </c>
      <c r="D6" t="n">
        <v>0</v>
      </c>
      <c r="E6" t="n">
        <v>0</v>
      </c>
      <c r="F6" t="n">
        <v>2</v>
      </c>
      <c r="G6" t="n">
        <v>0</v>
      </c>
      <c r="H6" t="n">
        <v>2</v>
      </c>
    </row>
    <row r="7">
      <c r="A7" t="inlineStr">
        <is>
          <t>Breathe</t>
        </is>
      </c>
      <c r="B7" t="inlineStr">
        <is>
          <t>09/04</t>
        </is>
      </c>
      <c r="C7" t="inlineStr">
        <is>
          <t>LGD</t>
        </is>
      </c>
      <c r="D7" t="n">
        <v>1</v>
      </c>
      <c r="E7" t="n">
        <v>2</v>
      </c>
      <c r="F7" t="n">
        <v>3</v>
      </c>
      <c r="G7" t="n">
        <v>3</v>
      </c>
      <c r="H7" t="n">
        <v>6</v>
      </c>
    </row>
    <row r="8">
      <c r="A8" t="inlineStr">
        <is>
          <t>Breathe</t>
        </is>
      </c>
      <c r="B8" t="inlineStr">
        <is>
          <t>08/23</t>
        </is>
      </c>
      <c r="C8" t="inlineStr">
        <is>
          <t>BLG</t>
        </is>
      </c>
      <c r="D8" t="n">
        <v>5</v>
      </c>
      <c r="E8" t="n">
        <v>3</v>
      </c>
      <c r="F8" t="n">
        <v>1</v>
      </c>
      <c r="G8" t="n">
        <v>8</v>
      </c>
      <c r="H8" t="n">
        <v>9</v>
      </c>
    </row>
    <row r="9">
      <c r="A9" t="inlineStr">
        <is>
          <t>Breathe</t>
        </is>
      </c>
      <c r="B9" t="inlineStr">
        <is>
          <t>08/21</t>
        </is>
      </c>
      <c r="C9" t="inlineStr">
        <is>
          <t>WE</t>
        </is>
      </c>
      <c r="D9" t="n">
        <v>5</v>
      </c>
      <c r="E9" t="n">
        <v>4</v>
      </c>
      <c r="F9" t="n">
        <v>1</v>
      </c>
      <c r="G9" t="n">
        <v>9</v>
      </c>
      <c r="H9" t="n">
        <v>10</v>
      </c>
    </row>
    <row r="10">
      <c r="A10" t="inlineStr">
        <is>
          <t>Breathe</t>
        </is>
      </c>
      <c r="B10" t="inlineStr">
        <is>
          <t>08/19</t>
        </is>
      </c>
      <c r="C10" t="inlineStr">
        <is>
          <t>TES</t>
        </is>
      </c>
      <c r="D10" t="n">
        <v>1</v>
      </c>
      <c r="E10" t="n">
        <v>3</v>
      </c>
      <c r="F10" t="n">
        <v>2</v>
      </c>
      <c r="G10" t="n">
        <v>4</v>
      </c>
      <c r="H10" t="n">
        <v>6</v>
      </c>
    </row>
    <row r="11">
      <c r="A11" t="inlineStr">
        <is>
          <t>Breathe</t>
        </is>
      </c>
      <c r="B11" t="inlineStr">
        <is>
          <t>08/15</t>
        </is>
      </c>
      <c r="C11" t="inlineStr">
        <is>
          <t>TT</t>
        </is>
      </c>
      <c r="D11" t="n">
        <v>1</v>
      </c>
      <c r="E11" t="n">
        <v>9</v>
      </c>
      <c r="F11" t="n">
        <v>2</v>
      </c>
      <c r="G11" t="n">
        <v>10</v>
      </c>
      <c r="H11" t="n">
        <v>12</v>
      </c>
    </row>
    <row r="12">
      <c r="A12" t="inlineStr">
        <is>
          <t>Breathe</t>
        </is>
      </c>
      <c r="B12" t="inlineStr">
        <is>
          <t>08/14</t>
        </is>
      </c>
      <c r="C12" t="inlineStr">
        <is>
          <t>JDG</t>
        </is>
      </c>
      <c r="D12" t="n">
        <v>1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Breathe</t>
        </is>
      </c>
      <c r="B13" t="inlineStr">
        <is>
          <t>08/12</t>
        </is>
      </c>
      <c r="C13" t="inlineStr">
        <is>
          <t>EDG</t>
        </is>
      </c>
      <c r="D13" t="n">
        <v>2</v>
      </c>
      <c r="E13" t="n">
        <v>5</v>
      </c>
      <c r="F13" t="n">
        <v>5</v>
      </c>
      <c r="G13" t="n">
        <v>7</v>
      </c>
      <c r="H13" t="n">
        <v>12</v>
      </c>
    </row>
    <row r="14">
      <c r="A14" t="inlineStr">
        <is>
          <t>Breathe</t>
        </is>
      </c>
      <c r="B14" t="inlineStr">
        <is>
          <t>08/08</t>
        </is>
      </c>
      <c r="C14" t="inlineStr">
        <is>
          <t>LGD</t>
        </is>
      </c>
      <c r="D14" t="n">
        <v>4</v>
      </c>
      <c r="E14" t="n">
        <v>3</v>
      </c>
      <c r="F14" t="n">
        <v>0</v>
      </c>
      <c r="G14" t="n">
        <v>7</v>
      </c>
      <c r="H14" t="n">
        <v>7</v>
      </c>
    </row>
    <row r="15">
      <c r="A15" t="inlineStr">
        <is>
          <t>Breathe</t>
        </is>
      </c>
      <c r="B15" t="inlineStr">
        <is>
          <t>08/06</t>
        </is>
      </c>
      <c r="C15" t="inlineStr">
        <is>
          <t>WE</t>
        </is>
      </c>
      <c r="D15" t="n">
        <v>10</v>
      </c>
      <c r="E15" t="n">
        <v>3</v>
      </c>
      <c r="F15" t="n">
        <v>0</v>
      </c>
      <c r="G15" t="n">
        <v>13</v>
      </c>
      <c r="H15" t="n">
        <v>13</v>
      </c>
    </row>
    <row r="16">
      <c r="A16" t="inlineStr">
        <is>
          <t>Breathe</t>
        </is>
      </c>
      <c r="B16" t="inlineStr">
        <is>
          <t>08/01</t>
        </is>
      </c>
      <c r="C16" t="inlineStr">
        <is>
          <t>TT</t>
        </is>
      </c>
      <c r="D16" t="n">
        <v>5</v>
      </c>
      <c r="E16" t="n">
        <v>4</v>
      </c>
      <c r="F16" t="n">
        <v>0</v>
      </c>
      <c r="G16" t="n">
        <v>9</v>
      </c>
      <c r="H16" t="n">
        <v>9</v>
      </c>
    </row>
    <row r="17">
      <c r="A17" t="inlineStr">
        <is>
          <t>Hope</t>
        </is>
      </c>
      <c r="B17" t="inlineStr">
        <is>
          <t>10/24</t>
        </is>
      </c>
      <c r="C17" t="inlineStr">
        <is>
          <t>TES</t>
        </is>
      </c>
      <c r="D17" t="n">
        <v>3</v>
      </c>
      <c r="E17" t="n">
        <v>0</v>
      </c>
      <c r="F17" t="n">
        <v>0</v>
      </c>
      <c r="G17" t="n">
        <v>3</v>
      </c>
      <c r="H17" t="n">
        <v>3</v>
      </c>
    </row>
    <row r="18">
      <c r="A18" t="inlineStr">
        <is>
          <t>Hope</t>
        </is>
      </c>
      <c r="B18" t="inlineStr">
        <is>
          <t>10/23</t>
        </is>
      </c>
      <c r="C18" t="inlineStr">
        <is>
          <t>KC</t>
        </is>
      </c>
      <c r="D18" t="n">
        <v>2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Hope</t>
        </is>
      </c>
      <c r="B19" t="inlineStr">
        <is>
          <t>09/13</t>
        </is>
      </c>
      <c r="C19" t="inlineStr">
        <is>
          <t>BLG</t>
        </is>
      </c>
      <c r="D19" t="n">
        <v>7</v>
      </c>
      <c r="E19" t="n">
        <v>2</v>
      </c>
      <c r="F19" t="n">
        <v>5</v>
      </c>
      <c r="G19" t="n">
        <v>9</v>
      </c>
      <c r="H19" t="n">
        <v>14</v>
      </c>
    </row>
    <row r="20">
      <c r="A20" t="inlineStr">
        <is>
          <t>Hope</t>
        </is>
      </c>
      <c r="B20" t="inlineStr">
        <is>
          <t>09/12</t>
        </is>
      </c>
      <c r="C20" t="inlineStr">
        <is>
          <t>IG</t>
        </is>
      </c>
      <c r="D20" t="n">
        <v>3</v>
      </c>
      <c r="E20" t="n">
        <v>11</v>
      </c>
      <c r="F20" t="n">
        <v>2</v>
      </c>
      <c r="G20" t="n">
        <v>14</v>
      </c>
      <c r="H20" t="n">
        <v>16</v>
      </c>
    </row>
    <row r="21">
      <c r="A21" t="inlineStr">
        <is>
          <t>Hope</t>
        </is>
      </c>
      <c r="B21" t="inlineStr">
        <is>
          <t>09/07</t>
        </is>
      </c>
      <c r="C21" t="inlineStr">
        <is>
          <t>BLG</t>
        </is>
      </c>
      <c r="D21" t="n">
        <v>0</v>
      </c>
      <c r="E21" t="n">
        <v>1</v>
      </c>
      <c r="F21" t="n">
        <v>1</v>
      </c>
      <c r="G21" t="n">
        <v>1</v>
      </c>
      <c r="H21" t="n">
        <v>2</v>
      </c>
    </row>
    <row r="22">
      <c r="A22" t="inlineStr">
        <is>
          <t>Hope</t>
        </is>
      </c>
      <c r="B22" t="inlineStr">
        <is>
          <t>09/04</t>
        </is>
      </c>
      <c r="C22" t="inlineStr">
        <is>
          <t>LGD</t>
        </is>
      </c>
      <c r="D22" t="n">
        <v>2</v>
      </c>
      <c r="E22" t="n">
        <v>3</v>
      </c>
      <c r="F22" t="n">
        <v>5</v>
      </c>
      <c r="G22" t="n">
        <v>5</v>
      </c>
      <c r="H22" t="n">
        <v>10</v>
      </c>
    </row>
    <row r="23">
      <c r="A23" t="inlineStr">
        <is>
          <t>Hope</t>
        </is>
      </c>
      <c r="B23" t="inlineStr">
        <is>
          <t>08/23</t>
        </is>
      </c>
      <c r="C23" t="inlineStr">
        <is>
          <t>BLG</t>
        </is>
      </c>
      <c r="D23" t="n">
        <v>7</v>
      </c>
      <c r="E23" t="n">
        <v>3</v>
      </c>
      <c r="F23" t="n">
        <v>8</v>
      </c>
      <c r="G23" t="n">
        <v>10</v>
      </c>
      <c r="H23" t="n">
        <v>18</v>
      </c>
    </row>
    <row r="24">
      <c r="A24" t="inlineStr">
        <is>
          <t>Hope</t>
        </is>
      </c>
      <c r="B24" t="inlineStr">
        <is>
          <t>08/21</t>
        </is>
      </c>
      <c r="C24" t="inlineStr">
        <is>
          <t>WE</t>
        </is>
      </c>
      <c r="D24" t="n">
        <v>3</v>
      </c>
      <c r="E24" t="n">
        <v>1</v>
      </c>
      <c r="F24" t="n">
        <v>1</v>
      </c>
      <c r="G24" t="n">
        <v>4</v>
      </c>
      <c r="H24" t="n">
        <v>5</v>
      </c>
    </row>
    <row r="25">
      <c r="A25" t="inlineStr">
        <is>
          <t>Hope</t>
        </is>
      </c>
      <c r="B25" t="inlineStr">
        <is>
          <t>08/19</t>
        </is>
      </c>
      <c r="C25" t="inlineStr">
        <is>
          <t>TES</t>
        </is>
      </c>
      <c r="D25" t="n">
        <v>3</v>
      </c>
      <c r="E25" t="n">
        <v>7</v>
      </c>
      <c r="F25" t="n">
        <v>2</v>
      </c>
      <c r="G25" t="n">
        <v>10</v>
      </c>
      <c r="H25" t="n">
        <v>12</v>
      </c>
    </row>
    <row r="26">
      <c r="A26" t="inlineStr">
        <is>
          <t>Hope</t>
        </is>
      </c>
      <c r="B26" t="inlineStr">
        <is>
          <t>08/15</t>
        </is>
      </c>
      <c r="C26" t="inlineStr">
        <is>
          <t>TT</t>
        </is>
      </c>
      <c r="D26" t="n">
        <v>1</v>
      </c>
      <c r="E26" t="n">
        <v>3</v>
      </c>
      <c r="F26" t="n">
        <v>3</v>
      </c>
      <c r="G26" t="n">
        <v>4</v>
      </c>
      <c r="H26" t="n">
        <v>7</v>
      </c>
    </row>
    <row r="27">
      <c r="A27" t="inlineStr">
        <is>
          <t>Hope</t>
        </is>
      </c>
      <c r="B27" t="inlineStr">
        <is>
          <t>08/14</t>
        </is>
      </c>
      <c r="C27" t="inlineStr">
        <is>
          <t>JDG</t>
        </is>
      </c>
      <c r="D27" t="n">
        <v>4</v>
      </c>
      <c r="E27" t="n">
        <v>8</v>
      </c>
      <c r="F27" t="n">
        <v>6</v>
      </c>
      <c r="G27" t="n">
        <v>12</v>
      </c>
      <c r="H27" t="n">
        <v>18</v>
      </c>
    </row>
    <row r="28">
      <c r="A28" t="inlineStr">
        <is>
          <t>Hope</t>
        </is>
      </c>
      <c r="B28" t="inlineStr">
        <is>
          <t>08/12</t>
        </is>
      </c>
      <c r="C28" t="inlineStr">
        <is>
          <t>EDG</t>
        </is>
      </c>
      <c r="D28" t="n">
        <v>3</v>
      </c>
      <c r="E28" t="n">
        <v>4</v>
      </c>
      <c r="F28" t="n">
        <v>6</v>
      </c>
      <c r="G28" t="n">
        <v>7</v>
      </c>
      <c r="H28" t="n">
        <v>13</v>
      </c>
    </row>
    <row r="29">
      <c r="A29" t="inlineStr">
        <is>
          <t>Hope</t>
        </is>
      </c>
      <c r="B29" t="inlineStr">
        <is>
          <t>08/08</t>
        </is>
      </c>
      <c r="C29" t="inlineStr">
        <is>
          <t>LGD</t>
        </is>
      </c>
      <c r="D29" t="n">
        <v>5</v>
      </c>
      <c r="E29" t="n">
        <v>8</v>
      </c>
      <c r="F29" t="n">
        <v>0</v>
      </c>
      <c r="G29" t="n">
        <v>13</v>
      </c>
      <c r="H29" t="n">
        <v>13</v>
      </c>
    </row>
    <row r="30">
      <c r="A30" t="inlineStr">
        <is>
          <t>Hope</t>
        </is>
      </c>
      <c r="B30" t="inlineStr">
        <is>
          <t>08/06</t>
        </is>
      </c>
      <c r="C30" t="inlineStr">
        <is>
          <t>WE</t>
        </is>
      </c>
      <c r="D30" t="n">
        <v>0</v>
      </c>
      <c r="E30" t="n">
        <v>14</v>
      </c>
      <c r="F30" t="n">
        <v>0</v>
      </c>
      <c r="G30" t="n">
        <v>14</v>
      </c>
      <c r="H30" t="n">
        <v>14</v>
      </c>
    </row>
    <row r="31">
      <c r="A31" t="inlineStr">
        <is>
          <t>Hope</t>
        </is>
      </c>
      <c r="B31" t="inlineStr">
        <is>
          <t>08/01</t>
        </is>
      </c>
      <c r="C31" t="inlineStr">
        <is>
          <t>TT</t>
        </is>
      </c>
      <c r="D31" t="n">
        <v>3</v>
      </c>
      <c r="E31" t="n">
        <v>7</v>
      </c>
      <c r="F31" t="n">
        <v>0</v>
      </c>
      <c r="G31" t="n">
        <v>10</v>
      </c>
      <c r="H31" t="n">
        <v>10</v>
      </c>
    </row>
    <row r="32">
      <c r="A32" t="inlineStr">
        <is>
          <t>Shanks</t>
        </is>
      </c>
      <c r="B32" t="inlineStr">
        <is>
          <t>10/24</t>
        </is>
      </c>
      <c r="C32" t="inlineStr">
        <is>
          <t>TES</t>
        </is>
      </c>
      <c r="D32" t="n">
        <v>2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Shanks</t>
        </is>
      </c>
      <c r="B33" t="inlineStr">
        <is>
          <t>10/23</t>
        </is>
      </c>
      <c r="C33" t="inlineStr">
        <is>
          <t>KC</t>
        </is>
      </c>
      <c r="D33" t="n">
        <v>1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Shanks</t>
        </is>
      </c>
      <c r="B34" t="inlineStr">
        <is>
          <t>09/13</t>
        </is>
      </c>
      <c r="C34" t="inlineStr">
        <is>
          <t>BLG</t>
        </is>
      </c>
      <c r="D34" t="n">
        <v>2</v>
      </c>
      <c r="E34" t="n">
        <v>8</v>
      </c>
      <c r="F34" t="n">
        <v>1</v>
      </c>
      <c r="G34" t="n">
        <v>10</v>
      </c>
      <c r="H34" t="n">
        <v>11</v>
      </c>
    </row>
    <row r="35">
      <c r="A35" t="inlineStr">
        <is>
          <t>Shanks</t>
        </is>
      </c>
      <c r="B35" t="inlineStr">
        <is>
          <t>09/12</t>
        </is>
      </c>
      <c r="C35" t="inlineStr">
        <is>
          <t>IG</t>
        </is>
      </c>
      <c r="D35" t="n">
        <v>2</v>
      </c>
      <c r="E35" t="n">
        <v>3</v>
      </c>
      <c r="F35" t="n">
        <v>5</v>
      </c>
      <c r="G35" t="n">
        <v>5</v>
      </c>
      <c r="H35" t="n">
        <v>10</v>
      </c>
    </row>
    <row r="36">
      <c r="A36" t="inlineStr">
        <is>
          <t>Shanks</t>
        </is>
      </c>
      <c r="B36" t="inlineStr">
        <is>
          <t>09/07</t>
        </is>
      </c>
      <c r="C36" t="inlineStr">
        <is>
          <t>BLG</t>
        </is>
      </c>
      <c r="D36" t="n">
        <v>0</v>
      </c>
      <c r="E36" t="n">
        <v>4</v>
      </c>
      <c r="F36" t="n">
        <v>2</v>
      </c>
      <c r="G36" t="n">
        <v>4</v>
      </c>
      <c r="H36" t="n">
        <v>6</v>
      </c>
    </row>
    <row r="37">
      <c r="A37" t="inlineStr">
        <is>
          <t>Shanks</t>
        </is>
      </c>
      <c r="B37" t="inlineStr">
        <is>
          <t>09/04</t>
        </is>
      </c>
      <c r="C37" t="inlineStr">
        <is>
          <t>LGD</t>
        </is>
      </c>
      <c r="D37" t="n">
        <v>2</v>
      </c>
      <c r="E37" t="n">
        <v>3</v>
      </c>
      <c r="F37" t="n">
        <v>3</v>
      </c>
      <c r="G37" t="n">
        <v>5</v>
      </c>
      <c r="H37" t="n">
        <v>8</v>
      </c>
    </row>
    <row r="38">
      <c r="A38" t="inlineStr">
        <is>
          <t>Shanks</t>
        </is>
      </c>
      <c r="B38" t="inlineStr">
        <is>
          <t>08/23</t>
        </is>
      </c>
      <c r="C38" t="inlineStr">
        <is>
          <t>BLG</t>
        </is>
      </c>
      <c r="D38" t="n">
        <v>7</v>
      </c>
      <c r="E38" t="n">
        <v>0</v>
      </c>
      <c r="F38" t="n">
        <v>2</v>
      </c>
      <c r="G38" t="n">
        <v>7</v>
      </c>
      <c r="H38" t="n">
        <v>9</v>
      </c>
    </row>
    <row r="39">
      <c r="A39" t="inlineStr">
        <is>
          <t>Shanks</t>
        </is>
      </c>
      <c r="B39" t="inlineStr">
        <is>
          <t>08/21</t>
        </is>
      </c>
      <c r="C39" t="inlineStr">
        <is>
          <t>WE</t>
        </is>
      </c>
      <c r="D39" t="n">
        <v>5</v>
      </c>
      <c r="E39" t="n">
        <v>7</v>
      </c>
      <c r="F39" t="n">
        <v>1</v>
      </c>
      <c r="G39" t="n">
        <v>12</v>
      </c>
      <c r="H39" t="n">
        <v>13</v>
      </c>
    </row>
    <row r="40">
      <c r="A40" t="inlineStr">
        <is>
          <t>Shanks</t>
        </is>
      </c>
      <c r="B40" t="inlineStr">
        <is>
          <t>08/19</t>
        </is>
      </c>
      <c r="C40" t="inlineStr">
        <is>
          <t>TES</t>
        </is>
      </c>
      <c r="D40" t="n">
        <v>3</v>
      </c>
      <c r="E40" t="n">
        <v>3</v>
      </c>
      <c r="F40" t="n">
        <v>5</v>
      </c>
      <c r="G40" t="n">
        <v>6</v>
      </c>
      <c r="H40" t="n">
        <v>11</v>
      </c>
    </row>
    <row r="41">
      <c r="A41" t="inlineStr">
        <is>
          <t>Shanks</t>
        </is>
      </c>
      <c r="B41" t="inlineStr">
        <is>
          <t>08/15</t>
        </is>
      </c>
      <c r="C41" t="inlineStr">
        <is>
          <t>TT</t>
        </is>
      </c>
      <c r="D41" t="n">
        <v>5</v>
      </c>
      <c r="E41" t="n">
        <v>4</v>
      </c>
      <c r="F41" t="n">
        <v>5</v>
      </c>
      <c r="G41" t="n">
        <v>9</v>
      </c>
      <c r="H41" t="n">
        <v>14</v>
      </c>
    </row>
    <row r="42">
      <c r="A42" t="inlineStr">
        <is>
          <t>Shanks</t>
        </is>
      </c>
      <c r="B42" t="inlineStr">
        <is>
          <t>08/14</t>
        </is>
      </c>
      <c r="C42" t="inlineStr">
        <is>
          <t>JDG</t>
        </is>
      </c>
      <c r="D42" t="n">
        <v>8</v>
      </c>
      <c r="E42" t="n">
        <v>11</v>
      </c>
      <c r="F42" t="n">
        <v>8</v>
      </c>
      <c r="G42" t="n">
        <v>19</v>
      </c>
      <c r="H42" t="n">
        <v>27</v>
      </c>
    </row>
    <row r="43">
      <c r="A43" t="inlineStr">
        <is>
          <t>Shanks</t>
        </is>
      </c>
      <c r="B43" t="inlineStr">
        <is>
          <t>08/12</t>
        </is>
      </c>
      <c r="C43" t="inlineStr">
        <is>
          <t>EDG</t>
        </is>
      </c>
      <c r="D43" t="n">
        <v>3</v>
      </c>
      <c r="E43" t="n">
        <v>7</v>
      </c>
      <c r="F43" t="n">
        <v>11</v>
      </c>
      <c r="G43" t="n">
        <v>10</v>
      </c>
      <c r="H43" t="n">
        <v>21</v>
      </c>
    </row>
    <row r="44">
      <c r="A44" t="inlineStr">
        <is>
          <t>Shanks</t>
        </is>
      </c>
      <c r="B44" t="inlineStr">
        <is>
          <t>08/08</t>
        </is>
      </c>
      <c r="C44" t="inlineStr">
        <is>
          <t>LGD</t>
        </is>
      </c>
      <c r="D44" t="n">
        <v>6</v>
      </c>
      <c r="E44" t="n">
        <v>6</v>
      </c>
      <c r="F44" t="n">
        <v>0</v>
      </c>
      <c r="G44" t="n">
        <v>12</v>
      </c>
      <c r="H44" t="n">
        <v>12</v>
      </c>
    </row>
    <row r="45">
      <c r="A45" t="inlineStr">
        <is>
          <t>Shanks</t>
        </is>
      </c>
      <c r="B45" t="inlineStr">
        <is>
          <t>08/06</t>
        </is>
      </c>
      <c r="C45" t="inlineStr">
        <is>
          <t>WE</t>
        </is>
      </c>
      <c r="D45" t="n">
        <v>6</v>
      </c>
      <c r="E45" t="n">
        <v>5</v>
      </c>
      <c r="F45" t="n">
        <v>0</v>
      </c>
      <c r="G45" t="n">
        <v>11</v>
      </c>
      <c r="H45" t="n">
        <v>11</v>
      </c>
    </row>
    <row r="46">
      <c r="A46" t="inlineStr">
        <is>
          <t>Shanks</t>
        </is>
      </c>
      <c r="B46" t="inlineStr">
        <is>
          <t>08/01</t>
        </is>
      </c>
      <c r="C46" t="inlineStr">
        <is>
          <t>TT</t>
        </is>
      </c>
      <c r="D46" t="n">
        <v>2</v>
      </c>
      <c r="E46" t="n">
        <v>2</v>
      </c>
      <c r="F46" t="n">
        <v>0</v>
      </c>
      <c r="G46" t="n">
        <v>4</v>
      </c>
      <c r="H46" t="n">
        <v>4</v>
      </c>
    </row>
    <row r="47">
      <c r="A47" t="inlineStr">
        <is>
          <t>Tarzan</t>
        </is>
      </c>
      <c r="B47" t="inlineStr">
        <is>
          <t>10/24</t>
        </is>
      </c>
      <c r="C47" t="inlineStr">
        <is>
          <t>TES</t>
        </is>
      </c>
      <c r="D47" t="n">
        <v>1</v>
      </c>
      <c r="E47" t="n">
        <v>0</v>
      </c>
      <c r="F47" t="n">
        <v>0</v>
      </c>
      <c r="G47" t="n">
        <v>1</v>
      </c>
      <c r="H47" t="n">
        <v>1</v>
      </c>
    </row>
    <row r="48">
      <c r="A48" t="inlineStr">
        <is>
          <t>Tarzan</t>
        </is>
      </c>
      <c r="B48" t="inlineStr">
        <is>
          <t>10/23</t>
        </is>
      </c>
      <c r="C48" t="inlineStr">
        <is>
          <t>KC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Tarzan</t>
        </is>
      </c>
      <c r="B49" t="inlineStr">
        <is>
          <t>09/13</t>
        </is>
      </c>
      <c r="C49" t="inlineStr">
        <is>
          <t>BLG</t>
        </is>
      </c>
      <c r="D49" t="n">
        <v>7</v>
      </c>
      <c r="E49" t="n">
        <v>8</v>
      </c>
      <c r="F49" t="n">
        <v>0</v>
      </c>
      <c r="G49" t="n">
        <v>15</v>
      </c>
      <c r="H49" t="n">
        <v>15</v>
      </c>
    </row>
    <row r="50">
      <c r="A50" t="inlineStr">
        <is>
          <t>Tarzan</t>
        </is>
      </c>
      <c r="B50" t="inlineStr">
        <is>
          <t>09/12</t>
        </is>
      </c>
      <c r="C50" t="inlineStr">
        <is>
          <t>IG</t>
        </is>
      </c>
      <c r="D50" t="n">
        <v>3</v>
      </c>
      <c r="E50" t="n">
        <v>2</v>
      </c>
      <c r="F50" t="n">
        <v>2</v>
      </c>
      <c r="G50" t="n">
        <v>5</v>
      </c>
      <c r="H50" t="n">
        <v>7</v>
      </c>
    </row>
    <row r="51">
      <c r="A51" t="inlineStr">
        <is>
          <t>Tarzan</t>
        </is>
      </c>
      <c r="B51" t="inlineStr">
        <is>
          <t>09/07</t>
        </is>
      </c>
      <c r="C51" t="inlineStr">
        <is>
          <t>BLG</t>
        </is>
      </c>
      <c r="D51" t="n">
        <v>0</v>
      </c>
      <c r="E51" t="n">
        <v>1</v>
      </c>
      <c r="F51" t="n">
        <v>3</v>
      </c>
      <c r="G51" t="n">
        <v>1</v>
      </c>
      <c r="H51" t="n">
        <v>4</v>
      </c>
    </row>
    <row r="52">
      <c r="A52" t="inlineStr">
        <is>
          <t>Tarzan</t>
        </is>
      </c>
      <c r="B52" t="inlineStr">
        <is>
          <t>09/04</t>
        </is>
      </c>
      <c r="C52" t="inlineStr">
        <is>
          <t>LGD</t>
        </is>
      </c>
      <c r="D52" t="n">
        <v>1</v>
      </c>
      <c r="E52" t="n">
        <v>4</v>
      </c>
      <c r="F52" t="n">
        <v>2</v>
      </c>
      <c r="G52" t="n">
        <v>5</v>
      </c>
      <c r="H52" t="n">
        <v>7</v>
      </c>
    </row>
    <row r="53">
      <c r="A53" t="inlineStr">
        <is>
          <t>Tarzan</t>
        </is>
      </c>
      <c r="B53" t="inlineStr">
        <is>
          <t>08/23</t>
        </is>
      </c>
      <c r="C53" t="inlineStr">
        <is>
          <t>BLG</t>
        </is>
      </c>
      <c r="D53" t="n">
        <v>5</v>
      </c>
      <c r="E53" t="n">
        <v>7</v>
      </c>
      <c r="F53" t="n">
        <v>4</v>
      </c>
      <c r="G53" t="n">
        <v>12</v>
      </c>
      <c r="H53" t="n">
        <v>16</v>
      </c>
    </row>
    <row r="54">
      <c r="A54" t="inlineStr">
        <is>
          <t>Tarzan</t>
        </is>
      </c>
      <c r="B54" t="inlineStr">
        <is>
          <t>08/21</t>
        </is>
      </c>
      <c r="C54" t="inlineStr">
        <is>
          <t>WE</t>
        </is>
      </c>
      <c r="D54" t="n">
        <v>2</v>
      </c>
      <c r="E54" t="n">
        <v>5</v>
      </c>
      <c r="F54" t="n">
        <v>0</v>
      </c>
      <c r="G54" t="n">
        <v>7</v>
      </c>
      <c r="H54" t="n">
        <v>7</v>
      </c>
    </row>
    <row r="55">
      <c r="A55" t="inlineStr">
        <is>
          <t>Tarzan</t>
        </is>
      </c>
      <c r="B55" t="inlineStr">
        <is>
          <t>08/19</t>
        </is>
      </c>
      <c r="C55" t="inlineStr">
        <is>
          <t>TES</t>
        </is>
      </c>
      <c r="D55" t="n">
        <v>2</v>
      </c>
      <c r="E55" t="n">
        <v>2</v>
      </c>
      <c r="F55" t="n">
        <v>8</v>
      </c>
      <c r="G55" t="n">
        <v>4</v>
      </c>
      <c r="H55" t="n">
        <v>12</v>
      </c>
    </row>
    <row r="56">
      <c r="A56" t="inlineStr">
        <is>
          <t>Tarzan</t>
        </is>
      </c>
      <c r="B56" t="inlineStr">
        <is>
          <t>08/15</t>
        </is>
      </c>
      <c r="C56" t="inlineStr">
        <is>
          <t>TT</t>
        </is>
      </c>
      <c r="D56" t="n">
        <v>1</v>
      </c>
      <c r="E56" t="n">
        <v>8</v>
      </c>
      <c r="F56" t="n">
        <v>7</v>
      </c>
      <c r="G56" t="n">
        <v>9</v>
      </c>
      <c r="H56" t="n">
        <v>16</v>
      </c>
    </row>
    <row r="57">
      <c r="A57" t="inlineStr">
        <is>
          <t>Tarzan</t>
        </is>
      </c>
      <c r="B57" t="inlineStr">
        <is>
          <t>08/14</t>
        </is>
      </c>
      <c r="C57" t="inlineStr">
        <is>
          <t>JDG</t>
        </is>
      </c>
      <c r="D57" t="n">
        <v>2</v>
      </c>
      <c r="E57" t="n">
        <v>5</v>
      </c>
      <c r="F57" t="n">
        <v>1</v>
      </c>
      <c r="G57" t="n">
        <v>7</v>
      </c>
      <c r="H57" t="n">
        <v>8</v>
      </c>
    </row>
    <row r="58">
      <c r="A58" t="inlineStr">
        <is>
          <t>Tarzan</t>
        </is>
      </c>
      <c r="B58" t="inlineStr">
        <is>
          <t>08/12</t>
        </is>
      </c>
      <c r="C58" t="inlineStr">
        <is>
          <t>EDG</t>
        </is>
      </c>
      <c r="D58" t="n">
        <v>4</v>
      </c>
      <c r="E58" t="n">
        <v>1</v>
      </c>
      <c r="F58" t="n">
        <v>5</v>
      </c>
      <c r="G58" t="n">
        <v>5</v>
      </c>
      <c r="H58" t="n">
        <v>10</v>
      </c>
    </row>
    <row r="59">
      <c r="A59" t="inlineStr">
        <is>
          <t>Tarzan</t>
        </is>
      </c>
      <c r="B59" t="inlineStr">
        <is>
          <t>08/08</t>
        </is>
      </c>
      <c r="C59" t="inlineStr">
        <is>
          <t>LGD</t>
        </is>
      </c>
      <c r="D59" t="n">
        <v>3</v>
      </c>
      <c r="E59" t="n">
        <v>4</v>
      </c>
      <c r="F59" t="n">
        <v>0</v>
      </c>
      <c r="G59" t="n">
        <v>7</v>
      </c>
      <c r="H59" t="n">
        <v>7</v>
      </c>
    </row>
    <row r="60">
      <c r="A60" t="inlineStr">
        <is>
          <t>Tarzan</t>
        </is>
      </c>
      <c r="B60" t="inlineStr">
        <is>
          <t>08/06</t>
        </is>
      </c>
      <c r="C60" t="inlineStr">
        <is>
          <t>WE</t>
        </is>
      </c>
      <c r="D60" t="n">
        <v>6</v>
      </c>
      <c r="E60" t="n">
        <v>4</v>
      </c>
      <c r="F60" t="n">
        <v>0</v>
      </c>
      <c r="G60" t="n">
        <v>10</v>
      </c>
      <c r="H60" t="n">
        <v>10</v>
      </c>
    </row>
    <row r="61">
      <c r="A61" t="inlineStr">
        <is>
          <t>Tarzan</t>
        </is>
      </c>
      <c r="B61" t="inlineStr">
        <is>
          <t>08/01</t>
        </is>
      </c>
      <c r="C61" t="inlineStr">
        <is>
          <t>TT</t>
        </is>
      </c>
      <c r="D61" t="n">
        <v>5</v>
      </c>
      <c r="E61" t="n">
        <v>7</v>
      </c>
      <c r="F61" t="n">
        <v>0</v>
      </c>
      <c r="G61" t="n">
        <v>12</v>
      </c>
      <c r="H61" t="n">
        <v>12</v>
      </c>
    </row>
    <row r="62">
      <c r="A62" t="inlineStr">
        <is>
          <t>Kataomi`</t>
        </is>
      </c>
      <c r="B62" t="inlineStr">
        <is>
          <t>10/25</t>
        </is>
      </c>
      <c r="C62" t="inlineStr">
        <is>
          <t>PARI</t>
        </is>
      </c>
      <c r="D62" t="n">
        <v>3</v>
      </c>
      <c r="E62" t="n">
        <v>2</v>
      </c>
      <c r="F62" t="n">
        <v>0</v>
      </c>
      <c r="G62" t="n">
        <v>5</v>
      </c>
      <c r="H62" t="n">
        <v>5</v>
      </c>
    </row>
    <row r="63">
      <c r="A63" t="inlineStr">
        <is>
          <t>Kataomi`</t>
        </is>
      </c>
      <c r="B63" t="inlineStr">
        <is>
          <t>10/24</t>
        </is>
      </c>
      <c r="C63" t="inlineStr">
        <is>
          <t>TS</t>
        </is>
      </c>
      <c r="D63" t="n">
        <v>1</v>
      </c>
      <c r="E63" t="n">
        <v>2</v>
      </c>
      <c r="F63" t="n">
        <v>0</v>
      </c>
      <c r="G63" t="n">
        <v>3</v>
      </c>
      <c r="H63" t="n">
        <v>3</v>
      </c>
    </row>
    <row r="64">
      <c r="A64" t="inlineStr">
        <is>
          <t>Kataomi`</t>
        </is>
      </c>
      <c r="B64" t="inlineStr">
        <is>
          <t>10/23</t>
        </is>
      </c>
      <c r="C64" t="inlineStr">
        <is>
          <t>AI</t>
        </is>
      </c>
      <c r="D64" t="n">
        <v>5</v>
      </c>
      <c r="E64" t="n">
        <v>4</v>
      </c>
      <c r="F64" t="n">
        <v>0</v>
      </c>
      <c r="G64" t="n">
        <v>9</v>
      </c>
      <c r="H64" t="n">
        <v>9</v>
      </c>
    </row>
    <row r="65">
      <c r="A65" t="inlineStr">
        <is>
          <t>Kataomi`</t>
        </is>
      </c>
      <c r="B65" t="inlineStr">
        <is>
          <t>10/02</t>
        </is>
      </c>
      <c r="C65" t="inlineStr">
        <is>
          <t>OG</t>
        </is>
      </c>
      <c r="D65" t="n">
        <v>6</v>
      </c>
      <c r="E65" t="n">
        <v>4</v>
      </c>
      <c r="F65" t="n">
        <v>3</v>
      </c>
      <c r="G65" t="n">
        <v>10</v>
      </c>
      <c r="H65" t="n">
        <v>13</v>
      </c>
    </row>
    <row r="66">
      <c r="A66" t="inlineStr">
        <is>
          <t>Kataomi`</t>
        </is>
      </c>
      <c r="B66" t="inlineStr">
        <is>
          <t>10/01</t>
        </is>
      </c>
      <c r="C66" t="inlineStr">
        <is>
          <t>TY</t>
        </is>
      </c>
      <c r="D66" t="n">
        <v>0</v>
      </c>
      <c r="E66" t="n">
        <v>3</v>
      </c>
      <c r="F66" t="n">
        <v>0</v>
      </c>
      <c r="G66" t="n">
        <v>3</v>
      </c>
      <c r="H66" t="n">
        <v>3</v>
      </c>
    </row>
    <row r="67">
      <c r="A67" t="inlineStr">
        <is>
          <t>Kataomi`</t>
        </is>
      </c>
      <c r="B67" t="inlineStr">
        <is>
          <t>09/30</t>
        </is>
      </c>
      <c r="C67" t="inlineStr">
        <is>
          <t>OG</t>
        </is>
      </c>
      <c r="D67" t="n">
        <v>3</v>
      </c>
      <c r="E67" t="n">
        <v>3</v>
      </c>
      <c r="F67" t="n">
        <v>2</v>
      </c>
      <c r="G67" t="n">
        <v>6</v>
      </c>
      <c r="H67" t="n">
        <v>8</v>
      </c>
    </row>
    <row r="68">
      <c r="A68" t="inlineStr">
        <is>
          <t>Kataomi`</t>
        </is>
      </c>
      <c r="B68" t="inlineStr">
        <is>
          <t>08/22</t>
        </is>
      </c>
      <c r="C68" t="inlineStr">
        <is>
          <t>NGX</t>
        </is>
      </c>
      <c r="D68" t="n">
        <v>2</v>
      </c>
      <c r="E68" t="n">
        <v>0</v>
      </c>
      <c r="F68" t="n">
        <v>2</v>
      </c>
      <c r="G68" t="n">
        <v>2</v>
      </c>
      <c r="H68" t="n">
        <v>4</v>
      </c>
    </row>
    <row r="69">
      <c r="A69" t="inlineStr">
        <is>
          <t>Kataomi`</t>
        </is>
      </c>
      <c r="B69" t="inlineStr">
        <is>
          <t>08/21</t>
        </is>
      </c>
      <c r="C69" t="inlineStr">
        <is>
          <t>IW</t>
        </is>
      </c>
      <c r="D69" t="n">
        <v>0</v>
      </c>
      <c r="E69" t="n">
        <v>5</v>
      </c>
      <c r="F69" t="n">
        <v>1</v>
      </c>
      <c r="G69" t="n">
        <v>5</v>
      </c>
      <c r="H69" t="n">
        <v>6</v>
      </c>
    </row>
    <row r="70">
      <c r="A70" t="inlineStr">
        <is>
          <t>Kataomi`</t>
        </is>
      </c>
      <c r="B70" t="inlineStr">
        <is>
          <t>08/20</t>
        </is>
      </c>
      <c r="C70" t="inlineStr">
        <is>
          <t>VSN</t>
        </is>
      </c>
      <c r="D70" t="n">
        <v>3</v>
      </c>
      <c r="E70" t="n">
        <v>2</v>
      </c>
      <c r="F70" t="n">
        <v>0</v>
      </c>
      <c r="G70" t="n">
        <v>5</v>
      </c>
      <c r="H70" t="n">
        <v>5</v>
      </c>
    </row>
    <row r="71">
      <c r="A71" t="inlineStr">
        <is>
          <t>Kataomi`</t>
        </is>
      </c>
      <c r="B71" t="inlineStr">
        <is>
          <t>08/16</t>
        </is>
      </c>
      <c r="C71" t="inlineStr">
        <is>
          <t>AUR</t>
        </is>
      </c>
      <c r="D71" t="n">
        <v>1</v>
      </c>
      <c r="E71" t="n">
        <v>0</v>
      </c>
      <c r="F71" t="n">
        <v>0</v>
      </c>
      <c r="G71" t="n">
        <v>1</v>
      </c>
      <c r="H71" t="n">
        <v>1</v>
      </c>
    </row>
    <row r="72">
      <c r="A72" t="inlineStr">
        <is>
          <t>Kataomi`</t>
        </is>
      </c>
      <c r="B72" t="inlineStr">
        <is>
          <t>08/15</t>
        </is>
      </c>
      <c r="C72" t="inlineStr">
        <is>
          <t>FLC</t>
        </is>
      </c>
      <c r="D72" t="n">
        <v>5</v>
      </c>
      <c r="E72" t="n">
        <v>2</v>
      </c>
      <c r="F72" t="n">
        <v>1</v>
      </c>
      <c r="G72" t="n">
        <v>7</v>
      </c>
      <c r="H72" t="n">
        <v>8</v>
      </c>
    </row>
    <row r="73">
      <c r="A73" t="inlineStr">
        <is>
          <t>Kataomi`</t>
        </is>
      </c>
      <c r="B73" t="inlineStr">
        <is>
          <t>08/15</t>
        </is>
      </c>
      <c r="C73" t="inlineStr">
        <is>
          <t>AUR</t>
        </is>
      </c>
      <c r="D73" t="n">
        <v>5</v>
      </c>
      <c r="E73" t="n">
        <v>0</v>
      </c>
      <c r="F73" t="n">
        <v>0</v>
      </c>
      <c r="G73" t="n">
        <v>5</v>
      </c>
      <c r="H73" t="n">
        <v>5</v>
      </c>
    </row>
    <row r="74">
      <c r="A74" t="inlineStr">
        <is>
          <t>Kataomi`</t>
        </is>
      </c>
      <c r="B74" t="inlineStr">
        <is>
          <t>08/14</t>
        </is>
      </c>
      <c r="C74" t="inlineStr">
        <is>
          <t>VSN</t>
        </is>
      </c>
      <c r="D74" t="n">
        <v>2</v>
      </c>
      <c r="E74" t="n">
        <v>0</v>
      </c>
      <c r="F74" t="n">
        <v>0</v>
      </c>
      <c r="G74" t="n">
        <v>2</v>
      </c>
      <c r="H74" t="n">
        <v>2</v>
      </c>
    </row>
    <row r="75">
      <c r="A75" t="inlineStr">
        <is>
          <t>Kataomi`</t>
        </is>
      </c>
      <c r="B75" t="inlineStr">
        <is>
          <t>08/13</t>
        </is>
      </c>
      <c r="C75" t="inlineStr">
        <is>
          <t>Iron Wing</t>
        </is>
      </c>
      <c r="D75" t="n">
        <v>1</v>
      </c>
      <c r="E75" t="n">
        <v>1</v>
      </c>
      <c r="F75" t="n">
        <v>3</v>
      </c>
      <c r="G75" t="n">
        <v>2</v>
      </c>
      <c r="H75" t="n">
        <v>5</v>
      </c>
    </row>
    <row r="76">
      <c r="A76" t="inlineStr">
        <is>
          <t>Kataomi`</t>
        </is>
      </c>
      <c r="B76" t="inlineStr">
        <is>
          <t>08/13</t>
        </is>
      </c>
      <c r="C76" t="inlineStr">
        <is>
          <t>OG</t>
        </is>
      </c>
      <c r="D76" t="n">
        <v>2</v>
      </c>
      <c r="E76" t="n">
        <v>2</v>
      </c>
      <c r="F76" t="n">
        <v>0</v>
      </c>
      <c r="G76" t="n">
        <v>4</v>
      </c>
      <c r="H76" t="n">
        <v>4</v>
      </c>
    </row>
    <row r="77">
      <c r="A77" t="inlineStr">
        <is>
          <t>Kiritych~</t>
        </is>
      </c>
      <c r="B77" t="inlineStr">
        <is>
          <t>10/25</t>
        </is>
      </c>
      <c r="C77" t="inlineStr">
        <is>
          <t>PARI</t>
        </is>
      </c>
      <c r="D77" t="n">
        <v>1</v>
      </c>
      <c r="E77" t="n">
        <v>5</v>
      </c>
      <c r="F77" t="n">
        <v>0</v>
      </c>
      <c r="G77" t="n">
        <v>6</v>
      </c>
      <c r="H77" t="n">
        <v>6</v>
      </c>
    </row>
    <row r="78">
      <c r="A78" t="inlineStr">
        <is>
          <t>Kiritych~</t>
        </is>
      </c>
      <c r="B78" t="inlineStr">
        <is>
          <t>10/24</t>
        </is>
      </c>
      <c r="C78" t="inlineStr">
        <is>
          <t>TS</t>
        </is>
      </c>
      <c r="D78" t="n">
        <v>8</v>
      </c>
      <c r="E78" t="n">
        <v>4</v>
      </c>
      <c r="F78" t="n">
        <v>0</v>
      </c>
      <c r="G78" t="n">
        <v>12</v>
      </c>
      <c r="H78" t="n">
        <v>12</v>
      </c>
    </row>
    <row r="79">
      <c r="A79" t="inlineStr">
        <is>
          <t>Kiritych~</t>
        </is>
      </c>
      <c r="B79" t="inlineStr">
        <is>
          <t>10/23</t>
        </is>
      </c>
      <c r="C79" t="inlineStr">
        <is>
          <t>AI</t>
        </is>
      </c>
      <c r="D79" t="n">
        <v>5</v>
      </c>
      <c r="E79" t="n">
        <v>8</v>
      </c>
      <c r="F79" t="n">
        <v>0</v>
      </c>
      <c r="G79" t="n">
        <v>13</v>
      </c>
      <c r="H79" t="n">
        <v>13</v>
      </c>
    </row>
    <row r="80">
      <c r="A80" t="inlineStr">
        <is>
          <t>Kiritych~</t>
        </is>
      </c>
      <c r="B80" t="inlineStr">
        <is>
          <t>10/02</t>
        </is>
      </c>
      <c r="C80" t="inlineStr">
        <is>
          <t>OG</t>
        </is>
      </c>
      <c r="D80" t="n">
        <v>8</v>
      </c>
      <c r="E80" t="n">
        <v>8</v>
      </c>
      <c r="F80" t="n">
        <v>4</v>
      </c>
      <c r="G80" t="n">
        <v>16</v>
      </c>
      <c r="H80" t="n">
        <v>20</v>
      </c>
    </row>
    <row r="81">
      <c r="A81" t="inlineStr">
        <is>
          <t>Kiritych~</t>
        </is>
      </c>
      <c r="B81" t="inlineStr">
        <is>
          <t>10/01</t>
        </is>
      </c>
      <c r="C81" t="inlineStr">
        <is>
          <t>TY</t>
        </is>
      </c>
      <c r="D81" t="n">
        <v>6</v>
      </c>
      <c r="E81" t="n">
        <v>7</v>
      </c>
      <c r="F81" t="n">
        <v>0</v>
      </c>
      <c r="G81" t="n">
        <v>13</v>
      </c>
      <c r="H81" t="n">
        <v>13</v>
      </c>
    </row>
    <row r="82">
      <c r="A82" t="inlineStr">
        <is>
          <t>Kiritych~</t>
        </is>
      </c>
      <c r="B82" t="inlineStr">
        <is>
          <t>09/30</t>
        </is>
      </c>
      <c r="C82" t="inlineStr">
        <is>
          <t>OG</t>
        </is>
      </c>
      <c r="D82" t="n">
        <v>13</v>
      </c>
      <c r="E82" t="n">
        <v>2</v>
      </c>
      <c r="F82" t="n">
        <v>13</v>
      </c>
      <c r="G82" t="n">
        <v>15</v>
      </c>
      <c r="H82" t="n">
        <v>28</v>
      </c>
    </row>
    <row r="83">
      <c r="A83" t="inlineStr">
        <is>
          <t>Kiritych~</t>
        </is>
      </c>
      <c r="B83" t="inlineStr">
        <is>
          <t>08/22</t>
        </is>
      </c>
      <c r="C83" t="inlineStr">
        <is>
          <t>NGX</t>
        </is>
      </c>
      <c r="D83" t="n">
        <v>7</v>
      </c>
      <c r="E83" t="n">
        <v>1</v>
      </c>
      <c r="F83" t="n">
        <v>6</v>
      </c>
      <c r="G83" t="n">
        <v>8</v>
      </c>
      <c r="H83" t="n">
        <v>14</v>
      </c>
    </row>
    <row r="84">
      <c r="A84" t="inlineStr">
        <is>
          <t>Kiritych~</t>
        </is>
      </c>
      <c r="B84" t="inlineStr">
        <is>
          <t>08/21</t>
        </is>
      </c>
      <c r="C84" t="inlineStr">
        <is>
          <t>IW</t>
        </is>
      </c>
      <c r="D84" t="n">
        <v>1</v>
      </c>
      <c r="E84" t="n">
        <v>7</v>
      </c>
      <c r="F84" t="n">
        <v>10</v>
      </c>
      <c r="G84" t="n">
        <v>8</v>
      </c>
      <c r="H84" t="n">
        <v>18</v>
      </c>
    </row>
    <row r="85">
      <c r="A85" t="inlineStr">
        <is>
          <t>Kiritych~</t>
        </is>
      </c>
      <c r="B85" t="inlineStr">
        <is>
          <t>08/20</t>
        </is>
      </c>
      <c r="C85" t="inlineStr">
        <is>
          <t>VSN</t>
        </is>
      </c>
      <c r="D85" t="n">
        <v>7</v>
      </c>
      <c r="E85" t="n">
        <v>6</v>
      </c>
      <c r="F85" t="n">
        <v>1</v>
      </c>
      <c r="G85" t="n">
        <v>13</v>
      </c>
      <c r="H85" t="n">
        <v>14</v>
      </c>
    </row>
    <row r="86">
      <c r="A86" t="inlineStr">
        <is>
          <t>Kiritych~</t>
        </is>
      </c>
      <c r="B86" t="inlineStr">
        <is>
          <t>08/16</t>
        </is>
      </c>
      <c r="C86" t="inlineStr">
        <is>
          <t>AUR</t>
        </is>
      </c>
      <c r="D86" t="n">
        <v>17</v>
      </c>
      <c r="E86" t="n">
        <v>10</v>
      </c>
      <c r="F86" t="n">
        <v>0</v>
      </c>
      <c r="G86" t="n">
        <v>27</v>
      </c>
      <c r="H86" t="n">
        <v>27</v>
      </c>
    </row>
    <row r="87">
      <c r="A87" t="inlineStr">
        <is>
          <t>Kiritych~</t>
        </is>
      </c>
      <c r="B87" t="inlineStr">
        <is>
          <t>08/15</t>
        </is>
      </c>
      <c r="C87" t="inlineStr">
        <is>
          <t>FLC</t>
        </is>
      </c>
      <c r="D87" t="n">
        <v>5</v>
      </c>
      <c r="E87" t="n">
        <v>11</v>
      </c>
      <c r="F87" t="n">
        <v>6</v>
      </c>
      <c r="G87" t="n">
        <v>16</v>
      </c>
      <c r="H87" t="n">
        <v>22</v>
      </c>
    </row>
    <row r="88">
      <c r="A88" t="inlineStr">
        <is>
          <t>Kiritych~</t>
        </is>
      </c>
      <c r="B88" t="inlineStr">
        <is>
          <t>08/15</t>
        </is>
      </c>
      <c r="C88" t="inlineStr">
        <is>
          <t>AUR</t>
        </is>
      </c>
      <c r="D88" t="n">
        <v>6</v>
      </c>
      <c r="E88" t="n">
        <v>4</v>
      </c>
      <c r="F88" t="n">
        <v>0</v>
      </c>
      <c r="G88" t="n">
        <v>10</v>
      </c>
      <c r="H88" t="n">
        <v>10</v>
      </c>
    </row>
    <row r="89">
      <c r="A89" t="inlineStr">
        <is>
          <t>Kiritych~</t>
        </is>
      </c>
      <c r="B89" t="inlineStr">
        <is>
          <t>08/14</t>
        </is>
      </c>
      <c r="C89" t="inlineStr">
        <is>
          <t>VSN</t>
        </is>
      </c>
      <c r="D89" t="n">
        <v>0</v>
      </c>
      <c r="E89" t="n">
        <v>13</v>
      </c>
      <c r="F89" t="n">
        <v>0</v>
      </c>
      <c r="G89" t="n">
        <v>13</v>
      </c>
      <c r="H89" t="n">
        <v>13</v>
      </c>
    </row>
    <row r="90">
      <c r="A90" t="inlineStr">
        <is>
          <t>Kiritych~</t>
        </is>
      </c>
      <c r="B90" t="inlineStr">
        <is>
          <t>08/13</t>
        </is>
      </c>
      <c r="C90" t="inlineStr">
        <is>
          <t>Iron Wing</t>
        </is>
      </c>
      <c r="D90" t="n">
        <v>11</v>
      </c>
      <c r="E90" t="n">
        <v>1</v>
      </c>
      <c r="F90" t="n">
        <v>9</v>
      </c>
      <c r="G90" t="n">
        <v>12</v>
      </c>
      <c r="H90" t="n">
        <v>21</v>
      </c>
    </row>
    <row r="91">
      <c r="A91" t="inlineStr">
        <is>
          <t>Kiritych~</t>
        </is>
      </c>
      <c r="B91" t="inlineStr">
        <is>
          <t>08/13</t>
        </is>
      </c>
      <c r="C91" t="inlineStr">
        <is>
          <t>OG</t>
        </is>
      </c>
      <c r="D91" t="n">
        <v>6</v>
      </c>
      <c r="E91" t="n">
        <v>9</v>
      </c>
      <c r="F91" t="n">
        <v>0</v>
      </c>
      <c r="G91" t="n">
        <v>15</v>
      </c>
      <c r="H91" t="n">
        <v>15</v>
      </c>
    </row>
    <row r="92">
      <c r="A92" t="inlineStr">
        <is>
          <t>MieRo</t>
        </is>
      </c>
      <c r="B92" t="inlineStr">
        <is>
          <t>10/25</t>
        </is>
      </c>
      <c r="C92" t="inlineStr">
        <is>
          <t>PARI</t>
        </is>
      </c>
      <c r="D92" t="n">
        <v>1</v>
      </c>
      <c r="E92" t="n">
        <v>5</v>
      </c>
      <c r="F92" t="n">
        <v>0</v>
      </c>
      <c r="G92" t="n">
        <v>6</v>
      </c>
      <c r="H92" t="n">
        <v>6</v>
      </c>
    </row>
    <row r="93">
      <c r="A93" t="inlineStr">
        <is>
          <t>MieRo</t>
        </is>
      </c>
      <c r="B93" t="inlineStr">
        <is>
          <t>10/24</t>
        </is>
      </c>
      <c r="C93" t="inlineStr">
        <is>
          <t>TS</t>
        </is>
      </c>
      <c r="D93" t="n">
        <v>8</v>
      </c>
      <c r="E93" t="n">
        <v>4</v>
      </c>
      <c r="F93" t="n">
        <v>0</v>
      </c>
      <c r="G93" t="n">
        <v>12</v>
      </c>
      <c r="H93" t="n">
        <v>12</v>
      </c>
    </row>
    <row r="94">
      <c r="A94" t="inlineStr">
        <is>
          <t>MieRo</t>
        </is>
      </c>
      <c r="B94" t="inlineStr">
        <is>
          <t>10/23</t>
        </is>
      </c>
      <c r="C94" t="inlineStr">
        <is>
          <t>AI</t>
        </is>
      </c>
      <c r="D94" t="n">
        <v>0</v>
      </c>
      <c r="E94" t="n">
        <v>3</v>
      </c>
      <c r="F94" t="n">
        <v>0</v>
      </c>
      <c r="G94" t="n">
        <v>3</v>
      </c>
      <c r="H94" t="n">
        <v>3</v>
      </c>
    </row>
    <row r="95">
      <c r="A95" t="inlineStr">
        <is>
          <t>MieRo</t>
        </is>
      </c>
      <c r="B95" t="inlineStr">
        <is>
          <t>10/02</t>
        </is>
      </c>
      <c r="C95" t="inlineStr">
        <is>
          <t>OG</t>
        </is>
      </c>
      <c r="D95" t="n">
        <v>2</v>
      </c>
      <c r="E95" t="n">
        <v>11</v>
      </c>
      <c r="F95" t="n">
        <v>7</v>
      </c>
      <c r="G95" t="n">
        <v>13</v>
      </c>
      <c r="H95" t="n">
        <v>20</v>
      </c>
    </row>
    <row r="96">
      <c r="A96" t="inlineStr">
        <is>
          <t>MieRo</t>
        </is>
      </c>
      <c r="B96" t="inlineStr">
        <is>
          <t>10/01</t>
        </is>
      </c>
      <c r="C96" t="inlineStr">
        <is>
          <t>TY</t>
        </is>
      </c>
      <c r="D96" t="n">
        <v>8</v>
      </c>
      <c r="E96" t="n">
        <v>7</v>
      </c>
      <c r="F96" t="n">
        <v>0</v>
      </c>
      <c r="G96" t="n">
        <v>15</v>
      </c>
      <c r="H96" t="n">
        <v>15</v>
      </c>
    </row>
    <row r="97">
      <c r="A97" t="inlineStr">
        <is>
          <t>MieRo</t>
        </is>
      </c>
      <c r="B97" t="inlineStr">
        <is>
          <t>09/30</t>
        </is>
      </c>
      <c r="C97" t="inlineStr">
        <is>
          <t>OG</t>
        </is>
      </c>
      <c r="D97" t="n">
        <v>6</v>
      </c>
      <c r="E97" t="n">
        <v>2</v>
      </c>
      <c r="F97" t="n">
        <v>10</v>
      </c>
      <c r="G97" t="n">
        <v>8</v>
      </c>
      <c r="H97" t="n">
        <v>18</v>
      </c>
    </row>
    <row r="98">
      <c r="A98" t="inlineStr">
        <is>
          <t>MieRo</t>
        </is>
      </c>
      <c r="B98" t="inlineStr">
        <is>
          <t>08/22</t>
        </is>
      </c>
      <c r="C98" t="inlineStr">
        <is>
          <t>NGX</t>
        </is>
      </c>
      <c r="D98" t="n">
        <v>3</v>
      </c>
      <c r="E98" t="n">
        <v>0</v>
      </c>
      <c r="F98" t="n">
        <v>2</v>
      </c>
      <c r="G98" t="n">
        <v>3</v>
      </c>
      <c r="H98" t="n">
        <v>5</v>
      </c>
    </row>
    <row r="99">
      <c r="A99" t="inlineStr">
        <is>
          <t>MieRo</t>
        </is>
      </c>
      <c r="B99" t="inlineStr">
        <is>
          <t>08/21</t>
        </is>
      </c>
      <c r="C99" t="inlineStr">
        <is>
          <t>IW</t>
        </is>
      </c>
      <c r="D99" t="n">
        <v>0</v>
      </c>
      <c r="E99" t="n">
        <v>2</v>
      </c>
      <c r="F99" t="n">
        <v>9</v>
      </c>
      <c r="G99" t="n">
        <v>2</v>
      </c>
      <c r="H99" t="n">
        <v>11</v>
      </c>
    </row>
    <row r="100">
      <c r="A100" t="inlineStr">
        <is>
          <t>MieRo</t>
        </is>
      </c>
      <c r="B100" t="inlineStr">
        <is>
          <t>08/20</t>
        </is>
      </c>
      <c r="C100" t="inlineStr">
        <is>
          <t>VSN</t>
        </is>
      </c>
      <c r="D100" t="n">
        <v>3</v>
      </c>
      <c r="E100" t="n">
        <v>7</v>
      </c>
      <c r="F100" t="n">
        <v>4</v>
      </c>
      <c r="G100" t="n">
        <v>10</v>
      </c>
      <c r="H100" t="n">
        <v>14</v>
      </c>
    </row>
    <row r="101">
      <c r="A101" t="inlineStr">
        <is>
          <t>MieRo</t>
        </is>
      </c>
      <c r="B101" t="inlineStr">
        <is>
          <t>08/16</t>
        </is>
      </c>
      <c r="C101" t="inlineStr">
        <is>
          <t>AUR</t>
        </is>
      </c>
      <c r="D101" t="n">
        <v>6</v>
      </c>
      <c r="E101" t="n">
        <v>1</v>
      </c>
      <c r="F101" t="n">
        <v>0</v>
      </c>
      <c r="G101" t="n">
        <v>7</v>
      </c>
      <c r="H101" t="n">
        <v>7</v>
      </c>
    </row>
    <row r="102">
      <c r="A102" t="inlineStr">
        <is>
          <t>MieRo</t>
        </is>
      </c>
      <c r="B102" t="inlineStr">
        <is>
          <t>08/15</t>
        </is>
      </c>
      <c r="C102" t="inlineStr">
        <is>
          <t>FLC</t>
        </is>
      </c>
      <c r="D102" t="n">
        <v>2</v>
      </c>
      <c r="E102" t="n">
        <v>10</v>
      </c>
      <c r="F102" t="n">
        <v>2</v>
      </c>
      <c r="G102" t="n">
        <v>12</v>
      </c>
      <c r="H102" t="n">
        <v>14</v>
      </c>
    </row>
    <row r="103">
      <c r="A103" t="inlineStr">
        <is>
          <t>MieRo</t>
        </is>
      </c>
      <c r="B103" t="inlineStr">
        <is>
          <t>08/15</t>
        </is>
      </c>
      <c r="C103" t="inlineStr">
        <is>
          <t>AUR</t>
        </is>
      </c>
      <c r="D103" t="n">
        <v>4</v>
      </c>
      <c r="E103" t="n">
        <v>0</v>
      </c>
      <c r="F103" t="n">
        <v>0</v>
      </c>
      <c r="G103" t="n">
        <v>4</v>
      </c>
      <c r="H103" t="n">
        <v>4</v>
      </c>
    </row>
    <row r="104">
      <c r="A104" t="inlineStr">
        <is>
          <t>MieRo</t>
        </is>
      </c>
      <c r="B104" t="inlineStr">
        <is>
          <t>08/14</t>
        </is>
      </c>
      <c r="C104" t="inlineStr">
        <is>
          <t>VSN</t>
        </is>
      </c>
      <c r="D104" t="n">
        <v>3</v>
      </c>
      <c r="E104" t="n">
        <v>6</v>
      </c>
      <c r="F104" t="n">
        <v>0</v>
      </c>
      <c r="G104" t="n">
        <v>9</v>
      </c>
      <c r="H104" t="n">
        <v>9</v>
      </c>
    </row>
    <row r="105">
      <c r="A105" t="inlineStr">
        <is>
          <t>MieRo</t>
        </is>
      </c>
      <c r="B105" t="inlineStr">
        <is>
          <t>08/13</t>
        </is>
      </c>
      <c r="C105" t="inlineStr">
        <is>
          <t>Iron Wing</t>
        </is>
      </c>
      <c r="D105" t="n">
        <v>8</v>
      </c>
      <c r="E105" t="n">
        <v>1</v>
      </c>
      <c r="F105" t="n">
        <v>13</v>
      </c>
      <c r="G105" t="n">
        <v>9</v>
      </c>
      <c r="H105" t="n">
        <v>22</v>
      </c>
    </row>
    <row r="106">
      <c r="A106" t="inlineStr">
        <is>
          <t>MieRo</t>
        </is>
      </c>
      <c r="B106" t="inlineStr">
        <is>
          <t>08/13</t>
        </is>
      </c>
      <c r="C106" t="inlineStr">
        <is>
          <t>OG</t>
        </is>
      </c>
      <c r="D106" t="n">
        <v>4</v>
      </c>
      <c r="E106" t="n">
        <v>5</v>
      </c>
      <c r="F106" t="n">
        <v>0</v>
      </c>
      <c r="G106" t="n">
        <v>9</v>
      </c>
      <c r="H106" t="n">
        <v>9</v>
      </c>
    </row>
    <row r="107">
      <c r="A107" t="inlineStr">
        <is>
          <t>swedenstrong</t>
        </is>
      </c>
      <c r="B107" t="inlineStr">
        <is>
          <t>10/25</t>
        </is>
      </c>
      <c r="C107" t="inlineStr">
        <is>
          <t>PARI</t>
        </is>
      </c>
      <c r="D107" t="n">
        <v>3</v>
      </c>
      <c r="E107" t="n">
        <v>4</v>
      </c>
      <c r="F107" t="n">
        <v>0</v>
      </c>
      <c r="G107" t="n">
        <v>7</v>
      </c>
      <c r="H107" t="n">
        <v>7</v>
      </c>
    </row>
    <row r="108">
      <c r="A108" t="inlineStr">
        <is>
          <t>swedenstrong</t>
        </is>
      </c>
      <c r="B108" t="inlineStr">
        <is>
          <t>10/24</t>
        </is>
      </c>
      <c r="C108" t="inlineStr">
        <is>
          <t>TS</t>
        </is>
      </c>
      <c r="D108" t="n">
        <v>1</v>
      </c>
      <c r="E108" t="n">
        <v>1</v>
      </c>
      <c r="F108" t="n">
        <v>0</v>
      </c>
      <c r="G108" t="n">
        <v>2</v>
      </c>
      <c r="H108" t="n">
        <v>2</v>
      </c>
    </row>
    <row r="109">
      <c r="A109" t="inlineStr">
        <is>
          <t>swedenstrong</t>
        </is>
      </c>
      <c r="B109" t="inlineStr">
        <is>
          <t>10/23</t>
        </is>
      </c>
      <c r="C109" t="inlineStr">
        <is>
          <t>AI</t>
        </is>
      </c>
      <c r="D109" t="n">
        <v>2</v>
      </c>
      <c r="E109" t="n">
        <v>1</v>
      </c>
      <c r="F109" t="n">
        <v>0</v>
      </c>
      <c r="G109" t="n">
        <v>3</v>
      </c>
      <c r="H109" t="n">
        <v>3</v>
      </c>
    </row>
    <row r="110">
      <c r="A110" t="inlineStr">
        <is>
          <t>swedenstrong</t>
        </is>
      </c>
      <c r="B110" t="inlineStr">
        <is>
          <t>10/02</t>
        </is>
      </c>
      <c r="C110" t="inlineStr">
        <is>
          <t>OG</t>
        </is>
      </c>
      <c r="D110" t="n">
        <v>3</v>
      </c>
      <c r="E110" t="n">
        <v>3</v>
      </c>
      <c r="F110" t="n">
        <v>2</v>
      </c>
      <c r="G110" t="n">
        <v>6</v>
      </c>
      <c r="H110" t="n">
        <v>8</v>
      </c>
    </row>
    <row r="111">
      <c r="A111" t="inlineStr">
        <is>
          <t>swedenstrong</t>
        </is>
      </c>
      <c r="B111" t="inlineStr">
        <is>
          <t>10/01</t>
        </is>
      </c>
      <c r="C111" t="inlineStr">
        <is>
          <t>TY</t>
        </is>
      </c>
      <c r="D111" t="n">
        <v>2</v>
      </c>
      <c r="E111" t="n">
        <v>2</v>
      </c>
      <c r="F111" t="n">
        <v>0</v>
      </c>
      <c r="G111" t="n">
        <v>4</v>
      </c>
      <c r="H111" t="n">
        <v>4</v>
      </c>
    </row>
    <row r="112">
      <c r="A112" t="inlineStr">
        <is>
          <t>swedenstrong</t>
        </is>
      </c>
      <c r="B112" t="inlineStr">
        <is>
          <t>09/30</t>
        </is>
      </c>
      <c r="C112" t="inlineStr">
        <is>
          <t>OG</t>
        </is>
      </c>
      <c r="D112" t="n">
        <v>4</v>
      </c>
      <c r="E112" t="n">
        <v>1</v>
      </c>
      <c r="F112" t="n">
        <v>2</v>
      </c>
      <c r="G112" t="n">
        <v>5</v>
      </c>
      <c r="H112" t="n">
        <v>7</v>
      </c>
    </row>
    <row r="113">
      <c r="A113" t="inlineStr">
        <is>
          <t>swedenstrong</t>
        </is>
      </c>
      <c r="B113" t="inlineStr">
        <is>
          <t>09/13</t>
        </is>
      </c>
      <c r="C113" t="inlineStr">
        <is>
          <t>Dawn Bulls</t>
        </is>
      </c>
      <c r="D113" t="n">
        <v>5</v>
      </c>
      <c r="E113" t="n">
        <v>1</v>
      </c>
      <c r="F113" t="n">
        <v>0</v>
      </c>
      <c r="G113" t="n">
        <v>6</v>
      </c>
      <c r="H113" t="n">
        <v>6</v>
      </c>
    </row>
    <row r="114">
      <c r="A114" t="inlineStr">
        <is>
          <t>swedenstrong</t>
        </is>
      </c>
      <c r="B114" t="inlineStr">
        <is>
          <t>09/12</t>
        </is>
      </c>
      <c r="C114" t="inlineStr">
        <is>
          <t>HULIGANI</t>
        </is>
      </c>
      <c r="D114" t="n">
        <v>5</v>
      </c>
      <c r="E114" t="n">
        <v>5</v>
      </c>
      <c r="F114" t="n">
        <v>0</v>
      </c>
      <c r="G114" t="n">
        <v>10</v>
      </c>
      <c r="H114" t="n">
        <v>10</v>
      </c>
    </row>
    <row r="115">
      <c r="A115" t="inlineStr">
        <is>
          <t>swedenstrong</t>
        </is>
      </c>
      <c r="B115" t="inlineStr">
        <is>
          <t>09/10</t>
        </is>
      </c>
      <c r="C115" t="inlineStr">
        <is>
          <t>Na`Vi</t>
        </is>
      </c>
      <c r="D115" t="n">
        <v>5</v>
      </c>
      <c r="E115" t="n">
        <v>0</v>
      </c>
      <c r="F115" t="n">
        <v>3</v>
      </c>
      <c r="G115" t="n">
        <v>5</v>
      </c>
      <c r="H115" t="n">
        <v>8</v>
      </c>
    </row>
    <row r="116">
      <c r="A116" t="inlineStr">
        <is>
          <t>swedenstrong</t>
        </is>
      </c>
      <c r="B116" t="inlineStr">
        <is>
          <t>09/10</t>
        </is>
      </c>
      <c r="C116" t="inlineStr">
        <is>
          <t>GL</t>
        </is>
      </c>
      <c r="D116" t="n">
        <v>2</v>
      </c>
      <c r="E116" t="n">
        <v>3</v>
      </c>
      <c r="F116" t="n">
        <v>0</v>
      </c>
      <c r="G116" t="n">
        <v>5</v>
      </c>
      <c r="H116" t="n">
        <v>5</v>
      </c>
    </row>
    <row r="117">
      <c r="A117" t="inlineStr">
        <is>
          <t>swedenstrong</t>
        </is>
      </c>
      <c r="B117" t="inlineStr">
        <is>
          <t>09/09</t>
        </is>
      </c>
      <c r="C117" t="inlineStr">
        <is>
          <t>MOUZ</t>
        </is>
      </c>
      <c r="D117" t="n">
        <v>1</v>
      </c>
      <c r="E117" t="n">
        <v>1</v>
      </c>
      <c r="F117" t="n">
        <v>3</v>
      </c>
      <c r="G117" t="n">
        <v>2</v>
      </c>
      <c r="H117" t="n">
        <v>5</v>
      </c>
    </row>
    <row r="118">
      <c r="A118" t="inlineStr">
        <is>
          <t>swedenstrong</t>
        </is>
      </c>
      <c r="B118" t="inlineStr">
        <is>
          <t>09/09</t>
        </is>
      </c>
      <c r="C118" t="inlineStr">
        <is>
          <t>Team Synapse</t>
        </is>
      </c>
      <c r="D118" t="n">
        <v>2</v>
      </c>
      <c r="E118" t="n">
        <v>2</v>
      </c>
      <c r="F118" t="n">
        <v>5</v>
      </c>
      <c r="G118" t="n">
        <v>4</v>
      </c>
      <c r="H118" t="n">
        <v>9</v>
      </c>
    </row>
    <row r="119">
      <c r="A119" t="inlineStr">
        <is>
          <t>swedenstrong</t>
        </is>
      </c>
      <c r="B119" t="inlineStr">
        <is>
          <t>09/08</t>
        </is>
      </c>
      <c r="C119" t="inlineStr">
        <is>
          <t>Na`Vi</t>
        </is>
      </c>
      <c r="D119" t="n">
        <v>2</v>
      </c>
      <c r="E119" t="n">
        <v>5</v>
      </c>
      <c r="F119" t="n">
        <v>2</v>
      </c>
      <c r="G119" t="n">
        <v>7</v>
      </c>
      <c r="H119" t="n">
        <v>9</v>
      </c>
    </row>
    <row r="120">
      <c r="A120" t="inlineStr">
        <is>
          <t>swedenstrong</t>
        </is>
      </c>
      <c r="B120" t="inlineStr">
        <is>
          <t>09/07</t>
        </is>
      </c>
      <c r="C120" t="inlineStr">
        <is>
          <t>HULIGANI</t>
        </is>
      </c>
      <c r="D120" t="n">
        <v>5</v>
      </c>
      <c r="E120" t="n">
        <v>12</v>
      </c>
      <c r="F120" t="n">
        <v>0</v>
      </c>
      <c r="G120" t="n">
        <v>17</v>
      </c>
      <c r="H120" t="n">
        <v>17</v>
      </c>
    </row>
    <row r="121">
      <c r="A121" t="inlineStr">
        <is>
          <t>swedenstrong</t>
        </is>
      </c>
      <c r="B121" t="inlineStr">
        <is>
          <t>09/06</t>
        </is>
      </c>
      <c r="C121" t="inlineStr">
        <is>
          <t>PIPS+4</t>
        </is>
      </c>
      <c r="D121" t="n">
        <v>3</v>
      </c>
      <c r="E121" t="n">
        <v>7</v>
      </c>
      <c r="F121" t="n">
        <v>1</v>
      </c>
      <c r="G121" t="n">
        <v>10</v>
      </c>
      <c r="H121" t="n">
        <v>11</v>
      </c>
    </row>
    <row r="122">
      <c r="A122" t="inlineStr">
        <is>
          <t>knight</t>
        </is>
      </c>
      <c r="B122" t="inlineStr">
        <is>
          <t>10/25</t>
        </is>
      </c>
      <c r="C122" t="inlineStr">
        <is>
          <t>TL</t>
        </is>
      </c>
      <c r="D122" t="n">
        <v>6</v>
      </c>
      <c r="E122" t="n">
        <v>0</v>
      </c>
      <c r="F122" t="n">
        <v>0</v>
      </c>
      <c r="G122" t="n">
        <v>6</v>
      </c>
      <c r="H122" t="n">
        <v>6</v>
      </c>
    </row>
    <row r="123">
      <c r="A123" t="inlineStr">
        <is>
          <t>knight</t>
        </is>
      </c>
      <c r="B123" t="inlineStr">
        <is>
          <t>10/23</t>
        </is>
      </c>
      <c r="C123" t="inlineStr">
        <is>
          <t>MKOI</t>
        </is>
      </c>
      <c r="D123" t="n">
        <v>6</v>
      </c>
      <c r="E123" t="n">
        <v>0</v>
      </c>
      <c r="F123" t="n">
        <v>0</v>
      </c>
      <c r="G123" t="n">
        <v>6</v>
      </c>
      <c r="H123" t="n">
        <v>6</v>
      </c>
    </row>
    <row r="124">
      <c r="A124" t="inlineStr">
        <is>
          <t>knight</t>
        </is>
      </c>
      <c r="B124" t="inlineStr">
        <is>
          <t>09/13</t>
        </is>
      </c>
      <c r="C124" t="inlineStr">
        <is>
          <t>AL</t>
        </is>
      </c>
      <c r="D124" t="n">
        <v>2</v>
      </c>
      <c r="E124" t="n">
        <v>0</v>
      </c>
      <c r="F124" t="n">
        <v>10</v>
      </c>
      <c r="G124" t="n">
        <v>2</v>
      </c>
      <c r="H124" t="n">
        <v>12</v>
      </c>
    </row>
    <row r="125">
      <c r="A125" t="inlineStr">
        <is>
          <t>knight</t>
        </is>
      </c>
      <c r="B125" t="inlineStr">
        <is>
          <t>09/07</t>
        </is>
      </c>
      <c r="C125" t="inlineStr">
        <is>
          <t>AL</t>
        </is>
      </c>
      <c r="D125" t="n">
        <v>6</v>
      </c>
      <c r="E125" t="n">
        <v>2</v>
      </c>
      <c r="F125" t="n">
        <v>8</v>
      </c>
      <c r="G125" t="n">
        <v>8</v>
      </c>
      <c r="H125" t="n">
        <v>16</v>
      </c>
    </row>
    <row r="126">
      <c r="A126" t="inlineStr">
        <is>
          <t>knight</t>
        </is>
      </c>
      <c r="B126" t="inlineStr">
        <is>
          <t>09/03</t>
        </is>
      </c>
      <c r="C126" t="inlineStr">
        <is>
          <t>WE</t>
        </is>
      </c>
      <c r="D126" t="n">
        <v>2</v>
      </c>
      <c r="E126" t="n">
        <v>7</v>
      </c>
      <c r="F126" t="n">
        <v>1</v>
      </c>
      <c r="G126" t="n">
        <v>9</v>
      </c>
      <c r="H126" t="n">
        <v>10</v>
      </c>
    </row>
    <row r="127">
      <c r="A127" t="inlineStr">
        <is>
          <t>knight</t>
        </is>
      </c>
      <c r="B127" t="inlineStr">
        <is>
          <t>08/23</t>
        </is>
      </c>
      <c r="C127" t="inlineStr">
        <is>
          <t>AL</t>
        </is>
      </c>
      <c r="D127" t="n">
        <v>4</v>
      </c>
      <c r="E127" t="n">
        <v>4</v>
      </c>
      <c r="F127" t="n">
        <v>11</v>
      </c>
      <c r="G127" t="n">
        <v>8</v>
      </c>
      <c r="H127" t="n">
        <v>19</v>
      </c>
    </row>
    <row r="128">
      <c r="A128" t="inlineStr">
        <is>
          <t>knight</t>
        </is>
      </c>
      <c r="B128" t="inlineStr">
        <is>
          <t>08/21</t>
        </is>
      </c>
      <c r="C128" t="inlineStr">
        <is>
          <t>TES</t>
        </is>
      </c>
      <c r="D128" t="n">
        <v>7</v>
      </c>
      <c r="E128" t="n">
        <v>7</v>
      </c>
      <c r="F128" t="n">
        <v>0</v>
      </c>
      <c r="G128" t="n">
        <v>14</v>
      </c>
      <c r="H128" t="n">
        <v>14</v>
      </c>
    </row>
    <row r="129">
      <c r="A129" t="inlineStr">
        <is>
          <t>knight</t>
        </is>
      </c>
      <c r="B129" t="inlineStr">
        <is>
          <t>08/20</t>
        </is>
      </c>
      <c r="C129" t="inlineStr">
        <is>
          <t>LGD</t>
        </is>
      </c>
      <c r="D129" t="n">
        <v>1</v>
      </c>
      <c r="E129" t="n">
        <v>6</v>
      </c>
      <c r="F129" t="n">
        <v>6</v>
      </c>
      <c r="G129" t="n">
        <v>7</v>
      </c>
      <c r="H129" t="n">
        <v>13</v>
      </c>
    </row>
    <row r="130">
      <c r="A130" t="inlineStr">
        <is>
          <t>knight</t>
        </is>
      </c>
      <c r="B130" t="inlineStr">
        <is>
          <t>08/15</t>
        </is>
      </c>
      <c r="C130" t="inlineStr">
        <is>
          <t>WE</t>
        </is>
      </c>
      <c r="D130" t="n">
        <v>4</v>
      </c>
      <c r="E130" t="n">
        <v>9</v>
      </c>
      <c r="F130" t="n">
        <v>0</v>
      </c>
      <c r="G130" t="n">
        <v>13</v>
      </c>
      <c r="H130" t="n">
        <v>13</v>
      </c>
    </row>
    <row r="131">
      <c r="A131" t="inlineStr">
        <is>
          <t>knight</t>
        </is>
      </c>
      <c r="B131" t="inlineStr">
        <is>
          <t>08/13</t>
        </is>
      </c>
      <c r="C131" t="inlineStr">
        <is>
          <t>TT</t>
        </is>
      </c>
      <c r="D131" t="n">
        <v>8</v>
      </c>
      <c r="E131" t="n">
        <v>8</v>
      </c>
      <c r="F131" t="n">
        <v>0</v>
      </c>
      <c r="G131" t="n">
        <v>16</v>
      </c>
      <c r="H131" t="n">
        <v>16</v>
      </c>
    </row>
    <row r="132">
      <c r="A132" t="inlineStr">
        <is>
          <t>knight</t>
        </is>
      </c>
      <c r="B132" t="inlineStr">
        <is>
          <t>08/12</t>
        </is>
      </c>
      <c r="C132" t="inlineStr">
        <is>
          <t>JDG</t>
        </is>
      </c>
      <c r="D132" t="n">
        <v>16</v>
      </c>
      <c r="E132" t="n">
        <v>2</v>
      </c>
      <c r="F132" t="n">
        <v>7</v>
      </c>
      <c r="G132" t="n">
        <v>18</v>
      </c>
      <c r="H132" t="n">
        <v>25</v>
      </c>
    </row>
    <row r="133">
      <c r="A133" t="inlineStr">
        <is>
          <t>knight</t>
        </is>
      </c>
      <c r="B133" t="inlineStr">
        <is>
          <t>08/08</t>
        </is>
      </c>
      <c r="C133" t="inlineStr">
        <is>
          <t>EDG</t>
        </is>
      </c>
      <c r="D133" t="n">
        <v>5</v>
      </c>
      <c r="E133" t="n">
        <v>0</v>
      </c>
      <c r="F133" t="n">
        <v>0</v>
      </c>
      <c r="G133" t="n">
        <v>5</v>
      </c>
      <c r="H133" t="n">
        <v>5</v>
      </c>
    </row>
    <row r="134">
      <c r="A134" t="inlineStr">
        <is>
          <t>knight</t>
        </is>
      </c>
      <c r="B134" t="inlineStr">
        <is>
          <t>08/07</t>
        </is>
      </c>
      <c r="C134" t="inlineStr">
        <is>
          <t>TES</t>
        </is>
      </c>
      <c r="D134" t="n">
        <v>5</v>
      </c>
      <c r="E134" t="n">
        <v>2</v>
      </c>
      <c r="F134" t="n">
        <v>0</v>
      </c>
      <c r="G134" t="n">
        <v>7</v>
      </c>
      <c r="H134" t="n">
        <v>7</v>
      </c>
    </row>
    <row r="135">
      <c r="A135" t="inlineStr">
        <is>
          <t>knight</t>
        </is>
      </c>
      <c r="B135" t="inlineStr">
        <is>
          <t>08/01</t>
        </is>
      </c>
      <c r="C135" t="inlineStr">
        <is>
          <t>JDG</t>
        </is>
      </c>
      <c r="D135" t="n">
        <v>6</v>
      </c>
      <c r="E135" t="n">
        <v>8</v>
      </c>
      <c r="F135" t="n">
        <v>0</v>
      </c>
      <c r="G135" t="n">
        <v>14</v>
      </c>
      <c r="H135" t="n">
        <v>14</v>
      </c>
    </row>
    <row r="136">
      <c r="A136" t="inlineStr">
        <is>
          <t>knight</t>
        </is>
      </c>
      <c r="B136" t="inlineStr">
        <is>
          <t>07/31</t>
        </is>
      </c>
      <c r="C136" t="inlineStr">
        <is>
          <t>WE</t>
        </is>
      </c>
      <c r="D136" t="n">
        <v>6</v>
      </c>
      <c r="E136" t="n">
        <v>6</v>
      </c>
      <c r="F136" t="n">
        <v>0</v>
      </c>
      <c r="G136" t="n">
        <v>12</v>
      </c>
      <c r="H136" t="n">
        <v>12</v>
      </c>
    </row>
    <row r="137">
      <c r="A137" t="inlineStr">
        <is>
          <t>ON</t>
        </is>
      </c>
      <c r="B137" t="inlineStr">
        <is>
          <t>10/25</t>
        </is>
      </c>
      <c r="C137" t="inlineStr">
        <is>
          <t>TL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ON</t>
        </is>
      </c>
      <c r="B138" t="inlineStr">
        <is>
          <t>10/23</t>
        </is>
      </c>
      <c r="C138" t="inlineStr">
        <is>
          <t>MKOI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ON</t>
        </is>
      </c>
      <c r="B139" t="inlineStr">
        <is>
          <t>09/13</t>
        </is>
      </c>
      <c r="C139" t="inlineStr">
        <is>
          <t>AL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ON</t>
        </is>
      </c>
      <c r="B140" t="inlineStr">
        <is>
          <t>09/07</t>
        </is>
      </c>
      <c r="C140" t="inlineStr">
        <is>
          <t>AL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ON</t>
        </is>
      </c>
      <c r="B141" t="inlineStr">
        <is>
          <t>09/03</t>
        </is>
      </c>
      <c r="C141" t="inlineStr">
        <is>
          <t>WE</t>
        </is>
      </c>
      <c r="D141" t="n">
        <v>0</v>
      </c>
      <c r="E141" t="n">
        <v>2</v>
      </c>
      <c r="F141" t="n">
        <v>1</v>
      </c>
      <c r="G141" t="n">
        <v>2</v>
      </c>
      <c r="H141" t="n">
        <v>3</v>
      </c>
    </row>
    <row r="142">
      <c r="A142" t="inlineStr">
        <is>
          <t>ON</t>
        </is>
      </c>
      <c r="B142" t="inlineStr">
        <is>
          <t>08/23</t>
        </is>
      </c>
      <c r="C142" t="inlineStr">
        <is>
          <t>AL</t>
        </is>
      </c>
      <c r="D142" t="n">
        <v>3</v>
      </c>
      <c r="E142" t="n">
        <v>1</v>
      </c>
      <c r="F142" t="n">
        <v>2</v>
      </c>
      <c r="G142" t="n">
        <v>4</v>
      </c>
      <c r="H142" t="n">
        <v>6</v>
      </c>
    </row>
    <row r="143">
      <c r="A143" t="inlineStr">
        <is>
          <t>ON</t>
        </is>
      </c>
      <c r="B143" t="inlineStr">
        <is>
          <t>08/21</t>
        </is>
      </c>
      <c r="C143" t="inlineStr">
        <is>
          <t>TES</t>
        </is>
      </c>
      <c r="D143" t="n">
        <v>1</v>
      </c>
      <c r="E143" t="n">
        <v>1</v>
      </c>
      <c r="F143" t="n">
        <v>0</v>
      </c>
      <c r="G143" t="n">
        <v>2</v>
      </c>
      <c r="H143" t="n">
        <v>2</v>
      </c>
    </row>
    <row r="144">
      <c r="A144" t="inlineStr">
        <is>
          <t>ON</t>
        </is>
      </c>
      <c r="B144" t="inlineStr">
        <is>
          <t>08/20</t>
        </is>
      </c>
      <c r="C144" t="inlineStr">
        <is>
          <t>LGD</t>
        </is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</row>
    <row r="145">
      <c r="A145" t="inlineStr">
        <is>
          <t>ON</t>
        </is>
      </c>
      <c r="B145" t="inlineStr">
        <is>
          <t>08/15</t>
        </is>
      </c>
      <c r="C145" t="inlineStr">
        <is>
          <t>WE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ON</t>
        </is>
      </c>
      <c r="B146" t="inlineStr">
        <is>
          <t>08/13</t>
        </is>
      </c>
      <c r="C146" t="inlineStr">
        <is>
          <t>TT</t>
        </is>
      </c>
      <c r="D146" t="n">
        <v>2</v>
      </c>
      <c r="E146" t="n">
        <v>1</v>
      </c>
      <c r="F146" t="n">
        <v>0</v>
      </c>
      <c r="G146" t="n">
        <v>3</v>
      </c>
      <c r="H146" t="n">
        <v>3</v>
      </c>
    </row>
    <row r="147">
      <c r="A147" t="inlineStr">
        <is>
          <t>ON</t>
        </is>
      </c>
      <c r="B147" t="inlineStr">
        <is>
          <t>08/12</t>
        </is>
      </c>
      <c r="C147" t="inlineStr">
        <is>
          <t>JDG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ON</t>
        </is>
      </c>
      <c r="B148" t="inlineStr">
        <is>
          <t>08/08</t>
        </is>
      </c>
      <c r="C148" t="inlineStr">
        <is>
          <t>EDG</t>
        </is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</row>
    <row r="149">
      <c r="A149" t="inlineStr">
        <is>
          <t>ON</t>
        </is>
      </c>
      <c r="B149" t="inlineStr">
        <is>
          <t>08/07</t>
        </is>
      </c>
      <c r="C149" t="inlineStr">
        <is>
          <t>TES</t>
        </is>
      </c>
      <c r="D149" t="n">
        <v>2</v>
      </c>
      <c r="E149" t="n">
        <v>0</v>
      </c>
      <c r="F149" t="n">
        <v>0</v>
      </c>
      <c r="G149" t="n">
        <v>2</v>
      </c>
      <c r="H149" t="n">
        <v>2</v>
      </c>
    </row>
    <row r="150">
      <c r="A150" t="inlineStr">
        <is>
          <t>ON</t>
        </is>
      </c>
      <c r="B150" t="inlineStr">
        <is>
          <t>08/01</t>
        </is>
      </c>
      <c r="C150" t="inlineStr">
        <is>
          <t>JDG</t>
        </is>
      </c>
      <c r="D150" t="n">
        <v>1</v>
      </c>
      <c r="E150" t="n">
        <v>2</v>
      </c>
      <c r="F150" t="n">
        <v>0</v>
      </c>
      <c r="G150" t="n">
        <v>3</v>
      </c>
      <c r="H150" t="n">
        <v>3</v>
      </c>
    </row>
    <row r="151">
      <c r="A151" t="inlineStr">
        <is>
          <t>ON</t>
        </is>
      </c>
      <c r="B151" t="inlineStr">
        <is>
          <t>07/31</t>
        </is>
      </c>
      <c r="C151" t="inlineStr">
        <is>
          <t>WE</t>
        </is>
      </c>
      <c r="D151" t="n">
        <v>2</v>
      </c>
      <c r="E151" t="n">
        <v>4</v>
      </c>
      <c r="F151" t="n">
        <v>0</v>
      </c>
      <c r="G151" t="n">
        <v>6</v>
      </c>
      <c r="H151" t="n">
        <v>6</v>
      </c>
    </row>
    <row r="152">
      <c r="A152" t="inlineStr">
        <is>
          <t>Viper</t>
        </is>
      </c>
      <c r="B152" t="inlineStr">
        <is>
          <t>10/25</t>
        </is>
      </c>
      <c r="C152" t="inlineStr">
        <is>
          <t>TL</t>
        </is>
      </c>
      <c r="D152" t="n">
        <v>2</v>
      </c>
      <c r="E152" t="n">
        <v>0</v>
      </c>
      <c r="F152" t="n">
        <v>0</v>
      </c>
      <c r="G152" t="n">
        <v>2</v>
      </c>
      <c r="H152" t="n">
        <v>2</v>
      </c>
    </row>
    <row r="153">
      <c r="A153" t="inlineStr">
        <is>
          <t>Viper</t>
        </is>
      </c>
      <c r="B153" t="inlineStr">
        <is>
          <t>10/23</t>
        </is>
      </c>
      <c r="C153" t="inlineStr">
        <is>
          <t>MKOI</t>
        </is>
      </c>
      <c r="D153" t="n">
        <v>3</v>
      </c>
      <c r="E153" t="n">
        <v>0</v>
      </c>
      <c r="F153" t="n">
        <v>0</v>
      </c>
      <c r="G153" t="n">
        <v>3</v>
      </c>
      <c r="H153" t="n">
        <v>3</v>
      </c>
    </row>
    <row r="154">
      <c r="A154" t="inlineStr">
        <is>
          <t>Viper</t>
        </is>
      </c>
      <c r="B154" t="inlineStr">
        <is>
          <t>09/13</t>
        </is>
      </c>
      <c r="C154" t="inlineStr">
        <is>
          <t>AL</t>
        </is>
      </c>
      <c r="D154" t="n">
        <v>1</v>
      </c>
      <c r="E154" t="n">
        <v>0</v>
      </c>
      <c r="F154" t="n">
        <v>6</v>
      </c>
      <c r="G154" t="n">
        <v>1</v>
      </c>
      <c r="H154" t="n">
        <v>7</v>
      </c>
    </row>
    <row r="155">
      <c r="A155" t="inlineStr">
        <is>
          <t>Viper</t>
        </is>
      </c>
      <c r="B155" t="inlineStr">
        <is>
          <t>09/07</t>
        </is>
      </c>
      <c r="C155" t="inlineStr">
        <is>
          <t>AL</t>
        </is>
      </c>
      <c r="D155" t="n">
        <v>4</v>
      </c>
      <c r="E155" t="n">
        <v>4</v>
      </c>
      <c r="F155" t="n">
        <v>11</v>
      </c>
      <c r="G155" t="n">
        <v>8</v>
      </c>
      <c r="H155" t="n">
        <v>19</v>
      </c>
    </row>
    <row r="156">
      <c r="A156" t="inlineStr">
        <is>
          <t>Viper</t>
        </is>
      </c>
      <c r="B156" t="inlineStr">
        <is>
          <t>09/03</t>
        </is>
      </c>
      <c r="C156" t="inlineStr">
        <is>
          <t>WE</t>
        </is>
      </c>
      <c r="D156" t="n">
        <v>7</v>
      </c>
      <c r="E156" t="n">
        <v>11</v>
      </c>
      <c r="F156" t="n">
        <v>5</v>
      </c>
      <c r="G156" t="n">
        <v>18</v>
      </c>
      <c r="H156" t="n">
        <v>23</v>
      </c>
    </row>
    <row r="157">
      <c r="A157" t="inlineStr">
        <is>
          <t>Viper</t>
        </is>
      </c>
      <c r="B157" t="inlineStr">
        <is>
          <t>08/23</t>
        </is>
      </c>
      <c r="C157" t="inlineStr">
        <is>
          <t>AL</t>
        </is>
      </c>
      <c r="D157" t="n">
        <v>4</v>
      </c>
      <c r="E157" t="n">
        <v>8</v>
      </c>
      <c r="F157" t="n">
        <v>3</v>
      </c>
      <c r="G157" t="n">
        <v>12</v>
      </c>
      <c r="H157" t="n">
        <v>15</v>
      </c>
    </row>
    <row r="158">
      <c r="A158" t="inlineStr">
        <is>
          <t>Viper</t>
        </is>
      </c>
      <c r="B158" t="inlineStr">
        <is>
          <t>08/21</t>
        </is>
      </c>
      <c r="C158" t="inlineStr">
        <is>
          <t>TES</t>
        </is>
      </c>
      <c r="D158" t="n">
        <v>8</v>
      </c>
      <c r="E158" t="n">
        <v>7</v>
      </c>
      <c r="F158" t="n">
        <v>0</v>
      </c>
      <c r="G158" t="n">
        <v>15</v>
      </c>
      <c r="H158" t="n">
        <v>15</v>
      </c>
    </row>
    <row r="159">
      <c r="A159" t="inlineStr">
        <is>
          <t>Viper</t>
        </is>
      </c>
      <c r="B159" t="inlineStr">
        <is>
          <t>08/20</t>
        </is>
      </c>
      <c r="C159" t="inlineStr">
        <is>
          <t>LGD</t>
        </is>
      </c>
      <c r="D159" t="n">
        <v>4</v>
      </c>
      <c r="E159" t="n">
        <v>7</v>
      </c>
      <c r="F159" t="n">
        <v>2</v>
      </c>
      <c r="G159" t="n">
        <v>11</v>
      </c>
      <c r="H159" t="n">
        <v>13</v>
      </c>
    </row>
    <row r="160">
      <c r="A160" t="inlineStr">
        <is>
          <t>Viper</t>
        </is>
      </c>
      <c r="B160" t="inlineStr">
        <is>
          <t>08/15</t>
        </is>
      </c>
      <c r="C160" t="inlineStr">
        <is>
          <t>WE</t>
        </is>
      </c>
      <c r="D160" t="n">
        <v>4</v>
      </c>
      <c r="E160" t="n">
        <v>8</v>
      </c>
      <c r="F160" t="n">
        <v>0</v>
      </c>
      <c r="G160" t="n">
        <v>12</v>
      </c>
      <c r="H160" t="n">
        <v>12</v>
      </c>
    </row>
    <row r="161">
      <c r="A161" t="inlineStr">
        <is>
          <t>Viper</t>
        </is>
      </c>
      <c r="B161" t="inlineStr">
        <is>
          <t>08/13</t>
        </is>
      </c>
      <c r="C161" t="inlineStr">
        <is>
          <t>TT</t>
        </is>
      </c>
      <c r="D161" t="n">
        <v>7</v>
      </c>
      <c r="E161" t="n">
        <v>6</v>
      </c>
      <c r="F161" t="n">
        <v>0</v>
      </c>
      <c r="G161" t="n">
        <v>13</v>
      </c>
      <c r="H161" t="n">
        <v>13</v>
      </c>
    </row>
    <row r="162">
      <c r="A162" t="inlineStr">
        <is>
          <t>Viper</t>
        </is>
      </c>
      <c r="B162" t="inlineStr">
        <is>
          <t>08/12</t>
        </is>
      </c>
      <c r="C162" t="inlineStr">
        <is>
          <t>JDG</t>
        </is>
      </c>
      <c r="D162" t="n">
        <v>8</v>
      </c>
      <c r="E162" t="n">
        <v>3</v>
      </c>
      <c r="F162" t="n">
        <v>4</v>
      </c>
      <c r="G162" t="n">
        <v>11</v>
      </c>
      <c r="H162" t="n">
        <v>15</v>
      </c>
    </row>
    <row r="163">
      <c r="A163" t="inlineStr">
        <is>
          <t>Viper</t>
        </is>
      </c>
      <c r="B163" t="inlineStr">
        <is>
          <t>08/08</t>
        </is>
      </c>
      <c r="C163" t="inlineStr">
        <is>
          <t>EDG</t>
        </is>
      </c>
      <c r="D163" t="n">
        <v>6</v>
      </c>
      <c r="E163" t="n">
        <v>10</v>
      </c>
      <c r="F163" t="n">
        <v>0</v>
      </c>
      <c r="G163" t="n">
        <v>16</v>
      </c>
      <c r="H163" t="n">
        <v>16</v>
      </c>
    </row>
    <row r="164">
      <c r="A164" t="inlineStr">
        <is>
          <t>Viper</t>
        </is>
      </c>
      <c r="B164" t="inlineStr">
        <is>
          <t>08/07</t>
        </is>
      </c>
      <c r="C164" t="inlineStr">
        <is>
          <t>TES</t>
        </is>
      </c>
      <c r="D164" t="n">
        <v>14</v>
      </c>
      <c r="E164" t="n">
        <v>2</v>
      </c>
      <c r="F164" t="n">
        <v>0</v>
      </c>
      <c r="G164" t="n">
        <v>16</v>
      </c>
      <c r="H164" t="n">
        <v>16</v>
      </c>
    </row>
    <row r="165">
      <c r="A165" t="inlineStr">
        <is>
          <t>Viper</t>
        </is>
      </c>
      <c r="B165" t="inlineStr">
        <is>
          <t>08/01</t>
        </is>
      </c>
      <c r="C165" t="inlineStr">
        <is>
          <t>JDG</t>
        </is>
      </c>
      <c r="D165" t="n">
        <v>4</v>
      </c>
      <c r="E165" t="n">
        <v>5</v>
      </c>
      <c r="F165" t="n">
        <v>0</v>
      </c>
      <c r="G165" t="n">
        <v>9</v>
      </c>
      <c r="H165" t="n">
        <v>9</v>
      </c>
    </row>
    <row r="166">
      <c r="A166" t="inlineStr">
        <is>
          <t>Viper</t>
        </is>
      </c>
      <c r="B166" t="inlineStr">
        <is>
          <t>07/31</t>
        </is>
      </c>
      <c r="C166" t="inlineStr">
        <is>
          <t>WE</t>
        </is>
      </c>
      <c r="D166" t="n">
        <v>4</v>
      </c>
      <c r="E166" t="n">
        <v>8</v>
      </c>
      <c r="F166" t="n">
        <v>0</v>
      </c>
      <c r="G166" t="n">
        <v>12</v>
      </c>
      <c r="H166" t="n">
        <v>12</v>
      </c>
    </row>
    <row r="167">
      <c r="A167" t="inlineStr">
        <is>
          <t>XUN</t>
        </is>
      </c>
      <c r="B167" t="inlineStr">
        <is>
          <t>10/25</t>
        </is>
      </c>
      <c r="C167" t="inlineStr">
        <is>
          <t>TL</t>
        </is>
      </c>
      <c r="D167" t="n">
        <v>2</v>
      </c>
      <c r="E167" t="n">
        <v>0</v>
      </c>
      <c r="F167" t="n">
        <v>0</v>
      </c>
      <c r="G167" t="n">
        <v>2</v>
      </c>
      <c r="H167" t="n">
        <v>2</v>
      </c>
    </row>
    <row r="168">
      <c r="A168" t="inlineStr">
        <is>
          <t>XUN</t>
        </is>
      </c>
      <c r="B168" t="inlineStr">
        <is>
          <t>10/23</t>
        </is>
      </c>
      <c r="C168" t="inlineStr">
        <is>
          <t>MKOI</t>
        </is>
      </c>
      <c r="D168" t="n">
        <v>3</v>
      </c>
      <c r="E168" t="n">
        <v>0</v>
      </c>
      <c r="F168" t="n">
        <v>0</v>
      </c>
      <c r="G168" t="n">
        <v>3</v>
      </c>
      <c r="H168" t="n">
        <v>3</v>
      </c>
    </row>
    <row r="169">
      <c r="A169" t="inlineStr">
        <is>
          <t>XUN</t>
        </is>
      </c>
      <c r="B169" t="inlineStr">
        <is>
          <t>09/13</t>
        </is>
      </c>
      <c r="C169" t="inlineStr">
        <is>
          <t>AL</t>
        </is>
      </c>
      <c r="D169" t="n">
        <v>1</v>
      </c>
      <c r="E169" t="n">
        <v>0</v>
      </c>
      <c r="F169" t="n">
        <v>3</v>
      </c>
      <c r="G169" t="n">
        <v>1</v>
      </c>
      <c r="H169" t="n">
        <v>4</v>
      </c>
    </row>
    <row r="170">
      <c r="A170" t="inlineStr">
        <is>
          <t>XUN</t>
        </is>
      </c>
      <c r="B170" t="inlineStr">
        <is>
          <t>09/07</t>
        </is>
      </c>
      <c r="C170" t="inlineStr">
        <is>
          <t>AL</t>
        </is>
      </c>
      <c r="D170" t="n">
        <v>7</v>
      </c>
      <c r="E170" t="n">
        <v>2</v>
      </c>
      <c r="F170" t="n">
        <v>1</v>
      </c>
      <c r="G170" t="n">
        <v>9</v>
      </c>
      <c r="H170" t="n">
        <v>10</v>
      </c>
    </row>
    <row r="171">
      <c r="A171" t="inlineStr">
        <is>
          <t>XUN</t>
        </is>
      </c>
      <c r="B171" t="inlineStr">
        <is>
          <t>09/03</t>
        </is>
      </c>
      <c r="C171" t="inlineStr">
        <is>
          <t>WE</t>
        </is>
      </c>
      <c r="D171" t="n">
        <v>6</v>
      </c>
      <c r="E171" t="n">
        <v>1</v>
      </c>
      <c r="F171" t="n">
        <v>4</v>
      </c>
      <c r="G171" t="n">
        <v>7</v>
      </c>
      <c r="H171" t="n">
        <v>11</v>
      </c>
    </row>
    <row r="172">
      <c r="A172" t="inlineStr">
        <is>
          <t>XUN</t>
        </is>
      </c>
      <c r="B172" t="inlineStr">
        <is>
          <t>08/23</t>
        </is>
      </c>
      <c r="C172" t="inlineStr">
        <is>
          <t>AL</t>
        </is>
      </c>
      <c r="D172" t="n">
        <v>4</v>
      </c>
      <c r="E172" t="n">
        <v>6</v>
      </c>
      <c r="F172" t="n">
        <v>5</v>
      </c>
      <c r="G172" t="n">
        <v>10</v>
      </c>
      <c r="H172" t="n">
        <v>15</v>
      </c>
    </row>
    <row r="173">
      <c r="A173" t="inlineStr">
        <is>
          <t>XUN</t>
        </is>
      </c>
      <c r="B173" t="inlineStr">
        <is>
          <t>08/21</t>
        </is>
      </c>
      <c r="C173" t="inlineStr">
        <is>
          <t>TES</t>
        </is>
      </c>
      <c r="D173" t="n">
        <v>3</v>
      </c>
      <c r="E173" t="n">
        <v>3</v>
      </c>
      <c r="F173" t="n">
        <v>0</v>
      </c>
      <c r="G173" t="n">
        <v>6</v>
      </c>
      <c r="H173" t="n">
        <v>6</v>
      </c>
    </row>
    <row r="174">
      <c r="A174" t="inlineStr">
        <is>
          <t>XUN</t>
        </is>
      </c>
      <c r="B174" t="inlineStr">
        <is>
          <t>08/20</t>
        </is>
      </c>
      <c r="C174" t="inlineStr">
        <is>
          <t>LGD</t>
        </is>
      </c>
      <c r="D174" t="n">
        <v>1</v>
      </c>
      <c r="E174" t="n">
        <v>3</v>
      </c>
      <c r="F174" t="n">
        <v>6</v>
      </c>
      <c r="G174" t="n">
        <v>4</v>
      </c>
      <c r="H174" t="n">
        <v>10</v>
      </c>
    </row>
    <row r="175">
      <c r="A175" t="inlineStr">
        <is>
          <t>XUN</t>
        </is>
      </c>
      <c r="B175" t="inlineStr">
        <is>
          <t>08/15</t>
        </is>
      </c>
      <c r="C175" t="inlineStr">
        <is>
          <t>WE</t>
        </is>
      </c>
      <c r="D175" t="n">
        <v>8</v>
      </c>
      <c r="E175" t="n">
        <v>5</v>
      </c>
      <c r="F175" t="n">
        <v>0</v>
      </c>
      <c r="G175" t="n">
        <v>13</v>
      </c>
      <c r="H175" t="n">
        <v>13</v>
      </c>
    </row>
    <row r="176">
      <c r="A176" t="inlineStr">
        <is>
          <t>XUN</t>
        </is>
      </c>
      <c r="B176" t="inlineStr">
        <is>
          <t>08/13</t>
        </is>
      </c>
      <c r="C176" t="inlineStr">
        <is>
          <t>TT</t>
        </is>
      </c>
      <c r="D176" t="n">
        <v>3</v>
      </c>
      <c r="E176" t="n">
        <v>8</v>
      </c>
      <c r="F176" t="n">
        <v>0</v>
      </c>
      <c r="G176" t="n">
        <v>11</v>
      </c>
      <c r="H176" t="n">
        <v>11</v>
      </c>
    </row>
    <row r="177">
      <c r="A177" t="inlineStr">
        <is>
          <t>XUN</t>
        </is>
      </c>
      <c r="B177" t="inlineStr">
        <is>
          <t>08/12</t>
        </is>
      </c>
      <c r="C177" t="inlineStr">
        <is>
          <t>JDG</t>
        </is>
      </c>
      <c r="D177" t="n">
        <v>2</v>
      </c>
      <c r="E177" t="n">
        <v>2</v>
      </c>
      <c r="F177" t="n">
        <v>1</v>
      </c>
      <c r="G177" t="n">
        <v>4</v>
      </c>
      <c r="H177" t="n">
        <v>5</v>
      </c>
    </row>
    <row r="178">
      <c r="A178" t="inlineStr">
        <is>
          <t>XUN</t>
        </is>
      </c>
      <c r="B178" t="inlineStr">
        <is>
          <t>08/08</t>
        </is>
      </c>
      <c r="C178" t="inlineStr">
        <is>
          <t>EDG</t>
        </is>
      </c>
      <c r="D178" t="n">
        <v>10</v>
      </c>
      <c r="E178" t="n">
        <v>8</v>
      </c>
      <c r="F178" t="n">
        <v>0</v>
      </c>
      <c r="G178" t="n">
        <v>18</v>
      </c>
      <c r="H178" t="n">
        <v>18</v>
      </c>
    </row>
    <row r="179">
      <c r="A179" t="inlineStr">
        <is>
          <t>XUN</t>
        </is>
      </c>
      <c r="B179" t="inlineStr">
        <is>
          <t>08/07</t>
        </is>
      </c>
      <c r="C179" t="inlineStr">
        <is>
          <t>TES</t>
        </is>
      </c>
      <c r="D179" t="n">
        <v>3</v>
      </c>
      <c r="E179" t="n">
        <v>0</v>
      </c>
      <c r="F179" t="n">
        <v>0</v>
      </c>
      <c r="G179" t="n">
        <v>3</v>
      </c>
      <c r="H179" t="n">
        <v>3</v>
      </c>
    </row>
    <row r="180">
      <c r="A180" t="inlineStr">
        <is>
          <t>XUN</t>
        </is>
      </c>
      <c r="B180" t="inlineStr">
        <is>
          <t>08/01</t>
        </is>
      </c>
      <c r="C180" t="inlineStr">
        <is>
          <t>JDG</t>
        </is>
      </c>
      <c r="D180" t="n">
        <v>5</v>
      </c>
      <c r="E180" t="n">
        <v>2</v>
      </c>
      <c r="F180" t="n">
        <v>0</v>
      </c>
      <c r="G180" t="n">
        <v>7</v>
      </c>
      <c r="H180" t="n">
        <v>7</v>
      </c>
    </row>
    <row r="181">
      <c r="A181" t="inlineStr">
        <is>
          <t>XUN</t>
        </is>
      </c>
      <c r="B181" t="inlineStr">
        <is>
          <t>07/31</t>
        </is>
      </c>
      <c r="C181" t="inlineStr">
        <is>
          <t>WE</t>
        </is>
      </c>
      <c r="D181" t="n">
        <v>6</v>
      </c>
      <c r="E181" t="n">
        <v>3</v>
      </c>
      <c r="F181" t="n">
        <v>0</v>
      </c>
      <c r="G181" t="n">
        <v>9</v>
      </c>
      <c r="H181" t="n">
        <v>9</v>
      </c>
    </row>
    <row r="182">
      <c r="A182" t="inlineStr">
        <is>
          <t>Doggo</t>
        </is>
      </c>
      <c r="B182" t="inlineStr">
        <is>
          <t>10/24</t>
        </is>
      </c>
      <c r="C182" t="inlineStr">
        <is>
          <t>MKOI</t>
        </is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</row>
    <row r="183">
      <c r="A183" t="inlineStr">
        <is>
          <t>Doggo</t>
        </is>
      </c>
      <c r="B183" t="inlineStr">
        <is>
          <t>10/23</t>
        </is>
      </c>
      <c r="C183" t="inlineStr">
        <is>
          <t>TL</t>
        </is>
      </c>
      <c r="D183" t="n">
        <v>2</v>
      </c>
      <c r="E183" t="n">
        <v>0</v>
      </c>
      <c r="F183" t="n">
        <v>0</v>
      </c>
      <c r="G183" t="n">
        <v>2</v>
      </c>
      <c r="H183" t="n">
        <v>2</v>
      </c>
    </row>
    <row r="184">
      <c r="A184" t="inlineStr">
        <is>
          <t>Doggo</t>
        </is>
      </c>
      <c r="B184" t="inlineStr">
        <is>
          <t>10/02</t>
        </is>
      </c>
      <c r="C184" t="inlineStr">
        <is>
          <t>KOR</t>
        </is>
      </c>
      <c r="D184" t="n">
        <v>6</v>
      </c>
      <c r="E184" t="n">
        <v>5</v>
      </c>
      <c r="F184" t="n">
        <v>1</v>
      </c>
      <c r="G184" t="n">
        <v>11</v>
      </c>
      <c r="H184" t="n">
        <v>12</v>
      </c>
    </row>
    <row r="185">
      <c r="A185" t="inlineStr">
        <is>
          <t>Doggo</t>
        </is>
      </c>
      <c r="B185" t="inlineStr">
        <is>
          <t>09/30</t>
        </is>
      </c>
      <c r="C185" t="inlineStr">
        <is>
          <t>VIE</t>
        </is>
      </c>
      <c r="D185" t="n">
        <v>12</v>
      </c>
      <c r="E185" t="n">
        <v>7</v>
      </c>
      <c r="F185" t="n">
        <v>0</v>
      </c>
      <c r="G185" t="n">
        <v>19</v>
      </c>
      <c r="H185" t="n">
        <v>19</v>
      </c>
    </row>
    <row r="186">
      <c r="A186" t="inlineStr">
        <is>
          <t>Doggo</t>
        </is>
      </c>
      <c r="B186" t="inlineStr">
        <is>
          <t>09/30</t>
        </is>
      </c>
      <c r="C186" t="inlineStr">
        <is>
          <t>IND</t>
        </is>
      </c>
      <c r="D186" t="n">
        <v>4</v>
      </c>
      <c r="E186" t="n">
        <v>0</v>
      </c>
      <c r="F186" t="n">
        <v>0</v>
      </c>
      <c r="G186" t="n">
        <v>4</v>
      </c>
      <c r="H186" t="n">
        <v>4</v>
      </c>
    </row>
    <row r="187">
      <c r="A187" t="inlineStr">
        <is>
          <t>Doggo</t>
        </is>
      </c>
      <c r="B187" t="inlineStr">
        <is>
          <t>08/30</t>
        </is>
      </c>
      <c r="C187" t="inlineStr">
        <is>
          <t>TSW</t>
        </is>
      </c>
      <c r="D187" t="n">
        <v>2</v>
      </c>
      <c r="E187" t="n">
        <v>2</v>
      </c>
      <c r="F187" t="n">
        <v>1</v>
      </c>
      <c r="G187" t="n">
        <v>4</v>
      </c>
      <c r="H187" t="n">
        <v>5</v>
      </c>
    </row>
    <row r="188">
      <c r="A188" t="inlineStr">
        <is>
          <t>Doggo</t>
        </is>
      </c>
      <c r="B188" t="inlineStr">
        <is>
          <t>08/29</t>
        </is>
      </c>
      <c r="C188" t="inlineStr">
        <is>
          <t>MVK</t>
        </is>
      </c>
      <c r="D188" t="n">
        <v>12</v>
      </c>
      <c r="E188" t="n">
        <v>5</v>
      </c>
      <c r="F188" t="n">
        <v>2</v>
      </c>
      <c r="G188" t="n">
        <v>17</v>
      </c>
      <c r="H188" t="n">
        <v>19</v>
      </c>
    </row>
    <row r="189">
      <c r="A189" t="inlineStr">
        <is>
          <t>Doggo</t>
        </is>
      </c>
      <c r="B189" t="inlineStr">
        <is>
          <t>08/23</t>
        </is>
      </c>
      <c r="C189" t="inlineStr">
        <is>
          <t>TSW</t>
        </is>
      </c>
      <c r="D189" t="n">
        <v>0</v>
      </c>
      <c r="E189" t="n">
        <v>2</v>
      </c>
      <c r="F189" t="n">
        <v>5</v>
      </c>
      <c r="G189" t="n">
        <v>2</v>
      </c>
      <c r="H189" t="n">
        <v>7</v>
      </c>
    </row>
    <row r="190">
      <c r="A190" t="inlineStr">
        <is>
          <t>Doggo</t>
        </is>
      </c>
      <c r="B190" t="inlineStr">
        <is>
          <t>08/20</t>
        </is>
      </c>
      <c r="C190" t="inlineStr">
        <is>
          <t>MVK</t>
        </is>
      </c>
      <c r="D190" t="n">
        <v>6</v>
      </c>
      <c r="E190" t="n">
        <v>6</v>
      </c>
      <c r="F190" t="n">
        <v>8</v>
      </c>
      <c r="G190" t="n">
        <v>12</v>
      </c>
      <c r="H190" t="n">
        <v>20</v>
      </c>
    </row>
    <row r="191">
      <c r="A191" t="inlineStr">
        <is>
          <t>Doggo</t>
        </is>
      </c>
      <c r="B191" t="inlineStr">
        <is>
          <t>08/16</t>
        </is>
      </c>
      <c r="C191" t="inlineStr">
        <is>
          <t>TSW</t>
        </is>
      </c>
      <c r="D191" t="n">
        <v>6</v>
      </c>
      <c r="E191" t="n">
        <v>9</v>
      </c>
      <c r="F191" t="n">
        <v>5</v>
      </c>
      <c r="G191" t="n">
        <v>15</v>
      </c>
      <c r="H191" t="n">
        <v>20</v>
      </c>
    </row>
    <row r="192">
      <c r="A192" t="inlineStr">
        <is>
          <t>Doggo</t>
        </is>
      </c>
      <c r="B192" t="inlineStr">
        <is>
          <t>08/14</t>
        </is>
      </c>
      <c r="C192" t="inlineStr">
        <is>
          <t>MVK</t>
        </is>
      </c>
      <c r="D192" t="n">
        <v>1</v>
      </c>
      <c r="E192" t="n">
        <v>11</v>
      </c>
      <c r="F192" t="n">
        <v>5</v>
      </c>
      <c r="G192" t="n">
        <v>12</v>
      </c>
      <c r="H192" t="n">
        <v>17</v>
      </c>
    </row>
    <row r="193">
      <c r="A193" t="inlineStr">
        <is>
          <t>Doggo</t>
        </is>
      </c>
      <c r="B193" t="inlineStr">
        <is>
          <t>08/09</t>
        </is>
      </c>
      <c r="C193" t="inlineStr">
        <is>
          <t>GZ</t>
        </is>
      </c>
      <c r="D193" t="n">
        <v>1</v>
      </c>
      <c r="E193" t="n">
        <v>12</v>
      </c>
      <c r="F193" t="n">
        <v>4</v>
      </c>
      <c r="G193" t="n">
        <v>13</v>
      </c>
      <c r="H193" t="n">
        <v>17</v>
      </c>
    </row>
    <row r="194">
      <c r="A194" t="inlineStr">
        <is>
          <t>Doggo</t>
        </is>
      </c>
      <c r="B194" t="inlineStr">
        <is>
          <t>08/02</t>
        </is>
      </c>
      <c r="C194" t="inlineStr">
        <is>
          <t>TSW</t>
        </is>
      </c>
      <c r="D194" t="n">
        <v>6</v>
      </c>
      <c r="E194" t="n">
        <v>3</v>
      </c>
      <c r="F194" t="n">
        <v>1</v>
      </c>
      <c r="G194" t="n">
        <v>9</v>
      </c>
      <c r="H194" t="n">
        <v>10</v>
      </c>
    </row>
    <row r="195">
      <c r="A195" t="inlineStr">
        <is>
          <t>Doggo</t>
        </is>
      </c>
      <c r="B195" t="inlineStr">
        <is>
          <t>07/31</t>
        </is>
      </c>
      <c r="C195" t="inlineStr">
        <is>
          <t>GAM</t>
        </is>
      </c>
      <c r="D195" t="n">
        <v>9</v>
      </c>
      <c r="E195" t="n">
        <v>7</v>
      </c>
      <c r="F195" t="n">
        <v>7</v>
      </c>
      <c r="G195" t="n">
        <v>16</v>
      </c>
      <c r="H195" t="n">
        <v>23</v>
      </c>
    </row>
    <row r="196">
      <c r="A196" t="inlineStr">
        <is>
          <t>Doggo</t>
        </is>
      </c>
      <c r="B196" t="inlineStr">
        <is>
          <t>07/26</t>
        </is>
      </c>
      <c r="C196" t="inlineStr">
        <is>
          <t>DCG</t>
        </is>
      </c>
      <c r="D196" t="n">
        <v>10</v>
      </c>
      <c r="E196" t="n">
        <v>5</v>
      </c>
      <c r="F196" t="n">
        <v>0</v>
      </c>
      <c r="G196" t="n">
        <v>15</v>
      </c>
      <c r="H196" t="n">
        <v>15</v>
      </c>
    </row>
    <row r="197">
      <c r="A197" t="inlineStr">
        <is>
          <t>Pout</t>
        </is>
      </c>
      <c r="B197" t="inlineStr">
        <is>
          <t>10/24</t>
        </is>
      </c>
      <c r="C197" t="inlineStr">
        <is>
          <t>MKOI</t>
        </is>
      </c>
      <c r="D197" t="n">
        <v>2</v>
      </c>
      <c r="E197" t="n">
        <v>0</v>
      </c>
      <c r="F197" t="n">
        <v>0</v>
      </c>
      <c r="G197" t="n">
        <v>2</v>
      </c>
      <c r="H197" t="n">
        <v>2</v>
      </c>
    </row>
    <row r="198">
      <c r="A198" t="inlineStr">
        <is>
          <t>Pout</t>
        </is>
      </c>
      <c r="B198" t="inlineStr">
        <is>
          <t>10/23</t>
        </is>
      </c>
      <c r="C198" t="inlineStr">
        <is>
          <t>TL</t>
        </is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</row>
    <row r="199">
      <c r="A199" t="inlineStr">
        <is>
          <t>Pout</t>
        </is>
      </c>
      <c r="B199" t="inlineStr">
        <is>
          <t>08/30</t>
        </is>
      </c>
      <c r="C199" t="inlineStr">
        <is>
          <t>TSW</t>
        </is>
      </c>
      <c r="D199" t="n">
        <v>4</v>
      </c>
      <c r="E199" t="n">
        <v>1</v>
      </c>
      <c r="F199" t="n">
        <v>4</v>
      </c>
      <c r="G199" t="n">
        <v>5</v>
      </c>
      <c r="H199" t="n">
        <v>9</v>
      </c>
    </row>
    <row r="200">
      <c r="A200" t="inlineStr">
        <is>
          <t>Pout</t>
        </is>
      </c>
      <c r="B200" t="inlineStr">
        <is>
          <t>08/29</t>
        </is>
      </c>
      <c r="C200" t="inlineStr">
        <is>
          <t>MVK</t>
        </is>
      </c>
      <c r="D200" t="n">
        <v>6</v>
      </c>
      <c r="E200" t="n">
        <v>3</v>
      </c>
      <c r="F200" t="n">
        <v>1</v>
      </c>
      <c r="G200" t="n">
        <v>9</v>
      </c>
      <c r="H200" t="n">
        <v>10</v>
      </c>
    </row>
    <row r="201">
      <c r="A201" t="inlineStr">
        <is>
          <t>Pout</t>
        </is>
      </c>
      <c r="B201" t="inlineStr">
        <is>
          <t>08/23</t>
        </is>
      </c>
      <c r="C201" t="inlineStr">
        <is>
          <t>TSW</t>
        </is>
      </c>
      <c r="D201" t="n">
        <v>0</v>
      </c>
      <c r="E201" t="n">
        <v>2</v>
      </c>
      <c r="F201" t="n">
        <v>5</v>
      </c>
      <c r="G201" t="n">
        <v>2</v>
      </c>
      <c r="H201" t="n">
        <v>7</v>
      </c>
    </row>
    <row r="202">
      <c r="A202" t="inlineStr">
        <is>
          <t>Pout</t>
        </is>
      </c>
      <c r="B202" t="inlineStr">
        <is>
          <t>08/20</t>
        </is>
      </c>
      <c r="C202" t="inlineStr">
        <is>
          <t>MVK</t>
        </is>
      </c>
      <c r="D202" t="n">
        <v>5</v>
      </c>
      <c r="E202" t="n">
        <v>7</v>
      </c>
      <c r="F202" t="n">
        <v>3</v>
      </c>
      <c r="G202" t="n">
        <v>12</v>
      </c>
      <c r="H202" t="n">
        <v>15</v>
      </c>
    </row>
    <row r="203">
      <c r="A203" t="inlineStr">
        <is>
          <t>Pout</t>
        </is>
      </c>
      <c r="B203" t="inlineStr">
        <is>
          <t>08/16</t>
        </is>
      </c>
      <c r="C203" t="inlineStr">
        <is>
          <t>TSW</t>
        </is>
      </c>
      <c r="D203" t="n">
        <v>2</v>
      </c>
      <c r="E203" t="n">
        <v>4</v>
      </c>
      <c r="F203" t="n">
        <v>7</v>
      </c>
      <c r="G203" t="n">
        <v>6</v>
      </c>
      <c r="H203" t="n">
        <v>13</v>
      </c>
    </row>
    <row r="204">
      <c r="A204" t="inlineStr">
        <is>
          <t>Pout</t>
        </is>
      </c>
      <c r="B204" t="inlineStr">
        <is>
          <t>08/14</t>
        </is>
      </c>
      <c r="C204" t="inlineStr">
        <is>
          <t>MVK</t>
        </is>
      </c>
      <c r="D204" t="n">
        <v>1</v>
      </c>
      <c r="E204" t="n">
        <v>6</v>
      </c>
      <c r="F204" t="n">
        <v>9</v>
      </c>
      <c r="G204" t="n">
        <v>7</v>
      </c>
      <c r="H204" t="n">
        <v>16</v>
      </c>
    </row>
    <row r="205">
      <c r="A205" t="inlineStr">
        <is>
          <t>Pout</t>
        </is>
      </c>
      <c r="B205" t="inlineStr">
        <is>
          <t>08/09</t>
        </is>
      </c>
      <c r="C205" t="inlineStr">
        <is>
          <t>GZ</t>
        </is>
      </c>
      <c r="D205" t="n">
        <v>4</v>
      </c>
      <c r="E205" t="n">
        <v>7</v>
      </c>
      <c r="F205" t="n">
        <v>8</v>
      </c>
      <c r="G205" t="n">
        <v>11</v>
      </c>
      <c r="H205" t="n">
        <v>19</v>
      </c>
    </row>
    <row r="206">
      <c r="A206" t="inlineStr">
        <is>
          <t>Pout</t>
        </is>
      </c>
      <c r="B206" t="inlineStr">
        <is>
          <t>08/02</t>
        </is>
      </c>
      <c r="C206" t="inlineStr">
        <is>
          <t>TSW</t>
        </is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</row>
    <row r="207">
      <c r="A207" t="inlineStr">
        <is>
          <t>Pout</t>
        </is>
      </c>
      <c r="B207" t="inlineStr">
        <is>
          <t>07/31</t>
        </is>
      </c>
      <c r="C207" t="inlineStr">
        <is>
          <t>GAM</t>
        </is>
      </c>
      <c r="D207" t="n">
        <v>5</v>
      </c>
      <c r="E207" t="n">
        <v>7</v>
      </c>
      <c r="F207" t="n">
        <v>5</v>
      </c>
      <c r="G207" t="n">
        <v>12</v>
      </c>
      <c r="H207" t="n">
        <v>17</v>
      </c>
    </row>
    <row r="208">
      <c r="A208" t="inlineStr">
        <is>
          <t>Pout</t>
        </is>
      </c>
      <c r="B208" t="inlineStr">
        <is>
          <t>07/26</t>
        </is>
      </c>
      <c r="C208" t="inlineStr">
        <is>
          <t>DCG</t>
        </is>
      </c>
      <c r="D208" t="n">
        <v>8</v>
      </c>
      <c r="E208" t="n">
        <v>9</v>
      </c>
      <c r="F208" t="n">
        <v>0</v>
      </c>
      <c r="G208" t="n">
        <v>17</v>
      </c>
      <c r="H208" t="n">
        <v>17</v>
      </c>
    </row>
    <row r="209">
      <c r="A209" t="inlineStr">
        <is>
          <t>Pout</t>
        </is>
      </c>
      <c r="B209" t="inlineStr">
        <is>
          <t>05/23</t>
        </is>
      </c>
      <c r="C209" t="inlineStr">
        <is>
          <t>MVK</t>
        </is>
      </c>
      <c r="D209" t="n">
        <v>3</v>
      </c>
      <c r="E209" t="n">
        <v>2</v>
      </c>
      <c r="F209" t="n">
        <v>8</v>
      </c>
      <c r="G209" t="n">
        <v>5</v>
      </c>
      <c r="H209" t="n">
        <v>13</v>
      </c>
    </row>
    <row r="210">
      <c r="A210" t="inlineStr">
        <is>
          <t>Pout</t>
        </is>
      </c>
      <c r="B210" t="inlineStr">
        <is>
          <t>05/17</t>
        </is>
      </c>
      <c r="C210" t="inlineStr">
        <is>
          <t>GAM</t>
        </is>
      </c>
      <c r="D210" t="n">
        <v>4</v>
      </c>
      <c r="E210" t="n">
        <v>2</v>
      </c>
      <c r="F210" t="n">
        <v>3</v>
      </c>
      <c r="G210" t="n">
        <v>6</v>
      </c>
      <c r="H210" t="n">
        <v>9</v>
      </c>
    </row>
    <row r="211">
      <c r="A211" t="inlineStr">
        <is>
          <t>Pout</t>
        </is>
      </c>
      <c r="B211" t="inlineStr">
        <is>
          <t>05/13</t>
        </is>
      </c>
      <c r="C211" t="inlineStr">
        <is>
          <t>DCG</t>
        </is>
      </c>
      <c r="D211" t="n">
        <v>2</v>
      </c>
      <c r="E211" t="n">
        <v>0</v>
      </c>
      <c r="F211" t="n">
        <v>0</v>
      </c>
      <c r="G211" t="n">
        <v>2</v>
      </c>
      <c r="H211" t="n">
        <v>2</v>
      </c>
    </row>
    <row r="212">
      <c r="A212" t="inlineStr">
        <is>
          <t>Rest</t>
        </is>
      </c>
      <c r="B212" t="inlineStr">
        <is>
          <t>10/24</t>
        </is>
      </c>
      <c r="C212" t="inlineStr">
        <is>
          <t>MKOI</t>
        </is>
      </c>
      <c r="D212" t="n">
        <v>3</v>
      </c>
      <c r="E212" t="n">
        <v>0</v>
      </c>
      <c r="F212" t="n">
        <v>0</v>
      </c>
      <c r="G212" t="n">
        <v>3</v>
      </c>
      <c r="H212" t="n">
        <v>3</v>
      </c>
    </row>
    <row r="213">
      <c r="A213" t="inlineStr">
        <is>
          <t>Rest</t>
        </is>
      </c>
      <c r="B213" t="inlineStr">
        <is>
          <t>10/23</t>
        </is>
      </c>
      <c r="C213" t="inlineStr">
        <is>
          <t>TL</t>
        </is>
      </c>
      <c r="D213" t="n">
        <v>4</v>
      </c>
      <c r="E213" t="n">
        <v>0</v>
      </c>
      <c r="F213" t="n">
        <v>0</v>
      </c>
      <c r="G213" t="n">
        <v>4</v>
      </c>
      <c r="H213" t="n">
        <v>4</v>
      </c>
    </row>
    <row r="214">
      <c r="A214" t="inlineStr">
        <is>
          <t>Rest</t>
        </is>
      </c>
      <c r="B214" t="inlineStr">
        <is>
          <t>08/30</t>
        </is>
      </c>
      <c r="C214" t="inlineStr">
        <is>
          <t>TSW</t>
        </is>
      </c>
      <c r="D214" t="n">
        <v>1</v>
      </c>
      <c r="E214" t="n">
        <v>2</v>
      </c>
      <c r="F214" t="n">
        <v>3</v>
      </c>
      <c r="G214" t="n">
        <v>3</v>
      </c>
      <c r="H214" t="n">
        <v>6</v>
      </c>
    </row>
    <row r="215">
      <c r="A215" t="inlineStr">
        <is>
          <t>Rest</t>
        </is>
      </c>
      <c r="B215" t="inlineStr">
        <is>
          <t>08/29</t>
        </is>
      </c>
      <c r="C215" t="inlineStr">
        <is>
          <t>MVK</t>
        </is>
      </c>
      <c r="D215" t="n">
        <v>3</v>
      </c>
      <c r="E215" t="n">
        <v>4</v>
      </c>
      <c r="F215" t="n">
        <v>2</v>
      </c>
      <c r="G215" t="n">
        <v>7</v>
      </c>
      <c r="H215" t="n">
        <v>9</v>
      </c>
    </row>
    <row r="216">
      <c r="A216" t="inlineStr">
        <is>
          <t>Rest</t>
        </is>
      </c>
      <c r="B216" t="inlineStr">
        <is>
          <t>08/23</t>
        </is>
      </c>
      <c r="C216" t="inlineStr">
        <is>
          <t>TSW</t>
        </is>
      </c>
      <c r="D216" t="n">
        <v>1</v>
      </c>
      <c r="E216" t="n">
        <v>1</v>
      </c>
      <c r="F216" t="n">
        <v>4</v>
      </c>
      <c r="G216" t="n">
        <v>2</v>
      </c>
      <c r="H216" t="n">
        <v>6</v>
      </c>
    </row>
    <row r="217">
      <c r="A217" t="inlineStr">
        <is>
          <t>Rest</t>
        </is>
      </c>
      <c r="B217" t="inlineStr">
        <is>
          <t>08/20</t>
        </is>
      </c>
      <c r="C217" t="inlineStr">
        <is>
          <t>MVK</t>
        </is>
      </c>
      <c r="D217" t="n">
        <v>1</v>
      </c>
      <c r="E217" t="n">
        <v>5</v>
      </c>
      <c r="F217" t="n">
        <v>1</v>
      </c>
      <c r="G217" t="n">
        <v>6</v>
      </c>
      <c r="H217" t="n">
        <v>7</v>
      </c>
    </row>
    <row r="218">
      <c r="A218" t="inlineStr">
        <is>
          <t>Rest</t>
        </is>
      </c>
      <c r="B218" t="inlineStr">
        <is>
          <t>08/16</t>
        </is>
      </c>
      <c r="C218" t="inlineStr">
        <is>
          <t>TSW</t>
        </is>
      </c>
      <c r="D218" t="n">
        <v>0</v>
      </c>
      <c r="E218" t="n">
        <v>3</v>
      </c>
      <c r="F218" t="n">
        <v>4</v>
      </c>
      <c r="G218" t="n">
        <v>3</v>
      </c>
      <c r="H218" t="n">
        <v>7</v>
      </c>
    </row>
    <row r="219">
      <c r="A219" t="inlineStr">
        <is>
          <t>Rest</t>
        </is>
      </c>
      <c r="B219" t="inlineStr">
        <is>
          <t>08/14</t>
        </is>
      </c>
      <c r="C219" t="inlineStr">
        <is>
          <t>MVK</t>
        </is>
      </c>
      <c r="D219" t="n">
        <v>2</v>
      </c>
      <c r="E219" t="n">
        <v>2</v>
      </c>
      <c r="F219" t="n">
        <v>6</v>
      </c>
      <c r="G219" t="n">
        <v>4</v>
      </c>
      <c r="H219" t="n">
        <v>10</v>
      </c>
    </row>
    <row r="220">
      <c r="A220" t="inlineStr">
        <is>
          <t>Rest</t>
        </is>
      </c>
      <c r="B220" t="inlineStr">
        <is>
          <t>08/09</t>
        </is>
      </c>
      <c r="C220" t="inlineStr">
        <is>
          <t>GZ</t>
        </is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</row>
    <row r="221">
      <c r="A221" t="inlineStr">
        <is>
          <t>Rest</t>
        </is>
      </c>
      <c r="B221" t="inlineStr">
        <is>
          <t>08/02</t>
        </is>
      </c>
      <c r="C221" t="inlineStr">
        <is>
          <t>TSW</t>
        </is>
      </c>
      <c r="D221" t="n">
        <v>1</v>
      </c>
      <c r="E221" t="n">
        <v>1</v>
      </c>
      <c r="F221" t="n">
        <v>2</v>
      </c>
      <c r="G221" t="n">
        <v>2</v>
      </c>
      <c r="H221" t="n">
        <v>4</v>
      </c>
    </row>
    <row r="222">
      <c r="A222" t="inlineStr">
        <is>
          <t>Rest</t>
        </is>
      </c>
      <c r="B222" t="inlineStr">
        <is>
          <t>07/31</t>
        </is>
      </c>
      <c r="C222" t="inlineStr">
        <is>
          <t>GAM</t>
        </is>
      </c>
      <c r="D222" t="n">
        <v>1</v>
      </c>
      <c r="E222" t="n">
        <v>3</v>
      </c>
      <c r="F222" t="n">
        <v>5</v>
      </c>
      <c r="G222" t="n">
        <v>4</v>
      </c>
      <c r="H222" t="n">
        <v>9</v>
      </c>
    </row>
    <row r="223">
      <c r="A223" t="inlineStr">
        <is>
          <t>Rest</t>
        </is>
      </c>
      <c r="B223" t="inlineStr">
        <is>
          <t>07/26</t>
        </is>
      </c>
      <c r="C223" t="inlineStr">
        <is>
          <t>DCG</t>
        </is>
      </c>
      <c r="D223" t="n">
        <v>5</v>
      </c>
      <c r="E223" t="n">
        <v>1</v>
      </c>
      <c r="F223" t="n">
        <v>0</v>
      </c>
      <c r="G223" t="n">
        <v>6</v>
      </c>
      <c r="H223" t="n">
        <v>6</v>
      </c>
    </row>
    <row r="224">
      <c r="A224" t="inlineStr">
        <is>
          <t>Rest</t>
        </is>
      </c>
      <c r="B224" t="inlineStr">
        <is>
          <t>05/23</t>
        </is>
      </c>
      <c r="C224" t="inlineStr">
        <is>
          <t>MVK</t>
        </is>
      </c>
      <c r="D224" t="n">
        <v>0</v>
      </c>
      <c r="E224" t="n">
        <v>0</v>
      </c>
      <c r="F224" t="n">
        <v>8</v>
      </c>
      <c r="G224" t="n">
        <v>0</v>
      </c>
      <c r="H224" t="n">
        <v>8</v>
      </c>
    </row>
    <row r="225">
      <c r="A225" t="inlineStr">
        <is>
          <t>Rest</t>
        </is>
      </c>
      <c r="B225" t="inlineStr">
        <is>
          <t>05/17</t>
        </is>
      </c>
      <c r="C225" t="inlineStr">
        <is>
          <t>GAM</t>
        </is>
      </c>
      <c r="D225" t="n">
        <v>4</v>
      </c>
      <c r="E225" t="n">
        <v>1</v>
      </c>
      <c r="F225" t="n">
        <v>4</v>
      </c>
      <c r="G225" t="n">
        <v>5</v>
      </c>
      <c r="H225" t="n">
        <v>9</v>
      </c>
    </row>
    <row r="226">
      <c r="A226" t="inlineStr">
        <is>
          <t>Rest</t>
        </is>
      </c>
      <c r="B226" t="inlineStr">
        <is>
          <t>05/13</t>
        </is>
      </c>
      <c r="C226" t="inlineStr">
        <is>
          <t>DCG</t>
        </is>
      </c>
      <c r="D226" t="n">
        <v>0</v>
      </c>
      <c r="E226" t="n">
        <v>2</v>
      </c>
      <c r="F226" t="n">
        <v>0</v>
      </c>
      <c r="G226" t="n">
        <v>2</v>
      </c>
      <c r="H226" t="n">
        <v>2</v>
      </c>
    </row>
    <row r="227">
      <c r="A227" t="inlineStr">
        <is>
          <t>Shad0w</t>
        </is>
      </c>
      <c r="B227" t="inlineStr">
        <is>
          <t>10/24</t>
        </is>
      </c>
      <c r="C227" t="inlineStr">
        <is>
          <t>MKOI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Shad0w</t>
        </is>
      </c>
      <c r="B228" t="inlineStr">
        <is>
          <t>10/23</t>
        </is>
      </c>
      <c r="C228" t="inlineStr">
        <is>
          <t>TL</t>
        </is>
      </c>
      <c r="D228" t="n">
        <v>5</v>
      </c>
      <c r="E228" t="n">
        <v>0</v>
      </c>
      <c r="F228" t="n">
        <v>0</v>
      </c>
      <c r="G228" t="n">
        <v>5</v>
      </c>
      <c r="H228" t="n">
        <v>5</v>
      </c>
    </row>
    <row r="229">
      <c r="A229" t="inlineStr">
        <is>
          <t>Shad0w</t>
        </is>
      </c>
      <c r="B229" t="inlineStr">
        <is>
          <t>08/30</t>
        </is>
      </c>
      <c r="C229" t="inlineStr">
        <is>
          <t>TSW</t>
        </is>
      </c>
      <c r="D229" t="n">
        <v>2</v>
      </c>
      <c r="E229" t="n">
        <v>1</v>
      </c>
      <c r="F229" t="n">
        <v>3</v>
      </c>
      <c r="G229" t="n">
        <v>3</v>
      </c>
      <c r="H229" t="n">
        <v>6</v>
      </c>
    </row>
    <row r="230">
      <c r="A230" t="inlineStr">
        <is>
          <t>Shad0w</t>
        </is>
      </c>
      <c r="B230" t="inlineStr">
        <is>
          <t>08/29</t>
        </is>
      </c>
      <c r="C230" t="inlineStr">
        <is>
          <t>MVK</t>
        </is>
      </c>
      <c r="D230" t="n">
        <v>9</v>
      </c>
      <c r="E230" t="n">
        <v>3</v>
      </c>
      <c r="F230" t="n">
        <v>1</v>
      </c>
      <c r="G230" t="n">
        <v>12</v>
      </c>
      <c r="H230" t="n">
        <v>13</v>
      </c>
    </row>
    <row r="231">
      <c r="A231" t="inlineStr">
        <is>
          <t>Shad0w</t>
        </is>
      </c>
      <c r="B231" t="inlineStr">
        <is>
          <t>08/23</t>
        </is>
      </c>
      <c r="C231" t="inlineStr">
        <is>
          <t>TSW</t>
        </is>
      </c>
      <c r="D231" t="n">
        <v>1</v>
      </c>
      <c r="E231" t="n">
        <v>1</v>
      </c>
      <c r="F231" t="n">
        <v>4</v>
      </c>
      <c r="G231" t="n">
        <v>2</v>
      </c>
      <c r="H231" t="n">
        <v>6</v>
      </c>
    </row>
    <row r="232">
      <c r="A232" t="inlineStr">
        <is>
          <t>Shad0w</t>
        </is>
      </c>
      <c r="B232" t="inlineStr">
        <is>
          <t>08/20</t>
        </is>
      </c>
      <c r="C232" t="inlineStr">
        <is>
          <t>MVK</t>
        </is>
      </c>
      <c r="D232" t="n">
        <v>7</v>
      </c>
      <c r="E232" t="n">
        <v>2</v>
      </c>
      <c r="F232" t="n">
        <v>7</v>
      </c>
      <c r="G232" t="n">
        <v>9</v>
      </c>
      <c r="H232" t="n">
        <v>16</v>
      </c>
    </row>
    <row r="233">
      <c r="A233" t="inlineStr">
        <is>
          <t>Shad0w</t>
        </is>
      </c>
      <c r="B233" t="inlineStr">
        <is>
          <t>08/16</t>
        </is>
      </c>
      <c r="C233" t="inlineStr">
        <is>
          <t>TSW</t>
        </is>
      </c>
      <c r="D233" t="n">
        <v>3</v>
      </c>
      <c r="E233" t="n">
        <v>5</v>
      </c>
      <c r="F233" t="n">
        <v>6</v>
      </c>
      <c r="G233" t="n">
        <v>8</v>
      </c>
      <c r="H233" t="n">
        <v>14</v>
      </c>
    </row>
    <row r="234">
      <c r="A234" t="inlineStr">
        <is>
          <t>Shad0w</t>
        </is>
      </c>
      <c r="B234" t="inlineStr">
        <is>
          <t>08/14</t>
        </is>
      </c>
      <c r="C234" t="inlineStr">
        <is>
          <t>MVK</t>
        </is>
      </c>
      <c r="D234" t="n">
        <v>2</v>
      </c>
      <c r="E234" t="n">
        <v>2</v>
      </c>
      <c r="F234" t="n">
        <v>5</v>
      </c>
      <c r="G234" t="n">
        <v>4</v>
      </c>
      <c r="H234" t="n">
        <v>9</v>
      </c>
    </row>
    <row r="235">
      <c r="A235" t="inlineStr">
        <is>
          <t>Shad0w</t>
        </is>
      </c>
      <c r="B235" t="inlineStr">
        <is>
          <t>08/09</t>
        </is>
      </c>
      <c r="C235" t="inlineStr">
        <is>
          <t>GZ</t>
        </is>
      </c>
      <c r="D235" t="n">
        <v>0</v>
      </c>
      <c r="E235" t="n">
        <v>4</v>
      </c>
      <c r="F235" t="n">
        <v>4</v>
      </c>
      <c r="G235" t="n">
        <v>4</v>
      </c>
      <c r="H235" t="n">
        <v>8</v>
      </c>
    </row>
    <row r="236">
      <c r="A236" t="inlineStr">
        <is>
          <t>Shad0w</t>
        </is>
      </c>
      <c r="B236" t="inlineStr">
        <is>
          <t>08/02</t>
        </is>
      </c>
      <c r="C236" t="inlineStr">
        <is>
          <t>TSW</t>
        </is>
      </c>
      <c r="D236" t="n">
        <v>2</v>
      </c>
      <c r="E236" t="n">
        <v>1</v>
      </c>
      <c r="F236" t="n">
        <v>1</v>
      </c>
      <c r="G236" t="n">
        <v>3</v>
      </c>
      <c r="H236" t="n">
        <v>4</v>
      </c>
    </row>
    <row r="237">
      <c r="A237" t="inlineStr">
        <is>
          <t>Shad0w</t>
        </is>
      </c>
      <c r="B237" t="inlineStr">
        <is>
          <t>07/31</t>
        </is>
      </c>
      <c r="C237" t="inlineStr">
        <is>
          <t>GAM</t>
        </is>
      </c>
      <c r="D237" t="n">
        <v>2</v>
      </c>
      <c r="E237" t="n">
        <v>2</v>
      </c>
      <c r="F237" t="n">
        <v>3</v>
      </c>
      <c r="G237" t="n">
        <v>4</v>
      </c>
      <c r="H237" t="n">
        <v>7</v>
      </c>
    </row>
    <row r="238">
      <c r="A238" t="inlineStr">
        <is>
          <t>Shad0w</t>
        </is>
      </c>
      <c r="B238" t="inlineStr">
        <is>
          <t>07/26</t>
        </is>
      </c>
      <c r="C238" t="inlineStr">
        <is>
          <t>DCG</t>
        </is>
      </c>
      <c r="D238" t="n">
        <v>5</v>
      </c>
      <c r="E238" t="n">
        <v>8</v>
      </c>
      <c r="F238" t="n">
        <v>0</v>
      </c>
      <c r="G238" t="n">
        <v>13</v>
      </c>
      <c r="H238" t="n">
        <v>13</v>
      </c>
    </row>
    <row r="239">
      <c r="A239" t="inlineStr">
        <is>
          <t>Shad0w</t>
        </is>
      </c>
      <c r="B239" t="inlineStr">
        <is>
          <t>05/23</t>
        </is>
      </c>
      <c r="C239" t="inlineStr">
        <is>
          <t>MVK</t>
        </is>
      </c>
      <c r="D239" t="n">
        <v>5</v>
      </c>
      <c r="E239" t="n">
        <v>2</v>
      </c>
      <c r="F239" t="n">
        <v>2</v>
      </c>
      <c r="G239" t="n">
        <v>7</v>
      </c>
      <c r="H239" t="n">
        <v>9</v>
      </c>
    </row>
    <row r="240">
      <c r="A240" t="inlineStr">
        <is>
          <t>Shad0w</t>
        </is>
      </c>
      <c r="B240" t="inlineStr">
        <is>
          <t>05/17</t>
        </is>
      </c>
      <c r="C240" t="inlineStr">
        <is>
          <t>GAM</t>
        </is>
      </c>
      <c r="D240" t="n">
        <v>6</v>
      </c>
      <c r="E240" t="n">
        <v>1</v>
      </c>
      <c r="F240" t="n">
        <v>4</v>
      </c>
      <c r="G240" t="n">
        <v>7</v>
      </c>
      <c r="H240" t="n">
        <v>11</v>
      </c>
    </row>
    <row r="241">
      <c r="A241" t="inlineStr">
        <is>
          <t>Shad0w</t>
        </is>
      </c>
      <c r="B241" t="inlineStr">
        <is>
          <t>05/13</t>
        </is>
      </c>
      <c r="C241" t="inlineStr">
        <is>
          <t>DCG</t>
        </is>
      </c>
      <c r="D241" t="n">
        <v>2</v>
      </c>
      <c r="E241" t="n">
        <v>1</v>
      </c>
      <c r="F241" t="n">
        <v>0</v>
      </c>
      <c r="G241" t="n">
        <v>3</v>
      </c>
      <c r="H241" t="n">
        <v>3</v>
      </c>
    </row>
    <row r="242">
      <c r="A242" t="inlineStr">
        <is>
          <t>Bignum</t>
        </is>
      </c>
      <c r="B242" t="inlineStr">
        <is>
          <t>10/24</t>
        </is>
      </c>
      <c r="C242" t="inlineStr">
        <is>
          <t>1WIN</t>
        </is>
      </c>
      <c r="D242" t="n">
        <v>1</v>
      </c>
      <c r="E242" t="n">
        <v>4</v>
      </c>
      <c r="F242" t="n">
        <v>0</v>
      </c>
      <c r="G242" t="n">
        <v>5</v>
      </c>
      <c r="H242" t="n">
        <v>5</v>
      </c>
    </row>
    <row r="243">
      <c r="A243" t="inlineStr">
        <is>
          <t>Bignum</t>
        </is>
      </c>
      <c r="B243" t="inlineStr">
        <is>
          <t>10/23</t>
        </is>
      </c>
      <c r="C243" t="inlineStr">
        <is>
          <t>Liquid</t>
        </is>
      </c>
      <c r="D243" t="n">
        <v>6</v>
      </c>
      <c r="E243" t="n">
        <v>12</v>
      </c>
      <c r="F243" t="n">
        <v>0</v>
      </c>
      <c r="G243" t="n">
        <v>18</v>
      </c>
      <c r="H243" t="n">
        <v>18</v>
      </c>
    </row>
    <row r="244">
      <c r="A244" t="inlineStr">
        <is>
          <t>Bignum</t>
        </is>
      </c>
      <c r="B244" t="inlineStr">
        <is>
          <t>10/22</t>
        </is>
      </c>
      <c r="C244" t="inlineStr">
        <is>
          <t>TY</t>
        </is>
      </c>
      <c r="D244" t="n">
        <v>2</v>
      </c>
      <c r="E244" t="n">
        <v>5</v>
      </c>
      <c r="F244" t="n">
        <v>0</v>
      </c>
      <c r="G244" t="n">
        <v>7</v>
      </c>
      <c r="H244" t="n">
        <v>7</v>
      </c>
    </row>
    <row r="245">
      <c r="A245" t="inlineStr">
        <is>
          <t>Bignum</t>
        </is>
      </c>
      <c r="B245" t="inlineStr">
        <is>
          <t>10/03</t>
        </is>
      </c>
      <c r="C245" t="inlineStr">
        <is>
          <t>LGD</t>
        </is>
      </c>
      <c r="D245" t="n">
        <v>6</v>
      </c>
      <c r="E245" t="n">
        <v>1</v>
      </c>
      <c r="F245" t="n">
        <v>1</v>
      </c>
      <c r="G245" t="n">
        <v>7</v>
      </c>
      <c r="H245" t="n">
        <v>8</v>
      </c>
    </row>
    <row r="246">
      <c r="A246" t="inlineStr">
        <is>
          <t>Bignum</t>
        </is>
      </c>
      <c r="B246" t="inlineStr">
        <is>
          <t>10/02</t>
        </is>
      </c>
      <c r="C246" t="inlineStr">
        <is>
          <t>Liquid</t>
        </is>
      </c>
      <c r="D246" t="n">
        <v>2</v>
      </c>
      <c r="E246" t="n">
        <v>4</v>
      </c>
      <c r="F246" t="n">
        <v>0</v>
      </c>
      <c r="G246" t="n">
        <v>6</v>
      </c>
      <c r="H246" t="n">
        <v>6</v>
      </c>
    </row>
    <row r="247">
      <c r="A247" t="inlineStr">
        <is>
          <t>Bignum</t>
        </is>
      </c>
      <c r="B247" t="inlineStr">
        <is>
          <t>10/01</t>
        </is>
      </c>
      <c r="C247" t="inlineStr">
        <is>
          <t>YB</t>
        </is>
      </c>
      <c r="D247" t="n">
        <v>9</v>
      </c>
      <c r="E247" t="n">
        <v>9</v>
      </c>
      <c r="F247" t="n">
        <v>0</v>
      </c>
      <c r="G247" t="n">
        <v>18</v>
      </c>
      <c r="H247" t="n">
        <v>18</v>
      </c>
    </row>
    <row r="248">
      <c r="A248" t="inlineStr">
        <is>
          <t>Bignum</t>
        </is>
      </c>
      <c r="B248" t="inlineStr">
        <is>
          <t>09/29</t>
        </is>
      </c>
      <c r="C248" t="inlineStr">
        <is>
          <t>AUR</t>
        </is>
      </c>
      <c r="D248" t="n">
        <v>2</v>
      </c>
      <c r="E248" t="n">
        <v>5</v>
      </c>
      <c r="F248" t="n">
        <v>0</v>
      </c>
      <c r="G248" t="n">
        <v>7</v>
      </c>
      <c r="H248" t="n">
        <v>7</v>
      </c>
    </row>
    <row r="249">
      <c r="A249" t="inlineStr">
        <is>
          <t>Bignum</t>
        </is>
      </c>
      <c r="B249" t="inlineStr">
        <is>
          <t>09/26</t>
        </is>
      </c>
      <c r="C249" t="inlineStr">
        <is>
          <t>Xtreme</t>
        </is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</row>
    <row r="250">
      <c r="A250" t="inlineStr">
        <is>
          <t>Bignum</t>
        </is>
      </c>
      <c r="B250" t="inlineStr">
        <is>
          <t>09/25</t>
        </is>
      </c>
      <c r="C250" t="inlineStr">
        <is>
          <t>1WIN</t>
        </is>
      </c>
      <c r="D250" t="n">
        <v>2</v>
      </c>
      <c r="E250" t="n">
        <v>8</v>
      </c>
      <c r="F250" t="n">
        <v>5</v>
      </c>
      <c r="G250" t="n">
        <v>10</v>
      </c>
      <c r="H250" t="n">
        <v>15</v>
      </c>
    </row>
    <row r="251">
      <c r="A251" t="inlineStr">
        <is>
          <t>Bignum</t>
        </is>
      </c>
      <c r="B251" t="inlineStr">
        <is>
          <t>09/24</t>
        </is>
      </c>
      <c r="C251" t="inlineStr">
        <is>
          <t>AUR</t>
        </is>
      </c>
      <c r="D251" t="n">
        <v>7</v>
      </c>
      <c r="E251" t="n">
        <v>3</v>
      </c>
      <c r="F251" t="n">
        <v>0</v>
      </c>
      <c r="G251" t="n">
        <v>10</v>
      </c>
      <c r="H251" t="n">
        <v>10</v>
      </c>
    </row>
    <row r="252">
      <c r="A252" t="inlineStr">
        <is>
          <t>Bignum</t>
        </is>
      </c>
      <c r="B252" t="inlineStr">
        <is>
          <t>09/22</t>
        </is>
      </c>
      <c r="C252" t="inlineStr">
        <is>
          <t>Nem</t>
        </is>
      </c>
      <c r="D252" t="n">
        <v>2</v>
      </c>
      <c r="E252" t="n">
        <v>4</v>
      </c>
      <c r="F252" t="n">
        <v>1</v>
      </c>
      <c r="G252" t="n">
        <v>6</v>
      </c>
      <c r="H252" t="n">
        <v>7</v>
      </c>
    </row>
    <row r="253">
      <c r="A253" t="inlineStr">
        <is>
          <t>Bignum</t>
        </is>
      </c>
      <c r="B253" t="inlineStr">
        <is>
          <t>09/21</t>
        </is>
      </c>
      <c r="C253" t="inlineStr">
        <is>
          <t>PIPS+4</t>
        </is>
      </c>
      <c r="D253" t="n">
        <v>8</v>
      </c>
      <c r="E253" t="n">
        <v>4</v>
      </c>
      <c r="F253" t="n">
        <v>1</v>
      </c>
      <c r="G253" t="n">
        <v>12</v>
      </c>
      <c r="H253" t="n">
        <v>13</v>
      </c>
    </row>
    <row r="254">
      <c r="A254" t="inlineStr">
        <is>
          <t>Bignum</t>
        </is>
      </c>
      <c r="B254" t="inlineStr">
        <is>
          <t>09/20</t>
        </is>
      </c>
      <c r="C254" t="inlineStr">
        <is>
          <t>LGD</t>
        </is>
      </c>
      <c r="D254" t="n">
        <v>2</v>
      </c>
      <c r="E254" t="n">
        <v>1</v>
      </c>
      <c r="F254" t="n">
        <v>0</v>
      </c>
      <c r="G254" t="n">
        <v>3</v>
      </c>
      <c r="H254" t="n">
        <v>3</v>
      </c>
    </row>
    <row r="255">
      <c r="A255" t="inlineStr">
        <is>
          <t>Bignum</t>
        </is>
      </c>
      <c r="B255" t="inlineStr">
        <is>
          <t>09/19</t>
        </is>
      </c>
      <c r="C255" t="inlineStr">
        <is>
          <t>TC</t>
        </is>
      </c>
      <c r="D255" t="n">
        <v>3</v>
      </c>
      <c r="E255" t="n">
        <v>3</v>
      </c>
      <c r="F255" t="n">
        <v>0</v>
      </c>
      <c r="G255" t="n">
        <v>6</v>
      </c>
      <c r="H255" t="n">
        <v>6</v>
      </c>
    </row>
    <row r="256">
      <c r="A256" t="inlineStr">
        <is>
          <t>Bignum</t>
        </is>
      </c>
      <c r="B256" t="inlineStr">
        <is>
          <t>09/12</t>
        </is>
      </c>
      <c r="C256" t="inlineStr">
        <is>
          <t>PIPS+4</t>
        </is>
      </c>
      <c r="D256" t="n">
        <v>0</v>
      </c>
      <c r="E256" t="n">
        <v>4</v>
      </c>
      <c r="F256" t="n">
        <v>0</v>
      </c>
      <c r="G256" t="n">
        <v>4</v>
      </c>
      <c r="H256" t="n">
        <v>4</v>
      </c>
    </row>
    <row r="257">
      <c r="A257" t="inlineStr">
        <is>
          <t>Fayde</t>
        </is>
      </c>
      <c r="B257" t="inlineStr">
        <is>
          <t>10/24</t>
        </is>
      </c>
      <c r="C257" t="inlineStr">
        <is>
          <t>1WIN</t>
        </is>
      </c>
      <c r="D257" t="n">
        <v>10</v>
      </c>
      <c r="E257" t="n">
        <v>7</v>
      </c>
      <c r="F257" t="n">
        <v>0</v>
      </c>
      <c r="G257" t="n">
        <v>17</v>
      </c>
      <c r="H257" t="n">
        <v>17</v>
      </c>
    </row>
    <row r="258">
      <c r="A258" t="inlineStr">
        <is>
          <t>Fayde</t>
        </is>
      </c>
      <c r="B258" t="inlineStr">
        <is>
          <t>10/23</t>
        </is>
      </c>
      <c r="C258" t="inlineStr">
        <is>
          <t>Liquid</t>
        </is>
      </c>
      <c r="D258" t="n">
        <v>10</v>
      </c>
      <c r="E258" t="n">
        <v>12</v>
      </c>
      <c r="F258" t="n">
        <v>0</v>
      </c>
      <c r="G258" t="n">
        <v>22</v>
      </c>
      <c r="H258" t="n">
        <v>22</v>
      </c>
    </row>
    <row r="259">
      <c r="A259" t="inlineStr">
        <is>
          <t>Fayde</t>
        </is>
      </c>
      <c r="B259" t="inlineStr">
        <is>
          <t>10/22</t>
        </is>
      </c>
      <c r="C259" t="inlineStr">
        <is>
          <t>TY</t>
        </is>
      </c>
      <c r="D259" t="n">
        <v>3</v>
      </c>
      <c r="E259" t="n">
        <v>3</v>
      </c>
      <c r="F259" t="n">
        <v>0</v>
      </c>
      <c r="G259" t="n">
        <v>6</v>
      </c>
      <c r="H259" t="n">
        <v>6</v>
      </c>
    </row>
    <row r="260">
      <c r="A260" t="inlineStr">
        <is>
          <t>Fayde</t>
        </is>
      </c>
      <c r="B260" t="inlineStr">
        <is>
          <t>10/14</t>
        </is>
      </c>
      <c r="C260" t="inlineStr">
        <is>
          <t>Nix</t>
        </is>
      </c>
      <c r="D260" t="n">
        <v>10</v>
      </c>
      <c r="E260" t="n">
        <v>0</v>
      </c>
      <c r="F260" t="n">
        <v>0</v>
      </c>
      <c r="G260" t="n">
        <v>10</v>
      </c>
      <c r="H260" t="n">
        <v>10</v>
      </c>
    </row>
    <row r="261">
      <c r="A261" t="inlineStr">
        <is>
          <t>Fayde</t>
        </is>
      </c>
      <c r="B261" t="inlineStr">
        <is>
          <t>10/03</t>
        </is>
      </c>
      <c r="C261" t="inlineStr">
        <is>
          <t>LGD</t>
        </is>
      </c>
      <c r="D261" t="n">
        <v>6</v>
      </c>
      <c r="E261" t="n">
        <v>0</v>
      </c>
      <c r="F261" t="n">
        <v>2</v>
      </c>
      <c r="G261" t="n">
        <v>6</v>
      </c>
      <c r="H261" t="n">
        <v>8</v>
      </c>
    </row>
    <row r="262">
      <c r="A262" t="inlineStr">
        <is>
          <t>Fayde</t>
        </is>
      </c>
      <c r="B262" t="inlineStr">
        <is>
          <t>10/02</t>
        </is>
      </c>
      <c r="C262" t="inlineStr">
        <is>
          <t>Liquid</t>
        </is>
      </c>
      <c r="D262" t="n">
        <v>8</v>
      </c>
      <c r="E262" t="n">
        <v>6</v>
      </c>
      <c r="F262" t="n">
        <v>0</v>
      </c>
      <c r="G262" t="n">
        <v>14</v>
      </c>
      <c r="H262" t="n">
        <v>14</v>
      </c>
    </row>
    <row r="263">
      <c r="A263" t="inlineStr">
        <is>
          <t>Fayde</t>
        </is>
      </c>
      <c r="B263" t="inlineStr">
        <is>
          <t>10/01</t>
        </is>
      </c>
      <c r="C263" t="inlineStr">
        <is>
          <t>YB</t>
        </is>
      </c>
      <c r="D263" t="n">
        <v>13</v>
      </c>
      <c r="E263" t="n">
        <v>8</v>
      </c>
      <c r="F263" t="n">
        <v>0</v>
      </c>
      <c r="G263" t="n">
        <v>21</v>
      </c>
      <c r="H263" t="n">
        <v>21</v>
      </c>
    </row>
    <row r="264">
      <c r="A264" t="inlineStr">
        <is>
          <t>Fayde</t>
        </is>
      </c>
      <c r="B264" t="inlineStr">
        <is>
          <t>09/29</t>
        </is>
      </c>
      <c r="C264" t="inlineStr">
        <is>
          <t>AUR</t>
        </is>
      </c>
      <c r="D264" t="n">
        <v>3</v>
      </c>
      <c r="E264" t="n">
        <v>5</v>
      </c>
      <c r="F264" t="n">
        <v>0</v>
      </c>
      <c r="G264" t="n">
        <v>8</v>
      </c>
      <c r="H264" t="n">
        <v>8</v>
      </c>
    </row>
    <row r="265">
      <c r="A265" t="inlineStr">
        <is>
          <t>Fayde</t>
        </is>
      </c>
      <c r="B265" t="inlineStr">
        <is>
          <t>09/26</t>
        </is>
      </c>
      <c r="C265" t="inlineStr">
        <is>
          <t>Xtreme</t>
        </is>
      </c>
      <c r="D265" t="n">
        <v>1</v>
      </c>
      <c r="E265" t="n">
        <v>3</v>
      </c>
      <c r="F265" t="n">
        <v>0</v>
      </c>
      <c r="G265" t="n">
        <v>4</v>
      </c>
      <c r="H265" t="n">
        <v>4</v>
      </c>
    </row>
    <row r="266">
      <c r="A266" t="inlineStr">
        <is>
          <t>Fayde</t>
        </is>
      </c>
      <c r="B266" t="inlineStr">
        <is>
          <t>09/25</t>
        </is>
      </c>
      <c r="C266" t="inlineStr">
        <is>
          <t>1WIN</t>
        </is>
      </c>
      <c r="D266" t="n">
        <v>9</v>
      </c>
      <c r="E266" t="n">
        <v>2</v>
      </c>
      <c r="F266" t="n">
        <v>3</v>
      </c>
      <c r="G266" t="n">
        <v>11</v>
      </c>
      <c r="H266" t="n">
        <v>14</v>
      </c>
    </row>
    <row r="267">
      <c r="A267" t="inlineStr">
        <is>
          <t>Fayde</t>
        </is>
      </c>
      <c r="B267" t="inlineStr">
        <is>
          <t>09/24</t>
        </is>
      </c>
      <c r="C267" t="inlineStr">
        <is>
          <t>AUR</t>
        </is>
      </c>
      <c r="D267" t="n">
        <v>7</v>
      </c>
      <c r="E267" t="n">
        <v>2</v>
      </c>
      <c r="F267" t="n">
        <v>0</v>
      </c>
      <c r="G267" t="n">
        <v>9</v>
      </c>
      <c r="H267" t="n">
        <v>9</v>
      </c>
    </row>
    <row r="268">
      <c r="A268" t="inlineStr">
        <is>
          <t>Fayde</t>
        </is>
      </c>
      <c r="B268" t="inlineStr">
        <is>
          <t>09/22</t>
        </is>
      </c>
      <c r="C268" t="inlineStr">
        <is>
          <t>Nem</t>
        </is>
      </c>
      <c r="D268" t="n">
        <v>1</v>
      </c>
      <c r="E268" t="n">
        <v>6</v>
      </c>
      <c r="F268" t="n">
        <v>6</v>
      </c>
      <c r="G268" t="n">
        <v>7</v>
      </c>
      <c r="H268" t="n">
        <v>13</v>
      </c>
    </row>
    <row r="269">
      <c r="A269" t="inlineStr">
        <is>
          <t>Fayde</t>
        </is>
      </c>
      <c r="B269" t="inlineStr">
        <is>
          <t>09/21</t>
        </is>
      </c>
      <c r="C269" t="inlineStr">
        <is>
          <t>PIPS+4</t>
        </is>
      </c>
      <c r="D269" t="n">
        <v>2</v>
      </c>
      <c r="E269" t="n">
        <v>10</v>
      </c>
      <c r="F269" t="n">
        <v>12</v>
      </c>
      <c r="G269" t="n">
        <v>12</v>
      </c>
      <c r="H269" t="n">
        <v>24</v>
      </c>
    </row>
    <row r="270">
      <c r="A270" t="inlineStr">
        <is>
          <t>Fayde</t>
        </is>
      </c>
      <c r="B270" t="inlineStr">
        <is>
          <t>09/20</t>
        </is>
      </c>
      <c r="C270" t="inlineStr">
        <is>
          <t>LGD</t>
        </is>
      </c>
      <c r="D270" t="n">
        <v>1</v>
      </c>
      <c r="E270" t="n">
        <v>2</v>
      </c>
      <c r="F270" t="n">
        <v>0</v>
      </c>
      <c r="G270" t="n">
        <v>3</v>
      </c>
      <c r="H270" t="n">
        <v>3</v>
      </c>
    </row>
    <row r="271">
      <c r="A271" t="inlineStr">
        <is>
          <t>Fayde</t>
        </is>
      </c>
      <c r="B271" t="inlineStr">
        <is>
          <t>09/19</t>
        </is>
      </c>
      <c r="C271" t="inlineStr">
        <is>
          <t>TC</t>
        </is>
      </c>
      <c r="D271" t="n">
        <v>3</v>
      </c>
      <c r="E271" t="n">
        <v>17</v>
      </c>
      <c r="F271" t="n">
        <v>0</v>
      </c>
      <c r="G271" t="n">
        <v>20</v>
      </c>
      <c r="H271" t="n">
        <v>20</v>
      </c>
    </row>
    <row r="272">
      <c r="A272" t="inlineStr">
        <is>
          <t>RCY</t>
        </is>
      </c>
      <c r="B272" t="inlineStr">
        <is>
          <t>10/24</t>
        </is>
      </c>
      <c r="C272" t="inlineStr">
        <is>
          <t>1WIN</t>
        </is>
      </c>
      <c r="D272" t="n">
        <v>5</v>
      </c>
      <c r="E272" t="n">
        <v>8</v>
      </c>
      <c r="F272" t="n">
        <v>0</v>
      </c>
      <c r="G272" t="n">
        <v>13</v>
      </c>
      <c r="H272" t="n">
        <v>13</v>
      </c>
    </row>
    <row r="273">
      <c r="A273" t="inlineStr">
        <is>
          <t>RCY</t>
        </is>
      </c>
      <c r="B273" t="inlineStr">
        <is>
          <t>10/23</t>
        </is>
      </c>
      <c r="C273" t="inlineStr">
        <is>
          <t>Liquid</t>
        </is>
      </c>
      <c r="D273" t="n">
        <v>13</v>
      </c>
      <c r="E273" t="n">
        <v>7</v>
      </c>
      <c r="F273" t="n">
        <v>0</v>
      </c>
      <c r="G273" t="n">
        <v>20</v>
      </c>
      <c r="H273" t="n">
        <v>20</v>
      </c>
    </row>
    <row r="274">
      <c r="A274" t="inlineStr">
        <is>
          <t>RCY</t>
        </is>
      </c>
      <c r="B274" t="inlineStr">
        <is>
          <t>10/22</t>
        </is>
      </c>
      <c r="C274" t="inlineStr">
        <is>
          <t>TY</t>
        </is>
      </c>
      <c r="D274" t="n">
        <v>4</v>
      </c>
      <c r="E274" t="n">
        <v>6</v>
      </c>
      <c r="F274" t="n">
        <v>0</v>
      </c>
      <c r="G274" t="n">
        <v>10</v>
      </c>
      <c r="H274" t="n">
        <v>10</v>
      </c>
    </row>
    <row r="275">
      <c r="A275" t="inlineStr">
        <is>
          <t>RCY</t>
        </is>
      </c>
      <c r="B275" t="inlineStr">
        <is>
          <t>10/03</t>
        </is>
      </c>
      <c r="C275" t="inlineStr">
        <is>
          <t>LGD</t>
        </is>
      </c>
      <c r="D275" t="n">
        <v>10</v>
      </c>
      <c r="E275" t="n">
        <v>0</v>
      </c>
      <c r="F275" t="n">
        <v>5</v>
      </c>
      <c r="G275" t="n">
        <v>10</v>
      </c>
      <c r="H275" t="n">
        <v>15</v>
      </c>
    </row>
    <row r="276">
      <c r="A276" t="inlineStr">
        <is>
          <t>RCY</t>
        </is>
      </c>
      <c r="B276" t="inlineStr">
        <is>
          <t>10/02</t>
        </is>
      </c>
      <c r="C276" t="inlineStr">
        <is>
          <t>Liquid</t>
        </is>
      </c>
      <c r="D276" t="n">
        <v>8</v>
      </c>
      <c r="E276" t="n">
        <v>16</v>
      </c>
      <c r="F276" t="n">
        <v>0</v>
      </c>
      <c r="G276" t="n">
        <v>24</v>
      </c>
      <c r="H276" t="n">
        <v>24</v>
      </c>
    </row>
    <row r="277">
      <c r="A277" t="inlineStr">
        <is>
          <t>RCY</t>
        </is>
      </c>
      <c r="B277" t="inlineStr">
        <is>
          <t>10/01</t>
        </is>
      </c>
      <c r="C277" t="inlineStr">
        <is>
          <t>YB</t>
        </is>
      </c>
      <c r="D277" t="n">
        <v>5</v>
      </c>
      <c r="E277" t="n">
        <v>8</v>
      </c>
      <c r="F277" t="n">
        <v>0</v>
      </c>
      <c r="G277" t="n">
        <v>13</v>
      </c>
      <c r="H277" t="n">
        <v>13</v>
      </c>
    </row>
    <row r="278">
      <c r="A278" t="inlineStr">
        <is>
          <t>RCY</t>
        </is>
      </c>
      <c r="B278" t="inlineStr">
        <is>
          <t>09/29</t>
        </is>
      </c>
      <c r="C278" t="inlineStr">
        <is>
          <t>AUR</t>
        </is>
      </c>
      <c r="D278" t="n">
        <v>4</v>
      </c>
      <c r="E278" t="n">
        <v>4</v>
      </c>
      <c r="F278" t="n">
        <v>0</v>
      </c>
      <c r="G278" t="n">
        <v>8</v>
      </c>
      <c r="H278" t="n">
        <v>8</v>
      </c>
    </row>
    <row r="279">
      <c r="A279" t="inlineStr">
        <is>
          <t>RCY</t>
        </is>
      </c>
      <c r="B279" t="inlineStr">
        <is>
          <t>09/26</t>
        </is>
      </c>
      <c r="C279" t="inlineStr">
        <is>
          <t>Xtreme</t>
        </is>
      </c>
      <c r="D279" t="n">
        <v>5</v>
      </c>
      <c r="E279" t="n">
        <v>14</v>
      </c>
      <c r="F279" t="n">
        <v>0</v>
      </c>
      <c r="G279" t="n">
        <v>19</v>
      </c>
      <c r="H279" t="n">
        <v>19</v>
      </c>
    </row>
    <row r="280">
      <c r="A280" t="inlineStr">
        <is>
          <t>RCY</t>
        </is>
      </c>
      <c r="B280" t="inlineStr">
        <is>
          <t>09/25</t>
        </is>
      </c>
      <c r="C280" t="inlineStr">
        <is>
          <t>1WIN</t>
        </is>
      </c>
      <c r="D280" t="n">
        <v>11</v>
      </c>
      <c r="E280" t="n">
        <v>14</v>
      </c>
      <c r="F280" t="n">
        <v>10</v>
      </c>
      <c r="G280" t="n">
        <v>25</v>
      </c>
      <c r="H280" t="n">
        <v>35</v>
      </c>
    </row>
    <row r="281">
      <c r="A281" t="inlineStr">
        <is>
          <t>RCY</t>
        </is>
      </c>
      <c r="B281" t="inlineStr">
        <is>
          <t>09/24</t>
        </is>
      </c>
      <c r="C281" t="inlineStr">
        <is>
          <t>AUR</t>
        </is>
      </c>
      <c r="D281" t="n">
        <v>3</v>
      </c>
      <c r="E281" t="n">
        <v>10</v>
      </c>
      <c r="F281" t="n">
        <v>0</v>
      </c>
      <c r="G281" t="n">
        <v>13</v>
      </c>
      <c r="H281" t="n">
        <v>13</v>
      </c>
    </row>
    <row r="282">
      <c r="A282" t="inlineStr">
        <is>
          <t>RCY</t>
        </is>
      </c>
      <c r="B282" t="inlineStr">
        <is>
          <t>09/22</t>
        </is>
      </c>
      <c r="C282" t="inlineStr">
        <is>
          <t>Nem</t>
        </is>
      </c>
      <c r="D282" t="n">
        <v>3</v>
      </c>
      <c r="E282" t="n">
        <v>15</v>
      </c>
      <c r="F282" t="n">
        <v>14</v>
      </c>
      <c r="G282" t="n">
        <v>18</v>
      </c>
      <c r="H282" t="n">
        <v>32</v>
      </c>
    </row>
    <row r="283">
      <c r="A283" t="inlineStr">
        <is>
          <t>RCY</t>
        </is>
      </c>
      <c r="B283" t="inlineStr">
        <is>
          <t>09/21</t>
        </is>
      </c>
      <c r="C283" t="inlineStr">
        <is>
          <t>PIPS+4</t>
        </is>
      </c>
      <c r="D283" t="n">
        <v>2</v>
      </c>
      <c r="E283" t="n">
        <v>8</v>
      </c>
      <c r="F283" t="n">
        <v>11</v>
      </c>
      <c r="G283" t="n">
        <v>10</v>
      </c>
      <c r="H283" t="n">
        <v>21</v>
      </c>
    </row>
    <row r="284">
      <c r="A284" t="inlineStr">
        <is>
          <t>RCY</t>
        </is>
      </c>
      <c r="B284" t="inlineStr">
        <is>
          <t>09/20</t>
        </is>
      </c>
      <c r="C284" t="inlineStr">
        <is>
          <t>LGD</t>
        </is>
      </c>
      <c r="D284" t="n">
        <v>4</v>
      </c>
      <c r="E284" t="n">
        <v>5</v>
      </c>
      <c r="F284" t="n">
        <v>0</v>
      </c>
      <c r="G284" t="n">
        <v>9</v>
      </c>
      <c r="H284" t="n">
        <v>9</v>
      </c>
    </row>
    <row r="285">
      <c r="A285" t="inlineStr">
        <is>
          <t>RCY</t>
        </is>
      </c>
      <c r="B285" t="inlineStr">
        <is>
          <t>09/19</t>
        </is>
      </c>
      <c r="C285" t="inlineStr">
        <is>
          <t>TC</t>
        </is>
      </c>
      <c r="D285" t="n">
        <v>8</v>
      </c>
      <c r="E285" t="n">
        <v>13</v>
      </c>
      <c r="F285" t="n">
        <v>0</v>
      </c>
      <c r="G285" t="n">
        <v>21</v>
      </c>
      <c r="H285" t="n">
        <v>21</v>
      </c>
    </row>
    <row r="286">
      <c r="A286" t="inlineStr">
        <is>
          <t>RCY</t>
        </is>
      </c>
      <c r="B286" t="inlineStr">
        <is>
          <t>09/12</t>
        </is>
      </c>
      <c r="C286" t="inlineStr">
        <is>
          <t>PIPS+4</t>
        </is>
      </c>
      <c r="D286" t="n">
        <v>3</v>
      </c>
      <c r="E286" t="n">
        <v>10</v>
      </c>
      <c r="F286" t="n">
        <v>0</v>
      </c>
      <c r="G286" t="n">
        <v>13</v>
      </c>
      <c r="H286" t="n">
        <v>13</v>
      </c>
    </row>
    <row r="287">
      <c r="A287" t="inlineStr">
        <is>
          <t>Speeed</t>
        </is>
      </c>
      <c r="B287" t="inlineStr">
        <is>
          <t>10/24</t>
        </is>
      </c>
      <c r="C287" t="inlineStr">
        <is>
          <t>1WIN</t>
        </is>
      </c>
      <c r="D287" t="n">
        <v>1</v>
      </c>
      <c r="E287" t="n">
        <v>2</v>
      </c>
      <c r="F287" t="n">
        <v>0</v>
      </c>
      <c r="G287" t="n">
        <v>3</v>
      </c>
      <c r="H287" t="n">
        <v>3</v>
      </c>
    </row>
    <row r="288">
      <c r="A288" t="inlineStr">
        <is>
          <t>Speeed</t>
        </is>
      </c>
      <c r="B288" t="inlineStr">
        <is>
          <t>10/23</t>
        </is>
      </c>
      <c r="C288" t="inlineStr">
        <is>
          <t>Liquid</t>
        </is>
      </c>
      <c r="D288" t="n">
        <v>1</v>
      </c>
      <c r="E288" t="n">
        <v>6</v>
      </c>
      <c r="F288" t="n">
        <v>0</v>
      </c>
      <c r="G288" t="n">
        <v>7</v>
      </c>
      <c r="H288" t="n">
        <v>7</v>
      </c>
    </row>
    <row r="289">
      <c r="A289" t="inlineStr">
        <is>
          <t>Speeed</t>
        </is>
      </c>
      <c r="B289" t="inlineStr">
        <is>
          <t>10/22</t>
        </is>
      </c>
      <c r="C289" t="inlineStr">
        <is>
          <t>TY</t>
        </is>
      </c>
      <c r="D289" t="n">
        <v>1</v>
      </c>
      <c r="E289" t="n">
        <v>1</v>
      </c>
      <c r="F289" t="n">
        <v>0</v>
      </c>
      <c r="G289" t="n">
        <v>2</v>
      </c>
      <c r="H289" t="n">
        <v>2</v>
      </c>
    </row>
    <row r="290">
      <c r="A290" t="inlineStr">
        <is>
          <t>Speeed</t>
        </is>
      </c>
      <c r="B290" t="inlineStr">
        <is>
          <t>10/03</t>
        </is>
      </c>
      <c r="C290" t="inlineStr">
        <is>
          <t>LGD</t>
        </is>
      </c>
      <c r="D290" t="n">
        <v>7</v>
      </c>
      <c r="E290" t="n">
        <v>0</v>
      </c>
      <c r="F290" t="n">
        <v>1</v>
      </c>
      <c r="G290" t="n">
        <v>7</v>
      </c>
      <c r="H290" t="n">
        <v>8</v>
      </c>
    </row>
    <row r="291">
      <c r="A291" t="inlineStr">
        <is>
          <t>Speeed</t>
        </is>
      </c>
      <c r="B291" t="inlineStr">
        <is>
          <t>10/02</t>
        </is>
      </c>
      <c r="C291" t="inlineStr">
        <is>
          <t>Liquid</t>
        </is>
      </c>
      <c r="D291" t="n">
        <v>2</v>
      </c>
      <c r="E291" t="n">
        <v>6</v>
      </c>
      <c r="F291" t="n">
        <v>0</v>
      </c>
      <c r="G291" t="n">
        <v>8</v>
      </c>
      <c r="H291" t="n">
        <v>8</v>
      </c>
    </row>
    <row r="292">
      <c r="A292" t="inlineStr">
        <is>
          <t>Speeed</t>
        </is>
      </c>
      <c r="B292" t="inlineStr">
        <is>
          <t>10/01</t>
        </is>
      </c>
      <c r="C292" t="inlineStr">
        <is>
          <t>YB</t>
        </is>
      </c>
      <c r="D292" t="n">
        <v>4</v>
      </c>
      <c r="E292" t="n">
        <v>2</v>
      </c>
      <c r="F292" t="n">
        <v>0</v>
      </c>
      <c r="G292" t="n">
        <v>6</v>
      </c>
      <c r="H292" t="n">
        <v>6</v>
      </c>
    </row>
    <row r="293">
      <c r="A293" t="inlineStr">
        <is>
          <t>Speeed</t>
        </is>
      </c>
      <c r="B293" t="inlineStr">
        <is>
          <t>09/29</t>
        </is>
      </c>
      <c r="C293" t="inlineStr">
        <is>
          <t>AUR</t>
        </is>
      </c>
      <c r="D293" t="n">
        <v>1</v>
      </c>
      <c r="E293" t="n">
        <v>2</v>
      </c>
      <c r="F293" t="n">
        <v>0</v>
      </c>
      <c r="G293" t="n">
        <v>3</v>
      </c>
      <c r="H293" t="n">
        <v>3</v>
      </c>
    </row>
    <row r="294">
      <c r="A294" t="inlineStr">
        <is>
          <t>Speeed</t>
        </is>
      </c>
      <c r="B294" t="inlineStr">
        <is>
          <t>09/26</t>
        </is>
      </c>
      <c r="C294" t="inlineStr">
        <is>
          <t>Xtreme</t>
        </is>
      </c>
      <c r="D294" t="n">
        <v>1</v>
      </c>
      <c r="E294" t="n">
        <v>1</v>
      </c>
      <c r="F294" t="n">
        <v>0</v>
      </c>
      <c r="G294" t="n">
        <v>2</v>
      </c>
      <c r="H294" t="n">
        <v>2</v>
      </c>
    </row>
    <row r="295">
      <c r="A295" t="inlineStr">
        <is>
          <t>Speeed</t>
        </is>
      </c>
      <c r="B295" t="inlineStr">
        <is>
          <t>09/25</t>
        </is>
      </c>
      <c r="C295" t="inlineStr">
        <is>
          <t>1WIN</t>
        </is>
      </c>
      <c r="D295" t="n">
        <v>5</v>
      </c>
      <c r="E295" t="n">
        <v>2</v>
      </c>
      <c r="F295" t="n">
        <v>0</v>
      </c>
      <c r="G295" t="n">
        <v>7</v>
      </c>
      <c r="H295" t="n">
        <v>7</v>
      </c>
    </row>
    <row r="296">
      <c r="A296" t="inlineStr">
        <is>
          <t>Speeed</t>
        </is>
      </c>
      <c r="B296" t="inlineStr">
        <is>
          <t>09/24</t>
        </is>
      </c>
      <c r="C296" t="inlineStr">
        <is>
          <t>AUR</t>
        </is>
      </c>
      <c r="D296" t="n">
        <v>1</v>
      </c>
      <c r="E296" t="n">
        <v>3</v>
      </c>
      <c r="F296" t="n">
        <v>0</v>
      </c>
      <c r="G296" t="n">
        <v>4</v>
      </c>
      <c r="H296" t="n">
        <v>4</v>
      </c>
    </row>
    <row r="297">
      <c r="A297" t="inlineStr">
        <is>
          <t>Speeed</t>
        </is>
      </c>
      <c r="B297" t="inlineStr">
        <is>
          <t>09/22</t>
        </is>
      </c>
      <c r="C297" t="inlineStr">
        <is>
          <t>Nem</t>
        </is>
      </c>
      <c r="D297" t="n">
        <v>3</v>
      </c>
      <c r="E297" t="n">
        <v>3</v>
      </c>
      <c r="F297" t="n">
        <v>4</v>
      </c>
      <c r="G297" t="n">
        <v>6</v>
      </c>
      <c r="H297" t="n">
        <v>10</v>
      </c>
    </row>
    <row r="298">
      <c r="A298" t="inlineStr">
        <is>
          <t>Speeed</t>
        </is>
      </c>
      <c r="B298" t="inlineStr">
        <is>
          <t>09/21</t>
        </is>
      </c>
      <c r="C298" t="inlineStr">
        <is>
          <t>PIPS+4</t>
        </is>
      </c>
      <c r="D298" t="n">
        <v>5</v>
      </c>
      <c r="E298" t="n">
        <v>4</v>
      </c>
      <c r="F298" t="n">
        <v>0</v>
      </c>
      <c r="G298" t="n">
        <v>9</v>
      </c>
      <c r="H298" t="n">
        <v>9</v>
      </c>
    </row>
    <row r="299">
      <c r="A299" t="inlineStr">
        <is>
          <t>Speeed</t>
        </is>
      </c>
      <c r="B299" t="inlineStr">
        <is>
          <t>09/20</t>
        </is>
      </c>
      <c r="C299" t="inlineStr">
        <is>
          <t>LGD</t>
        </is>
      </c>
      <c r="D299" t="n">
        <v>5</v>
      </c>
      <c r="E299" t="n">
        <v>2</v>
      </c>
      <c r="F299" t="n">
        <v>0</v>
      </c>
      <c r="G299" t="n">
        <v>7</v>
      </c>
      <c r="H299" t="n">
        <v>7</v>
      </c>
    </row>
    <row r="300">
      <c r="A300" t="inlineStr">
        <is>
          <t>Speeed</t>
        </is>
      </c>
      <c r="B300" t="inlineStr">
        <is>
          <t>09/19</t>
        </is>
      </c>
      <c r="C300" t="inlineStr">
        <is>
          <t>TC</t>
        </is>
      </c>
      <c r="D300" t="n">
        <v>2</v>
      </c>
      <c r="E300" t="n">
        <v>5</v>
      </c>
      <c r="F300" t="n">
        <v>0</v>
      </c>
      <c r="G300" t="n">
        <v>7</v>
      </c>
      <c r="H300" t="n">
        <v>7</v>
      </c>
    </row>
    <row r="301">
      <c r="A301" t="inlineStr">
        <is>
          <t>Speeed</t>
        </is>
      </c>
      <c r="B301" t="inlineStr">
        <is>
          <t>09/12</t>
        </is>
      </c>
      <c r="C301" t="inlineStr">
        <is>
          <t>PIPS+4</t>
        </is>
      </c>
      <c r="D301" t="n">
        <v>0</v>
      </c>
      <c r="E301" t="n">
        <v>3</v>
      </c>
      <c r="F301" t="n">
        <v>0</v>
      </c>
      <c r="G301" t="n">
        <v>3</v>
      </c>
      <c r="H301" t="n">
        <v>3</v>
      </c>
    </row>
    <row r="302">
      <c r="A302" t="inlineStr">
        <is>
          <t>Yuma</t>
        </is>
      </c>
      <c r="B302" t="inlineStr">
        <is>
          <t>10/24</t>
        </is>
      </c>
      <c r="C302" t="inlineStr">
        <is>
          <t>1WIN</t>
        </is>
      </c>
      <c r="D302" t="n">
        <v>12</v>
      </c>
      <c r="E302" t="n">
        <v>11</v>
      </c>
      <c r="F302" t="n">
        <v>0</v>
      </c>
      <c r="G302" t="n">
        <v>23</v>
      </c>
      <c r="H302" t="n">
        <v>23</v>
      </c>
    </row>
    <row r="303">
      <c r="A303" t="inlineStr">
        <is>
          <t>Yuma</t>
        </is>
      </c>
      <c r="B303" t="inlineStr">
        <is>
          <t>10/23</t>
        </is>
      </c>
      <c r="C303" t="inlineStr">
        <is>
          <t>Liquid</t>
        </is>
      </c>
      <c r="D303" t="n">
        <v>15</v>
      </c>
      <c r="E303" t="n">
        <v>11</v>
      </c>
      <c r="F303" t="n">
        <v>0</v>
      </c>
      <c r="G303" t="n">
        <v>26</v>
      </c>
      <c r="H303" t="n">
        <v>26</v>
      </c>
    </row>
    <row r="304">
      <c r="A304" t="inlineStr">
        <is>
          <t>Yuma</t>
        </is>
      </c>
      <c r="B304" t="inlineStr">
        <is>
          <t>10/22</t>
        </is>
      </c>
      <c r="C304" t="inlineStr">
        <is>
          <t>TY</t>
        </is>
      </c>
      <c r="D304" t="n">
        <v>2</v>
      </c>
      <c r="E304" t="n">
        <v>5</v>
      </c>
      <c r="F304" t="n">
        <v>0</v>
      </c>
      <c r="G304" t="n">
        <v>7</v>
      </c>
      <c r="H304" t="n">
        <v>7</v>
      </c>
    </row>
    <row r="305">
      <c r="A305" t="inlineStr">
        <is>
          <t>Yuma</t>
        </is>
      </c>
      <c r="B305" t="inlineStr">
        <is>
          <t>10/03</t>
        </is>
      </c>
      <c r="C305" t="inlineStr">
        <is>
          <t>LGD</t>
        </is>
      </c>
      <c r="D305" t="n">
        <v>10</v>
      </c>
      <c r="E305" t="n">
        <v>0</v>
      </c>
      <c r="F305" t="n">
        <v>11</v>
      </c>
      <c r="G305" t="n">
        <v>10</v>
      </c>
      <c r="H305" t="n">
        <v>21</v>
      </c>
    </row>
    <row r="306">
      <c r="A306" t="inlineStr">
        <is>
          <t>Yuma</t>
        </is>
      </c>
      <c r="B306" t="inlineStr">
        <is>
          <t>10/02</t>
        </is>
      </c>
      <c r="C306" t="inlineStr">
        <is>
          <t>Liquid</t>
        </is>
      </c>
      <c r="D306" t="n">
        <v>7</v>
      </c>
      <c r="E306" t="n">
        <v>7</v>
      </c>
      <c r="F306" t="n">
        <v>0</v>
      </c>
      <c r="G306" t="n">
        <v>14</v>
      </c>
      <c r="H306" t="n">
        <v>14</v>
      </c>
    </row>
    <row r="307">
      <c r="A307" t="inlineStr">
        <is>
          <t>Yuma</t>
        </is>
      </c>
      <c r="B307" t="inlineStr">
        <is>
          <t>10/01</t>
        </is>
      </c>
      <c r="C307" t="inlineStr">
        <is>
          <t>YB</t>
        </is>
      </c>
      <c r="D307" t="n">
        <v>15</v>
      </c>
      <c r="E307" t="n">
        <v>15</v>
      </c>
      <c r="F307" t="n">
        <v>0</v>
      </c>
      <c r="G307" t="n">
        <v>30</v>
      </c>
      <c r="H307" t="n">
        <v>30</v>
      </c>
    </row>
    <row r="308">
      <c r="A308" t="inlineStr">
        <is>
          <t>Yuma</t>
        </is>
      </c>
      <c r="B308" t="inlineStr">
        <is>
          <t>09/29</t>
        </is>
      </c>
      <c r="C308" t="inlineStr">
        <is>
          <t>AUR</t>
        </is>
      </c>
      <c r="D308" t="n">
        <v>3</v>
      </c>
      <c r="E308" t="n">
        <v>2</v>
      </c>
      <c r="F308" t="n">
        <v>0</v>
      </c>
      <c r="G308" t="n">
        <v>5</v>
      </c>
      <c r="H308" t="n">
        <v>5</v>
      </c>
    </row>
    <row r="309">
      <c r="A309" t="inlineStr">
        <is>
          <t>Yuma</t>
        </is>
      </c>
      <c r="B309" t="inlineStr">
        <is>
          <t>09/21</t>
        </is>
      </c>
      <c r="C309" t="inlineStr">
        <is>
          <t>YB</t>
        </is>
      </c>
      <c r="D309" t="n">
        <v>6</v>
      </c>
      <c r="E309" t="n">
        <v>9</v>
      </c>
      <c r="F309" t="n">
        <v>0</v>
      </c>
      <c r="G309" t="n">
        <v>15</v>
      </c>
      <c r="H309" t="n">
        <v>15</v>
      </c>
    </row>
    <row r="310">
      <c r="A310" t="inlineStr">
        <is>
          <t>Yuma</t>
        </is>
      </c>
      <c r="B310" t="inlineStr">
        <is>
          <t>09/20</t>
        </is>
      </c>
      <c r="C310" t="inlineStr">
        <is>
          <t>TC</t>
        </is>
      </c>
      <c r="D310" t="n">
        <v>13</v>
      </c>
      <c r="E310" t="n">
        <v>5</v>
      </c>
      <c r="F310" t="n">
        <v>3</v>
      </c>
      <c r="G310" t="n">
        <v>18</v>
      </c>
      <c r="H310" t="n">
        <v>21</v>
      </c>
    </row>
    <row r="311">
      <c r="A311" t="inlineStr">
        <is>
          <t>Yuma</t>
        </is>
      </c>
      <c r="B311" t="inlineStr">
        <is>
          <t>09/19</t>
        </is>
      </c>
      <c r="C311" t="inlineStr">
        <is>
          <t>CS</t>
        </is>
      </c>
      <c r="D311" t="n">
        <v>1</v>
      </c>
      <c r="E311" t="n">
        <v>14</v>
      </c>
      <c r="F311" t="n">
        <v>10</v>
      </c>
      <c r="G311" t="n">
        <v>15</v>
      </c>
      <c r="H311" t="n">
        <v>25</v>
      </c>
    </row>
    <row r="312">
      <c r="A312" t="inlineStr">
        <is>
          <t>Yuma</t>
        </is>
      </c>
      <c r="B312" t="inlineStr">
        <is>
          <t>08/16</t>
        </is>
      </c>
      <c r="C312" t="inlineStr">
        <is>
          <t>TY</t>
        </is>
      </c>
      <c r="D312" t="n">
        <v>8</v>
      </c>
      <c r="E312" t="n">
        <v>4</v>
      </c>
      <c r="F312" t="n">
        <v>8</v>
      </c>
      <c r="G312" t="n">
        <v>12</v>
      </c>
      <c r="H312" t="n">
        <v>20</v>
      </c>
    </row>
    <row r="313">
      <c r="A313" t="inlineStr">
        <is>
          <t>Yuma</t>
        </is>
      </c>
      <c r="B313" t="inlineStr">
        <is>
          <t>08/15</t>
        </is>
      </c>
      <c r="C313" t="inlineStr">
        <is>
          <t>VG</t>
        </is>
      </c>
      <c r="D313" t="n">
        <v>15</v>
      </c>
      <c r="E313" t="n">
        <v>8</v>
      </c>
      <c r="F313" t="n">
        <v>0</v>
      </c>
      <c r="G313" t="n">
        <v>23</v>
      </c>
      <c r="H313" t="n">
        <v>23</v>
      </c>
    </row>
    <row r="314">
      <c r="A314" t="inlineStr">
        <is>
          <t>Yuma</t>
        </is>
      </c>
      <c r="B314" t="inlineStr">
        <is>
          <t>08/15</t>
        </is>
      </c>
      <c r="C314" t="inlineStr">
        <is>
          <t>Xtreme</t>
        </is>
      </c>
      <c r="D314" t="n">
        <v>4</v>
      </c>
      <c r="E314" t="n">
        <v>9</v>
      </c>
      <c r="F314" t="n">
        <v>5</v>
      </c>
      <c r="G314" t="n">
        <v>13</v>
      </c>
      <c r="H314" t="n">
        <v>18</v>
      </c>
    </row>
    <row r="315">
      <c r="A315" t="inlineStr">
        <is>
          <t>Yuma</t>
        </is>
      </c>
      <c r="B315" t="inlineStr">
        <is>
          <t>08/14</t>
        </is>
      </c>
      <c r="C315" t="inlineStr">
        <is>
          <t>NGX</t>
        </is>
      </c>
      <c r="D315" t="n">
        <v>10</v>
      </c>
      <c r="E315" t="n">
        <v>10</v>
      </c>
      <c r="F315" t="n">
        <v>0</v>
      </c>
      <c r="G315" t="n">
        <v>20</v>
      </c>
      <c r="H315" t="n">
        <v>20</v>
      </c>
    </row>
    <row r="316">
      <c r="A316" t="inlineStr">
        <is>
          <t>Yuma</t>
        </is>
      </c>
      <c r="B316" t="inlineStr">
        <is>
          <t>08/13</t>
        </is>
      </c>
      <c r="C316" t="inlineStr">
        <is>
          <t>TR</t>
        </is>
      </c>
      <c r="D316" t="n">
        <v>1</v>
      </c>
      <c r="E316" t="n">
        <v>23</v>
      </c>
      <c r="F316" t="n">
        <v>22</v>
      </c>
      <c r="G316" t="n">
        <v>24</v>
      </c>
      <c r="H316" t="n">
        <v>46</v>
      </c>
    </row>
    <row r="317">
      <c r="A317" t="inlineStr">
        <is>
          <t>Caliste</t>
        </is>
      </c>
      <c r="B317" t="inlineStr">
        <is>
          <t>10/24</t>
        </is>
      </c>
      <c r="C317" t="inlineStr">
        <is>
          <t>LY</t>
        </is>
      </c>
      <c r="D317" t="n">
        <v>6</v>
      </c>
      <c r="E317" t="n">
        <v>0</v>
      </c>
      <c r="F317" t="n">
        <v>0</v>
      </c>
      <c r="G317" t="n">
        <v>6</v>
      </c>
      <c r="H317" t="n">
        <v>6</v>
      </c>
    </row>
    <row r="318">
      <c r="A318" t="inlineStr">
        <is>
          <t>Caliste</t>
        </is>
      </c>
      <c r="B318" t="inlineStr">
        <is>
          <t>10/23</t>
        </is>
      </c>
      <c r="C318" t="inlineStr">
        <is>
          <t>AL</t>
        </is>
      </c>
      <c r="D318" t="n">
        <v>3</v>
      </c>
      <c r="E318" t="n">
        <v>0</v>
      </c>
      <c r="F318" t="n">
        <v>0</v>
      </c>
      <c r="G318" t="n">
        <v>3</v>
      </c>
      <c r="H318" t="n">
        <v>3</v>
      </c>
    </row>
    <row r="319">
      <c r="A319" t="inlineStr">
        <is>
          <t>Caliste</t>
        </is>
      </c>
      <c r="B319" t="inlineStr">
        <is>
          <t>10/18</t>
        </is>
      </c>
      <c r="C319" t="inlineStr">
        <is>
          <t>MVK</t>
        </is>
      </c>
      <c r="D319" t="n">
        <v>6</v>
      </c>
      <c r="E319" t="n">
        <v>2</v>
      </c>
      <c r="F319" t="n">
        <v>9</v>
      </c>
      <c r="G319" t="n">
        <v>8</v>
      </c>
      <c r="H319" t="n">
        <v>17</v>
      </c>
    </row>
    <row r="320">
      <c r="A320" t="inlineStr">
        <is>
          <t>Caliste</t>
        </is>
      </c>
      <c r="B320" t="inlineStr">
        <is>
          <t>10/16</t>
        </is>
      </c>
      <c r="C320" t="inlineStr">
        <is>
          <t>MVK</t>
        </is>
      </c>
      <c r="D320" t="n">
        <v>3</v>
      </c>
      <c r="E320" t="n">
        <v>5</v>
      </c>
      <c r="F320" t="n">
        <v>2</v>
      </c>
      <c r="G320" t="n">
        <v>8</v>
      </c>
      <c r="H320" t="n">
        <v>10</v>
      </c>
    </row>
    <row r="321">
      <c r="A321" t="inlineStr">
        <is>
          <t>Caliste</t>
        </is>
      </c>
      <c r="B321" t="inlineStr">
        <is>
          <t>10/15</t>
        </is>
      </c>
      <c r="C321" t="inlineStr">
        <is>
          <t>C9</t>
        </is>
      </c>
      <c r="D321" t="n">
        <v>0</v>
      </c>
      <c r="E321" t="n">
        <v>4</v>
      </c>
      <c r="F321" t="n">
        <v>2</v>
      </c>
      <c r="G321" t="n">
        <v>4</v>
      </c>
      <c r="H321" t="n">
        <v>6</v>
      </c>
    </row>
    <row r="322">
      <c r="A322" t="inlineStr">
        <is>
          <t>Caliste</t>
        </is>
      </c>
      <c r="B322" t="inlineStr">
        <is>
          <t>09/19</t>
        </is>
      </c>
      <c r="C322" t="inlineStr">
        <is>
          <t>MKOI</t>
        </is>
      </c>
      <c r="D322" t="n">
        <v>6</v>
      </c>
      <c r="E322" t="n">
        <v>5</v>
      </c>
      <c r="F322" t="n">
        <v>0</v>
      </c>
      <c r="G322" t="n">
        <v>11</v>
      </c>
      <c r="H322" t="n">
        <v>11</v>
      </c>
    </row>
    <row r="323">
      <c r="A323" t="inlineStr">
        <is>
          <t>Caliste</t>
        </is>
      </c>
      <c r="B323" t="inlineStr">
        <is>
          <t>09/06</t>
        </is>
      </c>
      <c r="C323" t="inlineStr">
        <is>
          <t>G2</t>
        </is>
      </c>
      <c r="D323" t="n">
        <v>4</v>
      </c>
      <c r="E323" t="n">
        <v>3</v>
      </c>
      <c r="F323" t="n">
        <v>4</v>
      </c>
      <c r="G323" t="n">
        <v>7</v>
      </c>
      <c r="H323" t="n">
        <v>11</v>
      </c>
    </row>
    <row r="324">
      <c r="A324" t="inlineStr">
        <is>
          <t>Caliste</t>
        </is>
      </c>
      <c r="B324" t="inlineStr">
        <is>
          <t>09/05</t>
        </is>
      </c>
      <c r="C324" t="inlineStr">
        <is>
          <t>GX</t>
        </is>
      </c>
      <c r="D324" t="n">
        <v>1</v>
      </c>
      <c r="E324" t="n">
        <v>2</v>
      </c>
      <c r="F324" t="n">
        <v>3</v>
      </c>
      <c r="G324" t="n">
        <v>3</v>
      </c>
      <c r="H324" t="n">
        <v>6</v>
      </c>
    </row>
    <row r="325">
      <c r="A325" t="inlineStr">
        <is>
          <t>Caliste</t>
        </is>
      </c>
      <c r="B325" t="inlineStr">
        <is>
          <t>08/29</t>
        </is>
      </c>
      <c r="C325" t="inlineStr">
        <is>
          <t>SK</t>
        </is>
      </c>
      <c r="D325" t="n">
        <v>7</v>
      </c>
      <c r="E325" t="n">
        <v>7</v>
      </c>
      <c r="F325" t="n">
        <v>0</v>
      </c>
      <c r="G325" t="n">
        <v>14</v>
      </c>
      <c r="H325" t="n">
        <v>14</v>
      </c>
    </row>
    <row r="326">
      <c r="A326" t="inlineStr">
        <is>
          <t>Caliste</t>
        </is>
      </c>
      <c r="B326" t="inlineStr">
        <is>
          <t>08/23</t>
        </is>
      </c>
      <c r="C326" t="inlineStr">
        <is>
          <t>SHFT</t>
        </is>
      </c>
      <c r="D326" t="n">
        <v>6</v>
      </c>
      <c r="E326" t="n">
        <v>9</v>
      </c>
      <c r="F326" t="n">
        <v>4</v>
      </c>
      <c r="G326" t="n">
        <v>15</v>
      </c>
      <c r="H326" t="n">
        <v>19</v>
      </c>
    </row>
    <row r="327">
      <c r="A327" t="inlineStr">
        <is>
          <t>Caliste</t>
        </is>
      </c>
      <c r="B327" t="inlineStr">
        <is>
          <t>08/17</t>
        </is>
      </c>
      <c r="C327" t="inlineStr">
        <is>
          <t>GX</t>
        </is>
      </c>
      <c r="D327" t="n">
        <v>9</v>
      </c>
      <c r="E327" t="n">
        <v>2</v>
      </c>
      <c r="F327" t="n">
        <v>0</v>
      </c>
      <c r="G327" t="n">
        <v>11</v>
      </c>
      <c r="H327" t="n">
        <v>11</v>
      </c>
    </row>
    <row r="328">
      <c r="A328" t="inlineStr">
        <is>
          <t>Caliste</t>
        </is>
      </c>
      <c r="B328" t="inlineStr">
        <is>
          <t>08/09</t>
        </is>
      </c>
      <c r="C328" t="inlineStr">
        <is>
          <t>FNC</t>
        </is>
      </c>
      <c r="D328" t="n">
        <v>6</v>
      </c>
      <c r="E328" t="n">
        <v>9</v>
      </c>
      <c r="F328" t="n">
        <v>0</v>
      </c>
      <c r="G328" t="n">
        <v>15</v>
      </c>
      <c r="H328" t="n">
        <v>15</v>
      </c>
    </row>
    <row r="329">
      <c r="A329" t="inlineStr">
        <is>
          <t>Caliste</t>
        </is>
      </c>
      <c r="B329" t="inlineStr">
        <is>
          <t>08/03</t>
        </is>
      </c>
      <c r="C329" t="inlineStr">
        <is>
          <t>TH</t>
        </is>
      </c>
      <c r="D329" t="n">
        <v>3</v>
      </c>
      <c r="E329" t="n">
        <v>8</v>
      </c>
      <c r="F329" t="n">
        <v>0</v>
      </c>
      <c r="G329" t="n">
        <v>11</v>
      </c>
      <c r="H329" t="n">
        <v>11</v>
      </c>
    </row>
    <row r="330">
      <c r="A330" t="inlineStr">
        <is>
          <t>Caliste</t>
        </is>
      </c>
      <c r="B330" t="inlineStr">
        <is>
          <t>08/01</t>
        </is>
      </c>
      <c r="C330" t="inlineStr">
        <is>
          <t>Navi</t>
        </is>
      </c>
      <c r="D330" t="n">
        <v>5</v>
      </c>
      <c r="E330" t="n">
        <v>4</v>
      </c>
      <c r="F330" t="n">
        <v>0</v>
      </c>
      <c r="G330" t="n">
        <v>9</v>
      </c>
      <c r="H330" t="n">
        <v>9</v>
      </c>
    </row>
    <row r="331">
      <c r="A331" t="inlineStr">
        <is>
          <t>Caliste</t>
        </is>
      </c>
      <c r="B331" t="inlineStr">
        <is>
          <t>07/26</t>
        </is>
      </c>
      <c r="C331" t="inlineStr">
        <is>
          <t>G2</t>
        </is>
      </c>
      <c r="D331" t="n">
        <v>6</v>
      </c>
      <c r="E331" t="n">
        <v>4</v>
      </c>
      <c r="F331" t="n">
        <v>10</v>
      </c>
      <c r="G331" t="n">
        <v>10</v>
      </c>
      <c r="H331" t="n">
        <v>20</v>
      </c>
    </row>
    <row r="332">
      <c r="A332" t="inlineStr">
        <is>
          <t>Kyeahoo</t>
        </is>
      </c>
      <c r="B332" t="inlineStr">
        <is>
          <t>10/24</t>
        </is>
      </c>
      <c r="C332" t="inlineStr">
        <is>
          <t>LY</t>
        </is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</row>
    <row r="333">
      <c r="A333" t="inlineStr">
        <is>
          <t>Kyeahoo</t>
        </is>
      </c>
      <c r="B333" t="inlineStr">
        <is>
          <t>10/23</t>
        </is>
      </c>
      <c r="C333" t="inlineStr">
        <is>
          <t>AL</t>
        </is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</row>
    <row r="334">
      <c r="A334" t="inlineStr">
        <is>
          <t>Kyeahoo</t>
        </is>
      </c>
      <c r="B334" t="inlineStr">
        <is>
          <t>10/18</t>
        </is>
      </c>
      <c r="C334" t="inlineStr">
        <is>
          <t>MVK</t>
        </is>
      </c>
      <c r="D334" t="n">
        <v>4</v>
      </c>
      <c r="E334" t="n">
        <v>5</v>
      </c>
      <c r="F334" t="n">
        <v>4</v>
      </c>
      <c r="G334" t="n">
        <v>9</v>
      </c>
      <c r="H334" t="n">
        <v>13</v>
      </c>
    </row>
    <row r="335">
      <c r="A335" t="inlineStr">
        <is>
          <t>Kyeahoo</t>
        </is>
      </c>
      <c r="B335" t="inlineStr">
        <is>
          <t>10/16</t>
        </is>
      </c>
      <c r="C335" t="inlineStr">
        <is>
          <t>MVK</t>
        </is>
      </c>
      <c r="D335" t="n">
        <v>3</v>
      </c>
      <c r="E335" t="n">
        <v>6</v>
      </c>
      <c r="F335" t="n">
        <v>1</v>
      </c>
      <c r="G335" t="n">
        <v>9</v>
      </c>
      <c r="H335" t="n">
        <v>10</v>
      </c>
    </row>
    <row r="336">
      <c r="A336" t="inlineStr">
        <is>
          <t>Kyeahoo</t>
        </is>
      </c>
      <c r="B336" t="inlineStr">
        <is>
          <t>10/15</t>
        </is>
      </c>
      <c r="C336" t="inlineStr">
        <is>
          <t>C9</t>
        </is>
      </c>
      <c r="D336" t="n">
        <v>1</v>
      </c>
      <c r="E336" t="n">
        <v>2</v>
      </c>
      <c r="F336" t="n">
        <v>2</v>
      </c>
      <c r="G336" t="n">
        <v>3</v>
      </c>
      <c r="H336" t="n">
        <v>5</v>
      </c>
    </row>
    <row r="337">
      <c r="A337" t="inlineStr">
        <is>
          <t>Kyeahoo</t>
        </is>
      </c>
      <c r="B337" t="inlineStr">
        <is>
          <t>09/19</t>
        </is>
      </c>
      <c r="C337" t="inlineStr">
        <is>
          <t>MKOI</t>
        </is>
      </c>
      <c r="D337" t="n">
        <v>5</v>
      </c>
      <c r="E337" t="n">
        <v>1</v>
      </c>
      <c r="F337" t="n">
        <v>2</v>
      </c>
      <c r="G337" t="n">
        <v>6</v>
      </c>
      <c r="H337" t="n">
        <v>8</v>
      </c>
    </row>
    <row r="338">
      <c r="A338" t="inlineStr">
        <is>
          <t>Kyeahoo</t>
        </is>
      </c>
      <c r="B338" t="inlineStr">
        <is>
          <t>09/06</t>
        </is>
      </c>
      <c r="C338" t="inlineStr">
        <is>
          <t>G2</t>
        </is>
      </c>
      <c r="D338" t="n">
        <v>1</v>
      </c>
      <c r="E338" t="n">
        <v>2</v>
      </c>
      <c r="F338" t="n">
        <v>5</v>
      </c>
      <c r="G338" t="n">
        <v>3</v>
      </c>
      <c r="H338" t="n">
        <v>8</v>
      </c>
    </row>
    <row r="339">
      <c r="A339" t="inlineStr">
        <is>
          <t>Kyeahoo</t>
        </is>
      </c>
      <c r="B339" t="inlineStr">
        <is>
          <t>09/05</t>
        </is>
      </c>
      <c r="C339" t="inlineStr">
        <is>
          <t>GX</t>
        </is>
      </c>
      <c r="D339" t="n">
        <v>3</v>
      </c>
      <c r="E339" t="n">
        <v>3</v>
      </c>
      <c r="F339" t="n">
        <v>0</v>
      </c>
      <c r="G339" t="n">
        <v>6</v>
      </c>
      <c r="H339" t="n">
        <v>6</v>
      </c>
    </row>
    <row r="340">
      <c r="A340" t="inlineStr">
        <is>
          <t>Kyeahoo</t>
        </is>
      </c>
      <c r="B340" t="inlineStr">
        <is>
          <t>08/29</t>
        </is>
      </c>
      <c r="C340" t="inlineStr">
        <is>
          <t>SK</t>
        </is>
      </c>
      <c r="D340" t="n">
        <v>2</v>
      </c>
      <c r="E340" t="n">
        <v>2</v>
      </c>
      <c r="F340" t="n">
        <v>0</v>
      </c>
      <c r="G340" t="n">
        <v>4</v>
      </c>
      <c r="H340" t="n">
        <v>4</v>
      </c>
    </row>
    <row r="341">
      <c r="A341" t="inlineStr">
        <is>
          <t>Kyeahoo</t>
        </is>
      </c>
      <c r="B341" t="inlineStr">
        <is>
          <t>08/23</t>
        </is>
      </c>
      <c r="C341" t="inlineStr">
        <is>
          <t>SHFT</t>
        </is>
      </c>
      <c r="D341" t="n">
        <v>3</v>
      </c>
      <c r="E341" t="n">
        <v>2</v>
      </c>
      <c r="F341" t="n">
        <v>1</v>
      </c>
      <c r="G341" t="n">
        <v>5</v>
      </c>
      <c r="H341" t="n">
        <v>6</v>
      </c>
    </row>
    <row r="342">
      <c r="A342" t="inlineStr">
        <is>
          <t>Kyeahoo</t>
        </is>
      </c>
      <c r="B342" t="inlineStr">
        <is>
          <t>08/17</t>
        </is>
      </c>
      <c r="C342" t="inlineStr">
        <is>
          <t>GX</t>
        </is>
      </c>
      <c r="D342" t="n">
        <v>2</v>
      </c>
      <c r="E342" t="n">
        <v>0</v>
      </c>
      <c r="F342" t="n">
        <v>0</v>
      </c>
      <c r="G342" t="n">
        <v>2</v>
      </c>
      <c r="H342" t="n">
        <v>2</v>
      </c>
    </row>
    <row r="343">
      <c r="A343" t="inlineStr">
        <is>
          <t>Kyeahoo</t>
        </is>
      </c>
      <c r="B343" t="inlineStr">
        <is>
          <t>08/09</t>
        </is>
      </c>
      <c r="C343" t="inlineStr">
        <is>
          <t>FNC</t>
        </is>
      </c>
      <c r="D343" t="n">
        <v>0</v>
      </c>
      <c r="E343" t="n">
        <v>2</v>
      </c>
      <c r="F343" t="n">
        <v>0</v>
      </c>
      <c r="G343" t="n">
        <v>2</v>
      </c>
      <c r="H343" t="n">
        <v>2</v>
      </c>
    </row>
    <row r="344">
      <c r="A344" t="inlineStr">
        <is>
          <t>Kyeahoo</t>
        </is>
      </c>
      <c r="B344" t="inlineStr">
        <is>
          <t>08/03</t>
        </is>
      </c>
      <c r="C344" t="inlineStr">
        <is>
          <t>TH</t>
        </is>
      </c>
      <c r="D344" t="n">
        <v>3</v>
      </c>
      <c r="E344" t="n">
        <v>2</v>
      </c>
      <c r="F344" t="n">
        <v>0</v>
      </c>
      <c r="G344" t="n">
        <v>5</v>
      </c>
      <c r="H344" t="n">
        <v>5</v>
      </c>
    </row>
    <row r="345">
      <c r="A345" t="inlineStr">
        <is>
          <t>Kyeahoo</t>
        </is>
      </c>
      <c r="B345" t="inlineStr">
        <is>
          <t>08/01</t>
        </is>
      </c>
      <c r="C345" t="inlineStr">
        <is>
          <t>Navi</t>
        </is>
      </c>
      <c r="D345" t="n">
        <v>5</v>
      </c>
      <c r="E345" t="n">
        <v>5</v>
      </c>
      <c r="F345" t="n">
        <v>0</v>
      </c>
      <c r="G345" t="n">
        <v>10</v>
      </c>
      <c r="H345" t="n">
        <v>10</v>
      </c>
    </row>
    <row r="346">
      <c r="A346" t="inlineStr">
        <is>
          <t>Kyeahoo</t>
        </is>
      </c>
      <c r="B346" t="inlineStr">
        <is>
          <t>07/26</t>
        </is>
      </c>
      <c r="C346" t="inlineStr">
        <is>
          <t>G2</t>
        </is>
      </c>
      <c r="D346" t="n">
        <v>4</v>
      </c>
      <c r="E346" t="n">
        <v>2</v>
      </c>
      <c r="F346" t="n">
        <v>3</v>
      </c>
      <c r="G346" t="n">
        <v>6</v>
      </c>
      <c r="H346" t="n">
        <v>9</v>
      </c>
    </row>
    <row r="347">
      <c r="A347" t="inlineStr">
        <is>
          <t>Yike</t>
        </is>
      </c>
      <c r="B347" t="inlineStr">
        <is>
          <t>10/24</t>
        </is>
      </c>
      <c r="C347" t="inlineStr">
        <is>
          <t>LY</t>
        </is>
      </c>
      <c r="D347" t="n">
        <v>3</v>
      </c>
      <c r="E347" t="n">
        <v>0</v>
      </c>
      <c r="F347" t="n">
        <v>0</v>
      </c>
      <c r="G347" t="n">
        <v>3</v>
      </c>
      <c r="H347" t="n">
        <v>3</v>
      </c>
    </row>
    <row r="348">
      <c r="A348" t="inlineStr">
        <is>
          <t>Yike</t>
        </is>
      </c>
      <c r="B348" t="inlineStr">
        <is>
          <t>10/23</t>
        </is>
      </c>
      <c r="C348" t="inlineStr">
        <is>
          <t>AL</t>
        </is>
      </c>
      <c r="D348" t="n">
        <v>3</v>
      </c>
      <c r="E348" t="n">
        <v>0</v>
      </c>
      <c r="F348" t="n">
        <v>0</v>
      </c>
      <c r="G348" t="n">
        <v>3</v>
      </c>
      <c r="H348" t="n">
        <v>3</v>
      </c>
    </row>
    <row r="349">
      <c r="A349" t="inlineStr">
        <is>
          <t>Yike</t>
        </is>
      </c>
      <c r="B349" t="inlineStr">
        <is>
          <t>10/18</t>
        </is>
      </c>
      <c r="C349" t="inlineStr">
        <is>
          <t>MVK</t>
        </is>
      </c>
      <c r="D349" t="n">
        <v>2</v>
      </c>
      <c r="E349" t="n">
        <v>9</v>
      </c>
      <c r="F349" t="n">
        <v>6</v>
      </c>
      <c r="G349" t="n">
        <v>11</v>
      </c>
      <c r="H349" t="n">
        <v>17</v>
      </c>
    </row>
    <row r="350">
      <c r="A350" t="inlineStr">
        <is>
          <t>Yike</t>
        </is>
      </c>
      <c r="B350" t="inlineStr">
        <is>
          <t>10/16</t>
        </is>
      </c>
      <c r="C350" t="inlineStr">
        <is>
          <t>MVK</t>
        </is>
      </c>
      <c r="D350" t="n">
        <v>1</v>
      </c>
      <c r="E350" t="n">
        <v>5</v>
      </c>
      <c r="F350" t="n">
        <v>5</v>
      </c>
      <c r="G350" t="n">
        <v>6</v>
      </c>
      <c r="H350" t="n">
        <v>11</v>
      </c>
    </row>
    <row r="351">
      <c r="A351" t="inlineStr">
        <is>
          <t>Yike</t>
        </is>
      </c>
      <c r="B351" t="inlineStr">
        <is>
          <t>10/15</t>
        </is>
      </c>
      <c r="C351" t="inlineStr">
        <is>
          <t>C9</t>
        </is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</row>
    <row r="352">
      <c r="A352" t="inlineStr">
        <is>
          <t>Yike</t>
        </is>
      </c>
      <c r="B352" t="inlineStr">
        <is>
          <t>09/19</t>
        </is>
      </c>
      <c r="C352" t="inlineStr">
        <is>
          <t>MKOI</t>
        </is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</row>
    <row r="353">
      <c r="A353" t="inlineStr">
        <is>
          <t>Yike</t>
        </is>
      </c>
      <c r="B353" t="inlineStr">
        <is>
          <t>09/06</t>
        </is>
      </c>
      <c r="C353" t="inlineStr">
        <is>
          <t>G2</t>
        </is>
      </c>
      <c r="D353" t="n">
        <v>4</v>
      </c>
      <c r="E353" t="n">
        <v>4</v>
      </c>
      <c r="F353" t="n">
        <v>3</v>
      </c>
      <c r="G353" t="n">
        <v>8</v>
      </c>
      <c r="H353" t="n">
        <v>11</v>
      </c>
    </row>
    <row r="354">
      <c r="A354" t="inlineStr">
        <is>
          <t>Yike</t>
        </is>
      </c>
      <c r="B354" t="inlineStr">
        <is>
          <t>09/05</t>
        </is>
      </c>
      <c r="C354" t="inlineStr">
        <is>
          <t>GX</t>
        </is>
      </c>
      <c r="D354" t="n">
        <v>1</v>
      </c>
      <c r="E354" t="n">
        <v>3</v>
      </c>
      <c r="F354" t="n">
        <v>5</v>
      </c>
      <c r="G354" t="n">
        <v>4</v>
      </c>
      <c r="H354" t="n">
        <v>9</v>
      </c>
    </row>
    <row r="355">
      <c r="A355" t="inlineStr">
        <is>
          <t>Yike</t>
        </is>
      </c>
      <c r="B355" t="inlineStr">
        <is>
          <t>08/29</t>
        </is>
      </c>
      <c r="C355" t="inlineStr">
        <is>
          <t>SK</t>
        </is>
      </c>
      <c r="D355" t="n">
        <v>12</v>
      </c>
      <c r="E355" t="n">
        <v>6</v>
      </c>
      <c r="F355" t="n">
        <v>0</v>
      </c>
      <c r="G355" t="n">
        <v>18</v>
      </c>
      <c r="H355" t="n">
        <v>18</v>
      </c>
    </row>
    <row r="356">
      <c r="A356" t="inlineStr">
        <is>
          <t>Yike</t>
        </is>
      </c>
      <c r="B356" t="inlineStr">
        <is>
          <t>08/23</t>
        </is>
      </c>
      <c r="C356" t="inlineStr">
        <is>
          <t>SHFT</t>
        </is>
      </c>
      <c r="D356" t="n">
        <v>5</v>
      </c>
      <c r="E356" t="n">
        <v>8</v>
      </c>
      <c r="F356" t="n">
        <v>7</v>
      </c>
      <c r="G356" t="n">
        <v>13</v>
      </c>
      <c r="H356" t="n">
        <v>20</v>
      </c>
    </row>
    <row r="357">
      <c r="A357" t="inlineStr">
        <is>
          <t>Yike</t>
        </is>
      </c>
      <c r="B357" t="inlineStr">
        <is>
          <t>08/17</t>
        </is>
      </c>
      <c r="C357" t="inlineStr">
        <is>
          <t>GX</t>
        </is>
      </c>
      <c r="D357" t="n">
        <v>2</v>
      </c>
      <c r="E357" t="n">
        <v>8</v>
      </c>
      <c r="F357" t="n">
        <v>0</v>
      </c>
      <c r="G357" t="n">
        <v>10</v>
      </c>
      <c r="H357" t="n">
        <v>10</v>
      </c>
    </row>
    <row r="358">
      <c r="A358" t="inlineStr">
        <is>
          <t>Yike</t>
        </is>
      </c>
      <c r="B358" t="inlineStr">
        <is>
          <t>08/09</t>
        </is>
      </c>
      <c r="C358" t="inlineStr">
        <is>
          <t>FNC</t>
        </is>
      </c>
      <c r="D358" t="n">
        <v>5</v>
      </c>
      <c r="E358" t="n">
        <v>5</v>
      </c>
      <c r="F358" t="n">
        <v>0</v>
      </c>
      <c r="G358" t="n">
        <v>10</v>
      </c>
      <c r="H358" t="n">
        <v>10</v>
      </c>
    </row>
    <row r="359">
      <c r="A359" t="inlineStr">
        <is>
          <t>Yike</t>
        </is>
      </c>
      <c r="B359" t="inlineStr">
        <is>
          <t>08/03</t>
        </is>
      </c>
      <c r="C359" t="inlineStr">
        <is>
          <t>TH</t>
        </is>
      </c>
      <c r="D359" t="n">
        <v>7</v>
      </c>
      <c r="E359" t="n">
        <v>2</v>
      </c>
      <c r="F359" t="n">
        <v>0</v>
      </c>
      <c r="G359" t="n">
        <v>9</v>
      </c>
      <c r="H359" t="n">
        <v>9</v>
      </c>
    </row>
    <row r="360">
      <c r="A360" t="inlineStr">
        <is>
          <t>Yike</t>
        </is>
      </c>
      <c r="B360" t="inlineStr">
        <is>
          <t>08/01</t>
        </is>
      </c>
      <c r="C360" t="inlineStr">
        <is>
          <t>Navi</t>
        </is>
      </c>
      <c r="D360" t="n">
        <v>1</v>
      </c>
      <c r="E360" t="n">
        <v>3</v>
      </c>
      <c r="F360" t="n">
        <v>0</v>
      </c>
      <c r="G360" t="n">
        <v>4</v>
      </c>
      <c r="H360" t="n">
        <v>4</v>
      </c>
    </row>
    <row r="361">
      <c r="A361" t="inlineStr">
        <is>
          <t>Yike</t>
        </is>
      </c>
      <c r="B361" t="inlineStr">
        <is>
          <t>07/26</t>
        </is>
      </c>
      <c r="C361" t="inlineStr">
        <is>
          <t>G2</t>
        </is>
      </c>
      <c r="D361" t="n">
        <v>3</v>
      </c>
      <c r="E361" t="n">
        <v>2</v>
      </c>
      <c r="F361" t="n">
        <v>8</v>
      </c>
      <c r="G361" t="n">
        <v>5</v>
      </c>
      <c r="H361" t="n">
        <v>13</v>
      </c>
    </row>
    <row r="362">
      <c r="A362" t="inlineStr">
        <is>
          <t>DarkLord^</t>
        </is>
      </c>
      <c r="B362" t="inlineStr">
        <is>
          <t>10/24</t>
        </is>
      </c>
      <c r="C362" t="inlineStr">
        <is>
          <t>AI</t>
        </is>
      </c>
      <c r="D362" t="n">
        <v>13</v>
      </c>
      <c r="E362" t="n">
        <v>6</v>
      </c>
      <c r="F362" t="n">
        <v>9</v>
      </c>
      <c r="G362" t="n">
        <v>19</v>
      </c>
      <c r="H362" t="n">
        <v>28</v>
      </c>
    </row>
    <row r="363">
      <c r="A363" t="inlineStr">
        <is>
          <t>DarkLord^</t>
        </is>
      </c>
      <c r="B363" t="inlineStr">
        <is>
          <t>10/22</t>
        </is>
      </c>
      <c r="C363" t="inlineStr">
        <is>
          <t>TS</t>
        </is>
      </c>
      <c r="D363" t="n">
        <v>8</v>
      </c>
      <c r="E363" t="n">
        <v>3</v>
      </c>
      <c r="F363" t="n">
        <v>0</v>
      </c>
      <c r="G363" t="n">
        <v>11</v>
      </c>
      <c r="H363" t="n">
        <v>11</v>
      </c>
    </row>
    <row r="364">
      <c r="A364" t="inlineStr">
        <is>
          <t>DarkLord^</t>
        </is>
      </c>
      <c r="B364" t="inlineStr">
        <is>
          <t>10/08</t>
        </is>
      </c>
      <c r="C364" t="inlineStr">
        <is>
          <t>BBL</t>
        </is>
      </c>
      <c r="D364" t="n">
        <v>5</v>
      </c>
      <c r="E364" t="n">
        <v>4</v>
      </c>
      <c r="F364" t="n">
        <v>7</v>
      </c>
      <c r="G364" t="n">
        <v>9</v>
      </c>
      <c r="H364" t="n">
        <v>16</v>
      </c>
    </row>
    <row r="365">
      <c r="A365" t="inlineStr">
        <is>
          <t>DarkLord^</t>
        </is>
      </c>
      <c r="B365" t="inlineStr">
        <is>
          <t>10/07</t>
        </is>
      </c>
      <c r="C365" t="inlineStr">
        <is>
          <t>Team Synapse</t>
        </is>
      </c>
      <c r="D365" t="n">
        <v>12</v>
      </c>
      <c r="E365" t="n">
        <v>13</v>
      </c>
      <c r="F365" t="n">
        <v>0</v>
      </c>
      <c r="G365" t="n">
        <v>25</v>
      </c>
      <c r="H365" t="n">
        <v>25</v>
      </c>
    </row>
    <row r="366">
      <c r="A366" t="inlineStr">
        <is>
          <t>DarkLord^</t>
        </is>
      </c>
      <c r="B366" t="inlineStr">
        <is>
          <t>10/06</t>
        </is>
      </c>
      <c r="C366" t="inlineStr">
        <is>
          <t>MOUZ</t>
        </is>
      </c>
      <c r="D366" t="n">
        <v>10</v>
      </c>
      <c r="E366" t="n">
        <v>13</v>
      </c>
      <c r="F366" t="n">
        <v>0</v>
      </c>
      <c r="G366" t="n">
        <v>23</v>
      </c>
      <c r="H366" t="n">
        <v>23</v>
      </c>
    </row>
    <row r="367">
      <c r="A367" t="inlineStr">
        <is>
          <t>DarkLord^</t>
        </is>
      </c>
      <c r="B367" t="inlineStr">
        <is>
          <t>10/05</t>
        </is>
      </c>
      <c r="C367" t="inlineStr">
        <is>
          <t>BBL</t>
        </is>
      </c>
      <c r="D367" t="n">
        <v>9</v>
      </c>
      <c r="E367" t="n">
        <v>11</v>
      </c>
      <c r="F367" t="n">
        <v>9</v>
      </c>
      <c r="G367" t="n">
        <v>20</v>
      </c>
      <c r="H367" t="n">
        <v>29</v>
      </c>
    </row>
    <row r="368">
      <c r="A368" t="inlineStr">
        <is>
          <t>DarkLord^</t>
        </is>
      </c>
      <c r="B368" t="inlineStr">
        <is>
          <t>09/12</t>
        </is>
      </c>
      <c r="C368" t="inlineStr">
        <is>
          <t>Dawn Bulls</t>
        </is>
      </c>
      <c r="D368" t="n">
        <v>5</v>
      </c>
      <c r="E368" t="n">
        <v>3</v>
      </c>
      <c r="F368" t="n">
        <v>0</v>
      </c>
      <c r="G368" t="n">
        <v>8</v>
      </c>
      <c r="H368" t="n">
        <v>8</v>
      </c>
    </row>
    <row r="369">
      <c r="A369" t="inlineStr">
        <is>
          <t>DarkLord^</t>
        </is>
      </c>
      <c r="B369" t="inlineStr">
        <is>
          <t>09/09</t>
        </is>
      </c>
      <c r="C369" t="inlineStr">
        <is>
          <t>KS</t>
        </is>
      </c>
      <c r="D369" t="n">
        <v>2</v>
      </c>
      <c r="E369" t="n">
        <v>15</v>
      </c>
      <c r="F369" t="n">
        <v>4</v>
      </c>
      <c r="G369" t="n">
        <v>17</v>
      </c>
      <c r="H369" t="n">
        <v>21</v>
      </c>
    </row>
    <row r="370">
      <c r="A370" t="inlineStr">
        <is>
          <t>DarkLord^</t>
        </is>
      </c>
      <c r="B370" t="inlineStr">
        <is>
          <t>09/09</t>
        </is>
      </c>
      <c r="C370" t="inlineStr">
        <is>
          <t>HULIGANI</t>
        </is>
      </c>
      <c r="D370" t="n">
        <v>0</v>
      </c>
      <c r="E370" t="n">
        <v>0</v>
      </c>
      <c r="F370" t="n">
        <v>12</v>
      </c>
      <c r="G370" t="n">
        <v>0</v>
      </c>
      <c r="H370" t="n">
        <v>12</v>
      </c>
    </row>
    <row r="371">
      <c r="A371" t="inlineStr">
        <is>
          <t>DarkLord^</t>
        </is>
      </c>
      <c r="B371" t="inlineStr">
        <is>
          <t>09/08</t>
        </is>
      </c>
      <c r="C371" t="inlineStr">
        <is>
          <t>GL</t>
        </is>
      </c>
      <c r="D371" t="n">
        <v>3</v>
      </c>
      <c r="E371" t="n">
        <v>13</v>
      </c>
      <c r="F371" t="n">
        <v>2</v>
      </c>
      <c r="G371" t="n">
        <v>16</v>
      </c>
      <c r="H371" t="n">
        <v>18</v>
      </c>
    </row>
    <row r="372">
      <c r="A372" t="inlineStr">
        <is>
          <t>DarkLord^</t>
        </is>
      </c>
      <c r="B372" t="inlineStr">
        <is>
          <t>09/07</t>
        </is>
      </c>
      <c r="C372" t="inlineStr">
        <is>
          <t>Team Synapse</t>
        </is>
      </c>
      <c r="D372" t="n">
        <v>16</v>
      </c>
      <c r="E372" t="n">
        <v>5</v>
      </c>
      <c r="F372" t="n">
        <v>24</v>
      </c>
      <c r="G372" t="n">
        <v>21</v>
      </c>
      <c r="H372" t="n">
        <v>45</v>
      </c>
    </row>
    <row r="373">
      <c r="A373" t="inlineStr">
        <is>
          <t>DarkLord^</t>
        </is>
      </c>
      <c r="B373" t="inlineStr">
        <is>
          <t>08/30</t>
        </is>
      </c>
      <c r="C373" t="inlineStr">
        <is>
          <t>Na`Vi</t>
        </is>
      </c>
      <c r="D373" t="n">
        <v>3</v>
      </c>
      <c r="E373" t="n">
        <v>4</v>
      </c>
      <c r="F373" t="n">
        <v>0</v>
      </c>
      <c r="G373" t="n">
        <v>7</v>
      </c>
      <c r="H373" t="n">
        <v>7</v>
      </c>
    </row>
    <row r="374">
      <c r="A374" t="inlineStr">
        <is>
          <t>DarkLord^</t>
        </is>
      </c>
      <c r="B374" t="inlineStr">
        <is>
          <t>08/29</t>
        </is>
      </c>
      <c r="C374" t="inlineStr">
        <is>
          <t>YeS</t>
        </is>
      </c>
      <c r="D374" t="n">
        <v>15</v>
      </c>
      <c r="E374" t="n">
        <v>9</v>
      </c>
      <c r="F374" t="n">
        <v>0</v>
      </c>
      <c r="G374" t="n">
        <v>24</v>
      </c>
      <c r="H374" t="n">
        <v>24</v>
      </c>
    </row>
    <row r="375">
      <c r="A375" t="inlineStr">
        <is>
          <t>DarkLord^</t>
        </is>
      </c>
      <c r="B375" t="inlineStr">
        <is>
          <t>07/16</t>
        </is>
      </c>
      <c r="C375" t="inlineStr">
        <is>
          <t>PARI</t>
        </is>
      </c>
      <c r="D375" t="n">
        <v>0</v>
      </c>
      <c r="E375" t="n">
        <v>4</v>
      </c>
      <c r="F375" t="n">
        <v>0</v>
      </c>
      <c r="G375" t="n">
        <v>4</v>
      </c>
      <c r="H375" t="n">
        <v>4</v>
      </c>
    </row>
    <row r="376">
      <c r="A376" t="inlineStr">
        <is>
          <t>DarkLord^</t>
        </is>
      </c>
      <c r="B376" t="inlineStr">
        <is>
          <t>07/15</t>
        </is>
      </c>
      <c r="C376" t="inlineStr">
        <is>
          <t>AUR</t>
        </is>
      </c>
      <c r="D376" t="n">
        <v>8</v>
      </c>
      <c r="E376" t="n">
        <v>5</v>
      </c>
      <c r="F376" t="n">
        <v>0</v>
      </c>
      <c r="G376" t="n">
        <v>13</v>
      </c>
      <c r="H376" t="n">
        <v>13</v>
      </c>
    </row>
    <row r="377">
      <c r="A377" t="inlineStr">
        <is>
          <t>Kidaro</t>
        </is>
      </c>
      <c r="B377" t="inlineStr">
        <is>
          <t>10/24</t>
        </is>
      </c>
      <c r="C377" t="inlineStr">
        <is>
          <t>AI</t>
        </is>
      </c>
      <c r="D377" t="n">
        <v>1</v>
      </c>
      <c r="E377" t="n">
        <v>3</v>
      </c>
      <c r="F377" t="n">
        <v>3</v>
      </c>
      <c r="G377" t="n">
        <v>4</v>
      </c>
      <c r="H377" t="n">
        <v>7</v>
      </c>
    </row>
    <row r="378">
      <c r="A378" t="inlineStr">
        <is>
          <t>Kidaro</t>
        </is>
      </c>
      <c r="B378" t="inlineStr">
        <is>
          <t>10/23</t>
        </is>
      </c>
      <c r="C378" t="inlineStr">
        <is>
          <t>PARI</t>
        </is>
      </c>
      <c r="D378" t="n">
        <v>2</v>
      </c>
      <c r="E378" t="n">
        <v>3</v>
      </c>
      <c r="F378" t="n">
        <v>0</v>
      </c>
      <c r="G378" t="n">
        <v>5</v>
      </c>
      <c r="H378" t="n">
        <v>5</v>
      </c>
    </row>
    <row r="379">
      <c r="A379" t="inlineStr">
        <is>
          <t>Kidaro</t>
        </is>
      </c>
      <c r="B379" t="inlineStr">
        <is>
          <t>10/22</t>
        </is>
      </c>
      <c r="C379" t="inlineStr">
        <is>
          <t>TS</t>
        </is>
      </c>
      <c r="D379" t="n">
        <v>5</v>
      </c>
      <c r="E379" t="n">
        <v>2</v>
      </c>
      <c r="F379" t="n">
        <v>0</v>
      </c>
      <c r="G379" t="n">
        <v>7</v>
      </c>
      <c r="H379" t="n">
        <v>7</v>
      </c>
    </row>
    <row r="380">
      <c r="A380" t="inlineStr">
        <is>
          <t>Kidaro</t>
        </is>
      </c>
      <c r="B380" t="inlineStr">
        <is>
          <t>10/17</t>
        </is>
      </c>
      <c r="C380" t="inlineStr">
        <is>
          <t>LYNX</t>
        </is>
      </c>
      <c r="D380" t="n">
        <v>6</v>
      </c>
      <c r="E380" t="n">
        <v>1</v>
      </c>
      <c r="F380" t="n">
        <v>0</v>
      </c>
      <c r="G380" t="n">
        <v>7</v>
      </c>
      <c r="H380" t="n">
        <v>7</v>
      </c>
    </row>
    <row r="381">
      <c r="A381" t="inlineStr">
        <is>
          <t>Kidaro</t>
        </is>
      </c>
      <c r="B381" t="inlineStr">
        <is>
          <t>10/16</t>
        </is>
      </c>
      <c r="C381" t="inlineStr">
        <is>
          <t>OG</t>
        </is>
      </c>
      <c r="D381" t="n">
        <v>5</v>
      </c>
      <c r="E381" t="n">
        <v>0</v>
      </c>
      <c r="F381" t="n">
        <v>0</v>
      </c>
      <c r="G381" t="n">
        <v>5</v>
      </c>
      <c r="H381" t="n">
        <v>5</v>
      </c>
    </row>
    <row r="382">
      <c r="A382" t="inlineStr">
        <is>
          <t>Kidaro</t>
        </is>
      </c>
      <c r="B382" t="inlineStr">
        <is>
          <t>10/15</t>
        </is>
      </c>
      <c r="C382" t="inlineStr">
        <is>
          <t>LYNX</t>
        </is>
      </c>
      <c r="D382" t="n">
        <v>4</v>
      </c>
      <c r="E382" t="n">
        <v>4</v>
      </c>
      <c r="F382" t="n">
        <v>0</v>
      </c>
      <c r="G382" t="n">
        <v>8</v>
      </c>
      <c r="H382" t="n">
        <v>8</v>
      </c>
    </row>
    <row r="383">
      <c r="A383" t="inlineStr">
        <is>
          <t>Kidaro</t>
        </is>
      </c>
      <c r="B383" t="inlineStr">
        <is>
          <t>10/15</t>
        </is>
      </c>
      <c r="C383" t="inlineStr">
        <is>
          <t>PckCp</t>
        </is>
      </c>
      <c r="D383" t="n">
        <v>3</v>
      </c>
      <c r="E383" t="n">
        <v>4</v>
      </c>
      <c r="F383" t="n">
        <v>0</v>
      </c>
      <c r="G383" t="n">
        <v>7</v>
      </c>
      <c r="H383" t="n">
        <v>7</v>
      </c>
    </row>
    <row r="384">
      <c r="A384" t="inlineStr">
        <is>
          <t>Kidaro</t>
        </is>
      </c>
      <c r="B384" t="inlineStr">
        <is>
          <t>10/08</t>
        </is>
      </c>
      <c r="C384" t="inlineStr">
        <is>
          <t>BBL</t>
        </is>
      </c>
      <c r="D384" t="n">
        <v>3</v>
      </c>
      <c r="E384" t="n">
        <v>1</v>
      </c>
      <c r="F384" t="n">
        <v>2</v>
      </c>
      <c r="G384" t="n">
        <v>4</v>
      </c>
      <c r="H384" t="n">
        <v>6</v>
      </c>
    </row>
    <row r="385">
      <c r="A385" t="inlineStr">
        <is>
          <t>Kidaro</t>
        </is>
      </c>
      <c r="B385" t="inlineStr">
        <is>
          <t>10/07</t>
        </is>
      </c>
      <c r="C385" t="inlineStr">
        <is>
          <t>Team Synapse</t>
        </is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</row>
    <row r="386">
      <c r="A386" t="inlineStr">
        <is>
          <t>Kidaro</t>
        </is>
      </c>
      <c r="B386" t="inlineStr">
        <is>
          <t>10/06</t>
        </is>
      </c>
      <c r="C386" t="inlineStr">
        <is>
          <t>MOUZ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Kidaro</t>
        </is>
      </c>
      <c r="B387" t="inlineStr">
        <is>
          <t>10/05</t>
        </is>
      </c>
      <c r="C387" t="inlineStr">
        <is>
          <t>BBL</t>
        </is>
      </c>
      <c r="D387" t="n">
        <v>0</v>
      </c>
      <c r="E387" t="n">
        <v>6</v>
      </c>
      <c r="F387" t="n">
        <v>3</v>
      </c>
      <c r="G387" t="n">
        <v>6</v>
      </c>
      <c r="H387" t="n">
        <v>9</v>
      </c>
    </row>
    <row r="388">
      <c r="A388" t="inlineStr">
        <is>
          <t>Kidaro</t>
        </is>
      </c>
      <c r="B388" t="inlineStr">
        <is>
          <t>09/20</t>
        </is>
      </c>
      <c r="C388" t="inlineStr">
        <is>
          <t>YeS</t>
        </is>
      </c>
      <c r="D388" t="n">
        <v>3</v>
      </c>
      <c r="E388" t="n">
        <v>1</v>
      </c>
      <c r="F388" t="n">
        <v>0</v>
      </c>
      <c r="G388" t="n">
        <v>4</v>
      </c>
      <c r="H388" t="n">
        <v>4</v>
      </c>
    </row>
    <row r="389">
      <c r="A389" t="inlineStr">
        <is>
          <t>Kidaro</t>
        </is>
      </c>
      <c r="B389" t="inlineStr">
        <is>
          <t>09/19</t>
        </is>
      </c>
      <c r="C389" t="inlineStr">
        <is>
          <t>TS.A</t>
        </is>
      </c>
      <c r="D389" t="n">
        <v>3</v>
      </c>
      <c r="E389" t="n">
        <v>2</v>
      </c>
      <c r="F389" t="n">
        <v>4</v>
      </c>
      <c r="G389" t="n">
        <v>5</v>
      </c>
      <c r="H389" t="n">
        <v>9</v>
      </c>
    </row>
    <row r="390">
      <c r="A390" t="inlineStr">
        <is>
          <t>Kidaro</t>
        </is>
      </c>
      <c r="B390" t="inlineStr">
        <is>
          <t>09/18</t>
        </is>
      </c>
      <c r="C390" t="inlineStr">
        <is>
          <t>KALMY</t>
        </is>
      </c>
      <c r="D390" t="n">
        <v>2</v>
      </c>
      <c r="E390" t="n">
        <v>2</v>
      </c>
      <c r="F390" t="n">
        <v>0</v>
      </c>
      <c r="G390" t="n">
        <v>4</v>
      </c>
      <c r="H390" t="n">
        <v>4</v>
      </c>
    </row>
    <row r="391">
      <c r="A391" t="inlineStr">
        <is>
          <t>Kidaro</t>
        </is>
      </c>
      <c r="B391" t="inlineStr">
        <is>
          <t>09/16</t>
        </is>
      </c>
      <c r="C391" t="inlineStr">
        <is>
          <t>UR</t>
        </is>
      </c>
      <c r="D391" t="n">
        <v>1</v>
      </c>
      <c r="E391" t="n">
        <v>3</v>
      </c>
      <c r="F391" t="n">
        <v>0</v>
      </c>
      <c r="G391" t="n">
        <v>4</v>
      </c>
      <c r="H391" t="n">
        <v>4</v>
      </c>
    </row>
    <row r="392">
      <c r="A392" t="inlineStr">
        <is>
          <t>SaberLight</t>
        </is>
      </c>
      <c r="B392" t="inlineStr">
        <is>
          <t>10/24</t>
        </is>
      </c>
      <c r="C392" t="inlineStr">
        <is>
          <t>AI</t>
        </is>
      </c>
      <c r="D392" t="n">
        <v>7</v>
      </c>
      <c r="E392" t="n">
        <v>8</v>
      </c>
      <c r="F392" t="n">
        <v>2</v>
      </c>
      <c r="G392" t="n">
        <v>15</v>
      </c>
      <c r="H392" t="n">
        <v>17</v>
      </c>
    </row>
    <row r="393">
      <c r="A393" t="inlineStr">
        <is>
          <t>SaberLight</t>
        </is>
      </c>
      <c r="B393" t="inlineStr">
        <is>
          <t>10/23</t>
        </is>
      </c>
      <c r="C393" t="inlineStr">
        <is>
          <t>PARI</t>
        </is>
      </c>
      <c r="D393" t="n">
        <v>4</v>
      </c>
      <c r="E393" t="n">
        <v>3</v>
      </c>
      <c r="F393" t="n">
        <v>0</v>
      </c>
      <c r="G393" t="n">
        <v>7</v>
      </c>
      <c r="H393" t="n">
        <v>7</v>
      </c>
    </row>
    <row r="394">
      <c r="A394" t="inlineStr">
        <is>
          <t>SaberLight</t>
        </is>
      </c>
      <c r="B394" t="inlineStr">
        <is>
          <t>10/22</t>
        </is>
      </c>
      <c r="C394" t="inlineStr">
        <is>
          <t>TS</t>
        </is>
      </c>
      <c r="D394" t="n">
        <v>7</v>
      </c>
      <c r="E394" t="n">
        <v>2</v>
      </c>
      <c r="F394" t="n">
        <v>0</v>
      </c>
      <c r="G394" t="n">
        <v>9</v>
      </c>
      <c r="H394" t="n">
        <v>9</v>
      </c>
    </row>
    <row r="395">
      <c r="A395" t="inlineStr">
        <is>
          <t>SaberLight</t>
        </is>
      </c>
      <c r="B395" t="inlineStr">
        <is>
          <t>10/18</t>
        </is>
      </c>
      <c r="C395" t="inlineStr">
        <is>
          <t>SBT</t>
        </is>
      </c>
      <c r="D395" t="n">
        <v>4</v>
      </c>
      <c r="E395" t="n">
        <v>7</v>
      </c>
      <c r="F395" t="n">
        <v>12</v>
      </c>
      <c r="G395" t="n">
        <v>11</v>
      </c>
      <c r="H395" t="n">
        <v>23</v>
      </c>
    </row>
    <row r="396">
      <c r="A396" t="inlineStr">
        <is>
          <t>SaberLight</t>
        </is>
      </c>
      <c r="B396" t="inlineStr">
        <is>
          <t>10/17</t>
        </is>
      </c>
      <c r="C396" t="inlineStr">
        <is>
          <t>LYNX</t>
        </is>
      </c>
      <c r="D396" t="n">
        <v>2</v>
      </c>
      <c r="E396" t="n">
        <v>0</v>
      </c>
      <c r="F396" t="n">
        <v>0</v>
      </c>
      <c r="G396" t="n">
        <v>2</v>
      </c>
      <c r="H396" t="n">
        <v>2</v>
      </c>
    </row>
    <row r="397">
      <c r="A397" t="inlineStr">
        <is>
          <t>SaberLight</t>
        </is>
      </c>
      <c r="B397" t="inlineStr">
        <is>
          <t>10/17</t>
        </is>
      </c>
      <c r="C397" t="inlineStr">
        <is>
          <t>ALOHA</t>
        </is>
      </c>
      <c r="D397" t="n">
        <v>12</v>
      </c>
      <c r="E397" t="n">
        <v>5</v>
      </c>
      <c r="F397" t="n">
        <v>3</v>
      </c>
      <c r="G397" t="n">
        <v>17</v>
      </c>
      <c r="H397" t="n">
        <v>20</v>
      </c>
    </row>
    <row r="398">
      <c r="A398" t="inlineStr">
        <is>
          <t>SaberLight</t>
        </is>
      </c>
      <c r="B398" t="inlineStr">
        <is>
          <t>10/16</t>
        </is>
      </c>
      <c r="C398" t="inlineStr">
        <is>
          <t>OG</t>
        </is>
      </c>
      <c r="D398" t="n">
        <v>1</v>
      </c>
      <c r="E398" t="n">
        <v>1</v>
      </c>
      <c r="F398" t="n">
        <v>0</v>
      </c>
      <c r="G398" t="n">
        <v>2</v>
      </c>
      <c r="H398" t="n">
        <v>2</v>
      </c>
    </row>
    <row r="399">
      <c r="A399" t="inlineStr">
        <is>
          <t>SaberLight</t>
        </is>
      </c>
      <c r="B399" t="inlineStr">
        <is>
          <t>10/16</t>
        </is>
      </c>
      <c r="C399" t="inlineStr">
        <is>
          <t>Stray</t>
        </is>
      </c>
      <c r="D399" t="n">
        <v>14</v>
      </c>
      <c r="E399" t="n">
        <v>5</v>
      </c>
      <c r="F399" t="n">
        <v>0</v>
      </c>
      <c r="G399" t="n">
        <v>19</v>
      </c>
      <c r="H399" t="n">
        <v>19</v>
      </c>
    </row>
    <row r="400">
      <c r="A400" t="inlineStr">
        <is>
          <t>SaberLight</t>
        </is>
      </c>
      <c r="B400" t="inlineStr">
        <is>
          <t>10/15</t>
        </is>
      </c>
      <c r="C400" t="inlineStr">
        <is>
          <t>LYNX</t>
        </is>
      </c>
      <c r="D400" t="n">
        <v>5</v>
      </c>
      <c r="E400" t="n">
        <v>6</v>
      </c>
      <c r="F400" t="n">
        <v>0</v>
      </c>
      <c r="G400" t="n">
        <v>11</v>
      </c>
      <c r="H400" t="n">
        <v>11</v>
      </c>
    </row>
    <row r="401">
      <c r="A401" t="inlineStr">
        <is>
          <t>SaberLight</t>
        </is>
      </c>
      <c r="B401" t="inlineStr">
        <is>
          <t>10/15</t>
        </is>
      </c>
      <c r="C401" t="inlineStr">
        <is>
          <t>zxcursed Team</t>
        </is>
      </c>
      <c r="D401" t="n">
        <v>7</v>
      </c>
      <c r="E401" t="n">
        <v>11</v>
      </c>
      <c r="F401" t="n">
        <v>13</v>
      </c>
      <c r="G401" t="n">
        <v>18</v>
      </c>
      <c r="H401" t="n">
        <v>31</v>
      </c>
    </row>
    <row r="402">
      <c r="A402" t="inlineStr">
        <is>
          <t>SaberLight</t>
        </is>
      </c>
      <c r="B402" t="inlineStr">
        <is>
          <t>10/15</t>
        </is>
      </c>
      <c r="C402" t="inlineStr">
        <is>
          <t>PckCp</t>
        </is>
      </c>
      <c r="D402" t="n">
        <v>6</v>
      </c>
      <c r="E402" t="n">
        <v>8</v>
      </c>
      <c r="F402" t="n">
        <v>0</v>
      </c>
      <c r="G402" t="n">
        <v>14</v>
      </c>
      <c r="H402" t="n">
        <v>14</v>
      </c>
    </row>
    <row r="403">
      <c r="A403" t="inlineStr">
        <is>
          <t>SaberLight</t>
        </is>
      </c>
      <c r="B403" t="inlineStr">
        <is>
          <t>10/13</t>
        </is>
      </c>
      <c r="C403" t="inlineStr">
        <is>
          <t>Nix</t>
        </is>
      </c>
      <c r="D403" t="n">
        <v>9</v>
      </c>
      <c r="E403" t="n">
        <v>13</v>
      </c>
      <c r="F403" t="n">
        <v>0</v>
      </c>
      <c r="G403" t="n">
        <v>22</v>
      </c>
      <c r="H403" t="n">
        <v>22</v>
      </c>
    </row>
    <row r="404">
      <c r="A404" t="inlineStr">
        <is>
          <t>SaberLight</t>
        </is>
      </c>
      <c r="B404" t="inlineStr">
        <is>
          <t>10/12</t>
        </is>
      </c>
      <c r="C404" t="inlineStr">
        <is>
          <t>ALOHA</t>
        </is>
      </c>
      <c r="D404" t="n">
        <v>10</v>
      </c>
      <c r="E404" t="n">
        <v>13</v>
      </c>
      <c r="F404" t="n">
        <v>6</v>
      </c>
      <c r="G404" t="n">
        <v>23</v>
      </c>
      <c r="H404" t="n">
        <v>29</v>
      </c>
    </row>
    <row r="405">
      <c r="A405" t="inlineStr">
        <is>
          <t>SaberLight</t>
        </is>
      </c>
      <c r="B405" t="inlineStr">
        <is>
          <t>10/08</t>
        </is>
      </c>
      <c r="C405" t="inlineStr">
        <is>
          <t>BBL</t>
        </is>
      </c>
      <c r="D405" t="n">
        <v>5</v>
      </c>
      <c r="E405" t="n">
        <v>4</v>
      </c>
      <c r="F405" t="n">
        <v>13</v>
      </c>
      <c r="G405" t="n">
        <v>9</v>
      </c>
      <c r="H405" t="n">
        <v>22</v>
      </c>
    </row>
    <row r="406">
      <c r="A406" t="inlineStr">
        <is>
          <t>SaberLight</t>
        </is>
      </c>
      <c r="B406" t="inlineStr">
        <is>
          <t>10/07</t>
        </is>
      </c>
      <c r="C406" t="inlineStr">
        <is>
          <t>Team Synapse</t>
        </is>
      </c>
      <c r="D406" t="n">
        <v>2</v>
      </c>
      <c r="E406" t="n">
        <v>10</v>
      </c>
      <c r="F406" t="n">
        <v>0</v>
      </c>
      <c r="G406" t="n">
        <v>12</v>
      </c>
      <c r="H406" t="n">
        <v>12</v>
      </c>
    </row>
    <row r="407">
      <c r="A407" t="inlineStr">
        <is>
          <t>Stojkov</t>
        </is>
      </c>
      <c r="B407" t="inlineStr">
        <is>
          <t>10/24</t>
        </is>
      </c>
      <c r="C407" t="inlineStr">
        <is>
          <t>AI</t>
        </is>
      </c>
      <c r="D407" t="n">
        <v>11</v>
      </c>
      <c r="E407" t="n">
        <v>8</v>
      </c>
      <c r="F407" t="n">
        <v>17</v>
      </c>
      <c r="G407" t="n">
        <v>19</v>
      </c>
      <c r="H407" t="n">
        <v>36</v>
      </c>
    </row>
    <row r="408">
      <c r="A408" t="inlineStr">
        <is>
          <t>Stojkov</t>
        </is>
      </c>
      <c r="B408" t="inlineStr">
        <is>
          <t>10/23</t>
        </is>
      </c>
      <c r="C408" t="inlineStr">
        <is>
          <t>PARI</t>
        </is>
      </c>
      <c r="D408" t="n">
        <v>3</v>
      </c>
      <c r="E408" t="n">
        <v>2</v>
      </c>
      <c r="F408" t="n">
        <v>0</v>
      </c>
      <c r="G408" t="n">
        <v>5</v>
      </c>
      <c r="H408" t="n">
        <v>5</v>
      </c>
    </row>
    <row r="409">
      <c r="A409" t="inlineStr">
        <is>
          <t>Stojkov</t>
        </is>
      </c>
      <c r="B409" t="inlineStr">
        <is>
          <t>10/17</t>
        </is>
      </c>
      <c r="C409" t="inlineStr">
        <is>
          <t>LYNX</t>
        </is>
      </c>
      <c r="D409" t="n">
        <v>7</v>
      </c>
      <c r="E409" t="n">
        <v>3</v>
      </c>
      <c r="F409" t="n">
        <v>0</v>
      </c>
      <c r="G409" t="n">
        <v>10</v>
      </c>
      <c r="H409" t="n">
        <v>10</v>
      </c>
    </row>
    <row r="410">
      <c r="A410" t="inlineStr">
        <is>
          <t>Stojkov</t>
        </is>
      </c>
      <c r="B410" t="inlineStr">
        <is>
          <t>10/16</t>
        </is>
      </c>
      <c r="C410" t="inlineStr">
        <is>
          <t>OG</t>
        </is>
      </c>
      <c r="D410" t="n">
        <v>9</v>
      </c>
      <c r="E410" t="n">
        <v>5</v>
      </c>
      <c r="F410" t="n">
        <v>0</v>
      </c>
      <c r="G410" t="n">
        <v>14</v>
      </c>
      <c r="H410" t="n">
        <v>14</v>
      </c>
    </row>
    <row r="411">
      <c r="A411" t="inlineStr">
        <is>
          <t>Stojkov</t>
        </is>
      </c>
      <c r="B411" t="inlineStr">
        <is>
          <t>10/15</t>
        </is>
      </c>
      <c r="C411" t="inlineStr">
        <is>
          <t>LYNX</t>
        </is>
      </c>
      <c r="D411" t="n">
        <v>10</v>
      </c>
      <c r="E411" t="n">
        <v>9</v>
      </c>
      <c r="F411" t="n">
        <v>0</v>
      </c>
      <c r="G411" t="n">
        <v>19</v>
      </c>
      <c r="H411" t="n">
        <v>19</v>
      </c>
    </row>
    <row r="412">
      <c r="A412" t="inlineStr">
        <is>
          <t>Stojkov</t>
        </is>
      </c>
      <c r="B412" t="inlineStr">
        <is>
          <t>10/15</t>
        </is>
      </c>
      <c r="C412" t="inlineStr">
        <is>
          <t>PckCp</t>
        </is>
      </c>
      <c r="D412" t="n">
        <v>4</v>
      </c>
      <c r="E412" t="n">
        <v>5</v>
      </c>
      <c r="F412" t="n">
        <v>0</v>
      </c>
      <c r="G412" t="n">
        <v>9</v>
      </c>
      <c r="H412" t="n">
        <v>9</v>
      </c>
    </row>
    <row r="413">
      <c r="A413" t="inlineStr">
        <is>
          <t>Stojkov</t>
        </is>
      </c>
      <c r="B413" t="inlineStr">
        <is>
          <t>10/08</t>
        </is>
      </c>
      <c r="C413" t="inlineStr">
        <is>
          <t>BBL</t>
        </is>
      </c>
      <c r="D413" t="n">
        <v>13</v>
      </c>
      <c r="E413" t="n">
        <v>7</v>
      </c>
      <c r="F413" t="n">
        <v>13</v>
      </c>
      <c r="G413" t="n">
        <v>20</v>
      </c>
      <c r="H413" t="n">
        <v>33</v>
      </c>
    </row>
    <row r="414">
      <c r="A414" t="inlineStr">
        <is>
          <t>Stojkov</t>
        </is>
      </c>
      <c r="B414" t="inlineStr">
        <is>
          <t>10/07</t>
        </is>
      </c>
      <c r="C414" t="inlineStr">
        <is>
          <t>Team Synapse</t>
        </is>
      </c>
      <c r="D414" t="n">
        <v>1</v>
      </c>
      <c r="E414" t="n">
        <v>10</v>
      </c>
      <c r="F414" t="n">
        <v>0</v>
      </c>
      <c r="G414" t="n">
        <v>11</v>
      </c>
      <c r="H414" t="n">
        <v>11</v>
      </c>
    </row>
    <row r="415">
      <c r="A415" t="inlineStr">
        <is>
          <t>Stojkov</t>
        </is>
      </c>
      <c r="B415" t="inlineStr">
        <is>
          <t>10/06</t>
        </is>
      </c>
      <c r="C415" t="inlineStr">
        <is>
          <t>MOUZ</t>
        </is>
      </c>
      <c r="D415" t="n">
        <v>8</v>
      </c>
      <c r="E415" t="n">
        <v>12</v>
      </c>
      <c r="F415" t="n">
        <v>0</v>
      </c>
      <c r="G415" t="n">
        <v>20</v>
      </c>
      <c r="H415" t="n">
        <v>20</v>
      </c>
    </row>
    <row r="416">
      <c r="A416" t="inlineStr">
        <is>
          <t>Stojkov</t>
        </is>
      </c>
      <c r="B416" t="inlineStr">
        <is>
          <t>10/05</t>
        </is>
      </c>
      <c r="C416" t="inlineStr">
        <is>
          <t>BBL</t>
        </is>
      </c>
      <c r="D416" t="n">
        <v>5</v>
      </c>
      <c r="E416" t="n">
        <v>13</v>
      </c>
      <c r="F416" t="n">
        <v>6</v>
      </c>
      <c r="G416" t="n">
        <v>18</v>
      </c>
      <c r="H416" t="n">
        <v>24</v>
      </c>
    </row>
    <row r="417">
      <c r="A417" t="inlineStr">
        <is>
          <t>Stojkov</t>
        </is>
      </c>
      <c r="B417" t="inlineStr">
        <is>
          <t>09/26</t>
        </is>
      </c>
      <c r="C417" t="inlineStr">
        <is>
          <t>Na`Vi</t>
        </is>
      </c>
      <c r="D417" t="n">
        <v>6</v>
      </c>
      <c r="E417" t="n">
        <v>3</v>
      </c>
      <c r="F417" t="n">
        <v>0</v>
      </c>
      <c r="G417" t="n">
        <v>9</v>
      </c>
      <c r="H417" t="n">
        <v>9</v>
      </c>
    </row>
    <row r="418">
      <c r="A418" t="inlineStr">
        <is>
          <t>Stojkov</t>
        </is>
      </c>
      <c r="B418" t="inlineStr">
        <is>
          <t>09/25</t>
        </is>
      </c>
      <c r="C418" t="inlineStr">
        <is>
          <t>TY</t>
        </is>
      </c>
      <c r="D418" t="n">
        <v>11</v>
      </c>
      <c r="E418" t="n">
        <v>4</v>
      </c>
      <c r="F418" t="n">
        <v>1</v>
      </c>
      <c r="G418" t="n">
        <v>15</v>
      </c>
      <c r="H418" t="n">
        <v>16</v>
      </c>
    </row>
    <row r="419">
      <c r="A419" t="inlineStr">
        <is>
          <t>Stojkov</t>
        </is>
      </c>
      <c r="B419" t="inlineStr">
        <is>
          <t>09/24</t>
        </is>
      </c>
      <c r="C419" t="inlineStr">
        <is>
          <t>GL</t>
        </is>
      </c>
      <c r="D419" t="n">
        <v>9</v>
      </c>
      <c r="E419" t="n">
        <v>8</v>
      </c>
      <c r="F419" t="n">
        <v>0</v>
      </c>
      <c r="G419" t="n">
        <v>17</v>
      </c>
      <c r="H419" t="n">
        <v>17</v>
      </c>
    </row>
    <row r="420">
      <c r="A420" t="inlineStr">
        <is>
          <t>Stojkov</t>
        </is>
      </c>
      <c r="B420" t="inlineStr">
        <is>
          <t>09/22</t>
        </is>
      </c>
      <c r="C420" t="inlineStr">
        <is>
          <t>LGD</t>
        </is>
      </c>
      <c r="D420" t="n">
        <v>14</v>
      </c>
      <c r="E420" t="n">
        <v>4</v>
      </c>
      <c r="F420" t="n">
        <v>0</v>
      </c>
      <c r="G420" t="n">
        <v>18</v>
      </c>
      <c r="H420" t="n">
        <v>18</v>
      </c>
    </row>
    <row r="421">
      <c r="A421" t="inlineStr">
        <is>
          <t>Stojkov</t>
        </is>
      </c>
      <c r="B421" t="inlineStr">
        <is>
          <t>09/21</t>
        </is>
      </c>
      <c r="C421" t="inlineStr">
        <is>
          <t>TC</t>
        </is>
      </c>
      <c r="D421" t="n">
        <v>16</v>
      </c>
      <c r="E421" t="n">
        <v>12</v>
      </c>
      <c r="F421" t="n">
        <v>0</v>
      </c>
      <c r="G421" t="n">
        <v>28</v>
      </c>
      <c r="H421" t="n">
        <v>28</v>
      </c>
    </row>
    <row r="422">
      <c r="A422" t="inlineStr">
        <is>
          <t>Duduhh</t>
        </is>
      </c>
      <c r="B422" t="inlineStr">
        <is>
          <t>10/24</t>
        </is>
      </c>
      <c r="C422" t="inlineStr">
        <is>
          <t>G2</t>
        </is>
      </c>
      <c r="D422" t="n">
        <v>3</v>
      </c>
      <c r="E422" t="n">
        <v>0</v>
      </c>
      <c r="F422" t="n">
        <v>0</v>
      </c>
      <c r="G422" t="n">
        <v>3</v>
      </c>
      <c r="H422" t="n">
        <v>3</v>
      </c>
    </row>
    <row r="423">
      <c r="A423" t="inlineStr">
        <is>
          <t>Duduhh</t>
        </is>
      </c>
      <c r="B423" t="inlineStr">
        <is>
          <t>10/23</t>
        </is>
      </c>
      <c r="C423" t="inlineStr">
        <is>
          <t>T1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Duduhh</t>
        </is>
      </c>
      <c r="B424" t="inlineStr">
        <is>
          <t>10/12</t>
        </is>
      </c>
      <c r="C424" t="inlineStr">
        <is>
          <t>KBM</t>
        </is>
      </c>
      <c r="D424" t="n">
        <v>6</v>
      </c>
      <c r="E424" t="n">
        <v>2</v>
      </c>
      <c r="F424" t="n">
        <v>6</v>
      </c>
      <c r="G424" t="n">
        <v>8</v>
      </c>
      <c r="H424" t="n">
        <v>14</v>
      </c>
    </row>
    <row r="425">
      <c r="A425" t="inlineStr">
        <is>
          <t>Duduhh</t>
        </is>
      </c>
      <c r="B425" t="inlineStr">
        <is>
          <t>10/10</t>
        </is>
      </c>
      <c r="C425" t="inlineStr">
        <is>
          <t>FUR</t>
        </is>
      </c>
      <c r="D425" t="n">
        <v>3</v>
      </c>
      <c r="E425" t="n">
        <v>0</v>
      </c>
      <c r="F425" t="n">
        <v>3</v>
      </c>
      <c r="G425" t="n">
        <v>3</v>
      </c>
      <c r="H425" t="n">
        <v>6</v>
      </c>
    </row>
    <row r="426">
      <c r="A426" t="inlineStr">
        <is>
          <t>Duduhh</t>
        </is>
      </c>
      <c r="B426" t="inlineStr">
        <is>
          <t>10/01</t>
        </is>
      </c>
      <c r="C426" t="inlineStr">
        <is>
          <t>EST</t>
        </is>
      </c>
      <c r="D426" t="n">
        <v>0</v>
      </c>
      <c r="E426" t="n">
        <v>5</v>
      </c>
      <c r="F426" t="n">
        <v>9</v>
      </c>
      <c r="G426" t="n">
        <v>5</v>
      </c>
      <c r="H426" t="n">
        <v>14</v>
      </c>
    </row>
    <row r="427">
      <c r="A427" t="inlineStr">
        <is>
          <t>Duduhh</t>
        </is>
      </c>
      <c r="B427" t="inlineStr">
        <is>
          <t>09/30</t>
        </is>
      </c>
      <c r="C427" t="inlineStr">
        <is>
          <t>KBM</t>
        </is>
      </c>
      <c r="D427" t="n">
        <v>8</v>
      </c>
      <c r="E427" t="n">
        <v>2</v>
      </c>
      <c r="F427" t="n">
        <v>7</v>
      </c>
      <c r="G427" t="n">
        <v>10</v>
      </c>
      <c r="H427" t="n">
        <v>17</v>
      </c>
    </row>
    <row r="428">
      <c r="A428" t="inlineStr">
        <is>
          <t>Duduhh</t>
        </is>
      </c>
      <c r="B428" t="inlineStr">
        <is>
          <t>09/27</t>
        </is>
      </c>
      <c r="C428" t="inlineStr">
        <is>
          <t>LLL</t>
        </is>
      </c>
      <c r="D428" t="n">
        <v>5</v>
      </c>
      <c r="E428" t="n">
        <v>5</v>
      </c>
      <c r="F428" t="n">
        <v>7</v>
      </c>
      <c r="G428" t="n">
        <v>10</v>
      </c>
      <c r="H428" t="n">
        <v>17</v>
      </c>
    </row>
    <row r="429">
      <c r="A429" t="inlineStr">
        <is>
          <t>Duduhh</t>
        </is>
      </c>
      <c r="B429" t="inlineStr">
        <is>
          <t>09/12</t>
        </is>
      </c>
      <c r="C429" t="inlineStr">
        <is>
          <t>FUR</t>
        </is>
      </c>
      <c r="D429" t="n">
        <v>4</v>
      </c>
      <c r="E429" t="n">
        <v>3</v>
      </c>
      <c r="F429" t="n">
        <v>1</v>
      </c>
      <c r="G429" t="n">
        <v>7</v>
      </c>
      <c r="H429" t="n">
        <v>8</v>
      </c>
    </row>
    <row r="430">
      <c r="A430" t="inlineStr">
        <is>
          <t>Duduhh</t>
        </is>
      </c>
      <c r="B430" t="inlineStr">
        <is>
          <t>08/29</t>
        </is>
      </c>
      <c r="C430" t="inlineStr">
        <is>
          <t>FXW7</t>
        </is>
      </c>
      <c r="D430" t="n">
        <v>0</v>
      </c>
      <c r="E430" t="n">
        <v>1</v>
      </c>
      <c r="F430" t="n">
        <v>12</v>
      </c>
      <c r="G430" t="n">
        <v>1</v>
      </c>
      <c r="H430" t="n">
        <v>13</v>
      </c>
    </row>
    <row r="431">
      <c r="A431" t="inlineStr">
        <is>
          <t>Duduhh</t>
        </is>
      </c>
      <c r="B431" t="inlineStr">
        <is>
          <t>08/23</t>
        </is>
      </c>
      <c r="C431" t="inlineStr">
        <is>
          <t>LLL</t>
        </is>
      </c>
      <c r="D431" t="n">
        <v>0</v>
      </c>
      <c r="E431" t="n">
        <v>6</v>
      </c>
      <c r="F431" t="n">
        <v>0</v>
      </c>
      <c r="G431" t="n">
        <v>6</v>
      </c>
      <c r="H431" t="n">
        <v>6</v>
      </c>
    </row>
    <row r="432">
      <c r="A432" t="inlineStr">
        <is>
          <t>Duduhh</t>
        </is>
      </c>
      <c r="B432" t="inlineStr">
        <is>
          <t>08/15</t>
        </is>
      </c>
      <c r="C432" t="inlineStr">
        <is>
          <t>VKS</t>
        </is>
      </c>
      <c r="D432" t="n">
        <v>4</v>
      </c>
      <c r="E432" t="n">
        <v>9</v>
      </c>
      <c r="F432" t="n">
        <v>0</v>
      </c>
      <c r="G432" t="n">
        <v>13</v>
      </c>
      <c r="H432" t="n">
        <v>13</v>
      </c>
    </row>
    <row r="433">
      <c r="A433" t="inlineStr">
        <is>
          <t>Duduhh</t>
        </is>
      </c>
      <c r="B433" t="inlineStr">
        <is>
          <t>08/10</t>
        </is>
      </c>
      <c r="C433" t="inlineStr">
        <is>
          <t>PNG</t>
        </is>
      </c>
      <c r="D433" t="n">
        <v>6</v>
      </c>
      <c r="E433" t="n">
        <v>8</v>
      </c>
      <c r="F433" t="n">
        <v>0</v>
      </c>
      <c r="G433" t="n">
        <v>14</v>
      </c>
      <c r="H433" t="n">
        <v>14</v>
      </c>
    </row>
    <row r="434">
      <c r="A434" t="inlineStr">
        <is>
          <t>Duduhh</t>
        </is>
      </c>
      <c r="B434" t="inlineStr">
        <is>
          <t>08/08</t>
        </is>
      </c>
      <c r="C434" t="inlineStr">
        <is>
          <t>LEV</t>
        </is>
      </c>
      <c r="D434" t="n">
        <v>3</v>
      </c>
      <c r="E434" t="n">
        <v>3</v>
      </c>
      <c r="F434" t="n">
        <v>0</v>
      </c>
      <c r="G434" t="n">
        <v>6</v>
      </c>
      <c r="H434" t="n">
        <v>6</v>
      </c>
    </row>
    <row r="435">
      <c r="A435" t="inlineStr">
        <is>
          <t>Duduhh</t>
        </is>
      </c>
      <c r="B435" t="inlineStr">
        <is>
          <t>08/02</t>
        </is>
      </c>
      <c r="C435" t="inlineStr">
        <is>
          <t>RED</t>
        </is>
      </c>
      <c r="D435" t="n">
        <v>5</v>
      </c>
      <c r="E435" t="n">
        <v>10</v>
      </c>
      <c r="F435" t="n">
        <v>0</v>
      </c>
      <c r="G435" t="n">
        <v>15</v>
      </c>
      <c r="H435" t="n">
        <v>15</v>
      </c>
    </row>
    <row r="436">
      <c r="A436" t="inlineStr">
        <is>
          <t>Duduhh</t>
        </is>
      </c>
      <c r="B436" t="inlineStr">
        <is>
          <t>07/25</t>
        </is>
      </c>
      <c r="C436" t="inlineStr">
        <is>
          <t>FUR</t>
        </is>
      </c>
      <c r="D436" t="n">
        <v>7</v>
      </c>
      <c r="E436" t="n">
        <v>10</v>
      </c>
      <c r="F436" t="n">
        <v>0</v>
      </c>
      <c r="G436" t="n">
        <v>17</v>
      </c>
      <c r="H436" t="n">
        <v>17</v>
      </c>
    </row>
    <row r="437">
      <c r="A437" t="inlineStr">
        <is>
          <t>Feisty</t>
        </is>
      </c>
      <c r="B437" t="inlineStr">
        <is>
          <t>10/24</t>
        </is>
      </c>
      <c r="C437" t="inlineStr">
        <is>
          <t>G2</t>
        </is>
      </c>
      <c r="D437" t="n">
        <v>2</v>
      </c>
      <c r="E437" t="n">
        <v>0</v>
      </c>
      <c r="F437" t="n">
        <v>0</v>
      </c>
      <c r="G437" t="n">
        <v>2</v>
      </c>
      <c r="H437" t="n">
        <v>2</v>
      </c>
    </row>
    <row r="438">
      <c r="A438" t="inlineStr">
        <is>
          <t>Feisty</t>
        </is>
      </c>
      <c r="B438" t="inlineStr">
        <is>
          <t>10/23</t>
        </is>
      </c>
      <c r="C438" t="inlineStr">
        <is>
          <t>T1</t>
        </is>
      </c>
      <c r="D438" t="n">
        <v>2</v>
      </c>
      <c r="E438" t="n">
        <v>0</v>
      </c>
      <c r="F438" t="n">
        <v>0</v>
      </c>
      <c r="G438" t="n">
        <v>2</v>
      </c>
      <c r="H438" t="n">
        <v>2</v>
      </c>
    </row>
    <row r="439">
      <c r="A439" t="inlineStr">
        <is>
          <t>Feisty</t>
        </is>
      </c>
      <c r="B439" t="inlineStr">
        <is>
          <t>10/12</t>
        </is>
      </c>
      <c r="C439" t="inlineStr">
        <is>
          <t>KBM</t>
        </is>
      </c>
      <c r="D439" t="n">
        <v>6</v>
      </c>
      <c r="E439" t="n">
        <v>2</v>
      </c>
      <c r="F439" t="n">
        <v>2</v>
      </c>
      <c r="G439" t="n">
        <v>8</v>
      </c>
      <c r="H439" t="n">
        <v>10</v>
      </c>
    </row>
    <row r="440">
      <c r="A440" t="inlineStr">
        <is>
          <t>Feisty</t>
        </is>
      </c>
      <c r="B440" t="inlineStr">
        <is>
          <t>10/10</t>
        </is>
      </c>
      <c r="C440" t="inlineStr">
        <is>
          <t>FUR</t>
        </is>
      </c>
      <c r="D440" t="n">
        <v>4</v>
      </c>
      <c r="E440" t="n">
        <v>4</v>
      </c>
      <c r="F440" t="n">
        <v>1</v>
      </c>
      <c r="G440" t="n">
        <v>8</v>
      </c>
      <c r="H440" t="n">
        <v>9</v>
      </c>
    </row>
    <row r="441">
      <c r="A441" t="inlineStr">
        <is>
          <t>Feisty</t>
        </is>
      </c>
      <c r="B441" t="inlineStr">
        <is>
          <t>10/01</t>
        </is>
      </c>
      <c r="C441" t="inlineStr">
        <is>
          <t>EST</t>
        </is>
      </c>
      <c r="D441" t="n">
        <v>9</v>
      </c>
      <c r="E441" t="n">
        <v>6</v>
      </c>
      <c r="F441" t="n">
        <v>4</v>
      </c>
      <c r="G441" t="n">
        <v>15</v>
      </c>
      <c r="H441" t="n">
        <v>19</v>
      </c>
    </row>
    <row r="442">
      <c r="A442" t="inlineStr">
        <is>
          <t>Feisty</t>
        </is>
      </c>
      <c r="B442" t="inlineStr">
        <is>
          <t>09/30</t>
        </is>
      </c>
      <c r="C442" t="inlineStr">
        <is>
          <t>KBM</t>
        </is>
      </c>
      <c r="D442" t="n">
        <v>2</v>
      </c>
      <c r="E442" t="n">
        <v>2</v>
      </c>
      <c r="F442" t="n">
        <v>9</v>
      </c>
      <c r="G442" t="n">
        <v>4</v>
      </c>
      <c r="H442" t="n">
        <v>13</v>
      </c>
    </row>
    <row r="443">
      <c r="A443" t="inlineStr">
        <is>
          <t>Feisty</t>
        </is>
      </c>
      <c r="B443" t="inlineStr">
        <is>
          <t>09/27</t>
        </is>
      </c>
      <c r="C443" t="inlineStr">
        <is>
          <t>LLL</t>
        </is>
      </c>
      <c r="D443" t="n">
        <v>8</v>
      </c>
      <c r="E443" t="n">
        <v>0</v>
      </c>
      <c r="F443" t="n">
        <v>4</v>
      </c>
      <c r="G443" t="n">
        <v>8</v>
      </c>
      <c r="H443" t="n">
        <v>12</v>
      </c>
    </row>
    <row r="444">
      <c r="A444" t="inlineStr">
        <is>
          <t>Feisty</t>
        </is>
      </c>
      <c r="B444" t="inlineStr">
        <is>
          <t>09/12</t>
        </is>
      </c>
      <c r="C444" t="inlineStr">
        <is>
          <t>FUR</t>
        </is>
      </c>
      <c r="D444" t="n">
        <v>5</v>
      </c>
      <c r="E444" t="n">
        <v>3</v>
      </c>
      <c r="F444" t="n">
        <v>2</v>
      </c>
      <c r="G444" t="n">
        <v>8</v>
      </c>
      <c r="H444" t="n">
        <v>10</v>
      </c>
    </row>
    <row r="445">
      <c r="A445" t="inlineStr">
        <is>
          <t>Feisty</t>
        </is>
      </c>
      <c r="B445" t="inlineStr">
        <is>
          <t>08/29</t>
        </is>
      </c>
      <c r="C445" t="inlineStr">
        <is>
          <t>FXW7</t>
        </is>
      </c>
      <c r="D445" t="n">
        <v>10</v>
      </c>
      <c r="E445" t="n">
        <v>4</v>
      </c>
      <c r="F445" t="n">
        <v>5</v>
      </c>
      <c r="G445" t="n">
        <v>14</v>
      </c>
      <c r="H445" t="n">
        <v>19</v>
      </c>
    </row>
    <row r="446">
      <c r="A446" t="inlineStr">
        <is>
          <t>Feisty</t>
        </is>
      </c>
      <c r="B446" t="inlineStr">
        <is>
          <t>08/23</t>
        </is>
      </c>
      <c r="C446" t="inlineStr">
        <is>
          <t>LLL</t>
        </is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</row>
    <row r="447">
      <c r="A447" t="inlineStr">
        <is>
          <t>Feisty</t>
        </is>
      </c>
      <c r="B447" t="inlineStr">
        <is>
          <t>08/15</t>
        </is>
      </c>
      <c r="C447" t="inlineStr">
        <is>
          <t>VKS</t>
        </is>
      </c>
      <c r="D447" t="n">
        <v>4</v>
      </c>
      <c r="E447" t="n">
        <v>6</v>
      </c>
      <c r="F447" t="n">
        <v>0</v>
      </c>
      <c r="G447" t="n">
        <v>10</v>
      </c>
      <c r="H447" t="n">
        <v>10</v>
      </c>
    </row>
    <row r="448">
      <c r="A448" t="inlineStr">
        <is>
          <t>Feisty</t>
        </is>
      </c>
      <c r="B448" t="inlineStr">
        <is>
          <t>08/10</t>
        </is>
      </c>
      <c r="C448" t="inlineStr">
        <is>
          <t>PNG</t>
        </is>
      </c>
      <c r="D448" t="n">
        <v>5</v>
      </c>
      <c r="E448" t="n">
        <v>1</v>
      </c>
      <c r="F448" t="n">
        <v>0</v>
      </c>
      <c r="G448" t="n">
        <v>6</v>
      </c>
      <c r="H448" t="n">
        <v>6</v>
      </c>
    </row>
    <row r="449">
      <c r="A449" t="inlineStr">
        <is>
          <t>Feisty</t>
        </is>
      </c>
      <c r="B449" t="inlineStr">
        <is>
          <t>08/08</t>
        </is>
      </c>
      <c r="C449" t="inlineStr">
        <is>
          <t>LEV</t>
        </is>
      </c>
      <c r="D449" t="n">
        <v>2</v>
      </c>
      <c r="E449" t="n">
        <v>3</v>
      </c>
      <c r="F449" t="n">
        <v>0</v>
      </c>
      <c r="G449" t="n">
        <v>5</v>
      </c>
      <c r="H449" t="n">
        <v>5</v>
      </c>
    </row>
    <row r="450">
      <c r="A450" t="inlineStr">
        <is>
          <t>Feisty</t>
        </is>
      </c>
      <c r="B450" t="inlineStr">
        <is>
          <t>08/02</t>
        </is>
      </c>
      <c r="C450" t="inlineStr">
        <is>
          <t>RED</t>
        </is>
      </c>
      <c r="D450" t="n">
        <v>5</v>
      </c>
      <c r="E450" t="n">
        <v>5</v>
      </c>
      <c r="F450" t="n">
        <v>0</v>
      </c>
      <c r="G450" t="n">
        <v>10</v>
      </c>
      <c r="H450" t="n">
        <v>10</v>
      </c>
    </row>
    <row r="451">
      <c r="A451" t="inlineStr">
        <is>
          <t>Feisty</t>
        </is>
      </c>
      <c r="B451" t="inlineStr">
        <is>
          <t>07/25</t>
        </is>
      </c>
      <c r="C451" t="inlineStr">
        <is>
          <t>FUR</t>
        </is>
      </c>
      <c r="D451" t="n">
        <v>4</v>
      </c>
      <c r="E451" t="n">
        <v>10</v>
      </c>
      <c r="F451" t="n">
        <v>0</v>
      </c>
      <c r="G451" t="n">
        <v>14</v>
      </c>
      <c r="H451" t="n">
        <v>14</v>
      </c>
    </row>
    <row r="452">
      <c r="A452" t="inlineStr">
        <is>
          <t>ZEST</t>
        </is>
      </c>
      <c r="B452" t="inlineStr">
        <is>
          <t>10/24</t>
        </is>
      </c>
      <c r="C452" t="inlineStr">
        <is>
          <t>G2</t>
        </is>
      </c>
      <c r="D452" t="n">
        <v>3</v>
      </c>
      <c r="E452" t="n">
        <v>0</v>
      </c>
      <c r="F452" t="n">
        <v>0</v>
      </c>
      <c r="G452" t="n">
        <v>3</v>
      </c>
      <c r="H452" t="n">
        <v>3</v>
      </c>
    </row>
    <row r="453">
      <c r="A453" t="inlineStr">
        <is>
          <t>ZEST</t>
        </is>
      </c>
      <c r="B453" t="inlineStr">
        <is>
          <t>10/23</t>
        </is>
      </c>
      <c r="C453" t="inlineStr">
        <is>
          <t>T1</t>
        </is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</row>
    <row r="454">
      <c r="A454" t="inlineStr">
        <is>
          <t>ZEST</t>
        </is>
      </c>
      <c r="B454" t="inlineStr">
        <is>
          <t>10/12</t>
        </is>
      </c>
      <c r="C454" t="inlineStr">
        <is>
          <t>KBM</t>
        </is>
      </c>
      <c r="D454" t="n">
        <v>4</v>
      </c>
      <c r="E454" t="n">
        <v>8</v>
      </c>
      <c r="F454" t="n">
        <v>3</v>
      </c>
      <c r="G454" t="n">
        <v>12</v>
      </c>
      <c r="H454" t="n">
        <v>15</v>
      </c>
    </row>
    <row r="455">
      <c r="A455" t="inlineStr">
        <is>
          <t>ZEST</t>
        </is>
      </c>
      <c r="B455" t="inlineStr">
        <is>
          <t>10/10</t>
        </is>
      </c>
      <c r="C455" t="inlineStr">
        <is>
          <t>FUR</t>
        </is>
      </c>
      <c r="D455" t="n">
        <v>5</v>
      </c>
      <c r="E455" t="n">
        <v>1</v>
      </c>
      <c r="F455" t="n">
        <v>3</v>
      </c>
      <c r="G455" t="n">
        <v>6</v>
      </c>
      <c r="H455" t="n">
        <v>9</v>
      </c>
    </row>
    <row r="456">
      <c r="A456" t="inlineStr">
        <is>
          <t>ZEST</t>
        </is>
      </c>
      <c r="B456" t="inlineStr">
        <is>
          <t>10/01</t>
        </is>
      </c>
      <c r="C456" t="inlineStr">
        <is>
          <t>EST</t>
        </is>
      </c>
      <c r="D456" t="n">
        <v>2</v>
      </c>
      <c r="E456" t="n">
        <v>7</v>
      </c>
      <c r="F456" t="n">
        <v>2</v>
      </c>
      <c r="G456" t="n">
        <v>9</v>
      </c>
      <c r="H456" t="n">
        <v>11</v>
      </c>
    </row>
    <row r="457">
      <c r="A457" t="inlineStr">
        <is>
          <t>ZEST</t>
        </is>
      </c>
      <c r="B457" t="inlineStr">
        <is>
          <t>09/30</t>
        </is>
      </c>
      <c r="C457" t="inlineStr">
        <is>
          <t>KBM</t>
        </is>
      </c>
      <c r="D457" t="n">
        <v>2</v>
      </c>
      <c r="E457" t="n">
        <v>5</v>
      </c>
      <c r="F457" t="n">
        <v>7</v>
      </c>
      <c r="G457" t="n">
        <v>7</v>
      </c>
      <c r="H457" t="n">
        <v>14</v>
      </c>
    </row>
    <row r="458">
      <c r="A458" t="inlineStr">
        <is>
          <t>ZEST</t>
        </is>
      </c>
      <c r="B458" t="inlineStr">
        <is>
          <t>09/27</t>
        </is>
      </c>
      <c r="C458" t="inlineStr">
        <is>
          <t>LLL</t>
        </is>
      </c>
      <c r="D458" t="n">
        <v>0</v>
      </c>
      <c r="E458" t="n">
        <v>3</v>
      </c>
      <c r="F458" t="n">
        <v>3</v>
      </c>
      <c r="G458" t="n">
        <v>3</v>
      </c>
      <c r="H458" t="n">
        <v>6</v>
      </c>
    </row>
    <row r="459">
      <c r="A459" t="inlineStr">
        <is>
          <t>ZEST</t>
        </is>
      </c>
      <c r="B459" t="inlineStr">
        <is>
          <t>09/12</t>
        </is>
      </c>
      <c r="C459" t="inlineStr">
        <is>
          <t>FUR</t>
        </is>
      </c>
      <c r="D459" t="n">
        <v>6</v>
      </c>
      <c r="E459" t="n">
        <v>2</v>
      </c>
      <c r="F459" t="n">
        <v>3</v>
      </c>
      <c r="G459" t="n">
        <v>8</v>
      </c>
      <c r="H459" t="n">
        <v>11</v>
      </c>
    </row>
    <row r="460">
      <c r="A460" t="inlineStr">
        <is>
          <t>ZEST</t>
        </is>
      </c>
      <c r="B460" t="inlineStr">
        <is>
          <t>08/29</t>
        </is>
      </c>
      <c r="C460" t="inlineStr">
        <is>
          <t>FXW7</t>
        </is>
      </c>
      <c r="D460" t="n">
        <v>1</v>
      </c>
      <c r="E460" t="n">
        <v>3</v>
      </c>
      <c r="F460" t="n">
        <v>1</v>
      </c>
      <c r="G460" t="n">
        <v>4</v>
      </c>
      <c r="H460" t="n">
        <v>5</v>
      </c>
    </row>
    <row r="461">
      <c r="A461" t="inlineStr">
        <is>
          <t>ZEST</t>
        </is>
      </c>
      <c r="B461" t="inlineStr">
        <is>
          <t>08/23</t>
        </is>
      </c>
      <c r="C461" t="inlineStr">
        <is>
          <t>LLL</t>
        </is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</row>
    <row r="462">
      <c r="A462" t="inlineStr">
        <is>
          <t>ZEST</t>
        </is>
      </c>
      <c r="B462" t="inlineStr">
        <is>
          <t>08/15</t>
        </is>
      </c>
      <c r="C462" t="inlineStr">
        <is>
          <t>VKS</t>
        </is>
      </c>
      <c r="D462" t="n">
        <v>5</v>
      </c>
      <c r="E462" t="n">
        <v>3</v>
      </c>
      <c r="F462" t="n">
        <v>0</v>
      </c>
      <c r="G462" t="n">
        <v>8</v>
      </c>
      <c r="H462" t="n">
        <v>8</v>
      </c>
    </row>
    <row r="463">
      <c r="A463" t="inlineStr">
        <is>
          <t>ZEST</t>
        </is>
      </c>
      <c r="B463" t="inlineStr">
        <is>
          <t>08/10</t>
        </is>
      </c>
      <c r="C463" t="inlineStr">
        <is>
          <t>PNG</t>
        </is>
      </c>
      <c r="D463" t="n">
        <v>7</v>
      </c>
      <c r="E463" t="n">
        <v>5</v>
      </c>
      <c r="F463" t="n">
        <v>0</v>
      </c>
      <c r="G463" t="n">
        <v>12</v>
      </c>
      <c r="H463" t="n">
        <v>12</v>
      </c>
    </row>
    <row r="464">
      <c r="A464" t="inlineStr">
        <is>
          <t>ZEST</t>
        </is>
      </c>
      <c r="B464" t="inlineStr">
        <is>
          <t>08/08</t>
        </is>
      </c>
      <c r="C464" t="inlineStr">
        <is>
          <t>LEV</t>
        </is>
      </c>
      <c r="D464" t="n">
        <v>4</v>
      </c>
      <c r="E464" t="n">
        <v>5</v>
      </c>
      <c r="F464" t="n">
        <v>0</v>
      </c>
      <c r="G464" t="n">
        <v>9</v>
      </c>
      <c r="H464" t="n">
        <v>9</v>
      </c>
    </row>
    <row r="465">
      <c r="A465" t="inlineStr">
        <is>
          <t>ZEST</t>
        </is>
      </c>
      <c r="B465" t="inlineStr">
        <is>
          <t>08/02</t>
        </is>
      </c>
      <c r="C465" t="inlineStr">
        <is>
          <t>RED</t>
        </is>
      </c>
      <c r="D465" t="n">
        <v>3</v>
      </c>
      <c r="E465" t="n">
        <v>13</v>
      </c>
      <c r="F465" t="n">
        <v>0</v>
      </c>
      <c r="G465" t="n">
        <v>16</v>
      </c>
      <c r="H465" t="n">
        <v>16</v>
      </c>
    </row>
    <row r="466">
      <c r="A466" t="inlineStr">
        <is>
          <t>ZEST</t>
        </is>
      </c>
      <c r="B466" t="inlineStr">
        <is>
          <t>07/25</t>
        </is>
      </c>
      <c r="C466" t="inlineStr">
        <is>
          <t>FUR</t>
        </is>
      </c>
      <c r="D466" t="n">
        <v>4</v>
      </c>
      <c r="E466" t="n">
        <v>7</v>
      </c>
      <c r="F466" t="n">
        <v>0</v>
      </c>
      <c r="G466" t="n">
        <v>11</v>
      </c>
      <c r="H466" t="n">
        <v>11</v>
      </c>
    </row>
    <row r="467">
      <c r="A467" t="inlineStr">
        <is>
          <t>Boxi</t>
        </is>
      </c>
      <c r="B467" t="inlineStr">
        <is>
          <t>10/25</t>
        </is>
      </c>
      <c r="C467" t="inlineStr">
        <is>
          <t>OG</t>
        </is>
      </c>
      <c r="D467" t="n">
        <v>2</v>
      </c>
      <c r="E467" t="n">
        <v>4</v>
      </c>
      <c r="F467" t="n">
        <v>7</v>
      </c>
      <c r="G467" t="n">
        <v>6</v>
      </c>
      <c r="H467" t="n">
        <v>13</v>
      </c>
    </row>
    <row r="468">
      <c r="A468" t="inlineStr">
        <is>
          <t>Boxi</t>
        </is>
      </c>
      <c r="B468" t="inlineStr">
        <is>
          <t>10/23</t>
        </is>
      </c>
      <c r="C468" t="inlineStr">
        <is>
          <t>GL</t>
        </is>
      </c>
      <c r="D468" t="n">
        <v>1</v>
      </c>
      <c r="E468" t="n">
        <v>7</v>
      </c>
      <c r="F468" t="n">
        <v>0</v>
      </c>
      <c r="G468" t="n">
        <v>8</v>
      </c>
      <c r="H468" t="n">
        <v>8</v>
      </c>
    </row>
    <row r="469">
      <c r="A469" t="inlineStr">
        <is>
          <t>Boxi</t>
        </is>
      </c>
      <c r="B469" t="inlineStr">
        <is>
          <t>10/22</t>
        </is>
      </c>
      <c r="C469" t="inlineStr">
        <is>
          <t>1WIN</t>
        </is>
      </c>
      <c r="D469" t="n">
        <v>5</v>
      </c>
      <c r="E469" t="n">
        <v>3</v>
      </c>
      <c r="F469" t="n">
        <v>0</v>
      </c>
      <c r="G469" t="n">
        <v>8</v>
      </c>
      <c r="H469" t="n">
        <v>8</v>
      </c>
    </row>
    <row r="470">
      <c r="A470" t="inlineStr">
        <is>
          <t>Boxi</t>
        </is>
      </c>
      <c r="B470" t="inlineStr">
        <is>
          <t>10/02</t>
        </is>
      </c>
      <c r="C470" t="inlineStr">
        <is>
          <t>GL</t>
        </is>
      </c>
      <c r="D470" t="n">
        <v>3</v>
      </c>
      <c r="E470" t="n">
        <v>5</v>
      </c>
      <c r="F470" t="n">
        <v>0</v>
      </c>
      <c r="G470" t="n">
        <v>8</v>
      </c>
      <c r="H470" t="n">
        <v>8</v>
      </c>
    </row>
    <row r="471">
      <c r="A471" t="inlineStr">
        <is>
          <t>Boxi</t>
        </is>
      </c>
      <c r="B471" t="inlineStr">
        <is>
          <t>10/01</t>
        </is>
      </c>
      <c r="C471" t="inlineStr">
        <is>
          <t>AUR</t>
        </is>
      </c>
      <c r="D471" t="n">
        <v>4</v>
      </c>
      <c r="E471" t="n">
        <v>3</v>
      </c>
      <c r="F471" t="n">
        <v>3</v>
      </c>
      <c r="G471" t="n">
        <v>7</v>
      </c>
      <c r="H471" t="n">
        <v>10</v>
      </c>
    </row>
    <row r="472">
      <c r="A472" t="inlineStr">
        <is>
          <t>Boxi</t>
        </is>
      </c>
      <c r="B472" t="inlineStr">
        <is>
          <t>09/29</t>
        </is>
      </c>
      <c r="C472" t="inlineStr">
        <is>
          <t>YB</t>
        </is>
      </c>
      <c r="D472" t="n">
        <v>2</v>
      </c>
      <c r="E472" t="n">
        <v>1</v>
      </c>
      <c r="F472" t="n">
        <v>3</v>
      </c>
      <c r="G472" t="n">
        <v>3</v>
      </c>
      <c r="H472" t="n">
        <v>6</v>
      </c>
    </row>
    <row r="473">
      <c r="A473" t="inlineStr">
        <is>
          <t>Boxi</t>
        </is>
      </c>
      <c r="B473" t="inlineStr">
        <is>
          <t>08/22</t>
        </is>
      </c>
      <c r="C473" t="inlineStr">
        <is>
          <t>TS</t>
        </is>
      </c>
      <c r="D473" t="n">
        <v>5</v>
      </c>
      <c r="E473" t="n">
        <v>1</v>
      </c>
      <c r="F473" t="n">
        <v>0</v>
      </c>
      <c r="G473" t="n">
        <v>6</v>
      </c>
      <c r="H473" t="n">
        <v>6</v>
      </c>
    </row>
    <row r="474">
      <c r="A474" t="inlineStr">
        <is>
          <t>Boxi</t>
        </is>
      </c>
      <c r="B474" t="inlineStr">
        <is>
          <t>08/21</t>
        </is>
      </c>
      <c r="C474" t="inlineStr">
        <is>
          <t>FLC</t>
        </is>
      </c>
      <c r="D474" t="n">
        <v>0</v>
      </c>
      <c r="E474" t="n">
        <v>5</v>
      </c>
      <c r="F474" t="n">
        <v>2</v>
      </c>
      <c r="G474" t="n">
        <v>5</v>
      </c>
      <c r="H474" t="n">
        <v>7</v>
      </c>
    </row>
    <row r="475">
      <c r="A475" t="inlineStr">
        <is>
          <t>Boxi</t>
        </is>
      </c>
      <c r="B475" t="inlineStr">
        <is>
          <t>08/20</t>
        </is>
      </c>
      <c r="C475" t="inlineStr">
        <is>
          <t>TY</t>
        </is>
      </c>
      <c r="D475" t="n">
        <v>3</v>
      </c>
      <c r="E475" t="n">
        <v>2</v>
      </c>
      <c r="F475" t="n">
        <v>0</v>
      </c>
      <c r="G475" t="n">
        <v>5</v>
      </c>
      <c r="H475" t="n">
        <v>5</v>
      </c>
    </row>
    <row r="476">
      <c r="A476" t="inlineStr">
        <is>
          <t>Boxi</t>
        </is>
      </c>
      <c r="B476" t="inlineStr">
        <is>
          <t>08/15</t>
        </is>
      </c>
      <c r="C476" t="inlineStr">
        <is>
          <t>AUR</t>
        </is>
      </c>
      <c r="D476" t="n">
        <v>0</v>
      </c>
      <c r="E476" t="n">
        <v>5</v>
      </c>
      <c r="F476" t="n">
        <v>2</v>
      </c>
      <c r="G476" t="n">
        <v>5</v>
      </c>
      <c r="H476" t="n">
        <v>7</v>
      </c>
    </row>
    <row r="477">
      <c r="A477" t="inlineStr">
        <is>
          <t>Boxi</t>
        </is>
      </c>
      <c r="B477" t="inlineStr">
        <is>
          <t>08/15</t>
        </is>
      </c>
      <c r="C477" t="inlineStr">
        <is>
          <t>Iron Wing</t>
        </is>
      </c>
      <c r="D477" t="n">
        <v>2</v>
      </c>
      <c r="E477" t="n">
        <v>7</v>
      </c>
      <c r="F477" t="n">
        <v>4</v>
      </c>
      <c r="G477" t="n">
        <v>9</v>
      </c>
      <c r="H477" t="n">
        <v>13</v>
      </c>
    </row>
    <row r="478">
      <c r="A478" t="inlineStr">
        <is>
          <t>Boxi</t>
        </is>
      </c>
      <c r="B478" t="inlineStr">
        <is>
          <t>08/14</t>
        </is>
      </c>
      <c r="C478" t="inlineStr">
        <is>
          <t>TS</t>
        </is>
      </c>
      <c r="D478" t="n">
        <v>4</v>
      </c>
      <c r="E478" t="n">
        <v>5</v>
      </c>
      <c r="F478" t="n">
        <v>1</v>
      </c>
      <c r="G478" t="n">
        <v>9</v>
      </c>
      <c r="H478" t="n">
        <v>10</v>
      </c>
    </row>
    <row r="479">
      <c r="A479" t="inlineStr">
        <is>
          <t>Boxi</t>
        </is>
      </c>
      <c r="B479" t="inlineStr">
        <is>
          <t>08/14</t>
        </is>
      </c>
      <c r="C479" t="inlineStr">
        <is>
          <t>TY</t>
        </is>
      </c>
      <c r="D479" t="n">
        <v>2</v>
      </c>
      <c r="E479" t="n">
        <v>8</v>
      </c>
      <c r="F479" t="n">
        <v>2</v>
      </c>
      <c r="G479" t="n">
        <v>10</v>
      </c>
      <c r="H479" t="n">
        <v>12</v>
      </c>
    </row>
    <row r="480">
      <c r="A480" t="inlineStr">
        <is>
          <t>Boxi</t>
        </is>
      </c>
      <c r="B480" t="inlineStr">
        <is>
          <t>08/13</t>
        </is>
      </c>
      <c r="C480" t="inlineStr">
        <is>
          <t>VG</t>
        </is>
      </c>
      <c r="D480" t="n">
        <v>1</v>
      </c>
      <c r="E480" t="n">
        <v>5</v>
      </c>
      <c r="F480" t="n">
        <v>0</v>
      </c>
      <c r="G480" t="n">
        <v>6</v>
      </c>
      <c r="H480" t="n">
        <v>6</v>
      </c>
    </row>
    <row r="481">
      <c r="A481" t="inlineStr">
        <is>
          <t>Boxi</t>
        </is>
      </c>
      <c r="B481" t="inlineStr">
        <is>
          <t>08/05</t>
        </is>
      </c>
      <c r="C481" t="inlineStr">
        <is>
          <t>FLC</t>
        </is>
      </c>
      <c r="D481" t="n">
        <v>2</v>
      </c>
      <c r="E481" t="n">
        <v>3</v>
      </c>
      <c r="F481" t="n">
        <v>4</v>
      </c>
      <c r="G481" t="n">
        <v>5</v>
      </c>
      <c r="H481" t="n">
        <v>9</v>
      </c>
    </row>
    <row r="482">
      <c r="A482" t="inlineStr">
        <is>
          <t>Malr1ne</t>
        </is>
      </c>
      <c r="B482" t="inlineStr">
        <is>
          <t>10/25</t>
        </is>
      </c>
      <c r="C482" t="inlineStr">
        <is>
          <t>OG</t>
        </is>
      </c>
      <c r="D482" t="n">
        <v>9</v>
      </c>
      <c r="E482" t="n">
        <v>9</v>
      </c>
      <c r="F482" t="n">
        <v>5</v>
      </c>
      <c r="G482" t="n">
        <v>18</v>
      </c>
      <c r="H482" t="n">
        <v>23</v>
      </c>
    </row>
    <row r="483">
      <c r="A483" t="inlineStr">
        <is>
          <t>Malr1ne</t>
        </is>
      </c>
      <c r="B483" t="inlineStr">
        <is>
          <t>10/23</t>
        </is>
      </c>
      <c r="C483" t="inlineStr">
        <is>
          <t>GL</t>
        </is>
      </c>
      <c r="D483" t="n">
        <v>5</v>
      </c>
      <c r="E483" t="n">
        <v>10</v>
      </c>
      <c r="F483" t="n">
        <v>0</v>
      </c>
      <c r="G483" t="n">
        <v>15</v>
      </c>
      <c r="H483" t="n">
        <v>15</v>
      </c>
    </row>
    <row r="484">
      <c r="A484" t="inlineStr">
        <is>
          <t>Malr1ne</t>
        </is>
      </c>
      <c r="B484" t="inlineStr">
        <is>
          <t>10/22</t>
        </is>
      </c>
      <c r="C484" t="inlineStr">
        <is>
          <t>1WIN</t>
        </is>
      </c>
      <c r="D484" t="n">
        <v>9</v>
      </c>
      <c r="E484" t="n">
        <v>11</v>
      </c>
      <c r="F484" t="n">
        <v>0</v>
      </c>
      <c r="G484" t="n">
        <v>20</v>
      </c>
      <c r="H484" t="n">
        <v>20</v>
      </c>
    </row>
    <row r="485">
      <c r="A485" t="inlineStr">
        <is>
          <t>Malr1ne</t>
        </is>
      </c>
      <c r="B485" t="inlineStr">
        <is>
          <t>08/21</t>
        </is>
      </c>
      <c r="C485" t="inlineStr">
        <is>
          <t>Liquid</t>
        </is>
      </c>
      <c r="D485" t="n">
        <v>7</v>
      </c>
      <c r="E485" t="n">
        <v>5</v>
      </c>
      <c r="F485" t="n">
        <v>6</v>
      </c>
      <c r="G485" t="n">
        <v>12</v>
      </c>
      <c r="H485" t="n">
        <v>18</v>
      </c>
    </row>
    <row r="486">
      <c r="A486" t="inlineStr">
        <is>
          <t>Malr1ne</t>
        </is>
      </c>
      <c r="B486" t="inlineStr">
        <is>
          <t>08/20</t>
        </is>
      </c>
      <c r="C486" t="inlineStr">
        <is>
          <t>NGX</t>
        </is>
      </c>
      <c r="D486" t="n">
        <v>2</v>
      </c>
      <c r="E486" t="n">
        <v>2</v>
      </c>
      <c r="F486" t="n">
        <v>10</v>
      </c>
      <c r="G486" t="n">
        <v>4</v>
      </c>
      <c r="H486" t="n">
        <v>14</v>
      </c>
    </row>
    <row r="487">
      <c r="A487" t="inlineStr">
        <is>
          <t>Malr1ne</t>
        </is>
      </c>
      <c r="B487" t="inlineStr">
        <is>
          <t>08/16</t>
        </is>
      </c>
      <c r="C487" t="inlineStr">
        <is>
          <t>VG</t>
        </is>
      </c>
      <c r="D487" t="n">
        <v>9</v>
      </c>
      <c r="E487" t="n">
        <v>10</v>
      </c>
      <c r="F487" t="n">
        <v>0</v>
      </c>
      <c r="G487" t="n">
        <v>19</v>
      </c>
      <c r="H487" t="n">
        <v>19</v>
      </c>
    </row>
    <row r="488">
      <c r="A488" t="inlineStr">
        <is>
          <t>Malr1ne</t>
        </is>
      </c>
      <c r="B488" t="inlineStr">
        <is>
          <t>08/15</t>
        </is>
      </c>
      <c r="C488" t="inlineStr">
        <is>
          <t>BoomBoys</t>
        </is>
      </c>
      <c r="D488" t="n">
        <v>8</v>
      </c>
      <c r="E488" t="n">
        <v>0</v>
      </c>
      <c r="F488" t="n">
        <v>3</v>
      </c>
      <c r="G488" t="n">
        <v>8</v>
      </c>
      <c r="H488" t="n">
        <v>11</v>
      </c>
    </row>
    <row r="489">
      <c r="A489" t="inlineStr">
        <is>
          <t>Malr1ne</t>
        </is>
      </c>
      <c r="B489" t="inlineStr">
        <is>
          <t>08/15</t>
        </is>
      </c>
      <c r="C489" t="inlineStr">
        <is>
          <t>GL</t>
        </is>
      </c>
      <c r="D489" t="n">
        <v>12</v>
      </c>
      <c r="E489" t="n">
        <v>8</v>
      </c>
      <c r="F489" t="n">
        <v>9</v>
      </c>
      <c r="G489" t="n">
        <v>20</v>
      </c>
      <c r="H489" t="n">
        <v>29</v>
      </c>
    </row>
    <row r="490">
      <c r="A490" t="inlineStr">
        <is>
          <t>Malr1ne</t>
        </is>
      </c>
      <c r="B490" t="inlineStr">
        <is>
          <t>08/14</t>
        </is>
      </c>
      <c r="C490" t="inlineStr">
        <is>
          <t>Iron Wing</t>
        </is>
      </c>
      <c r="D490" t="n">
        <v>17</v>
      </c>
      <c r="E490" t="n">
        <v>14</v>
      </c>
      <c r="F490" t="n">
        <v>3</v>
      </c>
      <c r="G490" t="n">
        <v>31</v>
      </c>
      <c r="H490" t="n">
        <v>34</v>
      </c>
    </row>
    <row r="491">
      <c r="A491" t="inlineStr">
        <is>
          <t>Malr1ne</t>
        </is>
      </c>
      <c r="B491" t="inlineStr">
        <is>
          <t>08/13</t>
        </is>
      </c>
      <c r="C491" t="inlineStr">
        <is>
          <t>VSN</t>
        </is>
      </c>
      <c r="D491" t="n">
        <v>11</v>
      </c>
      <c r="E491" t="n">
        <v>5</v>
      </c>
      <c r="F491" t="n">
        <v>15</v>
      </c>
      <c r="G491" t="n">
        <v>16</v>
      </c>
      <c r="H491" t="n">
        <v>31</v>
      </c>
    </row>
    <row r="492">
      <c r="A492" t="inlineStr">
        <is>
          <t>Malr1ne</t>
        </is>
      </c>
      <c r="B492" t="inlineStr">
        <is>
          <t>08/13</t>
        </is>
      </c>
      <c r="C492" t="inlineStr">
        <is>
          <t>LGD</t>
        </is>
      </c>
      <c r="D492" t="n">
        <v>7</v>
      </c>
      <c r="E492" t="n">
        <v>10</v>
      </c>
      <c r="F492" t="n">
        <v>12</v>
      </c>
      <c r="G492" t="n">
        <v>17</v>
      </c>
      <c r="H492" t="n">
        <v>29</v>
      </c>
    </row>
    <row r="493">
      <c r="A493" t="inlineStr">
        <is>
          <t>Malr1ne</t>
        </is>
      </c>
      <c r="B493" t="inlineStr">
        <is>
          <t>08/05</t>
        </is>
      </c>
      <c r="C493" t="inlineStr">
        <is>
          <t>Liquid</t>
        </is>
      </c>
      <c r="D493" t="n">
        <v>6</v>
      </c>
      <c r="E493" t="n">
        <v>3</v>
      </c>
      <c r="F493" t="n">
        <v>5</v>
      </c>
      <c r="G493" t="n">
        <v>9</v>
      </c>
      <c r="H493" t="n">
        <v>14</v>
      </c>
    </row>
    <row r="494">
      <c r="A494" t="inlineStr">
        <is>
          <t>Malr1ne</t>
        </is>
      </c>
      <c r="B494" t="inlineStr">
        <is>
          <t>08/04</t>
        </is>
      </c>
      <c r="C494" t="inlineStr">
        <is>
          <t>Liquid</t>
        </is>
      </c>
      <c r="D494" t="n">
        <v>4</v>
      </c>
      <c r="E494" t="n">
        <v>14</v>
      </c>
      <c r="F494" t="n">
        <v>0</v>
      </c>
      <c r="G494" t="n">
        <v>18</v>
      </c>
      <c r="H494" t="n">
        <v>18</v>
      </c>
    </row>
    <row r="495">
      <c r="A495" t="inlineStr">
        <is>
          <t>Malr1ne</t>
        </is>
      </c>
      <c r="B495" t="inlineStr">
        <is>
          <t>08/03</t>
        </is>
      </c>
      <c r="C495" t="inlineStr">
        <is>
          <t>BB</t>
        </is>
      </c>
      <c r="D495" t="n">
        <v>5</v>
      </c>
      <c r="E495" t="n">
        <v>3</v>
      </c>
      <c r="F495" t="n">
        <v>0</v>
      </c>
      <c r="G495" t="n">
        <v>8</v>
      </c>
      <c r="H495" t="n">
        <v>8</v>
      </c>
    </row>
    <row r="496">
      <c r="A496" t="inlineStr">
        <is>
          <t>Malr1ne</t>
        </is>
      </c>
      <c r="B496" t="inlineStr">
        <is>
          <t>08/02</t>
        </is>
      </c>
      <c r="C496" t="inlineStr">
        <is>
          <t>1WIN</t>
        </is>
      </c>
      <c r="D496" t="n">
        <v>9</v>
      </c>
      <c r="E496" t="n">
        <v>8</v>
      </c>
      <c r="F496" t="n">
        <v>0</v>
      </c>
      <c r="G496" t="n">
        <v>17</v>
      </c>
      <c r="H496" t="n">
        <v>17</v>
      </c>
    </row>
    <row r="497">
      <c r="A497" t="inlineStr">
        <is>
          <t>miCKe</t>
        </is>
      </c>
      <c r="B497" t="inlineStr">
        <is>
          <t>10/25</t>
        </is>
      </c>
      <c r="C497" t="inlineStr">
        <is>
          <t>OG</t>
        </is>
      </c>
      <c r="D497" t="n">
        <v>13</v>
      </c>
      <c r="E497" t="n">
        <v>8</v>
      </c>
      <c r="F497" t="n">
        <v>15</v>
      </c>
      <c r="G497" t="n">
        <v>21</v>
      </c>
      <c r="H497" t="n">
        <v>36</v>
      </c>
    </row>
    <row r="498">
      <c r="A498" t="inlineStr">
        <is>
          <t>miCKe</t>
        </is>
      </c>
      <c r="B498" t="inlineStr">
        <is>
          <t>10/22</t>
        </is>
      </c>
      <c r="C498" t="inlineStr">
        <is>
          <t>1WIN</t>
        </is>
      </c>
      <c r="D498" t="n">
        <v>20</v>
      </c>
      <c r="E498" t="n">
        <v>9</v>
      </c>
      <c r="F498" t="n">
        <v>0</v>
      </c>
      <c r="G498" t="n">
        <v>29</v>
      </c>
      <c r="H498" t="n">
        <v>29</v>
      </c>
    </row>
    <row r="499">
      <c r="A499" t="inlineStr">
        <is>
          <t>miCKe</t>
        </is>
      </c>
      <c r="B499" t="inlineStr">
        <is>
          <t>10/02</t>
        </is>
      </c>
      <c r="C499" t="inlineStr">
        <is>
          <t>GL</t>
        </is>
      </c>
      <c r="D499" t="n">
        <v>5</v>
      </c>
      <c r="E499" t="n">
        <v>2</v>
      </c>
      <c r="F499" t="n">
        <v>0</v>
      </c>
      <c r="G499" t="n">
        <v>7</v>
      </c>
      <c r="H499" t="n">
        <v>7</v>
      </c>
    </row>
    <row r="500">
      <c r="A500" t="inlineStr">
        <is>
          <t>miCKe</t>
        </is>
      </c>
      <c r="B500" t="inlineStr">
        <is>
          <t>10/01</t>
        </is>
      </c>
      <c r="C500" t="inlineStr">
        <is>
          <t>AUR</t>
        </is>
      </c>
      <c r="D500" t="n">
        <v>18</v>
      </c>
      <c r="E500" t="n">
        <v>7</v>
      </c>
      <c r="F500" t="n">
        <v>9</v>
      </c>
      <c r="G500" t="n">
        <v>25</v>
      </c>
      <c r="H500" t="n">
        <v>34</v>
      </c>
    </row>
    <row r="501">
      <c r="A501" t="inlineStr">
        <is>
          <t>miCKe</t>
        </is>
      </c>
      <c r="B501" t="inlineStr">
        <is>
          <t>09/29</t>
        </is>
      </c>
      <c r="C501" t="inlineStr">
        <is>
          <t>YB</t>
        </is>
      </c>
      <c r="D501" t="n">
        <v>8</v>
      </c>
      <c r="E501" t="n">
        <v>2</v>
      </c>
      <c r="F501" t="n">
        <v>10</v>
      </c>
      <c r="G501" t="n">
        <v>10</v>
      </c>
      <c r="H501" t="n">
        <v>20</v>
      </c>
    </row>
    <row r="502">
      <c r="A502" t="inlineStr">
        <is>
          <t>miCKe</t>
        </is>
      </c>
      <c r="B502" t="inlineStr">
        <is>
          <t>08/22</t>
        </is>
      </c>
      <c r="C502" t="inlineStr">
        <is>
          <t>TS</t>
        </is>
      </c>
      <c r="D502" t="n">
        <v>3</v>
      </c>
      <c r="E502" t="n">
        <v>5</v>
      </c>
      <c r="F502" t="n">
        <v>0</v>
      </c>
      <c r="G502" t="n">
        <v>8</v>
      </c>
      <c r="H502" t="n">
        <v>8</v>
      </c>
    </row>
    <row r="503">
      <c r="A503" t="inlineStr">
        <is>
          <t>miCKe</t>
        </is>
      </c>
      <c r="B503" t="inlineStr">
        <is>
          <t>08/21</t>
        </is>
      </c>
      <c r="C503" t="inlineStr">
        <is>
          <t>FLC</t>
        </is>
      </c>
      <c r="D503" t="n">
        <v>6</v>
      </c>
      <c r="E503" t="n">
        <v>10</v>
      </c>
      <c r="F503" t="n">
        <v>8</v>
      </c>
      <c r="G503" t="n">
        <v>16</v>
      </c>
      <c r="H503" t="n">
        <v>24</v>
      </c>
    </row>
    <row r="504">
      <c r="A504" t="inlineStr">
        <is>
          <t>miCKe</t>
        </is>
      </c>
      <c r="B504" t="inlineStr">
        <is>
          <t>08/20</t>
        </is>
      </c>
      <c r="C504" t="inlineStr">
        <is>
          <t>TY</t>
        </is>
      </c>
      <c r="D504" t="n">
        <v>12</v>
      </c>
      <c r="E504" t="n">
        <v>0</v>
      </c>
      <c r="F504" t="n">
        <v>0</v>
      </c>
      <c r="G504" t="n">
        <v>12</v>
      </c>
      <c r="H504" t="n">
        <v>12</v>
      </c>
    </row>
    <row r="505">
      <c r="A505" t="inlineStr">
        <is>
          <t>miCKe</t>
        </is>
      </c>
      <c r="B505" t="inlineStr">
        <is>
          <t>08/15</t>
        </is>
      </c>
      <c r="C505" t="inlineStr">
        <is>
          <t>AUR</t>
        </is>
      </c>
      <c r="D505" t="n">
        <v>0</v>
      </c>
      <c r="E505" t="n">
        <v>2</v>
      </c>
      <c r="F505" t="n">
        <v>8</v>
      </c>
      <c r="G505" t="n">
        <v>2</v>
      </c>
      <c r="H505" t="n">
        <v>10</v>
      </c>
    </row>
    <row r="506">
      <c r="A506" t="inlineStr">
        <is>
          <t>miCKe</t>
        </is>
      </c>
      <c r="B506" t="inlineStr">
        <is>
          <t>08/15</t>
        </is>
      </c>
      <c r="C506" t="inlineStr">
        <is>
          <t>Iron Wing</t>
        </is>
      </c>
      <c r="D506" t="n">
        <v>2</v>
      </c>
      <c r="E506" t="n">
        <v>7</v>
      </c>
      <c r="F506" t="n">
        <v>7</v>
      </c>
      <c r="G506" t="n">
        <v>9</v>
      </c>
      <c r="H506" t="n">
        <v>16</v>
      </c>
    </row>
    <row r="507">
      <c r="A507" t="inlineStr">
        <is>
          <t>miCKe</t>
        </is>
      </c>
      <c r="B507" t="inlineStr">
        <is>
          <t>08/14</t>
        </is>
      </c>
      <c r="C507" t="inlineStr">
        <is>
          <t>TS</t>
        </is>
      </c>
      <c r="D507" t="n">
        <v>4</v>
      </c>
      <c r="E507" t="n">
        <v>14</v>
      </c>
      <c r="F507" t="n">
        <v>4</v>
      </c>
      <c r="G507" t="n">
        <v>18</v>
      </c>
      <c r="H507" t="n">
        <v>22</v>
      </c>
    </row>
    <row r="508">
      <c r="A508" t="inlineStr">
        <is>
          <t>miCKe</t>
        </is>
      </c>
      <c r="B508" t="inlineStr">
        <is>
          <t>08/14</t>
        </is>
      </c>
      <c r="C508" t="inlineStr">
        <is>
          <t>TY</t>
        </is>
      </c>
      <c r="D508" t="n">
        <v>8</v>
      </c>
      <c r="E508" t="n">
        <v>12</v>
      </c>
      <c r="F508" t="n">
        <v>11</v>
      </c>
      <c r="G508" t="n">
        <v>20</v>
      </c>
      <c r="H508" t="n">
        <v>31</v>
      </c>
    </row>
    <row r="509">
      <c r="A509" t="inlineStr">
        <is>
          <t>miCKe</t>
        </is>
      </c>
      <c r="B509" t="inlineStr">
        <is>
          <t>08/13</t>
        </is>
      </c>
      <c r="C509" t="inlineStr">
        <is>
          <t>VG</t>
        </is>
      </c>
      <c r="D509" t="n">
        <v>19</v>
      </c>
      <c r="E509" t="n">
        <v>5</v>
      </c>
      <c r="F509" t="n">
        <v>0</v>
      </c>
      <c r="G509" t="n">
        <v>24</v>
      </c>
      <c r="H509" t="n">
        <v>24</v>
      </c>
    </row>
    <row r="510">
      <c r="A510" t="inlineStr">
        <is>
          <t>miCKe</t>
        </is>
      </c>
      <c r="B510" t="inlineStr">
        <is>
          <t>08/05</t>
        </is>
      </c>
      <c r="C510" t="inlineStr">
        <is>
          <t>FLC</t>
        </is>
      </c>
      <c r="D510" t="n">
        <v>8</v>
      </c>
      <c r="E510" t="n">
        <v>13</v>
      </c>
      <c r="F510" t="n">
        <v>10</v>
      </c>
      <c r="G510" t="n">
        <v>21</v>
      </c>
      <c r="H510" t="n">
        <v>31</v>
      </c>
    </row>
    <row r="511">
      <c r="A511" t="inlineStr">
        <is>
          <t>miCKe</t>
        </is>
      </c>
      <c r="B511" t="inlineStr">
        <is>
          <t>08/05</t>
        </is>
      </c>
      <c r="C511" t="inlineStr">
        <is>
          <t>1WIN</t>
        </is>
      </c>
      <c r="D511" t="n">
        <v>10</v>
      </c>
      <c r="E511" t="n">
        <v>18</v>
      </c>
      <c r="F511" t="n">
        <v>0</v>
      </c>
      <c r="G511" t="n">
        <v>28</v>
      </c>
      <c r="H511" t="n">
        <v>28</v>
      </c>
    </row>
    <row r="512">
      <c r="A512" t="inlineStr">
        <is>
          <t>tOfu</t>
        </is>
      </c>
      <c r="B512" t="inlineStr">
        <is>
          <t>10/25</t>
        </is>
      </c>
      <c r="C512" t="inlineStr">
        <is>
          <t>OG</t>
        </is>
      </c>
      <c r="D512" t="n">
        <v>4</v>
      </c>
      <c r="E512" t="n">
        <v>1</v>
      </c>
      <c r="F512" t="n">
        <v>4</v>
      </c>
      <c r="G512" t="n">
        <v>5</v>
      </c>
      <c r="H512" t="n">
        <v>9</v>
      </c>
    </row>
    <row r="513">
      <c r="A513" t="inlineStr">
        <is>
          <t>tOfu</t>
        </is>
      </c>
      <c r="B513" t="inlineStr">
        <is>
          <t>10/23</t>
        </is>
      </c>
      <c r="C513" t="inlineStr">
        <is>
          <t>GL</t>
        </is>
      </c>
      <c r="D513" t="n">
        <v>7</v>
      </c>
      <c r="E513" t="n">
        <v>7</v>
      </c>
      <c r="F513" t="n">
        <v>0</v>
      </c>
      <c r="G513" t="n">
        <v>14</v>
      </c>
      <c r="H513" t="n">
        <v>14</v>
      </c>
    </row>
    <row r="514">
      <c r="A514" t="inlineStr">
        <is>
          <t>tOfu</t>
        </is>
      </c>
      <c r="B514" t="inlineStr">
        <is>
          <t>10/22</t>
        </is>
      </c>
      <c r="C514" t="inlineStr">
        <is>
          <t>1WIN</t>
        </is>
      </c>
      <c r="D514" t="n">
        <v>3</v>
      </c>
      <c r="E514" t="n">
        <v>5</v>
      </c>
      <c r="F514" t="n">
        <v>0</v>
      </c>
      <c r="G514" t="n">
        <v>8</v>
      </c>
      <c r="H514" t="n">
        <v>8</v>
      </c>
    </row>
    <row r="515">
      <c r="A515" t="inlineStr">
        <is>
          <t>tOfu</t>
        </is>
      </c>
      <c r="B515" t="inlineStr">
        <is>
          <t>10/02</t>
        </is>
      </c>
      <c r="C515" t="inlineStr">
        <is>
          <t>GL</t>
        </is>
      </c>
      <c r="D515" t="n">
        <v>3</v>
      </c>
      <c r="E515" t="n">
        <v>3</v>
      </c>
      <c r="F515" t="n">
        <v>0</v>
      </c>
      <c r="G515" t="n">
        <v>6</v>
      </c>
      <c r="H515" t="n">
        <v>6</v>
      </c>
    </row>
    <row r="516">
      <c r="A516" t="inlineStr">
        <is>
          <t>tOfu</t>
        </is>
      </c>
      <c r="B516" t="inlineStr">
        <is>
          <t>10/01</t>
        </is>
      </c>
      <c r="C516" t="inlineStr">
        <is>
          <t>AUR</t>
        </is>
      </c>
      <c r="D516" t="n">
        <v>7</v>
      </c>
      <c r="E516" t="n">
        <v>4</v>
      </c>
      <c r="F516" t="n">
        <v>7</v>
      </c>
      <c r="G516" t="n">
        <v>11</v>
      </c>
      <c r="H516" t="n">
        <v>18</v>
      </c>
    </row>
    <row r="517">
      <c r="A517" t="inlineStr">
        <is>
          <t>tOfu</t>
        </is>
      </c>
      <c r="B517" t="inlineStr">
        <is>
          <t>09/29</t>
        </is>
      </c>
      <c r="C517" t="inlineStr">
        <is>
          <t>YB</t>
        </is>
      </c>
      <c r="D517" t="n">
        <v>2</v>
      </c>
      <c r="E517" t="n">
        <v>3</v>
      </c>
      <c r="F517" t="n">
        <v>2</v>
      </c>
      <c r="G517" t="n">
        <v>5</v>
      </c>
      <c r="H517" t="n">
        <v>7</v>
      </c>
    </row>
    <row r="518">
      <c r="A518" t="inlineStr">
        <is>
          <t>tOfu</t>
        </is>
      </c>
      <c r="B518" t="inlineStr">
        <is>
          <t>08/22</t>
        </is>
      </c>
      <c r="C518" t="inlineStr">
        <is>
          <t>TS</t>
        </is>
      </c>
      <c r="D518" t="n">
        <v>5</v>
      </c>
      <c r="E518" t="n">
        <v>4</v>
      </c>
      <c r="F518" t="n">
        <v>0</v>
      </c>
      <c r="G518" t="n">
        <v>9</v>
      </c>
      <c r="H518" t="n">
        <v>9</v>
      </c>
    </row>
    <row r="519">
      <c r="A519" t="inlineStr">
        <is>
          <t>tOfu</t>
        </is>
      </c>
      <c r="B519" t="inlineStr">
        <is>
          <t>08/21</t>
        </is>
      </c>
      <c r="C519" t="inlineStr">
        <is>
          <t>FLC</t>
        </is>
      </c>
      <c r="D519" t="n">
        <v>1</v>
      </c>
      <c r="E519" t="n">
        <v>8</v>
      </c>
      <c r="F519" t="n">
        <v>9</v>
      </c>
      <c r="G519" t="n">
        <v>9</v>
      </c>
      <c r="H519" t="n">
        <v>18</v>
      </c>
    </row>
    <row r="520">
      <c r="A520" t="inlineStr">
        <is>
          <t>tOfu</t>
        </is>
      </c>
      <c r="B520" t="inlineStr">
        <is>
          <t>08/20</t>
        </is>
      </c>
      <c r="C520" t="inlineStr">
        <is>
          <t>TY</t>
        </is>
      </c>
      <c r="D520" t="n">
        <v>7</v>
      </c>
      <c r="E520" t="n">
        <v>1</v>
      </c>
      <c r="F520" t="n">
        <v>0</v>
      </c>
      <c r="G520" t="n">
        <v>8</v>
      </c>
      <c r="H520" t="n">
        <v>8</v>
      </c>
    </row>
    <row r="521">
      <c r="A521" t="inlineStr">
        <is>
          <t>tOfu</t>
        </is>
      </c>
      <c r="B521" t="inlineStr">
        <is>
          <t>08/15</t>
        </is>
      </c>
      <c r="C521" t="inlineStr">
        <is>
          <t>AUR</t>
        </is>
      </c>
      <c r="D521" t="n">
        <v>2</v>
      </c>
      <c r="E521" t="n">
        <v>4</v>
      </c>
      <c r="F521" t="n">
        <v>0</v>
      </c>
      <c r="G521" t="n">
        <v>6</v>
      </c>
      <c r="H521" t="n">
        <v>6</v>
      </c>
    </row>
    <row r="522">
      <c r="A522" t="inlineStr">
        <is>
          <t>tOfu</t>
        </is>
      </c>
      <c r="B522" t="inlineStr">
        <is>
          <t>08/15</t>
        </is>
      </c>
      <c r="C522" t="inlineStr">
        <is>
          <t>Iron Wing</t>
        </is>
      </c>
      <c r="D522" t="n">
        <v>5</v>
      </c>
      <c r="E522" t="n">
        <v>9</v>
      </c>
      <c r="F522" t="n">
        <v>10</v>
      </c>
      <c r="G522" t="n">
        <v>14</v>
      </c>
      <c r="H522" t="n">
        <v>24</v>
      </c>
    </row>
    <row r="523">
      <c r="A523" t="inlineStr">
        <is>
          <t>tOfu</t>
        </is>
      </c>
      <c r="B523" t="inlineStr">
        <is>
          <t>08/14</t>
        </is>
      </c>
      <c r="C523" t="inlineStr">
        <is>
          <t>TS</t>
        </is>
      </c>
      <c r="D523" t="n">
        <v>2</v>
      </c>
      <c r="E523" t="n">
        <v>6</v>
      </c>
      <c r="F523" t="n">
        <v>4</v>
      </c>
      <c r="G523" t="n">
        <v>8</v>
      </c>
      <c r="H523" t="n">
        <v>12</v>
      </c>
    </row>
    <row r="524">
      <c r="A524" t="inlineStr">
        <is>
          <t>tOfu</t>
        </is>
      </c>
      <c r="B524" t="inlineStr">
        <is>
          <t>08/14</t>
        </is>
      </c>
      <c r="C524" t="inlineStr">
        <is>
          <t>TY</t>
        </is>
      </c>
      <c r="D524" t="n">
        <v>9</v>
      </c>
      <c r="E524" t="n">
        <v>8</v>
      </c>
      <c r="F524" t="n">
        <v>3</v>
      </c>
      <c r="G524" t="n">
        <v>17</v>
      </c>
      <c r="H524" t="n">
        <v>20</v>
      </c>
    </row>
    <row r="525">
      <c r="A525" t="inlineStr">
        <is>
          <t>tOfu</t>
        </is>
      </c>
      <c r="B525" t="inlineStr">
        <is>
          <t>08/13</t>
        </is>
      </c>
      <c r="C525" t="inlineStr">
        <is>
          <t>VG</t>
        </is>
      </c>
      <c r="D525" t="n">
        <v>2</v>
      </c>
      <c r="E525" t="n">
        <v>3</v>
      </c>
      <c r="F525" t="n">
        <v>0</v>
      </c>
      <c r="G525" t="n">
        <v>5</v>
      </c>
      <c r="H525" t="n">
        <v>5</v>
      </c>
    </row>
    <row r="526">
      <c r="A526" t="inlineStr">
        <is>
          <t>tOfu</t>
        </is>
      </c>
      <c r="B526" t="inlineStr">
        <is>
          <t>08/05</t>
        </is>
      </c>
      <c r="C526" t="inlineStr">
        <is>
          <t>FLC</t>
        </is>
      </c>
      <c r="D526" t="n">
        <v>12</v>
      </c>
      <c r="E526" t="n">
        <v>3</v>
      </c>
      <c r="F526" t="n">
        <v>0</v>
      </c>
      <c r="G526" t="n">
        <v>15</v>
      </c>
      <c r="H526" t="n">
        <v>15</v>
      </c>
    </row>
    <row r="527">
      <c r="A527" t="inlineStr">
        <is>
          <t>Wisper</t>
        </is>
      </c>
      <c r="B527" t="inlineStr">
        <is>
          <t>10/25</t>
        </is>
      </c>
      <c r="C527" t="inlineStr">
        <is>
          <t>OG</t>
        </is>
      </c>
      <c r="D527" t="n">
        <v>9</v>
      </c>
      <c r="E527" t="n">
        <v>7</v>
      </c>
      <c r="F527" t="n">
        <v>5</v>
      </c>
      <c r="G527" t="n">
        <v>16</v>
      </c>
      <c r="H527" t="n">
        <v>21</v>
      </c>
    </row>
    <row r="528">
      <c r="A528" t="inlineStr">
        <is>
          <t>Wisper</t>
        </is>
      </c>
      <c r="B528" t="inlineStr">
        <is>
          <t>10/23</t>
        </is>
      </c>
      <c r="C528" t="inlineStr">
        <is>
          <t>GL</t>
        </is>
      </c>
      <c r="D528" t="n">
        <v>5</v>
      </c>
      <c r="E528" t="n">
        <v>5</v>
      </c>
      <c r="F528" t="n">
        <v>0</v>
      </c>
      <c r="G528" t="n">
        <v>10</v>
      </c>
      <c r="H528" t="n">
        <v>10</v>
      </c>
    </row>
    <row r="529">
      <c r="A529" t="inlineStr">
        <is>
          <t>Wisper</t>
        </is>
      </c>
      <c r="B529" t="inlineStr">
        <is>
          <t>10/22</t>
        </is>
      </c>
      <c r="C529" t="inlineStr">
        <is>
          <t>1WIN</t>
        </is>
      </c>
      <c r="D529" t="n">
        <v>9</v>
      </c>
      <c r="E529" t="n">
        <v>7</v>
      </c>
      <c r="F529" t="n">
        <v>0</v>
      </c>
      <c r="G529" t="n">
        <v>16</v>
      </c>
      <c r="H529" t="n">
        <v>16</v>
      </c>
    </row>
    <row r="530">
      <c r="A530" t="inlineStr">
        <is>
          <t>Wisper</t>
        </is>
      </c>
      <c r="B530" t="inlineStr">
        <is>
          <t>10/02</t>
        </is>
      </c>
      <c r="C530" t="inlineStr">
        <is>
          <t>GL</t>
        </is>
      </c>
      <c r="D530" t="n">
        <v>4</v>
      </c>
      <c r="E530" t="n">
        <v>1</v>
      </c>
      <c r="F530" t="n">
        <v>0</v>
      </c>
      <c r="G530" t="n">
        <v>5</v>
      </c>
      <c r="H530" t="n">
        <v>5</v>
      </c>
    </row>
    <row r="531">
      <c r="A531" t="inlineStr">
        <is>
          <t>Wisper</t>
        </is>
      </c>
      <c r="B531" t="inlineStr">
        <is>
          <t>10/01</t>
        </is>
      </c>
      <c r="C531" t="inlineStr">
        <is>
          <t>AUR</t>
        </is>
      </c>
      <c r="D531" t="n">
        <v>7</v>
      </c>
      <c r="E531" t="n">
        <v>3</v>
      </c>
      <c r="F531" t="n">
        <v>14</v>
      </c>
      <c r="G531" t="n">
        <v>10</v>
      </c>
      <c r="H531" t="n">
        <v>24</v>
      </c>
    </row>
    <row r="532">
      <c r="A532" t="inlineStr">
        <is>
          <t>Wisper</t>
        </is>
      </c>
      <c r="B532" t="inlineStr">
        <is>
          <t>09/29</t>
        </is>
      </c>
      <c r="C532" t="inlineStr">
        <is>
          <t>YB</t>
        </is>
      </c>
      <c r="D532" t="n">
        <v>9</v>
      </c>
      <c r="E532" t="n">
        <v>5</v>
      </c>
      <c r="F532" t="n">
        <v>11</v>
      </c>
      <c r="G532" t="n">
        <v>14</v>
      </c>
      <c r="H532" t="n">
        <v>25</v>
      </c>
    </row>
    <row r="533">
      <c r="A533" t="inlineStr">
        <is>
          <t>Wisper</t>
        </is>
      </c>
      <c r="B533" t="inlineStr">
        <is>
          <t>08/16</t>
        </is>
      </c>
      <c r="C533" t="inlineStr">
        <is>
          <t>TY</t>
        </is>
      </c>
      <c r="D533" t="n">
        <v>3</v>
      </c>
      <c r="E533" t="n">
        <v>1</v>
      </c>
      <c r="F533" t="n">
        <v>10</v>
      </c>
      <c r="G533" t="n">
        <v>4</v>
      </c>
      <c r="H533" t="n">
        <v>14</v>
      </c>
    </row>
    <row r="534">
      <c r="A534" t="inlineStr">
        <is>
          <t>Wisper</t>
        </is>
      </c>
      <c r="B534" t="inlineStr">
        <is>
          <t>08/15</t>
        </is>
      </c>
      <c r="C534" t="inlineStr">
        <is>
          <t>VG</t>
        </is>
      </c>
      <c r="D534" t="n">
        <v>2</v>
      </c>
      <c r="E534" t="n">
        <v>7</v>
      </c>
      <c r="F534" t="n">
        <v>0</v>
      </c>
      <c r="G534" t="n">
        <v>9</v>
      </c>
      <c r="H534" t="n">
        <v>9</v>
      </c>
    </row>
    <row r="535">
      <c r="A535" t="inlineStr">
        <is>
          <t>Wisper</t>
        </is>
      </c>
      <c r="B535" t="inlineStr">
        <is>
          <t>08/15</t>
        </is>
      </c>
      <c r="C535" t="inlineStr">
        <is>
          <t>Xtreme</t>
        </is>
      </c>
      <c r="D535" t="n">
        <v>10</v>
      </c>
      <c r="E535" t="n">
        <v>5</v>
      </c>
      <c r="F535" t="n">
        <v>10</v>
      </c>
      <c r="G535" t="n">
        <v>15</v>
      </c>
      <c r="H535" t="n">
        <v>25</v>
      </c>
    </row>
    <row r="536">
      <c r="A536" t="inlineStr">
        <is>
          <t>Wisper</t>
        </is>
      </c>
      <c r="B536" t="inlineStr">
        <is>
          <t>08/14</t>
        </is>
      </c>
      <c r="C536" t="inlineStr">
        <is>
          <t>NGX</t>
        </is>
      </c>
      <c r="D536" t="n">
        <v>13</v>
      </c>
      <c r="E536" t="n">
        <v>8</v>
      </c>
      <c r="F536" t="n">
        <v>0</v>
      </c>
      <c r="G536" t="n">
        <v>21</v>
      </c>
      <c r="H536" t="n">
        <v>21</v>
      </c>
    </row>
    <row r="537">
      <c r="A537" t="inlineStr">
        <is>
          <t>Wisper</t>
        </is>
      </c>
      <c r="B537" t="inlineStr">
        <is>
          <t>08/13</t>
        </is>
      </c>
      <c r="C537" t="inlineStr">
        <is>
          <t>TR</t>
        </is>
      </c>
      <c r="D537" t="n">
        <v>14</v>
      </c>
      <c r="E537" t="n">
        <v>7</v>
      </c>
      <c r="F537" t="n">
        <v>12</v>
      </c>
      <c r="G537" t="n">
        <v>21</v>
      </c>
      <c r="H537" t="n">
        <v>33</v>
      </c>
    </row>
    <row r="538">
      <c r="A538" t="inlineStr">
        <is>
          <t>Wisper</t>
        </is>
      </c>
      <c r="B538" t="inlineStr">
        <is>
          <t>08/13</t>
        </is>
      </c>
      <c r="C538" t="inlineStr">
        <is>
          <t>FLC</t>
        </is>
      </c>
      <c r="D538" t="n">
        <v>6</v>
      </c>
      <c r="E538" t="n">
        <v>3</v>
      </c>
      <c r="F538" t="n">
        <v>3</v>
      </c>
      <c r="G538" t="n">
        <v>9</v>
      </c>
      <c r="H538" t="n">
        <v>12</v>
      </c>
    </row>
    <row r="539">
      <c r="A539" t="inlineStr">
        <is>
          <t>Wisper</t>
        </is>
      </c>
      <c r="B539" t="inlineStr">
        <is>
          <t>08/03</t>
        </is>
      </c>
      <c r="C539" t="inlineStr">
        <is>
          <t>RE</t>
        </is>
      </c>
      <c r="D539" t="n">
        <v>2</v>
      </c>
      <c r="E539" t="n">
        <v>5</v>
      </c>
      <c r="F539" t="n">
        <v>2</v>
      </c>
      <c r="G539" t="n">
        <v>7</v>
      </c>
      <c r="H539" t="n">
        <v>9</v>
      </c>
    </row>
    <row r="540">
      <c r="A540" t="inlineStr">
        <is>
          <t>Wisper</t>
        </is>
      </c>
      <c r="B540" t="inlineStr">
        <is>
          <t>08/03</t>
        </is>
      </c>
      <c r="C540" t="inlineStr">
        <is>
          <t>1WIN</t>
        </is>
      </c>
      <c r="D540" t="n">
        <v>5</v>
      </c>
      <c r="E540" t="n">
        <v>7</v>
      </c>
      <c r="F540" t="n">
        <v>0</v>
      </c>
      <c r="G540" t="n">
        <v>12</v>
      </c>
      <c r="H540" t="n">
        <v>12</v>
      </c>
    </row>
    <row r="541">
      <c r="A541" t="inlineStr">
        <is>
          <t>Wisper</t>
        </is>
      </c>
      <c r="B541" t="inlineStr">
        <is>
          <t>08/02</t>
        </is>
      </c>
      <c r="C541" t="inlineStr">
        <is>
          <t>Z10</t>
        </is>
      </c>
      <c r="D541" t="n">
        <v>5</v>
      </c>
      <c r="E541" t="n">
        <v>6</v>
      </c>
      <c r="F541" t="n">
        <v>0</v>
      </c>
      <c r="G541" t="n">
        <v>11</v>
      </c>
      <c r="H541" t="n">
        <v>11</v>
      </c>
    </row>
    <row r="542">
      <c r="A542" t="inlineStr">
        <is>
          <t>Natsumi-</t>
        </is>
      </c>
      <c r="B542" t="inlineStr">
        <is>
          <t>10/25</t>
        </is>
      </c>
      <c r="C542" t="inlineStr">
        <is>
          <t>Liquid</t>
        </is>
      </c>
      <c r="D542" t="n">
        <v>12</v>
      </c>
      <c r="E542" t="n">
        <v>1</v>
      </c>
      <c r="F542" t="n">
        <v>9</v>
      </c>
      <c r="G542" t="n">
        <v>13</v>
      </c>
      <c r="H542" t="n">
        <v>22</v>
      </c>
    </row>
    <row r="543">
      <c r="A543" t="inlineStr">
        <is>
          <t>Natsumi-</t>
        </is>
      </c>
      <c r="B543" t="inlineStr">
        <is>
          <t>10/24</t>
        </is>
      </c>
      <c r="C543" t="inlineStr">
        <is>
          <t>TY</t>
        </is>
      </c>
      <c r="D543" t="n">
        <v>11</v>
      </c>
      <c r="E543" t="n">
        <v>9</v>
      </c>
      <c r="F543" t="n">
        <v>0</v>
      </c>
      <c r="G543" t="n">
        <v>20</v>
      </c>
      <c r="H543" t="n">
        <v>20</v>
      </c>
    </row>
    <row r="544">
      <c r="A544" t="inlineStr">
        <is>
          <t>Natsumi-</t>
        </is>
      </c>
      <c r="B544" t="inlineStr">
        <is>
          <t>10/23</t>
        </is>
      </c>
      <c r="C544" t="inlineStr">
        <is>
          <t>1WIN</t>
        </is>
      </c>
      <c r="D544" t="n">
        <v>8</v>
      </c>
      <c r="E544" t="n">
        <v>9</v>
      </c>
      <c r="F544" t="n">
        <v>0</v>
      </c>
      <c r="G544" t="n">
        <v>17</v>
      </c>
      <c r="H544" t="n">
        <v>17</v>
      </c>
    </row>
    <row r="545">
      <c r="A545" t="inlineStr">
        <is>
          <t>Natsumi-</t>
        </is>
      </c>
      <c r="B545" t="inlineStr">
        <is>
          <t>10/16</t>
        </is>
      </c>
      <c r="C545" t="inlineStr">
        <is>
          <t>LEGION</t>
        </is>
      </c>
      <c r="D545" t="n">
        <v>9</v>
      </c>
      <c r="E545" t="n">
        <v>3</v>
      </c>
      <c r="F545" t="n">
        <v>0</v>
      </c>
      <c r="G545" t="n">
        <v>12</v>
      </c>
      <c r="H545" t="n">
        <v>12</v>
      </c>
    </row>
    <row r="546">
      <c r="A546" t="inlineStr">
        <is>
          <t>Natsumi-</t>
        </is>
      </c>
      <c r="B546" t="inlineStr">
        <is>
          <t>10/15</t>
        </is>
      </c>
      <c r="C546" t="inlineStr">
        <is>
          <t>Team Synapse</t>
        </is>
      </c>
      <c r="D546" t="n">
        <v>4</v>
      </c>
      <c r="E546" t="n">
        <v>6</v>
      </c>
      <c r="F546" t="n">
        <v>0</v>
      </c>
      <c r="G546" t="n">
        <v>10</v>
      </c>
      <c r="H546" t="n">
        <v>10</v>
      </c>
    </row>
    <row r="547">
      <c r="A547" t="inlineStr">
        <is>
          <t>Natsumi-</t>
        </is>
      </c>
      <c r="B547" t="inlineStr">
        <is>
          <t>10/15</t>
        </is>
      </c>
      <c r="C547" t="inlineStr">
        <is>
          <t>P-</t>
        </is>
      </c>
      <c r="D547" t="n">
        <v>9</v>
      </c>
      <c r="E547" t="n">
        <v>5</v>
      </c>
      <c r="F547" t="n">
        <v>0</v>
      </c>
      <c r="G547" t="n">
        <v>14</v>
      </c>
      <c r="H547" t="n">
        <v>14</v>
      </c>
    </row>
    <row r="548">
      <c r="A548" t="inlineStr">
        <is>
          <t>Natsumi-</t>
        </is>
      </c>
      <c r="B548" t="inlineStr">
        <is>
          <t>10/03</t>
        </is>
      </c>
      <c r="C548" t="inlineStr">
        <is>
          <t>1WIN</t>
        </is>
      </c>
      <c r="D548" t="n">
        <v>6</v>
      </c>
      <c r="E548" t="n">
        <v>2</v>
      </c>
      <c r="F548" t="n">
        <v>0</v>
      </c>
      <c r="G548" t="n">
        <v>8</v>
      </c>
      <c r="H548" t="n">
        <v>8</v>
      </c>
    </row>
    <row r="549">
      <c r="A549" t="inlineStr">
        <is>
          <t>Natsumi-</t>
        </is>
      </c>
      <c r="B549" t="inlineStr">
        <is>
          <t>10/02</t>
        </is>
      </c>
      <c r="C549" t="inlineStr">
        <is>
          <t>BB</t>
        </is>
      </c>
      <c r="D549" t="n">
        <v>6</v>
      </c>
      <c r="E549" t="n">
        <v>9</v>
      </c>
      <c r="F549" t="n">
        <v>9</v>
      </c>
      <c r="G549" t="n">
        <v>15</v>
      </c>
      <c r="H549" t="n">
        <v>24</v>
      </c>
    </row>
    <row r="550">
      <c r="A550" t="inlineStr">
        <is>
          <t>Natsumi-</t>
        </is>
      </c>
      <c r="B550" t="inlineStr">
        <is>
          <t>10/01</t>
        </is>
      </c>
      <c r="C550" t="inlineStr">
        <is>
          <t>MOUZ</t>
        </is>
      </c>
      <c r="D550" t="n">
        <v>15</v>
      </c>
      <c r="E550" t="n">
        <v>4</v>
      </c>
      <c r="F550" t="n">
        <v>0</v>
      </c>
      <c r="G550" t="n">
        <v>19</v>
      </c>
      <c r="H550" t="n">
        <v>19</v>
      </c>
    </row>
    <row r="551">
      <c r="A551" t="inlineStr">
        <is>
          <t>Natsumi-</t>
        </is>
      </c>
      <c r="B551" t="inlineStr">
        <is>
          <t>09/30</t>
        </is>
      </c>
      <c r="C551" t="inlineStr">
        <is>
          <t>BB</t>
        </is>
      </c>
      <c r="D551" t="n">
        <v>1</v>
      </c>
      <c r="E551" t="n">
        <v>8</v>
      </c>
      <c r="F551" t="n">
        <v>10</v>
      </c>
      <c r="G551" t="n">
        <v>9</v>
      </c>
      <c r="H551" t="n">
        <v>19</v>
      </c>
    </row>
    <row r="552">
      <c r="A552" t="inlineStr">
        <is>
          <t>Natsumi-</t>
        </is>
      </c>
      <c r="B552" t="inlineStr">
        <is>
          <t>08/15</t>
        </is>
      </c>
      <c r="C552" t="inlineStr">
        <is>
          <t>GL</t>
        </is>
      </c>
      <c r="D552" t="n">
        <v>0</v>
      </c>
      <c r="E552" t="n">
        <v>3</v>
      </c>
      <c r="F552" t="n">
        <v>0</v>
      </c>
      <c r="G552" t="n">
        <v>3</v>
      </c>
      <c r="H552" t="n">
        <v>3</v>
      </c>
    </row>
    <row r="553">
      <c r="A553" t="inlineStr">
        <is>
          <t>Natsumi-</t>
        </is>
      </c>
      <c r="B553" t="inlineStr">
        <is>
          <t>08/15</t>
        </is>
      </c>
      <c r="C553" t="inlineStr">
        <is>
          <t>HULIGANI</t>
        </is>
      </c>
      <c r="D553" t="n">
        <v>14</v>
      </c>
      <c r="E553" t="n">
        <v>5</v>
      </c>
      <c r="F553" t="n">
        <v>12</v>
      </c>
      <c r="G553" t="n">
        <v>19</v>
      </c>
      <c r="H553" t="n">
        <v>31</v>
      </c>
    </row>
    <row r="554">
      <c r="A554" t="inlineStr">
        <is>
          <t>Natsumi-</t>
        </is>
      </c>
      <c r="B554" t="inlineStr">
        <is>
          <t>08/14</t>
        </is>
      </c>
      <c r="C554" t="inlineStr">
        <is>
          <t>TR</t>
        </is>
      </c>
      <c r="D554" t="n">
        <v>4</v>
      </c>
      <c r="E554" t="n">
        <v>1</v>
      </c>
      <c r="F554" t="n">
        <v>0</v>
      </c>
      <c r="G554" t="n">
        <v>5</v>
      </c>
      <c r="H554" t="n">
        <v>5</v>
      </c>
    </row>
    <row r="555">
      <c r="A555" t="inlineStr">
        <is>
          <t>Natsumi-</t>
        </is>
      </c>
      <c r="B555" t="inlineStr">
        <is>
          <t>08/13</t>
        </is>
      </c>
      <c r="C555" t="inlineStr">
        <is>
          <t>NGX</t>
        </is>
      </c>
      <c r="D555" t="n">
        <v>7</v>
      </c>
      <c r="E555" t="n">
        <v>8</v>
      </c>
      <c r="F555" t="n">
        <v>0</v>
      </c>
      <c r="G555" t="n">
        <v>15</v>
      </c>
      <c r="H555" t="n">
        <v>15</v>
      </c>
    </row>
    <row r="556">
      <c r="A556" t="inlineStr">
        <is>
          <t>Natsumi-</t>
        </is>
      </c>
      <c r="B556" t="inlineStr">
        <is>
          <t>08/13</t>
        </is>
      </c>
      <c r="C556" t="inlineStr">
        <is>
          <t>BoomBoys</t>
        </is>
      </c>
      <c r="D556" t="n">
        <v>4</v>
      </c>
      <c r="E556" t="n">
        <v>4</v>
      </c>
      <c r="F556" t="n">
        <v>0</v>
      </c>
      <c r="G556" t="n">
        <v>8</v>
      </c>
      <c r="H556" t="n">
        <v>8</v>
      </c>
    </row>
    <row r="557">
      <c r="A557" t="inlineStr">
        <is>
          <t>OneJey</t>
        </is>
      </c>
      <c r="B557" t="inlineStr">
        <is>
          <t>10/25</t>
        </is>
      </c>
      <c r="C557" t="inlineStr">
        <is>
          <t>Liquid</t>
        </is>
      </c>
      <c r="D557" t="n">
        <v>1</v>
      </c>
      <c r="E557" t="n">
        <v>1</v>
      </c>
      <c r="F557" t="n">
        <v>4</v>
      </c>
      <c r="G557" t="n">
        <v>2</v>
      </c>
      <c r="H557" t="n">
        <v>6</v>
      </c>
    </row>
    <row r="558">
      <c r="A558" t="inlineStr">
        <is>
          <t>OneJey</t>
        </is>
      </c>
      <c r="B558" t="inlineStr">
        <is>
          <t>10/24</t>
        </is>
      </c>
      <c r="C558" t="inlineStr">
        <is>
          <t>TY</t>
        </is>
      </c>
      <c r="D558" t="n">
        <v>3</v>
      </c>
      <c r="E558" t="n">
        <v>4</v>
      </c>
      <c r="F558" t="n">
        <v>0</v>
      </c>
      <c r="G558" t="n">
        <v>7</v>
      </c>
      <c r="H558" t="n">
        <v>7</v>
      </c>
    </row>
    <row r="559">
      <c r="A559" t="inlineStr">
        <is>
          <t>OneJey</t>
        </is>
      </c>
      <c r="B559" t="inlineStr">
        <is>
          <t>10/23</t>
        </is>
      </c>
      <c r="C559" t="inlineStr">
        <is>
          <t>1WIN</t>
        </is>
      </c>
      <c r="D559" t="n">
        <v>6</v>
      </c>
      <c r="E559" t="n">
        <v>4</v>
      </c>
      <c r="F559" t="n">
        <v>0</v>
      </c>
      <c r="G559" t="n">
        <v>10</v>
      </c>
      <c r="H559" t="n">
        <v>10</v>
      </c>
    </row>
    <row r="560">
      <c r="A560" t="inlineStr">
        <is>
          <t>OneJey</t>
        </is>
      </c>
      <c r="B560" t="inlineStr">
        <is>
          <t>10/16</t>
        </is>
      </c>
      <c r="C560" t="inlineStr">
        <is>
          <t>LEGION</t>
        </is>
      </c>
      <c r="D560" t="n">
        <v>5</v>
      </c>
      <c r="E560" t="n">
        <v>1</v>
      </c>
      <c r="F560" t="n">
        <v>0</v>
      </c>
      <c r="G560" t="n">
        <v>6</v>
      </c>
      <c r="H560" t="n">
        <v>6</v>
      </c>
    </row>
    <row r="561">
      <c r="A561" t="inlineStr">
        <is>
          <t>OneJey</t>
        </is>
      </c>
      <c r="B561" t="inlineStr">
        <is>
          <t>10/15</t>
        </is>
      </c>
      <c r="C561" t="inlineStr">
        <is>
          <t>Team Synapse</t>
        </is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</row>
    <row r="562">
      <c r="A562" t="inlineStr">
        <is>
          <t>OneJey</t>
        </is>
      </c>
      <c r="B562" t="inlineStr">
        <is>
          <t>10/15</t>
        </is>
      </c>
      <c r="C562" t="inlineStr">
        <is>
          <t>P-</t>
        </is>
      </c>
      <c r="D562" t="n">
        <v>4</v>
      </c>
      <c r="E562" t="n">
        <v>2</v>
      </c>
      <c r="F562" t="n">
        <v>0</v>
      </c>
      <c r="G562" t="n">
        <v>6</v>
      </c>
      <c r="H562" t="n">
        <v>6</v>
      </c>
    </row>
    <row r="563">
      <c r="A563" t="inlineStr">
        <is>
          <t>OneJey</t>
        </is>
      </c>
      <c r="B563" t="inlineStr">
        <is>
          <t>10/03</t>
        </is>
      </c>
      <c r="C563" t="inlineStr">
        <is>
          <t>1WIN</t>
        </is>
      </c>
      <c r="D563" t="n">
        <v>9</v>
      </c>
      <c r="E563" t="n">
        <v>3</v>
      </c>
      <c r="F563" t="n">
        <v>0</v>
      </c>
      <c r="G563" t="n">
        <v>12</v>
      </c>
      <c r="H563" t="n">
        <v>12</v>
      </c>
    </row>
    <row r="564">
      <c r="A564" t="inlineStr">
        <is>
          <t>OneJey</t>
        </is>
      </c>
      <c r="B564" t="inlineStr">
        <is>
          <t>10/02</t>
        </is>
      </c>
      <c r="C564" t="inlineStr">
        <is>
          <t>BB</t>
        </is>
      </c>
      <c r="D564" t="n">
        <v>2</v>
      </c>
      <c r="E564" t="n">
        <v>2</v>
      </c>
      <c r="F564" t="n">
        <v>12</v>
      </c>
      <c r="G564" t="n">
        <v>4</v>
      </c>
      <c r="H564" t="n">
        <v>16</v>
      </c>
    </row>
    <row r="565">
      <c r="A565" t="inlineStr">
        <is>
          <t>OneJey</t>
        </is>
      </c>
      <c r="B565" t="inlineStr">
        <is>
          <t>10/01</t>
        </is>
      </c>
      <c r="C565" t="inlineStr">
        <is>
          <t>MOUZ</t>
        </is>
      </c>
      <c r="D565" t="n">
        <v>1</v>
      </c>
      <c r="E565" t="n">
        <v>4</v>
      </c>
      <c r="F565" t="n">
        <v>0</v>
      </c>
      <c r="G565" t="n">
        <v>5</v>
      </c>
      <c r="H565" t="n">
        <v>5</v>
      </c>
    </row>
    <row r="566">
      <c r="A566" t="inlineStr">
        <is>
          <t>OneJey</t>
        </is>
      </c>
      <c r="B566" t="inlineStr">
        <is>
          <t>09/30</t>
        </is>
      </c>
      <c r="C566" t="inlineStr">
        <is>
          <t>BB</t>
        </is>
      </c>
      <c r="D566" t="n">
        <v>0</v>
      </c>
      <c r="E566" t="n">
        <v>5</v>
      </c>
      <c r="F566" t="n">
        <v>6</v>
      </c>
      <c r="G566" t="n">
        <v>5</v>
      </c>
      <c r="H566" t="n">
        <v>11</v>
      </c>
    </row>
    <row r="567">
      <c r="A567" t="inlineStr">
        <is>
          <t>OneJey</t>
        </is>
      </c>
      <c r="B567" t="inlineStr">
        <is>
          <t>08/11</t>
        </is>
      </c>
      <c r="C567" t="inlineStr">
        <is>
          <t>RE</t>
        </is>
      </c>
      <c r="D567" t="n">
        <v>6</v>
      </c>
      <c r="E567" t="n">
        <v>5</v>
      </c>
      <c r="F567" t="n">
        <v>5</v>
      </c>
      <c r="G567" t="n">
        <v>11</v>
      </c>
      <c r="H567" t="n">
        <v>16</v>
      </c>
    </row>
    <row r="568">
      <c r="A568" t="inlineStr">
        <is>
          <t>OneJey</t>
        </is>
      </c>
      <c r="B568" t="inlineStr">
        <is>
          <t>08/10</t>
        </is>
      </c>
      <c r="C568" t="inlineStr">
        <is>
          <t>PR</t>
        </is>
      </c>
      <c r="D568" t="n">
        <v>0</v>
      </c>
      <c r="E568" t="n">
        <v>14</v>
      </c>
      <c r="F568" t="n">
        <v>5</v>
      </c>
      <c r="G568" t="n">
        <v>14</v>
      </c>
      <c r="H568" t="n">
        <v>19</v>
      </c>
    </row>
    <row r="569">
      <c r="A569" t="inlineStr">
        <is>
          <t>OneJey</t>
        </is>
      </c>
      <c r="B569" t="inlineStr">
        <is>
          <t>08/09</t>
        </is>
      </c>
      <c r="C569" t="inlineStr">
        <is>
          <t>LVLUP</t>
        </is>
      </c>
      <c r="D569" t="n">
        <v>0</v>
      </c>
      <c r="E569" t="n">
        <v>6</v>
      </c>
      <c r="F569" t="n">
        <v>0</v>
      </c>
      <c r="G569" t="n">
        <v>6</v>
      </c>
      <c r="H569" t="n">
        <v>6</v>
      </c>
    </row>
    <row r="570">
      <c r="A570" t="inlineStr">
        <is>
          <t>OneJey</t>
        </is>
      </c>
      <c r="B570" t="inlineStr">
        <is>
          <t>08/02</t>
        </is>
      </c>
      <c r="C570" t="inlineStr">
        <is>
          <t>GL</t>
        </is>
      </c>
      <c r="D570" t="n">
        <v>2</v>
      </c>
      <c r="E570" t="n">
        <v>2</v>
      </c>
      <c r="F570" t="n">
        <v>0</v>
      </c>
      <c r="G570" t="n">
        <v>4</v>
      </c>
      <c r="H570" t="n">
        <v>4</v>
      </c>
    </row>
    <row r="571">
      <c r="A571" t="inlineStr">
        <is>
          <t>OneJey</t>
        </is>
      </c>
      <c r="B571" t="inlineStr">
        <is>
          <t>07/31</t>
        </is>
      </c>
      <c r="C571" t="inlineStr">
        <is>
          <t>BB</t>
        </is>
      </c>
      <c r="D571" t="n">
        <v>9</v>
      </c>
      <c r="E571" t="n">
        <v>2</v>
      </c>
      <c r="F571" t="n">
        <v>0</v>
      </c>
      <c r="G571" t="n">
        <v>11</v>
      </c>
      <c r="H571" t="n">
        <v>11</v>
      </c>
    </row>
    <row r="572">
      <c r="A572" t="inlineStr">
        <is>
          <t>Skem</t>
        </is>
      </c>
      <c r="B572" t="inlineStr">
        <is>
          <t>10/25</t>
        </is>
      </c>
      <c r="C572" t="inlineStr">
        <is>
          <t>Liquid</t>
        </is>
      </c>
      <c r="D572" t="n">
        <v>5</v>
      </c>
      <c r="E572" t="n">
        <v>1</v>
      </c>
      <c r="F572" t="n">
        <v>5</v>
      </c>
      <c r="G572" t="n">
        <v>6</v>
      </c>
      <c r="H572" t="n">
        <v>11</v>
      </c>
    </row>
    <row r="573">
      <c r="A573" t="inlineStr">
        <is>
          <t>Skem</t>
        </is>
      </c>
      <c r="B573" t="inlineStr">
        <is>
          <t>10/24</t>
        </is>
      </c>
      <c r="C573" t="inlineStr">
        <is>
          <t>TY</t>
        </is>
      </c>
      <c r="D573" t="n">
        <v>1</v>
      </c>
      <c r="E573" t="n">
        <v>2</v>
      </c>
      <c r="F573" t="n">
        <v>0</v>
      </c>
      <c r="G573" t="n">
        <v>3</v>
      </c>
      <c r="H573" t="n">
        <v>3</v>
      </c>
    </row>
    <row r="574">
      <c r="A574" t="inlineStr">
        <is>
          <t>Skem</t>
        </is>
      </c>
      <c r="B574" t="inlineStr">
        <is>
          <t>10/23</t>
        </is>
      </c>
      <c r="C574" t="inlineStr">
        <is>
          <t>1WIN</t>
        </is>
      </c>
      <c r="D574" t="n">
        <v>1</v>
      </c>
      <c r="E574" t="n">
        <v>7</v>
      </c>
      <c r="F574" t="n">
        <v>0</v>
      </c>
      <c r="G574" t="n">
        <v>8</v>
      </c>
      <c r="H574" t="n">
        <v>8</v>
      </c>
    </row>
    <row r="575">
      <c r="A575" t="inlineStr">
        <is>
          <t>Skem</t>
        </is>
      </c>
      <c r="B575" t="inlineStr">
        <is>
          <t>10/16</t>
        </is>
      </c>
      <c r="C575" t="inlineStr">
        <is>
          <t>LEGION</t>
        </is>
      </c>
      <c r="D575" t="n">
        <v>1</v>
      </c>
      <c r="E575" t="n">
        <v>3</v>
      </c>
      <c r="F575" t="n">
        <v>0</v>
      </c>
      <c r="G575" t="n">
        <v>4</v>
      </c>
      <c r="H575" t="n">
        <v>4</v>
      </c>
    </row>
    <row r="576">
      <c r="A576" t="inlineStr">
        <is>
          <t>Skem</t>
        </is>
      </c>
      <c r="B576" t="inlineStr">
        <is>
          <t>10/15</t>
        </is>
      </c>
      <c r="C576" t="inlineStr">
        <is>
          <t>Team Synapse</t>
        </is>
      </c>
      <c r="D576" t="n">
        <v>4</v>
      </c>
      <c r="E576" t="n">
        <v>2</v>
      </c>
      <c r="F576" t="n">
        <v>0</v>
      </c>
      <c r="G576" t="n">
        <v>6</v>
      </c>
      <c r="H576" t="n">
        <v>6</v>
      </c>
    </row>
    <row r="577">
      <c r="A577" t="inlineStr">
        <is>
          <t>Skem</t>
        </is>
      </c>
      <c r="B577" t="inlineStr">
        <is>
          <t>10/15</t>
        </is>
      </c>
      <c r="C577" t="inlineStr">
        <is>
          <t>P-</t>
        </is>
      </c>
      <c r="D577" t="n">
        <v>2</v>
      </c>
      <c r="E577" t="n">
        <v>7</v>
      </c>
      <c r="F577" t="n">
        <v>0</v>
      </c>
      <c r="G577" t="n">
        <v>9</v>
      </c>
      <c r="H577" t="n">
        <v>9</v>
      </c>
    </row>
    <row r="578">
      <c r="A578" t="inlineStr">
        <is>
          <t>Skem</t>
        </is>
      </c>
      <c r="B578" t="inlineStr">
        <is>
          <t>10/03</t>
        </is>
      </c>
      <c r="C578" t="inlineStr">
        <is>
          <t>1WIN</t>
        </is>
      </c>
      <c r="D578" t="n">
        <v>1</v>
      </c>
      <c r="E578" t="n">
        <v>2</v>
      </c>
      <c r="F578" t="n">
        <v>1</v>
      </c>
      <c r="G578" t="n">
        <v>3</v>
      </c>
      <c r="H578" t="n">
        <v>4</v>
      </c>
    </row>
    <row r="579">
      <c r="A579" t="inlineStr">
        <is>
          <t>Skem</t>
        </is>
      </c>
      <c r="B579" t="inlineStr">
        <is>
          <t>10/02</t>
        </is>
      </c>
      <c r="C579" t="inlineStr">
        <is>
          <t>BB</t>
        </is>
      </c>
      <c r="D579" t="n">
        <v>1</v>
      </c>
      <c r="E579" t="n">
        <v>6</v>
      </c>
      <c r="F579" t="n">
        <v>1</v>
      </c>
      <c r="G579" t="n">
        <v>7</v>
      </c>
      <c r="H579" t="n">
        <v>8</v>
      </c>
    </row>
    <row r="580">
      <c r="A580" t="inlineStr">
        <is>
          <t>Skem</t>
        </is>
      </c>
      <c r="B580" t="inlineStr">
        <is>
          <t>10/01</t>
        </is>
      </c>
      <c r="C580" t="inlineStr">
        <is>
          <t>MOUZ</t>
        </is>
      </c>
      <c r="D580" t="n">
        <v>1</v>
      </c>
      <c r="E580" t="n">
        <v>2</v>
      </c>
      <c r="F580" t="n">
        <v>0</v>
      </c>
      <c r="G580" t="n">
        <v>3</v>
      </c>
      <c r="H580" t="n">
        <v>3</v>
      </c>
    </row>
    <row r="581">
      <c r="A581" t="inlineStr">
        <is>
          <t>Skem</t>
        </is>
      </c>
      <c r="B581" t="inlineStr">
        <is>
          <t>09/30</t>
        </is>
      </c>
      <c r="C581" t="inlineStr">
        <is>
          <t>BB</t>
        </is>
      </c>
      <c r="D581" t="n">
        <v>7</v>
      </c>
      <c r="E581" t="n">
        <v>8</v>
      </c>
      <c r="F581" t="n">
        <v>0</v>
      </c>
      <c r="G581" t="n">
        <v>15</v>
      </c>
      <c r="H581" t="n">
        <v>15</v>
      </c>
    </row>
    <row r="582">
      <c r="A582" t="inlineStr">
        <is>
          <t>Skem</t>
        </is>
      </c>
      <c r="B582" t="inlineStr">
        <is>
          <t>08/15</t>
        </is>
      </c>
      <c r="C582" t="inlineStr">
        <is>
          <t>GL</t>
        </is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</row>
    <row r="583">
      <c r="A583" t="inlineStr">
        <is>
          <t>Skem</t>
        </is>
      </c>
      <c r="B583" t="inlineStr">
        <is>
          <t>08/15</t>
        </is>
      </c>
      <c r="C583" t="inlineStr">
        <is>
          <t>HULIGANI</t>
        </is>
      </c>
      <c r="D583" t="n">
        <v>6</v>
      </c>
      <c r="E583" t="n">
        <v>7</v>
      </c>
      <c r="F583" t="n">
        <v>6</v>
      </c>
      <c r="G583" t="n">
        <v>13</v>
      </c>
      <c r="H583" t="n">
        <v>19</v>
      </c>
    </row>
    <row r="584">
      <c r="A584" t="inlineStr">
        <is>
          <t>Skem</t>
        </is>
      </c>
      <c r="B584" t="inlineStr">
        <is>
          <t>08/14</t>
        </is>
      </c>
      <c r="C584" t="inlineStr">
        <is>
          <t>TR</t>
        </is>
      </c>
      <c r="D584" t="n">
        <v>2</v>
      </c>
      <c r="E584" t="n">
        <v>6</v>
      </c>
      <c r="F584" t="n">
        <v>0</v>
      </c>
      <c r="G584" t="n">
        <v>8</v>
      </c>
      <c r="H584" t="n">
        <v>8</v>
      </c>
    </row>
    <row r="585">
      <c r="A585" t="inlineStr">
        <is>
          <t>Skem</t>
        </is>
      </c>
      <c r="B585" t="inlineStr">
        <is>
          <t>08/13</t>
        </is>
      </c>
      <c r="C585" t="inlineStr">
        <is>
          <t>NGX</t>
        </is>
      </c>
      <c r="D585" t="n">
        <v>4</v>
      </c>
      <c r="E585" t="n">
        <v>2</v>
      </c>
      <c r="F585" t="n">
        <v>0</v>
      </c>
      <c r="G585" t="n">
        <v>6</v>
      </c>
      <c r="H585" t="n">
        <v>6</v>
      </c>
    </row>
    <row r="586">
      <c r="A586" t="inlineStr">
        <is>
          <t>Skem</t>
        </is>
      </c>
      <c r="B586" t="inlineStr">
        <is>
          <t>08/13</t>
        </is>
      </c>
      <c r="C586" t="inlineStr">
        <is>
          <t>BoomBoys</t>
        </is>
      </c>
      <c r="D586" t="n">
        <v>2</v>
      </c>
      <c r="E586" t="n">
        <v>0</v>
      </c>
      <c r="F586" t="n">
        <v>0</v>
      </c>
      <c r="G586" t="n">
        <v>2</v>
      </c>
      <c r="H586" t="n">
        <v>2</v>
      </c>
    </row>
    <row r="587">
      <c r="A587" t="inlineStr">
        <is>
          <t>TOPSON</t>
        </is>
      </c>
      <c r="B587" t="inlineStr">
        <is>
          <t>10/25</t>
        </is>
      </c>
      <c r="C587" t="inlineStr">
        <is>
          <t>Liquid</t>
        </is>
      </c>
      <c r="D587" t="n">
        <v>11</v>
      </c>
      <c r="E587" t="n">
        <v>4</v>
      </c>
      <c r="F587" t="n">
        <v>7</v>
      </c>
      <c r="G587" t="n">
        <v>15</v>
      </c>
      <c r="H587" t="n">
        <v>22</v>
      </c>
    </row>
    <row r="588">
      <c r="A588" t="inlineStr">
        <is>
          <t>TOPSON</t>
        </is>
      </c>
      <c r="B588" t="inlineStr">
        <is>
          <t>10/24</t>
        </is>
      </c>
      <c r="C588" t="inlineStr">
        <is>
          <t>TY</t>
        </is>
      </c>
      <c r="D588" t="n">
        <v>5</v>
      </c>
      <c r="E588" t="n">
        <v>11</v>
      </c>
      <c r="F588" t="n">
        <v>0</v>
      </c>
      <c r="G588" t="n">
        <v>16</v>
      </c>
      <c r="H588" t="n">
        <v>16</v>
      </c>
    </row>
    <row r="589">
      <c r="A589" t="inlineStr">
        <is>
          <t>TOPSON</t>
        </is>
      </c>
      <c r="B589" t="inlineStr">
        <is>
          <t>10/23</t>
        </is>
      </c>
      <c r="C589" t="inlineStr">
        <is>
          <t>1WIN</t>
        </is>
      </c>
      <c r="D589" t="n">
        <v>2</v>
      </c>
      <c r="E589" t="n">
        <v>16</v>
      </c>
      <c r="F589" t="n">
        <v>0</v>
      </c>
      <c r="G589" t="n">
        <v>18</v>
      </c>
      <c r="H589" t="n">
        <v>18</v>
      </c>
    </row>
    <row r="590">
      <c r="A590" t="inlineStr">
        <is>
          <t>TOPSON</t>
        </is>
      </c>
      <c r="B590" t="inlineStr">
        <is>
          <t>10/16</t>
        </is>
      </c>
      <c r="C590" t="inlineStr">
        <is>
          <t>LEGION</t>
        </is>
      </c>
      <c r="D590" t="n">
        <v>5</v>
      </c>
      <c r="E590" t="n">
        <v>6</v>
      </c>
      <c r="F590" t="n">
        <v>0</v>
      </c>
      <c r="G590" t="n">
        <v>11</v>
      </c>
      <c r="H590" t="n">
        <v>11</v>
      </c>
    </row>
    <row r="591">
      <c r="A591" t="inlineStr">
        <is>
          <t>TOPSON</t>
        </is>
      </c>
      <c r="B591" t="inlineStr">
        <is>
          <t>10/15</t>
        </is>
      </c>
      <c r="C591" t="inlineStr">
        <is>
          <t>Team Synapse</t>
        </is>
      </c>
      <c r="D591" t="n">
        <v>13</v>
      </c>
      <c r="E591" t="n">
        <v>6</v>
      </c>
      <c r="F591" t="n">
        <v>0</v>
      </c>
      <c r="G591" t="n">
        <v>19</v>
      </c>
      <c r="H591" t="n">
        <v>19</v>
      </c>
    </row>
    <row r="592">
      <c r="A592" t="inlineStr">
        <is>
          <t>TOPSON</t>
        </is>
      </c>
      <c r="B592" t="inlineStr">
        <is>
          <t>10/15</t>
        </is>
      </c>
      <c r="C592" t="inlineStr">
        <is>
          <t>P-</t>
        </is>
      </c>
      <c r="D592" t="n">
        <v>6</v>
      </c>
      <c r="E592" t="n">
        <v>8</v>
      </c>
      <c r="F592" t="n">
        <v>0</v>
      </c>
      <c r="G592" t="n">
        <v>14</v>
      </c>
      <c r="H592" t="n">
        <v>14</v>
      </c>
    </row>
    <row r="593">
      <c r="A593" t="inlineStr">
        <is>
          <t>TOPSON</t>
        </is>
      </c>
      <c r="B593" t="inlineStr">
        <is>
          <t>10/03</t>
        </is>
      </c>
      <c r="C593" t="inlineStr">
        <is>
          <t>1WIN</t>
        </is>
      </c>
      <c r="D593" t="n">
        <v>7</v>
      </c>
      <c r="E593" t="n">
        <v>0</v>
      </c>
      <c r="F593" t="n">
        <v>3</v>
      </c>
      <c r="G593" t="n">
        <v>7</v>
      </c>
      <c r="H593" t="n">
        <v>10</v>
      </c>
    </row>
    <row r="594">
      <c r="A594" t="inlineStr">
        <is>
          <t>TOPSON</t>
        </is>
      </c>
      <c r="B594" t="inlineStr">
        <is>
          <t>10/02</t>
        </is>
      </c>
      <c r="C594" t="inlineStr">
        <is>
          <t>BB</t>
        </is>
      </c>
      <c r="D594" t="n">
        <v>6</v>
      </c>
      <c r="E594" t="n">
        <v>4</v>
      </c>
      <c r="F594" t="n">
        <v>8</v>
      </c>
      <c r="G594" t="n">
        <v>10</v>
      </c>
      <c r="H594" t="n">
        <v>18</v>
      </c>
    </row>
    <row r="595">
      <c r="A595" t="inlineStr">
        <is>
          <t>TOPSON</t>
        </is>
      </c>
      <c r="B595" t="inlineStr">
        <is>
          <t>10/01</t>
        </is>
      </c>
      <c r="C595" t="inlineStr">
        <is>
          <t>MOUZ</t>
        </is>
      </c>
      <c r="D595" t="n">
        <v>12</v>
      </c>
      <c r="E595" t="n">
        <v>7</v>
      </c>
      <c r="F595" t="n">
        <v>0</v>
      </c>
      <c r="G595" t="n">
        <v>19</v>
      </c>
      <c r="H595" t="n">
        <v>19</v>
      </c>
    </row>
    <row r="596">
      <c r="A596" t="inlineStr">
        <is>
          <t>TOPSON</t>
        </is>
      </c>
      <c r="B596" t="inlineStr">
        <is>
          <t>09/30</t>
        </is>
      </c>
      <c r="C596" t="inlineStr">
        <is>
          <t>BB</t>
        </is>
      </c>
      <c r="D596" t="n">
        <v>4</v>
      </c>
      <c r="E596" t="n">
        <v>7</v>
      </c>
      <c r="F596" t="n">
        <v>10</v>
      </c>
      <c r="G596" t="n">
        <v>11</v>
      </c>
      <c r="H596" t="n">
        <v>21</v>
      </c>
    </row>
    <row r="597">
      <c r="A597" t="inlineStr">
        <is>
          <t>TOPSON</t>
        </is>
      </c>
      <c r="B597" t="inlineStr">
        <is>
          <t>08/16</t>
        </is>
      </c>
      <c r="C597" t="inlineStr">
        <is>
          <t>TY</t>
        </is>
      </c>
      <c r="D597" t="n">
        <v>10</v>
      </c>
      <c r="E597" t="n">
        <v>8</v>
      </c>
      <c r="F597" t="n">
        <v>5</v>
      </c>
      <c r="G597" t="n">
        <v>18</v>
      </c>
      <c r="H597" t="n">
        <v>23</v>
      </c>
    </row>
    <row r="598">
      <c r="A598" t="inlineStr">
        <is>
          <t>TOPSON</t>
        </is>
      </c>
      <c r="B598" t="inlineStr">
        <is>
          <t>08/15</t>
        </is>
      </c>
      <c r="C598" t="inlineStr">
        <is>
          <t>VG</t>
        </is>
      </c>
      <c r="D598" t="n">
        <v>5</v>
      </c>
      <c r="E598" t="n">
        <v>9</v>
      </c>
      <c r="F598" t="n">
        <v>0</v>
      </c>
      <c r="G598" t="n">
        <v>14</v>
      </c>
      <c r="H598" t="n">
        <v>14</v>
      </c>
    </row>
    <row r="599">
      <c r="A599" t="inlineStr">
        <is>
          <t>TOPSON</t>
        </is>
      </c>
      <c r="B599" t="inlineStr">
        <is>
          <t>08/15</t>
        </is>
      </c>
      <c r="C599" t="inlineStr">
        <is>
          <t>Xtreme</t>
        </is>
      </c>
      <c r="D599" t="n">
        <v>8</v>
      </c>
      <c r="E599" t="n">
        <v>6</v>
      </c>
      <c r="F599" t="n">
        <v>5</v>
      </c>
      <c r="G599" t="n">
        <v>14</v>
      </c>
      <c r="H599" t="n">
        <v>19</v>
      </c>
    </row>
    <row r="600">
      <c r="A600" t="inlineStr">
        <is>
          <t>TOPSON</t>
        </is>
      </c>
      <c r="B600" t="inlineStr">
        <is>
          <t>08/14</t>
        </is>
      </c>
      <c r="C600" t="inlineStr">
        <is>
          <t>NGX</t>
        </is>
      </c>
      <c r="D600" t="n">
        <v>2</v>
      </c>
      <c r="E600" t="n">
        <v>16</v>
      </c>
      <c r="F600" t="n">
        <v>0</v>
      </c>
      <c r="G600" t="n">
        <v>18</v>
      </c>
      <c r="H600" t="n">
        <v>18</v>
      </c>
    </row>
    <row r="601">
      <c r="A601" t="inlineStr">
        <is>
          <t>TOPSON</t>
        </is>
      </c>
      <c r="B601" t="inlineStr">
        <is>
          <t>08/13</t>
        </is>
      </c>
      <c r="C601" t="inlineStr">
        <is>
          <t>TR</t>
        </is>
      </c>
      <c r="D601" t="n">
        <v>11</v>
      </c>
      <c r="E601" t="n">
        <v>10</v>
      </c>
      <c r="F601" t="n">
        <v>11</v>
      </c>
      <c r="G601" t="n">
        <v>21</v>
      </c>
      <c r="H601" t="n">
        <v>32</v>
      </c>
    </row>
    <row r="602">
      <c r="A602" t="inlineStr">
        <is>
          <t>9Class</t>
        </is>
      </c>
      <c r="B602" t="inlineStr">
        <is>
          <t>10/25</t>
        </is>
      </c>
      <c r="C602" t="inlineStr">
        <is>
          <t>BB</t>
        </is>
      </c>
      <c r="D602" t="n">
        <v>6</v>
      </c>
      <c r="E602" t="n">
        <v>3</v>
      </c>
      <c r="F602" t="n">
        <v>0</v>
      </c>
      <c r="G602" t="n">
        <v>9</v>
      </c>
      <c r="H602" t="n">
        <v>9</v>
      </c>
    </row>
    <row r="603">
      <c r="A603" t="inlineStr">
        <is>
          <t>9Class</t>
        </is>
      </c>
      <c r="B603" t="inlineStr">
        <is>
          <t>10/23</t>
        </is>
      </c>
      <c r="C603" t="inlineStr">
        <is>
          <t>LEGION</t>
        </is>
      </c>
      <c r="D603" t="n">
        <v>4</v>
      </c>
      <c r="E603" t="n">
        <v>2</v>
      </c>
      <c r="F603" t="n">
        <v>0</v>
      </c>
      <c r="G603" t="n">
        <v>6</v>
      </c>
      <c r="H603" t="n">
        <v>6</v>
      </c>
    </row>
    <row r="604">
      <c r="A604" t="inlineStr">
        <is>
          <t>9Class</t>
        </is>
      </c>
      <c r="B604" t="inlineStr">
        <is>
          <t>10/22</t>
        </is>
      </c>
      <c r="C604" t="inlineStr">
        <is>
          <t>AI</t>
        </is>
      </c>
      <c r="D604" t="n">
        <v>10</v>
      </c>
      <c r="E604" t="n">
        <v>7</v>
      </c>
      <c r="F604" t="n">
        <v>0</v>
      </c>
      <c r="G604" t="n">
        <v>17</v>
      </c>
      <c r="H604" t="n">
        <v>17</v>
      </c>
    </row>
    <row r="605">
      <c r="A605" t="inlineStr">
        <is>
          <t>9Class</t>
        </is>
      </c>
      <c r="B605" t="inlineStr">
        <is>
          <t>10/11</t>
        </is>
      </c>
      <c r="C605" t="inlineStr">
        <is>
          <t>TS</t>
        </is>
      </c>
      <c r="D605" t="n">
        <v>3</v>
      </c>
      <c r="E605" t="n">
        <v>3</v>
      </c>
      <c r="F605" t="n">
        <v>1</v>
      </c>
      <c r="G605" t="n">
        <v>6</v>
      </c>
      <c r="H605" t="n">
        <v>7</v>
      </c>
    </row>
    <row r="606">
      <c r="A606" t="inlineStr">
        <is>
          <t>9Class</t>
        </is>
      </c>
      <c r="B606" t="inlineStr">
        <is>
          <t>10/10</t>
        </is>
      </c>
      <c r="C606" t="inlineStr">
        <is>
          <t>AUR</t>
        </is>
      </c>
      <c r="D606" t="n">
        <v>12</v>
      </c>
      <c r="E606" t="n">
        <v>3</v>
      </c>
      <c r="F606" t="n">
        <v>0</v>
      </c>
      <c r="G606" t="n">
        <v>15</v>
      </c>
      <c r="H606" t="n">
        <v>15</v>
      </c>
    </row>
    <row r="607">
      <c r="A607" t="inlineStr">
        <is>
          <t>9Class</t>
        </is>
      </c>
      <c r="B607" t="inlineStr">
        <is>
          <t>10/09</t>
        </is>
      </c>
      <c r="C607" t="inlineStr">
        <is>
          <t>1WIN</t>
        </is>
      </c>
      <c r="D607" t="n">
        <v>4</v>
      </c>
      <c r="E607" t="n">
        <v>7</v>
      </c>
      <c r="F607" t="n">
        <v>7</v>
      </c>
      <c r="G607" t="n">
        <v>11</v>
      </c>
      <c r="H607" t="n">
        <v>18</v>
      </c>
    </row>
    <row r="608">
      <c r="A608" t="inlineStr">
        <is>
          <t>9Class</t>
        </is>
      </c>
      <c r="B608" t="inlineStr">
        <is>
          <t>10/08</t>
        </is>
      </c>
      <c r="C608" t="inlineStr">
        <is>
          <t>TY</t>
        </is>
      </c>
      <c r="D608" t="n">
        <v>2</v>
      </c>
      <c r="E608" t="n">
        <v>6</v>
      </c>
      <c r="F608" t="n">
        <v>4</v>
      </c>
      <c r="G608" t="n">
        <v>8</v>
      </c>
      <c r="H608" t="n">
        <v>12</v>
      </c>
    </row>
    <row r="609">
      <c r="A609" t="inlineStr">
        <is>
          <t>9Class</t>
        </is>
      </c>
      <c r="B609" t="inlineStr">
        <is>
          <t>10/03</t>
        </is>
      </c>
      <c r="C609" t="inlineStr">
        <is>
          <t>AUR</t>
        </is>
      </c>
      <c r="D609" t="n">
        <v>6</v>
      </c>
      <c r="E609" t="n">
        <v>7</v>
      </c>
      <c r="F609" t="n">
        <v>0</v>
      </c>
      <c r="G609" t="n">
        <v>13</v>
      </c>
      <c r="H609" t="n">
        <v>13</v>
      </c>
    </row>
    <row r="610">
      <c r="A610" t="inlineStr">
        <is>
          <t>9Class</t>
        </is>
      </c>
      <c r="B610" t="inlineStr">
        <is>
          <t>09/30</t>
        </is>
      </c>
      <c r="C610" t="inlineStr">
        <is>
          <t>LGD</t>
        </is>
      </c>
      <c r="D610" t="n">
        <v>8</v>
      </c>
      <c r="E610" t="n">
        <v>5</v>
      </c>
      <c r="F610" t="n">
        <v>0</v>
      </c>
      <c r="G610" t="n">
        <v>13</v>
      </c>
      <c r="H610" t="n">
        <v>13</v>
      </c>
    </row>
    <row r="611">
      <c r="A611" t="inlineStr">
        <is>
          <t>9Class</t>
        </is>
      </c>
      <c r="B611" t="inlineStr">
        <is>
          <t>09/29</t>
        </is>
      </c>
      <c r="C611" t="inlineStr">
        <is>
          <t>LVLUP</t>
        </is>
      </c>
      <c r="D611" t="n">
        <v>3</v>
      </c>
      <c r="E611" t="n">
        <v>2</v>
      </c>
      <c r="F611" t="n">
        <v>0</v>
      </c>
      <c r="G611" t="n">
        <v>5</v>
      </c>
      <c r="H611" t="n">
        <v>5</v>
      </c>
    </row>
    <row r="612">
      <c r="A612" t="inlineStr">
        <is>
          <t>9Class</t>
        </is>
      </c>
      <c r="B612" t="inlineStr">
        <is>
          <t>08/23</t>
        </is>
      </c>
      <c r="C612" t="inlineStr">
        <is>
          <t>TS</t>
        </is>
      </c>
      <c r="D612" t="n">
        <v>5</v>
      </c>
      <c r="E612" t="n">
        <v>0</v>
      </c>
      <c r="F612" t="n">
        <v>2</v>
      </c>
      <c r="G612" t="n">
        <v>5</v>
      </c>
      <c r="H612" t="n">
        <v>7</v>
      </c>
    </row>
    <row r="613">
      <c r="A613" t="inlineStr">
        <is>
          <t>9Class</t>
        </is>
      </c>
      <c r="B613" t="inlineStr">
        <is>
          <t>08/22</t>
        </is>
      </c>
      <c r="C613" t="inlineStr">
        <is>
          <t>TY</t>
        </is>
      </c>
      <c r="D613" t="n">
        <v>7</v>
      </c>
      <c r="E613" t="n">
        <v>3</v>
      </c>
      <c r="F613" t="n">
        <v>8</v>
      </c>
      <c r="G613" t="n">
        <v>10</v>
      </c>
      <c r="H613" t="n">
        <v>18</v>
      </c>
    </row>
    <row r="614">
      <c r="A614" t="inlineStr">
        <is>
          <t>9Class</t>
        </is>
      </c>
      <c r="B614" t="inlineStr">
        <is>
          <t>08/21</t>
        </is>
      </c>
      <c r="C614" t="inlineStr">
        <is>
          <t>TS</t>
        </is>
      </c>
      <c r="D614" t="n">
        <v>2</v>
      </c>
      <c r="E614" t="n">
        <v>1</v>
      </c>
      <c r="F614" t="n">
        <v>6</v>
      </c>
      <c r="G614" t="n">
        <v>3</v>
      </c>
      <c r="H614" t="n">
        <v>9</v>
      </c>
    </row>
    <row r="615">
      <c r="A615" t="inlineStr">
        <is>
          <t>9Class</t>
        </is>
      </c>
      <c r="B615" t="inlineStr">
        <is>
          <t>08/20</t>
        </is>
      </c>
      <c r="C615" t="inlineStr">
        <is>
          <t>BB</t>
        </is>
      </c>
      <c r="D615" t="n">
        <v>2</v>
      </c>
      <c r="E615" t="n">
        <v>2</v>
      </c>
      <c r="F615" t="n">
        <v>1</v>
      </c>
      <c r="G615" t="n">
        <v>4</v>
      </c>
      <c r="H615" t="n">
        <v>5</v>
      </c>
    </row>
    <row r="616">
      <c r="A616" t="inlineStr">
        <is>
          <t>9Class</t>
        </is>
      </c>
      <c r="B616" t="inlineStr">
        <is>
          <t>08/15</t>
        </is>
      </c>
      <c r="C616" t="inlineStr">
        <is>
          <t>TS</t>
        </is>
      </c>
      <c r="D616" t="n">
        <v>7</v>
      </c>
      <c r="E616" t="n">
        <v>3</v>
      </c>
      <c r="F616" t="n">
        <v>0</v>
      </c>
      <c r="G616" t="n">
        <v>10</v>
      </c>
      <c r="H616" t="n">
        <v>10</v>
      </c>
    </row>
    <row r="617">
      <c r="A617" t="inlineStr">
        <is>
          <t>Dukalis</t>
        </is>
      </c>
      <c r="B617" t="inlineStr">
        <is>
          <t>10/25</t>
        </is>
      </c>
      <c r="C617" t="inlineStr">
        <is>
          <t>BB</t>
        </is>
      </c>
      <c r="D617" t="n">
        <v>4</v>
      </c>
      <c r="E617" t="n">
        <v>1</v>
      </c>
      <c r="F617" t="n">
        <v>0</v>
      </c>
      <c r="G617" t="n">
        <v>5</v>
      </c>
      <c r="H617" t="n">
        <v>5</v>
      </c>
    </row>
    <row r="618">
      <c r="A618" t="inlineStr">
        <is>
          <t>Dukalis</t>
        </is>
      </c>
      <c r="B618" t="inlineStr">
        <is>
          <t>10/23</t>
        </is>
      </c>
      <c r="C618" t="inlineStr">
        <is>
          <t>LEGION</t>
        </is>
      </c>
      <c r="D618" t="n">
        <v>4</v>
      </c>
      <c r="E618" t="n">
        <v>7</v>
      </c>
      <c r="F618" t="n">
        <v>0</v>
      </c>
      <c r="G618" t="n">
        <v>11</v>
      </c>
      <c r="H618" t="n">
        <v>11</v>
      </c>
    </row>
    <row r="619">
      <c r="A619" t="inlineStr">
        <is>
          <t>Dukalis</t>
        </is>
      </c>
      <c r="B619" t="inlineStr">
        <is>
          <t>10/22</t>
        </is>
      </c>
      <c r="C619" t="inlineStr">
        <is>
          <t>AI</t>
        </is>
      </c>
      <c r="D619" t="n">
        <v>5</v>
      </c>
      <c r="E619" t="n">
        <v>5</v>
      </c>
      <c r="F619" t="n">
        <v>0</v>
      </c>
      <c r="G619" t="n">
        <v>10</v>
      </c>
      <c r="H619" t="n">
        <v>10</v>
      </c>
    </row>
    <row r="620">
      <c r="A620" t="inlineStr">
        <is>
          <t>Dukalis</t>
        </is>
      </c>
      <c r="B620" t="inlineStr">
        <is>
          <t>10/11</t>
        </is>
      </c>
      <c r="C620" t="inlineStr">
        <is>
          <t>TS</t>
        </is>
      </c>
      <c r="D620" t="n">
        <v>2</v>
      </c>
      <c r="E620" t="n">
        <v>1</v>
      </c>
      <c r="F620" t="n">
        <v>1</v>
      </c>
      <c r="G620" t="n">
        <v>3</v>
      </c>
      <c r="H620" t="n">
        <v>4</v>
      </c>
    </row>
    <row r="621">
      <c r="A621" t="inlineStr">
        <is>
          <t>Dukalis</t>
        </is>
      </c>
      <c r="B621" t="inlineStr">
        <is>
          <t>10/10</t>
        </is>
      </c>
      <c r="C621" t="inlineStr">
        <is>
          <t>AUR</t>
        </is>
      </c>
      <c r="D621" t="n">
        <v>2</v>
      </c>
      <c r="E621" t="n">
        <v>1</v>
      </c>
      <c r="F621" t="n">
        <v>0</v>
      </c>
      <c r="G621" t="n">
        <v>3</v>
      </c>
      <c r="H621" t="n">
        <v>3</v>
      </c>
    </row>
    <row r="622">
      <c r="A622" t="inlineStr">
        <is>
          <t>Dukalis</t>
        </is>
      </c>
      <c r="B622" t="inlineStr">
        <is>
          <t>10/09</t>
        </is>
      </c>
      <c r="C622" t="inlineStr">
        <is>
          <t>1WIN</t>
        </is>
      </c>
      <c r="D622" t="n">
        <v>3</v>
      </c>
      <c r="E622" t="n">
        <v>1</v>
      </c>
      <c r="F622" t="n">
        <v>3</v>
      </c>
      <c r="G622" t="n">
        <v>4</v>
      </c>
      <c r="H622" t="n">
        <v>7</v>
      </c>
    </row>
    <row r="623">
      <c r="A623" t="inlineStr">
        <is>
          <t>Dukalis</t>
        </is>
      </c>
      <c r="B623" t="inlineStr">
        <is>
          <t>10/08</t>
        </is>
      </c>
      <c r="C623" t="inlineStr">
        <is>
          <t>TY</t>
        </is>
      </c>
      <c r="D623" t="n">
        <v>5</v>
      </c>
      <c r="E623" t="n">
        <v>3</v>
      </c>
      <c r="F623" t="n">
        <v>2</v>
      </c>
      <c r="G623" t="n">
        <v>8</v>
      </c>
      <c r="H623" t="n">
        <v>10</v>
      </c>
    </row>
    <row r="624">
      <c r="A624" t="inlineStr">
        <is>
          <t>Dukalis</t>
        </is>
      </c>
      <c r="B624" t="inlineStr">
        <is>
          <t>10/03</t>
        </is>
      </c>
      <c r="C624" t="inlineStr">
        <is>
          <t>AUR</t>
        </is>
      </c>
      <c r="D624" t="n">
        <v>3</v>
      </c>
      <c r="E624" t="n">
        <v>6</v>
      </c>
      <c r="F624" t="n">
        <v>0</v>
      </c>
      <c r="G624" t="n">
        <v>9</v>
      </c>
      <c r="H624" t="n">
        <v>9</v>
      </c>
    </row>
    <row r="625">
      <c r="A625" t="inlineStr">
        <is>
          <t>Dukalis</t>
        </is>
      </c>
      <c r="B625" t="inlineStr">
        <is>
          <t>09/30</t>
        </is>
      </c>
      <c r="C625" t="inlineStr">
        <is>
          <t>LGD</t>
        </is>
      </c>
      <c r="D625" t="n">
        <v>5</v>
      </c>
      <c r="E625" t="n">
        <v>3</v>
      </c>
      <c r="F625" t="n">
        <v>0</v>
      </c>
      <c r="G625" t="n">
        <v>8</v>
      </c>
      <c r="H625" t="n">
        <v>8</v>
      </c>
    </row>
    <row r="626">
      <c r="A626" t="inlineStr">
        <is>
          <t>Dukalis</t>
        </is>
      </c>
      <c r="B626" t="inlineStr">
        <is>
          <t>09/29</t>
        </is>
      </c>
      <c r="C626" t="inlineStr">
        <is>
          <t>LVLUP</t>
        </is>
      </c>
      <c r="D626" t="n">
        <v>3</v>
      </c>
      <c r="E626" t="n">
        <v>2</v>
      </c>
      <c r="F626" t="n">
        <v>0</v>
      </c>
      <c r="G626" t="n">
        <v>5</v>
      </c>
      <c r="H626" t="n">
        <v>5</v>
      </c>
    </row>
    <row r="627">
      <c r="A627" t="inlineStr">
        <is>
          <t>Dukalis</t>
        </is>
      </c>
      <c r="B627" t="inlineStr">
        <is>
          <t>08/23</t>
        </is>
      </c>
      <c r="C627" t="inlineStr">
        <is>
          <t>TS</t>
        </is>
      </c>
      <c r="D627" t="n">
        <v>3</v>
      </c>
      <c r="E627" t="n">
        <v>8</v>
      </c>
      <c r="F627" t="n">
        <v>4</v>
      </c>
      <c r="G627" t="n">
        <v>11</v>
      </c>
      <c r="H627" t="n">
        <v>15</v>
      </c>
    </row>
    <row r="628">
      <c r="A628" t="inlineStr">
        <is>
          <t>Dukalis</t>
        </is>
      </c>
      <c r="B628" t="inlineStr">
        <is>
          <t>08/22</t>
        </is>
      </c>
      <c r="C628" t="inlineStr">
        <is>
          <t>TY</t>
        </is>
      </c>
      <c r="D628" t="n">
        <v>3</v>
      </c>
      <c r="E628" t="n">
        <v>0</v>
      </c>
      <c r="F628" t="n">
        <v>5</v>
      </c>
      <c r="G628" t="n">
        <v>3</v>
      </c>
      <c r="H628" t="n">
        <v>8</v>
      </c>
    </row>
    <row r="629">
      <c r="A629" t="inlineStr">
        <is>
          <t>Dukalis</t>
        </is>
      </c>
      <c r="B629" t="inlineStr">
        <is>
          <t>08/21</t>
        </is>
      </c>
      <c r="C629" t="inlineStr">
        <is>
          <t>TS</t>
        </is>
      </c>
      <c r="D629" t="n">
        <v>2</v>
      </c>
      <c r="E629" t="n">
        <v>0</v>
      </c>
      <c r="F629" t="n">
        <v>3</v>
      </c>
      <c r="G629" t="n">
        <v>2</v>
      </c>
      <c r="H629" t="n">
        <v>5</v>
      </c>
    </row>
    <row r="630">
      <c r="A630" t="inlineStr">
        <is>
          <t>Dukalis</t>
        </is>
      </c>
      <c r="B630" t="inlineStr">
        <is>
          <t>08/20</t>
        </is>
      </c>
      <c r="C630" t="inlineStr">
        <is>
          <t>BB</t>
        </is>
      </c>
      <c r="D630" t="n">
        <v>1</v>
      </c>
      <c r="E630" t="n">
        <v>2</v>
      </c>
      <c r="F630" t="n">
        <v>4</v>
      </c>
      <c r="G630" t="n">
        <v>3</v>
      </c>
      <c r="H630" t="n">
        <v>7</v>
      </c>
    </row>
    <row r="631">
      <c r="A631" t="inlineStr">
        <is>
          <t>Dukalis</t>
        </is>
      </c>
      <c r="B631" t="inlineStr">
        <is>
          <t>08/15</t>
        </is>
      </c>
      <c r="C631" t="inlineStr">
        <is>
          <t>TS</t>
        </is>
      </c>
      <c r="D631" t="n">
        <v>0</v>
      </c>
      <c r="E631" t="n">
        <v>6</v>
      </c>
      <c r="F631" t="n">
        <v>0</v>
      </c>
      <c r="G631" t="n">
        <v>6</v>
      </c>
      <c r="H631" t="n">
        <v>6</v>
      </c>
    </row>
    <row r="632">
      <c r="A632" t="inlineStr">
        <is>
          <t>No[o]ne</t>
        </is>
      </c>
      <c r="B632" t="inlineStr">
        <is>
          <t>10/25</t>
        </is>
      </c>
      <c r="C632" t="inlineStr">
        <is>
          <t>BB</t>
        </is>
      </c>
      <c r="D632" t="n">
        <v>5</v>
      </c>
      <c r="E632" t="n">
        <v>3</v>
      </c>
      <c r="F632" t="n">
        <v>0</v>
      </c>
      <c r="G632" t="n">
        <v>8</v>
      </c>
      <c r="H632" t="n">
        <v>8</v>
      </c>
    </row>
    <row r="633">
      <c r="A633" t="inlineStr">
        <is>
          <t>No[o]ne</t>
        </is>
      </c>
      <c r="B633" t="inlineStr">
        <is>
          <t>10/23</t>
        </is>
      </c>
      <c r="C633" t="inlineStr">
        <is>
          <t>LEGION</t>
        </is>
      </c>
      <c r="D633" t="n">
        <v>11</v>
      </c>
      <c r="E633" t="n">
        <v>8</v>
      </c>
      <c r="F633" t="n">
        <v>0</v>
      </c>
      <c r="G633" t="n">
        <v>19</v>
      </c>
      <c r="H633" t="n">
        <v>19</v>
      </c>
    </row>
    <row r="634">
      <c r="A634" t="inlineStr">
        <is>
          <t>No[o]ne</t>
        </is>
      </c>
      <c r="B634" t="inlineStr">
        <is>
          <t>10/22</t>
        </is>
      </c>
      <c r="C634" t="inlineStr">
        <is>
          <t>AI</t>
        </is>
      </c>
      <c r="D634" t="n">
        <v>5</v>
      </c>
      <c r="E634" t="n">
        <v>4</v>
      </c>
      <c r="F634" t="n">
        <v>0</v>
      </c>
      <c r="G634" t="n">
        <v>9</v>
      </c>
      <c r="H634" t="n">
        <v>9</v>
      </c>
    </row>
    <row r="635">
      <c r="A635" t="inlineStr">
        <is>
          <t>No[o]ne</t>
        </is>
      </c>
      <c r="B635" t="inlineStr">
        <is>
          <t>10/11</t>
        </is>
      </c>
      <c r="C635" t="inlineStr">
        <is>
          <t>TS</t>
        </is>
      </c>
      <c r="D635" t="n">
        <v>15</v>
      </c>
      <c r="E635" t="n">
        <v>6</v>
      </c>
      <c r="F635" t="n">
        <v>4</v>
      </c>
      <c r="G635" t="n">
        <v>21</v>
      </c>
      <c r="H635" t="n">
        <v>25</v>
      </c>
    </row>
    <row r="636">
      <c r="A636" t="inlineStr">
        <is>
          <t>No[o]ne</t>
        </is>
      </c>
      <c r="B636" t="inlineStr">
        <is>
          <t>10/10</t>
        </is>
      </c>
      <c r="C636" t="inlineStr">
        <is>
          <t>AUR</t>
        </is>
      </c>
      <c r="D636" t="n">
        <v>8</v>
      </c>
      <c r="E636" t="n">
        <v>12</v>
      </c>
      <c r="F636" t="n">
        <v>0</v>
      </c>
      <c r="G636" t="n">
        <v>20</v>
      </c>
      <c r="H636" t="n">
        <v>20</v>
      </c>
    </row>
    <row r="637">
      <c r="A637" t="inlineStr">
        <is>
          <t>No[o]ne</t>
        </is>
      </c>
      <c r="B637" t="inlineStr">
        <is>
          <t>10/09</t>
        </is>
      </c>
      <c r="C637" t="inlineStr">
        <is>
          <t>1WIN</t>
        </is>
      </c>
      <c r="D637" t="n">
        <v>11</v>
      </c>
      <c r="E637" t="n">
        <v>6</v>
      </c>
      <c r="F637" t="n">
        <v>8</v>
      </c>
      <c r="G637" t="n">
        <v>17</v>
      </c>
      <c r="H637" t="n">
        <v>25</v>
      </c>
    </row>
    <row r="638">
      <c r="A638" t="inlineStr">
        <is>
          <t>No[o]ne</t>
        </is>
      </c>
      <c r="B638" t="inlineStr">
        <is>
          <t>10/08</t>
        </is>
      </c>
      <c r="C638" t="inlineStr">
        <is>
          <t>TY</t>
        </is>
      </c>
      <c r="D638" t="n">
        <v>13</v>
      </c>
      <c r="E638" t="n">
        <v>9</v>
      </c>
      <c r="F638" t="n">
        <v>10</v>
      </c>
      <c r="G638" t="n">
        <v>22</v>
      </c>
      <c r="H638" t="n">
        <v>32</v>
      </c>
    </row>
    <row r="639">
      <c r="A639" t="inlineStr">
        <is>
          <t>No[o]ne</t>
        </is>
      </c>
      <c r="B639" t="inlineStr">
        <is>
          <t>10/03</t>
        </is>
      </c>
      <c r="C639" t="inlineStr">
        <is>
          <t>AUR</t>
        </is>
      </c>
      <c r="D639" t="n">
        <v>9</v>
      </c>
      <c r="E639" t="n">
        <v>11</v>
      </c>
      <c r="F639" t="n">
        <v>0</v>
      </c>
      <c r="G639" t="n">
        <v>20</v>
      </c>
      <c r="H639" t="n">
        <v>20</v>
      </c>
    </row>
    <row r="640">
      <c r="A640" t="inlineStr">
        <is>
          <t>No[o]ne</t>
        </is>
      </c>
      <c r="B640" t="inlineStr">
        <is>
          <t>09/30</t>
        </is>
      </c>
      <c r="C640" t="inlineStr">
        <is>
          <t>LGD</t>
        </is>
      </c>
      <c r="D640" t="n">
        <v>5</v>
      </c>
      <c r="E640" t="n">
        <v>13</v>
      </c>
      <c r="F640" t="n">
        <v>0</v>
      </c>
      <c r="G640" t="n">
        <v>18</v>
      </c>
      <c r="H640" t="n">
        <v>18</v>
      </c>
    </row>
    <row r="641">
      <c r="A641" t="inlineStr">
        <is>
          <t>No[o]ne</t>
        </is>
      </c>
      <c r="B641" t="inlineStr">
        <is>
          <t>09/29</t>
        </is>
      </c>
      <c r="C641" t="inlineStr">
        <is>
          <t>LVLUP</t>
        </is>
      </c>
      <c r="D641" t="n">
        <v>6</v>
      </c>
      <c r="E641" t="n">
        <v>8</v>
      </c>
      <c r="F641" t="n">
        <v>0</v>
      </c>
      <c r="G641" t="n">
        <v>14</v>
      </c>
      <c r="H641" t="n">
        <v>14</v>
      </c>
    </row>
    <row r="642">
      <c r="A642" t="inlineStr">
        <is>
          <t>No[o]ne</t>
        </is>
      </c>
      <c r="B642" t="inlineStr">
        <is>
          <t>08/23</t>
        </is>
      </c>
      <c r="C642" t="inlineStr">
        <is>
          <t>TS</t>
        </is>
      </c>
      <c r="D642" t="n">
        <v>4</v>
      </c>
      <c r="E642" t="n">
        <v>10</v>
      </c>
      <c r="F642" t="n">
        <v>4</v>
      </c>
      <c r="G642" t="n">
        <v>14</v>
      </c>
      <c r="H642" t="n">
        <v>18</v>
      </c>
    </row>
    <row r="643">
      <c r="A643" t="inlineStr">
        <is>
          <t>No[o]ne</t>
        </is>
      </c>
      <c r="B643" t="inlineStr">
        <is>
          <t>08/22</t>
        </is>
      </c>
      <c r="C643" t="inlineStr">
        <is>
          <t>TY</t>
        </is>
      </c>
      <c r="D643" t="n">
        <v>11</v>
      </c>
      <c r="E643" t="n">
        <v>6</v>
      </c>
      <c r="F643" t="n">
        <v>4</v>
      </c>
      <c r="G643" t="n">
        <v>17</v>
      </c>
      <c r="H643" t="n">
        <v>21</v>
      </c>
    </row>
    <row r="644">
      <c r="A644" t="inlineStr">
        <is>
          <t>No[o]ne</t>
        </is>
      </c>
      <c r="B644" t="inlineStr">
        <is>
          <t>08/21</t>
        </is>
      </c>
      <c r="C644" t="inlineStr">
        <is>
          <t>TS</t>
        </is>
      </c>
      <c r="D644" t="n">
        <v>6</v>
      </c>
      <c r="E644" t="n">
        <v>3</v>
      </c>
      <c r="F644" t="n">
        <v>5</v>
      </c>
      <c r="G644" t="n">
        <v>9</v>
      </c>
      <c r="H644" t="n">
        <v>14</v>
      </c>
    </row>
    <row r="645">
      <c r="A645" t="inlineStr">
        <is>
          <t>No[o]ne</t>
        </is>
      </c>
      <c r="B645" t="inlineStr">
        <is>
          <t>08/20</t>
        </is>
      </c>
      <c r="C645" t="inlineStr">
        <is>
          <t>BB</t>
        </is>
      </c>
      <c r="D645" t="n">
        <v>12</v>
      </c>
      <c r="E645" t="n">
        <v>6</v>
      </c>
      <c r="F645" t="n">
        <v>8</v>
      </c>
      <c r="G645" t="n">
        <v>18</v>
      </c>
      <c r="H645" t="n">
        <v>26</v>
      </c>
    </row>
    <row r="646">
      <c r="A646" t="inlineStr">
        <is>
          <t>No[o]ne</t>
        </is>
      </c>
      <c r="B646" t="inlineStr">
        <is>
          <t>08/15</t>
        </is>
      </c>
      <c r="C646" t="inlineStr">
        <is>
          <t>TS</t>
        </is>
      </c>
      <c r="D646" t="n">
        <v>10</v>
      </c>
      <c r="E646" t="n">
        <v>11</v>
      </c>
      <c r="F646" t="n">
        <v>0</v>
      </c>
      <c r="G646" t="n">
        <v>21</v>
      </c>
      <c r="H646" t="n">
        <v>21</v>
      </c>
    </row>
    <row r="647">
      <c r="A647" t="inlineStr">
        <is>
          <t>Noticed</t>
        </is>
      </c>
      <c r="B647" t="inlineStr">
        <is>
          <t>10/25</t>
        </is>
      </c>
      <c r="C647" t="inlineStr">
        <is>
          <t>BB</t>
        </is>
      </c>
      <c r="D647" t="n">
        <v>2</v>
      </c>
      <c r="E647" t="n">
        <v>5</v>
      </c>
      <c r="F647" t="n">
        <v>0</v>
      </c>
      <c r="G647" t="n">
        <v>7</v>
      </c>
      <c r="H647" t="n">
        <v>7</v>
      </c>
    </row>
    <row r="648">
      <c r="A648" t="inlineStr">
        <is>
          <t>Noticed</t>
        </is>
      </c>
      <c r="B648" t="inlineStr">
        <is>
          <t>10/23</t>
        </is>
      </c>
      <c r="C648" t="inlineStr">
        <is>
          <t>LEGION</t>
        </is>
      </c>
      <c r="D648" t="n">
        <v>9</v>
      </c>
      <c r="E648" t="n">
        <v>7</v>
      </c>
      <c r="F648" t="n">
        <v>0</v>
      </c>
      <c r="G648" t="n">
        <v>16</v>
      </c>
      <c r="H648" t="n">
        <v>16</v>
      </c>
    </row>
    <row r="649">
      <c r="A649" t="inlineStr">
        <is>
          <t>Noticed</t>
        </is>
      </c>
      <c r="B649" t="inlineStr">
        <is>
          <t>10/22</t>
        </is>
      </c>
      <c r="C649" t="inlineStr">
        <is>
          <t>AI</t>
        </is>
      </c>
      <c r="D649" t="n">
        <v>5</v>
      </c>
      <c r="E649" t="n">
        <v>9</v>
      </c>
      <c r="F649" t="n">
        <v>0</v>
      </c>
      <c r="G649" t="n">
        <v>14</v>
      </c>
      <c r="H649" t="n">
        <v>14</v>
      </c>
    </row>
    <row r="650">
      <c r="A650" t="inlineStr">
        <is>
          <t>Noticed</t>
        </is>
      </c>
      <c r="B650" t="inlineStr">
        <is>
          <t>10/11</t>
        </is>
      </c>
      <c r="C650" t="inlineStr">
        <is>
          <t>TS</t>
        </is>
      </c>
      <c r="D650" t="n">
        <v>4</v>
      </c>
      <c r="E650" t="n">
        <v>1</v>
      </c>
      <c r="F650" t="n">
        <v>2</v>
      </c>
      <c r="G650" t="n">
        <v>5</v>
      </c>
      <c r="H650" t="n">
        <v>7</v>
      </c>
    </row>
    <row r="651">
      <c r="A651" t="inlineStr">
        <is>
          <t>Noticed</t>
        </is>
      </c>
      <c r="B651" t="inlineStr">
        <is>
          <t>10/10</t>
        </is>
      </c>
      <c r="C651" t="inlineStr">
        <is>
          <t>AUR</t>
        </is>
      </c>
      <c r="D651" t="n">
        <v>8</v>
      </c>
      <c r="E651" t="n">
        <v>11</v>
      </c>
      <c r="F651" t="n">
        <v>0</v>
      </c>
      <c r="G651" t="n">
        <v>19</v>
      </c>
      <c r="H651" t="n">
        <v>19</v>
      </c>
    </row>
    <row r="652">
      <c r="A652" t="inlineStr">
        <is>
          <t>Noticed</t>
        </is>
      </c>
      <c r="B652" t="inlineStr">
        <is>
          <t>10/09</t>
        </is>
      </c>
      <c r="C652" t="inlineStr">
        <is>
          <t>1WIN</t>
        </is>
      </c>
      <c r="D652" t="n">
        <v>5</v>
      </c>
      <c r="E652" t="n">
        <v>4</v>
      </c>
      <c r="F652" t="n">
        <v>4</v>
      </c>
      <c r="G652" t="n">
        <v>9</v>
      </c>
      <c r="H652" t="n">
        <v>13</v>
      </c>
    </row>
    <row r="653">
      <c r="A653" t="inlineStr">
        <is>
          <t>Noticed</t>
        </is>
      </c>
      <c r="B653" t="inlineStr">
        <is>
          <t>10/08</t>
        </is>
      </c>
      <c r="C653" t="inlineStr">
        <is>
          <t>TY</t>
        </is>
      </c>
      <c r="D653" t="n">
        <v>10</v>
      </c>
      <c r="E653" t="n">
        <v>9</v>
      </c>
      <c r="F653" t="n">
        <v>3</v>
      </c>
      <c r="G653" t="n">
        <v>19</v>
      </c>
      <c r="H653" t="n">
        <v>22</v>
      </c>
    </row>
    <row r="654">
      <c r="A654" t="inlineStr">
        <is>
          <t>Noticed</t>
        </is>
      </c>
      <c r="B654" t="inlineStr">
        <is>
          <t>10/03</t>
        </is>
      </c>
      <c r="C654" t="inlineStr">
        <is>
          <t>AUR</t>
        </is>
      </c>
      <c r="D654" t="n">
        <v>3</v>
      </c>
      <c r="E654" t="n">
        <v>1</v>
      </c>
      <c r="F654" t="n">
        <v>0</v>
      </c>
      <c r="G654" t="n">
        <v>4</v>
      </c>
      <c r="H654" t="n">
        <v>4</v>
      </c>
    </row>
    <row r="655">
      <c r="A655" t="inlineStr">
        <is>
          <t>Noticed</t>
        </is>
      </c>
      <c r="B655" t="inlineStr">
        <is>
          <t>09/30</t>
        </is>
      </c>
      <c r="C655" t="inlineStr">
        <is>
          <t>LGD</t>
        </is>
      </c>
      <c r="D655" t="n">
        <v>6</v>
      </c>
      <c r="E655" t="n">
        <v>4</v>
      </c>
      <c r="F655" t="n">
        <v>0</v>
      </c>
      <c r="G655" t="n">
        <v>10</v>
      </c>
      <c r="H655" t="n">
        <v>10</v>
      </c>
    </row>
    <row r="656">
      <c r="A656" t="inlineStr">
        <is>
          <t>Noticed</t>
        </is>
      </c>
      <c r="B656" t="inlineStr">
        <is>
          <t>09/29</t>
        </is>
      </c>
      <c r="C656" t="inlineStr">
        <is>
          <t>LVLUP</t>
        </is>
      </c>
      <c r="D656" t="n">
        <v>3</v>
      </c>
      <c r="E656" t="n">
        <v>4</v>
      </c>
      <c r="F656" t="n">
        <v>0</v>
      </c>
      <c r="G656" t="n">
        <v>7</v>
      </c>
      <c r="H656" t="n">
        <v>7</v>
      </c>
    </row>
    <row r="657">
      <c r="A657" t="inlineStr">
        <is>
          <t>Noticed</t>
        </is>
      </c>
      <c r="B657" t="inlineStr">
        <is>
          <t>09/15</t>
        </is>
      </c>
      <c r="C657" t="inlineStr">
        <is>
          <t>NS Club</t>
        </is>
      </c>
      <c r="D657" t="n">
        <v>8</v>
      </c>
      <c r="E657" t="n">
        <v>6</v>
      </c>
      <c r="F657" t="n">
        <v>13</v>
      </c>
      <c r="G657" t="n">
        <v>14</v>
      </c>
      <c r="H657" t="n">
        <v>27</v>
      </c>
    </row>
    <row r="658">
      <c r="A658" t="inlineStr">
        <is>
          <t>Noticed</t>
        </is>
      </c>
      <c r="B658" t="inlineStr">
        <is>
          <t>09/13</t>
        </is>
      </c>
      <c r="C658" t="inlineStr">
        <is>
          <t>Stariy Bog Club</t>
        </is>
      </c>
      <c r="D658" t="n">
        <v>11</v>
      </c>
      <c r="E658" t="n">
        <v>8</v>
      </c>
      <c r="F658" t="n">
        <v>4</v>
      </c>
      <c r="G658" t="n">
        <v>19</v>
      </c>
      <c r="H658" t="n">
        <v>23</v>
      </c>
    </row>
    <row r="659">
      <c r="A659" t="inlineStr">
        <is>
          <t>Noticed</t>
        </is>
      </c>
      <c r="B659" t="inlineStr">
        <is>
          <t>09/11</t>
        </is>
      </c>
      <c r="C659" t="inlineStr">
        <is>
          <t>VooDooSh Club</t>
        </is>
      </c>
      <c r="D659" t="n">
        <v>3</v>
      </c>
      <c r="E659" t="n">
        <v>6</v>
      </c>
      <c r="F659" t="n">
        <v>0</v>
      </c>
      <c r="G659" t="n">
        <v>9</v>
      </c>
      <c r="H659" t="n">
        <v>9</v>
      </c>
    </row>
    <row r="660">
      <c r="A660" t="inlineStr">
        <is>
          <t>Noticed</t>
        </is>
      </c>
      <c r="B660" t="inlineStr">
        <is>
          <t>09/10</t>
        </is>
      </c>
      <c r="C660" t="inlineStr">
        <is>
          <t>Daxak Club</t>
        </is>
      </c>
      <c r="D660" t="n">
        <v>14</v>
      </c>
      <c r="E660" t="n">
        <v>14</v>
      </c>
      <c r="F660" t="n">
        <v>0</v>
      </c>
      <c r="G660" t="n">
        <v>28</v>
      </c>
      <c r="H660" t="n">
        <v>28</v>
      </c>
    </row>
    <row r="661">
      <c r="A661" t="inlineStr">
        <is>
          <t>Noticed</t>
        </is>
      </c>
      <c r="B661" t="inlineStr">
        <is>
          <t>08/23</t>
        </is>
      </c>
      <c r="C661" t="inlineStr">
        <is>
          <t>TS</t>
        </is>
      </c>
      <c r="D661" t="n">
        <v>2</v>
      </c>
      <c r="E661" t="n">
        <v>14</v>
      </c>
      <c r="F661" t="n">
        <v>4</v>
      </c>
      <c r="G661" t="n">
        <v>16</v>
      </c>
      <c r="H661" t="n">
        <v>20</v>
      </c>
    </row>
    <row r="662">
      <c r="A662" t="inlineStr">
        <is>
          <t>Satanic</t>
        </is>
      </c>
      <c r="B662" t="inlineStr">
        <is>
          <t>10/25</t>
        </is>
      </c>
      <c r="C662" t="inlineStr">
        <is>
          <t>BB</t>
        </is>
      </c>
      <c r="D662" t="n">
        <v>6</v>
      </c>
      <c r="E662" t="n">
        <v>12</v>
      </c>
      <c r="F662" t="n">
        <v>0</v>
      </c>
      <c r="G662" t="n">
        <v>18</v>
      </c>
      <c r="H662" t="n">
        <v>18</v>
      </c>
    </row>
    <row r="663">
      <c r="A663" t="inlineStr">
        <is>
          <t>Satanic</t>
        </is>
      </c>
      <c r="B663" t="inlineStr">
        <is>
          <t>10/23</t>
        </is>
      </c>
      <c r="C663" t="inlineStr">
        <is>
          <t>LEGION</t>
        </is>
      </c>
      <c r="D663" t="n">
        <v>9</v>
      </c>
      <c r="E663" t="n">
        <v>11</v>
      </c>
      <c r="F663" t="n">
        <v>0</v>
      </c>
      <c r="G663" t="n">
        <v>20</v>
      </c>
      <c r="H663" t="n">
        <v>20</v>
      </c>
    </row>
    <row r="664">
      <c r="A664" t="inlineStr">
        <is>
          <t>Satanic</t>
        </is>
      </c>
      <c r="B664" t="inlineStr">
        <is>
          <t>10/22</t>
        </is>
      </c>
      <c r="C664" t="inlineStr">
        <is>
          <t>AI</t>
        </is>
      </c>
      <c r="D664" t="n">
        <v>11</v>
      </c>
      <c r="E664" t="n">
        <v>15</v>
      </c>
      <c r="F664" t="n">
        <v>0</v>
      </c>
      <c r="G664" t="n">
        <v>26</v>
      </c>
      <c r="H664" t="n">
        <v>26</v>
      </c>
    </row>
    <row r="665">
      <c r="A665" t="inlineStr">
        <is>
          <t>Satanic</t>
        </is>
      </c>
      <c r="B665" t="inlineStr">
        <is>
          <t>10/11</t>
        </is>
      </c>
      <c r="C665" t="inlineStr">
        <is>
          <t>TS</t>
        </is>
      </c>
      <c r="D665" t="n">
        <v>9</v>
      </c>
      <c r="E665" t="n">
        <v>3</v>
      </c>
      <c r="F665" t="n">
        <v>6</v>
      </c>
      <c r="G665" t="n">
        <v>12</v>
      </c>
      <c r="H665" t="n">
        <v>18</v>
      </c>
    </row>
    <row r="666">
      <c r="A666" t="inlineStr">
        <is>
          <t>Satanic</t>
        </is>
      </c>
      <c r="B666" t="inlineStr">
        <is>
          <t>10/10</t>
        </is>
      </c>
      <c r="C666" t="inlineStr">
        <is>
          <t>AUR</t>
        </is>
      </c>
      <c r="D666" t="n">
        <v>24</v>
      </c>
      <c r="E666" t="n">
        <v>16</v>
      </c>
      <c r="F666" t="n">
        <v>0</v>
      </c>
      <c r="G666" t="n">
        <v>40</v>
      </c>
      <c r="H666" t="n">
        <v>40</v>
      </c>
    </row>
    <row r="667">
      <c r="A667" t="inlineStr">
        <is>
          <t>Satanic</t>
        </is>
      </c>
      <c r="B667" t="inlineStr">
        <is>
          <t>10/09</t>
        </is>
      </c>
      <c r="C667" t="inlineStr">
        <is>
          <t>1WIN</t>
        </is>
      </c>
      <c r="D667" t="n">
        <v>4</v>
      </c>
      <c r="E667" t="n">
        <v>22</v>
      </c>
      <c r="F667" t="n">
        <v>24</v>
      </c>
      <c r="G667" t="n">
        <v>26</v>
      </c>
      <c r="H667" t="n">
        <v>50</v>
      </c>
    </row>
    <row r="668">
      <c r="A668" t="inlineStr">
        <is>
          <t>Satanic</t>
        </is>
      </c>
      <c r="B668" t="inlineStr">
        <is>
          <t>10/08</t>
        </is>
      </c>
      <c r="C668" t="inlineStr">
        <is>
          <t>TY</t>
        </is>
      </c>
      <c r="D668" t="n">
        <v>6</v>
      </c>
      <c r="E668" t="n">
        <v>6</v>
      </c>
      <c r="F668" t="n">
        <v>7</v>
      </c>
      <c r="G668" t="n">
        <v>12</v>
      </c>
      <c r="H668" t="n">
        <v>19</v>
      </c>
    </row>
    <row r="669">
      <c r="A669" t="inlineStr">
        <is>
          <t>Satanic</t>
        </is>
      </c>
      <c r="B669" t="inlineStr">
        <is>
          <t>10/03</t>
        </is>
      </c>
      <c r="C669" t="inlineStr">
        <is>
          <t>AUR</t>
        </is>
      </c>
      <c r="D669" t="n">
        <v>12</v>
      </c>
      <c r="E669" t="n">
        <v>12</v>
      </c>
      <c r="F669" t="n">
        <v>0</v>
      </c>
      <c r="G669" t="n">
        <v>24</v>
      </c>
      <c r="H669" t="n">
        <v>24</v>
      </c>
    </row>
    <row r="670">
      <c r="A670" t="inlineStr">
        <is>
          <t>Satanic</t>
        </is>
      </c>
      <c r="B670" t="inlineStr">
        <is>
          <t>09/30</t>
        </is>
      </c>
      <c r="C670" t="inlineStr">
        <is>
          <t>LGD</t>
        </is>
      </c>
      <c r="D670" t="n">
        <v>9</v>
      </c>
      <c r="E670" t="n">
        <v>11</v>
      </c>
      <c r="F670" t="n">
        <v>0</v>
      </c>
      <c r="G670" t="n">
        <v>20</v>
      </c>
      <c r="H670" t="n">
        <v>20</v>
      </c>
    </row>
    <row r="671">
      <c r="A671" t="inlineStr">
        <is>
          <t>Satanic</t>
        </is>
      </c>
      <c r="B671" t="inlineStr">
        <is>
          <t>09/29</t>
        </is>
      </c>
      <c r="C671" t="inlineStr">
        <is>
          <t>LVLUP</t>
        </is>
      </c>
      <c r="D671" t="n">
        <v>15</v>
      </c>
      <c r="E671" t="n">
        <v>3</v>
      </c>
      <c r="F671" t="n">
        <v>0</v>
      </c>
      <c r="G671" t="n">
        <v>18</v>
      </c>
      <c r="H671" t="n">
        <v>18</v>
      </c>
    </row>
    <row r="672">
      <c r="A672" t="inlineStr">
        <is>
          <t>Satanic</t>
        </is>
      </c>
      <c r="B672" t="inlineStr">
        <is>
          <t>09/19</t>
        </is>
      </c>
      <c r="C672" t="inlineStr">
        <is>
          <t>Daxak Club</t>
        </is>
      </c>
      <c r="D672" t="n">
        <v>12</v>
      </c>
      <c r="E672" t="n">
        <v>11</v>
      </c>
      <c r="F672" t="n">
        <v>10</v>
      </c>
      <c r="G672" t="n">
        <v>23</v>
      </c>
      <c r="H672" t="n">
        <v>33</v>
      </c>
    </row>
    <row r="673">
      <c r="A673" t="inlineStr">
        <is>
          <t>Satanic</t>
        </is>
      </c>
      <c r="B673" t="inlineStr">
        <is>
          <t>09/19</t>
        </is>
      </c>
      <c r="C673" t="inlineStr">
        <is>
          <t>VooDooSh Club</t>
        </is>
      </c>
      <c r="D673" t="n">
        <v>4</v>
      </c>
      <c r="E673" t="n">
        <v>13</v>
      </c>
      <c r="F673" t="n">
        <v>22</v>
      </c>
      <c r="G673" t="n">
        <v>17</v>
      </c>
      <c r="H673" t="n">
        <v>39</v>
      </c>
    </row>
    <row r="674">
      <c r="A674" t="inlineStr">
        <is>
          <t>Satanic</t>
        </is>
      </c>
      <c r="B674" t="inlineStr">
        <is>
          <t>09/18</t>
        </is>
      </c>
      <c r="C674" t="inlineStr">
        <is>
          <t>Daxak Club</t>
        </is>
      </c>
      <c r="D674" t="n">
        <v>8</v>
      </c>
      <c r="E674" t="n">
        <v>11</v>
      </c>
      <c r="F674" t="n">
        <v>0</v>
      </c>
      <c r="G674" t="n">
        <v>19</v>
      </c>
      <c r="H674" t="n">
        <v>19</v>
      </c>
    </row>
    <row r="675">
      <c r="A675" t="inlineStr">
        <is>
          <t>Satanic</t>
        </is>
      </c>
      <c r="B675" t="inlineStr">
        <is>
          <t>09/17</t>
        </is>
      </c>
      <c r="C675" t="inlineStr">
        <is>
          <t>Rostikfacekid Club</t>
        </is>
      </c>
      <c r="D675" t="n">
        <v>10</v>
      </c>
      <c r="E675" t="n">
        <v>25</v>
      </c>
      <c r="F675" t="n">
        <v>10</v>
      </c>
      <c r="G675" t="n">
        <v>35</v>
      </c>
      <c r="H675" t="n">
        <v>45</v>
      </c>
    </row>
    <row r="676">
      <c r="A676" t="inlineStr">
        <is>
          <t>Satanic</t>
        </is>
      </c>
      <c r="B676" t="inlineStr">
        <is>
          <t>09/14</t>
        </is>
      </c>
      <c r="C676" t="inlineStr">
        <is>
          <t>NS Club</t>
        </is>
      </c>
      <c r="D676" t="n">
        <v>11</v>
      </c>
      <c r="E676" t="n">
        <v>14</v>
      </c>
      <c r="F676" t="n">
        <v>0</v>
      </c>
      <c r="G676" t="n">
        <v>25</v>
      </c>
      <c r="H676" t="n">
        <v>25</v>
      </c>
    </row>
    <row r="677">
      <c r="A677" t="inlineStr">
        <is>
          <t>Faker</t>
        </is>
      </c>
      <c r="B677" t="inlineStr">
        <is>
          <t>10/24</t>
        </is>
      </c>
      <c r="C677" t="inlineStr">
        <is>
          <t>DK</t>
        </is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</row>
    <row r="678">
      <c r="A678" t="inlineStr">
        <is>
          <t>Faker</t>
        </is>
      </c>
      <c r="B678" t="inlineStr">
        <is>
          <t>10/23</t>
        </is>
      </c>
      <c r="C678" t="inlineStr">
        <is>
          <t>LOS</t>
        </is>
      </c>
      <c r="D678" t="n">
        <v>6</v>
      </c>
      <c r="E678" t="n">
        <v>0</v>
      </c>
      <c r="F678" t="n">
        <v>0</v>
      </c>
      <c r="G678" t="n">
        <v>6</v>
      </c>
      <c r="H678" t="n">
        <v>6</v>
      </c>
    </row>
    <row r="679">
      <c r="A679" t="inlineStr">
        <is>
          <t>Faker</t>
        </is>
      </c>
      <c r="B679" t="inlineStr">
        <is>
          <t>09/12</t>
        </is>
      </c>
      <c r="C679" t="inlineStr">
        <is>
          <t>HLE</t>
        </is>
      </c>
      <c r="D679" t="n">
        <v>2</v>
      </c>
      <c r="E679" t="n">
        <v>2</v>
      </c>
      <c r="F679" t="n">
        <v>10</v>
      </c>
      <c r="G679" t="n">
        <v>4</v>
      </c>
      <c r="H679" t="n">
        <v>14</v>
      </c>
    </row>
    <row r="680">
      <c r="A680" t="inlineStr">
        <is>
          <t>Faker</t>
        </is>
      </c>
      <c r="B680" t="inlineStr">
        <is>
          <t>09/06</t>
        </is>
      </c>
      <c r="C680" t="inlineStr">
        <is>
          <t>DK</t>
        </is>
      </c>
      <c r="D680" t="n">
        <v>2</v>
      </c>
      <c r="E680" t="n">
        <v>1</v>
      </c>
      <c r="F680" t="n">
        <v>11</v>
      </c>
      <c r="G680" t="n">
        <v>3</v>
      </c>
      <c r="H680" t="n">
        <v>14</v>
      </c>
    </row>
    <row r="681">
      <c r="A681" t="inlineStr">
        <is>
          <t>Faker</t>
        </is>
      </c>
      <c r="B681" t="inlineStr">
        <is>
          <t>09/02</t>
        </is>
      </c>
      <c r="C681" t="inlineStr">
        <is>
          <t>HLE</t>
        </is>
      </c>
      <c r="D681" t="n">
        <v>0</v>
      </c>
      <c r="E681" t="n">
        <v>7</v>
      </c>
      <c r="F681" t="n">
        <v>2</v>
      </c>
      <c r="G681" t="n">
        <v>7</v>
      </c>
      <c r="H681" t="n">
        <v>9</v>
      </c>
    </row>
    <row r="682">
      <c r="A682" t="inlineStr">
        <is>
          <t>Faker</t>
        </is>
      </c>
      <c r="B682" t="inlineStr">
        <is>
          <t>08/29</t>
        </is>
      </c>
      <c r="C682" t="inlineStr">
        <is>
          <t>BFX</t>
        </is>
      </c>
      <c r="D682" t="n">
        <v>2</v>
      </c>
      <c r="E682" t="n">
        <v>2</v>
      </c>
      <c r="F682" t="n">
        <v>0</v>
      </c>
      <c r="G682" t="n">
        <v>4</v>
      </c>
      <c r="H682" t="n">
        <v>4</v>
      </c>
    </row>
    <row r="683">
      <c r="A683" t="inlineStr">
        <is>
          <t>Faker</t>
        </is>
      </c>
      <c r="B683" t="inlineStr">
        <is>
          <t>08/23</t>
        </is>
      </c>
      <c r="C683" t="inlineStr">
        <is>
          <t>HLE</t>
        </is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</row>
    <row r="684">
      <c r="A684" t="inlineStr">
        <is>
          <t>Faker</t>
        </is>
      </c>
      <c r="B684" t="inlineStr">
        <is>
          <t>08/21</t>
        </is>
      </c>
      <c r="C684" t="inlineStr">
        <is>
          <t>KT</t>
        </is>
      </c>
      <c r="D684" t="n">
        <v>3</v>
      </c>
      <c r="E684" t="n">
        <v>5</v>
      </c>
      <c r="F684" t="n">
        <v>1</v>
      </c>
      <c r="G684" t="n">
        <v>8</v>
      </c>
      <c r="H684" t="n">
        <v>9</v>
      </c>
    </row>
    <row r="685">
      <c r="A685" t="inlineStr">
        <is>
          <t>Faker</t>
        </is>
      </c>
      <c r="B685" t="inlineStr">
        <is>
          <t>08/16</t>
        </is>
      </c>
      <c r="C685" t="inlineStr">
        <is>
          <t>GEN</t>
        </is>
      </c>
      <c r="D685" t="n">
        <v>1</v>
      </c>
      <c r="E685" t="n">
        <v>1</v>
      </c>
      <c r="F685" t="n">
        <v>0</v>
      </c>
      <c r="G685" t="n">
        <v>2</v>
      </c>
      <c r="H685" t="n">
        <v>2</v>
      </c>
    </row>
    <row r="686">
      <c r="A686" t="inlineStr">
        <is>
          <t>Faker</t>
        </is>
      </c>
      <c r="B686" t="inlineStr">
        <is>
          <t>08/14</t>
        </is>
      </c>
      <c r="C686" t="inlineStr">
        <is>
          <t>DK</t>
        </is>
      </c>
      <c r="D686" t="n">
        <v>11</v>
      </c>
      <c r="E686" t="n">
        <v>4</v>
      </c>
      <c r="F686" t="n">
        <v>1</v>
      </c>
      <c r="G686" t="n">
        <v>15</v>
      </c>
      <c r="H686" t="n">
        <v>16</v>
      </c>
    </row>
    <row r="687">
      <c r="A687" t="inlineStr">
        <is>
          <t>Faker</t>
        </is>
      </c>
      <c r="B687" t="inlineStr">
        <is>
          <t>08/08</t>
        </is>
      </c>
      <c r="C687" t="inlineStr">
        <is>
          <t>HLE</t>
        </is>
      </c>
      <c r="D687" t="n">
        <v>4</v>
      </c>
      <c r="E687" t="n">
        <v>4</v>
      </c>
      <c r="F687" t="n">
        <v>1</v>
      </c>
      <c r="G687" t="n">
        <v>8</v>
      </c>
      <c r="H687" t="n">
        <v>9</v>
      </c>
    </row>
    <row r="688">
      <c r="A688" t="inlineStr">
        <is>
          <t>Faker</t>
        </is>
      </c>
      <c r="B688" t="inlineStr">
        <is>
          <t>08/06</t>
        </is>
      </c>
      <c r="C688" t="inlineStr">
        <is>
          <t>DK</t>
        </is>
      </c>
      <c r="D688" t="n">
        <v>6</v>
      </c>
      <c r="E688" t="n">
        <v>1</v>
      </c>
      <c r="F688" t="n">
        <v>0</v>
      </c>
      <c r="G688" t="n">
        <v>7</v>
      </c>
      <c r="H688" t="n">
        <v>7</v>
      </c>
    </row>
    <row r="689">
      <c r="A689" t="inlineStr">
        <is>
          <t>Faker</t>
        </is>
      </c>
      <c r="B689" t="inlineStr">
        <is>
          <t>08/04</t>
        </is>
      </c>
      <c r="C689" t="inlineStr">
        <is>
          <t>HLE</t>
        </is>
      </c>
      <c r="D689" t="n">
        <v>5</v>
      </c>
      <c r="E689" t="n">
        <v>8</v>
      </c>
      <c r="F689" t="n">
        <v>1</v>
      </c>
      <c r="G689" t="n">
        <v>13</v>
      </c>
      <c r="H689" t="n">
        <v>14</v>
      </c>
    </row>
    <row r="690">
      <c r="A690" t="inlineStr">
        <is>
          <t>Faker</t>
        </is>
      </c>
      <c r="B690" t="inlineStr">
        <is>
          <t>07/31</t>
        </is>
      </c>
      <c r="C690" t="inlineStr">
        <is>
          <t>GEN</t>
        </is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</row>
    <row r="691">
      <c r="A691" t="inlineStr">
        <is>
          <t>Faker</t>
        </is>
      </c>
      <c r="B691" t="inlineStr">
        <is>
          <t>07/29</t>
        </is>
      </c>
      <c r="C691" t="inlineStr">
        <is>
          <t>KT</t>
        </is>
      </c>
      <c r="D691" t="n">
        <v>6</v>
      </c>
      <c r="E691" t="n">
        <v>1</v>
      </c>
      <c r="F691" t="n">
        <v>0</v>
      </c>
      <c r="G691" t="n">
        <v>7</v>
      </c>
      <c r="H691" t="n">
        <v>7</v>
      </c>
    </row>
    <row r="692">
      <c r="A692" t="inlineStr">
        <is>
          <t>Oner</t>
        </is>
      </c>
      <c r="B692" t="inlineStr">
        <is>
          <t>10/24</t>
        </is>
      </c>
      <c r="C692" t="inlineStr">
        <is>
          <t>DK</t>
        </is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</row>
    <row r="693">
      <c r="A693" t="inlineStr">
        <is>
          <t>Oner</t>
        </is>
      </c>
      <c r="B693" t="inlineStr">
        <is>
          <t>10/23</t>
        </is>
      </c>
      <c r="C693" t="inlineStr">
        <is>
          <t>LOS</t>
        </is>
      </c>
      <c r="D693" t="n">
        <v>8</v>
      </c>
      <c r="E693" t="n">
        <v>0</v>
      </c>
      <c r="F693" t="n">
        <v>0</v>
      </c>
      <c r="G693" t="n">
        <v>8</v>
      </c>
      <c r="H693" t="n">
        <v>8</v>
      </c>
    </row>
    <row r="694">
      <c r="A694" t="inlineStr">
        <is>
          <t>Oner</t>
        </is>
      </c>
      <c r="B694" t="inlineStr">
        <is>
          <t>09/12</t>
        </is>
      </c>
      <c r="C694" t="inlineStr">
        <is>
          <t>HLE</t>
        </is>
      </c>
      <c r="D694" t="n">
        <v>4</v>
      </c>
      <c r="E694" t="n">
        <v>4</v>
      </c>
      <c r="F694" t="n">
        <v>0</v>
      </c>
      <c r="G694" t="n">
        <v>8</v>
      </c>
      <c r="H694" t="n">
        <v>8</v>
      </c>
    </row>
    <row r="695">
      <c r="A695" t="inlineStr">
        <is>
          <t>Oner</t>
        </is>
      </c>
      <c r="B695" t="inlineStr">
        <is>
          <t>09/06</t>
        </is>
      </c>
      <c r="C695" t="inlineStr">
        <is>
          <t>DK</t>
        </is>
      </c>
      <c r="D695" t="n">
        <v>2</v>
      </c>
      <c r="E695" t="n">
        <v>3</v>
      </c>
      <c r="F695" t="n">
        <v>1</v>
      </c>
      <c r="G695" t="n">
        <v>5</v>
      </c>
      <c r="H695" t="n">
        <v>6</v>
      </c>
    </row>
    <row r="696">
      <c r="A696" t="inlineStr">
        <is>
          <t>Oner</t>
        </is>
      </c>
      <c r="B696" t="inlineStr">
        <is>
          <t>09/02</t>
        </is>
      </c>
      <c r="C696" t="inlineStr">
        <is>
          <t>HLE</t>
        </is>
      </c>
      <c r="D696" t="n">
        <v>6</v>
      </c>
      <c r="E696" t="n">
        <v>5</v>
      </c>
      <c r="F696" t="n">
        <v>1</v>
      </c>
      <c r="G696" t="n">
        <v>11</v>
      </c>
      <c r="H696" t="n">
        <v>12</v>
      </c>
    </row>
    <row r="697">
      <c r="A697" t="inlineStr">
        <is>
          <t>Oner</t>
        </is>
      </c>
      <c r="B697" t="inlineStr">
        <is>
          <t>08/29</t>
        </is>
      </c>
      <c r="C697" t="inlineStr">
        <is>
          <t>BFX</t>
        </is>
      </c>
      <c r="D697" t="n">
        <v>6</v>
      </c>
      <c r="E697" t="n">
        <v>1</v>
      </c>
      <c r="F697" t="n">
        <v>5</v>
      </c>
      <c r="G697" t="n">
        <v>7</v>
      </c>
      <c r="H697" t="n">
        <v>12</v>
      </c>
    </row>
    <row r="698">
      <c r="A698" t="inlineStr">
        <is>
          <t>Oner</t>
        </is>
      </c>
      <c r="B698" t="inlineStr">
        <is>
          <t>08/23</t>
        </is>
      </c>
      <c r="C698" t="inlineStr">
        <is>
          <t>HLE</t>
        </is>
      </c>
      <c r="D698" t="n">
        <v>2</v>
      </c>
      <c r="E698" t="n">
        <v>1</v>
      </c>
      <c r="F698" t="n">
        <v>0</v>
      </c>
      <c r="G698" t="n">
        <v>3</v>
      </c>
      <c r="H698" t="n">
        <v>3</v>
      </c>
    </row>
    <row r="699">
      <c r="A699" t="inlineStr">
        <is>
          <t>Oner</t>
        </is>
      </c>
      <c r="B699" t="inlineStr">
        <is>
          <t>08/21</t>
        </is>
      </c>
      <c r="C699" t="inlineStr">
        <is>
          <t>KT</t>
        </is>
      </c>
      <c r="D699" t="n">
        <v>0</v>
      </c>
      <c r="E699" t="n">
        <v>1</v>
      </c>
      <c r="F699" t="n">
        <v>1</v>
      </c>
      <c r="G699" t="n">
        <v>1</v>
      </c>
      <c r="H699" t="n">
        <v>2</v>
      </c>
    </row>
    <row r="700">
      <c r="A700" t="inlineStr">
        <is>
          <t>Oner</t>
        </is>
      </c>
      <c r="B700" t="inlineStr">
        <is>
          <t>08/16</t>
        </is>
      </c>
      <c r="C700" t="inlineStr">
        <is>
          <t>GEN</t>
        </is>
      </c>
      <c r="D700" t="n">
        <v>3</v>
      </c>
      <c r="E700" t="n">
        <v>0</v>
      </c>
      <c r="F700" t="n">
        <v>0</v>
      </c>
      <c r="G700" t="n">
        <v>3</v>
      </c>
      <c r="H700" t="n">
        <v>3</v>
      </c>
    </row>
    <row r="701">
      <c r="A701" t="inlineStr">
        <is>
          <t>Oner</t>
        </is>
      </c>
      <c r="B701" t="inlineStr">
        <is>
          <t>08/14</t>
        </is>
      </c>
      <c r="C701" t="inlineStr">
        <is>
          <t>DK</t>
        </is>
      </c>
      <c r="D701" t="n">
        <v>4</v>
      </c>
      <c r="E701" t="n">
        <v>3</v>
      </c>
      <c r="F701" t="n">
        <v>2</v>
      </c>
      <c r="G701" t="n">
        <v>7</v>
      </c>
      <c r="H701" t="n">
        <v>9</v>
      </c>
    </row>
    <row r="702">
      <c r="A702" t="inlineStr">
        <is>
          <t>Oner</t>
        </is>
      </c>
      <c r="B702" t="inlineStr">
        <is>
          <t>08/06</t>
        </is>
      </c>
      <c r="C702" t="inlineStr">
        <is>
          <t>DK</t>
        </is>
      </c>
      <c r="D702" t="n">
        <v>2</v>
      </c>
      <c r="E702" t="n">
        <v>1</v>
      </c>
      <c r="F702" t="n">
        <v>0</v>
      </c>
      <c r="G702" t="n">
        <v>3</v>
      </c>
      <c r="H702" t="n">
        <v>3</v>
      </c>
    </row>
    <row r="703">
      <c r="A703" t="inlineStr">
        <is>
          <t>Oner</t>
        </is>
      </c>
      <c r="B703" t="inlineStr">
        <is>
          <t>08/04</t>
        </is>
      </c>
      <c r="C703" t="inlineStr">
        <is>
          <t>HLE</t>
        </is>
      </c>
      <c r="D703" t="n">
        <v>4</v>
      </c>
      <c r="E703" t="n">
        <v>5</v>
      </c>
      <c r="F703" t="n">
        <v>8</v>
      </c>
      <c r="G703" t="n">
        <v>9</v>
      </c>
      <c r="H703" t="n">
        <v>17</v>
      </c>
    </row>
    <row r="704">
      <c r="A704" t="inlineStr">
        <is>
          <t>Oner</t>
        </is>
      </c>
      <c r="B704" t="inlineStr">
        <is>
          <t>07/31</t>
        </is>
      </c>
      <c r="C704" t="inlineStr">
        <is>
          <t>GEN</t>
        </is>
      </c>
      <c r="D704" t="n">
        <v>4</v>
      </c>
      <c r="E704" t="n">
        <v>2</v>
      </c>
      <c r="F704" t="n">
        <v>0</v>
      </c>
      <c r="G704" t="n">
        <v>6</v>
      </c>
      <c r="H704" t="n">
        <v>6</v>
      </c>
    </row>
    <row r="705">
      <c r="A705" t="inlineStr">
        <is>
          <t>Oner</t>
        </is>
      </c>
      <c r="B705" t="inlineStr">
        <is>
          <t>07/29</t>
        </is>
      </c>
      <c r="C705" t="inlineStr">
        <is>
          <t>KT</t>
        </is>
      </c>
      <c r="D705" t="n">
        <v>4</v>
      </c>
      <c r="E705" t="n">
        <v>2</v>
      </c>
      <c r="F705" t="n">
        <v>0</v>
      </c>
      <c r="G705" t="n">
        <v>6</v>
      </c>
      <c r="H705" t="n">
        <v>6</v>
      </c>
    </row>
    <row r="706">
      <c r="A706" t="inlineStr">
        <is>
          <t>Oner</t>
        </is>
      </c>
      <c r="B706" t="inlineStr">
        <is>
          <t>07/27</t>
        </is>
      </c>
      <c r="C706" t="inlineStr">
        <is>
          <t>NS</t>
        </is>
      </c>
      <c r="D706" t="n">
        <v>11</v>
      </c>
      <c r="E706" t="n">
        <v>0</v>
      </c>
      <c r="F706" t="n">
        <v>0</v>
      </c>
      <c r="G706" t="n">
        <v>11</v>
      </c>
      <c r="H706" t="n">
        <v>11</v>
      </c>
    </row>
    <row r="707">
      <c r="A707" t="inlineStr">
        <is>
          <t>Peyz</t>
        </is>
      </c>
      <c r="B707" t="inlineStr">
        <is>
          <t>10/24</t>
        </is>
      </c>
      <c r="C707" t="inlineStr">
        <is>
          <t>DK</t>
        </is>
      </c>
      <c r="D707" t="n">
        <v>4</v>
      </c>
      <c r="E707" t="n">
        <v>0</v>
      </c>
      <c r="F707" t="n">
        <v>0</v>
      </c>
      <c r="G707" t="n">
        <v>4</v>
      </c>
      <c r="H707" t="n">
        <v>4</v>
      </c>
    </row>
    <row r="708">
      <c r="A708" t="inlineStr">
        <is>
          <t>Peyz</t>
        </is>
      </c>
      <c r="B708" t="inlineStr">
        <is>
          <t>10/23</t>
        </is>
      </c>
      <c r="C708" t="inlineStr">
        <is>
          <t>LOS</t>
        </is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</row>
    <row r="709">
      <c r="A709" t="inlineStr">
        <is>
          <t>Peyz</t>
        </is>
      </c>
      <c r="B709" t="inlineStr">
        <is>
          <t>09/12</t>
        </is>
      </c>
      <c r="C709" t="inlineStr">
        <is>
          <t>HLE</t>
        </is>
      </c>
      <c r="D709" t="n">
        <v>5</v>
      </c>
      <c r="E709" t="n">
        <v>3</v>
      </c>
      <c r="F709" t="n">
        <v>9</v>
      </c>
      <c r="G709" t="n">
        <v>8</v>
      </c>
      <c r="H709" t="n">
        <v>17</v>
      </c>
    </row>
    <row r="710">
      <c r="A710" t="inlineStr">
        <is>
          <t>Peyz</t>
        </is>
      </c>
      <c r="B710" t="inlineStr">
        <is>
          <t>09/06</t>
        </is>
      </c>
      <c r="C710" t="inlineStr">
        <is>
          <t>DK</t>
        </is>
      </c>
      <c r="D710" t="n">
        <v>8</v>
      </c>
      <c r="E710" t="n">
        <v>5</v>
      </c>
      <c r="F710" t="n">
        <v>12</v>
      </c>
      <c r="G710" t="n">
        <v>13</v>
      </c>
      <c r="H710" t="n">
        <v>25</v>
      </c>
    </row>
    <row r="711">
      <c r="A711" t="inlineStr">
        <is>
          <t>Peyz</t>
        </is>
      </c>
      <c r="B711" t="inlineStr">
        <is>
          <t>09/02</t>
        </is>
      </c>
      <c r="C711" t="inlineStr">
        <is>
          <t>HLE</t>
        </is>
      </c>
      <c r="D711" t="n">
        <v>14</v>
      </c>
      <c r="E711" t="n">
        <v>11</v>
      </c>
      <c r="F711" t="n">
        <v>4</v>
      </c>
      <c r="G711" t="n">
        <v>25</v>
      </c>
      <c r="H711" t="n">
        <v>29</v>
      </c>
    </row>
    <row r="712">
      <c r="A712" t="inlineStr">
        <is>
          <t>Peyz</t>
        </is>
      </c>
      <c r="B712" t="inlineStr">
        <is>
          <t>08/29</t>
        </is>
      </c>
      <c r="C712" t="inlineStr">
        <is>
          <t>BFX</t>
        </is>
      </c>
      <c r="D712" t="n">
        <v>11</v>
      </c>
      <c r="E712" t="n">
        <v>1</v>
      </c>
      <c r="F712" t="n">
        <v>0</v>
      </c>
      <c r="G712" t="n">
        <v>12</v>
      </c>
      <c r="H712" t="n">
        <v>12</v>
      </c>
    </row>
    <row r="713">
      <c r="A713" t="inlineStr">
        <is>
          <t>Peyz</t>
        </is>
      </c>
      <c r="B713" t="inlineStr">
        <is>
          <t>08/23</t>
        </is>
      </c>
      <c r="C713" t="inlineStr">
        <is>
          <t>HLE</t>
        </is>
      </c>
      <c r="D713" t="n">
        <v>1</v>
      </c>
      <c r="E713" t="n">
        <v>4</v>
      </c>
      <c r="F713" t="n">
        <v>0</v>
      </c>
      <c r="G713" t="n">
        <v>5</v>
      </c>
      <c r="H713" t="n">
        <v>5</v>
      </c>
    </row>
    <row r="714">
      <c r="A714" t="inlineStr">
        <is>
          <t>Peyz</t>
        </is>
      </c>
      <c r="B714" t="inlineStr">
        <is>
          <t>08/21</t>
        </is>
      </c>
      <c r="C714" t="inlineStr">
        <is>
          <t>KT</t>
        </is>
      </c>
      <c r="D714" t="n">
        <v>7</v>
      </c>
      <c r="E714" t="n">
        <v>10</v>
      </c>
      <c r="F714" t="n">
        <v>8</v>
      </c>
      <c r="G714" t="n">
        <v>17</v>
      </c>
      <c r="H714" t="n">
        <v>25</v>
      </c>
    </row>
    <row r="715">
      <c r="A715" t="inlineStr">
        <is>
          <t>Peyz</t>
        </is>
      </c>
      <c r="B715" t="inlineStr">
        <is>
          <t>08/16</t>
        </is>
      </c>
      <c r="C715" t="inlineStr">
        <is>
          <t>GEN</t>
        </is>
      </c>
      <c r="D715" t="n">
        <v>4</v>
      </c>
      <c r="E715" t="n">
        <v>3</v>
      </c>
      <c r="F715" t="n">
        <v>0</v>
      </c>
      <c r="G715" t="n">
        <v>7</v>
      </c>
      <c r="H715" t="n">
        <v>7</v>
      </c>
    </row>
    <row r="716">
      <c r="A716" t="inlineStr">
        <is>
          <t>Peyz</t>
        </is>
      </c>
      <c r="B716" t="inlineStr">
        <is>
          <t>08/14</t>
        </is>
      </c>
      <c r="C716" t="inlineStr">
        <is>
          <t>DK</t>
        </is>
      </c>
      <c r="D716" t="n">
        <v>6</v>
      </c>
      <c r="E716" t="n">
        <v>3</v>
      </c>
      <c r="F716" t="n">
        <v>1</v>
      </c>
      <c r="G716" t="n">
        <v>9</v>
      </c>
      <c r="H716" t="n">
        <v>10</v>
      </c>
    </row>
    <row r="717">
      <c r="A717" t="inlineStr">
        <is>
          <t>Peyz</t>
        </is>
      </c>
      <c r="B717" t="inlineStr">
        <is>
          <t>08/08</t>
        </is>
      </c>
      <c r="C717" t="inlineStr">
        <is>
          <t>HLE</t>
        </is>
      </c>
      <c r="D717" t="n">
        <v>2</v>
      </c>
      <c r="E717" t="n">
        <v>3</v>
      </c>
      <c r="F717" t="n">
        <v>8</v>
      </c>
      <c r="G717" t="n">
        <v>5</v>
      </c>
      <c r="H717" t="n">
        <v>13</v>
      </c>
    </row>
    <row r="718">
      <c r="A718" t="inlineStr">
        <is>
          <t>Peyz</t>
        </is>
      </c>
      <c r="B718" t="inlineStr">
        <is>
          <t>08/06</t>
        </is>
      </c>
      <c r="C718" t="inlineStr">
        <is>
          <t>DK</t>
        </is>
      </c>
      <c r="D718" t="n">
        <v>7</v>
      </c>
      <c r="E718" t="n">
        <v>11</v>
      </c>
      <c r="F718" t="n">
        <v>0</v>
      </c>
      <c r="G718" t="n">
        <v>18</v>
      </c>
      <c r="H718" t="n">
        <v>18</v>
      </c>
    </row>
    <row r="719">
      <c r="A719" t="inlineStr">
        <is>
          <t>Peyz</t>
        </is>
      </c>
      <c r="B719" t="inlineStr">
        <is>
          <t>08/04</t>
        </is>
      </c>
      <c r="C719" t="inlineStr">
        <is>
          <t>HLE</t>
        </is>
      </c>
      <c r="D719" t="n">
        <v>6</v>
      </c>
      <c r="E719" t="n">
        <v>13</v>
      </c>
      <c r="F719" t="n">
        <v>9</v>
      </c>
      <c r="G719" t="n">
        <v>19</v>
      </c>
      <c r="H719" t="n">
        <v>28</v>
      </c>
    </row>
    <row r="720">
      <c r="A720" t="inlineStr">
        <is>
          <t>Peyz</t>
        </is>
      </c>
      <c r="B720" t="inlineStr">
        <is>
          <t>07/31</t>
        </is>
      </c>
      <c r="C720" t="inlineStr">
        <is>
          <t>GEN</t>
        </is>
      </c>
      <c r="D720" t="n">
        <v>6</v>
      </c>
      <c r="E720" t="n">
        <v>8</v>
      </c>
      <c r="F720" t="n">
        <v>0</v>
      </c>
      <c r="G720" t="n">
        <v>14</v>
      </c>
      <c r="H720" t="n">
        <v>14</v>
      </c>
    </row>
    <row r="721">
      <c r="A721" t="inlineStr">
        <is>
          <t>Peyz</t>
        </is>
      </c>
      <c r="B721" t="inlineStr">
        <is>
          <t>07/29</t>
        </is>
      </c>
      <c r="C721" t="inlineStr">
        <is>
          <t>KT</t>
        </is>
      </c>
      <c r="D721" t="n">
        <v>1</v>
      </c>
      <c r="E721" t="n">
        <v>3</v>
      </c>
      <c r="F721" t="n">
        <v>0</v>
      </c>
      <c r="G721" t="n">
        <v>4</v>
      </c>
      <c r="H721" t="n">
        <v>4</v>
      </c>
    </row>
    <row r="722">
      <c r="A722" t="inlineStr">
        <is>
          <t>Josedeodo</t>
        </is>
      </c>
      <c r="B722" t="inlineStr">
        <is>
          <t>10/25</t>
        </is>
      </c>
      <c r="C722" t="inlineStr">
        <is>
          <t>BLG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Josedeodo</t>
        </is>
      </c>
      <c r="B723" t="inlineStr">
        <is>
          <t>10/23</t>
        </is>
      </c>
      <c r="C723" t="inlineStr">
        <is>
          <t>CFO</t>
        </is>
      </c>
      <c r="D723" t="n">
        <v>3</v>
      </c>
      <c r="E723" t="n">
        <v>0</v>
      </c>
      <c r="F723" t="n">
        <v>0</v>
      </c>
      <c r="G723" t="n">
        <v>3</v>
      </c>
      <c r="H723" t="n">
        <v>3</v>
      </c>
    </row>
    <row r="724">
      <c r="A724" t="inlineStr">
        <is>
          <t>Josedeodo</t>
        </is>
      </c>
      <c r="B724" t="inlineStr">
        <is>
          <t>10/04</t>
        </is>
      </c>
      <c r="C724" t="inlineStr">
        <is>
          <t>LY</t>
        </is>
      </c>
      <c r="D724" t="n">
        <v>5</v>
      </c>
      <c r="E724" t="n">
        <v>8</v>
      </c>
      <c r="F724" t="n">
        <v>0</v>
      </c>
      <c r="G724" t="n">
        <v>13</v>
      </c>
      <c r="H724" t="n">
        <v>13</v>
      </c>
    </row>
    <row r="725">
      <c r="A725" t="inlineStr">
        <is>
          <t>Josedeodo</t>
        </is>
      </c>
      <c r="B725" t="inlineStr">
        <is>
          <t>09/27</t>
        </is>
      </c>
      <c r="C725" t="inlineStr">
        <is>
          <t>C9</t>
        </is>
      </c>
      <c r="D725" t="n">
        <v>5</v>
      </c>
      <c r="E725" t="n">
        <v>6</v>
      </c>
      <c r="F725" t="n">
        <v>1</v>
      </c>
      <c r="G725" t="n">
        <v>11</v>
      </c>
      <c r="H725" t="n">
        <v>12</v>
      </c>
    </row>
    <row r="726">
      <c r="A726" t="inlineStr">
        <is>
          <t>Josedeodo</t>
        </is>
      </c>
      <c r="B726" t="inlineStr">
        <is>
          <t>09/20</t>
        </is>
      </c>
      <c r="C726" t="inlineStr">
        <is>
          <t>FLY</t>
        </is>
      </c>
      <c r="D726" t="n">
        <v>3</v>
      </c>
      <c r="E726" t="n">
        <v>7</v>
      </c>
      <c r="F726" t="n">
        <v>1</v>
      </c>
      <c r="G726" t="n">
        <v>10</v>
      </c>
      <c r="H726" t="n">
        <v>11</v>
      </c>
    </row>
    <row r="727">
      <c r="A727" t="inlineStr">
        <is>
          <t>Josedeodo</t>
        </is>
      </c>
      <c r="B727" t="inlineStr">
        <is>
          <t>09/05</t>
        </is>
      </c>
      <c r="C727" t="inlineStr">
        <is>
          <t>DIG</t>
        </is>
      </c>
      <c r="D727" t="n">
        <v>2</v>
      </c>
      <c r="E727" t="n">
        <v>10</v>
      </c>
      <c r="F727" t="n">
        <v>0</v>
      </c>
      <c r="G727" t="n">
        <v>12</v>
      </c>
      <c r="H727" t="n">
        <v>12</v>
      </c>
    </row>
    <row r="728">
      <c r="A728" t="inlineStr">
        <is>
          <t>Josedeodo</t>
        </is>
      </c>
      <c r="B728" t="inlineStr">
        <is>
          <t>08/30</t>
        </is>
      </c>
      <c r="C728" t="inlineStr">
        <is>
          <t>LY</t>
        </is>
      </c>
      <c r="D728" t="n">
        <v>3</v>
      </c>
      <c r="E728" t="n">
        <v>2</v>
      </c>
      <c r="F728" t="n">
        <v>0</v>
      </c>
      <c r="G728" t="n">
        <v>5</v>
      </c>
      <c r="H728" t="n">
        <v>5</v>
      </c>
    </row>
    <row r="729">
      <c r="A729" t="inlineStr">
        <is>
          <t>Josedeodo</t>
        </is>
      </c>
      <c r="B729" t="inlineStr">
        <is>
          <t>08/29</t>
        </is>
      </c>
      <c r="C729" t="inlineStr">
        <is>
          <t>SR</t>
        </is>
      </c>
      <c r="D729" t="n">
        <v>1</v>
      </c>
      <c r="E729" t="n">
        <v>1</v>
      </c>
      <c r="F729" t="n">
        <v>1</v>
      </c>
      <c r="G729" t="n">
        <v>2</v>
      </c>
      <c r="H729" t="n">
        <v>3</v>
      </c>
    </row>
    <row r="730">
      <c r="A730" t="inlineStr">
        <is>
          <t>Josedeodo</t>
        </is>
      </c>
      <c r="B730" t="inlineStr">
        <is>
          <t>08/15</t>
        </is>
      </c>
      <c r="C730" t="inlineStr">
        <is>
          <t>DSG</t>
        </is>
      </c>
      <c r="D730" t="n">
        <v>8</v>
      </c>
      <c r="E730" t="n">
        <v>12</v>
      </c>
      <c r="F730" t="n">
        <v>0</v>
      </c>
      <c r="G730" t="n">
        <v>20</v>
      </c>
      <c r="H730" t="n">
        <v>20</v>
      </c>
    </row>
    <row r="731">
      <c r="A731" t="inlineStr">
        <is>
          <t>Josedeodo</t>
        </is>
      </c>
      <c r="B731" t="inlineStr">
        <is>
          <t>08/09</t>
        </is>
      </c>
      <c r="C731" t="inlineStr">
        <is>
          <t>FLY</t>
        </is>
      </c>
      <c r="D731" t="n">
        <v>2</v>
      </c>
      <c r="E731" t="n">
        <v>2</v>
      </c>
      <c r="F731" t="n">
        <v>0</v>
      </c>
      <c r="G731" t="n">
        <v>4</v>
      </c>
      <c r="H731" t="n">
        <v>4</v>
      </c>
    </row>
    <row r="732">
      <c r="A732" t="inlineStr">
        <is>
          <t>Josedeodo</t>
        </is>
      </c>
      <c r="B732" t="inlineStr">
        <is>
          <t>08/02</t>
        </is>
      </c>
      <c r="C732" t="inlineStr">
        <is>
          <t>SEN</t>
        </is>
      </c>
      <c r="D732" t="n">
        <v>1</v>
      </c>
      <c r="E732" t="n">
        <v>2</v>
      </c>
      <c r="F732" t="n">
        <v>0</v>
      </c>
      <c r="G732" t="n">
        <v>3</v>
      </c>
      <c r="H732" t="n">
        <v>3</v>
      </c>
    </row>
    <row r="733">
      <c r="A733" t="inlineStr">
        <is>
          <t>Josedeodo</t>
        </is>
      </c>
      <c r="B733" t="inlineStr">
        <is>
          <t>07/26</t>
        </is>
      </c>
      <c r="C733" t="inlineStr">
        <is>
          <t>C9</t>
        </is>
      </c>
      <c r="D733" t="n">
        <v>3</v>
      </c>
      <c r="E733" t="n">
        <v>3</v>
      </c>
      <c r="F733" t="n">
        <v>0</v>
      </c>
      <c r="G733" t="n">
        <v>6</v>
      </c>
      <c r="H733" t="n">
        <v>6</v>
      </c>
    </row>
    <row r="734">
      <c r="A734" t="inlineStr">
        <is>
          <t>Josedeodo</t>
        </is>
      </c>
      <c r="B734" t="inlineStr">
        <is>
          <t>07/01</t>
        </is>
      </c>
      <c r="C734" t="inlineStr">
        <is>
          <t>T1</t>
        </is>
      </c>
      <c r="D734" t="n">
        <v>2</v>
      </c>
      <c r="E734" t="n">
        <v>4</v>
      </c>
      <c r="F734" t="n">
        <v>2</v>
      </c>
      <c r="G734" t="n">
        <v>6</v>
      </c>
      <c r="H734" t="n">
        <v>8</v>
      </c>
    </row>
    <row r="735">
      <c r="A735" t="inlineStr">
        <is>
          <t>Josedeodo</t>
        </is>
      </c>
      <c r="B735" t="inlineStr">
        <is>
          <t>06/30</t>
        </is>
      </c>
      <c r="C735" t="inlineStr">
        <is>
          <t>KC</t>
        </is>
      </c>
      <c r="D735" t="n">
        <v>1</v>
      </c>
      <c r="E735" t="n">
        <v>13</v>
      </c>
      <c r="F735" t="n">
        <v>8</v>
      </c>
      <c r="G735" t="n">
        <v>14</v>
      </c>
      <c r="H735" t="n">
        <v>22</v>
      </c>
    </row>
    <row r="736">
      <c r="A736" t="inlineStr">
        <is>
          <t>Josedeodo</t>
        </is>
      </c>
      <c r="B736" t="inlineStr">
        <is>
          <t>06/29</t>
        </is>
      </c>
      <c r="C736" t="inlineStr">
        <is>
          <t>DCG</t>
        </is>
      </c>
      <c r="D736" t="n">
        <v>6</v>
      </c>
      <c r="E736" t="n">
        <v>6</v>
      </c>
      <c r="F736" t="n">
        <v>7</v>
      </c>
      <c r="G736" t="n">
        <v>12</v>
      </c>
      <c r="H736" t="n">
        <v>19</v>
      </c>
    </row>
    <row r="737">
      <c r="A737" t="inlineStr">
        <is>
          <t>Morgan</t>
        </is>
      </c>
      <c r="B737" t="inlineStr">
        <is>
          <t>10/25</t>
        </is>
      </c>
      <c r="C737" t="inlineStr">
        <is>
          <t>BLG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Morgan</t>
        </is>
      </c>
      <c r="B738" t="inlineStr">
        <is>
          <t>10/23</t>
        </is>
      </c>
      <c r="C738" t="inlineStr">
        <is>
          <t>CFO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Morgan</t>
        </is>
      </c>
      <c r="B739" t="inlineStr">
        <is>
          <t>10/04</t>
        </is>
      </c>
      <c r="C739" t="inlineStr">
        <is>
          <t>LY</t>
        </is>
      </c>
      <c r="D739" t="n">
        <v>2</v>
      </c>
      <c r="E739" t="n">
        <v>7</v>
      </c>
      <c r="F739" t="n">
        <v>0</v>
      </c>
      <c r="G739" t="n">
        <v>9</v>
      </c>
      <c r="H739" t="n">
        <v>9</v>
      </c>
    </row>
    <row r="740">
      <c r="A740" t="inlineStr">
        <is>
          <t>Morgan</t>
        </is>
      </c>
      <c r="B740" t="inlineStr">
        <is>
          <t>09/27</t>
        </is>
      </c>
      <c r="C740" t="inlineStr">
        <is>
          <t>C9</t>
        </is>
      </c>
      <c r="D740" t="n">
        <v>6</v>
      </c>
      <c r="E740" t="n">
        <v>5</v>
      </c>
      <c r="F740" t="n">
        <v>3</v>
      </c>
      <c r="G740" t="n">
        <v>11</v>
      </c>
      <c r="H740" t="n">
        <v>14</v>
      </c>
    </row>
    <row r="741">
      <c r="A741" t="inlineStr">
        <is>
          <t>Morgan</t>
        </is>
      </c>
      <c r="B741" t="inlineStr">
        <is>
          <t>09/20</t>
        </is>
      </c>
      <c r="C741" t="inlineStr">
        <is>
          <t>FLY</t>
        </is>
      </c>
      <c r="D741" t="n">
        <v>5</v>
      </c>
      <c r="E741" t="n">
        <v>0</v>
      </c>
      <c r="F741" t="n">
        <v>0</v>
      </c>
      <c r="G741" t="n">
        <v>5</v>
      </c>
      <c r="H741" t="n">
        <v>5</v>
      </c>
    </row>
    <row r="742">
      <c r="A742" t="inlineStr">
        <is>
          <t>Morgan</t>
        </is>
      </c>
      <c r="B742" t="inlineStr">
        <is>
          <t>09/05</t>
        </is>
      </c>
      <c r="C742" t="inlineStr">
        <is>
          <t>DIG</t>
        </is>
      </c>
      <c r="D742" t="n">
        <v>0</v>
      </c>
      <c r="E742" t="n">
        <v>2</v>
      </c>
      <c r="F742" t="n">
        <v>0</v>
      </c>
      <c r="G742" t="n">
        <v>2</v>
      </c>
      <c r="H742" t="n">
        <v>2</v>
      </c>
    </row>
    <row r="743">
      <c r="A743" t="inlineStr">
        <is>
          <t>Morgan</t>
        </is>
      </c>
      <c r="B743" t="inlineStr">
        <is>
          <t>08/30</t>
        </is>
      </c>
      <c r="C743" t="inlineStr">
        <is>
          <t>LY</t>
        </is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</row>
    <row r="744">
      <c r="A744" t="inlineStr">
        <is>
          <t>Morgan</t>
        </is>
      </c>
      <c r="B744" t="inlineStr">
        <is>
          <t>08/29</t>
        </is>
      </c>
      <c r="C744" t="inlineStr">
        <is>
          <t>SR</t>
        </is>
      </c>
      <c r="D744" t="n">
        <v>1</v>
      </c>
      <c r="E744" t="n">
        <v>3</v>
      </c>
      <c r="F744" t="n">
        <v>6</v>
      </c>
      <c r="G744" t="n">
        <v>4</v>
      </c>
      <c r="H744" t="n">
        <v>10</v>
      </c>
    </row>
    <row r="745">
      <c r="A745" t="inlineStr">
        <is>
          <t>Morgan</t>
        </is>
      </c>
      <c r="B745" t="inlineStr">
        <is>
          <t>08/15</t>
        </is>
      </c>
      <c r="C745" t="inlineStr">
        <is>
          <t>DSG</t>
        </is>
      </c>
      <c r="D745" t="n">
        <v>4</v>
      </c>
      <c r="E745" t="n">
        <v>5</v>
      </c>
      <c r="F745" t="n">
        <v>0</v>
      </c>
      <c r="G745" t="n">
        <v>9</v>
      </c>
      <c r="H745" t="n">
        <v>9</v>
      </c>
    </row>
    <row r="746">
      <c r="A746" t="inlineStr">
        <is>
          <t>Morgan</t>
        </is>
      </c>
      <c r="B746" t="inlineStr">
        <is>
          <t>08/09</t>
        </is>
      </c>
      <c r="C746" t="inlineStr">
        <is>
          <t>FLY</t>
        </is>
      </c>
      <c r="D746" t="n">
        <v>7</v>
      </c>
      <c r="E746" t="n">
        <v>3</v>
      </c>
      <c r="F746" t="n">
        <v>0</v>
      </c>
      <c r="G746" t="n">
        <v>10</v>
      </c>
      <c r="H746" t="n">
        <v>10</v>
      </c>
    </row>
    <row r="747">
      <c r="A747" t="inlineStr">
        <is>
          <t>Morgan</t>
        </is>
      </c>
      <c r="B747" t="inlineStr">
        <is>
          <t>08/02</t>
        </is>
      </c>
      <c r="C747" t="inlineStr">
        <is>
          <t>SEN</t>
        </is>
      </c>
      <c r="D747" t="n">
        <v>1</v>
      </c>
      <c r="E747" t="n">
        <v>3</v>
      </c>
      <c r="F747" t="n">
        <v>0</v>
      </c>
      <c r="G747" t="n">
        <v>4</v>
      </c>
      <c r="H747" t="n">
        <v>4</v>
      </c>
    </row>
    <row r="748">
      <c r="A748" t="inlineStr">
        <is>
          <t>Morgan</t>
        </is>
      </c>
      <c r="B748" t="inlineStr">
        <is>
          <t>07/26</t>
        </is>
      </c>
      <c r="C748" t="inlineStr">
        <is>
          <t>C9</t>
        </is>
      </c>
      <c r="D748" t="n">
        <v>2</v>
      </c>
      <c r="E748" t="n">
        <v>0</v>
      </c>
      <c r="F748" t="n">
        <v>0</v>
      </c>
      <c r="G748" t="n">
        <v>2</v>
      </c>
      <c r="H748" t="n">
        <v>2</v>
      </c>
    </row>
    <row r="749">
      <c r="A749" t="inlineStr">
        <is>
          <t>Morgan</t>
        </is>
      </c>
      <c r="B749" t="inlineStr">
        <is>
          <t>07/01</t>
        </is>
      </c>
      <c r="C749" t="inlineStr">
        <is>
          <t>T1</t>
        </is>
      </c>
      <c r="D749" t="n">
        <v>3</v>
      </c>
      <c r="E749" t="n">
        <v>4</v>
      </c>
      <c r="F749" t="n">
        <v>3</v>
      </c>
      <c r="G749" t="n">
        <v>7</v>
      </c>
      <c r="H749" t="n">
        <v>10</v>
      </c>
    </row>
    <row r="750">
      <c r="A750" t="inlineStr">
        <is>
          <t>Morgan</t>
        </is>
      </c>
      <c r="B750" t="inlineStr">
        <is>
          <t>06/30</t>
        </is>
      </c>
      <c r="C750" t="inlineStr">
        <is>
          <t>KC</t>
        </is>
      </c>
      <c r="D750" t="n">
        <v>5</v>
      </c>
      <c r="E750" t="n">
        <v>2</v>
      </c>
      <c r="F750" t="n">
        <v>5</v>
      </c>
      <c r="G750" t="n">
        <v>7</v>
      </c>
      <c r="H750" t="n">
        <v>12</v>
      </c>
    </row>
    <row r="751">
      <c r="A751" t="inlineStr">
        <is>
          <t>Morgan</t>
        </is>
      </c>
      <c r="B751" t="inlineStr">
        <is>
          <t>06/29</t>
        </is>
      </c>
      <c r="C751" t="inlineStr">
        <is>
          <t>DCG</t>
        </is>
      </c>
      <c r="D751" t="n">
        <v>0</v>
      </c>
      <c r="E751" t="n">
        <v>7</v>
      </c>
      <c r="F751" t="n">
        <v>4</v>
      </c>
      <c r="G751" t="n">
        <v>7</v>
      </c>
      <c r="H751" t="n">
        <v>11</v>
      </c>
    </row>
    <row r="752">
      <c r="A752" t="inlineStr">
        <is>
          <t>Quid</t>
        </is>
      </c>
      <c r="B752" t="inlineStr">
        <is>
          <t>10/25</t>
        </is>
      </c>
      <c r="C752" t="inlineStr">
        <is>
          <t>BLG</t>
        </is>
      </c>
      <c r="D752" t="n">
        <v>2</v>
      </c>
      <c r="E752" t="n">
        <v>0</v>
      </c>
      <c r="F752" t="n">
        <v>0</v>
      </c>
      <c r="G752" t="n">
        <v>2</v>
      </c>
      <c r="H752" t="n">
        <v>2</v>
      </c>
    </row>
    <row r="753">
      <c r="A753" t="inlineStr">
        <is>
          <t>Quid</t>
        </is>
      </c>
      <c r="B753" t="inlineStr">
        <is>
          <t>10/23</t>
        </is>
      </c>
      <c r="C753" t="inlineStr">
        <is>
          <t>CFO</t>
        </is>
      </c>
      <c r="D753" t="n">
        <v>3</v>
      </c>
      <c r="E753" t="n">
        <v>0</v>
      </c>
      <c r="F753" t="n">
        <v>0</v>
      </c>
      <c r="G753" t="n">
        <v>3</v>
      </c>
      <c r="H753" t="n">
        <v>3</v>
      </c>
    </row>
    <row r="754">
      <c r="A754" t="inlineStr">
        <is>
          <t>Quid</t>
        </is>
      </c>
      <c r="B754" t="inlineStr">
        <is>
          <t>10/04</t>
        </is>
      </c>
      <c r="C754" t="inlineStr">
        <is>
          <t>LY</t>
        </is>
      </c>
      <c r="D754" t="n">
        <v>2</v>
      </c>
      <c r="E754" t="n">
        <v>8</v>
      </c>
      <c r="F754" t="n">
        <v>1</v>
      </c>
      <c r="G754" t="n">
        <v>10</v>
      </c>
      <c r="H754" t="n">
        <v>11</v>
      </c>
    </row>
    <row r="755">
      <c r="A755" t="inlineStr">
        <is>
          <t>Quid</t>
        </is>
      </c>
      <c r="B755" t="inlineStr">
        <is>
          <t>09/27</t>
        </is>
      </c>
      <c r="C755" t="inlineStr">
        <is>
          <t>C9</t>
        </is>
      </c>
      <c r="D755" t="n">
        <v>5</v>
      </c>
      <c r="E755" t="n">
        <v>2</v>
      </c>
      <c r="F755" t="n">
        <v>3</v>
      </c>
      <c r="G755" t="n">
        <v>7</v>
      </c>
      <c r="H755" t="n">
        <v>10</v>
      </c>
    </row>
    <row r="756">
      <c r="A756" t="inlineStr">
        <is>
          <t>Quid</t>
        </is>
      </c>
      <c r="B756" t="inlineStr">
        <is>
          <t>09/20</t>
        </is>
      </c>
      <c r="C756" t="inlineStr">
        <is>
          <t>FLY</t>
        </is>
      </c>
      <c r="D756" t="n">
        <v>5</v>
      </c>
      <c r="E756" t="n">
        <v>9</v>
      </c>
      <c r="F756" t="n">
        <v>6</v>
      </c>
      <c r="G756" t="n">
        <v>14</v>
      </c>
      <c r="H756" t="n">
        <v>20</v>
      </c>
    </row>
    <row r="757">
      <c r="A757" t="inlineStr">
        <is>
          <t>Quid</t>
        </is>
      </c>
      <c r="B757" t="inlineStr">
        <is>
          <t>09/05</t>
        </is>
      </c>
      <c r="C757" t="inlineStr">
        <is>
          <t>DIG</t>
        </is>
      </c>
      <c r="D757" t="n">
        <v>8</v>
      </c>
      <c r="E757" t="n">
        <v>5</v>
      </c>
      <c r="F757" t="n">
        <v>0</v>
      </c>
      <c r="G757" t="n">
        <v>13</v>
      </c>
      <c r="H757" t="n">
        <v>13</v>
      </c>
    </row>
    <row r="758">
      <c r="A758" t="inlineStr">
        <is>
          <t>Quid</t>
        </is>
      </c>
      <c r="B758" t="inlineStr">
        <is>
          <t>08/30</t>
        </is>
      </c>
      <c r="C758" t="inlineStr">
        <is>
          <t>LY</t>
        </is>
      </c>
      <c r="D758" t="n">
        <v>3</v>
      </c>
      <c r="E758" t="n">
        <v>3</v>
      </c>
      <c r="F758" t="n">
        <v>0</v>
      </c>
      <c r="G758" t="n">
        <v>6</v>
      </c>
      <c r="H758" t="n">
        <v>6</v>
      </c>
    </row>
    <row r="759">
      <c r="A759" t="inlineStr">
        <is>
          <t>Quid</t>
        </is>
      </c>
      <c r="B759" t="inlineStr">
        <is>
          <t>08/29</t>
        </is>
      </c>
      <c r="C759" t="inlineStr">
        <is>
          <t>SR</t>
        </is>
      </c>
      <c r="D759" t="n">
        <v>5</v>
      </c>
      <c r="E759" t="n">
        <v>6</v>
      </c>
      <c r="F759" t="n">
        <v>4</v>
      </c>
      <c r="G759" t="n">
        <v>11</v>
      </c>
      <c r="H759" t="n">
        <v>15</v>
      </c>
    </row>
    <row r="760">
      <c r="A760" t="inlineStr">
        <is>
          <t>Quid</t>
        </is>
      </c>
      <c r="B760" t="inlineStr">
        <is>
          <t>08/15</t>
        </is>
      </c>
      <c r="C760" t="inlineStr">
        <is>
          <t>DSG</t>
        </is>
      </c>
      <c r="D760" t="n">
        <v>4</v>
      </c>
      <c r="E760" t="n">
        <v>8</v>
      </c>
      <c r="F760" t="n">
        <v>0</v>
      </c>
      <c r="G760" t="n">
        <v>12</v>
      </c>
      <c r="H760" t="n">
        <v>12</v>
      </c>
    </row>
    <row r="761">
      <c r="A761" t="inlineStr">
        <is>
          <t>Quid</t>
        </is>
      </c>
      <c r="B761" t="inlineStr">
        <is>
          <t>08/09</t>
        </is>
      </c>
      <c r="C761" t="inlineStr">
        <is>
          <t>FLY</t>
        </is>
      </c>
      <c r="D761" t="n">
        <v>8</v>
      </c>
      <c r="E761" t="n">
        <v>6</v>
      </c>
      <c r="F761" t="n">
        <v>0</v>
      </c>
      <c r="G761" t="n">
        <v>14</v>
      </c>
      <c r="H761" t="n">
        <v>14</v>
      </c>
    </row>
    <row r="762">
      <c r="A762" t="inlineStr">
        <is>
          <t>Quid</t>
        </is>
      </c>
      <c r="B762" t="inlineStr">
        <is>
          <t>08/02</t>
        </is>
      </c>
      <c r="C762" t="inlineStr">
        <is>
          <t>SEN</t>
        </is>
      </c>
      <c r="D762" t="n">
        <v>5</v>
      </c>
      <c r="E762" t="n">
        <v>1</v>
      </c>
      <c r="F762" t="n">
        <v>0</v>
      </c>
      <c r="G762" t="n">
        <v>6</v>
      </c>
      <c r="H762" t="n">
        <v>6</v>
      </c>
    </row>
    <row r="763">
      <c r="A763" t="inlineStr">
        <is>
          <t>Quid</t>
        </is>
      </c>
      <c r="B763" t="inlineStr">
        <is>
          <t>07/26</t>
        </is>
      </c>
      <c r="C763" t="inlineStr">
        <is>
          <t>C9</t>
        </is>
      </c>
      <c r="D763" t="n">
        <v>10</v>
      </c>
      <c r="E763" t="n">
        <v>4</v>
      </c>
      <c r="F763" t="n">
        <v>0</v>
      </c>
      <c r="G763" t="n">
        <v>14</v>
      </c>
      <c r="H763" t="n">
        <v>14</v>
      </c>
    </row>
    <row r="764">
      <c r="A764" t="inlineStr">
        <is>
          <t>Quid</t>
        </is>
      </c>
      <c r="B764" t="inlineStr">
        <is>
          <t>07/01</t>
        </is>
      </c>
      <c r="C764" t="inlineStr">
        <is>
          <t>T1</t>
        </is>
      </c>
      <c r="D764" t="n">
        <v>3</v>
      </c>
      <c r="E764" t="n">
        <v>8</v>
      </c>
      <c r="F764" t="n">
        <v>0</v>
      </c>
      <c r="G764" t="n">
        <v>11</v>
      </c>
      <c r="H764" t="n">
        <v>11</v>
      </c>
    </row>
    <row r="765">
      <c r="A765" t="inlineStr">
        <is>
          <t>Quid</t>
        </is>
      </c>
      <c r="B765" t="inlineStr">
        <is>
          <t>06/30</t>
        </is>
      </c>
      <c r="C765" t="inlineStr">
        <is>
          <t>KC</t>
        </is>
      </c>
      <c r="D765" t="n">
        <v>8</v>
      </c>
      <c r="E765" t="n">
        <v>1</v>
      </c>
      <c r="F765" t="n">
        <v>6</v>
      </c>
      <c r="G765" t="n">
        <v>9</v>
      </c>
      <c r="H765" t="n">
        <v>15</v>
      </c>
    </row>
    <row r="766">
      <c r="A766" t="inlineStr">
        <is>
          <t>Quid</t>
        </is>
      </c>
      <c r="B766" t="inlineStr">
        <is>
          <t>06/29</t>
        </is>
      </c>
      <c r="C766" t="inlineStr">
        <is>
          <t>DCG</t>
        </is>
      </c>
      <c r="D766" t="n">
        <v>8</v>
      </c>
      <c r="E766" t="n">
        <v>8</v>
      </c>
      <c r="F766" t="n">
        <v>3</v>
      </c>
      <c r="G766" t="n">
        <v>16</v>
      </c>
      <c r="H766" t="n">
        <v>19</v>
      </c>
    </row>
    <row r="767">
      <c r="A767" t="inlineStr">
        <is>
          <t>Yeon</t>
        </is>
      </c>
      <c r="B767" t="inlineStr">
        <is>
          <t>10/25</t>
        </is>
      </c>
      <c r="C767" t="inlineStr">
        <is>
          <t>BLG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Yeon</t>
        </is>
      </c>
      <c r="B768" t="inlineStr">
        <is>
          <t>10/23</t>
        </is>
      </c>
      <c r="C768" t="inlineStr">
        <is>
          <t>CFO</t>
        </is>
      </c>
      <c r="D768" t="n">
        <v>5</v>
      </c>
      <c r="E768" t="n">
        <v>0</v>
      </c>
      <c r="F768" t="n">
        <v>0</v>
      </c>
      <c r="G768" t="n">
        <v>5</v>
      </c>
      <c r="H768" t="n">
        <v>5</v>
      </c>
    </row>
    <row r="769">
      <c r="A769" t="inlineStr">
        <is>
          <t>Yeon</t>
        </is>
      </c>
      <c r="B769" t="inlineStr">
        <is>
          <t>10/04</t>
        </is>
      </c>
      <c r="C769" t="inlineStr">
        <is>
          <t>LY</t>
        </is>
      </c>
      <c r="D769" t="n">
        <v>3</v>
      </c>
      <c r="E769" t="n">
        <v>0</v>
      </c>
      <c r="F769" t="n">
        <v>3</v>
      </c>
      <c r="G769" t="n">
        <v>3</v>
      </c>
      <c r="H769" t="n">
        <v>6</v>
      </c>
    </row>
    <row r="770">
      <c r="A770" t="inlineStr">
        <is>
          <t>Yeon</t>
        </is>
      </c>
      <c r="B770" t="inlineStr">
        <is>
          <t>09/27</t>
        </is>
      </c>
      <c r="C770" t="inlineStr">
        <is>
          <t>C9</t>
        </is>
      </c>
      <c r="D770" t="n">
        <v>3</v>
      </c>
      <c r="E770" t="n">
        <v>6</v>
      </c>
      <c r="F770" t="n">
        <v>1</v>
      </c>
      <c r="G770" t="n">
        <v>9</v>
      </c>
      <c r="H770" t="n">
        <v>10</v>
      </c>
    </row>
    <row r="771">
      <c r="A771" t="inlineStr">
        <is>
          <t>Yeon</t>
        </is>
      </c>
      <c r="B771" t="inlineStr">
        <is>
          <t>09/20</t>
        </is>
      </c>
      <c r="C771" t="inlineStr">
        <is>
          <t>FLY</t>
        </is>
      </c>
      <c r="D771" t="n">
        <v>4</v>
      </c>
      <c r="E771" t="n">
        <v>3</v>
      </c>
      <c r="F771" t="n">
        <v>5</v>
      </c>
      <c r="G771" t="n">
        <v>7</v>
      </c>
      <c r="H771" t="n">
        <v>12</v>
      </c>
    </row>
    <row r="772">
      <c r="A772" t="inlineStr">
        <is>
          <t>Yeon</t>
        </is>
      </c>
      <c r="B772" t="inlineStr">
        <is>
          <t>09/05</t>
        </is>
      </c>
      <c r="C772" t="inlineStr">
        <is>
          <t>DIG</t>
        </is>
      </c>
      <c r="D772" t="n">
        <v>5</v>
      </c>
      <c r="E772" t="n">
        <v>3</v>
      </c>
      <c r="F772" t="n">
        <v>0</v>
      </c>
      <c r="G772" t="n">
        <v>8</v>
      </c>
      <c r="H772" t="n">
        <v>8</v>
      </c>
    </row>
    <row r="773">
      <c r="A773" t="inlineStr">
        <is>
          <t>Yeon</t>
        </is>
      </c>
      <c r="B773" t="inlineStr">
        <is>
          <t>08/30</t>
        </is>
      </c>
      <c r="C773" t="inlineStr">
        <is>
          <t>LY</t>
        </is>
      </c>
      <c r="D773" t="n">
        <v>4</v>
      </c>
      <c r="E773" t="n">
        <v>0</v>
      </c>
      <c r="F773" t="n">
        <v>0</v>
      </c>
      <c r="G773" t="n">
        <v>4</v>
      </c>
      <c r="H773" t="n">
        <v>4</v>
      </c>
    </row>
    <row r="774">
      <c r="A774" t="inlineStr">
        <is>
          <t>Yeon</t>
        </is>
      </c>
      <c r="B774" t="inlineStr">
        <is>
          <t>08/29</t>
        </is>
      </c>
      <c r="C774" t="inlineStr">
        <is>
          <t>SR</t>
        </is>
      </c>
      <c r="D774" t="n">
        <v>0</v>
      </c>
      <c r="E774" t="n">
        <v>10</v>
      </c>
      <c r="F774" t="n">
        <v>6</v>
      </c>
      <c r="G774" t="n">
        <v>10</v>
      </c>
      <c r="H774" t="n">
        <v>16</v>
      </c>
    </row>
    <row r="775">
      <c r="A775" t="inlineStr">
        <is>
          <t>Yeon</t>
        </is>
      </c>
      <c r="B775" t="inlineStr">
        <is>
          <t>08/15</t>
        </is>
      </c>
      <c r="C775" t="inlineStr">
        <is>
          <t>DSG</t>
        </is>
      </c>
      <c r="D775" t="n">
        <v>5</v>
      </c>
      <c r="E775" t="n">
        <v>7</v>
      </c>
      <c r="F775" t="n">
        <v>0</v>
      </c>
      <c r="G775" t="n">
        <v>12</v>
      </c>
      <c r="H775" t="n">
        <v>12</v>
      </c>
    </row>
    <row r="776">
      <c r="A776" t="inlineStr">
        <is>
          <t>Yeon</t>
        </is>
      </c>
      <c r="B776" t="inlineStr">
        <is>
          <t>08/09</t>
        </is>
      </c>
      <c r="C776" t="inlineStr">
        <is>
          <t>FLY</t>
        </is>
      </c>
      <c r="D776" t="n">
        <v>3</v>
      </c>
      <c r="E776" t="n">
        <v>7</v>
      </c>
      <c r="F776" t="n">
        <v>0</v>
      </c>
      <c r="G776" t="n">
        <v>10</v>
      </c>
      <c r="H776" t="n">
        <v>10</v>
      </c>
    </row>
    <row r="777">
      <c r="A777" t="inlineStr">
        <is>
          <t>Yeon</t>
        </is>
      </c>
      <c r="B777" t="inlineStr">
        <is>
          <t>08/02</t>
        </is>
      </c>
      <c r="C777" t="inlineStr">
        <is>
          <t>SEN</t>
        </is>
      </c>
      <c r="D777" t="n">
        <v>7</v>
      </c>
      <c r="E777" t="n">
        <v>10</v>
      </c>
      <c r="F777" t="n">
        <v>0</v>
      </c>
      <c r="G777" t="n">
        <v>17</v>
      </c>
      <c r="H777" t="n">
        <v>17</v>
      </c>
    </row>
    <row r="778">
      <c r="A778" t="inlineStr">
        <is>
          <t>Yeon</t>
        </is>
      </c>
      <c r="B778" t="inlineStr">
        <is>
          <t>07/26</t>
        </is>
      </c>
      <c r="C778" t="inlineStr">
        <is>
          <t>C9</t>
        </is>
      </c>
      <c r="D778" t="n">
        <v>5</v>
      </c>
      <c r="E778" t="n">
        <v>8</v>
      </c>
      <c r="F778" t="n">
        <v>0</v>
      </c>
      <c r="G778" t="n">
        <v>13</v>
      </c>
      <c r="H778" t="n">
        <v>13</v>
      </c>
    </row>
    <row r="779">
      <c r="A779" t="inlineStr">
        <is>
          <t>Yeon</t>
        </is>
      </c>
      <c r="B779" t="inlineStr">
        <is>
          <t>07/01</t>
        </is>
      </c>
      <c r="C779" t="inlineStr">
        <is>
          <t>T1</t>
        </is>
      </c>
      <c r="D779" t="n">
        <v>2</v>
      </c>
      <c r="E779" t="n">
        <v>14</v>
      </c>
      <c r="F779" t="n">
        <v>0</v>
      </c>
      <c r="G779" t="n">
        <v>16</v>
      </c>
      <c r="H779" t="n">
        <v>16</v>
      </c>
    </row>
    <row r="780">
      <c r="A780" t="inlineStr">
        <is>
          <t>Yeon</t>
        </is>
      </c>
      <c r="B780" t="inlineStr">
        <is>
          <t>06/30</t>
        </is>
      </c>
      <c r="C780" t="inlineStr">
        <is>
          <t>KC</t>
        </is>
      </c>
      <c r="D780" t="n">
        <v>4</v>
      </c>
      <c r="E780" t="n">
        <v>6</v>
      </c>
      <c r="F780" t="n">
        <v>3</v>
      </c>
      <c r="G780" t="n">
        <v>10</v>
      </c>
      <c r="H780" t="n">
        <v>13</v>
      </c>
    </row>
    <row r="781">
      <c r="A781" t="inlineStr">
        <is>
          <t>Yeon</t>
        </is>
      </c>
      <c r="B781" t="inlineStr">
        <is>
          <t>06/29</t>
        </is>
      </c>
      <c r="C781" t="inlineStr">
        <is>
          <t>DCG</t>
        </is>
      </c>
      <c r="D781" t="n">
        <v>4</v>
      </c>
      <c r="E781" t="n">
        <v>2</v>
      </c>
      <c r="F781" t="n">
        <v>8</v>
      </c>
      <c r="G781" t="n">
        <v>6</v>
      </c>
      <c r="H781" t="n">
        <v>14</v>
      </c>
    </row>
    <row r="782">
      <c r="A782" t="inlineStr">
        <is>
          <t>Larl</t>
        </is>
      </c>
      <c r="B782" t="inlineStr">
        <is>
          <t>10/25</t>
        </is>
      </c>
      <c r="C782" t="inlineStr">
        <is>
          <t>AI</t>
        </is>
      </c>
      <c r="D782" t="n">
        <v>4</v>
      </c>
      <c r="E782" t="n">
        <v>10</v>
      </c>
      <c r="F782" t="n">
        <v>0</v>
      </c>
      <c r="G782" t="n">
        <v>14</v>
      </c>
      <c r="H782" t="n">
        <v>14</v>
      </c>
    </row>
    <row r="783">
      <c r="A783" t="inlineStr">
        <is>
          <t>Larl</t>
        </is>
      </c>
      <c r="B783" t="inlineStr">
        <is>
          <t>10/24</t>
        </is>
      </c>
      <c r="C783" t="inlineStr">
        <is>
          <t>BB</t>
        </is>
      </c>
      <c r="D783" t="n">
        <v>13</v>
      </c>
      <c r="E783" t="n">
        <v>9</v>
      </c>
      <c r="F783" t="n">
        <v>0</v>
      </c>
      <c r="G783" t="n">
        <v>22</v>
      </c>
      <c r="H783" t="n">
        <v>22</v>
      </c>
    </row>
    <row r="784">
      <c r="A784" t="inlineStr">
        <is>
          <t>Larl</t>
        </is>
      </c>
      <c r="B784" t="inlineStr">
        <is>
          <t>10/22</t>
        </is>
      </c>
      <c r="C784" t="inlineStr">
        <is>
          <t>LEGION</t>
        </is>
      </c>
      <c r="D784" t="n">
        <v>16</v>
      </c>
      <c r="E784" t="n">
        <v>11</v>
      </c>
      <c r="F784" t="n">
        <v>0</v>
      </c>
      <c r="G784" t="n">
        <v>27</v>
      </c>
      <c r="H784" t="n">
        <v>27</v>
      </c>
    </row>
    <row r="785">
      <c r="A785" t="inlineStr">
        <is>
          <t>Larl</t>
        </is>
      </c>
      <c r="B785" t="inlineStr">
        <is>
          <t>10/11</t>
        </is>
      </c>
      <c r="C785" t="inlineStr">
        <is>
          <t>TY</t>
        </is>
      </c>
      <c r="D785" t="n">
        <v>9</v>
      </c>
      <c r="E785" t="n">
        <v>12</v>
      </c>
      <c r="F785" t="n">
        <v>6</v>
      </c>
      <c r="G785" t="n">
        <v>21</v>
      </c>
      <c r="H785" t="n">
        <v>27</v>
      </c>
    </row>
    <row r="786">
      <c r="A786" t="inlineStr">
        <is>
          <t>Larl</t>
        </is>
      </c>
      <c r="B786" t="inlineStr">
        <is>
          <t>10/11</t>
        </is>
      </c>
      <c r="C786" t="inlineStr">
        <is>
          <t>PARI</t>
        </is>
      </c>
      <c r="D786" t="n">
        <v>0</v>
      </c>
      <c r="E786" t="n">
        <v>8</v>
      </c>
      <c r="F786" t="n">
        <v>8</v>
      </c>
      <c r="G786" t="n">
        <v>8</v>
      </c>
      <c r="H786" t="n">
        <v>16</v>
      </c>
    </row>
    <row r="787">
      <c r="A787" t="inlineStr">
        <is>
          <t>Larl</t>
        </is>
      </c>
      <c r="B787" t="inlineStr">
        <is>
          <t>10/10</t>
        </is>
      </c>
      <c r="C787" t="inlineStr">
        <is>
          <t>TY</t>
        </is>
      </c>
      <c r="D787" t="n">
        <v>1</v>
      </c>
      <c r="E787" t="n">
        <v>5</v>
      </c>
      <c r="F787" t="n">
        <v>0</v>
      </c>
      <c r="G787" t="n">
        <v>6</v>
      </c>
      <c r="H787" t="n">
        <v>6</v>
      </c>
    </row>
    <row r="788">
      <c r="A788" t="inlineStr">
        <is>
          <t>Larl</t>
        </is>
      </c>
      <c r="B788" t="inlineStr">
        <is>
          <t>10/09</t>
        </is>
      </c>
      <c r="C788" t="inlineStr">
        <is>
          <t>AUR</t>
        </is>
      </c>
      <c r="D788" t="n">
        <v>21</v>
      </c>
      <c r="E788" t="n">
        <v>7</v>
      </c>
      <c r="F788" t="n">
        <v>6</v>
      </c>
      <c r="G788" t="n">
        <v>28</v>
      </c>
      <c r="H788" t="n">
        <v>34</v>
      </c>
    </row>
    <row r="789">
      <c r="A789" t="inlineStr">
        <is>
          <t>Larl</t>
        </is>
      </c>
      <c r="B789" t="inlineStr">
        <is>
          <t>10/03</t>
        </is>
      </c>
      <c r="C789" t="inlineStr">
        <is>
          <t>TY</t>
        </is>
      </c>
      <c r="D789" t="n">
        <v>5</v>
      </c>
      <c r="E789" t="n">
        <v>12</v>
      </c>
      <c r="F789" t="n">
        <v>6</v>
      </c>
      <c r="G789" t="n">
        <v>17</v>
      </c>
      <c r="H789" t="n">
        <v>23</v>
      </c>
    </row>
    <row r="790">
      <c r="A790" t="inlineStr">
        <is>
          <t>Larl</t>
        </is>
      </c>
      <c r="B790" t="inlineStr">
        <is>
          <t>09/30</t>
        </is>
      </c>
      <c r="C790" t="inlineStr">
        <is>
          <t>1WIN</t>
        </is>
      </c>
      <c r="D790" t="n">
        <v>7</v>
      </c>
      <c r="E790" t="n">
        <v>2</v>
      </c>
      <c r="F790" t="n">
        <v>0</v>
      </c>
      <c r="G790" t="n">
        <v>9</v>
      </c>
      <c r="H790" t="n">
        <v>9</v>
      </c>
    </row>
    <row r="791">
      <c r="A791" t="inlineStr">
        <is>
          <t>Larl</t>
        </is>
      </c>
      <c r="B791" t="inlineStr">
        <is>
          <t>09/29</t>
        </is>
      </c>
      <c r="C791" t="inlineStr">
        <is>
          <t>Nem</t>
        </is>
      </c>
      <c r="D791" t="n">
        <v>5</v>
      </c>
      <c r="E791" t="n">
        <v>10</v>
      </c>
      <c r="F791" t="n">
        <v>15</v>
      </c>
      <c r="G791" t="n">
        <v>15</v>
      </c>
      <c r="H791" t="n">
        <v>30</v>
      </c>
    </row>
    <row r="792">
      <c r="A792" t="inlineStr">
        <is>
          <t>Larl</t>
        </is>
      </c>
      <c r="B792" t="inlineStr">
        <is>
          <t>08/23</t>
        </is>
      </c>
      <c r="C792" t="inlineStr">
        <is>
          <t>VSN</t>
        </is>
      </c>
      <c r="D792" t="n">
        <v>6</v>
      </c>
      <c r="E792" t="n">
        <v>8</v>
      </c>
      <c r="F792" t="n">
        <v>4</v>
      </c>
      <c r="G792" t="n">
        <v>14</v>
      </c>
      <c r="H792" t="n">
        <v>18</v>
      </c>
    </row>
    <row r="793">
      <c r="A793" t="inlineStr">
        <is>
          <t>Larl</t>
        </is>
      </c>
      <c r="B793" t="inlineStr">
        <is>
          <t>08/23</t>
        </is>
      </c>
      <c r="C793" t="inlineStr">
        <is>
          <t>TY</t>
        </is>
      </c>
      <c r="D793" t="n">
        <v>3</v>
      </c>
      <c r="E793" t="n">
        <v>13</v>
      </c>
      <c r="F793" t="n">
        <v>0</v>
      </c>
      <c r="G793" t="n">
        <v>16</v>
      </c>
      <c r="H793" t="n">
        <v>16</v>
      </c>
    </row>
    <row r="794">
      <c r="A794" t="inlineStr">
        <is>
          <t>Larl</t>
        </is>
      </c>
      <c r="B794" t="inlineStr">
        <is>
          <t>08/22</t>
        </is>
      </c>
      <c r="C794" t="inlineStr">
        <is>
          <t>Liquid</t>
        </is>
      </c>
      <c r="D794" t="n">
        <v>7</v>
      </c>
      <c r="E794" t="n">
        <v>10</v>
      </c>
      <c r="F794" t="n">
        <v>0</v>
      </c>
      <c r="G794" t="n">
        <v>17</v>
      </c>
      <c r="H794" t="n">
        <v>17</v>
      </c>
    </row>
    <row r="795">
      <c r="A795" t="inlineStr">
        <is>
          <t>Larl</t>
        </is>
      </c>
      <c r="B795" t="inlineStr">
        <is>
          <t>08/21</t>
        </is>
      </c>
      <c r="C795" t="inlineStr">
        <is>
          <t>VSN</t>
        </is>
      </c>
      <c r="D795" t="n">
        <v>4</v>
      </c>
      <c r="E795" t="n">
        <v>12</v>
      </c>
      <c r="F795" t="n">
        <v>6</v>
      </c>
      <c r="G795" t="n">
        <v>16</v>
      </c>
      <c r="H795" t="n">
        <v>22</v>
      </c>
    </row>
    <row r="796">
      <c r="A796" t="inlineStr">
        <is>
          <t>Larl</t>
        </is>
      </c>
      <c r="B796" t="inlineStr">
        <is>
          <t>08/20</t>
        </is>
      </c>
      <c r="C796" t="inlineStr">
        <is>
          <t>IW</t>
        </is>
      </c>
      <c r="D796" t="n">
        <v>11</v>
      </c>
      <c r="E796" t="n">
        <v>10</v>
      </c>
      <c r="F796" t="n">
        <v>0</v>
      </c>
      <c r="G796" t="n">
        <v>21</v>
      </c>
      <c r="H796" t="n">
        <v>21</v>
      </c>
    </row>
    <row r="797">
      <c r="A797" t="inlineStr">
        <is>
          <t>not me</t>
        </is>
      </c>
      <c r="B797" t="inlineStr">
        <is>
          <t>10/25</t>
        </is>
      </c>
      <c r="C797" t="inlineStr">
        <is>
          <t>AI</t>
        </is>
      </c>
      <c r="D797" t="n">
        <v>4</v>
      </c>
      <c r="E797" t="n">
        <v>1</v>
      </c>
      <c r="F797" t="n">
        <v>0</v>
      </c>
      <c r="G797" t="n">
        <v>5</v>
      </c>
      <c r="H797" t="n">
        <v>5</v>
      </c>
    </row>
    <row r="798">
      <c r="A798" t="inlineStr">
        <is>
          <t>not me</t>
        </is>
      </c>
      <c r="B798" t="inlineStr">
        <is>
          <t>10/24</t>
        </is>
      </c>
      <c r="C798" t="inlineStr">
        <is>
          <t>BB</t>
        </is>
      </c>
      <c r="D798" t="n">
        <v>7</v>
      </c>
      <c r="E798" t="n">
        <v>13</v>
      </c>
      <c r="F798" t="n">
        <v>0</v>
      </c>
      <c r="G798" t="n">
        <v>20</v>
      </c>
      <c r="H798" t="n">
        <v>20</v>
      </c>
    </row>
    <row r="799">
      <c r="A799" t="inlineStr">
        <is>
          <t>not me</t>
        </is>
      </c>
      <c r="B799" t="inlineStr">
        <is>
          <t>10/22</t>
        </is>
      </c>
      <c r="C799" t="inlineStr">
        <is>
          <t>LEGION</t>
        </is>
      </c>
      <c r="D799" t="n">
        <v>5</v>
      </c>
      <c r="E799" t="n">
        <v>10</v>
      </c>
      <c r="F799" t="n">
        <v>0</v>
      </c>
      <c r="G799" t="n">
        <v>15</v>
      </c>
      <c r="H799" t="n">
        <v>15</v>
      </c>
    </row>
    <row r="800">
      <c r="A800" t="inlineStr">
        <is>
          <t>not me</t>
        </is>
      </c>
      <c r="B800" t="inlineStr">
        <is>
          <t>10/16</t>
        </is>
      </c>
      <c r="C800" t="inlineStr">
        <is>
          <t>SBT</t>
        </is>
      </c>
      <c r="D800" t="n">
        <v>4</v>
      </c>
      <c r="E800" t="n">
        <v>11</v>
      </c>
      <c r="F800" t="n">
        <v>7</v>
      </c>
      <c r="G800" t="n">
        <v>15</v>
      </c>
      <c r="H800" t="n">
        <v>22</v>
      </c>
    </row>
    <row r="801">
      <c r="A801" t="inlineStr">
        <is>
          <t>not me</t>
        </is>
      </c>
      <c r="B801" t="inlineStr">
        <is>
          <t>10/15</t>
        </is>
      </c>
      <c r="C801" t="inlineStr">
        <is>
          <t>SBT</t>
        </is>
      </c>
      <c r="D801" t="n">
        <v>1</v>
      </c>
      <c r="E801" t="n">
        <v>14</v>
      </c>
      <c r="F801" t="n">
        <v>5</v>
      </c>
      <c r="G801" t="n">
        <v>15</v>
      </c>
      <c r="H801" t="n">
        <v>20</v>
      </c>
    </row>
    <row r="802">
      <c r="A802" t="inlineStr">
        <is>
          <t>not me</t>
        </is>
      </c>
      <c r="B802" t="inlineStr">
        <is>
          <t>10/15</t>
        </is>
      </c>
      <c r="C802" t="inlineStr">
        <is>
          <t>Stray</t>
        </is>
      </c>
      <c r="D802" t="n">
        <v>1</v>
      </c>
      <c r="E802" t="n">
        <v>9</v>
      </c>
      <c r="F802" t="n">
        <v>0</v>
      </c>
      <c r="G802" t="n">
        <v>10</v>
      </c>
      <c r="H802" t="n">
        <v>10</v>
      </c>
    </row>
    <row r="803">
      <c r="A803" t="inlineStr">
        <is>
          <t>not me</t>
        </is>
      </c>
      <c r="B803" t="inlineStr">
        <is>
          <t>10/14</t>
        </is>
      </c>
      <c r="C803" t="inlineStr">
        <is>
          <t>BOT</t>
        </is>
      </c>
      <c r="D803" t="n">
        <v>0</v>
      </c>
      <c r="E803" t="n">
        <v>4</v>
      </c>
      <c r="F803" t="n">
        <v>0</v>
      </c>
      <c r="G803" t="n">
        <v>4</v>
      </c>
      <c r="H803" t="n">
        <v>4</v>
      </c>
    </row>
    <row r="804">
      <c r="A804" t="inlineStr">
        <is>
          <t>not me</t>
        </is>
      </c>
      <c r="B804" t="inlineStr">
        <is>
          <t>10/11</t>
        </is>
      </c>
      <c r="C804" t="inlineStr">
        <is>
          <t>TY</t>
        </is>
      </c>
      <c r="D804" t="n">
        <v>9</v>
      </c>
      <c r="E804" t="n">
        <v>2</v>
      </c>
      <c r="F804" t="n">
        <v>2</v>
      </c>
      <c r="G804" t="n">
        <v>11</v>
      </c>
      <c r="H804" t="n">
        <v>13</v>
      </c>
    </row>
    <row r="805">
      <c r="A805" t="inlineStr">
        <is>
          <t>not me</t>
        </is>
      </c>
      <c r="B805" t="inlineStr">
        <is>
          <t>10/11</t>
        </is>
      </c>
      <c r="C805" t="inlineStr">
        <is>
          <t>PARI</t>
        </is>
      </c>
      <c r="D805" t="n">
        <v>3</v>
      </c>
      <c r="E805" t="n">
        <v>2</v>
      </c>
      <c r="F805" t="n">
        <v>4</v>
      </c>
      <c r="G805" t="n">
        <v>5</v>
      </c>
      <c r="H805" t="n">
        <v>9</v>
      </c>
    </row>
    <row r="806">
      <c r="A806" t="inlineStr">
        <is>
          <t>not me</t>
        </is>
      </c>
      <c r="B806" t="inlineStr">
        <is>
          <t>10/10</t>
        </is>
      </c>
      <c r="C806" t="inlineStr">
        <is>
          <t>TY</t>
        </is>
      </c>
      <c r="D806" t="n">
        <v>4</v>
      </c>
      <c r="E806" t="n">
        <v>4</v>
      </c>
      <c r="F806" t="n">
        <v>0</v>
      </c>
      <c r="G806" t="n">
        <v>8</v>
      </c>
      <c r="H806" t="n">
        <v>8</v>
      </c>
    </row>
    <row r="807">
      <c r="A807" t="inlineStr">
        <is>
          <t>not me</t>
        </is>
      </c>
      <c r="B807" t="inlineStr">
        <is>
          <t>10/09</t>
        </is>
      </c>
      <c r="C807" t="inlineStr">
        <is>
          <t>AUR</t>
        </is>
      </c>
      <c r="D807" t="n">
        <v>3</v>
      </c>
      <c r="E807" t="n">
        <v>2</v>
      </c>
      <c r="F807" t="n">
        <v>14</v>
      </c>
      <c r="G807" t="n">
        <v>5</v>
      </c>
      <c r="H807" t="n">
        <v>19</v>
      </c>
    </row>
    <row r="808">
      <c r="A808" t="inlineStr">
        <is>
          <t>not me</t>
        </is>
      </c>
      <c r="B808" t="inlineStr">
        <is>
          <t>10/03</t>
        </is>
      </c>
      <c r="C808" t="inlineStr">
        <is>
          <t>TY</t>
        </is>
      </c>
      <c r="D808" t="n">
        <v>5</v>
      </c>
      <c r="E808" t="n">
        <v>5</v>
      </c>
      <c r="F808" t="n">
        <v>7</v>
      </c>
      <c r="G808" t="n">
        <v>10</v>
      </c>
      <c r="H808" t="n">
        <v>17</v>
      </c>
    </row>
    <row r="809">
      <c r="A809" t="inlineStr">
        <is>
          <t>not me</t>
        </is>
      </c>
      <c r="B809" t="inlineStr">
        <is>
          <t>09/30</t>
        </is>
      </c>
      <c r="C809" t="inlineStr">
        <is>
          <t>1WIN</t>
        </is>
      </c>
      <c r="D809" t="n">
        <v>8</v>
      </c>
      <c r="E809" t="n">
        <v>7</v>
      </c>
      <c r="F809" t="n">
        <v>0</v>
      </c>
      <c r="G809" t="n">
        <v>15</v>
      </c>
      <c r="H809" t="n">
        <v>15</v>
      </c>
    </row>
    <row r="810">
      <c r="A810" t="inlineStr">
        <is>
          <t>not me</t>
        </is>
      </c>
      <c r="B810" t="inlineStr">
        <is>
          <t>09/29</t>
        </is>
      </c>
      <c r="C810" t="inlineStr">
        <is>
          <t>Nem</t>
        </is>
      </c>
      <c r="D810" t="n">
        <v>4</v>
      </c>
      <c r="E810" t="n">
        <v>5</v>
      </c>
      <c r="F810" t="n">
        <v>11</v>
      </c>
      <c r="G810" t="n">
        <v>9</v>
      </c>
      <c r="H810" t="n">
        <v>20</v>
      </c>
    </row>
    <row r="811">
      <c r="A811" t="inlineStr">
        <is>
          <t>not me</t>
        </is>
      </c>
      <c r="B811" t="inlineStr">
        <is>
          <t>08/23</t>
        </is>
      </c>
      <c r="C811" t="inlineStr">
        <is>
          <t>VSN</t>
        </is>
      </c>
      <c r="D811" t="n">
        <v>5</v>
      </c>
      <c r="E811" t="n">
        <v>9</v>
      </c>
      <c r="F811" t="n">
        <v>2</v>
      </c>
      <c r="G811" t="n">
        <v>14</v>
      </c>
      <c r="H811" t="n">
        <v>16</v>
      </c>
    </row>
    <row r="812">
      <c r="A812" t="inlineStr">
        <is>
          <t>rue</t>
        </is>
      </c>
      <c r="B812" t="inlineStr">
        <is>
          <t>10/25</t>
        </is>
      </c>
      <c r="C812" t="inlineStr">
        <is>
          <t>AI</t>
        </is>
      </c>
      <c r="D812" t="n">
        <v>6</v>
      </c>
      <c r="E812" t="n">
        <v>6</v>
      </c>
      <c r="F812" t="n">
        <v>0</v>
      </c>
      <c r="G812" t="n">
        <v>12</v>
      </c>
      <c r="H812" t="n">
        <v>12</v>
      </c>
    </row>
    <row r="813">
      <c r="A813" t="inlineStr">
        <is>
          <t>rue</t>
        </is>
      </c>
      <c r="B813" t="inlineStr">
        <is>
          <t>10/24</t>
        </is>
      </c>
      <c r="C813" t="inlineStr">
        <is>
          <t>BB</t>
        </is>
      </c>
      <c r="D813" t="n">
        <v>0</v>
      </c>
      <c r="E813" t="n">
        <v>11</v>
      </c>
      <c r="F813" t="n">
        <v>0</v>
      </c>
      <c r="G813" t="n">
        <v>11</v>
      </c>
      <c r="H813" t="n">
        <v>11</v>
      </c>
    </row>
    <row r="814">
      <c r="A814" t="inlineStr">
        <is>
          <t>rue</t>
        </is>
      </c>
      <c r="B814" t="inlineStr">
        <is>
          <t>10/22</t>
        </is>
      </c>
      <c r="C814" t="inlineStr">
        <is>
          <t>LEGION</t>
        </is>
      </c>
      <c r="D814" t="n">
        <v>8</v>
      </c>
      <c r="E814" t="n">
        <v>2</v>
      </c>
      <c r="F814" t="n">
        <v>0</v>
      </c>
      <c r="G814" t="n">
        <v>10</v>
      </c>
      <c r="H814" t="n">
        <v>10</v>
      </c>
    </row>
    <row r="815">
      <c r="A815" t="inlineStr">
        <is>
          <t>rue</t>
        </is>
      </c>
      <c r="B815" t="inlineStr">
        <is>
          <t>10/11</t>
        </is>
      </c>
      <c r="C815" t="inlineStr">
        <is>
          <t>TY</t>
        </is>
      </c>
      <c r="D815" t="n">
        <v>3</v>
      </c>
      <c r="E815" t="n">
        <v>2</v>
      </c>
      <c r="F815" t="n">
        <v>2</v>
      </c>
      <c r="G815" t="n">
        <v>5</v>
      </c>
      <c r="H815" t="n">
        <v>7</v>
      </c>
    </row>
    <row r="816">
      <c r="A816" t="inlineStr">
        <is>
          <t>rue</t>
        </is>
      </c>
      <c r="B816" t="inlineStr">
        <is>
          <t>10/11</t>
        </is>
      </c>
      <c r="C816" t="inlineStr">
        <is>
          <t>PARI</t>
        </is>
      </c>
      <c r="D816" t="n">
        <v>4</v>
      </c>
      <c r="E816" t="n">
        <v>3</v>
      </c>
      <c r="F816" t="n">
        <v>5</v>
      </c>
      <c r="G816" t="n">
        <v>7</v>
      </c>
      <c r="H816" t="n">
        <v>12</v>
      </c>
    </row>
    <row r="817">
      <c r="A817" t="inlineStr">
        <is>
          <t>rue</t>
        </is>
      </c>
      <c r="B817" t="inlineStr">
        <is>
          <t>10/10</t>
        </is>
      </c>
      <c r="C817" t="inlineStr">
        <is>
          <t>TY</t>
        </is>
      </c>
      <c r="D817" t="n">
        <v>1</v>
      </c>
      <c r="E817" t="n">
        <v>2</v>
      </c>
      <c r="F817" t="n">
        <v>0</v>
      </c>
      <c r="G817" t="n">
        <v>3</v>
      </c>
      <c r="H817" t="n">
        <v>3</v>
      </c>
    </row>
    <row r="818">
      <c r="A818" t="inlineStr">
        <is>
          <t>rue</t>
        </is>
      </c>
      <c r="B818" t="inlineStr">
        <is>
          <t>10/09</t>
        </is>
      </c>
      <c r="C818" t="inlineStr">
        <is>
          <t>AUR</t>
        </is>
      </c>
      <c r="D818" t="n">
        <v>6</v>
      </c>
      <c r="E818" t="n">
        <v>0</v>
      </c>
      <c r="F818" t="n">
        <v>1</v>
      </c>
      <c r="G818" t="n">
        <v>6</v>
      </c>
      <c r="H818" t="n">
        <v>7</v>
      </c>
    </row>
    <row r="819">
      <c r="A819" t="inlineStr">
        <is>
          <t>rue</t>
        </is>
      </c>
      <c r="B819" t="inlineStr">
        <is>
          <t>10/03</t>
        </is>
      </c>
      <c r="C819" t="inlineStr">
        <is>
          <t>TY</t>
        </is>
      </c>
      <c r="D819" t="n">
        <v>2</v>
      </c>
      <c r="E819" t="n">
        <v>1</v>
      </c>
      <c r="F819" t="n">
        <v>8</v>
      </c>
      <c r="G819" t="n">
        <v>3</v>
      </c>
      <c r="H819" t="n">
        <v>11</v>
      </c>
    </row>
    <row r="820">
      <c r="A820" t="inlineStr">
        <is>
          <t>rue</t>
        </is>
      </c>
      <c r="B820" t="inlineStr">
        <is>
          <t>09/30</t>
        </is>
      </c>
      <c r="C820" t="inlineStr">
        <is>
          <t>1WIN</t>
        </is>
      </c>
      <c r="D820" t="n">
        <v>2</v>
      </c>
      <c r="E820" t="n">
        <v>1</v>
      </c>
      <c r="F820" t="n">
        <v>0</v>
      </c>
      <c r="G820" t="n">
        <v>3</v>
      </c>
      <c r="H820" t="n">
        <v>3</v>
      </c>
    </row>
    <row r="821">
      <c r="A821" t="inlineStr">
        <is>
          <t>rue</t>
        </is>
      </c>
      <c r="B821" t="inlineStr">
        <is>
          <t>09/29</t>
        </is>
      </c>
      <c r="C821" t="inlineStr">
        <is>
          <t>Nem</t>
        </is>
      </c>
      <c r="D821" t="n">
        <v>2</v>
      </c>
      <c r="E821" t="n">
        <v>3</v>
      </c>
      <c r="F821" t="n">
        <v>1</v>
      </c>
      <c r="G821" t="n">
        <v>5</v>
      </c>
      <c r="H821" t="n">
        <v>6</v>
      </c>
    </row>
    <row r="822">
      <c r="A822" t="inlineStr">
        <is>
          <t>rue</t>
        </is>
      </c>
      <c r="B822" t="inlineStr">
        <is>
          <t>08/23</t>
        </is>
      </c>
      <c r="C822" t="inlineStr">
        <is>
          <t>VSN</t>
        </is>
      </c>
      <c r="D822" t="n">
        <v>2</v>
      </c>
      <c r="E822" t="n">
        <v>5</v>
      </c>
      <c r="F822" t="n">
        <v>1</v>
      </c>
      <c r="G822" t="n">
        <v>7</v>
      </c>
      <c r="H822" t="n">
        <v>8</v>
      </c>
    </row>
    <row r="823">
      <c r="A823" t="inlineStr">
        <is>
          <t>rue</t>
        </is>
      </c>
      <c r="B823" t="inlineStr">
        <is>
          <t>08/23</t>
        </is>
      </c>
      <c r="C823" t="inlineStr">
        <is>
          <t>TY</t>
        </is>
      </c>
      <c r="D823" t="n">
        <v>1</v>
      </c>
      <c r="E823" t="n">
        <v>2</v>
      </c>
      <c r="F823" t="n">
        <v>0</v>
      </c>
      <c r="G823" t="n">
        <v>3</v>
      </c>
      <c r="H823" t="n">
        <v>3</v>
      </c>
    </row>
    <row r="824">
      <c r="A824" t="inlineStr">
        <is>
          <t>rue</t>
        </is>
      </c>
      <c r="B824" t="inlineStr">
        <is>
          <t>08/22</t>
        </is>
      </c>
      <c r="C824" t="inlineStr">
        <is>
          <t>Liquid</t>
        </is>
      </c>
      <c r="D824" t="n">
        <v>2</v>
      </c>
      <c r="E824" t="n">
        <v>4</v>
      </c>
      <c r="F824" t="n">
        <v>0</v>
      </c>
      <c r="G824" t="n">
        <v>6</v>
      </c>
      <c r="H824" t="n">
        <v>6</v>
      </c>
    </row>
    <row r="825">
      <c r="A825" t="inlineStr">
        <is>
          <t>rue</t>
        </is>
      </c>
      <c r="B825" t="inlineStr">
        <is>
          <t>08/21</t>
        </is>
      </c>
      <c r="C825" t="inlineStr">
        <is>
          <t>VSN</t>
        </is>
      </c>
      <c r="D825" t="n">
        <v>2</v>
      </c>
      <c r="E825" t="n">
        <v>3</v>
      </c>
      <c r="F825" t="n">
        <v>0</v>
      </c>
      <c r="G825" t="n">
        <v>5</v>
      </c>
      <c r="H825" t="n">
        <v>5</v>
      </c>
    </row>
    <row r="826">
      <c r="A826" t="inlineStr">
        <is>
          <t>rue</t>
        </is>
      </c>
      <c r="B826" t="inlineStr">
        <is>
          <t>08/20</t>
        </is>
      </c>
      <c r="C826" t="inlineStr">
        <is>
          <t>IW</t>
        </is>
      </c>
      <c r="D826" t="n">
        <v>1</v>
      </c>
      <c r="E826" t="n">
        <v>2</v>
      </c>
      <c r="F826" t="n">
        <v>0</v>
      </c>
      <c r="G826" t="n">
        <v>3</v>
      </c>
      <c r="H826" t="n">
        <v>3</v>
      </c>
    </row>
    <row r="827">
      <c r="A827" t="inlineStr">
        <is>
          <t>Yatoro</t>
        </is>
      </c>
      <c r="B827" t="inlineStr">
        <is>
          <t>10/25</t>
        </is>
      </c>
      <c r="C827" t="inlineStr">
        <is>
          <t>AI</t>
        </is>
      </c>
      <c r="D827" t="n">
        <v>8</v>
      </c>
      <c r="E827" t="n">
        <v>9</v>
      </c>
      <c r="F827" t="n">
        <v>0</v>
      </c>
      <c r="G827" t="n">
        <v>17</v>
      </c>
      <c r="H827" t="n">
        <v>17</v>
      </c>
    </row>
    <row r="828">
      <c r="A828" t="inlineStr">
        <is>
          <t>Yatoro</t>
        </is>
      </c>
      <c r="B828" t="inlineStr">
        <is>
          <t>10/24</t>
        </is>
      </c>
      <c r="C828" t="inlineStr">
        <is>
          <t>BB</t>
        </is>
      </c>
      <c r="D828" t="n">
        <v>10</v>
      </c>
      <c r="E828" t="n">
        <v>11</v>
      </c>
      <c r="F828" t="n">
        <v>0</v>
      </c>
      <c r="G828" t="n">
        <v>21</v>
      </c>
      <c r="H828" t="n">
        <v>21</v>
      </c>
    </row>
    <row r="829">
      <c r="A829" t="inlineStr">
        <is>
          <t>Yatoro</t>
        </is>
      </c>
      <c r="B829" t="inlineStr">
        <is>
          <t>10/22</t>
        </is>
      </c>
      <c r="C829" t="inlineStr">
        <is>
          <t>LEGION</t>
        </is>
      </c>
      <c r="D829" t="n">
        <v>7</v>
      </c>
      <c r="E829" t="n">
        <v>17</v>
      </c>
      <c r="F829" t="n">
        <v>0</v>
      </c>
      <c r="G829" t="n">
        <v>24</v>
      </c>
      <c r="H829" t="n">
        <v>24</v>
      </c>
    </row>
    <row r="830">
      <c r="A830" t="inlineStr">
        <is>
          <t>Yatoro</t>
        </is>
      </c>
      <c r="B830" t="inlineStr">
        <is>
          <t>10/17</t>
        </is>
      </c>
      <c r="C830" t="inlineStr">
        <is>
          <t>Nix</t>
        </is>
      </c>
      <c r="D830" t="n">
        <v>12</v>
      </c>
      <c r="E830" t="n">
        <v>0</v>
      </c>
      <c r="F830" t="n">
        <v>0</v>
      </c>
      <c r="G830" t="n">
        <v>12</v>
      </c>
      <c r="H830" t="n">
        <v>12</v>
      </c>
    </row>
    <row r="831">
      <c r="A831" t="inlineStr">
        <is>
          <t>Yatoro</t>
        </is>
      </c>
      <c r="B831" t="inlineStr">
        <is>
          <t>10/17</t>
        </is>
      </c>
      <c r="C831" t="inlineStr">
        <is>
          <t>Stray</t>
        </is>
      </c>
      <c r="D831" t="n">
        <v>6</v>
      </c>
      <c r="E831" t="n">
        <v>1</v>
      </c>
      <c r="F831" t="n">
        <v>9</v>
      </c>
      <c r="G831" t="n">
        <v>7</v>
      </c>
      <c r="H831" t="n">
        <v>16</v>
      </c>
    </row>
    <row r="832">
      <c r="A832" t="inlineStr">
        <is>
          <t>Yatoro</t>
        </is>
      </c>
      <c r="B832" t="inlineStr">
        <is>
          <t>10/16</t>
        </is>
      </c>
      <c r="C832" t="inlineStr">
        <is>
          <t>KT</t>
        </is>
      </c>
      <c r="D832" t="n">
        <v>19</v>
      </c>
      <c r="E832" t="n">
        <v>7</v>
      </c>
      <c r="F832" t="n">
        <v>3</v>
      </c>
      <c r="G832" t="n">
        <v>26</v>
      </c>
      <c r="H832" t="n">
        <v>29</v>
      </c>
    </row>
    <row r="833">
      <c r="A833" t="inlineStr">
        <is>
          <t>Yatoro</t>
        </is>
      </c>
      <c r="B833" t="inlineStr">
        <is>
          <t>10/15</t>
        </is>
      </c>
      <c r="C833" t="inlineStr">
        <is>
          <t>KT</t>
        </is>
      </c>
      <c r="D833" t="n">
        <v>7</v>
      </c>
      <c r="E833" t="n">
        <v>2</v>
      </c>
      <c r="F833" t="n">
        <v>6</v>
      </c>
      <c r="G833" t="n">
        <v>9</v>
      </c>
      <c r="H833" t="n">
        <v>15</v>
      </c>
    </row>
    <row r="834">
      <c r="A834" t="inlineStr">
        <is>
          <t>Yatoro</t>
        </is>
      </c>
      <c r="B834" t="inlineStr">
        <is>
          <t>10/15</t>
        </is>
      </c>
      <c r="C834" t="inlineStr">
        <is>
          <t>Stray</t>
        </is>
      </c>
      <c r="D834" t="n">
        <v>17</v>
      </c>
      <c r="E834" t="n">
        <v>20</v>
      </c>
      <c r="F834" t="n">
        <v>0</v>
      </c>
      <c r="G834" t="n">
        <v>37</v>
      </c>
      <c r="H834" t="n">
        <v>37</v>
      </c>
    </row>
    <row r="835">
      <c r="A835" t="inlineStr">
        <is>
          <t>Yatoro</t>
        </is>
      </c>
      <c r="B835" t="inlineStr">
        <is>
          <t>10/14</t>
        </is>
      </c>
      <c r="C835" t="inlineStr">
        <is>
          <t>BOT</t>
        </is>
      </c>
      <c r="D835" t="n">
        <v>1</v>
      </c>
      <c r="E835" t="n">
        <v>4</v>
      </c>
      <c r="F835" t="n">
        <v>0</v>
      </c>
      <c r="G835" t="n">
        <v>5</v>
      </c>
      <c r="H835" t="n">
        <v>5</v>
      </c>
    </row>
    <row r="836">
      <c r="A836" t="inlineStr">
        <is>
          <t>Yatoro</t>
        </is>
      </c>
      <c r="B836" t="inlineStr">
        <is>
          <t>10/13</t>
        </is>
      </c>
      <c r="C836" t="inlineStr">
        <is>
          <t>BOT</t>
        </is>
      </c>
      <c r="D836" t="n">
        <v>6</v>
      </c>
      <c r="E836" t="n">
        <v>2</v>
      </c>
      <c r="F836" t="n">
        <v>1</v>
      </c>
      <c r="G836" t="n">
        <v>8</v>
      </c>
      <c r="H836" t="n">
        <v>9</v>
      </c>
    </row>
    <row r="837">
      <c r="A837" t="inlineStr">
        <is>
          <t>Yatoro</t>
        </is>
      </c>
      <c r="B837" t="inlineStr">
        <is>
          <t>10/13</t>
        </is>
      </c>
      <c r="C837" t="inlineStr">
        <is>
          <t>Stray</t>
        </is>
      </c>
      <c r="D837" t="n">
        <v>3</v>
      </c>
      <c r="E837" t="n">
        <v>6</v>
      </c>
      <c r="F837" t="n">
        <v>1</v>
      </c>
      <c r="G837" t="n">
        <v>9</v>
      </c>
      <c r="H837" t="n">
        <v>10</v>
      </c>
    </row>
    <row r="838">
      <c r="A838" t="inlineStr">
        <is>
          <t>Yatoro</t>
        </is>
      </c>
      <c r="B838" t="inlineStr">
        <is>
          <t>10/11</t>
        </is>
      </c>
      <c r="C838" t="inlineStr">
        <is>
          <t>TY</t>
        </is>
      </c>
      <c r="D838" t="n">
        <v>19</v>
      </c>
      <c r="E838" t="n">
        <v>7</v>
      </c>
      <c r="F838" t="n">
        <v>3</v>
      </c>
      <c r="G838" t="n">
        <v>26</v>
      </c>
      <c r="H838" t="n">
        <v>29</v>
      </c>
    </row>
    <row r="839">
      <c r="A839" t="inlineStr">
        <is>
          <t>Yatoro</t>
        </is>
      </c>
      <c r="B839" t="inlineStr">
        <is>
          <t>10/11</t>
        </is>
      </c>
      <c r="C839" t="inlineStr">
        <is>
          <t>PARI</t>
        </is>
      </c>
      <c r="D839" t="n">
        <v>7</v>
      </c>
      <c r="E839" t="n">
        <v>11</v>
      </c>
      <c r="F839" t="n">
        <v>10</v>
      </c>
      <c r="G839" t="n">
        <v>18</v>
      </c>
      <c r="H839" t="n">
        <v>28</v>
      </c>
    </row>
    <row r="840">
      <c r="A840" t="inlineStr">
        <is>
          <t>Yatoro</t>
        </is>
      </c>
      <c r="B840" t="inlineStr">
        <is>
          <t>10/10</t>
        </is>
      </c>
      <c r="C840" t="inlineStr">
        <is>
          <t>TY</t>
        </is>
      </c>
      <c r="D840" t="n">
        <v>5</v>
      </c>
      <c r="E840" t="n">
        <v>1</v>
      </c>
      <c r="F840" t="n">
        <v>0</v>
      </c>
      <c r="G840" t="n">
        <v>6</v>
      </c>
      <c r="H840" t="n">
        <v>6</v>
      </c>
    </row>
    <row r="841">
      <c r="A841" t="inlineStr">
        <is>
          <t>Yatoro</t>
        </is>
      </c>
      <c r="B841" t="inlineStr">
        <is>
          <t>10/09</t>
        </is>
      </c>
      <c r="C841" t="inlineStr">
        <is>
          <t>AUR</t>
        </is>
      </c>
      <c r="D841" t="n">
        <v>20</v>
      </c>
      <c r="E841" t="n">
        <v>6</v>
      </c>
      <c r="F841" t="n">
        <v>9</v>
      </c>
      <c r="G841" t="n">
        <v>26</v>
      </c>
      <c r="H841" t="n">
        <v>35</v>
      </c>
    </row>
    <row r="842">
      <c r="A842" t="inlineStr">
        <is>
          <t>Dire</t>
        </is>
      </c>
      <c r="B842" t="inlineStr">
        <is>
          <t>10/24</t>
        </is>
      </c>
      <c r="C842" t="inlineStr">
        <is>
          <t>IG</t>
        </is>
      </c>
      <c r="D842" t="n">
        <v>6</v>
      </c>
      <c r="E842" t="n">
        <v>0</v>
      </c>
      <c r="F842" t="n">
        <v>0</v>
      </c>
      <c r="G842" t="n">
        <v>6</v>
      </c>
      <c r="H842" t="n">
        <v>6</v>
      </c>
    </row>
    <row r="843">
      <c r="A843" t="inlineStr">
        <is>
          <t>Dire</t>
        </is>
      </c>
      <c r="B843" t="inlineStr">
        <is>
          <t>10/24</t>
        </is>
      </c>
      <c r="C843" t="inlineStr">
        <is>
          <t>LY</t>
        </is>
      </c>
      <c r="D843" t="n">
        <v>4</v>
      </c>
      <c r="E843" t="n">
        <v>0</v>
      </c>
      <c r="F843" t="n">
        <v>0</v>
      </c>
      <c r="G843" t="n">
        <v>4</v>
      </c>
      <c r="H843" t="n">
        <v>4</v>
      </c>
    </row>
    <row r="844">
      <c r="A844" t="inlineStr">
        <is>
          <t>Dire</t>
        </is>
      </c>
      <c r="B844" t="inlineStr">
        <is>
          <t>09/30</t>
        </is>
      </c>
      <c r="C844" t="inlineStr">
        <is>
          <t>TPE</t>
        </is>
      </c>
      <c r="D844" t="n">
        <v>10</v>
      </c>
      <c r="E844" t="n">
        <v>3</v>
      </c>
      <c r="F844" t="n">
        <v>0</v>
      </c>
      <c r="G844" t="n">
        <v>13</v>
      </c>
      <c r="H844" t="n">
        <v>13</v>
      </c>
    </row>
    <row r="845">
      <c r="A845" t="inlineStr">
        <is>
          <t>Dire</t>
        </is>
      </c>
      <c r="B845" t="inlineStr">
        <is>
          <t>09/29</t>
        </is>
      </c>
      <c r="C845" t="inlineStr">
        <is>
          <t>UAE</t>
        </is>
      </c>
      <c r="D845" t="n">
        <v>9</v>
      </c>
      <c r="E845" t="n">
        <v>0</v>
      </c>
      <c r="F845" t="n">
        <v>0</v>
      </c>
      <c r="G845" t="n">
        <v>9</v>
      </c>
      <c r="H845" t="n">
        <v>9</v>
      </c>
    </row>
    <row r="846">
      <c r="A846" t="inlineStr">
        <is>
          <t>Dire</t>
        </is>
      </c>
      <c r="B846" t="inlineStr">
        <is>
          <t>08/30</t>
        </is>
      </c>
      <c r="C846" t="inlineStr">
        <is>
          <t>CFO</t>
        </is>
      </c>
      <c r="D846" t="n">
        <v>7</v>
      </c>
      <c r="E846" t="n">
        <v>4</v>
      </c>
      <c r="F846" t="n">
        <v>4</v>
      </c>
      <c r="G846" t="n">
        <v>11</v>
      </c>
      <c r="H846" t="n">
        <v>15</v>
      </c>
    </row>
    <row r="847">
      <c r="A847" t="inlineStr">
        <is>
          <t>Dire</t>
        </is>
      </c>
      <c r="B847" t="inlineStr">
        <is>
          <t>08/23</t>
        </is>
      </c>
      <c r="C847" t="inlineStr">
        <is>
          <t>CFO</t>
        </is>
      </c>
      <c r="D847" t="n">
        <v>9</v>
      </c>
      <c r="E847" t="n">
        <v>6</v>
      </c>
      <c r="F847" t="n">
        <v>5</v>
      </c>
      <c r="G847" t="n">
        <v>15</v>
      </c>
      <c r="H847" t="n">
        <v>20</v>
      </c>
    </row>
    <row r="848">
      <c r="A848" t="inlineStr">
        <is>
          <t>Dire</t>
        </is>
      </c>
      <c r="B848" t="inlineStr">
        <is>
          <t>08/21</t>
        </is>
      </c>
      <c r="C848" t="inlineStr">
        <is>
          <t>GAM</t>
        </is>
      </c>
      <c r="D848" t="n">
        <v>5</v>
      </c>
      <c r="E848" t="n">
        <v>8</v>
      </c>
      <c r="F848" t="n">
        <v>2</v>
      </c>
      <c r="G848" t="n">
        <v>13</v>
      </c>
      <c r="H848" t="n">
        <v>15</v>
      </c>
    </row>
    <row r="849">
      <c r="A849" t="inlineStr">
        <is>
          <t>Dire</t>
        </is>
      </c>
      <c r="B849" t="inlineStr">
        <is>
          <t>08/16</t>
        </is>
      </c>
      <c r="C849" t="inlineStr">
        <is>
          <t>CFO</t>
        </is>
      </c>
      <c r="D849" t="n">
        <v>4</v>
      </c>
      <c r="E849" t="n">
        <v>0</v>
      </c>
      <c r="F849" t="n">
        <v>5</v>
      </c>
      <c r="G849" t="n">
        <v>4</v>
      </c>
      <c r="H849" t="n">
        <v>9</v>
      </c>
    </row>
    <row r="850">
      <c r="A850" t="inlineStr">
        <is>
          <t>Dire</t>
        </is>
      </c>
      <c r="B850" t="inlineStr">
        <is>
          <t>08/02</t>
        </is>
      </c>
      <c r="C850" t="inlineStr">
        <is>
          <t>CFO</t>
        </is>
      </c>
      <c r="D850" t="n">
        <v>3</v>
      </c>
      <c r="E850" t="n">
        <v>7</v>
      </c>
      <c r="F850" t="n">
        <v>6</v>
      </c>
      <c r="G850" t="n">
        <v>10</v>
      </c>
      <c r="H850" t="n">
        <v>16</v>
      </c>
    </row>
    <row r="851">
      <c r="A851" t="inlineStr">
        <is>
          <t>Dire</t>
        </is>
      </c>
      <c r="B851" t="inlineStr">
        <is>
          <t>07/31</t>
        </is>
      </c>
      <c r="C851" t="inlineStr">
        <is>
          <t>MVK</t>
        </is>
      </c>
      <c r="D851" t="n">
        <v>2</v>
      </c>
      <c r="E851" t="n">
        <v>6</v>
      </c>
      <c r="F851" t="n">
        <v>0</v>
      </c>
      <c r="G851" t="n">
        <v>8</v>
      </c>
      <c r="H851" t="n">
        <v>8</v>
      </c>
    </row>
    <row r="852">
      <c r="A852" t="inlineStr">
        <is>
          <t>Dire</t>
        </is>
      </c>
      <c r="B852" t="inlineStr">
        <is>
          <t>07/25</t>
        </is>
      </c>
      <c r="C852" t="inlineStr">
        <is>
          <t>SHG</t>
        </is>
      </c>
      <c r="D852" t="n">
        <v>5</v>
      </c>
      <c r="E852" t="n">
        <v>8</v>
      </c>
      <c r="F852" t="n">
        <v>0</v>
      </c>
      <c r="G852" t="n">
        <v>13</v>
      </c>
      <c r="H852" t="n">
        <v>13</v>
      </c>
    </row>
    <row r="853">
      <c r="A853" t="inlineStr">
        <is>
          <t>Dire</t>
        </is>
      </c>
      <c r="B853" t="inlineStr">
        <is>
          <t>07/15</t>
        </is>
      </c>
      <c r="C853" t="inlineStr">
        <is>
          <t>KC</t>
        </is>
      </c>
      <c r="D853" t="n">
        <v>2</v>
      </c>
      <c r="E853" t="n">
        <v>1</v>
      </c>
      <c r="F853" t="n">
        <v>2</v>
      </c>
      <c r="G853" t="n">
        <v>3</v>
      </c>
      <c r="H853" t="n">
        <v>5</v>
      </c>
    </row>
    <row r="854">
      <c r="A854" t="inlineStr">
        <is>
          <t>Dire</t>
        </is>
      </c>
      <c r="B854" t="inlineStr">
        <is>
          <t>07/15</t>
        </is>
      </c>
      <c r="C854" t="inlineStr">
        <is>
          <t>SEN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Dire</t>
        </is>
      </c>
      <c r="B855" t="inlineStr">
        <is>
          <t>07/08</t>
        </is>
      </c>
      <c r="C855" t="inlineStr">
        <is>
          <t>LY</t>
        </is>
      </c>
      <c r="D855" t="n">
        <v>1</v>
      </c>
      <c r="E855" t="n">
        <v>4</v>
      </c>
      <c r="F855" t="n">
        <v>4</v>
      </c>
      <c r="G855" t="n">
        <v>5</v>
      </c>
      <c r="H855" t="n">
        <v>9</v>
      </c>
    </row>
    <row r="856">
      <c r="A856" t="inlineStr">
        <is>
          <t>Dire</t>
        </is>
      </c>
      <c r="B856" t="inlineStr">
        <is>
          <t>07/05</t>
        </is>
      </c>
      <c r="C856" t="inlineStr">
        <is>
          <t>TES</t>
        </is>
      </c>
      <c r="D856" t="n">
        <v>10</v>
      </c>
      <c r="E856" t="n">
        <v>0</v>
      </c>
      <c r="F856" t="n">
        <v>3</v>
      </c>
      <c r="G856" t="n">
        <v>10</v>
      </c>
      <c r="H856" t="n">
        <v>13</v>
      </c>
    </row>
    <row r="857">
      <c r="A857" t="inlineStr">
        <is>
          <t>Eddie</t>
        </is>
      </c>
      <c r="B857" t="inlineStr">
        <is>
          <t>10/24</t>
        </is>
      </c>
      <c r="C857" t="inlineStr">
        <is>
          <t>IG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Eddie</t>
        </is>
      </c>
      <c r="B858" t="inlineStr">
        <is>
          <t>10/24</t>
        </is>
      </c>
      <c r="C858" t="inlineStr">
        <is>
          <t>LY</t>
        </is>
      </c>
      <c r="D858" t="n">
        <v>2</v>
      </c>
      <c r="E858" t="n">
        <v>0</v>
      </c>
      <c r="F858" t="n">
        <v>0</v>
      </c>
      <c r="G858" t="n">
        <v>2</v>
      </c>
      <c r="H858" t="n">
        <v>2</v>
      </c>
    </row>
    <row r="859">
      <c r="A859" t="inlineStr">
        <is>
          <t>Eddie</t>
        </is>
      </c>
      <c r="B859" t="inlineStr">
        <is>
          <t>09/30</t>
        </is>
      </c>
      <c r="C859" t="inlineStr">
        <is>
          <t>TPE</t>
        </is>
      </c>
      <c r="D859" t="n">
        <v>12</v>
      </c>
      <c r="E859" t="n">
        <v>2</v>
      </c>
      <c r="F859" t="n">
        <v>0</v>
      </c>
      <c r="G859" t="n">
        <v>14</v>
      </c>
      <c r="H859" t="n">
        <v>14</v>
      </c>
    </row>
    <row r="860">
      <c r="A860" t="inlineStr">
        <is>
          <t>Eddie</t>
        </is>
      </c>
      <c r="B860" t="inlineStr">
        <is>
          <t>09/29</t>
        </is>
      </c>
      <c r="C860" t="inlineStr">
        <is>
          <t>UAE</t>
        </is>
      </c>
      <c r="D860" t="n">
        <v>5</v>
      </c>
      <c r="E860" t="n">
        <v>0</v>
      </c>
      <c r="F860" t="n">
        <v>0</v>
      </c>
      <c r="G860" t="n">
        <v>5</v>
      </c>
      <c r="H860" t="n">
        <v>5</v>
      </c>
    </row>
    <row r="861">
      <c r="A861" t="inlineStr">
        <is>
          <t>Eddie</t>
        </is>
      </c>
      <c r="B861" t="inlineStr">
        <is>
          <t>08/30</t>
        </is>
      </c>
      <c r="C861" t="inlineStr">
        <is>
          <t>CFO</t>
        </is>
      </c>
      <c r="D861" t="n">
        <v>7</v>
      </c>
      <c r="E861" t="n">
        <v>3</v>
      </c>
      <c r="F861" t="n">
        <v>6</v>
      </c>
      <c r="G861" t="n">
        <v>10</v>
      </c>
      <c r="H861" t="n">
        <v>16</v>
      </c>
    </row>
    <row r="862">
      <c r="A862" t="inlineStr">
        <is>
          <t>Eddie</t>
        </is>
      </c>
      <c r="B862" t="inlineStr">
        <is>
          <t>08/23</t>
        </is>
      </c>
      <c r="C862" t="inlineStr">
        <is>
          <t>CFO</t>
        </is>
      </c>
      <c r="D862" t="n">
        <v>7</v>
      </c>
      <c r="E862" t="n">
        <v>6</v>
      </c>
      <c r="F862" t="n">
        <v>4</v>
      </c>
      <c r="G862" t="n">
        <v>13</v>
      </c>
      <c r="H862" t="n">
        <v>17</v>
      </c>
    </row>
    <row r="863">
      <c r="A863" t="inlineStr">
        <is>
          <t>Eddie</t>
        </is>
      </c>
      <c r="B863" t="inlineStr">
        <is>
          <t>08/21</t>
        </is>
      </c>
      <c r="C863" t="inlineStr">
        <is>
          <t>GAM</t>
        </is>
      </c>
      <c r="D863" t="n">
        <v>2</v>
      </c>
      <c r="E863" t="n">
        <v>10</v>
      </c>
      <c r="F863" t="n">
        <v>6</v>
      </c>
      <c r="G863" t="n">
        <v>12</v>
      </c>
      <c r="H863" t="n">
        <v>18</v>
      </c>
    </row>
    <row r="864">
      <c r="A864" t="inlineStr">
        <is>
          <t>Eddie</t>
        </is>
      </c>
      <c r="B864" t="inlineStr">
        <is>
          <t>08/16</t>
        </is>
      </c>
      <c r="C864" t="inlineStr">
        <is>
          <t>CFO</t>
        </is>
      </c>
      <c r="D864" t="n">
        <v>5</v>
      </c>
      <c r="E864" t="n">
        <v>2</v>
      </c>
      <c r="F864" t="n">
        <v>8</v>
      </c>
      <c r="G864" t="n">
        <v>7</v>
      </c>
      <c r="H864" t="n">
        <v>15</v>
      </c>
    </row>
    <row r="865">
      <c r="A865" t="inlineStr">
        <is>
          <t>Eddie</t>
        </is>
      </c>
      <c r="B865" t="inlineStr">
        <is>
          <t>08/02</t>
        </is>
      </c>
      <c r="C865" t="inlineStr">
        <is>
          <t>CFO</t>
        </is>
      </c>
      <c r="D865" t="n">
        <v>8</v>
      </c>
      <c r="E865" t="n">
        <v>4</v>
      </c>
      <c r="F865" t="n">
        <v>8</v>
      </c>
      <c r="G865" t="n">
        <v>12</v>
      </c>
      <c r="H865" t="n">
        <v>20</v>
      </c>
    </row>
    <row r="866">
      <c r="A866" t="inlineStr">
        <is>
          <t>Eddie</t>
        </is>
      </c>
      <c r="B866" t="inlineStr">
        <is>
          <t>07/31</t>
        </is>
      </c>
      <c r="C866" t="inlineStr">
        <is>
          <t>MVK</t>
        </is>
      </c>
      <c r="D866" t="n">
        <v>5</v>
      </c>
      <c r="E866" t="n">
        <v>8</v>
      </c>
      <c r="F866" t="n">
        <v>0</v>
      </c>
      <c r="G866" t="n">
        <v>13</v>
      </c>
      <c r="H866" t="n">
        <v>13</v>
      </c>
    </row>
    <row r="867">
      <c r="A867" t="inlineStr">
        <is>
          <t>Eddie</t>
        </is>
      </c>
      <c r="B867" t="inlineStr">
        <is>
          <t>07/25</t>
        </is>
      </c>
      <c r="C867" t="inlineStr">
        <is>
          <t>SHG</t>
        </is>
      </c>
      <c r="D867" t="n">
        <v>2</v>
      </c>
      <c r="E867" t="n">
        <v>1</v>
      </c>
      <c r="F867" t="n">
        <v>0</v>
      </c>
      <c r="G867" t="n">
        <v>3</v>
      </c>
      <c r="H867" t="n">
        <v>3</v>
      </c>
    </row>
    <row r="868">
      <c r="A868" t="inlineStr">
        <is>
          <t>Eddie</t>
        </is>
      </c>
      <c r="B868" t="inlineStr">
        <is>
          <t>07/15</t>
        </is>
      </c>
      <c r="C868" t="inlineStr">
        <is>
          <t>KC</t>
        </is>
      </c>
      <c r="D868" t="n">
        <v>4</v>
      </c>
      <c r="E868" t="n">
        <v>7</v>
      </c>
      <c r="F868" t="n">
        <v>3</v>
      </c>
      <c r="G868" t="n">
        <v>11</v>
      </c>
      <c r="H868" t="n">
        <v>14</v>
      </c>
    </row>
    <row r="869">
      <c r="A869" t="inlineStr">
        <is>
          <t>Eddie</t>
        </is>
      </c>
      <c r="B869" t="inlineStr">
        <is>
          <t>07/15</t>
        </is>
      </c>
      <c r="C869" t="inlineStr">
        <is>
          <t>SEN</t>
        </is>
      </c>
      <c r="D869" t="n">
        <v>2</v>
      </c>
      <c r="E869" t="n">
        <v>0</v>
      </c>
      <c r="F869" t="n">
        <v>0</v>
      </c>
      <c r="G869" t="n">
        <v>2</v>
      </c>
      <c r="H869" t="n">
        <v>2</v>
      </c>
    </row>
    <row r="870">
      <c r="A870" t="inlineStr">
        <is>
          <t>Eddie</t>
        </is>
      </c>
      <c r="B870" t="inlineStr">
        <is>
          <t>07/08</t>
        </is>
      </c>
      <c r="C870" t="inlineStr">
        <is>
          <t>LY</t>
        </is>
      </c>
      <c r="D870" t="n">
        <v>5</v>
      </c>
      <c r="E870" t="n">
        <v>1</v>
      </c>
      <c r="F870" t="n">
        <v>2</v>
      </c>
      <c r="G870" t="n">
        <v>6</v>
      </c>
      <c r="H870" t="n">
        <v>8</v>
      </c>
    </row>
    <row r="871">
      <c r="A871" t="inlineStr">
        <is>
          <t>Eddie</t>
        </is>
      </c>
      <c r="B871" t="inlineStr">
        <is>
          <t>07/05</t>
        </is>
      </c>
      <c r="C871" t="inlineStr">
        <is>
          <t>TES</t>
        </is>
      </c>
      <c r="D871" t="n">
        <v>2</v>
      </c>
      <c r="E871" t="n">
        <v>1</v>
      </c>
      <c r="F871" t="n">
        <v>7</v>
      </c>
      <c r="G871" t="n">
        <v>3</v>
      </c>
      <c r="H871" t="n">
        <v>10</v>
      </c>
    </row>
    <row r="872">
      <c r="A872" t="inlineStr">
        <is>
          <t>Hizto</t>
        </is>
      </c>
      <c r="B872" t="inlineStr">
        <is>
          <t>10/24</t>
        </is>
      </c>
      <c r="C872" t="inlineStr">
        <is>
          <t>IG</t>
        </is>
      </c>
      <c r="D872" t="n">
        <v>2</v>
      </c>
      <c r="E872" t="n">
        <v>0</v>
      </c>
      <c r="F872" t="n">
        <v>0</v>
      </c>
      <c r="G872" t="n">
        <v>2</v>
      </c>
      <c r="H872" t="n">
        <v>2</v>
      </c>
    </row>
    <row r="873">
      <c r="A873" t="inlineStr">
        <is>
          <t>Hizto</t>
        </is>
      </c>
      <c r="B873" t="inlineStr">
        <is>
          <t>10/24</t>
        </is>
      </c>
      <c r="C873" t="inlineStr">
        <is>
          <t>LY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Hizto</t>
        </is>
      </c>
      <c r="B874" t="inlineStr">
        <is>
          <t>09/30</t>
        </is>
      </c>
      <c r="C874" t="inlineStr">
        <is>
          <t>TPE</t>
        </is>
      </c>
      <c r="D874" t="n">
        <v>4</v>
      </c>
      <c r="E874" t="n">
        <v>3</v>
      </c>
      <c r="F874" t="n">
        <v>0</v>
      </c>
      <c r="G874" t="n">
        <v>7</v>
      </c>
      <c r="H874" t="n">
        <v>7</v>
      </c>
    </row>
    <row r="875">
      <c r="A875" t="inlineStr">
        <is>
          <t>Hizto</t>
        </is>
      </c>
      <c r="B875" t="inlineStr">
        <is>
          <t>09/29</t>
        </is>
      </c>
      <c r="C875" t="inlineStr">
        <is>
          <t>UAE</t>
        </is>
      </c>
      <c r="D875" t="n">
        <v>11</v>
      </c>
      <c r="E875" t="n">
        <v>0</v>
      </c>
      <c r="F875" t="n">
        <v>0</v>
      </c>
      <c r="G875" t="n">
        <v>11</v>
      </c>
      <c r="H875" t="n">
        <v>11</v>
      </c>
    </row>
    <row r="876">
      <c r="A876" t="inlineStr">
        <is>
          <t>Hizto</t>
        </is>
      </c>
      <c r="B876" t="inlineStr">
        <is>
          <t>08/30</t>
        </is>
      </c>
      <c r="C876" t="inlineStr">
        <is>
          <t>CFO</t>
        </is>
      </c>
      <c r="D876" t="n">
        <v>4</v>
      </c>
      <c r="E876" t="n">
        <v>2</v>
      </c>
      <c r="F876" t="n">
        <v>5</v>
      </c>
      <c r="G876" t="n">
        <v>6</v>
      </c>
      <c r="H876" t="n">
        <v>11</v>
      </c>
    </row>
    <row r="877">
      <c r="A877" t="inlineStr">
        <is>
          <t>Hizto</t>
        </is>
      </c>
      <c r="B877" t="inlineStr">
        <is>
          <t>08/23</t>
        </is>
      </c>
      <c r="C877" t="inlineStr">
        <is>
          <t>CFO</t>
        </is>
      </c>
      <c r="D877" t="n">
        <v>4</v>
      </c>
      <c r="E877" t="n">
        <v>8</v>
      </c>
      <c r="F877" t="n">
        <v>5</v>
      </c>
      <c r="G877" t="n">
        <v>12</v>
      </c>
      <c r="H877" t="n">
        <v>17</v>
      </c>
    </row>
    <row r="878">
      <c r="A878" t="inlineStr">
        <is>
          <t>Hizto</t>
        </is>
      </c>
      <c r="B878" t="inlineStr">
        <is>
          <t>08/21</t>
        </is>
      </c>
      <c r="C878" t="inlineStr">
        <is>
          <t>GAM</t>
        </is>
      </c>
      <c r="D878" t="n">
        <v>1</v>
      </c>
      <c r="E878" t="n">
        <v>4</v>
      </c>
      <c r="F878" t="n">
        <v>9</v>
      </c>
      <c r="G878" t="n">
        <v>5</v>
      </c>
      <c r="H878" t="n">
        <v>14</v>
      </c>
    </row>
    <row r="879">
      <c r="A879" t="inlineStr">
        <is>
          <t>Hizto</t>
        </is>
      </c>
      <c r="B879" t="inlineStr">
        <is>
          <t>08/16</t>
        </is>
      </c>
      <c r="C879" t="inlineStr">
        <is>
          <t>CFO</t>
        </is>
      </c>
      <c r="D879" t="n">
        <v>2</v>
      </c>
      <c r="E879" t="n">
        <v>2</v>
      </c>
      <c r="F879" t="n">
        <v>9</v>
      </c>
      <c r="G879" t="n">
        <v>4</v>
      </c>
      <c r="H879" t="n">
        <v>13</v>
      </c>
    </row>
    <row r="880">
      <c r="A880" t="inlineStr">
        <is>
          <t>Hizto</t>
        </is>
      </c>
      <c r="B880" t="inlineStr">
        <is>
          <t>08/02</t>
        </is>
      </c>
      <c r="C880" t="inlineStr">
        <is>
          <t>CFO</t>
        </is>
      </c>
      <c r="D880" t="n">
        <v>9</v>
      </c>
      <c r="E880" t="n">
        <v>5</v>
      </c>
      <c r="F880" t="n">
        <v>5</v>
      </c>
      <c r="G880" t="n">
        <v>14</v>
      </c>
      <c r="H880" t="n">
        <v>19</v>
      </c>
    </row>
    <row r="881">
      <c r="A881" t="inlineStr">
        <is>
          <t>Hizto</t>
        </is>
      </c>
      <c r="B881" t="inlineStr">
        <is>
          <t>07/31</t>
        </is>
      </c>
      <c r="C881" t="inlineStr">
        <is>
          <t>MVK</t>
        </is>
      </c>
      <c r="D881" t="n">
        <v>7</v>
      </c>
      <c r="E881" t="n">
        <v>7</v>
      </c>
      <c r="F881" t="n">
        <v>0</v>
      </c>
      <c r="G881" t="n">
        <v>14</v>
      </c>
      <c r="H881" t="n">
        <v>14</v>
      </c>
    </row>
    <row r="882">
      <c r="A882" t="inlineStr">
        <is>
          <t>Hizto</t>
        </is>
      </c>
      <c r="B882" t="inlineStr">
        <is>
          <t>07/25</t>
        </is>
      </c>
      <c r="C882" t="inlineStr">
        <is>
          <t>SHG</t>
        </is>
      </c>
      <c r="D882" t="n">
        <v>3</v>
      </c>
      <c r="E882" t="n">
        <v>8</v>
      </c>
      <c r="F882" t="n">
        <v>0</v>
      </c>
      <c r="G882" t="n">
        <v>11</v>
      </c>
      <c r="H882" t="n">
        <v>11</v>
      </c>
    </row>
    <row r="883">
      <c r="A883" t="inlineStr">
        <is>
          <t>Hizto</t>
        </is>
      </c>
      <c r="B883" t="inlineStr">
        <is>
          <t>07/15</t>
        </is>
      </c>
      <c r="C883" t="inlineStr">
        <is>
          <t>KC</t>
        </is>
      </c>
      <c r="D883" t="n">
        <v>0</v>
      </c>
      <c r="E883" t="n">
        <v>8</v>
      </c>
      <c r="F883" t="n">
        <v>0</v>
      </c>
      <c r="G883" t="n">
        <v>8</v>
      </c>
      <c r="H883" t="n">
        <v>8</v>
      </c>
    </row>
    <row r="884">
      <c r="A884" t="inlineStr">
        <is>
          <t>Hizto</t>
        </is>
      </c>
      <c r="B884" t="inlineStr">
        <is>
          <t>07/15</t>
        </is>
      </c>
      <c r="C884" t="inlineStr">
        <is>
          <t>SEN</t>
        </is>
      </c>
      <c r="D884" t="n">
        <v>4</v>
      </c>
      <c r="E884" t="n">
        <v>0</v>
      </c>
      <c r="F884" t="n">
        <v>0</v>
      </c>
      <c r="G884" t="n">
        <v>4</v>
      </c>
      <c r="H884" t="n">
        <v>4</v>
      </c>
    </row>
    <row r="885">
      <c r="A885" t="inlineStr">
        <is>
          <t>Hizto</t>
        </is>
      </c>
      <c r="B885" t="inlineStr">
        <is>
          <t>07/08</t>
        </is>
      </c>
      <c r="C885" t="inlineStr">
        <is>
          <t>LY</t>
        </is>
      </c>
      <c r="D885" t="n">
        <v>2</v>
      </c>
      <c r="E885" t="n">
        <v>1</v>
      </c>
      <c r="F885" t="n">
        <v>1</v>
      </c>
      <c r="G885" t="n">
        <v>3</v>
      </c>
      <c r="H885" t="n">
        <v>4</v>
      </c>
    </row>
    <row r="886">
      <c r="A886" t="inlineStr">
        <is>
          <t>Hizto</t>
        </is>
      </c>
      <c r="B886" t="inlineStr">
        <is>
          <t>07/05</t>
        </is>
      </c>
      <c r="C886" t="inlineStr">
        <is>
          <t>TES</t>
        </is>
      </c>
      <c r="D886" t="n">
        <v>9</v>
      </c>
      <c r="E886" t="n">
        <v>2</v>
      </c>
      <c r="F886" t="n">
        <v>3</v>
      </c>
      <c r="G886" t="n">
        <v>11</v>
      </c>
      <c r="H886" t="n">
        <v>14</v>
      </c>
    </row>
    <row r="887">
      <c r="A887" t="inlineStr">
        <is>
          <t>Pun</t>
        </is>
      </c>
      <c r="B887" t="inlineStr">
        <is>
          <t>10/24</t>
        </is>
      </c>
      <c r="C887" t="inlineStr">
        <is>
          <t>IG</t>
        </is>
      </c>
      <c r="D887" t="n">
        <v>4</v>
      </c>
      <c r="E887" t="n">
        <v>0</v>
      </c>
      <c r="F887" t="n">
        <v>0</v>
      </c>
      <c r="G887" t="n">
        <v>4</v>
      </c>
      <c r="H887" t="n">
        <v>4</v>
      </c>
    </row>
    <row r="888">
      <c r="A888" t="inlineStr">
        <is>
          <t>Pun</t>
        </is>
      </c>
      <c r="B888" t="inlineStr">
        <is>
          <t>10/24</t>
        </is>
      </c>
      <c r="C888" t="inlineStr">
        <is>
          <t>LY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Pun</t>
        </is>
      </c>
      <c r="B889" t="inlineStr">
        <is>
          <t>09/30</t>
        </is>
      </c>
      <c r="C889" t="inlineStr">
        <is>
          <t>TPE</t>
        </is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</row>
    <row r="890">
      <c r="A890" t="inlineStr">
        <is>
          <t>Pun</t>
        </is>
      </c>
      <c r="B890" t="inlineStr">
        <is>
          <t>09/29</t>
        </is>
      </c>
      <c r="C890" t="inlineStr">
        <is>
          <t>UAE</t>
        </is>
      </c>
      <c r="D890" t="n">
        <v>5</v>
      </c>
      <c r="E890" t="n">
        <v>0</v>
      </c>
      <c r="F890" t="n">
        <v>0</v>
      </c>
      <c r="G890" t="n">
        <v>5</v>
      </c>
      <c r="H890" t="n">
        <v>5</v>
      </c>
    </row>
    <row r="891">
      <c r="A891" t="inlineStr">
        <is>
          <t>Pun</t>
        </is>
      </c>
      <c r="B891" t="inlineStr">
        <is>
          <t>08/30</t>
        </is>
      </c>
      <c r="C891" t="inlineStr">
        <is>
          <t>CFO</t>
        </is>
      </c>
      <c r="D891" t="n">
        <v>5</v>
      </c>
      <c r="E891" t="n">
        <v>1</v>
      </c>
      <c r="F891" t="n">
        <v>4</v>
      </c>
      <c r="G891" t="n">
        <v>6</v>
      </c>
      <c r="H891" t="n">
        <v>10</v>
      </c>
    </row>
    <row r="892">
      <c r="A892" t="inlineStr">
        <is>
          <t>Pun</t>
        </is>
      </c>
      <c r="B892" t="inlineStr">
        <is>
          <t>08/23</t>
        </is>
      </c>
      <c r="C892" t="inlineStr">
        <is>
          <t>CFO</t>
        </is>
      </c>
      <c r="D892" t="n">
        <v>2</v>
      </c>
      <c r="E892" t="n">
        <v>3</v>
      </c>
      <c r="F892" t="n">
        <v>1</v>
      </c>
      <c r="G892" t="n">
        <v>5</v>
      </c>
      <c r="H892" t="n">
        <v>6</v>
      </c>
    </row>
    <row r="893">
      <c r="A893" t="inlineStr">
        <is>
          <t>Pun</t>
        </is>
      </c>
      <c r="B893" t="inlineStr">
        <is>
          <t>08/21</t>
        </is>
      </c>
      <c r="C893" t="inlineStr">
        <is>
          <t>GAM</t>
        </is>
      </c>
      <c r="D893" t="n">
        <v>3</v>
      </c>
      <c r="E893" t="n">
        <v>0</v>
      </c>
      <c r="F893" t="n">
        <v>4</v>
      </c>
      <c r="G893" t="n">
        <v>3</v>
      </c>
      <c r="H893" t="n">
        <v>7</v>
      </c>
    </row>
    <row r="894">
      <c r="A894" t="inlineStr">
        <is>
          <t>Pun</t>
        </is>
      </c>
      <c r="B894" t="inlineStr">
        <is>
          <t>08/16</t>
        </is>
      </c>
      <c r="C894" t="inlineStr">
        <is>
          <t>CFO</t>
        </is>
      </c>
      <c r="D894" t="n">
        <v>6</v>
      </c>
      <c r="E894" t="n">
        <v>1</v>
      </c>
      <c r="F894" t="n">
        <v>6</v>
      </c>
      <c r="G894" t="n">
        <v>7</v>
      </c>
      <c r="H894" t="n">
        <v>13</v>
      </c>
    </row>
    <row r="895">
      <c r="A895" t="inlineStr">
        <is>
          <t>Pun</t>
        </is>
      </c>
      <c r="B895" t="inlineStr">
        <is>
          <t>08/02</t>
        </is>
      </c>
      <c r="C895" t="inlineStr">
        <is>
          <t>CFO</t>
        </is>
      </c>
      <c r="D895" t="n">
        <v>1</v>
      </c>
      <c r="E895" t="n">
        <v>1</v>
      </c>
      <c r="F895" t="n">
        <v>2</v>
      </c>
      <c r="G895" t="n">
        <v>2</v>
      </c>
      <c r="H895" t="n">
        <v>4</v>
      </c>
    </row>
    <row r="896">
      <c r="A896" t="inlineStr">
        <is>
          <t>Pun</t>
        </is>
      </c>
      <c r="B896" t="inlineStr">
        <is>
          <t>07/31</t>
        </is>
      </c>
      <c r="C896" t="inlineStr">
        <is>
          <t>MVK</t>
        </is>
      </c>
      <c r="D896" t="n">
        <v>4</v>
      </c>
      <c r="E896" t="n">
        <v>3</v>
      </c>
      <c r="F896" t="n">
        <v>0</v>
      </c>
      <c r="G896" t="n">
        <v>7</v>
      </c>
      <c r="H896" t="n">
        <v>7</v>
      </c>
    </row>
    <row r="897">
      <c r="A897" t="inlineStr">
        <is>
          <t>Pun</t>
        </is>
      </c>
      <c r="B897" t="inlineStr">
        <is>
          <t>07/25</t>
        </is>
      </c>
      <c r="C897" t="inlineStr">
        <is>
          <t>SHG</t>
        </is>
      </c>
      <c r="D897" t="n">
        <v>7</v>
      </c>
      <c r="E897" t="n">
        <v>6</v>
      </c>
      <c r="F897" t="n">
        <v>0</v>
      </c>
      <c r="G897" t="n">
        <v>13</v>
      </c>
      <c r="H897" t="n">
        <v>13</v>
      </c>
    </row>
    <row r="898">
      <c r="A898" t="inlineStr">
        <is>
          <t>Pun</t>
        </is>
      </c>
      <c r="B898" t="inlineStr">
        <is>
          <t>07/15</t>
        </is>
      </c>
      <c r="C898" t="inlineStr">
        <is>
          <t>KC</t>
        </is>
      </c>
      <c r="D898" t="n">
        <v>5</v>
      </c>
      <c r="E898" t="n">
        <v>1</v>
      </c>
      <c r="F898" t="n">
        <v>0</v>
      </c>
      <c r="G898" t="n">
        <v>6</v>
      </c>
      <c r="H898" t="n">
        <v>6</v>
      </c>
    </row>
    <row r="899">
      <c r="A899" t="inlineStr">
        <is>
          <t>Pun</t>
        </is>
      </c>
      <c r="B899" t="inlineStr">
        <is>
          <t>07/15</t>
        </is>
      </c>
      <c r="C899" t="inlineStr">
        <is>
          <t>SEN</t>
        </is>
      </c>
      <c r="D899" t="n">
        <v>2</v>
      </c>
      <c r="E899" t="n">
        <v>0</v>
      </c>
      <c r="F899" t="n">
        <v>0</v>
      </c>
      <c r="G899" t="n">
        <v>2</v>
      </c>
      <c r="H899" t="n">
        <v>2</v>
      </c>
    </row>
    <row r="900">
      <c r="A900" t="inlineStr">
        <is>
          <t>Pun</t>
        </is>
      </c>
      <c r="B900" t="inlineStr">
        <is>
          <t>07/08</t>
        </is>
      </c>
      <c r="C900" t="inlineStr">
        <is>
          <t>LY</t>
        </is>
      </c>
      <c r="D900" t="n">
        <v>1</v>
      </c>
      <c r="E900" t="n">
        <v>1</v>
      </c>
      <c r="F900" t="n">
        <v>4</v>
      </c>
      <c r="G900" t="n">
        <v>2</v>
      </c>
      <c r="H900" t="n">
        <v>6</v>
      </c>
    </row>
    <row r="901">
      <c r="A901" t="inlineStr">
        <is>
          <t>Pun</t>
        </is>
      </c>
      <c r="B901" t="inlineStr">
        <is>
          <t>07/05</t>
        </is>
      </c>
      <c r="C901" t="inlineStr">
        <is>
          <t>TES</t>
        </is>
      </c>
      <c r="D901" t="n">
        <v>7</v>
      </c>
      <c r="E901" t="n">
        <v>0</v>
      </c>
      <c r="F901" t="n">
        <v>5</v>
      </c>
      <c r="G901" t="n">
        <v>7</v>
      </c>
      <c r="H901" t="n">
        <v>12</v>
      </c>
    </row>
    <row r="902">
      <c r="A902" t="inlineStr">
        <is>
          <t>ATF</t>
        </is>
      </c>
      <c r="B902" t="inlineStr">
        <is>
          <t>10/25</t>
        </is>
      </c>
      <c r="C902" t="inlineStr">
        <is>
          <t>1WIN</t>
        </is>
      </c>
      <c r="D902" t="n">
        <v>10</v>
      </c>
      <c r="E902" t="n">
        <v>8</v>
      </c>
      <c r="F902" t="n">
        <v>0</v>
      </c>
      <c r="G902" t="n">
        <v>18</v>
      </c>
      <c r="H902" t="n">
        <v>18</v>
      </c>
    </row>
    <row r="903">
      <c r="A903" t="inlineStr">
        <is>
          <t>ATF</t>
        </is>
      </c>
      <c r="B903" t="inlineStr">
        <is>
          <t>10/24</t>
        </is>
      </c>
      <c r="C903" t="inlineStr">
        <is>
          <t>DB</t>
        </is>
      </c>
      <c r="D903" t="n">
        <v>9</v>
      </c>
      <c r="E903" t="n">
        <v>12</v>
      </c>
      <c r="F903" t="n">
        <v>0</v>
      </c>
      <c r="G903" t="n">
        <v>21</v>
      </c>
      <c r="H903" t="n">
        <v>21</v>
      </c>
    </row>
    <row r="904">
      <c r="A904" t="inlineStr">
        <is>
          <t>ATF</t>
        </is>
      </c>
      <c r="B904" t="inlineStr">
        <is>
          <t>10/24</t>
        </is>
      </c>
      <c r="C904" t="inlineStr">
        <is>
          <t>OG</t>
        </is>
      </c>
      <c r="D904" t="n">
        <v>11</v>
      </c>
      <c r="E904" t="n">
        <v>18</v>
      </c>
      <c r="F904" t="n">
        <v>0</v>
      </c>
      <c r="G904" t="n">
        <v>29</v>
      </c>
      <c r="H904" t="n">
        <v>29</v>
      </c>
    </row>
    <row r="905">
      <c r="A905" t="inlineStr">
        <is>
          <t>ATF</t>
        </is>
      </c>
      <c r="B905" t="inlineStr">
        <is>
          <t>10/11</t>
        </is>
      </c>
      <c r="C905" t="inlineStr">
        <is>
          <t>TS</t>
        </is>
      </c>
      <c r="D905" t="n">
        <v>4</v>
      </c>
      <c r="E905" t="n">
        <v>20</v>
      </c>
      <c r="F905" t="n">
        <v>8</v>
      </c>
      <c r="G905" t="n">
        <v>24</v>
      </c>
      <c r="H905" t="n">
        <v>32</v>
      </c>
    </row>
    <row r="906">
      <c r="A906" t="inlineStr">
        <is>
          <t>ATF</t>
        </is>
      </c>
      <c r="B906" t="inlineStr">
        <is>
          <t>10/10</t>
        </is>
      </c>
      <c r="C906" t="inlineStr">
        <is>
          <t>TS</t>
        </is>
      </c>
      <c r="D906" t="n">
        <v>11</v>
      </c>
      <c r="E906" t="n">
        <v>15</v>
      </c>
      <c r="F906" t="n">
        <v>0</v>
      </c>
      <c r="G906" t="n">
        <v>26</v>
      </c>
      <c r="H906" t="n">
        <v>26</v>
      </c>
    </row>
    <row r="907">
      <c r="A907" t="inlineStr">
        <is>
          <t>ATF</t>
        </is>
      </c>
      <c r="B907" t="inlineStr">
        <is>
          <t>10/08</t>
        </is>
      </c>
      <c r="C907" t="inlineStr">
        <is>
          <t>PARI</t>
        </is>
      </c>
      <c r="D907" t="n">
        <v>4</v>
      </c>
      <c r="E907" t="n">
        <v>6</v>
      </c>
      <c r="F907" t="n">
        <v>11</v>
      </c>
      <c r="G907" t="n">
        <v>10</v>
      </c>
      <c r="H907" t="n">
        <v>21</v>
      </c>
    </row>
    <row r="908">
      <c r="A908" t="inlineStr">
        <is>
          <t>ATF</t>
        </is>
      </c>
      <c r="B908" t="inlineStr">
        <is>
          <t>10/08</t>
        </is>
      </c>
      <c r="C908" t="inlineStr">
        <is>
          <t>LGD</t>
        </is>
      </c>
      <c r="D908" t="n">
        <v>11</v>
      </c>
      <c r="E908" t="n">
        <v>2</v>
      </c>
      <c r="F908" t="n">
        <v>4</v>
      </c>
      <c r="G908" t="n">
        <v>13</v>
      </c>
      <c r="H908" t="n">
        <v>17</v>
      </c>
    </row>
    <row r="909">
      <c r="A909" t="inlineStr">
        <is>
          <t>ATF</t>
        </is>
      </c>
      <c r="B909" t="inlineStr">
        <is>
          <t>10/03</t>
        </is>
      </c>
      <c r="C909" t="inlineStr">
        <is>
          <t>TS</t>
        </is>
      </c>
      <c r="D909" t="n">
        <v>10</v>
      </c>
      <c r="E909" t="n">
        <v>5</v>
      </c>
      <c r="F909" t="n">
        <v>9</v>
      </c>
      <c r="G909" t="n">
        <v>15</v>
      </c>
      <c r="H909" t="n">
        <v>24</v>
      </c>
    </row>
    <row r="910">
      <c r="A910" t="inlineStr">
        <is>
          <t>ATF</t>
        </is>
      </c>
      <c r="B910" t="inlineStr">
        <is>
          <t>10/01</t>
        </is>
      </c>
      <c r="C910" t="inlineStr">
        <is>
          <t>BB</t>
        </is>
      </c>
      <c r="D910" t="n">
        <v>12</v>
      </c>
      <c r="E910" t="n">
        <v>11</v>
      </c>
      <c r="F910" t="n">
        <v>0</v>
      </c>
      <c r="G910" t="n">
        <v>23</v>
      </c>
      <c r="H910" t="n">
        <v>23</v>
      </c>
    </row>
    <row r="911">
      <c r="A911" t="inlineStr">
        <is>
          <t>ATF</t>
        </is>
      </c>
      <c r="B911" t="inlineStr">
        <is>
          <t>09/30</t>
        </is>
      </c>
      <c r="C911" t="inlineStr">
        <is>
          <t>MOUZ</t>
        </is>
      </c>
      <c r="D911" t="n">
        <v>7</v>
      </c>
      <c r="E911" t="n">
        <v>6</v>
      </c>
      <c r="F911" t="n">
        <v>0</v>
      </c>
      <c r="G911" t="n">
        <v>13</v>
      </c>
      <c r="H911" t="n">
        <v>13</v>
      </c>
    </row>
    <row r="912">
      <c r="A912" t="inlineStr">
        <is>
          <t>ATF</t>
        </is>
      </c>
      <c r="B912" t="inlineStr">
        <is>
          <t>09/27</t>
        </is>
      </c>
      <c r="C912" t="inlineStr">
        <is>
          <t>Na`Vi</t>
        </is>
      </c>
      <c r="D912" t="n">
        <v>6</v>
      </c>
      <c r="E912" t="n">
        <v>10</v>
      </c>
      <c r="F912" t="n">
        <v>5</v>
      </c>
      <c r="G912" t="n">
        <v>16</v>
      </c>
      <c r="H912" t="n">
        <v>21</v>
      </c>
    </row>
    <row r="913">
      <c r="A913" t="inlineStr">
        <is>
          <t>ATF</t>
        </is>
      </c>
      <c r="B913" t="inlineStr">
        <is>
          <t>09/26</t>
        </is>
      </c>
      <c r="C913" t="inlineStr">
        <is>
          <t>LGD</t>
        </is>
      </c>
      <c r="D913" t="n">
        <v>14</v>
      </c>
      <c r="E913" t="n">
        <v>16</v>
      </c>
      <c r="F913" t="n">
        <v>0</v>
      </c>
      <c r="G913" t="n">
        <v>30</v>
      </c>
      <c r="H913" t="n">
        <v>30</v>
      </c>
    </row>
    <row r="914">
      <c r="A914" t="inlineStr">
        <is>
          <t>ATF</t>
        </is>
      </c>
      <c r="B914" t="inlineStr">
        <is>
          <t>09/25</t>
        </is>
      </c>
      <c r="C914" t="inlineStr">
        <is>
          <t>AUR</t>
        </is>
      </c>
      <c r="D914" t="n">
        <v>1</v>
      </c>
      <c r="E914" t="n">
        <v>9</v>
      </c>
      <c r="F914" t="n">
        <v>5</v>
      </c>
      <c r="G914" t="n">
        <v>10</v>
      </c>
      <c r="H914" t="n">
        <v>15</v>
      </c>
    </row>
    <row r="915">
      <c r="A915" t="inlineStr">
        <is>
          <t>ATF</t>
        </is>
      </c>
      <c r="B915" t="inlineStr">
        <is>
          <t>09/24</t>
        </is>
      </c>
      <c r="C915" t="inlineStr">
        <is>
          <t>1WIN</t>
        </is>
      </c>
      <c r="D915" t="n">
        <v>5</v>
      </c>
      <c r="E915" t="n">
        <v>13</v>
      </c>
      <c r="F915" t="n">
        <v>0</v>
      </c>
      <c r="G915" t="n">
        <v>18</v>
      </c>
      <c r="H915" t="n">
        <v>18</v>
      </c>
    </row>
    <row r="916">
      <c r="A916" t="inlineStr">
        <is>
          <t>ATF</t>
        </is>
      </c>
      <c r="B916" t="inlineStr">
        <is>
          <t>09/21</t>
        </is>
      </c>
      <c r="C916" t="inlineStr">
        <is>
          <t>Na`Vi</t>
        </is>
      </c>
      <c r="D916" t="n">
        <v>4</v>
      </c>
      <c r="E916" t="n">
        <v>9</v>
      </c>
      <c r="F916" t="n">
        <v>0</v>
      </c>
      <c r="G916" t="n">
        <v>13</v>
      </c>
      <c r="H916" t="n">
        <v>13</v>
      </c>
    </row>
    <row r="917">
      <c r="A917" t="inlineStr">
        <is>
          <t>Chira JUNIOR</t>
        </is>
      </c>
      <c r="B917" t="inlineStr">
        <is>
          <t>10/25</t>
        </is>
      </c>
      <c r="C917" t="inlineStr">
        <is>
          <t>1WIN</t>
        </is>
      </c>
      <c r="D917" t="n">
        <v>4</v>
      </c>
      <c r="E917" t="n">
        <v>6</v>
      </c>
      <c r="F917" t="n">
        <v>0</v>
      </c>
      <c r="G917" t="n">
        <v>10</v>
      </c>
      <c r="H917" t="n">
        <v>10</v>
      </c>
    </row>
    <row r="918">
      <c r="A918" t="inlineStr">
        <is>
          <t>Chira JUNIOR</t>
        </is>
      </c>
      <c r="B918" t="inlineStr">
        <is>
          <t>10/24</t>
        </is>
      </c>
      <c r="C918" t="inlineStr">
        <is>
          <t>OG</t>
        </is>
      </c>
      <c r="D918" t="n">
        <v>12</v>
      </c>
      <c r="E918" t="n">
        <v>16</v>
      </c>
      <c r="F918" t="n">
        <v>0</v>
      </c>
      <c r="G918" t="n">
        <v>28</v>
      </c>
      <c r="H918" t="n">
        <v>28</v>
      </c>
    </row>
    <row r="919">
      <c r="A919" t="inlineStr">
        <is>
          <t>Chira JUNIOR</t>
        </is>
      </c>
      <c r="B919" t="inlineStr">
        <is>
          <t>10/22</t>
        </is>
      </c>
      <c r="C919" t="inlineStr">
        <is>
          <t>GL</t>
        </is>
      </c>
      <c r="D919" t="n">
        <v>14</v>
      </c>
      <c r="E919" t="n">
        <v>9</v>
      </c>
      <c r="F919" t="n">
        <v>0</v>
      </c>
      <c r="G919" t="n">
        <v>23</v>
      </c>
      <c r="H919" t="n">
        <v>23</v>
      </c>
    </row>
    <row r="920">
      <c r="A920" t="inlineStr">
        <is>
          <t>Chira JUNIOR</t>
        </is>
      </c>
      <c r="B920" t="inlineStr">
        <is>
          <t>10/11</t>
        </is>
      </c>
      <c r="C920" t="inlineStr">
        <is>
          <t>TS</t>
        </is>
      </c>
      <c r="D920" t="n">
        <v>6</v>
      </c>
      <c r="E920" t="n">
        <v>7</v>
      </c>
      <c r="F920" t="n">
        <v>7</v>
      </c>
      <c r="G920" t="n">
        <v>13</v>
      </c>
      <c r="H920" t="n">
        <v>20</v>
      </c>
    </row>
    <row r="921">
      <c r="A921" t="inlineStr">
        <is>
          <t>Chira JUNIOR</t>
        </is>
      </c>
      <c r="B921" t="inlineStr">
        <is>
          <t>10/10</t>
        </is>
      </c>
      <c r="C921" t="inlineStr">
        <is>
          <t>TS</t>
        </is>
      </c>
      <c r="D921" t="n">
        <v>12</v>
      </c>
      <c r="E921" t="n">
        <v>6</v>
      </c>
      <c r="F921" t="n">
        <v>0</v>
      </c>
      <c r="G921" t="n">
        <v>18</v>
      </c>
      <c r="H921" t="n">
        <v>18</v>
      </c>
    </row>
    <row r="922">
      <c r="A922" t="inlineStr">
        <is>
          <t>Chira JUNIOR</t>
        </is>
      </c>
      <c r="B922" t="inlineStr">
        <is>
          <t>10/08</t>
        </is>
      </c>
      <c r="C922" t="inlineStr">
        <is>
          <t>PARI</t>
        </is>
      </c>
      <c r="D922" t="n">
        <v>3</v>
      </c>
      <c r="E922" t="n">
        <v>8</v>
      </c>
      <c r="F922" t="n">
        <v>12</v>
      </c>
      <c r="G922" t="n">
        <v>11</v>
      </c>
      <c r="H922" t="n">
        <v>23</v>
      </c>
    </row>
    <row r="923">
      <c r="A923" t="inlineStr">
        <is>
          <t>Chira JUNIOR</t>
        </is>
      </c>
      <c r="B923" t="inlineStr">
        <is>
          <t>10/08</t>
        </is>
      </c>
      <c r="C923" t="inlineStr">
        <is>
          <t>LGD</t>
        </is>
      </c>
      <c r="D923" t="n">
        <v>6</v>
      </c>
      <c r="E923" t="n">
        <v>8</v>
      </c>
      <c r="F923" t="n">
        <v>8</v>
      </c>
      <c r="G923" t="n">
        <v>14</v>
      </c>
      <c r="H923" t="n">
        <v>22</v>
      </c>
    </row>
    <row r="924">
      <c r="A924" t="inlineStr">
        <is>
          <t>Chira JUNIOR</t>
        </is>
      </c>
      <c r="B924" t="inlineStr">
        <is>
          <t>10/03</t>
        </is>
      </c>
      <c r="C924" t="inlineStr">
        <is>
          <t>TS</t>
        </is>
      </c>
      <c r="D924" t="n">
        <v>5</v>
      </c>
      <c r="E924" t="n">
        <v>0</v>
      </c>
      <c r="F924" t="n">
        <v>7</v>
      </c>
      <c r="G924" t="n">
        <v>5</v>
      </c>
      <c r="H924" t="n">
        <v>12</v>
      </c>
    </row>
    <row r="925">
      <c r="A925" t="inlineStr">
        <is>
          <t>Chira JUNIOR</t>
        </is>
      </c>
      <c r="B925" t="inlineStr">
        <is>
          <t>10/01</t>
        </is>
      </c>
      <c r="C925" t="inlineStr">
        <is>
          <t>BB</t>
        </is>
      </c>
      <c r="D925" t="n">
        <v>10</v>
      </c>
      <c r="E925" t="n">
        <v>10</v>
      </c>
      <c r="F925" t="n">
        <v>0</v>
      </c>
      <c r="G925" t="n">
        <v>20</v>
      </c>
      <c r="H925" t="n">
        <v>20</v>
      </c>
    </row>
    <row r="926">
      <c r="A926" t="inlineStr">
        <is>
          <t>Chira JUNIOR</t>
        </is>
      </c>
      <c r="B926" t="inlineStr">
        <is>
          <t>09/30</t>
        </is>
      </c>
      <c r="C926" t="inlineStr">
        <is>
          <t>MOUZ</t>
        </is>
      </c>
      <c r="D926" t="n">
        <v>6</v>
      </c>
      <c r="E926" t="n">
        <v>8</v>
      </c>
      <c r="F926" t="n">
        <v>0</v>
      </c>
      <c r="G926" t="n">
        <v>14</v>
      </c>
      <c r="H926" t="n">
        <v>14</v>
      </c>
    </row>
    <row r="927">
      <c r="A927" t="inlineStr">
        <is>
          <t>Chira JUNIOR</t>
        </is>
      </c>
      <c r="B927" t="inlineStr">
        <is>
          <t>09/27</t>
        </is>
      </c>
      <c r="C927" t="inlineStr">
        <is>
          <t>Na`Vi</t>
        </is>
      </c>
      <c r="D927" t="n">
        <v>3</v>
      </c>
      <c r="E927" t="n">
        <v>5</v>
      </c>
      <c r="F927" t="n">
        <v>7</v>
      </c>
      <c r="G927" t="n">
        <v>8</v>
      </c>
      <c r="H927" t="n">
        <v>15</v>
      </c>
    </row>
    <row r="928">
      <c r="A928" t="inlineStr">
        <is>
          <t>Chira JUNIOR</t>
        </is>
      </c>
      <c r="B928" t="inlineStr">
        <is>
          <t>09/26</t>
        </is>
      </c>
      <c r="C928" t="inlineStr">
        <is>
          <t>LGD</t>
        </is>
      </c>
      <c r="D928" t="n">
        <v>6</v>
      </c>
      <c r="E928" t="n">
        <v>13</v>
      </c>
      <c r="F928" t="n">
        <v>0</v>
      </c>
      <c r="G928" t="n">
        <v>19</v>
      </c>
      <c r="H928" t="n">
        <v>19</v>
      </c>
    </row>
    <row r="929">
      <c r="A929" t="inlineStr">
        <is>
          <t>Chira JUNIOR</t>
        </is>
      </c>
      <c r="B929" t="inlineStr">
        <is>
          <t>09/25</t>
        </is>
      </c>
      <c r="C929" t="inlineStr">
        <is>
          <t>AUR</t>
        </is>
      </c>
      <c r="D929" t="n">
        <v>4</v>
      </c>
      <c r="E929" t="n">
        <v>8</v>
      </c>
      <c r="F929" t="n">
        <v>6</v>
      </c>
      <c r="G929" t="n">
        <v>12</v>
      </c>
      <c r="H929" t="n">
        <v>18</v>
      </c>
    </row>
    <row r="930">
      <c r="A930" t="inlineStr">
        <is>
          <t>Chira JUNIOR</t>
        </is>
      </c>
      <c r="B930" t="inlineStr">
        <is>
          <t>09/24</t>
        </is>
      </c>
      <c r="C930" t="inlineStr">
        <is>
          <t>1WIN</t>
        </is>
      </c>
      <c r="D930" t="n">
        <v>10</v>
      </c>
      <c r="E930" t="n">
        <v>12</v>
      </c>
      <c r="F930" t="n">
        <v>0</v>
      </c>
      <c r="G930" t="n">
        <v>22</v>
      </c>
      <c r="H930" t="n">
        <v>22</v>
      </c>
    </row>
    <row r="931">
      <c r="A931" t="inlineStr">
        <is>
          <t>Chira JUNIOR</t>
        </is>
      </c>
      <c r="B931" t="inlineStr">
        <is>
          <t>09/21</t>
        </is>
      </c>
      <c r="C931" t="inlineStr">
        <is>
          <t>Na`Vi</t>
        </is>
      </c>
      <c r="D931" t="n">
        <v>5</v>
      </c>
      <c r="E931" t="n">
        <v>15</v>
      </c>
      <c r="F931" t="n">
        <v>0</v>
      </c>
      <c r="G931" t="n">
        <v>20</v>
      </c>
      <c r="H931" t="n">
        <v>20</v>
      </c>
    </row>
    <row r="932">
      <c r="A932" t="inlineStr">
        <is>
          <t>Malady</t>
        </is>
      </c>
      <c r="B932" t="inlineStr">
        <is>
          <t>10/25</t>
        </is>
      </c>
      <c r="C932" t="inlineStr">
        <is>
          <t>1WIN</t>
        </is>
      </c>
      <c r="D932" t="n">
        <v>3</v>
      </c>
      <c r="E932" t="n">
        <v>2</v>
      </c>
      <c r="F932" t="n">
        <v>0</v>
      </c>
      <c r="G932" t="n">
        <v>5</v>
      </c>
      <c r="H932" t="n">
        <v>5</v>
      </c>
    </row>
    <row r="933">
      <c r="A933" t="inlineStr">
        <is>
          <t>Malady</t>
        </is>
      </c>
      <c r="B933" t="inlineStr">
        <is>
          <t>10/24</t>
        </is>
      </c>
      <c r="C933" t="inlineStr">
        <is>
          <t>OG</t>
        </is>
      </c>
      <c r="D933" t="n">
        <v>10</v>
      </c>
      <c r="E933" t="n">
        <v>11</v>
      </c>
      <c r="F933" t="n">
        <v>0</v>
      </c>
      <c r="G933" t="n">
        <v>21</v>
      </c>
      <c r="H933" t="n">
        <v>21</v>
      </c>
    </row>
    <row r="934">
      <c r="A934" t="inlineStr">
        <is>
          <t>Malady</t>
        </is>
      </c>
      <c r="B934" t="inlineStr">
        <is>
          <t>10/22</t>
        </is>
      </c>
      <c r="C934" t="inlineStr">
        <is>
          <t>GL</t>
        </is>
      </c>
      <c r="D934" t="n">
        <v>3</v>
      </c>
      <c r="E934" t="n">
        <v>5</v>
      </c>
      <c r="F934" t="n">
        <v>0</v>
      </c>
      <c r="G934" t="n">
        <v>8</v>
      </c>
      <c r="H934" t="n">
        <v>8</v>
      </c>
    </row>
    <row r="935">
      <c r="A935" t="inlineStr">
        <is>
          <t>Malady</t>
        </is>
      </c>
      <c r="B935" t="inlineStr">
        <is>
          <t>10/11</t>
        </is>
      </c>
      <c r="C935" t="inlineStr">
        <is>
          <t>TS</t>
        </is>
      </c>
      <c r="D935" t="n">
        <v>1</v>
      </c>
      <c r="E935" t="n">
        <v>2</v>
      </c>
      <c r="F935" t="n">
        <v>1</v>
      </c>
      <c r="G935" t="n">
        <v>3</v>
      </c>
      <c r="H935" t="n">
        <v>4</v>
      </c>
    </row>
    <row r="936">
      <c r="A936" t="inlineStr">
        <is>
          <t>Malady</t>
        </is>
      </c>
      <c r="B936" t="inlineStr">
        <is>
          <t>10/10</t>
        </is>
      </c>
      <c r="C936" t="inlineStr">
        <is>
          <t>TS</t>
        </is>
      </c>
      <c r="D936" t="n">
        <v>3</v>
      </c>
      <c r="E936" t="n">
        <v>2</v>
      </c>
      <c r="F936" t="n">
        <v>0</v>
      </c>
      <c r="G936" t="n">
        <v>5</v>
      </c>
      <c r="H936" t="n">
        <v>5</v>
      </c>
    </row>
    <row r="937">
      <c r="A937" t="inlineStr">
        <is>
          <t>Malady</t>
        </is>
      </c>
      <c r="B937" t="inlineStr">
        <is>
          <t>10/08</t>
        </is>
      </c>
      <c r="C937" t="inlineStr">
        <is>
          <t>PARI</t>
        </is>
      </c>
      <c r="D937" t="n">
        <v>2</v>
      </c>
      <c r="E937" t="n">
        <v>4</v>
      </c>
      <c r="F937" t="n">
        <v>6</v>
      </c>
      <c r="G937" t="n">
        <v>6</v>
      </c>
      <c r="H937" t="n">
        <v>12</v>
      </c>
    </row>
    <row r="938">
      <c r="A938" t="inlineStr">
        <is>
          <t>Malady</t>
        </is>
      </c>
      <c r="B938" t="inlineStr">
        <is>
          <t>10/08</t>
        </is>
      </c>
      <c r="C938" t="inlineStr">
        <is>
          <t>LGD</t>
        </is>
      </c>
      <c r="D938" t="n">
        <v>6</v>
      </c>
      <c r="E938" t="n">
        <v>0</v>
      </c>
      <c r="F938" t="n">
        <v>4</v>
      </c>
      <c r="G938" t="n">
        <v>6</v>
      </c>
      <c r="H938" t="n">
        <v>10</v>
      </c>
    </row>
    <row r="939">
      <c r="A939" t="inlineStr">
        <is>
          <t>Malady</t>
        </is>
      </c>
      <c r="B939" t="inlineStr">
        <is>
          <t>10/03</t>
        </is>
      </c>
      <c r="C939" t="inlineStr">
        <is>
          <t>TS</t>
        </is>
      </c>
      <c r="D939" t="n">
        <v>1</v>
      </c>
      <c r="E939" t="n">
        <v>1</v>
      </c>
      <c r="F939" t="n">
        <v>4</v>
      </c>
      <c r="G939" t="n">
        <v>2</v>
      </c>
      <c r="H939" t="n">
        <v>6</v>
      </c>
    </row>
    <row r="940">
      <c r="A940" t="inlineStr">
        <is>
          <t>Malady</t>
        </is>
      </c>
      <c r="B940" t="inlineStr">
        <is>
          <t>10/01</t>
        </is>
      </c>
      <c r="C940" t="inlineStr">
        <is>
          <t>BB</t>
        </is>
      </c>
      <c r="D940" t="n">
        <v>2</v>
      </c>
      <c r="E940" t="n">
        <v>3</v>
      </c>
      <c r="F940" t="n">
        <v>0</v>
      </c>
      <c r="G940" t="n">
        <v>5</v>
      </c>
      <c r="H940" t="n">
        <v>5</v>
      </c>
    </row>
    <row r="941">
      <c r="A941" t="inlineStr">
        <is>
          <t>Malady</t>
        </is>
      </c>
      <c r="B941" t="inlineStr">
        <is>
          <t>09/30</t>
        </is>
      </c>
      <c r="C941" t="inlineStr">
        <is>
          <t>MOUZ</t>
        </is>
      </c>
      <c r="D941" t="n">
        <v>0</v>
      </c>
      <c r="E941" t="n">
        <v>7</v>
      </c>
      <c r="F941" t="n">
        <v>0</v>
      </c>
      <c r="G941" t="n">
        <v>7</v>
      </c>
      <c r="H941" t="n">
        <v>7</v>
      </c>
    </row>
    <row r="942">
      <c r="A942" t="inlineStr">
        <is>
          <t>Malady</t>
        </is>
      </c>
      <c r="B942" t="inlineStr">
        <is>
          <t>09/27</t>
        </is>
      </c>
      <c r="C942" t="inlineStr">
        <is>
          <t>Na`Vi</t>
        </is>
      </c>
      <c r="D942" t="n">
        <v>4</v>
      </c>
      <c r="E942" t="n">
        <v>4</v>
      </c>
      <c r="F942" t="n">
        <v>2</v>
      </c>
      <c r="G942" t="n">
        <v>8</v>
      </c>
      <c r="H942" t="n">
        <v>10</v>
      </c>
    </row>
    <row r="943">
      <c r="A943" t="inlineStr">
        <is>
          <t>Malady</t>
        </is>
      </c>
      <c r="B943" t="inlineStr">
        <is>
          <t>09/26</t>
        </is>
      </c>
      <c r="C943" t="inlineStr">
        <is>
          <t>LGD</t>
        </is>
      </c>
      <c r="D943" t="n">
        <v>5</v>
      </c>
      <c r="E943" t="n">
        <v>2</v>
      </c>
      <c r="F943" t="n">
        <v>0</v>
      </c>
      <c r="G943" t="n">
        <v>7</v>
      </c>
      <c r="H943" t="n">
        <v>7</v>
      </c>
    </row>
    <row r="944">
      <c r="A944" t="inlineStr">
        <is>
          <t>Malady</t>
        </is>
      </c>
      <c r="B944" t="inlineStr">
        <is>
          <t>09/25</t>
        </is>
      </c>
      <c r="C944" t="inlineStr">
        <is>
          <t>AUR</t>
        </is>
      </c>
      <c r="D944" t="n">
        <v>6</v>
      </c>
      <c r="E944" t="n">
        <v>7</v>
      </c>
      <c r="F944" t="n">
        <v>2</v>
      </c>
      <c r="G944" t="n">
        <v>13</v>
      </c>
      <c r="H944" t="n">
        <v>15</v>
      </c>
    </row>
    <row r="945">
      <c r="A945" t="inlineStr">
        <is>
          <t>Malady</t>
        </is>
      </c>
      <c r="B945" t="inlineStr">
        <is>
          <t>09/24</t>
        </is>
      </c>
      <c r="C945" t="inlineStr">
        <is>
          <t>1WIN</t>
        </is>
      </c>
      <c r="D945" t="n">
        <v>8</v>
      </c>
      <c r="E945" t="n">
        <v>6</v>
      </c>
      <c r="F945" t="n">
        <v>0</v>
      </c>
      <c r="G945" t="n">
        <v>14</v>
      </c>
      <c r="H945" t="n">
        <v>14</v>
      </c>
    </row>
    <row r="946">
      <c r="A946" t="inlineStr">
        <is>
          <t>Malady</t>
        </is>
      </c>
      <c r="B946" t="inlineStr">
        <is>
          <t>09/21</t>
        </is>
      </c>
      <c r="C946" t="inlineStr">
        <is>
          <t>Na`Vi</t>
        </is>
      </c>
      <c r="D946" t="n">
        <v>3</v>
      </c>
      <c r="E946" t="n">
        <v>5</v>
      </c>
      <c r="F946" t="n">
        <v>0</v>
      </c>
      <c r="G946" t="n">
        <v>8</v>
      </c>
      <c r="H946" t="n">
        <v>8</v>
      </c>
    </row>
    <row r="947">
      <c r="A947" t="inlineStr">
        <is>
          <t>Saksa</t>
        </is>
      </c>
      <c r="B947" t="inlineStr">
        <is>
          <t>10/25</t>
        </is>
      </c>
      <c r="C947" t="inlineStr">
        <is>
          <t>1WIN</t>
        </is>
      </c>
      <c r="D947" t="n">
        <v>8</v>
      </c>
      <c r="E947" t="n">
        <v>8</v>
      </c>
      <c r="F947" t="n">
        <v>0</v>
      </c>
      <c r="G947" t="n">
        <v>16</v>
      </c>
      <c r="H947" t="n">
        <v>16</v>
      </c>
    </row>
    <row r="948">
      <c r="A948" t="inlineStr">
        <is>
          <t>Saksa</t>
        </is>
      </c>
      <c r="B948" t="inlineStr">
        <is>
          <t>10/24</t>
        </is>
      </c>
      <c r="C948" t="inlineStr">
        <is>
          <t>OG</t>
        </is>
      </c>
      <c r="D948" t="n">
        <v>2</v>
      </c>
      <c r="E948" t="n">
        <v>4</v>
      </c>
      <c r="F948" t="n">
        <v>0</v>
      </c>
      <c r="G948" t="n">
        <v>6</v>
      </c>
      <c r="H948" t="n">
        <v>6</v>
      </c>
    </row>
    <row r="949">
      <c r="A949" t="inlineStr">
        <is>
          <t>Saksa</t>
        </is>
      </c>
      <c r="B949" t="inlineStr">
        <is>
          <t>10/22</t>
        </is>
      </c>
      <c r="C949" t="inlineStr">
        <is>
          <t>GL</t>
        </is>
      </c>
      <c r="D949" t="n">
        <v>5</v>
      </c>
      <c r="E949" t="n">
        <v>3</v>
      </c>
      <c r="F949" t="n">
        <v>0</v>
      </c>
      <c r="G949" t="n">
        <v>8</v>
      </c>
      <c r="H949" t="n">
        <v>8</v>
      </c>
    </row>
    <row r="950">
      <c r="A950" t="inlineStr">
        <is>
          <t>Saksa</t>
        </is>
      </c>
      <c r="B950" t="inlineStr">
        <is>
          <t>10/11</t>
        </is>
      </c>
      <c r="C950" t="inlineStr">
        <is>
          <t>TS</t>
        </is>
      </c>
      <c r="D950" t="n">
        <v>1</v>
      </c>
      <c r="E950" t="n">
        <v>4</v>
      </c>
      <c r="F950" t="n">
        <v>3</v>
      </c>
      <c r="G950" t="n">
        <v>5</v>
      </c>
      <c r="H950" t="n">
        <v>8</v>
      </c>
    </row>
    <row r="951">
      <c r="A951" t="inlineStr">
        <is>
          <t>Saksa</t>
        </is>
      </c>
      <c r="B951" t="inlineStr">
        <is>
          <t>10/10</t>
        </is>
      </c>
      <c r="C951" t="inlineStr">
        <is>
          <t>TS</t>
        </is>
      </c>
      <c r="D951" t="n">
        <v>5</v>
      </c>
      <c r="E951" t="n">
        <v>9</v>
      </c>
      <c r="F951" t="n">
        <v>0</v>
      </c>
      <c r="G951" t="n">
        <v>14</v>
      </c>
      <c r="H951" t="n">
        <v>14</v>
      </c>
    </row>
    <row r="952">
      <c r="A952" t="inlineStr">
        <is>
          <t>Saksa</t>
        </is>
      </c>
      <c r="B952" t="inlineStr">
        <is>
          <t>10/08</t>
        </is>
      </c>
      <c r="C952" t="inlineStr">
        <is>
          <t>PARI</t>
        </is>
      </c>
      <c r="D952" t="n">
        <v>6</v>
      </c>
      <c r="E952" t="n">
        <v>6</v>
      </c>
      <c r="F952" t="n">
        <v>3</v>
      </c>
      <c r="G952" t="n">
        <v>12</v>
      </c>
      <c r="H952" t="n">
        <v>15</v>
      </c>
    </row>
    <row r="953">
      <c r="A953" t="inlineStr">
        <is>
          <t>Saksa</t>
        </is>
      </c>
      <c r="B953" t="inlineStr">
        <is>
          <t>10/08</t>
        </is>
      </c>
      <c r="C953" t="inlineStr">
        <is>
          <t>LGD</t>
        </is>
      </c>
      <c r="D953" t="n">
        <v>6</v>
      </c>
      <c r="E953" t="n">
        <v>4</v>
      </c>
      <c r="F953" t="n">
        <v>2</v>
      </c>
      <c r="G953" t="n">
        <v>10</v>
      </c>
      <c r="H953" t="n">
        <v>12</v>
      </c>
    </row>
    <row r="954">
      <c r="A954" t="inlineStr">
        <is>
          <t>Saksa</t>
        </is>
      </c>
      <c r="B954" t="inlineStr">
        <is>
          <t>10/03</t>
        </is>
      </c>
      <c r="C954" t="inlineStr">
        <is>
          <t>TS</t>
        </is>
      </c>
      <c r="D954" t="n">
        <v>3</v>
      </c>
      <c r="E954" t="n">
        <v>5</v>
      </c>
      <c r="F954" t="n">
        <v>1</v>
      </c>
      <c r="G954" t="n">
        <v>8</v>
      </c>
      <c r="H954" t="n">
        <v>9</v>
      </c>
    </row>
    <row r="955">
      <c r="A955" t="inlineStr">
        <is>
          <t>Saksa</t>
        </is>
      </c>
      <c r="B955" t="inlineStr">
        <is>
          <t>10/01</t>
        </is>
      </c>
      <c r="C955" t="inlineStr">
        <is>
          <t>BB</t>
        </is>
      </c>
      <c r="D955" t="n">
        <v>5</v>
      </c>
      <c r="E955" t="n">
        <v>1</v>
      </c>
      <c r="F955" t="n">
        <v>0</v>
      </c>
      <c r="G955" t="n">
        <v>6</v>
      </c>
      <c r="H955" t="n">
        <v>6</v>
      </c>
    </row>
    <row r="956">
      <c r="A956" t="inlineStr">
        <is>
          <t>Saksa</t>
        </is>
      </c>
      <c r="B956" t="inlineStr">
        <is>
          <t>09/30</t>
        </is>
      </c>
      <c r="C956" t="inlineStr">
        <is>
          <t>MOUZ</t>
        </is>
      </c>
      <c r="D956" t="n">
        <v>4</v>
      </c>
      <c r="E956" t="n">
        <v>5</v>
      </c>
      <c r="F956" t="n">
        <v>0</v>
      </c>
      <c r="G956" t="n">
        <v>9</v>
      </c>
      <c r="H956" t="n">
        <v>9</v>
      </c>
    </row>
    <row r="957">
      <c r="A957" t="inlineStr">
        <is>
          <t>Saksa</t>
        </is>
      </c>
      <c r="B957" t="inlineStr">
        <is>
          <t>09/27</t>
        </is>
      </c>
      <c r="C957" t="inlineStr">
        <is>
          <t>Na`Vi</t>
        </is>
      </c>
      <c r="D957" t="n">
        <v>4</v>
      </c>
      <c r="E957" t="n">
        <v>4</v>
      </c>
      <c r="F957" t="n">
        <v>2</v>
      </c>
      <c r="G957" t="n">
        <v>8</v>
      </c>
      <c r="H957" t="n">
        <v>10</v>
      </c>
    </row>
    <row r="958">
      <c r="A958" t="inlineStr">
        <is>
          <t>Saksa</t>
        </is>
      </c>
      <c r="B958" t="inlineStr">
        <is>
          <t>09/26</t>
        </is>
      </c>
      <c r="C958" t="inlineStr">
        <is>
          <t>LGD</t>
        </is>
      </c>
      <c r="D958" t="n">
        <v>2</v>
      </c>
      <c r="E958" t="n">
        <v>5</v>
      </c>
      <c r="F958" t="n">
        <v>0</v>
      </c>
      <c r="G958" t="n">
        <v>7</v>
      </c>
      <c r="H958" t="n">
        <v>7</v>
      </c>
    </row>
    <row r="959">
      <c r="A959" t="inlineStr">
        <is>
          <t>Saksa</t>
        </is>
      </c>
      <c r="B959" t="inlineStr">
        <is>
          <t>09/25</t>
        </is>
      </c>
      <c r="C959" t="inlineStr">
        <is>
          <t>AUR</t>
        </is>
      </c>
      <c r="D959" t="n">
        <v>1</v>
      </c>
      <c r="E959" t="n">
        <v>4</v>
      </c>
      <c r="F959" t="n">
        <v>5</v>
      </c>
      <c r="G959" t="n">
        <v>5</v>
      </c>
      <c r="H959" t="n">
        <v>10</v>
      </c>
    </row>
    <row r="960">
      <c r="A960" t="inlineStr">
        <is>
          <t>Saksa</t>
        </is>
      </c>
      <c r="B960" t="inlineStr">
        <is>
          <t>09/24</t>
        </is>
      </c>
      <c r="C960" t="inlineStr">
        <is>
          <t>1WIN</t>
        </is>
      </c>
      <c r="D960" t="n">
        <v>3</v>
      </c>
      <c r="E960" t="n">
        <v>2</v>
      </c>
      <c r="F960" t="n">
        <v>0</v>
      </c>
      <c r="G960" t="n">
        <v>5</v>
      </c>
      <c r="H960" t="n">
        <v>5</v>
      </c>
    </row>
    <row r="961">
      <c r="A961" t="inlineStr">
        <is>
          <t>Saksa</t>
        </is>
      </c>
      <c r="B961" t="inlineStr">
        <is>
          <t>09/21</t>
        </is>
      </c>
      <c r="C961" t="inlineStr">
        <is>
          <t>Na`Vi</t>
        </is>
      </c>
      <c r="D961" t="n">
        <v>5</v>
      </c>
      <c r="E961" t="n">
        <v>5</v>
      </c>
      <c r="F961" t="n">
        <v>0</v>
      </c>
      <c r="G961" t="n">
        <v>10</v>
      </c>
      <c r="H961" t="n">
        <v>10</v>
      </c>
    </row>
    <row r="962">
      <c r="A962" t="inlineStr">
        <is>
          <t>watson</t>
        </is>
      </c>
      <c r="B962" t="inlineStr">
        <is>
          <t>10/25</t>
        </is>
      </c>
      <c r="C962" t="inlineStr">
        <is>
          <t>1WIN</t>
        </is>
      </c>
      <c r="D962" t="n">
        <v>14</v>
      </c>
      <c r="E962" t="n">
        <v>3</v>
      </c>
      <c r="F962" t="n">
        <v>0</v>
      </c>
      <c r="G962" t="n">
        <v>17</v>
      </c>
      <c r="H962" t="n">
        <v>17</v>
      </c>
    </row>
    <row r="963">
      <c r="A963" t="inlineStr">
        <is>
          <t>watson</t>
        </is>
      </c>
      <c r="B963" t="inlineStr">
        <is>
          <t>10/24</t>
        </is>
      </c>
      <c r="C963" t="inlineStr">
        <is>
          <t>OG</t>
        </is>
      </c>
      <c r="D963" t="n">
        <v>16</v>
      </c>
      <c r="E963" t="n">
        <v>22</v>
      </c>
      <c r="F963" t="n">
        <v>0</v>
      </c>
      <c r="G963" t="n">
        <v>38</v>
      </c>
      <c r="H963" t="n">
        <v>38</v>
      </c>
    </row>
    <row r="964">
      <c r="A964" t="inlineStr">
        <is>
          <t>watson</t>
        </is>
      </c>
      <c r="B964" t="inlineStr">
        <is>
          <t>10/22</t>
        </is>
      </c>
      <c r="C964" t="inlineStr">
        <is>
          <t>GL</t>
        </is>
      </c>
      <c r="D964" t="n">
        <v>6</v>
      </c>
      <c r="E964" t="n">
        <v>13</v>
      </c>
      <c r="F964" t="n">
        <v>0</v>
      </c>
      <c r="G964" t="n">
        <v>19</v>
      </c>
      <c r="H964" t="n">
        <v>19</v>
      </c>
    </row>
    <row r="965">
      <c r="A965" t="inlineStr">
        <is>
          <t>watson</t>
        </is>
      </c>
      <c r="B965" t="inlineStr">
        <is>
          <t>10/11</t>
        </is>
      </c>
      <c r="C965" t="inlineStr">
        <is>
          <t>TS</t>
        </is>
      </c>
      <c r="D965" t="n">
        <v>7</v>
      </c>
      <c r="E965" t="n">
        <v>10</v>
      </c>
      <c r="F965" t="n">
        <v>14</v>
      </c>
      <c r="G965" t="n">
        <v>17</v>
      </c>
      <c r="H965" t="n">
        <v>31</v>
      </c>
    </row>
    <row r="966">
      <c r="A966" t="inlineStr">
        <is>
          <t>watson</t>
        </is>
      </c>
      <c r="B966" t="inlineStr">
        <is>
          <t>10/10</t>
        </is>
      </c>
      <c r="C966" t="inlineStr">
        <is>
          <t>TS</t>
        </is>
      </c>
      <c r="D966" t="n">
        <v>19</v>
      </c>
      <c r="E966" t="n">
        <v>17</v>
      </c>
      <c r="F966" t="n">
        <v>0</v>
      </c>
      <c r="G966" t="n">
        <v>36</v>
      </c>
      <c r="H966" t="n">
        <v>36</v>
      </c>
    </row>
    <row r="967">
      <c r="A967" t="inlineStr">
        <is>
          <t>watson</t>
        </is>
      </c>
      <c r="B967" t="inlineStr">
        <is>
          <t>10/08</t>
        </is>
      </c>
      <c r="C967" t="inlineStr">
        <is>
          <t>PARI</t>
        </is>
      </c>
      <c r="D967" t="n">
        <v>6</v>
      </c>
      <c r="E967" t="n">
        <v>5</v>
      </c>
      <c r="F967" t="n">
        <v>21</v>
      </c>
      <c r="G967" t="n">
        <v>11</v>
      </c>
      <c r="H967" t="n">
        <v>32</v>
      </c>
    </row>
    <row r="968">
      <c r="A968" t="inlineStr">
        <is>
          <t>watson</t>
        </is>
      </c>
      <c r="B968" t="inlineStr">
        <is>
          <t>10/08</t>
        </is>
      </c>
      <c r="C968" t="inlineStr">
        <is>
          <t>LGD</t>
        </is>
      </c>
      <c r="D968" t="n">
        <v>10</v>
      </c>
      <c r="E968" t="n">
        <v>9</v>
      </c>
      <c r="F968" t="n">
        <v>10</v>
      </c>
      <c r="G968" t="n">
        <v>19</v>
      </c>
      <c r="H968" t="n">
        <v>29</v>
      </c>
    </row>
    <row r="969">
      <c r="A969" t="inlineStr">
        <is>
          <t>watson</t>
        </is>
      </c>
      <c r="B969" t="inlineStr">
        <is>
          <t>10/03</t>
        </is>
      </c>
      <c r="C969" t="inlineStr">
        <is>
          <t>TS</t>
        </is>
      </c>
      <c r="D969" t="n">
        <v>8</v>
      </c>
      <c r="E969" t="n">
        <v>2</v>
      </c>
      <c r="F969" t="n">
        <v>12</v>
      </c>
      <c r="G969" t="n">
        <v>10</v>
      </c>
      <c r="H969" t="n">
        <v>22</v>
      </c>
    </row>
    <row r="970">
      <c r="A970" t="inlineStr">
        <is>
          <t>watson</t>
        </is>
      </c>
      <c r="B970" t="inlineStr">
        <is>
          <t>10/01</t>
        </is>
      </c>
      <c r="C970" t="inlineStr">
        <is>
          <t>BB</t>
        </is>
      </c>
      <c r="D970" t="n">
        <v>12</v>
      </c>
      <c r="E970" t="n">
        <v>9</v>
      </c>
      <c r="F970" t="n">
        <v>0</v>
      </c>
      <c r="G970" t="n">
        <v>21</v>
      </c>
      <c r="H970" t="n">
        <v>21</v>
      </c>
    </row>
    <row r="971">
      <c r="A971" t="inlineStr">
        <is>
          <t>watson</t>
        </is>
      </c>
      <c r="B971" t="inlineStr">
        <is>
          <t>09/30</t>
        </is>
      </c>
      <c r="C971" t="inlineStr">
        <is>
          <t>MOUZ</t>
        </is>
      </c>
      <c r="D971" t="n">
        <v>10</v>
      </c>
      <c r="E971" t="n">
        <v>12</v>
      </c>
      <c r="F971" t="n">
        <v>0</v>
      </c>
      <c r="G971" t="n">
        <v>22</v>
      </c>
      <c r="H971" t="n">
        <v>22</v>
      </c>
    </row>
    <row r="972">
      <c r="A972" t="inlineStr">
        <is>
          <t>watson</t>
        </is>
      </c>
      <c r="B972" t="inlineStr">
        <is>
          <t>09/27</t>
        </is>
      </c>
      <c r="C972" t="inlineStr">
        <is>
          <t>Na`Vi</t>
        </is>
      </c>
      <c r="D972" t="n">
        <v>10</v>
      </c>
      <c r="E972" t="n">
        <v>12</v>
      </c>
      <c r="F972" t="n">
        <v>8</v>
      </c>
      <c r="G972" t="n">
        <v>22</v>
      </c>
      <c r="H972" t="n">
        <v>30</v>
      </c>
    </row>
    <row r="973">
      <c r="A973" t="inlineStr">
        <is>
          <t>watson</t>
        </is>
      </c>
      <c r="B973" t="inlineStr">
        <is>
          <t>09/26</t>
        </is>
      </c>
      <c r="C973" t="inlineStr">
        <is>
          <t>LGD</t>
        </is>
      </c>
      <c r="D973" t="n">
        <v>9</v>
      </c>
      <c r="E973" t="n">
        <v>12</v>
      </c>
      <c r="F973" t="n">
        <v>0</v>
      </c>
      <c r="G973" t="n">
        <v>21</v>
      </c>
      <c r="H973" t="n">
        <v>21</v>
      </c>
    </row>
    <row r="974">
      <c r="A974" t="inlineStr">
        <is>
          <t>watson</t>
        </is>
      </c>
      <c r="B974" t="inlineStr">
        <is>
          <t>09/25</t>
        </is>
      </c>
      <c r="C974" t="inlineStr">
        <is>
          <t>AUR</t>
        </is>
      </c>
      <c r="D974" t="n">
        <v>4</v>
      </c>
      <c r="E974" t="n">
        <v>4</v>
      </c>
      <c r="F974" t="n">
        <v>8</v>
      </c>
      <c r="G974" t="n">
        <v>8</v>
      </c>
      <c r="H974" t="n">
        <v>16</v>
      </c>
    </row>
    <row r="975">
      <c r="A975" t="inlineStr">
        <is>
          <t>watson</t>
        </is>
      </c>
      <c r="B975" t="inlineStr">
        <is>
          <t>09/24</t>
        </is>
      </c>
      <c r="C975" t="inlineStr">
        <is>
          <t>1WIN</t>
        </is>
      </c>
      <c r="D975" t="n">
        <v>8</v>
      </c>
      <c r="E975" t="n">
        <v>18</v>
      </c>
      <c r="F975" t="n">
        <v>0</v>
      </c>
      <c r="G975" t="n">
        <v>26</v>
      </c>
      <c r="H975" t="n">
        <v>26</v>
      </c>
    </row>
    <row r="976">
      <c r="A976" t="inlineStr">
        <is>
          <t>watson</t>
        </is>
      </c>
      <c r="B976" t="inlineStr">
        <is>
          <t>09/21</t>
        </is>
      </c>
      <c r="C976" t="inlineStr">
        <is>
          <t>Na`Vi</t>
        </is>
      </c>
      <c r="D976" t="n">
        <v>12</v>
      </c>
      <c r="E976" t="n">
        <v>3</v>
      </c>
      <c r="F976" t="n">
        <v>0</v>
      </c>
      <c r="G976" t="n">
        <v>15</v>
      </c>
      <c r="H976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DOTA · OG vs GL</t>
        </is>
      </c>
      <c r="B2" t="inlineStr">
        <is>
          <t>bignum</t>
        </is>
      </c>
      <c r="C2" t="n">
        <v>3.14</v>
      </c>
      <c r="D2" t="n">
        <v>3.14</v>
      </c>
      <c r="F2" t="n">
        <v>2</v>
      </c>
      <c r="G2" t="inlineStr">
        <is>
          <t>qviujqdmb4jzi0q</t>
        </is>
      </c>
    </row>
    <row r="3">
      <c r="A3" t="inlineStr">
        <is>
          <t>DOTA · OG vs GL</t>
        </is>
      </c>
      <c r="B3" t="inlineStr">
        <is>
          <t>fayde</t>
        </is>
      </c>
      <c r="C3" t="n">
        <v>3.99</v>
      </c>
      <c r="D3" t="n">
        <v>3.99</v>
      </c>
      <c r="F3" t="n">
        <v>2</v>
      </c>
      <c r="G3" t="inlineStr">
        <is>
          <t>7f340lwfa48ats4</t>
        </is>
      </c>
    </row>
    <row r="4">
      <c r="A4" t="inlineStr">
        <is>
          <t>DOTA · OG vs GL</t>
        </is>
      </c>
      <c r="B4" t="inlineStr">
        <is>
          <t>natsumi</t>
        </is>
      </c>
      <c r="C4" t="n">
        <v>6.77</v>
      </c>
      <c r="D4" t="n">
        <v>6.77</v>
      </c>
      <c r="F4" t="n">
        <v>4</v>
      </c>
    </row>
    <row r="5">
      <c r="A5" t="inlineStr">
        <is>
          <t>DOTA · OG vs GL</t>
        </is>
      </c>
      <c r="B5" t="inlineStr">
        <is>
          <t>onejey</t>
        </is>
      </c>
      <c r="C5" t="n">
        <v>3.25</v>
      </c>
      <c r="D5" t="n">
        <v>3.25</v>
      </c>
      <c r="F5" t="n">
        <v>2</v>
      </c>
      <c r="G5" t="inlineStr">
        <is>
          <t>gf5trr3nqlr6rzi</t>
        </is>
      </c>
    </row>
    <row r="6">
      <c r="A6" t="inlineStr">
        <is>
          <t>DOTA · OG vs GL</t>
        </is>
      </c>
      <c r="B6" t="inlineStr">
        <is>
          <t>rcy</t>
        </is>
      </c>
      <c r="C6" t="n">
        <v>6.41</v>
      </c>
      <c r="D6" t="n">
        <v>6.41</v>
      </c>
      <c r="F6" t="n">
        <v>3</v>
      </c>
      <c r="G6" t="inlineStr">
        <is>
          <t>3zaze8op521xnc4</t>
        </is>
      </c>
    </row>
    <row r="7">
      <c r="A7" t="inlineStr">
        <is>
          <t>DOTA · OG vs GL</t>
        </is>
      </c>
      <c r="B7" t="inlineStr">
        <is>
          <t>skem</t>
        </is>
      </c>
      <c r="C7" t="n">
        <v>2.75</v>
      </c>
      <c r="D7" t="n">
        <v>2.75</v>
      </c>
      <c r="F7" t="n">
        <v>2</v>
      </c>
      <c r="G7" t="inlineStr">
        <is>
          <t>327bydu6uqe51dl</t>
        </is>
      </c>
    </row>
    <row r="8">
      <c r="A8" t="inlineStr">
        <is>
          <t>DOTA · OG vs GL</t>
        </is>
      </c>
      <c r="B8" t="inlineStr">
        <is>
          <t>speeed</t>
        </is>
      </c>
      <c r="C8" t="n">
        <v>2.51</v>
      </c>
      <c r="D8" t="n">
        <v>2.51</v>
      </c>
      <c r="F8" t="n">
        <v>2</v>
      </c>
      <c r="G8" t="inlineStr">
        <is>
          <t>t3b3k5ym37f128b</t>
        </is>
      </c>
    </row>
    <row r="9">
      <c r="A9" t="inlineStr">
        <is>
          <t>DOTA · OG vs GL</t>
        </is>
      </c>
      <c r="B9" t="inlineStr">
        <is>
          <t>topson</t>
        </is>
      </c>
      <c r="C9" t="n">
        <v>6.03</v>
      </c>
      <c r="D9" t="n">
        <v>6.03</v>
      </c>
      <c r="F9" t="n">
        <v>4</v>
      </c>
      <c r="G9" t="inlineStr">
        <is>
          <t>c9666oyxnrvurur</t>
        </is>
      </c>
    </row>
    <row r="10">
      <c r="A10" t="inlineStr">
        <is>
          <t>DOTA · OG vs GL</t>
        </is>
      </c>
      <c r="B10" t="inlineStr">
        <is>
          <t>triplesss</t>
        </is>
      </c>
      <c r="C10" t="n">
        <v>5.29</v>
      </c>
      <c r="D10" t="n">
        <v>5.29</v>
      </c>
      <c r="F10" t="n">
        <v>3</v>
      </c>
    </row>
    <row r="11">
      <c r="A11" t="inlineStr">
        <is>
          <t>DOTA · OG vs GL</t>
        </is>
      </c>
      <c r="B11" t="inlineStr">
        <is>
          <t>yuma</t>
        </is>
      </c>
      <c r="C11" t="n">
        <v>7.06</v>
      </c>
      <c r="D11" t="n">
        <v>7.06</v>
      </c>
      <c r="F11" t="n">
        <v>4</v>
      </c>
      <c r="G11" t="inlineStr">
        <is>
          <t>388xfoz6m2jbt95</t>
        </is>
      </c>
    </row>
    <row r="12">
      <c r="A12" t="inlineStr">
        <is>
          <t>DOTA · TY vs Liquid</t>
        </is>
      </c>
      <c r="B12" t="inlineStr">
        <is>
          <t>atf</t>
        </is>
      </c>
      <c r="C12" t="n">
        <v>7.15</v>
      </c>
      <c r="D12" t="n">
        <v>7.15</v>
      </c>
      <c r="F12" t="n">
        <v>4</v>
      </c>
      <c r="G12" t="inlineStr">
        <is>
          <t>gjtmq8fbk0gya2i</t>
        </is>
      </c>
    </row>
    <row r="13">
      <c r="A13" t="inlineStr">
        <is>
          <t>DOTA · TY vs Liquid</t>
        </is>
      </c>
      <c r="B13" t="inlineStr">
        <is>
          <t>boxi</t>
        </is>
      </c>
      <c r="F13" t="n">
        <v>1</v>
      </c>
      <c r="G13" t="inlineStr">
        <is>
          <t>6fh3v4zhup45apx</t>
        </is>
      </c>
    </row>
    <row r="14">
      <c r="A14" t="inlineStr">
        <is>
          <t>DOTA · TY vs Liquid</t>
        </is>
      </c>
      <c r="B14" t="inlineStr">
        <is>
          <t>chira_junior</t>
        </is>
      </c>
      <c r="C14" t="n">
        <v>6.67</v>
      </c>
      <c r="D14" t="n">
        <v>6.67</v>
      </c>
      <c r="F14" t="n">
        <v>4</v>
      </c>
    </row>
    <row r="15">
      <c r="A15" t="inlineStr">
        <is>
          <t>DOTA · TY vs Liquid</t>
        </is>
      </c>
      <c r="B15" t="inlineStr">
        <is>
          <t>malady</t>
        </is>
      </c>
      <c r="C15" t="n">
        <v>2.79</v>
      </c>
      <c r="D15" t="n">
        <v>2.79</v>
      </c>
      <c r="F15" t="n">
        <v>2</v>
      </c>
      <c r="G15" t="inlineStr">
        <is>
          <t>0ajkyqw3r0k1f5j</t>
        </is>
      </c>
    </row>
    <row r="16">
      <c r="A16" t="inlineStr">
        <is>
          <t>DOTA · TY vs Liquid</t>
        </is>
      </c>
      <c r="B16" t="inlineStr">
        <is>
          <t>malr1ne</t>
        </is>
      </c>
      <c r="C16" t="n">
        <v>5.99</v>
      </c>
      <c r="D16" t="n">
        <v>5.99</v>
      </c>
      <c r="F16" t="n">
        <v>4</v>
      </c>
      <c r="G16" t="inlineStr">
        <is>
          <t>okwa876y1o8h4ow</t>
        </is>
      </c>
    </row>
    <row r="17">
      <c r="A17" t="inlineStr">
        <is>
          <t>DOTA · TY vs Liquid</t>
        </is>
      </c>
      <c r="B17" t="inlineStr">
        <is>
          <t>micke</t>
        </is>
      </c>
      <c r="C17" t="n">
        <v>5.61</v>
      </c>
      <c r="D17" t="n">
        <v>5.61</v>
      </c>
      <c r="F17" t="n">
        <v>3</v>
      </c>
      <c r="G17" t="inlineStr">
        <is>
          <t>m59p9wlox0y2f5p</t>
        </is>
      </c>
    </row>
    <row r="18">
      <c r="A18" t="inlineStr">
        <is>
          <t>DOTA · TY vs Liquid</t>
        </is>
      </c>
      <c r="B18" t="inlineStr">
        <is>
          <t>saksa</t>
        </is>
      </c>
      <c r="C18" t="n">
        <v>3.32</v>
      </c>
      <c r="D18" t="n">
        <v>3.32</v>
      </c>
      <c r="F18" t="n">
        <v>3</v>
      </c>
      <c r="G18" t="inlineStr">
        <is>
          <t>b2idu6d2bllmgsq</t>
        </is>
      </c>
    </row>
    <row r="19">
      <c r="A19" t="inlineStr">
        <is>
          <t>DOTA · TY vs Liquid</t>
        </is>
      </c>
      <c r="B19" t="inlineStr">
        <is>
          <t>tofu</t>
        </is>
      </c>
      <c r="C19" t="n">
        <v>2.97</v>
      </c>
      <c r="D19" t="n">
        <v>2.97</v>
      </c>
      <c r="F19" t="n">
        <v>2</v>
      </c>
      <c r="G19" t="inlineStr">
        <is>
          <t>27h10ey3h2ra0ol</t>
        </is>
      </c>
    </row>
    <row r="20">
      <c r="A20" t="inlineStr">
        <is>
          <t>DOTA · TY vs Liquid</t>
        </is>
      </c>
      <c r="B20" t="inlineStr">
        <is>
          <t>watson</t>
        </is>
      </c>
      <c r="C20" t="n">
        <v>8.390000000000001</v>
      </c>
      <c r="D20" t="n">
        <v>8.390000000000001</v>
      </c>
      <c r="F20" t="n">
        <v>5</v>
      </c>
      <c r="G20" t="inlineStr">
        <is>
          <t>sm63cqd6f6fdapn</t>
        </is>
      </c>
    </row>
    <row r="21">
      <c r="A21" t="inlineStr">
        <is>
          <t>DOTA · TY vs Liquid</t>
        </is>
      </c>
      <c r="B21" t="inlineStr">
        <is>
          <t>wisper</t>
        </is>
      </c>
      <c r="C21" t="n">
        <v>4.89</v>
      </c>
      <c r="D21" t="n">
        <v>4.89</v>
      </c>
      <c r="F21" t="n">
        <v>4</v>
      </c>
      <c r="G21" t="inlineStr">
        <is>
          <t>yfzz8fis0ra5e8p</t>
        </is>
      </c>
    </row>
    <row r="22">
      <c r="A22" t="inlineStr">
        <is>
          <t>DOTA · TS vs PARI</t>
        </is>
      </c>
      <c r="B22" t="inlineStr">
        <is>
          <t>9class</t>
        </is>
      </c>
      <c r="C22" t="n">
        <v>3.3</v>
      </c>
      <c r="D22" t="n">
        <v>3.32</v>
      </c>
      <c r="F22" t="n">
        <v>3</v>
      </c>
      <c r="G22" t="inlineStr">
        <is>
          <t>p48p2vywpenq4iz</t>
        </is>
      </c>
    </row>
    <row r="23">
      <c r="A23" t="inlineStr">
        <is>
          <t>DOTA · TS vs PARI</t>
        </is>
      </c>
      <c r="B23" t="inlineStr">
        <is>
          <t>batyuk</t>
        </is>
      </c>
      <c r="C23" t="n">
        <v>4.57</v>
      </c>
      <c r="D23" t="n">
        <v>4.6</v>
      </c>
      <c r="F23" t="n">
        <v>3</v>
      </c>
    </row>
    <row r="24">
      <c r="A24" t="inlineStr">
        <is>
          <t>DOTA · TS vs PARI</t>
        </is>
      </c>
      <c r="B24" t="inlineStr">
        <is>
          <t>dukalis</t>
        </is>
      </c>
      <c r="F24" t="n">
        <v>1</v>
      </c>
      <c r="G24" t="inlineStr">
        <is>
          <t>38c4z9ycctww8gl</t>
        </is>
      </c>
    </row>
    <row r="25">
      <c r="A25" t="inlineStr">
        <is>
          <t>DOTA · TS vs PARI</t>
        </is>
      </c>
      <c r="B25" t="inlineStr">
        <is>
          <t>larl</t>
        </is>
      </c>
      <c r="C25" t="n">
        <v>6.66</v>
      </c>
      <c r="D25" t="n">
        <v>6.69</v>
      </c>
      <c r="F25" t="n">
        <v>4</v>
      </c>
      <c r="G25" t="inlineStr">
        <is>
          <t>3nhf9uupulsq9gw</t>
        </is>
      </c>
    </row>
    <row r="26">
      <c r="A26" t="inlineStr">
        <is>
          <t>DOTA · TS vs PARI</t>
        </is>
      </c>
      <c r="B26" t="inlineStr">
        <is>
          <t>no[o]ne-</t>
        </is>
      </c>
      <c r="C26" t="n">
        <v>6.79</v>
      </c>
      <c r="D26" t="n">
        <v>6.83</v>
      </c>
      <c r="F26" t="n">
        <v>4</v>
      </c>
    </row>
    <row r="27">
      <c r="A27" t="inlineStr">
        <is>
          <t>DOTA · TS vs PARI</t>
        </is>
      </c>
      <c r="B27" t="inlineStr">
        <is>
          <t>not me</t>
        </is>
      </c>
      <c r="C27" t="n">
        <v>3.47</v>
      </c>
      <c r="D27" t="n">
        <v>3.49</v>
      </c>
      <c r="F27" t="n">
        <v>3</v>
      </c>
      <c r="G27" t="inlineStr">
        <is>
          <t>eu78tcmea0duae0</t>
        </is>
      </c>
    </row>
    <row r="28">
      <c r="A28" t="inlineStr">
        <is>
          <t>DOTA · TS vs PARI</t>
        </is>
      </c>
      <c r="B28" t="inlineStr">
        <is>
          <t>noticed</t>
        </is>
      </c>
      <c r="C28" t="n">
        <v>4.44</v>
      </c>
      <c r="D28" t="n">
        <v>4.46</v>
      </c>
      <c r="F28" t="n">
        <v>3</v>
      </c>
      <c r="G28" t="inlineStr">
        <is>
          <t>hkpy2i1q2cf4qrd</t>
        </is>
      </c>
    </row>
    <row r="29">
      <c r="A29" t="inlineStr">
        <is>
          <t>DOTA · TS vs PARI</t>
        </is>
      </c>
      <c r="B29" t="inlineStr">
        <is>
          <t>rue</t>
        </is>
      </c>
      <c r="F29" t="n">
        <v>1</v>
      </c>
      <c r="G29" t="inlineStr">
        <is>
          <t>sw7j8rqyn0xsj7y</t>
        </is>
      </c>
    </row>
    <row r="30">
      <c r="A30" t="inlineStr">
        <is>
          <t>DOTA · TS vs PARI</t>
        </is>
      </c>
      <c r="B30" t="inlineStr">
        <is>
          <t>satanic</t>
        </is>
      </c>
      <c r="C30" t="n">
        <v>9.08</v>
      </c>
      <c r="D30" t="n">
        <v>9.130000000000001</v>
      </c>
      <c r="F30" t="n">
        <v>4</v>
      </c>
      <c r="G30" t="inlineStr">
        <is>
          <t>s178rxweg2uixdf</t>
        </is>
      </c>
    </row>
    <row r="31">
      <c r="A31" t="inlineStr">
        <is>
          <t>DOTA · TS vs PARI</t>
        </is>
      </c>
      <c r="B31" t="inlineStr">
        <is>
          <t>yatoro</t>
        </is>
      </c>
      <c r="C31" t="n">
        <v>8.56</v>
      </c>
      <c r="D31" t="n">
        <v>8.59</v>
      </c>
      <c r="F31" t="n">
        <v>5</v>
      </c>
      <c r="G31" t="inlineStr">
        <is>
          <t>7i0n30c69c9zmve</t>
        </is>
      </c>
    </row>
    <row r="32">
      <c r="A32" t="inlineStr">
        <is>
          <t>LOL · T1 vs CFO</t>
        </is>
      </c>
      <c r="B32" t="inlineStr">
        <is>
          <t>doggo</t>
        </is>
      </c>
      <c r="C32" t="n">
        <v>2.69</v>
      </c>
      <c r="F32" t="n">
        <v>3</v>
      </c>
      <c r="G32" t="inlineStr">
        <is>
          <t>a5wl3rb1ss2ow7n</t>
        </is>
      </c>
    </row>
    <row r="33">
      <c r="A33" t="inlineStr">
        <is>
          <t>LOL · T1 vs CFO</t>
        </is>
      </c>
      <c r="B33" t="inlineStr">
        <is>
          <t>doran</t>
        </is>
      </c>
      <c r="C33" t="n">
        <v>3</v>
      </c>
      <c r="F33" t="n">
        <v>3</v>
      </c>
    </row>
    <row r="34">
      <c r="A34" t="inlineStr">
        <is>
          <t>LOL · T1 vs CFO</t>
        </is>
      </c>
      <c r="B34" t="inlineStr">
        <is>
          <t>faker</t>
        </is>
      </c>
      <c r="C34" t="n">
        <v>3.76</v>
      </c>
      <c r="F34" t="n">
        <v>3</v>
      </c>
      <c r="G34" t="inlineStr">
        <is>
          <t>xejs6635mp9yjls</t>
        </is>
      </c>
    </row>
    <row r="35">
      <c r="A35" t="inlineStr">
        <is>
          <t>LOL · T1 vs CFO</t>
        </is>
      </c>
      <c r="B35" t="inlineStr">
        <is>
          <t>keria</t>
        </is>
      </c>
      <c r="F35" t="n">
        <v>1</v>
      </c>
    </row>
    <row r="36">
      <c r="A36" t="inlineStr">
        <is>
          <t>LOL · T1 vs CFO</t>
        </is>
      </c>
      <c r="B36" t="inlineStr">
        <is>
          <t>kino</t>
        </is>
      </c>
      <c r="F36" t="n">
        <v>1</v>
      </c>
    </row>
    <row r="37">
      <c r="A37" t="inlineStr">
        <is>
          <t>LOL · T1 vs CFO</t>
        </is>
      </c>
      <c r="B37" t="inlineStr">
        <is>
          <t>oner</t>
        </is>
      </c>
      <c r="C37" t="n">
        <v>3.92</v>
      </c>
      <c r="F37" t="n">
        <v>3</v>
      </c>
      <c r="G37" t="inlineStr">
        <is>
          <t>0qs18ll8c1ghzp5</t>
        </is>
      </c>
    </row>
    <row r="38">
      <c r="A38" t="inlineStr">
        <is>
          <t>LOL · T1 vs CFO</t>
        </is>
      </c>
      <c r="B38" t="inlineStr">
        <is>
          <t>peyz</t>
        </is>
      </c>
      <c r="C38" t="n">
        <v>6.5</v>
      </c>
      <c r="F38" t="n">
        <v>3</v>
      </c>
      <c r="G38" t="inlineStr">
        <is>
          <t>98d05n24zmlpwll</t>
        </is>
      </c>
    </row>
    <row r="39">
      <c r="A39" t="inlineStr">
        <is>
          <t>LOL · T1 vs CFO</t>
        </is>
      </c>
      <c r="B39" t="inlineStr">
        <is>
          <t>pout</t>
        </is>
      </c>
      <c r="C39" t="n">
        <v>2.12</v>
      </c>
      <c r="F39" t="n">
        <v>3</v>
      </c>
      <c r="G39" t="inlineStr">
        <is>
          <t>tn5wihneq593t21</t>
        </is>
      </c>
    </row>
    <row r="40">
      <c r="A40" t="inlineStr">
        <is>
          <t>LOL · T1 vs CFO</t>
        </is>
      </c>
      <c r="B40" t="inlineStr">
        <is>
          <t>rest</t>
        </is>
      </c>
      <c r="C40" t="n">
        <v>1.39</v>
      </c>
      <c r="F40" t="n">
        <v>3</v>
      </c>
      <c r="G40" t="inlineStr">
        <is>
          <t>53mtwbqgfk1n5zk</t>
        </is>
      </c>
    </row>
    <row r="41">
      <c r="A41" t="inlineStr">
        <is>
          <t>LOL · T1 vs CFO</t>
        </is>
      </c>
      <c r="B41" t="inlineStr">
        <is>
          <t>shad0w</t>
        </is>
      </c>
      <c r="C41" t="n">
        <v>1.88</v>
      </c>
      <c r="F41" t="n">
        <v>3</v>
      </c>
      <c r="G41" t="inlineStr">
        <is>
          <t>ko4ayhltzyln940</t>
        </is>
      </c>
    </row>
    <row r="42">
      <c r="A42" t="inlineStr">
        <is>
          <t>DOTA · BB vs LEGION</t>
        </is>
      </c>
      <c r="B42" t="inlineStr">
        <is>
          <t>4nalog</t>
        </is>
      </c>
      <c r="C42" t="n">
        <v>6.64</v>
      </c>
      <c r="D42" t="n">
        <v>6.64</v>
      </c>
      <c r="F42" t="n">
        <v>4</v>
      </c>
    </row>
    <row r="43">
      <c r="A43" t="inlineStr">
        <is>
          <t>DOTA · BB vs LEGION</t>
        </is>
      </c>
      <c r="B43" t="inlineStr">
        <is>
          <t>kataomi`</t>
        </is>
      </c>
      <c r="C43" t="n">
        <v>2.62</v>
      </c>
      <c r="D43" t="n">
        <v>2.62</v>
      </c>
      <c r="F43" t="n">
        <v>2</v>
      </c>
      <c r="G43" t="inlineStr">
        <is>
          <t>d5vtssc59tcc007</t>
        </is>
      </c>
    </row>
    <row r="44">
      <c r="A44" t="inlineStr">
        <is>
          <t>DOTA · BB vs LEGION</t>
        </is>
      </c>
      <c r="B44" t="inlineStr">
        <is>
          <t>kidaro</t>
        </is>
      </c>
      <c r="F44" t="n">
        <v>1</v>
      </c>
      <c r="G44" t="inlineStr">
        <is>
          <t>y820p7y1cpfqy6w</t>
        </is>
      </c>
    </row>
    <row r="45">
      <c r="A45" t="inlineStr">
        <is>
          <t>DOTA · BB vs LEGION</t>
        </is>
      </c>
      <c r="B45" t="inlineStr">
        <is>
          <t>kiritych</t>
        </is>
      </c>
      <c r="C45" t="n">
        <v>8.34</v>
      </c>
      <c r="D45" t="n">
        <v>8.34</v>
      </c>
      <c r="F45" t="n">
        <v>5</v>
      </c>
    </row>
    <row r="46">
      <c r="A46" t="inlineStr">
        <is>
          <t>DOTA · BB vs LEGION</t>
        </is>
      </c>
      <c r="B46" t="inlineStr">
        <is>
          <t>miero`</t>
        </is>
      </c>
      <c r="C46" t="n">
        <v>5.48</v>
      </c>
      <c r="D46" t="n">
        <v>5.47</v>
      </c>
      <c r="F46" t="n">
        <v>3</v>
      </c>
    </row>
    <row r="47">
      <c r="A47" t="inlineStr">
        <is>
          <t>DOTA · BB vs LEGION</t>
        </is>
      </c>
      <c r="B47" t="inlineStr">
        <is>
          <t>saberlight</t>
        </is>
      </c>
      <c r="C47" t="n">
        <v>5.09</v>
      </c>
      <c r="D47" t="n">
        <v>5.09</v>
      </c>
      <c r="F47" t="n">
        <v>3</v>
      </c>
      <c r="G47" t="inlineStr">
        <is>
          <t>pd8esajdvd6l5ul</t>
        </is>
      </c>
    </row>
    <row r="48">
      <c r="A48" t="inlineStr">
        <is>
          <t>DOTA · BB vs LEGION</t>
        </is>
      </c>
      <c r="B48" t="inlineStr">
        <is>
          <t>save-</t>
        </is>
      </c>
      <c r="C48" t="n">
        <v>7.42</v>
      </c>
      <c r="D48" t="n">
        <v>7.4</v>
      </c>
      <c r="F48" t="n">
        <v>5</v>
      </c>
    </row>
    <row r="49">
      <c r="A49" t="inlineStr">
        <is>
          <t>DOTA · BB vs LEGION</t>
        </is>
      </c>
      <c r="B49" t="inlineStr">
        <is>
          <t>swedenstrong</t>
        </is>
      </c>
      <c r="C49" t="n">
        <v>5.38</v>
      </c>
      <c r="D49" t="n">
        <v>5.38</v>
      </c>
      <c r="F49" t="n">
        <v>3</v>
      </c>
      <c r="G49" t="inlineStr">
        <is>
          <t>7ht2ppu8ke3cch9</t>
        </is>
      </c>
    </row>
    <row r="50">
      <c r="A50" t="inlineStr">
        <is>
          <t>DOTA · BB vs LEGION</t>
        </is>
      </c>
      <c r="B50" t="inlineStr">
        <is>
          <t>v-tune</t>
        </is>
      </c>
      <c r="C50" t="n">
        <v>5.89</v>
      </c>
      <c r="D50" t="n">
        <v>5.88</v>
      </c>
      <c r="F50" t="n">
        <v>4</v>
      </c>
    </row>
    <row r="51">
      <c r="A51" t="inlineStr">
        <is>
          <t>DOTA · BB vs LEGION</t>
        </is>
      </c>
      <c r="B51" t="inlineStr">
        <is>
          <t>xsvampire</t>
        </is>
      </c>
      <c r="C51" t="n">
        <v>2.89</v>
      </c>
      <c r="D51" t="n">
        <v>2.89</v>
      </c>
      <c r="F51" t="n">
        <v>2</v>
      </c>
    </row>
    <row r="52">
      <c r="A52" t="inlineStr">
        <is>
          <t>LOL · KC vs BLG</t>
        </is>
      </c>
      <c r="B52" t="inlineStr">
        <is>
          <t>bin</t>
        </is>
      </c>
      <c r="C52" t="n">
        <v>2.5</v>
      </c>
      <c r="F52" t="n">
        <v>3</v>
      </c>
    </row>
    <row r="53">
      <c r="A53" t="inlineStr">
        <is>
          <t>LOL · KC vs BLG</t>
        </is>
      </c>
      <c r="B53" t="inlineStr">
        <is>
          <t>busio</t>
        </is>
      </c>
      <c r="F53" t="n">
        <v>1</v>
      </c>
    </row>
    <row r="54">
      <c r="A54" t="inlineStr">
        <is>
          <t>LOL · KC vs BLG</t>
        </is>
      </c>
      <c r="B54" t="inlineStr">
        <is>
          <t>caliste</t>
        </is>
      </c>
      <c r="C54" t="n">
        <v>2.92</v>
      </c>
      <c r="F54" t="n">
        <v>3</v>
      </c>
      <c r="G54" t="inlineStr">
        <is>
          <t>60n3jocjohvthia</t>
        </is>
      </c>
    </row>
    <row r="55">
      <c r="A55" t="inlineStr">
        <is>
          <t>LOL · KC vs BLG</t>
        </is>
      </c>
      <c r="B55" t="inlineStr">
        <is>
          <t>canna</t>
        </is>
      </c>
      <c r="C55" t="n">
        <v>1.7</v>
      </c>
      <c r="F55" t="n">
        <v>3</v>
      </c>
    </row>
    <row r="56">
      <c r="A56" t="inlineStr">
        <is>
          <t>LOL · KC vs BLG</t>
        </is>
      </c>
      <c r="B56" t="inlineStr">
        <is>
          <t>knight</t>
        </is>
      </c>
      <c r="C56" t="n">
        <v>4.91</v>
      </c>
      <c r="F56" t="n">
        <v>3</v>
      </c>
      <c r="G56" t="inlineStr">
        <is>
          <t>n4f7lv5wvxndbnw</t>
        </is>
      </c>
    </row>
    <row r="57">
      <c r="A57" t="inlineStr">
        <is>
          <t>LOL · KC vs BLG</t>
        </is>
      </c>
      <c r="B57" t="inlineStr">
        <is>
          <t>kyeahoo</t>
        </is>
      </c>
      <c r="C57" t="n">
        <v>2.16</v>
      </c>
      <c r="F57" t="n">
        <v>3</v>
      </c>
      <c r="G57" t="inlineStr">
        <is>
          <t>cp4ibkwui10xeyj</t>
        </is>
      </c>
    </row>
    <row r="58">
      <c r="A58" t="inlineStr">
        <is>
          <t>LOL · KC vs BLG</t>
        </is>
      </c>
      <c r="B58" t="inlineStr">
        <is>
          <t>on</t>
        </is>
      </c>
      <c r="F58" t="n">
        <v>1</v>
      </c>
      <c r="G58" t="inlineStr">
        <is>
          <t>rxzjxi7ziezffrs</t>
        </is>
      </c>
    </row>
    <row r="59">
      <c r="A59" t="inlineStr">
        <is>
          <t>LOL · KC vs BLG</t>
        </is>
      </c>
      <c r="B59" t="inlineStr">
        <is>
          <t>viper</t>
        </is>
      </c>
      <c r="C59" t="n">
        <v>4.43</v>
      </c>
      <c r="F59" t="n">
        <v>3</v>
      </c>
      <c r="G59" t="inlineStr">
        <is>
          <t>ik18oe6e112nifa</t>
        </is>
      </c>
    </row>
    <row r="60">
      <c r="A60" t="inlineStr">
        <is>
          <t>LOL · KC vs BLG</t>
        </is>
      </c>
      <c r="B60" t="inlineStr">
        <is>
          <t>xun</t>
        </is>
      </c>
      <c r="C60" t="n">
        <v>3.4</v>
      </c>
      <c r="F60" t="n">
        <v>3</v>
      </c>
      <c r="G60" t="inlineStr">
        <is>
          <t>3565cqfb2f3cq21</t>
        </is>
      </c>
    </row>
    <row r="61">
      <c r="A61" t="inlineStr">
        <is>
          <t>LOL · KC vs BLG</t>
        </is>
      </c>
      <c r="B61" t="inlineStr">
        <is>
          <t>yike</t>
        </is>
      </c>
      <c r="C61" t="n">
        <v>2.1</v>
      </c>
      <c r="F61" t="n">
        <v>3</v>
      </c>
      <c r="G61" t="inlineStr">
        <is>
          <t>rfespsq7mcurckt</t>
        </is>
      </c>
    </row>
    <row r="62">
      <c r="A62" t="inlineStr">
        <is>
          <t>LOL · LOS vs TSW</t>
        </is>
      </c>
      <c r="B62" t="inlineStr">
        <is>
          <t>ackerman</t>
        </is>
      </c>
      <c r="F62" t="n">
        <v>1</v>
      </c>
    </row>
    <row r="63">
      <c r="A63" t="inlineStr">
        <is>
          <t>LOL · LOS vs TSW</t>
        </is>
      </c>
      <c r="B63" t="inlineStr">
        <is>
          <t>bie</t>
        </is>
      </c>
      <c r="F63" t="n">
        <v>1</v>
      </c>
    </row>
    <row r="64">
      <c r="A64" t="inlineStr">
        <is>
          <t>LOL · LOS vs TSW</t>
        </is>
      </c>
      <c r="B64" t="inlineStr">
        <is>
          <t>curse</t>
        </is>
      </c>
      <c r="C64" t="n">
        <v>2.1</v>
      </c>
      <c r="F64" t="n">
        <v>3</v>
      </c>
    </row>
    <row r="65">
      <c r="A65" t="inlineStr">
        <is>
          <t>LOL · LOS vs TSW</t>
        </is>
      </c>
      <c r="B65" t="inlineStr">
        <is>
          <t>dire</t>
        </is>
      </c>
      <c r="C65" t="n">
        <v>3.91</v>
      </c>
      <c r="F65" t="n">
        <v>3</v>
      </c>
      <c r="G65" t="inlineStr">
        <is>
          <t>gvmentfvocz0hg6</t>
        </is>
      </c>
    </row>
    <row r="66">
      <c r="A66" t="inlineStr">
        <is>
          <t>LOL · LOS vs TSW</t>
        </is>
      </c>
      <c r="B66" t="inlineStr">
        <is>
          <t>duduhh</t>
        </is>
      </c>
      <c r="C66" t="n">
        <v>3.08</v>
      </c>
      <c r="F66" t="n">
        <v>3</v>
      </c>
      <c r="G66" t="inlineStr">
        <is>
          <t>f3sr4wlphwob12v</t>
        </is>
      </c>
    </row>
    <row r="67">
      <c r="A67" t="inlineStr">
        <is>
          <t>LOL · LOS vs TSW</t>
        </is>
      </c>
      <c r="B67" t="inlineStr">
        <is>
          <t>eddie</t>
        </is>
      </c>
      <c r="C67" t="n">
        <v>3.66</v>
      </c>
      <c r="F67" t="n">
        <v>3</v>
      </c>
      <c r="G67" t="inlineStr">
        <is>
          <t>83idh6ozvn5jb33</t>
        </is>
      </c>
    </row>
    <row r="68">
      <c r="A68" t="inlineStr">
        <is>
          <t>LOL · LOS vs TSW</t>
        </is>
      </c>
      <c r="B68" t="inlineStr">
        <is>
          <t>feisty</t>
        </is>
      </c>
      <c r="C68" t="n">
        <v>2.6</v>
      </c>
      <c r="F68" t="n">
        <v>3</v>
      </c>
      <c r="G68" t="inlineStr">
        <is>
          <t>7an3gm5ji18vw08</t>
        </is>
      </c>
    </row>
    <row r="69">
      <c r="A69" t="inlineStr">
        <is>
          <t>LOL · LOS vs TSW</t>
        </is>
      </c>
      <c r="B69" t="inlineStr">
        <is>
          <t>hizto</t>
        </is>
      </c>
      <c r="C69" t="n">
        <v>4.09</v>
      </c>
      <c r="F69" t="n">
        <v>3</v>
      </c>
      <c r="G69" t="inlineStr">
        <is>
          <t>coeji50w1xpfl1z</t>
        </is>
      </c>
    </row>
    <row r="70">
      <c r="A70" t="inlineStr">
        <is>
          <t>LOL · LOS vs TSW</t>
        </is>
      </c>
      <c r="B70" t="inlineStr">
        <is>
          <t>pun</t>
        </is>
      </c>
      <c r="C70" t="n">
        <v>3.24</v>
      </c>
      <c r="F70" t="n">
        <v>3</v>
      </c>
      <c r="G70" t="inlineStr">
        <is>
          <t>exrkst6ic4sj8yi</t>
        </is>
      </c>
    </row>
    <row r="71">
      <c r="A71" t="inlineStr">
        <is>
          <t>LOL · LOS vs TSW</t>
        </is>
      </c>
      <c r="B71" t="inlineStr">
        <is>
          <t>zest</t>
        </is>
      </c>
      <c r="C71" t="n">
        <v>2.42</v>
      </c>
      <c r="F71" t="n">
        <v>3</v>
      </c>
      <c r="G71" t="inlineStr">
        <is>
          <t>1wrgwhi0wuse7fq</t>
        </is>
      </c>
    </row>
    <row r="72">
      <c r="A72" t="inlineStr">
        <is>
          <t>LOL · TL vs AL</t>
        </is>
      </c>
      <c r="B72" t="inlineStr">
        <is>
          <t>breathe</t>
        </is>
      </c>
      <c r="C72" t="n">
        <v>2.82</v>
      </c>
      <c r="F72" t="n">
        <v>3</v>
      </c>
      <c r="G72" t="inlineStr">
        <is>
          <t>mhg6ds61hvmgcyz</t>
        </is>
      </c>
    </row>
    <row r="73">
      <c r="A73" t="inlineStr">
        <is>
          <t>LOL · TL vs AL</t>
        </is>
      </c>
      <c r="B73" t="inlineStr">
        <is>
          <t>corejj</t>
        </is>
      </c>
      <c r="F73" t="n">
        <v>1</v>
      </c>
    </row>
    <row r="74">
      <c r="A74" t="inlineStr">
        <is>
          <t>LOL · TL vs AL</t>
        </is>
      </c>
      <c r="B74" t="inlineStr">
        <is>
          <t>hope</t>
        </is>
      </c>
      <c r="C74" t="n">
        <v>4.19</v>
      </c>
      <c r="F74" t="n">
        <v>3</v>
      </c>
      <c r="G74" t="inlineStr">
        <is>
          <t>4wiuvlxt09y1lfa</t>
        </is>
      </c>
    </row>
    <row r="75">
      <c r="A75" t="inlineStr">
        <is>
          <t>LOL · TL vs AL</t>
        </is>
      </c>
      <c r="B75" t="inlineStr">
        <is>
          <t>josedeodo</t>
        </is>
      </c>
      <c r="C75" t="n">
        <v>2.16</v>
      </c>
      <c r="F75" t="n">
        <v>3</v>
      </c>
      <c r="G75" t="inlineStr">
        <is>
          <t>qq49f66td1g1ang</t>
        </is>
      </c>
    </row>
    <row r="76">
      <c r="A76" t="inlineStr">
        <is>
          <t>LOL · TL vs AL</t>
        </is>
      </c>
      <c r="B76" t="inlineStr">
        <is>
          <t>kael</t>
        </is>
      </c>
      <c r="F76" t="n">
        <v>1</v>
      </c>
    </row>
    <row r="77">
      <c r="A77" t="inlineStr">
        <is>
          <t>LOL · TL vs AL</t>
        </is>
      </c>
      <c r="B77" t="inlineStr">
        <is>
          <t>morgan</t>
        </is>
      </c>
      <c r="C77" t="n">
        <v>1.7</v>
      </c>
      <c r="F77" t="n">
        <v>3</v>
      </c>
      <c r="G77" t="inlineStr">
        <is>
          <t>2ol95p2vqnex4vi</t>
        </is>
      </c>
    </row>
    <row r="78">
      <c r="A78" t="inlineStr">
        <is>
          <t>LOL · TL vs AL</t>
        </is>
      </c>
      <c r="B78" t="inlineStr">
        <is>
          <t>quid</t>
        </is>
      </c>
      <c r="C78" t="n">
        <v>2.76</v>
      </c>
      <c r="F78" t="n">
        <v>3</v>
      </c>
      <c r="G78" t="inlineStr">
        <is>
          <t>i3s02n3914ztm0s</t>
        </is>
      </c>
    </row>
    <row r="79">
      <c r="A79" t="inlineStr">
        <is>
          <t>LOL · TL vs AL</t>
        </is>
      </c>
      <c r="B79" t="inlineStr">
        <is>
          <t>shanks</t>
        </is>
      </c>
      <c r="C79" t="n">
        <v>3.96</v>
      </c>
      <c r="F79" t="n">
        <v>3</v>
      </c>
      <c r="G79" t="inlineStr">
        <is>
          <t>tesiepsb2upme55</t>
        </is>
      </c>
    </row>
    <row r="80">
      <c r="A80" t="inlineStr">
        <is>
          <t>LOL · TL vs AL</t>
        </is>
      </c>
      <c r="B80" t="inlineStr">
        <is>
          <t>tarzan</t>
        </is>
      </c>
      <c r="C80" t="n">
        <v>3.4</v>
      </c>
      <c r="F80" t="n">
        <v>3</v>
      </c>
      <c r="G80" t="inlineStr">
        <is>
          <t>3dqp61os0zjpa7c</t>
        </is>
      </c>
    </row>
    <row r="81">
      <c r="A81" t="inlineStr">
        <is>
          <t>LOL · TL vs AL</t>
        </is>
      </c>
      <c r="B81" t="inlineStr">
        <is>
          <t>yeon</t>
        </is>
      </c>
      <c r="C81" t="n">
        <v>2.6</v>
      </c>
      <c r="F81" t="n">
        <v>3</v>
      </c>
      <c r="G81" t="inlineStr">
        <is>
          <t>3veg6sl2qg2nwcd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2026-10-26 02:22</t>
        </is>
      </c>
      <c r="B2" t="inlineStr">
        <is>
          <t>2026-10-26</t>
        </is>
      </c>
      <c r="C2" t="inlineStr">
        <is>
          <t>DOTA · BB vs LEGION</t>
        </is>
      </c>
      <c r="D2" t="inlineStr">
        <is>
          <t>Kataomi`</t>
        </is>
      </c>
      <c r="E2" t="inlineStr">
        <is>
          <t>Maps 1-2 Kills</t>
        </is>
      </c>
      <c r="F2" t="n">
        <v>5.5</v>
      </c>
      <c r="G2" t="n">
        <v>5.17</v>
      </c>
      <c r="H2" s="6" t="n">
        <v>0.459</v>
      </c>
      <c r="I2" t="n">
        <v>4.4</v>
      </c>
      <c r="J2" s="6" t="n">
        <v>0.3551</v>
      </c>
      <c r="K2" s="6" t="n">
        <v>0.6619</v>
      </c>
      <c r="L2" s="6" t="n">
        <v>0.37</v>
      </c>
      <c r="M2" t="n">
        <v>5.24</v>
      </c>
      <c r="N2" s="6" t="n">
        <v>0.3</v>
      </c>
      <c r="O2" s="10" t="n"/>
      <c r="P2">
        <f>IF(O2="","",IF(O2&gt;F2,"OVER",IF(O2&lt;F2,"UNDER","PUSH")))</f>
        <v/>
      </c>
    </row>
    <row r="3">
      <c r="A3" t="inlineStr">
        <is>
          <t>2026-10-26 02:22</t>
        </is>
      </c>
      <c r="B3" t="inlineStr">
        <is>
          <t>2026-10-26</t>
        </is>
      </c>
      <c r="C3" t="inlineStr">
        <is>
          <t>DOTA · BB vs LEGION</t>
        </is>
      </c>
      <c r="D3" t="inlineStr">
        <is>
          <t>Kiritych~</t>
        </is>
      </c>
      <c r="E3" t="inlineStr">
        <is>
          <t>Maps 1-2 Kills</t>
        </is>
      </c>
      <c r="F3" t="n">
        <v>19.5</v>
      </c>
      <c r="G3" t="n">
        <v>15.04</v>
      </c>
      <c r="H3" s="6" t="n">
        <v>0.223</v>
      </c>
      <c r="I3" t="n">
        <v>12.8</v>
      </c>
      <c r="J3" s="6" t="n">
        <v>0.1073</v>
      </c>
      <c r="K3" s="6" t="n">
        <v>0.6619</v>
      </c>
      <c r="L3" s="6" t="n">
        <v>0.37</v>
      </c>
      <c r="N3" s="6" t="n">
        <v>0.1</v>
      </c>
      <c r="O3" s="10" t="n"/>
      <c r="P3">
        <f>IF(O3="","",IF(O3&gt;F3,"OVER",IF(O3&lt;F3,"UNDER","PUSH")))</f>
        <v/>
      </c>
    </row>
    <row r="4">
      <c r="A4" t="inlineStr">
        <is>
          <t>2026-10-26 02:22</t>
        </is>
      </c>
      <c r="B4" t="inlineStr">
        <is>
          <t>2026-10-26</t>
        </is>
      </c>
      <c r="C4" t="inlineStr">
        <is>
          <t>DOTA · BB vs LEGION</t>
        </is>
      </c>
      <c r="D4" t="inlineStr">
        <is>
          <t>MieRo</t>
        </is>
      </c>
      <c r="E4" t="inlineStr">
        <is>
          <t>Maps 1-2 Kills</t>
        </is>
      </c>
      <c r="F4" t="n">
        <v>11.5</v>
      </c>
      <c r="G4" t="n">
        <v>9.869999999999999</v>
      </c>
      <c r="H4" s="6" t="n">
        <v>0.361</v>
      </c>
      <c r="I4" t="n">
        <v>8.4</v>
      </c>
      <c r="J4" s="6" t="n">
        <v>0.2317</v>
      </c>
      <c r="K4" s="6" t="n">
        <v>0.6619</v>
      </c>
      <c r="L4" s="6" t="n">
        <v>0.37</v>
      </c>
      <c r="N4" s="6" t="n">
        <v>0.3</v>
      </c>
      <c r="O4" s="10" t="n"/>
      <c r="P4">
        <f>IF(O4="","",IF(O4&gt;F4,"OVER",IF(O4&lt;F4,"UNDER","PUSH")))</f>
        <v/>
      </c>
    </row>
    <row r="5">
      <c r="A5" t="inlineStr">
        <is>
          <t>2026-10-26 02:22</t>
        </is>
      </c>
      <c r="B5" t="inlineStr">
        <is>
          <t>2026-10-26</t>
        </is>
      </c>
      <c r="C5" t="inlineStr">
        <is>
          <t>DOTA · BB vs LEGION</t>
        </is>
      </c>
      <c r="D5" t="inlineStr">
        <is>
          <t>swedenstrong</t>
        </is>
      </c>
      <c r="E5" t="inlineStr">
        <is>
          <t>Maps 1-2 Kills</t>
        </is>
      </c>
      <c r="F5" t="n">
        <v>8.5</v>
      </c>
      <c r="G5" t="n">
        <v>5.87</v>
      </c>
      <c r="H5" s="6" t="n">
        <v>0.2225</v>
      </c>
      <c r="I5" t="n">
        <v>5</v>
      </c>
      <c r="J5" s="6" t="n">
        <v>0.1348</v>
      </c>
      <c r="K5" s="6" t="n">
        <v>0.6619</v>
      </c>
      <c r="L5" s="6" t="n">
        <v>0.37</v>
      </c>
      <c r="M5" t="n">
        <v>10.76</v>
      </c>
      <c r="N5" s="6" t="n">
        <v>0.1</v>
      </c>
      <c r="O5" s="10" t="n"/>
      <c r="P5">
        <f>IF(O5="","",IF(O5&gt;F5,"OVER",IF(O5&lt;F5,"UNDER","PUSH")))</f>
        <v/>
      </c>
    </row>
    <row r="6">
      <c r="A6" t="inlineStr">
        <is>
          <t>2026-10-26 02:22</t>
        </is>
      </c>
      <c r="B6" t="inlineStr">
        <is>
          <t>2026-10-26</t>
        </is>
      </c>
      <c r="C6" t="inlineStr">
        <is>
          <t>DOTA · BB vs LEGION</t>
        </is>
      </c>
      <c r="D6" t="inlineStr">
        <is>
          <t>DarkLord^</t>
        </is>
      </c>
      <c r="E6" t="inlineStr">
        <is>
          <t>Maps 1-2 Kills</t>
        </is>
      </c>
      <c r="F6" t="n">
        <v>14.5</v>
      </c>
      <c r="G6" t="n">
        <v>14.01</v>
      </c>
      <c r="H6" s="6" t="n">
        <v>0.4668</v>
      </c>
      <c r="I6" t="n">
        <v>16</v>
      </c>
      <c r="J6" s="6" t="n">
        <v>0.5951</v>
      </c>
      <c r="K6" s="6" t="n">
        <v>0.3381</v>
      </c>
      <c r="L6" s="6" t="n">
        <v>0.57</v>
      </c>
      <c r="N6" s="6" t="n">
        <v>0.6</v>
      </c>
      <c r="O6" s="10" t="n"/>
      <c r="P6">
        <f>IF(O6="","",IF(O6&gt;F6,"OVER",IF(O6&lt;F6,"UNDER","PUSH")))</f>
        <v/>
      </c>
    </row>
    <row r="7">
      <c r="A7" t="inlineStr">
        <is>
          <t>2026-10-26 02:22</t>
        </is>
      </c>
      <c r="B7" t="inlineStr">
        <is>
          <t>2026-10-26</t>
        </is>
      </c>
      <c r="C7" t="inlineStr">
        <is>
          <t>DOTA · BB vs LEGION</t>
        </is>
      </c>
      <c r="D7" t="inlineStr">
        <is>
          <t>Kidaro</t>
        </is>
      </c>
      <c r="E7" t="inlineStr">
        <is>
          <t>Maps 1-2 Kills</t>
        </is>
      </c>
      <c r="F7" t="n">
        <v>4.5</v>
      </c>
      <c r="G7" t="n">
        <v>4.55</v>
      </c>
      <c r="H7" s="6" t="n">
        <v>0.5066000000000001</v>
      </c>
      <c r="I7" t="n">
        <v>5</v>
      </c>
      <c r="J7" s="6" t="n">
        <v>0.5624</v>
      </c>
      <c r="K7" s="6" t="n">
        <v>0.3381</v>
      </c>
      <c r="L7" s="6" t="n">
        <v>0.5</v>
      </c>
      <c r="N7" s="6" t="n">
        <v>0.6</v>
      </c>
      <c r="O7" s="10" t="n"/>
      <c r="P7">
        <f>IF(O7="","",IF(O7&gt;F7,"OVER",IF(O7&lt;F7,"UNDER","PUSH")))</f>
        <v/>
      </c>
    </row>
    <row r="8">
      <c r="A8" t="inlineStr">
        <is>
          <t>2026-10-26 02:22</t>
        </is>
      </c>
      <c r="B8" t="inlineStr">
        <is>
          <t>2026-10-26</t>
        </is>
      </c>
      <c r="C8" t="inlineStr">
        <is>
          <t>DOTA · BB vs LEGION</t>
        </is>
      </c>
      <c r="D8" t="inlineStr">
        <is>
          <t>SaberLight</t>
        </is>
      </c>
      <c r="E8" t="inlineStr">
        <is>
          <t>Maps 1-2 Kills</t>
        </is>
      </c>
      <c r="F8" t="n">
        <v>10.5</v>
      </c>
      <c r="G8" t="n">
        <v>11.11</v>
      </c>
      <c r="H8" s="6" t="n">
        <v>0.5476</v>
      </c>
      <c r="I8" t="n">
        <v>12</v>
      </c>
      <c r="J8" s="6" t="n">
        <v>0.6123</v>
      </c>
      <c r="K8" s="6" t="n">
        <v>0.3381</v>
      </c>
      <c r="L8" s="6" t="n">
        <v>0.47</v>
      </c>
      <c r="M8" t="n">
        <v>10.17</v>
      </c>
      <c r="N8" s="6" t="n">
        <v>0.6</v>
      </c>
      <c r="O8" s="10" t="n"/>
      <c r="P8">
        <f>IF(O8="","",IF(O8&gt;F8,"OVER",IF(O8&lt;F8,"UNDER","PUSH")))</f>
        <v/>
      </c>
    </row>
    <row r="9">
      <c r="A9" t="inlineStr">
        <is>
          <t>2026-10-26 02:22</t>
        </is>
      </c>
      <c r="B9" t="inlineStr">
        <is>
          <t>2026-10-26</t>
        </is>
      </c>
      <c r="C9" t="inlineStr">
        <is>
          <t>DOTA · BB vs LEGION</t>
        </is>
      </c>
      <c r="D9" t="inlineStr">
        <is>
          <t>Stojkov</t>
        </is>
      </c>
      <c r="E9" t="inlineStr">
        <is>
          <t>Maps 1-2 Kills</t>
        </is>
      </c>
      <c r="F9" t="n">
        <v>12.5</v>
      </c>
      <c r="G9" t="n">
        <v>13.31</v>
      </c>
      <c r="H9" s="6" t="n">
        <v>0.5573</v>
      </c>
      <c r="I9" t="n">
        <v>15.2</v>
      </c>
      <c r="J9" s="6" t="n">
        <v>0.6727</v>
      </c>
      <c r="K9" s="6" t="n">
        <v>0.3381</v>
      </c>
      <c r="L9" s="6" t="n">
        <v>0.57</v>
      </c>
      <c r="N9" s="6" t="n">
        <v>0.6</v>
      </c>
      <c r="O9" s="10" t="n"/>
      <c r="P9">
        <f>IF(O9="","",IF(O9&gt;F9,"OVER",IF(O9&lt;F9,"UNDER","PUSH")))</f>
        <v/>
      </c>
    </row>
    <row r="10">
      <c r="A10" t="inlineStr">
        <is>
          <t>2026-10-26 02:22</t>
        </is>
      </c>
      <c r="B10" t="inlineStr">
        <is>
          <t>2026-10-26</t>
        </is>
      </c>
      <c r="C10" t="inlineStr">
        <is>
          <t>DOTA · OG vs GL</t>
        </is>
      </c>
      <c r="D10" t="inlineStr">
        <is>
          <t>Bignum</t>
        </is>
      </c>
      <c r="E10" t="inlineStr">
        <is>
          <t>Maps 1-2 Kills</t>
        </is>
      </c>
      <c r="F10" t="n">
        <v>6.5</v>
      </c>
      <c r="G10" t="n">
        <v>7.6</v>
      </c>
      <c r="H10" s="6" t="n">
        <v>0.607</v>
      </c>
      <c r="I10" t="n">
        <v>7.8</v>
      </c>
      <c r="J10" s="6" t="n">
        <v>0.6246</v>
      </c>
      <c r="K10" s="6" t="n">
        <v>0.4536</v>
      </c>
      <c r="L10" s="6" t="n">
        <v>0.5</v>
      </c>
      <c r="M10" t="n">
        <v>6.28</v>
      </c>
      <c r="N10" s="6" t="n">
        <v>0.7</v>
      </c>
      <c r="O10" s="10" t="n"/>
      <c r="P10">
        <f>IF(O10="","",IF(O10&gt;F10,"OVER",IF(O10&lt;F10,"UNDER","PUSH")))</f>
        <v/>
      </c>
    </row>
    <row r="11">
      <c r="A11" t="inlineStr">
        <is>
          <t>2026-10-26 02:22</t>
        </is>
      </c>
      <c r="B11" t="inlineStr">
        <is>
          <t>2026-10-26</t>
        </is>
      </c>
      <c r="C11" t="inlineStr">
        <is>
          <t>DOTA · OG vs GL</t>
        </is>
      </c>
      <c r="D11" t="inlineStr">
        <is>
          <t>Fayde</t>
        </is>
      </c>
      <c r="E11" t="inlineStr">
        <is>
          <t>Maps 1-2 Kills</t>
        </is>
      </c>
      <c r="F11" t="n">
        <v>9.5</v>
      </c>
      <c r="G11" t="n">
        <v>10.92</v>
      </c>
      <c r="H11" s="6" t="n">
        <v>0.612</v>
      </c>
      <c r="I11" t="n">
        <v>11.4</v>
      </c>
      <c r="J11" s="6" t="n">
        <v>0.6453</v>
      </c>
      <c r="K11" s="6" t="n">
        <v>0.4536</v>
      </c>
      <c r="L11" s="6" t="n">
        <v>0.53</v>
      </c>
      <c r="M11" t="n">
        <v>7.97</v>
      </c>
      <c r="N11" s="6" t="n">
        <v>0.5</v>
      </c>
      <c r="O11" s="10" t="n"/>
      <c r="P11">
        <f>IF(O11="","",IF(O11&gt;F11,"OVER",IF(O11&lt;F11,"UNDER","PUSH")))</f>
        <v/>
      </c>
    </row>
    <row r="12">
      <c r="A12" t="inlineStr">
        <is>
          <t>2026-10-26 02:22</t>
        </is>
      </c>
      <c r="B12" t="inlineStr">
        <is>
          <t>2026-10-26</t>
        </is>
      </c>
      <c r="C12" t="inlineStr">
        <is>
          <t>DOTA · OG vs GL</t>
        </is>
      </c>
      <c r="D12" t="inlineStr">
        <is>
          <t>RCY</t>
        </is>
      </c>
      <c r="E12" t="inlineStr">
        <is>
          <t>Maps 1-2 Kills</t>
        </is>
      </c>
      <c r="F12" t="n">
        <v>13.5</v>
      </c>
      <c r="G12" t="n">
        <v>15</v>
      </c>
      <c r="H12" s="6" t="n">
        <v>0.5977</v>
      </c>
      <c r="I12" t="n">
        <v>15.4</v>
      </c>
      <c r="J12" s="6" t="n">
        <v>0.6216</v>
      </c>
      <c r="K12" s="6" t="n">
        <v>0.4536</v>
      </c>
      <c r="L12" s="6" t="n">
        <v>0.5</v>
      </c>
      <c r="M12" t="n">
        <v>12.82</v>
      </c>
      <c r="N12" s="6" t="n">
        <v>0.4</v>
      </c>
      <c r="O12" s="10" t="n"/>
      <c r="P12">
        <f>IF(O12="","",IF(O12&gt;F12,"OVER",IF(O12&lt;F12,"UNDER","PUSH")))</f>
        <v/>
      </c>
    </row>
    <row r="13">
      <c r="A13" t="inlineStr">
        <is>
          <t>2026-10-26 02:22</t>
        </is>
      </c>
      <c r="B13" t="inlineStr">
        <is>
          <t>2026-10-26</t>
        </is>
      </c>
      <c r="C13" t="inlineStr">
        <is>
          <t>DOTA · OG vs GL</t>
        </is>
      </c>
      <c r="D13" t="inlineStr">
        <is>
          <t>Speeed</t>
        </is>
      </c>
      <c r="E13" t="inlineStr">
        <is>
          <t>Maps 1-2 Kills</t>
        </is>
      </c>
      <c r="F13" t="n">
        <v>5</v>
      </c>
      <c r="G13" t="n">
        <v>4.87</v>
      </c>
      <c r="H13" s="6" t="n">
        <v>0.4206</v>
      </c>
      <c r="I13" t="n">
        <v>5</v>
      </c>
      <c r="J13" s="6" t="n">
        <v>0.4377</v>
      </c>
      <c r="K13" s="6" t="n">
        <v>0.4536</v>
      </c>
      <c r="L13" s="6" t="n">
        <v>0.5</v>
      </c>
      <c r="M13" t="n">
        <v>5.02</v>
      </c>
      <c r="N13" s="6" t="n">
        <v>0.5</v>
      </c>
      <c r="O13" s="10" t="n"/>
      <c r="P13">
        <f>IF(O13="","",IF(O13&gt;F13,"OVER",IF(O13&lt;F13,"UNDER","PUSH")))</f>
        <v/>
      </c>
    </row>
    <row r="14">
      <c r="A14" t="inlineStr">
        <is>
          <t>2026-10-26 02:22</t>
        </is>
      </c>
      <c r="B14" t="inlineStr">
        <is>
          <t>2026-10-26</t>
        </is>
      </c>
      <c r="C14" t="inlineStr">
        <is>
          <t>DOTA · OG vs GL</t>
        </is>
      </c>
      <c r="D14" t="inlineStr">
        <is>
          <t>Yuma</t>
        </is>
      </c>
      <c r="E14" t="inlineStr">
        <is>
          <t>Maps 1-2 Kills</t>
        </is>
      </c>
      <c r="F14" t="n">
        <v>17</v>
      </c>
      <c r="G14" t="n">
        <v>15.52</v>
      </c>
      <c r="H14" s="6" t="n">
        <v>0.3743</v>
      </c>
      <c r="I14" t="n">
        <v>16.2</v>
      </c>
      <c r="J14" s="6" t="n">
        <v>0.4185</v>
      </c>
      <c r="K14" s="6" t="n">
        <v>0.4536</v>
      </c>
      <c r="L14" s="6" t="n">
        <v>0.53</v>
      </c>
      <c r="M14" t="n">
        <v>14.12</v>
      </c>
      <c r="N14" s="6" t="n">
        <v>0.4</v>
      </c>
      <c r="O14" s="10" t="n"/>
      <c r="P14">
        <f>IF(O14="","",IF(O14&gt;F14,"OVER",IF(O14&lt;F14,"UNDER","PUSH")))</f>
        <v/>
      </c>
    </row>
    <row r="15">
      <c r="A15" t="inlineStr">
        <is>
          <t>2026-10-26 02:22</t>
        </is>
      </c>
      <c r="B15" t="inlineStr">
        <is>
          <t>2026-10-26</t>
        </is>
      </c>
      <c r="C15" t="inlineStr">
        <is>
          <t>DOTA · OG vs GL</t>
        </is>
      </c>
      <c r="D15" t="inlineStr">
        <is>
          <t>Natsumi-</t>
        </is>
      </c>
      <c r="E15" t="inlineStr">
        <is>
          <t>Maps 1-2 Kills</t>
        </is>
      </c>
      <c r="F15" t="n">
        <v>15.5</v>
      </c>
      <c r="G15" t="n">
        <v>14.97</v>
      </c>
      <c r="H15" s="6" t="n">
        <v>0.4647</v>
      </c>
      <c r="I15" t="n">
        <v>15.4</v>
      </c>
      <c r="J15" s="6" t="n">
        <v>0.4934</v>
      </c>
      <c r="K15" s="6" t="n">
        <v>0.5464</v>
      </c>
      <c r="L15" s="6" t="n">
        <v>0.6</v>
      </c>
      <c r="N15" s="6" t="n">
        <v>0.3</v>
      </c>
      <c r="O15" s="10" t="n"/>
      <c r="P15">
        <f>IF(O15="","",IF(O15&gt;F15,"OVER",IF(O15&lt;F15,"UNDER","PUSH")))</f>
        <v/>
      </c>
    </row>
    <row r="16">
      <c r="A16" t="inlineStr">
        <is>
          <t>2026-10-26 02:22</t>
        </is>
      </c>
      <c r="B16" t="inlineStr">
        <is>
          <t>2026-10-26</t>
        </is>
      </c>
      <c r="C16" t="inlineStr">
        <is>
          <t>DOTA · OG vs GL</t>
        </is>
      </c>
      <c r="D16" t="inlineStr">
        <is>
          <t>OneJey</t>
        </is>
      </c>
      <c r="E16" t="inlineStr">
        <is>
          <t>Maps 1-2 Kills</t>
        </is>
      </c>
      <c r="F16" t="n">
        <v>7</v>
      </c>
      <c r="G16" t="n">
        <v>7.27</v>
      </c>
      <c r="H16" s="6" t="n">
        <v>0.4769</v>
      </c>
      <c r="I16" t="n">
        <v>7.6</v>
      </c>
      <c r="J16" s="6" t="n">
        <v>0.51</v>
      </c>
      <c r="K16" s="6" t="n">
        <v>0.5464</v>
      </c>
      <c r="L16" s="6" t="n">
        <v>0.63</v>
      </c>
      <c r="M16" t="n">
        <v>6.51</v>
      </c>
      <c r="N16" s="6" t="n">
        <v>0.3</v>
      </c>
      <c r="O16" s="10" t="n"/>
      <c r="P16">
        <f>IF(O16="","",IF(O16&gt;F16,"OVER",IF(O16&lt;F16,"UNDER","PUSH")))</f>
        <v/>
      </c>
    </row>
    <row r="17">
      <c r="A17" t="inlineStr">
        <is>
          <t>2026-10-26 02:22</t>
        </is>
      </c>
      <c r="B17" t="inlineStr">
        <is>
          <t>2026-10-26</t>
        </is>
      </c>
      <c r="C17" t="inlineStr">
        <is>
          <t>DOTA · OG vs GL</t>
        </is>
      </c>
      <c r="D17" t="inlineStr">
        <is>
          <t>Skem</t>
        </is>
      </c>
      <c r="E17" t="inlineStr">
        <is>
          <t>Maps 1-2 Kills</t>
        </is>
      </c>
      <c r="F17" t="n">
        <v>5.5</v>
      </c>
      <c r="G17" t="n">
        <v>6.32</v>
      </c>
      <c r="H17" s="6" t="n">
        <v>0.5893</v>
      </c>
      <c r="I17" t="n">
        <v>6.6</v>
      </c>
      <c r="J17" s="6" t="n">
        <v>0.617</v>
      </c>
      <c r="K17" s="6" t="n">
        <v>0.5464</v>
      </c>
      <c r="L17" s="6" t="n">
        <v>0.63</v>
      </c>
      <c r="M17" t="n">
        <v>5.49</v>
      </c>
      <c r="N17" s="6" t="n">
        <v>0.6</v>
      </c>
      <c r="O17" s="10" t="n"/>
      <c r="P17">
        <f>IF(O17="","",IF(O17&gt;F17,"OVER",IF(O17&lt;F17,"UNDER","PUSH")))</f>
        <v/>
      </c>
    </row>
    <row r="18">
      <c r="A18" t="inlineStr">
        <is>
          <t>2026-10-26 02:22</t>
        </is>
      </c>
      <c r="B18" t="inlineStr">
        <is>
          <t>2026-10-26</t>
        </is>
      </c>
      <c r="C18" t="inlineStr">
        <is>
          <t>DOTA · OG vs GL</t>
        </is>
      </c>
      <c r="D18" t="inlineStr">
        <is>
          <t>TOPSON</t>
        </is>
      </c>
      <c r="E18" t="inlineStr">
        <is>
          <t>Maps 1-2 Kills</t>
        </is>
      </c>
      <c r="F18" t="n">
        <v>14.5</v>
      </c>
      <c r="G18" t="n">
        <v>13.13</v>
      </c>
      <c r="H18" s="6" t="n">
        <v>0.4016</v>
      </c>
      <c r="I18" t="n">
        <v>14</v>
      </c>
      <c r="J18" s="6" t="n">
        <v>0.465</v>
      </c>
      <c r="K18" s="6" t="n">
        <v>0.5464</v>
      </c>
      <c r="L18" s="6" t="n">
        <v>0.67</v>
      </c>
      <c r="M18" t="n">
        <v>12.07</v>
      </c>
      <c r="N18" s="6" t="n">
        <v>0.5</v>
      </c>
      <c r="O18" s="10" t="n"/>
      <c r="P18">
        <f>IF(O18="","",IF(O18&gt;F18,"OVER",IF(O18&lt;F18,"UNDER","PUSH")))</f>
        <v/>
      </c>
    </row>
    <row r="19">
      <c r="A19" t="inlineStr">
        <is>
          <t>2026-10-26 02:22</t>
        </is>
      </c>
      <c r="B19" t="inlineStr">
        <is>
          <t>2026-10-26</t>
        </is>
      </c>
      <c r="C19" t="inlineStr">
        <is>
          <t>DOTA · TS vs PARI</t>
        </is>
      </c>
      <c r="D19" t="inlineStr">
        <is>
          <t>9Class</t>
        </is>
      </c>
      <c r="E19" t="inlineStr">
        <is>
          <t>Maps 1-2 Kills</t>
        </is>
      </c>
      <c r="F19" t="n">
        <v>7</v>
      </c>
      <c r="G19" t="n">
        <v>8.43</v>
      </c>
      <c r="H19" s="6" t="n">
        <v>0.5866</v>
      </c>
      <c r="I19" t="n">
        <v>9.199999999999999</v>
      </c>
      <c r="J19" s="6" t="n">
        <v>0.6488</v>
      </c>
      <c r="K19" s="6" t="n">
        <v>0.5333</v>
      </c>
      <c r="L19" s="6" t="n">
        <v>0.7</v>
      </c>
      <c r="M19" t="n">
        <v>6.62</v>
      </c>
      <c r="N19" s="6" t="n">
        <v>0.7</v>
      </c>
      <c r="O19" s="10" t="n"/>
      <c r="P19">
        <f>IF(O19="","",IF(O19&gt;F19,"OVER",IF(O19&lt;F19,"UNDER","PUSH")))</f>
        <v/>
      </c>
    </row>
    <row r="20">
      <c r="A20" t="inlineStr">
        <is>
          <t>2026-10-26 02:22</t>
        </is>
      </c>
      <c r="B20" t="inlineStr">
        <is>
          <t>2026-10-26</t>
        </is>
      </c>
      <c r="C20" t="inlineStr">
        <is>
          <t>DOTA · TS vs PARI</t>
        </is>
      </c>
      <c r="D20" t="inlineStr">
        <is>
          <t>Dukalis</t>
        </is>
      </c>
      <c r="E20" t="inlineStr">
        <is>
          <t>Maps 1-2 Kills</t>
        </is>
      </c>
      <c r="F20" t="n">
        <v>5.5</v>
      </c>
      <c r="G20" t="n">
        <v>6.6</v>
      </c>
      <c r="H20" s="6" t="n">
        <v>0.6165</v>
      </c>
      <c r="I20" t="n">
        <v>7.2</v>
      </c>
      <c r="J20" s="6" t="n">
        <v>0.6696</v>
      </c>
      <c r="K20" s="6" t="n">
        <v>0.5333</v>
      </c>
      <c r="L20" s="6" t="n">
        <v>0.7</v>
      </c>
      <c r="N20" s="6" t="n">
        <v>0.5</v>
      </c>
      <c r="O20" s="10" t="n"/>
      <c r="P20">
        <f>IF(O20="","",IF(O20&gt;F20,"OVER",IF(O20&lt;F20,"UNDER","PUSH")))</f>
        <v/>
      </c>
    </row>
    <row r="21">
      <c r="A21" t="inlineStr">
        <is>
          <t>2026-10-26 02:22</t>
        </is>
      </c>
      <c r="B21" t="inlineStr">
        <is>
          <t>2026-10-26</t>
        </is>
      </c>
      <c r="C21" t="inlineStr">
        <is>
          <t>DOTA · TS vs PARI</t>
        </is>
      </c>
      <c r="D21" t="inlineStr">
        <is>
          <t>No[o]ne</t>
        </is>
      </c>
      <c r="E21" t="inlineStr">
        <is>
          <t>Maps 1-2 Kills</t>
        </is>
      </c>
      <c r="F21" t="n">
        <v>15.5</v>
      </c>
      <c r="G21" t="n">
        <v>13.75</v>
      </c>
      <c r="H21" s="6" t="n">
        <v>0.379</v>
      </c>
      <c r="I21" t="n">
        <v>15</v>
      </c>
      <c r="J21" s="6" t="n">
        <v>0.4664</v>
      </c>
      <c r="K21" s="6" t="n">
        <v>0.5333</v>
      </c>
      <c r="L21" s="6" t="n">
        <v>0.7</v>
      </c>
      <c r="N21" s="6" t="n">
        <v>0.7</v>
      </c>
      <c r="O21" s="10" t="n"/>
      <c r="P21">
        <f>IF(O21="","",IF(O21&gt;F21,"OVER",IF(O21&lt;F21,"UNDER","PUSH")))</f>
        <v/>
      </c>
    </row>
    <row r="22">
      <c r="A22" t="inlineStr">
        <is>
          <t>2026-10-26 02:22</t>
        </is>
      </c>
      <c r="B22" t="inlineStr">
        <is>
          <t>2026-10-26</t>
        </is>
      </c>
      <c r="C22" t="inlineStr">
        <is>
          <t>DOTA · TS vs PARI</t>
        </is>
      </c>
      <c r="D22" t="inlineStr">
        <is>
          <t>Noticed</t>
        </is>
      </c>
      <c r="E22" t="inlineStr">
        <is>
          <t>Maps 1-2 Kills</t>
        </is>
      </c>
      <c r="F22" t="n">
        <v>11.5</v>
      </c>
      <c r="G22" t="n">
        <v>10.63</v>
      </c>
      <c r="H22" s="6" t="n">
        <v>0.4294</v>
      </c>
      <c r="I22" t="n">
        <v>11.6</v>
      </c>
      <c r="J22" s="6" t="n">
        <v>0.5078</v>
      </c>
      <c r="K22" s="6" t="n">
        <v>0.5333</v>
      </c>
      <c r="L22" s="6" t="n">
        <v>0.7</v>
      </c>
      <c r="M22" t="n">
        <v>8.9</v>
      </c>
      <c r="N22" s="6" t="n">
        <v>0.4</v>
      </c>
      <c r="O22" s="10" t="n"/>
      <c r="P22">
        <f>IF(O22="","",IF(O22&gt;F22,"OVER",IF(O22&lt;F22,"UNDER","PUSH")))</f>
        <v/>
      </c>
    </row>
    <row r="23">
      <c r="A23" t="inlineStr">
        <is>
          <t>2026-10-26 02:22</t>
        </is>
      </c>
      <c r="B23" t="inlineStr">
        <is>
          <t>2026-10-26</t>
        </is>
      </c>
      <c r="C23" t="inlineStr">
        <is>
          <t>DOTA · TS vs PARI</t>
        </is>
      </c>
      <c r="D23" t="inlineStr">
        <is>
          <t>Satanic</t>
        </is>
      </c>
      <c r="E23" t="inlineStr">
        <is>
          <t>Maps 1-2 Kills</t>
        </is>
      </c>
      <c r="F23" t="n">
        <v>19.5</v>
      </c>
      <c r="G23" t="n">
        <v>20.1</v>
      </c>
      <c r="H23" s="6" t="n">
        <v>0.5332</v>
      </c>
      <c r="I23" t="n">
        <v>21.6</v>
      </c>
      <c r="J23" s="6" t="n">
        <v>0.6107</v>
      </c>
      <c r="K23" s="6" t="n">
        <v>0.5333</v>
      </c>
      <c r="L23" s="6" t="n">
        <v>0.67</v>
      </c>
      <c r="M23" t="n">
        <v>18.21</v>
      </c>
      <c r="N23" s="6" t="n">
        <v>0.6</v>
      </c>
      <c r="O23" s="10" t="n"/>
      <c r="P23">
        <f>IF(O23="","",IF(O23&gt;F23,"OVER",IF(O23&lt;F23,"UNDER","PUSH")))</f>
        <v/>
      </c>
    </row>
    <row r="24">
      <c r="A24" t="inlineStr">
        <is>
          <t>2026-10-26 02:22</t>
        </is>
      </c>
      <c r="B24" t="inlineStr">
        <is>
          <t>2026-10-26</t>
        </is>
      </c>
      <c r="C24" t="inlineStr">
        <is>
          <t>DOTA · TS vs PARI</t>
        </is>
      </c>
      <c r="D24" t="inlineStr">
        <is>
          <t>Larl</t>
        </is>
      </c>
      <c r="E24" t="inlineStr">
        <is>
          <t>Maps 1-2 Kills</t>
        </is>
      </c>
      <c r="F24" t="n">
        <v>14.5</v>
      </c>
      <c r="G24" t="n">
        <v>15.19</v>
      </c>
      <c r="H24" s="6" t="n">
        <v>0.5453</v>
      </c>
      <c r="I24" t="n">
        <v>16.6</v>
      </c>
      <c r="J24" s="6" t="n">
        <v>0.6291</v>
      </c>
      <c r="K24" s="6" t="n">
        <v>0.4667</v>
      </c>
      <c r="L24" s="6" t="n">
        <v>0.63</v>
      </c>
      <c r="M24" t="n">
        <v>13.35</v>
      </c>
      <c r="N24" s="6" t="n">
        <v>0.6</v>
      </c>
      <c r="O24" s="10" t="n"/>
      <c r="P24">
        <f>IF(O24="","",IF(O24&gt;F24,"OVER",IF(O24&lt;F24,"UNDER","PUSH")))</f>
        <v/>
      </c>
    </row>
    <row r="25">
      <c r="A25" t="inlineStr">
        <is>
          <t>2026-10-26 02:22</t>
        </is>
      </c>
      <c r="B25" t="inlineStr">
        <is>
          <t>2026-10-26</t>
        </is>
      </c>
      <c r="C25" t="inlineStr">
        <is>
          <t>DOTA · TS vs PARI</t>
        </is>
      </c>
      <c r="D25" t="inlineStr">
        <is>
          <t>not me</t>
        </is>
      </c>
      <c r="E25" t="inlineStr">
        <is>
          <t>Maps 1-2 Kills</t>
        </is>
      </c>
      <c r="F25" t="n">
        <v>7.5</v>
      </c>
      <c r="G25" t="n">
        <v>10.04</v>
      </c>
      <c r="H25" s="6" t="n">
        <v>0.704</v>
      </c>
      <c r="I25" t="n">
        <v>10.8</v>
      </c>
      <c r="J25" s="6" t="n">
        <v>0.7488</v>
      </c>
      <c r="K25" s="6" t="n">
        <v>0.4667</v>
      </c>
      <c r="L25" s="6" t="n">
        <v>0.6</v>
      </c>
      <c r="M25" t="n">
        <v>6.96</v>
      </c>
      <c r="N25" s="6" t="n">
        <v>0.7</v>
      </c>
      <c r="O25" s="10" t="n"/>
      <c r="P25">
        <f>IF(O25="","",IF(O25&gt;F25,"OVER",IF(O25&lt;F25,"UNDER","PUSH")))</f>
        <v/>
      </c>
    </row>
    <row r="26">
      <c r="A26" t="inlineStr">
        <is>
          <t>2026-10-26 02:22</t>
        </is>
      </c>
      <c r="B26" t="inlineStr">
        <is>
          <t>2026-10-26</t>
        </is>
      </c>
      <c r="C26" t="inlineStr">
        <is>
          <t>DOTA · TS vs PARI</t>
        </is>
      </c>
      <c r="D26" t="inlineStr">
        <is>
          <t>rue</t>
        </is>
      </c>
      <c r="E26" t="inlineStr">
        <is>
          <t>Maps 1-2 Kills</t>
        </is>
      </c>
      <c r="F26" t="n">
        <v>5.5</v>
      </c>
      <c r="G26" t="n">
        <v>5.68</v>
      </c>
      <c r="H26" s="6" t="n">
        <v>0.5204</v>
      </c>
      <c r="I26" t="n">
        <v>6.2</v>
      </c>
      <c r="J26" s="6" t="n">
        <v>0.5775</v>
      </c>
      <c r="K26" s="6" t="n">
        <v>0.4667</v>
      </c>
      <c r="L26" s="6" t="n">
        <v>0.63</v>
      </c>
      <c r="N26" s="6" t="n">
        <v>0.5</v>
      </c>
      <c r="O26" s="10" t="n"/>
      <c r="P26">
        <f>IF(O26="","",IF(O26&gt;F26,"OVER",IF(O26&lt;F26,"UNDER","PUSH")))</f>
        <v/>
      </c>
    </row>
    <row r="27">
      <c r="A27" t="inlineStr">
        <is>
          <t>2026-10-26 02:22</t>
        </is>
      </c>
      <c r="B27" t="inlineStr">
        <is>
          <t>2026-10-26</t>
        </is>
      </c>
      <c r="C27" t="inlineStr">
        <is>
          <t>DOTA · TS vs PARI</t>
        </is>
      </c>
      <c r="D27" t="inlineStr">
        <is>
          <t>Yatoro</t>
        </is>
      </c>
      <c r="E27" t="inlineStr">
        <is>
          <t>Maps 1-2 Kills</t>
        </is>
      </c>
      <c r="F27" t="n">
        <v>18.5</v>
      </c>
      <c r="G27" t="n">
        <v>16.18</v>
      </c>
      <c r="H27" s="6" t="n">
        <v>0.3572</v>
      </c>
      <c r="I27" t="n">
        <v>17.4</v>
      </c>
      <c r="J27" s="6" t="n">
        <v>0.4336</v>
      </c>
      <c r="K27" s="6" t="n">
        <v>0.4667</v>
      </c>
      <c r="L27" s="6" t="n">
        <v>0.6</v>
      </c>
      <c r="M27" t="n">
        <v>17.15</v>
      </c>
      <c r="N27" s="6" t="n">
        <v>0.4</v>
      </c>
      <c r="O27" s="10" t="n"/>
      <c r="P27">
        <f>IF(O27="","",IF(O27&gt;F27,"OVER",IF(O27&lt;F27,"UNDER","PUSH")))</f>
        <v/>
      </c>
    </row>
    <row r="28">
      <c r="A28" t="inlineStr">
        <is>
          <t>2026-10-26 02:22</t>
        </is>
      </c>
      <c r="B28" t="inlineStr">
        <is>
          <t>2026-10-26</t>
        </is>
      </c>
      <c r="C28" t="inlineStr">
        <is>
          <t>DOTA · TY vs Liquid</t>
        </is>
      </c>
      <c r="D28" t="inlineStr">
        <is>
          <t>Boxi</t>
        </is>
      </c>
      <c r="E28" t="inlineStr">
        <is>
          <t>Maps 1-2 Kills</t>
        </is>
      </c>
      <c r="F28" t="n">
        <v>5.5</v>
      </c>
      <c r="G28" t="n">
        <v>5.91</v>
      </c>
      <c r="H28" s="6" t="n">
        <v>0.5462</v>
      </c>
      <c r="I28" t="n">
        <v>6.4</v>
      </c>
      <c r="J28" s="6" t="n">
        <v>0.5974</v>
      </c>
      <c r="K28" s="6" t="n">
        <v>0.2969</v>
      </c>
      <c r="L28" s="6" t="n">
        <v>0.43</v>
      </c>
      <c r="N28" s="6" t="n">
        <v>0.6</v>
      </c>
      <c r="O28" s="10" t="n"/>
      <c r="P28">
        <f>IF(O28="","",IF(O28&gt;F28,"OVER",IF(O28&lt;F28,"UNDER","PUSH")))</f>
        <v/>
      </c>
    </row>
    <row r="29">
      <c r="A29" t="inlineStr">
        <is>
          <t>2026-10-26 02:22</t>
        </is>
      </c>
      <c r="B29" t="inlineStr">
        <is>
          <t>2026-10-26</t>
        </is>
      </c>
      <c r="C29" t="inlineStr">
        <is>
          <t>DOTA · TY vs Liquid</t>
        </is>
      </c>
      <c r="D29" t="inlineStr">
        <is>
          <t>Malr1ne</t>
        </is>
      </c>
      <c r="E29" t="inlineStr">
        <is>
          <t>Maps 1-2 Kills</t>
        </is>
      </c>
      <c r="F29" t="n">
        <v>13.5</v>
      </c>
      <c r="G29" t="n">
        <v>14.37</v>
      </c>
      <c r="H29" s="6" t="n">
        <v>0.5586</v>
      </c>
      <c r="I29" t="n">
        <v>16.2</v>
      </c>
      <c r="J29" s="6" t="n">
        <v>0.6665</v>
      </c>
      <c r="K29" s="6" t="n">
        <v>0.2969</v>
      </c>
      <c r="L29" s="6" t="n">
        <v>0.5</v>
      </c>
      <c r="M29" t="n">
        <v>11.98</v>
      </c>
      <c r="N29" s="6" t="n">
        <v>0.7</v>
      </c>
      <c r="O29" s="10" t="n"/>
      <c r="P29">
        <f>IF(O29="","",IF(O29&gt;F29,"OVER",IF(O29&lt;F29,"UNDER","PUSH")))</f>
        <v/>
      </c>
    </row>
    <row r="30">
      <c r="A30" t="inlineStr">
        <is>
          <t>2026-10-26 02:22</t>
        </is>
      </c>
      <c r="B30" t="inlineStr">
        <is>
          <t>2026-10-26</t>
        </is>
      </c>
      <c r="C30" t="inlineStr">
        <is>
          <t>DOTA · TY vs Liquid</t>
        </is>
      </c>
      <c r="D30" t="inlineStr">
        <is>
          <t>miCKe</t>
        </is>
      </c>
      <c r="E30" t="inlineStr">
        <is>
          <t>Maps 1-2 Kills</t>
        </is>
      </c>
      <c r="F30" t="n">
        <v>14</v>
      </c>
      <c r="G30" t="n">
        <v>13.71</v>
      </c>
      <c r="H30" s="6" t="n">
        <v>0.4454</v>
      </c>
      <c r="I30" t="n">
        <v>15.2</v>
      </c>
      <c r="J30" s="6" t="n">
        <v>0.5461</v>
      </c>
      <c r="K30" s="6" t="n">
        <v>0.2969</v>
      </c>
      <c r="L30" s="6" t="n">
        <v>0.47</v>
      </c>
      <c r="M30" t="n">
        <v>11.21</v>
      </c>
      <c r="N30" s="6" t="n">
        <v>0.4</v>
      </c>
      <c r="O30" s="10" t="n"/>
      <c r="P30">
        <f>IF(O30="","",IF(O30&gt;F30,"OVER",IF(O30&lt;F30,"UNDER","PUSH")))</f>
        <v/>
      </c>
    </row>
    <row r="31">
      <c r="A31" t="inlineStr">
        <is>
          <t>2026-10-26 02:22</t>
        </is>
      </c>
      <c r="B31" t="inlineStr">
        <is>
          <t>2026-10-26</t>
        </is>
      </c>
      <c r="C31" t="inlineStr">
        <is>
          <t>DOTA · TY vs Liquid</t>
        </is>
      </c>
      <c r="D31" t="inlineStr">
        <is>
          <t>tOfu</t>
        </is>
      </c>
      <c r="E31" t="inlineStr">
        <is>
          <t>Maps 1-2 Kills</t>
        </is>
      </c>
      <c r="F31" t="n">
        <v>6.5</v>
      </c>
      <c r="G31" t="n">
        <v>8.49</v>
      </c>
      <c r="H31" s="6" t="n">
        <v>0.678</v>
      </c>
      <c r="I31" t="n">
        <v>9.199999999999999</v>
      </c>
      <c r="J31" s="6" t="n">
        <v>0.7262999999999999</v>
      </c>
      <c r="K31" s="6" t="n">
        <v>0.2969</v>
      </c>
      <c r="L31" s="6" t="n">
        <v>0.43</v>
      </c>
      <c r="M31" t="n">
        <v>5.94</v>
      </c>
      <c r="N31" s="6" t="n">
        <v>0.6</v>
      </c>
      <c r="O31" s="10" t="n"/>
      <c r="P31">
        <f>IF(O31="","",IF(O31&gt;F31,"OVER",IF(O31&lt;F31,"UNDER","PUSH")))</f>
        <v/>
      </c>
    </row>
    <row r="32">
      <c r="A32" t="inlineStr">
        <is>
          <t>2026-10-26 02:22</t>
        </is>
      </c>
      <c r="B32" t="inlineStr">
        <is>
          <t>2026-10-26</t>
        </is>
      </c>
      <c r="C32" t="inlineStr">
        <is>
          <t>DOTA · TY vs Liquid</t>
        </is>
      </c>
      <c r="D32" t="inlineStr">
        <is>
          <t>Wisper</t>
        </is>
      </c>
      <c r="E32" t="inlineStr">
        <is>
          <t>Maps 1-2 Kills</t>
        </is>
      </c>
      <c r="F32" t="n">
        <v>10.5</v>
      </c>
      <c r="G32" t="n">
        <v>12.37</v>
      </c>
      <c r="H32" s="6" t="n">
        <v>0.6356000000000001</v>
      </c>
      <c r="I32" t="n">
        <v>13.4</v>
      </c>
      <c r="J32" s="6" t="n">
        <v>0.6975</v>
      </c>
      <c r="K32" s="6" t="n">
        <v>0.2969</v>
      </c>
      <c r="L32" s="6" t="n">
        <v>0.43</v>
      </c>
      <c r="M32" t="n">
        <v>9.789999999999999</v>
      </c>
      <c r="N32" s="6" t="n">
        <v>0.5</v>
      </c>
      <c r="O32" s="10" t="n"/>
      <c r="P32">
        <f>IF(O32="","",IF(O32&gt;F32,"OVER",IF(O32&lt;F32,"UNDER","PUSH")))</f>
        <v/>
      </c>
    </row>
    <row r="33">
      <c r="A33" t="inlineStr">
        <is>
          <t>2026-10-26 02:22</t>
        </is>
      </c>
      <c r="B33" t="inlineStr">
        <is>
          <t>2026-10-26</t>
        </is>
      </c>
      <c r="C33" t="inlineStr">
        <is>
          <t>DOTA · TY vs Liquid</t>
        </is>
      </c>
      <c r="D33" t="inlineStr">
        <is>
          <t>ATF</t>
        </is>
      </c>
      <c r="E33" t="inlineStr">
        <is>
          <t>Maps 1-2 Kills</t>
        </is>
      </c>
      <c r="F33" t="n">
        <v>16.5</v>
      </c>
      <c r="G33" t="n">
        <v>18.06</v>
      </c>
      <c r="H33" s="6" t="n">
        <v>0.5952</v>
      </c>
      <c r="I33" t="n">
        <v>19.2</v>
      </c>
      <c r="J33" s="6" t="n">
        <v>0.6574</v>
      </c>
      <c r="K33" s="6" t="n">
        <v>0.7030999999999999</v>
      </c>
      <c r="L33" s="6" t="n">
        <v>0.83</v>
      </c>
      <c r="M33" t="n">
        <v>14.31</v>
      </c>
      <c r="N33" s="6" t="n">
        <v>0.6</v>
      </c>
      <c r="O33" s="10" t="n"/>
      <c r="P33">
        <f>IF(O33="","",IF(O33&gt;F33,"OVER",IF(O33&lt;F33,"UNDER","PUSH")))</f>
        <v/>
      </c>
    </row>
    <row r="34">
      <c r="A34" t="inlineStr">
        <is>
          <t>2026-10-26 02:22</t>
        </is>
      </c>
      <c r="B34" t="inlineStr">
        <is>
          <t>2026-10-26</t>
        </is>
      </c>
      <c r="C34" t="inlineStr">
        <is>
          <t>DOTA · TY vs Liquid</t>
        </is>
      </c>
      <c r="D34" t="inlineStr">
        <is>
          <t>Chira JUNIOR</t>
        </is>
      </c>
      <c r="E34" t="inlineStr">
        <is>
          <t>Maps 1-2 Kills</t>
        </is>
      </c>
      <c r="F34" t="n">
        <v>15.5</v>
      </c>
      <c r="G34" t="n">
        <v>14.86</v>
      </c>
      <c r="H34" s="6" t="n">
        <v>0.4556</v>
      </c>
      <c r="I34" t="n">
        <v>15.8</v>
      </c>
      <c r="J34" s="6" t="n">
        <v>0.5202</v>
      </c>
      <c r="K34" s="6" t="n">
        <v>0.7030999999999999</v>
      </c>
      <c r="L34" s="6" t="n">
        <v>0.83</v>
      </c>
      <c r="N34" s="6" t="n">
        <v>0.4</v>
      </c>
      <c r="O34" s="10" t="n"/>
      <c r="P34">
        <f>IF(O34="","",IF(O34&gt;F34,"OVER",IF(O34&lt;F34,"UNDER","PUSH")))</f>
        <v/>
      </c>
    </row>
    <row r="35">
      <c r="A35" t="inlineStr">
        <is>
          <t>2026-10-26 02:22</t>
        </is>
      </c>
      <c r="B35" t="inlineStr">
        <is>
          <t>2026-10-26</t>
        </is>
      </c>
      <c r="C35" t="inlineStr">
        <is>
          <t>DOTA · TY vs Liquid</t>
        </is>
      </c>
      <c r="D35" t="inlineStr">
        <is>
          <t>Malady</t>
        </is>
      </c>
      <c r="E35" t="inlineStr">
        <is>
          <t>Maps 1-2 Kills</t>
        </is>
      </c>
      <c r="F35" t="n">
        <v>6.5</v>
      </c>
      <c r="G35" t="n">
        <v>6.58</v>
      </c>
      <c r="H35" s="6" t="n">
        <v>0.5091</v>
      </c>
      <c r="I35" t="n">
        <v>7</v>
      </c>
      <c r="J35" s="6" t="n">
        <v>0.553</v>
      </c>
      <c r="K35" s="6" t="n">
        <v>0.7030999999999999</v>
      </c>
      <c r="L35" s="6" t="n">
        <v>0.83</v>
      </c>
      <c r="M35" t="n">
        <v>5.57</v>
      </c>
      <c r="N35" s="6" t="n">
        <v>0.3</v>
      </c>
      <c r="O35" s="10" t="n"/>
      <c r="P35">
        <f>IF(O35="","",IF(O35&gt;F35,"OVER",IF(O35&lt;F35,"UNDER","PUSH")))</f>
        <v/>
      </c>
    </row>
    <row r="36">
      <c r="A36" t="inlineStr">
        <is>
          <t>2026-10-26 02:22</t>
        </is>
      </c>
      <c r="B36" t="inlineStr">
        <is>
          <t>2026-10-26</t>
        </is>
      </c>
      <c r="C36" t="inlineStr">
        <is>
          <t>DOTA · TY vs Liquid</t>
        </is>
      </c>
      <c r="D36" t="inlineStr">
        <is>
          <t>Saksa</t>
        </is>
      </c>
      <c r="E36" t="inlineStr">
        <is>
          <t>Maps 1-2 Kills</t>
        </is>
      </c>
      <c r="F36" t="n">
        <v>7.5</v>
      </c>
      <c r="G36" t="n">
        <v>7.71</v>
      </c>
      <c r="H36" s="6" t="n">
        <v>0.5212</v>
      </c>
      <c r="I36" t="n">
        <v>8.199999999999999</v>
      </c>
      <c r="J36" s="6" t="n">
        <v>0.5679</v>
      </c>
      <c r="K36" s="6" t="n">
        <v>0.7030999999999999</v>
      </c>
      <c r="L36" s="6" t="n">
        <v>0.83</v>
      </c>
      <c r="M36" t="n">
        <v>6.64</v>
      </c>
      <c r="N36" s="6" t="n">
        <v>0.7</v>
      </c>
      <c r="O36" s="10" t="n"/>
      <c r="P36">
        <f>IF(O36="","",IF(O36&gt;F36,"OVER",IF(O36&lt;F36,"UNDER","PUSH")))</f>
        <v/>
      </c>
    </row>
    <row r="37">
      <c r="A37" t="inlineStr">
        <is>
          <t>2026-10-26 02:22</t>
        </is>
      </c>
      <c r="B37" t="inlineStr">
        <is>
          <t>2026-10-26</t>
        </is>
      </c>
      <c r="C37" t="inlineStr">
        <is>
          <t>DOTA · TY vs Liquid</t>
        </is>
      </c>
      <c r="D37" t="inlineStr">
        <is>
          <t>watson</t>
        </is>
      </c>
      <c r="E37" t="inlineStr">
        <is>
          <t>Maps 1-2 Kills</t>
        </is>
      </c>
      <c r="F37" t="n">
        <v>20.5</v>
      </c>
      <c r="G37" t="n">
        <v>21.06</v>
      </c>
      <c r="H37" s="6" t="n">
        <v>0.5317</v>
      </c>
      <c r="I37" t="n">
        <v>22.4</v>
      </c>
      <c r="J37" s="6" t="n">
        <v>0.6025</v>
      </c>
      <c r="K37" s="6" t="n">
        <v>0.7030999999999999</v>
      </c>
      <c r="L37" s="6" t="n">
        <v>0.83</v>
      </c>
      <c r="M37" t="n">
        <v>16.77</v>
      </c>
      <c r="N37" s="6" t="n">
        <v>0.4</v>
      </c>
      <c r="O37" s="10" t="n"/>
      <c r="P37">
        <f>IF(O37="","",IF(O37&gt;F37,"OVER",IF(O37&lt;F37,"UNDER","PUSH")))</f>
        <v/>
      </c>
    </row>
    <row r="38">
      <c r="A38" t="inlineStr">
        <is>
          <t>2026-10-26 02:22</t>
        </is>
      </c>
      <c r="B38" t="inlineStr">
        <is>
          <t>2026-10-26</t>
        </is>
      </c>
      <c r="C38" t="inlineStr">
        <is>
          <t>LOL · KC vs BLG</t>
        </is>
      </c>
      <c r="D38" t="inlineStr">
        <is>
          <t>knight</t>
        </is>
      </c>
      <c r="E38" t="inlineStr">
        <is>
          <t>Map 1 Kills</t>
        </is>
      </c>
      <c r="F38" t="n">
        <v>5.5</v>
      </c>
      <c r="G38" t="n">
        <v>5.44</v>
      </c>
      <c r="H38" s="6" t="n">
        <v>0.492</v>
      </c>
      <c r="I38" t="n">
        <v>5.5</v>
      </c>
      <c r="J38" s="6" t="n">
        <v>0.5</v>
      </c>
      <c r="K38" s="6" t="n">
        <v>0.6824</v>
      </c>
      <c r="L38" s="6" t="n">
        <v>0.7</v>
      </c>
      <c r="M38" t="n">
        <v>4.91</v>
      </c>
      <c r="N38" s="6" t="n">
        <v>0.5</v>
      </c>
      <c r="O38" s="10" t="n"/>
      <c r="P38">
        <f>IF(O38="","",IF(O38&gt;F38,"OVER",IF(O38&lt;F38,"UNDER","PUSH")))</f>
        <v/>
      </c>
    </row>
    <row r="39">
      <c r="A39" t="inlineStr">
        <is>
          <t>2026-10-26 02:22</t>
        </is>
      </c>
      <c r="B39" t="inlineStr">
        <is>
          <t>2026-10-26</t>
        </is>
      </c>
      <c r="C39" t="inlineStr">
        <is>
          <t>LOL · KC vs BLG</t>
        </is>
      </c>
      <c r="D39" t="inlineStr">
        <is>
          <t>ON</t>
        </is>
      </c>
      <c r="E39" t="inlineStr">
        <is>
          <t>Map 1 Kills</t>
        </is>
      </c>
      <c r="F39" t="n">
        <v>0.5</v>
      </c>
      <c r="G39" t="n">
        <v>0.59</v>
      </c>
      <c r="H39" s="6" t="n">
        <v>0.5413</v>
      </c>
      <c r="I39" t="n">
        <v>0.6</v>
      </c>
      <c r="J39" s="6" t="n">
        <v>0.5441</v>
      </c>
      <c r="K39" s="6" t="n">
        <v>0.6824</v>
      </c>
      <c r="L39" s="6" t="n">
        <v>0.7</v>
      </c>
      <c r="N39" s="6" t="n">
        <v>0.3</v>
      </c>
      <c r="O39" s="10" t="n"/>
      <c r="P39">
        <f>IF(O39="","",IF(O39&gt;F39,"OVER",IF(O39&lt;F39,"UNDER","PUSH")))</f>
        <v/>
      </c>
    </row>
    <row r="40">
      <c r="A40" t="inlineStr">
        <is>
          <t>2026-10-26 02:22</t>
        </is>
      </c>
      <c r="B40" t="inlineStr">
        <is>
          <t>2026-10-26</t>
        </is>
      </c>
      <c r="C40" t="inlineStr">
        <is>
          <t>LOL · KC vs BLG</t>
        </is>
      </c>
      <c r="D40" t="inlineStr">
        <is>
          <t>Viper</t>
        </is>
      </c>
      <c r="E40" t="inlineStr">
        <is>
          <t>Map 1 Kills</t>
        </is>
      </c>
      <c r="F40" t="n">
        <v>4.5</v>
      </c>
      <c r="G40" t="n">
        <v>5.34</v>
      </c>
      <c r="H40" s="6" t="n">
        <v>0.6063</v>
      </c>
      <c r="I40" t="n">
        <v>5.4</v>
      </c>
      <c r="J40" s="6" t="n">
        <v>0.6133</v>
      </c>
      <c r="K40" s="6" t="n">
        <v>0.6824</v>
      </c>
      <c r="L40" s="6" t="n">
        <v>0.7</v>
      </c>
      <c r="M40" t="n">
        <v>4.43</v>
      </c>
      <c r="N40" s="6" t="n">
        <v>0.3</v>
      </c>
      <c r="O40" s="10" t="n"/>
      <c r="P40">
        <f>IF(O40="","",IF(O40&gt;F40,"OVER",IF(O40&lt;F40,"UNDER","PUSH")))</f>
        <v/>
      </c>
    </row>
    <row r="41">
      <c r="A41" t="inlineStr">
        <is>
          <t>2026-10-26 02:22</t>
        </is>
      </c>
      <c r="B41" t="inlineStr">
        <is>
          <t>2026-10-26</t>
        </is>
      </c>
      <c r="C41" t="inlineStr">
        <is>
          <t>LOL · KC vs BLG</t>
        </is>
      </c>
      <c r="D41" t="inlineStr">
        <is>
          <t>XUN</t>
        </is>
      </c>
      <c r="E41" t="inlineStr">
        <is>
          <t>Map 1 Kills</t>
        </is>
      </c>
      <c r="F41" t="n">
        <v>3.5</v>
      </c>
      <c r="G41" t="n">
        <v>3.76</v>
      </c>
      <c r="H41" s="6" t="n">
        <v>0.5409</v>
      </c>
      <c r="I41" t="n">
        <v>3.8</v>
      </c>
      <c r="J41" s="6" t="n">
        <v>0.5476</v>
      </c>
      <c r="K41" s="6" t="n">
        <v>0.6824</v>
      </c>
      <c r="L41" s="6" t="n">
        <v>0.7</v>
      </c>
      <c r="M41" t="n">
        <v>3.4</v>
      </c>
      <c r="N41" s="6" t="n">
        <v>0.4</v>
      </c>
      <c r="O41" s="10" t="n"/>
      <c r="P41">
        <f>IF(O41="","",IF(O41&gt;F41,"OVER",IF(O41&lt;F41,"UNDER","PUSH")))</f>
        <v/>
      </c>
    </row>
    <row r="42">
      <c r="A42" t="inlineStr">
        <is>
          <t>2026-10-26 02:22</t>
        </is>
      </c>
      <c r="B42" t="inlineStr">
        <is>
          <t>2026-10-26</t>
        </is>
      </c>
      <c r="C42" t="inlineStr">
        <is>
          <t>LOL · KC vs BLG</t>
        </is>
      </c>
      <c r="D42" t="inlineStr">
        <is>
          <t>Caliste</t>
        </is>
      </c>
      <c r="E42" t="inlineStr">
        <is>
          <t>Map 1 Kills</t>
        </is>
      </c>
      <c r="F42" t="n">
        <v>3</v>
      </c>
      <c r="G42" t="n">
        <v>3.3</v>
      </c>
      <c r="H42" s="6" t="n">
        <v>0.4676</v>
      </c>
      <c r="I42" t="n">
        <v>4.2</v>
      </c>
      <c r="J42" s="6" t="n">
        <v>0.5992</v>
      </c>
      <c r="K42" s="6" t="n">
        <v>0.3176</v>
      </c>
      <c r="L42" s="6" t="n">
        <v>0.63</v>
      </c>
      <c r="M42" t="n">
        <v>2.92</v>
      </c>
      <c r="N42" s="6" t="n">
        <v>0.8</v>
      </c>
      <c r="O42" s="10" t="n"/>
      <c r="P42">
        <f>IF(O42="","",IF(O42&gt;F42,"OVER",IF(O42&lt;F42,"UNDER","PUSH")))</f>
        <v/>
      </c>
    </row>
    <row r="43">
      <c r="A43" t="inlineStr">
        <is>
          <t>2026-10-26 02:22</t>
        </is>
      </c>
      <c r="B43" t="inlineStr">
        <is>
          <t>2026-10-26</t>
        </is>
      </c>
      <c r="C43" t="inlineStr">
        <is>
          <t>LOL · KC vs BLG</t>
        </is>
      </c>
      <c r="D43" t="inlineStr">
        <is>
          <t>Kyeahoo</t>
        </is>
      </c>
      <c r="E43" t="inlineStr">
        <is>
          <t>Map 1 Kills</t>
        </is>
      </c>
      <c r="F43" t="n">
        <v>2</v>
      </c>
      <c r="G43" t="n">
        <v>1.89</v>
      </c>
      <c r="H43" s="6" t="n">
        <v>0.3622</v>
      </c>
      <c r="I43" t="n">
        <v>2.4</v>
      </c>
      <c r="J43" s="6" t="n">
        <v>0.4797</v>
      </c>
      <c r="K43" s="6" t="n">
        <v>0.3176</v>
      </c>
      <c r="L43" s="6" t="n">
        <v>0.63</v>
      </c>
      <c r="M43" t="n">
        <v>2.16</v>
      </c>
      <c r="N43" s="6" t="n">
        <v>0.6</v>
      </c>
      <c r="O43" s="10" t="n"/>
      <c r="P43">
        <f>IF(O43="","",IF(O43&gt;F43,"OVER",IF(O43&lt;F43,"UNDER","PUSH")))</f>
        <v/>
      </c>
    </row>
    <row r="44">
      <c r="A44" t="inlineStr">
        <is>
          <t>2026-10-26 02:22</t>
        </is>
      </c>
      <c r="B44" t="inlineStr">
        <is>
          <t>2026-10-26</t>
        </is>
      </c>
      <c r="C44" t="inlineStr">
        <is>
          <t>LOL · KC vs BLG</t>
        </is>
      </c>
      <c r="D44" t="inlineStr">
        <is>
          <t>Yike</t>
        </is>
      </c>
      <c r="E44" t="inlineStr">
        <is>
          <t>Map 1 Kills</t>
        </is>
      </c>
      <c r="F44" t="n">
        <v>2.5</v>
      </c>
      <c r="G44" t="n">
        <v>3.06</v>
      </c>
      <c r="H44" s="6" t="n">
        <v>0.5946</v>
      </c>
      <c r="I44" t="n">
        <v>3.9</v>
      </c>
      <c r="J44" s="6" t="n">
        <v>0.701</v>
      </c>
      <c r="K44" s="6" t="n">
        <v>0.3176</v>
      </c>
      <c r="L44" s="6" t="n">
        <v>0.63</v>
      </c>
      <c r="M44" t="n">
        <v>2.1</v>
      </c>
      <c r="N44" s="6" t="n">
        <v>0.5</v>
      </c>
      <c r="O44" s="10" t="n"/>
      <c r="P44">
        <f>IF(O44="","",IF(O44&gt;F44,"OVER",IF(O44&lt;F44,"UNDER","PUSH")))</f>
        <v/>
      </c>
    </row>
    <row r="45">
      <c r="A45" t="inlineStr">
        <is>
          <t>2026-10-26 02:22</t>
        </is>
      </c>
      <c r="B45" t="inlineStr">
        <is>
          <t>2026-10-26</t>
        </is>
      </c>
      <c r="C45" t="inlineStr">
        <is>
          <t>LOL · LOS vs TSW</t>
        </is>
      </c>
      <c r="D45" t="inlineStr">
        <is>
          <t>Duduhh</t>
        </is>
      </c>
      <c r="E45" t="inlineStr">
        <is>
          <t>Maps 1-2 Kills</t>
        </is>
      </c>
      <c r="F45" t="n">
        <v>6.5</v>
      </c>
      <c r="G45" t="n">
        <v>7.06</v>
      </c>
      <c r="H45" s="6" t="n">
        <v>0.5617</v>
      </c>
      <c r="I45" t="n">
        <v>8.6</v>
      </c>
      <c r="J45" s="6" t="n">
        <v>0.7000999999999999</v>
      </c>
      <c r="K45" s="6" t="n">
        <v>0.4026</v>
      </c>
      <c r="L45" s="6" t="n">
        <v>0.67</v>
      </c>
      <c r="N45" s="6" t="n">
        <v>0.6</v>
      </c>
      <c r="O45" s="10" t="n"/>
      <c r="P45">
        <f>IF(O45="","",IF(O45&gt;F45,"OVER",IF(O45&lt;F45,"UNDER","PUSH")))</f>
        <v/>
      </c>
    </row>
    <row r="46">
      <c r="A46" t="inlineStr">
        <is>
          <t>2026-10-26 02:22</t>
        </is>
      </c>
      <c r="B46" t="inlineStr">
        <is>
          <t>2026-10-26</t>
        </is>
      </c>
      <c r="C46" t="inlineStr">
        <is>
          <t>LOL · LOS vs TSW</t>
        </is>
      </c>
      <c r="D46" t="inlineStr">
        <is>
          <t>Feisty</t>
        </is>
      </c>
      <c r="E46" t="inlineStr">
        <is>
          <t>Maps 1-2 Kills</t>
        </is>
      </c>
      <c r="F46" t="n">
        <v>6</v>
      </c>
      <c r="G46" t="n">
        <v>6.08</v>
      </c>
      <c r="H46" s="6" t="n">
        <v>0.449</v>
      </c>
      <c r="I46" t="n">
        <v>7.4</v>
      </c>
      <c r="J46" s="6" t="n">
        <v>0.5978</v>
      </c>
      <c r="K46" s="6" t="n">
        <v>0.4026</v>
      </c>
      <c r="L46" s="6" t="n">
        <v>0.67</v>
      </c>
      <c r="N46" s="6" t="n">
        <v>0.8</v>
      </c>
      <c r="O46" s="10" t="n"/>
      <c r="P46">
        <f>IF(O46="","",IF(O46&gt;F46,"OVER",IF(O46&lt;F46,"UNDER","PUSH")))</f>
        <v/>
      </c>
    </row>
    <row r="47">
      <c r="A47" t="inlineStr">
        <is>
          <t>2026-10-26 02:22</t>
        </is>
      </c>
      <c r="B47" t="inlineStr">
        <is>
          <t>2026-10-26</t>
        </is>
      </c>
      <c r="C47" t="inlineStr">
        <is>
          <t>LOL · LOS vs TSW</t>
        </is>
      </c>
      <c r="D47" t="inlineStr">
        <is>
          <t>ZEST</t>
        </is>
      </c>
      <c r="E47" t="inlineStr">
        <is>
          <t>Maps 1-2 Kills</t>
        </is>
      </c>
      <c r="F47" t="n">
        <v>5.5</v>
      </c>
      <c r="G47" t="n">
        <v>5.58</v>
      </c>
      <c r="H47" s="6" t="n">
        <v>0.5109</v>
      </c>
      <c r="I47" t="n">
        <v>6.8</v>
      </c>
      <c r="J47" s="6" t="n">
        <v>0.6471</v>
      </c>
      <c r="K47" s="6" t="n">
        <v>0.4026</v>
      </c>
      <c r="L47" s="6" t="n">
        <v>0.67</v>
      </c>
      <c r="N47" s="6" t="n">
        <v>0.7</v>
      </c>
      <c r="O47" s="10" t="n"/>
      <c r="P47">
        <f>IF(O47="","",IF(O47&gt;F47,"OVER",IF(O47&lt;F47,"UNDER","PUSH")))</f>
        <v/>
      </c>
    </row>
    <row r="48">
      <c r="A48" t="inlineStr">
        <is>
          <t>2026-10-26 02:22</t>
        </is>
      </c>
      <c r="B48" t="inlineStr">
        <is>
          <t>2026-10-26</t>
        </is>
      </c>
      <c r="C48" t="inlineStr">
        <is>
          <t>LOL · LOS vs TSW</t>
        </is>
      </c>
      <c r="D48" t="inlineStr">
        <is>
          <t>Dire</t>
        </is>
      </c>
      <c r="E48" t="inlineStr">
        <is>
          <t>Maps 1-2 Kills</t>
        </is>
      </c>
      <c r="F48" t="n">
        <v>8</v>
      </c>
      <c r="G48" t="n">
        <v>11.01</v>
      </c>
      <c r="H48" s="6" t="n">
        <v>0.7056</v>
      </c>
      <c r="I48" t="n">
        <v>11.8</v>
      </c>
      <c r="J48" s="6" t="n">
        <v>0.7541</v>
      </c>
      <c r="K48" s="6" t="n">
        <v>0.5974</v>
      </c>
      <c r="L48" s="6" t="n">
        <v>0.7</v>
      </c>
      <c r="N48" s="6" t="n">
        <v>0.7</v>
      </c>
      <c r="O48" s="10" t="n"/>
      <c r="P48">
        <f>IF(O48="","",IF(O48&gt;F48,"OVER",IF(O48&lt;F48,"UNDER","PUSH")))</f>
        <v/>
      </c>
    </row>
    <row r="49">
      <c r="A49" t="inlineStr">
        <is>
          <t>2026-10-26 02:22</t>
        </is>
      </c>
      <c r="B49" t="inlineStr">
        <is>
          <t>2026-10-26</t>
        </is>
      </c>
      <c r="C49" t="inlineStr">
        <is>
          <t>LOL · LOS vs TSW</t>
        </is>
      </c>
      <c r="D49" t="inlineStr">
        <is>
          <t>Eddie</t>
        </is>
      </c>
      <c r="E49" t="inlineStr">
        <is>
          <t>Maps 1-2 Kills</t>
        </is>
      </c>
      <c r="F49" t="n">
        <v>8.5</v>
      </c>
      <c r="G49" t="n">
        <v>9.33</v>
      </c>
      <c r="H49" s="6" t="n">
        <v>0.5789</v>
      </c>
      <c r="I49" t="n">
        <v>10</v>
      </c>
      <c r="J49" s="6" t="n">
        <v>0.6362</v>
      </c>
      <c r="K49" s="6" t="n">
        <v>0.5974</v>
      </c>
      <c r="L49" s="6" t="n">
        <v>0.7</v>
      </c>
      <c r="N49" s="6" t="n">
        <v>0.7</v>
      </c>
      <c r="O49" s="10" t="n"/>
      <c r="P49">
        <f>IF(O49="","",IF(O49&gt;F49,"OVER",IF(O49&lt;F49,"UNDER","PUSH")))</f>
        <v/>
      </c>
    </row>
    <row r="50">
      <c r="A50" t="inlineStr">
        <is>
          <t>2026-10-26 02:22</t>
        </is>
      </c>
      <c r="B50" t="inlineStr">
        <is>
          <t>2026-10-26</t>
        </is>
      </c>
      <c r="C50" t="inlineStr">
        <is>
          <t>LOL · LOS vs TSW</t>
        </is>
      </c>
      <c r="D50" t="inlineStr">
        <is>
          <t>Hizto</t>
        </is>
      </c>
      <c r="E50" t="inlineStr">
        <is>
          <t>Maps 1-2 Kills</t>
        </is>
      </c>
      <c r="F50" t="n">
        <v>7.5</v>
      </c>
      <c r="G50" t="n">
        <v>8.949999999999999</v>
      </c>
      <c r="H50" s="6" t="n">
        <v>0.6403</v>
      </c>
      <c r="I50" t="n">
        <v>9.6</v>
      </c>
      <c r="J50" s="6" t="n">
        <v>0.6918</v>
      </c>
      <c r="K50" s="6" t="n">
        <v>0.5974</v>
      </c>
      <c r="L50" s="6" t="n">
        <v>0.7</v>
      </c>
      <c r="N50" s="6" t="n">
        <v>0.5</v>
      </c>
      <c r="O50" s="10" t="n"/>
      <c r="P50">
        <f>IF(O50="","",IF(O50&gt;F50,"OVER",IF(O50&lt;F50,"UNDER","PUSH")))</f>
        <v/>
      </c>
    </row>
    <row r="51">
      <c r="A51" t="inlineStr">
        <is>
          <t>2026-10-26 02:22</t>
        </is>
      </c>
      <c r="B51" t="inlineStr">
        <is>
          <t>2026-10-26</t>
        </is>
      </c>
      <c r="C51" t="inlineStr">
        <is>
          <t>LOL · LOS vs TSW</t>
        </is>
      </c>
      <c r="D51" t="inlineStr">
        <is>
          <t>Pun</t>
        </is>
      </c>
      <c r="E51" t="inlineStr">
        <is>
          <t>Maps 1-2 Kills</t>
        </is>
      </c>
      <c r="F51" t="n">
        <v>6</v>
      </c>
      <c r="G51" t="n">
        <v>5.78</v>
      </c>
      <c r="H51" s="6" t="n">
        <v>0.4081</v>
      </c>
      <c r="I51" t="n">
        <v>6.2</v>
      </c>
      <c r="J51" s="6" t="n">
        <v>0.4626</v>
      </c>
      <c r="K51" s="6" t="n">
        <v>0.5974</v>
      </c>
      <c r="L51" s="6" t="n">
        <v>0.7</v>
      </c>
      <c r="N51" s="6" t="n">
        <v>0.6</v>
      </c>
      <c r="O51" s="10" t="n"/>
      <c r="P51">
        <f>IF(O51="","",IF(O51&gt;F51,"OVER",IF(O51&lt;F51,"UNDER","PUSH")))</f>
        <v/>
      </c>
    </row>
    <row r="52">
      <c r="A52" t="inlineStr">
        <is>
          <t>2026-10-26 02:22</t>
        </is>
      </c>
      <c r="B52" t="inlineStr">
        <is>
          <t>2026-10-26</t>
        </is>
      </c>
      <c r="C52" t="inlineStr">
        <is>
          <t>LOL · T1 vs CFO</t>
        </is>
      </c>
      <c r="D52" t="inlineStr">
        <is>
          <t>Doggo</t>
        </is>
      </c>
      <c r="E52" t="inlineStr">
        <is>
          <t>Map 1 Kills</t>
        </is>
      </c>
      <c r="F52" t="n">
        <v>3</v>
      </c>
      <c r="G52" t="n">
        <v>3.63</v>
      </c>
      <c r="H52" s="6" t="n">
        <v>0.5209</v>
      </c>
      <c r="I52" t="n">
        <v>5</v>
      </c>
      <c r="J52" s="6" t="n">
        <v>0.6914</v>
      </c>
      <c r="K52" s="6" t="n">
        <v>0.1594</v>
      </c>
      <c r="L52" s="6" t="n">
        <v>0.53</v>
      </c>
      <c r="M52" t="n">
        <v>2.69</v>
      </c>
      <c r="N52" s="6" t="n">
        <v>0.6</v>
      </c>
      <c r="O52" s="10" t="n"/>
      <c r="P52">
        <f>IF(O52="","",IF(O52&gt;F52,"OVER",IF(O52&lt;F52,"UNDER","PUSH")))</f>
        <v/>
      </c>
    </row>
    <row r="53">
      <c r="A53" t="inlineStr">
        <is>
          <t>2026-10-26 02:22</t>
        </is>
      </c>
      <c r="B53" t="inlineStr">
        <is>
          <t>2026-10-26</t>
        </is>
      </c>
      <c r="C53" t="inlineStr">
        <is>
          <t>LOL · T1 vs CFO</t>
        </is>
      </c>
      <c r="D53" t="inlineStr">
        <is>
          <t>Pout</t>
        </is>
      </c>
      <c r="E53" t="inlineStr">
        <is>
          <t>Map 1 Kills</t>
        </is>
      </c>
      <c r="F53" t="n">
        <v>2</v>
      </c>
      <c r="G53" t="n">
        <v>2.98</v>
      </c>
      <c r="H53" s="6" t="n">
        <v>0.5841</v>
      </c>
      <c r="I53" t="n">
        <v>4.1</v>
      </c>
      <c r="J53" s="6" t="n">
        <v>0.7271</v>
      </c>
      <c r="K53" s="6" t="n">
        <v>0.1594</v>
      </c>
      <c r="L53" s="6" t="n">
        <v>0.53</v>
      </c>
      <c r="M53" t="n">
        <v>2.12</v>
      </c>
      <c r="N53" s="6" t="n">
        <v>0.6</v>
      </c>
      <c r="O53" s="10" t="n"/>
      <c r="P53">
        <f>IF(O53="","",IF(O53&gt;F53,"OVER",IF(O53&lt;F53,"UNDER","PUSH")))</f>
        <v/>
      </c>
    </row>
    <row r="54">
      <c r="A54" t="inlineStr">
        <is>
          <t>2026-10-26 02:22</t>
        </is>
      </c>
      <c r="B54" t="inlineStr">
        <is>
          <t>2026-10-26</t>
        </is>
      </c>
      <c r="C54" t="inlineStr">
        <is>
          <t>LOL · T1 vs CFO</t>
        </is>
      </c>
      <c r="D54" t="inlineStr">
        <is>
          <t>Rest</t>
        </is>
      </c>
      <c r="E54" t="inlineStr">
        <is>
          <t>Map 1 Kills</t>
        </is>
      </c>
      <c r="F54" t="n">
        <v>1.5</v>
      </c>
      <c r="G54" t="n">
        <v>2.04</v>
      </c>
      <c r="H54" s="6" t="n">
        <v>0.6173</v>
      </c>
      <c r="I54" t="n">
        <v>2.8</v>
      </c>
      <c r="J54" s="6" t="n">
        <v>0.7317</v>
      </c>
      <c r="K54" s="6" t="n">
        <v>0.1594</v>
      </c>
      <c r="L54" s="6" t="n">
        <v>0.53</v>
      </c>
      <c r="M54" t="n">
        <v>1.39</v>
      </c>
      <c r="N54" s="6" t="n">
        <v>0.4</v>
      </c>
      <c r="O54" s="10" t="n"/>
      <c r="P54">
        <f>IF(O54="","",IF(O54&gt;F54,"OVER",IF(O54&lt;F54,"UNDER","PUSH")))</f>
        <v/>
      </c>
    </row>
    <row r="55">
      <c r="A55" t="inlineStr">
        <is>
          <t>2026-10-26 02:22</t>
        </is>
      </c>
      <c r="B55" t="inlineStr">
        <is>
          <t>2026-10-26</t>
        </is>
      </c>
      <c r="C55" t="inlineStr">
        <is>
          <t>LOL · T1 vs CFO</t>
        </is>
      </c>
      <c r="D55" t="inlineStr">
        <is>
          <t>Shad0w</t>
        </is>
      </c>
      <c r="E55" t="inlineStr">
        <is>
          <t>Map 1 Kills</t>
        </is>
      </c>
      <c r="F55" t="n">
        <v>2.5</v>
      </c>
      <c r="G55" t="n">
        <v>2.54</v>
      </c>
      <c r="H55" s="6" t="n">
        <v>0.5085</v>
      </c>
      <c r="I55" t="n">
        <v>3.5</v>
      </c>
      <c r="J55" s="6" t="n">
        <v>0.6613</v>
      </c>
      <c r="K55" s="6" t="n">
        <v>0.1594</v>
      </c>
      <c r="L55" s="6" t="n">
        <v>0.53</v>
      </c>
      <c r="M55" t="n">
        <v>1.88</v>
      </c>
      <c r="N55" s="6" t="n">
        <v>0.4</v>
      </c>
      <c r="O55" s="10" t="n"/>
      <c r="P55">
        <f>IF(O55="","",IF(O55&gt;F55,"OVER",IF(O55&lt;F55,"UNDER","PUSH")))</f>
        <v/>
      </c>
    </row>
    <row r="56">
      <c r="A56" t="inlineStr">
        <is>
          <t>2026-10-26 02:22</t>
        </is>
      </c>
      <c r="B56" t="inlineStr">
        <is>
          <t>2026-10-26</t>
        </is>
      </c>
      <c r="C56" t="inlineStr">
        <is>
          <t>LOL · T1 vs CFO</t>
        </is>
      </c>
      <c r="D56" t="inlineStr">
        <is>
          <t>Faker</t>
        </is>
      </c>
      <c r="E56" t="inlineStr">
        <is>
          <t>Map 1 Kills</t>
        </is>
      </c>
      <c r="F56" t="n">
        <v>4.5</v>
      </c>
      <c r="G56" t="n">
        <v>3.32</v>
      </c>
      <c r="H56" s="6" t="n">
        <v>0.2954</v>
      </c>
      <c r="I56" t="n">
        <v>2.5</v>
      </c>
      <c r="J56" s="6" t="n">
        <v>0.1476</v>
      </c>
      <c r="K56" s="6" t="n">
        <v>0.8406</v>
      </c>
      <c r="L56" s="6" t="n">
        <v>0.43</v>
      </c>
      <c r="M56" t="n">
        <v>3.76</v>
      </c>
      <c r="N56" s="6" t="n">
        <v>0.2</v>
      </c>
      <c r="O56" s="10" t="n"/>
      <c r="P56">
        <f>IF(O56="","",IF(O56&gt;F56,"OVER",IF(O56&lt;F56,"UNDER","PUSH")))</f>
        <v/>
      </c>
    </row>
    <row r="57">
      <c r="A57" t="inlineStr">
        <is>
          <t>2026-10-26 02:22</t>
        </is>
      </c>
      <c r="B57" t="inlineStr">
        <is>
          <t>2026-10-26</t>
        </is>
      </c>
      <c r="C57" t="inlineStr">
        <is>
          <t>LOL · T1 vs CFO</t>
        </is>
      </c>
      <c r="D57" t="inlineStr">
        <is>
          <t>Oner</t>
        </is>
      </c>
      <c r="E57" t="inlineStr">
        <is>
          <t>Map 1 Kills</t>
        </is>
      </c>
      <c r="F57" t="n">
        <v>4.5</v>
      </c>
      <c r="G57" t="n">
        <v>3.85</v>
      </c>
      <c r="H57" s="6" t="n">
        <v>0.3925</v>
      </c>
      <c r="I57" t="n">
        <v>2.9</v>
      </c>
      <c r="J57" s="6" t="n">
        <v>0.2204</v>
      </c>
      <c r="K57" s="6" t="n">
        <v>0.8406</v>
      </c>
      <c r="L57" s="6" t="n">
        <v>0.43</v>
      </c>
      <c r="M57" t="n">
        <v>3.92</v>
      </c>
      <c r="N57" s="6" t="n">
        <v>0.3</v>
      </c>
      <c r="O57" s="10" t="n"/>
      <c r="P57">
        <f>IF(O57="","",IF(O57&gt;F57,"OVER",IF(O57&lt;F57,"UNDER","PUSH")))</f>
        <v/>
      </c>
    </row>
    <row r="58">
      <c r="A58" t="inlineStr">
        <is>
          <t>2026-10-26 02:22</t>
        </is>
      </c>
      <c r="B58" t="inlineStr">
        <is>
          <t>2026-10-26</t>
        </is>
      </c>
      <c r="C58" t="inlineStr">
        <is>
          <t>LOL · T1 vs CFO</t>
        </is>
      </c>
      <c r="D58" t="inlineStr">
        <is>
          <t>Peyz</t>
        </is>
      </c>
      <c r="E58" t="inlineStr">
        <is>
          <t>Map 1 Kills</t>
        </is>
      </c>
      <c r="F58" t="n">
        <v>6.5</v>
      </c>
      <c r="G58" t="n">
        <v>7.16</v>
      </c>
      <c r="H58" s="6" t="n">
        <v>0.5768</v>
      </c>
      <c r="I58" t="n">
        <v>5.4</v>
      </c>
      <c r="J58" s="6" t="n">
        <v>0.3561</v>
      </c>
      <c r="K58" s="6" t="n">
        <v>0.8406</v>
      </c>
      <c r="L58" s="6" t="n">
        <v>0.43</v>
      </c>
      <c r="M58" t="n">
        <v>6.5</v>
      </c>
      <c r="N58" s="6" t="n">
        <v>0.4</v>
      </c>
      <c r="O58" s="10" t="n"/>
      <c r="P58">
        <f>IF(O58="","",IF(O58&gt;F58,"OVER",IF(O58&lt;F58,"UNDER","PUSH")))</f>
        <v/>
      </c>
    </row>
    <row r="59">
      <c r="A59" t="inlineStr">
        <is>
          <t>2026-10-26 02:22</t>
        </is>
      </c>
      <c r="B59" t="inlineStr">
        <is>
          <t>2026-10-26</t>
        </is>
      </c>
      <c r="C59" t="inlineStr">
        <is>
          <t>LOL · TL vs AL</t>
        </is>
      </c>
      <c r="D59" t="inlineStr">
        <is>
          <t>Breathe</t>
        </is>
      </c>
      <c r="E59" t="inlineStr">
        <is>
          <t>Maps 1-2 Kills</t>
        </is>
      </c>
      <c r="F59" t="n">
        <v>6</v>
      </c>
      <c r="G59" t="n">
        <v>6.34</v>
      </c>
      <c r="H59" s="6" t="n">
        <v>0.4806</v>
      </c>
      <c r="I59" t="n">
        <v>5.6</v>
      </c>
      <c r="J59" s="6" t="n">
        <v>0.3832</v>
      </c>
      <c r="K59" s="6" t="n">
        <v>0.642</v>
      </c>
      <c r="L59" s="6" t="n">
        <v>0.47</v>
      </c>
      <c r="N59" s="6" t="n">
        <v>0.5</v>
      </c>
      <c r="O59" s="10" t="n"/>
      <c r="P59">
        <f>IF(O59="","",IF(O59&gt;F59,"OVER",IF(O59&lt;F59,"UNDER","PUSH")))</f>
        <v/>
      </c>
    </row>
    <row r="60">
      <c r="A60" t="inlineStr">
        <is>
          <t>2026-10-26 02:22</t>
        </is>
      </c>
      <c r="B60" t="inlineStr">
        <is>
          <t>2026-10-26</t>
        </is>
      </c>
      <c r="C60" t="inlineStr">
        <is>
          <t>LOL · TL vs AL</t>
        </is>
      </c>
      <c r="D60" t="inlineStr">
        <is>
          <t>Hope</t>
        </is>
      </c>
      <c r="E60" t="inlineStr">
        <is>
          <t>Maps 1-2 Kills</t>
        </is>
      </c>
      <c r="F60" t="n">
        <v>9.5</v>
      </c>
      <c r="G60" t="n">
        <v>8.83</v>
      </c>
      <c r="H60" s="6" t="n">
        <v>0.4332</v>
      </c>
      <c r="I60" t="n">
        <v>7.8</v>
      </c>
      <c r="J60" s="6" t="n">
        <v>0.3237</v>
      </c>
      <c r="K60" s="6" t="n">
        <v>0.642</v>
      </c>
      <c r="L60" s="6" t="n">
        <v>0.47</v>
      </c>
      <c r="N60" s="6" t="n">
        <v>0.4</v>
      </c>
      <c r="O60" s="10" t="n"/>
      <c r="P60">
        <f>IF(O60="","",IF(O60&gt;F60,"OVER",IF(O60&lt;F60,"UNDER","PUSH")))</f>
        <v/>
      </c>
    </row>
    <row r="61">
      <c r="A61" t="inlineStr">
        <is>
          <t>2026-10-26 02:22</t>
        </is>
      </c>
      <c r="B61" t="inlineStr">
        <is>
          <t>2026-10-26</t>
        </is>
      </c>
      <c r="C61" t="inlineStr">
        <is>
          <t>LOL · TL vs AL</t>
        </is>
      </c>
      <c r="D61" t="inlineStr">
        <is>
          <t>Shanks</t>
        </is>
      </c>
      <c r="E61" t="inlineStr">
        <is>
          <t>Maps 1-2 Kills</t>
        </is>
      </c>
      <c r="F61" t="n">
        <v>8.5</v>
      </c>
      <c r="G61" t="n">
        <v>7.48</v>
      </c>
      <c r="H61" s="6" t="n">
        <v>0.3869</v>
      </c>
      <c r="I61" t="n">
        <v>6.6</v>
      </c>
      <c r="J61" s="6" t="n">
        <v>0.2852</v>
      </c>
      <c r="K61" s="6" t="n">
        <v>0.642</v>
      </c>
      <c r="L61" s="6" t="n">
        <v>0.47</v>
      </c>
      <c r="N61" s="6" t="n">
        <v>0.5</v>
      </c>
      <c r="O61" s="10" t="n"/>
      <c r="P61">
        <f>IF(O61="","",IF(O61&gt;F61,"OVER",IF(O61&lt;F61,"UNDER","PUSH")))</f>
        <v/>
      </c>
    </row>
    <row r="62">
      <c r="A62" t="inlineStr">
        <is>
          <t>2026-10-26 02:22</t>
        </is>
      </c>
      <c r="B62" t="inlineStr">
        <is>
          <t>2026-10-26</t>
        </is>
      </c>
      <c r="C62" t="inlineStr">
        <is>
          <t>LOL · TL vs AL</t>
        </is>
      </c>
      <c r="D62" t="inlineStr">
        <is>
          <t>Tarzan</t>
        </is>
      </c>
      <c r="E62" t="inlineStr">
        <is>
          <t>Maps 1-2 Kills</t>
        </is>
      </c>
      <c r="F62" t="n">
        <v>6.5</v>
      </c>
      <c r="G62" t="n">
        <v>6.8</v>
      </c>
      <c r="H62" s="6" t="n">
        <v>0.5351</v>
      </c>
      <c r="I62" t="n">
        <v>6</v>
      </c>
      <c r="J62" s="6" t="n">
        <v>0.4371</v>
      </c>
      <c r="K62" s="6" t="n">
        <v>0.642</v>
      </c>
      <c r="L62" s="6" t="n">
        <v>0.47</v>
      </c>
      <c r="N62" s="6" t="n">
        <v>0.5</v>
      </c>
      <c r="O62" s="10" t="n"/>
      <c r="P62">
        <f>IF(O62="","",IF(O62&gt;F62,"OVER",IF(O62&lt;F62,"UNDER","PUSH")))</f>
        <v/>
      </c>
    </row>
    <row r="63">
      <c r="A63" t="inlineStr">
        <is>
          <t>2026-10-26 02:22</t>
        </is>
      </c>
      <c r="B63" t="inlineStr">
        <is>
          <t>2026-10-26</t>
        </is>
      </c>
      <c r="C63" t="inlineStr">
        <is>
          <t>LOL · TL vs AL</t>
        </is>
      </c>
      <c r="D63" t="inlineStr">
        <is>
          <t>Josedeodo</t>
        </is>
      </c>
      <c r="E63" t="inlineStr">
        <is>
          <t>Maps 1-2 Kills</t>
        </is>
      </c>
      <c r="F63" t="n">
        <v>5</v>
      </c>
      <c r="G63" t="n">
        <v>5.59</v>
      </c>
      <c r="H63" s="6" t="n">
        <v>0.5111</v>
      </c>
      <c r="I63" t="n">
        <v>7.2</v>
      </c>
      <c r="J63" s="6" t="n">
        <v>0.6836</v>
      </c>
      <c r="K63" s="6" t="n">
        <v>0.358</v>
      </c>
      <c r="L63" s="6" t="n">
        <v>0.7</v>
      </c>
      <c r="N63" s="6" t="n">
        <v>0.7</v>
      </c>
      <c r="O63" s="10" t="n"/>
      <c r="P63">
        <f>IF(O63="","",IF(O63&gt;F63,"OVER",IF(O63&lt;F63,"UNDER","PUSH")))</f>
        <v/>
      </c>
    </row>
    <row r="64">
      <c r="A64" t="inlineStr">
        <is>
          <t>2026-10-26 02:22</t>
        </is>
      </c>
      <c r="B64" t="inlineStr">
        <is>
          <t>2026-10-26</t>
        </is>
      </c>
      <c r="C64" t="inlineStr">
        <is>
          <t>LOL · TL vs AL</t>
        </is>
      </c>
      <c r="D64" t="inlineStr">
        <is>
          <t>Morgan</t>
        </is>
      </c>
      <c r="E64" t="inlineStr">
        <is>
          <t>Maps 1-2 Kills</t>
        </is>
      </c>
      <c r="F64" t="n">
        <v>3.5</v>
      </c>
      <c r="G64" t="n">
        <v>4.35</v>
      </c>
      <c r="H64" s="6" t="n">
        <v>0.6237</v>
      </c>
      <c r="I64" t="n">
        <v>5.6</v>
      </c>
      <c r="J64" s="6" t="n">
        <v>0.7548</v>
      </c>
      <c r="K64" s="6" t="n">
        <v>0.358</v>
      </c>
      <c r="L64" s="6" t="n">
        <v>0.7</v>
      </c>
      <c r="N64" s="6" t="n">
        <v>0.7</v>
      </c>
      <c r="O64" s="10" t="n"/>
      <c r="P64">
        <f>IF(O64="","",IF(O64&gt;F64,"OVER",IF(O64&lt;F64,"UNDER","PUSH")))</f>
        <v/>
      </c>
    </row>
    <row r="65">
      <c r="A65" t="inlineStr">
        <is>
          <t>2026-10-26 02:22</t>
        </is>
      </c>
      <c r="B65" t="inlineStr">
        <is>
          <t>2026-10-26</t>
        </is>
      </c>
      <c r="C65" t="inlineStr">
        <is>
          <t>LOL · TL vs AL</t>
        </is>
      </c>
      <c r="D65" t="inlineStr">
        <is>
          <t>Quid</t>
        </is>
      </c>
      <c r="E65" t="inlineStr">
        <is>
          <t>Maps 1-2 Kills</t>
        </is>
      </c>
      <c r="F65" t="n">
        <v>6</v>
      </c>
      <c r="G65" t="n">
        <v>7.29</v>
      </c>
      <c r="H65" s="6" t="n">
        <v>0.5845</v>
      </c>
      <c r="I65" t="n">
        <v>9.4</v>
      </c>
      <c r="J65" s="6" t="n">
        <v>0.7539</v>
      </c>
      <c r="K65" s="6" t="n">
        <v>0.358</v>
      </c>
      <c r="L65" s="6" t="n">
        <v>0.7</v>
      </c>
      <c r="N65" s="6" t="n">
        <v>1</v>
      </c>
      <c r="O65" s="10" t="n"/>
      <c r="P65">
        <f>IF(O65="","",IF(O65&gt;F65,"OVER",IF(O65&lt;F65,"UNDER","PUSH")))</f>
        <v/>
      </c>
    </row>
    <row r="66">
      <c r="A66" t="inlineStr">
        <is>
          <t>2026-10-26 02:22</t>
        </is>
      </c>
      <c r="B66" t="inlineStr">
        <is>
          <t>2026-10-26</t>
        </is>
      </c>
      <c r="C66" t="inlineStr">
        <is>
          <t>LOL · TL vs AL</t>
        </is>
      </c>
      <c r="D66" t="inlineStr">
        <is>
          <t>Yeon</t>
        </is>
      </c>
      <c r="E66" t="inlineStr">
        <is>
          <t>Maps 1-2 Kills</t>
        </is>
      </c>
      <c r="F66" t="n">
        <v>6</v>
      </c>
      <c r="G66" t="n">
        <v>6.83</v>
      </c>
      <c r="H66" s="6" t="n">
        <v>0.5367</v>
      </c>
      <c r="I66" t="n">
        <v>8.800000000000001</v>
      </c>
      <c r="J66" s="6" t="n">
        <v>0.7151999999999999</v>
      </c>
      <c r="K66" s="6" t="n">
        <v>0.358</v>
      </c>
      <c r="L66" s="6" t="n">
        <v>0.7</v>
      </c>
      <c r="N66" s="6" t="n">
        <v>0.8</v>
      </c>
      <c r="O66" s="10" t="n"/>
      <c r="P66">
        <f>IF(O66="","",IF(O66&gt;F66,"OVER",IF(O66&lt;F66,"UNDER","PUSH")))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65</v>
      </c>
    </row>
    <row r="3">
      <c r="A3" t="inlineStr">
        <is>
          <t>Players with stats</t>
        </is>
      </c>
      <c r="B3" t="n">
        <v>65</v>
      </c>
    </row>
    <row r="4">
      <c r="A4" t="inlineStr">
        <is>
          <t>Gamelog identity M1+M2 = M1-2 and M1-2+M3 = M1-3, every row</t>
        </is>
      </c>
      <c r="B4" t="inlineStr">
        <is>
          <t>65 / 65 players pass</t>
        </is>
      </c>
    </row>
    <row r="5">
      <c r="A5" t="inlineStr">
        <is>
          <t>Matches resolved to Thunderpick</t>
        </is>
      </c>
      <c r="B5" t="inlineStr">
        <is>
          <t>8 / 8</t>
        </is>
      </c>
    </row>
    <row r="6">
      <c r="A6" t="inlineStr">
        <is>
          <t>Thunderpick player kill ladders matched to board players</t>
        </is>
      </c>
      <c r="B6" t="n">
        <v>58</v>
      </c>
    </row>
    <row r="7">
      <c r="A7" t="inlineStr">
        <is>
          <t>LIVE: formula errors on Projections (should be 0)</t>
        </is>
      </c>
      <c r="B7">
        <f>SUMPRODUCT(--ISERROR(Projections!F2:M66))</f>
        <v/>
      </c>
    </row>
    <row r="8">
      <c r="A8" t="inlineStr">
        <is>
          <t>LIVE: legs with no projection (should be 0)</t>
        </is>
      </c>
      <c r="B8">
        <f>COUNTBLANK(Projections!F2:F66)</f>
        <v/>
      </c>
    </row>
    <row r="9">
      <c r="A9" t="inlineStr">
        <is>
          <t>LIVE: largest |Projections − Log| (≈0 at default settings)</t>
        </is>
      </c>
      <c r="B9">
        <f>SUMPRODUCT(MAX(ABS(N(+Projections!F2:F66)-N(+Log!G2:G66))))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SUMPRODUCT((ABS(N(+Projections!O2:O66)-N(+Projections!P2:P66))&lt;0.00001)*(ABS(N(+Projections!F2:F66)-N(+Projections!L2:L66))&gt;0.001)*(Projections!D2:D66="Map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2026-10-26T02:22:59Z</dcterms:created>
  <dcterms:modified xmlns:dcterms="http://purl.org/dc/terms/" xmlns:xsi="http://www.w3.org/2001/XMLSchema-instance" xsi:type="dcterms:W3CDTF">2026-10-26T02:22:59Z</dcterms:modified>
</cp:coreProperties>
</file>