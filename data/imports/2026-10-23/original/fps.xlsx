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Match_Intel" sheetId="2" state="visible" r:id="rId4"/>
    <sheet name="Board" sheetId="3" state="visible" r:id="rId5"/>
    <sheet name="Matches" sheetId="4" state="visible" r:id="rId6"/>
    <sheet name="Projections" sheetId="5" state="visible" r:id="rId7"/>
    <sheet name="Calc" sheetId="6" state="visible" r:id="rId8"/>
    <sheet name="Config" sheetId="7" state="visible" r:id="rId9"/>
    <sheet name="Players" sheetId="8" state="visible" r:id="rId10"/>
    <sheet name="Map_Stats" sheetId="9" state="visible" r:id="rId11"/>
    <sheet name="Book_Props" sheetId="10" state="visible" r:id="rId12"/>
    <sheet name="Round_Ladders" sheetId="11" state="visible" r:id="rId13"/>
    <sheet name="HLTV_Teams" sheetId="12" state="visible" r:id="rId14"/>
    <sheet name="HLTV_Long" sheetId="13" state="visible" r:id="rId15"/>
    <sheet name="HLTV_Veto" sheetId="14" state="visible" r:id="rId16"/>
    <sheet name="Log" sheetId="15" state="visible" r:id="rId17"/>
    <sheet name="Data_Checks" sheetId="16" state="visible" r:id="rId18"/>
  </sheets>
  <definedNames>
    <definedName function="false" hidden="true" localSheetId="13" name="_xlnm._FilterDatabase" vbProcedure="false">HLTV_Veto!$A$1:$G$57</definedName>
    <definedName function="false" hidden="true" localSheetId="8" name="_xlnm._FilterDatabase" vbProcedure="false">Map_Stats!$A$1:$K$450</definedName>
    <definedName function="false" hidden="true" localSheetId="7" name="_xlnm._FilterDatabase" vbProcedure="false">Players!$A$1:$O$56</definedName>
    <definedName function="false" hidden="true" localSheetId="4" name="_xlnm._FilterDatabase" vbProcedure="false">Projections!$A$1:$AE$76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<sst xmlns="http://schemas.openxmlformats.org/spreadsheetml/2006/main" count="6004" uniqueCount="1707">
  <si>
    <t xml:space="preserve">FPS Player Model — CS2 + Valorant</t>
  </si>
  <si>
    <t xml:space="preserve">Kills and headshot projections built map by map: per-map KPR × the rounds you expect on that map.</t>
  </si>
  <si>
    <t xml:space="preserve">Slate 2026-10-23 · 75 board legs · 8 matches</t>
  </si>
  <si>
    <t xml:space="preserve">HOW TO USE</t>
  </si>
  <si>
    <t xml:space="preserve">1. Matches tab: every match on the slate, one row each. The shaded columns are yours — Map 1, Map 2, Map 3 (dropdowns) and Rounds M1/M2/M3. They arrive prefilled: maps from PickFinder's Map Picks, rounds from Thunderpick's Total Rounds ladder for that map. Change any of them and every projection for that match recalculates.</t>
  </si>
  <si>
    <t xml:space="preserve">2. Board tab: pick a match in the shaded cell B2. Both rosters load, ranked by projected Maps 1-2 kills, with the PrizePicks line, the model's P(over), Thunderpick's own kill-line median and PickFinder's L10 beside it.</t>
  </si>
  <si>
    <t xml:space="preserve">3. Projections tab: every leg on the board (Maps 1-2, Map 1, Map 2 — kills and HS), filterable.</t>
  </si>
  <si>
    <t xml:space="preserve">4. Log tab: the same projections frozen as values at default settings when the sheet was built. Type the result in Actual after settlement; Result fills itself. This is the forward record the model does not yet have.</t>
  </si>
  <si>
    <t xml:space="preserve">THE MODEL, IN FOUR LINES</t>
  </si>
  <si>
    <t xml:space="preserve">Per-map KPR = (n × map KPR + SHRINK_MAPS × overall KPR) ÷ (n + SHRINK_MAPS), n = maps the player has on that map in PickFinder's sample. A map he has never played uses his overall KPR.</t>
  </si>
  <si>
    <t xml:space="preserve">Kills on map k = per-map KPR × rounds on map k.  Maps 1-2 = map 1 + map 2.  Maps 1-3 = maps 1-2 + P(map 3) × map 3.</t>
  </si>
  <si>
    <t xml:space="preserve">HS on map k = kills on map k × per-map HS%, shrunk the same way.  (CS2 only — PickFinder posts no Valorant HS%.)</t>
  </si>
  <si>
    <t xml:space="preserve">P(over) = normal approximation with variance = KILLS_DISPERSION × projection, continuity-corrected, so a whole-number line shows its push probability separately.</t>
  </si>
  <si>
    <t xml:space="preserve">WHERE EACH NUMBER COMES FROM</t>
  </si>
  <si>
    <t xml:space="preserve">PickFinder → Player Stats panel (Map Stats): maps played, kills/map, KPR, HS%, K/D per map; the Per Round toggle gives overall Kills/Round. Same page → Maps panel: Map Picks likelihood for the matchup. /props: lines and L5/L10/L15/H2H/streak.</t>
  </si>
  <si>
    <t xml:space="preserve">Thunderpick → /api/markets: Match Winner, Best of 3 Correct Match Score, Map k Winner, Total Rounds - Map k, team Total Rounds - Map k, Round Handicap - Map k, Overtime Yes/No - Map k, and each player's Total Kills ladder for maps 1 and 2. Every price is devigged multiplicatively; ladders are read at their 50% crossing.</t>
  </si>
  <si>
    <t xml:space="preserve">Valorant: PickFinder gives per-map KILLS but not per-map KPR. The sheet converts with the player's average map length (Kills/Map ÷ Kills/Round), i.e. it assumes his maps run equally long. CS2 uses PickFinder's own KPR.</t>
  </si>
  <si>
    <t xml:space="preserve">HLTV → /betting/analytics/&lt;match&gt;: per team and per map, average rounds lost in wins and rounds won in losses; series-score distribution and overtime % (3 months); veto stats (first pick, first ban, win %, played).</t>
  </si>
  <si>
    <t xml:space="preserve">ROUND-DIFFERENTIAL LAYER (CS2) — the "adj" columns</t>
  </si>
  <si>
    <t xml:space="preserve">A team scores ~4.76 kills per round it WINS and ~1.82 per round it LOSES. A player's KPR was earned at his team's historical round share; tonight he plays at a different one. Adj kills = kills × (a·s + b·(1−s)) ÷ (a·s_hist + b·(1−s_hist)).</t>
  </si>
  <si>
    <t xml:space="preserve">s (tonight, per map) comes from HLTV's conditional margins: if A wins the map, B takes the average of A's rounds-lost-in-wins and B's rounds-won-in-losses on that map, and the reverse if B wins, weighted by Thunderpick's Map k Winner odds. Matches shows the result as HLTV rounds, HLTV A margin and HLTV A share per map. s_hist is each team's round share over HLTV's 3-month sample (HLTV_Teams tab). DIFF_WEIGHT on Config scales it; 0 turns it off.</t>
  </si>
  <si>
    <t xml:space="preserve">It is PAPER: base and adjusted projections are both logged, and Prereg_Differential_2026-10-03 registered how they will be scored before the first match. On the first slate it moved projections toward the PrizePicks lines (MAE 1.72 → 1.52) and toward Thunderpick's own kill ladders (1.72 → 1.45) — better calibrated, which is not the same as an edge.</t>
  </si>
  <si>
    <t xml:space="preserve">READ THIS BEFORE TRUSTING A NUMBER</t>
  </si>
  <si>
    <t xml:space="preserve">The Thunderpick per-map rounds total is the default because it is the market's number, not because it forecasts well. In this project's record the posted per-map total is 0-for-3 forward and ran ~16% short of realised on slate 33. If you have a view on a stomp or an overtime map, the Rounds cells are where it goes.</t>
  </si>
  <si>
    <t xml:space="preserve">Round differential — who wins the rounds — is the largest effect in the record (+34 points over-rate gap). The base projection ignores it; the adj columns are the first attempt at a pre-game handle and are not yet tested.</t>
  </si>
  <si>
    <t xml:space="preserve">Per-map samples are small (3–9 maps). Shrinkage is why a 3-map Nuke at 0.95 does not become the projection. Model side and P(over) are PAPER columns: an ordering, not an edge, until the Log says otherwise.</t>
  </si>
  <si>
    <t xml:space="preserve">Map Picks shares sum to ~100% across maps; they are PickFinder's likelihood for a map appearing, not the veto. The decider and map order are only known after veto — confirm Map 1 / Map 2 before lock.</t>
  </si>
  <si>
    <t xml:space="preserve">Data_Checks lists every integrity identity that was run on this slate's captures and anything that failed.</t>
  </si>
  <si>
    <t xml:space="preserve">REFRESHING</t>
  </si>
  <si>
    <t xml:space="preserve">Each slate is rebuilt from fresh captures and imported over this file (File → Import → Replace spreadsheet), so the link stays the same. Your shaded edits are per slate and are replaced on the next import.</t>
  </si>
  <si>
    <t xml:space="preserve">Match Intel — 2026-10-23</t>
  </si>
  <si>
    <t xml:space="preserve">Recent form, margins, ranks, pistols, map pools and recent vetoes per match. Windows: HLTV 3 months to the day before the slate; vlr last 10 series. Bucket probabilities are the frozen v2 model (PAPER, not a pick). Margins are rounds: + won by, − lost by.</t>
  </si>
  <si>
    <t xml:space="preserve">VAL · TEC vs UR   |   09:00 UTC   |   Bo3   |   Win: TEC 59% – UR 41%   |   2-0 34% · 2-1 25% · 1-2 19% · 0-2 22%</t>
  </si>
  <si>
    <t xml:space="preserve">Titan Esports Club (TEC)</t>
  </si>
  <si>
    <t xml:space="preserve">Unsettled Resentment (UR)</t>
  </si>
  <si>
    <t xml:space="preserve">Rank (vlr)</t>
  </si>
  <si>
    <t xml:space="preserve">Current Rank 12 China · Rating 1514 · Record 34W 54L</t>
  </si>
  <si>
    <t xml:space="preserve">Current Rank 16 China · Rating 1488 · Record 3W 3L</t>
  </si>
  <si>
    <t xml:space="preserve">Last 10 series: maps W-L</t>
  </si>
  <si>
    <t xml:space="preserve">11-15</t>
  </si>
  <si>
    <t xml:space="preserve">6-6</t>
  </si>
  <si>
    <t xml:space="preserve">Avg margin in wins / losses</t>
  </si>
  <si>
    <t xml:space="preserve">+5.1 / -5.8</t>
  </si>
  <si>
    <t xml:space="preserve">+7.2 / -5.5</t>
  </si>
  <si>
    <t xml:space="preserve">Stomps for / against (8+)</t>
  </si>
  <si>
    <t xml:space="preserve">3 / 6</t>
  </si>
  <si>
    <t xml:space="preserve">3 / 1</t>
  </si>
  <si>
    <t xml:space="preserve">Pistols</t>
  </si>
  <si>
    <t xml:space="preserve">not available from vlr summary pages</t>
  </si>
  <si>
    <t xml:space="preserve">Kill share (last 10 series, all maps)</t>
  </si>
  <si>
    <t xml:space="preserve">10 series · 26 maps · team 73.3 kills/map
ra1ny 21.9% (16.1/map)
Dynamite 21.4% (15.7/map)
Coco 19.3% (14.2/map)
lucas 19.1% (14.0/map)
Haodong 18.3% (13.4/map)</t>
  </si>
  <si>
    <t xml:space="preserve">5 series · 12 maps · team 69.2 kills/map
Hopedawn 23.5% (16.2/map)
Ninebody 22.1% (15.3/map)
QiuYe 21.1% (14.6/map)
CXIX666 17.7% (12.2/map)
waituu 13.4% (11.1/map)
MarT1n 2.3% (9.5/map) (sub)</t>
  </si>
  <si>
    <t xml:space="preserve">Last 5 series</t>
  </si>
  <si>
    <t xml:space="preserve">2026-09-09  Wuxi Titan Esports Club (Titan Esports Club) vs Unsettled Resentment  Split:13-4:P,Lotus:5-13:P,Summit:5-13:
2026-09-04  Wuxi Titan Esports Club (Titan Esports Club) vs TYLOO  Abyss:5-13:P,Split:19-17:P,Summit:13-2:
2026-08-16  Wuxi Titan Esports Club (Titan Esports Club) vs Nova Esports  Summit:11-13:P,Sunset:8-13:P
2026-08-14  TYLOO vs Wuxi Titan Esports Club (Titan Esports Club)  Sunset:13-5:P,Haven:13-6:P
2026-08-12  All Gamers vs Wuxi Titan Esports Club (Titan Esports Club)  Sunset:13-10:P,Ascent:12-14:P,Summit:9-13:</t>
  </si>
  <si>
    <t xml:space="preserve">2026-10-21  Unsettled Resentment vs Octagonal Disposition Gaming  Abyss:13-7:P,Split:13-2:P
2026-09-12  Unsettled Resentment vs Any Questions Gaming  Abyss:12-14:P,Lotus:6-13:P,Sunset:6-13:P
2026-09-11  KeepBest Gaming vs Unsettled Resentment  Split:14-12:P,Sunset:13-7:P
2026-09-09  Wuxi Titan Esports Club (Titan Esports Club) vs Unsettled Resentment  Split:13-4:P,Lotus:5-13:P,Summit:5-13:
2026-09-04  Trace Esports vs Unsettled Resentment  Sunset:9-13:P,Summit:7-13:P</t>
  </si>
  <si>
    <t xml:space="preserve">Recent vetoes (last 5)</t>
  </si>
  <si>
    <t xml:space="preserve">2026-09-09 vs Unsettled Resentment: TEC ban Sunset; UR ban Haven; TEC pick Split; UR pick Lotus; TEC ban Abyss; UR ban Ascent; Summit remains
2026-09-04 vs TYLOO: TYL ban Haven; TEC ban Sunset; TYL pick Abyss; TEC pick Split; TYL ban Lotus; TEC ban Ascent; Summit remains
2026-08-16 vs Nova Esports: TEC ban Lotus; NOVA ban Haven; TEC pick Summit; NOVA pick Sunset; TEC ban Breeze; NOVA ban Split; Ascent remains
2026-08-14 vs TYLOO: TYL ban Breeze; TEC ban Lotus; TYL pick Sunset; TEC pick Haven; TYL ban Split; TEC ban Summit; Ascent remains
2026-08-12 vs All Gamers: TEC ban Lotus; AG ban Breeze; TEC pick Sunset; AG pick Ascent; TEC ban Split; AG ban Haven; Summit remains</t>
  </si>
  <si>
    <t xml:space="preserve">2026-10-21 vs Octagonal Disposition Gaming: UR ban Haven; ODG ban Summit; UR pick Abyss; ODG pick Split; UR ban Ascent; ODG ban Sunset; Lotus remains
2026-09-12 vs Any Questions Gaming: UR ban Haven; AQ ban Summit; UR pick Abyss; AQ pick Lotus; UR pick Sunset; AQ pick Ascent; Split remains
2026-09-11 vs KeepBest Gaming: KBG ban Lotus; UR ban Haven; KBG pick Split; UR pick Sunset; KBG ban Summit; UR ban Ascent; Abyss remains
2026-09-09 vs Wuxi Titan Esports Club (Titan Esports Club): TEC ban Sunset; UR ban Haven; TEC pick Split; UR pick Lotus; TEC ban Abyss; UR ban Ascent; Summit remains
2026-09-04 vs Trace Esports: TE ban Haven; UR ban Ascent; TE pick Sunset; UR pick Summit; TE ban Abyss; UR ban Split; Lotus remains</t>
  </si>
  <si>
    <t xml:space="preserve">Map</t>
  </si>
  <si>
    <t xml:space="preserve">PF pick %</t>
  </si>
  <si>
    <t xml:space="preserve">A maps (3 mo)</t>
  </si>
  <si>
    <t xml:space="preserve">A ATK %</t>
  </si>
  <si>
    <t xml:space="preserve">A DEF %</t>
  </si>
  <si>
    <t xml:space="preserve">B maps (3 mo)</t>
  </si>
  <si>
    <t xml:space="preserve">B ATK %</t>
  </si>
  <si>
    <t xml:space="preserve">B DEF %</t>
  </si>
  <si>
    <t xml:space="preserve">A 8+ | A 3-7 | close/OT | B 3-7 | B 8+</t>
  </si>
  <si>
    <t xml:space="preserve">E rounds</t>
  </si>
  <si>
    <t xml:space="preserve">Haven</t>
  </si>
  <si>
    <t xml:space="preserve">18%</t>
  </si>
  <si>
    <t xml:space="preserve">50%</t>
  </si>
  <si>
    <t xml:space="preserve">46%</t>
  </si>
  <si>
    <t xml:space="preserve">6% | 28% | 30% | 29% | 6%</t>
  </si>
  <si>
    <t xml:space="preserve">22.1</t>
  </si>
  <si>
    <t xml:space="preserve">Sunset</t>
  </si>
  <si>
    <t xml:space="preserve">17%</t>
  </si>
  <si>
    <t xml:space="preserve">35%</t>
  </si>
  <si>
    <t xml:space="preserve">45%</t>
  </si>
  <si>
    <t xml:space="preserve">48%</t>
  </si>
  <si>
    <t xml:space="preserve">37%</t>
  </si>
  <si>
    <t xml:space="preserve">4% | 24% | 30% | 33% | 8%</t>
  </si>
  <si>
    <t xml:space="preserve">22.0</t>
  </si>
  <si>
    <t xml:space="preserve">Abyss</t>
  </si>
  <si>
    <t xml:space="preserve">25%</t>
  </si>
  <si>
    <t xml:space="preserve">33%</t>
  </si>
  <si>
    <t xml:space="preserve">71%</t>
  </si>
  <si>
    <t xml:space="preserve">40%</t>
  </si>
  <si>
    <t xml:space="preserve">4% | 23% | 30% | 34% | 8%</t>
  </si>
  <si>
    <t xml:space="preserve">Ascent</t>
  </si>
  <si>
    <t xml:space="preserve">47%</t>
  </si>
  <si>
    <t xml:space="preserve">64%</t>
  </si>
  <si>
    <t xml:space="preserve">7% | 31% | 30% | 26% | 5%</t>
  </si>
  <si>
    <t xml:space="preserve">Breeze</t>
  </si>
  <si>
    <t xml:space="preserve">42%</t>
  </si>
  <si>
    <t xml:space="preserve">5% | 27% | 30% | 30% | 7%</t>
  </si>
  <si>
    <t xml:space="preserve">Lotus</t>
  </si>
  <si>
    <t xml:space="preserve">0%</t>
  </si>
  <si>
    <t xml:space="preserve">61%</t>
  </si>
  <si>
    <t xml:space="preserve">5% | 24% | 30% | 33% | 8%</t>
  </si>
  <si>
    <t xml:space="preserve">Split</t>
  </si>
  <si>
    <t xml:space="preserve">49%</t>
  </si>
  <si>
    <t xml:space="preserve">67%</t>
  </si>
  <si>
    <t xml:space="preserve">43%</t>
  </si>
  <si>
    <t xml:space="preserve">62%</t>
  </si>
  <si>
    <t xml:space="preserve">8% | 33% | 30% | 24% | 5%</t>
  </si>
  <si>
    <t xml:space="preserve">Summit</t>
  </si>
  <si>
    <t xml:space="preserve">55%</t>
  </si>
  <si>
    <t xml:space="preserve">53%</t>
  </si>
  <si>
    <t xml:space="preserve">54%</t>
  </si>
  <si>
    <t xml:space="preserve">93%</t>
  </si>
  <si>
    <t xml:space="preserve">5% | 26% | 30% | 31% | 7%</t>
  </si>
  <si>
    <t xml:space="preserve">VAL · FPX vs DRG   |   11:00 UTC   |   Bo3   |   Win: FPX 50% – DRG 50%   |   2-0 28% · 2-1 22% · 1-2 22% · 0-2 28%</t>
  </si>
  <si>
    <t xml:space="preserve">FunPlus Phoenix (FPX)</t>
  </si>
  <si>
    <t xml:space="preserve">Dragon Ranger Gaming (DRG)</t>
  </si>
  <si>
    <t xml:space="preserve">Current Rank 9 China · Rating 1545 · Record 99W 86L</t>
  </si>
  <si>
    <t xml:space="preserve">Current Rank 13 China · Rating 1506 · Record 65W 63L</t>
  </si>
  <si>
    <t xml:space="preserve">16-12</t>
  </si>
  <si>
    <t xml:space="preserve">12-15</t>
  </si>
  <si>
    <t xml:space="preserve">+5.0 / -4.8</t>
  </si>
  <si>
    <t xml:space="preserve">+5.2 / -4.2</t>
  </si>
  <si>
    <t xml:space="preserve">2 / 3</t>
  </si>
  <si>
    <t xml:space="preserve">10 series · 28 maps · team 75.3 kills/map
Setrod 21.9% (16.5/map)
AAAAY 21.7% (16.4/map)
Xlele 18.6% (14.0/map)
coconut 18.3% (13.8/map)
KovaQ 10.2% (14.3/map)
Zhubibi 9.2% (14.9/map)</t>
  </si>
  <si>
    <t xml:space="preserve">10 series · 27 maps · team 80.3 kills/map
Life 22.1% (17.7/map)
vo0kashu 20.9% (18.2/map)
SpiritZ1 20.4% (16.4/map)
Nicc 18.3% (14.7/map)
Verse 15.8% (13.7/map)
T1an 1.5% (16.0/map) (sub)
Flex1n 1.0% (11.0/map) (sub)</t>
  </si>
  <si>
    <t xml:space="preserve">2026-09-13  KeepBest Gaming vs FunPlus Phoenix  Ascent:13-4:P,Abyss:8-13:P,Sunset:13-10:P,Split:11-13:P,Summit:11-13:
2026-09-11  FunPlus Phoenix vs Any Questions Gaming  Lotus:8-13:P,Split:13-5:P,Ascent:13-8:
2026-09-10  Nova Esports vs FunPlus Phoenix  Sunset:8-13:P,Lotus:6-13:P
2026-09-05  FunPlus Phoenix vs A Team  Sunset:11-13:P,Ascent:13-10:P,Split:13-6:
2026-08-09  Trace Esports vs FunPlus Phoenix  Ascent:13-5:P,Lotus:13-7:P</t>
  </si>
  <si>
    <t xml:space="preserve">2026-10-21  Dragon Ranger Gaming vs Rare Atom  Summit:13-8:P,Lotus:13-9:P
2026-09-06  Dragon Ranger Gaming vs Any Questions Gaming  Split:12-14:P,Sunset:6-13:P
2026-08-11  Dragon Ranger Gaming vs Trace Esports  Sunset:16-14:P,Ascent:4-13:P,Summit:12-14:
2026-08-10  Wuxi Titan Esports Club (Titan Esports Club) vs Dragon Ranger Gaming  Summit:13-9:P,Ascent:1-13:P,Haven:13-8:
2026-08-06  Wolves Esports vs Dragon Ranger Gaming  Lotus:13-11:P,Haven:9-13:P,Summit:8-13:</t>
  </si>
  <si>
    <t xml:space="preserve">2026-09-13 vs KeepBest Gaming: KBG ban Lotus; FPX ban Haven; KBG pick Ascent; FPX pick Abyss; KBG pick Sunset; FPX pick Split; Summit remains
2026-09-11 vs Any Questions Gaming: FPX ban Haven; AQ ban Abyss; FPX pick Lotus; AQ pick Split; FPX ban Summit; AQ ban Sunset; Ascent remains
2026-09-10 vs Nova Esports: NOVA ban Abyss; FPX ban Haven; NOVA pick Sunset; FPX pick Lotus; NOVA ban Split; FPX ban Summit; Ascent remains
2026-09-05 vs A Team: AT ban Abyss; FPX ban Haven; AT pick Sunset; FPX pick Ascent; AT ban Summit; FPX ban Lotus; Split remains
2026-08-09 vs Trace Esports: FPX ban Split; TE ban Summit; FPX pick Ascent; TE pick Lotus; FPX ban Sunset; TE ban Haven; Breeze remains</t>
  </si>
  <si>
    <t xml:space="preserve">2026-10-21 vs Rare Atom: RA ban Split; DRG ban Abyss; RA pick Summit; DRG pick Lotus; RA ban Haven; DRG ban Ascent; Sunset remains
2026-09-06 vs Any Questions Gaming: AQ ban Lotus; DRG ban Abyss; AQ pick Split; DRG pick Sunset; AQ ban Summit; DRG ban Ascent; Haven remains
2026-08-11 vs Trace Esports: TE ban Haven; DRG ban Lotus; TE pick Sunset; DRG pick Ascent; TE ban Split; DRG ban Breeze; Summit remains
2026-08-10 vs Wuxi Titan Esports Club (Titan Esports Club): DRG ban Breeze; TEC ban Lotus; DRG pick Summit; TEC pick Ascent; DRG ban Split; TEC ban Sunset; Haven remains
2026-08-06 vs Wolves Esports: WOL ban Breeze; DRG ban Sunset; WOL pick Lotus; DRG pick Haven; WOL ban Ascent; DRG ban Split; Summit remains</t>
  </si>
  <si>
    <t xml:space="preserve">44%</t>
  </si>
  <si>
    <t xml:space="preserve">41%</t>
  </si>
  <si>
    <t xml:space="preserve">6% | 27% | 30% | 30% | 7%</t>
  </si>
  <si>
    <t xml:space="preserve">12%</t>
  </si>
  <si>
    <t xml:space="preserve">51%</t>
  </si>
  <si>
    <t xml:space="preserve">27%</t>
  </si>
  <si>
    <t xml:space="preserve">59%</t>
  </si>
  <si>
    <t xml:space="preserve">8% | 33% | 30% | 25% | 5%</t>
  </si>
  <si>
    <t xml:space="preserve">10%</t>
  </si>
  <si>
    <t xml:space="preserve">39%</t>
  </si>
  <si>
    <t xml:space="preserve">7% | 30% | 30% | 27% | 6%</t>
  </si>
  <si>
    <t xml:space="preserve">89%</t>
  </si>
  <si>
    <t xml:space="preserve">4% | 22% | 30% | 35% | 9%</t>
  </si>
  <si>
    <t xml:space="preserve">6% | 29% | 30% | 28% | 6%</t>
  </si>
  <si>
    <t xml:space="preserve">75%</t>
  </si>
  <si>
    <t xml:space="preserve">66%</t>
  </si>
  <si>
    <t xml:space="preserve">CS2 · ISG vs Hacha Esports   |   13:00 UTC   |   Bo3   |   Win: ISG 84% – Hacha Esports 16%</t>
  </si>
  <si>
    <t xml:space="preserve">Isurus (ISG)</t>
  </si>
  <si>
    <t xml:space="preserve">Hacha eSports (Hacha Esports)</t>
  </si>
  <si>
    <t xml:space="preserve">Rank</t>
  </si>
  <si>
    <t xml:space="preserve">HLTV: #215 · VRS: #196</t>
  </si>
  <si>
    <t xml:space="preserve">HLTV: #229 · VRS: #372</t>
  </si>
  <si>
    <t xml:space="preserve">Last 10 maps (newest first)</t>
  </si>
  <si>
    <t xml:space="preserve">1-9   L L L L L L L W L L</t>
  </si>
  <si>
    <t xml:space="preserve">6-4   W L W W L W W W L L</t>
  </si>
  <si>
    <t xml:space="preserve">Last 10 maps, avg margin</t>
  </si>
  <si>
    <t xml:space="preserve">-3.5</t>
  </si>
  <si>
    <t xml:space="preserve">+0.4</t>
  </si>
  <si>
    <t xml:space="preserve">3 months: maps W-L</t>
  </si>
  <si>
    <t xml:space="preserve">25-31 (45%)</t>
  </si>
  <si>
    <t xml:space="preserve">6-4 (60%)</t>
  </si>
  <si>
    <t xml:space="preserve">+5.0 / -5.2</t>
  </si>
  <si>
    <t xml:space="preserve">+5.7 / -7.5</t>
  </si>
  <si>
    <t xml:space="preserve">4 / 7</t>
  </si>
  <si>
    <t xml:space="preserve">2 / 2</t>
  </si>
  <si>
    <t xml:space="preserve">Pistols (3 months)</t>
  </si>
  <si>
    <t xml:space="preserve">not captured</t>
  </si>
  <si>
    <t xml:space="preserve">Kill share (last 6 series, all maps)</t>
  </si>
  <si>
    <t xml:space="preserve">5 series · 12 maps · team 69.4 kills/map
atarax1a 23.2% (16.1/map)
dott1 22.4% (15.6/map)
deco 19.2% (13.3/map)
rzk 18.5% (12.8/map)
Hezz 13.7% (11.4/map)
pino 3.0% (12.5/map) (sub)</t>
  </si>
  <si>
    <t xml:space="preserve">5 series · 12 maps · team 65.9 kills/map
superex 22.8% (15.0/map)
BUSAN 16.7% (13.2/map)
Lucasye 16.4% (10.8/map)
KvNs 14.7% (19.3/map)
toto 14.7% (11.6/map)
Rivo 6.7% (13.2/map) (sub)
aidy y 2.8% (11.0/map) (sub)
frG 2.8% (11.0/map) (sub)
guztt 2.5% (10.0/map) (sub)</t>
  </si>
  <si>
    <t xml:space="preserve">0 - 2  Isurus vs Procyon
0 - 2  Isurus vs ex-Keyd Stars
1 - 0  Isurus vs MEIA NOITE
0 - 2  Isurus vs Procyon
1 - 2  Isurus vs Grêmio</t>
  </si>
  <si>
    <t xml:space="preserve">2 - 1  Hacha vs DAMAJUANA
2 - 1  Hacha vs A NATA
0 - 1  Hacha vs LOS NINOS
2 - 0  Hacha vs Martians
0 - 2  Hacha vs Procyon</t>
  </si>
  <si>
    <t xml:space="preserve">First ban: Anubis×3, Mirage×1   First pick: Inferno×2, Dust2×1
9th of Octob  Isurus vs Procyon:  opp ban Cache · us ban Anubis · opp pick Inferno · us pick Dust2 · opp ban Mirage · us ban Ancient · left Nuke
8th of Octob  Isurus vs ex-Keyd Stars:  us ban Anubis · opp ban Cache · us pick Inferno · opp pick Ancient · us ban Mirage · opp ban Nuke · left Dust2
2nd of Octob  Isurus vs Procyon:  us ban Anubis · opp ban Cache · us pick Inferno · opp pick Ancient · us ban Nuke · opp ban Mirage · left Dust2
23rd of Sept  Isurus vs Grêmio:  opp ban Anubis · us ban Mirage · opp pick Inferno · us pick Cache · opp ban Nuke · us ban Ancient · left Dust2</t>
  </si>
  <si>
    <t xml:space="preserve">First ban: Anubis×2, Cache×1   First pick: Ancient×2, Dust2×2
21st of Octo  Hacha vs DAMAJUANA:  us ban Cache · opp ban Dust2 · us pick Ancient · opp pick Inferno · us ban Anubis · opp ban Mirage · left Nuke
20th of Octo  Hacha vs A NATA:  opp ban Cache · us ban Anubis · opp pick Ancient · us pick Dust2 · opp ban Nuke · us ban Inferno · left Mirage
15th of Octo  Hacha vs Martians:  us ban Anubis · opp ban Nuke · us pick Dust2 · opp pick Mirage · us ban Inferno · opp ban Cache · left Ancient
13th of Octo  Hacha vs Procyon:  opp ban Cache · us ban Inferno · opp pick Anubis · us pick Ancient · opp ban Dust2 · us ban Mirage · left Nuke</t>
  </si>
  <si>
    <t xml:space="preserve">A maps</t>
  </si>
  <si>
    <t xml:space="preserve">A W-L</t>
  </si>
  <si>
    <t xml:space="preserve">A avg ±</t>
  </si>
  <si>
    <t xml:space="preserve">A CT %</t>
  </si>
  <si>
    <t xml:space="preserve">A T %</t>
  </si>
  <si>
    <t xml:space="preserve">A pistol</t>
  </si>
  <si>
    <t xml:space="preserve">B maps</t>
  </si>
  <si>
    <t xml:space="preserve">B W-L</t>
  </si>
  <si>
    <t xml:space="preserve">B avg ±</t>
  </si>
  <si>
    <t xml:space="preserve">B CT %</t>
  </si>
  <si>
    <t xml:space="preserve">B T %</t>
  </si>
  <si>
    <t xml:space="preserve">B pistol</t>
  </si>
  <si>
    <t xml:space="preserve">Inferno</t>
  </si>
  <si>
    <t xml:space="preserve">26%</t>
  </si>
  <si>
    <t xml:space="preserve">6-10</t>
  </si>
  <si>
    <t xml:space="preserve">-0.8</t>
  </si>
  <si>
    <t xml:space="preserve">43.5%</t>
  </si>
  <si>
    <t xml:space="preserve">53.4%</t>
  </si>
  <si>
    <t xml:space="preserve">12/32</t>
  </si>
  <si>
    <t xml:space="preserve">0-1</t>
  </si>
  <si>
    <t xml:space="preserve">-3.0</t>
  </si>
  <si>
    <t xml:space="preserve">25.0%</t>
  </si>
  <si>
    <t xml:space="preserve">63.6%</t>
  </si>
  <si>
    <t xml:space="preserve">1/2</t>
  </si>
  <si>
    <t xml:space="preserve">6% | 28% | 31% | 29% | 7%</t>
  </si>
  <si>
    <t xml:space="preserve">22.5</t>
  </si>
  <si>
    <t xml:space="preserve">Dust2</t>
  </si>
  <si>
    <t xml:space="preserve">9-5</t>
  </si>
  <si>
    <t xml:space="preserve">+1.2</t>
  </si>
  <si>
    <t xml:space="preserve">54.4%</t>
  </si>
  <si>
    <t xml:space="preserve">51.6%</t>
  </si>
  <si>
    <t xml:space="preserve">15/28</t>
  </si>
  <si>
    <t xml:space="preserve">1-1</t>
  </si>
  <si>
    <t xml:space="preserve">+0.0</t>
  </si>
  <si>
    <t xml:space="preserve">44.4%</t>
  </si>
  <si>
    <t xml:space="preserve">54.2%</t>
  </si>
  <si>
    <t xml:space="preserve">3/4</t>
  </si>
  <si>
    <t xml:space="preserve">Ancient</t>
  </si>
  <si>
    <t xml:space="preserve">20%</t>
  </si>
  <si>
    <t xml:space="preserve">2-8</t>
  </si>
  <si>
    <t xml:space="preserve">-4.2</t>
  </si>
  <si>
    <t xml:space="preserve">44.2%</t>
  </si>
  <si>
    <t xml:space="preserve">32.9%</t>
  </si>
  <si>
    <t xml:space="preserve">6/20</t>
  </si>
  <si>
    <t xml:space="preserve">2-1</t>
  </si>
  <si>
    <t xml:space="preserve">52.4%</t>
  </si>
  <si>
    <t xml:space="preserve">48.6%</t>
  </si>
  <si>
    <t xml:space="preserve">4/6</t>
  </si>
  <si>
    <t xml:space="preserve">3% | 17% | 28% | 40% | 12%</t>
  </si>
  <si>
    <t xml:space="preserve">22.2</t>
  </si>
  <si>
    <t xml:space="preserve">Anubis</t>
  </si>
  <si>
    <t xml:space="preserve">-11.0</t>
  </si>
  <si>
    <t xml:space="preserve">0.0%</t>
  </si>
  <si>
    <t xml:space="preserve">16.7%</t>
  </si>
  <si>
    <t xml:space="preserve">0/2</t>
  </si>
  <si>
    <t xml:space="preserve">9% | 35% | 30% | 23% | 4%</t>
  </si>
  <si>
    <t xml:space="preserve">22.4</t>
  </si>
  <si>
    <t xml:space="preserve">Cache</t>
  </si>
  <si>
    <t xml:space="preserve">6-2</t>
  </si>
  <si>
    <t xml:space="preserve">+1.4</t>
  </si>
  <si>
    <t xml:space="preserve">69.6%</t>
  </si>
  <si>
    <t xml:space="preserve">39.6%</t>
  </si>
  <si>
    <t xml:space="preserve">7/16</t>
  </si>
  <si>
    <t xml:space="preserve">Mirage</t>
  </si>
  <si>
    <t xml:space="preserve">1-2</t>
  </si>
  <si>
    <t xml:space="preserve">-1.7</t>
  </si>
  <si>
    <t xml:space="preserve">43.3%</t>
  </si>
  <si>
    <t xml:space="preserve">48.1%</t>
  </si>
  <si>
    <t xml:space="preserve">3/6</t>
  </si>
  <si>
    <t xml:space="preserve">2-0</t>
  </si>
  <si>
    <t xml:space="preserve">+6.5</t>
  </si>
  <si>
    <t xml:space="preserve">56.0%</t>
  </si>
  <si>
    <t xml:space="preserve">75.0%</t>
  </si>
  <si>
    <t xml:space="preserve">4% | 21% | 29% | 36% | 10%</t>
  </si>
  <si>
    <t xml:space="preserve">Nuke</t>
  </si>
  <si>
    <t xml:space="preserve">1-4</t>
  </si>
  <si>
    <t xml:space="preserve">42.2%</t>
  </si>
  <si>
    <t xml:space="preserve">54.8%</t>
  </si>
  <si>
    <t xml:space="preserve">6/10</t>
  </si>
  <si>
    <t xml:space="preserve">1-0</t>
  </si>
  <si>
    <t xml:space="preserve">+5.0</t>
  </si>
  <si>
    <t xml:space="preserve">50.0%</t>
  </si>
  <si>
    <t xml:space="preserve">77.8%</t>
  </si>
  <si>
    <t xml:space="preserve">5% | 25% | 30% | 32% | 8%</t>
  </si>
  <si>
    <t xml:space="preserve">CS2 · JJH vs EF   |   13:00 UTC   |   Bo3   |   Win: JJH 52% – EF 48%   |   2-0 27% · 2-1 25% · 1-2 23% · 0-2 25%</t>
  </si>
  <si>
    <t xml:space="preserve">JiJieHao (JJH)</t>
  </si>
  <si>
    <t xml:space="preserve">Eternal Fire (EF)</t>
  </si>
  <si>
    <t xml:space="preserve">HLTV: #44 · VRS: #23</t>
  </si>
  <si>
    <t xml:space="preserve">HLTV: #43 · VRS: #38</t>
  </si>
  <si>
    <t xml:space="preserve">7-3   W W W W L L W W L W</t>
  </si>
  <si>
    <t xml:space="preserve">6-4   L L W W W L W W L W</t>
  </si>
  <si>
    <t xml:space="preserve">+0.7</t>
  </si>
  <si>
    <t xml:space="preserve">37-30 (55%)</t>
  </si>
  <si>
    <t xml:space="preserve">58-39 (60%)</t>
  </si>
  <si>
    <t xml:space="preserve">+5.0 / -5.0</t>
  </si>
  <si>
    <t xml:space="preserve">+5.4 / -4.7</t>
  </si>
  <si>
    <t xml:space="preserve">8 / 5</t>
  </si>
  <si>
    <t xml:space="preserve">12 / 7</t>
  </si>
  <si>
    <t xml:space="preserve">54.1% (105-89) · R2 conv 81.9% · R2 break 16.9%</t>
  </si>
  <si>
    <t xml:space="preserve">6 series · 14 maps · team 76.1 kills/map
m1N1 23.9% (18.2/map)
CacaNito 20.8% (15.8/map)
0SAMAS 19.7% (15.0/map)
sinnopsyy 19.2% (14.6/map)
Bibu 16.3% (12.4/map)</t>
  </si>
  <si>
    <t xml:space="preserve">6 series · 16 maps · team 83.6 kills/map
jottAAA 23.2% (19.4/map)
regali 21.3% (17.8/map)
Kvem 20.0% (16.7/map)
soulfly 17.8% (14.9/map)
MisteM 17.7% (14.8/map)</t>
  </si>
  <si>
    <t xml:space="preserve">2 - 0  JiJieHao vs BC.Game
2 - 0  JiJieHao vs Nexus
0 - 2  JiJieHao vs SINNERS
2 - 1  JiJieHao vs FaZe
2 - 1  JiJieHao vs Iberian Soul</t>
  </si>
  <si>
    <t xml:space="preserve">1 - 2  Eternal Fire vs SINNERS
2 - 1  Eternal Fire vs BC.Game
2 - 1  Eternal Fire vs BASEMENT BOYS
2 - 0  Eternal Fire vs INFINITE
0 - 2  Eternal Fire vs Nuclear TigeRES</t>
  </si>
  <si>
    <t xml:space="preserve">First ban: Nuke×4, Cache×1   First pick: Mirage×3, Ancient×1
22nd of Octo  JiJieHao vs BC.Game:  opp ban Anubis · us ban Nuke · opp pick Dust2 · us pick Ancient · us ban Cache · opp ban Inferno · left Mirage
22nd of Octo  JiJieHao vs Nexus:  opp ban Inferno · us ban Cache · opp pick Dust2 · us pick Mirage · us ban Anubis · opp ban Nuke · left Ancient
21st of Octo  JiJieHao vs SINNERS:  opp ban Anubis · us ban Nuke · opp pick Dust2 · us pick Inferno · us ban Ancient · opp ban Cache · left Mirage
21st of Octo  JiJieHao vs FaZe:  us ban Nuke · opp ban Inferno · us pick Mirage · opp pick Dust2 · opp ban Ancient · us ban Cache · left Anubis
20th of Octo  JiJieHao vs Iberian Soul:  opp ban Dust2 · us ban Nuke · opp pick Inferno · us pick Mirage · us ban Anubis · opp ban Cache · left Ancient</t>
  </si>
  <si>
    <t xml:space="preserve">First ban: Nuke×5   First pick: Cache×2, Dust2×2
22nd of Octo  Eternal Fire vs SINNERS:  opp ban Anubis · us ban Nuke · opp pick Mirage · us pick Cache · us ban Inferno · opp ban Dust2 · left Ancient
21st of Octo  Eternal Fire vs BC.Game:  opp ban Anubis · us ban Nuke · opp pick Mirage · us pick Ancient · us ban Dust2 · opp ban Inferno · left Cache
21st of Octo  Eternal Fire vs BASEMENT BOYS:  opp ban Inferno · us ban Nuke · opp pick Mirage · us pick Cache · us ban Dust2 · opp ban Anubis · left Ancient
20th of Octo  Eternal Fire vs INFINITE:  opp ban Anubis · us ban Nuke · opp pick Cache · us pick Dust2 · us ban Inferno · opp ban Mirage · left Ancient
17th of Octo  Eternal Fire vs Nuclear TigeRES:  opp ban Cache · us ban Nuke · opp pick Anubis · us pick Dust2 · us ban Inferno · opp ban Mirage · left Ancient</t>
  </si>
  <si>
    <t xml:space="preserve">12-4</t>
  </si>
  <si>
    <t xml:space="preserve">+3.2</t>
  </si>
  <si>
    <t xml:space="preserve">59.0%</t>
  </si>
  <si>
    <t xml:space="preserve">57.0%</t>
  </si>
  <si>
    <t xml:space="preserve">18/32</t>
  </si>
  <si>
    <t xml:space="preserve">7-10</t>
  </si>
  <si>
    <t xml:space="preserve">-1.4</t>
  </si>
  <si>
    <t xml:space="preserve">48.5%</t>
  </si>
  <si>
    <t xml:space="preserve">45.3%</t>
  </si>
  <si>
    <t xml:space="preserve">17/34</t>
  </si>
  <si>
    <t xml:space="preserve">13% | 42% | 27% | 16% | 2%</t>
  </si>
  <si>
    <t xml:space="preserve">19%</t>
  </si>
  <si>
    <t xml:space="preserve">4-6</t>
  </si>
  <si>
    <t xml:space="preserve">-1.2</t>
  </si>
  <si>
    <t xml:space="preserve">47.3%</t>
  </si>
  <si>
    <t xml:space="preserve">47.0%</t>
  </si>
  <si>
    <t xml:space="preserve">7/20</t>
  </si>
  <si>
    <t xml:space="preserve">13-8</t>
  </si>
  <si>
    <t xml:space="preserve">+1.6</t>
  </si>
  <si>
    <t xml:space="preserve">57.6%</t>
  </si>
  <si>
    <t xml:space="preserve">49.4%</t>
  </si>
  <si>
    <t xml:space="preserve">24/42</t>
  </si>
  <si>
    <t xml:space="preserve">4% | 21% | 29% | 37% | 10%</t>
  </si>
  <si>
    <t xml:space="preserve">5-8</t>
  </si>
  <si>
    <t xml:space="preserve">-1.1</t>
  </si>
  <si>
    <t xml:space="preserve">49.0%</t>
  </si>
  <si>
    <t xml:space="preserve">46.3%</t>
  </si>
  <si>
    <t xml:space="preserve">13/26</t>
  </si>
  <si>
    <t xml:space="preserve">12-5</t>
  </si>
  <si>
    <t xml:space="preserve">+2.6</t>
  </si>
  <si>
    <t xml:space="preserve">58.6%</t>
  </si>
  <si>
    <t xml:space="preserve">52.9%</t>
  </si>
  <si>
    <t xml:space="preserve">18/34</t>
  </si>
  <si>
    <t xml:space="preserve">3% | 19% | 28% | 39% | 11%</t>
  </si>
  <si>
    <t xml:space="preserve">22.3</t>
  </si>
  <si>
    <t xml:space="preserve">6-3</t>
  </si>
  <si>
    <t xml:space="preserve">55.1%</t>
  </si>
  <si>
    <t xml:space="preserve">50.8%</t>
  </si>
  <si>
    <t xml:space="preserve">6/18</t>
  </si>
  <si>
    <t xml:space="preserve">13-6</t>
  </si>
  <si>
    <t xml:space="preserve">59.3%</t>
  </si>
  <si>
    <t xml:space="preserve">52.6%</t>
  </si>
  <si>
    <t xml:space="preserve">20/38</t>
  </si>
  <si>
    <t xml:space="preserve">4% | 24% | 30% | 34% | 8%</t>
  </si>
  <si>
    <t xml:space="preserve">7-4</t>
  </si>
  <si>
    <t xml:space="preserve">+0.2</t>
  </si>
  <si>
    <t xml:space="preserve">53.7%</t>
  </si>
  <si>
    <t xml:space="preserve">47.1%</t>
  </si>
  <si>
    <t xml:space="preserve">11/22</t>
  </si>
  <si>
    <t xml:space="preserve">7-5</t>
  </si>
  <si>
    <t xml:space="preserve">45.5%</t>
  </si>
  <si>
    <t xml:space="preserve">55.0%</t>
  </si>
  <si>
    <t xml:space="preserve">12/24</t>
  </si>
  <si>
    <t xml:space="preserve">6% | 29% | 30% | 29% | 6%</t>
  </si>
  <si>
    <t xml:space="preserve">3-5</t>
  </si>
  <si>
    <t xml:space="preserve">53.9%</t>
  </si>
  <si>
    <t xml:space="preserve">42.0%</t>
  </si>
  <si>
    <t xml:space="preserve">10/16</t>
  </si>
  <si>
    <t xml:space="preserve">6-5</t>
  </si>
  <si>
    <t xml:space="preserve">+2.4</t>
  </si>
  <si>
    <t xml:space="preserve">55.6%</t>
  </si>
  <si>
    <t xml:space="preserve">57.7%</t>
  </si>
  <si>
    <t xml:space="preserve">14/22</t>
  </si>
  <si>
    <t xml:space="preserve">3% | 20% | 29% | 37% | 10%</t>
  </si>
  <si>
    <t xml:space="preserve">CS2 · BORRA vs QUIN   |   16:00 UTC   |   Bo3   |   Win: BORRA 61% – QUIN 39%</t>
  </si>
  <si>
    <t xml:space="preserve">BORRACHEIROS (BORRA)</t>
  </si>
  <si>
    <t xml:space="preserve">QUINTESSENCIA (QUIN)</t>
  </si>
  <si>
    <t xml:space="preserve">HLTV: #176 · VRS: #194</t>
  </si>
  <si>
    <t xml:space="preserve">HLTV: #196 · VRS: #233</t>
  </si>
  <si>
    <t xml:space="preserve">6-4   L L W W W W W L W L</t>
  </si>
  <si>
    <t xml:space="preserve">6-4   W W L L L W W W W L</t>
  </si>
  <si>
    <t xml:space="preserve">+2.0</t>
  </si>
  <si>
    <t xml:space="preserve">26-30 (46%)</t>
  </si>
  <si>
    <t xml:space="preserve">27-18 (60%)</t>
  </si>
  <si>
    <t xml:space="preserve">+6.4 / -5.0</t>
  </si>
  <si>
    <t xml:space="preserve">+5.3 / -5.9</t>
  </si>
  <si>
    <t xml:space="preserve">11 / 4</t>
  </si>
  <si>
    <t xml:space="preserve">5 / 5</t>
  </si>
  <si>
    <t xml:space="preserve">6 series · 14 maps · team 71.5 kills/map
fl4sh 22.5% (16.1/map)
Lacerda 20.3% (14.5/map)
zock9 19.4% (13.9/map)
trindade 18.5% (13.2/map)
k9izer 13.3% (14.8/map)
neozix 6.1% (12.2/map) (sub)</t>
  </si>
  <si>
    <t xml:space="preserve">6 series · 14 maps · team 67.2 kills/map
prozinszsz 23.7% (15.9/map)
lipshawty 20.0% (13.4/map)
cz1k4 19.2% (12.9/map)
edv 17.7% (15.2/map)
n0page 15.1% (10.1/map)
mello 4.3% (13.3/map) (sub)</t>
  </si>
  <si>
    <t xml:space="preserve">0 - 2  BORRACHEIROS vs Bounty Hunters
2 - 0  BORRACHEIROS vs Procyon
2 - 0  BORRACHEIROS vs Grêmio
2 - 1  BORRACHEIROS vs METANOIA Wolves
1 - 2  BORRACHEIROS vs Turma do Pagode</t>
  </si>
  <si>
    <t xml:space="preserve">2 - 1  QUINTESSÊNCIA vs LOS NINOS
0 - 2  QUINTESSÊNCIA vs RED Canids Academy
2 - 0  QUINTESSÊNCIA vs DAMAJUANA
2 - 0  QUINTESSÊNCIA vs Martians
1 - 2  QUINTESSÊNCIA vs MEIA NOITE</t>
  </si>
  <si>
    <t xml:space="preserve">First ban: Cache×4, Nuke×1   First pick: Mirage×3, Anubis×2
11th of Octo  BORRACHEIROS vs Bounty Hunters:  us ban Cache · opp ban Inferno · us pick Mirage · opp pick Ancient · us ban Nuke · opp ban Anubis · left Dust2
10th of Octo  BORRACHEIROS vs Procyon:  opp ban Cache · us ban Nuke · opp pick Inferno · us pick Mirage · opp ban Ancient · us ban Anubis · left Dust2
9th of Octob  BORRACHEIROS vs Grêmio:  opp ban Anubis · us ban Cache · opp pick Inferno · us pick Mirage · opp ban Dust2 · us ban Nuke · left Ancient
8th of Octob  BORRACHEIROS vs METANOIA Wolves:  opp ban Mirage · us ban Cache · opp pick Ancient · us pick Anubis · opp ban Inferno · us ban Nuke · left Dust2
7th of Octob  BORRACHEIROS vs Turma do Pagode:  us ban Cache · opp ban Mirage · us pick Anubis · opp pick Dust2 · us ban Nuke · opp ban Inferno · left Ancient</t>
  </si>
  <si>
    <t xml:space="preserve">First ban: Nuke×5   First pick: Mirage×2, Dust2×2
20th of Octo  QUINTESSÊNCIA vs LOS NINOS:  opp ban Cache · us ban Nuke · opp pick Ancient · us pick Mirage · opp ban Anubis · us ban Inferno · left Dust2
18th of Octo  QUINTESSÊNCIA vs RED Canids Academy:  us ban Nuke · opp ban Inferno · us pick Dust2 · opp pick Ancient · us ban Anubis · opp ban Cache · left Mirage
16th of Octo  QUINTESSÊNCIA vs DAMAJUANA:  opp ban Dust2 · us ban Nuke · opp pick Anubis · us pick Mirage · opp ban Ancient · us ban Inferno · left Cache
13th of Octo  QUINTESSÊNCIA vs Martians:  us ban Nuke · opp ban Cache · us pick Dust2 · opp pick Ancient · us ban Anubis · opp ban Inferno · left Mirage
8th of Octob  QUINTESSÊNCIA vs MEIA NOITE:  us ban Nuke · opp ban Cache · us pick Inferno · opp pick Ancient · us ban Anubis · opp ban Mirage · left Dust2</t>
  </si>
  <si>
    <t xml:space="preserve">6-7</t>
  </si>
  <si>
    <t xml:space="preserve">-0.2</t>
  </si>
  <si>
    <t xml:space="preserve">57.2%</t>
  </si>
  <si>
    <t xml:space="preserve">42.4%</t>
  </si>
  <si>
    <t xml:space="preserve">11/26</t>
  </si>
  <si>
    <t xml:space="preserve">3-7</t>
  </si>
  <si>
    <t xml:space="preserve">-2.1</t>
  </si>
  <si>
    <t xml:space="preserve">48.3%</t>
  </si>
  <si>
    <t xml:space="preserve">39.8%</t>
  </si>
  <si>
    <t xml:space="preserve">5/20</t>
  </si>
  <si>
    <t xml:space="preserve">9% | 34% | 30% | 23% | 4%</t>
  </si>
  <si>
    <t xml:space="preserve">24%</t>
  </si>
  <si>
    <t xml:space="preserve">+0.6</t>
  </si>
  <si>
    <t xml:space="preserve">56.7%</t>
  </si>
  <si>
    <t xml:space="preserve">47.4%</t>
  </si>
  <si>
    <t xml:space="preserve">+2.3</t>
  </si>
  <si>
    <t xml:space="preserve">53.2%</t>
  </si>
  <si>
    <t xml:space="preserve">58.7%</t>
  </si>
  <si>
    <t xml:space="preserve">10/18</t>
  </si>
  <si>
    <t xml:space="preserve">5% | 26% | 30% | 32% | 7%</t>
  </si>
  <si>
    <t xml:space="preserve">21%</t>
  </si>
  <si>
    <t xml:space="preserve">4-5</t>
  </si>
  <si>
    <t xml:space="preserve">46.1%</t>
  </si>
  <si>
    <t xml:space="preserve">46.9%</t>
  </si>
  <si>
    <t xml:space="preserve">9/18</t>
  </si>
  <si>
    <t xml:space="preserve">6-4</t>
  </si>
  <si>
    <t xml:space="preserve">54.0%</t>
  </si>
  <si>
    <t xml:space="preserve">10/20</t>
  </si>
  <si>
    <t xml:space="preserve">4% | 21% | 29% | 36% | 9%</t>
  </si>
  <si>
    <t xml:space="preserve">5-4</t>
  </si>
  <si>
    <t xml:space="preserve">11/18</t>
  </si>
  <si>
    <t xml:space="preserve">-1.5</t>
  </si>
  <si>
    <t xml:space="preserve">29.4%</t>
  </si>
  <si>
    <t xml:space="preserve">60.0%</t>
  </si>
  <si>
    <t xml:space="preserve">1/4</t>
  </si>
  <si>
    <t xml:space="preserve">8% | 34% | 30% | 23% | 4%</t>
  </si>
  <si>
    <t xml:space="preserve">8-1</t>
  </si>
  <si>
    <t xml:space="preserve">57.1%</t>
  </si>
  <si>
    <t xml:space="preserve">4-4</t>
  </si>
  <si>
    <t xml:space="preserve">+1.8</t>
  </si>
  <si>
    <t xml:space="preserve">53.8%</t>
  </si>
  <si>
    <t xml:space="preserve">9/16</t>
  </si>
  <si>
    <t xml:space="preserve">2-2</t>
  </si>
  <si>
    <t xml:space="preserve">44.7%</t>
  </si>
  <si>
    <t xml:space="preserve">3/8</t>
  </si>
  <si>
    <t xml:space="preserve">1-3</t>
  </si>
  <si>
    <t xml:space="preserve">64.0%</t>
  </si>
  <si>
    <t xml:space="preserve">31.4%</t>
  </si>
  <si>
    <t xml:space="preserve">6/8</t>
  </si>
  <si>
    <t xml:space="preserve">+6.0</t>
  </si>
  <si>
    <t xml:space="preserve">58.3%</t>
  </si>
  <si>
    <t xml:space="preserve">2/2</t>
  </si>
  <si>
    <t xml:space="preserve">VAL · TL vs M8.GC   |   18:00 UTC   |   Bo3   |   Win: TL 61% – M8.GC 39%   |   2-0 35% · 2-1 27% · 1-2 19% · 0-2 20%</t>
  </si>
  <si>
    <t xml:space="preserve">Team Liquid Brazil (TL)</t>
  </si>
  <si>
    <t xml:space="preserve">Gentle Mates GC (M8.GC)</t>
  </si>
  <si>
    <t xml:space="preserve">Current Rank 56 Brazil · Rating 1441 · Record 27W 22L</t>
  </si>
  <si>
    <t xml:space="preserve">Current Rank Unranked · Rating N/A · Record N/A</t>
  </si>
  <si>
    <t xml:space="preserve">+5.9 / -6.2</t>
  </si>
  <si>
    <t xml:space="preserve">+6.6 / -5.8</t>
  </si>
  <si>
    <t xml:space="preserve">6 / 4</t>
  </si>
  <si>
    <t xml:space="preserve">8 / 4</t>
  </si>
  <si>
    <t xml:space="preserve">10 series · 28 maps · team 72.9 kills/map
Jelly 24.0% (17.5/map)
Bizerra 21.2% (15.5/map)
Joojina 19.9% (14.5/map)
daiki 18.6% (13.5/map)
isaa 16.4% (11.9/map)</t>
  </si>
  <si>
    <t xml:space="preserve">10 series · 28 maps · team 71.5 kills/map
berryx 25.0% (17.9/map)
Marti 20.6% (14.8/map)
Wens 18.9% (13.5/map)
Nami 18.0% (13.9/map)
tokameite 16.3% (11.7/map)
proxima 1.1% (11.0/map) (sub)</t>
  </si>
  <si>
    <t xml:space="preserve">2026-09-11  Team Liquid Brazil vs Evil Geniuses GC  Sunset:13-3:P,Split:9-13:P,Lotus:14-12:P,Haven:13-1:P
2026-09-09  MIBR GC vs Team Liquid Brazil  Lotus:13-6:P,Summit:11-13:P,Haven:10-13:
2026-08-18  Team Liquid Brazil vs Evil Geniuses GC  Breeze:13-4:,Haven:15-13:
2026-08-11  Team Liquid Brazil vs Evils of Delusion  Lotus:13-1:P,Split:13-6:P
2026-07-15  Team Liquid Brazil vs PEEK  Haven:7-13:P,Lotus:5-13:P</t>
  </si>
  <si>
    <t xml:space="preserve">2026-08-30  Gentle Mates GC vs G2 Gozen  Breeze:11-13:P,Sunset:13-6:P,Haven:5-13:P,Ascent:13-8:P,Lotus:4-13:
2026-08-18  Gentle Mates GC vs SK Nebula  Split:7-13:,Breeze:13-5:,Summit:13-6:
2026-08-16  G2 Gozen vs Gentle Mates GC  Sunset:10-13:,Haven:13-15:,Ascent:13-4:
2026-08-13  FOKUS Sakura vs Gentle Mates GC  Ascent:4-13:,Summit:14-12:,Haven:10-13:
2026-08-06  Gentle Mates GC vs ALTERNATE aTTaX Ruby  Sunset:13-2:,Haven:13-3:</t>
  </si>
  <si>
    <t xml:space="preserve">2026-09-11 vs Evil Geniuses GC: TLV ban Ascent; TLV ban Breeze; TLV pick Sunset; EG.GC pick Split; TLV pick Lotus; EG.GC pick Haven; Summit remains
2026-09-09 vs MIBR GC: TLV ban Ascent; MIBR.GC ban Split; TLV pick Lotus; MIBR.GC pick Summit; TLV ban Breeze; MIBR.GC ban Sunset; Haven remains
2026-08-18 vs Evil Geniuses GC: 
2026-08-11 vs Evils of Delusion: EVIL ban Summit; TLV ban Ascent; EVIL pick Lotus; TLV pick Split; EVIL ban Sunset; TLV ban Breeze; Haven remains
2026-07-15 vs PEEK: PEEK ban Fracture; TLV ban Ascent; PEEK pick Haven; TLV pick Lotus; PEEK ban Pearl; TLV ban Split; Breeze remains</t>
  </si>
  <si>
    <t xml:space="preserve">2026-08-30 vs G2 Gozen: M8GC ban Split; M8GC ban Summit; M8GC pick Breeze; G2G pick Sunset; M8GC pick Haven; G2G pick Ascent; Lotus remains
2026-08-18 vs SK Nebula: 
2026-08-16 vs G2 Gozen: 
2026-08-13 vs FOKUS Sakura: 
2026-08-06 vs ALTERNATE aTTaX Ruby: </t>
  </si>
  <si>
    <t xml:space="preserve">63%</t>
  </si>
  <si>
    <t xml:space="preserve">8% | 32% | 30% | 25% | 5%</t>
  </si>
  <si>
    <t xml:space="preserve">15%</t>
  </si>
  <si>
    <t xml:space="preserve">9% | 35% | 30% | 22% | 4%</t>
  </si>
  <si>
    <t xml:space="preserve">14%</t>
  </si>
  <si>
    <t xml:space="preserve">56%</t>
  </si>
  <si>
    <t xml:space="preserve">77%</t>
  </si>
  <si>
    <t xml:space="preserve">80%</t>
  </si>
  <si>
    <t xml:space="preserve">58%</t>
  </si>
  <si>
    <t xml:space="preserve">60%</t>
  </si>
  <si>
    <t xml:space="preserve">92%</t>
  </si>
  <si>
    <t xml:space="preserve">5% | 25% | 30% | 33% | 8%</t>
  </si>
  <si>
    <t xml:space="preserve">VAL · KRÜ vs Gen.G GC   |   21:00 UTC   |   Bo3   |   Win: KRÜ 66% – Gen.G GC 34%   |   2-0 39% · 2-1 27% · 1-2 17% · 0-2 17%</t>
  </si>
  <si>
    <t xml:space="preserve">KRÜ Blaze (KRÜ)</t>
  </si>
  <si>
    <t xml:space="preserve">Gen.G GC (Gen.G GC)</t>
  </si>
  <si>
    <t xml:space="preserve">Current Rank 17 Latin America South · Rating 1360 · Record 6W 18L</t>
  </si>
  <si>
    <t xml:space="preserve">Unranked · Rating N/A · Record N/A</t>
  </si>
  <si>
    <t xml:space="preserve">17-8</t>
  </si>
  <si>
    <t xml:space="preserve">21-10</t>
  </si>
  <si>
    <t xml:space="preserve">+6.2 / -6.1</t>
  </si>
  <si>
    <t xml:space="preserve">+6.3 / -5.6</t>
  </si>
  <si>
    <t xml:space="preserve">4 / 2</t>
  </si>
  <si>
    <t xml:space="preserve">8 / 3</t>
  </si>
  <si>
    <t xml:space="preserve">10 series · 25 maps · team 72.2 kills/map
none 24.1% (17.4/map)
tok1o 23.4% (16.9/map)
antG 19.5% (14.1/map)
micaela 17.1% (12.4/map)
ponix 15.9% (11.5/map)</t>
  </si>
  <si>
    <t xml:space="preserve">10 series · 31 maps · team 77.1 kills/map
DaNa 23.6% (18.2/map)
miNt 22.9% (17.6/map)
332 22.1% (17.0/map)
YamzzI 15.9% (12.3/map)
h4ste 15.6% (12.0/map)</t>
  </si>
  <si>
    <t xml:space="preserve">2026-09-13  Akave Esports GC vs KRÜ BLAZE  Abyss:7-13:P,Haven:13-11:P,Sunset:1-13:P,Ascent:11-13:P
2026-08-24  KRÜ BLAZE vs Looking For Laburo  Sunset:13-9:P,Ascent:13-2:P,Breeze:13-6:P
2026-08-11  KRÜ BLAZE vs Looking For Laburo  Sunset:13-4:P,Haven:9-13:P,Breeze:13-6:
2026-08-03  KRÜ BLAZE vs NPC TEAM  Ascent:13-6:P,Breeze:13-8:P
2026-07-13  KRÜ BLAZE vs Looking For Laburo  Pearl:13-6:P,Split:13-9:P,Breeze:13-5:P</t>
  </si>
  <si>
    <t xml:space="preserve">2026-09-20  FENNEL GC vs Gen.G GC  Split:9-13:P,Summit:13-9:P,Lotus:13-8:P,Ascent:9-13:P,Sunset:4-13:
2026-09-19  Team Falcons Vega vs Gen.G GC  Lotus:8-13:P,Split:13-4:P,Sunset:13-10:P,Haven:9-13:P,Ascent:5-13:
2026-09-18  FULL SENSE SISU vs Gen.G GC  Haven:17-15:P,Ascent:8-13:P,Lotus:5-13:
2026-09-17  Gen.G GC vs swaglord9000  Haven:13-7:P,Lotus:8-13:P,Split:13-5:
2026-09-15  Gen.G GC vs FENNEL GC  Sunset:13-11:P,Ascent:6-13:P,Lotus:5-13:</t>
  </si>
  <si>
    <t xml:space="preserve">2026-09-13 vs Akave Esports GC: AKV.GC ban Split; KRUB ban Summit; AKV.GC pick Abyss; KRUB pick Haven; AKV.GC pick Sunset; KRUB pick Ascent; Lotus remains
2026-08-24 vs Looking For Laburo: KRUB ban Summit; KRUB ban Lotus; KRUB pick Sunset; LFL pick Ascent; KRUB pick Breeze; LFL pick Haven; Split remains
2026-08-11 vs Looking For Laburo: LFL ban Summit; KRUB ban Lotus; LFL pick Sunset; KRUB pick Haven; LFL ban Split; KRUB ban Ascent; Breeze remains
2026-08-03 vs NPC TEAM: NPC ban Sunset; KRUB ban Summit; NPC pick Ascent; KRUB pick Breeze; NPC ban Haven; KRUB ban Lotus; Split remains
2026-07-13 vs Looking For Laburo: KRUB ban Fracture; KRUB ban Lotus; KRUB pick Pearl; LFL pick Split; KRUB pick Breeze; LFL pick Ascent; Haven remains</t>
  </si>
  <si>
    <t xml:space="preserve">2026-09-20 vs FENNEL GC: FLGC ban Haven; FLGC ban Abyss; GEN.GC pick Split; FLGC pick Summit; GEN.GC pick Lotus; FLGC pick Ascent; Sunset remains
2026-09-19 vs Team Falcons Vega: FLCV ban Summit; GEN.GC ban Abyss; FLCV pick Lotus; GEN.GC pick Split; FLCV pick Sunset; GEN.GC pick Haven; Ascent remains
2026-09-18 vs FULL SENSE SISU: GEN.GC ban Abyss; FSU ban Split; GEN.GC pick Haven; FSU pick Ascent; GEN.GC ban Sunset; FSU ban Summit; Lotus remains
2026-09-17 vs swaglord9000: GEN.GC ban Abyss; SL9 ban Sunset; GEN.GC pick Haven; SL9 pick Lotus; GEN.GC ban Ascent; SL9 ban Summit; Split remains
2026-09-15 vs FENNEL GC: FLGC ban Haven; GEN.GC ban Abyss; FLGC pick Sunset; GEN.GC pick Ascent; FLGC ban Split; GEN.GC ban Summit; Lotus remains</t>
  </si>
  <si>
    <t xml:space="preserve">16%</t>
  </si>
  <si>
    <t xml:space="preserve">32%</t>
  </si>
  <si>
    <t xml:space="preserve">57%</t>
  </si>
  <si>
    <t xml:space="preserve">38%</t>
  </si>
  <si>
    <t xml:space="preserve">86%</t>
  </si>
  <si>
    <t xml:space="preserve">9% | 36% | 29% | 21% | 4%</t>
  </si>
  <si>
    <t xml:space="preserve">30%</t>
  </si>
  <si>
    <t xml:space="preserve">7% | 31% | 30% | 27% | 5%</t>
  </si>
  <si>
    <t xml:space="preserve">76%</t>
  </si>
  <si>
    <t xml:space="preserve">CS2 · ALKA vs LN   |   22:00 UTC   |   Bo3   |   Win: ALKA 71% – LN 29%</t>
  </si>
  <si>
    <t xml:space="preserve">ALKA (ALKA)</t>
  </si>
  <si>
    <t xml:space="preserve">Los Ninos (LN)</t>
  </si>
  <si>
    <t xml:space="preserve">HLTV: #152 · VRS: #177</t>
  </si>
  <si>
    <t xml:space="preserve">HLTV: UnrankedVRS: #365</t>
  </si>
  <si>
    <t xml:space="preserve">4-6   L L L L W W L L W W</t>
  </si>
  <si>
    <t xml:space="preserve">5-5   W W L L W L L W W L</t>
  </si>
  <si>
    <t xml:space="preserve">-1.3</t>
  </si>
  <si>
    <t xml:space="preserve">43-38 (53%)</t>
  </si>
  <si>
    <t xml:space="preserve">6-5 (55%)</t>
  </si>
  <si>
    <t xml:space="preserve">+5.0 / -5.9</t>
  </si>
  <si>
    <t xml:space="preserve">+4.3 / -7.8</t>
  </si>
  <si>
    <t xml:space="preserve">6 / 10</t>
  </si>
  <si>
    <t xml:space="preserve">0 / 3</t>
  </si>
  <si>
    <t xml:space="preserve">47.5% (77-85) · R2 conv 72.7% · R2 break 21.2%</t>
  </si>
  <si>
    <t xml:space="preserve">6 series · 13 maps · team 65.8 kills/map
vinaabEAST 23.4% (15.4/map)
proSHOW 21.6% (14.2/map)
cerolzin 19.5% (12.8/map)
puni 18.0% (11.8/map)
bnc 17.4% (11.5/map)</t>
  </si>
  <si>
    <t xml:space="preserve">4 series · 11 maps · team 67.3 kills/map
PremiuM 22.0% (14.8/map)
aNgelo 20.5% (13.8/map)
protado 20.3% (13.6/map)
space 19.1% (12.8/map)
Reix 18.1% (12.2/map)</t>
  </si>
  <si>
    <t xml:space="preserve">0 - 2  ALKA vs MEIA NOITE
0 - 2  ALKA vs Bounty Hunters
2 - 0  ALKA vs BESTIA Academy
1 - 2  ALKA vs ex-Keyd Stars
2 - 0  ALKA vs MEIA NOITE</t>
  </si>
  <si>
    <t xml:space="preserve">2 - 0  LOS NINOS vs Zetta
1 - 2  LOS NINOS vs QUINTESSÊNCIA
1 - 0  LOS NINOS vs Hacha
1 - 2  LOS NINOS vs Procyon
2 - 1  LOS NINOS vs Grêmio</t>
  </si>
  <si>
    <t xml:space="preserve">First ban: Inferno×2, Anubis×2   First pick: Dust2×4, Anubis×1
9th of Octob  ALKA vs MEIA NOITE:  opp ban Anubis · us ban Inferno · opp pick Ancient · us pick Dust2 · opp ban Cache · us ban Mirage · left Nuke
8th of Octob  ALKA vs Bounty Hunters:  us ban Cache · opp ban Inferno · us pick Dust2 · opp pick Nuke · us ban Mirage · opp ban Anubis · left Ancient
7th of Octob  ALKA vs BESTIA Academy:  opp ban Ancient · us ban Inferno · opp pick Nuke · us pick Anubis · opp ban Mirage · us ban Cache · left Dust2
1st of Octob  ALKA vs ex-Keyd Stars:  us ban Anubis · opp ban Cache · us pick Dust2 · opp pick Ancient · us ban Inferno · opp ban Nuke · left Mirage
30th of Sept  ALKA vs MEIA NOITE:  opp ban Inferno · us ban Anubis · opp pick Nuke · us pick Dust2 · opp ban Cache · us ban Mirage · left Ancient</t>
  </si>
  <si>
    <t xml:space="preserve">First ban: Cache×3, Anubis×1   First pick: Mirage×2, Inferno×1
22nd of Octo  LOS NINOS vs Zetta:  opp ban Nuke · us ban Cache · opp pick Ancient · us pick Inferno · opp ban Dust2 · us ban Anubis · left Mirage
20th of Octo  LOS NINOS vs QUINTESSÊNCIA:  us ban Cache · opp ban Nuke · us pick Ancient · opp pick Mirage · us ban Anubis · opp ban Inferno · left Dust2
16th of Octo  LOS NINOS vs Procyon:  opp ban Cache · us ban Anubis · opp pick Inferno · us pick Mirage · opp ban Ancient · us ban Nuke · left Dust2
13th of Octo  LOS NINOS vs Grêmio:  us ban Cache · opp ban Anubis · us pick Mirage · opp pick Inferno · us ban Nuke · opp ban Dust2 · left Ancient</t>
  </si>
  <si>
    <t xml:space="preserve">16-9</t>
  </si>
  <si>
    <t xml:space="preserve">+1.1</t>
  </si>
  <si>
    <t xml:space="preserve">54.1%</t>
  </si>
  <si>
    <t xml:space="preserve">51.5%</t>
  </si>
  <si>
    <t xml:space="preserve">23/50</t>
  </si>
  <si>
    <t xml:space="preserve">0-2</t>
  </si>
  <si>
    <t xml:space="preserve">-6.0</t>
  </si>
  <si>
    <t xml:space="preserve">41.7%</t>
  </si>
  <si>
    <t xml:space="preserve">11% | 38% | 29% | 19% | 3%</t>
  </si>
  <si>
    <t xml:space="preserve">7-13</t>
  </si>
  <si>
    <t xml:space="preserve">-1.8</t>
  </si>
  <si>
    <t xml:space="preserve">50.2%</t>
  </si>
  <si>
    <t xml:space="preserve">42.3%</t>
  </si>
  <si>
    <t xml:space="preserve">19/40</t>
  </si>
  <si>
    <t xml:space="preserve">3-0</t>
  </si>
  <si>
    <t xml:space="preserve">+4.3</t>
  </si>
  <si>
    <t xml:space="preserve">3% | 19% | 29% | 39% | 11%</t>
  </si>
  <si>
    <t xml:space="preserve">+0.3</t>
  </si>
  <si>
    <t xml:space="preserve">61.2%</t>
  </si>
  <si>
    <t xml:space="preserve">37.1%</t>
  </si>
  <si>
    <t xml:space="preserve">9/20</t>
  </si>
  <si>
    <t xml:space="preserve">-5.0</t>
  </si>
  <si>
    <t xml:space="preserve">37.5%</t>
  </si>
  <si>
    <t xml:space="preserve">35.5%</t>
  </si>
  <si>
    <t xml:space="preserve">1/6</t>
  </si>
  <si>
    <t xml:space="preserve">+4.0</t>
  </si>
  <si>
    <t xml:space="preserve">80.0%</t>
  </si>
  <si>
    <t xml:space="preserve">3-3</t>
  </si>
  <si>
    <t xml:space="preserve">-0.3</t>
  </si>
  <si>
    <t xml:space="preserve">49.3%</t>
  </si>
  <si>
    <t xml:space="preserve">6/12</t>
  </si>
  <si>
    <t xml:space="preserve">-0.9</t>
  </si>
  <si>
    <t xml:space="preserve">33.3%</t>
  </si>
  <si>
    <t xml:space="preserve">66.7%</t>
  </si>
  <si>
    <t xml:space="preserve">5-5</t>
  </si>
  <si>
    <t xml:space="preserve">63.0%</t>
  </si>
  <si>
    <t xml:space="preserve">36.0%</t>
  </si>
  <si>
    <t xml:space="preserve">Board</t>
  </si>
  <si>
    <t xml:space="preserve">Match:</t>
  </si>
  <si>
    <t xml:space="preserve">CS2 · JJH vs EF</t>
  </si>
  <si>
    <t xml:space="preserve">Teams</t>
  </si>
  <si>
    <t xml:space="preserve">Start (CT)</t>
  </si>
  <si>
    <t xml:space="preserve">Bo</t>
  </si>
  <si>
    <t xml:space="preserve">P(A wins)</t>
  </si>
  <si>
    <t xml:space="preserve">P(A 2-0)</t>
  </si>
  <si>
    <t xml:space="preserve">P(B 2-0)</t>
  </si>
  <si>
    <t xml:space="preserve">P(3 maps)</t>
  </si>
  <si>
    <t xml:space="preserve">Map pick #1</t>
  </si>
  <si>
    <t xml:space="preserve">Map pick #2</t>
  </si>
  <si>
    <t xml:space="preserve">TP rounds M1</t>
  </si>
  <si>
    <t xml:space="preserve">TP rounds M2</t>
  </si>
  <si>
    <t xml:space="preserve">P(OT) M1</t>
  </si>
  <si>
    <t xml:space="preserve">A margin M1</t>
  </si>
  <si>
    <t xml:space="preserve">A rounds M1</t>
  </si>
  <si>
    <t xml:space="preserve">B rounds M1</t>
  </si>
  <si>
    <t xml:space="preserve">HLTV rounds M1</t>
  </si>
  <si>
    <t xml:space="preserve">HLTV A margin M1</t>
  </si>
  <si>
    <t xml:space="preserve">Hist share A / B</t>
  </si>
  <si>
    <t xml:space="preserve">IN USE</t>
  </si>
  <si>
    <t xml:space="preserve">Team</t>
  </si>
  <si>
    <t xml:space="preserve">Player</t>
  </si>
  <si>
    <t xml:space="preserve">KPR M1</t>
  </si>
  <si>
    <t xml:space="preserve">KPR M2</t>
  </si>
  <si>
    <t xml:space="preserve">Kills M1</t>
  </si>
  <si>
    <t xml:space="preserve">Kills M2</t>
  </si>
  <si>
    <t xml:space="preserve">Kills 1-2</t>
  </si>
  <si>
    <t xml:space="preserve">Diff mult</t>
  </si>
  <si>
    <t xml:space="preserve">Adj K 1-2</t>
  </si>
  <si>
    <t xml:space="preserve">PP line</t>
  </si>
  <si>
    <t xml:space="preserve">P(over)</t>
  </si>
  <si>
    <t xml:space="preserve">Adj P(over)</t>
  </si>
  <si>
    <t xml:space="preserve">TP book</t>
  </si>
  <si>
    <t xml:space="preserve">PF L10</t>
  </si>
  <si>
    <t xml:space="preserve">HS% 1-2</t>
  </si>
  <si>
    <t xml:space="preserve">HS 1-2</t>
  </si>
  <si>
    <t xml:space="preserve">PP HS line</t>
  </si>
  <si>
    <t xml:space="preserve">P(over) HS</t>
  </si>
  <si>
    <t xml:space="preserve">Sample</t>
  </si>
  <si>
    <t xml:space="preserve">Flags</t>
  </si>
  <si>
    <t xml:space="preserve">row</t>
  </si>
  <si>
    <t xml:space="preserve">Kills = Σ over the chosen maps of (per-map KPR, shrunk toward the player's overall KPR by SHRINK_MAPS) × rounds. HS = kills × per-map HS%, shrunk the same way. P(over) is a normal approximation with variance = KILLS_DISPERSION × projection.</t>
  </si>
  <si>
    <t xml:space="preserve">Adj = the round-differential layer (CS2): each map's kills × (a·s + b·(1−s)) ÷ (a·s_hist + b·(1−s_hist)), s = the team's expected round share on that map from HLTV conditional margins and Thunderpick map odds, s_hist = its round share over HLTV's 3-month sample. PAPER: neither column has a forward record.</t>
  </si>
  <si>
    <t xml:space="preserve">Matches — pick the maps and rounds for every match in the shaded columns</t>
  </si>
  <si>
    <t xml:space="preserve">Prefilled: maps from PickFinder Map Picks (#1, #2, #3), rounds from Thunderpick "Total Rounds - Map k" (devigged 50% crossing). Overwrite any shaded cell; Calc, Projections and Board follow instantly.</t>
  </si>
  <si>
    <t xml:space="preserve">Match</t>
  </si>
  <si>
    <t xml:space="preserve">Title</t>
  </si>
  <si>
    <t xml:space="preserve">Team A</t>
  </si>
  <si>
    <t xml:space="preserve">Team B</t>
  </si>
  <si>
    <t xml:space="preserve">Map pick #3</t>
  </si>
  <si>
    <t xml:space="preserve">Picks from</t>
  </si>
  <si>
    <t xml:space="preserve">TP rounds M3</t>
  </si>
  <si>
    <t xml:space="preserve">TP markets</t>
  </si>
  <si>
    <t xml:space="preserve">Map 1</t>
  </si>
  <si>
    <t xml:space="preserve">Map 2</t>
  </si>
  <si>
    <t xml:space="preserve">Map 3</t>
  </si>
  <si>
    <t xml:space="preserve">Rounds M1</t>
  </si>
  <si>
    <t xml:space="preserve">Rounds M2</t>
  </si>
  <si>
    <t xml:space="preserve">Rounds M3</t>
  </si>
  <si>
    <t xml:space="preserve">P(map 3) used</t>
  </si>
  <si>
    <t xml:space="preserve">Tag A</t>
  </si>
  <si>
    <t xml:space="preserve">Tag B</t>
  </si>
  <si>
    <t xml:space="preserve">P(A map 1)</t>
  </si>
  <si>
    <t xml:space="preserve">P(A map 2)</t>
  </si>
  <si>
    <t xml:space="preserve">P(A map 3)</t>
  </si>
  <si>
    <t xml:space="preserve">A hist share</t>
  </si>
  <si>
    <t xml:space="preserve">B hist share</t>
  </si>
  <si>
    <t xml:space="preserve">HLTV cA M1</t>
  </si>
  <si>
    <t xml:space="preserve">HLTV cB M1</t>
  </si>
  <si>
    <t xml:space="preserve">HLTV src M1</t>
  </si>
  <si>
    <t xml:space="preserve">HLTV A share M1</t>
  </si>
  <si>
    <t xml:space="preserve">HLTV cA M2</t>
  </si>
  <si>
    <t xml:space="preserve">HLTV cB M2</t>
  </si>
  <si>
    <t xml:space="preserve">HLTV src M2</t>
  </si>
  <si>
    <t xml:space="preserve">HLTV rounds M2</t>
  </si>
  <si>
    <t xml:space="preserve">HLTV A margin M2</t>
  </si>
  <si>
    <t xml:space="preserve">HLTV A share M2</t>
  </si>
  <si>
    <t xml:space="preserve">HLTV cA M3</t>
  </si>
  <si>
    <t xml:space="preserve">HLTV cB M3</t>
  </si>
  <si>
    <t xml:space="preserve">HLTV src M3</t>
  </si>
  <si>
    <t xml:space="preserve">HLTV rounds M3</t>
  </si>
  <si>
    <t xml:space="preserve">HLTV A margin M3</t>
  </si>
  <si>
    <t xml:space="preserve">HLTV A share M3</t>
  </si>
  <si>
    <t xml:space="preserve">CS2</t>
  </si>
  <si>
    <t xml:space="preserve">Fri 08:00</t>
  </si>
  <si>
    <t xml:space="preserve">Mirage 20%</t>
  </si>
  <si>
    <t xml:space="preserve">Cache 19%</t>
  </si>
  <si>
    <t xml:space="preserve">Dust2 18%</t>
  </si>
  <si>
    <t xml:space="preserve">HLTV veto: played, minus first-bans (no Map Picks)</t>
  </si>
  <si>
    <t xml:space="preserve">JJH</t>
  </si>
  <si>
    <t xml:space="preserve">EF</t>
  </si>
  <si>
    <t xml:space="preserve">CS2 · ISG vs Hacha Esports</t>
  </si>
  <si>
    <t xml:space="preserve">Inferno 26%</t>
  </si>
  <si>
    <t xml:space="preserve">Dust2 25%</t>
  </si>
  <si>
    <t xml:space="preserve">Ancient 20%</t>
  </si>
  <si>
    <t xml:space="preserve">ISG</t>
  </si>
  <si>
    <t xml:space="preserve">Hacha Esports</t>
  </si>
  <si>
    <t xml:space="preserve">CS2 · BORRA vs QUIN</t>
  </si>
  <si>
    <t xml:space="preserve">Fri 11:00</t>
  </si>
  <si>
    <t xml:space="preserve">Ancient 26%</t>
  </si>
  <si>
    <t xml:space="preserve">Mirage 24%</t>
  </si>
  <si>
    <t xml:space="preserve">Dust2 21%</t>
  </si>
  <si>
    <t xml:space="preserve">BORRA</t>
  </si>
  <si>
    <t xml:space="preserve">QUIN</t>
  </si>
  <si>
    <t xml:space="preserve">CS2 · ALKA vs LN</t>
  </si>
  <si>
    <t xml:space="preserve">Fri 17:00</t>
  </si>
  <si>
    <t xml:space="preserve">Dust2 32%</t>
  </si>
  <si>
    <t xml:space="preserve">Ancient 27%</t>
  </si>
  <si>
    <t xml:space="preserve">Mirage 15%</t>
  </si>
  <si>
    <t xml:space="preserve">ALKA</t>
  </si>
  <si>
    <t xml:space="preserve">LN</t>
  </si>
  <si>
    <t xml:space="preserve">VAL · TEC vs UR</t>
  </si>
  <si>
    <t xml:space="preserve">VAL</t>
  </si>
  <si>
    <t xml:space="preserve">Fri 04:00</t>
  </si>
  <si>
    <t xml:space="preserve">Haven 18%</t>
  </si>
  <si>
    <t xml:space="preserve">Sunset 17%</t>
  </si>
  <si>
    <t xml:space="preserve">Pearl 11%</t>
  </si>
  <si>
    <t xml:space="preserve">most-played by both rosters (no Map Picks)</t>
  </si>
  <si>
    <t xml:space="preserve">Pearl</t>
  </si>
  <si>
    <t xml:space="preserve">TEC</t>
  </si>
  <si>
    <t xml:space="preserve">UR</t>
  </si>
  <si>
    <t xml:space="preserve">VAL · FPX vs DRG</t>
  </si>
  <si>
    <t xml:space="preserve">Fri 06:00</t>
  </si>
  <si>
    <t xml:space="preserve">Lotus 25%</t>
  </si>
  <si>
    <t xml:space="preserve">Sunset 12%</t>
  </si>
  <si>
    <t xml:space="preserve">Split 10%</t>
  </si>
  <si>
    <t xml:space="preserve">FPX</t>
  </si>
  <si>
    <t xml:space="preserve">DRG</t>
  </si>
  <si>
    <t xml:space="preserve">VAL · TL vs M8.GC</t>
  </si>
  <si>
    <t xml:space="preserve">Fri 13:00</t>
  </si>
  <si>
    <t xml:space="preserve">Haven 19%</t>
  </si>
  <si>
    <t xml:space="preserve">Lotus 15%</t>
  </si>
  <si>
    <t xml:space="preserve">Split 14%</t>
  </si>
  <si>
    <t xml:space="preserve">TL</t>
  </si>
  <si>
    <t xml:space="preserve">M8.GC</t>
  </si>
  <si>
    <t xml:space="preserve">VAL · KRÜ vs Gen.G GC</t>
  </si>
  <si>
    <t xml:space="preserve">Fri 16:00</t>
  </si>
  <si>
    <t xml:space="preserve">Haven 16%</t>
  </si>
  <si>
    <t xml:space="preserve">KRÜ</t>
  </si>
  <si>
    <t xml:space="preserve">Gen.G GC</t>
  </si>
  <si>
    <t xml:space="preserve">Market</t>
  </si>
  <si>
    <t xml:space="preserve">Line</t>
  </si>
  <si>
    <t xml:space="preserve">Proj</t>
  </si>
  <si>
    <t xml:space="preserve">Sigma</t>
  </si>
  <si>
    <t xml:space="preserve">P(under)</t>
  </si>
  <si>
    <t xml:space="preserve">P(push)</t>
  </si>
  <si>
    <t xml:space="preserve">Model side (paper)</t>
  </si>
  <si>
    <t xml:space="preserve">TP book median</t>
  </si>
  <si>
    <t xml:space="preserve">PF Avg L10</t>
  </si>
  <si>
    <t xml:space="preserve">PF L5</t>
  </si>
  <si>
    <t xml:space="preserve">PF L15</t>
  </si>
  <si>
    <t xml:space="preserve">PF H2H</t>
  </si>
  <si>
    <t xml:space="preserve">PF streak</t>
  </si>
  <si>
    <t xml:space="preserve">Maps used</t>
  </si>
  <si>
    <t xml:space="preserve">Rounds used</t>
  </si>
  <si>
    <t xml:space="preserve">Calc key</t>
  </si>
  <si>
    <t xml:space="preserve">Code</t>
  </si>
  <si>
    <t xml:space="preserve">Lookup</t>
  </si>
  <si>
    <t xml:space="preserve">Proj adj</t>
  </si>
  <si>
    <t xml:space="preserve">Sigma adj</t>
  </si>
  <si>
    <t xml:space="preserve">P(over) adj</t>
  </si>
  <si>
    <t xml:space="preserve">P(under) adj</t>
  </si>
  <si>
    <t xml:space="preserve">Side adj (paper)</t>
  </si>
  <si>
    <t xml:space="preserve">bnc</t>
  </si>
  <si>
    <t xml:space="preserve">Maps 1-2 HS</t>
  </si>
  <si>
    <t xml:space="preserve">-</t>
  </si>
  <si>
    <t xml:space="preserve">ociqtxrjuk45u59|CS2 · ALKA vs LN</t>
  </si>
  <si>
    <t xml:space="preserve">H12</t>
  </si>
  <si>
    <t xml:space="preserve">Maps 1-2 Kills</t>
  </si>
  <si>
    <t xml:space="preserve">K12</t>
  </si>
  <si>
    <t xml:space="preserve">cerolzin</t>
  </si>
  <si>
    <t xml:space="preserve">x8upaam3ujpx331|CS2 · ALKA vs LN</t>
  </si>
  <si>
    <t xml:space="preserve">proSHOW</t>
  </si>
  <si>
    <t xml:space="preserve">7ehti0cn8n4gylc|CS2 · ALKA vs LN</t>
  </si>
  <si>
    <t xml:space="preserve">puni</t>
  </si>
  <si>
    <t xml:space="preserve">6nc5vmzm030q26g|CS2 · ALKA vs LN</t>
  </si>
  <si>
    <t xml:space="preserve">vinaabEAST</t>
  </si>
  <si>
    <t xml:space="preserve">ayxk4sbko48l7n5|CS2 · ALKA vs LN</t>
  </si>
  <si>
    <t xml:space="preserve">Flash</t>
  </si>
  <si>
    <t xml:space="preserve">u7heqep1e427ajx|CS2 · BORRA vs QUIN</t>
  </si>
  <si>
    <t xml:space="preserve">K9izer</t>
  </si>
  <si>
    <t xml:space="preserve">okzgw3wbik4w71f|CS2 · BORRA vs QUIN</t>
  </si>
  <si>
    <t xml:space="preserve">Lacerda</t>
  </si>
  <si>
    <t xml:space="preserve">0%/0/1</t>
  </si>
  <si>
    <t xml:space="preserve">eiab63phy81sn0c|CS2 · BORRA vs QUIN</t>
  </si>
  <si>
    <t xml:space="preserve">trindade</t>
  </si>
  <si>
    <t xml:space="preserve">100%/1/1</t>
  </si>
  <si>
    <t xml:space="preserve">9qcftadrz2wvr8c|CS2 · BORRA vs QUIN</t>
  </si>
  <si>
    <t xml:space="preserve">Zock9</t>
  </si>
  <si>
    <t xml:space="preserve">c6a08bou2ctu0wf|CS2 · BORRA vs QUIN</t>
  </si>
  <si>
    <t xml:space="preserve">atarax1a</t>
  </si>
  <si>
    <t xml:space="preserve">oqk6gyxaxywmfwz|CS2 · ISG vs Hacha Esports</t>
  </si>
  <si>
    <t xml:space="preserve">deco</t>
  </si>
  <si>
    <t xml:space="preserve">byxa559c86wp8y2|CS2 · ISG vs Hacha Esports</t>
  </si>
  <si>
    <t xml:space="preserve">dott1</t>
  </si>
  <si>
    <t xml:space="preserve">b09onydc0n1o0jq|CS2 · ISG vs Hacha Esports</t>
  </si>
  <si>
    <t xml:space="preserve">Hezz</t>
  </si>
  <si>
    <t xml:space="preserve">mge023ca076vnxt|CS2 · ISG vs Hacha Esports</t>
  </si>
  <si>
    <t xml:space="preserve">rzk</t>
  </si>
  <si>
    <t xml:space="preserve">hibcd1uwtnvwavq|CS2 · ISG vs Hacha Esports</t>
  </si>
  <si>
    <t xml:space="preserve">jottAAA</t>
  </si>
  <si>
    <t xml:space="preserve">33%/1/3</t>
  </si>
  <si>
    <t xml:space="preserve">rfuts2r0t85cd95|CS2 · JJH vs EF</t>
  </si>
  <si>
    <t xml:space="preserve">Kvem</t>
  </si>
  <si>
    <t xml:space="preserve">67%/2/3</t>
  </si>
  <si>
    <t xml:space="preserve">t2lttsuygcwlbxl|CS2 · JJH vs EF</t>
  </si>
  <si>
    <t xml:space="preserve">MisteM</t>
  </si>
  <si>
    <t xml:space="preserve">50%/1/2</t>
  </si>
  <si>
    <t xml:space="preserve">mp3vrg2adugpxjt|CS2 · JJH vs EF</t>
  </si>
  <si>
    <t xml:space="preserve">regali</t>
  </si>
  <si>
    <t xml:space="preserve">0%/0/3</t>
  </si>
  <si>
    <t xml:space="preserve">v15ff2btfwe796g|CS2 · JJH vs EF</t>
  </si>
  <si>
    <t xml:space="preserve">Soulfly</t>
  </si>
  <si>
    <t xml:space="preserve">agwfljw0nydsug9|CS2 · JJH vs EF</t>
  </si>
  <si>
    <t xml:space="preserve">0SAMAS</t>
  </si>
  <si>
    <t xml:space="preserve">100%/4/4</t>
  </si>
  <si>
    <t xml:space="preserve">3ur3fyq90jlwliy|CS2 · JJH vs EF</t>
  </si>
  <si>
    <t xml:space="preserve">CacaNito</t>
  </si>
  <si>
    <t xml:space="preserve">lykfimmteia2jqy|CS2 · JJH vs EF</t>
  </si>
  <si>
    <t xml:space="preserve">m1N1</t>
  </si>
  <si>
    <t xml:space="preserve">50%/2/4</t>
  </si>
  <si>
    <t xml:space="preserve">u9fufnbk30lfitd|CS2 · JJH vs EF</t>
  </si>
  <si>
    <t xml:space="preserve">sinnopsyy</t>
  </si>
  <si>
    <t xml:space="preserve">r77hvt5nvgfdk4q|CS2 · JJH vs EF</t>
  </si>
  <si>
    <t xml:space="preserve">Flex1n</t>
  </si>
  <si>
    <t xml:space="preserve">gm2ulssn4ht3y2s|VAL · FPX vs DRG</t>
  </si>
  <si>
    <t xml:space="preserve">Life</t>
  </si>
  <si>
    <t xml:space="preserve">gooz0lacovlufx7|VAL · FPX vs DRG</t>
  </si>
  <si>
    <t xml:space="preserve">Nicc</t>
  </si>
  <si>
    <t xml:space="preserve">a6n8u51zq3330pf|VAL · FPX vs DRG</t>
  </si>
  <si>
    <t xml:space="preserve">SpiritZ1</t>
  </si>
  <si>
    <t xml:space="preserve">f2t86wuc45d2ck0|VAL · FPX vs DRG</t>
  </si>
  <si>
    <t xml:space="preserve">vo0kashu</t>
  </si>
  <si>
    <t xml:space="preserve">lj21qptpk5ehxvr|VAL · FPX vs DRG</t>
  </si>
  <si>
    <t xml:space="preserve">77even</t>
  </si>
  <si>
    <t xml:space="preserve">hwtnmje2qz17otr|VAL · FPX vs DRG</t>
  </si>
  <si>
    <t xml:space="preserve">AAAAY</t>
  </si>
  <si>
    <t xml:space="preserve">8aqf9wzagbzh5lz|VAL · FPX vs DRG</t>
  </si>
  <si>
    <t xml:space="preserve">coconut</t>
  </si>
  <si>
    <t xml:space="preserve">7qoedjneu0q6i8b|VAL · FPX vs DRG</t>
  </si>
  <si>
    <t xml:space="preserve">332</t>
  </si>
  <si>
    <t xml:space="preserve">dlqk8dkrpmqycx2|VAL · KRÜ vs Gen.G GC</t>
  </si>
  <si>
    <t xml:space="preserve">DaNa</t>
  </si>
  <si>
    <t xml:space="preserve">s97p69iqpswvy3k|VAL · KRÜ vs Gen.G GC</t>
  </si>
  <si>
    <t xml:space="preserve">h4ste</t>
  </si>
  <si>
    <t xml:space="preserve">an0i341jwe8blbi|VAL · KRÜ vs Gen.G GC</t>
  </si>
  <si>
    <t xml:space="preserve">miNt</t>
  </si>
  <si>
    <t xml:space="preserve">fmxau481di8vuel|VAL · KRÜ vs Gen.G GC</t>
  </si>
  <si>
    <t xml:space="preserve">Yamzzi</t>
  </si>
  <si>
    <t xml:space="preserve">9l1tvzdv24r15dc|VAL · KRÜ vs Gen.G GC</t>
  </si>
  <si>
    <t xml:space="preserve">antG</t>
  </si>
  <si>
    <t xml:space="preserve">5nhm6xv9z7vjbpb|VAL · KRÜ vs Gen.G GC</t>
  </si>
  <si>
    <t xml:space="preserve">micaela</t>
  </si>
  <si>
    <t xml:space="preserve">mvm848ch70u0hhn|VAL · KRÜ vs Gen.G GC</t>
  </si>
  <si>
    <t xml:space="preserve">nonee</t>
  </si>
  <si>
    <t xml:space="preserve">gwvm5hplm55faie|VAL · KRÜ vs Gen.G GC</t>
  </si>
  <si>
    <t xml:space="preserve">poniX</t>
  </si>
  <si>
    <t xml:space="preserve">gbwt5ar5z4j6gwa|VAL · KRÜ vs Gen.G GC</t>
  </si>
  <si>
    <t xml:space="preserve">tok1o</t>
  </si>
  <si>
    <t xml:space="preserve">lx0a4p8zn6heucd|VAL · KRÜ vs Gen.G GC</t>
  </si>
  <si>
    <t xml:space="preserve">Haodong</t>
  </si>
  <si>
    <t xml:space="preserve">7bx7bre77fcpsbi|VAL · TEC vs UR</t>
  </si>
  <si>
    <t xml:space="preserve">lucas</t>
  </si>
  <si>
    <t xml:space="preserve">q0reqnvw1p9zqan|VAL · TEC vs UR</t>
  </si>
  <si>
    <t xml:space="preserve">CXIX666</t>
  </si>
  <si>
    <t xml:space="preserve">fl4ta9g39ylnp3t|VAL · TEC vs UR</t>
  </si>
  <si>
    <t xml:space="preserve">berryx</t>
  </si>
  <si>
    <t xml:space="preserve">g3d7176bxskh8c8|VAL · TL vs M8.GC</t>
  </si>
  <si>
    <t xml:space="preserve">Marti</t>
  </si>
  <si>
    <t xml:space="preserve">mewu9r5qiadpn7m|VAL · TL vs M8.GC</t>
  </si>
  <si>
    <t xml:space="preserve">Nami</t>
  </si>
  <si>
    <t xml:space="preserve">ih9i6lpirlb21cm|VAL · TL vs M8.GC</t>
  </si>
  <si>
    <t xml:space="preserve">safiaa</t>
  </si>
  <si>
    <t xml:space="preserve">6d6efnrq3tu5sk4|VAL · TL vs M8.GC</t>
  </si>
  <si>
    <t xml:space="preserve">Wens</t>
  </si>
  <si>
    <t xml:space="preserve">3u96q1p9a5iz2w7|VAL · TL vs M8.GC</t>
  </si>
  <si>
    <t xml:space="preserve">bizerra</t>
  </si>
  <si>
    <t xml:space="preserve">co568st5wr6pnqv|VAL · TL vs M8.GC</t>
  </si>
  <si>
    <t xml:space="preserve">daiki</t>
  </si>
  <si>
    <t xml:space="preserve">vhavgrzw6kysqhl|VAL · TL vs M8.GC</t>
  </si>
  <si>
    <t xml:space="preserve">isaa</t>
  </si>
  <si>
    <t xml:space="preserve">5tdxwk4hjx6kwvd|VAL · TL vs M8.GC</t>
  </si>
  <si>
    <t xml:space="preserve">Jelly</t>
  </si>
  <si>
    <t xml:space="preserve">anlb3czpjb9tybg|VAL · TL vs M8.GC</t>
  </si>
  <si>
    <t xml:space="preserve">Joojina</t>
  </si>
  <si>
    <t xml:space="preserve">t73962z8fnbjb10|VAL · TL vs M8.GC</t>
  </si>
  <si>
    <t xml:space="preserve">Key</t>
  </si>
  <si>
    <t xml:space="preserve">PID</t>
  </si>
  <si>
    <t xml:space="preserve">R1</t>
  </si>
  <si>
    <t xml:space="preserve">R2</t>
  </si>
  <si>
    <t xml:space="preserve">R3</t>
  </si>
  <si>
    <t xml:space="preserve">P3</t>
  </si>
  <si>
    <t xml:space="preserve">Sample maps</t>
  </si>
  <si>
    <t xml:space="preserve">KPR all</t>
  </si>
  <si>
    <t xml:space="preserve">HS% all</t>
  </si>
  <si>
    <t xml:space="preserve">M1 n</t>
  </si>
  <si>
    <t xml:space="preserve">M1 KPR raw</t>
  </si>
  <si>
    <t xml:space="preserve">M1 HS raw</t>
  </si>
  <si>
    <t xml:space="preserve">M1 KPR</t>
  </si>
  <si>
    <t xml:space="preserve">M1 HS%</t>
  </si>
  <si>
    <t xml:space="preserve">M1 Kills</t>
  </si>
  <si>
    <t xml:space="preserve">M1 HS</t>
  </si>
  <si>
    <t xml:space="preserve">M2 n</t>
  </si>
  <si>
    <t xml:space="preserve">M2 KPR raw</t>
  </si>
  <si>
    <t xml:space="preserve">M2 HS raw</t>
  </si>
  <si>
    <t xml:space="preserve">M2 KPR</t>
  </si>
  <si>
    <t xml:space="preserve">M2 HS%</t>
  </si>
  <si>
    <t xml:space="preserve">M2 Kills</t>
  </si>
  <si>
    <t xml:space="preserve">M2 HS</t>
  </si>
  <si>
    <t xml:space="preserve">M3 n</t>
  </si>
  <si>
    <t xml:space="preserve">M3 KPR raw</t>
  </si>
  <si>
    <t xml:space="preserve">M3 HS raw</t>
  </si>
  <si>
    <t xml:space="preserve">M3 KPR</t>
  </si>
  <si>
    <t xml:space="preserve">M3 HS%</t>
  </si>
  <si>
    <t xml:space="preserve">M3 Kills</t>
  </si>
  <si>
    <t xml:space="preserve">M3 HS</t>
  </si>
  <si>
    <t xml:space="preserve">Kills 1-3</t>
  </si>
  <si>
    <t xml:space="preserve">HS 1-3</t>
  </si>
  <si>
    <t xml:space="preserve">Board rank</t>
  </si>
  <si>
    <t xml:space="preserve">Side</t>
  </si>
  <si>
    <t xml:space="preserve">Hist share</t>
  </si>
  <si>
    <t xml:space="preserve">M1 share</t>
  </si>
  <si>
    <t xml:space="preserve">M1 mult</t>
  </si>
  <si>
    <t xml:space="preserve">M2 share</t>
  </si>
  <si>
    <t xml:space="preserve">M2 mult</t>
  </si>
  <si>
    <t xml:space="preserve">M3 share</t>
  </si>
  <si>
    <t xml:space="preserve">M3 mult</t>
  </si>
  <si>
    <t xml:space="preserve">M1 Kills adj</t>
  </si>
  <si>
    <t xml:space="preserve">M2 Kills adj</t>
  </si>
  <si>
    <t xml:space="preserve">M3 Kills adj</t>
  </si>
  <si>
    <t xml:space="preserve">Kills 1-2 adj</t>
  </si>
  <si>
    <t xml:space="preserve">Kills 1-3 adj</t>
  </si>
  <si>
    <t xml:space="preserve">M1 HS adj</t>
  </si>
  <si>
    <t xml:space="preserve">M2 HS adj</t>
  </si>
  <si>
    <t xml:space="preserve">M3 HS adj</t>
  </si>
  <si>
    <t xml:space="preserve">HS 1-2 adj</t>
  </si>
  <si>
    <t xml:space="preserve">HS 1-3 adj</t>
  </si>
  <si>
    <t xml:space="preserve">Diff mult 1-2</t>
  </si>
  <si>
    <t xml:space="preserve">ociqtxrjuk45u59</t>
  </si>
  <si>
    <t xml:space="preserve">x8upaam3ujpx331</t>
  </si>
  <si>
    <t xml:space="preserve">7ehti0cn8n4gylc</t>
  </si>
  <si>
    <t xml:space="preserve">6nc5vmzm030q26g</t>
  </si>
  <si>
    <t xml:space="preserve">ayxk4sbko48l7n5</t>
  </si>
  <si>
    <t xml:space="preserve">u7heqep1e427ajx</t>
  </si>
  <si>
    <t xml:space="preserve">okzgw3wbik4w71f</t>
  </si>
  <si>
    <t xml:space="preserve">eiab63phy81sn0c</t>
  </si>
  <si>
    <t xml:space="preserve">9qcftadrz2wvr8c</t>
  </si>
  <si>
    <t xml:space="preserve">c6a08bou2ctu0wf</t>
  </si>
  <si>
    <t xml:space="preserve">oqk6gyxaxywmfwz</t>
  </si>
  <si>
    <t xml:space="preserve">byxa559c86wp8y2</t>
  </si>
  <si>
    <t xml:space="preserve">b09onydc0n1o0jq</t>
  </si>
  <si>
    <t xml:space="preserve">mge023ca076vnxt</t>
  </si>
  <si>
    <t xml:space="preserve">hibcd1uwtnvwavq</t>
  </si>
  <si>
    <t xml:space="preserve">rfuts2r0t85cd95</t>
  </si>
  <si>
    <t xml:space="preserve">t2lttsuygcwlbxl</t>
  </si>
  <si>
    <t xml:space="preserve">mp3vrg2adugpxjt</t>
  </si>
  <si>
    <t xml:space="preserve">v15ff2btfwe796g</t>
  </si>
  <si>
    <t xml:space="preserve">agwfljw0nydsug9</t>
  </si>
  <si>
    <t xml:space="preserve">3ur3fyq90jlwliy</t>
  </si>
  <si>
    <t xml:space="preserve">lykfimmteia2jqy</t>
  </si>
  <si>
    <t xml:space="preserve">u9fufnbk30lfitd</t>
  </si>
  <si>
    <t xml:space="preserve">r77hvt5nvgfdk4q</t>
  </si>
  <si>
    <t xml:space="preserve">gm2ulssn4ht3y2s</t>
  </si>
  <si>
    <t xml:space="preserve">gooz0lacovlufx7</t>
  </si>
  <si>
    <t xml:space="preserve">a6n8u51zq3330pf</t>
  </si>
  <si>
    <t xml:space="preserve">f2t86wuc45d2ck0</t>
  </si>
  <si>
    <t xml:space="preserve">lj21qptpk5ehxvr</t>
  </si>
  <si>
    <t xml:space="preserve">hwtnmje2qz17otr</t>
  </si>
  <si>
    <t xml:space="preserve">8aqf9wzagbzh5lz</t>
  </si>
  <si>
    <t xml:space="preserve">7qoedjneu0q6i8b</t>
  </si>
  <si>
    <t xml:space="preserve">dlqk8dkrpmqycx2</t>
  </si>
  <si>
    <t xml:space="preserve">s97p69iqpswvy3k</t>
  </si>
  <si>
    <t xml:space="preserve">an0i341jwe8blbi</t>
  </si>
  <si>
    <t xml:space="preserve">fmxau481di8vuel</t>
  </si>
  <si>
    <t xml:space="preserve">9l1tvzdv24r15dc</t>
  </si>
  <si>
    <t xml:space="preserve">5nhm6xv9z7vjbpb</t>
  </si>
  <si>
    <t xml:space="preserve">mvm848ch70u0hhn</t>
  </si>
  <si>
    <t xml:space="preserve">gwvm5hplm55faie</t>
  </si>
  <si>
    <t xml:space="preserve">gbwt5ar5z4j6gwa</t>
  </si>
  <si>
    <t xml:space="preserve">lx0a4p8zn6heucd</t>
  </si>
  <si>
    <t xml:space="preserve">7bx7bre77fcpsbi</t>
  </si>
  <si>
    <t xml:space="preserve">q0reqnvw1p9zqan</t>
  </si>
  <si>
    <t xml:space="preserve">fl4ta9g39ylnp3t</t>
  </si>
  <si>
    <t xml:space="preserve">g3d7176bxskh8c8</t>
  </si>
  <si>
    <t xml:space="preserve">mewu9r5qiadpn7m</t>
  </si>
  <si>
    <t xml:space="preserve">ih9i6lpirlb21cm</t>
  </si>
  <si>
    <t xml:space="preserve">6d6efnrq3tu5sk4</t>
  </si>
  <si>
    <t xml:space="preserve">3u96q1p9a5iz2w7</t>
  </si>
  <si>
    <t xml:space="preserve">co568st5wr6pnqv</t>
  </si>
  <si>
    <t xml:space="preserve">vhavgrzw6kysqhl</t>
  </si>
  <si>
    <t xml:space="preserve">5tdxwk4hjx6kwvd</t>
  </si>
  <si>
    <t xml:space="preserve">anlb3czpjb9tybg</t>
  </si>
  <si>
    <t xml:space="preserve">t73962z8fnbjb10</t>
  </si>
  <si>
    <t xml:space="preserve">Config — edit the shaded cells only</t>
  </si>
  <si>
    <t xml:space="preserve">Setting</t>
  </si>
  <si>
    <t xml:space="preserve">Value</t>
  </si>
  <si>
    <t xml:space="preserve">Notes</t>
  </si>
  <si>
    <t xml:space="preserve">CS2 maps</t>
  </si>
  <si>
    <t xml:space="preserve">VAL maps</t>
  </si>
  <si>
    <t xml:space="preserve">SHRINK_MAPS</t>
  </si>
  <si>
    <t xml:space="preserve">Maps of the player's OWN overall KPR mixed into each per-map KPR. A player with 3 Ancient maps at 0.95 KPR and 0.72 overall projects (3×0.95+5×0.72)/8 = 0.81 on Ancient. 0 = trust the per-map number fully; 20 = nearly ignore maps. Set by judgment, NOT measured — per-map samples are 3–9 maps, and a 15-series kills mean only reproduces itself at 0.568 split-half.</t>
  </si>
  <si>
    <t xml:space="preserve">KILLS_DISPERSION</t>
  </si>
  <si>
    <t xml:space="preserve">Variance ÷ mean for a kills total. Sets the spread behind P(over). 1.0 = Poisson. 1.4 comes from the Kill_Share_Decomposition test (CV 0.215 on ~30-kill maps 1-2 totals, 17 Valorant players). Headshots inherit it through binomial thinning: φ_HS = HS%×φ + (1−HS%).</t>
  </si>
  <si>
    <t xml:space="preserve">EDGE_MIN</t>
  </si>
  <si>
    <t xml:space="preserve">Model side shows OVER/UNDER only past 50% + this. It is a PAPER column: the KPR × rounds projection has no forward record yet, so this is an ordering, not an edge.</t>
  </si>
  <si>
    <t xml:space="preserve">Bind</t>
  </si>
  <si>
    <t xml:space="preserve">DEFAULT_ROUNDS_CS2</t>
  </si>
  <si>
    <t xml:space="preserve">Rounds per map used when Thunderpick posts no Total Rounds ladder for a CS2 map.</t>
  </si>
  <si>
    <t xml:space="preserve">DEFAULT_ROUNDS_VAL</t>
  </si>
  <si>
    <t xml:space="preserve">Same for Valorant.</t>
  </si>
  <si>
    <t xml:space="preserve">Corrode</t>
  </si>
  <si>
    <t xml:space="preserve">KPR_ROUND_ELASTICITY</t>
  </si>
  <si>
    <t xml:space="preserve">Kills-per-round dilution on long maps: projection × (rounds ÷ REF)^this. 0 = off. PAPER found corr(rounds, k/rd) = −0.51 on 11 maps, then −0.076 on 14 maps (slate 33) — the slope did not replicate, so it ships off.</t>
  </si>
  <si>
    <t xml:space="preserve">Fracture</t>
  </si>
  <si>
    <t xml:space="preserve">REF_ROUNDS_CS2</t>
  </si>
  <si>
    <t xml:space="preserve">Reference map length for the elasticity above.</t>
  </si>
  <si>
    <t xml:space="preserve">REF_ROUNDS_VAL</t>
  </si>
  <si>
    <t xml:space="preserve">Icebox</t>
  </si>
  <si>
    <t xml:space="preserve">THIN_SAMPLE_MAPS</t>
  </si>
  <si>
    <t xml:space="preserve">Flag a player whose PickFinder sample is below this many maps.</t>
  </si>
  <si>
    <t xml:space="preserve">DIFF_WEIGHT</t>
  </si>
  <si>
    <t xml:space="preserve">Round-differential layer (CS2). Adjusted kills = base kills × multiplier^this. 1 = full, 0 = off. PAPER: the multiplier is the q-adjustment built from HLTV conditional round margins; it has never been scored forward. Both base and adjusted projections are logged.</t>
  </si>
  <si>
    <t xml:space="preserve">KILLS_PER_ROUND_WON</t>
  </si>
  <si>
    <t xml:space="preserve">Team kills per round WON (CS2), from team_kills = a·rounds_won + b·rounds_lost, R² 0.970 on 47 team-maps (Kills_Markets_By_Title).</t>
  </si>
  <si>
    <t xml:space="preserve">KILLS_PER_ROUND_LOST</t>
  </si>
  <si>
    <t xml:space="preserve">Team kills per round LOST (CS2), same fit. The 2.6× ratio is the whole differential effect.</t>
  </si>
  <si>
    <t xml:space="preserve">Slate</t>
  </si>
  <si>
    <t xml:space="preserve">SLATE_DATE</t>
  </si>
  <si>
    <t xml:space="preserve">2026-10-23</t>
  </si>
  <si>
    <t xml:space="preserve">BUILT_UTC</t>
  </si>
  <si>
    <t xml:space="preserve">2026-10-23 01:49</t>
  </si>
  <si>
    <t xml:space="preserve">SOURCES</t>
  </si>
  <si>
    <t xml:space="preserve">PickFinder /props (board + hit rates), PickFinder player pages (Player Stats → Map Stats; Maps → Map Picks), Thunderpick /api/markets (odds, rounds, kill ladders).</t>
  </si>
  <si>
    <t xml:space="preserve">PF matchup</t>
  </si>
  <si>
    <t xml:space="preserve">Maps</t>
  </si>
  <si>
    <t xml:space="preserve">Kills/Map</t>
  </si>
  <si>
    <t xml:space="preserve">KPR</t>
  </si>
  <si>
    <t xml:space="preserve">HS %</t>
  </si>
  <si>
    <t xml:space="preserve">HS/Round</t>
  </si>
  <si>
    <t xml:space="preserve">K/D</t>
  </si>
  <si>
    <t xml:space="preserve">Rating</t>
  </si>
  <si>
    <t xml:space="preserve">Avg rounds/map</t>
  </si>
  <si>
    <t xml:space="preserve">Identity</t>
  </si>
  <si>
    <t xml:space="preserve">PickFinder page</t>
  </si>
  <si>
    <t xml:space="preserve">ALKA vs LN</t>
  </si>
  <si>
    <t xml:space="preserve">OK</t>
  </si>
  <si>
    <t xml:space="preserve">https://www.pickfinder.app/players/cs2/ociqtxrjuk45u59</t>
  </si>
  <si>
    <t xml:space="preserve">https://www.pickfinder.app/players/cs2/x8upaam3ujpx331</t>
  </si>
  <si>
    <t xml:space="preserve">https://www.pickfinder.app/players/cs2/7ehti0cn8n4gylc</t>
  </si>
  <si>
    <t xml:space="preserve">https://www.pickfinder.app/players/cs2/6nc5vmzm030q26g</t>
  </si>
  <si>
    <t xml:space="preserve">https://www.pickfinder.app/players/cs2/ayxk4sbko48l7n5</t>
  </si>
  <si>
    <t xml:space="preserve">BORRA vs QUIN</t>
  </si>
  <si>
    <t xml:space="preserve">https://www.pickfinder.app/players/cs2/u7heqep1e427ajx</t>
  </si>
  <si>
    <t xml:space="preserve">https://www.pickfinder.app/players/cs2/okzgw3wbik4w71f</t>
  </si>
  <si>
    <t xml:space="preserve">https://www.pickfinder.app/players/cs2/eiab63phy81sn0c</t>
  </si>
  <si>
    <t xml:space="preserve">https://www.pickfinder.app/players/cs2/9qcftadrz2wvr8c</t>
  </si>
  <si>
    <t xml:space="preserve">https://www.pickfinder.app/players/cs2/c6a08bou2ctu0wf</t>
  </si>
  <si>
    <t xml:space="preserve">EF vs JJH</t>
  </si>
  <si>
    <t xml:space="preserve">https://www.pickfinder.app/players/cs2/rfuts2r0t85cd95</t>
  </si>
  <si>
    <t xml:space="preserve">https://www.pickfinder.app/players/cs2/t2lttsuygcwlbxl</t>
  </si>
  <si>
    <t xml:space="preserve">https://www.pickfinder.app/players/cs2/mp3vrg2adugpxjt</t>
  </si>
  <si>
    <t xml:space="preserve">https://www.pickfinder.app/players/cs2/v15ff2btfwe796g</t>
  </si>
  <si>
    <t xml:space="preserve">https://www.pickfinder.app/players/cs2/agwfljw0nydsug9</t>
  </si>
  <si>
    <t xml:space="preserve">ISG vs Hacha Esports</t>
  </si>
  <si>
    <t xml:space="preserve">https://www.pickfinder.app/players/cs2/oqk6gyxaxywmfwz</t>
  </si>
  <si>
    <t xml:space="preserve">https://www.pickfinder.app/players/cs2/byxa559c86wp8y2</t>
  </si>
  <si>
    <t xml:space="preserve">https://www.pickfinder.app/players/cs2/b09onydc0n1o0jq</t>
  </si>
  <si>
    <t xml:space="preserve">https://www.pickfinder.app/players/cs2/mge023ca076vnxt</t>
  </si>
  <si>
    <t xml:space="preserve">https://www.pickfinder.app/players/cs2/hibcd1uwtnvwavq</t>
  </si>
  <si>
    <t xml:space="preserve">JJH vs EF</t>
  </si>
  <si>
    <t xml:space="preserve">https://www.pickfinder.app/players/cs2/3ur3fyq90jlwliy</t>
  </si>
  <si>
    <t xml:space="preserve">https://www.pickfinder.app/players/cs2/lykfimmteia2jqy</t>
  </si>
  <si>
    <t xml:space="preserve">https://www.pickfinder.app/players/cs2/u9fufnbk30lfitd</t>
  </si>
  <si>
    <t xml:space="preserve">https://www.pickfinder.app/players/cs2/r77hvt5nvgfdk4q</t>
  </si>
  <si>
    <t xml:space="preserve">DRG vs FPX</t>
  </si>
  <si>
    <t xml:space="preserve">https://www.pickfinder.app/players/val/gm2ulssn4ht3y2s</t>
  </si>
  <si>
    <t xml:space="preserve">https://www.pickfinder.app/players/val/gooz0lacovlufx7</t>
  </si>
  <si>
    <t xml:space="preserve">https://www.pickfinder.app/players/val/a6n8u51zq3330pf</t>
  </si>
  <si>
    <t xml:space="preserve">https://www.pickfinder.app/players/val/f2t86wuc45d2ck0</t>
  </si>
  <si>
    <t xml:space="preserve">https://www.pickfinder.app/players/val/lj21qptpk5ehxvr</t>
  </si>
  <si>
    <t xml:space="preserve">FPX vs DRG</t>
  </si>
  <si>
    <t xml:space="preserve">https://www.pickfinder.app/players/val/hwtnmje2qz17otr</t>
  </si>
  <si>
    <t xml:space="preserve">https://www.pickfinder.app/players/val/8aqf9wzagbzh5lz</t>
  </si>
  <si>
    <t xml:space="preserve">https://www.pickfinder.app/players/val/7qoedjneu0q6i8b</t>
  </si>
  <si>
    <t xml:space="preserve">Gen.G GC vs KRÜ</t>
  </si>
  <si>
    <t xml:space="preserve">https://www.pickfinder.app/players/val/dlqk8dkrpmqycx2</t>
  </si>
  <si>
    <t xml:space="preserve">https://www.pickfinder.app/players/val/s97p69iqpswvy3k</t>
  </si>
  <si>
    <t xml:space="preserve">https://www.pickfinder.app/players/val/an0i341jwe8blbi</t>
  </si>
  <si>
    <t xml:space="preserve">https://www.pickfinder.app/players/val/fmxau481di8vuel</t>
  </si>
  <si>
    <t xml:space="preserve">https://www.pickfinder.app/players/val/9l1tvzdv24r15dc</t>
  </si>
  <si>
    <t xml:space="preserve">KRÜ vs Gen.G GC</t>
  </si>
  <si>
    <t xml:space="preserve">https://www.pickfinder.app/players/val/5nhm6xv9z7vjbpb</t>
  </si>
  <si>
    <t xml:space="preserve">https://www.pickfinder.app/players/val/mvm848ch70u0hhn</t>
  </si>
  <si>
    <t xml:space="preserve">https://www.pickfinder.app/players/val/gwvm5hplm55faie</t>
  </si>
  <si>
    <t xml:space="preserve">https://www.pickfinder.app/players/val/gbwt5ar5z4j6gwa</t>
  </si>
  <si>
    <t xml:space="preserve">https://www.pickfinder.app/players/val/lx0a4p8zn6heucd</t>
  </si>
  <si>
    <t xml:space="preserve">M8.GC vs TL</t>
  </si>
  <si>
    <t xml:space="preserve">https://www.pickfinder.app/players/val/g3d7176bxskh8c8</t>
  </si>
  <si>
    <t xml:space="preserve">https://www.pickfinder.app/players/val/mewu9r5qiadpn7m</t>
  </si>
  <si>
    <t xml:space="preserve">https://www.pickfinder.app/players/val/ih9i6lpirlb21cm</t>
  </si>
  <si>
    <t xml:space="preserve">https://www.pickfinder.app/players/val/6d6efnrq3tu5sk4</t>
  </si>
  <si>
    <t xml:space="preserve">https://www.pickfinder.app/players/val/3u96q1p9a5iz2w7</t>
  </si>
  <si>
    <t xml:space="preserve">TEC vs UR</t>
  </si>
  <si>
    <t xml:space="preserve">https://www.pickfinder.app/players/val/7bx7bre77fcpsbi</t>
  </si>
  <si>
    <t xml:space="preserve">https://www.pickfinder.app/players/val/q0reqnvw1p9zqan</t>
  </si>
  <si>
    <t xml:space="preserve">TL vs M8.GC</t>
  </si>
  <si>
    <t xml:space="preserve">https://www.pickfinder.app/players/val/co568st5wr6pnqv</t>
  </si>
  <si>
    <t xml:space="preserve">https://www.pickfinder.app/players/val/vhavgrzw6kysqhl</t>
  </si>
  <si>
    <t xml:space="preserve">https://www.pickfinder.app/players/val/5tdxwk4hjx6kwvd</t>
  </si>
  <si>
    <t xml:space="preserve">https://www.pickfinder.app/players/val/anlb3czpjb9tybg</t>
  </si>
  <si>
    <t xml:space="preserve">https://www.pickfinder.app/players/val/t73962z8fnbjb10</t>
  </si>
  <si>
    <t xml:space="preserve">UR vs TEC</t>
  </si>
  <si>
    <t xml:space="preserve">https://www.pickfinder.app/players/val/fl4ta9g39ylnp3t</t>
  </si>
  <si>
    <t xml:space="preserve">Maps (n)</t>
  </si>
  <si>
    <t xml:space="preserve">Kills/map</t>
  </si>
  <si>
    <t xml:space="preserve">KPR (PF)</t>
  </si>
  <si>
    <t xml:space="preserve">KPR used</t>
  </si>
  <si>
    <t xml:space="preserve">3ur3fyq90jlwliy|Mirage</t>
  </si>
  <si>
    <t xml:space="preserve">3ur3fyq90jlwliy|Dust2</t>
  </si>
  <si>
    <t xml:space="preserve">3ur3fyq90jlwliy|Anubis</t>
  </si>
  <si>
    <t xml:space="preserve">3ur3fyq90jlwliy|Inferno</t>
  </si>
  <si>
    <t xml:space="preserve">3ur3fyq90jlwliy|Cache</t>
  </si>
  <si>
    <t xml:space="preserve">3ur3fyq90jlwliy|Ancient</t>
  </si>
  <si>
    <t xml:space="preserve">oqk6gyxaxywmfwz|Inferno</t>
  </si>
  <si>
    <t xml:space="preserve">oqk6gyxaxywmfwz|Dust2</t>
  </si>
  <si>
    <t xml:space="preserve">oqk6gyxaxywmfwz|Ancient</t>
  </si>
  <si>
    <t xml:space="preserve">oqk6gyxaxywmfwz|Cache</t>
  </si>
  <si>
    <t xml:space="preserve">oqk6gyxaxywmfwz|Nuke</t>
  </si>
  <si>
    <t xml:space="preserve">oqk6gyxaxywmfwz|Mirage</t>
  </si>
  <si>
    <t xml:space="preserve">ociqtxrjuk45u59|Dust2</t>
  </si>
  <si>
    <t xml:space="preserve">ociqtxrjuk45u59|Ancient</t>
  </si>
  <si>
    <t xml:space="preserve">ociqtxrjuk45u59|Nuke</t>
  </si>
  <si>
    <t xml:space="preserve">ociqtxrjuk45u59|Mirage</t>
  </si>
  <si>
    <t xml:space="preserve">ociqtxrjuk45u59|Inferno</t>
  </si>
  <si>
    <t xml:space="preserve">ociqtxrjuk45u59|Cache</t>
  </si>
  <si>
    <t xml:space="preserve">ociqtxrjuk45u59|Anubis</t>
  </si>
  <si>
    <t xml:space="preserve">lykfimmteia2jqy|Mirage</t>
  </si>
  <si>
    <t xml:space="preserve">lykfimmteia2jqy|Dust2</t>
  </si>
  <si>
    <t xml:space="preserve">lykfimmteia2jqy|Anubis</t>
  </si>
  <si>
    <t xml:space="preserve">lykfimmteia2jqy|Cache</t>
  </si>
  <si>
    <t xml:space="preserve">lykfimmteia2jqy|Inferno</t>
  </si>
  <si>
    <t xml:space="preserve">lykfimmteia2jqy|Ancient</t>
  </si>
  <si>
    <t xml:space="preserve">x8upaam3ujpx331|Dust2</t>
  </si>
  <si>
    <t xml:space="preserve">x8upaam3ujpx331|Ancient</t>
  </si>
  <si>
    <t xml:space="preserve">x8upaam3ujpx331|Nuke</t>
  </si>
  <si>
    <t xml:space="preserve">x8upaam3ujpx331|Mirage</t>
  </si>
  <si>
    <t xml:space="preserve">x8upaam3ujpx331|Inferno</t>
  </si>
  <si>
    <t xml:space="preserve">x8upaam3ujpx331|Cache</t>
  </si>
  <si>
    <t xml:space="preserve">x8upaam3ujpx331|Anubis</t>
  </si>
  <si>
    <t xml:space="preserve">byxa559c86wp8y2|Inferno</t>
  </si>
  <si>
    <t xml:space="preserve">byxa559c86wp8y2|Dust2</t>
  </si>
  <si>
    <t xml:space="preserve">byxa559c86wp8y2|Ancient</t>
  </si>
  <si>
    <t xml:space="preserve">byxa559c86wp8y2|Cache</t>
  </si>
  <si>
    <t xml:space="preserve">byxa559c86wp8y2|Nuke</t>
  </si>
  <si>
    <t xml:space="preserve">byxa559c86wp8y2|Mirage</t>
  </si>
  <si>
    <t xml:space="preserve">b09onydc0n1o0jq|Inferno</t>
  </si>
  <si>
    <t xml:space="preserve">b09onydc0n1o0jq|Dust2</t>
  </si>
  <si>
    <t xml:space="preserve">b09onydc0n1o0jq|Ancient</t>
  </si>
  <si>
    <t xml:space="preserve">b09onydc0n1o0jq|Cache</t>
  </si>
  <si>
    <t xml:space="preserve">b09onydc0n1o0jq|Nuke</t>
  </si>
  <si>
    <t xml:space="preserve">b09onydc0n1o0jq|Mirage</t>
  </si>
  <si>
    <t xml:space="preserve">u7heqep1e427ajx|Mirage</t>
  </si>
  <si>
    <t xml:space="preserve">u7heqep1e427ajx|Ancient</t>
  </si>
  <si>
    <t xml:space="preserve">u7heqep1e427ajx|Anubis</t>
  </si>
  <si>
    <t xml:space="preserve">u7heqep1e427ajx|Dust2</t>
  </si>
  <si>
    <t xml:space="preserve">u7heqep1e427ajx|Cache</t>
  </si>
  <si>
    <t xml:space="preserve">u7heqep1e427ajx|Inferno</t>
  </si>
  <si>
    <t xml:space="preserve">u7heqep1e427ajx|Nuke</t>
  </si>
  <si>
    <t xml:space="preserve">mge023ca076vnxt|Inferno</t>
  </si>
  <si>
    <t xml:space="preserve">mge023ca076vnxt|Dust2</t>
  </si>
  <si>
    <t xml:space="preserve">mge023ca076vnxt|Ancient</t>
  </si>
  <si>
    <t xml:space="preserve">mge023ca076vnxt|Cache</t>
  </si>
  <si>
    <t xml:space="preserve">mge023ca076vnxt|Nuke</t>
  </si>
  <si>
    <t xml:space="preserve">mge023ca076vnxt|Mirage</t>
  </si>
  <si>
    <t xml:space="preserve">rfuts2r0t85cd95|Cache</t>
  </si>
  <si>
    <t xml:space="preserve">rfuts2r0t85cd95|Dust2</t>
  </si>
  <si>
    <t xml:space="preserve">rfuts2r0t85cd95|Ancient</t>
  </si>
  <si>
    <t xml:space="preserve">rfuts2r0t85cd95|Mirage</t>
  </si>
  <si>
    <t xml:space="preserve">rfuts2r0t85cd95|Anubis</t>
  </si>
  <si>
    <t xml:space="preserve">rfuts2r0t85cd95|Inferno</t>
  </si>
  <si>
    <t xml:space="preserve">okzgw3wbik4w71f|Mirage</t>
  </si>
  <si>
    <t xml:space="preserve">okzgw3wbik4w71f|Anubis</t>
  </si>
  <si>
    <t xml:space="preserve">okzgw3wbik4w71f|Nuke</t>
  </si>
  <si>
    <t xml:space="preserve">okzgw3wbik4w71f|Cache</t>
  </si>
  <si>
    <t xml:space="preserve">okzgw3wbik4w71f|Inferno</t>
  </si>
  <si>
    <t xml:space="preserve">okzgw3wbik4w71f|Dust2</t>
  </si>
  <si>
    <t xml:space="preserve">okzgw3wbik4w71f|Ancient</t>
  </si>
  <si>
    <t xml:space="preserve">t2lttsuygcwlbxl|Cache</t>
  </si>
  <si>
    <t xml:space="preserve">t2lttsuygcwlbxl|Dust2</t>
  </si>
  <si>
    <t xml:space="preserve">t2lttsuygcwlbxl|Ancient</t>
  </si>
  <si>
    <t xml:space="preserve">t2lttsuygcwlbxl|Mirage</t>
  </si>
  <si>
    <t xml:space="preserve">t2lttsuygcwlbxl|Anubis</t>
  </si>
  <si>
    <t xml:space="preserve">t2lttsuygcwlbxl|Inferno</t>
  </si>
  <si>
    <t xml:space="preserve">eiab63phy81sn0c|Mirage</t>
  </si>
  <si>
    <t xml:space="preserve">eiab63phy81sn0c|Ancient</t>
  </si>
  <si>
    <t xml:space="preserve">eiab63phy81sn0c|Dust2</t>
  </si>
  <si>
    <t xml:space="preserve">eiab63phy81sn0c|Anubis</t>
  </si>
  <si>
    <t xml:space="preserve">eiab63phy81sn0c|Inferno</t>
  </si>
  <si>
    <t xml:space="preserve">eiab63phy81sn0c|Nuke</t>
  </si>
  <si>
    <t xml:space="preserve">u9fufnbk30lfitd|Mirage</t>
  </si>
  <si>
    <t xml:space="preserve">u9fufnbk30lfitd|Dust2</t>
  </si>
  <si>
    <t xml:space="preserve">u9fufnbk30lfitd|Anubis</t>
  </si>
  <si>
    <t xml:space="preserve">u9fufnbk30lfitd|Inferno</t>
  </si>
  <si>
    <t xml:space="preserve">u9fufnbk30lfitd|Cache</t>
  </si>
  <si>
    <t xml:space="preserve">u9fufnbk30lfitd|Ancient</t>
  </si>
  <si>
    <t xml:space="preserve">mp3vrg2adugpxjt|Cache</t>
  </si>
  <si>
    <t xml:space="preserve">mp3vrg2adugpxjt|Dust2</t>
  </si>
  <si>
    <t xml:space="preserve">mp3vrg2adugpxjt|Ancient</t>
  </si>
  <si>
    <t xml:space="preserve">mp3vrg2adugpxjt|Mirage</t>
  </si>
  <si>
    <t xml:space="preserve">mp3vrg2adugpxjt|Anubis</t>
  </si>
  <si>
    <t xml:space="preserve">mp3vrg2adugpxjt|Inferno</t>
  </si>
  <si>
    <t xml:space="preserve">7ehti0cn8n4gylc|Dust2</t>
  </si>
  <si>
    <t xml:space="preserve">7ehti0cn8n4gylc|Ancient</t>
  </si>
  <si>
    <t xml:space="preserve">7ehti0cn8n4gylc|Nuke</t>
  </si>
  <si>
    <t xml:space="preserve">7ehti0cn8n4gylc|Mirage</t>
  </si>
  <si>
    <t xml:space="preserve">7ehti0cn8n4gylc|Inferno</t>
  </si>
  <si>
    <t xml:space="preserve">7ehti0cn8n4gylc|Cache</t>
  </si>
  <si>
    <t xml:space="preserve">7ehti0cn8n4gylc|Anubis</t>
  </si>
  <si>
    <t xml:space="preserve">6nc5vmzm030q26g|Dust2</t>
  </si>
  <si>
    <t xml:space="preserve">6nc5vmzm030q26g|Ancient</t>
  </si>
  <si>
    <t xml:space="preserve">6nc5vmzm030q26g|Nuke</t>
  </si>
  <si>
    <t xml:space="preserve">6nc5vmzm030q26g|Mirage</t>
  </si>
  <si>
    <t xml:space="preserve">6nc5vmzm030q26g|Inferno</t>
  </si>
  <si>
    <t xml:space="preserve">6nc5vmzm030q26g|Anubis</t>
  </si>
  <si>
    <t xml:space="preserve">6nc5vmzm030q26g|Cache</t>
  </si>
  <si>
    <t xml:space="preserve">v15ff2btfwe796g|Cache</t>
  </si>
  <si>
    <t xml:space="preserve">v15ff2btfwe796g|Dust2</t>
  </si>
  <si>
    <t xml:space="preserve">v15ff2btfwe796g|Ancient</t>
  </si>
  <si>
    <t xml:space="preserve">v15ff2btfwe796g|Mirage</t>
  </si>
  <si>
    <t xml:space="preserve">v15ff2btfwe796g|Anubis</t>
  </si>
  <si>
    <t xml:space="preserve">v15ff2btfwe796g|Inferno</t>
  </si>
  <si>
    <t xml:space="preserve">hibcd1uwtnvwavq|Inferno</t>
  </si>
  <si>
    <t xml:space="preserve">hibcd1uwtnvwavq|Ancient</t>
  </si>
  <si>
    <t xml:space="preserve">hibcd1uwtnvwavq|Dust2</t>
  </si>
  <si>
    <t xml:space="preserve">hibcd1uwtnvwavq|Cache</t>
  </si>
  <si>
    <t xml:space="preserve">hibcd1uwtnvwavq|Nuke</t>
  </si>
  <si>
    <t xml:space="preserve">hibcd1uwtnvwavq|Mirage</t>
  </si>
  <si>
    <t xml:space="preserve">r77hvt5nvgfdk4q|Mirage</t>
  </si>
  <si>
    <t xml:space="preserve">r77hvt5nvgfdk4q|Dust2</t>
  </si>
  <si>
    <t xml:space="preserve">r77hvt5nvgfdk4q|Anubis</t>
  </si>
  <si>
    <t xml:space="preserve">r77hvt5nvgfdk4q|Cache</t>
  </si>
  <si>
    <t xml:space="preserve">r77hvt5nvgfdk4q|Inferno</t>
  </si>
  <si>
    <t xml:space="preserve">r77hvt5nvgfdk4q|Ancient</t>
  </si>
  <si>
    <t xml:space="preserve">agwfljw0nydsug9|Cache</t>
  </si>
  <si>
    <t xml:space="preserve">agwfljw0nydsug9|Dust2</t>
  </si>
  <si>
    <t xml:space="preserve">agwfljw0nydsug9|Ancient</t>
  </si>
  <si>
    <t xml:space="preserve">agwfljw0nydsug9|Mirage</t>
  </si>
  <si>
    <t xml:space="preserve">agwfljw0nydsug9|Anubis</t>
  </si>
  <si>
    <t xml:space="preserve">agwfljw0nydsug9|Inferno</t>
  </si>
  <si>
    <t xml:space="preserve">9qcftadrz2wvr8c|Mirage</t>
  </si>
  <si>
    <t xml:space="preserve">9qcftadrz2wvr8c|Ancient</t>
  </si>
  <si>
    <t xml:space="preserve">9qcftadrz2wvr8c|Dust2</t>
  </si>
  <si>
    <t xml:space="preserve">9qcftadrz2wvr8c|Anubis</t>
  </si>
  <si>
    <t xml:space="preserve">9qcftadrz2wvr8c|Inferno</t>
  </si>
  <si>
    <t xml:space="preserve">9qcftadrz2wvr8c|Nuke</t>
  </si>
  <si>
    <t xml:space="preserve">ayxk4sbko48l7n5|Dust2</t>
  </si>
  <si>
    <t xml:space="preserve">ayxk4sbko48l7n5|Ancient</t>
  </si>
  <si>
    <t xml:space="preserve">ayxk4sbko48l7n5|Nuke</t>
  </si>
  <si>
    <t xml:space="preserve">ayxk4sbko48l7n5|Mirage</t>
  </si>
  <si>
    <t xml:space="preserve">ayxk4sbko48l7n5|Inferno</t>
  </si>
  <si>
    <t xml:space="preserve">ayxk4sbko48l7n5|Anubis</t>
  </si>
  <si>
    <t xml:space="preserve">ayxk4sbko48l7n5|Cache</t>
  </si>
  <si>
    <t xml:space="preserve">c6a08bou2ctu0wf|Mirage</t>
  </si>
  <si>
    <t xml:space="preserve">c6a08bou2ctu0wf|Ancient</t>
  </si>
  <si>
    <t xml:space="preserve">c6a08bou2ctu0wf|Anubis</t>
  </si>
  <si>
    <t xml:space="preserve">c6a08bou2ctu0wf|Dust2</t>
  </si>
  <si>
    <t xml:space="preserve">c6a08bou2ctu0wf|Inferno</t>
  </si>
  <si>
    <t xml:space="preserve">c6a08bou2ctu0wf|Nuke</t>
  </si>
  <si>
    <t xml:space="preserve">dlqk8dkrpmqycx2|Lotus</t>
  </si>
  <si>
    <t xml:space="preserve">dlqk8dkrpmqycx2|Haven</t>
  </si>
  <si>
    <t xml:space="preserve">dlqk8dkrpmqycx2|Split</t>
  </si>
  <si>
    <t xml:space="preserve">dlqk8dkrpmqycx2|Ascent</t>
  </si>
  <si>
    <t xml:space="preserve">dlqk8dkrpmqycx2|Bind</t>
  </si>
  <si>
    <t xml:space="preserve">dlqk8dkrpmqycx2|Sunset</t>
  </si>
  <si>
    <t xml:space="preserve">dlqk8dkrpmqycx2|Abyss</t>
  </si>
  <si>
    <t xml:space="preserve">dlqk8dkrpmqycx2|Corrode</t>
  </si>
  <si>
    <t xml:space="preserve">dlqk8dkrpmqycx2|Pearl</t>
  </si>
  <si>
    <t xml:space="preserve">dlqk8dkrpmqycx2|Summit</t>
  </si>
  <si>
    <t xml:space="preserve">dlqk8dkrpmqycx2|Icebox</t>
  </si>
  <si>
    <t xml:space="preserve">hwtnmje2qz17otr|Lotus</t>
  </si>
  <si>
    <t xml:space="preserve">hwtnmje2qz17otr|Pearl</t>
  </si>
  <si>
    <t xml:space="preserve">hwtnmje2qz17otr|Split</t>
  </si>
  <si>
    <t xml:space="preserve">hwtnmje2qz17otr|Fracture</t>
  </si>
  <si>
    <t xml:space="preserve">hwtnmje2qz17otr|Breeze</t>
  </si>
  <si>
    <t xml:space="preserve">hwtnmje2qz17otr|Ascent</t>
  </si>
  <si>
    <t xml:space="preserve">hwtnmje2qz17otr|Bind</t>
  </si>
  <si>
    <t xml:space="preserve">hwtnmje2qz17otr|Haven</t>
  </si>
  <si>
    <t xml:space="preserve">8aqf9wzagbzh5lz|Lotus</t>
  </si>
  <si>
    <t xml:space="preserve">8aqf9wzagbzh5lz|Sunset</t>
  </si>
  <si>
    <t xml:space="preserve">8aqf9wzagbzh5lz|Icebox</t>
  </si>
  <si>
    <t xml:space="preserve">8aqf9wzagbzh5lz|Bind</t>
  </si>
  <si>
    <t xml:space="preserve">8aqf9wzagbzh5lz|Abyss</t>
  </si>
  <si>
    <t xml:space="preserve">8aqf9wzagbzh5lz|Ascent</t>
  </si>
  <si>
    <t xml:space="preserve">8aqf9wzagbzh5lz|Breeze</t>
  </si>
  <si>
    <t xml:space="preserve">5nhm6xv9z7vjbpb|Breeze</t>
  </si>
  <si>
    <t xml:space="preserve">5nhm6xv9z7vjbpb|Split</t>
  </si>
  <si>
    <t xml:space="preserve">5nhm6xv9z7vjbpb|Haven</t>
  </si>
  <si>
    <t xml:space="preserve">5nhm6xv9z7vjbpb|Ascent</t>
  </si>
  <si>
    <t xml:space="preserve">5nhm6xv9z7vjbpb|Pearl</t>
  </si>
  <si>
    <t xml:space="preserve">5nhm6xv9z7vjbpb|Sunset</t>
  </si>
  <si>
    <t xml:space="preserve">5nhm6xv9z7vjbpb|Lotus</t>
  </si>
  <si>
    <t xml:space="preserve">5nhm6xv9z7vjbpb|Bind</t>
  </si>
  <si>
    <t xml:space="preserve">5nhm6xv9z7vjbpb|Fracture</t>
  </si>
  <si>
    <t xml:space="preserve">5nhm6xv9z7vjbpb|Abyss</t>
  </si>
  <si>
    <t xml:space="preserve">g3d7176bxskh8c8|Haven</t>
  </si>
  <si>
    <t xml:space="preserve">g3d7176bxskh8c8|Summit</t>
  </si>
  <si>
    <t xml:space="preserve">g3d7176bxskh8c8|Sunset</t>
  </si>
  <si>
    <t xml:space="preserve">g3d7176bxskh8c8|Breeze</t>
  </si>
  <si>
    <t xml:space="preserve">g3d7176bxskh8c8|Split</t>
  </si>
  <si>
    <t xml:space="preserve">g3d7176bxskh8c8|Ascent</t>
  </si>
  <si>
    <t xml:space="preserve">g3d7176bxskh8c8|Fracture</t>
  </si>
  <si>
    <t xml:space="preserve">g3d7176bxskh8c8|Lotus</t>
  </si>
  <si>
    <t xml:space="preserve">g3d7176bxskh8c8|Pearl</t>
  </si>
  <si>
    <t xml:space="preserve">co568st5wr6pnqv|Lotus</t>
  </si>
  <si>
    <t xml:space="preserve">co568st5wr6pnqv|Haven</t>
  </si>
  <si>
    <t xml:space="preserve">co568st5wr6pnqv|Split</t>
  </si>
  <si>
    <t xml:space="preserve">co568st5wr6pnqv|Sunset</t>
  </si>
  <si>
    <t xml:space="preserve">co568st5wr6pnqv|Breeze</t>
  </si>
  <si>
    <t xml:space="preserve">co568st5wr6pnqv|Pearl</t>
  </si>
  <si>
    <t xml:space="preserve">co568st5wr6pnqv|Corrode</t>
  </si>
  <si>
    <t xml:space="preserve">co568st5wr6pnqv|Bind</t>
  </si>
  <si>
    <t xml:space="preserve">co568st5wr6pnqv|Ascent</t>
  </si>
  <si>
    <t xml:space="preserve">co568st5wr6pnqv|Summit</t>
  </si>
  <si>
    <t xml:space="preserve">co568st5wr6pnqv|Fracture</t>
  </si>
  <si>
    <t xml:space="preserve">co568st5wr6pnqv|Abyss</t>
  </si>
  <si>
    <t xml:space="preserve">7qoedjneu0q6i8b|Lotus</t>
  </si>
  <si>
    <t xml:space="preserve">7qoedjneu0q6i8b|Haven</t>
  </si>
  <si>
    <t xml:space="preserve">7qoedjneu0q6i8b|Split</t>
  </si>
  <si>
    <t xml:space="preserve">7qoedjneu0q6i8b|Bind</t>
  </si>
  <si>
    <t xml:space="preserve">7qoedjneu0q6i8b|Sunset</t>
  </si>
  <si>
    <t xml:space="preserve">7qoedjneu0q6i8b|Icebox</t>
  </si>
  <si>
    <t xml:space="preserve">7qoedjneu0q6i8b|Ascent</t>
  </si>
  <si>
    <t xml:space="preserve">7qoedjneu0q6i8b|Abyss</t>
  </si>
  <si>
    <t xml:space="preserve">fl4ta9g39ylnp3t|Haven</t>
  </si>
  <si>
    <t xml:space="preserve">fl4ta9g39ylnp3t|Pearl</t>
  </si>
  <si>
    <t xml:space="preserve">fl4ta9g39ylnp3t|Ascent</t>
  </si>
  <si>
    <t xml:space="preserve">fl4ta9g39ylnp3t|Lotus</t>
  </si>
  <si>
    <t xml:space="preserve">fl4ta9g39ylnp3t|Abyss</t>
  </si>
  <si>
    <t xml:space="preserve">fl4ta9g39ylnp3t|Fracture</t>
  </si>
  <si>
    <t xml:space="preserve">fl4ta9g39ylnp3t|Bind</t>
  </si>
  <si>
    <t xml:space="preserve">fl4ta9g39ylnp3t|Icebox</t>
  </si>
  <si>
    <t xml:space="preserve">fl4ta9g39ylnp3t|Sunset</t>
  </si>
  <si>
    <t xml:space="preserve">fl4ta9g39ylnp3t|Split</t>
  </si>
  <si>
    <t xml:space="preserve">vhavgrzw6kysqhl|Lotus</t>
  </si>
  <si>
    <t xml:space="preserve">vhavgrzw6kysqhl|Haven</t>
  </si>
  <si>
    <t xml:space="preserve">vhavgrzw6kysqhl|Split</t>
  </si>
  <si>
    <t xml:space="preserve">vhavgrzw6kysqhl|Sunset</t>
  </si>
  <si>
    <t xml:space="preserve">vhavgrzw6kysqhl|Breeze</t>
  </si>
  <si>
    <t xml:space="preserve">vhavgrzw6kysqhl|Corrode</t>
  </si>
  <si>
    <t xml:space="preserve">vhavgrzw6kysqhl|Pearl</t>
  </si>
  <si>
    <t xml:space="preserve">vhavgrzw6kysqhl|Bind</t>
  </si>
  <si>
    <t xml:space="preserve">vhavgrzw6kysqhl|Fracture</t>
  </si>
  <si>
    <t xml:space="preserve">vhavgrzw6kysqhl|Summit</t>
  </si>
  <si>
    <t xml:space="preserve">vhavgrzw6kysqhl|Abyss</t>
  </si>
  <si>
    <t xml:space="preserve">vhavgrzw6kysqhl|Ascent</t>
  </si>
  <si>
    <t xml:space="preserve">s97p69iqpswvy3k|Lotus</t>
  </si>
  <si>
    <t xml:space="preserve">s97p69iqpswvy3k|Haven</t>
  </si>
  <si>
    <t xml:space="preserve">s97p69iqpswvy3k|Split</t>
  </si>
  <si>
    <t xml:space="preserve">s97p69iqpswvy3k|Ascent</t>
  </si>
  <si>
    <t xml:space="preserve">s97p69iqpswvy3k|Bind</t>
  </si>
  <si>
    <t xml:space="preserve">s97p69iqpswvy3k|Sunset</t>
  </si>
  <si>
    <t xml:space="preserve">s97p69iqpswvy3k|Corrode</t>
  </si>
  <si>
    <t xml:space="preserve">s97p69iqpswvy3k|Abyss</t>
  </si>
  <si>
    <t xml:space="preserve">s97p69iqpswvy3k|Summit</t>
  </si>
  <si>
    <t xml:space="preserve">s97p69iqpswvy3k|Pearl</t>
  </si>
  <si>
    <t xml:space="preserve">gm2ulssn4ht3y2s|Lotus</t>
  </si>
  <si>
    <t xml:space="preserve">gm2ulssn4ht3y2s|Icebox</t>
  </si>
  <si>
    <t xml:space="preserve">gm2ulssn4ht3y2s|Haven</t>
  </si>
  <si>
    <t xml:space="preserve">gm2ulssn4ht3y2s|Abyss</t>
  </si>
  <si>
    <t xml:space="preserve">gm2ulssn4ht3y2s|Fracture</t>
  </si>
  <si>
    <t xml:space="preserve">gm2ulssn4ht3y2s|Sunset</t>
  </si>
  <si>
    <t xml:space="preserve">gm2ulssn4ht3y2s|Bind</t>
  </si>
  <si>
    <t xml:space="preserve">gm2ulssn4ht3y2s|Split</t>
  </si>
  <si>
    <t xml:space="preserve">gm2ulssn4ht3y2s|Breeze</t>
  </si>
  <si>
    <t xml:space="preserve">an0i341jwe8blbi|Haven</t>
  </si>
  <si>
    <t xml:space="preserve">an0i341jwe8blbi|Lotus</t>
  </si>
  <si>
    <t xml:space="preserve">an0i341jwe8blbi|Split</t>
  </si>
  <si>
    <t xml:space="preserve">an0i341jwe8blbi|Bind</t>
  </si>
  <si>
    <t xml:space="preserve">an0i341jwe8blbi|Ascent</t>
  </si>
  <si>
    <t xml:space="preserve">an0i341jwe8blbi|Sunset</t>
  </si>
  <si>
    <t xml:space="preserve">an0i341jwe8blbi|Corrode</t>
  </si>
  <si>
    <t xml:space="preserve">an0i341jwe8blbi|Abyss</t>
  </si>
  <si>
    <t xml:space="preserve">an0i341jwe8blbi|Pearl</t>
  </si>
  <si>
    <t xml:space="preserve">an0i341jwe8blbi|Summit</t>
  </si>
  <si>
    <t xml:space="preserve">7bx7bre77fcpsbi|Sunset</t>
  </si>
  <si>
    <t xml:space="preserve">7bx7bre77fcpsbi|Split</t>
  </si>
  <si>
    <t xml:space="preserve">7bx7bre77fcpsbi|Bind</t>
  </si>
  <si>
    <t xml:space="preserve">7bx7bre77fcpsbi|Haven</t>
  </si>
  <si>
    <t xml:space="preserve">7bx7bre77fcpsbi|Icebox</t>
  </si>
  <si>
    <t xml:space="preserve">7bx7bre77fcpsbi|Lotus</t>
  </si>
  <si>
    <t xml:space="preserve">7bx7bre77fcpsbi|Breeze</t>
  </si>
  <si>
    <t xml:space="preserve">5tdxwk4hjx6kwvd|Lotus</t>
  </si>
  <si>
    <t xml:space="preserve">5tdxwk4hjx6kwvd|Haven</t>
  </si>
  <si>
    <t xml:space="preserve">5tdxwk4hjx6kwvd|Split</t>
  </si>
  <si>
    <t xml:space="preserve">5tdxwk4hjx6kwvd|Sunset</t>
  </si>
  <si>
    <t xml:space="preserve">5tdxwk4hjx6kwvd|Breeze</t>
  </si>
  <si>
    <t xml:space="preserve">5tdxwk4hjx6kwvd|Pearl</t>
  </si>
  <si>
    <t xml:space="preserve">5tdxwk4hjx6kwvd|Corrode</t>
  </si>
  <si>
    <t xml:space="preserve">5tdxwk4hjx6kwvd|Bind</t>
  </si>
  <si>
    <t xml:space="preserve">5tdxwk4hjx6kwvd|Abyss</t>
  </si>
  <si>
    <t xml:space="preserve">5tdxwk4hjx6kwvd|Fracture</t>
  </si>
  <si>
    <t xml:space="preserve">5tdxwk4hjx6kwvd|Ascent</t>
  </si>
  <si>
    <t xml:space="preserve">5tdxwk4hjx6kwvd|Summit</t>
  </si>
  <si>
    <t xml:space="preserve">anlb3czpjb9tybg|Lotus</t>
  </si>
  <si>
    <t xml:space="preserve">anlb3czpjb9tybg|Haven</t>
  </si>
  <si>
    <t xml:space="preserve">anlb3czpjb9tybg|Split</t>
  </si>
  <si>
    <t xml:space="preserve">anlb3czpjb9tybg|Breeze</t>
  </si>
  <si>
    <t xml:space="preserve">anlb3czpjb9tybg|Sunset</t>
  </si>
  <si>
    <t xml:space="preserve">anlb3czpjb9tybg|Corrode</t>
  </si>
  <si>
    <t xml:space="preserve">anlb3czpjb9tybg|Pearl</t>
  </si>
  <si>
    <t xml:space="preserve">anlb3czpjb9tybg|Bind</t>
  </si>
  <si>
    <t xml:space="preserve">anlb3czpjb9tybg|Summit</t>
  </si>
  <si>
    <t xml:space="preserve">anlb3czpjb9tybg|Abyss</t>
  </si>
  <si>
    <t xml:space="preserve">anlb3czpjb9tybg|Fracture</t>
  </si>
  <si>
    <t xml:space="preserve">anlb3czpjb9tybg|Ascent</t>
  </si>
  <si>
    <t xml:space="preserve">t73962z8fnbjb10|Lotus</t>
  </si>
  <si>
    <t xml:space="preserve">t73962z8fnbjb10|Haven</t>
  </si>
  <si>
    <t xml:space="preserve">t73962z8fnbjb10|Split</t>
  </si>
  <si>
    <t xml:space="preserve">t73962z8fnbjb10|Sunset</t>
  </si>
  <si>
    <t xml:space="preserve">t73962z8fnbjb10|Breeze</t>
  </si>
  <si>
    <t xml:space="preserve">t73962z8fnbjb10|Pearl</t>
  </si>
  <si>
    <t xml:space="preserve">t73962z8fnbjb10|Corrode</t>
  </si>
  <si>
    <t xml:space="preserve">t73962z8fnbjb10|Bind</t>
  </si>
  <si>
    <t xml:space="preserve">t73962z8fnbjb10|Abyss</t>
  </si>
  <si>
    <t xml:space="preserve">t73962z8fnbjb10|Summit</t>
  </si>
  <si>
    <t xml:space="preserve">t73962z8fnbjb10|Fracture</t>
  </si>
  <si>
    <t xml:space="preserve">t73962z8fnbjb10|Ascent</t>
  </si>
  <si>
    <t xml:space="preserve">gooz0lacovlufx7|Lotus</t>
  </si>
  <si>
    <t xml:space="preserve">gooz0lacovlufx7|Sunset</t>
  </si>
  <si>
    <t xml:space="preserve">gooz0lacovlufx7|Icebox</t>
  </si>
  <si>
    <t xml:space="preserve">gooz0lacovlufx7|Bind</t>
  </si>
  <si>
    <t xml:space="preserve">gooz0lacovlufx7|Breeze</t>
  </si>
  <si>
    <t xml:space="preserve">gooz0lacovlufx7|Split</t>
  </si>
  <si>
    <t xml:space="preserve">gooz0lacovlufx7|Haven</t>
  </si>
  <si>
    <t xml:space="preserve">gooz0lacovlufx7|Abyss</t>
  </si>
  <si>
    <t xml:space="preserve">gooz0lacovlufx7|Ascent</t>
  </si>
  <si>
    <t xml:space="preserve">gooz0lacovlufx7|Fracture</t>
  </si>
  <si>
    <t xml:space="preserve">q0reqnvw1p9zqan|Sunset</t>
  </si>
  <si>
    <t xml:space="preserve">q0reqnvw1p9zqan|Haven</t>
  </si>
  <si>
    <t xml:space="preserve">q0reqnvw1p9zqan|Icebox</t>
  </si>
  <si>
    <t xml:space="preserve">mewu9r5qiadpn7m|Haven</t>
  </si>
  <si>
    <t xml:space="preserve">mewu9r5qiadpn7m|Summit</t>
  </si>
  <si>
    <t xml:space="preserve">mewu9r5qiadpn7m|Sunset</t>
  </si>
  <si>
    <t xml:space="preserve">mewu9r5qiadpn7m|Breeze</t>
  </si>
  <si>
    <t xml:space="preserve">mewu9r5qiadpn7m|Split</t>
  </si>
  <si>
    <t xml:space="preserve">mewu9r5qiadpn7m|Ascent</t>
  </si>
  <si>
    <t xml:space="preserve">mewu9r5qiadpn7m|Fracture</t>
  </si>
  <si>
    <t xml:space="preserve">mewu9r5qiadpn7m|Lotus</t>
  </si>
  <si>
    <t xml:space="preserve">mewu9r5qiadpn7m|Pearl</t>
  </si>
  <si>
    <t xml:space="preserve">mvm848ch70u0hhn|Breeze</t>
  </si>
  <si>
    <t xml:space="preserve">mvm848ch70u0hhn|Split</t>
  </si>
  <si>
    <t xml:space="preserve">mvm848ch70u0hhn|Haven</t>
  </si>
  <si>
    <t xml:space="preserve">mvm848ch70u0hhn|Ascent</t>
  </si>
  <si>
    <t xml:space="preserve">mvm848ch70u0hhn|Pearl</t>
  </si>
  <si>
    <t xml:space="preserve">mvm848ch70u0hhn|Sunset</t>
  </si>
  <si>
    <t xml:space="preserve">mvm848ch70u0hhn|Lotus</t>
  </si>
  <si>
    <t xml:space="preserve">mvm848ch70u0hhn|Bind</t>
  </si>
  <si>
    <t xml:space="preserve">mvm848ch70u0hhn|Fracture</t>
  </si>
  <si>
    <t xml:space="preserve">mvm848ch70u0hhn|Abyss</t>
  </si>
  <si>
    <t xml:space="preserve">fmxau481di8vuel|Haven</t>
  </si>
  <si>
    <t xml:space="preserve">fmxau481di8vuel|Lotus</t>
  </si>
  <si>
    <t xml:space="preserve">fmxau481di8vuel|Sunset</t>
  </si>
  <si>
    <t xml:space="preserve">fmxau481di8vuel|Split</t>
  </si>
  <si>
    <t xml:space="preserve">fmxau481di8vuel|Ascent</t>
  </si>
  <si>
    <t xml:space="preserve">fmxau481di8vuel|Bind</t>
  </si>
  <si>
    <t xml:space="preserve">fmxau481di8vuel|Icebox</t>
  </si>
  <si>
    <t xml:space="preserve">fmxau481di8vuel|Corrode</t>
  </si>
  <si>
    <t xml:space="preserve">fmxau481di8vuel|Abyss</t>
  </si>
  <si>
    <t xml:space="preserve">fmxau481di8vuel|Summit</t>
  </si>
  <si>
    <t xml:space="preserve">fmxau481di8vuel|Pearl</t>
  </si>
  <si>
    <t xml:space="preserve">ih9i6lpirlb21cm|Haven</t>
  </si>
  <si>
    <t xml:space="preserve">ih9i6lpirlb21cm|Breeze</t>
  </si>
  <si>
    <t xml:space="preserve">ih9i6lpirlb21cm|Split</t>
  </si>
  <si>
    <t xml:space="preserve">ih9i6lpirlb21cm|Summit</t>
  </si>
  <si>
    <t xml:space="preserve">ih9i6lpirlb21cm|Sunset</t>
  </si>
  <si>
    <t xml:space="preserve">ih9i6lpirlb21cm|Ascent</t>
  </si>
  <si>
    <t xml:space="preserve">ih9i6lpirlb21cm|Lotus</t>
  </si>
  <si>
    <t xml:space="preserve">ih9i6lpirlb21cm|Fracture</t>
  </si>
  <si>
    <t xml:space="preserve">ih9i6lpirlb21cm|Pearl</t>
  </si>
  <si>
    <t xml:space="preserve">a6n8u51zq3330pf|Lotus</t>
  </si>
  <si>
    <t xml:space="preserve">a6n8u51zq3330pf|Sunset</t>
  </si>
  <si>
    <t xml:space="preserve">a6n8u51zq3330pf|Haven</t>
  </si>
  <si>
    <t xml:space="preserve">a6n8u51zq3330pf|Fracture</t>
  </si>
  <si>
    <t xml:space="preserve">a6n8u51zq3330pf|Breeze</t>
  </si>
  <si>
    <t xml:space="preserve">a6n8u51zq3330pf|Split</t>
  </si>
  <si>
    <t xml:space="preserve">a6n8u51zq3330pf|Icebox</t>
  </si>
  <si>
    <t xml:space="preserve">a6n8u51zq3330pf|Ascent</t>
  </si>
  <si>
    <t xml:space="preserve">a6n8u51zq3330pf|Abyss</t>
  </si>
  <si>
    <t xml:space="preserve">a6n8u51zq3330pf|Bind</t>
  </si>
  <si>
    <t xml:space="preserve">gwvm5hplm55faie|Sunset</t>
  </si>
  <si>
    <t xml:space="preserve">gwvm5hplm55faie|Breeze</t>
  </si>
  <si>
    <t xml:space="preserve">gwvm5hplm55faie|Ascent</t>
  </si>
  <si>
    <t xml:space="preserve">gwvm5hplm55faie|Haven</t>
  </si>
  <si>
    <t xml:space="preserve">gwvm5hplm55faie|Lotus</t>
  </si>
  <si>
    <t xml:space="preserve">gwvm5hplm55faie|Pearl</t>
  </si>
  <si>
    <t xml:space="preserve">gwvm5hplm55faie|Split</t>
  </si>
  <si>
    <t xml:space="preserve">gwvm5hplm55faie|Abyss</t>
  </si>
  <si>
    <t xml:space="preserve">gwvm5hplm55faie|Bind</t>
  </si>
  <si>
    <t xml:space="preserve">gwvm5hplm55faie|Icebox</t>
  </si>
  <si>
    <t xml:space="preserve">gwvm5hplm55faie|Corrode</t>
  </si>
  <si>
    <t xml:space="preserve">gwvm5hplm55faie|Fracture</t>
  </si>
  <si>
    <t xml:space="preserve">gbwt5ar5z4j6gwa|Split</t>
  </si>
  <si>
    <t xml:space="preserve">gbwt5ar5z4j6gwa|Breeze</t>
  </si>
  <si>
    <t xml:space="preserve">gbwt5ar5z4j6gwa|Ascent</t>
  </si>
  <si>
    <t xml:space="preserve">gbwt5ar5z4j6gwa|Haven</t>
  </si>
  <si>
    <t xml:space="preserve">gbwt5ar5z4j6gwa|Pearl</t>
  </si>
  <si>
    <t xml:space="preserve">gbwt5ar5z4j6gwa|Sunset</t>
  </si>
  <si>
    <t xml:space="preserve">gbwt5ar5z4j6gwa|Lotus</t>
  </si>
  <si>
    <t xml:space="preserve">gbwt5ar5z4j6gwa|Bind</t>
  </si>
  <si>
    <t xml:space="preserve">gbwt5ar5z4j6gwa|Fracture</t>
  </si>
  <si>
    <t xml:space="preserve">gbwt5ar5z4j6gwa|Abyss</t>
  </si>
  <si>
    <t xml:space="preserve">6d6efnrq3tu5sk4|Lotus</t>
  </si>
  <si>
    <t xml:space="preserve">6d6efnrq3tu5sk4|Haven</t>
  </si>
  <si>
    <t xml:space="preserve">6d6efnrq3tu5sk4|Split</t>
  </si>
  <si>
    <t xml:space="preserve">6d6efnrq3tu5sk4|Sunset</t>
  </si>
  <si>
    <t xml:space="preserve">6d6efnrq3tu5sk4|Breeze</t>
  </si>
  <si>
    <t xml:space="preserve">6d6efnrq3tu5sk4|Summit</t>
  </si>
  <si>
    <t xml:space="preserve">6d6efnrq3tu5sk4|Pearl</t>
  </si>
  <si>
    <t xml:space="preserve">f2t86wuc45d2ck0|Lotus</t>
  </si>
  <si>
    <t xml:space="preserve">f2t86wuc45d2ck0|Ascent</t>
  </si>
  <si>
    <t xml:space="preserve">f2t86wuc45d2ck0|Sunset</t>
  </si>
  <si>
    <t xml:space="preserve">f2t86wuc45d2ck0|Haven</t>
  </si>
  <si>
    <t xml:space="preserve">f2t86wuc45d2ck0|Split</t>
  </si>
  <si>
    <t xml:space="preserve">f2t86wuc45d2ck0|Breeze</t>
  </si>
  <si>
    <t xml:space="preserve">f2t86wuc45d2ck0|Icebox</t>
  </si>
  <si>
    <t xml:space="preserve">f2t86wuc45d2ck0|Abyss</t>
  </si>
  <si>
    <t xml:space="preserve">f2t86wuc45d2ck0|Fracture</t>
  </si>
  <si>
    <t xml:space="preserve">lx0a4p8zn6heucd|Breeze</t>
  </si>
  <si>
    <t xml:space="preserve">lx0a4p8zn6heucd|Split</t>
  </si>
  <si>
    <t xml:space="preserve">lx0a4p8zn6heucd|Ascent</t>
  </si>
  <si>
    <t xml:space="preserve">lx0a4p8zn6heucd|Pearl</t>
  </si>
  <si>
    <t xml:space="preserve">lx0a4p8zn6heucd|Haven</t>
  </si>
  <si>
    <t xml:space="preserve">lx0a4p8zn6heucd|Sunset</t>
  </si>
  <si>
    <t xml:space="preserve">lx0a4p8zn6heucd|Lotus</t>
  </si>
  <si>
    <t xml:space="preserve">lx0a4p8zn6heucd|Bind</t>
  </si>
  <si>
    <t xml:space="preserve">lx0a4p8zn6heucd|Fracture</t>
  </si>
  <si>
    <t xml:space="preserve">lx0a4p8zn6heucd|Abyss</t>
  </si>
  <si>
    <t xml:space="preserve">lj21qptpk5ehxvr|Haven</t>
  </si>
  <si>
    <t xml:space="preserve">lj21qptpk5ehxvr|Fracture</t>
  </si>
  <si>
    <t xml:space="preserve">lj21qptpk5ehxvr|Bind</t>
  </si>
  <si>
    <t xml:space="preserve">lj21qptpk5ehxvr|Ascent</t>
  </si>
  <si>
    <t xml:space="preserve">lj21qptpk5ehxvr|Split</t>
  </si>
  <si>
    <t xml:space="preserve">lj21qptpk5ehxvr|Sunset</t>
  </si>
  <si>
    <t xml:space="preserve">lj21qptpk5ehxvr|Lotus</t>
  </si>
  <si>
    <t xml:space="preserve">lj21qptpk5ehxvr|Breeze</t>
  </si>
  <si>
    <t xml:space="preserve">lj21qptpk5ehxvr|Icebox</t>
  </si>
  <si>
    <t xml:space="preserve">3u96q1p9a5iz2w7|Haven</t>
  </si>
  <si>
    <t xml:space="preserve">3u96q1p9a5iz2w7|Sunset</t>
  </si>
  <si>
    <t xml:space="preserve">3u96q1p9a5iz2w7|Summit</t>
  </si>
  <si>
    <t xml:space="preserve">3u96q1p9a5iz2w7|Breeze</t>
  </si>
  <si>
    <t xml:space="preserve">3u96q1p9a5iz2w7|Split</t>
  </si>
  <si>
    <t xml:space="preserve">3u96q1p9a5iz2w7|Ascent</t>
  </si>
  <si>
    <t xml:space="preserve">3u96q1p9a5iz2w7|Fracture</t>
  </si>
  <si>
    <t xml:space="preserve">3u96q1p9a5iz2w7|Lotus</t>
  </si>
  <si>
    <t xml:space="preserve">3u96q1p9a5iz2w7|Pearl</t>
  </si>
  <si>
    <t xml:space="preserve">9l1tvzdv24r15dc|Lotus</t>
  </si>
  <si>
    <t xml:space="preserve">9l1tvzdv24r15dc|Haven</t>
  </si>
  <si>
    <t xml:space="preserve">9l1tvzdv24r15dc|Split</t>
  </si>
  <si>
    <t xml:space="preserve">9l1tvzdv24r15dc|Ascent</t>
  </si>
  <si>
    <t xml:space="preserve">9l1tvzdv24r15dc|Sunset</t>
  </si>
  <si>
    <t xml:space="preserve">9l1tvzdv24r15dc|Pearl</t>
  </si>
  <si>
    <t xml:space="preserve">9l1tvzdv24r15dc|Icebox</t>
  </si>
  <si>
    <t xml:space="preserve">9l1tvzdv24r15dc|Bind</t>
  </si>
  <si>
    <t xml:space="preserve">9l1tvzdv24r15dc|Summit</t>
  </si>
  <si>
    <t xml:space="preserve">9l1tvzdv24r15dc|Corrode</t>
  </si>
  <si>
    <t xml:space="preserve">9l1tvzdv24r15dc|Abyss</t>
  </si>
  <si>
    <t xml:space="preserve">TP player name</t>
  </si>
  <si>
    <t xml:space="preserve">Map 1 median</t>
  </si>
  <si>
    <t xml:space="preserve">Map 1 rungs</t>
  </si>
  <si>
    <t xml:space="preserve">Map 2 median</t>
  </si>
  <si>
    <t xml:space="preserve">Map 2 rungs</t>
  </si>
  <si>
    <t xml:space="preserve">Maps 1-2 median</t>
  </si>
  <si>
    <t xml:space="preserve">Matched PID</t>
  </si>
  <si>
    <t xml:space="preserve">0samas</t>
  </si>
  <si>
    <t xml:space="preserve">bibu</t>
  </si>
  <si>
    <t xml:space="preserve">cacanito</t>
  </si>
  <si>
    <t xml:space="preserve">jottaaa</t>
  </si>
  <si>
    <t xml:space="preserve">kvem</t>
  </si>
  <si>
    <t xml:space="preserve">m1n1</t>
  </si>
  <si>
    <t xml:space="preserve">mistem</t>
  </si>
  <si>
    <t xml:space="preserve">soulfly</t>
  </si>
  <si>
    <t xml:space="preserve">jelly</t>
  </si>
  <si>
    <t xml:space="preserve">joojina</t>
  </si>
  <si>
    <t xml:space="preserve">marti</t>
  </si>
  <si>
    <t xml:space="preserve">nami</t>
  </si>
  <si>
    <t xml:space="preserve">wens</t>
  </si>
  <si>
    <t xml:space="preserve">antg</t>
  </si>
  <si>
    <t xml:space="preserve">dana</t>
  </si>
  <si>
    <t xml:space="preserve">mint</t>
  </si>
  <si>
    <t xml:space="preserve">none</t>
  </si>
  <si>
    <t xml:space="preserve">ponix</t>
  </si>
  <si>
    <t xml:space="preserve">yamzzi</t>
  </si>
  <si>
    <t xml:space="preserve">Total</t>
  </si>
  <si>
    <t xml:space="preserve">Over odds</t>
  </si>
  <si>
    <t xml:space="preserve">Under odds</t>
  </si>
  <si>
    <t xml:space="preserve">P(over) devigged</t>
  </si>
  <si>
    <t xml:space="preserve">50% crossing</t>
  </si>
  <si>
    <t xml:space="preserve">HLTV team</t>
  </si>
  <si>
    <t xml:space="preserve">Sample (3 months)</t>
  </si>
  <si>
    <t xml:space="preserve">Rounds lost in wins</t>
  </si>
  <si>
    <t xml:space="preserve">Rounds won in losses</t>
  </si>
  <si>
    <t xml:space="preserve">P(2-0)</t>
  </si>
  <si>
    <t xml:space="preserve">P(2-1)</t>
  </si>
  <si>
    <t xml:space="preserve">P(0-2)</t>
  </si>
  <si>
    <t xml:space="preserve">P(1-2)</t>
  </si>
  <si>
    <t xml:space="preserve">OT %</t>
  </si>
  <si>
    <t xml:space="preserve">Map win rate</t>
  </si>
  <si>
    <t xml:space="preserve">Hist round share</t>
  </si>
  <si>
    <t xml:space="preserve">CS2 · JJH vs EF|A</t>
  </si>
  <si>
    <t xml:space="preserve">A</t>
  </si>
  <si>
    <t xml:space="preserve">JiJieHao</t>
  </si>
  <si>
    <t xml:space="preserve">CS2 · JJH vs EF|B</t>
  </si>
  <si>
    <t xml:space="preserve">B</t>
  </si>
  <si>
    <t xml:space="preserve">Eternal Fire</t>
  </si>
  <si>
    <t xml:space="preserve">CS2 · ISG vs Hacha Esports|A</t>
  </si>
  <si>
    <t xml:space="preserve">Isurus</t>
  </si>
  <si>
    <t xml:space="preserve">CS2 · ISG vs Hacha Esports|B</t>
  </si>
  <si>
    <t xml:space="preserve">Hacha</t>
  </si>
  <si>
    <t xml:space="preserve">CS2 · BORRA vs QUIN|A</t>
  </si>
  <si>
    <t xml:space="preserve">BORRACHEIROS</t>
  </si>
  <si>
    <t xml:space="preserve">CS2 · BORRA vs QUIN|B</t>
  </si>
  <si>
    <t xml:space="preserve">QUINTESSÊNCIA</t>
  </si>
  <si>
    <t xml:space="preserve">CS2 · ALKA vs LN|A</t>
  </si>
  <si>
    <t xml:space="preserve">CS2 · ALKA vs LN|B</t>
  </si>
  <si>
    <t xml:space="preserve">LOS NINOS</t>
  </si>
  <si>
    <t xml:space="preserve">Key (match|side|map|stat)</t>
  </si>
  <si>
    <t xml:space="preserve">CS2 · JJH vs EF|A|ALL|lw</t>
  </si>
  <si>
    <t xml:space="preserve">CS2 · JJH vs EF|A|ALL|wl</t>
  </si>
  <si>
    <t xml:space="preserve">CS2 · JJH vs EF|A|Cache|lw</t>
  </si>
  <si>
    <t xml:space="preserve">CS2 · JJH vs EF|A|Cache|wl</t>
  </si>
  <si>
    <t xml:space="preserve">CS2 · JJH vs EF|A|Dust2|lw</t>
  </si>
  <si>
    <t xml:space="preserve">CS2 · JJH vs EF|A|Dust2|wl</t>
  </si>
  <si>
    <t xml:space="preserve">CS2 · JJH vs EF|A|Mirage|lw</t>
  </si>
  <si>
    <t xml:space="preserve">CS2 · JJH vs EF|A|Mirage|wl</t>
  </si>
  <si>
    <t xml:space="preserve">CS2 · JJH vs EF|A|Inferno|lw</t>
  </si>
  <si>
    <t xml:space="preserve">CS2 · JJH vs EF|A|Inferno|wl</t>
  </si>
  <si>
    <t xml:space="preserve">CS2 · JJH vs EF|A|Ancient|lw</t>
  </si>
  <si>
    <t xml:space="preserve">CS2 · JJH vs EF|A|Ancient|wl</t>
  </si>
  <si>
    <t xml:space="preserve">CS2 · JJH vs EF|A|Anubis|lw</t>
  </si>
  <si>
    <t xml:space="preserve">CS2 · JJH vs EF|A|Anubis|wl</t>
  </si>
  <si>
    <t xml:space="preserve">CS2 · JJH vs EF|B|ALL|lw</t>
  </si>
  <si>
    <t xml:space="preserve">CS2 · JJH vs EF|B|ALL|wl</t>
  </si>
  <si>
    <t xml:space="preserve">CS2 · JJH vs EF|B|Cache|lw</t>
  </si>
  <si>
    <t xml:space="preserve">CS2 · JJH vs EF|B|Cache|wl</t>
  </si>
  <si>
    <t xml:space="preserve">CS2 · JJH vs EF|B|Dust2|lw</t>
  </si>
  <si>
    <t xml:space="preserve">CS2 · JJH vs EF|B|Dust2|wl</t>
  </si>
  <si>
    <t xml:space="preserve">CS2 · JJH vs EF|B|Mirage|lw</t>
  </si>
  <si>
    <t xml:space="preserve">CS2 · JJH vs EF|B|Mirage|wl</t>
  </si>
  <si>
    <t xml:space="preserve">CS2 · JJH vs EF|B|Inferno|lw</t>
  </si>
  <si>
    <t xml:space="preserve">CS2 · JJH vs EF|B|Inferno|wl</t>
  </si>
  <si>
    <t xml:space="preserve">CS2 · JJH vs EF|B|Ancient|lw</t>
  </si>
  <si>
    <t xml:space="preserve">CS2 · JJH vs EF|B|Ancient|wl</t>
  </si>
  <si>
    <t xml:space="preserve">CS2 · JJH vs EF|B|Anubis|lw</t>
  </si>
  <si>
    <t xml:space="preserve">CS2 · JJH vs EF|B|Anubis|wl</t>
  </si>
  <si>
    <t xml:space="preserve">CS2 · ISG vs Hacha Esports|A|ALL|lw</t>
  </si>
  <si>
    <t xml:space="preserve">CS2 · ISG vs Hacha Esports|A|ALL|wl</t>
  </si>
  <si>
    <t xml:space="preserve">CS2 · ISG vs Hacha Esports|A|Cache|lw</t>
  </si>
  <si>
    <t xml:space="preserve">CS2 · ISG vs Hacha Esports|A|Cache|wl</t>
  </si>
  <si>
    <t xml:space="preserve">CS2 · ISG vs Hacha Esports|A|Dust2|lw</t>
  </si>
  <si>
    <t xml:space="preserve">CS2 · ISG vs Hacha Esports|A|Dust2|wl</t>
  </si>
  <si>
    <t xml:space="preserve">CS2 · ISG vs Hacha Esports|A|Mirage|lw</t>
  </si>
  <si>
    <t xml:space="preserve">CS2 · ISG vs Hacha Esports|A|Mirage|wl</t>
  </si>
  <si>
    <t xml:space="preserve">CS2 · ISG vs Hacha Esports|A|Inferno|lw</t>
  </si>
  <si>
    <t xml:space="preserve">CS2 · ISG vs Hacha Esports|A|Inferno|wl</t>
  </si>
  <si>
    <t xml:space="preserve">CS2 · ISG vs Hacha Esports|A|Nuke|lw</t>
  </si>
  <si>
    <t xml:space="preserve">CS2 · ISG vs Hacha Esports|A|Nuke|wl</t>
  </si>
  <si>
    <t xml:space="preserve">CS2 · ISG vs Hacha Esports|A|Ancient|lw</t>
  </si>
  <si>
    <t xml:space="preserve">CS2 · ISG vs Hacha Esports|A|Ancient|wl</t>
  </si>
  <si>
    <t xml:space="preserve">CS2 · ISG vs Hacha Esports|B|ALL|lw</t>
  </si>
  <si>
    <t xml:space="preserve">CS2 · ISG vs Hacha Esports|B|ALL|wl</t>
  </si>
  <si>
    <t xml:space="preserve">CS2 · ISG vs Hacha Esports|B|Dust2|lw</t>
  </si>
  <si>
    <t xml:space="preserve">CS2 · ISG vs Hacha Esports|B|Dust2|wl</t>
  </si>
  <si>
    <t xml:space="preserve">CS2 · ISG vs Hacha Esports|B|Mirage|lw</t>
  </si>
  <si>
    <t xml:space="preserve">CS2 · ISG vs Hacha Esports|B|Inferno|wl</t>
  </si>
  <si>
    <t xml:space="preserve">CS2 · ISG vs Hacha Esports|B|Nuke|lw</t>
  </si>
  <si>
    <t xml:space="preserve">CS2 · ISG vs Hacha Esports|B|Ancient|lw</t>
  </si>
  <si>
    <t xml:space="preserve">CS2 · ISG vs Hacha Esports|B|Ancient|wl</t>
  </si>
  <si>
    <t xml:space="preserve">CS2 · ISG vs Hacha Esports|B|Anubis|wl</t>
  </si>
  <si>
    <t xml:space="preserve">CS2 · BORRA vs QUIN|A|ALL|lw</t>
  </si>
  <si>
    <t xml:space="preserve">CS2 · BORRA vs QUIN|A|ALL|wl</t>
  </si>
  <si>
    <t xml:space="preserve">CS2 · BORRA vs QUIN|A|Dust2|lw</t>
  </si>
  <si>
    <t xml:space="preserve">CS2 · BORRA vs QUIN|A|Dust2|wl</t>
  </si>
  <si>
    <t xml:space="preserve">CS2 · BORRA vs QUIN|A|Mirage|lw</t>
  </si>
  <si>
    <t xml:space="preserve">CS2 · BORRA vs QUIN|A|Mirage|wl</t>
  </si>
  <si>
    <t xml:space="preserve">CS2 · BORRA vs QUIN|A|Inferno|lw</t>
  </si>
  <si>
    <t xml:space="preserve">CS2 · BORRA vs QUIN|A|Inferno|wl</t>
  </si>
  <si>
    <t xml:space="preserve">CS2 · BORRA vs QUIN|A|Nuke|lw</t>
  </si>
  <si>
    <t xml:space="preserve">CS2 · BORRA vs QUIN|A|Nuke|wl</t>
  </si>
  <si>
    <t xml:space="preserve">CS2 · BORRA vs QUIN|A|Ancient|lw</t>
  </si>
  <si>
    <t xml:space="preserve">CS2 · BORRA vs QUIN|A|Ancient|wl</t>
  </si>
  <si>
    <t xml:space="preserve">CS2 · BORRA vs QUIN|A|Anubis|lw</t>
  </si>
  <si>
    <t xml:space="preserve">CS2 · BORRA vs QUIN|A|Anubis|wl</t>
  </si>
  <si>
    <t xml:space="preserve">CS2 · BORRA vs QUIN|B|ALL|lw</t>
  </si>
  <si>
    <t xml:space="preserve">CS2 · BORRA vs QUIN|B|ALL|wl</t>
  </si>
  <si>
    <t xml:space="preserve">CS2 · BORRA vs QUIN|B|Cache|lw</t>
  </si>
  <si>
    <t xml:space="preserve">CS2 · BORRA vs QUIN|B|Cache|wl</t>
  </si>
  <si>
    <t xml:space="preserve">CS2 · BORRA vs QUIN|B|Dust2|lw</t>
  </si>
  <si>
    <t xml:space="preserve">CS2 · BORRA vs QUIN|B|Dust2|wl</t>
  </si>
  <si>
    <t xml:space="preserve">CS2 · BORRA vs QUIN|B|Mirage|lw</t>
  </si>
  <si>
    <t xml:space="preserve">CS2 · BORRA vs QUIN|B|Mirage|wl</t>
  </si>
  <si>
    <t xml:space="preserve">CS2 · BORRA vs QUIN|B|Inferno|lw</t>
  </si>
  <si>
    <t xml:space="preserve">CS2 · BORRA vs QUIN|B|Inferno|wl</t>
  </si>
  <si>
    <t xml:space="preserve">CS2 · BORRA vs QUIN|B|Nuke|lw</t>
  </si>
  <si>
    <t xml:space="preserve">CS2 · BORRA vs QUIN|B|Ancient|lw</t>
  </si>
  <si>
    <t xml:space="preserve">CS2 · BORRA vs QUIN|B|Ancient|wl</t>
  </si>
  <si>
    <t xml:space="preserve">CS2 · BORRA vs QUIN|B|Anubis|lw</t>
  </si>
  <si>
    <t xml:space="preserve">CS2 · BORRA vs QUIN|B|Anubis|wl</t>
  </si>
  <si>
    <t xml:space="preserve">CS2 · ALKA vs LN|A|ALL|lw</t>
  </si>
  <si>
    <t xml:space="preserve">CS2 · ALKA vs LN|A|ALL|wl</t>
  </si>
  <si>
    <t xml:space="preserve">CS2 · ALKA vs LN|A|Cache|lw</t>
  </si>
  <si>
    <t xml:space="preserve">CS2 · ALKA vs LN|A|Cache|wl</t>
  </si>
  <si>
    <t xml:space="preserve">CS2 · ALKA vs LN|A|Dust2|lw</t>
  </si>
  <si>
    <t xml:space="preserve">CS2 · ALKA vs LN|A|Dust2|wl</t>
  </si>
  <si>
    <t xml:space="preserve">CS2 · ALKA vs LN|A|Mirage|lw</t>
  </si>
  <si>
    <t xml:space="preserve">CS2 · ALKA vs LN|A|Mirage|wl</t>
  </si>
  <si>
    <t xml:space="preserve">CS2 · ALKA vs LN|A|Inferno|lw</t>
  </si>
  <si>
    <t xml:space="preserve">CS2 · ALKA vs LN|A|Inferno|wl</t>
  </si>
  <si>
    <t xml:space="preserve">CS2 · ALKA vs LN|A|Nuke|lw</t>
  </si>
  <si>
    <t xml:space="preserve">CS2 · ALKA vs LN|A|Nuke|wl</t>
  </si>
  <si>
    <t xml:space="preserve">CS2 · ALKA vs LN|A|Ancient|lw</t>
  </si>
  <si>
    <t xml:space="preserve">CS2 · ALKA vs LN|A|Ancient|wl</t>
  </si>
  <si>
    <t xml:space="preserve">CS2 · ALKA vs LN|A|Anubis|lw</t>
  </si>
  <si>
    <t xml:space="preserve">CS2 · ALKA vs LN|B|ALL|lw</t>
  </si>
  <si>
    <t xml:space="preserve">CS2 · ALKA vs LN|B|ALL|wl</t>
  </si>
  <si>
    <t xml:space="preserve">CS2 · ALKA vs LN|B|Dust2|wl</t>
  </si>
  <si>
    <t xml:space="preserve">CS2 · ALKA vs LN|B|Mirage|lw</t>
  </si>
  <si>
    <t xml:space="preserve">CS2 · ALKA vs LN|B|Mirage|wl</t>
  </si>
  <si>
    <t xml:space="preserve">CS2 · ALKA vs LN|B|Inferno|lw</t>
  </si>
  <si>
    <t xml:space="preserve">CS2 · ALKA vs LN|B|Inferno|wl</t>
  </si>
  <si>
    <t xml:space="preserve">CS2 · ALKA vs LN|B|Ancient|lw</t>
  </si>
  <si>
    <t xml:space="preserve">First pick %</t>
  </si>
  <si>
    <t xml:space="preserve">First ban %</t>
  </si>
  <si>
    <t xml:space="preserve">Win %</t>
  </si>
  <si>
    <t xml:space="preserve">Played (3 months)</t>
  </si>
  <si>
    <t xml:space="preserve">Logged (UTC)</t>
  </si>
  <si>
    <t xml:space="preserve">Actual</t>
  </si>
  <si>
    <t xml:space="preserve">Result</t>
  </si>
  <si>
    <t xml:space="preserve">Proj map-free</t>
  </si>
  <si>
    <t xml:space="preserve">Proj map-free adj</t>
  </si>
  <si>
    <t xml:space="preserve">Dust2 / Ancient</t>
  </si>
  <si>
    <t xml:space="preserve">21.5 / 21.5</t>
  </si>
  <si>
    <t xml:space="preserve">Ancient / Mirage</t>
  </si>
  <si>
    <t xml:space="preserve">Inferno / Dust2</t>
  </si>
  <si>
    <t xml:space="preserve">Mirage / Cache</t>
  </si>
  <si>
    <t xml:space="preserve">21.3 / 21.2</t>
  </si>
  <si>
    <t xml:space="preserve">Lotus / Sunset</t>
  </si>
  <si>
    <t xml:space="preserve">21.4 / 21.3</t>
  </si>
  <si>
    <t xml:space="preserve">Haven / Lotus</t>
  </si>
  <si>
    <t xml:space="preserve">21.3 / 21.3</t>
  </si>
  <si>
    <t xml:space="preserve">Haven / Sunset</t>
  </si>
  <si>
    <t xml:space="preserve">21.4 / 21.4</t>
  </si>
  <si>
    <t xml:space="preserve">Check</t>
  </si>
  <si>
    <t xml:space="preserve">PickFinder board rows (CS2 + VAL)</t>
  </si>
  <si>
    <t xml:space="preserve">Players with map stats</t>
  </si>
  <si>
    <t xml:space="preserve">Identity: Σ per-map maps == overall Maps AND weighted kills == Kills/Map</t>
  </si>
  <si>
    <t xml:space="preserve">55 / 55 pass</t>
  </si>
  <si>
    <t xml:space="preserve">Board players with NO stats page read</t>
  </si>
  <si>
    <t xml:space="preserve">Matches resolved to Thunderpick</t>
  </si>
  <si>
    <t xml:space="preserve">8 / 8</t>
  </si>
  <si>
    <t xml:space="preserve">Matches with a Total Rounds ladder on map 1</t>
  </si>
  <si>
    <t xml:space="preserve">Matches with correct-score odds</t>
  </si>
  <si>
    <t xml:space="preserve">Matches with PickFinder Map Picks (rest use most-played fallback)</t>
  </si>
  <si>
    <t xml:space="preserve">Thunderpick player kill ladders matched to board players</t>
  </si>
  <si>
    <t xml:space="preserve">LIVE: formula errors on Projections (should be 0)</t>
  </si>
  <si>
    <t xml:space="preserve">LIVE: legs with no projection (should be 0)</t>
  </si>
  <si>
    <t xml:space="preserve">LIVE: formula errors on Calc (should be 0)</t>
  </si>
  <si>
    <t xml:space="preserve">LIVE: largest |Projections − Log| (≈0 at default settings; grows as you edit Matches/Config)</t>
  </si>
  <si>
    <t xml:space="preserve">LIVE: largest |Projections adj − Log adj| (≈0 at default settings)</t>
  </si>
  <si>
    <t xml:space="preserve">LIVE: formula errors on Matches HLTV columns (should be 0)</t>
  </si>
  <si>
    <t xml:space="preserve">CS2 matches with HLTV analytics</t>
  </si>
  <si>
    <t xml:space="preserve">Issue</t>
  </si>
  <si>
    <t xml:space="preserve">MAP PICKS FALLBACK CS2 · ALKA vs LN -&gt; Dust2, Ancient, Mirage</t>
  </si>
  <si>
    <t xml:space="preserve">MAP PICKS FALLBACK CS2 · BORRA vs QUIN -&gt; Ancient, Mirage, Dust2</t>
  </si>
  <si>
    <t xml:space="preserve">MAP PICKS FALLBACK CS2 · JJH vs EF -&gt; Mirage, Cache, Dust2</t>
  </si>
  <si>
    <t xml:space="preserve">MAP PICKS FALLBACK CS2 · ISG vs Hacha Esports -&gt; Inferno, Dust2, Ancient</t>
  </si>
  <si>
    <t xml:space="preserve">MAP PICKS FALLBACK VAL · FPX vs DRG -&gt; Lotus, Sunset, Split</t>
  </si>
  <si>
    <t xml:space="preserve">MAP PICKS FALLBACK VAL · KRÜ vs Gen.G GC -&gt; Haven, Lotus, Split</t>
  </si>
  <si>
    <t xml:space="preserve">MAP PICKS FALLBACK VAL · TL vs M8.GC -&gt; Haven, Lotus, Split</t>
  </si>
  <si>
    <t xml:space="preserve">MAP PICKS FALLBACK VAL · TEC vs UR -&gt; Haven, Sunset, Pearl</t>
  </si>
  <si>
    <t xml:space="preserve">NO TP ROUNDS LADDER CS2 · ALKA vs LN (Config default used)</t>
  </si>
  <si>
    <t xml:space="preserve">NO TP ROUNDS LADDER CS2 · BORRA vs QUIN (Config default used)</t>
  </si>
  <si>
    <t xml:space="preserve">NO TP ROUNDS LADDER CS2 · ISG vs Hacha Esports (Config default used)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</si>
</sst>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0.0"/>
    <numFmt numFmtId="168" formatCode="0.000"/>
    <numFmt numFmtId="169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E4EE"/>
        <bgColor rgb="FFF3F5F8"/>
      </patternFill>
    </fill>
    <fill>
      <patternFill patternType="solid">
        <fgColor rgb="FFF3F5F8"/>
        <bgColor rgb="FFFFFFFF"/>
      </patternFill>
    </fill>
    <fill>
      <patternFill patternType="solid">
        <fgColor rgb="FFFFF2CC"/>
        <bgColor rgb="FFF3F5F8"/>
      </patternFill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3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fgColor rgb="FFD2E8DE"/>
          <bgColor rgb="FF000000"/>
        </patternFill>
      </fill>
    </dxf>
    <dxf>
      <fill>
        <patternFill patternType="solid">
          <fgColor rgb="FFD5E9E0"/>
          <bgColor rgb="FF000000"/>
        </patternFill>
      </fill>
    </dxf>
    <dxf>
      <fill>
        <patternFill patternType="solid">
          <fgColor rgb="FFD9EBE3"/>
          <bgColor rgb="FF000000"/>
        </patternFill>
      </fill>
    </dxf>
    <dxf>
      <fill>
        <patternFill patternType="solid">
          <fgColor rgb="FFDDEEE6"/>
          <bgColor rgb="FF000000"/>
        </patternFill>
      </fill>
    </dxf>
    <dxf>
      <fill>
        <patternFill patternType="solid">
          <fgColor rgb="FFE0EFE8"/>
          <bgColor rgb="FF000000"/>
        </patternFill>
      </fill>
    </dxf>
    <dxf>
      <fill>
        <patternFill patternType="solid">
          <fgColor rgb="FFE2F0EA"/>
          <bgColor rgb="FF000000"/>
        </patternFill>
      </fill>
    </dxf>
    <dxf>
      <fill>
        <patternFill patternType="solid">
          <fgColor rgb="FFE4F1EB"/>
          <bgColor rgb="FF000000"/>
        </patternFill>
      </fill>
    </dxf>
    <dxf>
      <fill>
        <patternFill patternType="solid">
          <fgColor rgb="FFE5F1EC"/>
          <bgColor rgb="FF000000"/>
        </patternFill>
      </fill>
    </dxf>
    <dxf>
      <fill>
        <patternFill patternType="solid">
          <fgColor rgb="FFE6F2EC"/>
          <bgColor rgb="FF000000"/>
        </patternFill>
      </fill>
    </dxf>
    <dxf>
      <fill>
        <patternFill patternType="solid">
          <fgColor rgb="FFE6F2ED"/>
          <bgColor rgb="FF000000"/>
        </patternFill>
      </fill>
    </dxf>
    <dxf>
      <fill>
        <patternFill patternType="solid">
          <fgColor rgb="FFECF5F1"/>
          <bgColor rgb="FF000000"/>
        </patternFill>
      </fill>
    </dxf>
    <dxf>
      <fill>
        <patternFill patternType="solid">
          <fgColor rgb="FFEDF6F2"/>
          <bgColor rgb="FF000000"/>
        </patternFill>
      </fill>
    </dxf>
    <dxf>
      <fill>
        <patternFill patternType="solid">
          <fgColor rgb="FFEFF7F3"/>
          <bgColor rgb="FF000000"/>
        </patternFill>
      </fill>
    </dxf>
    <dxf>
      <fill>
        <patternFill patternType="solid">
          <fgColor rgb="FFF0F7F4"/>
          <bgColor rgb="FF000000"/>
        </patternFill>
      </fill>
    </dxf>
    <dxf>
      <fill>
        <patternFill patternType="solid">
          <fgColor rgb="FFF2F8F5"/>
          <bgColor rgb="FF000000"/>
        </patternFill>
      </fill>
    </dxf>
    <dxf>
      <fill>
        <patternFill patternType="solid">
          <fgColor rgb="FFF3F9F7"/>
          <bgColor rgb="FF000000"/>
        </patternFill>
      </fill>
    </dxf>
    <dxf>
      <fill>
        <patternFill patternType="solid">
          <fgColor rgb="FFF4F9F7"/>
          <bgColor rgb="FF000000"/>
        </patternFill>
      </fill>
    </dxf>
    <dxf>
      <fill>
        <patternFill patternType="solid">
          <fgColor rgb="FFF5FAF8"/>
          <bgColor rgb="FF000000"/>
        </patternFill>
      </fill>
    </dxf>
    <dxf>
      <fill>
        <patternFill patternType="solid">
          <fgColor rgb="FFF6FBF9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8D8DB"/>
          <bgColor rgb="FF000000"/>
        </patternFill>
      </fill>
    </dxf>
    <dxf>
      <fill>
        <patternFill patternType="solid">
          <fgColor rgb="FFF8DADD"/>
          <bgColor rgb="FF000000"/>
        </patternFill>
      </fill>
    </dxf>
    <dxf>
      <fill>
        <patternFill patternType="solid">
          <fgColor rgb="FFF8DCDE"/>
          <bgColor rgb="FF000000"/>
        </patternFill>
      </fill>
    </dxf>
    <dxf>
      <fill>
        <patternFill patternType="solid">
          <fgColor rgb="FFF8FCFA"/>
          <bgColor rgb="FF000000"/>
        </patternFill>
      </fill>
    </dxf>
    <dxf>
      <fill>
        <patternFill patternType="solid">
          <fgColor rgb="FFF9DFE2"/>
          <bgColor rgb="FF000000"/>
        </patternFill>
      </fill>
    </dxf>
    <dxf>
      <fill>
        <patternFill patternType="solid">
          <fgColor rgb="FFF9E1E3"/>
          <bgColor rgb="FF000000"/>
        </patternFill>
      </fill>
    </dxf>
    <dxf>
      <fill>
        <patternFill patternType="solid">
          <fgColor rgb="FFFAE3E5"/>
          <bgColor rgb="FF000000"/>
        </patternFill>
      </fill>
    </dxf>
    <dxf>
      <fill>
        <patternFill patternType="solid">
          <fgColor rgb="FFFAE4E6"/>
          <bgColor rgb="FF000000"/>
        </patternFill>
      </fill>
    </dxf>
    <dxf>
      <fill>
        <patternFill patternType="solid">
          <fgColor rgb="FFFAE5E7"/>
          <bgColor rgb="FF000000"/>
        </patternFill>
      </fill>
    </dxf>
    <dxf>
      <fill>
        <patternFill patternType="solid">
          <fgColor rgb="FFFAFCFB"/>
          <bgColor rgb="FF000000"/>
        </patternFill>
      </fill>
    </dxf>
    <dxf>
      <fill>
        <patternFill patternType="solid">
          <fgColor rgb="FFFAFDFC"/>
          <bgColor rgb="FF000000"/>
        </patternFill>
      </fill>
    </dxf>
    <dxf>
      <fill>
        <patternFill patternType="solid">
          <fgColor rgb="FFFBE8EA"/>
          <bgColor rgb="FF000000"/>
        </patternFill>
      </fill>
    </dxf>
    <dxf>
      <fill>
        <patternFill patternType="solid">
          <fgColor rgb="FFFBEAEB"/>
          <bgColor rgb="FF000000"/>
        </patternFill>
      </fill>
    </dxf>
    <dxf>
      <fill>
        <patternFill patternType="solid">
          <fgColor rgb="FFFBECED"/>
          <bgColor rgb="FF000000"/>
        </patternFill>
      </fill>
    </dxf>
    <dxf>
      <fill>
        <patternFill patternType="solid">
          <fgColor rgb="FFFBECEE"/>
          <bgColor rgb="FF000000"/>
        </patternFill>
      </fill>
    </dxf>
    <dxf>
      <fill>
        <patternFill patternType="solid">
          <fgColor rgb="FFFBEDEE"/>
          <bgColor rgb="FF000000"/>
        </patternFill>
      </fill>
    </dxf>
    <dxf>
      <fill>
        <patternFill patternType="solid">
          <fgColor rgb="FFFCF0F1"/>
          <bgColor rgb="FF000000"/>
        </patternFill>
      </fill>
    </dxf>
    <dxf>
      <fill>
        <patternFill patternType="solid">
          <fgColor rgb="FFFCF1F2"/>
          <bgColor rgb="FF000000"/>
        </patternFill>
      </fill>
    </dxf>
    <dxf>
      <fill>
        <patternFill patternType="solid">
          <fgColor rgb="FFFCF2F3"/>
          <bgColor rgb="FF000000"/>
        </patternFill>
      </fill>
    </dxf>
    <dxf>
      <fill>
        <patternFill patternType="solid">
          <fgColor rgb="FFFDF3F4"/>
          <bgColor rgb="FF000000"/>
        </patternFill>
      </fill>
    </dxf>
    <dxf>
      <fill>
        <patternFill patternType="solid">
          <fgColor rgb="FFFDF4F5"/>
          <bgColor rgb="FF000000"/>
        </patternFill>
      </fill>
    </dxf>
    <dxf>
      <fill>
        <patternFill patternType="solid">
          <fgColor rgb="FFFDF6F7"/>
          <bgColor rgb="FF000000"/>
        </patternFill>
      </fill>
    </dxf>
    <dxf>
      <fill>
        <patternFill patternType="solid">
          <fgColor rgb="FFFDF7F8"/>
          <bgColor rgb="FF000000"/>
        </patternFill>
      </fill>
    </dxf>
    <dxf>
      <fill>
        <patternFill patternType="solid">
          <fgColor rgb="FFFDF8F8"/>
          <bgColor rgb="FF000000"/>
        </patternFill>
      </fill>
    </dxf>
    <dxf>
      <fill>
        <patternFill patternType="solid">
          <fgColor rgb="FFFDFEFE"/>
          <bgColor rgb="FF000000"/>
        </patternFill>
      </fill>
    </dxf>
    <dxf>
      <fill>
        <patternFill patternType="solid">
          <fgColor rgb="FFFEF9F9"/>
          <bgColor rgb="FF000000"/>
        </patternFill>
      </fill>
    </dxf>
    <dxf>
      <fill>
        <patternFill patternType="solid">
          <fgColor rgb="FFFEFBFB"/>
          <bgColor rgb="FF000000"/>
        </patternFill>
      </fill>
    </dxf>
    <dxf>
      <fill>
        <patternFill patternType="solid">
          <fgColor rgb="FFFEFBFC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EFFFE"/>
          <bgColor rgb="FF000000"/>
        </patternFill>
      </fill>
    </dxf>
    <dxf>
      <fill>
        <patternFill patternType="solid">
          <fgColor rgb="FFDEEEE7"/>
          <bgColor rgb="FF000000"/>
        </patternFill>
      </fill>
    </dxf>
    <dxf>
      <fill>
        <patternFill patternType="solid">
          <fgColor rgb="FFE1EFE9"/>
          <bgColor rgb="FF000000"/>
        </patternFill>
      </fill>
    </dxf>
    <dxf>
      <fill>
        <patternFill patternType="solid">
          <fgColor rgb="FFEAF4EF"/>
          <bgColor rgb="FF000000"/>
        </patternFill>
      </fill>
    </dxf>
    <dxf>
      <fill>
        <patternFill patternType="solid">
          <fgColor rgb="FFECF6F1"/>
          <bgColor rgb="FF000000"/>
        </patternFill>
      </fill>
    </dxf>
    <dxf>
      <fill>
        <patternFill patternType="solid">
          <fgColor rgb="FFF6FAF8"/>
          <bgColor rgb="FF000000"/>
        </patternFill>
      </fill>
    </dxf>
    <dxf>
      <fill>
        <patternFill patternType="solid">
          <fgColor rgb="FFF7FBF9"/>
          <bgColor rgb="FF000000"/>
        </patternFill>
      </fill>
    </dxf>
    <dxf>
      <fill>
        <patternFill patternType="solid">
          <fgColor rgb="FFF8DBDE"/>
          <bgColor rgb="FF000000"/>
        </patternFill>
      </fill>
    </dxf>
    <dxf>
      <fill>
        <patternFill patternType="solid">
          <fgColor rgb="FFFAE2E4"/>
          <bgColor rgb="FF000000"/>
        </patternFill>
      </fill>
    </dxf>
    <dxf>
      <fill>
        <patternFill patternType="solid">
          <fgColor rgb="FFFAE7E8"/>
          <bgColor rgb="FF000000"/>
        </patternFill>
      </fill>
    </dxf>
    <dxf>
      <fill>
        <patternFill patternType="solid">
          <fgColor rgb="FFFAFDFB"/>
          <bgColor rgb="FF000000"/>
        </patternFill>
      </fill>
    </dxf>
    <dxf>
      <fill>
        <patternFill patternType="solid">
          <fgColor rgb="FFFBFDFC"/>
          <bgColor rgb="FF000000"/>
        </patternFill>
      </fill>
    </dxf>
    <dxf>
      <fill>
        <patternFill patternType="solid">
          <fgColor rgb="FFFDF5F5"/>
          <bgColor rgb="FF000000"/>
        </patternFill>
      </fill>
    </dxf>
    <dxf>
      <fill>
        <patternFill patternType="solid">
          <fgColor rgb="FFFEF9FA"/>
          <bgColor rgb="FF000000"/>
        </patternFill>
      </fill>
    </dxf>
    <dxf>
      <fill>
        <patternFill patternType="solid">
          <fgColor rgb="FFFEFAFA"/>
          <bgColor rgb="FF000000"/>
        </patternFill>
      </fill>
    </dxf>
    <dxf>
      <fill>
        <patternFill patternType="solid">
          <fgColor rgb="FFFEFCFC"/>
          <bgColor rgb="FF000000"/>
        </patternFill>
      </fill>
    </dxf>
    <dxf>
      <fill>
        <patternFill patternType="solid">
          <fgColor rgb="FFFEFCFD"/>
          <bgColor rgb="FF000000"/>
        </patternFill>
      </fill>
    </dxf>
    <dxf>
      <fill>
        <patternFill patternType="solid">
          <fgColor rgb="FFFEFDFD"/>
          <bgColor rgb="FF000000"/>
        </patternFill>
      </fill>
    </dxf>
    <dxf>
      <fill>
        <patternFill patternType="solid">
          <fgColor rgb="FFFE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5F8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41.75" hidden="false" customHeight="false" outlineLevel="0" collapsed="false">
      <c r="A6" s="4" t="s">
        <v>4</v>
      </c>
    </row>
    <row r="7" customFormat="false" ht="28.3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28.35" hidden="false" customHeight="false" outlineLevel="0" collapsed="false">
      <c r="A9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28.3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28.35" hidden="false" customHeight="false" outlineLevel="0" collapsed="false">
      <c r="A15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28.35" hidden="false" customHeight="false" outlineLevel="0" collapsed="false">
      <c r="A18" s="4" t="s">
        <v>14</v>
      </c>
    </row>
    <row r="19" customFormat="false" ht="41.75" hidden="false" customHeight="false" outlineLevel="0" collapsed="false">
      <c r="A19" s="4" t="s">
        <v>15</v>
      </c>
    </row>
    <row r="20" customFormat="false" ht="28.35" hidden="false" customHeight="false" outlineLevel="0" collapsed="false">
      <c r="A20" s="4" t="s">
        <v>16</v>
      </c>
    </row>
    <row r="21" customFormat="false" ht="28.35" hidden="false" customHeight="false" outlineLevel="0" collapsed="false">
      <c r="A21" s="4" t="s">
        <v>17</v>
      </c>
    </row>
    <row r="23" customFormat="false" ht="15" hidden="false" customHeight="false" outlineLevel="0" collapsed="false">
      <c r="A23" s="3" t="s">
        <v>18</v>
      </c>
    </row>
    <row r="24" customFormat="false" ht="28.35" hidden="false" customHeight="false" outlineLevel="0" collapsed="false">
      <c r="A24" s="4" t="s">
        <v>19</v>
      </c>
    </row>
    <row r="25" customFormat="false" ht="55.2" hidden="false" customHeight="false" outlineLevel="0" collapsed="false">
      <c r="A25" s="4" t="s">
        <v>20</v>
      </c>
    </row>
    <row r="26" customFormat="false" ht="41.75" hidden="false" customHeight="false" outlineLevel="0" collapsed="false">
      <c r="A26" s="4" t="s">
        <v>21</v>
      </c>
    </row>
    <row r="28" customFormat="false" ht="15" hidden="false" customHeight="false" outlineLevel="0" collapsed="false">
      <c r="A28" s="3" t="s">
        <v>22</v>
      </c>
    </row>
    <row r="29" customFormat="false" ht="41.75" hidden="false" customHeight="false" outlineLevel="0" collapsed="false">
      <c r="A29" s="4" t="s">
        <v>23</v>
      </c>
    </row>
    <row r="30" customFormat="false" ht="28.35" hidden="false" customHeight="false" outlineLevel="0" collapsed="false">
      <c r="A30" s="4" t="s">
        <v>24</v>
      </c>
    </row>
    <row r="31" customFormat="false" ht="28.35" hidden="false" customHeight="false" outlineLevel="0" collapsed="false">
      <c r="A31" s="4" t="s">
        <v>25</v>
      </c>
    </row>
    <row r="32" customFormat="false" ht="28.35" hidden="false" customHeight="false" outlineLevel="0" collapsed="false">
      <c r="A32" s="4" t="s">
        <v>26</v>
      </c>
    </row>
    <row r="33" customFormat="false" ht="15" hidden="false" customHeight="false" outlineLevel="0" collapsed="false">
      <c r="A33" s="4" t="s">
        <v>27</v>
      </c>
    </row>
    <row r="35" customFormat="false" ht="15" hidden="false" customHeight="false" outlineLevel="0" collapsed="false">
      <c r="A35" s="3" t="s">
        <v>28</v>
      </c>
    </row>
    <row r="36" customFormat="false" ht="28.35" hidden="false" customHeight="false" outlineLevel="0" collapsed="false">
      <c r="A36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46"/>
    <col collapsed="false" customWidth="true" hidden="false" outlineLevel="0" max="17" min="4" style="0" width="11"/>
  </cols>
  <sheetData>
    <row r="1" customFormat="false" ht="17.35" hidden="false" customHeight="false" outlineLevel="0" collapsed="false">
      <c r="A1" s="1" t="s">
        <v>30</v>
      </c>
    </row>
    <row r="2" customFormat="false" ht="30" hidden="false" customHeight="true" outlineLevel="0" collapsed="false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customFormat="false" ht="15" hidden="false" customHeight="false" outlineLevel="0" collapsed="false">
      <c r="A4" s="6" t="s">
        <v>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15" hidden="false" customHeight="false" outlineLevel="0" collapsed="false">
      <c r="A5" s="3"/>
      <c r="B5" s="3" t="s">
        <v>33</v>
      </c>
      <c r="C5" s="3" t="s">
        <v>34</v>
      </c>
    </row>
    <row r="6" customFormat="false" ht="28.35" hidden="false" customHeight="false" outlineLevel="0" collapsed="false">
      <c r="A6" s="3" t="s">
        <v>35</v>
      </c>
      <c r="B6" s="4" t="s">
        <v>36</v>
      </c>
      <c r="C6" s="4" t="s">
        <v>37</v>
      </c>
    </row>
    <row r="7" customFormat="false" ht="15" hidden="false" customHeight="false" outlineLevel="0" collapsed="false">
      <c r="A7" s="3" t="s">
        <v>38</v>
      </c>
      <c r="B7" s="4" t="s">
        <v>39</v>
      </c>
      <c r="C7" s="4" t="s">
        <v>40</v>
      </c>
    </row>
    <row r="8" customFormat="false" ht="15" hidden="false" customHeight="false" outlineLevel="0" collapsed="false">
      <c r="A8" s="3" t="s">
        <v>41</v>
      </c>
      <c r="B8" s="4" t="s">
        <v>42</v>
      </c>
      <c r="C8" s="4" t="s">
        <v>43</v>
      </c>
    </row>
    <row r="9" customFormat="false" ht="15" hidden="false" customHeight="false" outlineLevel="0" collapsed="false">
      <c r="A9" s="3" t="s">
        <v>44</v>
      </c>
      <c r="B9" s="4" t="s">
        <v>45</v>
      </c>
      <c r="C9" s="4" t="s">
        <v>46</v>
      </c>
    </row>
    <row r="10" customFormat="false" ht="15" hidden="false" customHeight="false" outlineLevel="0" collapsed="false">
      <c r="A10" s="3" t="s">
        <v>47</v>
      </c>
      <c r="B10" s="4" t="s">
        <v>48</v>
      </c>
      <c r="C10" s="4" t="s">
        <v>48</v>
      </c>
    </row>
    <row r="11" customFormat="false" ht="105" hidden="false" customHeight="true" outlineLevel="0" collapsed="false">
      <c r="A11" s="3" t="s">
        <v>49</v>
      </c>
      <c r="B11" s="4" t="s">
        <v>50</v>
      </c>
      <c r="C11" s="4" t="s">
        <v>51</v>
      </c>
    </row>
    <row r="12" customFormat="false" ht="75" hidden="false" customHeight="true" outlineLevel="0" collapsed="false">
      <c r="A12" s="3" t="s">
        <v>52</v>
      </c>
      <c r="B12" s="4" t="s">
        <v>53</v>
      </c>
      <c r="C12" s="4" t="s">
        <v>54</v>
      </c>
    </row>
    <row r="13" customFormat="false" ht="120" hidden="false" customHeight="true" outlineLevel="0" collapsed="false">
      <c r="A13" s="3" t="s">
        <v>55</v>
      </c>
      <c r="B13" s="4" t="s">
        <v>56</v>
      </c>
      <c r="C13" s="4" t="s">
        <v>57</v>
      </c>
    </row>
    <row r="14" customFormat="false" ht="15" hidden="false" customHeight="false" outlineLevel="0" collapsed="false">
      <c r="A14" s="7" t="s">
        <v>58</v>
      </c>
      <c r="B14" s="7" t="s">
        <v>59</v>
      </c>
      <c r="C14" s="7" t="s">
        <v>60</v>
      </c>
      <c r="D14" s="7" t="s">
        <v>61</v>
      </c>
      <c r="E14" s="7" t="s">
        <v>62</v>
      </c>
      <c r="F14" s="7"/>
      <c r="G14" s="7"/>
      <c r="H14" s="7"/>
      <c r="I14" s="7" t="s">
        <v>63</v>
      </c>
      <c r="J14" s="7" t="s">
        <v>64</v>
      </c>
      <c r="K14" s="7" t="s">
        <v>65</v>
      </c>
      <c r="L14" s="7"/>
      <c r="M14" s="7"/>
      <c r="N14" s="7"/>
      <c r="O14" s="7" t="s">
        <v>66</v>
      </c>
      <c r="P14" s="7" t="s">
        <v>67</v>
      </c>
    </row>
    <row r="15" customFormat="false" ht="15" hidden="false" customHeight="false" outlineLevel="0" collapsed="false">
      <c r="A15" s="0" t="s">
        <v>68</v>
      </c>
      <c r="B15" s="0" t="s">
        <v>69</v>
      </c>
      <c r="C15" s="0" t="n">
        <v>2</v>
      </c>
      <c r="D15" s="0" t="s">
        <v>70</v>
      </c>
      <c r="E15" s="0" t="s">
        <v>71</v>
      </c>
      <c r="I15" s="0" t="n">
        <v>0</v>
      </c>
      <c r="O15" s="0" t="s">
        <v>72</v>
      </c>
      <c r="P15" s="0" t="s">
        <v>73</v>
      </c>
    </row>
    <row r="16" customFormat="false" ht="15" hidden="false" customHeight="false" outlineLevel="0" collapsed="false">
      <c r="A16" s="0" t="s">
        <v>74</v>
      </c>
      <c r="B16" s="0" t="s">
        <v>75</v>
      </c>
      <c r="C16" s="0" t="n">
        <v>6</v>
      </c>
      <c r="D16" s="0" t="s">
        <v>76</v>
      </c>
      <c r="E16" s="0" t="s">
        <v>77</v>
      </c>
      <c r="I16" s="0" t="n">
        <v>3</v>
      </c>
      <c r="J16" s="0" t="s">
        <v>78</v>
      </c>
      <c r="K16" s="0" t="s">
        <v>79</v>
      </c>
      <c r="O16" s="0" t="s">
        <v>80</v>
      </c>
      <c r="P16" s="0" t="s">
        <v>81</v>
      </c>
    </row>
    <row r="17" customFormat="false" ht="15" hidden="false" customHeight="false" outlineLevel="0" collapsed="false">
      <c r="A17" s="0" t="s">
        <v>82</v>
      </c>
      <c r="C17" s="0" t="n">
        <v>1</v>
      </c>
      <c r="D17" s="0" t="s">
        <v>83</v>
      </c>
      <c r="E17" s="0" t="s">
        <v>84</v>
      </c>
      <c r="I17" s="0" t="n">
        <v>2</v>
      </c>
      <c r="J17" s="0" t="s">
        <v>85</v>
      </c>
      <c r="K17" s="0" t="s">
        <v>86</v>
      </c>
      <c r="O17" s="0" t="s">
        <v>87</v>
      </c>
      <c r="P17" s="0" t="s">
        <v>81</v>
      </c>
    </row>
    <row r="18" customFormat="false" ht="15" hidden="false" customHeight="false" outlineLevel="0" collapsed="false">
      <c r="A18" s="0" t="s">
        <v>88</v>
      </c>
      <c r="C18" s="0" t="n">
        <v>4</v>
      </c>
      <c r="D18" s="0" t="s">
        <v>89</v>
      </c>
      <c r="E18" s="0" t="s">
        <v>90</v>
      </c>
      <c r="I18" s="0" t="n">
        <v>0</v>
      </c>
      <c r="O18" s="0" t="s">
        <v>91</v>
      </c>
      <c r="P18" s="0" t="s">
        <v>73</v>
      </c>
    </row>
    <row r="19" customFormat="false" ht="15" hidden="false" customHeight="false" outlineLevel="0" collapsed="false">
      <c r="A19" s="0" t="s">
        <v>92</v>
      </c>
      <c r="C19" s="0" t="n">
        <v>1</v>
      </c>
      <c r="D19" s="0" t="s">
        <v>86</v>
      </c>
      <c r="E19" s="0" t="s">
        <v>93</v>
      </c>
      <c r="I19" s="0" t="n">
        <v>0</v>
      </c>
      <c r="O19" s="0" t="s">
        <v>94</v>
      </c>
      <c r="P19" s="0" t="s">
        <v>73</v>
      </c>
    </row>
    <row r="20" customFormat="false" ht="15" hidden="false" customHeight="false" outlineLevel="0" collapsed="false">
      <c r="A20" s="0" t="s">
        <v>95</v>
      </c>
      <c r="C20" s="0" t="n">
        <v>1</v>
      </c>
      <c r="D20" s="0" t="s">
        <v>93</v>
      </c>
      <c r="E20" s="0" t="s">
        <v>96</v>
      </c>
      <c r="I20" s="0" t="n">
        <v>2</v>
      </c>
      <c r="J20" s="0" t="s">
        <v>97</v>
      </c>
      <c r="K20" s="0" t="s">
        <v>93</v>
      </c>
      <c r="O20" s="0" t="s">
        <v>98</v>
      </c>
      <c r="P20" s="0" t="s">
        <v>81</v>
      </c>
    </row>
    <row r="21" customFormat="false" ht="15" hidden="false" customHeight="false" outlineLevel="0" collapsed="false">
      <c r="A21" s="0" t="s">
        <v>99</v>
      </c>
      <c r="C21" s="0" t="n">
        <v>3</v>
      </c>
      <c r="D21" s="0" t="s">
        <v>100</v>
      </c>
      <c r="E21" s="0" t="s">
        <v>101</v>
      </c>
      <c r="I21" s="0" t="n">
        <v>3</v>
      </c>
      <c r="J21" s="0" t="s">
        <v>102</v>
      </c>
      <c r="K21" s="0" t="s">
        <v>103</v>
      </c>
      <c r="O21" s="0" t="s">
        <v>104</v>
      </c>
      <c r="P21" s="0" t="s">
        <v>81</v>
      </c>
    </row>
    <row r="22" customFormat="false" ht="15" hidden="false" customHeight="false" outlineLevel="0" collapsed="false">
      <c r="A22" s="0" t="s">
        <v>105</v>
      </c>
      <c r="C22" s="0" t="n">
        <v>6</v>
      </c>
      <c r="D22" s="0" t="s">
        <v>106</v>
      </c>
      <c r="E22" s="0" t="s">
        <v>107</v>
      </c>
      <c r="I22" s="0" t="n">
        <v>2</v>
      </c>
      <c r="J22" s="0" t="s">
        <v>108</v>
      </c>
      <c r="K22" s="0" t="s">
        <v>109</v>
      </c>
      <c r="O22" s="0" t="s">
        <v>110</v>
      </c>
      <c r="P22" s="0" t="s">
        <v>73</v>
      </c>
    </row>
    <row r="24" customFormat="false" ht="15" hidden="false" customHeight="false" outlineLevel="0" collapsed="false">
      <c r="A24" s="6" t="s">
        <v>111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customFormat="false" ht="15" hidden="false" customHeight="false" outlineLevel="0" collapsed="false">
      <c r="A25" s="3"/>
      <c r="B25" s="3" t="s">
        <v>112</v>
      </c>
      <c r="C25" s="3" t="s">
        <v>113</v>
      </c>
    </row>
    <row r="26" customFormat="false" ht="28.35" hidden="false" customHeight="false" outlineLevel="0" collapsed="false">
      <c r="A26" s="3" t="s">
        <v>35</v>
      </c>
      <c r="B26" s="4" t="s">
        <v>114</v>
      </c>
      <c r="C26" s="4" t="s">
        <v>115</v>
      </c>
    </row>
    <row r="27" customFormat="false" ht="15" hidden="false" customHeight="false" outlineLevel="0" collapsed="false">
      <c r="A27" s="3" t="s">
        <v>38</v>
      </c>
      <c r="B27" s="4" t="s">
        <v>116</v>
      </c>
      <c r="C27" s="4" t="s">
        <v>117</v>
      </c>
    </row>
    <row r="28" customFormat="false" ht="15" hidden="false" customHeight="false" outlineLevel="0" collapsed="false">
      <c r="A28" s="3" t="s">
        <v>41</v>
      </c>
      <c r="B28" s="4" t="s">
        <v>118</v>
      </c>
      <c r="C28" s="4" t="s">
        <v>119</v>
      </c>
    </row>
    <row r="29" customFormat="false" ht="15" hidden="false" customHeight="false" outlineLevel="0" collapsed="false">
      <c r="A29" s="3" t="s">
        <v>44</v>
      </c>
      <c r="B29" s="4" t="s">
        <v>120</v>
      </c>
      <c r="C29" s="4" t="s">
        <v>46</v>
      </c>
    </row>
    <row r="30" customFormat="false" ht="15" hidden="false" customHeight="false" outlineLevel="0" collapsed="false">
      <c r="A30" s="3" t="s">
        <v>47</v>
      </c>
      <c r="B30" s="4" t="s">
        <v>48</v>
      </c>
      <c r="C30" s="4" t="s">
        <v>48</v>
      </c>
    </row>
    <row r="31" customFormat="false" ht="105" hidden="false" customHeight="true" outlineLevel="0" collapsed="false">
      <c r="A31" s="3" t="s">
        <v>49</v>
      </c>
      <c r="B31" s="4" t="s">
        <v>121</v>
      </c>
      <c r="C31" s="4" t="s">
        <v>122</v>
      </c>
    </row>
    <row r="32" customFormat="false" ht="75" hidden="false" customHeight="true" outlineLevel="0" collapsed="false">
      <c r="A32" s="3" t="s">
        <v>52</v>
      </c>
      <c r="B32" s="4" t="s">
        <v>123</v>
      </c>
      <c r="C32" s="4" t="s">
        <v>124</v>
      </c>
    </row>
    <row r="33" customFormat="false" ht="120" hidden="false" customHeight="true" outlineLevel="0" collapsed="false">
      <c r="A33" s="3" t="s">
        <v>55</v>
      </c>
      <c r="B33" s="4" t="s">
        <v>125</v>
      </c>
      <c r="C33" s="4" t="s">
        <v>126</v>
      </c>
    </row>
    <row r="34" customFormat="false" ht="15" hidden="false" customHeight="false" outlineLevel="0" collapsed="false">
      <c r="A34" s="7" t="s">
        <v>58</v>
      </c>
      <c r="B34" s="7" t="s">
        <v>59</v>
      </c>
      <c r="C34" s="7" t="s">
        <v>60</v>
      </c>
      <c r="D34" s="7" t="s">
        <v>61</v>
      </c>
      <c r="E34" s="7" t="s">
        <v>62</v>
      </c>
      <c r="F34" s="7"/>
      <c r="G34" s="7"/>
      <c r="H34" s="7"/>
      <c r="I34" s="7" t="s">
        <v>63</v>
      </c>
      <c r="J34" s="7" t="s">
        <v>64</v>
      </c>
      <c r="K34" s="7" t="s">
        <v>65</v>
      </c>
      <c r="L34" s="7"/>
      <c r="M34" s="7"/>
      <c r="N34" s="7"/>
      <c r="O34" s="7" t="s">
        <v>66</v>
      </c>
      <c r="P34" s="7" t="s">
        <v>67</v>
      </c>
    </row>
    <row r="35" customFormat="false" ht="15" hidden="false" customHeight="false" outlineLevel="0" collapsed="false">
      <c r="A35" s="0" t="s">
        <v>95</v>
      </c>
      <c r="B35" s="0" t="s">
        <v>83</v>
      </c>
      <c r="C35" s="0" t="n">
        <v>4</v>
      </c>
      <c r="D35" s="0" t="s">
        <v>108</v>
      </c>
      <c r="E35" s="0" t="s">
        <v>127</v>
      </c>
      <c r="I35" s="0" t="n">
        <v>2</v>
      </c>
      <c r="J35" s="0" t="s">
        <v>103</v>
      </c>
      <c r="K35" s="0" t="s">
        <v>128</v>
      </c>
      <c r="O35" s="0" t="s">
        <v>129</v>
      </c>
      <c r="P35" s="0" t="s">
        <v>73</v>
      </c>
    </row>
    <row r="36" customFormat="false" ht="15" hidden="false" customHeight="false" outlineLevel="0" collapsed="false">
      <c r="A36" s="0" t="s">
        <v>74</v>
      </c>
      <c r="B36" s="0" t="s">
        <v>130</v>
      </c>
      <c r="C36" s="0" t="n">
        <v>6</v>
      </c>
      <c r="D36" s="0" t="s">
        <v>107</v>
      </c>
      <c r="E36" s="0" t="s">
        <v>131</v>
      </c>
      <c r="I36" s="0" t="n">
        <v>2</v>
      </c>
      <c r="J36" s="0" t="s">
        <v>132</v>
      </c>
      <c r="K36" s="0" t="s">
        <v>133</v>
      </c>
      <c r="O36" s="0" t="s">
        <v>134</v>
      </c>
      <c r="P36" s="0" t="s">
        <v>81</v>
      </c>
    </row>
    <row r="37" customFormat="false" ht="15" hidden="false" customHeight="false" outlineLevel="0" collapsed="false">
      <c r="A37" s="0" t="s">
        <v>99</v>
      </c>
      <c r="B37" s="0" t="s">
        <v>135</v>
      </c>
      <c r="C37" s="0" t="n">
        <v>5</v>
      </c>
      <c r="D37" s="0" t="s">
        <v>108</v>
      </c>
      <c r="E37" s="0" t="s">
        <v>70</v>
      </c>
      <c r="I37" s="0" t="n">
        <v>2</v>
      </c>
      <c r="J37" s="0" t="s">
        <v>97</v>
      </c>
      <c r="K37" s="0" t="s">
        <v>136</v>
      </c>
      <c r="O37" s="0" t="s">
        <v>137</v>
      </c>
      <c r="P37" s="0" t="s">
        <v>73</v>
      </c>
    </row>
    <row r="38" customFormat="false" ht="15" hidden="false" customHeight="false" outlineLevel="0" collapsed="false">
      <c r="A38" s="0" t="s">
        <v>82</v>
      </c>
      <c r="C38" s="0" t="n">
        <v>1</v>
      </c>
      <c r="D38" s="0" t="s">
        <v>138</v>
      </c>
      <c r="E38" s="0" t="s">
        <v>93</v>
      </c>
      <c r="I38" s="0" t="n">
        <v>0</v>
      </c>
      <c r="O38" s="0" t="s">
        <v>91</v>
      </c>
      <c r="P38" s="0" t="s">
        <v>73</v>
      </c>
    </row>
    <row r="39" customFormat="false" ht="15" hidden="false" customHeight="false" outlineLevel="0" collapsed="false">
      <c r="A39" s="0" t="s">
        <v>88</v>
      </c>
      <c r="C39" s="0" t="n">
        <v>5</v>
      </c>
      <c r="D39" s="0" t="s">
        <v>108</v>
      </c>
      <c r="E39" s="0" t="s">
        <v>84</v>
      </c>
      <c r="I39" s="0" t="n">
        <v>3</v>
      </c>
      <c r="J39" s="0" t="s">
        <v>70</v>
      </c>
      <c r="K39" s="0" t="s">
        <v>133</v>
      </c>
      <c r="O39" s="0" t="s">
        <v>139</v>
      </c>
      <c r="P39" s="0" t="s">
        <v>81</v>
      </c>
    </row>
    <row r="40" customFormat="false" ht="15" hidden="false" customHeight="false" outlineLevel="0" collapsed="false">
      <c r="A40" s="0" t="s">
        <v>92</v>
      </c>
      <c r="C40" s="0" t="n">
        <v>2</v>
      </c>
      <c r="D40" s="0" t="s">
        <v>108</v>
      </c>
      <c r="E40" s="0" t="s">
        <v>103</v>
      </c>
      <c r="I40" s="0" t="n">
        <v>1</v>
      </c>
      <c r="J40" s="0" t="s">
        <v>106</v>
      </c>
      <c r="K40" s="0" t="s">
        <v>84</v>
      </c>
      <c r="O40" s="0" t="s">
        <v>104</v>
      </c>
      <c r="P40" s="0" t="s">
        <v>81</v>
      </c>
    </row>
    <row r="41" customFormat="false" ht="15" hidden="false" customHeight="false" outlineLevel="0" collapsed="false">
      <c r="A41" s="0" t="s">
        <v>68</v>
      </c>
      <c r="C41" s="0" t="n">
        <v>0</v>
      </c>
      <c r="I41" s="0" t="n">
        <v>2</v>
      </c>
      <c r="J41" s="0" t="s">
        <v>70</v>
      </c>
      <c r="K41" s="0" t="s">
        <v>78</v>
      </c>
      <c r="O41" s="0" t="s">
        <v>140</v>
      </c>
      <c r="P41" s="0" t="s">
        <v>73</v>
      </c>
    </row>
    <row r="42" customFormat="false" ht="15" hidden="false" customHeight="false" outlineLevel="0" collapsed="false">
      <c r="A42" s="0" t="s">
        <v>105</v>
      </c>
      <c r="C42" s="0" t="n">
        <v>2</v>
      </c>
      <c r="D42" s="0" t="s">
        <v>103</v>
      </c>
      <c r="E42" s="0" t="s">
        <v>141</v>
      </c>
      <c r="I42" s="0" t="n">
        <v>4</v>
      </c>
      <c r="J42" s="0" t="s">
        <v>79</v>
      </c>
      <c r="K42" s="0" t="s">
        <v>142</v>
      </c>
      <c r="O42" s="0" t="s">
        <v>104</v>
      </c>
      <c r="P42" s="0" t="s">
        <v>81</v>
      </c>
    </row>
    <row r="44" customFormat="false" ht="15" hidden="false" customHeight="false" outlineLevel="0" collapsed="false">
      <c r="A44" s="6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customFormat="false" ht="15" hidden="false" customHeight="false" outlineLevel="0" collapsed="false">
      <c r="A45" s="3"/>
      <c r="B45" s="3" t="s">
        <v>144</v>
      </c>
      <c r="C45" s="3" t="s">
        <v>145</v>
      </c>
    </row>
    <row r="46" customFormat="false" ht="15" hidden="false" customHeight="false" outlineLevel="0" collapsed="false">
      <c r="A46" s="3" t="s">
        <v>146</v>
      </c>
      <c r="B46" s="4" t="s">
        <v>147</v>
      </c>
      <c r="C46" s="4" t="s">
        <v>148</v>
      </c>
    </row>
    <row r="47" customFormat="false" ht="15" hidden="false" customHeight="false" outlineLevel="0" collapsed="false">
      <c r="A47" s="3" t="s">
        <v>149</v>
      </c>
      <c r="B47" s="4" t="s">
        <v>150</v>
      </c>
      <c r="C47" s="4" t="s">
        <v>151</v>
      </c>
    </row>
    <row r="48" customFormat="false" ht="15" hidden="false" customHeight="false" outlineLevel="0" collapsed="false">
      <c r="A48" s="3" t="s">
        <v>152</v>
      </c>
      <c r="B48" s="4" t="s">
        <v>153</v>
      </c>
      <c r="C48" s="4" t="s">
        <v>154</v>
      </c>
    </row>
    <row r="49" customFormat="false" ht="15" hidden="false" customHeight="false" outlineLevel="0" collapsed="false">
      <c r="A49" s="3" t="s">
        <v>155</v>
      </c>
      <c r="B49" s="4" t="s">
        <v>156</v>
      </c>
      <c r="C49" s="4" t="s">
        <v>157</v>
      </c>
    </row>
    <row r="50" customFormat="false" ht="15" hidden="false" customHeight="false" outlineLevel="0" collapsed="false">
      <c r="A50" s="3" t="s">
        <v>41</v>
      </c>
      <c r="B50" s="4" t="s">
        <v>158</v>
      </c>
      <c r="C50" s="4" t="s">
        <v>159</v>
      </c>
    </row>
    <row r="51" customFormat="false" ht="15" hidden="false" customHeight="false" outlineLevel="0" collapsed="false">
      <c r="A51" s="3" t="s">
        <v>44</v>
      </c>
      <c r="B51" s="4" t="s">
        <v>160</v>
      </c>
      <c r="C51" s="4" t="s">
        <v>161</v>
      </c>
    </row>
    <row r="52" customFormat="false" ht="15" hidden="false" customHeight="false" outlineLevel="0" collapsed="false">
      <c r="A52" s="3" t="s">
        <v>162</v>
      </c>
      <c r="B52" s="4" t="s">
        <v>163</v>
      </c>
      <c r="C52" s="4" t="s">
        <v>163</v>
      </c>
    </row>
    <row r="53" customFormat="false" ht="105" hidden="false" customHeight="true" outlineLevel="0" collapsed="false">
      <c r="A53" s="3" t="s">
        <v>164</v>
      </c>
      <c r="B53" s="4" t="s">
        <v>165</v>
      </c>
      <c r="C53" s="4" t="s">
        <v>166</v>
      </c>
    </row>
    <row r="54" customFormat="false" ht="68.65" hidden="false" customHeight="false" outlineLevel="0" collapsed="false">
      <c r="A54" s="3" t="s">
        <v>52</v>
      </c>
      <c r="B54" s="4" t="s">
        <v>167</v>
      </c>
      <c r="C54" s="4" t="s">
        <v>168</v>
      </c>
    </row>
    <row r="55" customFormat="false" ht="150" hidden="false" customHeight="true" outlineLevel="0" collapsed="false">
      <c r="A55" s="3" t="s">
        <v>55</v>
      </c>
      <c r="B55" s="4" t="s">
        <v>169</v>
      </c>
      <c r="C55" s="4" t="s">
        <v>170</v>
      </c>
    </row>
    <row r="56" customFormat="false" ht="15" hidden="false" customHeight="false" outlineLevel="0" collapsed="false">
      <c r="A56" s="7" t="s">
        <v>58</v>
      </c>
      <c r="B56" s="7" t="s">
        <v>59</v>
      </c>
      <c r="C56" s="7" t="s">
        <v>171</v>
      </c>
      <c r="D56" s="7" t="s">
        <v>172</v>
      </c>
      <c r="E56" s="7" t="s">
        <v>173</v>
      </c>
      <c r="F56" s="7" t="s">
        <v>174</v>
      </c>
      <c r="G56" s="7" t="s">
        <v>175</v>
      </c>
      <c r="H56" s="7" t="s">
        <v>176</v>
      </c>
      <c r="I56" s="7" t="s">
        <v>177</v>
      </c>
      <c r="J56" s="7" t="s">
        <v>178</v>
      </c>
      <c r="K56" s="7" t="s">
        <v>179</v>
      </c>
      <c r="L56" s="7" t="s">
        <v>180</v>
      </c>
      <c r="M56" s="7" t="s">
        <v>181</v>
      </c>
      <c r="N56" s="7" t="s">
        <v>182</v>
      </c>
      <c r="O56" s="7" t="s">
        <v>66</v>
      </c>
      <c r="P56" s="7" t="s">
        <v>67</v>
      </c>
    </row>
    <row r="57" customFormat="false" ht="15" hidden="false" customHeight="false" outlineLevel="0" collapsed="false">
      <c r="A57" s="0" t="s">
        <v>183</v>
      </c>
      <c r="B57" s="0" t="s">
        <v>184</v>
      </c>
      <c r="C57" s="0" t="n">
        <v>16</v>
      </c>
      <c r="D57" s="0" t="s">
        <v>185</v>
      </c>
      <c r="E57" s="0" t="s">
        <v>186</v>
      </c>
      <c r="F57" s="0" t="s">
        <v>187</v>
      </c>
      <c r="G57" s="0" t="s">
        <v>188</v>
      </c>
      <c r="H57" s="0" t="s">
        <v>189</v>
      </c>
      <c r="I57" s="0" t="n">
        <v>1</v>
      </c>
      <c r="J57" s="0" t="s">
        <v>190</v>
      </c>
      <c r="K57" s="0" t="s">
        <v>191</v>
      </c>
      <c r="L57" s="0" t="s">
        <v>192</v>
      </c>
      <c r="M57" s="0" t="s">
        <v>193</v>
      </c>
      <c r="N57" s="0" t="s">
        <v>194</v>
      </c>
      <c r="O57" s="0" t="s">
        <v>195</v>
      </c>
      <c r="P57" s="0" t="s">
        <v>196</v>
      </c>
    </row>
    <row r="58" customFormat="false" ht="15" hidden="false" customHeight="false" outlineLevel="0" collapsed="false">
      <c r="A58" s="0" t="s">
        <v>197</v>
      </c>
      <c r="B58" s="0" t="s">
        <v>83</v>
      </c>
      <c r="C58" s="0" t="n">
        <v>14</v>
      </c>
      <c r="D58" s="0" t="s">
        <v>198</v>
      </c>
      <c r="E58" s="0" t="s">
        <v>199</v>
      </c>
      <c r="F58" s="0" t="s">
        <v>200</v>
      </c>
      <c r="G58" s="0" t="s">
        <v>201</v>
      </c>
      <c r="H58" s="0" t="s">
        <v>202</v>
      </c>
      <c r="I58" s="0" t="n">
        <v>2</v>
      </c>
      <c r="J58" s="0" t="s">
        <v>203</v>
      </c>
      <c r="K58" s="0" t="s">
        <v>204</v>
      </c>
      <c r="L58" s="0" t="s">
        <v>205</v>
      </c>
      <c r="M58" s="0" t="s">
        <v>206</v>
      </c>
      <c r="N58" s="0" t="s">
        <v>207</v>
      </c>
      <c r="O58" s="0" t="s">
        <v>134</v>
      </c>
      <c r="P58" s="0" t="s">
        <v>196</v>
      </c>
    </row>
    <row r="59" customFormat="false" ht="15" hidden="false" customHeight="false" outlineLevel="0" collapsed="false">
      <c r="A59" s="0" t="s">
        <v>208</v>
      </c>
      <c r="B59" s="0" t="s">
        <v>209</v>
      </c>
      <c r="C59" s="0" t="n">
        <v>10</v>
      </c>
      <c r="D59" s="0" t="s">
        <v>210</v>
      </c>
      <c r="E59" s="0" t="s">
        <v>211</v>
      </c>
      <c r="F59" s="0" t="s">
        <v>212</v>
      </c>
      <c r="G59" s="0" t="s">
        <v>213</v>
      </c>
      <c r="H59" s="0" t="s">
        <v>214</v>
      </c>
      <c r="I59" s="0" t="n">
        <v>3</v>
      </c>
      <c r="J59" s="0" t="s">
        <v>215</v>
      </c>
      <c r="K59" s="0" t="s">
        <v>204</v>
      </c>
      <c r="L59" s="0" t="s">
        <v>216</v>
      </c>
      <c r="M59" s="0" t="s">
        <v>217</v>
      </c>
      <c r="N59" s="0" t="s">
        <v>218</v>
      </c>
      <c r="O59" s="0" t="s">
        <v>219</v>
      </c>
      <c r="P59" s="0" t="s">
        <v>220</v>
      </c>
    </row>
    <row r="60" customFormat="false" ht="15" hidden="false" customHeight="false" outlineLevel="0" collapsed="false">
      <c r="A60" s="0" t="s">
        <v>221</v>
      </c>
      <c r="C60" s="0" t="n">
        <v>0</v>
      </c>
      <c r="I60" s="0" t="n">
        <v>1</v>
      </c>
      <c r="J60" s="0" t="s">
        <v>190</v>
      </c>
      <c r="K60" s="0" t="s">
        <v>222</v>
      </c>
      <c r="L60" s="0" t="s">
        <v>223</v>
      </c>
      <c r="M60" s="0" t="s">
        <v>224</v>
      </c>
      <c r="N60" s="0" t="s">
        <v>225</v>
      </c>
      <c r="O60" s="0" t="s">
        <v>226</v>
      </c>
      <c r="P60" s="0" t="s">
        <v>227</v>
      </c>
    </row>
    <row r="61" customFormat="false" ht="15" hidden="false" customHeight="false" outlineLevel="0" collapsed="false">
      <c r="A61" s="0" t="s">
        <v>228</v>
      </c>
      <c r="C61" s="0" t="n">
        <v>8</v>
      </c>
      <c r="D61" s="0" t="s">
        <v>229</v>
      </c>
      <c r="E61" s="0" t="s">
        <v>230</v>
      </c>
      <c r="F61" s="0" t="s">
        <v>231</v>
      </c>
      <c r="G61" s="0" t="s">
        <v>232</v>
      </c>
      <c r="H61" s="0" t="s">
        <v>233</v>
      </c>
      <c r="I61" s="0" t="n">
        <v>0</v>
      </c>
      <c r="O61" s="0" t="s">
        <v>104</v>
      </c>
      <c r="P61" s="0" t="s">
        <v>196</v>
      </c>
    </row>
    <row r="62" customFormat="false" ht="15" hidden="false" customHeight="false" outlineLevel="0" collapsed="false">
      <c r="A62" s="0" t="s">
        <v>234</v>
      </c>
      <c r="C62" s="0" t="n">
        <v>3</v>
      </c>
      <c r="D62" s="0" t="s">
        <v>235</v>
      </c>
      <c r="E62" s="0" t="s">
        <v>236</v>
      </c>
      <c r="F62" s="0" t="s">
        <v>237</v>
      </c>
      <c r="G62" s="0" t="s">
        <v>238</v>
      </c>
      <c r="H62" s="0" t="s">
        <v>239</v>
      </c>
      <c r="I62" s="0" t="n">
        <v>2</v>
      </c>
      <c r="J62" s="0" t="s">
        <v>240</v>
      </c>
      <c r="K62" s="0" t="s">
        <v>241</v>
      </c>
      <c r="L62" s="0" t="s">
        <v>242</v>
      </c>
      <c r="M62" s="0" t="s">
        <v>243</v>
      </c>
      <c r="N62" s="0" t="s">
        <v>207</v>
      </c>
      <c r="O62" s="0" t="s">
        <v>244</v>
      </c>
      <c r="P62" s="0" t="s">
        <v>227</v>
      </c>
    </row>
    <row r="63" customFormat="false" ht="15" hidden="false" customHeight="false" outlineLevel="0" collapsed="false">
      <c r="A63" s="0" t="s">
        <v>245</v>
      </c>
      <c r="C63" s="0" t="n">
        <v>5</v>
      </c>
      <c r="D63" s="0" t="s">
        <v>246</v>
      </c>
      <c r="E63" s="0" t="s">
        <v>186</v>
      </c>
      <c r="F63" s="0" t="s">
        <v>247</v>
      </c>
      <c r="G63" s="0" t="s">
        <v>248</v>
      </c>
      <c r="H63" s="0" t="s">
        <v>249</v>
      </c>
      <c r="I63" s="0" t="n">
        <v>1</v>
      </c>
      <c r="J63" s="0" t="s">
        <v>250</v>
      </c>
      <c r="K63" s="0" t="s">
        <v>251</v>
      </c>
      <c r="L63" s="0" t="s">
        <v>252</v>
      </c>
      <c r="M63" s="0" t="s">
        <v>253</v>
      </c>
      <c r="N63" s="0" t="s">
        <v>194</v>
      </c>
      <c r="O63" s="0" t="s">
        <v>254</v>
      </c>
      <c r="P63" s="0" t="s">
        <v>196</v>
      </c>
    </row>
    <row r="65" customFormat="false" ht="15" hidden="false" customHeight="false" outlineLevel="0" collapsed="false">
      <c r="A65" s="6" t="s">
        <v>255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customFormat="false" ht="15" hidden="false" customHeight="false" outlineLevel="0" collapsed="false">
      <c r="A66" s="3"/>
      <c r="B66" s="3" t="s">
        <v>256</v>
      </c>
      <c r="C66" s="3" t="s">
        <v>257</v>
      </c>
    </row>
    <row r="67" customFormat="false" ht="15" hidden="false" customHeight="false" outlineLevel="0" collapsed="false">
      <c r="A67" s="3" t="s">
        <v>146</v>
      </c>
      <c r="B67" s="4" t="s">
        <v>258</v>
      </c>
      <c r="C67" s="4" t="s">
        <v>259</v>
      </c>
    </row>
    <row r="68" customFormat="false" ht="15" hidden="false" customHeight="false" outlineLevel="0" collapsed="false">
      <c r="A68" s="3" t="s">
        <v>149</v>
      </c>
      <c r="B68" s="4" t="s">
        <v>260</v>
      </c>
      <c r="C68" s="4" t="s">
        <v>261</v>
      </c>
    </row>
    <row r="69" customFormat="false" ht="15" hidden="false" customHeight="false" outlineLevel="0" collapsed="false">
      <c r="A69" s="3" t="s">
        <v>152</v>
      </c>
      <c r="B69" s="4" t="s">
        <v>199</v>
      </c>
      <c r="C69" s="4" t="s">
        <v>262</v>
      </c>
    </row>
    <row r="70" customFormat="false" ht="15" hidden="false" customHeight="false" outlineLevel="0" collapsed="false">
      <c r="A70" s="3" t="s">
        <v>155</v>
      </c>
      <c r="B70" s="4" t="s">
        <v>263</v>
      </c>
      <c r="C70" s="4" t="s">
        <v>264</v>
      </c>
    </row>
    <row r="71" customFormat="false" ht="15" hidden="false" customHeight="false" outlineLevel="0" collapsed="false">
      <c r="A71" s="3" t="s">
        <v>41</v>
      </c>
      <c r="B71" s="4" t="s">
        <v>265</v>
      </c>
      <c r="C71" s="4" t="s">
        <v>266</v>
      </c>
    </row>
    <row r="72" customFormat="false" ht="15" hidden="false" customHeight="false" outlineLevel="0" collapsed="false">
      <c r="A72" s="3" t="s">
        <v>44</v>
      </c>
      <c r="B72" s="4" t="s">
        <v>267</v>
      </c>
      <c r="C72" s="4" t="s">
        <v>268</v>
      </c>
    </row>
    <row r="73" customFormat="false" ht="15" hidden="false" customHeight="false" outlineLevel="0" collapsed="false">
      <c r="A73" s="3" t="s">
        <v>162</v>
      </c>
      <c r="B73" s="4" t="s">
        <v>163</v>
      </c>
      <c r="C73" s="4" t="s">
        <v>269</v>
      </c>
    </row>
    <row r="74" customFormat="false" ht="105" hidden="false" customHeight="true" outlineLevel="0" collapsed="false">
      <c r="A74" s="3" t="s">
        <v>164</v>
      </c>
      <c r="B74" s="4" t="s">
        <v>270</v>
      </c>
      <c r="C74" s="4" t="s">
        <v>271</v>
      </c>
    </row>
    <row r="75" customFormat="false" ht="68.65" hidden="false" customHeight="false" outlineLevel="0" collapsed="false">
      <c r="A75" s="3" t="s">
        <v>52</v>
      </c>
      <c r="B75" s="4" t="s">
        <v>272</v>
      </c>
      <c r="C75" s="4" t="s">
        <v>273</v>
      </c>
    </row>
    <row r="76" customFormat="false" ht="150" hidden="false" customHeight="true" outlineLevel="0" collapsed="false">
      <c r="A76" s="3" t="s">
        <v>55</v>
      </c>
      <c r="B76" s="4" t="s">
        <v>274</v>
      </c>
      <c r="C76" s="4" t="s">
        <v>275</v>
      </c>
    </row>
    <row r="77" customFormat="false" ht="15" hidden="false" customHeight="false" outlineLevel="0" collapsed="false">
      <c r="A77" s="7" t="s">
        <v>58</v>
      </c>
      <c r="B77" s="7" t="s">
        <v>59</v>
      </c>
      <c r="C77" s="7" t="s">
        <v>171</v>
      </c>
      <c r="D77" s="7" t="s">
        <v>172</v>
      </c>
      <c r="E77" s="7" t="s">
        <v>173</v>
      </c>
      <c r="F77" s="7" t="s">
        <v>174</v>
      </c>
      <c r="G77" s="7" t="s">
        <v>175</v>
      </c>
      <c r="H77" s="7" t="s">
        <v>176</v>
      </c>
      <c r="I77" s="7" t="s">
        <v>177</v>
      </c>
      <c r="J77" s="7" t="s">
        <v>178</v>
      </c>
      <c r="K77" s="7" t="s">
        <v>179</v>
      </c>
      <c r="L77" s="7" t="s">
        <v>180</v>
      </c>
      <c r="M77" s="7" t="s">
        <v>181</v>
      </c>
      <c r="N77" s="7" t="s">
        <v>182</v>
      </c>
      <c r="O77" s="7" t="s">
        <v>66</v>
      </c>
      <c r="P77" s="7" t="s">
        <v>67</v>
      </c>
    </row>
    <row r="78" customFormat="false" ht="15" hidden="false" customHeight="false" outlineLevel="0" collapsed="false">
      <c r="A78" s="0" t="s">
        <v>234</v>
      </c>
      <c r="B78" s="0" t="s">
        <v>209</v>
      </c>
      <c r="C78" s="0" t="n">
        <v>16</v>
      </c>
      <c r="D78" s="0" t="s">
        <v>276</v>
      </c>
      <c r="E78" s="0" t="s">
        <v>277</v>
      </c>
      <c r="F78" s="0" t="s">
        <v>278</v>
      </c>
      <c r="G78" s="0" t="s">
        <v>279</v>
      </c>
      <c r="H78" s="0" t="s">
        <v>280</v>
      </c>
      <c r="I78" s="0" t="n">
        <v>17</v>
      </c>
      <c r="J78" s="0" t="s">
        <v>281</v>
      </c>
      <c r="K78" s="0" t="s">
        <v>282</v>
      </c>
      <c r="L78" s="0" t="s">
        <v>283</v>
      </c>
      <c r="M78" s="0" t="s">
        <v>284</v>
      </c>
      <c r="N78" s="0" t="s">
        <v>285</v>
      </c>
      <c r="O78" s="0" t="s">
        <v>286</v>
      </c>
      <c r="P78" s="0" t="s">
        <v>73</v>
      </c>
    </row>
    <row r="79" customFormat="false" ht="15" hidden="false" customHeight="false" outlineLevel="0" collapsed="false">
      <c r="A79" s="0" t="s">
        <v>228</v>
      </c>
      <c r="B79" s="0" t="s">
        <v>287</v>
      </c>
      <c r="C79" s="0" t="n">
        <v>10</v>
      </c>
      <c r="D79" s="0" t="s">
        <v>288</v>
      </c>
      <c r="E79" s="0" t="s">
        <v>289</v>
      </c>
      <c r="F79" s="0" t="s">
        <v>290</v>
      </c>
      <c r="G79" s="0" t="s">
        <v>291</v>
      </c>
      <c r="H79" s="0" t="s">
        <v>292</v>
      </c>
      <c r="I79" s="0" t="n">
        <v>21</v>
      </c>
      <c r="J79" s="0" t="s">
        <v>293</v>
      </c>
      <c r="K79" s="0" t="s">
        <v>294</v>
      </c>
      <c r="L79" s="0" t="s">
        <v>295</v>
      </c>
      <c r="M79" s="0" t="s">
        <v>296</v>
      </c>
      <c r="N79" s="0" t="s">
        <v>297</v>
      </c>
      <c r="O79" s="0" t="s">
        <v>298</v>
      </c>
      <c r="P79" s="0" t="s">
        <v>227</v>
      </c>
    </row>
    <row r="80" customFormat="false" ht="15" hidden="false" customHeight="false" outlineLevel="0" collapsed="false">
      <c r="A80" s="0" t="s">
        <v>197</v>
      </c>
      <c r="B80" s="0" t="s">
        <v>69</v>
      </c>
      <c r="C80" s="0" t="n">
        <v>13</v>
      </c>
      <c r="D80" s="0" t="s">
        <v>299</v>
      </c>
      <c r="E80" s="0" t="s">
        <v>300</v>
      </c>
      <c r="F80" s="0" t="s">
        <v>301</v>
      </c>
      <c r="G80" s="0" t="s">
        <v>302</v>
      </c>
      <c r="H80" s="0" t="s">
        <v>303</v>
      </c>
      <c r="I80" s="0" t="n">
        <v>17</v>
      </c>
      <c r="J80" s="0" t="s">
        <v>304</v>
      </c>
      <c r="K80" s="0" t="s">
        <v>305</v>
      </c>
      <c r="L80" s="0" t="s">
        <v>306</v>
      </c>
      <c r="M80" s="0" t="s">
        <v>307</v>
      </c>
      <c r="N80" s="0" t="s">
        <v>308</v>
      </c>
      <c r="O80" s="0" t="s">
        <v>309</v>
      </c>
      <c r="P80" s="0" t="s">
        <v>310</v>
      </c>
    </row>
    <row r="81" customFormat="false" ht="15" hidden="false" customHeight="false" outlineLevel="0" collapsed="false">
      <c r="A81" s="0" t="s">
        <v>208</v>
      </c>
      <c r="C81" s="0" t="n">
        <v>9</v>
      </c>
      <c r="D81" s="0" t="s">
        <v>311</v>
      </c>
      <c r="E81" s="0" t="s">
        <v>294</v>
      </c>
      <c r="F81" s="0" t="s">
        <v>312</v>
      </c>
      <c r="G81" s="0" t="s">
        <v>313</v>
      </c>
      <c r="H81" s="0" t="s">
        <v>314</v>
      </c>
      <c r="I81" s="0" t="n">
        <v>19</v>
      </c>
      <c r="J81" s="0" t="s">
        <v>315</v>
      </c>
      <c r="K81" s="0" t="s">
        <v>305</v>
      </c>
      <c r="L81" s="0" t="s">
        <v>316</v>
      </c>
      <c r="M81" s="0" t="s">
        <v>317</v>
      </c>
      <c r="N81" s="0" t="s">
        <v>318</v>
      </c>
      <c r="O81" s="0" t="s">
        <v>319</v>
      </c>
      <c r="P81" s="0" t="s">
        <v>196</v>
      </c>
    </row>
    <row r="82" customFormat="false" ht="15" hidden="false" customHeight="false" outlineLevel="0" collapsed="false">
      <c r="A82" s="0" t="s">
        <v>221</v>
      </c>
      <c r="C82" s="0" t="n">
        <v>11</v>
      </c>
      <c r="D82" s="0" t="s">
        <v>320</v>
      </c>
      <c r="E82" s="0" t="s">
        <v>321</v>
      </c>
      <c r="F82" s="0" t="s">
        <v>322</v>
      </c>
      <c r="G82" s="0" t="s">
        <v>323</v>
      </c>
      <c r="H82" s="0" t="s">
        <v>324</v>
      </c>
      <c r="I82" s="0" t="n">
        <v>12</v>
      </c>
      <c r="J82" s="0" t="s">
        <v>325</v>
      </c>
      <c r="K82" s="0" t="s">
        <v>321</v>
      </c>
      <c r="L82" s="0" t="s">
        <v>326</v>
      </c>
      <c r="M82" s="0" t="s">
        <v>327</v>
      </c>
      <c r="N82" s="0" t="s">
        <v>328</v>
      </c>
      <c r="O82" s="0" t="s">
        <v>329</v>
      </c>
      <c r="P82" s="0" t="s">
        <v>196</v>
      </c>
    </row>
    <row r="83" customFormat="false" ht="15" hidden="false" customHeight="false" outlineLevel="0" collapsed="false">
      <c r="A83" s="0" t="s">
        <v>183</v>
      </c>
      <c r="C83" s="0" t="n">
        <v>8</v>
      </c>
      <c r="D83" s="0" t="s">
        <v>330</v>
      </c>
      <c r="E83" s="0" t="s">
        <v>186</v>
      </c>
      <c r="F83" s="0" t="s">
        <v>331</v>
      </c>
      <c r="G83" s="0" t="s">
        <v>332</v>
      </c>
      <c r="H83" s="0" t="s">
        <v>333</v>
      </c>
      <c r="I83" s="0" t="n">
        <v>11</v>
      </c>
      <c r="J83" s="0" t="s">
        <v>334</v>
      </c>
      <c r="K83" s="0" t="s">
        <v>335</v>
      </c>
      <c r="L83" s="0" t="s">
        <v>336</v>
      </c>
      <c r="M83" s="0" t="s">
        <v>337</v>
      </c>
      <c r="N83" s="0" t="s">
        <v>338</v>
      </c>
      <c r="O83" s="0" t="s">
        <v>339</v>
      </c>
      <c r="P83" s="0" t="s">
        <v>227</v>
      </c>
    </row>
    <row r="85" customFormat="false" ht="15" hidden="false" customHeight="false" outlineLevel="0" collapsed="false">
      <c r="A85" s="6" t="s">
        <v>340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customFormat="false" ht="15" hidden="false" customHeight="false" outlineLevel="0" collapsed="false">
      <c r="A86" s="3"/>
      <c r="B86" s="3" t="s">
        <v>341</v>
      </c>
      <c r="C86" s="3" t="s">
        <v>342</v>
      </c>
    </row>
    <row r="87" customFormat="false" ht="15" hidden="false" customHeight="false" outlineLevel="0" collapsed="false">
      <c r="A87" s="3" t="s">
        <v>146</v>
      </c>
      <c r="B87" s="4" t="s">
        <v>343</v>
      </c>
      <c r="C87" s="4" t="s">
        <v>344</v>
      </c>
    </row>
    <row r="88" customFormat="false" ht="15" hidden="false" customHeight="false" outlineLevel="0" collapsed="false">
      <c r="A88" s="3" t="s">
        <v>149</v>
      </c>
      <c r="B88" s="4" t="s">
        <v>345</v>
      </c>
      <c r="C88" s="4" t="s">
        <v>346</v>
      </c>
    </row>
    <row r="89" customFormat="false" ht="15" hidden="false" customHeight="false" outlineLevel="0" collapsed="false">
      <c r="A89" s="3" t="s">
        <v>152</v>
      </c>
      <c r="B89" s="4" t="s">
        <v>347</v>
      </c>
      <c r="C89" s="4" t="s">
        <v>347</v>
      </c>
    </row>
    <row r="90" customFormat="false" ht="15" hidden="false" customHeight="false" outlineLevel="0" collapsed="false">
      <c r="A90" s="3" t="s">
        <v>155</v>
      </c>
      <c r="B90" s="4" t="s">
        <v>348</v>
      </c>
      <c r="C90" s="4" t="s">
        <v>349</v>
      </c>
    </row>
    <row r="91" customFormat="false" ht="15" hidden="false" customHeight="false" outlineLevel="0" collapsed="false">
      <c r="A91" s="3" t="s">
        <v>41</v>
      </c>
      <c r="B91" s="4" t="s">
        <v>350</v>
      </c>
      <c r="C91" s="4" t="s">
        <v>351</v>
      </c>
    </row>
    <row r="92" customFormat="false" ht="15" hidden="false" customHeight="false" outlineLevel="0" collapsed="false">
      <c r="A92" s="3" t="s">
        <v>44</v>
      </c>
      <c r="B92" s="4" t="s">
        <v>352</v>
      </c>
      <c r="C92" s="4" t="s">
        <v>353</v>
      </c>
    </row>
    <row r="93" customFormat="false" ht="15" hidden="false" customHeight="false" outlineLevel="0" collapsed="false">
      <c r="A93" s="3" t="s">
        <v>162</v>
      </c>
      <c r="B93" s="4" t="s">
        <v>163</v>
      </c>
      <c r="C93" s="4" t="s">
        <v>163</v>
      </c>
    </row>
    <row r="94" customFormat="false" ht="105" hidden="false" customHeight="true" outlineLevel="0" collapsed="false">
      <c r="A94" s="3" t="s">
        <v>164</v>
      </c>
      <c r="B94" s="4" t="s">
        <v>354</v>
      </c>
      <c r="C94" s="4" t="s">
        <v>355</v>
      </c>
    </row>
    <row r="95" customFormat="false" ht="68.65" hidden="false" customHeight="false" outlineLevel="0" collapsed="false">
      <c r="A95" s="3" t="s">
        <v>52</v>
      </c>
      <c r="B95" s="4" t="s">
        <v>356</v>
      </c>
      <c r="C95" s="4" t="s">
        <v>357</v>
      </c>
    </row>
    <row r="96" customFormat="false" ht="150" hidden="false" customHeight="true" outlineLevel="0" collapsed="false">
      <c r="A96" s="3" t="s">
        <v>55</v>
      </c>
      <c r="B96" s="4" t="s">
        <v>358</v>
      </c>
      <c r="C96" s="4" t="s">
        <v>359</v>
      </c>
    </row>
    <row r="97" customFormat="false" ht="15" hidden="false" customHeight="false" outlineLevel="0" collapsed="false">
      <c r="A97" s="7" t="s">
        <v>58</v>
      </c>
      <c r="B97" s="7" t="s">
        <v>59</v>
      </c>
      <c r="C97" s="7" t="s">
        <v>171</v>
      </c>
      <c r="D97" s="7" t="s">
        <v>172</v>
      </c>
      <c r="E97" s="7" t="s">
        <v>173</v>
      </c>
      <c r="F97" s="7" t="s">
        <v>174</v>
      </c>
      <c r="G97" s="7" t="s">
        <v>175</v>
      </c>
      <c r="H97" s="7" t="s">
        <v>176</v>
      </c>
      <c r="I97" s="7" t="s">
        <v>177</v>
      </c>
      <c r="J97" s="7" t="s">
        <v>178</v>
      </c>
      <c r="K97" s="7" t="s">
        <v>179</v>
      </c>
      <c r="L97" s="7" t="s">
        <v>180</v>
      </c>
      <c r="M97" s="7" t="s">
        <v>181</v>
      </c>
      <c r="N97" s="7" t="s">
        <v>182</v>
      </c>
      <c r="O97" s="7" t="s">
        <v>66</v>
      </c>
      <c r="P97" s="7" t="s">
        <v>67</v>
      </c>
    </row>
    <row r="98" customFormat="false" ht="15" hidden="false" customHeight="false" outlineLevel="0" collapsed="false">
      <c r="A98" s="0" t="s">
        <v>208</v>
      </c>
      <c r="B98" s="0" t="s">
        <v>184</v>
      </c>
      <c r="C98" s="0" t="n">
        <v>13</v>
      </c>
      <c r="D98" s="0" t="s">
        <v>360</v>
      </c>
      <c r="E98" s="0" t="s">
        <v>361</v>
      </c>
      <c r="F98" s="0" t="s">
        <v>362</v>
      </c>
      <c r="G98" s="0" t="s">
        <v>363</v>
      </c>
      <c r="H98" s="0" t="s">
        <v>364</v>
      </c>
      <c r="I98" s="0" t="n">
        <v>10</v>
      </c>
      <c r="J98" s="0" t="s">
        <v>365</v>
      </c>
      <c r="K98" s="0" t="s">
        <v>366</v>
      </c>
      <c r="L98" s="0" t="s">
        <v>367</v>
      </c>
      <c r="M98" s="0" t="s">
        <v>368</v>
      </c>
      <c r="N98" s="0" t="s">
        <v>369</v>
      </c>
      <c r="O98" s="0" t="s">
        <v>370</v>
      </c>
      <c r="P98" s="0" t="s">
        <v>227</v>
      </c>
    </row>
    <row r="99" customFormat="false" ht="15" hidden="false" customHeight="false" outlineLevel="0" collapsed="false">
      <c r="A99" s="0" t="s">
        <v>234</v>
      </c>
      <c r="B99" s="0" t="s">
        <v>371</v>
      </c>
      <c r="C99" s="0" t="n">
        <v>13</v>
      </c>
      <c r="D99" s="0" t="s">
        <v>360</v>
      </c>
      <c r="E99" s="0" t="s">
        <v>372</v>
      </c>
      <c r="F99" s="0" t="s">
        <v>373</v>
      </c>
      <c r="G99" s="0" t="s">
        <v>374</v>
      </c>
      <c r="H99" s="0" t="s">
        <v>303</v>
      </c>
      <c r="I99" s="0" t="n">
        <v>9</v>
      </c>
      <c r="J99" s="0" t="s">
        <v>311</v>
      </c>
      <c r="K99" s="0" t="s">
        <v>375</v>
      </c>
      <c r="L99" s="0" t="s">
        <v>376</v>
      </c>
      <c r="M99" s="0" t="s">
        <v>377</v>
      </c>
      <c r="N99" s="0" t="s">
        <v>378</v>
      </c>
      <c r="O99" s="0" t="s">
        <v>379</v>
      </c>
      <c r="P99" s="0" t="s">
        <v>196</v>
      </c>
    </row>
    <row r="100" customFormat="false" ht="15" hidden="false" customHeight="false" outlineLevel="0" collapsed="false">
      <c r="A100" s="0" t="s">
        <v>197</v>
      </c>
      <c r="B100" s="0" t="s">
        <v>380</v>
      </c>
      <c r="C100" s="0" t="n">
        <v>9</v>
      </c>
      <c r="D100" s="0" t="s">
        <v>381</v>
      </c>
      <c r="E100" s="0" t="s">
        <v>282</v>
      </c>
      <c r="F100" s="0" t="s">
        <v>382</v>
      </c>
      <c r="G100" s="0" t="s">
        <v>383</v>
      </c>
      <c r="H100" s="0" t="s">
        <v>384</v>
      </c>
      <c r="I100" s="0" t="n">
        <v>10</v>
      </c>
      <c r="J100" s="0" t="s">
        <v>385</v>
      </c>
      <c r="K100" s="0" t="s">
        <v>294</v>
      </c>
      <c r="L100" s="0" t="s">
        <v>386</v>
      </c>
      <c r="M100" s="0" t="s">
        <v>322</v>
      </c>
      <c r="N100" s="0" t="s">
        <v>387</v>
      </c>
      <c r="O100" s="0" t="s">
        <v>388</v>
      </c>
      <c r="P100" s="0" t="s">
        <v>227</v>
      </c>
    </row>
    <row r="101" customFormat="false" ht="15" hidden="false" customHeight="false" outlineLevel="0" collapsed="false">
      <c r="A101" s="0" t="s">
        <v>221</v>
      </c>
      <c r="C101" s="0" t="n">
        <v>9</v>
      </c>
      <c r="D101" s="0" t="s">
        <v>389</v>
      </c>
      <c r="E101" s="0" t="s">
        <v>294</v>
      </c>
      <c r="F101" s="0" t="s">
        <v>307</v>
      </c>
      <c r="G101" s="0" t="s">
        <v>248</v>
      </c>
      <c r="H101" s="0" t="s">
        <v>390</v>
      </c>
      <c r="I101" s="0" t="n">
        <v>2</v>
      </c>
      <c r="J101" s="0" t="s">
        <v>203</v>
      </c>
      <c r="K101" s="0" t="s">
        <v>391</v>
      </c>
      <c r="L101" s="0" t="s">
        <v>392</v>
      </c>
      <c r="M101" s="0" t="s">
        <v>393</v>
      </c>
      <c r="N101" s="0" t="s">
        <v>394</v>
      </c>
      <c r="O101" s="0" t="s">
        <v>395</v>
      </c>
      <c r="P101" s="0" t="s">
        <v>196</v>
      </c>
    </row>
    <row r="102" customFormat="false" ht="15" hidden="false" customHeight="false" outlineLevel="0" collapsed="false">
      <c r="A102" s="0" t="s">
        <v>228</v>
      </c>
      <c r="C102" s="0" t="n">
        <v>0</v>
      </c>
      <c r="I102" s="0" t="n">
        <v>9</v>
      </c>
      <c r="J102" s="0" t="s">
        <v>396</v>
      </c>
      <c r="K102" s="0" t="s">
        <v>335</v>
      </c>
      <c r="L102" s="0" t="s">
        <v>376</v>
      </c>
      <c r="M102" s="0" t="s">
        <v>397</v>
      </c>
      <c r="N102" s="0" t="s">
        <v>378</v>
      </c>
      <c r="O102" s="0" t="s">
        <v>87</v>
      </c>
      <c r="P102" s="0" t="s">
        <v>196</v>
      </c>
    </row>
    <row r="103" customFormat="false" ht="15" hidden="false" customHeight="false" outlineLevel="0" collapsed="false">
      <c r="A103" s="0" t="s">
        <v>183</v>
      </c>
      <c r="C103" s="0" t="n">
        <v>8</v>
      </c>
      <c r="D103" s="0" t="s">
        <v>398</v>
      </c>
      <c r="E103" s="0" t="s">
        <v>399</v>
      </c>
      <c r="F103" s="0" t="s">
        <v>400</v>
      </c>
      <c r="G103" s="0" t="s">
        <v>248</v>
      </c>
      <c r="H103" s="0" t="s">
        <v>401</v>
      </c>
      <c r="I103" s="0" t="n">
        <v>4</v>
      </c>
      <c r="J103" s="0" t="s">
        <v>402</v>
      </c>
      <c r="K103" s="0" t="s">
        <v>289</v>
      </c>
      <c r="L103" s="0" t="s">
        <v>403</v>
      </c>
      <c r="M103" s="0" t="s">
        <v>252</v>
      </c>
      <c r="N103" s="0" t="s">
        <v>404</v>
      </c>
      <c r="O103" s="0" t="s">
        <v>395</v>
      </c>
      <c r="P103" s="0" t="s">
        <v>196</v>
      </c>
    </row>
    <row r="104" customFormat="false" ht="15" hidden="false" customHeight="false" outlineLevel="0" collapsed="false">
      <c r="A104" s="0" t="s">
        <v>245</v>
      </c>
      <c r="C104" s="0" t="n">
        <v>4</v>
      </c>
      <c r="D104" s="0" t="s">
        <v>405</v>
      </c>
      <c r="E104" s="0" t="s">
        <v>289</v>
      </c>
      <c r="F104" s="0" t="s">
        <v>406</v>
      </c>
      <c r="G104" s="0" t="s">
        <v>407</v>
      </c>
      <c r="H104" s="0" t="s">
        <v>408</v>
      </c>
      <c r="I104" s="0" t="n">
        <v>1</v>
      </c>
      <c r="J104" s="0" t="s">
        <v>250</v>
      </c>
      <c r="K104" s="0" t="s">
        <v>409</v>
      </c>
      <c r="L104" s="0" t="s">
        <v>410</v>
      </c>
      <c r="M104" s="0" t="s">
        <v>243</v>
      </c>
      <c r="N104" s="0" t="s">
        <v>411</v>
      </c>
      <c r="O104" s="0" t="s">
        <v>98</v>
      </c>
      <c r="P104" s="0" t="s">
        <v>196</v>
      </c>
    </row>
    <row r="106" customFormat="false" ht="15" hidden="false" customHeight="false" outlineLevel="0" collapsed="false">
      <c r="A106" s="6" t="s">
        <v>412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customFormat="false" ht="15" hidden="false" customHeight="false" outlineLevel="0" collapsed="false">
      <c r="A107" s="3"/>
      <c r="B107" s="3" t="s">
        <v>413</v>
      </c>
      <c r="C107" s="3" t="s">
        <v>414</v>
      </c>
    </row>
    <row r="108" customFormat="false" ht="28.35" hidden="false" customHeight="false" outlineLevel="0" collapsed="false">
      <c r="A108" s="3" t="s">
        <v>35</v>
      </c>
      <c r="B108" s="4" t="s">
        <v>415</v>
      </c>
      <c r="C108" s="4" t="s">
        <v>416</v>
      </c>
    </row>
    <row r="109" customFormat="false" ht="15" hidden="false" customHeight="false" outlineLevel="0" collapsed="false">
      <c r="A109" s="3" t="s">
        <v>38</v>
      </c>
      <c r="B109" s="4" t="s">
        <v>116</v>
      </c>
      <c r="C109" s="4" t="s">
        <v>116</v>
      </c>
    </row>
    <row r="110" customFormat="false" ht="15" hidden="false" customHeight="false" outlineLevel="0" collapsed="false">
      <c r="A110" s="3" t="s">
        <v>41</v>
      </c>
      <c r="B110" s="4" t="s">
        <v>417</v>
      </c>
      <c r="C110" s="4" t="s">
        <v>418</v>
      </c>
    </row>
    <row r="111" customFormat="false" ht="15" hidden="false" customHeight="false" outlineLevel="0" collapsed="false">
      <c r="A111" s="3" t="s">
        <v>44</v>
      </c>
      <c r="B111" s="4" t="s">
        <v>419</v>
      </c>
      <c r="C111" s="4" t="s">
        <v>420</v>
      </c>
    </row>
    <row r="112" customFormat="false" ht="15" hidden="false" customHeight="false" outlineLevel="0" collapsed="false">
      <c r="A112" s="3" t="s">
        <v>47</v>
      </c>
      <c r="B112" s="4" t="s">
        <v>48</v>
      </c>
      <c r="C112" s="4" t="s">
        <v>48</v>
      </c>
    </row>
    <row r="113" customFormat="false" ht="105" hidden="false" customHeight="true" outlineLevel="0" collapsed="false">
      <c r="A113" s="3" t="s">
        <v>49</v>
      </c>
      <c r="B113" s="4" t="s">
        <v>421</v>
      </c>
      <c r="C113" s="4" t="s">
        <v>422</v>
      </c>
    </row>
    <row r="114" customFormat="false" ht="75" hidden="false" customHeight="true" outlineLevel="0" collapsed="false">
      <c r="A114" s="3" t="s">
        <v>52</v>
      </c>
      <c r="B114" s="4" t="s">
        <v>423</v>
      </c>
      <c r="C114" s="4" t="s">
        <v>424</v>
      </c>
    </row>
    <row r="115" customFormat="false" ht="120" hidden="false" customHeight="true" outlineLevel="0" collapsed="false">
      <c r="A115" s="3" t="s">
        <v>55</v>
      </c>
      <c r="B115" s="4" t="s">
        <v>425</v>
      </c>
      <c r="C115" s="4" t="s">
        <v>426</v>
      </c>
    </row>
    <row r="116" customFormat="false" ht="15" hidden="false" customHeight="false" outlineLevel="0" collapsed="false">
      <c r="A116" s="7" t="s">
        <v>58</v>
      </c>
      <c r="B116" s="7" t="s">
        <v>59</v>
      </c>
      <c r="C116" s="7" t="s">
        <v>60</v>
      </c>
      <c r="D116" s="7" t="s">
        <v>61</v>
      </c>
      <c r="E116" s="7" t="s">
        <v>62</v>
      </c>
      <c r="F116" s="7"/>
      <c r="G116" s="7"/>
      <c r="H116" s="7"/>
      <c r="I116" s="7" t="s">
        <v>63</v>
      </c>
      <c r="J116" s="7" t="s">
        <v>64</v>
      </c>
      <c r="K116" s="7" t="s">
        <v>65</v>
      </c>
      <c r="L116" s="7"/>
      <c r="M116" s="7"/>
      <c r="N116" s="7"/>
      <c r="O116" s="7" t="s">
        <v>66</v>
      </c>
      <c r="P116" s="7" t="s">
        <v>67</v>
      </c>
    </row>
    <row r="117" customFormat="false" ht="15" hidden="false" customHeight="false" outlineLevel="0" collapsed="false">
      <c r="A117" s="0" t="s">
        <v>68</v>
      </c>
      <c r="B117" s="0" t="s">
        <v>287</v>
      </c>
      <c r="C117" s="0" t="n">
        <v>3</v>
      </c>
      <c r="D117" s="0" t="s">
        <v>97</v>
      </c>
      <c r="E117" s="0" t="s">
        <v>101</v>
      </c>
      <c r="I117" s="0" t="n">
        <v>7</v>
      </c>
      <c r="J117" s="0" t="s">
        <v>427</v>
      </c>
      <c r="K117" s="0" t="s">
        <v>77</v>
      </c>
      <c r="O117" s="0" t="s">
        <v>428</v>
      </c>
      <c r="P117" s="0" t="s">
        <v>81</v>
      </c>
    </row>
    <row r="118" customFormat="false" ht="15" hidden="false" customHeight="false" outlineLevel="0" collapsed="false">
      <c r="A118" s="0" t="s">
        <v>95</v>
      </c>
      <c r="B118" s="0" t="s">
        <v>429</v>
      </c>
      <c r="C118" s="0" t="n">
        <v>3</v>
      </c>
      <c r="D118" s="0" t="s">
        <v>141</v>
      </c>
      <c r="E118" s="0" t="s">
        <v>84</v>
      </c>
      <c r="I118" s="0" t="n">
        <v>1</v>
      </c>
      <c r="J118" s="0" t="s">
        <v>86</v>
      </c>
      <c r="K118" s="0" t="s">
        <v>75</v>
      </c>
      <c r="O118" s="0" t="s">
        <v>430</v>
      </c>
      <c r="P118" s="0" t="s">
        <v>81</v>
      </c>
    </row>
    <row r="119" customFormat="false" ht="15" hidden="false" customHeight="false" outlineLevel="0" collapsed="false">
      <c r="A119" s="0" t="s">
        <v>99</v>
      </c>
      <c r="B119" s="0" t="s">
        <v>431</v>
      </c>
      <c r="C119" s="0" t="n">
        <v>2</v>
      </c>
      <c r="D119" s="0" t="s">
        <v>77</v>
      </c>
      <c r="E119" s="0" t="s">
        <v>427</v>
      </c>
      <c r="I119" s="0" t="n">
        <v>5</v>
      </c>
      <c r="J119" s="0" t="s">
        <v>100</v>
      </c>
      <c r="K119" s="0" t="s">
        <v>432</v>
      </c>
      <c r="O119" s="0" t="s">
        <v>329</v>
      </c>
      <c r="P119" s="0" t="s">
        <v>73</v>
      </c>
    </row>
    <row r="120" customFormat="false" ht="15" hidden="false" customHeight="false" outlineLevel="0" collapsed="false">
      <c r="A120" s="0" t="s">
        <v>88</v>
      </c>
      <c r="C120" s="0" t="n">
        <v>0</v>
      </c>
      <c r="I120" s="0" t="n">
        <v>3</v>
      </c>
      <c r="J120" s="0" t="s">
        <v>136</v>
      </c>
      <c r="K120" s="0" t="s">
        <v>433</v>
      </c>
      <c r="O120" s="0" t="s">
        <v>110</v>
      </c>
      <c r="P120" s="0" t="s">
        <v>73</v>
      </c>
    </row>
    <row r="121" customFormat="false" ht="15" hidden="false" customHeight="false" outlineLevel="0" collapsed="false">
      <c r="A121" s="0" t="s">
        <v>92</v>
      </c>
      <c r="C121" s="0" t="n">
        <v>1</v>
      </c>
      <c r="D121" s="0" t="s">
        <v>141</v>
      </c>
      <c r="E121" s="0" t="s">
        <v>434</v>
      </c>
      <c r="I121" s="0" t="n">
        <v>3</v>
      </c>
      <c r="J121" s="0" t="s">
        <v>102</v>
      </c>
      <c r="K121" s="0" t="s">
        <v>435</v>
      </c>
      <c r="O121" s="0" t="s">
        <v>428</v>
      </c>
      <c r="P121" s="0" t="s">
        <v>81</v>
      </c>
    </row>
    <row r="122" customFormat="false" ht="15" hidden="false" customHeight="false" outlineLevel="0" collapsed="false">
      <c r="A122" s="0" t="s">
        <v>105</v>
      </c>
      <c r="C122" s="0" t="n">
        <v>1</v>
      </c>
      <c r="D122" s="0" t="s">
        <v>93</v>
      </c>
      <c r="E122" s="0" t="s">
        <v>101</v>
      </c>
      <c r="I122" s="0" t="n">
        <v>6</v>
      </c>
      <c r="J122" s="0" t="s">
        <v>131</v>
      </c>
      <c r="K122" s="0" t="s">
        <v>436</v>
      </c>
      <c r="O122" s="0" t="s">
        <v>254</v>
      </c>
      <c r="P122" s="0" t="s">
        <v>81</v>
      </c>
    </row>
    <row r="123" customFormat="false" ht="15" hidden="false" customHeight="false" outlineLevel="0" collapsed="false">
      <c r="A123" s="0" t="s">
        <v>74</v>
      </c>
      <c r="C123" s="0" t="n">
        <v>1</v>
      </c>
      <c r="D123" s="0" t="s">
        <v>70</v>
      </c>
      <c r="E123" s="0" t="s">
        <v>437</v>
      </c>
      <c r="I123" s="0" t="n">
        <v>5</v>
      </c>
      <c r="J123" s="0" t="s">
        <v>90</v>
      </c>
      <c r="K123" s="0" t="s">
        <v>97</v>
      </c>
      <c r="O123" s="0" t="s">
        <v>438</v>
      </c>
      <c r="P123" s="0" t="s">
        <v>81</v>
      </c>
    </row>
    <row r="125" customFormat="false" ht="15" hidden="false" customHeight="false" outlineLevel="0" collapsed="false">
      <c r="A125" s="6" t="s">
        <v>439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customFormat="false" ht="15" hidden="false" customHeight="false" outlineLevel="0" collapsed="false">
      <c r="A126" s="3"/>
      <c r="B126" s="3" t="s">
        <v>440</v>
      </c>
      <c r="C126" s="3" t="s">
        <v>441</v>
      </c>
    </row>
    <row r="127" customFormat="false" ht="28.35" hidden="false" customHeight="false" outlineLevel="0" collapsed="false">
      <c r="A127" s="3" t="s">
        <v>35</v>
      </c>
      <c r="B127" s="4" t="s">
        <v>442</v>
      </c>
      <c r="C127" s="4" t="s">
        <v>443</v>
      </c>
    </row>
    <row r="128" customFormat="false" ht="15" hidden="false" customHeight="false" outlineLevel="0" collapsed="false">
      <c r="A128" s="3" t="s">
        <v>38</v>
      </c>
      <c r="B128" s="4" t="s">
        <v>444</v>
      </c>
      <c r="C128" s="4" t="s">
        <v>445</v>
      </c>
    </row>
    <row r="129" customFormat="false" ht="15" hidden="false" customHeight="false" outlineLevel="0" collapsed="false">
      <c r="A129" s="3" t="s">
        <v>41</v>
      </c>
      <c r="B129" s="4" t="s">
        <v>446</v>
      </c>
      <c r="C129" s="4" t="s">
        <v>447</v>
      </c>
    </row>
    <row r="130" customFormat="false" ht="15" hidden="false" customHeight="false" outlineLevel="0" collapsed="false">
      <c r="A130" s="3" t="s">
        <v>44</v>
      </c>
      <c r="B130" s="4" t="s">
        <v>448</v>
      </c>
      <c r="C130" s="4" t="s">
        <v>449</v>
      </c>
    </row>
    <row r="131" customFormat="false" ht="15" hidden="false" customHeight="false" outlineLevel="0" collapsed="false">
      <c r="A131" s="3" t="s">
        <v>47</v>
      </c>
      <c r="B131" s="4" t="s">
        <v>48</v>
      </c>
      <c r="C131" s="4" t="s">
        <v>48</v>
      </c>
    </row>
    <row r="132" customFormat="false" ht="105" hidden="false" customHeight="true" outlineLevel="0" collapsed="false">
      <c r="A132" s="3" t="s">
        <v>49</v>
      </c>
      <c r="B132" s="4" t="s">
        <v>450</v>
      </c>
      <c r="C132" s="4" t="s">
        <v>451</v>
      </c>
    </row>
    <row r="133" customFormat="false" ht="75" hidden="false" customHeight="true" outlineLevel="0" collapsed="false">
      <c r="A133" s="3" t="s">
        <v>52</v>
      </c>
      <c r="B133" s="4" t="s">
        <v>452</v>
      </c>
      <c r="C133" s="4" t="s">
        <v>453</v>
      </c>
    </row>
    <row r="134" customFormat="false" ht="120" hidden="false" customHeight="true" outlineLevel="0" collapsed="false">
      <c r="A134" s="3" t="s">
        <v>55</v>
      </c>
      <c r="B134" s="4" t="s">
        <v>454</v>
      </c>
      <c r="C134" s="4" t="s">
        <v>455</v>
      </c>
    </row>
    <row r="135" customFormat="false" ht="15" hidden="false" customHeight="false" outlineLevel="0" collapsed="false">
      <c r="A135" s="7" t="s">
        <v>58</v>
      </c>
      <c r="B135" s="7" t="s">
        <v>59</v>
      </c>
      <c r="C135" s="7" t="s">
        <v>60</v>
      </c>
      <c r="D135" s="7" t="s">
        <v>61</v>
      </c>
      <c r="E135" s="7" t="s">
        <v>62</v>
      </c>
      <c r="F135" s="7"/>
      <c r="G135" s="7"/>
      <c r="H135" s="7"/>
      <c r="I135" s="7" t="s">
        <v>63</v>
      </c>
      <c r="J135" s="7" t="s">
        <v>64</v>
      </c>
      <c r="K135" s="7" t="s">
        <v>65</v>
      </c>
      <c r="L135" s="7"/>
      <c r="M135" s="7"/>
      <c r="N135" s="7"/>
      <c r="O135" s="7" t="s">
        <v>66</v>
      </c>
      <c r="P135" s="7" t="s">
        <v>67</v>
      </c>
    </row>
    <row r="136" customFormat="false" ht="15" hidden="false" customHeight="false" outlineLevel="0" collapsed="false">
      <c r="A136" s="0" t="s">
        <v>68</v>
      </c>
      <c r="B136" s="0" t="s">
        <v>456</v>
      </c>
      <c r="C136" s="0" t="n">
        <v>2</v>
      </c>
      <c r="D136" s="0" t="s">
        <v>457</v>
      </c>
      <c r="E136" s="0" t="s">
        <v>108</v>
      </c>
      <c r="I136" s="0" t="n">
        <v>3</v>
      </c>
      <c r="J136" s="0" t="s">
        <v>458</v>
      </c>
      <c r="K136" s="0" t="s">
        <v>107</v>
      </c>
      <c r="O136" s="0" t="s">
        <v>87</v>
      </c>
      <c r="P136" s="0" t="s">
        <v>81</v>
      </c>
    </row>
    <row r="137" customFormat="false" ht="15" hidden="false" customHeight="false" outlineLevel="0" collapsed="false">
      <c r="A137" s="0" t="s">
        <v>95</v>
      </c>
      <c r="B137" s="0" t="s">
        <v>429</v>
      </c>
      <c r="C137" s="0" t="n">
        <v>0</v>
      </c>
      <c r="I137" s="0" t="n">
        <v>5</v>
      </c>
      <c r="J137" s="0" t="s">
        <v>458</v>
      </c>
      <c r="K137" s="0" t="s">
        <v>459</v>
      </c>
      <c r="O137" s="0" t="s">
        <v>137</v>
      </c>
      <c r="P137" s="0" t="s">
        <v>73</v>
      </c>
    </row>
    <row r="138" customFormat="false" ht="15" hidden="false" customHeight="false" outlineLevel="0" collapsed="false">
      <c r="A138" s="0" t="s">
        <v>99</v>
      </c>
      <c r="B138" s="0" t="s">
        <v>431</v>
      </c>
      <c r="C138" s="0" t="n">
        <v>0</v>
      </c>
      <c r="I138" s="0" t="n">
        <v>4</v>
      </c>
      <c r="J138" s="0" t="s">
        <v>90</v>
      </c>
      <c r="K138" s="0" t="s">
        <v>106</v>
      </c>
      <c r="O138" s="0" t="s">
        <v>319</v>
      </c>
      <c r="P138" s="0" t="s">
        <v>81</v>
      </c>
    </row>
    <row r="139" customFormat="false" ht="15" hidden="false" customHeight="false" outlineLevel="0" collapsed="false">
      <c r="A139" s="0" t="s">
        <v>82</v>
      </c>
      <c r="C139" s="0" t="n">
        <v>1</v>
      </c>
      <c r="D139" s="0" t="s">
        <v>101</v>
      </c>
      <c r="E139" s="0" t="s">
        <v>103</v>
      </c>
      <c r="I139" s="0" t="n">
        <v>0</v>
      </c>
      <c r="O139" s="0" t="s">
        <v>91</v>
      </c>
      <c r="P139" s="0" t="s">
        <v>73</v>
      </c>
    </row>
    <row r="140" customFormat="false" ht="15" hidden="false" customHeight="false" outlineLevel="0" collapsed="false">
      <c r="A140" s="0" t="s">
        <v>88</v>
      </c>
      <c r="C140" s="0" t="n">
        <v>3</v>
      </c>
      <c r="D140" s="0" t="s">
        <v>460</v>
      </c>
      <c r="E140" s="0" t="s">
        <v>432</v>
      </c>
      <c r="I140" s="0" t="n">
        <v>4</v>
      </c>
      <c r="J140" s="0" t="s">
        <v>106</v>
      </c>
      <c r="K140" s="0" t="s">
        <v>435</v>
      </c>
      <c r="O140" s="0" t="s">
        <v>104</v>
      </c>
      <c r="P140" s="0" t="s">
        <v>81</v>
      </c>
    </row>
    <row r="141" customFormat="false" ht="15" hidden="false" customHeight="false" outlineLevel="0" collapsed="false">
      <c r="A141" s="0" t="s">
        <v>92</v>
      </c>
      <c r="C141" s="0" t="n">
        <v>3</v>
      </c>
      <c r="D141" s="0" t="s">
        <v>433</v>
      </c>
      <c r="E141" s="0" t="s">
        <v>108</v>
      </c>
      <c r="I141" s="0" t="n">
        <v>0</v>
      </c>
      <c r="O141" s="0" t="s">
        <v>461</v>
      </c>
      <c r="P141" s="0" t="s">
        <v>81</v>
      </c>
    </row>
    <row r="142" customFormat="false" ht="15" hidden="false" customHeight="false" outlineLevel="0" collapsed="false">
      <c r="A142" s="0" t="s">
        <v>105</v>
      </c>
      <c r="C142" s="0" t="n">
        <v>0</v>
      </c>
      <c r="I142" s="0" t="n">
        <v>1</v>
      </c>
      <c r="J142" s="0" t="s">
        <v>70</v>
      </c>
      <c r="K142" s="0" t="s">
        <v>462</v>
      </c>
      <c r="O142" s="0" t="s">
        <v>463</v>
      </c>
      <c r="P142" s="0" t="s">
        <v>73</v>
      </c>
    </row>
    <row r="143" customFormat="false" ht="15" hidden="false" customHeight="false" outlineLevel="0" collapsed="false">
      <c r="A143" s="0" t="s">
        <v>74</v>
      </c>
      <c r="C143" s="0" t="n">
        <v>3</v>
      </c>
      <c r="D143" s="0" t="s">
        <v>85</v>
      </c>
      <c r="E143" s="0" t="s">
        <v>464</v>
      </c>
      <c r="I143" s="0" t="n">
        <v>4</v>
      </c>
      <c r="J143" s="0" t="s">
        <v>97</v>
      </c>
      <c r="K143" s="0" t="s">
        <v>133</v>
      </c>
      <c r="O143" s="0" t="s">
        <v>104</v>
      </c>
      <c r="P143" s="0" t="s">
        <v>81</v>
      </c>
    </row>
    <row r="145" customFormat="false" ht="15" hidden="false" customHeight="false" outlineLevel="0" collapsed="false">
      <c r="A145" s="6" t="s">
        <v>465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customFormat="false" ht="15" hidden="false" customHeight="false" outlineLevel="0" collapsed="false">
      <c r="A146" s="3"/>
      <c r="B146" s="3" t="s">
        <v>466</v>
      </c>
      <c r="C146" s="3" t="s">
        <v>467</v>
      </c>
    </row>
    <row r="147" customFormat="false" ht="15" hidden="false" customHeight="false" outlineLevel="0" collapsed="false">
      <c r="A147" s="3" t="s">
        <v>146</v>
      </c>
      <c r="B147" s="4" t="s">
        <v>468</v>
      </c>
      <c r="C147" s="4" t="s">
        <v>469</v>
      </c>
    </row>
    <row r="148" customFormat="false" ht="15" hidden="false" customHeight="false" outlineLevel="0" collapsed="false">
      <c r="A148" s="3" t="s">
        <v>149</v>
      </c>
      <c r="B148" s="4" t="s">
        <v>470</v>
      </c>
      <c r="C148" s="4" t="s">
        <v>471</v>
      </c>
    </row>
    <row r="149" customFormat="false" ht="15" hidden="false" customHeight="false" outlineLevel="0" collapsed="false">
      <c r="A149" s="3" t="s">
        <v>152</v>
      </c>
      <c r="B149" s="4" t="s">
        <v>472</v>
      </c>
      <c r="C149" s="4" t="s">
        <v>236</v>
      </c>
    </row>
    <row r="150" customFormat="false" ht="15" hidden="false" customHeight="false" outlineLevel="0" collapsed="false">
      <c r="A150" s="3" t="s">
        <v>155</v>
      </c>
      <c r="B150" s="4" t="s">
        <v>473</v>
      </c>
      <c r="C150" s="4" t="s">
        <v>474</v>
      </c>
    </row>
    <row r="151" customFormat="false" ht="15" hidden="false" customHeight="false" outlineLevel="0" collapsed="false">
      <c r="A151" s="3" t="s">
        <v>41</v>
      </c>
      <c r="B151" s="4" t="s">
        <v>475</v>
      </c>
      <c r="C151" s="4" t="s">
        <v>476</v>
      </c>
    </row>
    <row r="152" customFormat="false" ht="15" hidden="false" customHeight="false" outlineLevel="0" collapsed="false">
      <c r="A152" s="3" t="s">
        <v>44</v>
      </c>
      <c r="B152" s="4" t="s">
        <v>477</v>
      </c>
      <c r="C152" s="4" t="s">
        <v>478</v>
      </c>
    </row>
    <row r="153" customFormat="false" ht="15" hidden="false" customHeight="false" outlineLevel="0" collapsed="false">
      <c r="A153" s="3" t="s">
        <v>162</v>
      </c>
      <c r="B153" s="4" t="s">
        <v>479</v>
      </c>
      <c r="C153" s="4" t="s">
        <v>163</v>
      </c>
    </row>
    <row r="154" customFormat="false" ht="105" hidden="false" customHeight="true" outlineLevel="0" collapsed="false">
      <c r="A154" s="3" t="s">
        <v>164</v>
      </c>
      <c r="B154" s="4" t="s">
        <v>480</v>
      </c>
      <c r="C154" s="4" t="s">
        <v>481</v>
      </c>
    </row>
    <row r="155" customFormat="false" ht="68.65" hidden="false" customHeight="false" outlineLevel="0" collapsed="false">
      <c r="A155" s="3" t="s">
        <v>52</v>
      </c>
      <c r="B155" s="4" t="s">
        <v>482</v>
      </c>
      <c r="C155" s="4" t="s">
        <v>483</v>
      </c>
    </row>
    <row r="156" customFormat="false" ht="150" hidden="false" customHeight="true" outlineLevel="0" collapsed="false">
      <c r="A156" s="3" t="s">
        <v>55</v>
      </c>
      <c r="B156" s="4" t="s">
        <v>484</v>
      </c>
      <c r="C156" s="4" t="s">
        <v>485</v>
      </c>
    </row>
    <row r="157" customFormat="false" ht="15" hidden="false" customHeight="false" outlineLevel="0" collapsed="false">
      <c r="A157" s="7" t="s">
        <v>58</v>
      </c>
      <c r="B157" s="7" t="s">
        <v>59</v>
      </c>
      <c r="C157" s="7" t="s">
        <v>171</v>
      </c>
      <c r="D157" s="7" t="s">
        <v>172</v>
      </c>
      <c r="E157" s="7" t="s">
        <v>173</v>
      </c>
      <c r="F157" s="7" t="s">
        <v>174</v>
      </c>
      <c r="G157" s="7" t="s">
        <v>175</v>
      </c>
      <c r="H157" s="7" t="s">
        <v>176</v>
      </c>
      <c r="I157" s="7" t="s">
        <v>177</v>
      </c>
      <c r="J157" s="7" t="s">
        <v>178</v>
      </c>
      <c r="K157" s="7" t="s">
        <v>179</v>
      </c>
      <c r="L157" s="7" t="s">
        <v>180</v>
      </c>
      <c r="M157" s="7" t="s">
        <v>181</v>
      </c>
      <c r="N157" s="7" t="s">
        <v>182</v>
      </c>
      <c r="O157" s="7" t="s">
        <v>66</v>
      </c>
      <c r="P157" s="7" t="s">
        <v>67</v>
      </c>
    </row>
    <row r="158" customFormat="false" ht="15" hidden="false" customHeight="false" outlineLevel="0" collapsed="false">
      <c r="A158" s="0" t="s">
        <v>197</v>
      </c>
      <c r="B158" s="0" t="s">
        <v>457</v>
      </c>
      <c r="C158" s="0" t="n">
        <v>25</v>
      </c>
      <c r="D158" s="0" t="s">
        <v>486</v>
      </c>
      <c r="E158" s="0" t="s">
        <v>487</v>
      </c>
      <c r="F158" s="0" t="s">
        <v>488</v>
      </c>
      <c r="G158" s="0" t="s">
        <v>489</v>
      </c>
      <c r="H158" s="0" t="s">
        <v>490</v>
      </c>
      <c r="I158" s="0" t="n">
        <v>2</v>
      </c>
      <c r="J158" s="0" t="s">
        <v>491</v>
      </c>
      <c r="K158" s="0" t="s">
        <v>492</v>
      </c>
      <c r="L158" s="0" t="s">
        <v>493</v>
      </c>
      <c r="M158" s="0" t="s">
        <v>192</v>
      </c>
      <c r="N158" s="0" t="s">
        <v>394</v>
      </c>
      <c r="O158" s="0" t="s">
        <v>494</v>
      </c>
      <c r="P158" s="0" t="s">
        <v>310</v>
      </c>
    </row>
    <row r="159" customFormat="false" ht="15" hidden="false" customHeight="false" outlineLevel="0" collapsed="false">
      <c r="A159" s="0" t="s">
        <v>208</v>
      </c>
      <c r="B159" s="0" t="s">
        <v>132</v>
      </c>
      <c r="C159" s="0" t="n">
        <v>20</v>
      </c>
      <c r="D159" s="0" t="s">
        <v>495</v>
      </c>
      <c r="E159" s="0" t="s">
        <v>496</v>
      </c>
      <c r="F159" s="0" t="s">
        <v>497</v>
      </c>
      <c r="G159" s="0" t="s">
        <v>498</v>
      </c>
      <c r="H159" s="0" t="s">
        <v>499</v>
      </c>
      <c r="I159" s="0" t="n">
        <v>3</v>
      </c>
      <c r="J159" s="0" t="s">
        <v>500</v>
      </c>
      <c r="K159" s="0" t="s">
        <v>501</v>
      </c>
      <c r="L159" s="0" t="s">
        <v>410</v>
      </c>
      <c r="M159" s="0" t="s">
        <v>393</v>
      </c>
      <c r="N159" s="0" t="s">
        <v>239</v>
      </c>
      <c r="O159" s="0" t="s">
        <v>502</v>
      </c>
      <c r="P159" s="0" t="s">
        <v>310</v>
      </c>
    </row>
    <row r="160" customFormat="false" ht="15" hidden="false" customHeight="false" outlineLevel="0" collapsed="false">
      <c r="A160" s="0" t="s">
        <v>234</v>
      </c>
      <c r="B160" s="0" t="s">
        <v>429</v>
      </c>
      <c r="C160" s="0" t="n">
        <v>10</v>
      </c>
      <c r="D160" s="0" t="s">
        <v>385</v>
      </c>
      <c r="E160" s="0" t="s">
        <v>503</v>
      </c>
      <c r="F160" s="0" t="s">
        <v>504</v>
      </c>
      <c r="G160" s="0" t="s">
        <v>505</v>
      </c>
      <c r="H160" s="0" t="s">
        <v>506</v>
      </c>
      <c r="I160" s="0" t="n">
        <v>3</v>
      </c>
      <c r="J160" s="0" t="s">
        <v>235</v>
      </c>
      <c r="K160" s="0" t="s">
        <v>507</v>
      </c>
      <c r="L160" s="0" t="s">
        <v>508</v>
      </c>
      <c r="M160" s="0" t="s">
        <v>509</v>
      </c>
      <c r="N160" s="0" t="s">
        <v>510</v>
      </c>
      <c r="O160" s="0" t="s">
        <v>104</v>
      </c>
      <c r="P160" s="0" t="s">
        <v>196</v>
      </c>
    </row>
    <row r="161" customFormat="false" ht="15" hidden="false" customHeight="false" outlineLevel="0" collapsed="false">
      <c r="A161" s="0" t="s">
        <v>221</v>
      </c>
      <c r="C161" s="0" t="n">
        <v>1</v>
      </c>
      <c r="D161" s="0" t="s">
        <v>250</v>
      </c>
      <c r="E161" s="0" t="s">
        <v>511</v>
      </c>
      <c r="F161" s="0" t="s">
        <v>512</v>
      </c>
      <c r="G161" s="0" t="s">
        <v>493</v>
      </c>
      <c r="H161" s="0" t="s">
        <v>411</v>
      </c>
      <c r="I161" s="0" t="n">
        <v>0</v>
      </c>
      <c r="O161" s="0" t="s">
        <v>91</v>
      </c>
      <c r="P161" s="0" t="s">
        <v>196</v>
      </c>
    </row>
    <row r="162" customFormat="false" ht="15" hidden="false" customHeight="false" outlineLevel="0" collapsed="false">
      <c r="A162" s="0" t="s">
        <v>228</v>
      </c>
      <c r="C162" s="0" t="n">
        <v>6</v>
      </c>
      <c r="D162" s="0" t="s">
        <v>513</v>
      </c>
      <c r="E162" s="0" t="s">
        <v>514</v>
      </c>
      <c r="F162" s="0" t="s">
        <v>296</v>
      </c>
      <c r="G162" s="0" t="s">
        <v>515</v>
      </c>
      <c r="H162" s="0" t="s">
        <v>516</v>
      </c>
      <c r="I162" s="0" t="n">
        <v>0</v>
      </c>
      <c r="O162" s="0" t="s">
        <v>72</v>
      </c>
      <c r="P162" s="0" t="s">
        <v>196</v>
      </c>
    </row>
    <row r="163" customFormat="false" ht="15" hidden="false" customHeight="false" outlineLevel="0" collapsed="false">
      <c r="A163" s="0" t="s">
        <v>183</v>
      </c>
      <c r="C163" s="0" t="n">
        <v>9</v>
      </c>
      <c r="D163" s="0" t="s">
        <v>389</v>
      </c>
      <c r="E163" s="0" t="s">
        <v>517</v>
      </c>
      <c r="F163" s="0" t="s">
        <v>316</v>
      </c>
      <c r="G163" s="0" t="s">
        <v>518</v>
      </c>
      <c r="H163" s="0" t="s">
        <v>384</v>
      </c>
      <c r="I163" s="0" t="n">
        <v>3</v>
      </c>
      <c r="J163" s="0" t="s">
        <v>215</v>
      </c>
      <c r="K163" s="0" t="s">
        <v>503</v>
      </c>
      <c r="L163" s="0" t="s">
        <v>509</v>
      </c>
      <c r="M163" s="0" t="s">
        <v>519</v>
      </c>
      <c r="N163" s="0" t="s">
        <v>218</v>
      </c>
      <c r="O163" s="0" t="s">
        <v>98</v>
      </c>
      <c r="P163" s="0" t="s">
        <v>196</v>
      </c>
    </row>
    <row r="164" customFormat="false" ht="15" hidden="false" customHeight="false" outlineLevel="0" collapsed="false">
      <c r="A164" s="0" t="s">
        <v>245</v>
      </c>
      <c r="C164" s="0" t="n">
        <v>10</v>
      </c>
      <c r="D164" s="0" t="s">
        <v>520</v>
      </c>
      <c r="E164" s="0" t="s">
        <v>321</v>
      </c>
      <c r="F164" s="0" t="s">
        <v>521</v>
      </c>
      <c r="G164" s="0" t="s">
        <v>522</v>
      </c>
      <c r="H164" s="0" t="s">
        <v>506</v>
      </c>
      <c r="I164" s="0" t="n">
        <v>0</v>
      </c>
      <c r="O164" s="0" t="s">
        <v>195</v>
      </c>
      <c r="P164" s="0" t="s">
        <v>196</v>
      </c>
    </row>
  </sheetData>
  <mergeCells count="9">
    <mergeCell ref="A2:L2"/>
    <mergeCell ref="A4:P4"/>
    <mergeCell ref="A24:P24"/>
    <mergeCell ref="A44:P44"/>
    <mergeCell ref="A65:P65"/>
    <mergeCell ref="A85:P85"/>
    <mergeCell ref="A106:P106"/>
    <mergeCell ref="A125:P125"/>
    <mergeCell ref="A145:P1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1" min="10" style="0" width="8"/>
    <col collapsed="false" customWidth="true" hidden="false" outlineLevel="0" max="12" min="12" style="0" width="9"/>
    <col collapsed="false" customWidth="true" hidden="false" outlineLevel="0" max="16" min="13" style="0" width="8"/>
    <col collapsed="false" customWidth="true" hidden="false" outlineLevel="0" max="18" min="17" style="0" width="10"/>
    <col collapsed="false" customWidth="true" hidden="false" outlineLevel="0" max="19" min="19" style="0" width="7"/>
    <col collapsed="false" customWidth="true" hidden="false" outlineLevel="0" max="20" min="20" style="0" width="38"/>
    <col collapsed="false" customWidth="true" hidden="false" outlineLevel="0" max="21" min="21" style="0" width="2"/>
    <col collapsed="false" customWidth="true" hidden="true" outlineLevel="0" max="22" min="22" style="0" width="5"/>
  </cols>
  <sheetData>
    <row r="1" customFormat="false" ht="17.35" hidden="false" customHeight="false" outlineLevel="0" collapsed="false">
      <c r="A1" s="1" t="s">
        <v>523</v>
      </c>
    </row>
    <row r="2" customFormat="false" ht="15" hidden="false" customHeight="false" outlineLevel="0" collapsed="false">
      <c r="A2" s="3" t="s">
        <v>524</v>
      </c>
      <c r="B2" s="8" t="s">
        <v>525</v>
      </c>
    </row>
    <row r="4" customFormat="false" ht="15" hidden="false" customHeight="false" outlineLevel="0" collapsed="false">
      <c r="A4" s="3" t="s">
        <v>526</v>
      </c>
      <c r="B4" s="0" t="str">
        <f aca="false">IFERROR(IF(INDEX(Matches!$E$5:$E$12,MATCH($B$2,Matches!$A$5:$A$12,0))="","",INDEX(Matches!$E$5:$E$12,MATCH($B$2,Matches!$A$5:$A$12,0))),"")&amp;"  vs  "&amp;IFERROR(IF(INDEX(Matches!$F$5:$F$12,MATCH($B$2,Matches!$A$5:$A$12,0))="","",INDEX(Matches!$F$5:$F$12,MATCH($B$2,Matches!$A$5:$A$12,0))),"")</f>
        <v>JiJieHao (JJH)  vs  Eternal Fire (EF)</v>
      </c>
      <c r="D4" s="3" t="s">
        <v>527</v>
      </c>
      <c r="E4" s="0" t="str">
        <f aca="false">IFERROR(IF(INDEX(Matches!$C$5:$C$12,MATCH($B$2,Matches!$A$5:$A$12,0))="","",INDEX(Matches!$C$5:$C$12,MATCH($B$2,Matches!$A$5:$A$12,0))),"")</f>
        <v>Fri 08:00</v>
      </c>
      <c r="G4" s="3" t="s">
        <v>528</v>
      </c>
      <c r="H4" s="9" t="n">
        <f aca="false">IFERROR(IF(INDEX(Matches!$D$5:$D$12,MATCH($B$2,Matches!$A$5:$A$12,0))="","",INDEX(Matches!$D$5:$D$12,MATCH($B$2,Matches!$A$5:$A$12,0))),"")</f>
        <v>3</v>
      </c>
    </row>
    <row r="5" customFormat="false" ht="15" hidden="false" customHeight="false" outlineLevel="0" collapsed="false">
      <c r="A5" s="3" t="s">
        <v>529</v>
      </c>
      <c r="B5" s="10" t="n">
        <f aca="false">IFERROR(IF(INDEX(Matches!$G$5:$G$12,MATCH($B$2,Matches!$A$5:$A$12,0))="","",INDEX(Matches!$G$5:$G$12,MATCH($B$2,Matches!$A$5:$A$12,0))),"")</f>
        <v>0.518817204301075</v>
      </c>
      <c r="D5" s="3" t="s">
        <v>530</v>
      </c>
      <c r="E5" s="10" t="n">
        <f aca="false">IFERROR(IF(INDEX(Matches!$H$5:$H$12,MATCH($B$2,Matches!$A$5:$A$12,0))="","",INDEX(Matches!$H$5:$H$12,MATCH($B$2,Matches!$A$5:$A$12,0))),"")</f>
        <v>0.269849791795991</v>
      </c>
      <c r="G5" s="3" t="s">
        <v>531</v>
      </c>
      <c r="H5" s="10" t="n">
        <f aca="false">IFERROR(IF(INDEX(Matches!$I$5:$I$12,MATCH($B$2,Matches!$A$5:$A$12,0))="","",INDEX(Matches!$I$5:$I$12,MATCH($B$2,Matches!$A$5:$A$12,0))),"")</f>
        <v>0.253182598773297</v>
      </c>
    </row>
    <row r="6" customFormat="false" ht="15" hidden="false" customHeight="false" outlineLevel="0" collapsed="false">
      <c r="A6" s="3" t="s">
        <v>532</v>
      </c>
      <c r="B6" s="10" t="n">
        <f aca="false">IFERROR(IF(INDEX(Matches!$J$5:$J$12,MATCH($B$2,Matches!$A$5:$A$12,0))="","",INDEX(Matches!$J$5:$J$12,MATCH($B$2,Matches!$A$5:$A$12,0))),"")</f>
        <v>0.476967609430712</v>
      </c>
      <c r="D6" s="3" t="s">
        <v>533</v>
      </c>
      <c r="E6" s="0" t="str">
        <f aca="false">IFERROR(IF(INDEX(Matches!$K$5:$K$12,MATCH($B$2,Matches!$A$5:$A$12,0))="","",INDEX(Matches!$K$5:$K$12,MATCH($B$2,Matches!$A$5:$A$12,0))),"")</f>
        <v>Mirage 20%</v>
      </c>
      <c r="G6" s="3" t="s">
        <v>534</v>
      </c>
      <c r="H6" s="0" t="str">
        <f aca="false">IFERROR(IF(INDEX(Matches!$L$5:$L$12,MATCH($B$2,Matches!$A$5:$A$12,0))="","",INDEX(Matches!$L$5:$L$12,MATCH($B$2,Matches!$A$5:$A$12,0))),"")</f>
        <v>Cache 19%</v>
      </c>
    </row>
    <row r="7" customFormat="false" ht="15" hidden="false" customHeight="false" outlineLevel="0" collapsed="false">
      <c r="A7" s="3" t="s">
        <v>535</v>
      </c>
      <c r="B7" s="11" t="n">
        <f aca="false">IFERROR(IF(INDEX(Matches!$O$5:$O$12,MATCH($B$2,Matches!$A$5:$A$12,0))="","",INDEX(Matches!$O$5:$O$12,MATCH($B$2,Matches!$A$5:$A$12,0))),"")</f>
        <v>21.2602380614992</v>
      </c>
      <c r="D7" s="3" t="s">
        <v>536</v>
      </c>
      <c r="E7" s="11" t="n">
        <f aca="false">IFERROR(IF(INDEX(Matches!$P$5:$P$12,MATCH($B$2,Matches!$A$5:$A$12,0))="","",INDEX(Matches!$P$5:$P$12,MATCH($B$2,Matches!$A$5:$A$12,0))),"")</f>
        <v>21.2430955120829</v>
      </c>
      <c r="G7" s="3" t="s">
        <v>537</v>
      </c>
      <c r="H7" s="10" t="n">
        <f aca="false">IFERROR(IF(INDEX(Matches!$R$5:$R$12,MATCH($B$2,Matches!$A$5:$A$12,0))="","",INDEX(Matches!$R$5:$R$12,MATCH($B$2,Matches!$A$5:$A$12,0))),"")</f>
        <v>0.153737658674189</v>
      </c>
    </row>
    <row r="8" customFormat="false" ht="15" hidden="false" customHeight="false" outlineLevel="0" collapsed="false">
      <c r="A8" s="3" t="s">
        <v>538</v>
      </c>
      <c r="B8" s="11" t="n">
        <f aca="false">IFERROR(IF(INDEX(Matches!$S$5:$S$12,MATCH($B$2,Matches!$A$5:$A$12,0))="","",INDEX(Matches!$S$5:$S$12,MATCH($B$2,Matches!$A$5:$A$12,0))),"")</f>
        <v>-0.993408662900189</v>
      </c>
      <c r="D8" s="3" t="s">
        <v>539</v>
      </c>
      <c r="E8" s="11" t="str">
        <f aca="false">IFERROR(IF(INDEX(Matches!$T$5:$T$12,MATCH($B$2,Matches!$A$5:$A$12,0))="","",INDEX(Matches!$T$5:$T$12,MATCH($B$2,Matches!$A$5:$A$12,0))),"")</f>
        <v/>
      </c>
      <c r="G8" s="3" t="s">
        <v>540</v>
      </c>
      <c r="H8" s="11" t="str">
        <f aca="false">IFERROR(IF(INDEX(Matches!$U$5:$U$12,MATCH($B$2,Matches!$A$5:$A$12,0))="","",INDEX(Matches!$U$5:$U$12,MATCH($B$2,Matches!$A$5:$A$12,0))),"")</f>
        <v/>
      </c>
    </row>
    <row r="9" customFormat="false" ht="15" hidden="false" customHeight="false" outlineLevel="0" collapsed="false">
      <c r="A9" s="3" t="s">
        <v>541</v>
      </c>
      <c r="B9" s="11" t="n">
        <f aca="false">IFERROR(IF(INDEX(Matches!$AN$5:$AN$12,MATCH($B$2,Matches!$A$5:$A$12,0))="","",INDEX(Matches!$AN$5:$AN$12,MATCH($B$2,Matches!$A$5:$A$12,0))),"")</f>
        <v>21.2480775</v>
      </c>
      <c r="D9" s="3" t="s">
        <v>542</v>
      </c>
      <c r="E9" s="11" t="n">
        <f aca="false">IFERROR(IF(INDEX(Matches!$AO$5:$AO$12,MATCH($B$2,Matches!$A$5:$A$12,0))="","",INDEX(Matches!$AO$5:$AO$12,MATCH($B$2,Matches!$A$5:$A$12,0))),"")</f>
        <v>-0.0869225</v>
      </c>
      <c r="G9" s="3" t="s">
        <v>543</v>
      </c>
      <c r="H9" s="0" t="str">
        <f aca="false">IF(IFERROR(IF(INDEX(Matches!$AI$5:$AI$12,MATCH($B$2,Matches!$A$5:$A$12,0))="","",INDEX(Matches!$AI$5:$AI$12,MATCH($B$2,Matches!$A$5:$A$12,0))),"")="","",TEXT(IFERROR(IF(INDEX(Matches!$AI$5:$AI$12,MATCH($B$2,Matches!$A$5:$A$12,0))="","",INDEX(Matches!$AI$5:$AI$12,MATCH($B$2,Matches!$A$5:$A$12,0))),""),"0%")&amp;" / "&amp;TEXT(IFERROR(IF(INDEX(Matches!$AJ$5:$AJ$12,MATCH($B$2,Matches!$A$5:$A$12,0))="","",INDEX(Matches!$AJ$5:$AJ$12,MATCH($B$2,Matches!$A$5:$A$12,0))),""),"0%"))</f>
        <v>50% / 52%</v>
      </c>
    </row>
    <row r="10" customFormat="false" ht="15" hidden="false" customHeight="false" outlineLevel="0" collapsed="false">
      <c r="A10" s="3" t="s">
        <v>544</v>
      </c>
      <c r="B10" s="0" t="str">
        <f aca="false">"Map 1: "&amp;IFERROR(IF(INDEX(Matches!$W$5:$W$12,MATCH($B$2,Matches!$A$5:$A$12,0))="","",INDEX(Matches!$W$5:$W$12,MATCH($B$2,Matches!$A$5:$A$12,0))),"")&amp;"   ·   Map 2: "&amp;IFERROR(IF(INDEX(Matches!$X$5:$X$12,MATCH($B$2,Matches!$A$5:$A$12,0))="","",INDEX(Matches!$X$5:$X$12,MATCH($B$2,Matches!$A$5:$A$12,0))),"")&amp;IF(IFERROR(IF(INDEX(Matches!$Y$5:$Y$12,MATCH($B$2,Matches!$A$5:$A$12,0))="","",INDEX(Matches!$Y$5:$Y$12,MATCH($B$2,Matches!$A$5:$A$12,0))),"")="","","   ·   Map 3: "&amp;IFERROR(IF(INDEX(Matches!$Y$5:$Y$12,MATCH($B$2,Matches!$A$5:$A$12,0))="","",INDEX(Matches!$Y$5:$Y$12,MATCH($B$2,Matches!$A$5:$A$12,0))),""))</f>
        <v>Map 1: Mirage   ·   Map 2: Cache   ·   Map 3: Dust2</v>
      </c>
    </row>
    <row r="11" customFormat="false" ht="15" hidden="false" customHeight="false" outlineLevel="0" collapsed="false">
      <c r="B11" s="0" t="str">
        <f aca="false">"Rounds: "&amp;TEXT(IFERROR(IF(INDEX(Matches!$Z$5:$Z$12,MATCH($B$2,Matches!$A$5:$A$12,0))="","",INDEX(Matches!$Z$5:$Z$12,MATCH($B$2,Matches!$A$5:$A$12,0))),""),"0.0")&amp;" / "&amp;TEXT(IFERROR(IF(INDEX(Matches!$AA$5:$AA$12,MATCH($B$2,Matches!$A$5:$A$12,0))="","",INDEX(Matches!$AA$5:$AA$12,MATCH($B$2,Matches!$A$5:$A$12,0))),""),"0.0")&amp;IF(IFERROR(IF(INDEX(Matches!$AB$5:$AB$12,MATCH($B$2,Matches!$A$5:$A$12,0))="","",INDEX(Matches!$AB$5:$AB$12,MATCH($B$2,Matches!$A$5:$A$12,0))),"")="",""," / "&amp;TEXT(IFERROR(IF(INDEX(Matches!$AB$5:$AB$12,MATCH($B$2,Matches!$A$5:$A$12,0))="","",INDEX(Matches!$AB$5:$AB$12,MATCH($B$2,Matches!$A$5:$A$12,0))),""),"0.0"))&amp;"   ·   P(map 3) "&amp;TEXT(IFERROR(IF(INDEX(Matches!$AC$5:$AC$12,MATCH($B$2,Matches!$A$5:$A$12,0))="","",INDEX(Matches!$AC$5:$AC$12,MATCH($B$2,Matches!$A$5:$A$12,0))),""),"0%")</f>
        <v>Rounds: 21.3 / 21.2 / 21.5   ·   P(map 3) 48%</v>
      </c>
    </row>
    <row r="12" customFormat="false" ht="15" hidden="false" customHeight="false" outlineLevel="0" collapsed="false">
      <c r="B12" s="2" t="str">
        <f aca="false">"Change maps or rounds on the Matches tab, row "&amp;(MATCH($B$2,Matches!$A$5:$A$12,0)+4)&amp;" (shaded cells)."</f>
        <v>Change maps or rounds on the Matches tab, row 5 (shaded cells).</v>
      </c>
    </row>
    <row r="14" customFormat="false" ht="28.35" hidden="false" customHeight="false" outlineLevel="0" collapsed="false">
      <c r="A14" s="12" t="s">
        <v>545</v>
      </c>
      <c r="B14" s="12" t="s">
        <v>546</v>
      </c>
      <c r="C14" s="12" t="s">
        <v>547</v>
      </c>
      <c r="D14" s="12" t="s">
        <v>548</v>
      </c>
      <c r="E14" s="12" t="s">
        <v>549</v>
      </c>
      <c r="F14" s="12" t="s">
        <v>550</v>
      </c>
      <c r="G14" s="12" t="s">
        <v>551</v>
      </c>
      <c r="H14" s="12" t="s">
        <v>552</v>
      </c>
      <c r="I14" s="12" t="s">
        <v>553</v>
      </c>
      <c r="J14" s="12" t="s">
        <v>554</v>
      </c>
      <c r="K14" s="12" t="s">
        <v>555</v>
      </c>
      <c r="L14" s="12" t="s">
        <v>556</v>
      </c>
      <c r="M14" s="12" t="s">
        <v>557</v>
      </c>
      <c r="N14" s="12" t="s">
        <v>558</v>
      </c>
      <c r="O14" s="12" t="s">
        <v>559</v>
      </c>
      <c r="P14" s="12" t="s">
        <v>560</v>
      </c>
      <c r="Q14" s="12" t="s">
        <v>561</v>
      </c>
      <c r="R14" s="12" t="s">
        <v>562</v>
      </c>
      <c r="S14" s="12" t="s">
        <v>563</v>
      </c>
      <c r="T14" s="12" t="s">
        <v>564</v>
      </c>
      <c r="U14" s="12"/>
      <c r="V14" s="12" t="s">
        <v>565</v>
      </c>
    </row>
    <row r="15" customFormat="false" ht="15" hidden="false" customHeight="false" outlineLevel="0" collapsed="false">
      <c r="A15" s="0" t="str">
        <f aca="false">IF($V15="","",INDEX(Calc!$D$2:$D$56,$V15))</f>
        <v>EF</v>
      </c>
      <c r="B15" s="0" t="str">
        <f aca="false">IF($V15="","",INDEX(Calc!$E$2:$E$56,$V15))</f>
        <v>jottAAA</v>
      </c>
      <c r="C15" s="13" t="n">
        <f aca="false">IF($V15="","",INDEX(Calc!$T$2:$T$56,$V15))</f>
        <v>0.785</v>
      </c>
      <c r="D15" s="13" t="n">
        <f aca="false">IF($V15="","",INDEX(Calc!$AA$2:$AA$56,$V15))</f>
        <v>0.850769230769231</v>
      </c>
      <c r="E15" s="11" t="n">
        <f aca="false">IF($V15="","",INDEX(Calc!$V$2:$V$56,$V15))</f>
        <v>16.6891</v>
      </c>
      <c r="F15" s="11" t="n">
        <f aca="false">IF($V15="","",INDEX(Calc!$AC$2:$AC$56,$V15))</f>
        <v>18.0703384615385</v>
      </c>
      <c r="G15" s="11" t="n">
        <f aca="false">IF($V15="","",INDEX(Calc!$AL$2:$AL$56,$V15))</f>
        <v>34.7594384615385</v>
      </c>
      <c r="H15" s="13" t="n">
        <f aca="false">IF($V15="","",INDEX(Calc!$BK$2:$BK$56,$V15))</f>
        <v>0.980210163258709</v>
      </c>
      <c r="I15" s="11" t="n">
        <f aca="false">IF($V15="","",INDEX(Calc!$BD$2:$BD$56,$V15))</f>
        <v>34.0715548491657</v>
      </c>
      <c r="J15" s="9" t="n">
        <f aca="false">IF($V15="","",IFERROR(INDEX(Projections!$F$2:$F$76,MATCH(INDEX(Calc!$A$2:$A$56,$V15)&amp;"|K12",Projections!$Y$2:$Y$76,0)),""))</f>
        <v>33.5</v>
      </c>
      <c r="K15" s="10" t="n">
        <f aca="false">IF($V15="","",IFERROR(INDEX(Projections!$I$2:$I$76,MATCH(INDEX(Calc!$A$2:$A$56,$V15)&amp;"|K12",Projections!$Y$2:$Y$76,0)),""))</f>
        <v>0.571636181670624</v>
      </c>
      <c r="L15" s="10" t="n">
        <f aca="false">IF($V15="","",IFERROR(INDEX(Projections!$AB$2:$AB$76,MATCH(INDEX(Calc!$A$2:$A$56,$V15)&amp;"|K12",Projections!$Y$2:$Y$76,0)),""))</f>
        <v>0.532977102953603</v>
      </c>
      <c r="M15" s="9" t="n">
        <f aca="false">IF($V15="","",IFERROR(INDEX(Projections!$M$2:$M$76,MATCH(INDEX(Calc!$A$2:$A$56,$V15)&amp;"|K12",Projections!$Y$2:$Y$76,0)),""))</f>
        <v>31.38</v>
      </c>
      <c r="N15" s="10" t="n">
        <f aca="false">IF($V15="","",IFERROR(INDEX(Projections!$P$2:$P$76,MATCH(INDEX(Calc!$A$2:$A$56,$V15)&amp;"|K12",Projections!$Y$2:$Y$76,0)),""))</f>
        <v>0.4</v>
      </c>
      <c r="O15" s="10" t="n">
        <f aca="false">IF($V15="","",INDEX(Calc!$AP$2:$AP$56,$V15))</f>
        <v>0.604805486002176</v>
      </c>
      <c r="P15" s="11" t="n">
        <f aca="false">IF($V15="","",INDEX(Calc!$AN$2:$AN$56,$V15))</f>
        <v>21.0226990718935</v>
      </c>
      <c r="Q15" s="9" t="n">
        <f aca="false">IF($V15="","",IFERROR(INDEX(Projections!$F$2:$F$76,MATCH(INDEX(Calc!$A$2:$A$56,$V15)&amp;"|H12",Projections!$Y$2:$Y$76,0)),""))</f>
        <v>20.5</v>
      </c>
      <c r="R15" s="10" t="n">
        <f aca="false">IF($V15="","",IFERROR(INDEX(Projections!$I$2:$I$76,MATCH(INDEX(Calc!$A$2:$A$56,$V15)&amp;"|H12",Projections!$Y$2:$Y$76,0)),""))</f>
        <v>0.540739288746378</v>
      </c>
      <c r="S15" s="9" t="n">
        <f aca="false">IF($V15="","",INDEX(Calc!$N$2:$N$56,$V15))</f>
        <v>31</v>
      </c>
      <c r="T15" s="0" t="str">
        <f aca="false">IF($V15="","",INDEX(Calc!$AQ$2:$AQ$56,$V15))</f>
        <v/>
      </c>
      <c r="V15" s="9" t="n">
        <f aca="false">IFERROR(MATCH(1,Calc!$AR$2:$AR$56,0),"")</f>
        <v>16</v>
      </c>
    </row>
    <row r="16" customFormat="false" ht="15" hidden="false" customHeight="false" outlineLevel="0" collapsed="false">
      <c r="A16" s="0" t="str">
        <f aca="false">IF($V16="","",INDEX(Calc!$D$2:$D$56,$V16))</f>
        <v>JJH</v>
      </c>
      <c r="B16" s="0" t="str">
        <f aca="false">IF($V16="","",INDEX(Calc!$E$2:$E$56,$V16))</f>
        <v>m1N1</v>
      </c>
      <c r="C16" s="13" t="n">
        <f aca="false">IF($V16="","",INDEX(Calc!$T$2:$T$56,$V16))</f>
        <v>0.792307692307692</v>
      </c>
      <c r="D16" s="13" t="n">
        <f aca="false">IF($V16="","",INDEX(Calc!$AA$2:$AA$56,$V16))</f>
        <v>0.757777777777778</v>
      </c>
      <c r="E16" s="11" t="n">
        <f aca="false">IF($V16="","",INDEX(Calc!$V$2:$V$56,$V16))</f>
        <v>16.8444615384615</v>
      </c>
      <c r="F16" s="11" t="n">
        <f aca="false">IF($V16="","",INDEX(Calc!$AC$2:$AC$56,$V16))</f>
        <v>16.0952</v>
      </c>
      <c r="G16" s="11" t="n">
        <f aca="false">IF($V16="","",INDEX(Calc!$AL$2:$AL$56,$V16))</f>
        <v>32.9396615384615</v>
      </c>
      <c r="H16" s="13" t="n">
        <f aca="false">IF($V16="","",INDEX(Calc!$BK$2:$BK$56,$V16))</f>
        <v>0.998886217178344</v>
      </c>
      <c r="I16" s="11" t="n">
        <f aca="false">IF($V16="","",INDEX(Calc!$BD$2:$BD$56,$V16))</f>
        <v>32.9029739092888</v>
      </c>
      <c r="J16" s="9" t="n">
        <f aca="false">IF($V16="","",IFERROR(INDEX(Projections!$F$2:$F$76,MATCH(INDEX(Calc!$A$2:$A$56,$V16)&amp;"|K12",Projections!$Y$2:$Y$76,0)),""))</f>
        <v>31.5</v>
      </c>
      <c r="K16" s="10" t="n">
        <f aca="false">IF($V16="","",IFERROR(INDEX(Projections!$I$2:$I$76,MATCH(INDEX(Calc!$A$2:$A$56,$V16)&amp;"|K12",Projections!$Y$2:$Y$76,0)),""))</f>
        <v>0.583946665136781</v>
      </c>
      <c r="L16" s="10" t="n">
        <f aca="false">IF($V16="","",IFERROR(INDEX(Projections!$AB$2:$AB$76,MATCH(INDEX(Calc!$A$2:$A$56,$V16)&amp;"|K12",Projections!$Y$2:$Y$76,0)),""))</f>
        <v>0.581883037030826</v>
      </c>
      <c r="M16" s="9" t="n">
        <f aca="false">IF($V16="","",IFERROR(INDEX(Projections!$M$2:$M$76,MATCH(INDEX(Calc!$A$2:$A$56,$V16)&amp;"|K12",Projections!$Y$2:$Y$76,0)),""))</f>
        <v>31.8</v>
      </c>
      <c r="N16" s="10" t="n">
        <f aca="false">IF($V16="","",IFERROR(INDEX(Projections!$P$2:$P$76,MATCH(INDEX(Calc!$A$2:$A$56,$V16)&amp;"|K12",Projections!$Y$2:$Y$76,0)),""))</f>
        <v>0.7</v>
      </c>
      <c r="O16" s="10" t="n">
        <f aca="false">IF($V16="","",INDEX(Calc!$AP$2:$AP$56,$V16))</f>
        <v>0.340740963213012</v>
      </c>
      <c r="P16" s="11" t="n">
        <f aca="false">IF($V16="","",INDEX(Calc!$AN$2:$AN$56,$V16))</f>
        <v>11.223892000526</v>
      </c>
      <c r="Q16" s="9" t="n">
        <f aca="false">IF($V16="","",IFERROR(INDEX(Projections!$F$2:$F$76,MATCH(INDEX(Calc!$A$2:$A$56,$V16)&amp;"|H12",Projections!$Y$2:$Y$76,0)),""))</f>
        <v>10.5</v>
      </c>
      <c r="R16" s="10" t="n">
        <f aca="false">IF($V16="","",IFERROR(INDEX(Projections!$I$2:$I$76,MATCH(INDEX(Calc!$A$2:$A$56,$V16)&amp;"|H12",Projections!$Y$2:$Y$76,0)),""))</f>
        <v>0.580315690177848</v>
      </c>
      <c r="S16" s="9" t="n">
        <f aca="false">IF($V16="","",INDEX(Calc!$N$2:$N$56,$V16))</f>
        <v>30</v>
      </c>
      <c r="T16" s="0" t="str">
        <f aca="false">IF($V16="","",INDEX(Calc!$AQ$2:$AQ$56,$V16))</f>
        <v/>
      </c>
      <c r="V16" s="9" t="n">
        <f aca="false">IFERROR(MATCH(2,Calc!$AR$2:$AR$56,0),"")</f>
        <v>23</v>
      </c>
    </row>
    <row r="17" customFormat="false" ht="15" hidden="false" customHeight="false" outlineLevel="0" collapsed="false">
      <c r="A17" s="0" t="str">
        <f aca="false">IF($V17="","",INDEX(Calc!$D$2:$D$56,$V17))</f>
        <v>JJH</v>
      </c>
      <c r="B17" s="0" t="str">
        <f aca="false">IF($V17="","",INDEX(Calc!$E$2:$E$56,$V17))</f>
        <v>CacaNito</v>
      </c>
      <c r="C17" s="13" t="n">
        <f aca="false">IF($V17="","",INDEX(Calc!$T$2:$T$56,$V17))</f>
        <v>0.750769230769231</v>
      </c>
      <c r="D17" s="13" t="n">
        <f aca="false">IF($V17="","",INDEX(Calc!$AA$2:$AA$56,$V17))</f>
        <v>0.768888888888889</v>
      </c>
      <c r="E17" s="11" t="n">
        <f aca="false">IF($V17="","",INDEX(Calc!$V$2:$V$56,$V17))</f>
        <v>15.9613538461538</v>
      </c>
      <c r="F17" s="11" t="n">
        <f aca="false">IF($V17="","",INDEX(Calc!$AC$2:$AC$56,$V17))</f>
        <v>16.3312</v>
      </c>
      <c r="G17" s="11" t="n">
        <f aca="false">IF($V17="","",INDEX(Calc!$AL$2:$AL$56,$V17))</f>
        <v>32.2925538461538</v>
      </c>
      <c r="H17" s="13" t="n">
        <f aca="false">IF($V17="","",INDEX(Calc!$BK$2:$BK$56,$V17))</f>
        <v>0.998948701914652</v>
      </c>
      <c r="I17" s="11" t="n">
        <f aca="false">IF($V17="","",INDEX(Calc!$BD$2:$BD$56,$V17))</f>
        <v>32.2586047461244</v>
      </c>
      <c r="J17" s="9" t="n">
        <f aca="false">IF($V17="","",IFERROR(INDEX(Projections!$F$2:$F$76,MATCH(INDEX(Calc!$A$2:$A$56,$V17)&amp;"|K12",Projections!$Y$2:$Y$76,0)),""))</f>
        <v>31.5</v>
      </c>
      <c r="K17" s="10" t="n">
        <f aca="false">IF($V17="","",IFERROR(INDEX(Projections!$I$2:$I$76,MATCH(INDEX(Calc!$A$2:$A$56,$V17)&amp;"|K12",Projections!$Y$2:$Y$76,0)),""))</f>
        <v>0.546915773389473</v>
      </c>
      <c r="L17" s="10" t="n">
        <f aca="false">IF($V17="","",IFERROR(INDEX(Projections!$AB$2:$AB$76,MATCH(INDEX(Calc!$A$2:$A$56,$V17)&amp;"|K12",Projections!$Y$2:$Y$76,0)),""))</f>
        <v>0.544938364038908</v>
      </c>
      <c r="M17" s="9" t="n">
        <f aca="false">IF($V17="","",IFERROR(INDEX(Projections!$M$2:$M$76,MATCH(INDEX(Calc!$A$2:$A$56,$V17)&amp;"|K12",Projections!$Y$2:$Y$76,0)),""))</f>
        <v>30.53</v>
      </c>
      <c r="N17" s="10" t="n">
        <f aca="false">IF($V17="","",IFERROR(INDEX(Projections!$P$2:$P$76,MATCH(INDEX(Calc!$A$2:$A$56,$V17)&amp;"|K12",Projections!$Y$2:$Y$76,0)),""))</f>
        <v>0.6</v>
      </c>
      <c r="O17" s="10" t="n">
        <f aca="false">IF($V17="","",INDEX(Calc!$AP$2:$AP$56,$V17))</f>
        <v>0.513460544849847</v>
      </c>
      <c r="P17" s="11" t="n">
        <f aca="false">IF($V17="","",INDEX(Calc!$AN$2:$AN$56,$V17))</f>
        <v>16.5809522924392</v>
      </c>
      <c r="Q17" s="9" t="n">
        <f aca="false">IF($V17="","",IFERROR(INDEX(Projections!$F$2:$F$76,MATCH(INDEX(Calc!$A$2:$A$56,$V17)&amp;"|H12",Projections!$Y$2:$Y$76,0)),""))</f>
        <v>16.5</v>
      </c>
      <c r="R17" s="10" t="n">
        <f aca="false">IF($V17="","",IFERROR(INDEX(Projections!$I$2:$I$76,MATCH(INDEX(Calc!$A$2:$A$56,$V17)&amp;"|H12",Projections!$Y$2:$Y$76,0)),""))</f>
        <v>0.507223505363255</v>
      </c>
      <c r="S17" s="9" t="n">
        <f aca="false">IF($V17="","",INDEX(Calc!$N$2:$N$56,$V17))</f>
        <v>30</v>
      </c>
      <c r="T17" s="0" t="str">
        <f aca="false">IF($V17="","",INDEX(Calc!$AQ$2:$AQ$56,$V17))</f>
        <v/>
      </c>
      <c r="V17" s="9" t="n">
        <f aca="false">IFERROR(MATCH(3,Calc!$AR$2:$AR$56,0),"")</f>
        <v>22</v>
      </c>
    </row>
    <row r="18" customFormat="false" ht="15" hidden="false" customHeight="false" outlineLevel="0" collapsed="false">
      <c r="A18" s="0" t="str">
        <f aca="false">IF($V18="","",INDEX(Calc!$D$2:$D$56,$V18))</f>
        <v>JJH</v>
      </c>
      <c r="B18" s="0" t="str">
        <f aca="false">IF($V18="","",INDEX(Calc!$E$2:$E$56,$V18))</f>
        <v>0SAMAS</v>
      </c>
      <c r="C18" s="13" t="n">
        <f aca="false">IF($V18="","",INDEX(Calc!$T$2:$T$56,$V18))</f>
        <v>0.722307692307692</v>
      </c>
      <c r="D18" s="13" t="n">
        <f aca="false">IF($V18="","",INDEX(Calc!$AA$2:$AA$56,$V18))</f>
        <v>0.687777777777778</v>
      </c>
      <c r="E18" s="11" t="n">
        <f aca="false">IF($V18="","",INDEX(Calc!$V$2:$V$56,$V18))</f>
        <v>15.3562615384615</v>
      </c>
      <c r="F18" s="11" t="n">
        <f aca="false">IF($V18="","",INDEX(Calc!$AC$2:$AC$56,$V18))</f>
        <v>14.6084</v>
      </c>
      <c r="G18" s="11" t="n">
        <f aca="false">IF($V18="","",INDEX(Calc!$AL$2:$AL$56,$V18))</f>
        <v>29.9646615384615</v>
      </c>
      <c r="H18" s="13" t="n">
        <f aca="false">IF($V18="","",INDEX(Calc!$BK$2:$BK$56,$V18))</f>
        <v>0.998882176378371</v>
      </c>
      <c r="I18" s="11" t="n">
        <f aca="false">IF($V18="","",INDEX(Calc!$BD$2:$BD$56,$V18))</f>
        <v>29.9311663319797</v>
      </c>
      <c r="J18" s="9" t="n">
        <f aca="false">IF($V18="","",IFERROR(INDEX(Projections!$F$2:$F$76,MATCH(INDEX(Calc!$A$2:$A$56,$V18)&amp;"|K12",Projections!$Y$2:$Y$76,0)),""))</f>
        <v>27.5</v>
      </c>
      <c r="K18" s="10" t="n">
        <f aca="false">IF($V18="","",IFERROR(INDEX(Projections!$I$2:$I$76,MATCH(INDEX(Calc!$A$2:$A$56,$V18)&amp;"|K12",Projections!$Y$2:$Y$76,0)),""))</f>
        <v>0.648223880333848</v>
      </c>
      <c r="L18" s="10" t="n">
        <f aca="false">IF($V18="","",IFERROR(INDEX(Projections!$AB$2:$AB$76,MATCH(INDEX(Calc!$A$2:$A$56,$V18)&amp;"|K12",Projections!$Y$2:$Y$76,0)),""))</f>
        <v>0.64638103930841</v>
      </c>
      <c r="M18" s="9" t="n">
        <f aca="false">IF($V18="","",IFERROR(INDEX(Projections!$M$2:$M$76,MATCH(INDEX(Calc!$A$2:$A$56,$V18)&amp;"|K12",Projections!$Y$2:$Y$76,0)),""))</f>
        <v>27.58</v>
      </c>
      <c r="N18" s="10" t="n">
        <f aca="false">IF($V18="","",IFERROR(INDEX(Projections!$P$2:$P$76,MATCH(INDEX(Calc!$A$2:$A$56,$V18)&amp;"|K12",Projections!$Y$2:$Y$76,0)),""))</f>
        <v>0.6</v>
      </c>
      <c r="O18" s="10" t="n">
        <f aca="false">IF($V18="","",INDEX(Calc!$AP$2:$AP$56,$V18))</f>
        <v>0.598841177420954</v>
      </c>
      <c r="P18" s="11" t="n">
        <f aca="false">IF($V18="","",INDEX(Calc!$AN$2:$AN$56,$V18))</f>
        <v>17.9440731967127</v>
      </c>
      <c r="Q18" s="9" t="n">
        <f aca="false">IF($V18="","",IFERROR(INDEX(Projections!$F$2:$F$76,MATCH(INDEX(Calc!$A$2:$A$56,$V18)&amp;"|H12",Projections!$Y$2:$Y$76,0)),""))</f>
        <v>15.5</v>
      </c>
      <c r="R18" s="10" t="n">
        <f aca="false">IF($V18="","",IFERROR(INDEX(Projections!$I$2:$I$76,MATCH(INDEX(Calc!$A$2:$A$56,$V18)&amp;"|H12",Projections!$Y$2:$Y$76,0)),""))</f>
        <v>0.697851716024864</v>
      </c>
      <c r="S18" s="9" t="n">
        <f aca="false">IF($V18="","",INDEX(Calc!$N$2:$N$56,$V18))</f>
        <v>30</v>
      </c>
      <c r="T18" s="0" t="str">
        <f aca="false">IF($V18="","",INDEX(Calc!$AQ$2:$AQ$56,$V18))</f>
        <v/>
      </c>
      <c r="V18" s="9" t="n">
        <f aca="false">IFERROR(MATCH(4,Calc!$AR$2:$AR$56,0),"")</f>
        <v>21</v>
      </c>
    </row>
    <row r="19" customFormat="false" ht="15" hidden="false" customHeight="false" outlineLevel="0" collapsed="false">
      <c r="A19" s="0" t="str">
        <f aca="false">IF($V19="","",INDEX(Calc!$D$2:$D$56,$V19))</f>
        <v>EF</v>
      </c>
      <c r="B19" s="0" t="str">
        <f aca="false">IF($V19="","",INDEX(Calc!$E$2:$E$56,$V19))</f>
        <v>Soulfly</v>
      </c>
      <c r="C19" s="13" t="n">
        <f aca="false">IF($V19="","",INDEX(Calc!$T$2:$T$56,$V19))</f>
        <v>0.68</v>
      </c>
      <c r="D19" s="13" t="n">
        <f aca="false">IF($V19="","",INDEX(Calc!$AA$2:$AA$56,$V19))</f>
        <v>0.698461538461539</v>
      </c>
      <c r="E19" s="11" t="n">
        <f aca="false">IF($V19="","",INDEX(Calc!$V$2:$V$56,$V19))</f>
        <v>14.4568</v>
      </c>
      <c r="F19" s="11" t="n">
        <f aca="false">IF($V19="","",INDEX(Calc!$AC$2:$AC$56,$V19))</f>
        <v>14.8353230769231</v>
      </c>
      <c r="G19" s="11" t="n">
        <f aca="false">IF($V19="","",INDEX(Calc!$AL$2:$AL$56,$V19))</f>
        <v>29.2921230769231</v>
      </c>
      <c r="H19" s="13" t="n">
        <f aca="false">IF($V19="","",INDEX(Calc!$BK$2:$BK$56,$V19))</f>
        <v>0.980258241175474</v>
      </c>
      <c r="I19" s="11" t="n">
        <f aca="false">IF($V19="","",INDEX(Calc!$BD$2:$BD$56,$V19))</f>
        <v>28.7138450476801</v>
      </c>
      <c r="J19" s="9" t="n">
        <f aca="false">IF($V19="","",IFERROR(INDEX(Projections!$F$2:$F$76,MATCH(INDEX(Calc!$A$2:$A$56,$V19)&amp;"|K12",Projections!$Y$2:$Y$76,0)),""))</f>
        <v>32</v>
      </c>
      <c r="K19" s="10" t="n">
        <f aca="false">IF($V19="","",IFERROR(INDEX(Projections!$I$2:$I$76,MATCH(INDEX(Calc!$A$2:$A$56,$V19)&amp;"|K12",Projections!$Y$2:$Y$76,0)),""))</f>
        <v>0.308209701947514</v>
      </c>
      <c r="L19" s="10" t="n">
        <f aca="false">IF($V19="","",IFERROR(INDEX(Projections!$AB$2:$AB$76,MATCH(INDEX(Calc!$A$2:$A$56,$V19)&amp;"|K12",Projections!$Y$2:$Y$76,0)),""))</f>
        <v>0.275201207971698</v>
      </c>
      <c r="M19" s="9" t="n">
        <f aca="false">IF($V19="","",IFERROR(INDEX(Projections!$M$2:$M$76,MATCH(INDEX(Calc!$A$2:$A$56,$V19)&amp;"|K12",Projections!$Y$2:$Y$76,0)),""))</f>
        <v>28.92</v>
      </c>
      <c r="N19" s="10" t="n">
        <f aca="false">IF($V19="","",IFERROR(INDEX(Projections!$P$2:$P$76,MATCH(INDEX(Calc!$A$2:$A$56,$V19)&amp;"|K12",Projections!$Y$2:$Y$76,0)),""))</f>
        <v>0.5</v>
      </c>
      <c r="O19" s="10" t="n">
        <f aca="false">IF($V19="","",INDEX(Calc!$AP$2:$AP$56,$V19))</f>
        <v>0.575857183893047</v>
      </c>
      <c r="P19" s="11" t="n">
        <f aca="false">IF($V19="","",INDEX(Calc!$AN$2:$AN$56,$V19))</f>
        <v>16.8680795053254</v>
      </c>
      <c r="Q19" s="9" t="n">
        <f aca="false">IF($V19="","",IFERROR(INDEX(Projections!$F$2:$F$76,MATCH(INDEX(Calc!$A$2:$A$56,$V19)&amp;"|H12",Projections!$Y$2:$Y$76,0)),""))</f>
        <v>16</v>
      </c>
      <c r="R19" s="10" t="n">
        <f aca="false">IF($V19="","",IFERROR(INDEX(Projections!$I$2:$I$76,MATCH(INDEX(Calc!$A$2:$A$56,$V19)&amp;"|H12",Projections!$Y$2:$Y$76,0)),""))</f>
        <v>0.532198340190973</v>
      </c>
      <c r="S19" s="9" t="n">
        <f aca="false">IF($V19="","",INDEX(Calc!$N$2:$N$56,$V19))</f>
        <v>31</v>
      </c>
      <c r="T19" s="0" t="str">
        <f aca="false">IF($V19="","",INDEX(Calc!$AQ$2:$AQ$56,$V19))</f>
        <v/>
      </c>
      <c r="V19" s="9" t="n">
        <f aca="false">IFERROR(MATCH(5,Calc!$AR$2:$AR$56,0),"")</f>
        <v>20</v>
      </c>
    </row>
    <row r="20" customFormat="false" ht="15" hidden="false" customHeight="false" outlineLevel="0" collapsed="false">
      <c r="A20" s="0" t="str">
        <f aca="false">IF($V20="","",INDEX(Calc!$D$2:$D$56,$V20))</f>
        <v>EF</v>
      </c>
      <c r="B20" s="0" t="str">
        <f aca="false">IF($V20="","",INDEX(Calc!$E$2:$E$56,$V20))</f>
        <v>regali</v>
      </c>
      <c r="C20" s="13" t="n">
        <f aca="false">IF($V20="","",INDEX(Calc!$T$2:$T$56,$V20))</f>
        <v>0.68</v>
      </c>
      <c r="D20" s="13" t="n">
        <f aca="false">IF($V20="","",INDEX(Calc!$AA$2:$AA$56,$V20))</f>
        <v>0.667692307692308</v>
      </c>
      <c r="E20" s="11" t="n">
        <f aca="false">IF($V20="","",INDEX(Calc!$V$2:$V$56,$V20))</f>
        <v>14.4568</v>
      </c>
      <c r="F20" s="11" t="n">
        <f aca="false">IF($V20="","",INDEX(Calc!$AC$2:$AC$56,$V20))</f>
        <v>14.1817846153846</v>
      </c>
      <c r="G20" s="11" t="n">
        <f aca="false">IF($V20="","",INDEX(Calc!$AL$2:$AL$56,$V20))</f>
        <v>28.6385846153846</v>
      </c>
      <c r="H20" s="13" t="n">
        <f aca="false">IF($V20="","",INDEX(Calc!$BK$2:$BK$56,$V20))</f>
        <v>0.980298628324451</v>
      </c>
      <c r="I20" s="11" t="n">
        <f aca="false">IF($V20="","",INDEX(Calc!$BD$2:$BD$56,$V20))</f>
        <v>28.0743652156153</v>
      </c>
      <c r="J20" s="9" t="n">
        <f aca="false">IF($V20="","",IFERROR(INDEX(Projections!$F$2:$F$76,MATCH(INDEX(Calc!$A$2:$A$56,$V20)&amp;"|K12",Projections!$Y$2:$Y$76,0)),""))</f>
        <v>28.5</v>
      </c>
      <c r="K20" s="10" t="n">
        <f aca="false">IF($V20="","",IFERROR(INDEX(Projections!$I$2:$I$76,MATCH(INDEX(Calc!$A$2:$A$56,$V20)&amp;"|K12",Projections!$Y$2:$Y$76,0)),""))</f>
        <v>0.508730731299757</v>
      </c>
      <c r="L20" s="10" t="n">
        <f aca="false">IF($V20="","",IFERROR(INDEX(Projections!$AB$2:$AB$76,MATCH(INDEX(Calc!$A$2:$A$56,$V20)&amp;"|K12",Projections!$Y$2:$Y$76,0)),""))</f>
        <v>0.472935833447403</v>
      </c>
      <c r="M20" s="9" t="n">
        <f aca="false">IF($V20="","",IFERROR(INDEX(Projections!$M$2:$M$76,MATCH(INDEX(Calc!$A$2:$A$56,$V20)&amp;"|K12",Projections!$Y$2:$Y$76,0)),""))</f>
        <v>27.28</v>
      </c>
      <c r="N20" s="10" t="n">
        <f aca="false">IF($V20="","",IFERROR(INDEX(Projections!$P$2:$P$76,MATCH(INDEX(Calc!$A$2:$A$56,$V20)&amp;"|K12",Projections!$Y$2:$Y$76,0)),""))</f>
        <v>0.7</v>
      </c>
      <c r="O20" s="10" t="n">
        <f aca="false">IF($V20="","",INDEX(Calc!$AP$2:$AP$56,$V20))</f>
        <v>0.408644204343179</v>
      </c>
      <c r="P20" s="11" t="n">
        <f aca="false">IF($V20="","",INDEX(Calc!$AN$2:$AN$56,$V20))</f>
        <v>11.7029916236686</v>
      </c>
      <c r="Q20" s="9" t="n">
        <f aca="false">IF($V20="","",IFERROR(INDEX(Projections!$F$2:$F$76,MATCH(INDEX(Calc!$A$2:$A$56,$V20)&amp;"|H12",Projections!$Y$2:$Y$76,0)),""))</f>
        <v>11.5</v>
      </c>
      <c r="R20" s="10" t="n">
        <f aca="false">IF($V20="","",IFERROR(INDEX(Projections!$I$2:$I$76,MATCH(INDEX(Calc!$A$2:$A$56,$V20)&amp;"|H12",Projections!$Y$2:$Y$76,0)),""))</f>
        <v>0.521935393787298</v>
      </c>
      <c r="S20" s="9" t="n">
        <f aca="false">IF($V20="","",INDEX(Calc!$N$2:$N$56,$V20))</f>
        <v>31</v>
      </c>
      <c r="T20" s="0" t="str">
        <f aca="false">IF($V20="","",INDEX(Calc!$AQ$2:$AQ$56,$V20))</f>
        <v/>
      </c>
      <c r="V20" s="9" t="n">
        <f aca="false">IFERROR(MATCH(6,Calc!$AR$2:$AR$56,0),"")</f>
        <v>19</v>
      </c>
    </row>
    <row r="21" customFormat="false" ht="15" hidden="false" customHeight="false" outlineLevel="0" collapsed="false">
      <c r="A21" s="0" t="str">
        <f aca="false">IF($V21="","",INDEX(Calc!$D$2:$D$56,$V21))</f>
        <v>EF</v>
      </c>
      <c r="B21" s="0" t="str">
        <f aca="false">IF($V21="","",INDEX(Calc!$E$2:$E$56,$V21))</f>
        <v>Kvem</v>
      </c>
      <c r="C21" s="13" t="n">
        <f aca="false">IF($V21="","",INDEX(Calc!$T$2:$T$56,$V21))</f>
        <v>0.605</v>
      </c>
      <c r="D21" s="13" t="n">
        <f aca="false">IF($V21="","",INDEX(Calc!$AA$2:$AA$56,$V21))</f>
        <v>0.716923076923077</v>
      </c>
      <c r="E21" s="11" t="n">
        <f aca="false">IF($V21="","",INDEX(Calc!$V$2:$V$56,$V21))</f>
        <v>12.8623</v>
      </c>
      <c r="F21" s="11" t="n">
        <f aca="false">IF($V21="","",INDEX(Calc!$AC$2:$AC$56,$V21))</f>
        <v>15.2274461538462</v>
      </c>
      <c r="G21" s="11" t="n">
        <f aca="false">IF($V21="","",INDEX(Calc!$AL$2:$AL$56,$V21))</f>
        <v>28.0897461538462</v>
      </c>
      <c r="H21" s="13" t="n">
        <f aca="false">IF($V21="","",INDEX(Calc!$BK$2:$BK$56,$V21))</f>
        <v>0.980130443375959</v>
      </c>
      <c r="I21" s="11" t="n">
        <f aca="false">IF($V21="","",INDEX(Calc!$BD$2:$BD$56,$V21))</f>
        <v>27.5316153520874</v>
      </c>
      <c r="J21" s="9" t="n">
        <f aca="false">IF($V21="","",IFERROR(INDEX(Projections!$F$2:$F$76,MATCH(INDEX(Calc!$A$2:$A$56,$V21)&amp;"|K12",Projections!$Y$2:$Y$76,0)),""))</f>
        <v>32.5</v>
      </c>
      <c r="K21" s="10" t="n">
        <f aca="false">IF($V21="","",IFERROR(INDEX(Projections!$I$2:$I$76,MATCH(INDEX(Calc!$A$2:$A$56,$V21)&amp;"|K12",Projections!$Y$2:$Y$76,0)),""))</f>
        <v>0.240941950100974</v>
      </c>
      <c r="L21" s="10" t="n">
        <f aca="false">IF($V21="","",IFERROR(INDEX(Projections!$AB$2:$AB$76,MATCH(INDEX(Calc!$A$2:$A$56,$V21)&amp;"|K12",Projections!$Y$2:$Y$76,0)),""))</f>
        <v>0.211777825408396</v>
      </c>
      <c r="M21" s="9" t="n">
        <f aca="false">IF($V21="","",IFERROR(INDEX(Projections!$M$2:$M$76,MATCH(INDEX(Calc!$A$2:$A$56,$V21)&amp;"|K12",Projections!$Y$2:$Y$76,0)),""))</f>
        <v>29.34</v>
      </c>
      <c r="N21" s="10" t="n">
        <f aca="false">IF($V21="","",IFERROR(INDEX(Projections!$P$2:$P$76,MATCH(INDEX(Calc!$A$2:$A$56,$V21)&amp;"|K12",Projections!$Y$2:$Y$76,0)),""))</f>
        <v>0.4</v>
      </c>
      <c r="O21" s="10" t="n">
        <f aca="false">IF($V21="","",INDEX(Calc!$AP$2:$AP$56,$V21))</f>
        <v>0.529925055355646</v>
      </c>
      <c r="P21" s="11" t="n">
        <f aca="false">IF($V21="","",INDEX(Calc!$AN$2:$AN$56,$V21))</f>
        <v>14.885460285503</v>
      </c>
      <c r="Q21" s="9" t="n">
        <f aca="false">IF($V21="","",IFERROR(INDEX(Projections!$F$2:$F$76,MATCH(INDEX(Calc!$A$2:$A$56,$V21)&amp;"|H12",Projections!$Y$2:$Y$76,0)),""))</f>
        <v>18.5</v>
      </c>
      <c r="R21" s="10" t="n">
        <f aca="false">IF($V21="","",IFERROR(INDEX(Projections!$I$2:$I$76,MATCH(INDEX(Calc!$A$2:$A$56,$V21)&amp;"|H12",Projections!$Y$2:$Y$76,0)),""))</f>
        <v>0.197386653243402</v>
      </c>
      <c r="S21" s="9" t="n">
        <f aca="false">IF($V21="","",INDEX(Calc!$N$2:$N$56,$V21))</f>
        <v>31</v>
      </c>
      <c r="T21" s="0" t="str">
        <f aca="false">IF($V21="","",INDEX(Calc!$AQ$2:$AQ$56,$V21))</f>
        <v/>
      </c>
      <c r="V21" s="9" t="n">
        <f aca="false">IFERROR(MATCH(7,Calc!$AR$2:$AR$56,0),"")</f>
        <v>17</v>
      </c>
    </row>
    <row r="22" customFormat="false" ht="15" hidden="false" customHeight="false" outlineLevel="0" collapsed="false">
      <c r="A22" s="0" t="str">
        <f aca="false">IF($V22="","",INDEX(Calc!$D$2:$D$56,$V22))</f>
        <v>JJH</v>
      </c>
      <c r="B22" s="0" t="str">
        <f aca="false">IF($V22="","",INDEX(Calc!$E$2:$E$56,$V22))</f>
        <v>sinnopsyy</v>
      </c>
      <c r="C22" s="13" t="n">
        <f aca="false">IF($V22="","",INDEX(Calc!$T$2:$T$56,$V22))</f>
        <v>0.643076923076923</v>
      </c>
      <c r="D22" s="13" t="n">
        <f aca="false">IF($V22="","",INDEX(Calc!$AA$2:$AA$56,$V22))</f>
        <v>0.551111111111111</v>
      </c>
      <c r="E22" s="11" t="n">
        <f aca="false">IF($V22="","",INDEX(Calc!$V$2:$V$56,$V22))</f>
        <v>13.6718153846154</v>
      </c>
      <c r="F22" s="11" t="n">
        <f aca="false">IF($V22="","",INDEX(Calc!$AC$2:$AC$56,$V22))</f>
        <v>11.7056</v>
      </c>
      <c r="G22" s="11" t="n">
        <f aca="false">IF($V22="","",INDEX(Calc!$AL$2:$AL$56,$V22))</f>
        <v>25.3774153846154</v>
      </c>
      <c r="H22" s="13" t="n">
        <f aca="false">IF($V22="","",INDEX(Calc!$BK$2:$BK$56,$V22))</f>
        <v>0.998786217289452</v>
      </c>
      <c r="I22" s="11" t="n">
        <f aca="false">IF($V22="","",INDEX(Calc!$BD$2:$BD$56,$V22))</f>
        <v>25.3466127165831</v>
      </c>
      <c r="J22" s="9" t="n">
        <f aca="false">IF($V22="","",IFERROR(INDEX(Projections!$F$2:$F$76,MATCH(INDEX(Calc!$A$2:$A$56,$V22)&amp;"|K12",Projections!$Y$2:$Y$76,0)),""))</f>
        <v>27.5</v>
      </c>
      <c r="K22" s="10" t="n">
        <f aca="false">IF($V22="","",IFERROR(INDEX(Projections!$I$2:$I$76,MATCH(INDEX(Calc!$A$2:$A$56,$V22)&amp;"|K12",Projections!$Y$2:$Y$76,0)),""))</f>
        <v>0.360881203310495</v>
      </c>
      <c r="L22" s="10" t="n">
        <f aca="false">IF($V22="","",IFERROR(INDEX(Projections!$AB$2:$AB$76,MATCH(INDEX(Calc!$A$2:$A$56,$V22)&amp;"|K12",Projections!$Y$2:$Y$76,0)),""))</f>
        <v>0.358866006687043</v>
      </c>
      <c r="M22" s="9" t="n">
        <f aca="false">IF($V22="","",IFERROR(INDEX(Projections!$M$2:$M$76,MATCH(INDEX(Calc!$A$2:$A$56,$V22)&amp;"|K12",Projections!$Y$2:$Y$76,0)),""))</f>
        <v>26.32</v>
      </c>
      <c r="N22" s="10" t="n">
        <f aca="false">IF($V22="","",IFERROR(INDEX(Projections!$P$2:$P$76,MATCH(INDEX(Calc!$A$2:$A$56,$V22)&amp;"|K12",Projections!$Y$2:$Y$76,0)),""))</f>
        <v>0.5</v>
      </c>
      <c r="O22" s="10" t="n">
        <f aca="false">IF($V22="","",INDEX(Calc!$AP$2:$AP$56,$V22))</f>
        <v>0.538087875139555</v>
      </c>
      <c r="P22" s="11" t="n">
        <f aca="false">IF($V22="","",INDEX(Calc!$AN$2:$AN$56,$V22))</f>
        <v>13.6552795208416</v>
      </c>
      <c r="Q22" s="9" t="n">
        <f aca="false">IF($V22="","",IFERROR(INDEX(Projections!$F$2:$F$76,MATCH(INDEX(Calc!$A$2:$A$56,$V22)&amp;"|H12",Projections!$Y$2:$Y$76,0)),""))</f>
        <v>15</v>
      </c>
      <c r="R22" s="10" t="n">
        <f aca="false">IF($V22="","",IFERROR(INDEX(Projections!$I$2:$I$76,MATCH(INDEX(Calc!$A$2:$A$56,$V22)&amp;"|H12",Projections!$Y$2:$Y$76,0)),""))</f>
        <v>0.325329978440318</v>
      </c>
      <c r="S22" s="9" t="n">
        <f aca="false">IF($V22="","",INDEX(Calc!$N$2:$N$56,$V22))</f>
        <v>30</v>
      </c>
      <c r="T22" s="0" t="str">
        <f aca="false">IF($V22="","",INDEX(Calc!$AQ$2:$AQ$56,$V22))</f>
        <v/>
      </c>
      <c r="V22" s="9" t="n">
        <f aca="false">IFERROR(MATCH(8,Calc!$AR$2:$AR$56,0),"")</f>
        <v>24</v>
      </c>
    </row>
    <row r="23" customFormat="false" ht="15" hidden="false" customHeight="false" outlineLevel="0" collapsed="false">
      <c r="A23" s="0" t="str">
        <f aca="false">IF($V23="","",INDEX(Calc!$D$2:$D$56,$V23))</f>
        <v>EF</v>
      </c>
      <c r="B23" s="0" t="str">
        <f aca="false">IF($V23="","",INDEX(Calc!$E$2:$E$56,$V23))</f>
        <v>MisteM</v>
      </c>
      <c r="C23" s="13" t="n">
        <f aca="false">IF($V23="","",INDEX(Calc!$T$2:$T$56,$V23))</f>
        <v>0.58</v>
      </c>
      <c r="D23" s="13" t="n">
        <f aca="false">IF($V23="","",INDEX(Calc!$AA$2:$AA$56,$V23))</f>
        <v>0.606153846153846</v>
      </c>
      <c r="E23" s="11" t="n">
        <f aca="false">IF($V23="","",INDEX(Calc!$V$2:$V$56,$V23))</f>
        <v>12.3308</v>
      </c>
      <c r="F23" s="11" t="n">
        <f aca="false">IF($V23="","",INDEX(Calc!$AC$2:$AC$56,$V23))</f>
        <v>12.8747076923077</v>
      </c>
      <c r="G23" s="11" t="n">
        <f aca="false">IF($V23="","",INDEX(Calc!$AL$2:$AL$56,$V23))</f>
        <v>25.2055076923077</v>
      </c>
      <c r="H23" s="13" t="n">
        <f aca="false">IF($V23="","",INDEX(Calc!$BK$2:$BK$56,$V23))</f>
        <v>0.980242720228308</v>
      </c>
      <c r="I23" s="11" t="n">
        <f aca="false">IF($V23="","",INDEX(Calc!$BD$2:$BD$56,$V23))</f>
        <v>24.7075154250432</v>
      </c>
      <c r="J23" s="9" t="n">
        <f aca="false">IF($V23="","",IFERROR(INDEX(Projections!$F$2:$F$76,MATCH(INDEX(Calc!$A$2:$A$56,$V23)&amp;"|K12",Projections!$Y$2:$Y$76,0)),""))</f>
        <v>25.5</v>
      </c>
      <c r="K23" s="10" t="n">
        <f aca="false">IF($V23="","",IFERROR(INDEX(Projections!$I$2:$I$76,MATCH(INDEX(Calc!$A$2:$A$56,$V23)&amp;"|K12",Projections!$Y$2:$Y$76,0)),""))</f>
        <v>0.480230557825072</v>
      </c>
      <c r="L23" s="10" t="n">
        <f aca="false">IF($V23="","",IFERROR(INDEX(Projections!$AB$2:$AB$76,MATCH(INDEX(Calc!$A$2:$A$56,$V23)&amp;"|K12",Projections!$Y$2:$Y$76,0)),""))</f>
        <v>0.446406794992121</v>
      </c>
      <c r="M23" s="9" t="n">
        <f aca="false">IF($V23="","",IFERROR(INDEX(Projections!$M$2:$M$76,MATCH(INDEX(Calc!$A$2:$A$56,$V23)&amp;"|K12",Projections!$Y$2:$Y$76,0)),""))</f>
        <v>24.06</v>
      </c>
      <c r="N23" s="10" t="n">
        <f aca="false">IF($V23="","",IFERROR(INDEX(Projections!$P$2:$P$76,MATCH(INDEX(Calc!$A$2:$A$56,$V23)&amp;"|K12",Projections!$Y$2:$Y$76,0)),""))</f>
        <v>0.6</v>
      </c>
      <c r="O23" s="10" t="n">
        <f aca="false">IF($V23="","",INDEX(Calc!$AP$2:$AP$56,$V23))</f>
        <v>0.537603846703177</v>
      </c>
      <c r="P23" s="11" t="n">
        <f aca="false">IF($V23="","",INDEX(Calc!$AN$2:$AN$56,$V23))</f>
        <v>13.5505778934911</v>
      </c>
      <c r="Q23" s="9" t="n">
        <f aca="false">IF($V23="","",IFERROR(INDEX(Projections!$F$2:$F$76,MATCH(INDEX(Calc!$A$2:$A$56,$V23)&amp;"|H12",Projections!$Y$2:$Y$76,0)),""))</f>
        <v>14.5</v>
      </c>
      <c r="R23" s="10" t="n">
        <f aca="false">IF($V23="","",IFERROR(INDEX(Projections!$I$2:$I$76,MATCH(INDEX(Calc!$A$2:$A$56,$V23)&amp;"|H12",Projections!$Y$2:$Y$76,0)),""))</f>
        <v>0.407498970357235</v>
      </c>
      <c r="S23" s="9" t="n">
        <f aca="false">IF($V23="","",INDEX(Calc!$N$2:$N$56,$V23))</f>
        <v>31</v>
      </c>
      <c r="T23" s="0" t="str">
        <f aca="false">IF($V23="","",INDEX(Calc!$AQ$2:$AQ$56,$V23))</f>
        <v/>
      </c>
      <c r="V23" s="9" t="n">
        <f aca="false">IFERROR(MATCH(9,Calc!$AR$2:$AR$56,0),"")</f>
        <v>18</v>
      </c>
    </row>
    <row r="24" customFormat="false" ht="15" hidden="false" customHeight="false" outlineLevel="0" collapsed="false">
      <c r="A24" s="0" t="str">
        <f aca="false">IF($V24="","",INDEX(Calc!$D$2:$D$56,$V24))</f>
        <v/>
      </c>
      <c r="B24" s="0" t="str">
        <f aca="false">IF($V24="","",INDEX(Calc!$E$2:$E$56,$V24))</f>
        <v/>
      </c>
      <c r="C24" s="13" t="str">
        <f aca="false">IF($V24="","",INDEX(Calc!$T$2:$T$56,$V24))</f>
        <v/>
      </c>
      <c r="D24" s="13" t="str">
        <f aca="false">IF($V24="","",INDEX(Calc!$AA$2:$AA$56,$V24))</f>
        <v/>
      </c>
      <c r="E24" s="11" t="str">
        <f aca="false">IF($V24="","",INDEX(Calc!$V$2:$V$56,$V24))</f>
        <v/>
      </c>
      <c r="F24" s="11" t="str">
        <f aca="false">IF($V24="","",INDEX(Calc!$AC$2:$AC$56,$V24))</f>
        <v/>
      </c>
      <c r="G24" s="11" t="str">
        <f aca="false">IF($V24="","",INDEX(Calc!$AL$2:$AL$56,$V24))</f>
        <v/>
      </c>
      <c r="H24" s="13" t="str">
        <f aca="false">IF($V24="","",INDEX(Calc!$BK$2:$BK$56,$V24))</f>
        <v/>
      </c>
      <c r="I24" s="11" t="str">
        <f aca="false">IF($V24="","",INDEX(Calc!$BD$2:$BD$56,$V24))</f>
        <v/>
      </c>
      <c r="J24" s="0" t="str">
        <f aca="false">IF($V24="","",IFERROR(INDEX(Projections!$F$2:$F$76,MATCH(INDEX(Calc!$A$2:$A$56,$V24)&amp;"|K12",Projections!$Y$2:$Y$76,0)),""))</f>
        <v/>
      </c>
      <c r="K24" s="10" t="str">
        <f aca="false">IF($V24="","",IFERROR(INDEX(Projections!$I$2:$I$76,MATCH(INDEX(Calc!$A$2:$A$56,$V24)&amp;"|K12",Projections!$Y$2:$Y$76,0)),""))</f>
        <v/>
      </c>
      <c r="L24" s="10" t="str">
        <f aca="false">IF($V24="","",IFERROR(INDEX(Projections!$AB$2:$AB$76,MATCH(INDEX(Calc!$A$2:$A$56,$V24)&amp;"|K12",Projections!$Y$2:$Y$76,0)),""))</f>
        <v/>
      </c>
      <c r="M24" s="0" t="str">
        <f aca="false">IF($V24="","",IFERROR(INDEX(Projections!$M$2:$M$76,MATCH(INDEX(Calc!$A$2:$A$56,$V24)&amp;"|K12",Projections!$Y$2:$Y$76,0)),""))</f>
        <v/>
      </c>
      <c r="N24" s="10" t="str">
        <f aca="false">IF($V24="","",IFERROR(INDEX(Projections!$P$2:$P$76,MATCH(INDEX(Calc!$A$2:$A$56,$V24)&amp;"|K12",Projections!$Y$2:$Y$76,0)),""))</f>
        <v/>
      </c>
      <c r="O24" s="10" t="str">
        <f aca="false">IF($V24="","",INDEX(Calc!$AP$2:$AP$56,$V24))</f>
        <v/>
      </c>
      <c r="P24" s="11" t="str">
        <f aca="false">IF($V24="","",INDEX(Calc!$AN$2:$AN$56,$V24))</f>
        <v/>
      </c>
      <c r="Q24" s="0" t="str">
        <f aca="false">IF($V24="","",IFERROR(INDEX(Projections!$F$2:$F$76,MATCH(INDEX(Calc!$A$2:$A$56,$V24)&amp;"|H12",Projections!$Y$2:$Y$76,0)),""))</f>
        <v/>
      </c>
      <c r="R24" s="10" t="str">
        <f aca="false">IF($V24="","",IFERROR(INDEX(Projections!$I$2:$I$76,MATCH(INDEX(Calc!$A$2:$A$56,$V24)&amp;"|H12",Projections!$Y$2:$Y$76,0)),""))</f>
        <v/>
      </c>
      <c r="S24" s="0" t="str">
        <f aca="false">IF($V24="","",INDEX(Calc!$N$2:$N$56,$V24))</f>
        <v/>
      </c>
      <c r="T24" s="0" t="str">
        <f aca="false">IF($V24="","",INDEX(Calc!$AQ$2:$AQ$56,$V24))</f>
        <v/>
      </c>
      <c r="V24" s="0" t="str">
        <f aca="false">IFERROR(MATCH(10,Calc!$AR$2:$AR$56,0),"")</f>
        <v/>
      </c>
    </row>
    <row r="25" customFormat="false" ht="15" hidden="false" customHeight="false" outlineLevel="0" collapsed="false">
      <c r="A25" s="0" t="str">
        <f aca="false">IF($V25="","",INDEX(Calc!$D$2:$D$56,$V25))</f>
        <v/>
      </c>
      <c r="B25" s="0" t="str">
        <f aca="false">IF($V25="","",INDEX(Calc!$E$2:$E$56,$V25))</f>
        <v/>
      </c>
      <c r="C25" s="13" t="str">
        <f aca="false">IF($V25="","",INDEX(Calc!$T$2:$T$56,$V25))</f>
        <v/>
      </c>
      <c r="D25" s="13" t="str">
        <f aca="false">IF($V25="","",INDEX(Calc!$AA$2:$AA$56,$V25))</f>
        <v/>
      </c>
      <c r="E25" s="11" t="str">
        <f aca="false">IF($V25="","",INDEX(Calc!$V$2:$V$56,$V25))</f>
        <v/>
      </c>
      <c r="F25" s="11" t="str">
        <f aca="false">IF($V25="","",INDEX(Calc!$AC$2:$AC$56,$V25))</f>
        <v/>
      </c>
      <c r="G25" s="11" t="str">
        <f aca="false">IF($V25="","",INDEX(Calc!$AL$2:$AL$56,$V25))</f>
        <v/>
      </c>
      <c r="H25" s="13" t="str">
        <f aca="false">IF($V25="","",INDEX(Calc!$BK$2:$BK$56,$V25))</f>
        <v/>
      </c>
      <c r="I25" s="11" t="str">
        <f aca="false">IF($V25="","",INDEX(Calc!$BD$2:$BD$56,$V25))</f>
        <v/>
      </c>
      <c r="J25" s="0" t="str">
        <f aca="false">IF($V25="","",IFERROR(INDEX(Projections!$F$2:$F$76,MATCH(INDEX(Calc!$A$2:$A$56,$V25)&amp;"|K12",Projections!$Y$2:$Y$76,0)),""))</f>
        <v/>
      </c>
      <c r="K25" s="10" t="str">
        <f aca="false">IF($V25="","",IFERROR(INDEX(Projections!$I$2:$I$76,MATCH(INDEX(Calc!$A$2:$A$56,$V25)&amp;"|K12",Projections!$Y$2:$Y$76,0)),""))</f>
        <v/>
      </c>
      <c r="L25" s="10" t="str">
        <f aca="false">IF($V25="","",IFERROR(INDEX(Projections!$AB$2:$AB$76,MATCH(INDEX(Calc!$A$2:$A$56,$V25)&amp;"|K12",Projections!$Y$2:$Y$76,0)),""))</f>
        <v/>
      </c>
      <c r="M25" s="0" t="str">
        <f aca="false">IF($V25="","",IFERROR(INDEX(Projections!$M$2:$M$76,MATCH(INDEX(Calc!$A$2:$A$56,$V25)&amp;"|K12",Projections!$Y$2:$Y$76,0)),""))</f>
        <v/>
      </c>
      <c r="N25" s="10" t="str">
        <f aca="false">IF($V25="","",IFERROR(INDEX(Projections!$P$2:$P$76,MATCH(INDEX(Calc!$A$2:$A$56,$V25)&amp;"|K12",Projections!$Y$2:$Y$76,0)),""))</f>
        <v/>
      </c>
      <c r="O25" s="10" t="str">
        <f aca="false">IF($V25="","",INDEX(Calc!$AP$2:$AP$56,$V25))</f>
        <v/>
      </c>
      <c r="P25" s="11" t="str">
        <f aca="false">IF($V25="","",INDEX(Calc!$AN$2:$AN$56,$V25))</f>
        <v/>
      </c>
      <c r="Q25" s="0" t="str">
        <f aca="false">IF($V25="","",IFERROR(INDEX(Projections!$F$2:$F$76,MATCH(INDEX(Calc!$A$2:$A$56,$V25)&amp;"|H12",Projections!$Y$2:$Y$76,0)),""))</f>
        <v/>
      </c>
      <c r="R25" s="10" t="str">
        <f aca="false">IF($V25="","",IFERROR(INDEX(Projections!$I$2:$I$76,MATCH(INDEX(Calc!$A$2:$A$56,$V25)&amp;"|H12",Projections!$Y$2:$Y$76,0)),""))</f>
        <v/>
      </c>
      <c r="S25" s="0" t="str">
        <f aca="false">IF($V25="","",INDEX(Calc!$N$2:$N$56,$V25))</f>
        <v/>
      </c>
      <c r="T25" s="0" t="str">
        <f aca="false">IF($V25="","",INDEX(Calc!$AQ$2:$AQ$56,$V25))</f>
        <v/>
      </c>
      <c r="V25" s="0" t="str">
        <f aca="false">IFERROR(MATCH(11,Calc!$AR$2:$AR$56,0),"")</f>
        <v/>
      </c>
    </row>
    <row r="26" customFormat="false" ht="15" hidden="false" customHeight="false" outlineLevel="0" collapsed="false">
      <c r="A26" s="0" t="str">
        <f aca="false">IF($V26="","",INDEX(Calc!$D$2:$D$56,$V26))</f>
        <v/>
      </c>
      <c r="B26" s="0" t="str">
        <f aca="false">IF($V26="","",INDEX(Calc!$E$2:$E$56,$V26))</f>
        <v/>
      </c>
      <c r="C26" s="13" t="str">
        <f aca="false">IF($V26="","",INDEX(Calc!$T$2:$T$56,$V26))</f>
        <v/>
      </c>
      <c r="D26" s="13" t="str">
        <f aca="false">IF($V26="","",INDEX(Calc!$AA$2:$AA$56,$V26))</f>
        <v/>
      </c>
      <c r="E26" s="11" t="str">
        <f aca="false">IF($V26="","",INDEX(Calc!$V$2:$V$56,$V26))</f>
        <v/>
      </c>
      <c r="F26" s="11" t="str">
        <f aca="false">IF($V26="","",INDEX(Calc!$AC$2:$AC$56,$V26))</f>
        <v/>
      </c>
      <c r="G26" s="11" t="str">
        <f aca="false">IF($V26="","",INDEX(Calc!$AL$2:$AL$56,$V26))</f>
        <v/>
      </c>
      <c r="H26" s="13" t="str">
        <f aca="false">IF($V26="","",INDEX(Calc!$BK$2:$BK$56,$V26))</f>
        <v/>
      </c>
      <c r="I26" s="11" t="str">
        <f aca="false">IF($V26="","",INDEX(Calc!$BD$2:$BD$56,$V26))</f>
        <v/>
      </c>
      <c r="J26" s="0" t="str">
        <f aca="false">IF($V26="","",IFERROR(INDEX(Projections!$F$2:$F$76,MATCH(INDEX(Calc!$A$2:$A$56,$V26)&amp;"|K12",Projections!$Y$2:$Y$76,0)),""))</f>
        <v/>
      </c>
      <c r="K26" s="10" t="str">
        <f aca="false">IF($V26="","",IFERROR(INDEX(Projections!$I$2:$I$76,MATCH(INDEX(Calc!$A$2:$A$56,$V26)&amp;"|K12",Projections!$Y$2:$Y$76,0)),""))</f>
        <v/>
      </c>
      <c r="L26" s="10" t="str">
        <f aca="false">IF($V26="","",IFERROR(INDEX(Projections!$AB$2:$AB$76,MATCH(INDEX(Calc!$A$2:$A$56,$V26)&amp;"|K12",Projections!$Y$2:$Y$76,0)),""))</f>
        <v/>
      </c>
      <c r="M26" s="0" t="str">
        <f aca="false">IF($V26="","",IFERROR(INDEX(Projections!$M$2:$M$76,MATCH(INDEX(Calc!$A$2:$A$56,$V26)&amp;"|K12",Projections!$Y$2:$Y$76,0)),""))</f>
        <v/>
      </c>
      <c r="N26" s="10" t="str">
        <f aca="false">IF($V26="","",IFERROR(INDEX(Projections!$P$2:$P$76,MATCH(INDEX(Calc!$A$2:$A$56,$V26)&amp;"|K12",Projections!$Y$2:$Y$76,0)),""))</f>
        <v/>
      </c>
      <c r="O26" s="10" t="str">
        <f aca="false">IF($V26="","",INDEX(Calc!$AP$2:$AP$56,$V26))</f>
        <v/>
      </c>
      <c r="P26" s="11" t="str">
        <f aca="false">IF($V26="","",INDEX(Calc!$AN$2:$AN$56,$V26))</f>
        <v/>
      </c>
      <c r="Q26" s="0" t="str">
        <f aca="false">IF($V26="","",IFERROR(INDEX(Projections!$F$2:$F$76,MATCH(INDEX(Calc!$A$2:$A$56,$V26)&amp;"|H12",Projections!$Y$2:$Y$76,0)),""))</f>
        <v/>
      </c>
      <c r="R26" s="10" t="str">
        <f aca="false">IF($V26="","",IFERROR(INDEX(Projections!$I$2:$I$76,MATCH(INDEX(Calc!$A$2:$A$56,$V26)&amp;"|H12",Projections!$Y$2:$Y$76,0)),""))</f>
        <v/>
      </c>
      <c r="S26" s="0" t="str">
        <f aca="false">IF($V26="","",INDEX(Calc!$N$2:$N$56,$V26))</f>
        <v/>
      </c>
      <c r="T26" s="0" t="str">
        <f aca="false">IF($V26="","",INDEX(Calc!$AQ$2:$AQ$56,$V26))</f>
        <v/>
      </c>
      <c r="V26" s="0" t="str">
        <f aca="false">IFERROR(MATCH(12,Calc!$AR$2:$AR$56,0),"")</f>
        <v/>
      </c>
    </row>
    <row r="28" customFormat="false" ht="15" hidden="false" customHeight="false" outlineLevel="0" collapsed="false">
      <c r="A28" s="2" t="s">
        <v>566</v>
      </c>
    </row>
    <row r="29" customFormat="false" ht="15" hidden="false" customHeight="false" outlineLevel="0" collapsed="false">
      <c r="A29" s="2" t="s">
        <v>567</v>
      </c>
    </row>
  </sheetData>
  <conditionalFormatting sqref="K15:K26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L15:L26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R15:R26">
    <cfRule type="colorScale" priority="4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dataValidations count="1">
    <dataValidation allowBlank="false" errorStyle="stop" operator="between" showDropDown="false" showErrorMessage="false" showInputMessage="false" sqref="B2" type="list">
      <formula1>Matches!$A$5:$A$12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6" min="5" style="0" width="16"/>
    <col collapsed="false" customWidth="true" hidden="false" outlineLevel="0" max="10" min="7" style="0" width="8"/>
    <col collapsed="false" customWidth="true" hidden="false" outlineLevel="0" max="13" min="11" style="0" width="15"/>
    <col collapsed="false" customWidth="true" hidden="false" outlineLevel="0" max="14" min="14" style="0" width="18"/>
    <col collapsed="false" customWidth="true" hidden="false" outlineLevel="0" max="17" min="15" style="0" width="8"/>
    <col collapsed="false" customWidth="true" hidden="false" outlineLevel="0" max="18" min="18" style="0" width="7"/>
    <col collapsed="false" customWidth="true" hidden="false" outlineLevel="0" max="21" min="19" style="0" width="8"/>
    <col collapsed="false" customWidth="true" hidden="false" outlineLevel="0" max="22" min="22" style="0" width="7"/>
    <col collapsed="false" customWidth="true" hidden="false" outlineLevel="0" max="25" min="23" style="0" width="11"/>
    <col collapsed="false" customWidth="true" hidden="false" outlineLevel="0" max="29" min="26" style="0" width="9"/>
    <col collapsed="false" customWidth="true" hidden="false" outlineLevel="0" max="34" min="30" style="0" width="8"/>
    <col collapsed="false" customWidth="true" hidden="false" outlineLevel="0" max="36" min="35" style="0" width="9"/>
    <col collapsed="false" customWidth="true" hidden="false" outlineLevel="0" max="54" min="37" style="0" width="8"/>
  </cols>
  <sheetData>
    <row r="1" customFormat="false" ht="17.35" hidden="false" customHeight="false" outlineLevel="0" collapsed="false">
      <c r="A1" s="1" t="s">
        <v>568</v>
      </c>
    </row>
    <row r="2" customFormat="false" ht="15" hidden="false" customHeight="false" outlineLevel="0" collapsed="false">
      <c r="A2" s="2" t="s">
        <v>569</v>
      </c>
    </row>
    <row r="4" customFormat="false" ht="41.75" hidden="false" customHeight="false" outlineLevel="0" collapsed="false">
      <c r="A4" s="12" t="s">
        <v>570</v>
      </c>
      <c r="B4" s="12" t="s">
        <v>571</v>
      </c>
      <c r="C4" s="12" t="s">
        <v>527</v>
      </c>
      <c r="D4" s="12" t="s">
        <v>528</v>
      </c>
      <c r="E4" s="12" t="s">
        <v>572</v>
      </c>
      <c r="F4" s="12" t="s">
        <v>573</v>
      </c>
      <c r="G4" s="12" t="s">
        <v>529</v>
      </c>
      <c r="H4" s="12" t="s">
        <v>530</v>
      </c>
      <c r="I4" s="12" t="s">
        <v>531</v>
      </c>
      <c r="J4" s="12" t="s">
        <v>532</v>
      </c>
      <c r="K4" s="12" t="s">
        <v>533</v>
      </c>
      <c r="L4" s="12" t="s">
        <v>534</v>
      </c>
      <c r="M4" s="12" t="s">
        <v>574</v>
      </c>
      <c r="N4" s="12" t="s">
        <v>575</v>
      </c>
      <c r="O4" s="12" t="s">
        <v>535</v>
      </c>
      <c r="P4" s="12" t="s">
        <v>536</v>
      </c>
      <c r="Q4" s="12" t="s">
        <v>576</v>
      </c>
      <c r="R4" s="12" t="s">
        <v>537</v>
      </c>
      <c r="S4" s="12" t="s">
        <v>538</v>
      </c>
      <c r="T4" s="12" t="s">
        <v>539</v>
      </c>
      <c r="U4" s="12" t="s">
        <v>540</v>
      </c>
      <c r="V4" s="12" t="s">
        <v>577</v>
      </c>
      <c r="W4" s="12" t="s">
        <v>578</v>
      </c>
      <c r="X4" s="12" t="s">
        <v>579</v>
      </c>
      <c r="Y4" s="12" t="s">
        <v>580</v>
      </c>
      <c r="Z4" s="12" t="s">
        <v>581</v>
      </c>
      <c r="AA4" s="12" t="s">
        <v>582</v>
      </c>
      <c r="AB4" s="12" t="s">
        <v>583</v>
      </c>
      <c r="AC4" s="12" t="s">
        <v>584</v>
      </c>
      <c r="AD4" s="12" t="s">
        <v>585</v>
      </c>
      <c r="AE4" s="12" t="s">
        <v>586</v>
      </c>
      <c r="AF4" s="12" t="s">
        <v>587</v>
      </c>
      <c r="AG4" s="12" t="s">
        <v>588</v>
      </c>
      <c r="AH4" s="12" t="s">
        <v>589</v>
      </c>
      <c r="AI4" s="12" t="s">
        <v>590</v>
      </c>
      <c r="AJ4" s="12" t="s">
        <v>591</v>
      </c>
      <c r="AK4" s="12" t="s">
        <v>592</v>
      </c>
      <c r="AL4" s="12" t="s">
        <v>593</v>
      </c>
      <c r="AM4" s="12" t="s">
        <v>594</v>
      </c>
      <c r="AN4" s="12" t="s">
        <v>541</v>
      </c>
      <c r="AO4" s="12" t="s">
        <v>542</v>
      </c>
      <c r="AP4" s="12" t="s">
        <v>595</v>
      </c>
      <c r="AQ4" s="12" t="s">
        <v>596</v>
      </c>
      <c r="AR4" s="12" t="s">
        <v>597</v>
      </c>
      <c r="AS4" s="12" t="s">
        <v>598</v>
      </c>
      <c r="AT4" s="12" t="s">
        <v>599</v>
      </c>
      <c r="AU4" s="12" t="s">
        <v>600</v>
      </c>
      <c r="AV4" s="12" t="s">
        <v>601</v>
      </c>
      <c r="AW4" s="12" t="s">
        <v>602</v>
      </c>
      <c r="AX4" s="12" t="s">
        <v>603</v>
      </c>
      <c r="AY4" s="12" t="s">
        <v>604</v>
      </c>
      <c r="AZ4" s="12" t="s">
        <v>605</v>
      </c>
      <c r="BA4" s="12" t="s">
        <v>606</v>
      </c>
      <c r="BB4" s="12" t="s">
        <v>607</v>
      </c>
    </row>
    <row r="5" customFormat="false" ht="15" hidden="false" customHeight="false" outlineLevel="0" collapsed="false">
      <c r="A5" s="0" t="s">
        <v>525</v>
      </c>
      <c r="B5" s="0" t="s">
        <v>608</v>
      </c>
      <c r="C5" s="0" t="s">
        <v>609</v>
      </c>
      <c r="D5" s="0" t="n">
        <v>3</v>
      </c>
      <c r="E5" s="0" t="s">
        <v>256</v>
      </c>
      <c r="F5" s="0" t="s">
        <v>257</v>
      </c>
      <c r="G5" s="10" t="n">
        <v>0.518817204301075</v>
      </c>
      <c r="H5" s="10" t="n">
        <v>0.269849791795991</v>
      </c>
      <c r="I5" s="10" t="n">
        <v>0.253182598773297</v>
      </c>
      <c r="J5" s="10" t="n">
        <v>0.476967609430712</v>
      </c>
      <c r="K5" s="9" t="s">
        <v>610</v>
      </c>
      <c r="L5" s="9" t="s">
        <v>611</v>
      </c>
      <c r="M5" s="9" t="s">
        <v>612</v>
      </c>
      <c r="N5" s="9" t="s">
        <v>613</v>
      </c>
      <c r="O5" s="11" t="n">
        <v>21.2602380614992</v>
      </c>
      <c r="P5" s="11" t="n">
        <v>21.2430955120829</v>
      </c>
      <c r="Q5" s="11"/>
      <c r="R5" s="10" t="n">
        <v>0.153737658674189</v>
      </c>
      <c r="S5" s="11" t="n">
        <v>-0.993408662900189</v>
      </c>
      <c r="T5" s="11"/>
      <c r="U5" s="11"/>
      <c r="V5" s="0" t="n">
        <v>312</v>
      </c>
      <c r="W5" s="14" t="s">
        <v>234</v>
      </c>
      <c r="X5" s="14" t="s">
        <v>228</v>
      </c>
      <c r="Y5" s="14" t="s">
        <v>197</v>
      </c>
      <c r="Z5" s="15" t="n">
        <v>21.26</v>
      </c>
      <c r="AA5" s="15" t="n">
        <v>21.24</v>
      </c>
      <c r="AB5" s="15" t="n">
        <f aca="false">Config!$B$7</f>
        <v>21.5</v>
      </c>
      <c r="AC5" s="16" t="n">
        <v>0.477</v>
      </c>
      <c r="AD5" s="9" t="s">
        <v>614</v>
      </c>
      <c r="AE5" s="9" t="s">
        <v>615</v>
      </c>
      <c r="AF5" s="10" t="n">
        <v>0.4665</v>
      </c>
      <c r="AG5" s="10" t="n">
        <v>0.5585</v>
      </c>
      <c r="AH5" s="10" t="n">
        <v>0.5188</v>
      </c>
      <c r="AI5" s="10" t="n">
        <f aca="false">IFERROR(INDEX(HLTV_Teams!$N$2:$N$9,MATCH($A5&amp;"|A",HLTV_Teams!$A$2:$A$9,0)),"")</f>
        <v>0.501202510530204</v>
      </c>
      <c r="AJ5" s="10" t="n">
        <f aca="false">IFERROR(INDEX(HLTV_Teams!$N$2:$N$9,MATCH($A5&amp;"|B",HLTV_Teams!$A$2:$A$9,0)),"")</f>
        <v>0.522508524909545</v>
      </c>
      <c r="AK5" s="17" t="n">
        <f aca="false">IF($W5="","",IFERROR((SUMIFS(HLTV_Long!$B$2:$B$105,HLTV_Long!$A$2:$A$105,$A5&amp;"|A|"&amp;$W5&amp;"|lw")+SUMIFS(HLTV_Long!$B$2:$B$105,HLTV_Long!$A$2:$A$105,$A5&amp;"|B|"&amp;$W5&amp;"|wl"))/(COUNTIFS(HLTV_Long!$A$2:$A$105,$A5&amp;"|A|"&amp;$W5&amp;"|lw")+COUNTIFS(HLTV_Long!$A$2:$A$105,$A5&amp;"|B|"&amp;$W5&amp;"|wl")),IFERROR((SUMIFS(HLTV_Long!$B$2:$B$105,HLTV_Long!$A$2:$A$105,$A5&amp;"|A|"&amp;"ALL"&amp;"|lw")+SUMIFS(HLTV_Long!$B$2:$B$105,HLTV_Long!$A$2:$A$105,$A5&amp;"|B|"&amp;"ALL"&amp;"|wl"))/(COUNTIFS(HLTV_Long!$A$2:$A$105,$A5&amp;"|A|"&amp;"ALL"&amp;"|lw")+COUNTIFS(HLTV_Long!$A$2:$A$105,$A5&amp;"|B|"&amp;"ALL"&amp;"|wl")),"")))</f>
        <v>8</v>
      </c>
      <c r="AL5" s="17" t="n">
        <f aca="false">IF($W5="","",IFERROR((SUMIFS(HLTV_Long!$B$2:$B$105,HLTV_Long!$A$2:$A$105,$A5&amp;"|B|"&amp;$W5&amp;"|lw")+SUMIFS(HLTV_Long!$B$2:$B$105,HLTV_Long!$A$2:$A$105,$A5&amp;"|A|"&amp;$W5&amp;"|wl"))/(COUNTIFS(HLTV_Long!$A$2:$A$105,$A5&amp;"|B|"&amp;$W5&amp;"|lw")+COUNTIFS(HLTV_Long!$A$2:$A$105,$A5&amp;"|A|"&amp;$W5&amp;"|wl")),IFERROR((SUMIFS(HLTV_Long!$B$2:$B$105,HLTV_Long!$A$2:$A$105,$A5&amp;"|B|"&amp;"ALL"&amp;"|lw")+SUMIFS(HLTV_Long!$B$2:$B$105,HLTV_Long!$A$2:$A$105,$A5&amp;"|A|"&amp;"ALL"&amp;"|wl"))/(COUNTIFS(HLTV_Long!$A$2:$A$105,$A5&amp;"|B|"&amp;"ALL"&amp;"|lw")+COUNTIFS(HLTV_Long!$A$2:$A$105,$A5&amp;"|A|"&amp;"ALL"&amp;"|wl")),"")))</f>
        <v>8.465</v>
      </c>
      <c r="AM5" s="9" t="n">
        <f aca="false">IF($W5="","",COUNTIFS(HLTV_Long!$A$2:$A$105,$A5&amp;"|A|"&amp;$W5&amp;"|lw")+COUNTIFS(HLTV_Long!$A$2:$A$105,$A5&amp;"|B|"&amp;$W5&amp;"|wl")+COUNTIFS(HLTV_Long!$A$2:$A$105,$A5&amp;"|B|"&amp;$W5&amp;"|lw")+COUNTIFS(HLTV_Long!$A$2:$A$105,$A5&amp;"|A|"&amp;$W5&amp;"|wl"))</f>
        <v>4</v>
      </c>
      <c r="AN5" s="17" t="n">
        <f aca="false">IF(OR($AK5="",$AL5="",$AF5=""),"",13+$AF5*$AK5+(1-$AF5)*$AL5)</f>
        <v>21.2480775</v>
      </c>
      <c r="AO5" s="17" t="n">
        <f aca="false">IF($AN5="","",$AF5*(13-$AK5)-(1-$AF5)*(13-$AL5))</f>
        <v>-0.0869225</v>
      </c>
      <c r="AP5" s="10" t="n">
        <f aca="false">IF($AN5="","",($AF5*13+(1-$AF5)*$AL5)/$AN5)</f>
        <v>0.497954579655501</v>
      </c>
      <c r="AQ5" s="17" t="n">
        <f aca="false">IF($X5="","",IFERROR((SUMIFS(HLTV_Long!$B$2:$B$105,HLTV_Long!$A$2:$A$105,$A5&amp;"|A|"&amp;$X5&amp;"|lw")+SUMIFS(HLTV_Long!$B$2:$B$105,HLTV_Long!$A$2:$A$105,$A5&amp;"|B|"&amp;$X5&amp;"|wl"))/(COUNTIFS(HLTV_Long!$A$2:$A$105,$A5&amp;"|A|"&amp;$X5&amp;"|lw")+COUNTIFS(HLTV_Long!$A$2:$A$105,$A5&amp;"|B|"&amp;$X5&amp;"|wl")),IFERROR((SUMIFS(HLTV_Long!$B$2:$B$105,HLTV_Long!$A$2:$A$105,$A5&amp;"|A|"&amp;"ALL"&amp;"|lw")+SUMIFS(HLTV_Long!$B$2:$B$105,HLTV_Long!$A$2:$A$105,$A5&amp;"|B|"&amp;"ALL"&amp;"|wl"))/(COUNTIFS(HLTV_Long!$A$2:$A$105,$A5&amp;"|A|"&amp;"ALL"&amp;"|lw")+COUNTIFS(HLTV_Long!$A$2:$A$105,$A5&amp;"|B|"&amp;"ALL"&amp;"|wl")),"")))</f>
        <v>9.125</v>
      </c>
      <c r="AR5" s="17" t="n">
        <f aca="false">IF($X5="","",IFERROR((SUMIFS(HLTV_Long!$B$2:$B$105,HLTV_Long!$A$2:$A$105,$A5&amp;"|B|"&amp;$X5&amp;"|lw")+SUMIFS(HLTV_Long!$B$2:$B$105,HLTV_Long!$A$2:$A$105,$A5&amp;"|A|"&amp;$X5&amp;"|wl"))/(COUNTIFS(HLTV_Long!$A$2:$A$105,$A5&amp;"|B|"&amp;$X5&amp;"|lw")+COUNTIFS(HLTV_Long!$A$2:$A$105,$A5&amp;"|A|"&amp;$X5&amp;"|wl")),IFERROR((SUMIFS(HLTV_Long!$B$2:$B$105,HLTV_Long!$A$2:$A$105,$A5&amp;"|B|"&amp;"ALL"&amp;"|lw")+SUMIFS(HLTV_Long!$B$2:$B$105,HLTV_Long!$A$2:$A$105,$A5&amp;"|A|"&amp;"ALL"&amp;"|wl"))/(COUNTIFS(HLTV_Long!$A$2:$A$105,$A5&amp;"|B|"&amp;"ALL"&amp;"|lw")+COUNTIFS(HLTV_Long!$A$2:$A$105,$A5&amp;"|A|"&amp;"ALL"&amp;"|wl")),"")))</f>
        <v>8.3</v>
      </c>
      <c r="AS5" s="9" t="n">
        <f aca="false">IF($X5="","",COUNTIFS(HLTV_Long!$A$2:$A$105,$A5&amp;"|A|"&amp;$X5&amp;"|lw")+COUNTIFS(HLTV_Long!$A$2:$A$105,$A5&amp;"|B|"&amp;$X5&amp;"|wl")+COUNTIFS(HLTV_Long!$A$2:$A$105,$A5&amp;"|B|"&amp;$X5&amp;"|lw")+COUNTIFS(HLTV_Long!$A$2:$A$105,$A5&amp;"|A|"&amp;$X5&amp;"|wl"))</f>
        <v>4</v>
      </c>
      <c r="AT5" s="17" t="n">
        <f aca="false">IF(OR($AQ5="",$AR5="",$AG5=""),"",13+$AG5*$AQ5+(1-$AG5)*$AR5)</f>
        <v>21.7607625</v>
      </c>
      <c r="AU5" s="17" t="n">
        <f aca="false">IF($AT5="","",$AG5*(13-$AQ5)-(1-$AG5)*(13-$AR5))</f>
        <v>0.0891375000000005</v>
      </c>
      <c r="AV5" s="10" t="n">
        <f aca="false">IF($AT5="","",($AG5*13+(1-$AG5)*$AR5)/$AT5)</f>
        <v>0.502048124462551</v>
      </c>
      <c r="AW5" s="17" t="n">
        <f aca="false">IF($Y5="","",IFERROR((SUMIFS(HLTV_Long!$B$2:$B$105,HLTV_Long!$A$2:$A$105,$A5&amp;"|A|"&amp;$Y5&amp;"|lw")+SUMIFS(HLTV_Long!$B$2:$B$105,HLTV_Long!$A$2:$A$105,$A5&amp;"|B|"&amp;$Y5&amp;"|wl"))/(COUNTIFS(HLTV_Long!$A$2:$A$105,$A5&amp;"|A|"&amp;$Y5&amp;"|lw")+COUNTIFS(HLTV_Long!$A$2:$A$105,$A5&amp;"|B|"&amp;$Y5&amp;"|wl")),IFERROR((SUMIFS(HLTV_Long!$B$2:$B$105,HLTV_Long!$A$2:$A$105,$A5&amp;"|A|"&amp;"ALL"&amp;"|lw")+SUMIFS(HLTV_Long!$B$2:$B$105,HLTV_Long!$A$2:$A$105,$A5&amp;"|B|"&amp;"ALL"&amp;"|wl"))/(COUNTIFS(HLTV_Long!$A$2:$A$105,$A5&amp;"|A|"&amp;"ALL"&amp;"|lw")+COUNTIFS(HLTV_Long!$A$2:$A$105,$A5&amp;"|B|"&amp;"ALL"&amp;"|wl")),"")))</f>
        <v>8.175</v>
      </c>
      <c r="AX5" s="17" t="n">
        <f aca="false">IF($Y5="","",IFERROR((SUMIFS(HLTV_Long!$B$2:$B$105,HLTV_Long!$A$2:$A$105,$A5&amp;"|B|"&amp;$Y5&amp;"|lw")+SUMIFS(HLTV_Long!$B$2:$B$105,HLTV_Long!$A$2:$A$105,$A5&amp;"|A|"&amp;$Y5&amp;"|wl"))/(COUNTIFS(HLTV_Long!$A$2:$A$105,$A5&amp;"|B|"&amp;$Y5&amp;"|lw")+COUNTIFS(HLTV_Long!$A$2:$A$105,$A5&amp;"|A|"&amp;$Y5&amp;"|wl")),IFERROR((SUMIFS(HLTV_Long!$B$2:$B$105,HLTV_Long!$A$2:$A$105,$A5&amp;"|B|"&amp;"ALL"&amp;"|lw")+SUMIFS(HLTV_Long!$B$2:$B$105,HLTV_Long!$A$2:$A$105,$A5&amp;"|A|"&amp;"ALL"&amp;"|wl"))/(COUNTIFS(HLTV_Long!$A$2:$A$105,$A5&amp;"|B|"&amp;"ALL"&amp;"|lw")+COUNTIFS(HLTV_Long!$A$2:$A$105,$A5&amp;"|A|"&amp;"ALL"&amp;"|wl")),"")))</f>
        <v>8.965</v>
      </c>
      <c r="AY5" s="9" t="n">
        <f aca="false">IF($Y5="","",COUNTIFS(HLTV_Long!$A$2:$A$105,$A5&amp;"|A|"&amp;$Y5&amp;"|lw")+COUNTIFS(HLTV_Long!$A$2:$A$105,$A5&amp;"|B|"&amp;$Y5&amp;"|wl")+COUNTIFS(HLTV_Long!$A$2:$A$105,$A5&amp;"|B|"&amp;$Y5&amp;"|lw")+COUNTIFS(HLTV_Long!$A$2:$A$105,$A5&amp;"|A|"&amp;$Y5&amp;"|wl"))</f>
        <v>4</v>
      </c>
      <c r="AZ5" s="17" t="n">
        <f aca="false">IF(OR($AW5="",$AX5="",$AH5=""),"",13+$AH5*$AW5+(1-$AH5)*$AX5)</f>
        <v>21.555148</v>
      </c>
      <c r="BA5" s="17" t="n">
        <f aca="false">IF($AZ5="","",$AH5*(13-$AW5)-(1-$AH5)*(13-$AX5))</f>
        <v>0.561568</v>
      </c>
      <c r="BB5" s="10" t="n">
        <f aca="false">IF($AZ5="","",($AH5*13+(1-$AH5)*$AX5)/$AZ5)</f>
        <v>0.513026308146898</v>
      </c>
    </row>
    <row r="6" customFormat="false" ht="15" hidden="false" customHeight="false" outlineLevel="0" collapsed="false">
      <c r="A6" s="0" t="s">
        <v>616</v>
      </c>
      <c r="B6" s="0" t="s">
        <v>608</v>
      </c>
      <c r="C6" s="0" t="s">
        <v>609</v>
      </c>
      <c r="D6" s="0" t="n">
        <v>3</v>
      </c>
      <c r="E6" s="0" t="s">
        <v>144</v>
      </c>
      <c r="F6" s="0" t="s">
        <v>145</v>
      </c>
      <c r="G6" s="10" t="n">
        <v>0.840579710144928</v>
      </c>
      <c r="H6" s="10"/>
      <c r="I6" s="10"/>
      <c r="J6" s="10"/>
      <c r="K6" s="9" t="s">
        <v>617</v>
      </c>
      <c r="L6" s="9" t="s">
        <v>618</v>
      </c>
      <c r="M6" s="9" t="s">
        <v>619</v>
      </c>
      <c r="N6" s="9" t="s">
        <v>613</v>
      </c>
      <c r="O6" s="11"/>
      <c r="P6" s="11"/>
      <c r="Q6" s="11"/>
      <c r="R6" s="10"/>
      <c r="S6" s="11"/>
      <c r="T6" s="11"/>
      <c r="U6" s="11"/>
      <c r="V6" s="0" t="n">
        <v>7</v>
      </c>
      <c r="W6" s="14" t="s">
        <v>183</v>
      </c>
      <c r="X6" s="14" t="s">
        <v>197</v>
      </c>
      <c r="Y6" s="14" t="s">
        <v>208</v>
      </c>
      <c r="Z6" s="15" t="n">
        <f aca="false">Config!$B$7</f>
        <v>21.5</v>
      </c>
      <c r="AA6" s="15" t="n">
        <f aca="false">Config!$B$7</f>
        <v>21.5</v>
      </c>
      <c r="AB6" s="15" t="n">
        <f aca="false">Config!$B$7</f>
        <v>21.5</v>
      </c>
      <c r="AC6" s="16" t="n">
        <v>0</v>
      </c>
      <c r="AD6" s="9" t="s">
        <v>620</v>
      </c>
      <c r="AE6" s="9" t="s">
        <v>621</v>
      </c>
      <c r="AF6" s="10" t="n">
        <v>0.757</v>
      </c>
      <c r="AG6" s="10" t="n">
        <v>0.757</v>
      </c>
      <c r="AH6" s="10" t="n">
        <v>0.7368</v>
      </c>
      <c r="AI6" s="10" t="n">
        <f aca="false">IFERROR(INDEX(HLTV_Teams!$N$2:$N$9,MATCH($A6&amp;"|A",HLTV_Teams!$A$2:$A$9,0)),"")</f>
        <v>0.48996505639884</v>
      </c>
      <c r="AJ6" s="10" t="n">
        <f aca="false">IFERROR(INDEX(HLTV_Teams!$N$2:$N$9,MATCH($A6&amp;"|B",HLTV_Teams!$A$2:$A$9,0)),"")</f>
        <v>0.502563071665494</v>
      </c>
      <c r="AK6" s="17" t="n">
        <f aca="false">IF($W6="","",IFERROR((SUMIFS(HLTV_Long!$B$2:$B$105,HLTV_Long!$A$2:$A$105,$A6&amp;"|A|"&amp;$W6&amp;"|lw")+SUMIFS(HLTV_Long!$B$2:$B$105,HLTV_Long!$A$2:$A$105,$A6&amp;"|B|"&amp;$W6&amp;"|wl"))/(COUNTIFS(HLTV_Long!$A$2:$A$105,$A6&amp;"|A|"&amp;$W6&amp;"|lw")+COUNTIFS(HLTV_Long!$A$2:$A$105,$A6&amp;"|B|"&amp;$W6&amp;"|wl")),IFERROR((SUMIFS(HLTV_Long!$B$2:$B$105,HLTV_Long!$A$2:$A$105,$A6&amp;"|A|"&amp;"ALL"&amp;"|lw")+SUMIFS(HLTV_Long!$B$2:$B$105,HLTV_Long!$A$2:$A$105,$A6&amp;"|B|"&amp;"ALL"&amp;"|wl"))/(COUNTIFS(HLTV_Long!$A$2:$A$105,$A6&amp;"|A|"&amp;"ALL"&amp;"|lw")+COUNTIFS(HLTV_Long!$A$2:$A$105,$A6&amp;"|B|"&amp;"ALL"&amp;"|wl")),"")))</f>
        <v>9.585</v>
      </c>
      <c r="AL6" s="17" t="n">
        <f aca="false">IF($W6="","",IFERROR((SUMIFS(HLTV_Long!$B$2:$B$105,HLTV_Long!$A$2:$A$105,$A6&amp;"|B|"&amp;$W6&amp;"|lw")+SUMIFS(HLTV_Long!$B$2:$B$105,HLTV_Long!$A$2:$A$105,$A6&amp;"|A|"&amp;$W6&amp;"|wl"))/(COUNTIFS(HLTV_Long!$A$2:$A$105,$A6&amp;"|B|"&amp;$W6&amp;"|lw")+COUNTIFS(HLTV_Long!$A$2:$A$105,$A6&amp;"|A|"&amp;$W6&amp;"|wl")),IFERROR((SUMIFS(HLTV_Long!$B$2:$B$105,HLTV_Long!$A$2:$A$105,$A6&amp;"|B|"&amp;"ALL"&amp;"|lw")+SUMIFS(HLTV_Long!$B$2:$B$105,HLTV_Long!$A$2:$A$105,$A6&amp;"|A|"&amp;"ALL"&amp;"|wl"))/(COUNTIFS(HLTV_Long!$A$2:$A$105,$A6&amp;"|B|"&amp;"ALL"&amp;"|lw")+COUNTIFS(HLTV_Long!$A$2:$A$105,$A6&amp;"|A|"&amp;"ALL"&amp;"|wl")),"")))</f>
        <v>9.7</v>
      </c>
      <c r="AM6" s="9" t="n">
        <f aca="false">IF($W6="","",COUNTIFS(HLTV_Long!$A$2:$A$105,$A6&amp;"|A|"&amp;$W6&amp;"|lw")+COUNTIFS(HLTV_Long!$A$2:$A$105,$A6&amp;"|B|"&amp;$W6&amp;"|wl")+COUNTIFS(HLTV_Long!$A$2:$A$105,$A6&amp;"|B|"&amp;$W6&amp;"|lw")+COUNTIFS(HLTV_Long!$A$2:$A$105,$A6&amp;"|A|"&amp;$W6&amp;"|wl"))</f>
        <v>3</v>
      </c>
      <c r="AN6" s="17" t="n">
        <f aca="false">IF(OR($AK6="",$AL6="",$AF6=""),"",13+$AF6*$AK6+(1-$AF6)*$AL6)</f>
        <v>22.612945</v>
      </c>
      <c r="AO6" s="17" t="n">
        <f aca="false">IF($AN6="","",$AF6*(13-$AK6)-(1-$AF6)*(13-$AL6))</f>
        <v>1.783255</v>
      </c>
      <c r="AP6" s="10" t="n">
        <f aca="false">IF($AN6="","",($AF6*13+(1-$AF6)*$AL6)/$AN6)</f>
        <v>0.539429959255639</v>
      </c>
      <c r="AQ6" s="17" t="n">
        <f aca="false">IF($X6="","",IFERROR((SUMIFS(HLTV_Long!$B$2:$B$105,HLTV_Long!$A$2:$A$105,$A6&amp;"|A|"&amp;$X6&amp;"|lw")+SUMIFS(HLTV_Long!$B$2:$B$105,HLTV_Long!$A$2:$A$105,$A6&amp;"|B|"&amp;$X6&amp;"|wl"))/(COUNTIFS(HLTV_Long!$A$2:$A$105,$A6&amp;"|A|"&amp;$X6&amp;"|lw")+COUNTIFS(HLTV_Long!$A$2:$A$105,$A6&amp;"|B|"&amp;$X6&amp;"|wl")),IFERROR((SUMIFS(HLTV_Long!$B$2:$B$105,HLTV_Long!$A$2:$A$105,$A6&amp;"|A|"&amp;"ALL"&amp;"|lw")+SUMIFS(HLTV_Long!$B$2:$B$105,HLTV_Long!$A$2:$A$105,$A6&amp;"|B|"&amp;"ALL"&amp;"|wl"))/(COUNTIFS(HLTV_Long!$A$2:$A$105,$A6&amp;"|A|"&amp;"ALL"&amp;"|lw")+COUNTIFS(HLTV_Long!$A$2:$A$105,$A6&amp;"|B|"&amp;"ALL"&amp;"|wl")),"")))</f>
        <v>7.78</v>
      </c>
      <c r="AR6" s="17" t="n">
        <f aca="false">IF($X6="","",IFERROR((SUMIFS(HLTV_Long!$B$2:$B$105,HLTV_Long!$A$2:$A$105,$A6&amp;"|B|"&amp;$X6&amp;"|lw")+SUMIFS(HLTV_Long!$B$2:$B$105,HLTV_Long!$A$2:$A$105,$A6&amp;"|A|"&amp;$X6&amp;"|wl"))/(COUNTIFS(HLTV_Long!$A$2:$A$105,$A6&amp;"|B|"&amp;$X6&amp;"|lw")+COUNTIFS(HLTV_Long!$A$2:$A$105,$A6&amp;"|A|"&amp;$X6&amp;"|wl")),IFERROR((SUMIFS(HLTV_Long!$B$2:$B$105,HLTV_Long!$A$2:$A$105,$A6&amp;"|B|"&amp;"ALL"&amp;"|lw")+SUMIFS(HLTV_Long!$B$2:$B$105,HLTV_Long!$A$2:$A$105,$A6&amp;"|A|"&amp;"ALL"&amp;"|wl"))/(COUNTIFS(HLTV_Long!$A$2:$A$105,$A6&amp;"|B|"&amp;"ALL"&amp;"|lw")+COUNTIFS(HLTV_Long!$A$2:$A$105,$A6&amp;"|A|"&amp;"ALL"&amp;"|wl")),"")))</f>
        <v>7.6</v>
      </c>
      <c r="AS6" s="9" t="n">
        <f aca="false">IF($X6="","",COUNTIFS(HLTV_Long!$A$2:$A$105,$A6&amp;"|A|"&amp;$X6&amp;"|lw")+COUNTIFS(HLTV_Long!$A$2:$A$105,$A6&amp;"|B|"&amp;$X6&amp;"|wl")+COUNTIFS(HLTV_Long!$A$2:$A$105,$A6&amp;"|B|"&amp;$X6&amp;"|lw")+COUNTIFS(HLTV_Long!$A$2:$A$105,$A6&amp;"|A|"&amp;$X6&amp;"|wl"))</f>
        <v>4</v>
      </c>
      <c r="AT6" s="17" t="n">
        <f aca="false">IF(OR($AQ6="",$AR6="",$AG6=""),"",13+$AG6*$AQ6+(1-$AG6)*$AR6)</f>
        <v>20.73626</v>
      </c>
      <c r="AU6" s="17" t="n">
        <f aca="false">IF($AT6="","",$AG6*(13-$AQ6)-(1-$AG6)*(13-$AR6))</f>
        <v>2.63934</v>
      </c>
      <c r="AV6" s="10" t="n">
        <f aca="false">IF($AT6="","",($AG6*13+(1-$AG6)*$AR6)/$AT6)</f>
        <v>0.563640695091593</v>
      </c>
      <c r="AW6" s="17" t="n">
        <f aca="false">IF($Y6="","",IFERROR((SUMIFS(HLTV_Long!$B$2:$B$105,HLTV_Long!$A$2:$A$105,$A6&amp;"|A|"&amp;$Y6&amp;"|lw")+SUMIFS(HLTV_Long!$B$2:$B$105,HLTV_Long!$A$2:$A$105,$A6&amp;"|B|"&amp;$Y6&amp;"|wl"))/(COUNTIFS(HLTV_Long!$A$2:$A$105,$A6&amp;"|A|"&amp;$Y6&amp;"|lw")+COUNTIFS(HLTV_Long!$A$2:$A$105,$A6&amp;"|B|"&amp;$Y6&amp;"|wl")),IFERROR((SUMIFS(HLTV_Long!$B$2:$B$105,HLTV_Long!$A$2:$A$105,$A6&amp;"|A|"&amp;"ALL"&amp;"|lw")+SUMIFS(HLTV_Long!$B$2:$B$105,HLTV_Long!$A$2:$A$105,$A6&amp;"|B|"&amp;"ALL"&amp;"|wl"))/(COUNTIFS(HLTV_Long!$A$2:$A$105,$A6&amp;"|A|"&amp;"ALL"&amp;"|lw")+COUNTIFS(HLTV_Long!$A$2:$A$105,$A6&amp;"|B|"&amp;"ALL"&amp;"|wl")),"")))</f>
        <v>5.5</v>
      </c>
      <c r="AX6" s="17" t="n">
        <f aca="false">IF($Y6="","",IFERROR((SUMIFS(HLTV_Long!$B$2:$B$105,HLTV_Long!$A$2:$A$105,$A6&amp;"|B|"&amp;$Y6&amp;"|lw")+SUMIFS(HLTV_Long!$B$2:$B$105,HLTV_Long!$A$2:$A$105,$A6&amp;"|A|"&amp;$Y6&amp;"|wl"))/(COUNTIFS(HLTV_Long!$A$2:$A$105,$A6&amp;"|B|"&amp;$Y6&amp;"|lw")+COUNTIFS(HLTV_Long!$A$2:$A$105,$A6&amp;"|A|"&amp;$Y6&amp;"|wl")),IFERROR((SUMIFS(HLTV_Long!$B$2:$B$105,HLTV_Long!$A$2:$A$105,$A6&amp;"|B|"&amp;"ALL"&amp;"|lw")+SUMIFS(HLTV_Long!$B$2:$B$105,HLTV_Long!$A$2:$A$105,$A6&amp;"|A|"&amp;"ALL"&amp;"|wl"))/(COUNTIFS(HLTV_Long!$A$2:$A$105,$A6&amp;"|B|"&amp;"ALL"&amp;"|lw")+COUNTIFS(HLTV_Long!$A$2:$A$105,$A6&amp;"|A|"&amp;"ALL"&amp;"|wl")),"")))</f>
        <v>7.125</v>
      </c>
      <c r="AY6" s="9" t="n">
        <f aca="false">IF($Y6="","",COUNTIFS(HLTV_Long!$A$2:$A$105,$A6&amp;"|A|"&amp;$Y6&amp;"|lw")+COUNTIFS(HLTV_Long!$A$2:$A$105,$A6&amp;"|B|"&amp;$Y6&amp;"|wl")+COUNTIFS(HLTV_Long!$A$2:$A$105,$A6&amp;"|B|"&amp;$Y6&amp;"|lw")+COUNTIFS(HLTV_Long!$A$2:$A$105,$A6&amp;"|A|"&amp;$Y6&amp;"|wl"))</f>
        <v>4</v>
      </c>
      <c r="AZ6" s="17" t="n">
        <f aca="false">IF(OR($AW6="",$AX6="",$AH6=""),"",13+$AH6*$AW6+(1-$AH6)*$AX6)</f>
        <v>18.9277</v>
      </c>
      <c r="BA6" s="17" t="n">
        <f aca="false">IF($AZ6="","",$AH6*(13-$AW6)-(1-$AH6)*(13-$AX6))</f>
        <v>3.9797</v>
      </c>
      <c r="BB6" s="10" t="n">
        <f aca="false">IF($AZ6="","",($AH6*13+(1-$AH6)*$AX6)/$AZ6)</f>
        <v>0.605128990844107</v>
      </c>
    </row>
    <row r="7" customFormat="false" ht="15" hidden="false" customHeight="false" outlineLevel="0" collapsed="false">
      <c r="A7" s="0" t="s">
        <v>622</v>
      </c>
      <c r="B7" s="0" t="s">
        <v>608</v>
      </c>
      <c r="C7" s="0" t="s">
        <v>623</v>
      </c>
      <c r="D7" s="0" t="n">
        <v>3</v>
      </c>
      <c r="E7" s="0" t="s">
        <v>341</v>
      </c>
      <c r="F7" s="0" t="s">
        <v>342</v>
      </c>
      <c r="G7" s="10" t="n">
        <v>0.607235142118863</v>
      </c>
      <c r="H7" s="10"/>
      <c r="I7" s="10"/>
      <c r="J7" s="10"/>
      <c r="K7" s="9" t="s">
        <v>624</v>
      </c>
      <c r="L7" s="9" t="s">
        <v>625</v>
      </c>
      <c r="M7" s="9" t="s">
        <v>626</v>
      </c>
      <c r="N7" s="9" t="s">
        <v>613</v>
      </c>
      <c r="O7" s="11"/>
      <c r="P7" s="11"/>
      <c r="Q7" s="11"/>
      <c r="R7" s="10"/>
      <c r="S7" s="11"/>
      <c r="T7" s="11"/>
      <c r="U7" s="11"/>
      <c r="V7" s="0" t="n">
        <v>7</v>
      </c>
      <c r="W7" s="14" t="s">
        <v>208</v>
      </c>
      <c r="X7" s="14" t="s">
        <v>234</v>
      </c>
      <c r="Y7" s="14" t="s">
        <v>197</v>
      </c>
      <c r="Z7" s="15" t="n">
        <f aca="false">Config!$B$7</f>
        <v>21.5</v>
      </c>
      <c r="AA7" s="15" t="n">
        <f aca="false">Config!$B$7</f>
        <v>21.5</v>
      </c>
      <c r="AB7" s="15" t="n">
        <f aca="false">Config!$B$7</f>
        <v>21.5</v>
      </c>
      <c r="AC7" s="16" t="n">
        <v>0</v>
      </c>
      <c r="AD7" s="9" t="s">
        <v>627</v>
      </c>
      <c r="AE7" s="9" t="s">
        <v>628</v>
      </c>
      <c r="AF7" s="10" t="n">
        <v>0.582</v>
      </c>
      <c r="AG7" s="10" t="n">
        <v>0.582</v>
      </c>
      <c r="AH7" s="10" t="n">
        <v>0.56</v>
      </c>
      <c r="AI7" s="10" t="n">
        <f aca="false">IFERROR(INDEX(HLTV_Teams!$N$2:$N$9,MATCH($A7&amp;"|A",HLTV_Teams!$A$2:$A$9,0)),"")</f>
        <v>0.480988262300867</v>
      </c>
      <c r="AJ7" s="10" t="n">
        <f aca="false">IFERROR(INDEX(HLTV_Teams!$N$2:$N$9,MATCH($A7&amp;"|B",HLTV_Teams!$A$2:$A$9,0)),"")</f>
        <v>0.516051199094405</v>
      </c>
      <c r="AK7" s="17" t="n">
        <f aca="false">IF($W7="","",IFERROR((SUMIFS(HLTV_Long!$B$2:$B$105,HLTV_Long!$A$2:$A$105,$A7&amp;"|A|"&amp;$W7&amp;"|lw")+SUMIFS(HLTV_Long!$B$2:$B$105,HLTV_Long!$A$2:$A$105,$A7&amp;"|B|"&amp;$W7&amp;"|wl"))/(COUNTIFS(HLTV_Long!$A$2:$A$105,$A7&amp;"|A|"&amp;$W7&amp;"|lw")+COUNTIFS(HLTV_Long!$A$2:$A$105,$A7&amp;"|B|"&amp;$W7&amp;"|wl")),IFERROR((SUMIFS(HLTV_Long!$B$2:$B$105,HLTV_Long!$A$2:$A$105,$A7&amp;"|A|"&amp;"ALL"&amp;"|lw")+SUMIFS(HLTV_Long!$B$2:$B$105,HLTV_Long!$A$2:$A$105,$A7&amp;"|B|"&amp;"ALL"&amp;"|wl"))/(COUNTIFS(HLTV_Long!$A$2:$A$105,$A7&amp;"|A|"&amp;"ALL"&amp;"|lw")+COUNTIFS(HLTV_Long!$A$2:$A$105,$A7&amp;"|B|"&amp;"ALL"&amp;"|wl")),"")))</f>
        <v>9.06</v>
      </c>
      <c r="AL7" s="17" t="n">
        <f aca="false">IF($W7="","",IFERROR((SUMIFS(HLTV_Long!$B$2:$B$105,HLTV_Long!$A$2:$A$105,$A7&amp;"|B|"&amp;$W7&amp;"|lw")+SUMIFS(HLTV_Long!$B$2:$B$105,HLTV_Long!$A$2:$A$105,$A7&amp;"|A|"&amp;$W7&amp;"|wl"))/(COUNTIFS(HLTV_Long!$A$2:$A$105,$A7&amp;"|B|"&amp;$W7&amp;"|lw")+COUNTIFS(HLTV_Long!$A$2:$A$105,$A7&amp;"|A|"&amp;$W7&amp;"|wl")),IFERROR((SUMIFS(HLTV_Long!$B$2:$B$105,HLTV_Long!$A$2:$A$105,$A7&amp;"|B|"&amp;"ALL"&amp;"|lw")+SUMIFS(HLTV_Long!$B$2:$B$105,HLTV_Long!$A$2:$A$105,$A7&amp;"|A|"&amp;"ALL"&amp;"|wl"))/(COUNTIFS(HLTV_Long!$A$2:$A$105,$A7&amp;"|B|"&amp;"ALL"&amp;"|lw")+COUNTIFS(HLTV_Long!$A$2:$A$105,$A7&amp;"|A|"&amp;"ALL"&amp;"|wl")),"")))</f>
        <v>7.05</v>
      </c>
      <c r="AM7" s="9" t="n">
        <f aca="false">IF($W7="","",COUNTIFS(HLTV_Long!$A$2:$A$105,$A7&amp;"|A|"&amp;$W7&amp;"|lw")+COUNTIFS(HLTV_Long!$A$2:$A$105,$A7&amp;"|B|"&amp;$W7&amp;"|wl")+COUNTIFS(HLTV_Long!$A$2:$A$105,$A7&amp;"|B|"&amp;$W7&amp;"|lw")+COUNTIFS(HLTV_Long!$A$2:$A$105,$A7&amp;"|A|"&amp;$W7&amp;"|wl"))</f>
        <v>4</v>
      </c>
      <c r="AN7" s="17" t="n">
        <f aca="false">IF(OR($AK7="",$AL7="",$AF7=""),"",13+$AF7*$AK7+(1-$AF7)*$AL7)</f>
        <v>21.21982</v>
      </c>
      <c r="AO7" s="17" t="n">
        <f aca="false">IF($AN7="","",$AF7*(13-$AK7)-(1-$AF7)*(13-$AL7))</f>
        <v>-0.194020000000001</v>
      </c>
      <c r="AP7" s="10" t="n">
        <f aca="false">IF($AN7="","",($AF7*13+(1-$AF7)*$AL7)/$AN7)</f>
        <v>0.495428330683295</v>
      </c>
      <c r="AQ7" s="17" t="n">
        <f aca="false">IF($X7="","",IFERROR((SUMIFS(HLTV_Long!$B$2:$B$105,HLTV_Long!$A$2:$A$105,$A7&amp;"|A|"&amp;$X7&amp;"|lw")+SUMIFS(HLTV_Long!$B$2:$B$105,HLTV_Long!$A$2:$A$105,$A7&amp;"|B|"&amp;$X7&amp;"|wl"))/(COUNTIFS(HLTV_Long!$A$2:$A$105,$A7&amp;"|A|"&amp;$X7&amp;"|lw")+COUNTIFS(HLTV_Long!$A$2:$A$105,$A7&amp;"|B|"&amp;$X7&amp;"|wl")),IFERROR((SUMIFS(HLTV_Long!$B$2:$B$105,HLTV_Long!$A$2:$A$105,$A7&amp;"|A|"&amp;"ALL"&amp;"|lw")+SUMIFS(HLTV_Long!$B$2:$B$105,HLTV_Long!$A$2:$A$105,$A7&amp;"|B|"&amp;"ALL"&amp;"|wl"))/(COUNTIFS(HLTV_Long!$A$2:$A$105,$A7&amp;"|A|"&amp;"ALL"&amp;"|lw")+COUNTIFS(HLTV_Long!$A$2:$A$105,$A7&amp;"|B|"&amp;"ALL"&amp;"|wl")),"")))</f>
        <v>6.415</v>
      </c>
      <c r="AR7" s="17" t="n">
        <f aca="false">IF($X7="","",IFERROR((SUMIFS(HLTV_Long!$B$2:$B$105,HLTV_Long!$A$2:$A$105,$A7&amp;"|B|"&amp;$X7&amp;"|lw")+SUMIFS(HLTV_Long!$B$2:$B$105,HLTV_Long!$A$2:$A$105,$A7&amp;"|A|"&amp;$X7&amp;"|wl"))/(COUNTIFS(HLTV_Long!$A$2:$A$105,$A7&amp;"|B|"&amp;$X7&amp;"|lw")+COUNTIFS(HLTV_Long!$A$2:$A$105,$A7&amp;"|A|"&amp;$X7&amp;"|wl")),IFERROR((SUMIFS(HLTV_Long!$B$2:$B$105,HLTV_Long!$A$2:$A$105,$A7&amp;"|B|"&amp;"ALL"&amp;"|lw")+SUMIFS(HLTV_Long!$B$2:$B$105,HLTV_Long!$A$2:$A$105,$A7&amp;"|A|"&amp;"ALL"&amp;"|wl"))/(COUNTIFS(HLTV_Long!$A$2:$A$105,$A7&amp;"|B|"&amp;"ALL"&amp;"|lw")+COUNTIFS(HLTV_Long!$A$2:$A$105,$A7&amp;"|A|"&amp;"ALL"&amp;"|wl")),"")))</f>
        <v>7.085</v>
      </c>
      <c r="AS7" s="9" t="n">
        <f aca="false">IF($X7="","",COUNTIFS(HLTV_Long!$A$2:$A$105,$A7&amp;"|A|"&amp;$X7&amp;"|lw")+COUNTIFS(HLTV_Long!$A$2:$A$105,$A7&amp;"|B|"&amp;$X7&amp;"|wl")+COUNTIFS(HLTV_Long!$A$2:$A$105,$A7&amp;"|B|"&amp;$X7&amp;"|lw")+COUNTIFS(HLTV_Long!$A$2:$A$105,$A7&amp;"|A|"&amp;$X7&amp;"|wl"))</f>
        <v>4</v>
      </c>
      <c r="AT7" s="17" t="n">
        <f aca="false">IF(OR($AQ7="",$AR7="",$AG7=""),"",13+$AG7*$AQ7+(1-$AG7)*$AR7)</f>
        <v>19.69506</v>
      </c>
      <c r="AU7" s="17" t="n">
        <f aca="false">IF($AT7="","",$AG7*(13-$AQ7)-(1-$AG7)*(13-$AR7))</f>
        <v>1.36</v>
      </c>
      <c r="AV7" s="10" t="n">
        <f aca="false">IF($AT7="","",($AG7*13+(1-$AG7)*$AR7)/$AT7)</f>
        <v>0.534526424392716</v>
      </c>
      <c r="AW7" s="17" t="n">
        <f aca="false">IF($Y7="","",IFERROR((SUMIFS(HLTV_Long!$B$2:$B$105,HLTV_Long!$A$2:$A$105,$A7&amp;"|A|"&amp;$Y7&amp;"|lw")+SUMIFS(HLTV_Long!$B$2:$B$105,HLTV_Long!$A$2:$A$105,$A7&amp;"|B|"&amp;$Y7&amp;"|wl"))/(COUNTIFS(HLTV_Long!$A$2:$A$105,$A7&amp;"|A|"&amp;$Y7&amp;"|lw")+COUNTIFS(HLTV_Long!$A$2:$A$105,$A7&amp;"|B|"&amp;$Y7&amp;"|wl")),IFERROR((SUMIFS(HLTV_Long!$B$2:$B$105,HLTV_Long!$A$2:$A$105,$A7&amp;"|A|"&amp;"ALL"&amp;"|lw")+SUMIFS(HLTV_Long!$B$2:$B$105,HLTV_Long!$A$2:$A$105,$A7&amp;"|B|"&amp;"ALL"&amp;"|wl"))/(COUNTIFS(HLTV_Long!$A$2:$A$105,$A7&amp;"|A|"&amp;"ALL"&amp;"|lw")+COUNTIFS(HLTV_Long!$A$2:$A$105,$A7&amp;"|B|"&amp;"ALL"&amp;"|wl")),"")))</f>
        <v>8.375</v>
      </c>
      <c r="AX7" s="17" t="n">
        <f aca="false">IF($Y7="","",IFERROR((SUMIFS(HLTV_Long!$B$2:$B$105,HLTV_Long!$A$2:$A$105,$A7&amp;"|B|"&amp;$Y7&amp;"|lw")+SUMIFS(HLTV_Long!$B$2:$B$105,HLTV_Long!$A$2:$A$105,$A7&amp;"|A|"&amp;$Y7&amp;"|wl"))/(COUNTIFS(HLTV_Long!$A$2:$A$105,$A7&amp;"|B|"&amp;$Y7&amp;"|lw")+COUNTIFS(HLTV_Long!$A$2:$A$105,$A7&amp;"|A|"&amp;$Y7&amp;"|wl")),IFERROR((SUMIFS(HLTV_Long!$B$2:$B$105,HLTV_Long!$A$2:$A$105,$A7&amp;"|B|"&amp;"ALL"&amp;"|lw")+SUMIFS(HLTV_Long!$B$2:$B$105,HLTV_Long!$A$2:$A$105,$A7&amp;"|A|"&amp;"ALL"&amp;"|wl"))/(COUNTIFS(HLTV_Long!$A$2:$A$105,$A7&amp;"|B|"&amp;"ALL"&amp;"|lw")+COUNTIFS(HLTV_Long!$A$2:$A$105,$A7&amp;"|A|"&amp;"ALL"&amp;"|wl")),"")))</f>
        <v>6.3</v>
      </c>
      <c r="AY7" s="9" t="n">
        <f aca="false">IF($Y7="","",COUNTIFS(HLTV_Long!$A$2:$A$105,$A7&amp;"|A|"&amp;$Y7&amp;"|lw")+COUNTIFS(HLTV_Long!$A$2:$A$105,$A7&amp;"|B|"&amp;$Y7&amp;"|wl")+COUNTIFS(HLTV_Long!$A$2:$A$105,$A7&amp;"|B|"&amp;$Y7&amp;"|lw")+COUNTIFS(HLTV_Long!$A$2:$A$105,$A7&amp;"|A|"&amp;$Y7&amp;"|wl"))</f>
        <v>4</v>
      </c>
      <c r="AZ7" s="17" t="n">
        <f aca="false">IF(OR($AW7="",$AX7="",$AH7=""),"",13+$AH7*$AW7+(1-$AH7)*$AX7)</f>
        <v>20.462</v>
      </c>
      <c r="BA7" s="17" t="n">
        <f aca="false">IF($AZ7="","",$AH7*(13-$AW7)-(1-$AH7)*(13-$AX7))</f>
        <v>-0.357999999999999</v>
      </c>
      <c r="BB7" s="10" t="n">
        <f aca="false">IF($AZ7="","",($AH7*13+(1-$AH7)*$AX7)/$AZ7)</f>
        <v>0.491252077020819</v>
      </c>
    </row>
    <row r="8" customFormat="false" ht="15" hidden="false" customHeight="false" outlineLevel="0" collapsed="false">
      <c r="A8" s="0" t="s">
        <v>629</v>
      </c>
      <c r="B8" s="0" t="s">
        <v>608</v>
      </c>
      <c r="C8" s="0" t="s">
        <v>630</v>
      </c>
      <c r="D8" s="0" t="n">
        <v>3</v>
      </c>
      <c r="E8" s="0" t="s">
        <v>466</v>
      </c>
      <c r="F8" s="0" t="s">
        <v>467</v>
      </c>
      <c r="G8" s="10" t="n">
        <v>0.711111111111111</v>
      </c>
      <c r="H8" s="10"/>
      <c r="I8" s="10"/>
      <c r="J8" s="10"/>
      <c r="K8" s="9" t="s">
        <v>631</v>
      </c>
      <c r="L8" s="9" t="s">
        <v>632</v>
      </c>
      <c r="M8" s="9" t="s">
        <v>633</v>
      </c>
      <c r="N8" s="9" t="s">
        <v>613</v>
      </c>
      <c r="O8" s="11"/>
      <c r="P8" s="11"/>
      <c r="Q8" s="11"/>
      <c r="R8" s="10"/>
      <c r="S8" s="11"/>
      <c r="T8" s="11"/>
      <c r="U8" s="11"/>
      <c r="V8" s="0" t="n">
        <v>7</v>
      </c>
      <c r="W8" s="14" t="s">
        <v>197</v>
      </c>
      <c r="X8" s="14" t="s">
        <v>208</v>
      </c>
      <c r="Y8" s="14" t="s">
        <v>234</v>
      </c>
      <c r="Z8" s="15" t="n">
        <f aca="false">Config!$B$7</f>
        <v>21.5</v>
      </c>
      <c r="AA8" s="15" t="n">
        <f aca="false">Config!$B$7</f>
        <v>21.5</v>
      </c>
      <c r="AB8" s="15" t="n">
        <f aca="false">Config!$B$7</f>
        <v>21.5</v>
      </c>
      <c r="AC8" s="16" t="n">
        <v>0</v>
      </c>
      <c r="AD8" s="9" t="s">
        <v>634</v>
      </c>
      <c r="AE8" s="9" t="s">
        <v>635</v>
      </c>
      <c r="AF8" s="10" t="n">
        <v>0.6553</v>
      </c>
      <c r="AG8" s="10" t="n">
        <v>0.6553</v>
      </c>
      <c r="AH8" s="10" t="n">
        <v>0.6553</v>
      </c>
      <c r="AI8" s="10" t="n">
        <f aca="false">IFERROR(INDEX(HLTV_Teams!$N$2:$N$9,MATCH($A8&amp;"|A",HLTV_Teams!$A$2:$A$9,0)),"")</f>
        <v>0.492537775928135</v>
      </c>
      <c r="AJ8" s="10" t="n">
        <f aca="false">IFERROR(INDEX(HLTV_Teams!$N$2:$N$9,MATCH($A8&amp;"|B",HLTV_Teams!$A$2:$A$9,0)),"")</f>
        <v>0.464244263905008</v>
      </c>
      <c r="AK8" s="17" t="n">
        <f aca="false">IF($W8="","",IFERROR((SUMIFS(HLTV_Long!$B$2:$B$105,HLTV_Long!$A$2:$A$105,$A8&amp;"|A|"&amp;$W8&amp;"|lw")+SUMIFS(HLTV_Long!$B$2:$B$105,HLTV_Long!$A$2:$A$105,$A8&amp;"|B|"&amp;$W8&amp;"|wl"))/(COUNTIFS(HLTV_Long!$A$2:$A$105,$A8&amp;"|A|"&amp;$W8&amp;"|lw")+COUNTIFS(HLTV_Long!$A$2:$A$105,$A8&amp;"|B|"&amp;$W8&amp;"|wl")),IFERROR((SUMIFS(HLTV_Long!$B$2:$B$105,HLTV_Long!$A$2:$A$105,$A8&amp;"|A|"&amp;"ALL"&amp;"|lw")+SUMIFS(HLTV_Long!$B$2:$B$105,HLTV_Long!$A$2:$A$105,$A8&amp;"|B|"&amp;"ALL"&amp;"|wl"))/(COUNTIFS(HLTV_Long!$A$2:$A$105,$A8&amp;"|A|"&amp;"ALL"&amp;"|lw")+COUNTIFS(HLTV_Long!$A$2:$A$105,$A8&amp;"|B|"&amp;"ALL"&amp;"|wl")),"")))</f>
        <v>7.44</v>
      </c>
      <c r="AL8" s="17" t="n">
        <f aca="false">IF($W8="","",IFERROR((SUMIFS(HLTV_Long!$B$2:$B$105,HLTV_Long!$A$2:$A$105,$A8&amp;"|B|"&amp;$W8&amp;"|lw")+SUMIFS(HLTV_Long!$B$2:$B$105,HLTV_Long!$A$2:$A$105,$A8&amp;"|A|"&amp;$W8&amp;"|wl"))/(COUNTIFS(HLTV_Long!$A$2:$A$105,$A8&amp;"|B|"&amp;$W8&amp;"|lw")+COUNTIFS(HLTV_Long!$A$2:$A$105,$A8&amp;"|A|"&amp;$W8&amp;"|wl")),IFERROR((SUMIFS(HLTV_Long!$B$2:$B$105,HLTV_Long!$A$2:$A$105,$A8&amp;"|B|"&amp;"ALL"&amp;"|lw")+SUMIFS(HLTV_Long!$B$2:$B$105,HLTV_Long!$A$2:$A$105,$A8&amp;"|A|"&amp;"ALL"&amp;"|wl"))/(COUNTIFS(HLTV_Long!$A$2:$A$105,$A8&amp;"|B|"&amp;"ALL"&amp;"|lw")+COUNTIFS(HLTV_Long!$A$2:$A$105,$A8&amp;"|A|"&amp;"ALL"&amp;"|wl")),"")))</f>
        <v>6.56</v>
      </c>
      <c r="AM8" s="9" t="n">
        <f aca="false">IF($W8="","",COUNTIFS(HLTV_Long!$A$2:$A$105,$A8&amp;"|A|"&amp;$W8&amp;"|lw")+COUNTIFS(HLTV_Long!$A$2:$A$105,$A8&amp;"|B|"&amp;$W8&amp;"|wl")+COUNTIFS(HLTV_Long!$A$2:$A$105,$A8&amp;"|B|"&amp;$W8&amp;"|lw")+COUNTIFS(HLTV_Long!$A$2:$A$105,$A8&amp;"|A|"&amp;$W8&amp;"|wl"))</f>
        <v>3</v>
      </c>
      <c r="AN8" s="17" t="n">
        <f aca="false">IF(OR($AK8="",$AL8="",$AF8=""),"",13+$AF8*$AK8+(1-$AF8)*$AL8)</f>
        <v>20.136664</v>
      </c>
      <c r="AO8" s="17" t="n">
        <f aca="false">IF($AN8="","",$AF8*(13-$AK8)-(1-$AF8)*(13-$AL8))</f>
        <v>1.4236</v>
      </c>
      <c r="AP8" s="10" t="n">
        <f aca="false">IF($AN8="","",($AF8*13+(1-$AF8)*$AL8)/$AN8)</f>
        <v>0.535348456924146</v>
      </c>
      <c r="AQ8" s="17" t="n">
        <f aca="false">IF($X8="","",IFERROR((SUMIFS(HLTV_Long!$B$2:$B$105,HLTV_Long!$A$2:$A$105,$A8&amp;"|A|"&amp;$X8&amp;"|lw")+SUMIFS(HLTV_Long!$B$2:$B$105,HLTV_Long!$A$2:$A$105,$A8&amp;"|B|"&amp;$X8&amp;"|wl"))/(COUNTIFS(HLTV_Long!$A$2:$A$105,$A8&amp;"|A|"&amp;$X8&amp;"|lw")+COUNTIFS(HLTV_Long!$A$2:$A$105,$A8&amp;"|B|"&amp;$X8&amp;"|wl")),IFERROR((SUMIFS(HLTV_Long!$B$2:$B$105,HLTV_Long!$A$2:$A$105,$A8&amp;"|A|"&amp;"ALL"&amp;"|lw")+SUMIFS(HLTV_Long!$B$2:$B$105,HLTV_Long!$A$2:$A$105,$A8&amp;"|B|"&amp;"ALL"&amp;"|wl"))/(COUNTIFS(HLTV_Long!$A$2:$A$105,$A8&amp;"|A|"&amp;"ALL"&amp;"|lw")+COUNTIFS(HLTV_Long!$A$2:$A$105,$A8&amp;"|B|"&amp;"ALL"&amp;"|wl")),"")))</f>
        <v>9.43</v>
      </c>
      <c r="AR8" s="17" t="n">
        <f aca="false">IF($X8="","",IFERROR((SUMIFS(HLTV_Long!$B$2:$B$105,HLTV_Long!$A$2:$A$105,$A8&amp;"|B|"&amp;$X8&amp;"|lw")+SUMIFS(HLTV_Long!$B$2:$B$105,HLTV_Long!$A$2:$A$105,$A8&amp;"|A|"&amp;$X8&amp;"|wl"))/(COUNTIFS(HLTV_Long!$A$2:$A$105,$A8&amp;"|B|"&amp;$X8&amp;"|lw")+COUNTIFS(HLTV_Long!$A$2:$A$105,$A8&amp;"|A|"&amp;$X8&amp;"|wl")),IFERROR((SUMIFS(HLTV_Long!$B$2:$B$105,HLTV_Long!$A$2:$A$105,$A8&amp;"|B|"&amp;"ALL"&amp;"|lw")+SUMIFS(HLTV_Long!$B$2:$B$105,HLTV_Long!$A$2:$A$105,$A8&amp;"|A|"&amp;"ALL"&amp;"|wl"))/(COUNTIFS(HLTV_Long!$A$2:$A$105,$A8&amp;"|B|"&amp;"ALL"&amp;"|lw")+COUNTIFS(HLTV_Long!$A$2:$A$105,$A8&amp;"|A|"&amp;"ALL"&amp;"|wl")),"")))</f>
        <v>9.22</v>
      </c>
      <c r="AS8" s="9" t="n">
        <f aca="false">IF($X8="","",COUNTIFS(HLTV_Long!$A$2:$A$105,$A8&amp;"|A|"&amp;$X8&amp;"|lw")+COUNTIFS(HLTV_Long!$A$2:$A$105,$A8&amp;"|B|"&amp;$X8&amp;"|wl")+COUNTIFS(HLTV_Long!$A$2:$A$105,$A8&amp;"|B|"&amp;$X8&amp;"|lw")+COUNTIFS(HLTV_Long!$A$2:$A$105,$A8&amp;"|A|"&amp;$X8&amp;"|wl"))</f>
        <v>3</v>
      </c>
      <c r="AT8" s="17" t="n">
        <f aca="false">IF(OR($AQ8="",$AR8="",$AG8=""),"",13+$AG8*$AQ8+(1-$AG8)*$AR8)</f>
        <v>22.357613</v>
      </c>
      <c r="AU8" s="17" t="n">
        <f aca="false">IF($AT8="","",$AG8*(13-$AQ8)-(1-$AG8)*(13-$AR8))</f>
        <v>1.036455</v>
      </c>
      <c r="AV8" s="10" t="n">
        <f aca="false">IF($AT8="","",($AG8*13+(1-$AG8)*$AR8)/$AT8)</f>
        <v>0.523179017366478</v>
      </c>
      <c r="AW8" s="17" t="n">
        <f aca="false">IF($Y8="","",IFERROR((SUMIFS(HLTV_Long!$B$2:$B$105,HLTV_Long!$A$2:$A$105,$A8&amp;"|A|"&amp;$Y8&amp;"|lw")+SUMIFS(HLTV_Long!$B$2:$B$105,HLTV_Long!$A$2:$A$105,$A8&amp;"|B|"&amp;$Y8&amp;"|wl"))/(COUNTIFS(HLTV_Long!$A$2:$A$105,$A8&amp;"|A|"&amp;$Y8&amp;"|lw")+COUNTIFS(HLTV_Long!$A$2:$A$105,$A8&amp;"|B|"&amp;$Y8&amp;"|wl")),IFERROR((SUMIFS(HLTV_Long!$B$2:$B$105,HLTV_Long!$A$2:$A$105,$A8&amp;"|A|"&amp;"ALL"&amp;"|lw")+SUMIFS(HLTV_Long!$B$2:$B$105,HLTV_Long!$A$2:$A$105,$A8&amp;"|B|"&amp;"ALL"&amp;"|wl"))/(COUNTIFS(HLTV_Long!$A$2:$A$105,$A8&amp;"|A|"&amp;"ALL"&amp;"|lw")+COUNTIFS(HLTV_Long!$A$2:$A$105,$A8&amp;"|B|"&amp;"ALL"&amp;"|wl")),"")))</f>
        <v>5.835</v>
      </c>
      <c r="AX8" s="17" t="n">
        <f aca="false">IF($Y8="","",IFERROR((SUMIFS(HLTV_Long!$B$2:$B$105,HLTV_Long!$A$2:$A$105,$A8&amp;"|B|"&amp;$Y8&amp;"|lw")+SUMIFS(HLTV_Long!$B$2:$B$105,HLTV_Long!$A$2:$A$105,$A8&amp;"|A|"&amp;$Y8&amp;"|wl"))/(COUNTIFS(HLTV_Long!$A$2:$A$105,$A8&amp;"|B|"&amp;$Y8&amp;"|lw")+COUNTIFS(HLTV_Long!$A$2:$A$105,$A8&amp;"|A|"&amp;$Y8&amp;"|wl")),IFERROR((SUMIFS(HLTV_Long!$B$2:$B$105,HLTV_Long!$A$2:$A$105,$A8&amp;"|B|"&amp;"ALL"&amp;"|lw")+SUMIFS(HLTV_Long!$B$2:$B$105,HLTV_Long!$A$2:$A$105,$A8&amp;"|A|"&amp;"ALL"&amp;"|wl"))/(COUNTIFS(HLTV_Long!$A$2:$A$105,$A8&amp;"|B|"&amp;"ALL"&amp;"|lw")+COUNTIFS(HLTV_Long!$A$2:$A$105,$A8&amp;"|A|"&amp;"ALL"&amp;"|wl")),"")))</f>
        <v>7</v>
      </c>
      <c r="AY8" s="9" t="n">
        <f aca="false">IF($Y8="","",COUNTIFS(HLTV_Long!$A$2:$A$105,$A8&amp;"|A|"&amp;$Y8&amp;"|lw")+COUNTIFS(HLTV_Long!$A$2:$A$105,$A8&amp;"|B|"&amp;$Y8&amp;"|wl")+COUNTIFS(HLTV_Long!$A$2:$A$105,$A8&amp;"|B|"&amp;$Y8&amp;"|lw")+COUNTIFS(HLTV_Long!$A$2:$A$105,$A8&amp;"|A|"&amp;$Y8&amp;"|wl"))</f>
        <v>4</v>
      </c>
      <c r="AZ8" s="17" t="n">
        <f aca="false">IF(OR($AW8="",$AX8="",$AH8=""),"",13+$AH8*$AW8+(1-$AH8)*$AX8)</f>
        <v>19.2365755</v>
      </c>
      <c r="BA8" s="17" t="n">
        <f aca="false">IF($AZ8="","",$AH8*(13-$AW8)-(1-$AH8)*(13-$AX8))</f>
        <v>2.6270245</v>
      </c>
      <c r="BB8" s="10" t="n">
        <f aca="false">IF($AZ8="","",($AH8*13+(1-$AH8)*$AX8)/$AZ8)</f>
        <v>0.568282020882563</v>
      </c>
    </row>
    <row r="9" customFormat="false" ht="15" hidden="false" customHeight="false" outlineLevel="0" collapsed="false">
      <c r="A9" s="0" t="s">
        <v>636</v>
      </c>
      <c r="B9" s="0" t="s">
        <v>637</v>
      </c>
      <c r="C9" s="0" t="s">
        <v>638</v>
      </c>
      <c r="D9" s="0" t="n">
        <v>3</v>
      </c>
      <c r="E9" s="0" t="s">
        <v>33</v>
      </c>
      <c r="F9" s="0" t="s">
        <v>34</v>
      </c>
      <c r="G9" s="10" t="n">
        <v>0.587926509186352</v>
      </c>
      <c r="H9" s="10" t="n">
        <v>0.338039846336198</v>
      </c>
      <c r="I9" s="10" t="n">
        <v>0.224472653866294</v>
      </c>
      <c r="J9" s="10" t="n">
        <v>0.437487499797508</v>
      </c>
      <c r="K9" s="9" t="s">
        <v>639</v>
      </c>
      <c r="L9" s="9" t="s">
        <v>640</v>
      </c>
      <c r="M9" s="9" t="s">
        <v>641</v>
      </c>
      <c r="N9" s="9" t="s">
        <v>642</v>
      </c>
      <c r="O9" s="11" t="n">
        <v>21.3035047698051</v>
      </c>
      <c r="P9" s="11" t="n">
        <v>21.2654116673562</v>
      </c>
      <c r="Q9" s="11"/>
      <c r="R9" s="10" t="n">
        <v>0.151599443671766</v>
      </c>
      <c r="S9" s="11" t="n">
        <v>1.29280437838323</v>
      </c>
      <c r="T9" s="11"/>
      <c r="U9" s="11" t="n">
        <v>11.4058318606413</v>
      </c>
      <c r="V9" s="0" t="n">
        <v>120</v>
      </c>
      <c r="W9" s="14" t="s">
        <v>68</v>
      </c>
      <c r="X9" s="14" t="s">
        <v>74</v>
      </c>
      <c r="Y9" s="14" t="s">
        <v>643</v>
      </c>
      <c r="Z9" s="15" t="n">
        <v>21.3</v>
      </c>
      <c r="AA9" s="15" t="n">
        <v>21.27</v>
      </c>
      <c r="AB9" s="15" t="n">
        <f aca="false">Config!$B$8</f>
        <v>22.5</v>
      </c>
      <c r="AC9" s="16" t="n">
        <v>0.4375</v>
      </c>
      <c r="AD9" s="9" t="s">
        <v>644</v>
      </c>
      <c r="AE9" s="9" t="s">
        <v>645</v>
      </c>
      <c r="AF9" s="10" t="n">
        <v>0.5623</v>
      </c>
      <c r="AG9" s="10" t="n">
        <v>0.5612</v>
      </c>
      <c r="AH9" s="10" t="n">
        <v>0.5879</v>
      </c>
      <c r="AI9" s="10"/>
      <c r="AJ9" s="10"/>
      <c r="AK9" s="17"/>
      <c r="AL9" s="17"/>
      <c r="AN9" s="17"/>
      <c r="AO9" s="17"/>
      <c r="AP9" s="10"/>
      <c r="AQ9" s="17"/>
      <c r="AR9" s="17"/>
      <c r="AT9" s="17"/>
      <c r="AU9" s="17"/>
      <c r="AV9" s="10"/>
      <c r="AW9" s="17"/>
      <c r="AX9" s="17"/>
      <c r="AZ9" s="17"/>
      <c r="BA9" s="17"/>
      <c r="BB9" s="10"/>
    </row>
    <row r="10" customFormat="false" ht="15" hidden="false" customHeight="false" outlineLevel="0" collapsed="false">
      <c r="A10" s="0" t="s">
        <v>646</v>
      </c>
      <c r="B10" s="0" t="s">
        <v>637</v>
      </c>
      <c r="C10" s="0" t="s">
        <v>647</v>
      </c>
      <c r="D10" s="0" t="n">
        <v>3</v>
      </c>
      <c r="E10" s="0" t="s">
        <v>112</v>
      </c>
      <c r="F10" s="0" t="s">
        <v>113</v>
      </c>
      <c r="G10" s="10" t="n">
        <v>0.5</v>
      </c>
      <c r="H10" s="10" t="n">
        <v>0.280655122391348</v>
      </c>
      <c r="I10" s="10" t="n">
        <v>0.275240554113702</v>
      </c>
      <c r="J10" s="10" t="n">
        <v>0.44410432349495</v>
      </c>
      <c r="K10" s="9" t="s">
        <v>648</v>
      </c>
      <c r="L10" s="9" t="s">
        <v>649</v>
      </c>
      <c r="M10" s="9" t="s">
        <v>650</v>
      </c>
      <c r="N10" s="9" t="s">
        <v>642</v>
      </c>
      <c r="O10" s="11" t="n">
        <v>21.3550529155426</v>
      </c>
      <c r="P10" s="11" t="n">
        <v>21.3035047698051</v>
      </c>
      <c r="Q10" s="11"/>
      <c r="R10" s="10" t="n">
        <v>0.153737658674189</v>
      </c>
      <c r="S10" s="11" t="n">
        <v>0.0698762450950805</v>
      </c>
      <c r="T10" s="11"/>
      <c r="U10" s="11"/>
      <c r="V10" s="0" t="n">
        <v>128</v>
      </c>
      <c r="W10" s="14" t="s">
        <v>95</v>
      </c>
      <c r="X10" s="14" t="s">
        <v>74</v>
      </c>
      <c r="Y10" s="14" t="s">
        <v>99</v>
      </c>
      <c r="Z10" s="15" t="n">
        <v>21.36</v>
      </c>
      <c r="AA10" s="15" t="n">
        <v>21.3</v>
      </c>
      <c r="AB10" s="15" t="n">
        <f aca="false">Config!$B$8</f>
        <v>22.5</v>
      </c>
      <c r="AC10" s="16" t="n">
        <v>0.4441</v>
      </c>
      <c r="AD10" s="9" t="s">
        <v>651</v>
      </c>
      <c r="AE10" s="9" t="s">
        <v>652</v>
      </c>
      <c r="AF10" s="10" t="n">
        <v>0.5027</v>
      </c>
      <c r="AG10" s="10" t="n">
        <v>0.5027</v>
      </c>
      <c r="AH10" s="10" t="n">
        <v>0.5</v>
      </c>
      <c r="AI10" s="10"/>
      <c r="AJ10" s="10"/>
      <c r="AK10" s="17"/>
      <c r="AL10" s="17"/>
      <c r="AN10" s="17"/>
      <c r="AO10" s="17"/>
      <c r="AP10" s="10"/>
      <c r="AQ10" s="17"/>
      <c r="AR10" s="17"/>
      <c r="AT10" s="17"/>
      <c r="AU10" s="17"/>
      <c r="AV10" s="10"/>
      <c r="AW10" s="17"/>
      <c r="AX10" s="17"/>
      <c r="AZ10" s="17"/>
      <c r="BA10" s="17"/>
      <c r="BB10" s="10"/>
    </row>
    <row r="11" customFormat="false" ht="15" hidden="false" customHeight="false" outlineLevel="0" collapsed="false">
      <c r="A11" s="0" t="s">
        <v>653</v>
      </c>
      <c r="B11" s="0" t="s">
        <v>637</v>
      </c>
      <c r="C11" s="0" t="s">
        <v>654</v>
      </c>
      <c r="D11" s="0" t="n">
        <v>3</v>
      </c>
      <c r="E11" s="0" t="s">
        <v>413</v>
      </c>
      <c r="F11" s="0" t="s">
        <v>414</v>
      </c>
      <c r="G11" s="10" t="n">
        <v>0.614795918367347</v>
      </c>
      <c r="H11" s="10" t="n">
        <v>0.34815681685196</v>
      </c>
      <c r="I11" s="10" t="n">
        <v>0.198946752486834</v>
      </c>
      <c r="J11" s="10" t="n">
        <v>0.452896430661205</v>
      </c>
      <c r="K11" s="9" t="s">
        <v>655</v>
      </c>
      <c r="L11" s="9" t="s">
        <v>656</v>
      </c>
      <c r="M11" s="9" t="s">
        <v>657</v>
      </c>
      <c r="N11" s="9" t="s">
        <v>642</v>
      </c>
      <c r="O11" s="11" t="n">
        <v>21.4219688694702</v>
      </c>
      <c r="P11" s="11" t="n">
        <v>21.3960365645678</v>
      </c>
      <c r="Q11" s="11"/>
      <c r="R11" s="10" t="n">
        <v>0.154929577464789</v>
      </c>
      <c r="S11" s="11" t="n">
        <v>1.58885803540437</v>
      </c>
      <c r="T11" s="11"/>
      <c r="U11" s="11" t="n">
        <v>11.1660682226212</v>
      </c>
      <c r="V11" s="0" t="n">
        <v>318</v>
      </c>
      <c r="W11" s="14" t="s">
        <v>68</v>
      </c>
      <c r="X11" s="14" t="s">
        <v>95</v>
      </c>
      <c r="Y11" s="14" t="s">
        <v>99</v>
      </c>
      <c r="Z11" s="15" t="n">
        <v>21.42</v>
      </c>
      <c r="AA11" s="15" t="n">
        <v>21.4</v>
      </c>
      <c r="AB11" s="15" t="n">
        <f aca="false">Config!$B$8</f>
        <v>22.5</v>
      </c>
      <c r="AC11" s="16" t="n">
        <v>0.4529</v>
      </c>
      <c r="AD11" s="9" t="s">
        <v>658</v>
      </c>
      <c r="AE11" s="9" t="s">
        <v>659</v>
      </c>
      <c r="AF11" s="10" t="n">
        <v>0.5812</v>
      </c>
      <c r="AG11" s="10" t="n">
        <v>0.5812</v>
      </c>
      <c r="AH11" s="10" t="n">
        <v>0.6148</v>
      </c>
      <c r="AI11" s="10"/>
      <c r="AJ11" s="10"/>
      <c r="AK11" s="17"/>
      <c r="AL11" s="17"/>
      <c r="AN11" s="17"/>
      <c r="AO11" s="17"/>
      <c r="AP11" s="10"/>
      <c r="AQ11" s="17"/>
      <c r="AR11" s="17"/>
      <c r="AT11" s="17"/>
      <c r="AU11" s="17"/>
      <c r="AV11" s="10"/>
      <c r="AW11" s="17"/>
      <c r="AX11" s="17"/>
      <c r="AZ11" s="17"/>
      <c r="BA11" s="17"/>
      <c r="BB11" s="10"/>
    </row>
    <row r="12" customFormat="false" ht="15" hidden="false" customHeight="false" outlineLevel="0" collapsed="false">
      <c r="A12" s="0" t="s">
        <v>660</v>
      </c>
      <c r="B12" s="0" t="s">
        <v>637</v>
      </c>
      <c r="C12" s="0" t="s">
        <v>661</v>
      </c>
      <c r="D12" s="0" t="n">
        <v>3</v>
      </c>
      <c r="E12" s="0" t="s">
        <v>440</v>
      </c>
      <c r="F12" s="0" t="s">
        <v>441</v>
      </c>
      <c r="G12" s="10" t="n">
        <v>0.660240963855422</v>
      </c>
      <c r="H12" s="10" t="n">
        <v>0.389708614967205</v>
      </c>
      <c r="I12" s="10" t="n">
        <v>0.172251207815505</v>
      </c>
      <c r="J12" s="10" t="n">
        <v>0.438040177217291</v>
      </c>
      <c r="K12" s="9" t="s">
        <v>662</v>
      </c>
      <c r="L12" s="9" t="s">
        <v>656</v>
      </c>
      <c r="M12" s="9" t="s">
        <v>657</v>
      </c>
      <c r="N12" s="9" t="s">
        <v>642</v>
      </c>
      <c r="O12" s="11" t="n">
        <v>21.3303491495076</v>
      </c>
      <c r="P12" s="11" t="n">
        <v>21.3173408808505</v>
      </c>
      <c r="Q12" s="11"/>
      <c r="R12" s="10" t="n">
        <v>0.151599443671766</v>
      </c>
      <c r="S12" s="11" t="n">
        <v>2.40658325636074</v>
      </c>
      <c r="T12" s="11"/>
      <c r="U12" s="11" t="n">
        <v>10.565545923149</v>
      </c>
      <c r="V12" s="0" t="n">
        <v>311</v>
      </c>
      <c r="W12" s="14" t="s">
        <v>68</v>
      </c>
      <c r="X12" s="14" t="s">
        <v>95</v>
      </c>
      <c r="Y12" s="14" t="s">
        <v>99</v>
      </c>
      <c r="Z12" s="15" t="n">
        <v>21.33</v>
      </c>
      <c r="AA12" s="15" t="n">
        <v>21.32</v>
      </c>
      <c r="AB12" s="15" t="n">
        <f aca="false">Config!$B$8</f>
        <v>22.5</v>
      </c>
      <c r="AC12" s="16" t="n">
        <v>0.438</v>
      </c>
      <c r="AD12" s="9" t="s">
        <v>663</v>
      </c>
      <c r="AE12" s="9" t="s">
        <v>664</v>
      </c>
      <c r="AF12" s="10" t="n">
        <v>0.6203</v>
      </c>
      <c r="AG12" s="10" t="n">
        <v>0.6193</v>
      </c>
      <c r="AH12" s="10" t="n">
        <v>0.6602</v>
      </c>
      <c r="AI12" s="10"/>
      <c r="AJ12" s="10"/>
      <c r="AK12" s="17"/>
      <c r="AL12" s="17"/>
      <c r="AN12" s="17"/>
      <c r="AO12" s="17"/>
      <c r="AP12" s="10"/>
      <c r="AQ12" s="17"/>
      <c r="AR12" s="17"/>
      <c r="AT12" s="17"/>
      <c r="AU12" s="17"/>
      <c r="AV12" s="10"/>
      <c r="AW12" s="17"/>
      <c r="AX12" s="17"/>
      <c r="AZ12" s="17"/>
      <c r="BA12" s="17"/>
      <c r="BB12" s="10"/>
    </row>
  </sheetData>
  <dataValidations count="2">
    <dataValidation allowBlank="true" error="Pick a map from the list (Config tab, column E)." errorStyle="stop" errorTitle="Not in the CS2 map pool" operator="between" showDropDown="false" showErrorMessage="true" showInputMessage="false" sqref="W5:Y8" type="list">
      <formula1>Config!$E$4:$E$10</formula1>
      <formula2>0</formula2>
    </dataValidation>
    <dataValidation allowBlank="true" error="Pick a map from the list (Config tab, column F)." errorStyle="stop" errorTitle="Not in the VAL map pool" operator="between" showDropDown="false" showErrorMessage="true" showInputMessage="false" sqref="W9:Y12" type="list">
      <formula1>Config!$F$4:$F$16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7"/>
    <col collapsed="false" customWidth="true" hidden="false" outlineLevel="0" max="8" min="8" style="0" width="6"/>
    <col collapsed="false" customWidth="true" hidden="false" outlineLevel="0" max="10" min="9" style="0" width="8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7" min="15" style="0" width="6"/>
    <col collapsed="false" customWidth="true" hidden="false" outlineLevel="0" max="18" min="18" style="0" width="9"/>
    <col collapsed="false" customWidth="true" hidden="false" outlineLevel="0" max="19" min="19" style="0" width="6"/>
    <col collapsed="false" customWidth="true" hidden="false" outlineLevel="0" max="20" min="20" style="0" width="22"/>
    <col collapsed="false" customWidth="true" hidden="false" outlineLevel="0" max="21" min="21" style="0" width="14"/>
    <col collapsed="false" customWidth="true" hidden="false" outlineLevel="0" max="22" min="22" style="0" width="34"/>
    <col collapsed="false" customWidth="true" hidden="true" outlineLevel="0" max="23" min="23" style="0" width="24"/>
    <col collapsed="false" customWidth="true" hidden="true" outlineLevel="0" max="24" min="24" style="0" width="5"/>
    <col collapsed="false" customWidth="true" hidden="true" outlineLevel="0" max="25" min="25" style="0" width="28"/>
    <col collapsed="false" customWidth="true" hidden="false" outlineLevel="0" max="26" min="26" style="0" width="8"/>
    <col collapsed="false" customWidth="true" hidden="false" outlineLevel="0" max="27" min="27" style="0" width="7"/>
    <col collapsed="false" customWidth="true" hidden="false" outlineLevel="0" max="29" min="28" style="0" width="9"/>
    <col collapsed="false" customWidth="true" hidden="false" outlineLevel="0" max="30" min="30" style="0" width="10"/>
    <col collapsed="false" customWidth="true" hidden="false" outlineLevel="0" max="31" min="31" style="0" width="8"/>
  </cols>
  <sheetData>
    <row r="1" customFormat="false" ht="55.2" hidden="false" customHeight="false" outlineLevel="0" collapsed="false">
      <c r="A1" s="12" t="s">
        <v>571</v>
      </c>
      <c r="B1" s="12" t="s">
        <v>570</v>
      </c>
      <c r="C1" s="12" t="s">
        <v>546</v>
      </c>
      <c r="D1" s="12" t="s">
        <v>545</v>
      </c>
      <c r="E1" s="12" t="s">
        <v>665</v>
      </c>
      <c r="F1" s="12" t="s">
        <v>666</v>
      </c>
      <c r="G1" s="12" t="s">
        <v>667</v>
      </c>
      <c r="H1" s="12" t="s">
        <v>668</v>
      </c>
      <c r="I1" s="12" t="s">
        <v>555</v>
      </c>
      <c r="J1" s="12" t="s">
        <v>669</v>
      </c>
      <c r="K1" s="12" t="s">
        <v>670</v>
      </c>
      <c r="L1" s="12" t="s">
        <v>671</v>
      </c>
      <c r="M1" s="12" t="s">
        <v>672</v>
      </c>
      <c r="N1" s="12" t="s">
        <v>673</v>
      </c>
      <c r="O1" s="12" t="s">
        <v>674</v>
      </c>
      <c r="P1" s="12" t="s">
        <v>558</v>
      </c>
      <c r="Q1" s="12" t="s">
        <v>675</v>
      </c>
      <c r="R1" s="12" t="s">
        <v>676</v>
      </c>
      <c r="S1" s="12" t="s">
        <v>677</v>
      </c>
      <c r="T1" s="12" t="s">
        <v>678</v>
      </c>
      <c r="U1" s="12" t="s">
        <v>679</v>
      </c>
      <c r="V1" s="12" t="s">
        <v>564</v>
      </c>
      <c r="W1" s="12" t="s">
        <v>680</v>
      </c>
      <c r="X1" s="12" t="s">
        <v>681</v>
      </c>
      <c r="Y1" s="12" t="s">
        <v>682</v>
      </c>
      <c r="Z1" s="12" t="s">
        <v>683</v>
      </c>
      <c r="AA1" s="12" t="s">
        <v>684</v>
      </c>
      <c r="AB1" s="12" t="s">
        <v>685</v>
      </c>
      <c r="AC1" s="12" t="s">
        <v>686</v>
      </c>
      <c r="AD1" s="12" t="s">
        <v>687</v>
      </c>
      <c r="AE1" s="12" t="s">
        <v>552</v>
      </c>
    </row>
    <row r="2" customFormat="false" ht="15" hidden="false" customHeight="false" outlineLevel="0" collapsed="false">
      <c r="A2" s="0" t="s">
        <v>608</v>
      </c>
      <c r="B2" s="0" t="s">
        <v>629</v>
      </c>
      <c r="C2" s="0" t="s">
        <v>688</v>
      </c>
      <c r="D2" s="0" t="s">
        <v>634</v>
      </c>
      <c r="E2" s="0" t="s">
        <v>689</v>
      </c>
      <c r="F2" s="0" t="n">
        <v>15</v>
      </c>
      <c r="G2" s="11" t="n">
        <f aca="false">IFERROR(INDEX(CHOOSE(MATCH($X2,{"K1","K2","K3","K12","K13","H1","H2","H3","H12","H13"},0),Calc!$V$2:$V$56,Calc!$AC$2:$AC$56,Calc!$AJ$2:$AJ$56,Calc!$AL$2:$AL$56,Calc!$AM$2:$AM$56,Calc!$W$2:$W$56,Calc!$AD$2:$AD$56,Calc!$AK$2:$AK$56,Calc!$AN$2:$AN$56,Calc!$AO$2:$AO$56),MATCH($W2,Calc!$A$2:$A$56,0)),"")</f>
        <v>13.9230622491349</v>
      </c>
      <c r="H2" s="11" t="n">
        <f aca="false">IF(G2="","",IF(LEFT($X2,1)="H",SQRT(G2*(IFERROR(INDEX(Calc!$AP$2:$AP$56,MATCH($W2,Calc!$A$2:$A$56,0)),0.5)*Config!$B$5+1-IFERROR(INDEX(Calc!$AP$2:$AP$56,MATCH($W2,Calc!$A$2:$A$56,0)),0.5))),SQRT(G2*Config!$B$5)))</f>
        <v>4.09830794542312</v>
      </c>
      <c r="I2" s="10" t="n">
        <f aca="false">IF(OR(F2="",G2="",N(H2)&lt;=0),"",1-NORMDIST(FLOOR(F2,1)+0.5,G2,H2,TRUE()))</f>
        <v>0.350201038937581</v>
      </c>
      <c r="J2" s="10" t="n">
        <f aca="false">IF(I2="","",NORMDIST(CEILING(F2,1)-0.5,G2,H2,TRUE()))</f>
        <v>0.555976003856673</v>
      </c>
      <c r="K2" s="10" t="n">
        <f aca="false">IF(I2="","",MAX(0,1-I2-J2))</f>
        <v>0.0938229572057465</v>
      </c>
      <c r="L2" s="0" t="str">
        <f aca="false">IF(I2="","",IF(I2&gt;=0.5+Config!$B$6,"OVER",IF(J2&gt;=0.5+Config!$B$6,"UNDER","—")))</f>
        <v>UNDER</v>
      </c>
      <c r="N2" s="0" t="n">
        <v>14.3</v>
      </c>
      <c r="O2" s="10" t="n">
        <v>0.6</v>
      </c>
      <c r="P2" s="10" t="n">
        <v>0.5</v>
      </c>
      <c r="Q2" s="10" t="n">
        <v>0.6</v>
      </c>
      <c r="R2" s="9" t="s">
        <v>690</v>
      </c>
      <c r="S2" s="0" t="n">
        <v>-1</v>
      </c>
      <c r="T2" s="0" t="str">
        <f aca="false">INDEX(Calc!$G$2:$G$56,MATCH($W2,Calc!$A$2:$A$56,0))&amp;" / "&amp;INDEX(Calc!$H$2:$H$56,MATCH($W2,Calc!$A$2:$A$56,0))</f>
        <v>Dust2 / Ancient</v>
      </c>
      <c r="U2" s="0" t="str">
        <f aca="false">TEXT(INDEX(Calc!$J$2:$J$56,MATCH($W2,Calc!$A$2:$A$56,0)),"0.0")&amp;" / "&amp;TEXT(INDEX(Calc!$K$2:$K$56,MATCH($W2,Calc!$A$2:$A$56,0)),"0.0")</f>
        <v>21.5 / 21.5</v>
      </c>
      <c r="V2" s="0" t="str">
        <f aca="false">IFERROR(INDEX(Calc!$AQ$2:$AQ$56,MATCH($W2,Calc!$A$2:$A$56,0)),"")</f>
        <v/>
      </c>
      <c r="W2" s="9" t="s">
        <v>691</v>
      </c>
      <c r="X2" s="9" t="s">
        <v>692</v>
      </c>
      <c r="Y2" s="0" t="str">
        <f aca="false">W2&amp;"|"&amp;X2</f>
        <v>ociqtxrjuk45u59|CS2 · ALKA vs LN|H12</v>
      </c>
      <c r="Z2" s="11" t="n">
        <f aca="false">IFERROR(INDEX(CHOOSE(MATCH($X2,{"K1","K2","K3","K12","K13","H1","H2","H3","H12","H13"},0),Calc!$BA$2:$BA$56,Calc!$BB$2:$BB$56,Calc!$BC$2:$BC$56,Calc!$BD$2:$BD$56,Calc!$BE$2:$BE$56,Calc!$BF$2:$BF$56,Calc!$BG$2:$BG$56,Calc!$BH$2:$BH$56,Calc!$BI$2:$BI$56,Calc!$BJ$2:$BJ$56),MATCH($W2,Calc!$A$2:$A$56,0)),"")</f>
        <v>14.3928598356879</v>
      </c>
      <c r="AA2" s="11" t="n">
        <f aca="false">IF(Z2="","",IF(LEFT($X2,1)="H",SQRT(Z2*(IFERROR(INDEX(Calc!$AP$2:$AP$56,MATCH($W2,Calc!$A$2:$A$56,0)),0.5)*Config!$B$5+1-IFERROR(INDEX(Calc!$AP$2:$AP$56,MATCH($W2,Calc!$A$2:$A$56,0)),0.5))),SQRT(Z2*Config!$B$5)))</f>
        <v>4.16687769761651</v>
      </c>
      <c r="AB2" s="10" t="n">
        <f aca="false">IF(OR(F2="",Z2="",N(AA2)&lt;=0),"",1-NORMDIST(FLOOR(F2,1)+0.5,Z2,AA2,TRUE()))</f>
        <v>0.395235061446398</v>
      </c>
      <c r="AC2" s="10" t="n">
        <f aca="false">IF(AB2="","",NORMDIST(CEILING(F2,1)-0.5,Z2,AA2,TRUE()))</f>
        <v>0.510256608264268</v>
      </c>
      <c r="AD2" s="0" t="str">
        <f aca="false">IF(AB2="","",IF(AB2&gt;=0.5+Config!$B$6,"OVER",IF(AC2&gt;=0.5+Config!$B$6,"UNDER","—")))</f>
        <v>—</v>
      </c>
      <c r="AE2" s="13" t="n">
        <f aca="false">IFERROR(Z2/G2,"")</f>
        <v>1.03374240365708</v>
      </c>
    </row>
    <row r="3" customFormat="false" ht="15" hidden="false" customHeight="false" outlineLevel="0" collapsed="false">
      <c r="A3" s="0" t="s">
        <v>608</v>
      </c>
      <c r="B3" s="0" t="s">
        <v>629</v>
      </c>
      <c r="C3" s="0" t="s">
        <v>688</v>
      </c>
      <c r="D3" s="0" t="s">
        <v>634</v>
      </c>
      <c r="E3" s="0" t="s">
        <v>693</v>
      </c>
      <c r="F3" s="0" t="n">
        <v>27.5</v>
      </c>
      <c r="G3" s="11" t="n">
        <f aca="false">IFERROR(INDEX(CHOOSE(MATCH($X3,{"K1","K2","K3","K12","K13","H1","H2","H3","H12","H13"},0),Calc!$V$2:$V$56,Calc!$AC$2:$AC$56,Calc!$AJ$2:$AJ$56,Calc!$AL$2:$AL$56,Calc!$AM$2:$AM$56,Calc!$W$2:$W$56,Calc!$AD$2:$AD$56,Calc!$AK$2:$AK$56,Calc!$AN$2:$AN$56,Calc!$AO$2:$AO$56),MATCH($W3,Calc!$A$2:$A$56,0)),"")</f>
        <v>26.9888235294118</v>
      </c>
      <c r="H3" s="11" t="n">
        <f aca="false">IF(G3="","",IF(LEFT($X3,1)="H",SQRT(G3*(IFERROR(INDEX(Calc!$AP$2:$AP$56,MATCH($W3,Calc!$A$2:$A$56,0)),0.5)*Config!$B$5+1-IFERROR(INDEX(Calc!$AP$2:$AP$56,MATCH($W3,Calc!$A$2:$A$56,0)),0.5))),SQRT(G3*Config!$B$5)))</f>
        <v>6.14689783070912</v>
      </c>
      <c r="I3" s="10" t="n">
        <f aca="false">IF(OR(F3="",G3="",N(H3)&lt;=0),"",1-NORMDIST(FLOOR(F3,1)+0.5,G3,H3,TRUE()))</f>
        <v>0.466862130042295</v>
      </c>
      <c r="J3" s="10" t="n">
        <f aca="false">IF(I3="","",NORMDIST(CEILING(F3,1)-0.5,G3,H3,TRUE()))</f>
        <v>0.533137869957705</v>
      </c>
      <c r="K3" s="10" t="n">
        <f aca="false">IF(I3="","",MAX(0,1-I3-J3))</f>
        <v>0</v>
      </c>
      <c r="L3" s="0" t="str">
        <f aca="false">IF(I3="","",IF(I3&gt;=0.5+Config!$B$6,"OVER",IF(J3&gt;=0.5+Config!$B$6,"UNDER","—")))</f>
        <v>—</v>
      </c>
      <c r="N3" s="0" t="n">
        <v>26.3</v>
      </c>
      <c r="O3" s="10" t="n">
        <v>0.6</v>
      </c>
      <c r="P3" s="10" t="n">
        <v>0.6</v>
      </c>
      <c r="Q3" s="10" t="n">
        <v>0.67</v>
      </c>
      <c r="R3" s="9" t="s">
        <v>690</v>
      </c>
      <c r="S3" s="0" t="n">
        <v>-1</v>
      </c>
      <c r="T3" s="0" t="str">
        <f aca="false">INDEX(Calc!$G$2:$G$56,MATCH($W3,Calc!$A$2:$A$56,0))&amp;" / "&amp;INDEX(Calc!$H$2:$H$56,MATCH($W3,Calc!$A$2:$A$56,0))</f>
        <v>Dust2 / Ancient</v>
      </c>
      <c r="U3" s="0" t="str">
        <f aca="false">TEXT(INDEX(Calc!$J$2:$J$56,MATCH($W3,Calc!$A$2:$A$56,0)),"0.0")&amp;" / "&amp;TEXT(INDEX(Calc!$K$2:$K$56,MATCH($W3,Calc!$A$2:$A$56,0)),"0.0")</f>
        <v>21.5 / 21.5</v>
      </c>
      <c r="V3" s="0" t="str">
        <f aca="false">IFERROR(INDEX(Calc!$AQ$2:$AQ$56,MATCH($W3,Calc!$A$2:$A$56,0)),"")</f>
        <v/>
      </c>
      <c r="W3" s="9" t="s">
        <v>691</v>
      </c>
      <c r="X3" s="9" t="s">
        <v>694</v>
      </c>
      <c r="Y3" s="0" t="str">
        <f aca="false">W3&amp;"|"&amp;X3</f>
        <v>ociqtxrjuk45u59|CS2 · ALKA vs LN|K12</v>
      </c>
      <c r="Z3" s="11" t="n">
        <f aca="false">IFERROR(INDEX(CHOOSE(MATCH($X3,{"K1","K2","K3","K12","K13","H1","H2","H3","H12","H13"},0),Calc!$BA$2:$BA$56,Calc!$BB$2:$BB$56,Calc!$BC$2:$BC$56,Calc!$BD$2:$BD$56,Calc!$BE$2:$BE$56,Calc!$BF$2:$BF$56,Calc!$BG$2:$BG$56,Calc!$BH$2:$BH$56,Calc!$BI$2:$BI$56,Calc!$BJ$2:$BJ$56),MATCH($W3,Calc!$A$2:$A$56,0)),"")</f>
        <v>27.8870218583878</v>
      </c>
      <c r="AA3" s="11" t="n">
        <f aca="false">IF(Z3="","",IF(LEFT($X3,1)="H",SQRT(Z3*(IFERROR(INDEX(Calc!$AP$2:$AP$56,MATCH($W3,Calc!$A$2:$A$56,0)),0.5)*Config!$B$5+1-IFERROR(INDEX(Calc!$AP$2:$AP$56,MATCH($W3,Calc!$A$2:$A$56,0)),0.5))),SQRT(Z3*Config!$B$5)))</f>
        <v>6.24834622934284</v>
      </c>
      <c r="AB3" s="10" t="n">
        <f aca="false">IF(OR(F3="",Z3="",N(AA3)&lt;=0),"",1-NORMDIST(FLOOR(F3,1)+0.5,Z3,AA3,TRUE()))</f>
        <v>0.524694648321642</v>
      </c>
      <c r="AC3" s="10" t="n">
        <f aca="false">IF(AB3="","",NORMDIST(CEILING(F3,1)-0.5,Z3,AA3,TRUE()))</f>
        <v>0.475305351678359</v>
      </c>
      <c r="AD3" s="0" t="str">
        <f aca="false">IF(AB3="","",IF(AB3&gt;=0.5+Config!$B$6,"OVER",IF(AC3&gt;=0.5+Config!$B$6,"UNDER","—")))</f>
        <v>—</v>
      </c>
      <c r="AE3" s="13" t="n">
        <f aca="false">IFERROR(Z3/G3,"")</f>
        <v>1.03328038096945</v>
      </c>
    </row>
    <row r="4" customFormat="false" ht="15" hidden="false" customHeight="false" outlineLevel="0" collapsed="false">
      <c r="A4" s="0" t="s">
        <v>608</v>
      </c>
      <c r="B4" s="0" t="s">
        <v>629</v>
      </c>
      <c r="C4" s="0" t="s">
        <v>695</v>
      </c>
      <c r="D4" s="0" t="s">
        <v>634</v>
      </c>
      <c r="E4" s="0" t="s">
        <v>689</v>
      </c>
      <c r="F4" s="0" t="n">
        <v>14</v>
      </c>
      <c r="G4" s="11" t="n">
        <f aca="false">IFERROR(INDEX(CHOOSE(MATCH($X4,{"K1","K2","K3","K12","K13","H1","H2","H3","H12","H13"},0),Calc!$V$2:$V$56,Calc!$AC$2:$AC$56,Calc!$AJ$2:$AJ$56,Calc!$AL$2:$AL$56,Calc!$AM$2:$AM$56,Calc!$W$2:$W$56,Calc!$AD$2:$AD$56,Calc!$AK$2:$AK$56,Calc!$AN$2:$AN$56,Calc!$AO$2:$AO$56),MATCH($W4,Calc!$A$2:$A$56,0)),"")</f>
        <v>13.9223016070742</v>
      </c>
      <c r="H4" s="11" t="n">
        <f aca="false">IF(G4="","",IF(LEFT($X4,1)="H",SQRT(G4*(IFERROR(INDEX(Calc!$AP$2:$AP$56,MATCH($W4,Calc!$A$2:$A$56,0)),0.5)*Config!$B$5+1-IFERROR(INDEX(Calc!$AP$2:$AP$56,MATCH($W4,Calc!$A$2:$A$56,0)),0.5))),SQRT(G4*Config!$B$5)))</f>
        <v>4.08235746877738</v>
      </c>
      <c r="I4" s="10" t="n">
        <f aca="false">IF(OR(F4="",G4="",N(H4)&lt;=0),"",1-NORMDIST(FLOOR(F4,1)+0.5,G4,H4,TRUE()))</f>
        <v>0.443733144548514</v>
      </c>
      <c r="J4" s="10" t="n">
        <f aca="false">IF(I4="","",NORMDIST(CEILING(F4,1)-0.5,G4,H4,TRUE()))</f>
        <v>0.458804691538624</v>
      </c>
      <c r="K4" s="10" t="n">
        <f aca="false">IF(I4="","",MAX(0,1-I4-J4))</f>
        <v>0.0974621639128623</v>
      </c>
      <c r="L4" s="0" t="str">
        <f aca="false">IF(I4="","",IF(I4&gt;=0.5+Config!$B$6,"OVER",IF(J4&gt;=0.5+Config!$B$6,"UNDER","—")))</f>
        <v>—</v>
      </c>
      <c r="N4" s="0" t="n">
        <v>13.1</v>
      </c>
      <c r="O4" s="10" t="n">
        <v>0.4</v>
      </c>
      <c r="P4" s="10" t="n">
        <v>0.3</v>
      </c>
      <c r="Q4" s="10" t="n">
        <v>0.53</v>
      </c>
      <c r="R4" s="9" t="s">
        <v>690</v>
      </c>
      <c r="S4" s="0" t="n">
        <v>-2</v>
      </c>
      <c r="T4" s="0" t="str">
        <f aca="false">INDEX(Calc!$G$2:$G$56,MATCH($W4,Calc!$A$2:$A$56,0))&amp;" / "&amp;INDEX(Calc!$H$2:$H$56,MATCH($W4,Calc!$A$2:$A$56,0))</f>
        <v>Dust2 / Ancient</v>
      </c>
      <c r="U4" s="0" t="str">
        <f aca="false">TEXT(INDEX(Calc!$J$2:$J$56,MATCH($W4,Calc!$A$2:$A$56,0)),"0.0")&amp;" / "&amp;TEXT(INDEX(Calc!$K$2:$K$56,MATCH($W4,Calc!$A$2:$A$56,0)),"0.0")</f>
        <v>21.5 / 21.5</v>
      </c>
      <c r="V4" s="0" t="str">
        <f aca="false">IFERROR(INDEX(Calc!$AQ$2:$AQ$56,MATCH($W4,Calc!$A$2:$A$56,0)),"")</f>
        <v/>
      </c>
      <c r="W4" s="9" t="s">
        <v>696</v>
      </c>
      <c r="X4" s="9" t="s">
        <v>692</v>
      </c>
      <c r="Y4" s="0" t="str">
        <f aca="false">W4&amp;"|"&amp;X4</f>
        <v>x8upaam3ujpx331|CS2 · ALKA vs LN|H12</v>
      </c>
      <c r="Z4" s="11" t="n">
        <f aca="false">IFERROR(INDEX(CHOOSE(MATCH($X4,{"K1","K2","K3","K12","K13","H1","H2","H3","H12","H13"},0),Calc!$BA$2:$BA$56,Calc!$BB$2:$BB$56,Calc!$BC$2:$BC$56,Calc!$BD$2:$BD$56,Calc!$BE$2:$BE$56,Calc!$BF$2:$BF$56,Calc!$BG$2:$BG$56,Calc!$BH$2:$BH$56,Calc!$BI$2:$BI$56,Calc!$BJ$2:$BJ$56),MATCH($W4,Calc!$A$2:$A$56,0)),"")</f>
        <v>14.3854991861442</v>
      </c>
      <c r="AA4" s="11" t="n">
        <f aca="false">IF(Z4="","",IF(LEFT($X4,1)="H",SQRT(Z4*(IFERROR(INDEX(Calc!$AP$2:$AP$56,MATCH($W4,Calc!$A$2:$A$56,0)),0.5)*Config!$B$5+1-IFERROR(INDEX(Calc!$AP$2:$AP$56,MATCH($W4,Calc!$A$2:$A$56,0)),0.5))),SQRT(Z4*Config!$B$5)))</f>
        <v>4.1497122245746</v>
      </c>
      <c r="AB4" s="10" t="n">
        <f aca="false">IF(OR(F4="",Z4="",N(AA4)&lt;=0),"",1-NORMDIST(FLOOR(F4,1)+0.5,Z4,AA4,TRUE()))</f>
        <v>0.488993593360697</v>
      </c>
      <c r="AC4" s="10" t="n">
        <f aca="false">IF(AB4="","",NORMDIST(CEILING(F4,1)-0.5,Z4,AA4,TRUE()))</f>
        <v>0.415512132768399</v>
      </c>
      <c r="AD4" s="0" t="str">
        <f aca="false">IF(AB4="","",IF(AB4&gt;=0.5+Config!$B$6,"OVER",IF(AC4&gt;=0.5+Config!$B$6,"UNDER","—")))</f>
        <v>—</v>
      </c>
      <c r="AE4" s="13" t="n">
        <f aca="false">IFERROR(Z4/G4,"")</f>
        <v>1.03327018708133</v>
      </c>
    </row>
    <row r="5" customFormat="false" ht="15" hidden="false" customHeight="false" outlineLevel="0" collapsed="false">
      <c r="A5" s="0" t="s">
        <v>608</v>
      </c>
      <c r="B5" s="0" t="s">
        <v>629</v>
      </c>
      <c r="C5" s="0" t="s">
        <v>695</v>
      </c>
      <c r="D5" s="0" t="s">
        <v>634</v>
      </c>
      <c r="E5" s="0" t="s">
        <v>693</v>
      </c>
      <c r="F5" s="0" t="n">
        <v>28.5</v>
      </c>
      <c r="G5" s="11" t="n">
        <f aca="false">IFERROR(INDEX(CHOOSE(MATCH($X5,{"K1","K2","K3","K12","K13","H1","H2","H3","H12","H13"},0),Calc!$V$2:$V$56,Calc!$AC$2:$AC$56,Calc!$AJ$2:$AJ$56,Calc!$AL$2:$AL$56,Calc!$AM$2:$AM$56,Calc!$W$2:$W$56,Calc!$AD$2:$AD$56,Calc!$AK$2:$AK$56,Calc!$AN$2:$AN$56,Calc!$AO$2:$AO$56),MATCH($W5,Calc!$A$2:$A$56,0)),"")</f>
        <v>28.2619607843137</v>
      </c>
      <c r="H5" s="11" t="n">
        <f aca="false">IF(G5="","",IF(LEFT($X5,1)="H",SQRT(G5*(IFERROR(INDEX(Calc!$AP$2:$AP$56,MATCH($W5,Calc!$A$2:$A$56,0)),0.5)*Config!$B$5+1-IFERROR(INDEX(Calc!$AP$2:$AP$56,MATCH($W5,Calc!$A$2:$A$56,0)),0.5))),SQRT(G5*Config!$B$5)))</f>
        <v>6.29021025865108</v>
      </c>
      <c r="I5" s="10" t="n">
        <f aca="false">IF(OR(F5="",G5="",N(H5)&lt;=0),"",1-NORMDIST(FLOOR(F5,1)+0.5,G5,H5,TRUE()))</f>
        <v>0.484906506692148</v>
      </c>
      <c r="J5" s="10" t="n">
        <f aca="false">IF(I5="","",NORMDIST(CEILING(F5,1)-0.5,G5,H5,TRUE()))</f>
        <v>0.515093493307852</v>
      </c>
      <c r="K5" s="10" t="n">
        <f aca="false">IF(I5="","",MAX(0,1-I5-J5))</f>
        <v>0</v>
      </c>
      <c r="L5" s="0" t="str">
        <f aca="false">IF(I5="","",IF(I5&gt;=0.5+Config!$B$6,"OVER",IF(J5&gt;=0.5+Config!$B$6,"UNDER","—")))</f>
        <v>—</v>
      </c>
      <c r="N5" s="0" t="n">
        <v>27.3</v>
      </c>
      <c r="O5" s="10" t="n">
        <v>0.4</v>
      </c>
      <c r="P5" s="10" t="n">
        <v>0.3</v>
      </c>
      <c r="Q5" s="10" t="n">
        <v>0.4</v>
      </c>
      <c r="R5" s="9" t="s">
        <v>690</v>
      </c>
      <c r="S5" s="0" t="n">
        <v>-3</v>
      </c>
      <c r="T5" s="0" t="str">
        <f aca="false">INDEX(Calc!$G$2:$G$56,MATCH($W5,Calc!$A$2:$A$56,0))&amp;" / "&amp;INDEX(Calc!$H$2:$H$56,MATCH($W5,Calc!$A$2:$A$56,0))</f>
        <v>Dust2 / Ancient</v>
      </c>
      <c r="U5" s="0" t="str">
        <f aca="false">TEXT(INDEX(Calc!$J$2:$J$56,MATCH($W5,Calc!$A$2:$A$56,0)),"0.0")&amp;" / "&amp;TEXT(INDEX(Calc!$K$2:$K$56,MATCH($W5,Calc!$A$2:$A$56,0)),"0.0")</f>
        <v>21.5 / 21.5</v>
      </c>
      <c r="V5" s="0" t="str">
        <f aca="false">IFERROR(INDEX(Calc!$AQ$2:$AQ$56,MATCH($W5,Calc!$A$2:$A$56,0)),"")</f>
        <v/>
      </c>
      <c r="W5" s="9" t="s">
        <v>696</v>
      </c>
      <c r="X5" s="9" t="s">
        <v>694</v>
      </c>
      <c r="Y5" s="0" t="str">
        <f aca="false">W5&amp;"|"&amp;X5</f>
        <v>x8upaam3ujpx331|CS2 · ALKA vs LN|K12</v>
      </c>
      <c r="Z5" s="11" t="n">
        <f aca="false">IFERROR(INDEX(CHOOSE(MATCH($X5,{"K1","K2","K3","K12","K13","H1","H2","H3","H12","H13"},0),Calc!$BA$2:$BA$56,Calc!$BB$2:$BB$56,Calc!$BC$2:$BC$56,Calc!$BD$2:$BD$56,Calc!$BE$2:$BE$56,Calc!$BF$2:$BF$56,Calc!$BG$2:$BG$56,Calc!$BH$2:$BH$56,Calc!$BI$2:$BI$56,Calc!$BJ$2:$BJ$56),MATCH($W5,Calc!$A$2:$A$56,0)),"")</f>
        <v>29.1966381659781</v>
      </c>
      <c r="AA5" s="11" t="n">
        <f aca="false">IF(Z5="","",IF(LEFT($X5,1)="H",SQRT(Z5*(IFERROR(INDEX(Calc!$AP$2:$AP$56,MATCH($W5,Calc!$A$2:$A$56,0)),0.5)*Config!$B$5+1-IFERROR(INDEX(Calc!$AP$2:$AP$56,MATCH($W5,Calc!$A$2:$A$56,0)),0.5))),SQRT(Z5*Config!$B$5)))</f>
        <v>6.39337887445828</v>
      </c>
      <c r="AB5" s="10" t="n">
        <f aca="false">IF(OR(F5="",Z5="",N(AA5)&lt;=0),"",1-NORMDIST(FLOOR(F5,1)+0.5,Z5,AA5,TRUE()))</f>
        <v>0.543383859526172</v>
      </c>
      <c r="AC5" s="10" t="n">
        <f aca="false">IF(AB5="","",NORMDIST(CEILING(F5,1)-0.5,Z5,AA5,TRUE()))</f>
        <v>0.456616140473828</v>
      </c>
      <c r="AD5" s="0" t="str">
        <f aca="false">IF(AB5="","",IF(AB5&gt;=0.5+Config!$B$6,"OVER",IF(AC5&gt;=0.5+Config!$B$6,"UNDER","—")))</f>
        <v>OVER</v>
      </c>
      <c r="AE5" s="13" t="n">
        <f aca="false">IFERROR(Z5/G5,"")</f>
        <v>1.03307192267364</v>
      </c>
    </row>
    <row r="6" customFormat="false" ht="15" hidden="false" customHeight="false" outlineLevel="0" collapsed="false">
      <c r="A6" s="0" t="s">
        <v>608</v>
      </c>
      <c r="B6" s="0" t="s">
        <v>629</v>
      </c>
      <c r="C6" s="0" t="s">
        <v>697</v>
      </c>
      <c r="D6" s="0" t="s">
        <v>634</v>
      </c>
      <c r="E6" s="0" t="s">
        <v>689</v>
      </c>
      <c r="F6" s="0" t="n">
        <v>11</v>
      </c>
      <c r="G6" s="11" t="n">
        <f aca="false">IFERROR(INDEX(CHOOSE(MATCH($X6,{"K1","K2","K3","K12","K13","H1","H2","H3","H12","H13"},0),Calc!$V$2:$V$56,Calc!$AC$2:$AC$56,Calc!$AJ$2:$AJ$56,Calc!$AL$2:$AL$56,Calc!$AM$2:$AM$56,Calc!$W$2:$W$56,Calc!$AD$2:$AD$56,Calc!$AK$2:$AK$56,Calc!$AN$2:$AN$56,Calc!$AO$2:$AO$56),MATCH($W6,Calc!$A$2:$A$56,0)),"")</f>
        <v>10.9374859515571</v>
      </c>
      <c r="H6" s="11" t="n">
        <f aca="false">IF(G6="","",IF(LEFT($X6,1)="H",SQRT(G6*(IFERROR(INDEX(Calc!$AP$2:$AP$56,MATCH($W6,Calc!$A$2:$A$56,0)),0.5)*Config!$B$5+1-IFERROR(INDEX(Calc!$AP$2:$AP$56,MATCH($W6,Calc!$A$2:$A$56,0)),0.5))),SQRT(G6*Config!$B$5)))</f>
        <v>3.53530450567759</v>
      </c>
      <c r="I6" s="10" t="n">
        <f aca="false">IF(OR(F6="",G6="",N(H6)&lt;=0),"",1-NORMDIST(FLOOR(F6,1)+0.5,G6,H6,TRUE()))</f>
        <v>0.436789795772743</v>
      </c>
      <c r="J6" s="10" t="n">
        <f aca="false">IF(I6="","",NORMDIST(CEILING(F6,1)-0.5,G6,H6,TRUE()))</f>
        <v>0.450757504558283</v>
      </c>
      <c r="K6" s="10" t="n">
        <f aca="false">IF(I6="","",MAX(0,1-I6-J6))</f>
        <v>0.112452699668973</v>
      </c>
      <c r="L6" s="0" t="str">
        <f aca="false">IF(I6="","",IF(I6&gt;=0.5+Config!$B$6,"OVER",IF(J6&gt;=0.5+Config!$B$6,"UNDER","—")))</f>
        <v>—</v>
      </c>
      <c r="N6" s="0" t="n">
        <v>11.3</v>
      </c>
      <c r="O6" s="10" t="n">
        <v>0.8</v>
      </c>
      <c r="P6" s="10" t="n">
        <v>0.6</v>
      </c>
      <c r="Q6" s="10" t="n">
        <v>0.6</v>
      </c>
      <c r="R6" s="9" t="s">
        <v>690</v>
      </c>
      <c r="S6" s="0" t="n">
        <v>2</v>
      </c>
      <c r="T6" s="0" t="str">
        <f aca="false">INDEX(Calc!$G$2:$G$56,MATCH($W6,Calc!$A$2:$A$56,0))&amp;" / "&amp;INDEX(Calc!$H$2:$H$56,MATCH($W6,Calc!$A$2:$A$56,0))</f>
        <v>Dust2 / Ancient</v>
      </c>
      <c r="U6" s="0" t="str">
        <f aca="false">TEXT(INDEX(Calc!$J$2:$J$56,MATCH($W6,Calc!$A$2:$A$56,0)),"0.0")&amp;" / "&amp;TEXT(INDEX(Calc!$K$2:$K$56,MATCH($W6,Calc!$A$2:$A$56,0)),"0.0")</f>
        <v>21.5 / 21.5</v>
      </c>
      <c r="V6" s="0" t="str">
        <f aca="false">IFERROR(INDEX(Calc!$AQ$2:$AQ$56,MATCH($W6,Calc!$A$2:$A$56,0)),"")</f>
        <v/>
      </c>
      <c r="W6" s="9" t="s">
        <v>698</v>
      </c>
      <c r="X6" s="9" t="s">
        <v>692</v>
      </c>
      <c r="Y6" s="0" t="str">
        <f aca="false">W6&amp;"|"&amp;X6</f>
        <v>7ehti0cn8n4gylc|CS2 · ALKA vs LN|H12</v>
      </c>
      <c r="Z6" s="11" t="n">
        <f aca="false">IFERROR(INDEX(CHOOSE(MATCH($X6,{"K1","K2","K3","K12","K13","H1","H2","H3","H12","H13"},0),Calc!$BA$2:$BA$56,Calc!$BB$2:$BB$56,Calc!$BC$2:$BC$56,Calc!$BD$2:$BD$56,Calc!$BE$2:$BE$56,Calc!$BF$2:$BF$56,Calc!$BG$2:$BG$56,Calc!$BH$2:$BH$56,Calc!$BI$2:$BI$56,Calc!$BJ$2:$BJ$56),MATCH($W6,Calc!$A$2:$A$56,0)),"")</f>
        <v>11.3047180735831</v>
      </c>
      <c r="AA6" s="11" t="n">
        <f aca="false">IF(Z6="","",IF(LEFT($X6,1)="H",SQRT(Z6*(IFERROR(INDEX(Calc!$AP$2:$AP$56,MATCH($W6,Calc!$A$2:$A$56,0)),0.5)*Config!$B$5+1-IFERROR(INDEX(Calc!$AP$2:$AP$56,MATCH($W6,Calc!$A$2:$A$56,0)),0.5))),SQRT(Z6*Config!$B$5)))</f>
        <v>3.59416442019297</v>
      </c>
      <c r="AB6" s="10" t="n">
        <f aca="false">IF(OR(F6="",Z6="",N(AA6)&lt;=0),"",1-NORMDIST(FLOOR(F6,1)+0.5,Z6,AA6,TRUE()))</f>
        <v>0.478334907921925</v>
      </c>
      <c r="AC6" s="10" t="n">
        <f aca="false">IF(AB6="","",NORMDIST(CEILING(F6,1)-0.5,Z6,AA6,TRUE()))</f>
        <v>0.411419218424991</v>
      </c>
      <c r="AD6" s="0" t="str">
        <f aca="false">IF(AB6="","",IF(AB6&gt;=0.5+Config!$B$6,"OVER",IF(AC6&gt;=0.5+Config!$B$6,"UNDER","—")))</f>
        <v>—</v>
      </c>
      <c r="AE6" s="13" t="n">
        <f aca="false">IFERROR(Z6/G6,"")</f>
        <v>1.03357555142494</v>
      </c>
    </row>
    <row r="7" customFormat="false" ht="15" hidden="false" customHeight="false" outlineLevel="0" collapsed="false">
      <c r="A7" s="0" t="s">
        <v>608</v>
      </c>
      <c r="B7" s="0" t="s">
        <v>629</v>
      </c>
      <c r="C7" s="0" t="s">
        <v>697</v>
      </c>
      <c r="D7" s="0" t="s">
        <v>634</v>
      </c>
      <c r="E7" s="0" t="s">
        <v>693</v>
      </c>
      <c r="F7" s="0" t="n">
        <v>32.5</v>
      </c>
      <c r="G7" s="11" t="n">
        <f aca="false">IFERROR(INDEX(CHOOSE(MATCH($X7,{"K1","K2","K3","K12","K13","H1","H2","H3","H12","H13"},0),Calc!$V$2:$V$56,Calc!$AC$2:$AC$56,Calc!$AJ$2:$AJ$56,Calc!$AL$2:$AL$56,Calc!$AM$2:$AM$56,Calc!$W$2:$W$56,Calc!$AD$2:$AD$56,Calc!$AK$2:$AK$56,Calc!$AN$2:$AN$56,Calc!$AO$2:$AO$56),MATCH($W7,Calc!$A$2:$A$56,0)),"")</f>
        <v>30.6564705882353</v>
      </c>
      <c r="H7" s="11" t="n">
        <f aca="false">IF(G7="","",IF(LEFT($X7,1)="H",SQRT(G7*(IFERROR(INDEX(Calc!$AP$2:$AP$56,MATCH($W7,Calc!$A$2:$A$56,0)),0.5)*Config!$B$5+1-IFERROR(INDEX(Calc!$AP$2:$AP$56,MATCH($W7,Calc!$A$2:$A$56,0)),0.5))),SQRT(G7*Config!$B$5)))</f>
        <v>6.55126391038626</v>
      </c>
      <c r="I7" s="10" t="n">
        <f aca="false">IF(OR(F7="",G7="",N(H7)&lt;=0),"",1-NORMDIST(FLOOR(F7,1)+0.5,G7,H7,TRUE()))</f>
        <v>0.38920158971836</v>
      </c>
      <c r="J7" s="10" t="n">
        <f aca="false">IF(I7="","",NORMDIST(CEILING(F7,1)-0.5,G7,H7,TRUE()))</f>
        <v>0.61079841028164</v>
      </c>
      <c r="K7" s="10" t="n">
        <f aca="false">IF(I7="","",MAX(0,1-I7-J7))</f>
        <v>0</v>
      </c>
      <c r="L7" s="0" t="str">
        <f aca="false">IF(I7="","",IF(I7&gt;=0.5+Config!$B$6,"OVER",IF(J7&gt;=0.5+Config!$B$6,"UNDER","—")))</f>
        <v>UNDER</v>
      </c>
      <c r="N7" s="0" t="n">
        <v>31.1</v>
      </c>
      <c r="O7" s="10" t="n">
        <v>0.4</v>
      </c>
      <c r="P7" s="10" t="n">
        <v>0.4</v>
      </c>
      <c r="Q7" s="10" t="n">
        <v>0.4</v>
      </c>
      <c r="R7" s="9" t="s">
        <v>690</v>
      </c>
      <c r="S7" s="0" t="n">
        <v>-3</v>
      </c>
      <c r="T7" s="0" t="str">
        <f aca="false">INDEX(Calc!$G$2:$G$56,MATCH($W7,Calc!$A$2:$A$56,0))&amp;" / "&amp;INDEX(Calc!$H$2:$H$56,MATCH($W7,Calc!$A$2:$A$56,0))</f>
        <v>Dust2 / Ancient</v>
      </c>
      <c r="U7" s="0" t="str">
        <f aca="false">TEXT(INDEX(Calc!$J$2:$J$56,MATCH($W7,Calc!$A$2:$A$56,0)),"0.0")&amp;" / "&amp;TEXT(INDEX(Calc!$K$2:$K$56,MATCH($W7,Calc!$A$2:$A$56,0)),"0.0")</f>
        <v>21.5 / 21.5</v>
      </c>
      <c r="V7" s="0" t="str">
        <f aca="false">IFERROR(INDEX(Calc!$AQ$2:$AQ$56,MATCH($W7,Calc!$A$2:$A$56,0)),"")</f>
        <v/>
      </c>
      <c r="W7" s="9" t="s">
        <v>698</v>
      </c>
      <c r="X7" s="9" t="s">
        <v>694</v>
      </c>
      <c r="Y7" s="0" t="str">
        <f aca="false">W7&amp;"|"&amp;X7</f>
        <v>7ehti0cn8n4gylc|CS2 · ALKA vs LN|K12</v>
      </c>
      <c r="Z7" s="11" t="n">
        <f aca="false">IFERROR(INDEX(CHOOSE(MATCH($X7,{"K1","K2","K3","K12","K13","H1","H2","H3","H12","H13"},0),Calc!$BA$2:$BA$56,Calc!$BB$2:$BB$56,Calc!$BC$2:$BC$56,Calc!$BD$2:$BD$56,Calc!$BE$2:$BE$56,Calc!$BF$2:$BF$56,Calc!$BG$2:$BG$56,Calc!$BH$2:$BH$56,Calc!$BI$2:$BI$56,Calc!$BJ$2:$BJ$56),MATCH($W7,Calc!$A$2:$A$56,0)),"")</f>
        <v>31.6676762621713</v>
      </c>
      <c r="AA7" s="11" t="n">
        <f aca="false">IF(Z7="","",IF(LEFT($X7,1)="H",SQRT(Z7*(IFERROR(INDEX(Calc!$AP$2:$AP$56,MATCH($W7,Calc!$A$2:$A$56,0)),0.5)*Config!$B$5+1-IFERROR(INDEX(Calc!$AP$2:$AP$56,MATCH($W7,Calc!$A$2:$A$56,0)),0.5))),SQRT(Z7*Config!$B$5)))</f>
        <v>6.65843425791978</v>
      </c>
      <c r="AB7" s="10" t="n">
        <f aca="false">IF(OR(F7="",Z7="",N(AA7)&lt;=0),"",1-NORMDIST(FLOOR(F7,1)+0.5,Z7,AA7,TRUE()))</f>
        <v>0.450260618553549</v>
      </c>
      <c r="AC7" s="10" t="n">
        <f aca="false">IF(AB7="","",NORMDIST(CEILING(F7,1)-0.5,Z7,AA7,TRUE()))</f>
        <v>0.549739381446451</v>
      </c>
      <c r="AD7" s="0" t="str">
        <f aca="false">IF(AB7="","",IF(AB7&gt;=0.5+Config!$B$6,"OVER",IF(AC7&gt;=0.5+Config!$B$6,"UNDER","—")))</f>
        <v>UNDER</v>
      </c>
      <c r="AE7" s="13" t="n">
        <f aca="false">IFERROR(Z7/G7,"")</f>
        <v>1.03298506496452</v>
      </c>
    </row>
    <row r="8" customFormat="false" ht="15" hidden="false" customHeight="false" outlineLevel="0" collapsed="false">
      <c r="A8" s="0" t="s">
        <v>608</v>
      </c>
      <c r="B8" s="0" t="s">
        <v>629</v>
      </c>
      <c r="C8" s="0" t="s">
        <v>699</v>
      </c>
      <c r="D8" s="0" t="s">
        <v>634</v>
      </c>
      <c r="E8" s="0" t="s">
        <v>689</v>
      </c>
      <c r="F8" s="0" t="n">
        <v>14.5</v>
      </c>
      <c r="G8" s="11" t="n">
        <f aca="false">IFERROR(INDEX(CHOOSE(MATCH($X8,{"K1","K2","K3","K12","K13","H1","H2","H3","H12","H13"},0),Calc!$V$2:$V$56,Calc!$AC$2:$AC$56,Calc!$AJ$2:$AJ$56,Calc!$AL$2:$AL$56,Calc!$AM$2:$AM$56,Calc!$W$2:$W$56,Calc!$AD$2:$AD$56,Calc!$AK$2:$AK$56,Calc!$AN$2:$AN$56,Calc!$AO$2:$AO$56),MATCH($W8,Calc!$A$2:$A$56,0)),"")</f>
        <v>13.1263198615917</v>
      </c>
      <c r="H8" s="11" t="n">
        <f aca="false">IF(G8="","",IF(LEFT($X8,1)="H",SQRT(G8*(IFERROR(INDEX(Calc!$AP$2:$AP$56,MATCH($W8,Calc!$A$2:$A$56,0)),0.5)*Config!$B$5+1-IFERROR(INDEX(Calc!$AP$2:$AP$56,MATCH($W8,Calc!$A$2:$A$56,0)),0.5))),SQRT(G8*Config!$B$5)))</f>
        <v>3.9823695469669</v>
      </c>
      <c r="I8" s="10" t="n">
        <f aca="false">IF(OR(F8="",G8="",N(H8)&lt;=0),"",1-NORMDIST(FLOOR(F8,1)+0.5,G8,H8,TRUE()))</f>
        <v>0.365069589385566</v>
      </c>
      <c r="J8" s="10" t="n">
        <f aca="false">IF(I8="","",NORMDIST(CEILING(F8,1)-0.5,G8,H8,TRUE()))</f>
        <v>0.634930410614434</v>
      </c>
      <c r="K8" s="10" t="n">
        <f aca="false">IF(I8="","",MAX(0,1-I8-J8))</f>
        <v>0</v>
      </c>
      <c r="L8" s="0" t="str">
        <f aca="false">IF(I8="","",IF(I8&gt;=0.5+Config!$B$6,"OVER",IF(J8&gt;=0.5+Config!$B$6,"UNDER","—")))</f>
        <v>UNDER</v>
      </c>
      <c r="N8" s="0" t="n">
        <v>14.3</v>
      </c>
      <c r="O8" s="10" t="n">
        <v>0.4</v>
      </c>
      <c r="P8" s="10" t="n">
        <v>0.3</v>
      </c>
      <c r="Q8" s="10" t="n">
        <v>0.33</v>
      </c>
      <c r="R8" s="9" t="s">
        <v>690</v>
      </c>
      <c r="S8" s="0" t="n">
        <v>-2</v>
      </c>
      <c r="T8" s="0" t="str">
        <f aca="false">INDEX(Calc!$G$2:$G$56,MATCH($W8,Calc!$A$2:$A$56,0))&amp;" / "&amp;INDEX(Calc!$H$2:$H$56,MATCH($W8,Calc!$A$2:$A$56,0))</f>
        <v>Dust2 / Ancient</v>
      </c>
      <c r="U8" s="0" t="str">
        <f aca="false">TEXT(INDEX(Calc!$J$2:$J$56,MATCH($W8,Calc!$A$2:$A$56,0)),"0.0")&amp;" / "&amp;TEXT(INDEX(Calc!$K$2:$K$56,MATCH($W8,Calc!$A$2:$A$56,0)),"0.0")</f>
        <v>21.5 / 21.5</v>
      </c>
      <c r="V8" s="0" t="str">
        <f aca="false">IFERROR(INDEX(Calc!$AQ$2:$AQ$56,MATCH($W8,Calc!$A$2:$A$56,0)),"")</f>
        <v/>
      </c>
      <c r="W8" s="9" t="s">
        <v>700</v>
      </c>
      <c r="X8" s="9" t="s">
        <v>692</v>
      </c>
      <c r="Y8" s="0" t="str">
        <f aca="false">W8&amp;"|"&amp;X8</f>
        <v>6nc5vmzm030q26g|CS2 · ALKA vs LN|H12</v>
      </c>
      <c r="Z8" s="11" t="n">
        <f aca="false">IFERROR(INDEX(CHOOSE(MATCH($X8,{"K1","K2","K3","K12","K13","H1","H2","H3","H12","H13"},0),Calc!$BA$2:$BA$56,Calc!$BB$2:$BB$56,Calc!$BC$2:$BC$56,Calc!$BD$2:$BD$56,Calc!$BE$2:$BE$56,Calc!$BF$2:$BF$56,Calc!$BG$2:$BG$56,Calc!$BH$2:$BH$56,Calc!$BI$2:$BI$56,Calc!$BJ$2:$BJ$56),MATCH($W8,Calc!$A$2:$A$56,0)),"")</f>
        <v>13.5640860072613</v>
      </c>
      <c r="AA8" s="11" t="n">
        <f aca="false">IF(Z8="","",IF(LEFT($X8,1)="H",SQRT(Z8*(IFERROR(INDEX(Calc!$AP$2:$AP$56,MATCH($W8,Calc!$A$2:$A$56,0)),0.5)*Config!$B$5+1-IFERROR(INDEX(Calc!$AP$2:$AP$56,MATCH($W8,Calc!$A$2:$A$56,0)),0.5))),SQRT(Z8*Config!$B$5)))</f>
        <v>4.04823144739444</v>
      </c>
      <c r="AB8" s="10" t="n">
        <f aca="false">IF(OR(F8="",Z8="",N(AA8)&lt;=0),"",1-NORMDIST(FLOOR(F8,1)+0.5,Z8,AA8,TRUE()))</f>
        <v>0.408583276406454</v>
      </c>
      <c r="AC8" s="10" t="n">
        <f aca="false">IF(AB8="","",NORMDIST(CEILING(F8,1)-0.5,Z8,AA8,TRUE()))</f>
        <v>0.591416723593546</v>
      </c>
      <c r="AD8" s="0" t="str">
        <f aca="false">IF(AB8="","",IF(AB8&gt;=0.5+Config!$B$6,"OVER",IF(AC8&gt;=0.5+Config!$B$6,"UNDER","—")))</f>
        <v>UNDER</v>
      </c>
      <c r="AE8" s="13" t="n">
        <f aca="false">IFERROR(Z8/G8,"")</f>
        <v>1.0333502573673</v>
      </c>
    </row>
    <row r="9" customFormat="false" ht="15" hidden="false" customHeight="false" outlineLevel="0" collapsed="false">
      <c r="A9" s="0" t="s">
        <v>608</v>
      </c>
      <c r="B9" s="0" t="s">
        <v>629</v>
      </c>
      <c r="C9" s="0" t="s">
        <v>699</v>
      </c>
      <c r="D9" s="0" t="s">
        <v>634</v>
      </c>
      <c r="E9" s="0" t="s">
        <v>693</v>
      </c>
      <c r="F9" s="0" t="n">
        <v>25.5</v>
      </c>
      <c r="G9" s="11" t="n">
        <f aca="false">IFERROR(INDEX(CHOOSE(MATCH($X9,{"K1","K2","K3","K12","K13","H1","H2","H3","H12","H13"},0),Calc!$V$2:$V$56,Calc!$AC$2:$AC$56,Calc!$AJ$2:$AJ$56,Calc!$AL$2:$AL$56,Calc!$AM$2:$AM$56,Calc!$W$2:$W$56,Calc!$AD$2:$AD$56,Calc!$AK$2:$AK$56,Calc!$AN$2:$AN$56,Calc!$AO$2:$AO$56),MATCH($W9,Calc!$A$2:$A$56,0)),"")</f>
        <v>25.2182352941176</v>
      </c>
      <c r="H9" s="11" t="n">
        <f aca="false">IF(G9="","",IF(LEFT($X9,1)="H",SQRT(G9*(IFERROR(INDEX(Calc!$AP$2:$AP$56,MATCH($W9,Calc!$A$2:$A$56,0)),0.5)*Config!$B$5+1-IFERROR(INDEX(Calc!$AP$2:$AP$56,MATCH($W9,Calc!$A$2:$A$56,0)),0.5))),SQRT(G9*Config!$B$5)))</f>
        <v>5.94184562335346</v>
      </c>
      <c r="I9" s="10" t="n">
        <f aca="false">IF(OR(F9="",G9="",N(H9)&lt;=0),"",1-NORMDIST(FLOOR(F9,1)+0.5,G9,H9,TRUE()))</f>
        <v>0.481089084580234</v>
      </c>
      <c r="J9" s="10" t="n">
        <f aca="false">IF(I9="","",NORMDIST(CEILING(F9,1)-0.5,G9,H9,TRUE()))</f>
        <v>0.518910915419766</v>
      </c>
      <c r="K9" s="10" t="n">
        <f aca="false">IF(I9="","",MAX(0,1-I9-J9))</f>
        <v>0</v>
      </c>
      <c r="L9" s="0" t="str">
        <f aca="false">IF(I9="","",IF(I9&gt;=0.5+Config!$B$6,"OVER",IF(J9&gt;=0.5+Config!$B$6,"UNDER","—")))</f>
        <v>—</v>
      </c>
      <c r="N9" s="0" t="n">
        <v>26.7</v>
      </c>
      <c r="O9" s="10" t="n">
        <v>0.4</v>
      </c>
      <c r="P9" s="10" t="n">
        <v>0.6</v>
      </c>
      <c r="Q9" s="10" t="n">
        <v>0.53</v>
      </c>
      <c r="R9" s="9" t="s">
        <v>690</v>
      </c>
      <c r="S9" s="0" t="n">
        <v>-2</v>
      </c>
      <c r="T9" s="0" t="str">
        <f aca="false">INDEX(Calc!$G$2:$G$56,MATCH($W9,Calc!$A$2:$A$56,0))&amp;" / "&amp;INDEX(Calc!$H$2:$H$56,MATCH($W9,Calc!$A$2:$A$56,0))</f>
        <v>Dust2 / Ancient</v>
      </c>
      <c r="U9" s="0" t="str">
        <f aca="false">TEXT(INDEX(Calc!$J$2:$J$56,MATCH($W9,Calc!$A$2:$A$56,0)),"0.0")&amp;" / "&amp;TEXT(INDEX(Calc!$K$2:$K$56,MATCH($W9,Calc!$A$2:$A$56,0)),"0.0")</f>
        <v>21.5 / 21.5</v>
      </c>
      <c r="V9" s="0" t="str">
        <f aca="false">IFERROR(INDEX(Calc!$AQ$2:$AQ$56,MATCH($W9,Calc!$A$2:$A$56,0)),"")</f>
        <v/>
      </c>
      <c r="W9" s="9" t="s">
        <v>700</v>
      </c>
      <c r="X9" s="9" t="s">
        <v>694</v>
      </c>
      <c r="Y9" s="0" t="str">
        <f aca="false">W9&amp;"|"&amp;X9</f>
        <v>6nc5vmzm030q26g|CS2 · ALKA vs LN|K12</v>
      </c>
      <c r="Z9" s="11" t="n">
        <f aca="false">IFERROR(INDEX(CHOOSE(MATCH($X9,{"K1","K2","K3","K12","K13","H1","H2","H3","H12","H13"},0),Calc!$BA$2:$BA$56,Calc!$BB$2:$BB$56,Calc!$BC$2:$BC$56,Calc!$BD$2:$BD$56,Calc!$BE$2:$BE$56,Calc!$BF$2:$BF$56,Calc!$BG$2:$BG$56,Calc!$BH$2:$BH$56,Calc!$BI$2:$BI$56,Calc!$BJ$2:$BJ$56),MATCH($W9,Calc!$A$2:$A$56,0)),"")</f>
        <v>26.0505964333084</v>
      </c>
      <c r="AA9" s="11" t="n">
        <f aca="false">IF(Z9="","",IF(LEFT($X9,1)="H",SQRT(Z9*(IFERROR(INDEX(Calc!$AP$2:$AP$56,MATCH($W9,Calc!$A$2:$A$56,0)),0.5)*Config!$B$5+1-IFERROR(INDEX(Calc!$AP$2:$AP$56,MATCH($W9,Calc!$A$2:$A$56,0)),0.5))),SQRT(Z9*Config!$B$5)))</f>
        <v>6.03910879241563</v>
      </c>
      <c r="AB9" s="10" t="n">
        <f aca="false">IF(OR(F9="",Z9="",N(AA9)&lt;=0),"",1-NORMDIST(FLOOR(F9,1)+0.5,Z9,AA9,TRUE()))</f>
        <v>0.536321959966316</v>
      </c>
      <c r="AC9" s="10" t="n">
        <f aca="false">IF(AB9="","",NORMDIST(CEILING(F9,1)-0.5,Z9,AA9,TRUE()))</f>
        <v>0.463678040033684</v>
      </c>
      <c r="AD9" s="0" t="str">
        <f aca="false">IF(AB9="","",IF(AB9&gt;=0.5+Config!$B$6,"OVER",IF(AC9&gt;=0.5+Config!$B$6,"UNDER","—")))</f>
        <v>—</v>
      </c>
      <c r="AE9" s="13" t="n">
        <f aca="false">IFERROR(Z9/G9,"")</f>
        <v>1.03300631981116</v>
      </c>
    </row>
    <row r="10" customFormat="false" ht="15" hidden="false" customHeight="false" outlineLevel="0" collapsed="false">
      <c r="A10" s="0" t="s">
        <v>608</v>
      </c>
      <c r="B10" s="0" t="s">
        <v>629</v>
      </c>
      <c r="C10" s="0" t="s">
        <v>701</v>
      </c>
      <c r="D10" s="0" t="s">
        <v>634</v>
      </c>
      <c r="E10" s="0" t="s">
        <v>689</v>
      </c>
      <c r="F10" s="0" t="n">
        <v>16.5</v>
      </c>
      <c r="G10" s="11" t="n">
        <f aca="false">IFERROR(INDEX(CHOOSE(MATCH($X10,{"K1","K2","K3","K12","K13","H1","H2","H3","H12","H13"},0),Calc!$V$2:$V$56,Calc!$AC$2:$AC$56,Calc!$AJ$2:$AJ$56,Calc!$AL$2:$AL$56,Calc!$AM$2:$AM$56,Calc!$W$2:$W$56,Calc!$AD$2:$AD$56,Calc!$AK$2:$AK$56,Calc!$AN$2:$AN$56,Calc!$AO$2:$AO$56),MATCH($W10,Calc!$A$2:$A$56,0)),"")</f>
        <v>16.5433438754325</v>
      </c>
      <c r="H10" s="11" t="n">
        <f aca="false">IF(G10="","",IF(LEFT($X10,1)="H",SQRT(G10*(IFERROR(INDEX(Calc!$AP$2:$AP$56,MATCH($W10,Calc!$A$2:$A$56,0)),0.5)*Config!$B$5+1-IFERROR(INDEX(Calc!$AP$2:$AP$56,MATCH($W10,Calc!$A$2:$A$56,0)),0.5))),SQRT(G10*Config!$B$5)))</f>
        <v>4.50862080558919</v>
      </c>
      <c r="I10" s="10" t="n">
        <f aca="false">IF(OR(F10="",G10="",N(H10)&lt;=0),"",1-NORMDIST(FLOOR(F10,1)+0.5,G10,H10,TRUE()))</f>
        <v>0.503835194598218</v>
      </c>
      <c r="J10" s="10" t="n">
        <f aca="false">IF(I10="","",NORMDIST(CEILING(F10,1)-0.5,G10,H10,TRUE()))</f>
        <v>0.496164805401782</v>
      </c>
      <c r="K10" s="10" t="n">
        <f aca="false">IF(I10="","",MAX(0,1-I10-J10))</f>
        <v>0</v>
      </c>
      <c r="L10" s="0" t="str">
        <f aca="false">IF(I10="","",IF(I10&gt;=0.5+Config!$B$6,"OVER",IF(J10&gt;=0.5+Config!$B$6,"UNDER","—")))</f>
        <v>—</v>
      </c>
      <c r="N10" s="0" t="n">
        <v>18.1</v>
      </c>
      <c r="O10" s="10" t="n">
        <v>0.2</v>
      </c>
      <c r="P10" s="10" t="n">
        <v>0.4</v>
      </c>
      <c r="Q10" s="10" t="n">
        <v>0.4</v>
      </c>
      <c r="R10" s="9" t="s">
        <v>690</v>
      </c>
      <c r="S10" s="0" t="n">
        <v>-2</v>
      </c>
      <c r="T10" s="0" t="str">
        <f aca="false">INDEX(Calc!$G$2:$G$56,MATCH($W10,Calc!$A$2:$A$56,0))&amp;" / "&amp;INDEX(Calc!$H$2:$H$56,MATCH($W10,Calc!$A$2:$A$56,0))</f>
        <v>Dust2 / Ancient</v>
      </c>
      <c r="U10" s="0" t="str">
        <f aca="false">TEXT(INDEX(Calc!$J$2:$J$56,MATCH($W10,Calc!$A$2:$A$56,0)),"0.0")&amp;" / "&amp;TEXT(INDEX(Calc!$K$2:$K$56,MATCH($W10,Calc!$A$2:$A$56,0)),"0.0")</f>
        <v>21.5 / 21.5</v>
      </c>
      <c r="V10" s="0" t="str">
        <f aca="false">IFERROR(INDEX(Calc!$AQ$2:$AQ$56,MATCH($W10,Calc!$A$2:$A$56,0)),"")</f>
        <v/>
      </c>
      <c r="W10" s="9" t="s">
        <v>702</v>
      </c>
      <c r="X10" s="9" t="s">
        <v>692</v>
      </c>
      <c r="Y10" s="0" t="str">
        <f aca="false">W10&amp;"|"&amp;X10</f>
        <v>ayxk4sbko48l7n5|CS2 · ALKA vs LN|H12</v>
      </c>
      <c r="Z10" s="11" t="n">
        <f aca="false">IFERROR(INDEX(CHOOSE(MATCH($X10,{"K1","K2","K3","K12","K13","H1","H2","H3","H12","H13"},0),Calc!$BA$2:$BA$56,Calc!$BB$2:$BB$56,Calc!$BC$2:$BC$56,Calc!$BD$2:$BD$56,Calc!$BE$2:$BE$56,Calc!$BF$2:$BF$56,Calc!$BG$2:$BG$56,Calc!$BH$2:$BH$56,Calc!$BI$2:$BI$56,Calc!$BJ$2:$BJ$56),MATCH($W10,Calc!$A$2:$A$56,0)),"")</f>
        <v>17.0844744924156</v>
      </c>
      <c r="AA10" s="11" t="n">
        <f aca="false">IF(Z10="","",IF(LEFT($X10,1)="H",SQRT(Z10*(IFERROR(INDEX(Calc!$AP$2:$AP$56,MATCH($W10,Calc!$A$2:$A$56,0)),0.5)*Config!$B$5+1-IFERROR(INDEX(Calc!$AP$2:$AP$56,MATCH($W10,Calc!$A$2:$A$56,0)),0.5))),SQRT(Z10*Config!$B$5)))</f>
        <v>4.58176567743747</v>
      </c>
      <c r="AB10" s="10" t="n">
        <f aca="false">IF(OR(F10="",Z10="",N(AA10)&lt;=0),"",1-NORMDIST(FLOOR(F10,1)+0.5,Z10,AA10,TRUE()))</f>
        <v>0.550753518825801</v>
      </c>
      <c r="AC10" s="10" t="n">
        <f aca="false">IF(AB10="","",NORMDIST(CEILING(F10,1)-0.5,Z10,AA10,TRUE()))</f>
        <v>0.449246481174199</v>
      </c>
      <c r="AD10" s="0" t="str">
        <f aca="false">IF(AB10="","",IF(AB10&gt;=0.5+Config!$B$6,"OVER",IF(AC10&gt;=0.5+Config!$B$6,"UNDER","—")))</f>
        <v>OVER</v>
      </c>
      <c r="AE10" s="13" t="n">
        <f aca="false">IFERROR(Z10/G10,"")</f>
        <v>1.03270986936243</v>
      </c>
    </row>
    <row r="11" customFormat="false" ht="15" hidden="false" customHeight="false" outlineLevel="0" collapsed="false">
      <c r="A11" s="0" t="s">
        <v>608</v>
      </c>
      <c r="B11" s="0" t="s">
        <v>629</v>
      </c>
      <c r="C11" s="0" t="s">
        <v>701</v>
      </c>
      <c r="D11" s="0" t="s">
        <v>634</v>
      </c>
      <c r="E11" s="0" t="s">
        <v>693</v>
      </c>
      <c r="F11" s="0" t="n">
        <v>29.5</v>
      </c>
      <c r="G11" s="11" t="n">
        <f aca="false">IFERROR(INDEX(CHOOSE(MATCH($X11,{"K1","K2","K3","K12","K13","H1","H2","H3","H12","H13"},0),Calc!$V$2:$V$56,Calc!$AC$2:$AC$56,Calc!$AJ$2:$AJ$56,Calc!$AL$2:$AL$56,Calc!$AM$2:$AM$56,Calc!$W$2:$W$56,Calc!$AD$2:$AD$56,Calc!$AK$2:$AK$56,Calc!$AN$2:$AN$56,Calc!$AO$2:$AO$56),MATCH($W11,Calc!$A$2:$A$56,0)),"")</f>
        <v>28.9280392156863</v>
      </c>
      <c r="H11" s="11" t="n">
        <f aca="false">IF(G11="","",IF(LEFT($X11,1)="H",SQRT(G11*(IFERROR(INDEX(Calc!$AP$2:$AP$56,MATCH($W11,Calc!$A$2:$A$56,0)),0.5)*Config!$B$5+1-IFERROR(INDEX(Calc!$AP$2:$AP$56,MATCH($W11,Calc!$A$2:$A$56,0)),0.5))),SQRT(G11*Config!$B$5)))</f>
        <v>6.36390248997899</v>
      </c>
      <c r="I11" s="10" t="n">
        <f aca="false">IF(OR(F11="",G11="",N(H11)&lt;=0),"",1-NORMDIST(FLOOR(F11,1)+0.5,G11,H11,TRUE()))</f>
        <v>0.464192958746264</v>
      </c>
      <c r="J11" s="10" t="n">
        <f aca="false">IF(I11="","",NORMDIST(CEILING(F11,1)-0.5,G11,H11,TRUE()))</f>
        <v>0.535807041253736</v>
      </c>
      <c r="K11" s="10" t="n">
        <f aca="false">IF(I11="","",MAX(0,1-I11-J11))</f>
        <v>0</v>
      </c>
      <c r="L11" s="0" t="str">
        <f aca="false">IF(I11="","",IF(I11&gt;=0.5+Config!$B$6,"OVER",IF(J11&gt;=0.5+Config!$B$6,"UNDER","—")))</f>
        <v>—</v>
      </c>
      <c r="N11" s="0" t="n">
        <v>30.5</v>
      </c>
      <c r="O11" s="10" t="n">
        <v>0.6</v>
      </c>
      <c r="P11" s="10" t="n">
        <v>0.5</v>
      </c>
      <c r="Q11" s="10" t="n">
        <v>0.47</v>
      </c>
      <c r="R11" s="9" t="s">
        <v>690</v>
      </c>
      <c r="S11" s="0" t="n">
        <v>1</v>
      </c>
      <c r="T11" s="0" t="str">
        <f aca="false">INDEX(Calc!$G$2:$G$56,MATCH($W11,Calc!$A$2:$A$56,0))&amp;" / "&amp;INDEX(Calc!$H$2:$H$56,MATCH($W11,Calc!$A$2:$A$56,0))</f>
        <v>Dust2 / Ancient</v>
      </c>
      <c r="U11" s="0" t="str">
        <f aca="false">TEXT(INDEX(Calc!$J$2:$J$56,MATCH($W11,Calc!$A$2:$A$56,0)),"0.0")&amp;" / "&amp;TEXT(INDEX(Calc!$K$2:$K$56,MATCH($W11,Calc!$A$2:$A$56,0)),"0.0")</f>
        <v>21.5 / 21.5</v>
      </c>
      <c r="V11" s="0" t="str">
        <f aca="false">IFERROR(INDEX(Calc!$AQ$2:$AQ$56,MATCH($W11,Calc!$A$2:$A$56,0)),"")</f>
        <v/>
      </c>
      <c r="W11" s="9" t="s">
        <v>702</v>
      </c>
      <c r="X11" s="9" t="s">
        <v>694</v>
      </c>
      <c r="Y11" s="0" t="str">
        <f aca="false">W11&amp;"|"&amp;X11</f>
        <v>ayxk4sbko48l7n5|CS2 · ALKA vs LN|K12</v>
      </c>
      <c r="Z11" s="11" t="n">
        <f aca="false">IFERROR(INDEX(CHOOSE(MATCH($X11,{"K1","K2","K3","K12","K13","H1","H2","H3","H12","H13"},0),Calc!$BA$2:$BA$56,Calc!$BB$2:$BB$56,Calc!$BC$2:$BC$56,Calc!$BD$2:$BD$56,Calc!$BE$2:$BE$56,Calc!$BF$2:$BF$56,Calc!$BG$2:$BG$56,Calc!$BH$2:$BH$56,Calc!$BI$2:$BI$56,Calc!$BJ$2:$BJ$56),MATCH($W11,Calc!$A$2:$A$56,0)),"")</f>
        <v>29.880523452002</v>
      </c>
      <c r="AA11" s="11" t="n">
        <f aca="false">IF(Z11="","",IF(LEFT($X11,1)="H",SQRT(Z11*(IFERROR(INDEX(Calc!$AP$2:$AP$56,MATCH($W11,Calc!$A$2:$A$56,0)),0.5)*Config!$B$5+1-IFERROR(INDEX(Calc!$AP$2:$AP$56,MATCH($W11,Calc!$A$2:$A$56,0)),0.5))),SQRT(Z11*Config!$B$5)))</f>
        <v>6.46782288199072</v>
      </c>
      <c r="AB11" s="10" t="n">
        <f aca="false">IF(OR(F11="",Z11="",N(AA11)&lt;=0),"",1-NORMDIST(FLOOR(F11,1)+0.5,Z11,AA11,TRUE()))</f>
        <v>0.523457563008917</v>
      </c>
      <c r="AC11" s="10" t="n">
        <f aca="false">IF(AB11="","",NORMDIST(CEILING(F11,1)-0.5,Z11,AA11,TRUE()))</f>
        <v>0.476542436991083</v>
      </c>
      <c r="AD11" s="0" t="str">
        <f aca="false">IF(AB11="","",IF(AB11&gt;=0.5+Config!$B$6,"OVER",IF(AC11&gt;=0.5+Config!$B$6,"UNDER","—")))</f>
        <v>—</v>
      </c>
      <c r="AE11" s="13" t="n">
        <f aca="false">IFERROR(Z11/G11,"")</f>
        <v>1.03292598676371</v>
      </c>
    </row>
    <row r="12" customFormat="false" ht="15" hidden="false" customHeight="false" outlineLevel="0" collapsed="false">
      <c r="A12" s="0" t="s">
        <v>608</v>
      </c>
      <c r="B12" s="0" t="s">
        <v>622</v>
      </c>
      <c r="C12" s="0" t="s">
        <v>703</v>
      </c>
      <c r="D12" s="0" t="s">
        <v>627</v>
      </c>
      <c r="E12" s="0" t="s">
        <v>693</v>
      </c>
      <c r="F12" s="0" t="n">
        <v>31</v>
      </c>
      <c r="G12" s="11" t="n">
        <f aca="false">IFERROR(INDEX(CHOOSE(MATCH($X12,{"K1","K2","K3","K12","K13","H1","H2","H3","H12","H13"},0),Calc!$V$2:$V$56,Calc!$AC$2:$AC$56,Calc!$AJ$2:$AJ$56,Calc!$AL$2:$AL$56,Calc!$AM$2:$AM$56,Calc!$W$2:$W$56,Calc!$AD$2:$AD$56,Calc!$AK$2:$AK$56,Calc!$AN$2:$AN$56,Calc!$AO$2:$AO$56),MATCH($W12,Calc!$A$2:$A$56,0)),"")</f>
        <v>31.9275</v>
      </c>
      <c r="H12" s="11" t="n">
        <f aca="false">IF(G12="","",IF(LEFT($X12,1)="H",SQRT(G12*(IFERROR(INDEX(Calc!$AP$2:$AP$56,MATCH($W12,Calc!$A$2:$A$56,0)),0.5)*Config!$B$5+1-IFERROR(INDEX(Calc!$AP$2:$AP$56,MATCH($W12,Calc!$A$2:$A$56,0)),0.5))),SQRT(G12*Config!$B$5)))</f>
        <v>6.68569368128693</v>
      </c>
      <c r="I12" s="10" t="n">
        <f aca="false">IF(OR(F12="",G12="",N(H12)&lt;=0),"",1-NORMDIST(FLOOR(F12,1)+0.5,G12,H12,TRUE()))</f>
        <v>0.525491996196171</v>
      </c>
      <c r="J12" s="10" t="n">
        <f aca="false">IF(I12="","",NORMDIST(CEILING(F12,1)-0.5,G12,H12,TRUE()))</f>
        <v>0.415462405343423</v>
      </c>
      <c r="K12" s="10" t="n">
        <f aca="false">IF(I12="","",MAX(0,1-I12-J12))</f>
        <v>0.0590455984604069</v>
      </c>
      <c r="L12" s="0" t="str">
        <f aca="false">IF(I12="","",IF(I12&gt;=0.5+Config!$B$6,"OVER",IF(J12&gt;=0.5+Config!$B$6,"UNDER","—")))</f>
        <v>—</v>
      </c>
      <c r="N12" s="0" t="n">
        <v>31.2</v>
      </c>
      <c r="O12" s="10" t="n">
        <v>0.8</v>
      </c>
      <c r="P12" s="10" t="n">
        <v>0.6</v>
      </c>
      <c r="Q12" s="10" t="n">
        <v>0.53</v>
      </c>
      <c r="R12" s="9" t="s">
        <v>690</v>
      </c>
      <c r="S12" s="0" t="n">
        <v>-1</v>
      </c>
      <c r="T12" s="0" t="str">
        <f aca="false">INDEX(Calc!$G$2:$G$56,MATCH($W12,Calc!$A$2:$A$56,0))&amp;" / "&amp;INDEX(Calc!$H$2:$H$56,MATCH($W12,Calc!$A$2:$A$56,0))</f>
        <v>Ancient / Mirage</v>
      </c>
      <c r="U12" s="0" t="str">
        <f aca="false">TEXT(INDEX(Calc!$J$2:$J$56,MATCH($W12,Calc!$A$2:$A$56,0)),"0.0")&amp;" / "&amp;TEXT(INDEX(Calc!$K$2:$K$56,MATCH($W12,Calc!$A$2:$A$56,0)),"0.0")</f>
        <v>21.5 / 21.5</v>
      </c>
      <c r="V12" s="0" t="str">
        <f aca="false">IFERROR(INDEX(Calc!$AQ$2:$AQ$56,MATCH($W12,Calc!$A$2:$A$56,0)),"")</f>
        <v/>
      </c>
      <c r="W12" s="9" t="s">
        <v>704</v>
      </c>
      <c r="X12" s="9" t="s">
        <v>694</v>
      </c>
      <c r="Y12" s="0" t="str">
        <f aca="false">W12&amp;"|"&amp;X12</f>
        <v>u7heqep1e427ajx|CS2 · BORRA vs QUIN|K12</v>
      </c>
      <c r="Z12" s="11" t="n">
        <f aca="false">IFERROR(INDEX(CHOOSE(MATCH($X12,{"K1","K2","K3","K12","K13","H1","H2","H3","H12","H13"},0),Calc!$BA$2:$BA$56,Calc!$BB$2:$BB$56,Calc!$BC$2:$BC$56,Calc!$BD$2:$BD$56,Calc!$BE$2:$BE$56,Calc!$BF$2:$BF$56,Calc!$BG$2:$BG$56,Calc!$BH$2:$BH$56,Calc!$BI$2:$BI$56,Calc!$BJ$2:$BJ$56),MATCH($W12,Calc!$A$2:$A$56,0)),"")</f>
        <v>32.9273747796695</v>
      </c>
      <c r="AA12" s="11" t="n">
        <f aca="false">IF(Z12="","",IF(LEFT($X12,1)="H",SQRT(Z12*(IFERROR(INDEX(Calc!$AP$2:$AP$56,MATCH($W12,Calc!$A$2:$A$56,0)),0.5)*Config!$B$5+1-IFERROR(INDEX(Calc!$AP$2:$AP$56,MATCH($W12,Calc!$A$2:$A$56,0)),0.5))),SQRT(Z12*Config!$B$5)))</f>
        <v>6.78957470623436</v>
      </c>
      <c r="AB12" s="10" t="n">
        <f aca="false">IF(OR(F12="",Z12="",N(AA12)&lt;=0),"",1-NORMDIST(FLOOR(F12,1)+0.5,Z12,AA12,TRUE()))</f>
        <v>0.583256060008567</v>
      </c>
      <c r="AC12" s="10" t="n">
        <f aca="false">IF(AB12="","",NORMDIST(CEILING(F12,1)-0.5,Z12,AA12,TRUE()))</f>
        <v>0.360353150601384</v>
      </c>
      <c r="AD12" s="0" t="str">
        <f aca="false">IF(AB12="","",IF(AB12&gt;=0.5+Config!$B$6,"OVER",IF(AC12&gt;=0.5+Config!$B$6,"UNDER","—")))</f>
        <v>OVER</v>
      </c>
      <c r="AE12" s="13" t="n">
        <f aca="false">IFERROR(Z12/G12,"")</f>
        <v>1.03131703953236</v>
      </c>
    </row>
    <row r="13" customFormat="false" ht="15" hidden="false" customHeight="false" outlineLevel="0" collapsed="false">
      <c r="A13" s="0" t="s">
        <v>608</v>
      </c>
      <c r="B13" s="0" t="s">
        <v>622</v>
      </c>
      <c r="C13" s="0" t="s">
        <v>705</v>
      </c>
      <c r="D13" s="0" t="s">
        <v>627</v>
      </c>
      <c r="E13" s="0" t="s">
        <v>689</v>
      </c>
      <c r="F13" s="0" t="n">
        <v>14.5</v>
      </c>
      <c r="G13" s="11" t="n">
        <f aca="false">IFERROR(INDEX(CHOOSE(MATCH($X13,{"K1","K2","K3","K12","K13","H1","H2","H3","H12","H13"},0),Calc!$V$2:$V$56,Calc!$AC$2:$AC$56,Calc!$AJ$2:$AJ$56,Calc!$AL$2:$AL$56,Calc!$AM$2:$AM$56,Calc!$W$2:$W$56,Calc!$AD$2:$AD$56,Calc!$AK$2:$AK$56,Calc!$AN$2:$AN$56,Calc!$AO$2:$AO$56),MATCH($W13,Calc!$A$2:$A$56,0)),"")</f>
        <v>15.0687154955621</v>
      </c>
      <c r="H13" s="11" t="n">
        <f aca="false">IF(G13="","",IF(LEFT($X13,1)="H",SQRT(G13*(IFERROR(INDEX(Calc!$AP$2:$AP$56,MATCH($W13,Calc!$A$2:$A$56,0)),0.5)*Config!$B$5+1-IFERROR(INDEX(Calc!$AP$2:$AP$56,MATCH($W13,Calc!$A$2:$A$56,0)),0.5))),SQRT(G13*Config!$B$5)))</f>
        <v>4.27954201851549</v>
      </c>
      <c r="I13" s="10" t="n">
        <f aca="false">IF(OR(F13="",G13="",N(H13)&lt;=0),"",1-NORMDIST(FLOOR(F13,1)+0.5,G13,H13,TRUE()))</f>
        <v>0.552860473488918</v>
      </c>
      <c r="J13" s="10" t="n">
        <f aca="false">IF(I13="","",NORMDIST(CEILING(F13,1)-0.5,G13,H13,TRUE()))</f>
        <v>0.447139526511082</v>
      </c>
      <c r="K13" s="10" t="n">
        <f aca="false">IF(I13="","",MAX(0,1-I13-J13))</f>
        <v>0</v>
      </c>
      <c r="L13" s="0" t="str">
        <f aca="false">IF(I13="","",IF(I13&gt;=0.5+Config!$B$6,"OVER",IF(J13&gt;=0.5+Config!$B$6,"UNDER","—")))</f>
        <v>OVER</v>
      </c>
      <c r="N13" s="0" t="n">
        <v>15.8</v>
      </c>
      <c r="O13" s="10" t="n">
        <v>0.4</v>
      </c>
      <c r="P13" s="10" t="n">
        <v>0.5</v>
      </c>
      <c r="Q13" s="10" t="n">
        <v>0.47</v>
      </c>
      <c r="R13" s="9" t="s">
        <v>690</v>
      </c>
      <c r="S13" s="0" t="n">
        <v>-1</v>
      </c>
      <c r="T13" s="0" t="str">
        <f aca="false">INDEX(Calc!$G$2:$G$56,MATCH($W13,Calc!$A$2:$A$56,0))&amp;" / "&amp;INDEX(Calc!$H$2:$H$56,MATCH($W13,Calc!$A$2:$A$56,0))</f>
        <v>Ancient / Mirage</v>
      </c>
      <c r="U13" s="0" t="str">
        <f aca="false">TEXT(INDEX(Calc!$J$2:$J$56,MATCH($W13,Calc!$A$2:$A$56,0)),"0.0")&amp;" / "&amp;TEXT(INDEX(Calc!$K$2:$K$56,MATCH($W13,Calc!$A$2:$A$56,0)),"0.0")</f>
        <v>21.5 / 21.5</v>
      </c>
      <c r="V13" s="0" t="str">
        <f aca="false">IFERROR(INDEX(Calc!$AQ$2:$AQ$56,MATCH($W13,Calc!$A$2:$A$56,0)),"")</f>
        <v/>
      </c>
      <c r="W13" s="9" t="s">
        <v>706</v>
      </c>
      <c r="X13" s="9" t="s">
        <v>692</v>
      </c>
      <c r="Y13" s="0" t="str">
        <f aca="false">W13&amp;"|"&amp;X13</f>
        <v>okzgw3wbik4w71f|CS2 · BORRA vs QUIN|H12</v>
      </c>
      <c r="Z13" s="11" t="n">
        <f aca="false">IFERROR(INDEX(CHOOSE(MATCH($X13,{"K1","K2","K3","K12","K13","H1","H2","H3","H12","H13"},0),Calc!$BA$2:$BA$56,Calc!$BB$2:$BB$56,Calc!$BC$2:$BC$56,Calc!$BD$2:$BD$56,Calc!$BE$2:$BE$56,Calc!$BF$2:$BF$56,Calc!$BG$2:$BG$56,Calc!$BH$2:$BH$56,Calc!$BI$2:$BI$56,Calc!$BJ$2:$BJ$56),MATCH($W13,Calc!$A$2:$A$56,0)),"")</f>
        <v>15.546555518314</v>
      </c>
      <c r="AA13" s="11" t="n">
        <f aca="false">IF(Z13="","",IF(LEFT($X13,1)="H",SQRT(Z13*(IFERROR(INDEX(Calc!$AP$2:$AP$56,MATCH($W13,Calc!$A$2:$A$56,0)),0.5)*Config!$B$5+1-IFERROR(INDEX(Calc!$AP$2:$AP$56,MATCH($W13,Calc!$A$2:$A$56,0)),0.5))),SQRT(Z13*Config!$B$5)))</f>
        <v>4.34686616782381</v>
      </c>
      <c r="AB13" s="10" t="n">
        <f aca="false">IF(OR(F13="",Z13="",N(AA13)&lt;=0),"",1-NORMDIST(FLOOR(F13,1)+0.5,Z13,AA13,TRUE()))</f>
        <v>0.595129791813627</v>
      </c>
      <c r="AC13" s="10" t="n">
        <f aca="false">IF(AB13="","",NORMDIST(CEILING(F13,1)-0.5,Z13,AA13,TRUE()))</f>
        <v>0.404870208186373</v>
      </c>
      <c r="AD13" s="0" t="str">
        <f aca="false">IF(AB13="","",IF(AB13&gt;=0.5+Config!$B$6,"OVER",IF(AC13&gt;=0.5+Config!$B$6,"UNDER","—")))</f>
        <v>OVER</v>
      </c>
      <c r="AE13" s="13" t="n">
        <f aca="false">IFERROR(Z13/G13,"")</f>
        <v>1.03171073359853</v>
      </c>
    </row>
    <row r="14" customFormat="false" ht="15" hidden="false" customHeight="false" outlineLevel="0" collapsed="false">
      <c r="A14" s="0" t="s">
        <v>608</v>
      </c>
      <c r="B14" s="0" t="s">
        <v>622</v>
      </c>
      <c r="C14" s="0" t="s">
        <v>705</v>
      </c>
      <c r="D14" s="0" t="s">
        <v>627</v>
      </c>
      <c r="E14" s="0" t="s">
        <v>693</v>
      </c>
      <c r="F14" s="0" t="n">
        <v>27.5</v>
      </c>
      <c r="G14" s="11" t="n">
        <f aca="false">IFERROR(INDEX(CHOOSE(MATCH($X14,{"K1","K2","K3","K12","K13","H1","H2","H3","H12","H13"},0),Calc!$V$2:$V$56,Calc!$AC$2:$AC$56,Calc!$AJ$2:$AJ$56,Calc!$AL$2:$AL$56,Calc!$AM$2:$AM$56,Calc!$W$2:$W$56,Calc!$AD$2:$AD$56,Calc!$AK$2:$AK$56,Calc!$AN$2:$AN$56,Calc!$AO$2:$AO$56),MATCH($W14,Calc!$A$2:$A$56,0)),"")</f>
        <v>27.9830769230769</v>
      </c>
      <c r="H14" s="11" t="n">
        <f aca="false">IF(G14="","",IF(LEFT($X14,1)="H",SQRT(G14*(IFERROR(INDEX(Calc!$AP$2:$AP$56,MATCH($W14,Calc!$A$2:$A$56,0)),0.5)*Config!$B$5+1-IFERROR(INDEX(Calc!$AP$2:$AP$56,MATCH($W14,Calc!$A$2:$A$56,0)),0.5))),SQRT(G14*Config!$B$5)))</f>
        <v>6.25909799350575</v>
      </c>
      <c r="I14" s="10" t="n">
        <f aca="false">IF(OR(F14="",G14="",N(H14)&lt;=0),"",1-NORMDIST(FLOOR(F14,1)+0.5,G14,H14,TRUE()))</f>
        <v>0.530759807538487</v>
      </c>
      <c r="J14" s="10" t="n">
        <f aca="false">IF(I14="","",NORMDIST(CEILING(F14,1)-0.5,G14,H14,TRUE()))</f>
        <v>0.469240192461514</v>
      </c>
      <c r="K14" s="10" t="n">
        <f aca="false">IF(I14="","",MAX(0,1-I14-J14))</f>
        <v>0</v>
      </c>
      <c r="L14" s="0" t="str">
        <f aca="false">IF(I14="","",IF(I14&gt;=0.5+Config!$B$6,"OVER",IF(J14&gt;=0.5+Config!$B$6,"UNDER","—")))</f>
        <v>—</v>
      </c>
      <c r="N14" s="0" t="n">
        <v>29.5</v>
      </c>
      <c r="O14" s="10" t="n">
        <v>0.6</v>
      </c>
      <c r="P14" s="10" t="n">
        <v>0.6</v>
      </c>
      <c r="Q14" s="10" t="n">
        <v>0.53</v>
      </c>
      <c r="R14" s="9" t="s">
        <v>690</v>
      </c>
      <c r="S14" s="0" t="n">
        <v>-1</v>
      </c>
      <c r="T14" s="0" t="str">
        <f aca="false">INDEX(Calc!$G$2:$G$56,MATCH($W14,Calc!$A$2:$A$56,0))&amp;" / "&amp;INDEX(Calc!$H$2:$H$56,MATCH($W14,Calc!$A$2:$A$56,0))</f>
        <v>Ancient / Mirage</v>
      </c>
      <c r="U14" s="0" t="str">
        <f aca="false">TEXT(INDEX(Calc!$J$2:$J$56,MATCH($W14,Calc!$A$2:$A$56,0)),"0.0")&amp;" / "&amp;TEXT(INDEX(Calc!$K$2:$K$56,MATCH($W14,Calc!$A$2:$A$56,0)),"0.0")</f>
        <v>21.5 / 21.5</v>
      </c>
      <c r="V14" s="0" t="str">
        <f aca="false">IFERROR(INDEX(Calc!$AQ$2:$AQ$56,MATCH($W14,Calc!$A$2:$A$56,0)),"")</f>
        <v/>
      </c>
      <c r="W14" s="9" t="s">
        <v>706</v>
      </c>
      <c r="X14" s="9" t="s">
        <v>694</v>
      </c>
      <c r="Y14" s="0" t="str">
        <f aca="false">W14&amp;"|"&amp;X14</f>
        <v>okzgw3wbik4w71f|CS2 · BORRA vs QUIN|K12</v>
      </c>
      <c r="Z14" s="11" t="n">
        <f aca="false">IFERROR(INDEX(CHOOSE(MATCH($X14,{"K1","K2","K3","K12","K13","H1","H2","H3","H12","H13"},0),Calc!$BA$2:$BA$56,Calc!$BB$2:$BB$56,Calc!$BC$2:$BC$56,Calc!$BD$2:$BD$56,Calc!$BE$2:$BE$56,Calc!$BF$2:$BF$56,Calc!$BG$2:$BG$56,Calc!$BH$2:$BH$56,Calc!$BI$2:$BI$56,Calc!$BJ$2:$BJ$56),MATCH($W14,Calc!$A$2:$A$56,0)),"")</f>
        <v>28.8712160606768</v>
      </c>
      <c r="AA14" s="11" t="n">
        <f aca="false">IF(Z14="","",IF(LEFT($X14,1)="H",SQRT(Z14*(IFERROR(INDEX(Calc!$AP$2:$AP$56,MATCH($W14,Calc!$A$2:$A$56,0)),0.5)*Config!$B$5+1-IFERROR(INDEX(Calc!$AP$2:$AP$56,MATCH($W14,Calc!$A$2:$A$56,0)),0.5))),SQRT(Z14*Config!$B$5)))</f>
        <v>6.35764913194709</v>
      </c>
      <c r="AB14" s="10" t="n">
        <f aca="false">IF(OR(F14="",Z14="",N(AA14)&lt;=0),"",1-NORMDIST(FLOOR(F14,1)+0.5,Z14,AA14,TRUE()))</f>
        <v>0.585381299526004</v>
      </c>
      <c r="AC14" s="10" t="n">
        <f aca="false">IF(AB14="","",NORMDIST(CEILING(F14,1)-0.5,Z14,AA14,TRUE()))</f>
        <v>0.414618700473996</v>
      </c>
      <c r="AD14" s="0" t="str">
        <f aca="false">IF(AB14="","",IF(AB14&gt;=0.5+Config!$B$6,"OVER",IF(AC14&gt;=0.5+Config!$B$6,"UNDER","—")))</f>
        <v>OVER</v>
      </c>
      <c r="AE14" s="13" t="n">
        <f aca="false">IFERROR(Z14/G14,"")</f>
        <v>1.03173843748639</v>
      </c>
    </row>
    <row r="15" customFormat="false" ht="15" hidden="false" customHeight="false" outlineLevel="0" collapsed="false">
      <c r="A15" s="0" t="s">
        <v>608</v>
      </c>
      <c r="B15" s="0" t="s">
        <v>622</v>
      </c>
      <c r="C15" s="0" t="s">
        <v>707</v>
      </c>
      <c r="D15" s="0" t="s">
        <v>627</v>
      </c>
      <c r="E15" s="0" t="s">
        <v>689</v>
      </c>
      <c r="F15" s="0" t="n">
        <v>17</v>
      </c>
      <c r="G15" s="11" t="n">
        <f aca="false">IFERROR(INDEX(CHOOSE(MATCH($X15,{"K1","K2","K3","K12","K13","H1","H2","H3","H12","H13"},0),Calc!$V$2:$V$56,Calc!$AC$2:$AC$56,Calc!$AJ$2:$AJ$56,Calc!$AL$2:$AL$56,Calc!$AM$2:$AM$56,Calc!$W$2:$W$56,Calc!$AD$2:$AD$56,Calc!$AK$2:$AK$56,Calc!$AN$2:$AN$56,Calc!$AO$2:$AO$56),MATCH($W15,Calc!$A$2:$A$56,0)),"")</f>
        <v>16.7145968218537</v>
      </c>
      <c r="H15" s="11" t="n">
        <f aca="false">IF(G15="","",IF(LEFT($X15,1)="H",SQRT(G15*(IFERROR(INDEX(Calc!$AP$2:$AP$56,MATCH($W15,Calc!$A$2:$A$56,0)),0.5)*Config!$B$5+1-IFERROR(INDEX(Calc!$AP$2:$AP$56,MATCH($W15,Calc!$A$2:$A$56,0)),0.5))),SQRT(G15*Config!$B$5)))</f>
        <v>4.55117714428259</v>
      </c>
      <c r="I15" s="10" t="n">
        <f aca="false">IF(OR(F15="",G15="",N(H15)&lt;=0),"",1-NORMDIST(FLOOR(F15,1)+0.5,G15,H15,TRUE()))</f>
        <v>0.431494152635423</v>
      </c>
      <c r="J15" s="10" t="n">
        <f aca="false">IF(I15="","",NORMDIST(CEILING(F15,1)-0.5,G15,H15,TRUE()))</f>
        <v>0.48119606646063</v>
      </c>
      <c r="K15" s="10" t="n">
        <f aca="false">IF(I15="","",MAX(0,1-I15-J15))</f>
        <v>0.0873097809039474</v>
      </c>
      <c r="L15" s="0" t="str">
        <f aca="false">IF(I15="","",IF(I15&gt;=0.5+Config!$B$6,"OVER",IF(J15&gt;=0.5+Config!$B$6,"UNDER","—")))</f>
        <v>—</v>
      </c>
      <c r="N15" s="0" t="n">
        <v>17.4</v>
      </c>
      <c r="O15" s="10" t="n">
        <v>0.6</v>
      </c>
      <c r="P15" s="10" t="n">
        <v>0.4</v>
      </c>
      <c r="Q15" s="10" t="n">
        <v>0.47</v>
      </c>
      <c r="R15" s="9" t="s">
        <v>708</v>
      </c>
      <c r="S15" s="0" t="n">
        <v>1</v>
      </c>
      <c r="T15" s="0" t="str">
        <f aca="false">INDEX(Calc!$G$2:$G$56,MATCH($W15,Calc!$A$2:$A$56,0))&amp;" / "&amp;INDEX(Calc!$H$2:$H$56,MATCH($W15,Calc!$A$2:$A$56,0))</f>
        <v>Ancient / Mirage</v>
      </c>
      <c r="U15" s="0" t="str">
        <f aca="false">TEXT(INDEX(Calc!$J$2:$J$56,MATCH($W15,Calc!$A$2:$A$56,0)),"0.0")&amp;" / "&amp;TEXT(INDEX(Calc!$K$2:$K$56,MATCH($W15,Calc!$A$2:$A$56,0)),"0.0")</f>
        <v>21.5 / 21.5</v>
      </c>
      <c r="V15" s="0" t="str">
        <f aca="false">IFERROR(INDEX(Calc!$AQ$2:$AQ$56,MATCH($W15,Calc!$A$2:$A$56,0)),"")</f>
        <v/>
      </c>
      <c r="W15" s="9" t="s">
        <v>709</v>
      </c>
      <c r="X15" s="9" t="s">
        <v>692</v>
      </c>
      <c r="Y15" s="0" t="str">
        <f aca="false">W15&amp;"|"&amp;X15</f>
        <v>eiab63phy81sn0c|CS2 · BORRA vs QUIN|H12</v>
      </c>
      <c r="Z15" s="11" t="n">
        <f aca="false">IFERROR(INDEX(CHOOSE(MATCH($X15,{"K1","K2","K3","K12","K13","H1","H2","H3","H12","H13"},0),Calc!$BA$2:$BA$56,Calc!$BB$2:$BB$56,Calc!$BC$2:$BC$56,Calc!$BD$2:$BD$56,Calc!$BE$2:$BE$56,Calc!$BF$2:$BF$56,Calc!$BG$2:$BG$56,Calc!$BH$2:$BH$56,Calc!$BI$2:$BI$56,Calc!$BJ$2:$BJ$56),MATCH($W15,Calc!$A$2:$A$56,0)),"")</f>
        <v>17.240835964342</v>
      </c>
      <c r="AA15" s="11" t="n">
        <f aca="false">IF(Z15="","",IF(LEFT($X15,1)="H",SQRT(Z15*(IFERROR(INDEX(Calc!$AP$2:$AP$56,MATCH($W15,Calc!$A$2:$A$56,0)),0.5)*Config!$B$5+1-IFERROR(INDEX(Calc!$AP$2:$AP$56,MATCH($W15,Calc!$A$2:$A$56,0)),0.5))),SQRT(Z15*Config!$B$5)))</f>
        <v>4.62226613407248</v>
      </c>
      <c r="AB15" s="10" t="n">
        <f aca="false">IF(OR(F15="",Z15="",N(AA15)&lt;=0),"",1-NORMDIST(FLOOR(F15,1)+0.5,Z15,AA15,TRUE()))</f>
        <v>0.47764357522064</v>
      </c>
      <c r="AC15" s="10" t="n">
        <f aca="false">IF(AB15="","",NORMDIST(CEILING(F15,1)-0.5,Z15,AA15,TRUE()))</f>
        <v>0.436332033150042</v>
      </c>
      <c r="AD15" s="0" t="str">
        <f aca="false">IF(AB15="","",IF(AB15&gt;=0.5+Config!$B$6,"OVER",IF(AC15&gt;=0.5+Config!$B$6,"UNDER","—")))</f>
        <v>—</v>
      </c>
      <c r="AE15" s="13" t="n">
        <f aca="false">IFERROR(Z15/G15,"")</f>
        <v>1.03148380712362</v>
      </c>
    </row>
    <row r="16" customFormat="false" ht="15" hidden="false" customHeight="false" outlineLevel="0" collapsed="false">
      <c r="A16" s="0" t="s">
        <v>608</v>
      </c>
      <c r="B16" s="0" t="s">
        <v>622</v>
      </c>
      <c r="C16" s="0" t="s">
        <v>707</v>
      </c>
      <c r="D16" s="0" t="s">
        <v>627</v>
      </c>
      <c r="E16" s="0" t="s">
        <v>693</v>
      </c>
      <c r="F16" s="0" t="n">
        <v>28.5</v>
      </c>
      <c r="G16" s="11" t="n">
        <f aca="false">IFERROR(INDEX(CHOOSE(MATCH($X16,{"K1","K2","K3","K12","K13","H1","H2","H3","H12","H13"},0),Calc!$V$2:$V$56,Calc!$AC$2:$AC$56,Calc!$AJ$2:$AJ$56,Calc!$AL$2:$AL$56,Calc!$AM$2:$AM$56,Calc!$W$2:$W$56,Calc!$AD$2:$AD$56,Calc!$AK$2:$AK$56,Calc!$AN$2:$AN$56,Calc!$AO$2:$AO$56),MATCH($W16,Calc!$A$2:$A$56,0)),"")</f>
        <v>27.9474404761905</v>
      </c>
      <c r="H16" s="11" t="n">
        <f aca="false">IF(G16="","",IF(LEFT($X16,1)="H",SQRT(G16*(IFERROR(INDEX(Calc!$AP$2:$AP$56,MATCH($W16,Calc!$A$2:$A$56,0)),0.5)*Config!$B$5+1-IFERROR(INDEX(Calc!$AP$2:$AP$56,MATCH($W16,Calc!$A$2:$A$56,0)),0.5))),SQRT(G16*Config!$B$5)))</f>
        <v>6.25511124334865</v>
      </c>
      <c r="I16" s="10" t="n">
        <f aca="false">IF(OR(F16="",G16="",N(H16)&lt;=0),"",1-NORMDIST(FLOOR(F16,1)+0.5,G16,H16,TRUE()))</f>
        <v>0.464804304136242</v>
      </c>
      <c r="J16" s="10" t="n">
        <f aca="false">IF(I16="","",NORMDIST(CEILING(F16,1)-0.5,G16,H16,TRUE()))</f>
        <v>0.535195695863758</v>
      </c>
      <c r="K16" s="10" t="n">
        <f aca="false">IF(I16="","",MAX(0,1-I16-J16))</f>
        <v>0</v>
      </c>
      <c r="L16" s="0" t="str">
        <f aca="false">IF(I16="","",IF(I16&gt;=0.5+Config!$B$6,"OVER",IF(J16&gt;=0.5+Config!$B$6,"UNDER","—")))</f>
        <v>—</v>
      </c>
      <c r="N16" s="0" t="n">
        <v>28.3</v>
      </c>
      <c r="O16" s="10" t="n">
        <v>0.6</v>
      </c>
      <c r="P16" s="10" t="n">
        <v>0.4</v>
      </c>
      <c r="Q16" s="10" t="n">
        <v>0.4</v>
      </c>
      <c r="R16" s="9" t="s">
        <v>708</v>
      </c>
      <c r="S16" s="0" t="n">
        <v>1</v>
      </c>
      <c r="T16" s="0" t="str">
        <f aca="false">INDEX(Calc!$G$2:$G$56,MATCH($W16,Calc!$A$2:$A$56,0))&amp;" / "&amp;INDEX(Calc!$H$2:$H$56,MATCH($W16,Calc!$A$2:$A$56,0))</f>
        <v>Ancient / Mirage</v>
      </c>
      <c r="U16" s="0" t="str">
        <f aca="false">TEXT(INDEX(Calc!$J$2:$J$56,MATCH($W16,Calc!$A$2:$A$56,0)),"0.0")&amp;" / "&amp;TEXT(INDEX(Calc!$K$2:$K$56,MATCH($W16,Calc!$A$2:$A$56,0)),"0.0")</f>
        <v>21.5 / 21.5</v>
      </c>
      <c r="V16" s="0" t="str">
        <f aca="false">IFERROR(INDEX(Calc!$AQ$2:$AQ$56,MATCH($W16,Calc!$A$2:$A$56,0)),"")</f>
        <v/>
      </c>
      <c r="W16" s="9" t="s">
        <v>709</v>
      </c>
      <c r="X16" s="9" t="s">
        <v>694</v>
      </c>
      <c r="Y16" s="0" t="str">
        <f aca="false">W16&amp;"|"&amp;X16</f>
        <v>eiab63phy81sn0c|CS2 · BORRA vs QUIN|K12</v>
      </c>
      <c r="Z16" s="11" t="n">
        <f aca="false">IFERROR(INDEX(CHOOSE(MATCH($X16,{"K1","K2","K3","K12","K13","H1","H2","H3","H12","H13"},0),Calc!$BA$2:$BA$56,Calc!$BB$2:$BB$56,Calc!$BC$2:$BC$56,Calc!$BD$2:$BD$56,Calc!$BE$2:$BE$56,Calc!$BF$2:$BF$56,Calc!$BG$2:$BG$56,Calc!$BH$2:$BH$56,Calc!$BI$2:$BI$56,Calc!$BJ$2:$BJ$56),MATCH($W16,Calc!$A$2:$A$56,0)),"")</f>
        <v>28.8230195347847</v>
      </c>
      <c r="AA16" s="11" t="n">
        <f aca="false">IF(Z16="","",IF(LEFT($X16,1)="H",SQRT(Z16*(IFERROR(INDEX(Calc!$AP$2:$AP$56,MATCH($W16,Calc!$A$2:$A$56,0)),0.5)*Config!$B$5+1-IFERROR(INDEX(Calc!$AP$2:$AP$56,MATCH($W16,Calc!$A$2:$A$56,0)),0.5))),SQRT(Z16*Config!$B$5)))</f>
        <v>6.35234030485605</v>
      </c>
      <c r="AB16" s="10" t="n">
        <f aca="false">IF(OR(F16="",Z16="",N(AA16)&lt;=0),"",1-NORMDIST(FLOOR(F16,1)+0.5,Z16,AA16,TRUE()))</f>
        <v>0.520277665990956</v>
      </c>
      <c r="AC16" s="10" t="n">
        <f aca="false">IF(AB16="","",NORMDIST(CEILING(F16,1)-0.5,Z16,AA16,TRUE()))</f>
        <v>0.479722334009044</v>
      </c>
      <c r="AD16" s="0" t="str">
        <f aca="false">IF(AB16="","",IF(AB16&gt;=0.5+Config!$B$6,"OVER",IF(AC16&gt;=0.5+Config!$B$6,"UNDER","—")))</f>
        <v>—</v>
      </c>
      <c r="AE16" s="13" t="n">
        <f aca="false">IFERROR(Z16/G16,"")</f>
        <v>1.03132949005975</v>
      </c>
    </row>
    <row r="17" customFormat="false" ht="15" hidden="false" customHeight="false" outlineLevel="0" collapsed="false">
      <c r="A17" s="0" t="s">
        <v>608</v>
      </c>
      <c r="B17" s="0" t="s">
        <v>622</v>
      </c>
      <c r="C17" s="0" t="s">
        <v>710</v>
      </c>
      <c r="D17" s="0" t="s">
        <v>627</v>
      </c>
      <c r="E17" s="0" t="s">
        <v>689</v>
      </c>
      <c r="F17" s="0" t="n">
        <v>15.5</v>
      </c>
      <c r="G17" s="11" t="n">
        <f aca="false">IFERROR(INDEX(CHOOSE(MATCH($X17,{"K1","K2","K3","K12","K13","H1","H2","H3","H12","H13"},0),Calc!$V$2:$V$56,Calc!$AC$2:$AC$56,Calc!$AJ$2:$AJ$56,Calc!$AL$2:$AL$56,Calc!$AM$2:$AM$56,Calc!$W$2:$W$56,Calc!$AD$2:$AD$56,Calc!$AK$2:$AK$56,Calc!$AN$2:$AN$56,Calc!$AO$2:$AO$56),MATCH($W17,Calc!$A$2:$A$56,0)),"")</f>
        <v>14.3258953571429</v>
      </c>
      <c r="H17" s="11" t="n">
        <f aca="false">IF(G17="","",IF(LEFT($X17,1)="H",SQRT(G17*(IFERROR(INDEX(Calc!$AP$2:$AP$56,MATCH($W17,Calc!$A$2:$A$56,0)),0.5)*Config!$B$5+1-IFERROR(INDEX(Calc!$AP$2:$AP$56,MATCH($W17,Calc!$A$2:$A$56,0)),0.5))),SQRT(G17*Config!$B$5)))</f>
        <v>4.15002335825399</v>
      </c>
      <c r="I17" s="10" t="n">
        <f aca="false">IF(OR(F17="",G17="",N(H17)&lt;=0),"",1-NORMDIST(FLOOR(F17,1)+0.5,G17,H17,TRUE()))</f>
        <v>0.388620925451971</v>
      </c>
      <c r="J17" s="10" t="n">
        <f aca="false">IF(I17="","",NORMDIST(CEILING(F17,1)-0.5,G17,H17,TRUE()))</f>
        <v>0.611379074548029</v>
      </c>
      <c r="K17" s="10" t="n">
        <f aca="false">IF(I17="","",MAX(0,1-I17-J17))</f>
        <v>0</v>
      </c>
      <c r="L17" s="0" t="str">
        <f aca="false">IF(I17="","",IF(I17&gt;=0.5+Config!$B$6,"OVER",IF(J17&gt;=0.5+Config!$B$6,"UNDER","—")))</f>
        <v>UNDER</v>
      </c>
      <c r="N17" s="0" t="n">
        <v>14.6</v>
      </c>
      <c r="O17" s="10" t="n">
        <v>0.2</v>
      </c>
      <c r="P17" s="10" t="n">
        <v>0.3</v>
      </c>
      <c r="Q17" s="10" t="n">
        <v>0.4</v>
      </c>
      <c r="R17" s="9" t="s">
        <v>711</v>
      </c>
      <c r="S17" s="0" t="n">
        <v>-2</v>
      </c>
      <c r="T17" s="0" t="str">
        <f aca="false">INDEX(Calc!$G$2:$G$56,MATCH($W17,Calc!$A$2:$A$56,0))&amp;" / "&amp;INDEX(Calc!$H$2:$H$56,MATCH($W17,Calc!$A$2:$A$56,0))</f>
        <v>Ancient / Mirage</v>
      </c>
      <c r="U17" s="0" t="str">
        <f aca="false">TEXT(INDEX(Calc!$J$2:$J$56,MATCH($W17,Calc!$A$2:$A$56,0)),"0.0")&amp;" / "&amp;TEXT(INDEX(Calc!$K$2:$K$56,MATCH($W17,Calc!$A$2:$A$56,0)),"0.0")</f>
        <v>21.5 / 21.5</v>
      </c>
      <c r="V17" s="0" t="str">
        <f aca="false">IFERROR(INDEX(Calc!$AQ$2:$AQ$56,MATCH($W17,Calc!$A$2:$A$56,0)),"")</f>
        <v/>
      </c>
      <c r="W17" s="9" t="s">
        <v>712</v>
      </c>
      <c r="X17" s="9" t="s">
        <v>692</v>
      </c>
      <c r="Y17" s="0" t="str">
        <f aca="false">W17&amp;"|"&amp;X17</f>
        <v>9qcftadrz2wvr8c|CS2 · BORRA vs QUIN|H12</v>
      </c>
      <c r="Z17" s="11" t="n">
        <f aca="false">IFERROR(INDEX(CHOOSE(MATCH($X17,{"K1","K2","K3","K12","K13","H1","H2","H3","H12","H13"},0),Calc!$BA$2:$BA$56,Calc!$BB$2:$BB$56,Calc!$BC$2:$BC$56,Calc!$BD$2:$BD$56,Calc!$BE$2:$BE$56,Calc!$BF$2:$BF$56,Calc!$BG$2:$BG$56,Calc!$BH$2:$BH$56,Calc!$BI$2:$BI$56,Calc!$BJ$2:$BJ$56),MATCH($W17,Calc!$A$2:$A$56,0)),"")</f>
        <v>14.7652615668349</v>
      </c>
      <c r="AA17" s="11" t="n">
        <f aca="false">IF(Z17="","",IF(LEFT($X17,1)="H",SQRT(Z17*(IFERROR(INDEX(Calc!$AP$2:$AP$56,MATCH($W17,Calc!$A$2:$A$56,0)),0.5)*Config!$B$5+1-IFERROR(INDEX(Calc!$AP$2:$AP$56,MATCH($W17,Calc!$A$2:$A$56,0)),0.5))),SQRT(Z17*Config!$B$5)))</f>
        <v>4.21318206041594</v>
      </c>
      <c r="AB17" s="10" t="n">
        <f aca="false">IF(OR(F17="",Z17="",N(AA17)&lt;=0),"",1-NORMDIST(FLOOR(F17,1)+0.5,Z17,AA17,TRUE()))</f>
        <v>0.430779335886247</v>
      </c>
      <c r="AC17" s="10" t="n">
        <f aca="false">IF(AB17="","",NORMDIST(CEILING(F17,1)-0.5,Z17,AA17,TRUE()))</f>
        <v>0.569220664113753</v>
      </c>
      <c r="AD17" s="0" t="str">
        <f aca="false">IF(AB17="","",IF(AB17&gt;=0.5+Config!$B$6,"OVER",IF(AC17&gt;=0.5+Config!$B$6,"UNDER","—")))</f>
        <v>UNDER</v>
      </c>
      <c r="AE17" s="13" t="n">
        <f aca="false">IFERROR(Z17/G17,"")</f>
        <v>1.03066937170339</v>
      </c>
    </row>
    <row r="18" customFormat="false" ht="15" hidden="false" customHeight="false" outlineLevel="0" collapsed="false">
      <c r="A18" s="0" t="s">
        <v>608</v>
      </c>
      <c r="B18" s="0" t="s">
        <v>622</v>
      </c>
      <c r="C18" s="0" t="s">
        <v>710</v>
      </c>
      <c r="D18" s="0" t="s">
        <v>627</v>
      </c>
      <c r="E18" s="0" t="s">
        <v>693</v>
      </c>
      <c r="F18" s="0" t="n">
        <v>29.5</v>
      </c>
      <c r="G18" s="11" t="n">
        <f aca="false">IFERROR(INDEX(CHOOSE(MATCH($X18,{"K1","K2","K3","K12","K13","H1","H2","H3","H12","H13"},0),Calc!$V$2:$V$56,Calc!$AC$2:$AC$56,Calc!$AJ$2:$AJ$56,Calc!$AL$2:$AL$56,Calc!$AM$2:$AM$56,Calc!$W$2:$W$56,Calc!$AD$2:$AD$56,Calc!$AK$2:$AK$56,Calc!$AN$2:$AN$56,Calc!$AO$2:$AO$56),MATCH($W18,Calc!$A$2:$A$56,0)),"")</f>
        <v>28.3390476190476</v>
      </c>
      <c r="H18" s="11" t="n">
        <f aca="false">IF(G18="","",IF(LEFT($X18,1)="H",SQRT(G18*(IFERROR(INDEX(Calc!$AP$2:$AP$56,MATCH($W18,Calc!$A$2:$A$56,0)),0.5)*Config!$B$5+1-IFERROR(INDEX(Calc!$AP$2:$AP$56,MATCH($W18,Calc!$A$2:$A$56,0)),0.5))),SQRT(G18*Config!$B$5)))</f>
        <v>6.2987829512269</v>
      </c>
      <c r="I18" s="10" t="n">
        <f aca="false">IF(OR(F18="",G18="",N(H18)&lt;=0),"",1-NORMDIST(FLOOR(F18,1)+0.5,G18,H18,TRUE()))</f>
        <v>0.426883659231736</v>
      </c>
      <c r="J18" s="10" t="n">
        <f aca="false">IF(I18="","",NORMDIST(CEILING(F18,1)-0.5,G18,H18,TRUE()))</f>
        <v>0.573116340768264</v>
      </c>
      <c r="K18" s="10" t="n">
        <f aca="false">IF(I18="","",MAX(0,1-I18-J18))</f>
        <v>0</v>
      </c>
      <c r="L18" s="0" t="str">
        <f aca="false">IF(I18="","",IF(I18&gt;=0.5+Config!$B$6,"OVER",IF(J18&gt;=0.5+Config!$B$6,"UNDER","—")))</f>
        <v>UNDER</v>
      </c>
      <c r="N18" s="0" t="n">
        <v>29</v>
      </c>
      <c r="O18" s="10" t="n">
        <v>0.4</v>
      </c>
      <c r="P18" s="10" t="n">
        <v>0.6</v>
      </c>
      <c r="Q18" s="10" t="n">
        <v>0.53</v>
      </c>
      <c r="R18" s="9" t="s">
        <v>711</v>
      </c>
      <c r="S18" s="0" t="n">
        <v>-1</v>
      </c>
      <c r="T18" s="0" t="str">
        <f aca="false">INDEX(Calc!$G$2:$G$56,MATCH($W18,Calc!$A$2:$A$56,0))&amp;" / "&amp;INDEX(Calc!$H$2:$H$56,MATCH($W18,Calc!$A$2:$A$56,0))</f>
        <v>Ancient / Mirage</v>
      </c>
      <c r="U18" s="0" t="str">
        <f aca="false">TEXT(INDEX(Calc!$J$2:$J$56,MATCH($W18,Calc!$A$2:$A$56,0)),"0.0")&amp;" / "&amp;TEXT(INDEX(Calc!$K$2:$K$56,MATCH($W18,Calc!$A$2:$A$56,0)),"0.0")</f>
        <v>21.5 / 21.5</v>
      </c>
      <c r="V18" s="0" t="str">
        <f aca="false">IFERROR(INDEX(Calc!$AQ$2:$AQ$56,MATCH($W18,Calc!$A$2:$A$56,0)),"")</f>
        <v/>
      </c>
      <c r="W18" s="9" t="s">
        <v>712</v>
      </c>
      <c r="X18" s="9" t="s">
        <v>694</v>
      </c>
      <c r="Y18" s="0" t="str">
        <f aca="false">W18&amp;"|"&amp;X18</f>
        <v>9qcftadrz2wvr8c|CS2 · BORRA vs QUIN|K12</v>
      </c>
      <c r="Z18" s="11" t="n">
        <f aca="false">IFERROR(INDEX(CHOOSE(MATCH($X18,{"K1","K2","K3","K12","K13","H1","H2","H3","H12","H13"},0),Calc!$BA$2:$BA$56,Calc!$BB$2:$BB$56,Calc!$BC$2:$BC$56,Calc!$BD$2:$BD$56,Calc!$BE$2:$BE$56,Calc!$BF$2:$BF$56,Calc!$BG$2:$BG$56,Calc!$BH$2:$BH$56,Calc!$BI$2:$BI$56,Calc!$BJ$2:$BJ$56),MATCH($W18,Calc!$A$2:$A$56,0)),"")</f>
        <v>29.2126714494065</v>
      </c>
      <c r="AA18" s="11" t="n">
        <f aca="false">IF(Z18="","",IF(LEFT($X18,1)="H",SQRT(Z18*(IFERROR(INDEX(Calc!$AP$2:$AP$56,MATCH($W18,Calc!$A$2:$A$56,0)),0.5)*Config!$B$5+1-IFERROR(INDEX(Calc!$AP$2:$AP$56,MATCH($W18,Calc!$A$2:$A$56,0)),0.5))),SQRT(Z18*Config!$B$5)))</f>
        <v>6.39513409000696</v>
      </c>
      <c r="AB18" s="10" t="n">
        <f aca="false">IF(OR(F18="",Z18="",N(AA18)&lt;=0),"",1-NORMDIST(FLOOR(F18,1)+0.5,Z18,AA18,TRUE()))</f>
        <v>0.482081852853031</v>
      </c>
      <c r="AC18" s="10" t="n">
        <f aca="false">IF(AB18="","",NORMDIST(CEILING(F18,1)-0.5,Z18,AA18,TRUE()))</f>
        <v>0.517918147146969</v>
      </c>
      <c r="AD18" s="0" t="str">
        <f aca="false">IF(AB18="","",IF(AB18&gt;=0.5+Config!$B$6,"OVER",IF(AC18&gt;=0.5+Config!$B$6,"UNDER","—")))</f>
        <v>—</v>
      </c>
      <c r="AE18" s="13" t="n">
        <f aca="false">IFERROR(Z18/G18,"")</f>
        <v>1.03082756492394</v>
      </c>
    </row>
    <row r="19" customFormat="false" ht="15" hidden="false" customHeight="false" outlineLevel="0" collapsed="false">
      <c r="A19" s="0" t="s">
        <v>608</v>
      </c>
      <c r="B19" s="0" t="s">
        <v>622</v>
      </c>
      <c r="C19" s="0" t="s">
        <v>713</v>
      </c>
      <c r="D19" s="0" t="s">
        <v>627</v>
      </c>
      <c r="E19" s="0" t="s">
        <v>693</v>
      </c>
      <c r="F19" s="0" t="n">
        <v>29.5</v>
      </c>
      <c r="G19" s="11" t="n">
        <f aca="false">IFERROR(INDEX(CHOOSE(MATCH($X19,{"K1","K2","K3","K12","K13","H1","H2","H3","H12","H13"},0),Calc!$V$2:$V$56,Calc!$AC$2:$AC$56,Calc!$AJ$2:$AJ$56,Calc!$AL$2:$AL$56,Calc!$AM$2:$AM$56,Calc!$W$2:$W$56,Calc!$AD$2:$AD$56,Calc!$AK$2:$AK$56,Calc!$AN$2:$AN$56,Calc!$AO$2:$AO$56),MATCH($W19,Calc!$A$2:$A$56,0)),"")</f>
        <v>28.4311904761905</v>
      </c>
      <c r="H19" s="11" t="n">
        <f aca="false">IF(G19="","",IF(LEFT($X19,1)="H",SQRT(G19*(IFERROR(INDEX(Calc!$AP$2:$AP$56,MATCH($W19,Calc!$A$2:$A$56,0)),0.5)*Config!$B$5+1-IFERROR(INDEX(Calc!$AP$2:$AP$56,MATCH($W19,Calc!$A$2:$A$56,0)),0.5))),SQRT(G19*Config!$B$5)))</f>
        <v>6.30901471441196</v>
      </c>
      <c r="I19" s="10" t="n">
        <f aca="false">IF(OR(F19="",G19="",N(H19)&lt;=0),"",1-NORMDIST(FLOOR(F19,1)+0.5,G19,H19,TRUE()))</f>
        <v>0.432737120240026</v>
      </c>
      <c r="J19" s="10" t="n">
        <f aca="false">IF(I19="","",NORMDIST(CEILING(F19,1)-0.5,G19,H19,TRUE()))</f>
        <v>0.567262879759974</v>
      </c>
      <c r="K19" s="10" t="n">
        <f aca="false">IF(I19="","",MAX(0,1-I19-J19))</f>
        <v>0</v>
      </c>
      <c r="L19" s="0" t="str">
        <f aca="false">IF(I19="","",IF(I19&gt;=0.5+Config!$B$6,"OVER",IF(J19&gt;=0.5+Config!$B$6,"UNDER","—")))</f>
        <v>UNDER</v>
      </c>
      <c r="N19" s="0" t="n">
        <v>27.4</v>
      </c>
      <c r="O19" s="10" t="n">
        <v>0.2</v>
      </c>
      <c r="P19" s="10" t="n">
        <v>0.2</v>
      </c>
      <c r="Q19" s="10" t="n">
        <v>0.27</v>
      </c>
      <c r="R19" s="9" t="s">
        <v>690</v>
      </c>
      <c r="S19" s="0" t="n">
        <v>-3</v>
      </c>
      <c r="T19" s="0" t="str">
        <f aca="false">INDEX(Calc!$G$2:$G$56,MATCH($W19,Calc!$A$2:$A$56,0))&amp;" / "&amp;INDEX(Calc!$H$2:$H$56,MATCH($W19,Calc!$A$2:$A$56,0))</f>
        <v>Ancient / Mirage</v>
      </c>
      <c r="U19" s="0" t="str">
        <f aca="false">TEXT(INDEX(Calc!$J$2:$J$56,MATCH($W19,Calc!$A$2:$A$56,0)),"0.0")&amp;" / "&amp;TEXT(INDEX(Calc!$K$2:$K$56,MATCH($W19,Calc!$A$2:$A$56,0)),"0.0")</f>
        <v>21.5 / 21.5</v>
      </c>
      <c r="V19" s="0" t="str">
        <f aca="false">IFERROR(INDEX(Calc!$AQ$2:$AQ$56,MATCH($W19,Calc!$A$2:$A$56,0)),"")</f>
        <v/>
      </c>
      <c r="W19" s="9" t="s">
        <v>714</v>
      </c>
      <c r="X19" s="9" t="s">
        <v>694</v>
      </c>
      <c r="Y19" s="0" t="str">
        <f aca="false">W19&amp;"|"&amp;X19</f>
        <v>c6a08bou2ctu0wf|CS2 · BORRA vs QUIN|K12</v>
      </c>
      <c r="Z19" s="11" t="n">
        <f aca="false">IFERROR(INDEX(CHOOSE(MATCH($X19,{"K1","K2","K3","K12","K13","H1","H2","H3","H12","H13"},0),Calc!$BA$2:$BA$56,Calc!$BB$2:$BB$56,Calc!$BC$2:$BC$56,Calc!$BD$2:$BD$56,Calc!$BE$2:$BE$56,Calc!$BF$2:$BF$56,Calc!$BG$2:$BG$56,Calc!$BH$2:$BH$56,Calc!$BI$2:$BI$56,Calc!$BJ$2:$BJ$56),MATCH($W19,Calc!$A$2:$A$56,0)),"")</f>
        <v>29.3284029776374</v>
      </c>
      <c r="AA19" s="11" t="n">
        <f aca="false">IF(Z19="","",IF(LEFT($X19,1)="H",SQRT(Z19*(IFERROR(INDEX(Calc!$AP$2:$AP$56,MATCH($W19,Calc!$A$2:$A$56,0)),0.5)*Config!$B$5+1-IFERROR(INDEX(Calc!$AP$2:$AP$56,MATCH($W19,Calc!$A$2:$A$56,0)),0.5))),SQRT(Z19*Config!$B$5)))</f>
        <v>6.40778933554251</v>
      </c>
      <c r="AB19" s="10" t="n">
        <f aca="false">IF(OR(F19="",Z19="",N(AA19)&lt;=0),"",1-NORMDIST(FLOOR(F19,1)+0.5,Z19,AA19,TRUE()))</f>
        <v>0.48931782515332</v>
      </c>
      <c r="AC19" s="10" t="n">
        <f aca="false">IF(AB19="","",NORMDIST(CEILING(F19,1)-0.5,Z19,AA19,TRUE()))</f>
        <v>0.51068217484668</v>
      </c>
      <c r="AD19" s="0" t="str">
        <f aca="false">IF(AB19="","",IF(AB19&gt;=0.5+Config!$B$6,"OVER",IF(AC19&gt;=0.5+Config!$B$6,"UNDER","—")))</f>
        <v>—</v>
      </c>
      <c r="AE19" s="13" t="n">
        <f aca="false">IFERROR(Z19/G19,"")</f>
        <v>1.03155733145252</v>
      </c>
    </row>
    <row r="20" customFormat="false" ht="15" hidden="false" customHeight="false" outlineLevel="0" collapsed="false">
      <c r="A20" s="0" t="s">
        <v>608</v>
      </c>
      <c r="B20" s="0" t="s">
        <v>616</v>
      </c>
      <c r="C20" s="0" t="s">
        <v>715</v>
      </c>
      <c r="D20" s="0" t="s">
        <v>620</v>
      </c>
      <c r="E20" s="0" t="s">
        <v>693</v>
      </c>
      <c r="F20" s="0" t="n">
        <v>32.5</v>
      </c>
      <c r="G20" s="11" t="n">
        <f aca="false">IFERROR(INDEX(CHOOSE(MATCH($X20,{"K1","K2","K3","K12","K13","H1","H2","H3","H12","H13"},0),Calc!$V$2:$V$56,Calc!$AC$2:$AC$56,Calc!$AJ$2:$AJ$56,Calc!$AL$2:$AL$56,Calc!$AM$2:$AM$56,Calc!$W$2:$W$56,Calc!$AD$2:$AD$56,Calc!$AK$2:$AK$56,Calc!$AN$2:$AN$56,Calc!$AO$2:$AO$56),MATCH($W20,Calc!$A$2:$A$56,0)),"")</f>
        <v>33.0419004524887</v>
      </c>
      <c r="H20" s="11" t="n">
        <f aca="false">IF(G20="","",IF(LEFT($X20,1)="H",SQRT(G20*(IFERROR(INDEX(Calc!$AP$2:$AP$56,MATCH($W20,Calc!$A$2:$A$56,0)),0.5)*Config!$B$5+1-IFERROR(INDEX(Calc!$AP$2:$AP$56,MATCH($W20,Calc!$A$2:$A$56,0)),0.5))),SQRT(G20*Config!$B$5)))</f>
        <v>6.80137196699932</v>
      </c>
      <c r="I20" s="10" t="n">
        <f aca="false">IF(OR(F20="",G20="",N(H20)&lt;=0),"",1-NORMDIST(FLOOR(F20,1)+0.5,G20,H20,TRUE()))</f>
        <v>0.531752195047437</v>
      </c>
      <c r="J20" s="10" t="n">
        <f aca="false">IF(I20="","",NORMDIST(CEILING(F20,1)-0.5,G20,H20,TRUE()))</f>
        <v>0.468247804952563</v>
      </c>
      <c r="K20" s="10" t="n">
        <f aca="false">IF(I20="","",MAX(0,1-I20-J20))</f>
        <v>0</v>
      </c>
      <c r="L20" s="0" t="str">
        <f aca="false">IF(I20="","",IF(I20&gt;=0.5+Config!$B$6,"OVER",IF(J20&gt;=0.5+Config!$B$6,"UNDER","—")))</f>
        <v>—</v>
      </c>
      <c r="N20" s="0" t="n">
        <v>33.6</v>
      </c>
      <c r="O20" s="10" t="n">
        <v>0.6</v>
      </c>
      <c r="P20" s="10" t="n">
        <v>0.5</v>
      </c>
      <c r="Q20" s="10" t="n">
        <v>0.4</v>
      </c>
      <c r="R20" s="9" t="s">
        <v>690</v>
      </c>
      <c r="S20" s="0" t="n">
        <v>-1</v>
      </c>
      <c r="T20" s="0" t="str">
        <f aca="false">INDEX(Calc!$G$2:$G$56,MATCH($W20,Calc!$A$2:$A$56,0))&amp;" / "&amp;INDEX(Calc!$H$2:$H$56,MATCH($W20,Calc!$A$2:$A$56,0))</f>
        <v>Inferno / Dust2</v>
      </c>
      <c r="U20" s="0" t="str">
        <f aca="false">TEXT(INDEX(Calc!$J$2:$J$56,MATCH($W20,Calc!$A$2:$A$56,0)),"0.0")&amp;" / "&amp;TEXT(INDEX(Calc!$K$2:$K$56,MATCH($W20,Calc!$A$2:$A$56,0)),"0.0")</f>
        <v>21.5 / 21.5</v>
      </c>
      <c r="V20" s="0" t="str">
        <f aca="false">IFERROR(INDEX(Calc!$AQ$2:$AQ$56,MATCH($W20,Calc!$A$2:$A$56,0)),"")</f>
        <v/>
      </c>
      <c r="W20" s="9" t="s">
        <v>716</v>
      </c>
      <c r="X20" s="9" t="s">
        <v>694</v>
      </c>
      <c r="Y20" s="0" t="str">
        <f aca="false">W20&amp;"|"&amp;X20</f>
        <v>oqk6gyxaxywmfwz|CS2 · ISG vs Hacha Esports|K12</v>
      </c>
      <c r="Z20" s="11" t="n">
        <f aca="false">IFERROR(INDEX(CHOOSE(MATCH($X20,{"K1","K2","K3","K12","K13","H1","H2","H3","H12","H13"},0),Calc!$BA$2:$BA$56,Calc!$BB$2:$BB$56,Calc!$BC$2:$BC$56,Calc!$BD$2:$BD$56,Calc!$BE$2:$BE$56,Calc!$BF$2:$BF$56,Calc!$BG$2:$BG$56,Calc!$BH$2:$BH$56,Calc!$BI$2:$BI$56,Calc!$BJ$2:$BJ$56),MATCH($W20,Calc!$A$2:$A$56,0)),"")</f>
        <v>34.882482889367</v>
      </c>
      <c r="AA20" s="11" t="n">
        <f aca="false">IF(Z20="","",IF(LEFT($X20,1)="H",SQRT(Z20*(IFERROR(INDEX(Calc!$AP$2:$AP$56,MATCH($W20,Calc!$A$2:$A$56,0)),0.5)*Config!$B$5+1-IFERROR(INDEX(Calc!$AP$2:$AP$56,MATCH($W20,Calc!$A$2:$A$56,0)),0.5))),SQRT(Z20*Config!$B$5)))</f>
        <v>6.98823840786173</v>
      </c>
      <c r="AB20" s="10" t="n">
        <f aca="false">IF(OR(F20="",Z20="",N(AA20)&lt;=0),"",1-NORMDIST(FLOOR(F20,1)+0.5,Z20,AA20,TRUE()))</f>
        <v>0.63342093204759</v>
      </c>
      <c r="AC20" s="10" t="n">
        <f aca="false">IF(AB20="","",NORMDIST(CEILING(F20,1)-0.5,Z20,AA20,TRUE()))</f>
        <v>0.36657906795241</v>
      </c>
      <c r="AD20" s="0" t="str">
        <f aca="false">IF(AB20="","",IF(AB20&gt;=0.5+Config!$B$6,"OVER",IF(AC20&gt;=0.5+Config!$B$6,"UNDER","—")))</f>
        <v>OVER</v>
      </c>
      <c r="AE20" s="13" t="n">
        <f aca="false">IFERROR(Z20/G20,"")</f>
        <v>1.0557044967654</v>
      </c>
    </row>
    <row r="21" customFormat="false" ht="15" hidden="false" customHeight="false" outlineLevel="0" collapsed="false">
      <c r="A21" s="0" t="s">
        <v>608</v>
      </c>
      <c r="B21" s="0" t="s">
        <v>616</v>
      </c>
      <c r="C21" s="0" t="s">
        <v>717</v>
      </c>
      <c r="D21" s="0" t="s">
        <v>620</v>
      </c>
      <c r="E21" s="0" t="s">
        <v>689</v>
      </c>
      <c r="F21" s="0" t="n">
        <v>15</v>
      </c>
      <c r="G21" s="11" t="n">
        <f aca="false">IFERROR(INDEX(CHOOSE(MATCH($X21,{"K1","K2","K3","K12","K13","H1","H2","H3","H12","H13"},0),Calc!$V$2:$V$56,Calc!$AC$2:$AC$56,Calc!$AJ$2:$AJ$56,Calc!$AL$2:$AL$56,Calc!$AM$2:$AM$56,Calc!$W$2:$W$56,Calc!$AD$2:$AD$56,Calc!$AK$2:$AK$56,Calc!$AN$2:$AN$56,Calc!$AO$2:$AO$56),MATCH($W21,Calc!$A$2:$A$56,0)),"")</f>
        <v>14.5545884961405</v>
      </c>
      <c r="H21" s="11" t="n">
        <f aca="false">IF(G21="","",IF(LEFT($X21,1)="H",SQRT(G21*(IFERROR(INDEX(Calc!$AP$2:$AP$56,MATCH($W21,Calc!$A$2:$A$56,0)),0.5)*Config!$B$5+1-IFERROR(INDEX(Calc!$AP$2:$AP$56,MATCH($W21,Calc!$A$2:$A$56,0)),0.5))),SQRT(G21*Config!$B$5)))</f>
        <v>4.21301303325055</v>
      </c>
      <c r="I21" s="10" t="n">
        <f aca="false">IF(OR(F21="",G21="",N(H21)&lt;=0),"",1-NORMDIST(FLOOR(F21,1)+0.5,G21,H21,TRUE()))</f>
        <v>0.411221984606547</v>
      </c>
      <c r="J21" s="10" t="n">
        <f aca="false">IF(I21="","",NORMDIST(CEILING(F21,1)-0.5,G21,H21,TRUE()))</f>
        <v>0.494831003461481</v>
      </c>
      <c r="K21" s="10" t="n">
        <f aca="false">IF(I21="","",MAX(0,1-I21-J21))</f>
        <v>0.0939470119319719</v>
      </c>
      <c r="L21" s="0" t="str">
        <f aca="false">IF(I21="","",IF(I21&gt;=0.5+Config!$B$6,"OVER",IF(J21&gt;=0.5+Config!$B$6,"UNDER","—")))</f>
        <v>—</v>
      </c>
      <c r="N21" s="0" t="n">
        <v>13.7</v>
      </c>
      <c r="O21" s="10" t="n">
        <v>0.4</v>
      </c>
      <c r="P21" s="10" t="n">
        <v>0.4</v>
      </c>
      <c r="Q21" s="10" t="n">
        <v>0.33</v>
      </c>
      <c r="R21" s="9" t="s">
        <v>690</v>
      </c>
      <c r="S21" s="0" t="n">
        <v>-3</v>
      </c>
      <c r="T21" s="0" t="str">
        <f aca="false">INDEX(Calc!$G$2:$G$56,MATCH($W21,Calc!$A$2:$A$56,0))&amp;" / "&amp;INDEX(Calc!$H$2:$H$56,MATCH($W21,Calc!$A$2:$A$56,0))</f>
        <v>Inferno / Dust2</v>
      </c>
      <c r="U21" s="0" t="str">
        <f aca="false">TEXT(INDEX(Calc!$J$2:$J$56,MATCH($W21,Calc!$A$2:$A$56,0)),"0.0")&amp;" / "&amp;TEXT(INDEX(Calc!$K$2:$K$56,MATCH($W21,Calc!$A$2:$A$56,0)),"0.0")</f>
        <v>21.5 / 21.5</v>
      </c>
      <c r="V21" s="0" t="str">
        <f aca="false">IFERROR(INDEX(Calc!$AQ$2:$AQ$56,MATCH($W21,Calc!$A$2:$A$56,0)),"")</f>
        <v/>
      </c>
      <c r="W21" s="9" t="s">
        <v>718</v>
      </c>
      <c r="X21" s="9" t="s">
        <v>692</v>
      </c>
      <c r="Y21" s="0" t="str">
        <f aca="false">W21&amp;"|"&amp;X21</f>
        <v>byxa559c86wp8y2|CS2 · ISG vs Hacha Esports|H12</v>
      </c>
      <c r="Z21" s="11" t="n">
        <f aca="false">IFERROR(INDEX(CHOOSE(MATCH($X21,{"K1","K2","K3","K12","K13","H1","H2","H3","H12","H13"},0),Calc!$BA$2:$BA$56,Calc!$BB$2:$BB$56,Calc!$BC$2:$BC$56,Calc!$BD$2:$BD$56,Calc!$BE$2:$BE$56,Calc!$BF$2:$BF$56,Calc!$BG$2:$BG$56,Calc!$BH$2:$BH$56,Calc!$BI$2:$BI$56,Calc!$BJ$2:$BJ$56),MATCH($W21,Calc!$A$2:$A$56,0)),"")</f>
        <v>15.3791017091297</v>
      </c>
      <c r="AA21" s="11" t="n">
        <f aca="false">IF(Z21="","",IF(LEFT($X21,1)="H",SQRT(Z21*(IFERROR(INDEX(Calc!$AP$2:$AP$56,MATCH($W21,Calc!$A$2:$A$56,0)),0.5)*Config!$B$5+1-IFERROR(INDEX(Calc!$AP$2:$AP$56,MATCH($W21,Calc!$A$2:$A$56,0)),0.5))),SQRT(Z21*Config!$B$5)))</f>
        <v>4.3307022110251</v>
      </c>
      <c r="AB21" s="10" t="n">
        <f aca="false">IF(OR(F21="",Z21="",N(AA21)&lt;=0),"",1-NORMDIST(FLOOR(F21,1)+0.5,Z21,AA21,TRUE()))</f>
        <v>0.488864351898487</v>
      </c>
      <c r="AC21" s="10" t="n">
        <f aca="false">IF(AB21="","",NORMDIST(CEILING(F21,1)-0.5,Z21,AA21,TRUE()))</f>
        <v>0.419570299110364</v>
      </c>
      <c r="AD21" s="0" t="str">
        <f aca="false">IF(AB21="","",IF(AB21&gt;=0.5+Config!$B$6,"OVER",IF(AC21&gt;=0.5+Config!$B$6,"UNDER","—")))</f>
        <v>—</v>
      </c>
      <c r="AE21" s="13" t="n">
        <f aca="false">IFERROR(Z21/G21,"")</f>
        <v>1.05664970969174</v>
      </c>
    </row>
    <row r="22" customFormat="false" ht="15" hidden="false" customHeight="false" outlineLevel="0" collapsed="false">
      <c r="A22" s="0" t="s">
        <v>608</v>
      </c>
      <c r="B22" s="0" t="s">
        <v>616</v>
      </c>
      <c r="C22" s="0" t="s">
        <v>717</v>
      </c>
      <c r="D22" s="0" t="s">
        <v>620</v>
      </c>
      <c r="E22" s="0" t="s">
        <v>693</v>
      </c>
      <c r="F22" s="0" t="n">
        <v>26.5</v>
      </c>
      <c r="G22" s="11" t="n">
        <f aca="false">IFERROR(INDEX(CHOOSE(MATCH($X22,{"K1","K2","K3","K12","K13","H1","H2","H3","H12","H13"},0),Calc!$V$2:$V$56,Calc!$AC$2:$AC$56,Calc!$AJ$2:$AJ$56,Calc!$AL$2:$AL$56,Calc!$AM$2:$AM$56,Calc!$W$2:$W$56,Calc!$AD$2:$AD$56,Calc!$AK$2:$AK$56,Calc!$AN$2:$AN$56,Calc!$AO$2:$AO$56),MATCH($W22,Calc!$A$2:$A$56,0)),"")</f>
        <v>26.5218552036199</v>
      </c>
      <c r="H22" s="11" t="n">
        <f aca="false">IF(G22="","",IF(LEFT($X22,1)="H",SQRT(G22*(IFERROR(INDEX(Calc!$AP$2:$AP$56,MATCH($W22,Calc!$A$2:$A$56,0)),0.5)*Config!$B$5+1-IFERROR(INDEX(Calc!$AP$2:$AP$56,MATCH($W22,Calc!$A$2:$A$56,0)),0.5))),SQRT(G22*Config!$B$5)))</f>
        <v>6.09348810494185</v>
      </c>
      <c r="I22" s="10" t="n">
        <f aca="false">IF(OR(F22="",G22="",N(H22)&lt;=0),"",1-NORMDIST(FLOOR(F22,1)+0.5,G22,H22,TRUE()))</f>
        <v>0.501430862902677</v>
      </c>
      <c r="J22" s="10" t="n">
        <f aca="false">IF(I22="","",NORMDIST(CEILING(F22,1)-0.5,G22,H22,TRUE()))</f>
        <v>0.498569137097323</v>
      </c>
      <c r="K22" s="10" t="n">
        <f aca="false">IF(I22="","",MAX(0,1-I22-J22))</f>
        <v>0</v>
      </c>
      <c r="L22" s="0" t="str">
        <f aca="false">IF(I22="","",IF(I22&gt;=0.5+Config!$B$6,"OVER",IF(J22&gt;=0.5+Config!$B$6,"UNDER","—")))</f>
        <v>—</v>
      </c>
      <c r="N22" s="0" t="n">
        <v>25.9</v>
      </c>
      <c r="O22" s="10" t="n">
        <v>0.2</v>
      </c>
      <c r="P22" s="10" t="n">
        <v>0.4</v>
      </c>
      <c r="Q22" s="10" t="n">
        <v>0.33</v>
      </c>
      <c r="R22" s="9" t="s">
        <v>690</v>
      </c>
      <c r="S22" s="0" t="n">
        <v>-3</v>
      </c>
      <c r="T22" s="0" t="str">
        <f aca="false">INDEX(Calc!$G$2:$G$56,MATCH($W22,Calc!$A$2:$A$56,0))&amp;" / "&amp;INDEX(Calc!$H$2:$H$56,MATCH($W22,Calc!$A$2:$A$56,0))</f>
        <v>Inferno / Dust2</v>
      </c>
      <c r="U22" s="0" t="str">
        <f aca="false">TEXT(INDEX(Calc!$J$2:$J$56,MATCH($W22,Calc!$A$2:$A$56,0)),"0.0")&amp;" / "&amp;TEXT(INDEX(Calc!$K$2:$K$56,MATCH($W22,Calc!$A$2:$A$56,0)),"0.0")</f>
        <v>21.5 / 21.5</v>
      </c>
      <c r="V22" s="0" t="str">
        <f aca="false">IFERROR(INDEX(Calc!$AQ$2:$AQ$56,MATCH($W22,Calc!$A$2:$A$56,0)),"")</f>
        <v/>
      </c>
      <c r="W22" s="9" t="s">
        <v>718</v>
      </c>
      <c r="X22" s="9" t="s">
        <v>694</v>
      </c>
      <c r="Y22" s="0" t="str">
        <f aca="false">W22&amp;"|"&amp;X22</f>
        <v>byxa559c86wp8y2|CS2 · ISG vs Hacha Esports|K12</v>
      </c>
      <c r="Z22" s="11" t="n">
        <f aca="false">IFERROR(INDEX(CHOOSE(MATCH($X22,{"K1","K2","K3","K12","K13","H1","H2","H3","H12","H13"},0),Calc!$BA$2:$BA$56,Calc!$BB$2:$BB$56,Calc!$BC$2:$BC$56,Calc!$BD$2:$BD$56,Calc!$BE$2:$BE$56,Calc!$BF$2:$BF$56,Calc!$BG$2:$BG$56,Calc!$BH$2:$BH$56,Calc!$BI$2:$BI$56,Calc!$BJ$2:$BJ$56),MATCH($W22,Calc!$A$2:$A$56,0)),"")</f>
        <v>28.0134974042873</v>
      </c>
      <c r="AA22" s="11" t="n">
        <f aca="false">IF(Z22="","",IF(LEFT($X22,1)="H",SQRT(Z22*(IFERROR(INDEX(Calc!$AP$2:$AP$56,MATCH($W22,Calc!$A$2:$A$56,0)),0.5)*Config!$B$5+1-IFERROR(INDEX(Calc!$AP$2:$AP$56,MATCH($W22,Calc!$A$2:$A$56,0)),0.5))),SQRT(Z22*Config!$B$5)))</f>
        <v>6.26249921085842</v>
      </c>
      <c r="AB22" s="10" t="n">
        <f aca="false">IF(OR(F22="",Z22="",N(AA22)&lt;=0),"",1-NORMDIST(FLOOR(F22,1)+0.5,Z22,AA22,TRUE()))</f>
        <v>0.595484487977743</v>
      </c>
      <c r="AC22" s="10" t="n">
        <f aca="false">IF(AB22="","",NORMDIST(CEILING(F22,1)-0.5,Z22,AA22,TRUE()))</f>
        <v>0.404515512022257</v>
      </c>
      <c r="AD22" s="0" t="str">
        <f aca="false">IF(AB22="","",IF(AB22&gt;=0.5+Config!$B$6,"OVER",IF(AC22&gt;=0.5+Config!$B$6,"UNDER","—")))</f>
        <v>OVER</v>
      </c>
      <c r="AE22" s="13" t="n">
        <f aca="false">IFERROR(Z22/G22,"")</f>
        <v>1.05624200076561</v>
      </c>
    </row>
    <row r="23" customFormat="false" ht="15" hidden="false" customHeight="false" outlineLevel="0" collapsed="false">
      <c r="A23" s="0" t="s">
        <v>608</v>
      </c>
      <c r="B23" s="0" t="s">
        <v>616</v>
      </c>
      <c r="C23" s="0" t="s">
        <v>719</v>
      </c>
      <c r="D23" s="0" t="s">
        <v>620</v>
      </c>
      <c r="E23" s="0" t="s">
        <v>689</v>
      </c>
      <c r="F23" s="0" t="n">
        <v>16</v>
      </c>
      <c r="G23" s="11" t="n">
        <f aca="false">IFERROR(INDEX(CHOOSE(MATCH($X23,{"K1","K2","K3","K12","K13","H1","H2","H3","H12","H13"},0),Calc!$V$2:$V$56,Calc!$AC$2:$AC$56,Calc!$AJ$2:$AJ$56,Calc!$AL$2:$AL$56,Calc!$AM$2:$AM$56,Calc!$W$2:$W$56,Calc!$AD$2:$AD$56,Calc!$AK$2:$AK$56,Calc!$AN$2:$AN$56,Calc!$AO$2:$AO$56),MATCH($W23,Calc!$A$2:$A$56,0)),"")</f>
        <v>15.352671014107</v>
      </c>
      <c r="H23" s="11" t="n">
        <f aca="false">IF(G23="","",IF(LEFT($X23,1)="H",SQRT(G23*(IFERROR(INDEX(Calc!$AP$2:$AP$56,MATCH($W23,Calc!$A$2:$A$56,0)),0.5)*Config!$B$5+1-IFERROR(INDEX(Calc!$AP$2:$AP$56,MATCH($W23,Calc!$A$2:$A$56,0)),0.5))),SQRT(G23*Config!$B$5)))</f>
        <v>4.33398890726464</v>
      </c>
      <c r="I23" s="10" t="n">
        <f aca="false">IF(OR(F23="",G23="",N(H23)&lt;=0),"",1-NORMDIST(FLOOR(F23,1)+0.5,G23,H23,TRUE()))</f>
        <v>0.395609434482163</v>
      </c>
      <c r="J23" s="10" t="n">
        <f aca="false">IF(I23="","",NORMDIST(CEILING(F23,1)-0.5,G23,H23,TRUE()))</f>
        <v>0.513558974142367</v>
      </c>
      <c r="K23" s="10" t="n">
        <f aca="false">IF(I23="","",MAX(0,1-I23-J23))</f>
        <v>0.0908315913754699</v>
      </c>
      <c r="L23" s="0" t="str">
        <f aca="false">IF(I23="","",IF(I23&gt;=0.5+Config!$B$6,"OVER",IF(J23&gt;=0.5+Config!$B$6,"UNDER","—")))</f>
        <v>—</v>
      </c>
      <c r="N23" s="0" t="n">
        <v>16.6</v>
      </c>
      <c r="O23" s="10" t="n">
        <v>0.6</v>
      </c>
      <c r="P23" s="10" t="n">
        <v>0.5</v>
      </c>
      <c r="Q23" s="10" t="n">
        <v>0.47</v>
      </c>
      <c r="R23" s="9" t="s">
        <v>690</v>
      </c>
      <c r="S23" s="0" t="n">
        <v>-2</v>
      </c>
      <c r="T23" s="0" t="str">
        <f aca="false">INDEX(Calc!$G$2:$G$56,MATCH($W23,Calc!$A$2:$A$56,0))&amp;" / "&amp;INDEX(Calc!$H$2:$H$56,MATCH($W23,Calc!$A$2:$A$56,0))</f>
        <v>Inferno / Dust2</v>
      </c>
      <c r="U23" s="0" t="str">
        <f aca="false">TEXT(INDEX(Calc!$J$2:$J$56,MATCH($W23,Calc!$A$2:$A$56,0)),"0.0")&amp;" / "&amp;TEXT(INDEX(Calc!$K$2:$K$56,MATCH($W23,Calc!$A$2:$A$56,0)),"0.0")</f>
        <v>21.5 / 21.5</v>
      </c>
      <c r="V23" s="0" t="str">
        <f aca="false">IFERROR(INDEX(Calc!$AQ$2:$AQ$56,MATCH($W23,Calc!$A$2:$A$56,0)),"")</f>
        <v/>
      </c>
      <c r="W23" s="9" t="s">
        <v>720</v>
      </c>
      <c r="X23" s="9" t="s">
        <v>692</v>
      </c>
      <c r="Y23" s="0" t="str">
        <f aca="false">W23&amp;"|"&amp;X23</f>
        <v>b09onydc0n1o0jq|CS2 · ISG vs Hacha Esports|H12</v>
      </c>
      <c r="Z23" s="11" t="n">
        <f aca="false">IFERROR(INDEX(CHOOSE(MATCH($X23,{"K1","K2","K3","K12","K13","H1","H2","H3","H12","H13"},0),Calc!$BA$2:$BA$56,Calc!$BB$2:$BB$56,Calc!$BC$2:$BC$56,Calc!$BD$2:$BD$56,Calc!$BE$2:$BE$56,Calc!$BF$2:$BF$56,Calc!$BG$2:$BG$56,Calc!$BH$2:$BH$56,Calc!$BI$2:$BI$56,Calc!$BJ$2:$BJ$56),MATCH($W23,Calc!$A$2:$A$56,0)),"")</f>
        <v>16.2104267794766</v>
      </c>
      <c r="AA23" s="11" t="n">
        <f aca="false">IF(Z23="","",IF(LEFT($X23,1)="H",SQRT(Z23*(IFERROR(INDEX(Calc!$AP$2:$AP$56,MATCH($W23,Calc!$A$2:$A$56,0)),0.5)*Config!$B$5+1-IFERROR(INDEX(Calc!$AP$2:$AP$56,MATCH($W23,Calc!$A$2:$A$56,0)),0.5))),SQRT(Z23*Config!$B$5)))</f>
        <v>4.45341377381012</v>
      </c>
      <c r="AB23" s="10" t="n">
        <f aca="false">IF(OR(F23="",Z23="",N(AA23)&lt;=0),"",1-NORMDIST(FLOOR(F23,1)+0.5,Z23,AA23,TRUE()))</f>
        <v>0.474077942451125</v>
      </c>
      <c r="AC23" s="10" t="n">
        <f aca="false">IF(AB23="","",NORMDIST(CEILING(F23,1)-0.5,Z23,AA23,TRUE()))</f>
        <v>0.436627990146485</v>
      </c>
      <c r="AD23" s="0" t="str">
        <f aca="false">IF(AB23="","",IF(AB23&gt;=0.5+Config!$B$6,"OVER",IF(AC23&gt;=0.5+Config!$B$6,"UNDER","—")))</f>
        <v>—</v>
      </c>
      <c r="AE23" s="13" t="n">
        <f aca="false">IFERROR(Z23/G23,"")</f>
        <v>1.05587013260308</v>
      </c>
    </row>
    <row r="24" customFormat="false" ht="15" hidden="false" customHeight="false" outlineLevel="0" collapsed="false">
      <c r="A24" s="0" t="s">
        <v>608</v>
      </c>
      <c r="B24" s="0" t="s">
        <v>616</v>
      </c>
      <c r="C24" s="0" t="s">
        <v>719</v>
      </c>
      <c r="D24" s="0" t="s">
        <v>620</v>
      </c>
      <c r="E24" s="0" t="s">
        <v>693</v>
      </c>
      <c r="F24" s="0" t="n">
        <v>28.5</v>
      </c>
      <c r="G24" s="11" t="n">
        <f aca="false">IFERROR(INDEX(CHOOSE(MATCH($X24,{"K1","K2","K3","K12","K13","H1","H2","H3","H12","H13"},0),Calc!$V$2:$V$56,Calc!$AC$2:$AC$56,Calc!$AJ$2:$AJ$56,Calc!$AL$2:$AL$56,Calc!$AM$2:$AM$56,Calc!$W$2:$W$56,Calc!$AD$2:$AD$56,Calc!$AK$2:$AK$56,Calc!$AN$2:$AN$56,Calc!$AO$2:$AO$56),MATCH($W24,Calc!$A$2:$A$56,0)),"")</f>
        <v>27.4810859728507</v>
      </c>
      <c r="H24" s="11" t="n">
        <f aca="false">IF(G24="","",IF(LEFT($X24,1)="H",SQRT(G24*(IFERROR(INDEX(Calc!$AP$2:$AP$56,MATCH($W24,Calc!$A$2:$A$56,0)),0.5)*Config!$B$5+1-IFERROR(INDEX(Calc!$AP$2:$AP$56,MATCH($W24,Calc!$A$2:$A$56,0)),0.5))),SQRT(G24*Config!$B$5)))</f>
        <v>6.2027026659345</v>
      </c>
      <c r="I24" s="10" t="n">
        <f aca="false">IF(OR(F24="",G24="",N(H24)&lt;=0),"",1-NORMDIST(FLOOR(F24,1)+0.5,G24,H24,TRUE()))</f>
        <v>0.434759548692029</v>
      </c>
      <c r="J24" s="10" t="n">
        <f aca="false">IF(I24="","",NORMDIST(CEILING(F24,1)-0.5,G24,H24,TRUE()))</f>
        <v>0.565240451307971</v>
      </c>
      <c r="K24" s="10" t="n">
        <f aca="false">IF(I24="","",MAX(0,1-I24-J24))</f>
        <v>0</v>
      </c>
      <c r="L24" s="0" t="str">
        <f aca="false">IF(I24="","",IF(I24&gt;=0.5+Config!$B$6,"OVER",IF(J24&gt;=0.5+Config!$B$6,"UNDER","—")))</f>
        <v>UNDER</v>
      </c>
      <c r="N24" s="0" t="n">
        <v>30.5</v>
      </c>
      <c r="O24" s="10" t="n">
        <v>0.6</v>
      </c>
      <c r="P24" s="10" t="n">
        <v>0.5</v>
      </c>
      <c r="Q24" s="10" t="n">
        <v>0.4</v>
      </c>
      <c r="R24" s="9" t="s">
        <v>690</v>
      </c>
      <c r="S24" s="0" t="n">
        <v>-2</v>
      </c>
      <c r="T24" s="0" t="str">
        <f aca="false">INDEX(Calc!$G$2:$G$56,MATCH($W24,Calc!$A$2:$A$56,0))&amp;" / "&amp;INDEX(Calc!$H$2:$H$56,MATCH($W24,Calc!$A$2:$A$56,0))</f>
        <v>Inferno / Dust2</v>
      </c>
      <c r="U24" s="0" t="str">
        <f aca="false">TEXT(INDEX(Calc!$J$2:$J$56,MATCH($W24,Calc!$A$2:$A$56,0)),"0.0")&amp;" / "&amp;TEXT(INDEX(Calc!$K$2:$K$56,MATCH($W24,Calc!$A$2:$A$56,0)),"0.0")</f>
        <v>21.5 / 21.5</v>
      </c>
      <c r="V24" s="0" t="str">
        <f aca="false">IFERROR(INDEX(Calc!$AQ$2:$AQ$56,MATCH($W24,Calc!$A$2:$A$56,0)),"")</f>
        <v/>
      </c>
      <c r="W24" s="9" t="s">
        <v>720</v>
      </c>
      <c r="X24" s="9" t="s">
        <v>694</v>
      </c>
      <c r="Y24" s="0" t="str">
        <f aca="false">W24&amp;"|"&amp;X24</f>
        <v>b09onydc0n1o0jq|CS2 · ISG vs Hacha Esports|K12</v>
      </c>
      <c r="Z24" s="11" t="n">
        <f aca="false">IFERROR(INDEX(CHOOSE(MATCH($X24,{"K1","K2","K3","K12","K13","H1","H2","H3","H12","H13"},0),Calc!$BA$2:$BA$56,Calc!$BB$2:$BB$56,Calc!$BC$2:$BC$56,Calc!$BD$2:$BD$56,Calc!$BE$2:$BE$56,Calc!$BF$2:$BF$56,Calc!$BG$2:$BG$56,Calc!$BH$2:$BH$56,Calc!$BI$2:$BI$56,Calc!$BJ$2:$BJ$56),MATCH($W24,Calc!$A$2:$A$56,0)),"")</f>
        <v>29.0129850610557</v>
      </c>
      <c r="AA24" s="11" t="n">
        <f aca="false">IF(Z24="","",IF(LEFT($X24,1)="H",SQRT(Z24*(IFERROR(INDEX(Calc!$AP$2:$AP$56,MATCH($W24,Calc!$A$2:$A$56,0)),0.5)*Config!$B$5+1-IFERROR(INDEX(Calc!$AP$2:$AP$56,MATCH($W24,Calc!$A$2:$A$56,0)),0.5))),SQRT(Z24*Config!$B$5)))</f>
        <v>6.37323929297166</v>
      </c>
      <c r="AB24" s="10" t="n">
        <f aca="false">IF(OR(F24="",Z24="",N(AA24)&lt;=0),"",1-NORMDIST(FLOOR(F24,1)+0.5,Z24,AA24,TRUE()))</f>
        <v>0.532076414439375</v>
      </c>
      <c r="AC24" s="10" t="n">
        <f aca="false">IF(AB24="","",NORMDIST(CEILING(F24,1)-0.5,Z24,AA24,TRUE()))</f>
        <v>0.467923585560625</v>
      </c>
      <c r="AD24" s="0" t="str">
        <f aca="false">IF(AB24="","",IF(AB24&gt;=0.5+Config!$B$6,"OVER",IF(AC24&gt;=0.5+Config!$B$6,"UNDER","—")))</f>
        <v>—</v>
      </c>
      <c r="AE24" s="13" t="n">
        <f aca="false">IFERROR(Z24/G24,"")</f>
        <v>1.05574376098959</v>
      </c>
    </row>
    <row r="25" customFormat="false" ht="15" hidden="false" customHeight="false" outlineLevel="0" collapsed="false">
      <c r="A25" s="0" t="s">
        <v>608</v>
      </c>
      <c r="B25" s="0" t="s">
        <v>616</v>
      </c>
      <c r="C25" s="0" t="s">
        <v>721</v>
      </c>
      <c r="D25" s="0" t="s">
        <v>620</v>
      </c>
      <c r="E25" s="0" t="s">
        <v>693</v>
      </c>
      <c r="F25" s="0" t="n">
        <v>26.5</v>
      </c>
      <c r="G25" s="11" t="n">
        <f aca="false">IFERROR(INDEX(CHOOSE(MATCH($X25,{"K1","K2","K3","K12","K13","H1","H2","H3","H12","H13"},0),Calc!$V$2:$V$56,Calc!$AC$2:$AC$56,Calc!$AJ$2:$AJ$56,Calc!$AL$2:$AL$56,Calc!$AM$2:$AM$56,Calc!$W$2:$W$56,Calc!$AD$2:$AD$56,Calc!$AK$2:$AK$56,Calc!$AN$2:$AN$56,Calc!$AO$2:$AO$56),MATCH($W25,Calc!$A$2:$A$56,0)),"")</f>
        <v>23.0971428571429</v>
      </c>
      <c r="H25" s="11" t="n">
        <f aca="false">IF(G25="","",IF(LEFT($X25,1)="H",SQRT(G25*(IFERROR(INDEX(Calc!$AP$2:$AP$56,MATCH($W25,Calc!$A$2:$A$56,0)),0.5)*Config!$B$5+1-IFERROR(INDEX(Calc!$AP$2:$AP$56,MATCH($W25,Calc!$A$2:$A$56,0)),0.5))),SQRT(G25*Config!$B$5)))</f>
        <v>5.68647518239551</v>
      </c>
      <c r="I25" s="10" t="n">
        <f aca="false">IF(OR(F25="",G25="",N(H25)&lt;=0),"",1-NORMDIST(FLOOR(F25,1)+0.5,G25,H25,TRUE()))</f>
        <v>0.274782403907793</v>
      </c>
      <c r="J25" s="10" t="n">
        <f aca="false">IF(I25="","",NORMDIST(CEILING(F25,1)-0.5,G25,H25,TRUE()))</f>
        <v>0.725217596092207</v>
      </c>
      <c r="K25" s="10" t="n">
        <f aca="false">IF(I25="","",MAX(0,1-I25-J25))</f>
        <v>0</v>
      </c>
      <c r="L25" s="0" t="str">
        <f aca="false">IF(I25="","",IF(I25&gt;=0.5+Config!$B$6,"OVER",IF(J25&gt;=0.5+Config!$B$6,"UNDER","—")))</f>
        <v>UNDER</v>
      </c>
      <c r="N25" s="0" t="n">
        <v>25.3</v>
      </c>
      <c r="O25" s="10" t="n">
        <v>0.6</v>
      </c>
      <c r="P25" s="10" t="n">
        <v>0.6</v>
      </c>
      <c r="Q25" s="10" t="n">
        <v>0.47</v>
      </c>
      <c r="R25" s="9" t="s">
        <v>690</v>
      </c>
      <c r="S25" s="0" t="n">
        <v>-1</v>
      </c>
      <c r="T25" s="0" t="str">
        <f aca="false">INDEX(Calc!$G$2:$G$56,MATCH($W25,Calc!$A$2:$A$56,0))&amp;" / "&amp;INDEX(Calc!$H$2:$H$56,MATCH($W25,Calc!$A$2:$A$56,0))</f>
        <v>Inferno / Dust2</v>
      </c>
      <c r="U25" s="0" t="str">
        <f aca="false">TEXT(INDEX(Calc!$J$2:$J$56,MATCH($W25,Calc!$A$2:$A$56,0)),"0.0")&amp;" / "&amp;TEXT(INDEX(Calc!$K$2:$K$56,MATCH($W25,Calc!$A$2:$A$56,0)),"0.0")</f>
        <v>21.5 / 21.5</v>
      </c>
      <c r="V25" s="0" t="str">
        <f aca="false">IFERROR(INDEX(Calc!$AQ$2:$AQ$56,MATCH($W25,Calc!$A$2:$A$56,0)),"")</f>
        <v/>
      </c>
      <c r="W25" s="9" t="s">
        <v>722</v>
      </c>
      <c r="X25" s="9" t="s">
        <v>694</v>
      </c>
      <c r="Y25" s="0" t="str">
        <f aca="false">W25&amp;"|"&amp;X25</f>
        <v>mge023ca076vnxt|CS2 · ISG vs Hacha Esports|K12</v>
      </c>
      <c r="Z25" s="11" t="n">
        <f aca="false">IFERROR(INDEX(CHOOSE(MATCH($X25,{"K1","K2","K3","K12","K13","H1","H2","H3","H12","H13"},0),Calc!$BA$2:$BA$56,Calc!$BB$2:$BB$56,Calc!$BC$2:$BC$56,Calc!$BD$2:$BD$56,Calc!$BE$2:$BE$56,Calc!$BF$2:$BF$56,Calc!$BG$2:$BG$56,Calc!$BH$2:$BH$56,Calc!$BI$2:$BI$56,Calc!$BJ$2:$BJ$56),MATCH($W25,Calc!$A$2:$A$56,0)),"")</f>
        <v>24.37341754007</v>
      </c>
      <c r="AA25" s="11" t="n">
        <f aca="false">IF(Z25="","",IF(LEFT($X25,1)="H",SQRT(Z25*(IFERROR(INDEX(Calc!$AP$2:$AP$56,MATCH($W25,Calc!$A$2:$A$56,0)),0.5)*Config!$B$5+1-IFERROR(INDEX(Calc!$AP$2:$AP$56,MATCH($W25,Calc!$A$2:$A$56,0)),0.5))),SQRT(Z25*Config!$B$5)))</f>
        <v>5.8414710952035</v>
      </c>
      <c r="AB25" s="10" t="n">
        <f aca="false">IF(OR(F25="",Z25="",N(AA25)&lt;=0),"",1-NORMDIST(FLOOR(F25,1)+0.5,Z25,AA25,TRUE()))</f>
        <v>0.357910661859122</v>
      </c>
      <c r="AC25" s="10" t="n">
        <f aca="false">IF(AB25="","",NORMDIST(CEILING(F25,1)-0.5,Z25,AA25,TRUE()))</f>
        <v>0.642089338140878</v>
      </c>
      <c r="AD25" s="0" t="str">
        <f aca="false">IF(AB25="","",IF(AB25&gt;=0.5+Config!$B$6,"OVER",IF(AC25&gt;=0.5+Config!$B$6,"UNDER","—")))</f>
        <v>UNDER</v>
      </c>
      <c r="AE25" s="13" t="n">
        <f aca="false">IFERROR(Z25/G25,"")</f>
        <v>1.05525682076008</v>
      </c>
    </row>
    <row r="26" customFormat="false" ht="15" hidden="false" customHeight="false" outlineLevel="0" collapsed="false">
      <c r="A26" s="0" t="s">
        <v>608</v>
      </c>
      <c r="B26" s="0" t="s">
        <v>616</v>
      </c>
      <c r="C26" s="0" t="s">
        <v>723</v>
      </c>
      <c r="D26" s="0" t="s">
        <v>620</v>
      </c>
      <c r="E26" s="0" t="s">
        <v>689</v>
      </c>
      <c r="F26" s="0" t="n">
        <v>19.5</v>
      </c>
      <c r="G26" s="11" t="n">
        <f aca="false">IFERROR(INDEX(CHOOSE(MATCH($X26,{"K1","K2","K3","K12","K13","H1","H2","H3","H12","H13"},0),Calc!$V$2:$V$56,Calc!$AC$2:$AC$56,Calc!$AJ$2:$AJ$56,Calc!$AL$2:$AL$56,Calc!$AM$2:$AM$56,Calc!$W$2:$W$56,Calc!$AD$2:$AD$56,Calc!$AK$2:$AK$56,Calc!$AN$2:$AN$56,Calc!$AO$2:$AO$56),MATCH($W26,Calc!$A$2:$A$56,0)),"")</f>
        <v>18.3857661194488</v>
      </c>
      <c r="H26" s="11" t="n">
        <f aca="false">IF(G26="","",IF(LEFT($X26,1)="H",SQRT(G26*(IFERROR(INDEX(Calc!$AP$2:$AP$56,MATCH($W26,Calc!$A$2:$A$56,0)),0.5)*Config!$B$5+1-IFERROR(INDEX(Calc!$AP$2:$AP$56,MATCH($W26,Calc!$A$2:$A$56,0)),0.5))),SQRT(G26*Config!$B$5)))</f>
        <v>4.8236224509178</v>
      </c>
      <c r="I26" s="10" t="n">
        <f aca="false">IF(OR(F26="",G26="",N(H26)&lt;=0),"",1-NORMDIST(FLOOR(F26,1)+0.5,G26,H26,TRUE()))</f>
        <v>0.408659245570084</v>
      </c>
      <c r="J26" s="10" t="n">
        <f aca="false">IF(I26="","",NORMDIST(CEILING(F26,1)-0.5,G26,H26,TRUE()))</f>
        <v>0.591340754429916</v>
      </c>
      <c r="K26" s="10" t="n">
        <f aca="false">IF(I26="","",MAX(0,1-I26-J26))</f>
        <v>0</v>
      </c>
      <c r="L26" s="0" t="str">
        <f aca="false">IF(I26="","",IF(I26&gt;=0.5+Config!$B$6,"OVER",IF(J26&gt;=0.5+Config!$B$6,"UNDER","—")))</f>
        <v>UNDER</v>
      </c>
      <c r="N26" s="0" t="n">
        <v>20.9</v>
      </c>
      <c r="O26" s="10" t="n">
        <v>0.2</v>
      </c>
      <c r="P26" s="10" t="n">
        <v>0.5</v>
      </c>
      <c r="Q26" s="10" t="n">
        <v>0.4</v>
      </c>
      <c r="R26" s="9" t="s">
        <v>690</v>
      </c>
      <c r="S26" s="0" t="n">
        <v>-1</v>
      </c>
      <c r="T26" s="0" t="str">
        <f aca="false">INDEX(Calc!$G$2:$G$56,MATCH($W26,Calc!$A$2:$A$56,0))&amp;" / "&amp;INDEX(Calc!$H$2:$H$56,MATCH($W26,Calc!$A$2:$A$56,0))</f>
        <v>Inferno / Dust2</v>
      </c>
      <c r="U26" s="0" t="str">
        <f aca="false">TEXT(INDEX(Calc!$J$2:$J$56,MATCH($W26,Calc!$A$2:$A$56,0)),"0.0")&amp;" / "&amp;TEXT(INDEX(Calc!$K$2:$K$56,MATCH($W26,Calc!$A$2:$A$56,0)),"0.0")</f>
        <v>21.5 / 21.5</v>
      </c>
      <c r="V26" s="0" t="str">
        <f aca="false">IFERROR(INDEX(Calc!$AQ$2:$AQ$56,MATCH($W26,Calc!$A$2:$A$56,0)),"")</f>
        <v/>
      </c>
      <c r="W26" s="9" t="s">
        <v>724</v>
      </c>
      <c r="X26" s="9" t="s">
        <v>692</v>
      </c>
      <c r="Y26" s="0" t="str">
        <f aca="false">W26&amp;"|"&amp;X26</f>
        <v>hibcd1uwtnvwavq|CS2 · ISG vs Hacha Esports|H12</v>
      </c>
      <c r="Z26" s="11" t="n">
        <f aca="false">IFERROR(INDEX(CHOOSE(MATCH($X26,{"K1","K2","K3","K12","K13","H1","H2","H3","H12","H13"},0),Calc!$BA$2:$BA$56,Calc!$BB$2:$BB$56,Calc!$BC$2:$BC$56,Calc!$BD$2:$BD$56,Calc!$BE$2:$BE$56,Calc!$BF$2:$BF$56,Calc!$BG$2:$BG$56,Calc!$BH$2:$BH$56,Calc!$BI$2:$BI$56,Calc!$BJ$2:$BJ$56),MATCH($W26,Calc!$A$2:$A$56,0)),"")</f>
        <v>19.4132940625222</v>
      </c>
      <c r="AA26" s="11" t="n">
        <f aca="false">IF(Z26="","",IF(LEFT($X26,1)="H",SQRT(Z26*(IFERROR(INDEX(Calc!$AP$2:$AP$56,MATCH($W26,Calc!$A$2:$A$56,0)),0.5)*Config!$B$5+1-IFERROR(INDEX(Calc!$AP$2:$AP$56,MATCH($W26,Calc!$A$2:$A$56,0)),0.5))),SQRT(Z26*Config!$B$5)))</f>
        <v>4.95657929925589</v>
      </c>
      <c r="AB26" s="10" t="n">
        <f aca="false">IF(OR(F26="",Z26="",N(AA26)&lt;=0),"",1-NORMDIST(FLOOR(F26,1)+0.5,Z26,AA26,TRUE()))</f>
        <v>0.493021618692804</v>
      </c>
      <c r="AC26" s="10" t="n">
        <f aca="false">IF(AB26="","",NORMDIST(CEILING(F26,1)-0.5,Z26,AA26,TRUE()))</f>
        <v>0.506978381307196</v>
      </c>
      <c r="AD26" s="0" t="str">
        <f aca="false">IF(AB26="","",IF(AB26&gt;=0.5+Config!$B$6,"OVER",IF(AC26&gt;=0.5+Config!$B$6,"UNDER","—")))</f>
        <v>—</v>
      </c>
      <c r="AE26" s="13" t="n">
        <f aca="false">IFERROR(Z26/G26,"")</f>
        <v>1.05588714315181</v>
      </c>
    </row>
    <row r="27" customFormat="false" ht="15" hidden="false" customHeight="false" outlineLevel="0" collapsed="false">
      <c r="A27" s="0" t="s">
        <v>608</v>
      </c>
      <c r="B27" s="0" t="s">
        <v>616</v>
      </c>
      <c r="C27" s="0" t="s">
        <v>723</v>
      </c>
      <c r="D27" s="0" t="s">
        <v>620</v>
      </c>
      <c r="E27" s="0" t="s">
        <v>693</v>
      </c>
      <c r="F27" s="0" t="n">
        <v>28.5</v>
      </c>
      <c r="G27" s="11" t="n">
        <f aca="false">IFERROR(INDEX(CHOOSE(MATCH($X27,{"K1","K2","K3","K12","K13","H1","H2","H3","H12","H13"},0),Calc!$V$2:$V$56,Calc!$AC$2:$AC$56,Calc!$AJ$2:$AJ$56,Calc!$AL$2:$AL$56,Calc!$AM$2:$AM$56,Calc!$W$2:$W$56,Calc!$AD$2:$AD$56,Calc!$AK$2:$AK$56,Calc!$AN$2:$AN$56,Calc!$AO$2:$AO$56),MATCH($W27,Calc!$A$2:$A$56,0)),"")</f>
        <v>27.6990045248869</v>
      </c>
      <c r="H27" s="11" t="n">
        <f aca="false">IF(G27="","",IF(LEFT($X27,1)="H",SQRT(G27*(IFERROR(INDEX(Calc!$AP$2:$AP$56,MATCH($W27,Calc!$A$2:$A$56,0)),0.5)*Config!$B$5+1-IFERROR(INDEX(Calc!$AP$2:$AP$56,MATCH($W27,Calc!$A$2:$A$56,0)),0.5))),SQRT(G27*Config!$B$5)))</f>
        <v>6.22724709119862</v>
      </c>
      <c r="I27" s="10" t="n">
        <f aca="false">IF(OR(F27="",G27="",N(H27)&lt;=0),"",1-NORMDIST(FLOOR(F27,1)+0.5,G27,H27,TRUE()))</f>
        <v>0.448826186727999</v>
      </c>
      <c r="J27" s="10" t="n">
        <f aca="false">IF(I27="","",NORMDIST(CEILING(F27,1)-0.5,G27,H27,TRUE()))</f>
        <v>0.551173813272001</v>
      </c>
      <c r="K27" s="10" t="n">
        <f aca="false">IF(I27="","",MAX(0,1-I27-J27))</f>
        <v>0</v>
      </c>
      <c r="L27" s="0" t="str">
        <f aca="false">IF(I27="","",IF(I27&gt;=0.5+Config!$B$6,"OVER",IF(J27&gt;=0.5+Config!$B$6,"UNDER","—")))</f>
        <v>UNDER</v>
      </c>
      <c r="N27" s="0" t="n">
        <v>30.9</v>
      </c>
      <c r="O27" s="10" t="n">
        <v>0</v>
      </c>
      <c r="P27" s="10" t="n">
        <v>0.5</v>
      </c>
      <c r="Q27" s="10" t="n">
        <v>0.4</v>
      </c>
      <c r="R27" s="9" t="s">
        <v>690</v>
      </c>
      <c r="S27" s="0" t="n">
        <v>-5</v>
      </c>
      <c r="T27" s="0" t="str">
        <f aca="false">INDEX(Calc!$G$2:$G$56,MATCH($W27,Calc!$A$2:$A$56,0))&amp;" / "&amp;INDEX(Calc!$H$2:$H$56,MATCH($W27,Calc!$A$2:$A$56,0))</f>
        <v>Inferno / Dust2</v>
      </c>
      <c r="U27" s="0" t="str">
        <f aca="false">TEXT(INDEX(Calc!$J$2:$J$56,MATCH($W27,Calc!$A$2:$A$56,0)),"0.0")&amp;" / "&amp;TEXT(INDEX(Calc!$K$2:$K$56,MATCH($W27,Calc!$A$2:$A$56,0)),"0.0")</f>
        <v>21.5 / 21.5</v>
      </c>
      <c r="V27" s="0" t="str">
        <f aca="false">IFERROR(INDEX(Calc!$AQ$2:$AQ$56,MATCH($W27,Calc!$A$2:$A$56,0)),"")</f>
        <v/>
      </c>
      <c r="W27" s="9" t="s">
        <v>724</v>
      </c>
      <c r="X27" s="9" t="s">
        <v>694</v>
      </c>
      <c r="Y27" s="0" t="str">
        <f aca="false">W27&amp;"|"&amp;X27</f>
        <v>hibcd1uwtnvwavq|CS2 · ISG vs Hacha Esports|K12</v>
      </c>
      <c r="Z27" s="11" t="n">
        <f aca="false">IFERROR(INDEX(CHOOSE(MATCH($X27,{"K1","K2","K3","K12","K13","H1","H2","H3","H12","H13"},0),Calc!$BA$2:$BA$56,Calc!$BB$2:$BB$56,Calc!$BC$2:$BC$56,Calc!$BD$2:$BD$56,Calc!$BE$2:$BE$56,Calc!$BF$2:$BF$56,Calc!$BG$2:$BG$56,Calc!$BH$2:$BH$56,Calc!$BI$2:$BI$56,Calc!$BJ$2:$BJ$56),MATCH($W27,Calc!$A$2:$A$56,0)),"")</f>
        <v>29.2326802716775</v>
      </c>
      <c r="AA27" s="11" t="n">
        <f aca="false">IF(Z27="","",IF(LEFT($X27,1)="H",SQRT(Z27*(IFERROR(INDEX(Calc!$AP$2:$AP$56,MATCH($W27,Calc!$A$2:$A$56,0)),0.5)*Config!$B$5+1-IFERROR(INDEX(Calc!$AP$2:$AP$56,MATCH($W27,Calc!$A$2:$A$56,0)),0.5))),SQRT(Z27*Config!$B$5)))</f>
        <v>6.39732384519875</v>
      </c>
      <c r="AB27" s="10" t="n">
        <f aca="false">IF(OR(F27="",Z27="",N(AA27)&lt;=0),"",1-NORMDIST(FLOOR(F27,1)+0.5,Z27,AA27,TRUE()))</f>
        <v>0.545590842940913</v>
      </c>
      <c r="AC27" s="10" t="n">
        <f aca="false">IF(AB27="","",NORMDIST(CEILING(F27,1)-0.5,Z27,AA27,TRUE()))</f>
        <v>0.454409157059087</v>
      </c>
      <c r="AD27" s="0" t="str">
        <f aca="false">IF(AB27="","",IF(AB27&gt;=0.5+Config!$B$6,"OVER",IF(AC27&gt;=0.5+Config!$B$6,"UNDER","—")))</f>
        <v>OVER</v>
      </c>
      <c r="AE27" s="13" t="n">
        <f aca="false">IFERROR(Z27/G27,"")</f>
        <v>1.05536934532837</v>
      </c>
    </row>
    <row r="28" customFormat="false" ht="15" hidden="false" customHeight="false" outlineLevel="0" collapsed="false">
      <c r="A28" s="0" t="s">
        <v>608</v>
      </c>
      <c r="B28" s="0" t="s">
        <v>525</v>
      </c>
      <c r="C28" s="0" t="s">
        <v>725</v>
      </c>
      <c r="D28" s="0" t="s">
        <v>615</v>
      </c>
      <c r="E28" s="0" t="s">
        <v>689</v>
      </c>
      <c r="F28" s="0" t="n">
        <v>20.5</v>
      </c>
      <c r="G28" s="11" t="n">
        <f aca="false">IFERROR(INDEX(CHOOSE(MATCH($X28,{"K1","K2","K3","K12","K13","H1","H2","H3","H12","H13"},0),Calc!$V$2:$V$56,Calc!$AC$2:$AC$56,Calc!$AJ$2:$AJ$56,Calc!$AL$2:$AL$56,Calc!$AM$2:$AM$56,Calc!$W$2:$W$56,Calc!$AD$2:$AD$56,Calc!$AK$2:$AK$56,Calc!$AN$2:$AN$56,Calc!$AO$2:$AO$56),MATCH($W28,Calc!$A$2:$A$56,0)),"")</f>
        <v>21.0226990718935</v>
      </c>
      <c r="H28" s="11" t="n">
        <f aca="false">IF(G28="","",IF(LEFT($X28,1)="H",SQRT(G28*(IFERROR(INDEX(Calc!$AP$2:$AP$56,MATCH($W28,Calc!$A$2:$A$56,0)),0.5)*Config!$B$5+1-IFERROR(INDEX(Calc!$AP$2:$AP$56,MATCH($W28,Calc!$A$2:$A$56,0)),0.5))),SQRT(G28*Config!$B$5)))</f>
        <v>5.10965327234589</v>
      </c>
      <c r="I28" s="10" t="n">
        <f aca="false">IF(OR(F28="",G28="",N(H28)&lt;=0),"",1-NORMDIST(FLOOR(F28,1)+0.5,G28,H28,TRUE()))</f>
        <v>0.540739288746378</v>
      </c>
      <c r="J28" s="10" t="n">
        <f aca="false">IF(I28="","",NORMDIST(CEILING(F28,1)-0.5,G28,H28,TRUE()))</f>
        <v>0.459260711253622</v>
      </c>
      <c r="K28" s="10" t="n">
        <f aca="false">IF(I28="","",MAX(0,1-I28-J28))</f>
        <v>0</v>
      </c>
      <c r="L28" s="0" t="str">
        <f aca="false">IF(I28="","",IF(I28&gt;=0.5+Config!$B$6,"OVER",IF(J28&gt;=0.5+Config!$B$6,"UNDER","—")))</f>
        <v>OVER</v>
      </c>
      <c r="N28" s="0" t="n">
        <v>22.1</v>
      </c>
      <c r="O28" s="10" t="n">
        <v>0.8</v>
      </c>
      <c r="P28" s="10" t="n">
        <v>0.6</v>
      </c>
      <c r="Q28" s="10" t="n">
        <v>0.53</v>
      </c>
      <c r="R28" s="9" t="s">
        <v>726</v>
      </c>
      <c r="S28" s="0" t="n">
        <v>1</v>
      </c>
      <c r="T28" s="0" t="str">
        <f aca="false">INDEX(Calc!$G$2:$G$56,MATCH($W28,Calc!$A$2:$A$56,0))&amp;" / "&amp;INDEX(Calc!$H$2:$H$56,MATCH($W28,Calc!$A$2:$A$56,0))</f>
        <v>Mirage / Cache</v>
      </c>
      <c r="U28" s="0" t="str">
        <f aca="false">TEXT(INDEX(Calc!$J$2:$J$56,MATCH($W28,Calc!$A$2:$A$56,0)),"0.0")&amp;" / "&amp;TEXT(INDEX(Calc!$K$2:$K$56,MATCH($W28,Calc!$A$2:$A$56,0)),"0.0")</f>
        <v>21.3 / 21.2</v>
      </c>
      <c r="V28" s="0" t="str">
        <f aca="false">IFERROR(INDEX(Calc!$AQ$2:$AQ$56,MATCH($W28,Calc!$A$2:$A$56,0)),"")</f>
        <v/>
      </c>
      <c r="W28" s="9" t="s">
        <v>727</v>
      </c>
      <c r="X28" s="9" t="s">
        <v>692</v>
      </c>
      <c r="Y28" s="0" t="str">
        <f aca="false">W28&amp;"|"&amp;X28</f>
        <v>rfuts2r0t85cd95|CS2 · JJH vs EF|H12</v>
      </c>
      <c r="Z28" s="11" t="n">
        <f aca="false">IFERROR(INDEX(CHOOSE(MATCH($X28,{"K1","K2","K3","K12","K13","H1","H2","H3","H12","H13"},0),Calc!$BA$2:$BA$56,Calc!$BB$2:$BB$56,Calc!$BC$2:$BC$56,Calc!$BD$2:$BD$56,Calc!$BE$2:$BE$56,Calc!$BF$2:$BF$56,Calc!$BG$2:$BG$56,Calc!$BH$2:$BH$56,Calc!$BI$2:$BI$56,Calc!$BJ$2:$BJ$56),MATCH($W28,Calc!$A$2:$A$56,0)),"")</f>
        <v>20.6079616194675</v>
      </c>
      <c r="AA28" s="11" t="n">
        <f aca="false">IF(Z28="","",IF(LEFT($X28,1)="H",SQRT(Z28*(IFERROR(INDEX(Calc!$AP$2:$AP$56,MATCH($W28,Calc!$A$2:$A$56,0)),0.5)*Config!$B$5+1-IFERROR(INDEX(Calc!$AP$2:$AP$56,MATCH($W28,Calc!$A$2:$A$56,0)),0.5))),SQRT(Z28*Config!$B$5)))</f>
        <v>5.05900038709012</v>
      </c>
      <c r="AB28" s="10" t="n">
        <f aca="false">IF(OR(F28="",Z28="",N(AA28)&lt;=0),"",1-NORMDIST(FLOOR(F28,1)+0.5,Z28,AA28,TRUE()))</f>
        <v>0.50851298328203</v>
      </c>
      <c r="AC28" s="10" t="n">
        <f aca="false">IF(AB28="","",NORMDIST(CEILING(F28,1)-0.5,Z28,AA28,TRUE()))</f>
        <v>0.49148701671797</v>
      </c>
      <c r="AD28" s="0" t="str">
        <f aca="false">IF(AB28="","",IF(AB28&gt;=0.5+Config!$B$6,"OVER",IF(AC28&gt;=0.5+Config!$B$6,"UNDER","—")))</f>
        <v>—</v>
      </c>
      <c r="AE28" s="13" t="n">
        <f aca="false">IFERROR(Z28/G28,"")</f>
        <v>0.980271921744793</v>
      </c>
    </row>
    <row r="29" customFormat="false" ht="15" hidden="false" customHeight="false" outlineLevel="0" collapsed="false">
      <c r="A29" s="0" t="s">
        <v>608</v>
      </c>
      <c r="B29" s="0" t="s">
        <v>525</v>
      </c>
      <c r="C29" s="0" t="s">
        <v>725</v>
      </c>
      <c r="D29" s="0" t="s">
        <v>615</v>
      </c>
      <c r="E29" s="0" t="s">
        <v>693</v>
      </c>
      <c r="F29" s="0" t="n">
        <v>33.5</v>
      </c>
      <c r="G29" s="11" t="n">
        <f aca="false">IFERROR(INDEX(CHOOSE(MATCH($X29,{"K1","K2","K3","K12","K13","H1","H2","H3","H12","H13"},0),Calc!$V$2:$V$56,Calc!$AC$2:$AC$56,Calc!$AJ$2:$AJ$56,Calc!$AL$2:$AL$56,Calc!$AM$2:$AM$56,Calc!$W$2:$W$56,Calc!$AD$2:$AD$56,Calc!$AK$2:$AK$56,Calc!$AN$2:$AN$56,Calc!$AO$2:$AO$56),MATCH($W29,Calc!$A$2:$A$56,0)),"")</f>
        <v>34.7594384615385</v>
      </c>
      <c r="H29" s="11" t="n">
        <f aca="false">IF(G29="","",IF(LEFT($X29,1)="H",SQRT(G29*(IFERROR(INDEX(Calc!$AP$2:$AP$56,MATCH($W29,Calc!$A$2:$A$56,0)),0.5)*Config!$B$5+1-IFERROR(INDEX(Calc!$AP$2:$AP$56,MATCH($W29,Calc!$A$2:$A$56,0)),0.5))),SQRT(G29*Config!$B$5)))</f>
        <v>6.97590236787714</v>
      </c>
      <c r="I29" s="10" t="n">
        <f aca="false">IF(OR(F29="",G29="",N(H29)&lt;=0),"",1-NORMDIST(FLOOR(F29,1)+0.5,G29,H29,TRUE()))</f>
        <v>0.571636181670624</v>
      </c>
      <c r="J29" s="10" t="n">
        <f aca="false">IF(I29="","",NORMDIST(CEILING(F29,1)-0.5,G29,H29,TRUE()))</f>
        <v>0.428363818329376</v>
      </c>
      <c r="K29" s="10" t="n">
        <f aca="false">IF(I29="","",MAX(0,1-I29-J29))</f>
        <v>0</v>
      </c>
      <c r="L29" s="0" t="str">
        <f aca="false">IF(I29="","",IF(I29&gt;=0.5+Config!$B$6,"OVER",IF(J29&gt;=0.5+Config!$B$6,"UNDER","—")))</f>
        <v>OVER</v>
      </c>
      <c r="M29" s="0" t="n">
        <v>31.38</v>
      </c>
      <c r="N29" s="0" t="n">
        <v>36</v>
      </c>
      <c r="O29" s="10" t="n">
        <v>0.6</v>
      </c>
      <c r="P29" s="10" t="n">
        <v>0.4</v>
      </c>
      <c r="Q29" s="10" t="n">
        <v>0.53</v>
      </c>
      <c r="R29" s="9" t="s">
        <v>726</v>
      </c>
      <c r="S29" s="0" t="n">
        <v>1</v>
      </c>
      <c r="T29" s="0" t="str">
        <f aca="false">INDEX(Calc!$G$2:$G$56,MATCH($W29,Calc!$A$2:$A$56,0))&amp;" / "&amp;INDEX(Calc!$H$2:$H$56,MATCH($W29,Calc!$A$2:$A$56,0))</f>
        <v>Mirage / Cache</v>
      </c>
      <c r="U29" s="0" t="str">
        <f aca="false">TEXT(INDEX(Calc!$J$2:$J$56,MATCH($W29,Calc!$A$2:$A$56,0)),"0.0")&amp;" / "&amp;TEXT(INDEX(Calc!$K$2:$K$56,MATCH($W29,Calc!$A$2:$A$56,0)),"0.0")</f>
        <v>21.3 / 21.2</v>
      </c>
      <c r="V29" s="0" t="str">
        <f aca="false">IFERROR(INDEX(Calc!$AQ$2:$AQ$56,MATCH($W29,Calc!$A$2:$A$56,0)),"")</f>
        <v/>
      </c>
      <c r="W29" s="9" t="s">
        <v>727</v>
      </c>
      <c r="X29" s="9" t="s">
        <v>694</v>
      </c>
      <c r="Y29" s="0" t="str">
        <f aca="false">W29&amp;"|"&amp;X29</f>
        <v>rfuts2r0t85cd95|CS2 · JJH vs EF|K12</v>
      </c>
      <c r="Z29" s="11" t="n">
        <f aca="false">IFERROR(INDEX(CHOOSE(MATCH($X29,{"K1","K2","K3","K12","K13","H1","H2","H3","H12","H13"},0),Calc!$BA$2:$BA$56,Calc!$BB$2:$BB$56,Calc!$BC$2:$BC$56,Calc!$BD$2:$BD$56,Calc!$BE$2:$BE$56,Calc!$BF$2:$BF$56,Calc!$BG$2:$BG$56,Calc!$BH$2:$BH$56,Calc!$BI$2:$BI$56,Calc!$BJ$2:$BJ$56),MATCH($W29,Calc!$A$2:$A$56,0)),"")</f>
        <v>34.0715548491657</v>
      </c>
      <c r="AA29" s="11" t="n">
        <f aca="false">IF(Z29="","",IF(LEFT($X29,1)="H",SQRT(Z29*(IFERROR(INDEX(Calc!$AP$2:$AP$56,MATCH($W29,Calc!$A$2:$A$56,0)),0.5)*Config!$B$5+1-IFERROR(INDEX(Calc!$AP$2:$AP$56,MATCH($W29,Calc!$A$2:$A$56,0)),0.5))),SQRT(Z29*Config!$B$5)))</f>
        <v>6.90653145861452</v>
      </c>
      <c r="AB29" s="10" t="n">
        <f aca="false">IF(OR(F29="",Z29="",N(AA29)&lt;=0),"",1-NORMDIST(FLOOR(F29,1)+0.5,Z29,AA29,TRUE()))</f>
        <v>0.532977102953603</v>
      </c>
      <c r="AC29" s="10" t="n">
        <f aca="false">IF(AB29="","",NORMDIST(CEILING(F29,1)-0.5,Z29,AA29,TRUE()))</f>
        <v>0.467022897046398</v>
      </c>
      <c r="AD29" s="0" t="str">
        <f aca="false">IF(AB29="","",IF(AB29&gt;=0.5+Config!$B$6,"OVER",IF(AC29&gt;=0.5+Config!$B$6,"UNDER","—")))</f>
        <v>—</v>
      </c>
      <c r="AE29" s="13" t="n">
        <f aca="false">IFERROR(Z29/G29,"")</f>
        <v>0.980210163258709</v>
      </c>
    </row>
    <row r="30" customFormat="false" ht="15" hidden="false" customHeight="false" outlineLevel="0" collapsed="false">
      <c r="A30" s="0" t="s">
        <v>608</v>
      </c>
      <c r="B30" s="0" t="s">
        <v>525</v>
      </c>
      <c r="C30" s="0" t="s">
        <v>728</v>
      </c>
      <c r="D30" s="0" t="s">
        <v>615</v>
      </c>
      <c r="E30" s="0" t="s">
        <v>689</v>
      </c>
      <c r="F30" s="0" t="n">
        <v>18.5</v>
      </c>
      <c r="G30" s="11" t="n">
        <f aca="false">IFERROR(INDEX(CHOOSE(MATCH($X30,{"K1","K2","K3","K12","K13","H1","H2","H3","H12","H13"},0),Calc!$V$2:$V$56,Calc!$AC$2:$AC$56,Calc!$AJ$2:$AJ$56,Calc!$AL$2:$AL$56,Calc!$AM$2:$AM$56,Calc!$W$2:$W$56,Calc!$AD$2:$AD$56,Calc!$AK$2:$AK$56,Calc!$AN$2:$AN$56,Calc!$AO$2:$AO$56),MATCH($W30,Calc!$A$2:$A$56,0)),"")</f>
        <v>14.885460285503</v>
      </c>
      <c r="H30" s="11" t="n">
        <f aca="false">IF(G30="","",IF(LEFT($X30,1)="H",SQRT(G30*(IFERROR(INDEX(Calc!$AP$2:$AP$56,MATCH($W30,Calc!$A$2:$A$56,0)),0.5)*Config!$B$5+1-IFERROR(INDEX(Calc!$AP$2:$AP$56,MATCH($W30,Calc!$A$2:$A$56,0)),0.5))),SQRT(G30*Config!$B$5)))</f>
        <v>4.24743824343789</v>
      </c>
      <c r="I30" s="10" t="n">
        <f aca="false">IF(OR(F30="",G30="",N(H30)&lt;=0),"",1-NORMDIST(FLOOR(F30,1)+0.5,G30,H30,TRUE()))</f>
        <v>0.197386653243402</v>
      </c>
      <c r="J30" s="10" t="n">
        <f aca="false">IF(I30="","",NORMDIST(CEILING(F30,1)-0.5,G30,H30,TRUE()))</f>
        <v>0.802613346756598</v>
      </c>
      <c r="K30" s="10" t="n">
        <f aca="false">IF(I30="","",MAX(0,1-I30-J30))</f>
        <v>0</v>
      </c>
      <c r="L30" s="0" t="str">
        <f aca="false">IF(I30="","",IF(I30&gt;=0.5+Config!$B$6,"OVER",IF(J30&gt;=0.5+Config!$B$6,"UNDER","—")))</f>
        <v>UNDER</v>
      </c>
      <c r="N30" s="0" t="n">
        <v>17.2</v>
      </c>
      <c r="O30" s="10" t="n">
        <v>0.2</v>
      </c>
      <c r="P30" s="10" t="n">
        <v>0.4</v>
      </c>
      <c r="Q30" s="10" t="n">
        <v>0.4</v>
      </c>
      <c r="R30" s="9" t="s">
        <v>729</v>
      </c>
      <c r="S30" s="0" t="n">
        <v>-3</v>
      </c>
      <c r="T30" s="0" t="str">
        <f aca="false">INDEX(Calc!$G$2:$G$56,MATCH($W30,Calc!$A$2:$A$56,0))&amp;" / "&amp;INDEX(Calc!$H$2:$H$56,MATCH($W30,Calc!$A$2:$A$56,0))</f>
        <v>Mirage / Cache</v>
      </c>
      <c r="U30" s="0" t="str">
        <f aca="false">TEXT(INDEX(Calc!$J$2:$J$56,MATCH($W30,Calc!$A$2:$A$56,0)),"0.0")&amp;" / "&amp;TEXT(INDEX(Calc!$K$2:$K$56,MATCH($W30,Calc!$A$2:$A$56,0)),"0.0")</f>
        <v>21.3 / 21.2</v>
      </c>
      <c r="V30" s="0" t="str">
        <f aca="false">IFERROR(INDEX(Calc!$AQ$2:$AQ$56,MATCH($W30,Calc!$A$2:$A$56,0)),"")</f>
        <v/>
      </c>
      <c r="W30" s="9" t="s">
        <v>730</v>
      </c>
      <c r="X30" s="9" t="s">
        <v>692</v>
      </c>
      <c r="Y30" s="0" t="str">
        <f aca="false">W30&amp;"|"&amp;X30</f>
        <v>t2lttsuygcwlbxl|CS2 · JJH vs EF|H12</v>
      </c>
      <c r="Z30" s="11" t="n">
        <f aca="false">IFERROR(INDEX(CHOOSE(MATCH($X30,{"K1","K2","K3","K12","K13","H1","H2","H3","H12","H13"},0),Calc!$BA$2:$BA$56,Calc!$BB$2:$BB$56,Calc!$BC$2:$BC$56,Calc!$BD$2:$BD$56,Calc!$BE$2:$BE$56,Calc!$BF$2:$BF$56,Calc!$BG$2:$BG$56,Calc!$BH$2:$BH$56,Calc!$BI$2:$BI$56,Calc!$BJ$2:$BJ$56),MATCH($W30,Calc!$A$2:$A$56,0)),"")</f>
        <v>14.5904111582147</v>
      </c>
      <c r="AA30" s="11" t="n">
        <f aca="false">IF(Z30="","",IF(LEFT($X30,1)="H",SQRT(Z30*(IFERROR(INDEX(Calc!$AP$2:$AP$56,MATCH($W30,Calc!$A$2:$A$56,0)),0.5)*Config!$B$5+1-IFERROR(INDEX(Calc!$AP$2:$AP$56,MATCH($W30,Calc!$A$2:$A$56,0)),0.5))),SQRT(Z30*Config!$B$5)))</f>
        <v>4.20513268928415</v>
      </c>
      <c r="AB30" s="10" t="n">
        <f aca="false">IF(OR(F30="",Z30="",N(AA30)&lt;=0),"",1-NORMDIST(FLOOR(F30,1)+0.5,Z30,AA30,TRUE()))</f>
        <v>0.176258476808014</v>
      </c>
      <c r="AC30" s="10" t="n">
        <f aca="false">IF(AB30="","",NORMDIST(CEILING(F30,1)-0.5,Z30,AA30,TRUE()))</f>
        <v>0.823741523191986</v>
      </c>
      <c r="AD30" s="0" t="str">
        <f aca="false">IF(AB30="","",IF(AB30&gt;=0.5+Config!$B$6,"OVER",IF(AC30&gt;=0.5+Config!$B$6,"UNDER","—")))</f>
        <v>UNDER</v>
      </c>
      <c r="AE30" s="13" t="n">
        <f aca="false">IFERROR(Z30/G30,"")</f>
        <v>0.980178703135194</v>
      </c>
    </row>
    <row r="31" customFormat="false" ht="15" hidden="false" customHeight="false" outlineLevel="0" collapsed="false">
      <c r="A31" s="0" t="s">
        <v>608</v>
      </c>
      <c r="B31" s="0" t="s">
        <v>525</v>
      </c>
      <c r="C31" s="0" t="s">
        <v>728</v>
      </c>
      <c r="D31" s="0" t="s">
        <v>615</v>
      </c>
      <c r="E31" s="0" t="s">
        <v>693</v>
      </c>
      <c r="F31" s="0" t="n">
        <v>32.5</v>
      </c>
      <c r="G31" s="11" t="n">
        <f aca="false">IFERROR(INDEX(CHOOSE(MATCH($X31,{"K1","K2","K3","K12","K13","H1","H2","H3","H12","H13"},0),Calc!$V$2:$V$56,Calc!$AC$2:$AC$56,Calc!$AJ$2:$AJ$56,Calc!$AL$2:$AL$56,Calc!$AM$2:$AM$56,Calc!$W$2:$W$56,Calc!$AD$2:$AD$56,Calc!$AK$2:$AK$56,Calc!$AN$2:$AN$56,Calc!$AO$2:$AO$56),MATCH($W31,Calc!$A$2:$A$56,0)),"")</f>
        <v>28.0897461538462</v>
      </c>
      <c r="H31" s="11" t="n">
        <f aca="false">IF(G31="","",IF(LEFT($X31,1)="H",SQRT(G31*(IFERROR(INDEX(Calc!$AP$2:$AP$56,MATCH($W31,Calc!$A$2:$A$56,0)),0.5)*Config!$B$5+1-IFERROR(INDEX(Calc!$AP$2:$AP$56,MATCH($W31,Calc!$A$2:$A$56,0)),0.5))),SQRT(G31*Config!$B$5)))</f>
        <v>6.27101623466122</v>
      </c>
      <c r="I31" s="10" t="n">
        <f aca="false">IF(OR(F31="",G31="",N(H31)&lt;=0),"",1-NORMDIST(FLOOR(F31,1)+0.5,G31,H31,TRUE()))</f>
        <v>0.240941950100974</v>
      </c>
      <c r="J31" s="10" t="n">
        <f aca="false">IF(I31="","",NORMDIST(CEILING(F31,1)-0.5,G31,H31,TRUE()))</f>
        <v>0.759058049899026</v>
      </c>
      <c r="K31" s="10" t="n">
        <f aca="false">IF(I31="","",MAX(0,1-I31-J31))</f>
        <v>0</v>
      </c>
      <c r="L31" s="0" t="str">
        <f aca="false">IF(I31="","",IF(I31&gt;=0.5+Config!$B$6,"OVER",IF(J31&gt;=0.5+Config!$B$6,"UNDER","—")))</f>
        <v>UNDER</v>
      </c>
      <c r="M31" s="0" t="n">
        <v>29.34</v>
      </c>
      <c r="N31" s="0" t="n">
        <v>30.8</v>
      </c>
      <c r="O31" s="10" t="n">
        <v>0.4</v>
      </c>
      <c r="P31" s="10" t="n">
        <v>0.4</v>
      </c>
      <c r="Q31" s="10" t="n">
        <v>0.47</v>
      </c>
      <c r="R31" s="9" t="s">
        <v>729</v>
      </c>
      <c r="S31" s="0" t="n">
        <v>-2</v>
      </c>
      <c r="T31" s="0" t="str">
        <f aca="false">INDEX(Calc!$G$2:$G$56,MATCH($W31,Calc!$A$2:$A$56,0))&amp;" / "&amp;INDEX(Calc!$H$2:$H$56,MATCH($W31,Calc!$A$2:$A$56,0))</f>
        <v>Mirage / Cache</v>
      </c>
      <c r="U31" s="0" t="str">
        <f aca="false">TEXT(INDEX(Calc!$J$2:$J$56,MATCH($W31,Calc!$A$2:$A$56,0)),"0.0")&amp;" / "&amp;TEXT(INDEX(Calc!$K$2:$K$56,MATCH($W31,Calc!$A$2:$A$56,0)),"0.0")</f>
        <v>21.3 / 21.2</v>
      </c>
      <c r="V31" s="0" t="str">
        <f aca="false">IFERROR(INDEX(Calc!$AQ$2:$AQ$56,MATCH($W31,Calc!$A$2:$A$56,0)),"")</f>
        <v/>
      </c>
      <c r="W31" s="9" t="s">
        <v>730</v>
      </c>
      <c r="X31" s="9" t="s">
        <v>694</v>
      </c>
      <c r="Y31" s="0" t="str">
        <f aca="false">W31&amp;"|"&amp;X31</f>
        <v>t2lttsuygcwlbxl|CS2 · JJH vs EF|K12</v>
      </c>
      <c r="Z31" s="11" t="n">
        <f aca="false">IFERROR(INDEX(CHOOSE(MATCH($X31,{"K1","K2","K3","K12","K13","H1","H2","H3","H12","H13"},0),Calc!$BA$2:$BA$56,Calc!$BB$2:$BB$56,Calc!$BC$2:$BC$56,Calc!$BD$2:$BD$56,Calc!$BE$2:$BE$56,Calc!$BF$2:$BF$56,Calc!$BG$2:$BG$56,Calc!$BH$2:$BH$56,Calc!$BI$2:$BI$56,Calc!$BJ$2:$BJ$56),MATCH($W31,Calc!$A$2:$A$56,0)),"")</f>
        <v>27.5316153520874</v>
      </c>
      <c r="AA31" s="11" t="n">
        <f aca="false">IF(Z31="","",IF(LEFT($X31,1)="H",SQRT(Z31*(IFERROR(INDEX(Calc!$AP$2:$AP$56,MATCH($W31,Calc!$A$2:$A$56,0)),0.5)*Config!$B$5+1-IFERROR(INDEX(Calc!$AP$2:$AP$56,MATCH($W31,Calc!$A$2:$A$56,0)),0.5))),SQRT(Z31*Config!$B$5)))</f>
        <v>6.20840249121482</v>
      </c>
      <c r="AB31" s="10" t="n">
        <f aca="false">IF(OR(F31="",Z31="",N(AA31)&lt;=0),"",1-NORMDIST(FLOOR(F31,1)+0.5,Z31,AA31,TRUE()))</f>
        <v>0.211777825408396</v>
      </c>
      <c r="AC31" s="10" t="n">
        <f aca="false">IF(AB31="","",NORMDIST(CEILING(F31,1)-0.5,Z31,AA31,TRUE()))</f>
        <v>0.788222174591604</v>
      </c>
      <c r="AD31" s="0" t="str">
        <f aca="false">IF(AB31="","",IF(AB31&gt;=0.5+Config!$B$6,"OVER",IF(AC31&gt;=0.5+Config!$B$6,"UNDER","—")))</f>
        <v>UNDER</v>
      </c>
      <c r="AE31" s="13" t="n">
        <f aca="false">IFERROR(Z31/G31,"")</f>
        <v>0.980130443375959</v>
      </c>
    </row>
    <row r="32" customFormat="false" ht="15" hidden="false" customHeight="false" outlineLevel="0" collapsed="false">
      <c r="A32" s="0" t="s">
        <v>608</v>
      </c>
      <c r="B32" s="0" t="s">
        <v>525</v>
      </c>
      <c r="C32" s="0" t="s">
        <v>731</v>
      </c>
      <c r="D32" s="0" t="s">
        <v>615</v>
      </c>
      <c r="E32" s="0" t="s">
        <v>689</v>
      </c>
      <c r="F32" s="0" t="n">
        <v>14.5</v>
      </c>
      <c r="G32" s="11" t="n">
        <f aca="false">IFERROR(INDEX(CHOOSE(MATCH($X32,{"K1","K2","K3","K12","K13","H1","H2","H3","H12","H13"},0),Calc!$V$2:$V$56,Calc!$AC$2:$AC$56,Calc!$AJ$2:$AJ$56,Calc!$AL$2:$AL$56,Calc!$AM$2:$AM$56,Calc!$W$2:$W$56,Calc!$AD$2:$AD$56,Calc!$AK$2:$AK$56,Calc!$AN$2:$AN$56,Calc!$AO$2:$AO$56),MATCH($W32,Calc!$A$2:$A$56,0)),"")</f>
        <v>13.5505778934911</v>
      </c>
      <c r="H32" s="11" t="n">
        <f aca="false">IF(G32="","",IF(LEFT($X32,1)="H",SQRT(G32*(IFERROR(INDEX(Calc!$AP$2:$AP$56,MATCH($W32,Calc!$A$2:$A$56,0)),0.5)*Config!$B$5+1-IFERROR(INDEX(Calc!$AP$2:$AP$56,MATCH($W32,Calc!$A$2:$A$56,0)),0.5))),SQRT(G32*Config!$B$5)))</f>
        <v>4.05764895151464</v>
      </c>
      <c r="I32" s="10" t="n">
        <f aca="false">IF(OR(F32="",G32="",N(H32)&lt;=0),"",1-NORMDIST(FLOOR(F32,1)+0.5,G32,H32,TRUE()))</f>
        <v>0.407498970357235</v>
      </c>
      <c r="J32" s="10" t="n">
        <f aca="false">IF(I32="","",NORMDIST(CEILING(F32,1)-0.5,G32,H32,TRUE()))</f>
        <v>0.592501029642765</v>
      </c>
      <c r="K32" s="10" t="n">
        <f aca="false">IF(I32="","",MAX(0,1-I32-J32))</f>
        <v>0</v>
      </c>
      <c r="L32" s="0" t="str">
        <f aca="false">IF(I32="","",IF(I32&gt;=0.5+Config!$B$6,"OVER",IF(J32&gt;=0.5+Config!$B$6,"UNDER","—")))</f>
        <v>UNDER</v>
      </c>
      <c r="N32" s="0" t="n">
        <v>15</v>
      </c>
      <c r="O32" s="10" t="n">
        <v>0.4</v>
      </c>
      <c r="P32" s="10" t="n">
        <v>0.4</v>
      </c>
      <c r="Q32" s="10" t="n">
        <v>0.4</v>
      </c>
      <c r="R32" s="9" t="s">
        <v>732</v>
      </c>
      <c r="S32" s="0" t="n">
        <v>1</v>
      </c>
      <c r="T32" s="0" t="str">
        <f aca="false">INDEX(Calc!$G$2:$G$56,MATCH($W32,Calc!$A$2:$A$56,0))&amp;" / "&amp;INDEX(Calc!$H$2:$H$56,MATCH($W32,Calc!$A$2:$A$56,0))</f>
        <v>Mirage / Cache</v>
      </c>
      <c r="U32" s="0" t="str">
        <f aca="false">TEXT(INDEX(Calc!$J$2:$J$56,MATCH($W32,Calc!$A$2:$A$56,0)),"0.0")&amp;" / "&amp;TEXT(INDEX(Calc!$K$2:$K$56,MATCH($W32,Calc!$A$2:$A$56,0)),"0.0")</f>
        <v>21.3 / 21.2</v>
      </c>
      <c r="V32" s="0" t="str">
        <f aca="false">IFERROR(INDEX(Calc!$AQ$2:$AQ$56,MATCH($W32,Calc!$A$2:$A$56,0)),"")</f>
        <v/>
      </c>
      <c r="W32" s="9" t="s">
        <v>733</v>
      </c>
      <c r="X32" s="9" t="s">
        <v>692</v>
      </c>
      <c r="Y32" s="0" t="str">
        <f aca="false">W32&amp;"|"&amp;X32</f>
        <v>mp3vrg2adugpxjt|CS2 · JJH vs EF|H12</v>
      </c>
      <c r="Z32" s="11" t="n">
        <f aca="false">IFERROR(INDEX(CHOOSE(MATCH($X32,{"K1","K2","K3","K12","K13","H1","H2","H3","H12","H13"},0),Calc!$BA$2:$BA$56,Calc!$BB$2:$BB$56,Calc!$BC$2:$BC$56,Calc!$BD$2:$BD$56,Calc!$BE$2:$BE$56,Calc!$BF$2:$BF$56,Calc!$BG$2:$BG$56,Calc!$BH$2:$BH$56,Calc!$BI$2:$BI$56,Calc!$BJ$2:$BJ$56),MATCH($W32,Calc!$A$2:$A$56,0)),"")</f>
        <v>13.2838456353891</v>
      </c>
      <c r="AA32" s="11" t="n">
        <f aca="false">IF(Z32="","",IF(LEFT($X32,1)="H",SQRT(Z32*(IFERROR(INDEX(Calc!$AP$2:$AP$56,MATCH($W32,Calc!$A$2:$A$56,0)),0.5)*Config!$B$5+1-IFERROR(INDEX(Calc!$AP$2:$AP$56,MATCH($W32,Calc!$A$2:$A$56,0)),0.5))),SQRT(Z32*Config!$B$5)))</f>
        <v>4.01751468453167</v>
      </c>
      <c r="AB32" s="10" t="n">
        <f aca="false">IF(OR(F32="",Z32="",N(AA32)&lt;=0),"",1-NORMDIST(FLOOR(F32,1)+0.5,Z32,AA32,TRUE()))</f>
        <v>0.38105425297826</v>
      </c>
      <c r="AC32" s="10" t="n">
        <f aca="false">IF(AB32="","",NORMDIST(CEILING(F32,1)-0.5,Z32,AA32,TRUE()))</f>
        <v>0.61894574702174</v>
      </c>
      <c r="AD32" s="0" t="str">
        <f aca="false">IF(AB32="","",IF(AB32&gt;=0.5+Config!$B$6,"OVER",IF(AC32&gt;=0.5+Config!$B$6,"UNDER","—")))</f>
        <v>UNDER</v>
      </c>
      <c r="AE32" s="13" t="n">
        <f aca="false">IFERROR(Z32/G32,"")</f>
        <v>0.980315802012388</v>
      </c>
    </row>
    <row r="33" customFormat="false" ht="15" hidden="false" customHeight="false" outlineLevel="0" collapsed="false">
      <c r="A33" s="0" t="s">
        <v>608</v>
      </c>
      <c r="B33" s="0" t="s">
        <v>525</v>
      </c>
      <c r="C33" s="0" t="s">
        <v>731</v>
      </c>
      <c r="D33" s="0" t="s">
        <v>615</v>
      </c>
      <c r="E33" s="0" t="s">
        <v>693</v>
      </c>
      <c r="F33" s="0" t="n">
        <v>25.5</v>
      </c>
      <c r="G33" s="11" t="n">
        <f aca="false">IFERROR(INDEX(CHOOSE(MATCH($X33,{"K1","K2","K3","K12","K13","H1","H2","H3","H12","H13"},0),Calc!$V$2:$V$56,Calc!$AC$2:$AC$56,Calc!$AJ$2:$AJ$56,Calc!$AL$2:$AL$56,Calc!$AM$2:$AM$56,Calc!$W$2:$W$56,Calc!$AD$2:$AD$56,Calc!$AK$2:$AK$56,Calc!$AN$2:$AN$56,Calc!$AO$2:$AO$56),MATCH($W33,Calc!$A$2:$A$56,0)),"")</f>
        <v>25.2055076923077</v>
      </c>
      <c r="H33" s="11" t="n">
        <f aca="false">IF(G33="","",IF(LEFT($X33,1)="H",SQRT(G33*(IFERROR(INDEX(Calc!$AP$2:$AP$56,MATCH($W33,Calc!$A$2:$A$56,0)),0.5)*Config!$B$5+1-IFERROR(INDEX(Calc!$AP$2:$AP$56,MATCH($W33,Calc!$A$2:$A$56,0)),0.5))),SQRT(G33*Config!$B$5)))</f>
        <v>5.94034601426809</v>
      </c>
      <c r="I33" s="10" t="n">
        <f aca="false">IF(OR(F33="",G33="",N(H33)&lt;=0),"",1-NORMDIST(FLOOR(F33,1)+0.5,G33,H33,TRUE()))</f>
        <v>0.480230557825072</v>
      </c>
      <c r="J33" s="10" t="n">
        <f aca="false">IF(I33="","",NORMDIST(CEILING(F33,1)-0.5,G33,H33,TRUE()))</f>
        <v>0.519769442174928</v>
      </c>
      <c r="K33" s="10" t="n">
        <f aca="false">IF(I33="","",MAX(0,1-I33-J33))</f>
        <v>0</v>
      </c>
      <c r="L33" s="0" t="str">
        <f aca="false">IF(I33="","",IF(I33&gt;=0.5+Config!$B$6,"OVER",IF(J33&gt;=0.5+Config!$B$6,"UNDER","—")))</f>
        <v>—</v>
      </c>
      <c r="M33" s="0" t="n">
        <v>24.06</v>
      </c>
      <c r="N33" s="0" t="n">
        <v>27.6</v>
      </c>
      <c r="O33" s="10" t="n">
        <v>0.4</v>
      </c>
      <c r="P33" s="10" t="n">
        <v>0.6</v>
      </c>
      <c r="Q33" s="10" t="n">
        <v>0.6</v>
      </c>
      <c r="R33" s="9" t="s">
        <v>732</v>
      </c>
      <c r="S33" s="0" t="n">
        <v>1</v>
      </c>
      <c r="T33" s="0" t="str">
        <f aca="false">INDEX(Calc!$G$2:$G$56,MATCH($W33,Calc!$A$2:$A$56,0))&amp;" / "&amp;INDEX(Calc!$H$2:$H$56,MATCH($W33,Calc!$A$2:$A$56,0))</f>
        <v>Mirage / Cache</v>
      </c>
      <c r="U33" s="0" t="str">
        <f aca="false">TEXT(INDEX(Calc!$J$2:$J$56,MATCH($W33,Calc!$A$2:$A$56,0)),"0.0")&amp;" / "&amp;TEXT(INDEX(Calc!$K$2:$K$56,MATCH($W33,Calc!$A$2:$A$56,0)),"0.0")</f>
        <v>21.3 / 21.2</v>
      </c>
      <c r="V33" s="0" t="str">
        <f aca="false">IFERROR(INDEX(Calc!$AQ$2:$AQ$56,MATCH($W33,Calc!$A$2:$A$56,0)),"")</f>
        <v/>
      </c>
      <c r="W33" s="9" t="s">
        <v>733</v>
      </c>
      <c r="X33" s="9" t="s">
        <v>694</v>
      </c>
      <c r="Y33" s="0" t="str">
        <f aca="false">W33&amp;"|"&amp;X33</f>
        <v>mp3vrg2adugpxjt|CS2 · JJH vs EF|K12</v>
      </c>
      <c r="Z33" s="11" t="n">
        <f aca="false">IFERROR(INDEX(CHOOSE(MATCH($X33,{"K1","K2","K3","K12","K13","H1","H2","H3","H12","H13"},0),Calc!$BA$2:$BA$56,Calc!$BB$2:$BB$56,Calc!$BC$2:$BC$56,Calc!$BD$2:$BD$56,Calc!$BE$2:$BE$56,Calc!$BF$2:$BF$56,Calc!$BG$2:$BG$56,Calc!$BH$2:$BH$56,Calc!$BI$2:$BI$56,Calc!$BJ$2:$BJ$56),MATCH($W33,Calc!$A$2:$A$56,0)),"")</f>
        <v>24.7075154250432</v>
      </c>
      <c r="AA33" s="11" t="n">
        <f aca="false">IF(Z33="","",IF(LEFT($X33,1)="H",SQRT(Z33*(IFERROR(INDEX(Calc!$AP$2:$AP$56,MATCH($W33,Calc!$A$2:$A$56,0)),0.5)*Config!$B$5+1-IFERROR(INDEX(Calc!$AP$2:$AP$56,MATCH($W33,Calc!$A$2:$A$56,0)),0.5))),SQRT(Z33*Config!$B$5)))</f>
        <v>5.88137072416461</v>
      </c>
      <c r="AB33" s="10" t="n">
        <f aca="false">IF(OR(F33="",Z33="",N(AA33)&lt;=0),"",1-NORMDIST(FLOOR(F33,1)+0.5,Z33,AA33,TRUE()))</f>
        <v>0.446406794992121</v>
      </c>
      <c r="AC33" s="10" t="n">
        <f aca="false">IF(AB33="","",NORMDIST(CEILING(F33,1)-0.5,Z33,AA33,TRUE()))</f>
        <v>0.55359320500788</v>
      </c>
      <c r="AD33" s="0" t="str">
        <f aca="false">IF(AB33="","",IF(AB33&gt;=0.5+Config!$B$6,"OVER",IF(AC33&gt;=0.5+Config!$B$6,"UNDER","—")))</f>
        <v>UNDER</v>
      </c>
      <c r="AE33" s="13" t="n">
        <f aca="false">IFERROR(Z33/G33,"")</f>
        <v>0.980242720228308</v>
      </c>
    </row>
    <row r="34" customFormat="false" ht="15" hidden="false" customHeight="false" outlineLevel="0" collapsed="false">
      <c r="A34" s="0" t="s">
        <v>608</v>
      </c>
      <c r="B34" s="0" t="s">
        <v>525</v>
      </c>
      <c r="C34" s="0" t="s">
        <v>734</v>
      </c>
      <c r="D34" s="0" t="s">
        <v>615</v>
      </c>
      <c r="E34" s="0" t="s">
        <v>689</v>
      </c>
      <c r="F34" s="0" t="n">
        <v>11.5</v>
      </c>
      <c r="G34" s="11" t="n">
        <f aca="false">IFERROR(INDEX(CHOOSE(MATCH($X34,{"K1","K2","K3","K12","K13","H1","H2","H3","H12","H13"},0),Calc!$V$2:$V$56,Calc!$AC$2:$AC$56,Calc!$AJ$2:$AJ$56,Calc!$AL$2:$AL$56,Calc!$AM$2:$AM$56,Calc!$W$2:$W$56,Calc!$AD$2:$AD$56,Calc!$AK$2:$AK$56,Calc!$AN$2:$AN$56,Calc!$AO$2:$AO$56),MATCH($W34,Calc!$A$2:$A$56,0)),"")</f>
        <v>11.7029916236686</v>
      </c>
      <c r="H34" s="11" t="n">
        <f aca="false">IF(G34="","",IF(LEFT($X34,1)="H",SQRT(G34*(IFERROR(INDEX(Calc!$AP$2:$AP$56,MATCH($W34,Calc!$A$2:$A$56,0)),0.5)*Config!$B$5+1-IFERROR(INDEX(Calc!$AP$2:$AP$56,MATCH($W34,Calc!$A$2:$A$56,0)),0.5))),SQRT(G34*Config!$B$5)))</f>
        <v>3.68997771048339</v>
      </c>
      <c r="I34" s="10" t="n">
        <f aca="false">IF(OR(F34="",G34="",N(H34)&lt;=0),"",1-NORMDIST(FLOOR(F34,1)+0.5,G34,H34,TRUE()))</f>
        <v>0.521935393787298</v>
      </c>
      <c r="J34" s="10" t="n">
        <f aca="false">IF(I34="","",NORMDIST(CEILING(F34,1)-0.5,G34,H34,TRUE()))</f>
        <v>0.478064606212702</v>
      </c>
      <c r="K34" s="10" t="n">
        <f aca="false">IF(I34="","",MAX(0,1-I34-J34))</f>
        <v>0</v>
      </c>
      <c r="L34" s="0" t="str">
        <f aca="false">IF(I34="","",IF(I34&gt;=0.5+Config!$B$6,"OVER",IF(J34&gt;=0.5+Config!$B$6,"UNDER","—")))</f>
        <v>—</v>
      </c>
      <c r="N34" s="0" t="n">
        <v>14</v>
      </c>
      <c r="O34" s="10" t="n">
        <v>1</v>
      </c>
      <c r="P34" s="10" t="n">
        <v>0.8</v>
      </c>
      <c r="Q34" s="10" t="n">
        <v>0.67</v>
      </c>
      <c r="R34" s="9" t="s">
        <v>735</v>
      </c>
      <c r="S34" s="0" t="n">
        <v>6</v>
      </c>
      <c r="T34" s="0" t="str">
        <f aca="false">INDEX(Calc!$G$2:$G$56,MATCH($W34,Calc!$A$2:$A$56,0))&amp;" / "&amp;INDEX(Calc!$H$2:$H$56,MATCH($W34,Calc!$A$2:$A$56,0))</f>
        <v>Mirage / Cache</v>
      </c>
      <c r="U34" s="0" t="str">
        <f aca="false">TEXT(INDEX(Calc!$J$2:$J$56,MATCH($W34,Calc!$A$2:$A$56,0)),"0.0")&amp;" / "&amp;TEXT(INDEX(Calc!$K$2:$K$56,MATCH($W34,Calc!$A$2:$A$56,0)),"0.0")</f>
        <v>21.3 / 21.2</v>
      </c>
      <c r="V34" s="0" t="str">
        <f aca="false">IFERROR(INDEX(Calc!$AQ$2:$AQ$56,MATCH($W34,Calc!$A$2:$A$56,0)),"")</f>
        <v/>
      </c>
      <c r="W34" s="9" t="s">
        <v>736</v>
      </c>
      <c r="X34" s="9" t="s">
        <v>692</v>
      </c>
      <c r="Y34" s="0" t="str">
        <f aca="false">W34&amp;"|"&amp;X34</f>
        <v>v15ff2btfwe796g|CS2 · JJH vs EF|H12</v>
      </c>
      <c r="Z34" s="11" t="n">
        <f aca="false">IFERROR(INDEX(CHOOSE(MATCH($X34,{"K1","K2","K3","K12","K13","H1","H2","H3","H12","H13"},0),Calc!$BA$2:$BA$56,Calc!$BB$2:$BB$56,Calc!$BC$2:$BC$56,Calc!$BD$2:$BD$56,Calc!$BE$2:$BE$56,Calc!$BF$2:$BF$56,Calc!$BG$2:$BG$56,Calc!$BH$2:$BH$56,Calc!$BI$2:$BI$56,Calc!$BJ$2:$BJ$56),MATCH($W34,Calc!$A$2:$A$56,0)),"")</f>
        <v>11.4733004594408</v>
      </c>
      <c r="AA34" s="11" t="n">
        <f aca="false">IF(Z34="","",IF(LEFT($X34,1)="H",SQRT(Z34*(IFERROR(INDEX(Calc!$AP$2:$AP$56,MATCH($W34,Calc!$A$2:$A$56,0)),0.5)*Config!$B$5+1-IFERROR(INDEX(Calc!$AP$2:$AP$56,MATCH($W34,Calc!$A$2:$A$56,0)),0.5))),SQRT(Z34*Config!$B$5)))</f>
        <v>3.65358721729976</v>
      </c>
      <c r="AB34" s="10" t="n">
        <f aca="false">IF(OR(F34="",Z34="",N(AA34)&lt;=0),"",1-NORMDIST(FLOOR(F34,1)+0.5,Z34,AA34,TRUE()))</f>
        <v>0.497084651286911</v>
      </c>
      <c r="AC34" s="10" t="n">
        <f aca="false">IF(AB34="","",NORMDIST(CEILING(F34,1)-0.5,Z34,AA34,TRUE()))</f>
        <v>0.502915348713089</v>
      </c>
      <c r="AD34" s="0" t="str">
        <f aca="false">IF(AB34="","",IF(AB34&gt;=0.5+Config!$B$6,"OVER",IF(AC34&gt;=0.5+Config!$B$6,"UNDER","—")))</f>
        <v>—</v>
      </c>
      <c r="AE34" s="13" t="n">
        <f aca="false">IFERROR(Z34/G34,"")</f>
        <v>0.980373294998924</v>
      </c>
    </row>
    <row r="35" customFormat="false" ht="15" hidden="false" customHeight="false" outlineLevel="0" collapsed="false">
      <c r="A35" s="0" t="s">
        <v>608</v>
      </c>
      <c r="B35" s="0" t="s">
        <v>525</v>
      </c>
      <c r="C35" s="0" t="s">
        <v>734</v>
      </c>
      <c r="D35" s="0" t="s">
        <v>615</v>
      </c>
      <c r="E35" s="0" t="s">
        <v>693</v>
      </c>
      <c r="F35" s="0" t="n">
        <v>28.5</v>
      </c>
      <c r="G35" s="11" t="n">
        <f aca="false">IFERROR(INDEX(CHOOSE(MATCH($X35,{"K1","K2","K3","K12","K13","H1","H2","H3","H12","H13"},0),Calc!$V$2:$V$56,Calc!$AC$2:$AC$56,Calc!$AJ$2:$AJ$56,Calc!$AL$2:$AL$56,Calc!$AM$2:$AM$56,Calc!$W$2:$W$56,Calc!$AD$2:$AD$56,Calc!$AK$2:$AK$56,Calc!$AN$2:$AN$56,Calc!$AO$2:$AO$56),MATCH($W35,Calc!$A$2:$A$56,0)),"")</f>
        <v>28.6385846153846</v>
      </c>
      <c r="H35" s="11" t="n">
        <f aca="false">IF(G35="","",IF(LEFT($X35,1)="H",SQRT(G35*(IFERROR(INDEX(Calc!$AP$2:$AP$56,MATCH($W35,Calc!$A$2:$A$56,0)),0.5)*Config!$B$5+1-IFERROR(INDEX(Calc!$AP$2:$AP$56,MATCH($W35,Calc!$A$2:$A$56,0)),0.5))),SQRT(G35*Config!$B$5)))</f>
        <v>6.33198376984168</v>
      </c>
      <c r="I35" s="10" t="n">
        <f aca="false">IF(OR(F35="",G35="",N(H35)&lt;=0),"",1-NORMDIST(FLOOR(F35,1)+0.5,G35,H35,TRUE()))</f>
        <v>0.508730731299757</v>
      </c>
      <c r="J35" s="10" t="n">
        <f aca="false">IF(I35="","",NORMDIST(CEILING(F35,1)-0.5,G35,H35,TRUE()))</f>
        <v>0.491269268700243</v>
      </c>
      <c r="K35" s="10" t="n">
        <f aca="false">IF(I35="","",MAX(0,1-I35-J35))</f>
        <v>0</v>
      </c>
      <c r="L35" s="0" t="str">
        <f aca="false">IF(I35="","",IF(I35&gt;=0.5+Config!$B$6,"OVER",IF(J35&gt;=0.5+Config!$B$6,"UNDER","—")))</f>
        <v>—</v>
      </c>
      <c r="M35" s="0" t="n">
        <v>27.28</v>
      </c>
      <c r="N35" s="0" t="n">
        <v>32.7</v>
      </c>
      <c r="O35" s="10" t="n">
        <v>1</v>
      </c>
      <c r="P35" s="10" t="n">
        <v>0.7</v>
      </c>
      <c r="Q35" s="10" t="n">
        <v>0.67</v>
      </c>
      <c r="R35" s="9" t="s">
        <v>726</v>
      </c>
      <c r="S35" s="0" t="n">
        <v>5</v>
      </c>
      <c r="T35" s="0" t="str">
        <f aca="false">INDEX(Calc!$G$2:$G$56,MATCH($W35,Calc!$A$2:$A$56,0))&amp;" / "&amp;INDEX(Calc!$H$2:$H$56,MATCH($W35,Calc!$A$2:$A$56,0))</f>
        <v>Mirage / Cache</v>
      </c>
      <c r="U35" s="0" t="str">
        <f aca="false">TEXT(INDEX(Calc!$J$2:$J$56,MATCH($W35,Calc!$A$2:$A$56,0)),"0.0")&amp;" / "&amp;TEXT(INDEX(Calc!$K$2:$K$56,MATCH($W35,Calc!$A$2:$A$56,0)),"0.0")</f>
        <v>21.3 / 21.2</v>
      </c>
      <c r="V35" s="0" t="str">
        <f aca="false">IFERROR(INDEX(Calc!$AQ$2:$AQ$56,MATCH($W35,Calc!$A$2:$A$56,0)),"")</f>
        <v/>
      </c>
      <c r="W35" s="9" t="s">
        <v>736</v>
      </c>
      <c r="X35" s="9" t="s">
        <v>694</v>
      </c>
      <c r="Y35" s="0" t="str">
        <f aca="false">W35&amp;"|"&amp;X35</f>
        <v>v15ff2btfwe796g|CS2 · JJH vs EF|K12</v>
      </c>
      <c r="Z35" s="11" t="n">
        <f aca="false">IFERROR(INDEX(CHOOSE(MATCH($X35,{"K1","K2","K3","K12","K13","H1","H2","H3","H12","H13"},0),Calc!$BA$2:$BA$56,Calc!$BB$2:$BB$56,Calc!$BC$2:$BC$56,Calc!$BD$2:$BD$56,Calc!$BE$2:$BE$56,Calc!$BF$2:$BF$56,Calc!$BG$2:$BG$56,Calc!$BH$2:$BH$56,Calc!$BI$2:$BI$56,Calc!$BJ$2:$BJ$56),MATCH($W35,Calc!$A$2:$A$56,0)),"")</f>
        <v>28.0743652156153</v>
      </c>
      <c r="AA35" s="11" t="n">
        <f aca="false">IF(Z35="","",IF(LEFT($X35,1)="H",SQRT(Z35*(IFERROR(INDEX(Calc!$AP$2:$AP$56,MATCH($W35,Calc!$A$2:$A$56,0)),0.5)*Config!$B$5+1-IFERROR(INDEX(Calc!$AP$2:$AP$56,MATCH($W35,Calc!$A$2:$A$56,0)),0.5))),SQRT(Z35*Config!$B$5)))</f>
        <v>6.26929910770425</v>
      </c>
      <c r="AB35" s="10" t="n">
        <f aca="false">IF(OR(F35="",Z35="",N(AA35)&lt;=0),"",1-NORMDIST(FLOOR(F35,1)+0.5,Z35,AA35,TRUE()))</f>
        <v>0.472935833447403</v>
      </c>
      <c r="AC35" s="10" t="n">
        <f aca="false">IF(AB35="","",NORMDIST(CEILING(F35,1)-0.5,Z35,AA35,TRUE()))</f>
        <v>0.527064166552597</v>
      </c>
      <c r="AD35" s="0" t="str">
        <f aca="false">IF(AB35="","",IF(AB35&gt;=0.5+Config!$B$6,"OVER",IF(AC35&gt;=0.5+Config!$B$6,"UNDER","—")))</f>
        <v>—</v>
      </c>
      <c r="AE35" s="13" t="n">
        <f aca="false">IFERROR(Z35/G35,"")</f>
        <v>0.980298628324451</v>
      </c>
    </row>
    <row r="36" customFormat="false" ht="15" hidden="false" customHeight="false" outlineLevel="0" collapsed="false">
      <c r="A36" s="0" t="s">
        <v>608</v>
      </c>
      <c r="B36" s="0" t="s">
        <v>525</v>
      </c>
      <c r="C36" s="0" t="s">
        <v>737</v>
      </c>
      <c r="D36" s="0" t="s">
        <v>615</v>
      </c>
      <c r="E36" s="0" t="s">
        <v>689</v>
      </c>
      <c r="F36" s="0" t="n">
        <v>16</v>
      </c>
      <c r="G36" s="11" t="n">
        <f aca="false">IFERROR(INDEX(CHOOSE(MATCH($X36,{"K1","K2","K3","K12","K13","H1","H2","H3","H12","H13"},0),Calc!$V$2:$V$56,Calc!$AC$2:$AC$56,Calc!$AJ$2:$AJ$56,Calc!$AL$2:$AL$56,Calc!$AM$2:$AM$56,Calc!$W$2:$W$56,Calc!$AD$2:$AD$56,Calc!$AK$2:$AK$56,Calc!$AN$2:$AN$56,Calc!$AO$2:$AO$56),MATCH($W36,Calc!$A$2:$A$56,0)),"")</f>
        <v>16.8680795053254</v>
      </c>
      <c r="H36" s="11" t="n">
        <f aca="false">IF(G36="","",IF(LEFT($X36,1)="H",SQRT(G36*(IFERROR(INDEX(Calc!$AP$2:$AP$56,MATCH($W36,Calc!$A$2:$A$56,0)),0.5)*Config!$B$5+1-IFERROR(INDEX(Calc!$AP$2:$AP$56,MATCH($W36,Calc!$A$2:$A$56,0)),0.5))),SQRT(G36*Config!$B$5)))</f>
        <v>4.55560329813448</v>
      </c>
      <c r="I36" s="10" t="n">
        <f aca="false">IF(OR(F36="",G36="",N(H36)&lt;=0),"",1-NORMDIST(FLOOR(F36,1)+0.5,G36,H36,TRUE()))</f>
        <v>0.532198340190973</v>
      </c>
      <c r="J36" s="10" t="n">
        <f aca="false">IF(I36="","",NORMDIST(CEILING(F36,1)-0.5,G36,H36,TRUE()))</f>
        <v>0.381971501692973</v>
      </c>
      <c r="K36" s="10" t="n">
        <f aca="false">IF(I36="","",MAX(0,1-I36-J36))</f>
        <v>0.0858301581160537</v>
      </c>
      <c r="L36" s="0" t="str">
        <f aca="false">IF(I36="","",IF(I36&gt;=0.5+Config!$B$6,"OVER",IF(J36&gt;=0.5+Config!$B$6,"UNDER","—")))</f>
        <v>—</v>
      </c>
      <c r="N36" s="0" t="n">
        <v>17.3</v>
      </c>
      <c r="O36" s="10" t="n">
        <v>0.8</v>
      </c>
      <c r="P36" s="10" t="n">
        <v>0.7</v>
      </c>
      <c r="Q36" s="10" t="n">
        <v>0.6</v>
      </c>
      <c r="R36" s="9" t="s">
        <v>729</v>
      </c>
      <c r="S36" s="0" t="n">
        <v>4</v>
      </c>
      <c r="T36" s="0" t="str">
        <f aca="false">INDEX(Calc!$G$2:$G$56,MATCH($W36,Calc!$A$2:$A$56,0))&amp;" / "&amp;INDEX(Calc!$H$2:$H$56,MATCH($W36,Calc!$A$2:$A$56,0))</f>
        <v>Mirage / Cache</v>
      </c>
      <c r="U36" s="0" t="str">
        <f aca="false">TEXT(INDEX(Calc!$J$2:$J$56,MATCH($W36,Calc!$A$2:$A$56,0)),"0.0")&amp;" / "&amp;TEXT(INDEX(Calc!$K$2:$K$56,MATCH($W36,Calc!$A$2:$A$56,0)),"0.0")</f>
        <v>21.3 / 21.2</v>
      </c>
      <c r="V36" s="0" t="str">
        <f aca="false">IFERROR(INDEX(Calc!$AQ$2:$AQ$56,MATCH($W36,Calc!$A$2:$A$56,0)),"")</f>
        <v/>
      </c>
      <c r="W36" s="9" t="s">
        <v>738</v>
      </c>
      <c r="X36" s="9" t="s">
        <v>692</v>
      </c>
      <c r="Y36" s="0" t="str">
        <f aca="false">W36&amp;"|"&amp;X36</f>
        <v>agwfljw0nydsug9|CS2 · JJH vs EF|H12</v>
      </c>
      <c r="Z36" s="11" t="n">
        <f aca="false">IFERROR(INDEX(CHOOSE(MATCH($X36,{"K1","K2","K3","K12","K13","H1","H2","H3","H12","H13"},0),Calc!$BA$2:$BA$56,Calc!$BB$2:$BB$56,Calc!$BC$2:$BC$56,Calc!$BD$2:$BD$56,Calc!$BE$2:$BE$56,Calc!$BF$2:$BF$56,Calc!$BG$2:$BG$56,Calc!$BH$2:$BH$56,Calc!$BI$2:$BI$56,Calc!$BJ$2:$BJ$56),MATCH($W36,Calc!$A$2:$A$56,0)),"")</f>
        <v>16.5351072722107</v>
      </c>
      <c r="AA36" s="11" t="n">
        <f aca="false">IF(Z36="","",IF(LEFT($X36,1)="H",SQRT(Z36*(IFERROR(INDEX(Calc!$AP$2:$AP$56,MATCH($W36,Calc!$A$2:$A$56,0)),0.5)*Config!$B$5+1-IFERROR(INDEX(Calc!$AP$2:$AP$56,MATCH($W36,Calc!$A$2:$A$56,0)),0.5))),SQRT(Z36*Config!$B$5)))</f>
        <v>4.51041587837181</v>
      </c>
      <c r="AB36" s="10" t="n">
        <f aca="false">IF(OR(F36="",Z36="",N(AA36)&lt;=0),"",1-NORMDIST(FLOOR(F36,1)+0.5,Z36,AA36,TRUE()))</f>
        <v>0.503105175706939</v>
      </c>
      <c r="AC36" s="10" t="n">
        <f aca="false">IF(AB36="","",NORMDIST(CEILING(F36,1)-0.5,Z36,AA36,TRUE()))</f>
        <v>0.409243018079242</v>
      </c>
      <c r="AD36" s="0" t="str">
        <f aca="false">IF(AB36="","",IF(AB36&gt;=0.5+Config!$B$6,"OVER",IF(AC36&gt;=0.5+Config!$B$6,"UNDER","—")))</f>
        <v>—</v>
      </c>
      <c r="AE36" s="13" t="n">
        <f aca="false">IFERROR(Z36/G36,"")</f>
        <v>0.98026021675973</v>
      </c>
    </row>
    <row r="37" customFormat="false" ht="15" hidden="false" customHeight="false" outlineLevel="0" collapsed="false">
      <c r="A37" s="0" t="s">
        <v>608</v>
      </c>
      <c r="B37" s="0" t="s">
        <v>525</v>
      </c>
      <c r="C37" s="0" t="s">
        <v>737</v>
      </c>
      <c r="D37" s="0" t="s">
        <v>615</v>
      </c>
      <c r="E37" s="0" t="s">
        <v>693</v>
      </c>
      <c r="F37" s="0" t="n">
        <v>32</v>
      </c>
      <c r="G37" s="11" t="n">
        <f aca="false">IFERROR(INDEX(CHOOSE(MATCH($X37,{"K1","K2","K3","K12","K13","H1","H2","H3","H12","H13"},0),Calc!$V$2:$V$56,Calc!$AC$2:$AC$56,Calc!$AJ$2:$AJ$56,Calc!$AL$2:$AL$56,Calc!$AM$2:$AM$56,Calc!$W$2:$W$56,Calc!$AD$2:$AD$56,Calc!$AK$2:$AK$56,Calc!$AN$2:$AN$56,Calc!$AO$2:$AO$56),MATCH($W37,Calc!$A$2:$A$56,0)),"")</f>
        <v>29.2921230769231</v>
      </c>
      <c r="H37" s="11" t="n">
        <f aca="false">IF(G37="","",IF(LEFT($X37,1)="H",SQRT(G37*(IFERROR(INDEX(Calc!$AP$2:$AP$56,MATCH($W37,Calc!$A$2:$A$56,0)),0.5)*Config!$B$5+1-IFERROR(INDEX(Calc!$AP$2:$AP$56,MATCH($W37,Calc!$A$2:$A$56,0)),0.5))),SQRT(G37*Config!$B$5)))</f>
        <v>6.40382481862928</v>
      </c>
      <c r="I37" s="10" t="n">
        <f aca="false">IF(OR(F37="",G37="",N(H37)&lt;=0),"",1-NORMDIST(FLOOR(F37,1)+0.5,G37,H37,TRUE()))</f>
        <v>0.308209701947514</v>
      </c>
      <c r="J37" s="10" t="n">
        <f aca="false">IF(I37="","",NORMDIST(CEILING(F37,1)-0.5,G37,H37,TRUE()))</f>
        <v>0.634868131032687</v>
      </c>
      <c r="K37" s="10" t="n">
        <f aca="false">IF(I37="","",MAX(0,1-I37-J37))</f>
        <v>0.0569221670197988</v>
      </c>
      <c r="L37" s="0" t="str">
        <f aca="false">IF(I37="","",IF(I37&gt;=0.5+Config!$B$6,"OVER",IF(J37&gt;=0.5+Config!$B$6,"UNDER","—")))</f>
        <v>UNDER</v>
      </c>
      <c r="M37" s="0" t="n">
        <v>28.92</v>
      </c>
      <c r="N37" s="0" t="n">
        <v>32</v>
      </c>
      <c r="O37" s="10" t="n">
        <v>0.6</v>
      </c>
      <c r="P37" s="10" t="n">
        <v>0.5</v>
      </c>
      <c r="Q37" s="10" t="n">
        <v>0.53</v>
      </c>
      <c r="R37" s="9" t="s">
        <v>735</v>
      </c>
      <c r="S37" s="0" t="n">
        <v>2</v>
      </c>
      <c r="T37" s="0" t="str">
        <f aca="false">INDEX(Calc!$G$2:$G$56,MATCH($W37,Calc!$A$2:$A$56,0))&amp;" / "&amp;INDEX(Calc!$H$2:$H$56,MATCH($W37,Calc!$A$2:$A$56,0))</f>
        <v>Mirage / Cache</v>
      </c>
      <c r="U37" s="0" t="str">
        <f aca="false">TEXT(INDEX(Calc!$J$2:$J$56,MATCH($W37,Calc!$A$2:$A$56,0)),"0.0")&amp;" / "&amp;TEXT(INDEX(Calc!$K$2:$K$56,MATCH($W37,Calc!$A$2:$A$56,0)),"0.0")</f>
        <v>21.3 / 21.2</v>
      </c>
      <c r="V37" s="0" t="str">
        <f aca="false">IFERROR(INDEX(Calc!$AQ$2:$AQ$56,MATCH($W37,Calc!$A$2:$A$56,0)),"")</f>
        <v/>
      </c>
      <c r="W37" s="9" t="s">
        <v>738</v>
      </c>
      <c r="X37" s="9" t="s">
        <v>694</v>
      </c>
      <c r="Y37" s="0" t="str">
        <f aca="false">W37&amp;"|"&amp;X37</f>
        <v>agwfljw0nydsug9|CS2 · JJH vs EF|K12</v>
      </c>
      <c r="Z37" s="11" t="n">
        <f aca="false">IFERROR(INDEX(CHOOSE(MATCH($X37,{"K1","K2","K3","K12","K13","H1","H2","H3","H12","H13"},0),Calc!$BA$2:$BA$56,Calc!$BB$2:$BB$56,Calc!$BC$2:$BC$56,Calc!$BD$2:$BD$56,Calc!$BE$2:$BE$56,Calc!$BF$2:$BF$56,Calc!$BG$2:$BG$56,Calc!$BH$2:$BH$56,Calc!$BI$2:$BI$56,Calc!$BJ$2:$BJ$56),MATCH($W37,Calc!$A$2:$A$56,0)),"")</f>
        <v>28.7138450476801</v>
      </c>
      <c r="AA37" s="11" t="n">
        <f aca="false">IF(Z37="","",IF(LEFT($X37,1)="H",SQRT(Z37*(IFERROR(INDEX(Calc!$AP$2:$AP$56,MATCH($W37,Calc!$A$2:$A$56,0)),0.5)*Config!$B$5+1-IFERROR(INDEX(Calc!$AP$2:$AP$56,MATCH($W37,Calc!$A$2:$A$56,0)),0.5))),SQRT(Z37*Config!$B$5)))</f>
        <v>6.34029834209339</v>
      </c>
      <c r="AB37" s="10" t="n">
        <f aca="false">IF(OR(F37="",Z37="",N(AA37)&lt;=0),"",1-NORMDIST(FLOOR(F37,1)+0.5,Z37,AA37,TRUE()))</f>
        <v>0.275201207971698</v>
      </c>
      <c r="AC37" s="10" t="n">
        <f aca="false">IF(AB37="","",NORMDIST(CEILING(F37,1)-0.5,Z37,AA37,TRUE()))</f>
        <v>0.669827154654581</v>
      </c>
      <c r="AD37" s="0" t="str">
        <f aca="false">IF(AB37="","",IF(AB37&gt;=0.5+Config!$B$6,"OVER",IF(AC37&gt;=0.5+Config!$B$6,"UNDER","—")))</f>
        <v>UNDER</v>
      </c>
      <c r="AE37" s="13" t="n">
        <f aca="false">IFERROR(Z37/G37,"")</f>
        <v>0.980258241175474</v>
      </c>
    </row>
    <row r="38" customFormat="false" ht="15" hidden="false" customHeight="false" outlineLevel="0" collapsed="false">
      <c r="A38" s="0" t="s">
        <v>608</v>
      </c>
      <c r="B38" s="0" t="s">
        <v>525</v>
      </c>
      <c r="C38" s="0" t="s">
        <v>739</v>
      </c>
      <c r="D38" s="0" t="s">
        <v>614</v>
      </c>
      <c r="E38" s="0" t="s">
        <v>689</v>
      </c>
      <c r="F38" s="0" t="n">
        <v>15.5</v>
      </c>
      <c r="G38" s="11" t="n">
        <f aca="false">IFERROR(INDEX(CHOOSE(MATCH($X38,{"K1","K2","K3","K12","K13","H1","H2","H3","H12","H13"},0),Calc!$V$2:$V$56,Calc!$AC$2:$AC$56,Calc!$AJ$2:$AJ$56,Calc!$AL$2:$AL$56,Calc!$AM$2:$AM$56,Calc!$W$2:$W$56,Calc!$AD$2:$AD$56,Calc!$AK$2:$AK$56,Calc!$AN$2:$AN$56,Calc!$AO$2:$AO$56),MATCH($W38,Calc!$A$2:$A$56,0)),"")</f>
        <v>17.9440731967127</v>
      </c>
      <c r="H38" s="11" t="n">
        <f aca="false">IF(G38="","",IF(LEFT($X38,1)="H",SQRT(G38*(IFERROR(INDEX(Calc!$AP$2:$AP$56,MATCH($W38,Calc!$A$2:$A$56,0)),0.5)*Config!$B$5+1-IFERROR(INDEX(Calc!$AP$2:$AP$56,MATCH($W38,Calc!$A$2:$A$56,0)),0.5))),SQRT(G38*Config!$B$5)))</f>
        <v>4.71617781312914</v>
      </c>
      <c r="I38" s="10" t="n">
        <f aca="false">IF(OR(F38="",G38="",N(H38)&lt;=0),"",1-NORMDIST(FLOOR(F38,1)+0.5,G38,H38,TRUE()))</f>
        <v>0.697851716024864</v>
      </c>
      <c r="J38" s="10" t="n">
        <f aca="false">IF(I38="","",NORMDIST(CEILING(F38,1)-0.5,G38,H38,TRUE()))</f>
        <v>0.302148283975137</v>
      </c>
      <c r="K38" s="10" t="n">
        <f aca="false">IF(I38="","",MAX(0,1-I38-J38))</f>
        <v>0</v>
      </c>
      <c r="L38" s="0" t="str">
        <f aca="false">IF(I38="","",IF(I38&gt;=0.5+Config!$B$6,"OVER",IF(J38&gt;=0.5+Config!$B$6,"UNDER","—")))</f>
        <v>OVER</v>
      </c>
      <c r="N38" s="0" t="n">
        <v>18.5</v>
      </c>
      <c r="O38" s="10" t="n">
        <v>0.8</v>
      </c>
      <c r="P38" s="10" t="n">
        <v>0.7</v>
      </c>
      <c r="Q38" s="10" t="n">
        <v>0.6</v>
      </c>
      <c r="R38" s="9" t="s">
        <v>740</v>
      </c>
      <c r="S38" s="0" t="n">
        <v>3</v>
      </c>
      <c r="T38" s="0" t="str">
        <f aca="false">INDEX(Calc!$G$2:$G$56,MATCH($W38,Calc!$A$2:$A$56,0))&amp;" / "&amp;INDEX(Calc!$H$2:$H$56,MATCH($W38,Calc!$A$2:$A$56,0))</f>
        <v>Mirage / Cache</v>
      </c>
      <c r="U38" s="0" t="str">
        <f aca="false">TEXT(INDEX(Calc!$J$2:$J$56,MATCH($W38,Calc!$A$2:$A$56,0)),"0.0")&amp;" / "&amp;TEXT(INDEX(Calc!$K$2:$K$56,MATCH($W38,Calc!$A$2:$A$56,0)),"0.0")</f>
        <v>21.3 / 21.2</v>
      </c>
      <c r="V38" s="0" t="str">
        <f aca="false">IFERROR(INDEX(Calc!$AQ$2:$AQ$56,MATCH($W38,Calc!$A$2:$A$56,0)),"")</f>
        <v/>
      </c>
      <c r="W38" s="9" t="s">
        <v>741</v>
      </c>
      <c r="X38" s="9" t="s">
        <v>692</v>
      </c>
      <c r="Y38" s="0" t="str">
        <f aca="false">W38&amp;"|"&amp;X38</f>
        <v>3ur3fyq90jlwliy|CS2 · JJH vs EF|H12</v>
      </c>
      <c r="Z38" s="11" t="n">
        <f aca="false">IFERROR(INDEX(CHOOSE(MATCH($X38,{"K1","K2","K3","K12","K13","H1","H2","H3","H12","H13"},0),Calc!$BA$2:$BA$56,Calc!$BB$2:$BB$56,Calc!$BC$2:$BC$56,Calc!$BD$2:$BD$56,Calc!$BE$2:$BE$56,Calc!$BF$2:$BF$56,Calc!$BG$2:$BG$56,Calc!$BH$2:$BH$56,Calc!$BI$2:$BI$56,Calc!$BJ$2:$BJ$56),MATCH($W38,Calc!$A$2:$A$56,0)),"")</f>
        <v>17.9242131652691</v>
      </c>
      <c r="AA38" s="11" t="n">
        <f aca="false">IF(Z38="","",IF(LEFT($X38,1)="H",SQRT(Z38*(IFERROR(INDEX(Calc!$AP$2:$AP$56,MATCH($W38,Calc!$A$2:$A$56,0)),0.5)*Config!$B$5+1-IFERROR(INDEX(Calc!$AP$2:$AP$56,MATCH($W38,Calc!$A$2:$A$56,0)),0.5))),SQRT(Z38*Config!$B$5)))</f>
        <v>4.71356721939581</v>
      </c>
      <c r="AB38" s="10" t="n">
        <f aca="false">IF(OR(F38="",Z38="",N(AA38)&lt;=0),"",1-NORMDIST(FLOOR(F38,1)+0.5,Z38,AA38,TRUE()))</f>
        <v>0.696480763309732</v>
      </c>
      <c r="AC38" s="10" t="n">
        <f aca="false">IF(AB38="","",NORMDIST(CEILING(F38,1)-0.5,Z38,AA38,TRUE()))</f>
        <v>0.303519236690268</v>
      </c>
      <c r="AD38" s="0" t="str">
        <f aca="false">IF(AB38="","",IF(AB38&gt;=0.5+Config!$B$6,"OVER",IF(AC38&gt;=0.5+Config!$B$6,"UNDER","—")))</f>
        <v>OVER</v>
      </c>
      <c r="AE38" s="13" t="n">
        <f aca="false">IFERROR(Z38/G38,"")</f>
        <v>0.998893226123978</v>
      </c>
    </row>
    <row r="39" customFormat="false" ht="15" hidden="false" customHeight="false" outlineLevel="0" collapsed="false">
      <c r="A39" s="0" t="s">
        <v>608</v>
      </c>
      <c r="B39" s="0" t="s">
        <v>525</v>
      </c>
      <c r="C39" s="0" t="s">
        <v>739</v>
      </c>
      <c r="D39" s="0" t="s">
        <v>614</v>
      </c>
      <c r="E39" s="0" t="s">
        <v>693</v>
      </c>
      <c r="F39" s="0" t="n">
        <v>27.5</v>
      </c>
      <c r="G39" s="11" t="n">
        <f aca="false">IFERROR(INDEX(CHOOSE(MATCH($X39,{"K1","K2","K3","K12","K13","H1","H2","H3","H12","H13"},0),Calc!$V$2:$V$56,Calc!$AC$2:$AC$56,Calc!$AJ$2:$AJ$56,Calc!$AL$2:$AL$56,Calc!$AM$2:$AM$56,Calc!$W$2:$W$56,Calc!$AD$2:$AD$56,Calc!$AK$2:$AK$56,Calc!$AN$2:$AN$56,Calc!$AO$2:$AO$56),MATCH($W39,Calc!$A$2:$A$56,0)),"")</f>
        <v>29.9646615384615</v>
      </c>
      <c r="H39" s="11" t="n">
        <f aca="false">IF(G39="","",IF(LEFT($X39,1)="H",SQRT(G39*(IFERROR(INDEX(Calc!$AP$2:$AP$56,MATCH($W39,Calc!$A$2:$A$56,0)),0.5)*Config!$B$5+1-IFERROR(INDEX(Calc!$AP$2:$AP$56,MATCH($W39,Calc!$A$2:$A$56,0)),0.5))),SQRT(G39*Config!$B$5)))</f>
        <v>6.47692258359216</v>
      </c>
      <c r="I39" s="10" t="n">
        <f aca="false">IF(OR(F39="",G39="",N(H39)&lt;=0),"",1-NORMDIST(FLOOR(F39,1)+0.5,G39,H39,TRUE()))</f>
        <v>0.648223880333848</v>
      </c>
      <c r="J39" s="10" t="n">
        <f aca="false">IF(I39="","",NORMDIST(CEILING(F39,1)-0.5,G39,H39,TRUE()))</f>
        <v>0.351776119666152</v>
      </c>
      <c r="K39" s="10" t="n">
        <f aca="false">IF(I39="","",MAX(0,1-I39-J39))</f>
        <v>0</v>
      </c>
      <c r="L39" s="0" t="str">
        <f aca="false">IF(I39="","",IF(I39&gt;=0.5+Config!$B$6,"OVER",IF(J39&gt;=0.5+Config!$B$6,"UNDER","—")))</f>
        <v>OVER</v>
      </c>
      <c r="M39" s="0" t="n">
        <v>27.58</v>
      </c>
      <c r="N39" s="0" t="n">
        <v>30.6</v>
      </c>
      <c r="O39" s="10" t="n">
        <v>0.8</v>
      </c>
      <c r="P39" s="10" t="n">
        <v>0.6</v>
      </c>
      <c r="Q39" s="10" t="n">
        <v>0.53</v>
      </c>
      <c r="R39" s="9" t="s">
        <v>740</v>
      </c>
      <c r="S39" s="0" t="n">
        <v>3</v>
      </c>
      <c r="T39" s="0" t="str">
        <f aca="false">INDEX(Calc!$G$2:$G$56,MATCH($W39,Calc!$A$2:$A$56,0))&amp;" / "&amp;INDEX(Calc!$H$2:$H$56,MATCH($W39,Calc!$A$2:$A$56,0))</f>
        <v>Mirage / Cache</v>
      </c>
      <c r="U39" s="0" t="str">
        <f aca="false">TEXT(INDEX(Calc!$J$2:$J$56,MATCH($W39,Calc!$A$2:$A$56,0)),"0.0")&amp;" / "&amp;TEXT(INDEX(Calc!$K$2:$K$56,MATCH($W39,Calc!$A$2:$A$56,0)),"0.0")</f>
        <v>21.3 / 21.2</v>
      </c>
      <c r="V39" s="0" t="str">
        <f aca="false">IFERROR(INDEX(Calc!$AQ$2:$AQ$56,MATCH($W39,Calc!$A$2:$A$56,0)),"")</f>
        <v/>
      </c>
      <c r="W39" s="9" t="s">
        <v>741</v>
      </c>
      <c r="X39" s="9" t="s">
        <v>694</v>
      </c>
      <c r="Y39" s="0" t="str">
        <f aca="false">W39&amp;"|"&amp;X39</f>
        <v>3ur3fyq90jlwliy|CS2 · JJH vs EF|K12</v>
      </c>
      <c r="Z39" s="11" t="n">
        <f aca="false">IFERROR(INDEX(CHOOSE(MATCH($X39,{"K1","K2","K3","K12","K13","H1","H2","H3","H12","H13"},0),Calc!$BA$2:$BA$56,Calc!$BB$2:$BB$56,Calc!$BC$2:$BC$56,Calc!$BD$2:$BD$56,Calc!$BE$2:$BE$56,Calc!$BF$2:$BF$56,Calc!$BG$2:$BG$56,Calc!$BH$2:$BH$56,Calc!$BI$2:$BI$56,Calc!$BJ$2:$BJ$56),MATCH($W39,Calc!$A$2:$A$56,0)),"")</f>
        <v>29.9311663319797</v>
      </c>
      <c r="AA39" s="11" t="n">
        <f aca="false">IF(Z39="","",IF(LEFT($X39,1)="H",SQRT(Z39*(IFERROR(INDEX(Calc!$AP$2:$AP$56,MATCH($W39,Calc!$A$2:$A$56,0)),0.5)*Config!$B$5+1-IFERROR(INDEX(Calc!$AP$2:$AP$56,MATCH($W39,Calc!$A$2:$A$56,0)),0.5))),SQRT(Z39*Config!$B$5)))</f>
        <v>6.4733015428583</v>
      </c>
      <c r="AB39" s="10" t="n">
        <f aca="false">IF(OR(F39="",Z39="",N(AA39)&lt;=0),"",1-NORMDIST(FLOOR(F39,1)+0.5,Z39,AA39,TRUE()))</f>
        <v>0.64638103930841</v>
      </c>
      <c r="AC39" s="10" t="n">
        <f aca="false">IF(AB39="","",NORMDIST(CEILING(F39,1)-0.5,Z39,AA39,TRUE()))</f>
        <v>0.35361896069159</v>
      </c>
      <c r="AD39" s="0" t="str">
        <f aca="false">IF(AB39="","",IF(AB39&gt;=0.5+Config!$B$6,"OVER",IF(AC39&gt;=0.5+Config!$B$6,"UNDER","—")))</f>
        <v>OVER</v>
      </c>
      <c r="AE39" s="13" t="n">
        <f aca="false">IFERROR(Z39/G39,"")</f>
        <v>0.998882176378371</v>
      </c>
    </row>
    <row r="40" customFormat="false" ht="15" hidden="false" customHeight="false" outlineLevel="0" collapsed="false">
      <c r="A40" s="0" t="s">
        <v>608</v>
      </c>
      <c r="B40" s="0" t="s">
        <v>525</v>
      </c>
      <c r="C40" s="0" t="s">
        <v>742</v>
      </c>
      <c r="D40" s="0" t="s">
        <v>614</v>
      </c>
      <c r="E40" s="0" t="s">
        <v>689</v>
      </c>
      <c r="F40" s="0" t="n">
        <v>16.5</v>
      </c>
      <c r="G40" s="11" t="n">
        <f aca="false">IFERROR(INDEX(CHOOSE(MATCH($X40,{"K1","K2","K3","K12","K13","H1","H2","H3","H12","H13"},0),Calc!$V$2:$V$56,Calc!$AC$2:$AC$56,Calc!$AJ$2:$AJ$56,Calc!$AL$2:$AL$56,Calc!$AM$2:$AM$56,Calc!$W$2:$W$56,Calc!$AD$2:$AD$56,Calc!$AK$2:$AK$56,Calc!$AN$2:$AN$56,Calc!$AO$2:$AO$56),MATCH($W40,Calc!$A$2:$A$56,0)),"")</f>
        <v>16.5809522924392</v>
      </c>
      <c r="H40" s="11" t="n">
        <f aca="false">IF(G40="","",IF(LEFT($X40,1)="H",SQRT(G40*(IFERROR(INDEX(Calc!$AP$2:$AP$56,MATCH($W40,Calc!$A$2:$A$56,0)),0.5)*Config!$B$5+1-IFERROR(INDEX(Calc!$AP$2:$AP$56,MATCH($W40,Calc!$A$2:$A$56,0)),0.5))),SQRT(G40*Config!$B$5)))</f>
        <v>4.47061720702201</v>
      </c>
      <c r="I40" s="10" t="n">
        <f aca="false">IF(OR(F40="",G40="",N(H40)&lt;=0),"",1-NORMDIST(FLOOR(F40,1)+0.5,G40,H40,TRUE()))</f>
        <v>0.507223505363255</v>
      </c>
      <c r="J40" s="10" t="n">
        <f aca="false">IF(I40="","",NORMDIST(CEILING(F40,1)-0.5,G40,H40,TRUE()))</f>
        <v>0.492776494636745</v>
      </c>
      <c r="K40" s="10" t="n">
        <f aca="false">IF(I40="","",MAX(0,1-I40-J40))</f>
        <v>0</v>
      </c>
      <c r="L40" s="0" t="str">
        <f aca="false">IF(I40="","",IF(I40&gt;=0.5+Config!$B$6,"OVER",IF(J40&gt;=0.5+Config!$B$6,"UNDER","—")))</f>
        <v>—</v>
      </c>
      <c r="N40" s="0" t="n">
        <v>17</v>
      </c>
      <c r="O40" s="10" t="n">
        <v>0.4</v>
      </c>
      <c r="P40" s="10" t="n">
        <v>0.5</v>
      </c>
      <c r="Q40" s="10" t="n">
        <v>0.4</v>
      </c>
      <c r="R40" s="9" t="s">
        <v>729</v>
      </c>
      <c r="S40" s="0" t="n">
        <v>-1</v>
      </c>
      <c r="T40" s="0" t="str">
        <f aca="false">INDEX(Calc!$G$2:$G$56,MATCH($W40,Calc!$A$2:$A$56,0))&amp;" / "&amp;INDEX(Calc!$H$2:$H$56,MATCH($W40,Calc!$A$2:$A$56,0))</f>
        <v>Mirage / Cache</v>
      </c>
      <c r="U40" s="0" t="str">
        <f aca="false">TEXT(INDEX(Calc!$J$2:$J$56,MATCH($W40,Calc!$A$2:$A$56,0)),"0.0")&amp;" / "&amp;TEXT(INDEX(Calc!$K$2:$K$56,MATCH($W40,Calc!$A$2:$A$56,0)),"0.0")</f>
        <v>21.3 / 21.2</v>
      </c>
      <c r="V40" s="0" t="str">
        <f aca="false">IFERROR(INDEX(Calc!$AQ$2:$AQ$56,MATCH($W40,Calc!$A$2:$A$56,0)),"")</f>
        <v/>
      </c>
      <c r="W40" s="9" t="s">
        <v>743</v>
      </c>
      <c r="X40" s="9" t="s">
        <v>692</v>
      </c>
      <c r="Y40" s="0" t="str">
        <f aca="false">W40&amp;"|"&amp;X40</f>
        <v>lykfimmteia2jqy|CS2 · JJH vs EF|H12</v>
      </c>
      <c r="Z40" s="11" t="n">
        <f aca="false">IFERROR(INDEX(CHOOSE(MATCH($X40,{"K1","K2","K3","K12","K13","H1","H2","H3","H12","H13"},0),Calc!$BA$2:$BA$56,Calc!$BB$2:$BB$56,Calc!$BC$2:$BC$56,Calc!$BD$2:$BD$56,Calc!$BE$2:$BE$56,Calc!$BF$2:$BF$56,Calc!$BG$2:$BG$56,Calc!$BH$2:$BH$56,Calc!$BI$2:$BI$56,Calc!$BJ$2:$BJ$56),MATCH($W40,Calc!$A$2:$A$56,0)),"")</f>
        <v>16.564660290608</v>
      </c>
      <c r="AA40" s="11" t="n">
        <f aca="false">IF(Z40="","",IF(LEFT($X40,1)="H",SQRT(Z40*(IFERROR(INDEX(Calc!$AP$2:$AP$56,MATCH($W40,Calc!$A$2:$A$56,0)),0.5)*Config!$B$5+1-IFERROR(INDEX(Calc!$AP$2:$AP$56,MATCH($W40,Calc!$A$2:$A$56,0)),0.5))),SQRT(Z40*Config!$B$5)))</f>
        <v>4.46842031257527</v>
      </c>
      <c r="AB40" s="10" t="n">
        <f aca="false">IF(OR(F40="",Z40="",N(AA40)&lt;=0),"",1-NORMDIST(FLOOR(F40,1)+0.5,Z40,AA40,TRUE()))</f>
        <v>0.505772694097509</v>
      </c>
      <c r="AC40" s="10" t="n">
        <f aca="false">IF(AB40="","",NORMDIST(CEILING(F40,1)-0.5,Z40,AA40,TRUE()))</f>
        <v>0.494227305902491</v>
      </c>
      <c r="AD40" s="0" t="str">
        <f aca="false">IF(AB40="","",IF(AB40&gt;=0.5+Config!$B$6,"OVER",IF(AC40&gt;=0.5+Config!$B$6,"UNDER","—")))</f>
        <v>—</v>
      </c>
      <c r="AE40" s="13" t="n">
        <f aca="false">IFERROR(Z40/G40,"")</f>
        <v>0.999017426650542</v>
      </c>
    </row>
    <row r="41" customFormat="false" ht="15" hidden="false" customHeight="false" outlineLevel="0" collapsed="false">
      <c r="A41" s="0" t="s">
        <v>608</v>
      </c>
      <c r="B41" s="0" t="s">
        <v>525</v>
      </c>
      <c r="C41" s="0" t="s">
        <v>742</v>
      </c>
      <c r="D41" s="0" t="s">
        <v>614</v>
      </c>
      <c r="E41" s="0" t="s">
        <v>693</v>
      </c>
      <c r="F41" s="0" t="n">
        <v>31.5</v>
      </c>
      <c r="G41" s="11" t="n">
        <f aca="false">IFERROR(INDEX(CHOOSE(MATCH($X41,{"K1","K2","K3","K12","K13","H1","H2","H3","H12","H13"},0),Calc!$V$2:$V$56,Calc!$AC$2:$AC$56,Calc!$AJ$2:$AJ$56,Calc!$AL$2:$AL$56,Calc!$AM$2:$AM$56,Calc!$W$2:$W$56,Calc!$AD$2:$AD$56,Calc!$AK$2:$AK$56,Calc!$AN$2:$AN$56,Calc!$AO$2:$AO$56),MATCH($W41,Calc!$A$2:$A$56,0)),"")</f>
        <v>32.2925538461538</v>
      </c>
      <c r="H41" s="11" t="n">
        <f aca="false">IF(G41="","",IF(LEFT($X41,1)="H",SQRT(G41*(IFERROR(INDEX(Calc!$AP$2:$AP$56,MATCH($W41,Calc!$A$2:$A$56,0)),0.5)*Config!$B$5+1-IFERROR(INDEX(Calc!$AP$2:$AP$56,MATCH($W41,Calc!$A$2:$A$56,0)),0.5))),SQRT(G41*Config!$B$5)))</f>
        <v>6.72380661415953</v>
      </c>
      <c r="I41" s="10" t="n">
        <f aca="false">IF(OR(F41="",G41="",N(H41)&lt;=0),"",1-NORMDIST(FLOOR(F41,1)+0.5,G41,H41,TRUE()))</f>
        <v>0.546915773389473</v>
      </c>
      <c r="J41" s="10" t="n">
        <f aca="false">IF(I41="","",NORMDIST(CEILING(F41,1)-0.5,G41,H41,TRUE()))</f>
        <v>0.453084226610527</v>
      </c>
      <c r="K41" s="10" t="n">
        <f aca="false">IF(I41="","",MAX(0,1-I41-J41))</f>
        <v>0</v>
      </c>
      <c r="L41" s="0" t="str">
        <f aca="false">IF(I41="","",IF(I41&gt;=0.5+Config!$B$6,"OVER",IF(J41&gt;=0.5+Config!$B$6,"UNDER","—")))</f>
        <v>OVER</v>
      </c>
      <c r="M41" s="0" t="n">
        <v>30.53</v>
      </c>
      <c r="N41" s="0" t="n">
        <v>32.3</v>
      </c>
      <c r="O41" s="10" t="n">
        <v>0.6</v>
      </c>
      <c r="P41" s="10" t="n">
        <v>0.6</v>
      </c>
      <c r="Q41" s="10" t="n">
        <v>0.47</v>
      </c>
      <c r="R41" s="9" t="s">
        <v>729</v>
      </c>
      <c r="S41" s="0" t="n">
        <v>3</v>
      </c>
      <c r="T41" s="0" t="str">
        <f aca="false">INDEX(Calc!$G$2:$G$56,MATCH($W41,Calc!$A$2:$A$56,0))&amp;" / "&amp;INDEX(Calc!$H$2:$H$56,MATCH($W41,Calc!$A$2:$A$56,0))</f>
        <v>Mirage / Cache</v>
      </c>
      <c r="U41" s="0" t="str">
        <f aca="false">TEXT(INDEX(Calc!$J$2:$J$56,MATCH($W41,Calc!$A$2:$A$56,0)),"0.0")&amp;" / "&amp;TEXT(INDEX(Calc!$K$2:$K$56,MATCH($W41,Calc!$A$2:$A$56,0)),"0.0")</f>
        <v>21.3 / 21.2</v>
      </c>
      <c r="V41" s="0" t="str">
        <f aca="false">IFERROR(INDEX(Calc!$AQ$2:$AQ$56,MATCH($W41,Calc!$A$2:$A$56,0)),"")</f>
        <v/>
      </c>
      <c r="W41" s="9" t="s">
        <v>743</v>
      </c>
      <c r="X41" s="9" t="s">
        <v>694</v>
      </c>
      <c r="Y41" s="0" t="str">
        <f aca="false">W41&amp;"|"&amp;X41</f>
        <v>lykfimmteia2jqy|CS2 · JJH vs EF|K12</v>
      </c>
      <c r="Z41" s="11" t="n">
        <f aca="false">IFERROR(INDEX(CHOOSE(MATCH($X41,{"K1","K2","K3","K12","K13","H1","H2","H3","H12","H13"},0),Calc!$BA$2:$BA$56,Calc!$BB$2:$BB$56,Calc!$BC$2:$BC$56,Calc!$BD$2:$BD$56,Calc!$BE$2:$BE$56,Calc!$BF$2:$BF$56,Calc!$BG$2:$BG$56,Calc!$BH$2:$BH$56,Calc!$BI$2:$BI$56,Calc!$BJ$2:$BJ$56),MATCH($W41,Calc!$A$2:$A$56,0)),"")</f>
        <v>32.2586047461244</v>
      </c>
      <c r="AA41" s="11" t="n">
        <f aca="false">IF(Z41="","",IF(LEFT($X41,1)="H",SQRT(Z41*(IFERROR(INDEX(Calc!$AP$2:$AP$56,MATCH($W41,Calc!$A$2:$A$56,0)),0.5)*Config!$B$5+1-IFERROR(INDEX(Calc!$AP$2:$AP$56,MATCH($W41,Calc!$A$2:$A$56,0)),0.5))),SQRT(Z41*Config!$B$5)))</f>
        <v>6.72027132224393</v>
      </c>
      <c r="AB41" s="10" t="n">
        <f aca="false">IF(OR(F41="",Z41="",N(AA41)&lt;=0),"",1-NORMDIST(FLOOR(F41,1)+0.5,Z41,AA41,TRUE()))</f>
        <v>0.544938364038908</v>
      </c>
      <c r="AC41" s="10" t="n">
        <f aca="false">IF(AB41="","",NORMDIST(CEILING(F41,1)-0.5,Z41,AA41,TRUE()))</f>
        <v>0.455061635961092</v>
      </c>
      <c r="AD41" s="0" t="str">
        <f aca="false">IF(AB41="","",IF(AB41&gt;=0.5+Config!$B$6,"OVER",IF(AC41&gt;=0.5+Config!$B$6,"UNDER","—")))</f>
        <v>OVER</v>
      </c>
      <c r="AE41" s="13" t="n">
        <f aca="false">IFERROR(Z41/G41,"")</f>
        <v>0.998948701914652</v>
      </c>
    </row>
    <row r="42" customFormat="false" ht="15" hidden="false" customHeight="false" outlineLevel="0" collapsed="false">
      <c r="A42" s="0" t="s">
        <v>608</v>
      </c>
      <c r="B42" s="0" t="s">
        <v>525</v>
      </c>
      <c r="C42" s="0" t="s">
        <v>744</v>
      </c>
      <c r="D42" s="0" t="s">
        <v>614</v>
      </c>
      <c r="E42" s="0" t="s">
        <v>689</v>
      </c>
      <c r="F42" s="0" t="n">
        <v>10.5</v>
      </c>
      <c r="G42" s="11" t="n">
        <f aca="false">IFERROR(INDEX(CHOOSE(MATCH($X42,{"K1","K2","K3","K12","K13","H1","H2","H3","H12","H13"},0),Calc!$V$2:$V$56,Calc!$AC$2:$AC$56,Calc!$AJ$2:$AJ$56,Calc!$AL$2:$AL$56,Calc!$AM$2:$AM$56,Calc!$W$2:$W$56,Calc!$AD$2:$AD$56,Calc!$AK$2:$AK$56,Calc!$AN$2:$AN$56,Calc!$AO$2:$AO$56),MATCH($W42,Calc!$A$2:$A$56,0)),"")</f>
        <v>11.223892000526</v>
      </c>
      <c r="H42" s="11" t="n">
        <f aca="false">IF(G42="","",IF(LEFT($X42,1)="H",SQRT(G42*(IFERROR(INDEX(Calc!$AP$2:$AP$56,MATCH($W42,Calc!$A$2:$A$56,0)),0.5)*Config!$B$5+1-IFERROR(INDEX(Calc!$AP$2:$AP$56,MATCH($W42,Calc!$A$2:$A$56,0)),0.5))),SQRT(G42*Config!$B$5)))</f>
        <v>3.57122778733438</v>
      </c>
      <c r="I42" s="10" t="n">
        <f aca="false">IF(OR(F42="",G42="",N(H42)&lt;=0),"",1-NORMDIST(FLOOR(F42,1)+0.5,G42,H42,TRUE()))</f>
        <v>0.580315690177848</v>
      </c>
      <c r="J42" s="10" t="n">
        <f aca="false">IF(I42="","",NORMDIST(CEILING(F42,1)-0.5,G42,H42,TRUE()))</f>
        <v>0.419684309822152</v>
      </c>
      <c r="K42" s="10" t="n">
        <f aca="false">IF(I42="","",MAX(0,1-I42-J42))</f>
        <v>0</v>
      </c>
      <c r="L42" s="0" t="str">
        <f aca="false">IF(I42="","",IF(I42&gt;=0.5+Config!$B$6,"OVER",IF(J42&gt;=0.5+Config!$B$6,"UNDER","—")))</f>
        <v>OVER</v>
      </c>
      <c r="N42" s="0" t="n">
        <v>11.5</v>
      </c>
      <c r="O42" s="10" t="n">
        <v>0.6</v>
      </c>
      <c r="P42" s="10" t="n">
        <v>0.5</v>
      </c>
      <c r="Q42" s="10" t="n">
        <v>0.33</v>
      </c>
      <c r="R42" s="9" t="s">
        <v>745</v>
      </c>
      <c r="S42" s="0" t="n">
        <v>-1</v>
      </c>
      <c r="T42" s="0" t="str">
        <f aca="false">INDEX(Calc!$G$2:$G$56,MATCH($W42,Calc!$A$2:$A$56,0))&amp;" / "&amp;INDEX(Calc!$H$2:$H$56,MATCH($W42,Calc!$A$2:$A$56,0))</f>
        <v>Mirage / Cache</v>
      </c>
      <c r="U42" s="0" t="str">
        <f aca="false">TEXT(INDEX(Calc!$J$2:$J$56,MATCH($W42,Calc!$A$2:$A$56,0)),"0.0")&amp;" / "&amp;TEXT(INDEX(Calc!$K$2:$K$56,MATCH($W42,Calc!$A$2:$A$56,0)),"0.0")</f>
        <v>21.3 / 21.2</v>
      </c>
      <c r="V42" s="0" t="str">
        <f aca="false">IFERROR(INDEX(Calc!$AQ$2:$AQ$56,MATCH($W42,Calc!$A$2:$A$56,0)),"")</f>
        <v/>
      </c>
      <c r="W42" s="9" t="s">
        <v>746</v>
      </c>
      <c r="X42" s="9" t="s">
        <v>692</v>
      </c>
      <c r="Y42" s="0" t="str">
        <f aca="false">W42&amp;"|"&amp;X42</f>
        <v>u9fufnbk30lfitd|CS2 · JJH vs EF|H12</v>
      </c>
      <c r="Z42" s="11" t="n">
        <f aca="false">IFERROR(INDEX(CHOOSE(MATCH($X42,{"K1","K2","K3","K12","K13","H1","H2","H3","H12","H13"},0),Calc!$BA$2:$BA$56,Calc!$BB$2:$BB$56,Calc!$BC$2:$BC$56,Calc!$BD$2:$BD$56,Calc!$BE$2:$BE$56,Calc!$BF$2:$BF$56,Calc!$BG$2:$BG$56,Calc!$BH$2:$BH$56,Calc!$BI$2:$BI$56,Calc!$BJ$2:$BJ$56),MATCH($W42,Calc!$A$2:$A$56,0)),"")</f>
        <v>11.209883627587</v>
      </c>
      <c r="AA42" s="11" t="n">
        <f aca="false">IF(Z42="","",IF(LEFT($X42,1)="H",SQRT(Z42*(IFERROR(INDEX(Calc!$AP$2:$AP$56,MATCH($W42,Calc!$A$2:$A$56,0)),0.5)*Config!$B$5+1-IFERROR(INDEX(Calc!$AP$2:$AP$56,MATCH($W42,Calc!$A$2:$A$56,0)),0.5))),SQRT(Z42*Config!$B$5)))</f>
        <v>3.56899849334444</v>
      </c>
      <c r="AB42" s="10" t="n">
        <f aca="false">IF(OR(F42="",Z42="",N(AA42)&lt;=0),"",1-NORMDIST(FLOOR(F42,1)+0.5,Z42,AA42,TRUE()))</f>
        <v>0.578830592217444</v>
      </c>
      <c r="AC42" s="10" t="n">
        <f aca="false">IF(AB42="","",NORMDIST(CEILING(F42,1)-0.5,Z42,AA42,TRUE()))</f>
        <v>0.421169407782556</v>
      </c>
      <c r="AD42" s="0" t="str">
        <f aca="false">IF(AB42="","",IF(AB42&gt;=0.5+Config!$B$6,"OVER",IF(AC42&gt;=0.5+Config!$B$6,"UNDER","—")))</f>
        <v>OVER</v>
      </c>
      <c r="AE42" s="13" t="n">
        <f aca="false">IFERROR(Z42/G42,"")</f>
        <v>0.998751914849296</v>
      </c>
    </row>
    <row r="43" customFormat="false" ht="15" hidden="false" customHeight="false" outlineLevel="0" collapsed="false">
      <c r="A43" s="0" t="s">
        <v>608</v>
      </c>
      <c r="B43" s="0" t="s">
        <v>525</v>
      </c>
      <c r="C43" s="0" t="s">
        <v>744</v>
      </c>
      <c r="D43" s="0" t="s">
        <v>614</v>
      </c>
      <c r="E43" s="0" t="s">
        <v>693</v>
      </c>
      <c r="F43" s="0" t="n">
        <v>31.5</v>
      </c>
      <c r="G43" s="11" t="n">
        <f aca="false">IFERROR(INDEX(CHOOSE(MATCH($X43,{"K1","K2","K3","K12","K13","H1","H2","H3","H12","H13"},0),Calc!$V$2:$V$56,Calc!$AC$2:$AC$56,Calc!$AJ$2:$AJ$56,Calc!$AL$2:$AL$56,Calc!$AM$2:$AM$56,Calc!$W$2:$W$56,Calc!$AD$2:$AD$56,Calc!$AK$2:$AK$56,Calc!$AN$2:$AN$56,Calc!$AO$2:$AO$56),MATCH($W43,Calc!$A$2:$A$56,0)),"")</f>
        <v>32.9396615384615</v>
      </c>
      <c r="H43" s="11" t="n">
        <f aca="false">IF(G43="","",IF(LEFT($X43,1)="H",SQRT(G43*(IFERROR(INDEX(Calc!$AP$2:$AP$56,MATCH($W43,Calc!$A$2:$A$56,0)),0.5)*Config!$B$5+1-IFERROR(INDEX(Calc!$AP$2:$AP$56,MATCH($W43,Calc!$A$2:$A$56,0)),0.5))),SQRT(G43*Config!$B$5)))</f>
        <v>6.79084134359257</v>
      </c>
      <c r="I43" s="10" t="n">
        <f aca="false">IF(OR(F43="",G43="",N(H43)&lt;=0),"",1-NORMDIST(FLOOR(F43,1)+0.5,G43,H43,TRUE()))</f>
        <v>0.583946665136781</v>
      </c>
      <c r="J43" s="10" t="n">
        <f aca="false">IF(I43="","",NORMDIST(CEILING(F43,1)-0.5,G43,H43,TRUE()))</f>
        <v>0.416053334863219</v>
      </c>
      <c r="K43" s="10" t="n">
        <f aca="false">IF(I43="","",MAX(0,1-I43-J43))</f>
        <v>0</v>
      </c>
      <c r="L43" s="0" t="str">
        <f aca="false">IF(I43="","",IF(I43&gt;=0.5+Config!$B$6,"OVER",IF(J43&gt;=0.5+Config!$B$6,"UNDER","—")))</f>
        <v>OVER</v>
      </c>
      <c r="M43" s="0" t="n">
        <v>31.8</v>
      </c>
      <c r="N43" s="0" t="n">
        <v>36</v>
      </c>
      <c r="O43" s="10" t="n">
        <v>0.8</v>
      </c>
      <c r="P43" s="10" t="n">
        <v>0.7</v>
      </c>
      <c r="Q43" s="10" t="n">
        <v>0.67</v>
      </c>
      <c r="R43" s="9" t="s">
        <v>740</v>
      </c>
      <c r="S43" s="0" t="n">
        <v>4</v>
      </c>
      <c r="T43" s="0" t="str">
        <f aca="false">INDEX(Calc!$G$2:$G$56,MATCH($W43,Calc!$A$2:$A$56,0))&amp;" / "&amp;INDEX(Calc!$H$2:$H$56,MATCH($W43,Calc!$A$2:$A$56,0))</f>
        <v>Mirage / Cache</v>
      </c>
      <c r="U43" s="0" t="str">
        <f aca="false">TEXT(INDEX(Calc!$J$2:$J$56,MATCH($W43,Calc!$A$2:$A$56,0)),"0.0")&amp;" / "&amp;TEXT(INDEX(Calc!$K$2:$K$56,MATCH($W43,Calc!$A$2:$A$56,0)),"0.0")</f>
        <v>21.3 / 21.2</v>
      </c>
      <c r="V43" s="0" t="str">
        <f aca="false">IFERROR(INDEX(Calc!$AQ$2:$AQ$56,MATCH($W43,Calc!$A$2:$A$56,0)),"")</f>
        <v/>
      </c>
      <c r="W43" s="9" t="s">
        <v>746</v>
      </c>
      <c r="X43" s="9" t="s">
        <v>694</v>
      </c>
      <c r="Y43" s="0" t="str">
        <f aca="false">W43&amp;"|"&amp;X43</f>
        <v>u9fufnbk30lfitd|CS2 · JJH vs EF|K12</v>
      </c>
      <c r="Z43" s="11" t="n">
        <f aca="false">IFERROR(INDEX(CHOOSE(MATCH($X43,{"K1","K2","K3","K12","K13","H1","H2","H3","H12","H13"},0),Calc!$BA$2:$BA$56,Calc!$BB$2:$BB$56,Calc!$BC$2:$BC$56,Calc!$BD$2:$BD$56,Calc!$BE$2:$BE$56,Calc!$BF$2:$BF$56,Calc!$BG$2:$BG$56,Calc!$BH$2:$BH$56,Calc!$BI$2:$BI$56,Calc!$BJ$2:$BJ$56),MATCH($W43,Calc!$A$2:$A$56,0)),"")</f>
        <v>32.9029739092888</v>
      </c>
      <c r="AA43" s="11" t="n">
        <f aca="false">IF(Z43="","",IF(LEFT($X43,1)="H",SQRT(Z43*(IFERROR(INDEX(Calc!$AP$2:$AP$56,MATCH($W43,Calc!$A$2:$A$56,0)),0.5)*Config!$B$5+1-IFERROR(INDEX(Calc!$AP$2:$AP$56,MATCH($W43,Calc!$A$2:$A$56,0)),0.5))),SQRT(Z43*Config!$B$5)))</f>
        <v>6.78705852877404</v>
      </c>
      <c r="AB43" s="10" t="n">
        <f aca="false">IF(OR(F43="",Z43="",N(AA43)&lt;=0),"",1-NORMDIST(FLOOR(F43,1)+0.5,Z43,AA43,TRUE()))</f>
        <v>0.581883037030826</v>
      </c>
      <c r="AC43" s="10" t="n">
        <f aca="false">IF(AB43="","",NORMDIST(CEILING(F43,1)-0.5,Z43,AA43,TRUE()))</f>
        <v>0.418116962969174</v>
      </c>
      <c r="AD43" s="0" t="str">
        <f aca="false">IF(AB43="","",IF(AB43&gt;=0.5+Config!$B$6,"OVER",IF(AC43&gt;=0.5+Config!$B$6,"UNDER","—")))</f>
        <v>OVER</v>
      </c>
      <c r="AE43" s="13" t="n">
        <f aca="false">IFERROR(Z43/G43,"")</f>
        <v>0.998886217178344</v>
      </c>
    </row>
    <row r="44" customFormat="false" ht="15" hidden="false" customHeight="false" outlineLevel="0" collapsed="false">
      <c r="A44" s="0" t="s">
        <v>608</v>
      </c>
      <c r="B44" s="0" t="s">
        <v>525</v>
      </c>
      <c r="C44" s="0" t="s">
        <v>747</v>
      </c>
      <c r="D44" s="0" t="s">
        <v>614</v>
      </c>
      <c r="E44" s="0" t="s">
        <v>689</v>
      </c>
      <c r="F44" s="0" t="n">
        <v>15</v>
      </c>
      <c r="G44" s="11" t="n">
        <f aca="false">IFERROR(INDEX(CHOOSE(MATCH($X44,{"K1","K2","K3","K12","K13","H1","H2","H3","H12","H13"},0),Calc!$V$2:$V$56,Calc!$AC$2:$AC$56,Calc!$AJ$2:$AJ$56,Calc!$AL$2:$AL$56,Calc!$AM$2:$AM$56,Calc!$W$2:$W$56,Calc!$AD$2:$AD$56,Calc!$AK$2:$AK$56,Calc!$AN$2:$AN$56,Calc!$AO$2:$AO$56),MATCH($W44,Calc!$A$2:$A$56,0)),"")</f>
        <v>13.6552795208416</v>
      </c>
      <c r="H44" s="11" t="n">
        <f aca="false">IF(G44="","",IF(LEFT($X44,1)="H",SQRT(G44*(IFERROR(INDEX(Calc!$AP$2:$AP$56,MATCH($W44,Calc!$A$2:$A$56,0)),0.5)*Config!$B$5+1-IFERROR(INDEX(Calc!$AP$2:$AP$56,MATCH($W44,Calc!$A$2:$A$56,0)),0.5))),SQRT(G44*Config!$B$5)))</f>
        <v>4.07361947873928</v>
      </c>
      <c r="I44" s="10" t="n">
        <f aca="false">IF(OR(F44="",G44="",N(H44)&lt;=0),"",1-NORMDIST(FLOOR(F44,1)+0.5,G44,H44,TRUE()))</f>
        <v>0.325329978440318</v>
      </c>
      <c r="J44" s="10" t="n">
        <f aca="false">IF(I44="","",NORMDIST(CEILING(F44,1)-0.5,G44,H44,TRUE()))</f>
        <v>0.582137053706159</v>
      </c>
      <c r="K44" s="10" t="n">
        <f aca="false">IF(I44="","",MAX(0,1-I44-J44))</f>
        <v>0.0925329678535225</v>
      </c>
      <c r="L44" s="0" t="str">
        <f aca="false">IF(I44="","",IF(I44&gt;=0.5+Config!$B$6,"OVER",IF(J44&gt;=0.5+Config!$B$6,"UNDER","—")))</f>
        <v>UNDER</v>
      </c>
      <c r="N44" s="0" t="n">
        <v>14.8</v>
      </c>
      <c r="O44" s="10" t="n">
        <v>0.6</v>
      </c>
      <c r="P44" s="10" t="n">
        <v>0.6</v>
      </c>
      <c r="Q44" s="10" t="n">
        <v>0.47</v>
      </c>
      <c r="R44" s="9" t="s">
        <v>726</v>
      </c>
      <c r="S44" s="0" t="n">
        <v>3</v>
      </c>
      <c r="T44" s="0" t="str">
        <f aca="false">INDEX(Calc!$G$2:$G$56,MATCH($W44,Calc!$A$2:$A$56,0))&amp;" / "&amp;INDEX(Calc!$H$2:$H$56,MATCH($W44,Calc!$A$2:$A$56,0))</f>
        <v>Mirage / Cache</v>
      </c>
      <c r="U44" s="0" t="str">
        <f aca="false">TEXT(INDEX(Calc!$J$2:$J$56,MATCH($W44,Calc!$A$2:$A$56,0)),"0.0")&amp;" / "&amp;TEXT(INDEX(Calc!$K$2:$K$56,MATCH($W44,Calc!$A$2:$A$56,0)),"0.0")</f>
        <v>21.3 / 21.2</v>
      </c>
      <c r="V44" s="0" t="str">
        <f aca="false">IFERROR(INDEX(Calc!$AQ$2:$AQ$56,MATCH($W44,Calc!$A$2:$A$56,0)),"")</f>
        <v/>
      </c>
      <c r="W44" s="9" t="s">
        <v>748</v>
      </c>
      <c r="X44" s="9" t="s">
        <v>692</v>
      </c>
      <c r="Y44" s="0" t="str">
        <f aca="false">W44&amp;"|"&amp;X44</f>
        <v>r77hvt5nvgfdk4q|CS2 · JJH vs EF|H12</v>
      </c>
      <c r="Z44" s="11" t="n">
        <f aca="false">IFERROR(INDEX(CHOOSE(MATCH($X44,{"K1","K2","K3","K12","K13","H1","H2","H3","H12","H13"},0),Calc!$BA$2:$BA$56,Calc!$BB$2:$BB$56,Calc!$BC$2:$BC$56,Calc!$BD$2:$BD$56,Calc!$BE$2:$BE$56,Calc!$BF$2:$BF$56,Calc!$BG$2:$BG$56,Calc!$BH$2:$BH$56,Calc!$BI$2:$BI$56,Calc!$BJ$2:$BJ$56),MATCH($W44,Calc!$A$2:$A$56,0)),"")</f>
        <v>13.6391051950356</v>
      </c>
      <c r="AA44" s="11" t="n">
        <f aca="false">IF(Z44="","",IF(LEFT($X44,1)="H",SQRT(Z44*(IFERROR(INDEX(Calc!$AP$2:$AP$56,MATCH($W44,Calc!$A$2:$A$56,0)),0.5)*Config!$B$5+1-IFERROR(INDEX(Calc!$AP$2:$AP$56,MATCH($W44,Calc!$A$2:$A$56,0)),0.5))),SQRT(Z44*Config!$B$5)))</f>
        <v>4.07120621540057</v>
      </c>
      <c r="AB44" s="10" t="n">
        <f aca="false">IF(OR(F44="",Z44="",N(AA44)&lt;=0),"",1-NORMDIST(FLOOR(F44,1)+0.5,Z44,AA44,TRUE()))</f>
        <v>0.32380431258778</v>
      </c>
      <c r="AC44" s="10" t="n">
        <f aca="false">IF(AB44="","",NORMDIST(CEILING(F44,1)-0.5,Z44,AA44,TRUE()))</f>
        <v>0.583735593229685</v>
      </c>
      <c r="AD44" s="0" t="str">
        <f aca="false">IF(AB44="","",IF(AB44&gt;=0.5+Config!$B$6,"OVER",IF(AC44&gt;=0.5+Config!$B$6,"UNDER","—")))</f>
        <v>UNDER</v>
      </c>
      <c r="AE44" s="13" t="n">
        <f aca="false">IFERROR(Z44/G44,"")</f>
        <v>0.998815525835169</v>
      </c>
    </row>
    <row r="45" customFormat="false" ht="15" hidden="false" customHeight="false" outlineLevel="0" collapsed="false">
      <c r="A45" s="0" t="s">
        <v>608</v>
      </c>
      <c r="B45" s="0" t="s">
        <v>525</v>
      </c>
      <c r="C45" s="0" t="s">
        <v>747</v>
      </c>
      <c r="D45" s="0" t="s">
        <v>614</v>
      </c>
      <c r="E45" s="0" t="s">
        <v>693</v>
      </c>
      <c r="F45" s="0" t="n">
        <v>27.5</v>
      </c>
      <c r="G45" s="11" t="n">
        <f aca="false">IFERROR(INDEX(CHOOSE(MATCH($X45,{"K1","K2","K3","K12","K13","H1","H2","H3","H12","H13"},0),Calc!$V$2:$V$56,Calc!$AC$2:$AC$56,Calc!$AJ$2:$AJ$56,Calc!$AL$2:$AL$56,Calc!$AM$2:$AM$56,Calc!$W$2:$W$56,Calc!$AD$2:$AD$56,Calc!$AK$2:$AK$56,Calc!$AN$2:$AN$56,Calc!$AO$2:$AO$56),MATCH($W45,Calc!$A$2:$A$56,0)),"")</f>
        <v>25.3774153846154</v>
      </c>
      <c r="H45" s="11" t="n">
        <f aca="false">IF(G45="","",IF(LEFT($X45,1)="H",SQRT(G45*(IFERROR(INDEX(Calc!$AP$2:$AP$56,MATCH($W45,Calc!$A$2:$A$56,0)),0.5)*Config!$B$5+1-IFERROR(INDEX(Calc!$AP$2:$AP$56,MATCH($W45,Calc!$A$2:$A$56,0)),0.5))),SQRT(G45*Config!$B$5)))</f>
        <v>5.96056889386085</v>
      </c>
      <c r="I45" s="10" t="n">
        <f aca="false">IF(OR(F45="",G45="",N(H45)&lt;=0),"",1-NORMDIST(FLOOR(F45,1)+0.5,G45,H45,TRUE()))</f>
        <v>0.360881203310495</v>
      </c>
      <c r="J45" s="10" t="n">
        <f aca="false">IF(I45="","",NORMDIST(CEILING(F45,1)-0.5,G45,H45,TRUE()))</f>
        <v>0.639118796689505</v>
      </c>
      <c r="K45" s="10" t="n">
        <f aca="false">IF(I45="","",MAX(0,1-I45-J45))</f>
        <v>0</v>
      </c>
      <c r="L45" s="0" t="str">
        <f aca="false">IF(I45="","",IF(I45&gt;=0.5+Config!$B$6,"OVER",IF(J45&gt;=0.5+Config!$B$6,"UNDER","—")))</f>
        <v>UNDER</v>
      </c>
      <c r="M45" s="0" t="n">
        <v>26.32</v>
      </c>
      <c r="N45" s="0" t="n">
        <v>27.4</v>
      </c>
      <c r="O45" s="10" t="n">
        <v>0.6</v>
      </c>
      <c r="P45" s="10" t="n">
        <v>0.5</v>
      </c>
      <c r="Q45" s="10" t="n">
        <v>0.33</v>
      </c>
      <c r="R45" s="9" t="s">
        <v>726</v>
      </c>
      <c r="S45" s="0" t="n">
        <v>3</v>
      </c>
      <c r="T45" s="0" t="str">
        <f aca="false">INDEX(Calc!$G$2:$G$56,MATCH($W45,Calc!$A$2:$A$56,0))&amp;" / "&amp;INDEX(Calc!$H$2:$H$56,MATCH($W45,Calc!$A$2:$A$56,0))</f>
        <v>Mirage / Cache</v>
      </c>
      <c r="U45" s="0" t="str">
        <f aca="false">TEXT(INDEX(Calc!$J$2:$J$56,MATCH($W45,Calc!$A$2:$A$56,0)),"0.0")&amp;" / "&amp;TEXT(INDEX(Calc!$K$2:$K$56,MATCH($W45,Calc!$A$2:$A$56,0)),"0.0")</f>
        <v>21.3 / 21.2</v>
      </c>
      <c r="V45" s="0" t="str">
        <f aca="false">IFERROR(INDEX(Calc!$AQ$2:$AQ$56,MATCH($W45,Calc!$A$2:$A$56,0)),"")</f>
        <v/>
      </c>
      <c r="W45" s="9" t="s">
        <v>748</v>
      </c>
      <c r="X45" s="9" t="s">
        <v>694</v>
      </c>
      <c r="Y45" s="0" t="str">
        <f aca="false">W45&amp;"|"&amp;X45</f>
        <v>r77hvt5nvgfdk4q|CS2 · JJH vs EF|K12</v>
      </c>
      <c r="Z45" s="11" t="n">
        <f aca="false">IFERROR(INDEX(CHOOSE(MATCH($X45,{"K1","K2","K3","K12","K13","H1","H2","H3","H12","H13"},0),Calc!$BA$2:$BA$56,Calc!$BB$2:$BB$56,Calc!$BC$2:$BC$56,Calc!$BD$2:$BD$56,Calc!$BE$2:$BE$56,Calc!$BF$2:$BF$56,Calc!$BG$2:$BG$56,Calc!$BH$2:$BH$56,Calc!$BI$2:$BI$56,Calc!$BJ$2:$BJ$56),MATCH($W45,Calc!$A$2:$A$56,0)),"")</f>
        <v>25.3466127165831</v>
      </c>
      <c r="AA45" s="11" t="n">
        <f aca="false">IF(Z45="","",IF(LEFT($X45,1)="H",SQRT(Z45*(IFERROR(INDEX(Calc!$AP$2:$AP$56,MATCH($W45,Calc!$A$2:$A$56,0)),0.5)*Config!$B$5+1-IFERROR(INDEX(Calc!$AP$2:$AP$56,MATCH($W45,Calc!$A$2:$A$56,0)),0.5))),SQRT(Z45*Config!$B$5)))</f>
        <v>5.95695037777019</v>
      </c>
      <c r="AB45" s="10" t="n">
        <f aca="false">IF(OR(F45="",Z45="",N(AA45)&lt;=0),"",1-NORMDIST(FLOOR(F45,1)+0.5,Z45,AA45,TRUE()))</f>
        <v>0.358866006687043</v>
      </c>
      <c r="AC45" s="10" t="n">
        <f aca="false">IF(AB45="","",NORMDIST(CEILING(F45,1)-0.5,Z45,AA45,TRUE()))</f>
        <v>0.641133993312957</v>
      </c>
      <c r="AD45" s="0" t="str">
        <f aca="false">IF(AB45="","",IF(AB45&gt;=0.5+Config!$B$6,"OVER",IF(AC45&gt;=0.5+Config!$B$6,"UNDER","—")))</f>
        <v>UNDER</v>
      </c>
      <c r="AE45" s="13" t="n">
        <f aca="false">IFERROR(Z45/G45,"")</f>
        <v>0.998786217289452</v>
      </c>
    </row>
    <row r="46" customFormat="false" ht="15" hidden="false" customHeight="false" outlineLevel="0" collapsed="false">
      <c r="A46" s="0" t="s">
        <v>637</v>
      </c>
      <c r="B46" s="0" t="s">
        <v>646</v>
      </c>
      <c r="C46" s="0" t="s">
        <v>749</v>
      </c>
      <c r="D46" s="0" t="s">
        <v>652</v>
      </c>
      <c r="E46" s="0" t="s">
        <v>693</v>
      </c>
      <c r="F46" s="0" t="n">
        <v>25.5</v>
      </c>
      <c r="G46" s="11" t="n">
        <f aca="false">IFERROR(INDEX(CHOOSE(MATCH($X46,{"K1","K2","K3","K12","K13","H1","H2","H3","H12","H13"},0),Calc!$V$2:$V$56,Calc!$AC$2:$AC$56,Calc!$AJ$2:$AJ$56,Calc!$AL$2:$AL$56,Calc!$AM$2:$AM$56,Calc!$W$2:$W$56,Calc!$AD$2:$AD$56,Calc!$AK$2:$AK$56,Calc!$AN$2:$AN$56,Calc!$AO$2:$AO$56),MATCH($W46,Calc!$A$2:$A$56,0)),"")</f>
        <v>24.8750065843621</v>
      </c>
      <c r="H46" s="11" t="n">
        <f aca="false">IF(G46="","",IF(LEFT($X46,1)="H",SQRT(G46*(IFERROR(INDEX(Calc!$AP$2:$AP$56,MATCH($W46,Calc!$A$2:$A$56,0)),0.5)*Config!$B$5+1-IFERROR(INDEX(Calc!$AP$2:$AP$56,MATCH($W46,Calc!$A$2:$A$56,0)),0.5))),SQRT(G46*Config!$B$5)))</f>
        <v>5.90127183055543</v>
      </c>
      <c r="I46" s="10" t="n">
        <f aca="false">IF(OR(F46="",G46="",N(H46)&lt;=0),"",1-NORMDIST(FLOOR(F46,1)+0.5,G46,H46,TRUE()))</f>
        <v>0.457827571255802</v>
      </c>
      <c r="J46" s="10" t="n">
        <f aca="false">IF(I46="","",NORMDIST(CEILING(F46,1)-0.5,G46,H46,TRUE()))</f>
        <v>0.542172428744198</v>
      </c>
      <c r="K46" s="10" t="n">
        <f aca="false">IF(I46="","",MAX(0,1-I46-J46))</f>
        <v>0</v>
      </c>
      <c r="L46" s="0" t="str">
        <f aca="false">IF(I46="","",IF(I46&gt;=0.5+Config!$B$6,"OVER",IF(J46&gt;=0.5+Config!$B$6,"UNDER","—")))</f>
        <v>UNDER</v>
      </c>
      <c r="N46" s="0" t="n">
        <v>24.7</v>
      </c>
      <c r="O46" s="10" t="n">
        <v>0.8</v>
      </c>
      <c r="P46" s="10"/>
      <c r="Q46" s="10"/>
      <c r="R46" s="9" t="s">
        <v>690</v>
      </c>
      <c r="S46" s="0" t="n">
        <v>1</v>
      </c>
      <c r="T46" s="0" t="str">
        <f aca="false">INDEX(Calc!$G$2:$G$56,MATCH($W46,Calc!$A$2:$A$56,0))&amp;" / "&amp;INDEX(Calc!$H$2:$H$56,MATCH($W46,Calc!$A$2:$A$56,0))</f>
        <v>Lotus / Sunset</v>
      </c>
      <c r="U46" s="0" t="str">
        <f aca="false">TEXT(INDEX(Calc!$J$2:$J$56,MATCH($W46,Calc!$A$2:$A$56,0)),"0.0")&amp;" / "&amp;TEXT(INDEX(Calc!$K$2:$K$56,MATCH($W46,Calc!$A$2:$A$56,0)),"0.0")</f>
        <v>21.4 / 21.3</v>
      </c>
      <c r="V46" s="0" t="str">
        <f aca="false">IFERROR(INDEX(Calc!$AQ$2:$AQ$56,MATCH($W46,Calc!$A$2:$A$56,0)),"")</f>
        <v>thin sample (13 maps) ·</v>
      </c>
      <c r="W46" s="9" t="s">
        <v>750</v>
      </c>
      <c r="X46" s="9" t="s">
        <v>694</v>
      </c>
      <c r="Y46" s="0" t="str">
        <f aca="false">W46&amp;"|"&amp;X46</f>
        <v>gm2ulssn4ht3y2s|VAL · FPX vs DRG|K12</v>
      </c>
      <c r="Z46" s="11" t="n">
        <f aca="false">IFERROR(INDEX(CHOOSE(MATCH($X46,{"K1","K2","K3","K12","K13","H1","H2","H3","H12","H13"},0),Calc!$BA$2:$BA$56,Calc!$BB$2:$BB$56,Calc!$BC$2:$BC$56,Calc!$BD$2:$BD$56,Calc!$BE$2:$BE$56,Calc!$BF$2:$BF$56,Calc!$BG$2:$BG$56,Calc!$BH$2:$BH$56,Calc!$BI$2:$BI$56,Calc!$BJ$2:$BJ$56),MATCH($W46,Calc!$A$2:$A$56,0)),"")</f>
        <v>24.8750065843621</v>
      </c>
      <c r="AA46" s="11" t="n">
        <f aca="false">IF(Z46="","",IF(LEFT($X46,1)="H",SQRT(Z46*(IFERROR(INDEX(Calc!$AP$2:$AP$56,MATCH($W46,Calc!$A$2:$A$56,0)),0.5)*Config!$B$5+1-IFERROR(INDEX(Calc!$AP$2:$AP$56,MATCH($W46,Calc!$A$2:$A$56,0)),0.5))),SQRT(Z46*Config!$B$5)))</f>
        <v>5.90127183055543</v>
      </c>
      <c r="AB46" s="10" t="n">
        <f aca="false">IF(OR(F46="",Z46="",N(AA46)&lt;=0),"",1-NORMDIST(FLOOR(F46,1)+0.5,Z46,AA46,TRUE()))</f>
        <v>0.457827571255802</v>
      </c>
      <c r="AC46" s="10" t="n">
        <f aca="false">IF(AB46="","",NORMDIST(CEILING(F46,1)-0.5,Z46,AA46,TRUE()))</f>
        <v>0.542172428744198</v>
      </c>
      <c r="AD46" s="0" t="str">
        <f aca="false">IF(AB46="","",IF(AB46&gt;=0.5+Config!$B$6,"OVER",IF(AC46&gt;=0.5+Config!$B$6,"UNDER","—")))</f>
        <v>UNDER</v>
      </c>
      <c r="AE46" s="13" t="n">
        <f aca="false">IFERROR(Z46/G46,"")</f>
        <v>1</v>
      </c>
    </row>
    <row r="47" customFormat="false" ht="15" hidden="false" customHeight="false" outlineLevel="0" collapsed="false">
      <c r="A47" s="0" t="s">
        <v>637</v>
      </c>
      <c r="B47" s="0" t="s">
        <v>646</v>
      </c>
      <c r="C47" s="0" t="s">
        <v>751</v>
      </c>
      <c r="D47" s="0" t="s">
        <v>652</v>
      </c>
      <c r="E47" s="0" t="s">
        <v>693</v>
      </c>
      <c r="F47" s="0" t="n">
        <v>31</v>
      </c>
      <c r="G47" s="11" t="n">
        <f aca="false">IFERROR(INDEX(CHOOSE(MATCH($X47,{"K1","K2","K3","K12","K13","H1","H2","H3","H12","H13"},0),Calc!$V$2:$V$56,Calc!$AC$2:$AC$56,Calc!$AJ$2:$AJ$56,Calc!$AL$2:$AL$56,Calc!$AM$2:$AM$56,Calc!$W$2:$W$56,Calc!$AD$2:$AD$56,Calc!$AK$2:$AK$56,Calc!$AN$2:$AN$56,Calc!$AO$2:$AO$56),MATCH($W47,Calc!$A$2:$A$56,0)),"")</f>
        <v>32.6787665433621</v>
      </c>
      <c r="H47" s="11" t="n">
        <f aca="false">IF(G47="","",IF(LEFT($X47,1)="H",SQRT(G47*(IFERROR(INDEX(Calc!$AP$2:$AP$56,MATCH($W47,Calc!$A$2:$A$56,0)),0.5)*Config!$B$5+1-IFERROR(INDEX(Calc!$AP$2:$AP$56,MATCH($W47,Calc!$A$2:$A$56,0)),0.5))),SQRT(G47*Config!$B$5)))</f>
        <v>6.7638948218247</v>
      </c>
      <c r="I47" s="10" t="n">
        <f aca="false">IF(OR(F47="",G47="",N(H47)&lt;=0),"",1-NORMDIST(FLOOR(F47,1)+0.5,G47,H47,TRUE()))</f>
        <v>0.569174674970773</v>
      </c>
      <c r="J47" s="10" t="n">
        <f aca="false">IF(I47="","",NORMDIST(CEILING(F47,1)-0.5,G47,H47,TRUE()))</f>
        <v>0.373681972020535</v>
      </c>
      <c r="K47" s="10" t="n">
        <f aca="false">IF(I47="","",MAX(0,1-I47-J47))</f>
        <v>0.057143353008692</v>
      </c>
      <c r="L47" s="0" t="str">
        <f aca="false">IF(I47="","",IF(I47&gt;=0.5+Config!$B$6,"OVER",IF(J47&gt;=0.5+Config!$B$6,"UNDER","—")))</f>
        <v>OVER</v>
      </c>
      <c r="N47" s="0" t="n">
        <v>32.3</v>
      </c>
      <c r="O47" s="10" t="n">
        <v>0.2</v>
      </c>
      <c r="P47" s="10"/>
      <c r="Q47" s="10"/>
      <c r="R47" s="9" t="s">
        <v>690</v>
      </c>
      <c r="S47" s="0" t="n">
        <v>-4</v>
      </c>
      <c r="T47" s="0" t="str">
        <f aca="false">INDEX(Calc!$G$2:$G$56,MATCH($W47,Calc!$A$2:$A$56,0))&amp;" / "&amp;INDEX(Calc!$H$2:$H$56,MATCH($W47,Calc!$A$2:$A$56,0))</f>
        <v>Lotus / Sunset</v>
      </c>
      <c r="U47" s="0" t="str">
        <f aca="false">TEXT(INDEX(Calc!$J$2:$J$56,MATCH($W47,Calc!$A$2:$A$56,0)),"0.0")&amp;" / "&amp;TEXT(INDEX(Calc!$K$2:$K$56,MATCH($W47,Calc!$A$2:$A$56,0)),"0.0")</f>
        <v>21.4 / 21.3</v>
      </c>
      <c r="V47" s="0" t="str">
        <f aca="false">IFERROR(INDEX(Calc!$AQ$2:$AQ$56,MATCH($W47,Calc!$A$2:$A$56,0)),"")</f>
        <v/>
      </c>
      <c r="W47" s="9" t="s">
        <v>752</v>
      </c>
      <c r="X47" s="9" t="s">
        <v>694</v>
      </c>
      <c r="Y47" s="0" t="str">
        <f aca="false">W47&amp;"|"&amp;X47</f>
        <v>gooz0lacovlufx7|VAL · FPX vs DRG|K12</v>
      </c>
      <c r="Z47" s="11" t="n">
        <f aca="false">IFERROR(INDEX(CHOOSE(MATCH($X47,{"K1","K2","K3","K12","K13","H1","H2","H3","H12","H13"},0),Calc!$BA$2:$BA$56,Calc!$BB$2:$BB$56,Calc!$BC$2:$BC$56,Calc!$BD$2:$BD$56,Calc!$BE$2:$BE$56,Calc!$BF$2:$BF$56,Calc!$BG$2:$BG$56,Calc!$BH$2:$BH$56,Calc!$BI$2:$BI$56,Calc!$BJ$2:$BJ$56),MATCH($W47,Calc!$A$2:$A$56,0)),"")</f>
        <v>32.6787665433621</v>
      </c>
      <c r="AA47" s="11" t="n">
        <f aca="false">IF(Z47="","",IF(LEFT($X47,1)="H",SQRT(Z47*(IFERROR(INDEX(Calc!$AP$2:$AP$56,MATCH($W47,Calc!$A$2:$A$56,0)),0.5)*Config!$B$5+1-IFERROR(INDEX(Calc!$AP$2:$AP$56,MATCH($W47,Calc!$A$2:$A$56,0)),0.5))),SQRT(Z47*Config!$B$5)))</f>
        <v>6.7638948218247</v>
      </c>
      <c r="AB47" s="10" t="n">
        <f aca="false">IF(OR(F47="",Z47="",N(AA47)&lt;=0),"",1-NORMDIST(FLOOR(F47,1)+0.5,Z47,AA47,TRUE()))</f>
        <v>0.569174674970773</v>
      </c>
      <c r="AC47" s="10" t="n">
        <f aca="false">IF(AB47="","",NORMDIST(CEILING(F47,1)-0.5,Z47,AA47,TRUE()))</f>
        <v>0.373681972020535</v>
      </c>
      <c r="AD47" s="0" t="str">
        <f aca="false">IF(AB47="","",IF(AB47&gt;=0.5+Config!$B$6,"OVER",IF(AC47&gt;=0.5+Config!$B$6,"UNDER","—")))</f>
        <v>OVER</v>
      </c>
      <c r="AE47" s="13" t="n">
        <f aca="false">IFERROR(Z47/G47,"")</f>
        <v>1</v>
      </c>
    </row>
    <row r="48" customFormat="false" ht="15" hidden="false" customHeight="false" outlineLevel="0" collapsed="false">
      <c r="A48" s="0" t="s">
        <v>637</v>
      </c>
      <c r="B48" s="0" t="s">
        <v>646</v>
      </c>
      <c r="C48" s="0" t="s">
        <v>753</v>
      </c>
      <c r="D48" s="0" t="s">
        <v>652</v>
      </c>
      <c r="E48" s="0" t="s">
        <v>693</v>
      </c>
      <c r="F48" s="0" t="n">
        <v>25.5</v>
      </c>
      <c r="G48" s="11" t="n">
        <f aca="false">IFERROR(INDEX(CHOOSE(MATCH($X48,{"K1","K2","K3","K12","K13","H1","H2","H3","H12","H13"},0),Calc!$V$2:$V$56,Calc!$AC$2:$AC$56,Calc!$AJ$2:$AJ$56,Calc!$AL$2:$AL$56,Calc!$AM$2:$AM$56,Calc!$W$2:$W$56,Calc!$AD$2:$AD$56,Calc!$AK$2:$AK$56,Calc!$AN$2:$AN$56,Calc!$AO$2:$AO$56),MATCH($W48,Calc!$A$2:$A$56,0)),"")</f>
        <v>29.5547270698052</v>
      </c>
      <c r="H48" s="11" t="n">
        <f aca="false">IF(G48="","",IF(LEFT($X48,1)="H",SQRT(G48*(IFERROR(INDEX(Calc!$AP$2:$AP$56,MATCH($W48,Calc!$A$2:$A$56,0)),0.5)*Config!$B$5+1-IFERROR(INDEX(Calc!$AP$2:$AP$56,MATCH($W48,Calc!$A$2:$A$56,0)),0.5))),SQRT(G48*Config!$B$5)))</f>
        <v>6.43246592666664</v>
      </c>
      <c r="I48" s="10" t="n">
        <f aca="false">IF(OR(F48="",G48="",N(H48)&lt;=0),"",1-NORMDIST(FLOOR(F48,1)+0.5,G48,H48,TRUE()))</f>
        <v>0.735768319190317</v>
      </c>
      <c r="J48" s="10" t="n">
        <f aca="false">IF(I48="","",NORMDIST(CEILING(F48,1)-0.5,G48,H48,TRUE()))</f>
        <v>0.264231680809683</v>
      </c>
      <c r="K48" s="10" t="n">
        <f aca="false">IF(I48="","",MAX(0,1-I48-J48))</f>
        <v>0</v>
      </c>
      <c r="L48" s="0" t="str">
        <f aca="false">IF(I48="","",IF(I48&gt;=0.5+Config!$B$6,"OVER",IF(J48&gt;=0.5+Config!$B$6,"UNDER","—")))</f>
        <v>OVER</v>
      </c>
      <c r="N48" s="0" t="n">
        <v>28.3</v>
      </c>
      <c r="O48" s="10" t="n">
        <v>0.4</v>
      </c>
      <c r="P48" s="10"/>
      <c r="Q48" s="10"/>
      <c r="R48" s="9" t="s">
        <v>690</v>
      </c>
      <c r="S48" s="0" t="n">
        <v>1</v>
      </c>
      <c r="T48" s="0" t="str">
        <f aca="false">INDEX(Calc!$G$2:$G$56,MATCH($W48,Calc!$A$2:$A$56,0))&amp;" / "&amp;INDEX(Calc!$H$2:$H$56,MATCH($W48,Calc!$A$2:$A$56,0))</f>
        <v>Lotus / Sunset</v>
      </c>
      <c r="U48" s="0" t="str">
        <f aca="false">TEXT(INDEX(Calc!$J$2:$J$56,MATCH($W48,Calc!$A$2:$A$56,0)),"0.0")&amp;" / "&amp;TEXT(INDEX(Calc!$K$2:$K$56,MATCH($W48,Calc!$A$2:$A$56,0)),"0.0")</f>
        <v>21.4 / 21.3</v>
      </c>
      <c r="V48" s="0" t="str">
        <f aca="false">IFERROR(INDEX(Calc!$AQ$2:$AQ$56,MATCH($W48,Calc!$A$2:$A$56,0)),"")</f>
        <v>thin sample (13 maps) ·</v>
      </c>
      <c r="W48" s="9" t="s">
        <v>754</v>
      </c>
      <c r="X48" s="9" t="s">
        <v>694</v>
      </c>
      <c r="Y48" s="0" t="str">
        <f aca="false">W48&amp;"|"&amp;X48</f>
        <v>a6n8u51zq3330pf|VAL · FPX vs DRG|K12</v>
      </c>
      <c r="Z48" s="11" t="n">
        <f aca="false">IFERROR(INDEX(CHOOSE(MATCH($X48,{"K1","K2","K3","K12","K13","H1","H2","H3","H12","H13"},0),Calc!$BA$2:$BA$56,Calc!$BB$2:$BB$56,Calc!$BC$2:$BC$56,Calc!$BD$2:$BD$56,Calc!$BE$2:$BE$56,Calc!$BF$2:$BF$56,Calc!$BG$2:$BG$56,Calc!$BH$2:$BH$56,Calc!$BI$2:$BI$56,Calc!$BJ$2:$BJ$56),MATCH($W48,Calc!$A$2:$A$56,0)),"")</f>
        <v>29.5547270698052</v>
      </c>
      <c r="AA48" s="11" t="n">
        <f aca="false">IF(Z48="","",IF(LEFT($X48,1)="H",SQRT(Z48*(IFERROR(INDEX(Calc!$AP$2:$AP$56,MATCH($W48,Calc!$A$2:$A$56,0)),0.5)*Config!$B$5+1-IFERROR(INDEX(Calc!$AP$2:$AP$56,MATCH($W48,Calc!$A$2:$A$56,0)),0.5))),SQRT(Z48*Config!$B$5)))</f>
        <v>6.43246592666664</v>
      </c>
      <c r="AB48" s="10" t="n">
        <f aca="false">IF(OR(F48="",Z48="",N(AA48)&lt;=0),"",1-NORMDIST(FLOOR(F48,1)+0.5,Z48,AA48,TRUE()))</f>
        <v>0.735768319190317</v>
      </c>
      <c r="AC48" s="10" t="n">
        <f aca="false">IF(AB48="","",NORMDIST(CEILING(F48,1)-0.5,Z48,AA48,TRUE()))</f>
        <v>0.264231680809683</v>
      </c>
      <c r="AD48" s="0" t="str">
        <f aca="false">IF(AB48="","",IF(AB48&gt;=0.5+Config!$B$6,"OVER",IF(AC48&gt;=0.5+Config!$B$6,"UNDER","—")))</f>
        <v>OVER</v>
      </c>
      <c r="AE48" s="13" t="n">
        <f aca="false">IFERROR(Z48/G48,"")</f>
        <v>1</v>
      </c>
    </row>
    <row r="49" customFormat="false" ht="15" hidden="false" customHeight="false" outlineLevel="0" collapsed="false">
      <c r="A49" s="0" t="s">
        <v>637</v>
      </c>
      <c r="B49" s="0" t="s">
        <v>646</v>
      </c>
      <c r="C49" s="0" t="s">
        <v>755</v>
      </c>
      <c r="D49" s="0" t="s">
        <v>652</v>
      </c>
      <c r="E49" s="0" t="s">
        <v>693</v>
      </c>
      <c r="F49" s="0" t="n">
        <v>30.5</v>
      </c>
      <c r="G49" s="11" t="n">
        <f aca="false">IFERROR(INDEX(CHOOSE(MATCH($X49,{"K1","K2","K3","K12","K13","H1","H2","H3","H12","H13"},0),Calc!$V$2:$V$56,Calc!$AC$2:$AC$56,Calc!$AJ$2:$AJ$56,Calc!$AL$2:$AL$56,Calc!$AM$2:$AM$56,Calc!$W$2:$W$56,Calc!$AD$2:$AD$56,Calc!$AK$2:$AK$56,Calc!$AN$2:$AN$56,Calc!$AO$2:$AO$56),MATCH($W49,Calc!$A$2:$A$56,0)),"")</f>
        <v>38.0609521693675</v>
      </c>
      <c r="H49" s="11" t="n">
        <f aca="false">IF(G49="","",IF(LEFT($X49,1)="H",SQRT(G49*(IFERROR(INDEX(Calc!$AP$2:$AP$56,MATCH($W49,Calc!$A$2:$A$56,0)),0.5)*Config!$B$5+1-IFERROR(INDEX(Calc!$AP$2:$AP$56,MATCH($W49,Calc!$A$2:$A$56,0)),0.5))),SQRT(G49*Config!$B$5)))</f>
        <v>7.29968033800895</v>
      </c>
      <c r="I49" s="10" t="n">
        <f aca="false">IF(OR(F49="",G49="",N(H49)&lt;=0),"",1-NORMDIST(FLOOR(F49,1)+0.5,G49,H49,TRUE()))</f>
        <v>0.849850458167801</v>
      </c>
      <c r="J49" s="10" t="n">
        <f aca="false">IF(I49="","",NORMDIST(CEILING(F49,1)-0.5,G49,H49,TRUE()))</f>
        <v>0.150149541832199</v>
      </c>
      <c r="K49" s="10" t="n">
        <f aca="false">IF(I49="","",MAX(0,1-I49-J49))</f>
        <v>0</v>
      </c>
      <c r="L49" s="0" t="str">
        <f aca="false">IF(I49="","",IF(I49&gt;=0.5+Config!$B$6,"OVER",IF(J49&gt;=0.5+Config!$B$6,"UNDER","—")))</f>
        <v>OVER</v>
      </c>
      <c r="N49" s="0" t="n">
        <v>37</v>
      </c>
      <c r="O49" s="10" t="n">
        <v>0.4</v>
      </c>
      <c r="P49" s="10" t="n">
        <v>0.7</v>
      </c>
      <c r="Q49" s="10"/>
      <c r="R49" s="9" t="s">
        <v>690</v>
      </c>
      <c r="S49" s="0" t="n">
        <v>-3</v>
      </c>
      <c r="T49" s="0" t="str">
        <f aca="false">INDEX(Calc!$G$2:$G$56,MATCH($W49,Calc!$A$2:$A$56,0))&amp;" / "&amp;INDEX(Calc!$H$2:$H$56,MATCH($W49,Calc!$A$2:$A$56,0))</f>
        <v>Lotus / Sunset</v>
      </c>
      <c r="U49" s="0" t="str">
        <f aca="false">TEXT(INDEX(Calc!$J$2:$J$56,MATCH($W49,Calc!$A$2:$A$56,0)),"0.0")&amp;" / "&amp;TEXT(INDEX(Calc!$K$2:$K$56,MATCH($W49,Calc!$A$2:$A$56,0)),"0.0")</f>
        <v>21.4 / 21.3</v>
      </c>
      <c r="V49" s="0" t="str">
        <f aca="false">IFERROR(INDEX(Calc!$AQ$2:$AQ$56,MATCH($W49,Calc!$A$2:$A$56,0)),"")</f>
        <v/>
      </c>
      <c r="W49" s="9" t="s">
        <v>756</v>
      </c>
      <c r="X49" s="9" t="s">
        <v>694</v>
      </c>
      <c r="Y49" s="0" t="str">
        <f aca="false">W49&amp;"|"&amp;X49</f>
        <v>f2t86wuc45d2ck0|VAL · FPX vs DRG|K12</v>
      </c>
      <c r="Z49" s="11" t="n">
        <f aca="false">IFERROR(INDEX(CHOOSE(MATCH($X49,{"K1","K2","K3","K12","K13","H1","H2","H3","H12","H13"},0),Calc!$BA$2:$BA$56,Calc!$BB$2:$BB$56,Calc!$BC$2:$BC$56,Calc!$BD$2:$BD$56,Calc!$BE$2:$BE$56,Calc!$BF$2:$BF$56,Calc!$BG$2:$BG$56,Calc!$BH$2:$BH$56,Calc!$BI$2:$BI$56,Calc!$BJ$2:$BJ$56),MATCH($W49,Calc!$A$2:$A$56,0)),"")</f>
        <v>38.0609521693675</v>
      </c>
      <c r="AA49" s="11" t="n">
        <f aca="false">IF(Z49="","",IF(LEFT($X49,1)="H",SQRT(Z49*(IFERROR(INDEX(Calc!$AP$2:$AP$56,MATCH($W49,Calc!$A$2:$A$56,0)),0.5)*Config!$B$5+1-IFERROR(INDEX(Calc!$AP$2:$AP$56,MATCH($W49,Calc!$A$2:$A$56,0)),0.5))),SQRT(Z49*Config!$B$5)))</f>
        <v>7.29968033800895</v>
      </c>
      <c r="AB49" s="10" t="n">
        <f aca="false">IF(OR(F49="",Z49="",N(AA49)&lt;=0),"",1-NORMDIST(FLOOR(F49,1)+0.5,Z49,AA49,TRUE()))</f>
        <v>0.849850458167801</v>
      </c>
      <c r="AC49" s="10" t="n">
        <f aca="false">IF(AB49="","",NORMDIST(CEILING(F49,1)-0.5,Z49,AA49,TRUE()))</f>
        <v>0.150149541832199</v>
      </c>
      <c r="AD49" s="0" t="str">
        <f aca="false">IF(AB49="","",IF(AB49&gt;=0.5+Config!$B$6,"OVER",IF(AC49&gt;=0.5+Config!$B$6,"UNDER","—")))</f>
        <v>OVER</v>
      </c>
      <c r="AE49" s="13" t="n">
        <f aca="false">IFERROR(Z49/G49,"")</f>
        <v>1</v>
      </c>
    </row>
    <row r="50" customFormat="false" ht="15" hidden="false" customHeight="false" outlineLevel="0" collapsed="false">
      <c r="A50" s="0" t="s">
        <v>637</v>
      </c>
      <c r="B50" s="0" t="s">
        <v>646</v>
      </c>
      <c r="C50" s="0" t="s">
        <v>757</v>
      </c>
      <c r="D50" s="0" t="s">
        <v>652</v>
      </c>
      <c r="E50" s="0" t="s">
        <v>693</v>
      </c>
      <c r="F50" s="0" t="n">
        <v>32.5</v>
      </c>
      <c r="G50" s="11" t="n">
        <f aca="false">IFERROR(INDEX(CHOOSE(MATCH($X50,{"K1","K2","K3","K12","K13","H1","H2","H3","H12","H13"},0),Calc!$V$2:$V$56,Calc!$AC$2:$AC$56,Calc!$AJ$2:$AJ$56,Calc!$AL$2:$AL$56,Calc!$AM$2:$AM$56,Calc!$W$2:$W$56,Calc!$AD$2:$AD$56,Calc!$AK$2:$AK$56,Calc!$AN$2:$AN$56,Calc!$AO$2:$AO$56),MATCH($W50,Calc!$A$2:$A$56,0)),"")</f>
        <v>31.9458441064639</v>
      </c>
      <c r="H50" s="11" t="n">
        <f aca="false">IF(G50="","",IF(LEFT($X50,1)="H",SQRT(G50*(IFERROR(INDEX(Calc!$AP$2:$AP$56,MATCH($W50,Calc!$A$2:$A$56,0)),0.5)*Config!$B$5+1-IFERROR(INDEX(Calc!$AP$2:$AP$56,MATCH($W50,Calc!$A$2:$A$56,0)),0.5))),SQRT(G50*Config!$B$5)))</f>
        <v>6.68761405503109</v>
      </c>
      <c r="I50" s="10" t="n">
        <f aca="false">IF(OR(F50="",G50="",N(H50)&lt;=0),"",1-NORMDIST(FLOOR(F50,1)+0.5,G50,H50,TRUE()))</f>
        <v>0.466980229539869</v>
      </c>
      <c r="J50" s="10" t="n">
        <f aca="false">IF(I50="","",NORMDIST(CEILING(F50,1)-0.5,G50,H50,TRUE()))</f>
        <v>0.533019770460131</v>
      </c>
      <c r="K50" s="10" t="n">
        <f aca="false">IF(I50="","",MAX(0,1-I50-J50))</f>
        <v>0</v>
      </c>
      <c r="L50" s="0" t="str">
        <f aca="false">IF(I50="","",IF(I50&gt;=0.5+Config!$B$6,"OVER",IF(J50&gt;=0.5+Config!$B$6,"UNDER","—")))</f>
        <v>—</v>
      </c>
      <c r="N50" s="0" t="n">
        <v>31.5</v>
      </c>
      <c r="O50" s="10"/>
      <c r="P50" s="10"/>
      <c r="Q50" s="10"/>
      <c r="R50" s="9" t="s">
        <v>690</v>
      </c>
      <c r="S50" s="0" t="n">
        <v>1</v>
      </c>
      <c r="T50" s="0" t="str">
        <f aca="false">INDEX(Calc!$G$2:$G$56,MATCH($W50,Calc!$A$2:$A$56,0))&amp;" / "&amp;INDEX(Calc!$H$2:$H$56,MATCH($W50,Calc!$A$2:$A$56,0))</f>
        <v>Lotus / Sunset</v>
      </c>
      <c r="U50" s="0" t="str">
        <f aca="false">TEXT(INDEX(Calc!$J$2:$J$56,MATCH($W50,Calc!$A$2:$A$56,0)),"0.0")&amp;" / "&amp;TEXT(INDEX(Calc!$K$2:$K$56,MATCH($W50,Calc!$A$2:$A$56,0)),"0.0")</f>
        <v>21.4 / 21.3</v>
      </c>
      <c r="V50" s="0" t="str">
        <f aca="false">IFERROR(INDEX(Calc!$AQ$2:$AQ$56,MATCH($W50,Calc!$A$2:$A$56,0)),"")</f>
        <v>thin sample (9 maps) ·</v>
      </c>
      <c r="W50" s="9" t="s">
        <v>758</v>
      </c>
      <c r="X50" s="9" t="s">
        <v>694</v>
      </c>
      <c r="Y50" s="0" t="str">
        <f aca="false">W50&amp;"|"&amp;X50</f>
        <v>lj21qptpk5ehxvr|VAL · FPX vs DRG|K12</v>
      </c>
      <c r="Z50" s="11" t="n">
        <f aca="false">IFERROR(INDEX(CHOOSE(MATCH($X50,{"K1","K2","K3","K12","K13","H1","H2","H3","H12","H13"},0),Calc!$BA$2:$BA$56,Calc!$BB$2:$BB$56,Calc!$BC$2:$BC$56,Calc!$BD$2:$BD$56,Calc!$BE$2:$BE$56,Calc!$BF$2:$BF$56,Calc!$BG$2:$BG$56,Calc!$BH$2:$BH$56,Calc!$BI$2:$BI$56,Calc!$BJ$2:$BJ$56),MATCH($W50,Calc!$A$2:$A$56,0)),"")</f>
        <v>31.9458441064639</v>
      </c>
      <c r="AA50" s="11" t="n">
        <f aca="false">IF(Z50="","",IF(LEFT($X50,1)="H",SQRT(Z50*(IFERROR(INDEX(Calc!$AP$2:$AP$56,MATCH($W50,Calc!$A$2:$A$56,0)),0.5)*Config!$B$5+1-IFERROR(INDEX(Calc!$AP$2:$AP$56,MATCH($W50,Calc!$A$2:$A$56,0)),0.5))),SQRT(Z50*Config!$B$5)))</f>
        <v>6.68761405503109</v>
      </c>
      <c r="AB50" s="10" t="n">
        <f aca="false">IF(OR(F50="",Z50="",N(AA50)&lt;=0),"",1-NORMDIST(FLOOR(F50,1)+0.5,Z50,AA50,TRUE()))</f>
        <v>0.466980229539869</v>
      </c>
      <c r="AC50" s="10" t="n">
        <f aca="false">IF(AB50="","",NORMDIST(CEILING(F50,1)-0.5,Z50,AA50,TRUE()))</f>
        <v>0.533019770460131</v>
      </c>
      <c r="AD50" s="0" t="str">
        <f aca="false">IF(AB50="","",IF(AB50&gt;=0.5+Config!$B$6,"OVER",IF(AC50&gt;=0.5+Config!$B$6,"UNDER","—")))</f>
        <v>—</v>
      </c>
      <c r="AE50" s="13" t="n">
        <f aca="false">IFERROR(Z50/G50,"")</f>
        <v>1</v>
      </c>
    </row>
    <row r="51" customFormat="false" ht="15" hidden="false" customHeight="false" outlineLevel="0" collapsed="false">
      <c r="A51" s="0" t="s">
        <v>637</v>
      </c>
      <c r="B51" s="0" t="s">
        <v>646</v>
      </c>
      <c r="C51" s="0" t="s">
        <v>759</v>
      </c>
      <c r="D51" s="0" t="s">
        <v>651</v>
      </c>
      <c r="E51" s="0" t="s">
        <v>693</v>
      </c>
      <c r="F51" s="0" t="n">
        <v>32.5</v>
      </c>
      <c r="G51" s="11" t="n">
        <f aca="false">IFERROR(INDEX(CHOOSE(MATCH($X51,{"K1","K2","K3","K12","K13","H1","H2","H3","H12","H13"},0),Calc!$V$2:$V$56,Calc!$AC$2:$AC$56,Calc!$AJ$2:$AJ$56,Calc!$AL$2:$AL$56,Calc!$AM$2:$AM$56,Calc!$W$2:$W$56,Calc!$AD$2:$AD$56,Calc!$AK$2:$AK$56,Calc!$AN$2:$AN$56,Calc!$AO$2:$AO$56),MATCH($W51,Calc!$A$2:$A$56,0)),"")</f>
        <v>35.9492346477052</v>
      </c>
      <c r="H51" s="11" t="n">
        <f aca="false">IF(G51="","",IF(LEFT($X51,1)="H",SQRT(G51*(IFERROR(INDEX(Calc!$AP$2:$AP$56,MATCH($W51,Calc!$A$2:$A$56,0)),0.5)*Config!$B$5+1-IFERROR(INDEX(Calc!$AP$2:$AP$56,MATCH($W51,Calc!$A$2:$A$56,0)),0.5))),SQRT(G51*Config!$B$5)))</f>
        <v>7.09428844259855</v>
      </c>
      <c r="I51" s="10" t="n">
        <f aca="false">IF(OR(F51="",G51="",N(H51)&lt;=0),"",1-NORMDIST(FLOOR(F51,1)+0.5,G51,H51,TRUE()))</f>
        <v>0.686586894955959</v>
      </c>
      <c r="J51" s="10" t="n">
        <f aca="false">IF(I51="","",NORMDIST(CEILING(F51,1)-0.5,G51,H51,TRUE()))</f>
        <v>0.313413105044041</v>
      </c>
      <c r="K51" s="10" t="n">
        <f aca="false">IF(I51="","",MAX(0,1-I51-J51))</f>
        <v>0</v>
      </c>
      <c r="L51" s="0" t="str">
        <f aca="false">IF(I51="","",IF(I51&gt;=0.5+Config!$B$6,"OVER",IF(J51&gt;=0.5+Config!$B$6,"UNDER","—")))</f>
        <v>OVER</v>
      </c>
      <c r="N51" s="0" t="n">
        <v>35.1</v>
      </c>
      <c r="O51" s="10" t="n">
        <v>0.8</v>
      </c>
      <c r="P51" s="10" t="n">
        <v>0.7</v>
      </c>
      <c r="Q51" s="10" t="n">
        <v>0.67</v>
      </c>
      <c r="R51" s="9" t="s">
        <v>690</v>
      </c>
      <c r="S51" s="0" t="n">
        <v>2</v>
      </c>
      <c r="T51" s="0" t="str">
        <f aca="false">INDEX(Calc!$G$2:$G$56,MATCH($W51,Calc!$A$2:$A$56,0))&amp;" / "&amp;INDEX(Calc!$H$2:$H$56,MATCH($W51,Calc!$A$2:$A$56,0))</f>
        <v>Lotus / Sunset</v>
      </c>
      <c r="U51" s="0" t="str">
        <f aca="false">TEXT(INDEX(Calc!$J$2:$J$56,MATCH($W51,Calc!$A$2:$A$56,0)),"0.0")&amp;" / "&amp;TEXT(INDEX(Calc!$K$2:$K$56,MATCH($W51,Calc!$A$2:$A$56,0)),"0.0")</f>
        <v>21.4 / 21.3</v>
      </c>
      <c r="V51" s="0" t="str">
        <f aca="false">IFERROR(INDEX(Calc!$AQ$2:$AQ$56,MATCH($W51,Calc!$A$2:$A$56,0)),"")</f>
        <v>M2 unplayed→overall KPR ·</v>
      </c>
      <c r="W51" s="9" t="s">
        <v>760</v>
      </c>
      <c r="X51" s="9" t="s">
        <v>694</v>
      </c>
      <c r="Y51" s="0" t="str">
        <f aca="false">W51&amp;"|"&amp;X51</f>
        <v>hwtnmje2qz17otr|VAL · FPX vs DRG|K12</v>
      </c>
      <c r="Z51" s="11" t="n">
        <f aca="false">IFERROR(INDEX(CHOOSE(MATCH($X51,{"K1","K2","K3","K12","K13","H1","H2","H3","H12","H13"},0),Calc!$BA$2:$BA$56,Calc!$BB$2:$BB$56,Calc!$BC$2:$BC$56,Calc!$BD$2:$BD$56,Calc!$BE$2:$BE$56,Calc!$BF$2:$BF$56,Calc!$BG$2:$BG$56,Calc!$BH$2:$BH$56,Calc!$BI$2:$BI$56,Calc!$BJ$2:$BJ$56),MATCH($W51,Calc!$A$2:$A$56,0)),"")</f>
        <v>35.9492346477052</v>
      </c>
      <c r="AA51" s="11" t="n">
        <f aca="false">IF(Z51="","",IF(LEFT($X51,1)="H",SQRT(Z51*(IFERROR(INDEX(Calc!$AP$2:$AP$56,MATCH($W51,Calc!$A$2:$A$56,0)),0.5)*Config!$B$5+1-IFERROR(INDEX(Calc!$AP$2:$AP$56,MATCH($W51,Calc!$A$2:$A$56,0)),0.5))),SQRT(Z51*Config!$B$5)))</f>
        <v>7.09428844259855</v>
      </c>
      <c r="AB51" s="10" t="n">
        <f aca="false">IF(OR(F51="",Z51="",N(AA51)&lt;=0),"",1-NORMDIST(FLOOR(F51,1)+0.5,Z51,AA51,TRUE()))</f>
        <v>0.686586894955959</v>
      </c>
      <c r="AC51" s="10" t="n">
        <f aca="false">IF(AB51="","",NORMDIST(CEILING(F51,1)-0.5,Z51,AA51,TRUE()))</f>
        <v>0.313413105044041</v>
      </c>
      <c r="AD51" s="0" t="str">
        <f aca="false">IF(AB51="","",IF(AB51&gt;=0.5+Config!$B$6,"OVER",IF(AC51&gt;=0.5+Config!$B$6,"UNDER","—")))</f>
        <v>OVER</v>
      </c>
      <c r="AE51" s="13" t="n">
        <f aca="false">IFERROR(Z51/G51,"")</f>
        <v>1</v>
      </c>
    </row>
    <row r="52" customFormat="false" ht="15" hidden="false" customHeight="false" outlineLevel="0" collapsed="false">
      <c r="A52" s="0" t="s">
        <v>637</v>
      </c>
      <c r="B52" s="0" t="s">
        <v>646</v>
      </c>
      <c r="C52" s="0" t="s">
        <v>761</v>
      </c>
      <c r="D52" s="0" t="s">
        <v>651</v>
      </c>
      <c r="E52" s="0" t="s">
        <v>693</v>
      </c>
      <c r="F52" s="0" t="n">
        <v>29.5</v>
      </c>
      <c r="G52" s="11" t="n">
        <f aca="false">IFERROR(INDEX(CHOOSE(MATCH($X52,{"K1","K2","K3","K12","K13","H1","H2","H3","H12","H13"},0),Calc!$V$2:$V$56,Calc!$AC$2:$AC$56,Calc!$AJ$2:$AJ$56,Calc!$AL$2:$AL$56,Calc!$AM$2:$AM$56,Calc!$W$2:$W$56,Calc!$AD$2:$AD$56,Calc!$AK$2:$AK$56,Calc!$AN$2:$AN$56,Calc!$AO$2:$AO$56),MATCH($W52,Calc!$A$2:$A$56,0)),"")</f>
        <v>27.500147533452</v>
      </c>
      <c r="H52" s="11" t="n">
        <f aca="false">IF(G52="","",IF(LEFT($X52,1)="H",SQRT(G52*(IFERROR(INDEX(Calc!$AP$2:$AP$56,MATCH($W52,Calc!$A$2:$A$56,0)),0.5)*Config!$B$5+1-IFERROR(INDEX(Calc!$AP$2:$AP$56,MATCH($W52,Calc!$A$2:$A$56,0)),0.5))),SQRT(G52*Config!$B$5)))</f>
        <v>6.20485346699121</v>
      </c>
      <c r="I52" s="10" t="n">
        <f aca="false">IF(OR(F52="",G52="",N(H52)&lt;=0),"",1-NORMDIST(FLOOR(F52,1)+0.5,G52,H52,TRUE()))</f>
        <v>0.373610995569512</v>
      </c>
      <c r="J52" s="10" t="n">
        <f aca="false">IF(I52="","",NORMDIST(CEILING(F52,1)-0.5,G52,H52,TRUE()))</f>
        <v>0.626389004430488</v>
      </c>
      <c r="K52" s="10" t="n">
        <f aca="false">IF(I52="","",MAX(0,1-I52-J52))</f>
        <v>0</v>
      </c>
      <c r="L52" s="0" t="str">
        <f aca="false">IF(I52="","",IF(I52&gt;=0.5+Config!$B$6,"OVER",IF(J52&gt;=0.5+Config!$B$6,"UNDER","—")))</f>
        <v>UNDER</v>
      </c>
      <c r="N52" s="0" t="n">
        <v>28</v>
      </c>
      <c r="O52" s="10" t="n">
        <v>0.4</v>
      </c>
      <c r="P52" s="10"/>
      <c r="Q52" s="10"/>
      <c r="R52" s="9" t="s">
        <v>690</v>
      </c>
      <c r="S52" s="0" t="n">
        <v>-1</v>
      </c>
      <c r="T52" s="0" t="str">
        <f aca="false">INDEX(Calc!$G$2:$G$56,MATCH($W52,Calc!$A$2:$A$56,0))&amp;" / "&amp;INDEX(Calc!$H$2:$H$56,MATCH($W52,Calc!$A$2:$A$56,0))</f>
        <v>Lotus / Sunset</v>
      </c>
      <c r="U52" s="0" t="str">
        <f aca="false">TEXT(INDEX(Calc!$J$2:$J$56,MATCH($W52,Calc!$A$2:$A$56,0)),"0.0")&amp;" / "&amp;TEXT(INDEX(Calc!$K$2:$K$56,MATCH($W52,Calc!$A$2:$A$56,0)),"0.0")</f>
        <v>21.4 / 21.3</v>
      </c>
      <c r="V52" s="0" t="str">
        <f aca="false">IFERROR(INDEX(Calc!$AQ$2:$AQ$56,MATCH($W52,Calc!$A$2:$A$56,0)),"")</f>
        <v/>
      </c>
      <c r="W52" s="9" t="s">
        <v>762</v>
      </c>
      <c r="X52" s="9" t="s">
        <v>694</v>
      </c>
      <c r="Y52" s="0" t="str">
        <f aca="false">W52&amp;"|"&amp;X52</f>
        <v>8aqf9wzagbzh5lz|VAL · FPX vs DRG|K12</v>
      </c>
      <c r="Z52" s="11" t="n">
        <f aca="false">IFERROR(INDEX(CHOOSE(MATCH($X52,{"K1","K2","K3","K12","K13","H1","H2","H3","H12","H13"},0),Calc!$BA$2:$BA$56,Calc!$BB$2:$BB$56,Calc!$BC$2:$BC$56,Calc!$BD$2:$BD$56,Calc!$BE$2:$BE$56,Calc!$BF$2:$BF$56,Calc!$BG$2:$BG$56,Calc!$BH$2:$BH$56,Calc!$BI$2:$BI$56,Calc!$BJ$2:$BJ$56),MATCH($W52,Calc!$A$2:$A$56,0)),"")</f>
        <v>27.500147533452</v>
      </c>
      <c r="AA52" s="11" t="n">
        <f aca="false">IF(Z52="","",IF(LEFT($X52,1)="H",SQRT(Z52*(IFERROR(INDEX(Calc!$AP$2:$AP$56,MATCH($W52,Calc!$A$2:$A$56,0)),0.5)*Config!$B$5+1-IFERROR(INDEX(Calc!$AP$2:$AP$56,MATCH($W52,Calc!$A$2:$A$56,0)),0.5))),SQRT(Z52*Config!$B$5)))</f>
        <v>6.20485346699121</v>
      </c>
      <c r="AB52" s="10" t="n">
        <f aca="false">IF(OR(F52="",Z52="",N(AA52)&lt;=0),"",1-NORMDIST(FLOOR(F52,1)+0.5,Z52,AA52,TRUE()))</f>
        <v>0.373610995569512</v>
      </c>
      <c r="AC52" s="10" t="n">
        <f aca="false">IF(AB52="","",NORMDIST(CEILING(F52,1)-0.5,Z52,AA52,TRUE()))</f>
        <v>0.626389004430488</v>
      </c>
      <c r="AD52" s="0" t="str">
        <f aca="false">IF(AB52="","",IF(AB52&gt;=0.5+Config!$B$6,"OVER",IF(AC52&gt;=0.5+Config!$B$6,"UNDER","—")))</f>
        <v>UNDER</v>
      </c>
      <c r="AE52" s="13" t="n">
        <f aca="false">IFERROR(Z52/G52,"")</f>
        <v>1</v>
      </c>
    </row>
    <row r="53" customFormat="false" ht="15" hidden="false" customHeight="false" outlineLevel="0" collapsed="false">
      <c r="A53" s="0" t="s">
        <v>637</v>
      </c>
      <c r="B53" s="0" t="s">
        <v>646</v>
      </c>
      <c r="C53" s="0" t="s">
        <v>763</v>
      </c>
      <c r="D53" s="0" t="s">
        <v>651</v>
      </c>
      <c r="E53" s="0" t="s">
        <v>693</v>
      </c>
      <c r="F53" s="0" t="n">
        <v>24.5</v>
      </c>
      <c r="G53" s="11" t="n">
        <f aca="false">IFERROR(INDEX(CHOOSE(MATCH($X53,{"K1","K2","K3","K12","K13","H1","H2","H3","H12","H13"},0),Calc!$V$2:$V$56,Calc!$AC$2:$AC$56,Calc!$AJ$2:$AJ$56,Calc!$AL$2:$AL$56,Calc!$AM$2:$AM$56,Calc!$W$2:$W$56,Calc!$AD$2:$AD$56,Calc!$AK$2:$AK$56,Calc!$AN$2:$AN$56,Calc!$AO$2:$AO$56),MATCH($W53,Calc!$A$2:$A$56,0)),"")</f>
        <v>26.6501555718118</v>
      </c>
      <c r="H53" s="11" t="n">
        <f aca="false">IF(G53="","",IF(LEFT($X53,1)="H",SQRT(G53*(IFERROR(INDEX(Calc!$AP$2:$AP$56,MATCH($W53,Calc!$A$2:$A$56,0)),0.5)*Config!$B$5+1-IFERROR(INDEX(Calc!$AP$2:$AP$56,MATCH($W53,Calc!$A$2:$A$56,0)),0.5))),SQRT(G53*Config!$B$5)))</f>
        <v>6.10820905016654</v>
      </c>
      <c r="I53" s="10" t="n">
        <f aca="false">IF(OR(F53="",G53="",N(H53)&lt;=0),"",1-NORMDIST(FLOOR(F53,1)+0.5,G53,H53,TRUE()))</f>
        <v>0.637584919580577</v>
      </c>
      <c r="J53" s="10" t="n">
        <f aca="false">IF(I53="","",NORMDIST(CEILING(F53,1)-0.5,G53,H53,TRUE()))</f>
        <v>0.362415080419423</v>
      </c>
      <c r="K53" s="10" t="n">
        <f aca="false">IF(I53="","",MAX(0,1-I53-J53))</f>
        <v>0</v>
      </c>
      <c r="L53" s="0" t="str">
        <f aca="false">IF(I53="","",IF(I53&gt;=0.5+Config!$B$6,"OVER",IF(J53&gt;=0.5+Config!$B$6,"UNDER","—")))</f>
        <v>OVER</v>
      </c>
      <c r="N53" s="0" t="n">
        <v>25.9</v>
      </c>
      <c r="O53" s="10" t="n">
        <v>0.4</v>
      </c>
      <c r="P53" s="10" t="n">
        <v>0.5</v>
      </c>
      <c r="Q53" s="10" t="n">
        <v>0.6</v>
      </c>
      <c r="R53" s="9" t="s">
        <v>690</v>
      </c>
      <c r="S53" s="0" t="n">
        <v>-1</v>
      </c>
      <c r="T53" s="0" t="str">
        <f aca="false">INDEX(Calc!$G$2:$G$56,MATCH($W53,Calc!$A$2:$A$56,0))&amp;" / "&amp;INDEX(Calc!$H$2:$H$56,MATCH($W53,Calc!$A$2:$A$56,0))</f>
        <v>Lotus / Sunset</v>
      </c>
      <c r="U53" s="0" t="str">
        <f aca="false">TEXT(INDEX(Calc!$J$2:$J$56,MATCH($W53,Calc!$A$2:$A$56,0)),"0.0")&amp;" / "&amp;TEXT(INDEX(Calc!$K$2:$K$56,MATCH($W53,Calc!$A$2:$A$56,0)),"0.0")</f>
        <v>21.4 / 21.3</v>
      </c>
      <c r="V53" s="0" t="str">
        <f aca="false">IFERROR(INDEX(Calc!$AQ$2:$AQ$56,MATCH($W53,Calc!$A$2:$A$56,0)),"")</f>
        <v/>
      </c>
      <c r="W53" s="9" t="s">
        <v>764</v>
      </c>
      <c r="X53" s="9" t="s">
        <v>694</v>
      </c>
      <c r="Y53" s="0" t="str">
        <f aca="false">W53&amp;"|"&amp;X53</f>
        <v>7qoedjneu0q6i8b|VAL · FPX vs DRG|K12</v>
      </c>
      <c r="Z53" s="11" t="n">
        <f aca="false">IFERROR(INDEX(CHOOSE(MATCH($X53,{"K1","K2","K3","K12","K13","H1","H2","H3","H12","H13"},0),Calc!$BA$2:$BA$56,Calc!$BB$2:$BB$56,Calc!$BC$2:$BC$56,Calc!$BD$2:$BD$56,Calc!$BE$2:$BE$56,Calc!$BF$2:$BF$56,Calc!$BG$2:$BG$56,Calc!$BH$2:$BH$56,Calc!$BI$2:$BI$56,Calc!$BJ$2:$BJ$56),MATCH($W53,Calc!$A$2:$A$56,0)),"")</f>
        <v>26.6501555718118</v>
      </c>
      <c r="AA53" s="11" t="n">
        <f aca="false">IF(Z53="","",IF(LEFT($X53,1)="H",SQRT(Z53*(IFERROR(INDEX(Calc!$AP$2:$AP$56,MATCH($W53,Calc!$A$2:$A$56,0)),0.5)*Config!$B$5+1-IFERROR(INDEX(Calc!$AP$2:$AP$56,MATCH($W53,Calc!$A$2:$A$56,0)),0.5))),SQRT(Z53*Config!$B$5)))</f>
        <v>6.10820905016654</v>
      </c>
      <c r="AB53" s="10" t="n">
        <f aca="false">IF(OR(F53="",Z53="",N(AA53)&lt;=0),"",1-NORMDIST(FLOOR(F53,1)+0.5,Z53,AA53,TRUE()))</f>
        <v>0.637584919580577</v>
      </c>
      <c r="AC53" s="10" t="n">
        <f aca="false">IF(AB53="","",NORMDIST(CEILING(F53,1)-0.5,Z53,AA53,TRUE()))</f>
        <v>0.362415080419423</v>
      </c>
      <c r="AD53" s="0" t="str">
        <f aca="false">IF(AB53="","",IF(AB53&gt;=0.5+Config!$B$6,"OVER",IF(AC53&gt;=0.5+Config!$B$6,"UNDER","—")))</f>
        <v>OVER</v>
      </c>
      <c r="AE53" s="13" t="n">
        <f aca="false">IFERROR(Z53/G53,"")</f>
        <v>1</v>
      </c>
    </row>
    <row r="54" customFormat="false" ht="15" hidden="false" customHeight="false" outlineLevel="0" collapsed="false">
      <c r="A54" s="0" t="s">
        <v>637</v>
      </c>
      <c r="B54" s="0" t="s">
        <v>660</v>
      </c>
      <c r="C54" s="0" t="s">
        <v>765</v>
      </c>
      <c r="D54" s="0" t="s">
        <v>664</v>
      </c>
      <c r="E54" s="0" t="s">
        <v>693</v>
      </c>
      <c r="F54" s="0" t="n">
        <v>30.5</v>
      </c>
      <c r="G54" s="11" t="n">
        <f aca="false">IFERROR(INDEX(CHOOSE(MATCH($X54,{"K1","K2","K3","K12","K13","H1","H2","H3","H12","H13"},0),Calc!$V$2:$V$56,Calc!$AC$2:$AC$56,Calc!$AJ$2:$AJ$56,Calc!$AL$2:$AL$56,Calc!$AM$2:$AM$56,Calc!$W$2:$W$56,Calc!$AD$2:$AD$56,Calc!$AK$2:$AK$56,Calc!$AN$2:$AN$56,Calc!$AO$2:$AO$56),MATCH($W54,Calc!$A$2:$A$56,0)),"")</f>
        <v>35.396114219372</v>
      </c>
      <c r="H54" s="11" t="n">
        <f aca="false">IF(G54="","",IF(LEFT($X54,1)="H",SQRT(G54*(IFERROR(INDEX(Calc!$AP$2:$AP$56,MATCH($W54,Calc!$A$2:$A$56,0)),0.5)*Config!$B$5+1-IFERROR(INDEX(Calc!$AP$2:$AP$56,MATCH($W54,Calc!$A$2:$A$56,0)),0.5))),SQRT(G54*Config!$B$5)))</f>
        <v>7.03949997564605</v>
      </c>
      <c r="I54" s="10" t="n">
        <f aca="false">IF(OR(F54="",G54="",N(H54)&lt;=0),"",1-NORMDIST(FLOOR(F54,1)+0.5,G54,H54,TRUE()))</f>
        <v>0.756635312311045</v>
      </c>
      <c r="J54" s="10" t="n">
        <f aca="false">IF(I54="","",NORMDIST(CEILING(F54,1)-0.5,G54,H54,TRUE()))</f>
        <v>0.243364687688955</v>
      </c>
      <c r="K54" s="10" t="n">
        <f aca="false">IF(I54="","",MAX(0,1-I54-J54))</f>
        <v>0</v>
      </c>
      <c r="L54" s="0" t="str">
        <f aca="false">IF(I54="","",IF(I54&gt;=0.5+Config!$B$6,"OVER",IF(J54&gt;=0.5+Config!$B$6,"UNDER","—")))</f>
        <v>OVER</v>
      </c>
      <c r="M54" s="0" t="n">
        <v>30.74</v>
      </c>
      <c r="N54" s="0" t="n">
        <v>33.3</v>
      </c>
      <c r="O54" s="10" t="n">
        <v>0.6</v>
      </c>
      <c r="P54" s="10" t="n">
        <v>0.5</v>
      </c>
      <c r="Q54" s="10" t="n">
        <v>0.53</v>
      </c>
      <c r="R54" s="9" t="s">
        <v>690</v>
      </c>
      <c r="S54" s="0" t="n">
        <v>1</v>
      </c>
      <c r="T54" s="0" t="str">
        <f aca="false">INDEX(Calc!$G$2:$G$56,MATCH($W54,Calc!$A$2:$A$56,0))&amp;" / "&amp;INDEX(Calc!$H$2:$H$56,MATCH($W54,Calc!$A$2:$A$56,0))</f>
        <v>Haven / Lotus</v>
      </c>
      <c r="U54" s="0" t="str">
        <f aca="false">TEXT(INDEX(Calc!$J$2:$J$56,MATCH($W54,Calc!$A$2:$A$56,0)),"0.0")&amp;" / "&amp;TEXT(INDEX(Calc!$K$2:$K$56,MATCH($W54,Calc!$A$2:$A$56,0)),"0.0")</f>
        <v>21.3 / 21.3</v>
      </c>
      <c r="V54" s="0" t="str">
        <f aca="false">IFERROR(INDEX(Calc!$AQ$2:$AQ$56,MATCH($W54,Calc!$A$2:$A$56,0)),"")</f>
        <v/>
      </c>
      <c r="W54" s="9" t="s">
        <v>766</v>
      </c>
      <c r="X54" s="9" t="s">
        <v>694</v>
      </c>
      <c r="Y54" s="0" t="str">
        <f aca="false">W54&amp;"|"&amp;X54</f>
        <v>dlqk8dkrpmqycx2|VAL · KRÜ vs Gen.G GC|K12</v>
      </c>
      <c r="Z54" s="11" t="n">
        <f aca="false">IFERROR(INDEX(CHOOSE(MATCH($X54,{"K1","K2","K3","K12","K13","H1","H2","H3","H12","H13"},0),Calc!$BA$2:$BA$56,Calc!$BB$2:$BB$56,Calc!$BC$2:$BC$56,Calc!$BD$2:$BD$56,Calc!$BE$2:$BE$56,Calc!$BF$2:$BF$56,Calc!$BG$2:$BG$56,Calc!$BH$2:$BH$56,Calc!$BI$2:$BI$56,Calc!$BJ$2:$BJ$56),MATCH($W54,Calc!$A$2:$A$56,0)),"")</f>
        <v>35.396114219372</v>
      </c>
      <c r="AA54" s="11" t="n">
        <f aca="false">IF(Z54="","",IF(LEFT($X54,1)="H",SQRT(Z54*(IFERROR(INDEX(Calc!$AP$2:$AP$56,MATCH($W54,Calc!$A$2:$A$56,0)),0.5)*Config!$B$5+1-IFERROR(INDEX(Calc!$AP$2:$AP$56,MATCH($W54,Calc!$A$2:$A$56,0)),0.5))),SQRT(Z54*Config!$B$5)))</f>
        <v>7.03949997564605</v>
      </c>
      <c r="AB54" s="10" t="n">
        <f aca="false">IF(OR(F54="",Z54="",N(AA54)&lt;=0),"",1-NORMDIST(FLOOR(F54,1)+0.5,Z54,AA54,TRUE()))</f>
        <v>0.756635312311045</v>
      </c>
      <c r="AC54" s="10" t="n">
        <f aca="false">IF(AB54="","",NORMDIST(CEILING(F54,1)-0.5,Z54,AA54,TRUE()))</f>
        <v>0.243364687688955</v>
      </c>
      <c r="AD54" s="0" t="str">
        <f aca="false">IF(AB54="","",IF(AB54&gt;=0.5+Config!$B$6,"OVER",IF(AC54&gt;=0.5+Config!$B$6,"UNDER","—")))</f>
        <v>OVER</v>
      </c>
      <c r="AE54" s="13" t="n">
        <f aca="false">IFERROR(Z54/G54,"")</f>
        <v>1</v>
      </c>
    </row>
    <row r="55" customFormat="false" ht="15" hidden="false" customHeight="false" outlineLevel="0" collapsed="false">
      <c r="A55" s="0" t="s">
        <v>637</v>
      </c>
      <c r="B55" s="0" t="s">
        <v>660</v>
      </c>
      <c r="C55" s="0" t="s">
        <v>767</v>
      </c>
      <c r="D55" s="0" t="s">
        <v>664</v>
      </c>
      <c r="E55" s="0" t="s">
        <v>693</v>
      </c>
      <c r="F55" s="0" t="n">
        <v>33.5</v>
      </c>
      <c r="G55" s="11" t="n">
        <f aca="false">IFERROR(INDEX(CHOOSE(MATCH($X55,{"K1","K2","K3","K12","K13","H1","H2","H3","H12","H13"},0),Calc!$V$2:$V$56,Calc!$AC$2:$AC$56,Calc!$AJ$2:$AJ$56,Calc!$AL$2:$AL$56,Calc!$AM$2:$AM$56,Calc!$W$2:$W$56,Calc!$AD$2:$AD$56,Calc!$AK$2:$AK$56,Calc!$AN$2:$AN$56,Calc!$AO$2:$AO$56),MATCH($W55,Calc!$A$2:$A$56,0)),"")</f>
        <v>35.5250803707951</v>
      </c>
      <c r="H55" s="11" t="n">
        <f aca="false">IF(G55="","",IF(LEFT($X55,1)="H",SQRT(G55*(IFERROR(INDEX(Calc!$AP$2:$AP$56,MATCH($W55,Calc!$A$2:$A$56,0)),0.5)*Config!$B$5+1-IFERROR(INDEX(Calc!$AP$2:$AP$56,MATCH($W55,Calc!$A$2:$A$56,0)),0.5))),SQRT(G55*Config!$B$5)))</f>
        <v>7.05231256533012</v>
      </c>
      <c r="I55" s="10" t="n">
        <f aca="false">IF(OR(F55="",G55="",N(H55)&lt;=0),"",1-NORMDIST(FLOOR(F55,1)+0.5,G55,H55,TRUE()))</f>
        <v>0.613001744173505</v>
      </c>
      <c r="J55" s="10" t="n">
        <f aca="false">IF(I55="","",NORMDIST(CEILING(F55,1)-0.5,G55,H55,TRUE()))</f>
        <v>0.386998255826495</v>
      </c>
      <c r="K55" s="10" t="n">
        <f aca="false">IF(I55="","",MAX(0,1-I55-J55))</f>
        <v>0</v>
      </c>
      <c r="L55" s="0" t="str">
        <f aca="false">IF(I55="","",IF(I55&gt;=0.5+Config!$B$6,"OVER",IF(J55&gt;=0.5+Config!$B$6,"UNDER","—")))</f>
        <v>OVER</v>
      </c>
      <c r="M55" s="0" t="n">
        <v>34.96</v>
      </c>
      <c r="N55" s="0" t="n">
        <v>35.4</v>
      </c>
      <c r="O55" s="10" t="n">
        <v>0.8</v>
      </c>
      <c r="P55" s="10" t="n">
        <v>0.6</v>
      </c>
      <c r="Q55" s="10"/>
      <c r="R55" s="9" t="s">
        <v>690</v>
      </c>
      <c r="S55" s="0" t="n">
        <v>3</v>
      </c>
      <c r="T55" s="0" t="str">
        <f aca="false">INDEX(Calc!$G$2:$G$56,MATCH($W55,Calc!$A$2:$A$56,0))&amp;" / "&amp;INDEX(Calc!$H$2:$H$56,MATCH($W55,Calc!$A$2:$A$56,0))</f>
        <v>Haven / Lotus</v>
      </c>
      <c r="U55" s="0" t="str">
        <f aca="false">TEXT(INDEX(Calc!$J$2:$J$56,MATCH($W55,Calc!$A$2:$A$56,0)),"0.0")&amp;" / "&amp;TEXT(INDEX(Calc!$K$2:$K$56,MATCH($W55,Calc!$A$2:$A$56,0)),"0.0")</f>
        <v>21.3 / 21.3</v>
      </c>
      <c r="V55" s="0" t="str">
        <f aca="false">IFERROR(INDEX(Calc!$AQ$2:$AQ$56,MATCH($W55,Calc!$A$2:$A$56,0)),"")</f>
        <v/>
      </c>
      <c r="W55" s="9" t="s">
        <v>768</v>
      </c>
      <c r="X55" s="9" t="s">
        <v>694</v>
      </c>
      <c r="Y55" s="0" t="str">
        <f aca="false">W55&amp;"|"&amp;X55</f>
        <v>s97p69iqpswvy3k|VAL · KRÜ vs Gen.G GC|K12</v>
      </c>
      <c r="Z55" s="11" t="n">
        <f aca="false">IFERROR(INDEX(CHOOSE(MATCH($X55,{"K1","K2","K3","K12","K13","H1","H2","H3","H12","H13"},0),Calc!$BA$2:$BA$56,Calc!$BB$2:$BB$56,Calc!$BC$2:$BC$56,Calc!$BD$2:$BD$56,Calc!$BE$2:$BE$56,Calc!$BF$2:$BF$56,Calc!$BG$2:$BG$56,Calc!$BH$2:$BH$56,Calc!$BI$2:$BI$56,Calc!$BJ$2:$BJ$56),MATCH($W55,Calc!$A$2:$A$56,0)),"")</f>
        <v>35.5250803707951</v>
      </c>
      <c r="AA55" s="11" t="n">
        <f aca="false">IF(Z55="","",IF(LEFT($X55,1)="H",SQRT(Z55*(IFERROR(INDEX(Calc!$AP$2:$AP$56,MATCH($W55,Calc!$A$2:$A$56,0)),0.5)*Config!$B$5+1-IFERROR(INDEX(Calc!$AP$2:$AP$56,MATCH($W55,Calc!$A$2:$A$56,0)),0.5))),SQRT(Z55*Config!$B$5)))</f>
        <v>7.05231256533012</v>
      </c>
      <c r="AB55" s="10" t="n">
        <f aca="false">IF(OR(F55="",Z55="",N(AA55)&lt;=0),"",1-NORMDIST(FLOOR(F55,1)+0.5,Z55,AA55,TRUE()))</f>
        <v>0.613001744173505</v>
      </c>
      <c r="AC55" s="10" t="n">
        <f aca="false">IF(AB55="","",NORMDIST(CEILING(F55,1)-0.5,Z55,AA55,TRUE()))</f>
        <v>0.386998255826495</v>
      </c>
      <c r="AD55" s="0" t="str">
        <f aca="false">IF(AB55="","",IF(AB55&gt;=0.5+Config!$B$6,"OVER",IF(AC55&gt;=0.5+Config!$B$6,"UNDER","—")))</f>
        <v>OVER</v>
      </c>
      <c r="AE55" s="13" t="n">
        <f aca="false">IFERROR(Z55/G55,"")</f>
        <v>1</v>
      </c>
    </row>
    <row r="56" customFormat="false" ht="15" hidden="false" customHeight="false" outlineLevel="0" collapsed="false">
      <c r="A56" s="0" t="s">
        <v>637</v>
      </c>
      <c r="B56" s="0" t="s">
        <v>660</v>
      </c>
      <c r="C56" s="0" t="s">
        <v>769</v>
      </c>
      <c r="D56" s="0" t="s">
        <v>664</v>
      </c>
      <c r="E56" s="0" t="s">
        <v>693</v>
      </c>
      <c r="F56" s="0" t="n">
        <v>23</v>
      </c>
      <c r="G56" s="11" t="n">
        <f aca="false">IFERROR(INDEX(CHOOSE(MATCH($X56,{"K1","K2","K3","K12","K13","H1","H2","H3","H12","H13"},0),Calc!$V$2:$V$56,Calc!$AC$2:$AC$56,Calc!$AJ$2:$AJ$56,Calc!$AL$2:$AL$56,Calc!$AM$2:$AM$56,Calc!$W$2:$W$56,Calc!$AD$2:$AD$56,Calc!$AK$2:$AK$56,Calc!$AN$2:$AN$56,Calc!$AO$2:$AO$56),MATCH($W56,Calc!$A$2:$A$56,0)),"")</f>
        <v>25.1765904272102</v>
      </c>
      <c r="H56" s="11" t="n">
        <f aca="false">IF(G56="","",IF(LEFT($X56,1)="H",SQRT(G56*(IFERROR(INDEX(Calc!$AP$2:$AP$56,MATCH($W56,Calc!$A$2:$A$56,0)),0.5)*Config!$B$5+1-IFERROR(INDEX(Calc!$AP$2:$AP$56,MATCH($W56,Calc!$A$2:$A$56,0)),0.5))),SQRT(G56*Config!$B$5)))</f>
        <v>5.93693747635043</v>
      </c>
      <c r="I56" s="10" t="n">
        <f aca="false">IF(OR(F56="",G56="",N(H56)&lt;=0),"",1-NORMDIST(FLOOR(F56,1)+0.5,G56,H56,TRUE()))</f>
        <v>0.611181546263518</v>
      </c>
      <c r="J56" s="10" t="n">
        <f aca="false">IF(I56="","",NORMDIST(CEILING(F56,1)-0.5,G56,H56,TRUE()))</f>
        <v>0.326053555766255</v>
      </c>
      <c r="K56" s="10" t="n">
        <f aca="false">IF(I56="","",MAX(0,1-I56-J56))</f>
        <v>0.0627648979702268</v>
      </c>
      <c r="L56" s="0" t="str">
        <f aca="false">IF(I56="","",IF(I56&gt;=0.5+Config!$B$6,"OVER",IF(J56&gt;=0.5+Config!$B$6,"UNDER","—")))</f>
        <v>OVER</v>
      </c>
      <c r="N56" s="0" t="n">
        <v>22.5</v>
      </c>
      <c r="O56" s="10" t="n">
        <v>0.6</v>
      </c>
      <c r="P56" s="10" t="n">
        <v>0.6</v>
      </c>
      <c r="Q56" s="10" t="n">
        <v>0.73</v>
      </c>
      <c r="R56" s="9" t="s">
        <v>690</v>
      </c>
      <c r="S56" s="0" t="n">
        <v>1</v>
      </c>
      <c r="T56" s="0" t="str">
        <f aca="false">INDEX(Calc!$G$2:$G$56,MATCH($W56,Calc!$A$2:$A$56,0))&amp;" / "&amp;INDEX(Calc!$H$2:$H$56,MATCH($W56,Calc!$A$2:$A$56,0))</f>
        <v>Haven / Lotus</v>
      </c>
      <c r="U56" s="0" t="str">
        <f aca="false">TEXT(INDEX(Calc!$J$2:$J$56,MATCH($W56,Calc!$A$2:$A$56,0)),"0.0")&amp;" / "&amp;TEXT(INDEX(Calc!$K$2:$K$56,MATCH($W56,Calc!$A$2:$A$56,0)),"0.0")</f>
        <v>21.3 / 21.3</v>
      </c>
      <c r="V56" s="0" t="str">
        <f aca="false">IFERROR(INDEX(Calc!$AQ$2:$AQ$56,MATCH($W56,Calc!$A$2:$A$56,0)),"")</f>
        <v/>
      </c>
      <c r="W56" s="9" t="s">
        <v>770</v>
      </c>
      <c r="X56" s="9" t="s">
        <v>694</v>
      </c>
      <c r="Y56" s="0" t="str">
        <f aca="false">W56&amp;"|"&amp;X56</f>
        <v>an0i341jwe8blbi|VAL · KRÜ vs Gen.G GC|K12</v>
      </c>
      <c r="Z56" s="11" t="n">
        <f aca="false">IFERROR(INDEX(CHOOSE(MATCH($X56,{"K1","K2","K3","K12","K13","H1","H2","H3","H12","H13"},0),Calc!$BA$2:$BA$56,Calc!$BB$2:$BB$56,Calc!$BC$2:$BC$56,Calc!$BD$2:$BD$56,Calc!$BE$2:$BE$56,Calc!$BF$2:$BF$56,Calc!$BG$2:$BG$56,Calc!$BH$2:$BH$56,Calc!$BI$2:$BI$56,Calc!$BJ$2:$BJ$56),MATCH($W56,Calc!$A$2:$A$56,0)),"")</f>
        <v>25.1765904272102</v>
      </c>
      <c r="AA56" s="11" t="n">
        <f aca="false">IF(Z56="","",IF(LEFT($X56,1)="H",SQRT(Z56*(IFERROR(INDEX(Calc!$AP$2:$AP$56,MATCH($W56,Calc!$A$2:$A$56,0)),0.5)*Config!$B$5+1-IFERROR(INDEX(Calc!$AP$2:$AP$56,MATCH($W56,Calc!$A$2:$A$56,0)),0.5))),SQRT(Z56*Config!$B$5)))</f>
        <v>5.93693747635043</v>
      </c>
      <c r="AB56" s="10" t="n">
        <f aca="false">IF(OR(F56="",Z56="",N(AA56)&lt;=0),"",1-NORMDIST(FLOOR(F56,1)+0.5,Z56,AA56,TRUE()))</f>
        <v>0.611181546263518</v>
      </c>
      <c r="AC56" s="10" t="n">
        <f aca="false">IF(AB56="","",NORMDIST(CEILING(F56,1)-0.5,Z56,AA56,TRUE()))</f>
        <v>0.326053555766255</v>
      </c>
      <c r="AD56" s="0" t="str">
        <f aca="false">IF(AB56="","",IF(AB56&gt;=0.5+Config!$B$6,"OVER",IF(AC56&gt;=0.5+Config!$B$6,"UNDER","—")))</f>
        <v>OVER</v>
      </c>
      <c r="AE56" s="13" t="n">
        <f aca="false">IFERROR(Z56/G56,"")</f>
        <v>1</v>
      </c>
    </row>
    <row r="57" customFormat="false" ht="15" hidden="false" customHeight="false" outlineLevel="0" collapsed="false">
      <c r="A57" s="0" t="s">
        <v>637</v>
      </c>
      <c r="B57" s="0" t="s">
        <v>660</v>
      </c>
      <c r="C57" s="0" t="s">
        <v>771</v>
      </c>
      <c r="D57" s="0" t="s">
        <v>664</v>
      </c>
      <c r="E57" s="0" t="s">
        <v>693</v>
      </c>
      <c r="F57" s="0" t="n">
        <v>33</v>
      </c>
      <c r="G57" s="11" t="n">
        <f aca="false">IFERROR(INDEX(CHOOSE(MATCH($X57,{"K1","K2","K3","K12","K13","H1","H2","H3","H12","H13"},0),Calc!$V$2:$V$56,Calc!$AC$2:$AC$56,Calc!$AJ$2:$AJ$56,Calc!$AL$2:$AL$56,Calc!$AM$2:$AM$56,Calc!$W$2:$W$56,Calc!$AD$2:$AD$56,Calc!$AK$2:$AK$56,Calc!$AN$2:$AN$56,Calc!$AO$2:$AO$56),MATCH($W57,Calc!$A$2:$A$56,0)),"")</f>
        <v>35.679852457265</v>
      </c>
      <c r="H57" s="11" t="n">
        <f aca="false">IF(G57="","",IF(LEFT($X57,1)="H",SQRT(G57*(IFERROR(INDEX(Calc!$AP$2:$AP$56,MATCH($W57,Calc!$A$2:$A$56,0)),0.5)*Config!$B$5+1-IFERROR(INDEX(Calc!$AP$2:$AP$56,MATCH($W57,Calc!$A$2:$A$56,0)),0.5))),SQRT(G57*Config!$B$5)))</f>
        <v>7.06765827132092</v>
      </c>
      <c r="I57" s="10" t="n">
        <f aca="false">IF(OR(F57="",G57="",N(H57)&lt;=0),"",1-NORMDIST(FLOOR(F57,1)+0.5,G57,H57,TRUE()))</f>
        <v>0.621121055158237</v>
      </c>
      <c r="J57" s="10" t="n">
        <f aca="false">IF(I57="","",NORMDIST(CEILING(F57,1)-0.5,G57,H57,TRUE()))</f>
        <v>0.326385509284417</v>
      </c>
      <c r="K57" s="10" t="n">
        <f aca="false">IF(I57="","",MAX(0,1-I57-J57))</f>
        <v>0.0524934355573455</v>
      </c>
      <c r="L57" s="0" t="str">
        <f aca="false">IF(I57="","",IF(I57&gt;=0.5+Config!$B$6,"OVER",IF(J57&gt;=0.5+Config!$B$6,"UNDER","—")))</f>
        <v>OVER</v>
      </c>
      <c r="M57" s="0" t="n">
        <v>33.82</v>
      </c>
      <c r="N57" s="0" t="n">
        <v>30.4</v>
      </c>
      <c r="O57" s="10" t="n">
        <v>0.8</v>
      </c>
      <c r="P57" s="10" t="n">
        <v>0.5</v>
      </c>
      <c r="Q57" s="10" t="n">
        <v>0.53</v>
      </c>
      <c r="R57" s="9" t="s">
        <v>690</v>
      </c>
      <c r="S57" s="0" t="n">
        <v>1</v>
      </c>
      <c r="T57" s="0" t="str">
        <f aca="false">INDEX(Calc!$G$2:$G$56,MATCH($W57,Calc!$A$2:$A$56,0))&amp;" / "&amp;INDEX(Calc!$H$2:$H$56,MATCH($W57,Calc!$A$2:$A$56,0))</f>
        <v>Haven / Lotus</v>
      </c>
      <c r="U57" s="0" t="str">
        <f aca="false">TEXT(INDEX(Calc!$J$2:$J$56,MATCH($W57,Calc!$A$2:$A$56,0)),"0.0")&amp;" / "&amp;TEXT(INDEX(Calc!$K$2:$K$56,MATCH($W57,Calc!$A$2:$A$56,0)),"0.0")</f>
        <v>21.3 / 21.3</v>
      </c>
      <c r="V57" s="0" t="str">
        <f aca="false">IFERROR(INDEX(Calc!$AQ$2:$AQ$56,MATCH($W57,Calc!$A$2:$A$56,0)),"")</f>
        <v/>
      </c>
      <c r="W57" s="9" t="s">
        <v>772</v>
      </c>
      <c r="X57" s="9" t="s">
        <v>694</v>
      </c>
      <c r="Y57" s="0" t="str">
        <f aca="false">W57&amp;"|"&amp;X57</f>
        <v>fmxau481di8vuel|VAL · KRÜ vs Gen.G GC|K12</v>
      </c>
      <c r="Z57" s="11" t="n">
        <f aca="false">IFERROR(INDEX(CHOOSE(MATCH($X57,{"K1","K2","K3","K12","K13","H1","H2","H3","H12","H13"},0),Calc!$BA$2:$BA$56,Calc!$BB$2:$BB$56,Calc!$BC$2:$BC$56,Calc!$BD$2:$BD$56,Calc!$BE$2:$BE$56,Calc!$BF$2:$BF$56,Calc!$BG$2:$BG$56,Calc!$BH$2:$BH$56,Calc!$BI$2:$BI$56,Calc!$BJ$2:$BJ$56),MATCH($W57,Calc!$A$2:$A$56,0)),"")</f>
        <v>35.679852457265</v>
      </c>
      <c r="AA57" s="11" t="n">
        <f aca="false">IF(Z57="","",IF(LEFT($X57,1)="H",SQRT(Z57*(IFERROR(INDEX(Calc!$AP$2:$AP$56,MATCH($W57,Calc!$A$2:$A$56,0)),0.5)*Config!$B$5+1-IFERROR(INDEX(Calc!$AP$2:$AP$56,MATCH($W57,Calc!$A$2:$A$56,0)),0.5))),SQRT(Z57*Config!$B$5)))</f>
        <v>7.06765827132092</v>
      </c>
      <c r="AB57" s="10" t="n">
        <f aca="false">IF(OR(F57="",Z57="",N(AA57)&lt;=0),"",1-NORMDIST(FLOOR(F57,1)+0.5,Z57,AA57,TRUE()))</f>
        <v>0.621121055158237</v>
      </c>
      <c r="AC57" s="10" t="n">
        <f aca="false">IF(AB57="","",NORMDIST(CEILING(F57,1)-0.5,Z57,AA57,TRUE()))</f>
        <v>0.326385509284417</v>
      </c>
      <c r="AD57" s="0" t="str">
        <f aca="false">IF(AB57="","",IF(AB57&gt;=0.5+Config!$B$6,"OVER",IF(AC57&gt;=0.5+Config!$B$6,"UNDER","—")))</f>
        <v>OVER</v>
      </c>
      <c r="AE57" s="13" t="n">
        <f aca="false">IFERROR(Z57/G57,"")</f>
        <v>1</v>
      </c>
    </row>
    <row r="58" customFormat="false" ht="15" hidden="false" customHeight="false" outlineLevel="0" collapsed="false">
      <c r="A58" s="0" t="s">
        <v>637</v>
      </c>
      <c r="B58" s="0" t="s">
        <v>660</v>
      </c>
      <c r="C58" s="0" t="s">
        <v>773</v>
      </c>
      <c r="D58" s="0" t="s">
        <v>664</v>
      </c>
      <c r="E58" s="0" t="s">
        <v>693</v>
      </c>
      <c r="F58" s="0" t="n">
        <v>24.5</v>
      </c>
      <c r="G58" s="11" t="n">
        <f aca="false">IFERROR(INDEX(CHOOSE(MATCH($X58,{"K1","K2","K3","K12","K13","H1","H2","H3","H12","H13"},0),Calc!$V$2:$V$56,Calc!$AC$2:$AC$56,Calc!$AJ$2:$AJ$56,Calc!$AL$2:$AL$56,Calc!$AM$2:$AM$56,Calc!$W$2:$W$56,Calc!$AD$2:$AD$56,Calc!$AK$2:$AK$56,Calc!$AN$2:$AN$56,Calc!$AO$2:$AO$56),MATCH($W58,Calc!$A$2:$A$56,0)),"")</f>
        <v>27.1835870607029</v>
      </c>
      <c r="H58" s="11" t="n">
        <f aca="false">IF(G58="","",IF(LEFT($X58,1)="H",SQRT(G58*(IFERROR(INDEX(Calc!$AP$2:$AP$56,MATCH($W58,Calc!$A$2:$A$56,0)),0.5)*Config!$B$5+1-IFERROR(INDEX(Calc!$AP$2:$AP$56,MATCH($W58,Calc!$A$2:$A$56,0)),0.5))),SQRT(G58*Config!$B$5)))</f>
        <v>6.16903735480537</v>
      </c>
      <c r="I58" s="10" t="n">
        <f aca="false">IF(OR(F58="",G58="",N(H58)&lt;=0),"",1-NORMDIST(FLOOR(F58,1)+0.5,G58,H58,TRUE()))</f>
        <v>0.668222069688208</v>
      </c>
      <c r="J58" s="10" t="n">
        <f aca="false">IF(I58="","",NORMDIST(CEILING(F58,1)-0.5,G58,H58,TRUE()))</f>
        <v>0.331777930311792</v>
      </c>
      <c r="K58" s="10" t="n">
        <f aca="false">IF(I58="","",MAX(0,1-I58-J58))</f>
        <v>0</v>
      </c>
      <c r="L58" s="0" t="str">
        <f aca="false">IF(I58="","",IF(I58&gt;=0.5+Config!$B$6,"OVER",IF(J58&gt;=0.5+Config!$B$6,"UNDER","—")))</f>
        <v>OVER</v>
      </c>
      <c r="N58" s="0" t="n">
        <v>24.1</v>
      </c>
      <c r="O58" s="10" t="n">
        <v>0.4</v>
      </c>
      <c r="P58" s="10" t="n">
        <v>0.3</v>
      </c>
      <c r="Q58" s="10" t="n">
        <v>0.47</v>
      </c>
      <c r="R58" s="9" t="s">
        <v>690</v>
      </c>
      <c r="S58" s="0" t="n">
        <v>1</v>
      </c>
      <c r="T58" s="0" t="str">
        <f aca="false">INDEX(Calc!$G$2:$G$56,MATCH($W58,Calc!$A$2:$A$56,0))&amp;" / "&amp;INDEX(Calc!$H$2:$H$56,MATCH($W58,Calc!$A$2:$A$56,0))</f>
        <v>Haven / Lotus</v>
      </c>
      <c r="U58" s="0" t="str">
        <f aca="false">TEXT(INDEX(Calc!$J$2:$J$56,MATCH($W58,Calc!$A$2:$A$56,0)),"0.0")&amp;" / "&amp;TEXT(INDEX(Calc!$K$2:$K$56,MATCH($W58,Calc!$A$2:$A$56,0)),"0.0")</f>
        <v>21.3 / 21.3</v>
      </c>
      <c r="V58" s="0" t="str">
        <f aca="false">IFERROR(INDEX(Calc!$AQ$2:$AQ$56,MATCH($W58,Calc!$A$2:$A$56,0)),"")</f>
        <v/>
      </c>
      <c r="W58" s="9" t="s">
        <v>774</v>
      </c>
      <c r="X58" s="9" t="s">
        <v>694</v>
      </c>
      <c r="Y58" s="0" t="str">
        <f aca="false">W58&amp;"|"&amp;X58</f>
        <v>9l1tvzdv24r15dc|VAL · KRÜ vs Gen.G GC|K12</v>
      </c>
      <c r="Z58" s="11" t="n">
        <f aca="false">IFERROR(INDEX(CHOOSE(MATCH($X58,{"K1","K2","K3","K12","K13","H1","H2","H3","H12","H13"},0),Calc!$BA$2:$BA$56,Calc!$BB$2:$BB$56,Calc!$BC$2:$BC$56,Calc!$BD$2:$BD$56,Calc!$BE$2:$BE$56,Calc!$BF$2:$BF$56,Calc!$BG$2:$BG$56,Calc!$BH$2:$BH$56,Calc!$BI$2:$BI$56,Calc!$BJ$2:$BJ$56),MATCH($W58,Calc!$A$2:$A$56,0)),"")</f>
        <v>27.1835870607029</v>
      </c>
      <c r="AA58" s="11" t="n">
        <f aca="false">IF(Z58="","",IF(LEFT($X58,1)="H",SQRT(Z58*(IFERROR(INDEX(Calc!$AP$2:$AP$56,MATCH($W58,Calc!$A$2:$A$56,0)),0.5)*Config!$B$5+1-IFERROR(INDEX(Calc!$AP$2:$AP$56,MATCH($W58,Calc!$A$2:$A$56,0)),0.5))),SQRT(Z58*Config!$B$5)))</f>
        <v>6.16903735480537</v>
      </c>
      <c r="AB58" s="10" t="n">
        <f aca="false">IF(OR(F58="",Z58="",N(AA58)&lt;=0),"",1-NORMDIST(FLOOR(F58,1)+0.5,Z58,AA58,TRUE()))</f>
        <v>0.668222069688208</v>
      </c>
      <c r="AC58" s="10" t="n">
        <f aca="false">IF(AB58="","",NORMDIST(CEILING(F58,1)-0.5,Z58,AA58,TRUE()))</f>
        <v>0.331777930311792</v>
      </c>
      <c r="AD58" s="0" t="str">
        <f aca="false">IF(AB58="","",IF(AB58&gt;=0.5+Config!$B$6,"OVER",IF(AC58&gt;=0.5+Config!$B$6,"UNDER","—")))</f>
        <v>OVER</v>
      </c>
      <c r="AE58" s="13" t="n">
        <f aca="false">IFERROR(Z58/G58,"")</f>
        <v>1</v>
      </c>
    </row>
    <row r="59" customFormat="false" ht="15" hidden="false" customHeight="false" outlineLevel="0" collapsed="false">
      <c r="A59" s="0" t="s">
        <v>637</v>
      </c>
      <c r="B59" s="0" t="s">
        <v>660</v>
      </c>
      <c r="C59" s="0" t="s">
        <v>775</v>
      </c>
      <c r="D59" s="0" t="s">
        <v>663</v>
      </c>
      <c r="E59" s="0" t="s">
        <v>693</v>
      </c>
      <c r="F59" s="0" t="n">
        <v>28.5</v>
      </c>
      <c r="G59" s="11" t="n">
        <f aca="false">IFERROR(INDEX(CHOOSE(MATCH($X59,{"K1","K2","K3","K12","K13","H1","H2","H3","H12","H13"},0),Calc!$V$2:$V$56,Calc!$AC$2:$AC$56,Calc!$AJ$2:$AJ$56,Calc!$AL$2:$AL$56,Calc!$AM$2:$AM$56,Calc!$W$2:$W$56,Calc!$AD$2:$AD$56,Calc!$AK$2:$AK$56,Calc!$AN$2:$AN$56,Calc!$AO$2:$AO$56),MATCH($W59,Calc!$A$2:$A$56,0)),"")</f>
        <v>26.0634024807528</v>
      </c>
      <c r="H59" s="11" t="n">
        <f aca="false">IF(G59="","",IF(LEFT($X59,1)="H",SQRT(G59*(IFERROR(INDEX(Calc!$AP$2:$AP$56,MATCH($W59,Calc!$A$2:$A$56,0)),0.5)*Config!$B$5+1-IFERROR(INDEX(Calc!$AP$2:$AP$56,MATCH($W59,Calc!$A$2:$A$56,0)),0.5))),SQRT(G59*Config!$B$5)))</f>
        <v>6.04059297362882</v>
      </c>
      <c r="I59" s="10" t="n">
        <f aca="false">IF(OR(F59="",G59="",N(H59)&lt;=0),"",1-NORMDIST(FLOOR(F59,1)+0.5,G59,H59,TRUE()))</f>
        <v>0.34333781146107</v>
      </c>
      <c r="J59" s="10" t="n">
        <f aca="false">IF(I59="","",NORMDIST(CEILING(F59,1)-0.5,G59,H59,TRUE()))</f>
        <v>0.65666218853893</v>
      </c>
      <c r="K59" s="10" t="n">
        <f aca="false">IF(I59="","",MAX(0,1-I59-J59))</f>
        <v>0</v>
      </c>
      <c r="L59" s="0" t="str">
        <f aca="false">IF(I59="","",IF(I59&gt;=0.5+Config!$B$6,"OVER",IF(J59&gt;=0.5+Config!$B$6,"UNDER","—")))</f>
        <v>UNDER</v>
      </c>
      <c r="N59" s="0" t="n">
        <v>22.1</v>
      </c>
      <c r="O59" s="10" t="n">
        <v>0.4</v>
      </c>
      <c r="P59" s="10" t="n">
        <v>0.2</v>
      </c>
      <c r="Q59" s="10" t="n">
        <v>0.13</v>
      </c>
      <c r="R59" s="9" t="s">
        <v>690</v>
      </c>
      <c r="S59" s="0" t="n">
        <v>-1</v>
      </c>
      <c r="T59" s="0" t="str">
        <f aca="false">INDEX(Calc!$G$2:$G$56,MATCH($W59,Calc!$A$2:$A$56,0))&amp;" / "&amp;INDEX(Calc!$H$2:$H$56,MATCH($W59,Calc!$A$2:$A$56,0))</f>
        <v>Haven / Lotus</v>
      </c>
      <c r="U59" s="0" t="str">
        <f aca="false">TEXT(INDEX(Calc!$J$2:$J$56,MATCH($W59,Calc!$A$2:$A$56,0)),"0.0")&amp;" / "&amp;TEXT(INDEX(Calc!$K$2:$K$56,MATCH($W59,Calc!$A$2:$A$56,0)),"0.0")</f>
        <v>21.3 / 21.3</v>
      </c>
      <c r="V59" s="0" t="str">
        <f aca="false">IFERROR(INDEX(Calc!$AQ$2:$AQ$56,MATCH($W59,Calc!$A$2:$A$56,0)),"")</f>
        <v/>
      </c>
      <c r="W59" s="9" t="s">
        <v>776</v>
      </c>
      <c r="X59" s="9" t="s">
        <v>694</v>
      </c>
      <c r="Y59" s="0" t="str">
        <f aca="false">W59&amp;"|"&amp;X59</f>
        <v>5nhm6xv9z7vjbpb|VAL · KRÜ vs Gen.G GC|K12</v>
      </c>
      <c r="Z59" s="11" t="n">
        <f aca="false">IFERROR(INDEX(CHOOSE(MATCH($X59,{"K1","K2","K3","K12","K13","H1","H2","H3","H12","H13"},0),Calc!$BA$2:$BA$56,Calc!$BB$2:$BB$56,Calc!$BC$2:$BC$56,Calc!$BD$2:$BD$56,Calc!$BE$2:$BE$56,Calc!$BF$2:$BF$56,Calc!$BG$2:$BG$56,Calc!$BH$2:$BH$56,Calc!$BI$2:$BI$56,Calc!$BJ$2:$BJ$56),MATCH($W59,Calc!$A$2:$A$56,0)),"")</f>
        <v>26.0634024807528</v>
      </c>
      <c r="AA59" s="11" t="n">
        <f aca="false">IF(Z59="","",IF(LEFT($X59,1)="H",SQRT(Z59*(IFERROR(INDEX(Calc!$AP$2:$AP$56,MATCH($W59,Calc!$A$2:$A$56,0)),0.5)*Config!$B$5+1-IFERROR(INDEX(Calc!$AP$2:$AP$56,MATCH($W59,Calc!$A$2:$A$56,0)),0.5))),SQRT(Z59*Config!$B$5)))</f>
        <v>6.04059297362882</v>
      </c>
      <c r="AB59" s="10" t="n">
        <f aca="false">IF(OR(F59="",Z59="",N(AA59)&lt;=0),"",1-NORMDIST(FLOOR(F59,1)+0.5,Z59,AA59,TRUE()))</f>
        <v>0.34333781146107</v>
      </c>
      <c r="AC59" s="10" t="n">
        <f aca="false">IF(AB59="","",NORMDIST(CEILING(F59,1)-0.5,Z59,AA59,TRUE()))</f>
        <v>0.65666218853893</v>
      </c>
      <c r="AD59" s="0" t="str">
        <f aca="false">IF(AB59="","",IF(AB59&gt;=0.5+Config!$B$6,"OVER",IF(AC59&gt;=0.5+Config!$B$6,"UNDER","—")))</f>
        <v>UNDER</v>
      </c>
      <c r="AE59" s="13" t="n">
        <f aca="false">IFERROR(Z59/G59,"")</f>
        <v>1</v>
      </c>
    </row>
    <row r="60" customFormat="false" ht="15" hidden="false" customHeight="false" outlineLevel="0" collapsed="false">
      <c r="A60" s="0" t="s">
        <v>637</v>
      </c>
      <c r="B60" s="0" t="s">
        <v>660</v>
      </c>
      <c r="C60" s="0" t="s">
        <v>777</v>
      </c>
      <c r="D60" s="0" t="s">
        <v>663</v>
      </c>
      <c r="E60" s="0" t="s">
        <v>693</v>
      </c>
      <c r="F60" s="0" t="n">
        <v>26.5</v>
      </c>
      <c r="G60" s="11" t="n">
        <f aca="false">IFERROR(INDEX(CHOOSE(MATCH($X60,{"K1","K2","K3","K12","K13","H1","H2","H3","H12","H13"},0),Calc!$V$2:$V$56,Calc!$AC$2:$AC$56,Calc!$AJ$2:$AJ$56,Calc!$AL$2:$AL$56,Calc!$AM$2:$AM$56,Calc!$W$2:$W$56,Calc!$AD$2:$AD$56,Calc!$AK$2:$AK$56,Calc!$AN$2:$AN$56,Calc!$AO$2:$AO$56),MATCH($W60,Calc!$A$2:$A$56,0)),"")</f>
        <v>26.9009968268359</v>
      </c>
      <c r="H60" s="11" t="n">
        <f aca="false">IF(G60="","",IF(LEFT($X60,1)="H",SQRT(G60*(IFERROR(INDEX(Calc!$AP$2:$AP$56,MATCH($W60,Calc!$A$2:$A$56,0)),0.5)*Config!$B$5+1-IFERROR(INDEX(Calc!$AP$2:$AP$56,MATCH($W60,Calc!$A$2:$A$56,0)),0.5))),SQRT(G60*Config!$B$5)))</f>
        <v>6.13688810046022</v>
      </c>
      <c r="I60" s="10" t="n">
        <f aca="false">IF(OR(F60="",G60="",N(H60)&lt;=0),"",1-NORMDIST(FLOOR(F60,1)+0.5,G60,H60,TRUE()))</f>
        <v>0.526049167154249</v>
      </c>
      <c r="J60" s="10" t="n">
        <f aca="false">IF(I60="","",NORMDIST(CEILING(F60,1)-0.5,G60,H60,TRUE()))</f>
        <v>0.473950832845751</v>
      </c>
      <c r="K60" s="10" t="n">
        <f aca="false">IF(I60="","",MAX(0,1-I60-J60))</f>
        <v>0</v>
      </c>
      <c r="L60" s="0" t="str">
        <f aca="false">IF(I60="","",IF(I60&gt;=0.5+Config!$B$6,"OVER",IF(J60&gt;=0.5+Config!$B$6,"UNDER","—")))</f>
        <v>—</v>
      </c>
      <c r="M60" s="0" t="n">
        <v>27.89</v>
      </c>
      <c r="N60" s="0" t="n">
        <v>20.4</v>
      </c>
      <c r="O60" s="10" t="n">
        <v>0.2</v>
      </c>
      <c r="P60" s="10" t="n">
        <v>0.2</v>
      </c>
      <c r="Q60" s="10" t="n">
        <v>0.27</v>
      </c>
      <c r="R60" s="9" t="s">
        <v>690</v>
      </c>
      <c r="S60" s="0" t="n">
        <v>1</v>
      </c>
      <c r="T60" s="0" t="str">
        <f aca="false">INDEX(Calc!$G$2:$G$56,MATCH($W60,Calc!$A$2:$A$56,0))&amp;" / "&amp;INDEX(Calc!$H$2:$H$56,MATCH($W60,Calc!$A$2:$A$56,0))</f>
        <v>Haven / Lotus</v>
      </c>
      <c r="U60" s="0" t="str">
        <f aca="false">TEXT(INDEX(Calc!$J$2:$J$56,MATCH($W60,Calc!$A$2:$A$56,0)),"0.0")&amp;" / "&amp;TEXT(INDEX(Calc!$K$2:$K$56,MATCH($W60,Calc!$A$2:$A$56,0)),"0.0")</f>
        <v>21.3 / 21.3</v>
      </c>
      <c r="V60" s="0" t="str">
        <f aca="false">IFERROR(INDEX(Calc!$AQ$2:$AQ$56,MATCH($W60,Calc!$A$2:$A$56,0)),"")</f>
        <v/>
      </c>
      <c r="W60" s="9" t="s">
        <v>778</v>
      </c>
      <c r="X60" s="9" t="s">
        <v>694</v>
      </c>
      <c r="Y60" s="0" t="str">
        <f aca="false">W60&amp;"|"&amp;X60</f>
        <v>mvm848ch70u0hhn|VAL · KRÜ vs Gen.G GC|K12</v>
      </c>
      <c r="Z60" s="11" t="n">
        <f aca="false">IFERROR(INDEX(CHOOSE(MATCH($X60,{"K1","K2","K3","K12","K13","H1","H2","H3","H12","H13"},0),Calc!$BA$2:$BA$56,Calc!$BB$2:$BB$56,Calc!$BC$2:$BC$56,Calc!$BD$2:$BD$56,Calc!$BE$2:$BE$56,Calc!$BF$2:$BF$56,Calc!$BG$2:$BG$56,Calc!$BH$2:$BH$56,Calc!$BI$2:$BI$56,Calc!$BJ$2:$BJ$56),MATCH($W60,Calc!$A$2:$A$56,0)),"")</f>
        <v>26.9009968268359</v>
      </c>
      <c r="AA60" s="11" t="n">
        <f aca="false">IF(Z60="","",IF(LEFT($X60,1)="H",SQRT(Z60*(IFERROR(INDEX(Calc!$AP$2:$AP$56,MATCH($W60,Calc!$A$2:$A$56,0)),0.5)*Config!$B$5+1-IFERROR(INDEX(Calc!$AP$2:$AP$56,MATCH($W60,Calc!$A$2:$A$56,0)),0.5))),SQRT(Z60*Config!$B$5)))</f>
        <v>6.13688810046022</v>
      </c>
      <c r="AB60" s="10" t="n">
        <f aca="false">IF(OR(F60="",Z60="",N(AA60)&lt;=0),"",1-NORMDIST(FLOOR(F60,1)+0.5,Z60,AA60,TRUE()))</f>
        <v>0.526049167154249</v>
      </c>
      <c r="AC60" s="10" t="n">
        <f aca="false">IF(AB60="","",NORMDIST(CEILING(F60,1)-0.5,Z60,AA60,TRUE()))</f>
        <v>0.473950832845751</v>
      </c>
      <c r="AD60" s="0" t="str">
        <f aca="false">IF(AB60="","",IF(AB60&gt;=0.5+Config!$B$6,"OVER",IF(AC60&gt;=0.5+Config!$B$6,"UNDER","—")))</f>
        <v>—</v>
      </c>
      <c r="AE60" s="13" t="n">
        <f aca="false">IFERROR(Z60/G60,"")</f>
        <v>1</v>
      </c>
    </row>
    <row r="61" customFormat="false" ht="15" hidden="false" customHeight="false" outlineLevel="0" collapsed="false">
      <c r="A61" s="0" t="s">
        <v>637</v>
      </c>
      <c r="B61" s="0" t="s">
        <v>660</v>
      </c>
      <c r="C61" s="0" t="s">
        <v>779</v>
      </c>
      <c r="D61" s="0" t="s">
        <v>663</v>
      </c>
      <c r="E61" s="0" t="s">
        <v>693</v>
      </c>
      <c r="F61" s="0" t="n">
        <v>35.5</v>
      </c>
      <c r="G61" s="11" t="n">
        <f aca="false">IFERROR(INDEX(CHOOSE(MATCH($X61,{"K1","K2","K3","K12","K13","H1","H2","H3","H12","H13"},0),Calc!$V$2:$V$56,Calc!$AC$2:$AC$56,Calc!$AJ$2:$AJ$56,Calc!$AL$2:$AL$56,Calc!$AM$2:$AM$56,Calc!$W$2:$W$56,Calc!$AD$2:$AD$56,Calc!$AK$2:$AK$56,Calc!$AN$2:$AN$56,Calc!$AO$2:$AO$56),MATCH($W61,Calc!$A$2:$A$56,0)),"")</f>
        <v>36.563755698422</v>
      </c>
      <c r="H61" s="11" t="n">
        <f aca="false">IF(G61="","",IF(LEFT($X61,1)="H",SQRT(G61*(IFERROR(INDEX(Calc!$AP$2:$AP$56,MATCH($W61,Calc!$A$2:$A$56,0)),0.5)*Config!$B$5+1-IFERROR(INDEX(Calc!$AP$2:$AP$56,MATCH($W61,Calc!$A$2:$A$56,0)),0.5))),SQRT(G61*Config!$B$5)))</f>
        <v>7.15466686700302</v>
      </c>
      <c r="I61" s="10" t="n">
        <f aca="false">IF(OR(F61="",G61="",N(H61)&lt;=0),"",1-NORMDIST(FLOOR(F61,1)+0.5,G61,H61,TRUE()))</f>
        <v>0.559096918800539</v>
      </c>
      <c r="J61" s="10" t="n">
        <f aca="false">IF(I61="","",NORMDIST(CEILING(F61,1)-0.5,G61,H61,TRUE()))</f>
        <v>0.440903081199461</v>
      </c>
      <c r="K61" s="10" t="n">
        <f aca="false">IF(I61="","",MAX(0,1-I61-J61))</f>
        <v>0</v>
      </c>
      <c r="L61" s="0" t="str">
        <f aca="false">IF(I61="","",IF(I61&gt;=0.5+Config!$B$6,"OVER",IF(J61&gt;=0.5+Config!$B$6,"UNDER","—")))</f>
        <v>OVER</v>
      </c>
      <c r="N61" s="0" t="n">
        <v>29</v>
      </c>
      <c r="O61" s="10" t="n">
        <v>0.6</v>
      </c>
      <c r="P61" s="10" t="n">
        <v>0.4</v>
      </c>
      <c r="Q61" s="10" t="n">
        <v>0.47</v>
      </c>
      <c r="R61" s="9" t="s">
        <v>690</v>
      </c>
      <c r="S61" s="0" t="n">
        <v>2</v>
      </c>
      <c r="T61" s="0" t="str">
        <f aca="false">INDEX(Calc!$G$2:$G$56,MATCH($W61,Calc!$A$2:$A$56,0))&amp;" / "&amp;INDEX(Calc!$H$2:$H$56,MATCH($W61,Calc!$A$2:$A$56,0))</f>
        <v>Haven / Lotus</v>
      </c>
      <c r="U61" s="0" t="str">
        <f aca="false">TEXT(INDEX(Calc!$J$2:$J$56,MATCH($W61,Calc!$A$2:$A$56,0)),"0.0")&amp;" / "&amp;TEXT(INDEX(Calc!$K$2:$K$56,MATCH($W61,Calc!$A$2:$A$56,0)),"0.0")</f>
        <v>21.3 / 21.3</v>
      </c>
      <c r="V61" s="0" t="str">
        <f aca="false">IFERROR(INDEX(Calc!$AQ$2:$AQ$56,MATCH($W61,Calc!$A$2:$A$56,0)),"")</f>
        <v/>
      </c>
      <c r="W61" s="9" t="s">
        <v>780</v>
      </c>
      <c r="X61" s="9" t="s">
        <v>694</v>
      </c>
      <c r="Y61" s="0" t="str">
        <f aca="false">W61&amp;"|"&amp;X61</f>
        <v>gwvm5hplm55faie|VAL · KRÜ vs Gen.G GC|K12</v>
      </c>
      <c r="Z61" s="11" t="n">
        <f aca="false">IFERROR(INDEX(CHOOSE(MATCH($X61,{"K1","K2","K3","K12","K13","H1","H2","H3","H12","H13"},0),Calc!$BA$2:$BA$56,Calc!$BB$2:$BB$56,Calc!$BC$2:$BC$56,Calc!$BD$2:$BD$56,Calc!$BE$2:$BE$56,Calc!$BF$2:$BF$56,Calc!$BG$2:$BG$56,Calc!$BH$2:$BH$56,Calc!$BI$2:$BI$56,Calc!$BJ$2:$BJ$56),MATCH($W61,Calc!$A$2:$A$56,0)),"")</f>
        <v>36.563755698422</v>
      </c>
      <c r="AA61" s="11" t="n">
        <f aca="false">IF(Z61="","",IF(LEFT($X61,1)="H",SQRT(Z61*(IFERROR(INDEX(Calc!$AP$2:$AP$56,MATCH($W61,Calc!$A$2:$A$56,0)),0.5)*Config!$B$5+1-IFERROR(INDEX(Calc!$AP$2:$AP$56,MATCH($W61,Calc!$A$2:$A$56,0)),0.5))),SQRT(Z61*Config!$B$5)))</f>
        <v>7.15466686700302</v>
      </c>
      <c r="AB61" s="10" t="n">
        <f aca="false">IF(OR(F61="",Z61="",N(AA61)&lt;=0),"",1-NORMDIST(FLOOR(F61,1)+0.5,Z61,AA61,TRUE()))</f>
        <v>0.559096918800539</v>
      </c>
      <c r="AC61" s="10" t="n">
        <f aca="false">IF(AB61="","",NORMDIST(CEILING(F61,1)-0.5,Z61,AA61,TRUE()))</f>
        <v>0.440903081199461</v>
      </c>
      <c r="AD61" s="0" t="str">
        <f aca="false">IF(AB61="","",IF(AB61&gt;=0.5+Config!$B$6,"OVER",IF(AC61&gt;=0.5+Config!$B$6,"UNDER","—")))</f>
        <v>OVER</v>
      </c>
      <c r="AE61" s="13" t="n">
        <f aca="false">IFERROR(Z61/G61,"")</f>
        <v>1</v>
      </c>
    </row>
    <row r="62" customFormat="false" ht="15" hidden="false" customHeight="false" outlineLevel="0" collapsed="false">
      <c r="A62" s="0" t="s">
        <v>637</v>
      </c>
      <c r="B62" s="0" t="s">
        <v>660</v>
      </c>
      <c r="C62" s="0" t="s">
        <v>781</v>
      </c>
      <c r="D62" s="0" t="s">
        <v>663</v>
      </c>
      <c r="E62" s="0" t="s">
        <v>693</v>
      </c>
      <c r="F62" s="0" t="n">
        <v>24.5</v>
      </c>
      <c r="G62" s="11" t="n">
        <f aca="false">IFERROR(INDEX(CHOOSE(MATCH($X62,{"K1","K2","K3","K12","K13","H1","H2","H3","H12","H13"},0),Calc!$V$2:$V$56,Calc!$AC$2:$AC$56,Calc!$AJ$2:$AJ$56,Calc!$AL$2:$AL$56,Calc!$AM$2:$AM$56,Calc!$W$2:$W$56,Calc!$AD$2:$AD$56,Calc!$AK$2:$AK$56,Calc!$AN$2:$AN$56,Calc!$AO$2:$AO$56),MATCH($W62,Calc!$A$2:$A$56,0)),"")</f>
        <v>26.1842307692308</v>
      </c>
      <c r="H62" s="11" t="n">
        <f aca="false">IF(G62="","",IF(LEFT($X62,1)="H",SQRT(G62*(IFERROR(INDEX(Calc!$AP$2:$AP$56,MATCH($W62,Calc!$A$2:$A$56,0)),0.5)*Config!$B$5+1-IFERROR(INDEX(Calc!$AP$2:$AP$56,MATCH($W62,Calc!$A$2:$A$56,0)),0.5))),SQRT(G62*Config!$B$5)))</f>
        <v>6.05457868698748</v>
      </c>
      <c r="I62" s="10" t="n">
        <f aca="false">IF(OR(F62="",G62="",N(H62)&lt;=0),"",1-NORMDIST(FLOOR(F62,1)+0.5,G62,H62,TRUE()))</f>
        <v>0.609560882520924</v>
      </c>
      <c r="J62" s="10" t="n">
        <f aca="false">IF(I62="","",NORMDIST(CEILING(F62,1)-0.5,G62,H62,TRUE()))</f>
        <v>0.390439117479076</v>
      </c>
      <c r="K62" s="10" t="n">
        <f aca="false">IF(I62="","",MAX(0,1-I62-J62))</f>
        <v>0</v>
      </c>
      <c r="L62" s="0" t="str">
        <f aca="false">IF(I62="","",IF(I62&gt;=0.5+Config!$B$6,"OVER",IF(J62&gt;=0.5+Config!$B$6,"UNDER","—")))</f>
        <v>OVER</v>
      </c>
      <c r="M62" s="0" t="n">
        <v>25.72</v>
      </c>
      <c r="N62" s="0" t="n">
        <v>21.1</v>
      </c>
      <c r="O62" s="10" t="n">
        <v>0.8</v>
      </c>
      <c r="P62" s="10" t="n">
        <v>0.5</v>
      </c>
      <c r="Q62" s="10" t="n">
        <v>0.47</v>
      </c>
      <c r="R62" s="9" t="s">
        <v>690</v>
      </c>
      <c r="S62" s="0" t="n">
        <v>4</v>
      </c>
      <c r="T62" s="0" t="str">
        <f aca="false">INDEX(Calc!$G$2:$G$56,MATCH($W62,Calc!$A$2:$A$56,0))&amp;" / "&amp;INDEX(Calc!$H$2:$H$56,MATCH($W62,Calc!$A$2:$A$56,0))</f>
        <v>Haven / Lotus</v>
      </c>
      <c r="U62" s="0" t="str">
        <f aca="false">TEXT(INDEX(Calc!$J$2:$J$56,MATCH($W62,Calc!$A$2:$A$56,0)),"0.0")&amp;" / "&amp;TEXT(INDEX(Calc!$K$2:$K$56,MATCH($W62,Calc!$A$2:$A$56,0)),"0.0")</f>
        <v>21.3 / 21.3</v>
      </c>
      <c r="V62" s="0" t="str">
        <f aca="false">IFERROR(INDEX(Calc!$AQ$2:$AQ$56,MATCH($W62,Calc!$A$2:$A$56,0)),"")</f>
        <v/>
      </c>
      <c r="W62" s="9" t="s">
        <v>782</v>
      </c>
      <c r="X62" s="9" t="s">
        <v>694</v>
      </c>
      <c r="Y62" s="0" t="str">
        <f aca="false">W62&amp;"|"&amp;X62</f>
        <v>gbwt5ar5z4j6gwa|VAL · KRÜ vs Gen.G GC|K12</v>
      </c>
      <c r="Z62" s="11" t="n">
        <f aca="false">IFERROR(INDEX(CHOOSE(MATCH($X62,{"K1","K2","K3","K12","K13","H1","H2","H3","H12","H13"},0),Calc!$BA$2:$BA$56,Calc!$BB$2:$BB$56,Calc!$BC$2:$BC$56,Calc!$BD$2:$BD$56,Calc!$BE$2:$BE$56,Calc!$BF$2:$BF$56,Calc!$BG$2:$BG$56,Calc!$BH$2:$BH$56,Calc!$BI$2:$BI$56,Calc!$BJ$2:$BJ$56),MATCH($W62,Calc!$A$2:$A$56,0)),"")</f>
        <v>26.1842307692308</v>
      </c>
      <c r="AA62" s="11" t="n">
        <f aca="false">IF(Z62="","",IF(LEFT($X62,1)="H",SQRT(Z62*(IFERROR(INDEX(Calc!$AP$2:$AP$56,MATCH($W62,Calc!$A$2:$A$56,0)),0.5)*Config!$B$5+1-IFERROR(INDEX(Calc!$AP$2:$AP$56,MATCH($W62,Calc!$A$2:$A$56,0)),0.5))),SQRT(Z62*Config!$B$5)))</f>
        <v>6.05457868698748</v>
      </c>
      <c r="AB62" s="10" t="n">
        <f aca="false">IF(OR(F62="",Z62="",N(AA62)&lt;=0),"",1-NORMDIST(FLOOR(F62,1)+0.5,Z62,AA62,TRUE()))</f>
        <v>0.609560882520924</v>
      </c>
      <c r="AC62" s="10" t="n">
        <f aca="false">IF(AB62="","",NORMDIST(CEILING(F62,1)-0.5,Z62,AA62,TRUE()))</f>
        <v>0.390439117479076</v>
      </c>
      <c r="AD62" s="0" t="str">
        <f aca="false">IF(AB62="","",IF(AB62&gt;=0.5+Config!$B$6,"OVER",IF(AC62&gt;=0.5+Config!$B$6,"UNDER","—")))</f>
        <v>OVER</v>
      </c>
      <c r="AE62" s="13" t="n">
        <f aca="false">IFERROR(Z62/G62,"")</f>
        <v>1</v>
      </c>
    </row>
    <row r="63" customFormat="false" ht="15" hidden="false" customHeight="false" outlineLevel="0" collapsed="false">
      <c r="A63" s="0" t="s">
        <v>637</v>
      </c>
      <c r="B63" s="0" t="s">
        <v>660</v>
      </c>
      <c r="C63" s="0" t="s">
        <v>783</v>
      </c>
      <c r="D63" s="0" t="s">
        <v>663</v>
      </c>
      <c r="E63" s="0" t="s">
        <v>693</v>
      </c>
      <c r="F63" s="0" t="n">
        <v>34.5</v>
      </c>
      <c r="G63" s="11" t="n">
        <f aca="false">IFERROR(INDEX(CHOOSE(MATCH($X63,{"K1","K2","K3","K12","K13","H1","H2","H3","H12","H13"},0),Calc!$V$2:$V$56,Calc!$AC$2:$AC$56,Calc!$AJ$2:$AJ$56,Calc!$AL$2:$AL$56,Calc!$AM$2:$AM$56,Calc!$W$2:$W$56,Calc!$AD$2:$AD$56,Calc!$AK$2:$AK$56,Calc!$AN$2:$AN$56,Calc!$AO$2:$AO$56),MATCH($W63,Calc!$A$2:$A$56,0)),"")</f>
        <v>31.0373019257222</v>
      </c>
      <c r="H63" s="11" t="n">
        <f aca="false">IF(G63="","",IF(LEFT($X63,1)="H",SQRT(G63*(IFERROR(INDEX(Calc!$AP$2:$AP$56,MATCH($W63,Calc!$A$2:$A$56,0)),0.5)*Config!$B$5+1-IFERROR(INDEX(Calc!$AP$2:$AP$56,MATCH($W63,Calc!$A$2:$A$56,0)),0.5))),SQRT(G63*Config!$B$5)))</f>
        <v>6.59182999598829</v>
      </c>
      <c r="I63" s="10" t="n">
        <f aca="false">IF(OR(F63="",G63="",N(H63)&lt;=0),"",1-NORMDIST(FLOOR(F63,1)+0.5,G63,H63,TRUE()))</f>
        <v>0.299686813227923</v>
      </c>
      <c r="J63" s="10" t="n">
        <f aca="false">IF(I63="","",NORMDIST(CEILING(F63,1)-0.5,G63,H63,TRUE()))</f>
        <v>0.700313186772077</v>
      </c>
      <c r="K63" s="10" t="n">
        <f aca="false">IF(I63="","",MAX(0,1-I63-J63))</f>
        <v>0</v>
      </c>
      <c r="L63" s="0" t="str">
        <f aca="false">IF(I63="","",IF(I63&gt;=0.5+Config!$B$6,"OVER",IF(J63&gt;=0.5+Config!$B$6,"UNDER","—")))</f>
        <v>UNDER</v>
      </c>
      <c r="M63" s="0" t="n">
        <v>34.4</v>
      </c>
      <c r="N63" s="0" t="n">
        <v>26.7</v>
      </c>
      <c r="O63" s="10" t="n">
        <v>0.2</v>
      </c>
      <c r="P63" s="10" t="n">
        <v>0.1</v>
      </c>
      <c r="Q63" s="10" t="n">
        <v>0.27</v>
      </c>
      <c r="R63" s="9" t="s">
        <v>690</v>
      </c>
      <c r="S63" s="0" t="n">
        <v>-3</v>
      </c>
      <c r="T63" s="0" t="str">
        <f aca="false">INDEX(Calc!$G$2:$G$56,MATCH($W63,Calc!$A$2:$A$56,0))&amp;" / "&amp;INDEX(Calc!$H$2:$H$56,MATCH($W63,Calc!$A$2:$A$56,0))</f>
        <v>Haven / Lotus</v>
      </c>
      <c r="U63" s="0" t="str">
        <f aca="false">TEXT(INDEX(Calc!$J$2:$J$56,MATCH($W63,Calc!$A$2:$A$56,0)),"0.0")&amp;" / "&amp;TEXT(INDEX(Calc!$K$2:$K$56,MATCH($W63,Calc!$A$2:$A$56,0)),"0.0")</f>
        <v>21.3 / 21.3</v>
      </c>
      <c r="V63" s="0" t="str">
        <f aca="false">IFERROR(INDEX(Calc!$AQ$2:$AQ$56,MATCH($W63,Calc!$A$2:$A$56,0)),"")</f>
        <v/>
      </c>
      <c r="W63" s="9" t="s">
        <v>784</v>
      </c>
      <c r="X63" s="9" t="s">
        <v>694</v>
      </c>
      <c r="Y63" s="0" t="str">
        <f aca="false">W63&amp;"|"&amp;X63</f>
        <v>lx0a4p8zn6heucd|VAL · KRÜ vs Gen.G GC|K12</v>
      </c>
      <c r="Z63" s="11" t="n">
        <f aca="false">IFERROR(INDEX(CHOOSE(MATCH($X63,{"K1","K2","K3","K12","K13","H1","H2","H3","H12","H13"},0),Calc!$BA$2:$BA$56,Calc!$BB$2:$BB$56,Calc!$BC$2:$BC$56,Calc!$BD$2:$BD$56,Calc!$BE$2:$BE$56,Calc!$BF$2:$BF$56,Calc!$BG$2:$BG$56,Calc!$BH$2:$BH$56,Calc!$BI$2:$BI$56,Calc!$BJ$2:$BJ$56),MATCH($W63,Calc!$A$2:$A$56,0)),"")</f>
        <v>31.0373019257222</v>
      </c>
      <c r="AA63" s="11" t="n">
        <f aca="false">IF(Z63="","",IF(LEFT($X63,1)="H",SQRT(Z63*(IFERROR(INDEX(Calc!$AP$2:$AP$56,MATCH($W63,Calc!$A$2:$A$56,0)),0.5)*Config!$B$5+1-IFERROR(INDEX(Calc!$AP$2:$AP$56,MATCH($W63,Calc!$A$2:$A$56,0)),0.5))),SQRT(Z63*Config!$B$5)))</f>
        <v>6.59182999598829</v>
      </c>
      <c r="AB63" s="10" t="n">
        <f aca="false">IF(OR(F63="",Z63="",N(AA63)&lt;=0),"",1-NORMDIST(FLOOR(F63,1)+0.5,Z63,AA63,TRUE()))</f>
        <v>0.299686813227923</v>
      </c>
      <c r="AC63" s="10" t="n">
        <f aca="false">IF(AB63="","",NORMDIST(CEILING(F63,1)-0.5,Z63,AA63,TRUE()))</f>
        <v>0.700313186772077</v>
      </c>
      <c r="AD63" s="0" t="str">
        <f aca="false">IF(AB63="","",IF(AB63&gt;=0.5+Config!$B$6,"OVER",IF(AC63&gt;=0.5+Config!$B$6,"UNDER","—")))</f>
        <v>UNDER</v>
      </c>
      <c r="AE63" s="13" t="n">
        <f aca="false">IFERROR(Z63/G63,"")</f>
        <v>1</v>
      </c>
    </row>
    <row r="64" customFormat="false" ht="15" hidden="false" customHeight="false" outlineLevel="0" collapsed="false">
      <c r="A64" s="0" t="s">
        <v>637</v>
      </c>
      <c r="B64" s="0" t="s">
        <v>636</v>
      </c>
      <c r="C64" s="0" t="s">
        <v>785</v>
      </c>
      <c r="D64" s="0" t="s">
        <v>644</v>
      </c>
      <c r="E64" s="0" t="s">
        <v>693</v>
      </c>
      <c r="F64" s="0" t="n">
        <v>26.5</v>
      </c>
      <c r="G64" s="11" t="n">
        <f aca="false">IFERROR(INDEX(CHOOSE(MATCH($X64,{"K1","K2","K3","K12","K13","H1","H2","H3","H12","H13"},0),Calc!$V$2:$V$56,Calc!$AC$2:$AC$56,Calc!$AJ$2:$AJ$56,Calc!$AL$2:$AL$56,Calc!$AM$2:$AM$56,Calc!$W$2:$W$56,Calc!$AD$2:$AD$56,Calc!$AK$2:$AK$56,Calc!$AN$2:$AN$56,Calc!$AO$2:$AO$56),MATCH($W64,Calc!$A$2:$A$56,0)),"")</f>
        <v>23.5004227140784</v>
      </c>
      <c r="H64" s="11" t="n">
        <f aca="false">IF(G64="","",IF(LEFT($X64,1)="H",SQRT(G64*(IFERROR(INDEX(Calc!$AP$2:$AP$56,MATCH($W64,Calc!$A$2:$A$56,0)),0.5)*Config!$B$5+1-IFERROR(INDEX(Calc!$AP$2:$AP$56,MATCH($W64,Calc!$A$2:$A$56,0)),0.5))),SQRT(G64*Config!$B$5)))</f>
        <v>5.73590374742374</v>
      </c>
      <c r="I64" s="10" t="n">
        <f aca="false">IF(OR(F64="",G64="",N(H64)&lt;=0),"",1-NORMDIST(FLOOR(F64,1)+0.5,G64,H64,TRUE()))</f>
        <v>0.300505347967398</v>
      </c>
      <c r="J64" s="10" t="n">
        <f aca="false">IF(I64="","",NORMDIST(CEILING(F64,1)-0.5,G64,H64,TRUE()))</f>
        <v>0.699494652032602</v>
      </c>
      <c r="K64" s="10" t="n">
        <f aca="false">IF(I64="","",MAX(0,1-I64-J64))</f>
        <v>0</v>
      </c>
      <c r="L64" s="0" t="str">
        <f aca="false">IF(I64="","",IF(I64&gt;=0.5+Config!$B$6,"OVER",IF(J64&gt;=0.5+Config!$B$6,"UNDER","—")))</f>
        <v>UNDER</v>
      </c>
      <c r="N64" s="0" t="n">
        <v>23.7</v>
      </c>
      <c r="O64" s="10" t="n">
        <v>0.2</v>
      </c>
      <c r="P64" s="10" t="n">
        <v>0.4</v>
      </c>
      <c r="Q64" s="10"/>
      <c r="R64" s="9" t="s">
        <v>690</v>
      </c>
      <c r="S64" s="0" t="n">
        <v>1</v>
      </c>
      <c r="T64" s="0" t="str">
        <f aca="false">INDEX(Calc!$G$2:$G$56,MATCH($W64,Calc!$A$2:$A$56,0))&amp;" / "&amp;INDEX(Calc!$H$2:$H$56,MATCH($W64,Calc!$A$2:$A$56,0))</f>
        <v>Haven / Sunset</v>
      </c>
      <c r="U64" s="0" t="str">
        <f aca="false">TEXT(INDEX(Calc!$J$2:$J$56,MATCH($W64,Calc!$A$2:$A$56,0)),"0.0")&amp;" / "&amp;TEXT(INDEX(Calc!$K$2:$K$56,MATCH($W64,Calc!$A$2:$A$56,0)),"0.0")</f>
        <v>21.3 / 21.3</v>
      </c>
      <c r="V64" s="0" t="str">
        <f aca="false">IFERROR(INDEX(Calc!$AQ$2:$AQ$56,MATCH($W64,Calc!$A$2:$A$56,0)),"")</f>
        <v/>
      </c>
      <c r="W64" s="9" t="s">
        <v>786</v>
      </c>
      <c r="X64" s="9" t="s">
        <v>694</v>
      </c>
      <c r="Y64" s="0" t="str">
        <f aca="false">W64&amp;"|"&amp;X64</f>
        <v>7bx7bre77fcpsbi|VAL · TEC vs UR|K12</v>
      </c>
      <c r="Z64" s="11" t="n">
        <f aca="false">IFERROR(INDEX(CHOOSE(MATCH($X64,{"K1","K2","K3","K12","K13","H1","H2","H3","H12","H13"},0),Calc!$BA$2:$BA$56,Calc!$BB$2:$BB$56,Calc!$BC$2:$BC$56,Calc!$BD$2:$BD$56,Calc!$BE$2:$BE$56,Calc!$BF$2:$BF$56,Calc!$BG$2:$BG$56,Calc!$BH$2:$BH$56,Calc!$BI$2:$BI$56,Calc!$BJ$2:$BJ$56),MATCH($W64,Calc!$A$2:$A$56,0)),"")</f>
        <v>23.5004227140784</v>
      </c>
      <c r="AA64" s="11" t="n">
        <f aca="false">IF(Z64="","",IF(LEFT($X64,1)="H",SQRT(Z64*(IFERROR(INDEX(Calc!$AP$2:$AP$56,MATCH($W64,Calc!$A$2:$A$56,0)),0.5)*Config!$B$5+1-IFERROR(INDEX(Calc!$AP$2:$AP$56,MATCH($W64,Calc!$A$2:$A$56,0)),0.5))),SQRT(Z64*Config!$B$5)))</f>
        <v>5.73590374742374</v>
      </c>
      <c r="AB64" s="10" t="n">
        <f aca="false">IF(OR(F64="",Z64="",N(AA64)&lt;=0),"",1-NORMDIST(FLOOR(F64,1)+0.5,Z64,AA64,TRUE()))</f>
        <v>0.300505347967398</v>
      </c>
      <c r="AC64" s="10" t="n">
        <f aca="false">IF(AB64="","",NORMDIST(CEILING(F64,1)-0.5,Z64,AA64,TRUE()))</f>
        <v>0.699494652032602</v>
      </c>
      <c r="AD64" s="0" t="str">
        <f aca="false">IF(AB64="","",IF(AB64&gt;=0.5+Config!$B$6,"OVER",IF(AC64&gt;=0.5+Config!$B$6,"UNDER","—")))</f>
        <v>UNDER</v>
      </c>
      <c r="AE64" s="13" t="n">
        <f aca="false">IFERROR(Z64/G64,"")</f>
        <v>1</v>
      </c>
    </row>
    <row r="65" customFormat="false" ht="15" hidden="false" customHeight="false" outlineLevel="0" collapsed="false">
      <c r="A65" s="0" t="s">
        <v>637</v>
      </c>
      <c r="B65" s="0" t="s">
        <v>636</v>
      </c>
      <c r="C65" s="0" t="s">
        <v>787</v>
      </c>
      <c r="D65" s="0" t="s">
        <v>644</v>
      </c>
      <c r="E65" s="0" t="s">
        <v>693</v>
      </c>
      <c r="F65" s="0" t="n">
        <v>27.5</v>
      </c>
      <c r="G65" s="11" t="n">
        <f aca="false">IFERROR(INDEX(CHOOSE(MATCH($X65,{"K1","K2","K3","K12","K13","H1","H2","H3","H12","H13"},0),Calc!$V$2:$V$56,Calc!$AC$2:$AC$56,Calc!$AJ$2:$AJ$56,Calc!$AL$2:$AL$56,Calc!$AM$2:$AM$56,Calc!$W$2:$W$56,Calc!$AD$2:$AD$56,Calc!$AK$2:$AK$56,Calc!$AN$2:$AN$56,Calc!$AO$2:$AO$56),MATCH($W65,Calc!$A$2:$A$56,0)),"")</f>
        <v>28.0108408163265</v>
      </c>
      <c r="H65" s="11" t="n">
        <f aca="false">IF(G65="","",IF(LEFT($X65,1)="H",SQRT(G65*(IFERROR(INDEX(Calc!$AP$2:$AP$56,MATCH($W65,Calc!$A$2:$A$56,0)),0.5)*Config!$B$5+1-IFERROR(INDEX(Calc!$AP$2:$AP$56,MATCH($W65,Calc!$A$2:$A$56,0)),0.5))),SQRT(G65*Config!$B$5)))</f>
        <v>6.262202259817</v>
      </c>
      <c r="I65" s="10" t="n">
        <f aca="false">IF(OR(F65="",G65="",N(H65)&lt;=0),"",1-NORMDIST(FLOOR(F65,1)+0.5,G65,H65,TRUE()))</f>
        <v>0.532507764778965</v>
      </c>
      <c r="J65" s="10" t="n">
        <f aca="false">IF(I65="","",NORMDIST(CEILING(F65,1)-0.5,G65,H65,TRUE()))</f>
        <v>0.467492235221035</v>
      </c>
      <c r="K65" s="10" t="n">
        <f aca="false">IF(I65="","",MAX(0,1-I65-J65))</f>
        <v>0</v>
      </c>
      <c r="L65" s="0" t="str">
        <f aca="false">IF(I65="","",IF(I65&gt;=0.5+Config!$B$6,"OVER",IF(J65&gt;=0.5+Config!$B$6,"UNDER","—")))</f>
        <v>—</v>
      </c>
      <c r="N65" s="0" t="n">
        <v>33</v>
      </c>
      <c r="O65" s="10"/>
      <c r="P65" s="10"/>
      <c r="Q65" s="10"/>
      <c r="R65" s="9" t="s">
        <v>690</v>
      </c>
      <c r="S65" s="0" t="n">
        <v>1</v>
      </c>
      <c r="T65" s="0" t="str">
        <f aca="false">INDEX(Calc!$G$2:$G$56,MATCH($W65,Calc!$A$2:$A$56,0))&amp;" / "&amp;INDEX(Calc!$H$2:$H$56,MATCH($W65,Calc!$A$2:$A$56,0))</f>
        <v>Haven / Sunset</v>
      </c>
      <c r="U65" s="0" t="str">
        <f aca="false">TEXT(INDEX(Calc!$J$2:$J$56,MATCH($W65,Calc!$A$2:$A$56,0)),"0.0")&amp;" / "&amp;TEXT(INDEX(Calc!$K$2:$K$56,MATCH($W65,Calc!$A$2:$A$56,0)),"0.0")</f>
        <v>21.3 / 21.3</v>
      </c>
      <c r="V65" s="0" t="str">
        <f aca="false">IFERROR(INDEX(Calc!$AQ$2:$AQ$56,MATCH($W65,Calc!$A$2:$A$56,0)),"")</f>
        <v>thin sample (4 maps) ·</v>
      </c>
      <c r="W65" s="9" t="s">
        <v>788</v>
      </c>
      <c r="X65" s="9" t="s">
        <v>694</v>
      </c>
      <c r="Y65" s="0" t="str">
        <f aca="false">W65&amp;"|"&amp;X65</f>
        <v>q0reqnvw1p9zqan|VAL · TEC vs UR|K12</v>
      </c>
      <c r="Z65" s="11" t="n">
        <f aca="false">IFERROR(INDEX(CHOOSE(MATCH($X65,{"K1","K2","K3","K12","K13","H1","H2","H3","H12","H13"},0),Calc!$BA$2:$BA$56,Calc!$BB$2:$BB$56,Calc!$BC$2:$BC$56,Calc!$BD$2:$BD$56,Calc!$BE$2:$BE$56,Calc!$BF$2:$BF$56,Calc!$BG$2:$BG$56,Calc!$BH$2:$BH$56,Calc!$BI$2:$BI$56,Calc!$BJ$2:$BJ$56),MATCH($W65,Calc!$A$2:$A$56,0)),"")</f>
        <v>28.0108408163265</v>
      </c>
      <c r="AA65" s="11" t="n">
        <f aca="false">IF(Z65="","",IF(LEFT($X65,1)="H",SQRT(Z65*(IFERROR(INDEX(Calc!$AP$2:$AP$56,MATCH($W65,Calc!$A$2:$A$56,0)),0.5)*Config!$B$5+1-IFERROR(INDEX(Calc!$AP$2:$AP$56,MATCH($W65,Calc!$A$2:$A$56,0)),0.5))),SQRT(Z65*Config!$B$5)))</f>
        <v>6.262202259817</v>
      </c>
      <c r="AB65" s="10" t="n">
        <f aca="false">IF(OR(F65="",Z65="",N(AA65)&lt;=0),"",1-NORMDIST(FLOOR(F65,1)+0.5,Z65,AA65,TRUE()))</f>
        <v>0.532507764778965</v>
      </c>
      <c r="AC65" s="10" t="n">
        <f aca="false">IF(AB65="","",NORMDIST(CEILING(F65,1)-0.5,Z65,AA65,TRUE()))</f>
        <v>0.467492235221035</v>
      </c>
      <c r="AD65" s="0" t="str">
        <f aca="false">IF(AB65="","",IF(AB65&gt;=0.5+Config!$B$6,"OVER",IF(AC65&gt;=0.5+Config!$B$6,"UNDER","—")))</f>
        <v>—</v>
      </c>
      <c r="AE65" s="13" t="n">
        <f aca="false">IFERROR(Z65/G65,"")</f>
        <v>1</v>
      </c>
    </row>
    <row r="66" customFormat="false" ht="15" hidden="false" customHeight="false" outlineLevel="0" collapsed="false">
      <c r="A66" s="0" t="s">
        <v>637</v>
      </c>
      <c r="B66" s="0" t="s">
        <v>636</v>
      </c>
      <c r="C66" s="0" t="s">
        <v>789</v>
      </c>
      <c r="D66" s="0" t="s">
        <v>645</v>
      </c>
      <c r="E66" s="0" t="s">
        <v>693</v>
      </c>
      <c r="F66" s="0" t="n">
        <v>27.5</v>
      </c>
      <c r="G66" s="11" t="n">
        <f aca="false">IFERROR(INDEX(CHOOSE(MATCH($X66,{"K1","K2","K3","K12","K13","H1","H2","H3","H12","H13"},0),Calc!$V$2:$V$56,Calc!$AC$2:$AC$56,Calc!$AJ$2:$AJ$56,Calc!$AL$2:$AL$56,Calc!$AM$2:$AM$56,Calc!$W$2:$W$56,Calc!$AD$2:$AD$56,Calc!$AK$2:$AK$56,Calc!$AN$2:$AN$56,Calc!$AO$2:$AO$56),MATCH($W66,Calc!$A$2:$A$56,0)),"")</f>
        <v>29.5933290151271</v>
      </c>
      <c r="H66" s="11" t="n">
        <f aca="false">IF(G66="","",IF(LEFT($X66,1)="H",SQRT(G66*(IFERROR(INDEX(Calc!$AP$2:$AP$56,MATCH($W66,Calc!$A$2:$A$56,0)),0.5)*Config!$B$5+1-IFERROR(INDEX(Calc!$AP$2:$AP$56,MATCH($W66,Calc!$A$2:$A$56,0)),0.5))),SQRT(G66*Config!$B$5)))</f>
        <v>6.43666533394257</v>
      </c>
      <c r="I66" s="10" t="n">
        <f aca="false">IF(OR(F66="",G66="",N(H66)&lt;=0),"",1-NORMDIST(FLOOR(F66,1)+0.5,G66,H66,TRUE()))</f>
        <v>0.62749252043693</v>
      </c>
      <c r="J66" s="10" t="n">
        <f aca="false">IF(I66="","",NORMDIST(CEILING(F66,1)-0.5,G66,H66,TRUE()))</f>
        <v>0.37250747956307</v>
      </c>
      <c r="K66" s="10" t="n">
        <f aca="false">IF(I66="","",MAX(0,1-I66-J66))</f>
        <v>0</v>
      </c>
      <c r="L66" s="0" t="str">
        <f aca="false">IF(I66="","",IF(I66&gt;=0.5+Config!$B$6,"OVER",IF(J66&gt;=0.5+Config!$B$6,"UNDER","—")))</f>
        <v>OVER</v>
      </c>
      <c r="N66" s="0" t="n">
        <v>28.4</v>
      </c>
      <c r="O66" s="10" t="n">
        <v>0.6</v>
      </c>
      <c r="P66" s="10" t="n">
        <v>0.4</v>
      </c>
      <c r="Q66" s="10"/>
      <c r="R66" s="9" t="s">
        <v>690</v>
      </c>
      <c r="S66" s="0" t="n">
        <v>1</v>
      </c>
      <c r="T66" s="0" t="str">
        <f aca="false">INDEX(Calc!$G$2:$G$56,MATCH($W66,Calc!$A$2:$A$56,0))&amp;" / "&amp;INDEX(Calc!$H$2:$H$56,MATCH($W66,Calc!$A$2:$A$56,0))</f>
        <v>Haven / Sunset</v>
      </c>
      <c r="U66" s="0" t="str">
        <f aca="false">TEXT(INDEX(Calc!$J$2:$J$56,MATCH($W66,Calc!$A$2:$A$56,0)),"0.0")&amp;" / "&amp;TEXT(INDEX(Calc!$K$2:$K$56,MATCH($W66,Calc!$A$2:$A$56,0)),"0.0")</f>
        <v>21.3 / 21.3</v>
      </c>
      <c r="V66" s="0" t="str">
        <f aca="false">IFERROR(INDEX(Calc!$AQ$2:$AQ$56,MATCH($W66,Calc!$A$2:$A$56,0)),"")</f>
        <v/>
      </c>
      <c r="W66" s="9" t="s">
        <v>790</v>
      </c>
      <c r="X66" s="9" t="s">
        <v>694</v>
      </c>
      <c r="Y66" s="0" t="str">
        <f aca="false">W66&amp;"|"&amp;X66</f>
        <v>fl4ta9g39ylnp3t|VAL · TEC vs UR|K12</v>
      </c>
      <c r="Z66" s="11" t="n">
        <f aca="false">IFERROR(INDEX(CHOOSE(MATCH($X66,{"K1","K2","K3","K12","K13","H1","H2","H3","H12","H13"},0),Calc!$BA$2:$BA$56,Calc!$BB$2:$BB$56,Calc!$BC$2:$BC$56,Calc!$BD$2:$BD$56,Calc!$BE$2:$BE$56,Calc!$BF$2:$BF$56,Calc!$BG$2:$BG$56,Calc!$BH$2:$BH$56,Calc!$BI$2:$BI$56,Calc!$BJ$2:$BJ$56),MATCH($W66,Calc!$A$2:$A$56,0)),"")</f>
        <v>29.5933290151271</v>
      </c>
      <c r="AA66" s="11" t="n">
        <f aca="false">IF(Z66="","",IF(LEFT($X66,1)="H",SQRT(Z66*(IFERROR(INDEX(Calc!$AP$2:$AP$56,MATCH($W66,Calc!$A$2:$A$56,0)),0.5)*Config!$B$5+1-IFERROR(INDEX(Calc!$AP$2:$AP$56,MATCH($W66,Calc!$A$2:$A$56,0)),0.5))),SQRT(Z66*Config!$B$5)))</f>
        <v>6.43666533394257</v>
      </c>
      <c r="AB66" s="10" t="n">
        <f aca="false">IF(OR(F66="",Z66="",N(AA66)&lt;=0),"",1-NORMDIST(FLOOR(F66,1)+0.5,Z66,AA66,TRUE()))</f>
        <v>0.62749252043693</v>
      </c>
      <c r="AC66" s="10" t="n">
        <f aca="false">IF(AB66="","",NORMDIST(CEILING(F66,1)-0.5,Z66,AA66,TRUE()))</f>
        <v>0.37250747956307</v>
      </c>
      <c r="AD66" s="0" t="str">
        <f aca="false">IF(AB66="","",IF(AB66&gt;=0.5+Config!$B$6,"OVER",IF(AC66&gt;=0.5+Config!$B$6,"UNDER","—")))</f>
        <v>OVER</v>
      </c>
      <c r="AE66" s="13" t="n">
        <f aca="false">IFERROR(Z66/G66,"")</f>
        <v>1</v>
      </c>
    </row>
    <row r="67" customFormat="false" ht="15" hidden="false" customHeight="false" outlineLevel="0" collapsed="false">
      <c r="A67" s="0" t="s">
        <v>637</v>
      </c>
      <c r="B67" s="0" t="s">
        <v>653</v>
      </c>
      <c r="C67" s="0" t="s">
        <v>791</v>
      </c>
      <c r="D67" s="0" t="s">
        <v>659</v>
      </c>
      <c r="E67" s="0" t="s">
        <v>693</v>
      </c>
      <c r="F67" s="0" t="n">
        <v>33.5</v>
      </c>
      <c r="G67" s="11" t="n">
        <f aca="false">IFERROR(INDEX(CHOOSE(MATCH($X67,{"K1","K2","K3","K12","K13","H1","H2","H3","H12","H13"},0),Calc!$V$2:$V$56,Calc!$AC$2:$AC$56,Calc!$AJ$2:$AJ$56,Calc!$AL$2:$AL$56,Calc!$AM$2:$AM$56,Calc!$W$2:$W$56,Calc!$AD$2:$AD$56,Calc!$AK$2:$AK$56,Calc!$AN$2:$AN$56,Calc!$AO$2:$AO$56),MATCH($W67,Calc!$A$2:$A$56,0)),"")</f>
        <v>34.2604311534096</v>
      </c>
      <c r="H67" s="11" t="n">
        <f aca="false">IF(G67="","",IF(LEFT($X67,1)="H",SQRT(G67*(IFERROR(INDEX(Calc!$AP$2:$AP$56,MATCH($W67,Calc!$A$2:$A$56,0)),0.5)*Config!$B$5+1-IFERROR(INDEX(Calc!$AP$2:$AP$56,MATCH($W67,Calc!$A$2:$A$56,0)),0.5))),SQRT(G67*Config!$B$5)))</f>
        <v>6.92564824509399</v>
      </c>
      <c r="I67" s="10" t="n">
        <f aca="false">IF(OR(F67="",G67="",N(H67)&lt;=0),"",1-NORMDIST(FLOOR(F67,1)+0.5,G67,H67,TRUE()))</f>
        <v>0.543715716821637</v>
      </c>
      <c r="J67" s="10" t="n">
        <f aca="false">IF(I67="","",NORMDIST(CEILING(F67,1)-0.5,G67,H67,TRUE()))</f>
        <v>0.456284283178363</v>
      </c>
      <c r="K67" s="10" t="n">
        <f aca="false">IF(I67="","",MAX(0,1-I67-J67))</f>
        <v>0</v>
      </c>
      <c r="L67" s="0" t="str">
        <f aca="false">IF(I67="","",IF(I67&gt;=0.5+Config!$B$6,"OVER",IF(J67&gt;=0.5+Config!$B$6,"UNDER","—")))</f>
        <v>OVER</v>
      </c>
      <c r="M67" s="0" t="n">
        <v>33.71</v>
      </c>
      <c r="N67" s="0" t="n">
        <v>37.2</v>
      </c>
      <c r="O67" s="10" t="n">
        <v>0.6</v>
      </c>
      <c r="P67" s="10" t="n">
        <v>0.7</v>
      </c>
      <c r="Q67" s="10" t="n">
        <v>0.73</v>
      </c>
      <c r="R67" s="9" t="s">
        <v>690</v>
      </c>
      <c r="S67" s="0" t="n">
        <v>-1</v>
      </c>
      <c r="T67" s="0" t="str">
        <f aca="false">INDEX(Calc!$G$2:$G$56,MATCH($W67,Calc!$A$2:$A$56,0))&amp;" / "&amp;INDEX(Calc!$H$2:$H$56,MATCH($W67,Calc!$A$2:$A$56,0))</f>
        <v>Haven / Lotus</v>
      </c>
      <c r="U67" s="0" t="str">
        <f aca="false">TEXT(INDEX(Calc!$J$2:$J$56,MATCH($W67,Calc!$A$2:$A$56,0)),"0.0")&amp;" / "&amp;TEXT(INDEX(Calc!$K$2:$K$56,MATCH($W67,Calc!$A$2:$A$56,0)),"0.0")</f>
        <v>21.4 / 21.4</v>
      </c>
      <c r="V67" s="0" t="str">
        <f aca="false">IFERROR(INDEX(Calc!$AQ$2:$AQ$56,MATCH($W67,Calc!$A$2:$A$56,0)),"")</f>
        <v/>
      </c>
      <c r="W67" s="9" t="s">
        <v>792</v>
      </c>
      <c r="X67" s="9" t="s">
        <v>694</v>
      </c>
      <c r="Y67" s="0" t="str">
        <f aca="false">W67&amp;"|"&amp;X67</f>
        <v>g3d7176bxskh8c8|VAL · TL vs M8.GC|K12</v>
      </c>
      <c r="Z67" s="11" t="n">
        <f aca="false">IFERROR(INDEX(CHOOSE(MATCH($X67,{"K1","K2","K3","K12","K13","H1","H2","H3","H12","H13"},0),Calc!$BA$2:$BA$56,Calc!$BB$2:$BB$56,Calc!$BC$2:$BC$56,Calc!$BD$2:$BD$56,Calc!$BE$2:$BE$56,Calc!$BF$2:$BF$56,Calc!$BG$2:$BG$56,Calc!$BH$2:$BH$56,Calc!$BI$2:$BI$56,Calc!$BJ$2:$BJ$56),MATCH($W67,Calc!$A$2:$A$56,0)),"")</f>
        <v>34.2604311534096</v>
      </c>
      <c r="AA67" s="11" t="n">
        <f aca="false">IF(Z67="","",IF(LEFT($X67,1)="H",SQRT(Z67*(IFERROR(INDEX(Calc!$AP$2:$AP$56,MATCH($W67,Calc!$A$2:$A$56,0)),0.5)*Config!$B$5+1-IFERROR(INDEX(Calc!$AP$2:$AP$56,MATCH($W67,Calc!$A$2:$A$56,0)),0.5))),SQRT(Z67*Config!$B$5)))</f>
        <v>6.92564824509399</v>
      </c>
      <c r="AB67" s="10" t="n">
        <f aca="false">IF(OR(F67="",Z67="",N(AA67)&lt;=0),"",1-NORMDIST(FLOOR(F67,1)+0.5,Z67,AA67,TRUE()))</f>
        <v>0.543715716821637</v>
      </c>
      <c r="AC67" s="10" t="n">
        <f aca="false">IF(AB67="","",NORMDIST(CEILING(F67,1)-0.5,Z67,AA67,TRUE()))</f>
        <v>0.456284283178363</v>
      </c>
      <c r="AD67" s="0" t="str">
        <f aca="false">IF(AB67="","",IF(AB67&gt;=0.5+Config!$B$6,"OVER",IF(AC67&gt;=0.5+Config!$B$6,"UNDER","—")))</f>
        <v>OVER</v>
      </c>
      <c r="AE67" s="13" t="n">
        <f aca="false">IFERROR(Z67/G67,"")</f>
        <v>1</v>
      </c>
    </row>
    <row r="68" customFormat="false" ht="15" hidden="false" customHeight="false" outlineLevel="0" collapsed="false">
      <c r="A68" s="0" t="s">
        <v>637</v>
      </c>
      <c r="B68" s="0" t="s">
        <v>653</v>
      </c>
      <c r="C68" s="0" t="s">
        <v>793</v>
      </c>
      <c r="D68" s="0" t="s">
        <v>659</v>
      </c>
      <c r="E68" s="0" t="s">
        <v>693</v>
      </c>
      <c r="F68" s="0" t="n">
        <v>28</v>
      </c>
      <c r="G68" s="11" t="n">
        <f aca="false">IFERROR(INDEX(CHOOSE(MATCH($X68,{"K1","K2","K3","K12","K13","H1","H2","H3","H12","H13"},0),Calc!$V$2:$V$56,Calc!$AC$2:$AC$56,Calc!$AJ$2:$AJ$56,Calc!$AL$2:$AL$56,Calc!$AM$2:$AM$56,Calc!$W$2:$W$56,Calc!$AD$2:$AD$56,Calc!$AK$2:$AK$56,Calc!$AN$2:$AN$56,Calc!$AO$2:$AO$56),MATCH($W68,Calc!$A$2:$A$56,0)),"")</f>
        <v>31.7161660840792</v>
      </c>
      <c r="H68" s="11" t="n">
        <f aca="false">IF(G68="","",IF(LEFT($X68,1)="H",SQRT(G68*(IFERROR(INDEX(Calc!$AP$2:$AP$56,MATCH($W68,Calc!$A$2:$A$56,0)),0.5)*Config!$B$5+1-IFERROR(INDEX(Calc!$AP$2:$AP$56,MATCH($W68,Calc!$A$2:$A$56,0)),0.5))),SQRT(G68*Config!$B$5)))</f>
        <v>6.66353003427694</v>
      </c>
      <c r="I68" s="10" t="n">
        <f aca="false">IF(OR(F68="",G68="",N(H68)&lt;=0),"",1-NORMDIST(FLOOR(F68,1)+0.5,G68,H68,TRUE()))</f>
        <v>0.685328574033104</v>
      </c>
      <c r="J68" s="10" t="n">
        <f aca="false">IF(I68="","",NORMDIST(CEILING(F68,1)-0.5,G68,H68,TRUE()))</f>
        <v>0.263457402629753</v>
      </c>
      <c r="K68" s="10" t="n">
        <f aca="false">IF(I68="","",MAX(0,1-I68-J68))</f>
        <v>0.0512140233371424</v>
      </c>
      <c r="L68" s="0" t="str">
        <f aca="false">IF(I68="","",IF(I68&gt;=0.5+Config!$B$6,"OVER",IF(J68&gt;=0.5+Config!$B$6,"UNDER","—")))</f>
        <v>OVER</v>
      </c>
      <c r="M68" s="0" t="n">
        <v>29.44</v>
      </c>
      <c r="N68" s="0" t="n">
        <v>28.9</v>
      </c>
      <c r="O68" s="10" t="n">
        <v>0.4</v>
      </c>
      <c r="P68" s="10" t="n">
        <v>0.5</v>
      </c>
      <c r="Q68" s="10" t="n">
        <v>0.53</v>
      </c>
      <c r="R68" s="9" t="s">
        <v>690</v>
      </c>
      <c r="S68" s="0" t="n">
        <v>1</v>
      </c>
      <c r="T68" s="0" t="str">
        <f aca="false">INDEX(Calc!$G$2:$G$56,MATCH($W68,Calc!$A$2:$A$56,0))&amp;" / "&amp;INDEX(Calc!$H$2:$H$56,MATCH($W68,Calc!$A$2:$A$56,0))</f>
        <v>Haven / Lotus</v>
      </c>
      <c r="U68" s="0" t="str">
        <f aca="false">TEXT(INDEX(Calc!$J$2:$J$56,MATCH($W68,Calc!$A$2:$A$56,0)),"0.0")&amp;" / "&amp;TEXT(INDEX(Calc!$K$2:$K$56,MATCH($W68,Calc!$A$2:$A$56,0)),"0.0")</f>
        <v>21.4 / 21.4</v>
      </c>
      <c r="V68" s="0" t="str">
        <f aca="false">IFERROR(INDEX(Calc!$AQ$2:$AQ$56,MATCH($W68,Calc!$A$2:$A$56,0)),"")</f>
        <v/>
      </c>
      <c r="W68" s="9" t="s">
        <v>794</v>
      </c>
      <c r="X68" s="9" t="s">
        <v>694</v>
      </c>
      <c r="Y68" s="0" t="str">
        <f aca="false">W68&amp;"|"&amp;X68</f>
        <v>mewu9r5qiadpn7m|VAL · TL vs M8.GC|K12</v>
      </c>
      <c r="Z68" s="11" t="n">
        <f aca="false">IFERROR(INDEX(CHOOSE(MATCH($X68,{"K1","K2","K3","K12","K13","H1","H2","H3","H12","H13"},0),Calc!$BA$2:$BA$56,Calc!$BB$2:$BB$56,Calc!$BC$2:$BC$56,Calc!$BD$2:$BD$56,Calc!$BE$2:$BE$56,Calc!$BF$2:$BF$56,Calc!$BG$2:$BG$56,Calc!$BH$2:$BH$56,Calc!$BI$2:$BI$56,Calc!$BJ$2:$BJ$56),MATCH($W68,Calc!$A$2:$A$56,0)),"")</f>
        <v>31.7161660840792</v>
      </c>
      <c r="AA68" s="11" t="n">
        <f aca="false">IF(Z68="","",IF(LEFT($X68,1)="H",SQRT(Z68*(IFERROR(INDEX(Calc!$AP$2:$AP$56,MATCH($W68,Calc!$A$2:$A$56,0)),0.5)*Config!$B$5+1-IFERROR(INDEX(Calc!$AP$2:$AP$56,MATCH($W68,Calc!$A$2:$A$56,0)),0.5))),SQRT(Z68*Config!$B$5)))</f>
        <v>6.66353003427694</v>
      </c>
      <c r="AB68" s="10" t="n">
        <f aca="false">IF(OR(F68="",Z68="",N(AA68)&lt;=0),"",1-NORMDIST(FLOOR(F68,1)+0.5,Z68,AA68,TRUE()))</f>
        <v>0.685328574033104</v>
      </c>
      <c r="AC68" s="10" t="n">
        <f aca="false">IF(AB68="","",NORMDIST(CEILING(F68,1)-0.5,Z68,AA68,TRUE()))</f>
        <v>0.263457402629753</v>
      </c>
      <c r="AD68" s="0" t="str">
        <f aca="false">IF(AB68="","",IF(AB68&gt;=0.5+Config!$B$6,"OVER",IF(AC68&gt;=0.5+Config!$B$6,"UNDER","—")))</f>
        <v>OVER</v>
      </c>
      <c r="AE68" s="13" t="n">
        <f aca="false">IFERROR(Z68/G68,"")</f>
        <v>1</v>
      </c>
    </row>
    <row r="69" customFormat="false" ht="15" hidden="false" customHeight="false" outlineLevel="0" collapsed="false">
      <c r="A69" s="0" t="s">
        <v>637</v>
      </c>
      <c r="B69" s="0" t="s">
        <v>653</v>
      </c>
      <c r="C69" s="0" t="s">
        <v>795</v>
      </c>
      <c r="D69" s="0" t="s">
        <v>659</v>
      </c>
      <c r="E69" s="0" t="s">
        <v>693</v>
      </c>
      <c r="F69" s="0" t="n">
        <v>27.5</v>
      </c>
      <c r="G69" s="11" t="n">
        <f aca="false">IFERROR(INDEX(CHOOSE(MATCH($X69,{"K1","K2","K3","K12","K13","H1","H2","H3","H12","H13"},0),Calc!$V$2:$V$56,Calc!$AC$2:$AC$56,Calc!$AJ$2:$AJ$56,Calc!$AL$2:$AL$56,Calc!$AM$2:$AM$56,Calc!$W$2:$W$56,Calc!$AD$2:$AD$56,Calc!$AK$2:$AK$56,Calc!$AN$2:$AN$56,Calc!$AO$2:$AO$56),MATCH($W69,Calc!$A$2:$A$56,0)),"")</f>
        <v>27.4567099037797</v>
      </c>
      <c r="H69" s="11" t="n">
        <f aca="false">IF(G69="","",IF(LEFT($X69,1)="H",SQRT(G69*(IFERROR(INDEX(Calc!$AP$2:$AP$56,MATCH($W69,Calc!$A$2:$A$56,0)),0.5)*Config!$B$5+1-IFERROR(INDEX(Calc!$AP$2:$AP$56,MATCH($W69,Calc!$A$2:$A$56,0)),0.5))),SQRT(G69*Config!$B$5)))</f>
        <v>6.19995111797598</v>
      </c>
      <c r="I69" s="10" t="n">
        <f aca="false">IF(OR(F69="",G69="",N(H69)&lt;=0),"",1-NORMDIST(FLOOR(F69,1)+0.5,G69,H69,TRUE()))</f>
        <v>0.497214476525998</v>
      </c>
      <c r="J69" s="10" t="n">
        <f aca="false">IF(I69="","",NORMDIST(CEILING(F69,1)-0.5,G69,H69,TRUE()))</f>
        <v>0.502785523474002</v>
      </c>
      <c r="K69" s="10" t="n">
        <f aca="false">IF(I69="","",MAX(0,1-I69-J69))</f>
        <v>0</v>
      </c>
      <c r="L69" s="0" t="str">
        <f aca="false">IF(I69="","",IF(I69&gt;=0.5+Config!$B$6,"OVER",IF(J69&gt;=0.5+Config!$B$6,"UNDER","—")))</f>
        <v>—</v>
      </c>
      <c r="N69" s="0" t="n">
        <v>29.1</v>
      </c>
      <c r="O69" s="10" t="n">
        <v>0.6</v>
      </c>
      <c r="P69" s="10" t="n">
        <v>0.6</v>
      </c>
      <c r="Q69" s="10" t="n">
        <v>0.67</v>
      </c>
      <c r="R69" s="9" t="s">
        <v>690</v>
      </c>
      <c r="S69" s="0" t="n">
        <v>2</v>
      </c>
      <c r="T69" s="0" t="str">
        <f aca="false">INDEX(Calc!$G$2:$G$56,MATCH($W69,Calc!$A$2:$A$56,0))&amp;" / "&amp;INDEX(Calc!$H$2:$H$56,MATCH($W69,Calc!$A$2:$A$56,0))</f>
        <v>Haven / Lotus</v>
      </c>
      <c r="U69" s="0" t="str">
        <f aca="false">TEXT(INDEX(Calc!$J$2:$J$56,MATCH($W69,Calc!$A$2:$A$56,0)),"0.0")&amp;" / "&amp;TEXT(INDEX(Calc!$K$2:$K$56,MATCH($W69,Calc!$A$2:$A$56,0)),"0.0")</f>
        <v>21.4 / 21.4</v>
      </c>
      <c r="V69" s="0" t="str">
        <f aca="false">IFERROR(INDEX(Calc!$AQ$2:$AQ$56,MATCH($W69,Calc!$A$2:$A$56,0)),"")</f>
        <v/>
      </c>
      <c r="W69" s="9" t="s">
        <v>796</v>
      </c>
      <c r="X69" s="9" t="s">
        <v>694</v>
      </c>
      <c r="Y69" s="0" t="str">
        <f aca="false">W69&amp;"|"&amp;X69</f>
        <v>ih9i6lpirlb21cm|VAL · TL vs M8.GC|K12</v>
      </c>
      <c r="Z69" s="11" t="n">
        <f aca="false">IFERROR(INDEX(CHOOSE(MATCH($X69,{"K1","K2","K3","K12","K13","H1","H2","H3","H12","H13"},0),Calc!$BA$2:$BA$56,Calc!$BB$2:$BB$56,Calc!$BC$2:$BC$56,Calc!$BD$2:$BD$56,Calc!$BE$2:$BE$56,Calc!$BF$2:$BF$56,Calc!$BG$2:$BG$56,Calc!$BH$2:$BH$56,Calc!$BI$2:$BI$56,Calc!$BJ$2:$BJ$56),MATCH($W69,Calc!$A$2:$A$56,0)),"")</f>
        <v>27.4567099037797</v>
      </c>
      <c r="AA69" s="11" t="n">
        <f aca="false">IF(Z69="","",IF(LEFT($X69,1)="H",SQRT(Z69*(IFERROR(INDEX(Calc!$AP$2:$AP$56,MATCH($W69,Calc!$A$2:$A$56,0)),0.5)*Config!$B$5+1-IFERROR(INDEX(Calc!$AP$2:$AP$56,MATCH($W69,Calc!$A$2:$A$56,0)),0.5))),SQRT(Z69*Config!$B$5)))</f>
        <v>6.19995111797598</v>
      </c>
      <c r="AB69" s="10" t="n">
        <f aca="false">IF(OR(F69="",Z69="",N(AA69)&lt;=0),"",1-NORMDIST(FLOOR(F69,1)+0.5,Z69,AA69,TRUE()))</f>
        <v>0.497214476525998</v>
      </c>
      <c r="AC69" s="10" t="n">
        <f aca="false">IF(AB69="","",NORMDIST(CEILING(F69,1)-0.5,Z69,AA69,TRUE()))</f>
        <v>0.502785523474002</v>
      </c>
      <c r="AD69" s="0" t="str">
        <f aca="false">IF(AB69="","",IF(AB69&gt;=0.5+Config!$B$6,"OVER",IF(AC69&gt;=0.5+Config!$B$6,"UNDER","—")))</f>
        <v>—</v>
      </c>
      <c r="AE69" s="13" t="n">
        <f aca="false">IFERROR(Z69/G69,"")</f>
        <v>1</v>
      </c>
    </row>
    <row r="70" customFormat="false" ht="15" hidden="false" customHeight="false" outlineLevel="0" collapsed="false">
      <c r="A70" s="0" t="s">
        <v>637</v>
      </c>
      <c r="B70" s="0" t="s">
        <v>653</v>
      </c>
      <c r="C70" s="0" t="s">
        <v>797</v>
      </c>
      <c r="D70" s="0" t="s">
        <v>659</v>
      </c>
      <c r="E70" s="0" t="s">
        <v>693</v>
      </c>
      <c r="F70" s="0" t="n">
        <v>30.5</v>
      </c>
      <c r="G70" s="11" t="n">
        <f aca="false">IFERROR(INDEX(CHOOSE(MATCH($X70,{"K1","K2","K3","K12","K13","H1","H2","H3","H12","H13"},0),Calc!$V$2:$V$56,Calc!$AC$2:$AC$56,Calc!$AJ$2:$AJ$56,Calc!$AL$2:$AL$56,Calc!$AM$2:$AM$56,Calc!$W$2:$W$56,Calc!$AD$2:$AD$56,Calc!$AK$2:$AK$56,Calc!$AN$2:$AN$56,Calc!$AO$2:$AO$56),MATCH($W70,Calc!$A$2:$A$56,0)),"")</f>
        <v>35.2558557656694</v>
      </c>
      <c r="H70" s="11" t="n">
        <f aca="false">IF(G70="","",IF(LEFT($X70,1)="H",SQRT(G70*(IFERROR(INDEX(Calc!$AP$2:$AP$56,MATCH($W70,Calc!$A$2:$A$56,0)),0.5)*Config!$B$5+1-IFERROR(INDEX(Calc!$AP$2:$AP$56,MATCH($W70,Calc!$A$2:$A$56,0)),0.5))),SQRT(G70*Config!$B$5)))</f>
        <v>7.02553898800207</v>
      </c>
      <c r="I70" s="10" t="n">
        <f aca="false">IF(OR(F70="",G70="",N(H70)&lt;=0),"",1-NORMDIST(FLOOR(F70,1)+0.5,G70,H70,TRUE()))</f>
        <v>0.750777419316176</v>
      </c>
      <c r="J70" s="10" t="n">
        <f aca="false">IF(I70="","",NORMDIST(CEILING(F70,1)-0.5,G70,H70,TRUE()))</f>
        <v>0.249222580683824</v>
      </c>
      <c r="K70" s="10" t="n">
        <f aca="false">IF(I70="","",MAX(0,1-I70-J70))</f>
        <v>0</v>
      </c>
      <c r="L70" s="0" t="str">
        <f aca="false">IF(I70="","",IF(I70&gt;=0.5+Config!$B$6,"OVER",IF(J70&gt;=0.5+Config!$B$6,"UNDER","—")))</f>
        <v>OVER</v>
      </c>
      <c r="M70" s="0" t="n">
        <v>29.82</v>
      </c>
      <c r="N70" s="0" t="n">
        <v>32.9</v>
      </c>
      <c r="O70" s="10" t="n">
        <v>0.6</v>
      </c>
      <c r="P70" s="10" t="n">
        <v>0.7</v>
      </c>
      <c r="Q70" s="10" t="n">
        <v>0.73</v>
      </c>
      <c r="R70" s="9" t="s">
        <v>690</v>
      </c>
      <c r="S70" s="0" t="n">
        <v>2</v>
      </c>
      <c r="T70" s="0" t="str">
        <f aca="false">INDEX(Calc!$G$2:$G$56,MATCH($W70,Calc!$A$2:$A$56,0))&amp;" / "&amp;INDEX(Calc!$H$2:$H$56,MATCH($W70,Calc!$A$2:$A$56,0))</f>
        <v>Haven / Lotus</v>
      </c>
      <c r="U70" s="0" t="str">
        <f aca="false">TEXT(INDEX(Calc!$J$2:$J$56,MATCH($W70,Calc!$A$2:$A$56,0)),"0.0")&amp;" / "&amp;TEXT(INDEX(Calc!$K$2:$K$56,MATCH($W70,Calc!$A$2:$A$56,0)),"0.0")</f>
        <v>21.4 / 21.4</v>
      </c>
      <c r="V70" s="0" t="str">
        <f aca="false">IFERROR(INDEX(Calc!$AQ$2:$AQ$56,MATCH($W70,Calc!$A$2:$A$56,0)),"")</f>
        <v/>
      </c>
      <c r="W70" s="9" t="s">
        <v>798</v>
      </c>
      <c r="X70" s="9" t="s">
        <v>694</v>
      </c>
      <c r="Y70" s="0" t="str">
        <f aca="false">W70&amp;"|"&amp;X70</f>
        <v>6d6efnrq3tu5sk4|VAL · TL vs M8.GC|K12</v>
      </c>
      <c r="Z70" s="11" t="n">
        <f aca="false">IFERROR(INDEX(CHOOSE(MATCH($X70,{"K1","K2","K3","K12","K13","H1","H2","H3","H12","H13"},0),Calc!$BA$2:$BA$56,Calc!$BB$2:$BB$56,Calc!$BC$2:$BC$56,Calc!$BD$2:$BD$56,Calc!$BE$2:$BE$56,Calc!$BF$2:$BF$56,Calc!$BG$2:$BG$56,Calc!$BH$2:$BH$56,Calc!$BI$2:$BI$56,Calc!$BJ$2:$BJ$56),MATCH($W70,Calc!$A$2:$A$56,0)),"")</f>
        <v>35.2558557656694</v>
      </c>
      <c r="AA70" s="11" t="n">
        <f aca="false">IF(Z70="","",IF(LEFT($X70,1)="H",SQRT(Z70*(IFERROR(INDEX(Calc!$AP$2:$AP$56,MATCH($W70,Calc!$A$2:$A$56,0)),0.5)*Config!$B$5+1-IFERROR(INDEX(Calc!$AP$2:$AP$56,MATCH($W70,Calc!$A$2:$A$56,0)),0.5))),SQRT(Z70*Config!$B$5)))</f>
        <v>7.02553898800207</v>
      </c>
      <c r="AB70" s="10" t="n">
        <f aca="false">IF(OR(F70="",Z70="",N(AA70)&lt;=0),"",1-NORMDIST(FLOOR(F70,1)+0.5,Z70,AA70,TRUE()))</f>
        <v>0.750777419316176</v>
      </c>
      <c r="AC70" s="10" t="n">
        <f aca="false">IF(AB70="","",NORMDIST(CEILING(F70,1)-0.5,Z70,AA70,TRUE()))</f>
        <v>0.249222580683824</v>
      </c>
      <c r="AD70" s="0" t="str">
        <f aca="false">IF(AB70="","",IF(AB70&gt;=0.5+Config!$B$6,"OVER",IF(AC70&gt;=0.5+Config!$B$6,"UNDER","—")))</f>
        <v>OVER</v>
      </c>
      <c r="AE70" s="13" t="n">
        <f aca="false">IFERROR(Z70/G70,"")</f>
        <v>1</v>
      </c>
    </row>
    <row r="71" customFormat="false" ht="15" hidden="false" customHeight="false" outlineLevel="0" collapsed="false">
      <c r="A71" s="0" t="s">
        <v>637</v>
      </c>
      <c r="B71" s="0" t="s">
        <v>653</v>
      </c>
      <c r="C71" s="0" t="s">
        <v>799</v>
      </c>
      <c r="D71" s="0" t="s">
        <v>659</v>
      </c>
      <c r="E71" s="0" t="s">
        <v>693</v>
      </c>
      <c r="F71" s="0" t="n">
        <v>25.5</v>
      </c>
      <c r="G71" s="11" t="n">
        <f aca="false">IFERROR(INDEX(CHOOSE(MATCH($X71,{"K1","K2","K3","K12","K13","H1","H2","H3","H12","H13"},0),Calc!$V$2:$V$56,Calc!$AC$2:$AC$56,Calc!$AJ$2:$AJ$56,Calc!$AL$2:$AL$56,Calc!$AM$2:$AM$56,Calc!$W$2:$W$56,Calc!$AD$2:$AD$56,Calc!$AK$2:$AK$56,Calc!$AN$2:$AN$56,Calc!$AO$2:$AO$56),MATCH($W71,Calc!$A$2:$A$56,0)),"")</f>
        <v>26.7979021600199</v>
      </c>
      <c r="H71" s="11" t="n">
        <f aca="false">IF(G71="","",IF(LEFT($X71,1)="H",SQRT(G71*(IFERROR(INDEX(Calc!$AP$2:$AP$56,MATCH($W71,Calc!$A$2:$A$56,0)),0.5)*Config!$B$5+1-IFERROR(INDEX(Calc!$AP$2:$AP$56,MATCH($W71,Calc!$A$2:$A$56,0)),0.5))),SQRT(G71*Config!$B$5)))</f>
        <v>6.12511738859166</v>
      </c>
      <c r="I71" s="10" t="n">
        <f aca="false">IF(OR(F71="",G71="",N(H71)&lt;=0),"",1-NORMDIST(FLOOR(F71,1)+0.5,G71,H71,TRUE()))</f>
        <v>0.583906824171642</v>
      </c>
      <c r="J71" s="10" t="n">
        <f aca="false">IF(I71="","",NORMDIST(CEILING(F71,1)-0.5,G71,H71,TRUE()))</f>
        <v>0.416093175828358</v>
      </c>
      <c r="K71" s="10" t="n">
        <f aca="false">IF(I71="","",MAX(0,1-I71-J71))</f>
        <v>0</v>
      </c>
      <c r="L71" s="0" t="str">
        <f aca="false">IF(I71="","",IF(I71&gt;=0.5+Config!$B$6,"OVER",IF(J71&gt;=0.5+Config!$B$6,"UNDER","—")))</f>
        <v>OVER</v>
      </c>
      <c r="M71" s="0" t="n">
        <v>25.94</v>
      </c>
      <c r="N71" s="0" t="n">
        <v>28</v>
      </c>
      <c r="O71" s="10" t="n">
        <v>0.8</v>
      </c>
      <c r="P71" s="10" t="n">
        <v>0.8</v>
      </c>
      <c r="Q71" s="10" t="n">
        <v>0.8</v>
      </c>
      <c r="R71" s="9" t="s">
        <v>711</v>
      </c>
      <c r="S71" s="0" t="n">
        <v>3</v>
      </c>
      <c r="T71" s="0" t="str">
        <f aca="false">INDEX(Calc!$G$2:$G$56,MATCH($W71,Calc!$A$2:$A$56,0))&amp;" / "&amp;INDEX(Calc!$H$2:$H$56,MATCH($W71,Calc!$A$2:$A$56,0))</f>
        <v>Haven / Lotus</v>
      </c>
      <c r="U71" s="0" t="str">
        <f aca="false">TEXT(INDEX(Calc!$J$2:$J$56,MATCH($W71,Calc!$A$2:$A$56,0)),"0.0")&amp;" / "&amp;TEXT(INDEX(Calc!$K$2:$K$56,MATCH($W71,Calc!$A$2:$A$56,0)),"0.0")</f>
        <v>21.4 / 21.4</v>
      </c>
      <c r="V71" s="0" t="str">
        <f aca="false">IFERROR(INDEX(Calc!$AQ$2:$AQ$56,MATCH($W71,Calc!$A$2:$A$56,0)),"")</f>
        <v/>
      </c>
      <c r="W71" s="9" t="s">
        <v>800</v>
      </c>
      <c r="X71" s="9" t="s">
        <v>694</v>
      </c>
      <c r="Y71" s="0" t="str">
        <f aca="false">W71&amp;"|"&amp;X71</f>
        <v>3u96q1p9a5iz2w7|VAL · TL vs M8.GC|K12</v>
      </c>
      <c r="Z71" s="11" t="n">
        <f aca="false">IFERROR(INDEX(CHOOSE(MATCH($X71,{"K1","K2","K3","K12","K13","H1","H2","H3","H12","H13"},0),Calc!$BA$2:$BA$56,Calc!$BB$2:$BB$56,Calc!$BC$2:$BC$56,Calc!$BD$2:$BD$56,Calc!$BE$2:$BE$56,Calc!$BF$2:$BF$56,Calc!$BG$2:$BG$56,Calc!$BH$2:$BH$56,Calc!$BI$2:$BI$56,Calc!$BJ$2:$BJ$56),MATCH($W71,Calc!$A$2:$A$56,0)),"")</f>
        <v>26.7979021600199</v>
      </c>
      <c r="AA71" s="11" t="n">
        <f aca="false">IF(Z71="","",IF(LEFT($X71,1)="H",SQRT(Z71*(IFERROR(INDEX(Calc!$AP$2:$AP$56,MATCH($W71,Calc!$A$2:$A$56,0)),0.5)*Config!$B$5+1-IFERROR(INDEX(Calc!$AP$2:$AP$56,MATCH($W71,Calc!$A$2:$A$56,0)),0.5))),SQRT(Z71*Config!$B$5)))</f>
        <v>6.12511738859166</v>
      </c>
      <c r="AB71" s="10" t="n">
        <f aca="false">IF(OR(F71="",Z71="",N(AA71)&lt;=0),"",1-NORMDIST(FLOOR(F71,1)+0.5,Z71,AA71,TRUE()))</f>
        <v>0.583906824171642</v>
      </c>
      <c r="AC71" s="10" t="n">
        <f aca="false">IF(AB71="","",NORMDIST(CEILING(F71,1)-0.5,Z71,AA71,TRUE()))</f>
        <v>0.416093175828358</v>
      </c>
      <c r="AD71" s="0" t="str">
        <f aca="false">IF(AB71="","",IF(AB71&gt;=0.5+Config!$B$6,"OVER",IF(AC71&gt;=0.5+Config!$B$6,"UNDER","—")))</f>
        <v>OVER</v>
      </c>
      <c r="AE71" s="13" t="n">
        <f aca="false">IFERROR(Z71/G71,"")</f>
        <v>1</v>
      </c>
    </row>
    <row r="72" customFormat="false" ht="15" hidden="false" customHeight="false" outlineLevel="0" collapsed="false">
      <c r="A72" s="0" t="s">
        <v>637</v>
      </c>
      <c r="B72" s="0" t="s">
        <v>653</v>
      </c>
      <c r="C72" s="0" t="s">
        <v>801</v>
      </c>
      <c r="D72" s="0" t="s">
        <v>658</v>
      </c>
      <c r="E72" s="0" t="s">
        <v>693</v>
      </c>
      <c r="F72" s="0" t="n">
        <v>31.5</v>
      </c>
      <c r="G72" s="11" t="n">
        <f aca="false">IFERROR(INDEX(CHOOSE(MATCH($X72,{"K1","K2","K3","K12","K13","H1","H2","H3","H12","H13"},0),Calc!$V$2:$V$56,Calc!$AC$2:$AC$56,Calc!$AJ$2:$AJ$56,Calc!$AL$2:$AL$56,Calc!$AM$2:$AM$56,Calc!$W$2:$W$56,Calc!$AD$2:$AD$56,Calc!$AK$2:$AK$56,Calc!$AN$2:$AN$56,Calc!$AO$2:$AO$56),MATCH($W72,Calc!$A$2:$A$56,0)),"")</f>
        <v>33.5444441715783</v>
      </c>
      <c r="H72" s="11" t="n">
        <f aca="false">IF(G72="","",IF(LEFT($X72,1)="H",SQRT(G72*(IFERROR(INDEX(Calc!$AP$2:$AP$56,MATCH($W72,Calc!$A$2:$A$56,0)),0.5)*Config!$B$5+1-IFERROR(INDEX(Calc!$AP$2:$AP$56,MATCH($W72,Calc!$A$2:$A$56,0)),0.5))),SQRT(G72*Config!$B$5)))</f>
        <v>6.85289879103796</v>
      </c>
      <c r="I72" s="10" t="n">
        <f aca="false">IF(OR(F72="",G72="",N(H72)&lt;=0),"",1-NORMDIST(FLOOR(F72,1)+0.5,G72,H72,TRUE()))</f>
        <v>0.617275396256941</v>
      </c>
      <c r="J72" s="10" t="n">
        <f aca="false">IF(I72="","",NORMDIST(CEILING(F72,1)-0.5,G72,H72,TRUE()))</f>
        <v>0.382724603743059</v>
      </c>
      <c r="K72" s="10" t="n">
        <f aca="false">IF(I72="","",MAX(0,1-I72-J72))</f>
        <v>0</v>
      </c>
      <c r="L72" s="0" t="str">
        <f aca="false">IF(I72="","",IF(I72&gt;=0.5+Config!$B$6,"OVER",IF(J72&gt;=0.5+Config!$B$6,"UNDER","—")))</f>
        <v>OVER</v>
      </c>
      <c r="M72" s="0" t="n">
        <v>32.58</v>
      </c>
      <c r="N72" s="0" t="n">
        <v>25.9</v>
      </c>
      <c r="O72" s="10" t="n">
        <v>0.6</v>
      </c>
      <c r="P72" s="10" t="n">
        <v>0.4</v>
      </c>
      <c r="Q72" s="10" t="n">
        <v>0.53</v>
      </c>
      <c r="R72" s="9" t="s">
        <v>690</v>
      </c>
      <c r="S72" s="0" t="n">
        <v>-1</v>
      </c>
      <c r="T72" s="0" t="str">
        <f aca="false">INDEX(Calc!$G$2:$G$56,MATCH($W72,Calc!$A$2:$A$56,0))&amp;" / "&amp;INDEX(Calc!$H$2:$H$56,MATCH($W72,Calc!$A$2:$A$56,0))</f>
        <v>Haven / Lotus</v>
      </c>
      <c r="U72" s="0" t="str">
        <f aca="false">TEXT(INDEX(Calc!$J$2:$J$56,MATCH($W72,Calc!$A$2:$A$56,0)),"0.0")&amp;" / "&amp;TEXT(INDEX(Calc!$K$2:$K$56,MATCH($W72,Calc!$A$2:$A$56,0)),"0.0")</f>
        <v>21.4 / 21.4</v>
      </c>
      <c r="V72" s="0" t="str">
        <f aca="false">IFERROR(INDEX(Calc!$AQ$2:$AQ$56,MATCH($W72,Calc!$A$2:$A$56,0)),"")</f>
        <v/>
      </c>
      <c r="W72" s="9" t="s">
        <v>802</v>
      </c>
      <c r="X72" s="9" t="s">
        <v>694</v>
      </c>
      <c r="Y72" s="0" t="str">
        <f aca="false">W72&amp;"|"&amp;X72</f>
        <v>co568st5wr6pnqv|VAL · TL vs M8.GC|K12</v>
      </c>
      <c r="Z72" s="11" t="n">
        <f aca="false">IFERROR(INDEX(CHOOSE(MATCH($X72,{"K1","K2","K3","K12","K13","H1","H2","H3","H12","H13"},0),Calc!$BA$2:$BA$56,Calc!$BB$2:$BB$56,Calc!$BC$2:$BC$56,Calc!$BD$2:$BD$56,Calc!$BE$2:$BE$56,Calc!$BF$2:$BF$56,Calc!$BG$2:$BG$56,Calc!$BH$2:$BH$56,Calc!$BI$2:$BI$56,Calc!$BJ$2:$BJ$56),MATCH($W72,Calc!$A$2:$A$56,0)),"")</f>
        <v>33.5444441715783</v>
      </c>
      <c r="AA72" s="11" t="n">
        <f aca="false">IF(Z72="","",IF(LEFT($X72,1)="H",SQRT(Z72*(IFERROR(INDEX(Calc!$AP$2:$AP$56,MATCH($W72,Calc!$A$2:$A$56,0)),0.5)*Config!$B$5+1-IFERROR(INDEX(Calc!$AP$2:$AP$56,MATCH($W72,Calc!$A$2:$A$56,0)),0.5))),SQRT(Z72*Config!$B$5)))</f>
        <v>6.85289879103796</v>
      </c>
      <c r="AB72" s="10" t="n">
        <f aca="false">IF(OR(F72="",Z72="",N(AA72)&lt;=0),"",1-NORMDIST(FLOOR(F72,1)+0.5,Z72,AA72,TRUE()))</f>
        <v>0.617275396256941</v>
      </c>
      <c r="AC72" s="10" t="n">
        <f aca="false">IF(AB72="","",NORMDIST(CEILING(F72,1)-0.5,Z72,AA72,TRUE()))</f>
        <v>0.382724603743059</v>
      </c>
      <c r="AD72" s="0" t="str">
        <f aca="false">IF(AB72="","",IF(AB72&gt;=0.5+Config!$B$6,"OVER",IF(AC72&gt;=0.5+Config!$B$6,"UNDER","—")))</f>
        <v>OVER</v>
      </c>
      <c r="AE72" s="13" t="n">
        <f aca="false">IFERROR(Z72/G72,"")</f>
        <v>1</v>
      </c>
    </row>
    <row r="73" customFormat="false" ht="15" hidden="false" customHeight="false" outlineLevel="0" collapsed="false">
      <c r="A73" s="0" t="s">
        <v>637</v>
      </c>
      <c r="B73" s="0" t="s">
        <v>653</v>
      </c>
      <c r="C73" s="0" t="s">
        <v>803</v>
      </c>
      <c r="D73" s="0" t="s">
        <v>658</v>
      </c>
      <c r="E73" s="0" t="s">
        <v>693</v>
      </c>
      <c r="F73" s="0" t="n">
        <v>28</v>
      </c>
      <c r="G73" s="11" t="n">
        <f aca="false">IFERROR(INDEX(CHOOSE(MATCH($X73,{"K1","K2","K3","K12","K13","H1","H2","H3","H12","H13"},0),Calc!$V$2:$V$56,Calc!$AC$2:$AC$56,Calc!$AJ$2:$AJ$56,Calc!$AL$2:$AL$56,Calc!$AM$2:$AM$56,Calc!$W$2:$W$56,Calc!$AD$2:$AD$56,Calc!$AK$2:$AK$56,Calc!$AN$2:$AN$56,Calc!$AO$2:$AO$56),MATCH($W73,Calc!$A$2:$A$56,0)),"")</f>
        <v>27.6994813966176</v>
      </c>
      <c r="H73" s="11" t="n">
        <f aca="false">IF(G73="","",IF(LEFT($X73,1)="H",SQRT(G73*(IFERROR(INDEX(Calc!$AP$2:$AP$56,MATCH($W73,Calc!$A$2:$A$56,0)),0.5)*Config!$B$5+1-IFERROR(INDEX(Calc!$AP$2:$AP$56,MATCH($W73,Calc!$A$2:$A$56,0)),0.5))),SQRT(G73*Config!$B$5)))</f>
        <v>6.22730069574809</v>
      </c>
      <c r="I73" s="10" t="n">
        <f aca="false">IF(OR(F73="",G73="",N(H73)&lt;=0),"",1-NORMDIST(FLOOR(F73,1)+0.5,G73,H73,TRUE()))</f>
        <v>0.448856923319471</v>
      </c>
      <c r="J73" s="10" t="n">
        <f aca="false">IF(I73="","",NORMDIST(CEILING(F73,1)-0.5,G73,H73,TRUE()))</f>
        <v>0.487222721530737</v>
      </c>
      <c r="K73" s="10" t="n">
        <f aca="false">IF(I73="","",MAX(0,1-I73-J73))</f>
        <v>0.0639203551497926</v>
      </c>
      <c r="L73" s="0" t="str">
        <f aca="false">IF(I73="","",IF(I73&gt;=0.5+Config!$B$6,"OVER",IF(J73&gt;=0.5+Config!$B$6,"UNDER","—")))</f>
        <v>—</v>
      </c>
      <c r="M73" s="0" t="n">
        <v>28.58</v>
      </c>
      <c r="N73" s="0" t="n">
        <v>24.3</v>
      </c>
      <c r="O73" s="10" t="n">
        <v>0.6</v>
      </c>
      <c r="P73" s="10" t="n">
        <v>0.4</v>
      </c>
      <c r="Q73" s="10" t="n">
        <v>0.6</v>
      </c>
      <c r="R73" s="9" t="s">
        <v>690</v>
      </c>
      <c r="S73" s="0" t="n">
        <v>3</v>
      </c>
      <c r="T73" s="0" t="str">
        <f aca="false">INDEX(Calc!$G$2:$G$56,MATCH($W73,Calc!$A$2:$A$56,0))&amp;" / "&amp;INDEX(Calc!$H$2:$H$56,MATCH($W73,Calc!$A$2:$A$56,0))</f>
        <v>Haven / Lotus</v>
      </c>
      <c r="U73" s="0" t="str">
        <f aca="false">TEXT(INDEX(Calc!$J$2:$J$56,MATCH($W73,Calc!$A$2:$A$56,0)),"0.0")&amp;" / "&amp;TEXT(INDEX(Calc!$K$2:$K$56,MATCH($W73,Calc!$A$2:$A$56,0)),"0.0")</f>
        <v>21.4 / 21.4</v>
      </c>
      <c r="V73" s="0" t="str">
        <f aca="false">IFERROR(INDEX(Calc!$AQ$2:$AQ$56,MATCH($W73,Calc!$A$2:$A$56,0)),"")</f>
        <v/>
      </c>
      <c r="W73" s="9" t="s">
        <v>804</v>
      </c>
      <c r="X73" s="9" t="s">
        <v>694</v>
      </c>
      <c r="Y73" s="0" t="str">
        <f aca="false">W73&amp;"|"&amp;X73</f>
        <v>vhavgrzw6kysqhl|VAL · TL vs M8.GC|K12</v>
      </c>
      <c r="Z73" s="11" t="n">
        <f aca="false">IFERROR(INDEX(CHOOSE(MATCH($X73,{"K1","K2","K3","K12","K13","H1","H2","H3","H12","H13"},0),Calc!$BA$2:$BA$56,Calc!$BB$2:$BB$56,Calc!$BC$2:$BC$56,Calc!$BD$2:$BD$56,Calc!$BE$2:$BE$56,Calc!$BF$2:$BF$56,Calc!$BG$2:$BG$56,Calc!$BH$2:$BH$56,Calc!$BI$2:$BI$56,Calc!$BJ$2:$BJ$56),MATCH($W73,Calc!$A$2:$A$56,0)),"")</f>
        <v>27.6994813966176</v>
      </c>
      <c r="AA73" s="11" t="n">
        <f aca="false">IF(Z73="","",IF(LEFT($X73,1)="H",SQRT(Z73*(IFERROR(INDEX(Calc!$AP$2:$AP$56,MATCH($W73,Calc!$A$2:$A$56,0)),0.5)*Config!$B$5+1-IFERROR(INDEX(Calc!$AP$2:$AP$56,MATCH($W73,Calc!$A$2:$A$56,0)),0.5))),SQRT(Z73*Config!$B$5)))</f>
        <v>6.22730069574809</v>
      </c>
      <c r="AB73" s="10" t="n">
        <f aca="false">IF(OR(F73="",Z73="",N(AA73)&lt;=0),"",1-NORMDIST(FLOOR(F73,1)+0.5,Z73,AA73,TRUE()))</f>
        <v>0.448856923319471</v>
      </c>
      <c r="AC73" s="10" t="n">
        <f aca="false">IF(AB73="","",NORMDIST(CEILING(F73,1)-0.5,Z73,AA73,TRUE()))</f>
        <v>0.487222721530737</v>
      </c>
      <c r="AD73" s="0" t="str">
        <f aca="false">IF(AB73="","",IF(AB73&gt;=0.5+Config!$B$6,"OVER",IF(AC73&gt;=0.5+Config!$B$6,"UNDER","—")))</f>
        <v>—</v>
      </c>
      <c r="AE73" s="13" t="n">
        <f aca="false">IFERROR(Z73/G73,"")</f>
        <v>1</v>
      </c>
    </row>
    <row r="74" customFormat="false" ht="15" hidden="false" customHeight="false" outlineLevel="0" collapsed="false">
      <c r="A74" s="0" t="s">
        <v>637</v>
      </c>
      <c r="B74" s="0" t="s">
        <v>653</v>
      </c>
      <c r="C74" s="0" t="s">
        <v>805</v>
      </c>
      <c r="D74" s="0" t="s">
        <v>658</v>
      </c>
      <c r="E74" s="0" t="s">
        <v>693</v>
      </c>
      <c r="F74" s="0" t="n">
        <v>24.5</v>
      </c>
      <c r="G74" s="11" t="n">
        <f aca="false">IFERROR(INDEX(CHOOSE(MATCH($X74,{"K1","K2","K3","K12","K13","H1","H2","H3","H12","H13"},0),Calc!$V$2:$V$56,Calc!$AC$2:$AC$56,Calc!$AJ$2:$AJ$56,Calc!$AL$2:$AL$56,Calc!$AM$2:$AM$56,Calc!$W$2:$W$56,Calc!$AD$2:$AD$56,Calc!$AK$2:$AK$56,Calc!$AN$2:$AN$56,Calc!$AO$2:$AO$56),MATCH($W74,Calc!$A$2:$A$56,0)),"")</f>
        <v>24.0963806338255</v>
      </c>
      <c r="H74" s="11" t="n">
        <f aca="false">IF(G74="","",IF(LEFT($X74,1)="H",SQRT(G74*(IFERROR(INDEX(Calc!$AP$2:$AP$56,MATCH($W74,Calc!$A$2:$A$56,0)),0.5)*Config!$B$5+1-IFERROR(INDEX(Calc!$AP$2:$AP$56,MATCH($W74,Calc!$A$2:$A$56,0)),0.5))),SQRT(G74*Config!$B$5)))</f>
        <v>5.80817810396304</v>
      </c>
      <c r="I74" s="10" t="n">
        <f aca="false">IF(OR(F74="",G74="",N(H74)&lt;=0),"",1-NORMDIST(FLOOR(F74,1)+0.5,G74,H74,TRUE()))</f>
        <v>0.47229917466447</v>
      </c>
      <c r="J74" s="10" t="n">
        <f aca="false">IF(I74="","",NORMDIST(CEILING(F74,1)-0.5,G74,H74,TRUE()))</f>
        <v>0.52770082533553</v>
      </c>
      <c r="K74" s="10" t="n">
        <f aca="false">IF(I74="","",MAX(0,1-I74-J74))</f>
        <v>0</v>
      </c>
      <c r="L74" s="0" t="str">
        <f aca="false">IF(I74="","",IF(I74&gt;=0.5+Config!$B$6,"OVER",IF(J74&gt;=0.5+Config!$B$6,"UNDER","—")))</f>
        <v>—</v>
      </c>
      <c r="M74" s="0" t="n">
        <v>25.46</v>
      </c>
      <c r="N74" s="0" t="n">
        <v>20.6</v>
      </c>
      <c r="O74" s="10" t="n">
        <v>0.4</v>
      </c>
      <c r="P74" s="10" t="n">
        <v>0.4</v>
      </c>
      <c r="Q74" s="10" t="n">
        <v>0.4</v>
      </c>
      <c r="R74" s="9" t="s">
        <v>690</v>
      </c>
      <c r="S74" s="0" t="n">
        <v>1</v>
      </c>
      <c r="T74" s="0" t="str">
        <f aca="false">INDEX(Calc!$G$2:$G$56,MATCH($W74,Calc!$A$2:$A$56,0))&amp;" / "&amp;INDEX(Calc!$H$2:$H$56,MATCH($W74,Calc!$A$2:$A$56,0))</f>
        <v>Haven / Lotus</v>
      </c>
      <c r="U74" s="0" t="str">
        <f aca="false">TEXT(INDEX(Calc!$J$2:$J$56,MATCH($W74,Calc!$A$2:$A$56,0)),"0.0")&amp;" / "&amp;TEXT(INDEX(Calc!$K$2:$K$56,MATCH($W74,Calc!$A$2:$A$56,0)),"0.0")</f>
        <v>21.4 / 21.4</v>
      </c>
      <c r="V74" s="0" t="str">
        <f aca="false">IFERROR(INDEX(Calc!$AQ$2:$AQ$56,MATCH($W74,Calc!$A$2:$A$56,0)),"")</f>
        <v/>
      </c>
      <c r="W74" s="9" t="s">
        <v>806</v>
      </c>
      <c r="X74" s="9" t="s">
        <v>694</v>
      </c>
      <c r="Y74" s="0" t="str">
        <f aca="false">W74&amp;"|"&amp;X74</f>
        <v>5tdxwk4hjx6kwvd|VAL · TL vs M8.GC|K12</v>
      </c>
      <c r="Z74" s="11" t="n">
        <f aca="false">IFERROR(INDEX(CHOOSE(MATCH($X74,{"K1","K2","K3","K12","K13","H1","H2","H3","H12","H13"},0),Calc!$BA$2:$BA$56,Calc!$BB$2:$BB$56,Calc!$BC$2:$BC$56,Calc!$BD$2:$BD$56,Calc!$BE$2:$BE$56,Calc!$BF$2:$BF$56,Calc!$BG$2:$BG$56,Calc!$BH$2:$BH$56,Calc!$BI$2:$BI$56,Calc!$BJ$2:$BJ$56),MATCH($W74,Calc!$A$2:$A$56,0)),"")</f>
        <v>24.0963806338255</v>
      </c>
      <c r="AA74" s="11" t="n">
        <f aca="false">IF(Z74="","",IF(LEFT($X74,1)="H",SQRT(Z74*(IFERROR(INDEX(Calc!$AP$2:$AP$56,MATCH($W74,Calc!$A$2:$A$56,0)),0.5)*Config!$B$5+1-IFERROR(INDEX(Calc!$AP$2:$AP$56,MATCH($W74,Calc!$A$2:$A$56,0)),0.5))),SQRT(Z74*Config!$B$5)))</f>
        <v>5.80817810396304</v>
      </c>
      <c r="AB74" s="10" t="n">
        <f aca="false">IF(OR(F74="",Z74="",N(AA74)&lt;=0),"",1-NORMDIST(FLOOR(F74,1)+0.5,Z74,AA74,TRUE()))</f>
        <v>0.47229917466447</v>
      </c>
      <c r="AC74" s="10" t="n">
        <f aca="false">IF(AB74="","",NORMDIST(CEILING(F74,1)-0.5,Z74,AA74,TRUE()))</f>
        <v>0.52770082533553</v>
      </c>
      <c r="AD74" s="0" t="str">
        <f aca="false">IF(AB74="","",IF(AB74&gt;=0.5+Config!$B$6,"OVER",IF(AC74&gt;=0.5+Config!$B$6,"UNDER","—")))</f>
        <v>—</v>
      </c>
      <c r="AE74" s="13" t="n">
        <f aca="false">IFERROR(Z74/G74,"")</f>
        <v>1</v>
      </c>
    </row>
    <row r="75" customFormat="false" ht="15" hidden="false" customHeight="false" outlineLevel="0" collapsed="false">
      <c r="A75" s="0" t="s">
        <v>637</v>
      </c>
      <c r="B75" s="0" t="s">
        <v>653</v>
      </c>
      <c r="C75" s="0" t="s">
        <v>807</v>
      </c>
      <c r="D75" s="0" t="s">
        <v>658</v>
      </c>
      <c r="E75" s="0" t="s">
        <v>693</v>
      </c>
      <c r="F75" s="0" t="n">
        <v>35.5</v>
      </c>
      <c r="G75" s="11" t="n">
        <f aca="false">IFERROR(INDEX(CHOOSE(MATCH($X75,{"K1","K2","K3","K12","K13","H1","H2","H3","H12","H13"},0),Calc!$V$2:$V$56,Calc!$AC$2:$AC$56,Calc!$AJ$2:$AJ$56,Calc!$AL$2:$AL$56,Calc!$AM$2:$AM$56,Calc!$W$2:$W$56,Calc!$AD$2:$AD$56,Calc!$AK$2:$AK$56,Calc!$AN$2:$AN$56,Calc!$AO$2:$AO$56),MATCH($W75,Calc!$A$2:$A$56,0)),"")</f>
        <v>32.3318410616229</v>
      </c>
      <c r="H75" s="11" t="n">
        <f aca="false">IF(G75="","",IF(LEFT($X75,1)="H",SQRT(G75*(IFERROR(INDEX(Calc!$AP$2:$AP$56,MATCH($W75,Calc!$A$2:$A$56,0)),0.5)*Config!$B$5+1-IFERROR(INDEX(Calc!$AP$2:$AP$56,MATCH($W75,Calc!$A$2:$A$56,0)),0.5))),SQRT(G75*Config!$B$5)))</f>
        <v>6.72789547230574</v>
      </c>
      <c r="I75" s="10" t="n">
        <f aca="false">IF(OR(F75="",G75="",N(H75)&lt;=0),"",1-NORMDIST(FLOOR(F75,1)+0.5,G75,H75,TRUE()))</f>
        <v>0.318856447635373</v>
      </c>
      <c r="J75" s="10" t="n">
        <f aca="false">IF(I75="","",NORMDIST(CEILING(F75,1)-0.5,G75,H75,TRUE()))</f>
        <v>0.681143552364627</v>
      </c>
      <c r="K75" s="10" t="n">
        <f aca="false">IF(I75="","",MAX(0,1-I75-J75))</f>
        <v>0</v>
      </c>
      <c r="L75" s="0" t="str">
        <f aca="false">IF(I75="","",IF(I75&gt;=0.5+Config!$B$6,"OVER",IF(J75&gt;=0.5+Config!$B$6,"UNDER","—")))</f>
        <v>UNDER</v>
      </c>
      <c r="M75" s="0" t="n">
        <v>37.95</v>
      </c>
      <c r="N75" s="0" t="n">
        <v>31.8</v>
      </c>
      <c r="O75" s="10" t="n">
        <v>0.4</v>
      </c>
      <c r="P75" s="10" t="n">
        <v>0.4</v>
      </c>
      <c r="Q75" s="10" t="n">
        <v>0.4</v>
      </c>
      <c r="R75" s="9" t="s">
        <v>690</v>
      </c>
      <c r="S75" s="0" t="n">
        <v>-2</v>
      </c>
      <c r="T75" s="0" t="str">
        <f aca="false">INDEX(Calc!$G$2:$G$56,MATCH($W75,Calc!$A$2:$A$56,0))&amp;" / "&amp;INDEX(Calc!$H$2:$H$56,MATCH($W75,Calc!$A$2:$A$56,0))</f>
        <v>Haven / Lotus</v>
      </c>
      <c r="U75" s="0" t="str">
        <f aca="false">TEXT(INDEX(Calc!$J$2:$J$56,MATCH($W75,Calc!$A$2:$A$56,0)),"0.0")&amp;" / "&amp;TEXT(INDEX(Calc!$K$2:$K$56,MATCH($W75,Calc!$A$2:$A$56,0)),"0.0")</f>
        <v>21.4 / 21.4</v>
      </c>
      <c r="V75" s="0" t="str">
        <f aca="false">IFERROR(INDEX(Calc!$AQ$2:$AQ$56,MATCH($W75,Calc!$A$2:$A$56,0)),"")</f>
        <v/>
      </c>
      <c r="W75" s="9" t="s">
        <v>808</v>
      </c>
      <c r="X75" s="9" t="s">
        <v>694</v>
      </c>
      <c r="Y75" s="0" t="str">
        <f aca="false">W75&amp;"|"&amp;X75</f>
        <v>anlb3czpjb9tybg|VAL · TL vs M8.GC|K12</v>
      </c>
      <c r="Z75" s="11" t="n">
        <f aca="false">IFERROR(INDEX(CHOOSE(MATCH($X75,{"K1","K2","K3","K12","K13","H1","H2","H3","H12","H13"},0),Calc!$BA$2:$BA$56,Calc!$BB$2:$BB$56,Calc!$BC$2:$BC$56,Calc!$BD$2:$BD$56,Calc!$BE$2:$BE$56,Calc!$BF$2:$BF$56,Calc!$BG$2:$BG$56,Calc!$BH$2:$BH$56,Calc!$BI$2:$BI$56,Calc!$BJ$2:$BJ$56),MATCH($W75,Calc!$A$2:$A$56,0)),"")</f>
        <v>32.3318410616229</v>
      </c>
      <c r="AA75" s="11" t="n">
        <f aca="false">IF(Z75="","",IF(LEFT($X75,1)="H",SQRT(Z75*(IFERROR(INDEX(Calc!$AP$2:$AP$56,MATCH($W75,Calc!$A$2:$A$56,0)),0.5)*Config!$B$5+1-IFERROR(INDEX(Calc!$AP$2:$AP$56,MATCH($W75,Calc!$A$2:$A$56,0)),0.5))),SQRT(Z75*Config!$B$5)))</f>
        <v>6.72789547230574</v>
      </c>
      <c r="AB75" s="10" t="n">
        <f aca="false">IF(OR(F75="",Z75="",N(AA75)&lt;=0),"",1-NORMDIST(FLOOR(F75,1)+0.5,Z75,AA75,TRUE()))</f>
        <v>0.318856447635373</v>
      </c>
      <c r="AC75" s="10" t="n">
        <f aca="false">IF(AB75="","",NORMDIST(CEILING(F75,1)-0.5,Z75,AA75,TRUE()))</f>
        <v>0.681143552364627</v>
      </c>
      <c r="AD75" s="0" t="str">
        <f aca="false">IF(AB75="","",IF(AB75&gt;=0.5+Config!$B$6,"OVER",IF(AC75&gt;=0.5+Config!$B$6,"UNDER","—")))</f>
        <v>UNDER</v>
      </c>
      <c r="AE75" s="13" t="n">
        <f aca="false">IFERROR(Z75/G75,"")</f>
        <v>1</v>
      </c>
    </row>
    <row r="76" customFormat="false" ht="15" hidden="false" customHeight="false" outlineLevel="0" collapsed="false">
      <c r="A76" s="0" t="s">
        <v>637</v>
      </c>
      <c r="B76" s="0" t="s">
        <v>653</v>
      </c>
      <c r="C76" s="0" t="s">
        <v>809</v>
      </c>
      <c r="D76" s="0" t="s">
        <v>658</v>
      </c>
      <c r="E76" s="0" t="s">
        <v>693</v>
      </c>
      <c r="F76" s="0" t="n">
        <v>27.5</v>
      </c>
      <c r="G76" s="11" t="n">
        <f aca="false">IFERROR(INDEX(CHOOSE(MATCH($X76,{"K1","K2","K3","K12","K13","H1","H2","H3","H12","H13"},0),Calc!$V$2:$V$56,Calc!$AC$2:$AC$56,Calc!$AJ$2:$AJ$56,Calc!$AL$2:$AL$56,Calc!$AM$2:$AM$56,Calc!$W$2:$W$56,Calc!$AD$2:$AD$56,Calc!$AK$2:$AK$56,Calc!$AN$2:$AN$56,Calc!$AO$2:$AO$56),MATCH($W76,Calc!$A$2:$A$56,0)),"")</f>
        <v>28.303137268399</v>
      </c>
      <c r="H76" s="11" t="n">
        <f aca="false">IF(G76="","",IF(LEFT($X76,1)="H",SQRT(G76*(IFERROR(INDEX(Calc!$AP$2:$AP$56,MATCH($W76,Calc!$A$2:$A$56,0)),0.5)*Config!$B$5+1-IFERROR(INDEX(Calc!$AP$2:$AP$56,MATCH($W76,Calc!$A$2:$A$56,0)),0.5))),SQRT(G76*Config!$B$5)))</f>
        <v>6.29479087625305</v>
      </c>
      <c r="I76" s="10" t="n">
        <f aca="false">IF(OR(F76="",G76="",N(H76)&lt;=0),"",1-NORMDIST(FLOOR(F76,1)+0.5,G76,H76,TRUE()))</f>
        <v>0.550762328156608</v>
      </c>
      <c r="J76" s="10" t="n">
        <f aca="false">IF(I76="","",NORMDIST(CEILING(F76,1)-0.5,G76,H76,TRUE()))</f>
        <v>0.449237671843392</v>
      </c>
      <c r="K76" s="10" t="n">
        <f aca="false">IF(I76="","",MAX(0,1-I76-J76))</f>
        <v>0</v>
      </c>
      <c r="L76" s="0" t="str">
        <f aca="false">IF(I76="","",IF(I76&gt;=0.5+Config!$B$6,"OVER",IF(J76&gt;=0.5+Config!$B$6,"UNDER","—")))</f>
        <v>OVER</v>
      </c>
      <c r="M76" s="0" t="n">
        <v>27.69</v>
      </c>
      <c r="N76" s="0" t="n">
        <v>23.5</v>
      </c>
      <c r="O76" s="10" t="n">
        <v>0.6</v>
      </c>
      <c r="P76" s="10" t="n">
        <v>0.3</v>
      </c>
      <c r="Q76" s="10" t="n">
        <v>0.33</v>
      </c>
      <c r="R76" s="9" t="s">
        <v>690</v>
      </c>
      <c r="S76" s="0" t="n">
        <v>3</v>
      </c>
      <c r="T76" s="0" t="str">
        <f aca="false">INDEX(Calc!$G$2:$G$56,MATCH($W76,Calc!$A$2:$A$56,0))&amp;" / "&amp;INDEX(Calc!$H$2:$H$56,MATCH($W76,Calc!$A$2:$A$56,0))</f>
        <v>Haven / Lotus</v>
      </c>
      <c r="U76" s="0" t="str">
        <f aca="false">TEXT(INDEX(Calc!$J$2:$J$56,MATCH($W76,Calc!$A$2:$A$56,0)),"0.0")&amp;" / "&amp;TEXT(INDEX(Calc!$K$2:$K$56,MATCH($W76,Calc!$A$2:$A$56,0)),"0.0")</f>
        <v>21.4 / 21.4</v>
      </c>
      <c r="V76" s="0" t="str">
        <f aca="false">IFERROR(INDEX(Calc!$AQ$2:$AQ$56,MATCH($W76,Calc!$A$2:$A$56,0)),"")</f>
        <v/>
      </c>
      <c r="W76" s="9" t="s">
        <v>810</v>
      </c>
      <c r="X76" s="9" t="s">
        <v>694</v>
      </c>
      <c r="Y76" s="0" t="str">
        <f aca="false">W76&amp;"|"&amp;X76</f>
        <v>t73962z8fnbjb10|VAL · TL vs M8.GC|K12</v>
      </c>
      <c r="Z76" s="11" t="n">
        <f aca="false">IFERROR(INDEX(CHOOSE(MATCH($X76,{"K1","K2","K3","K12","K13","H1","H2","H3","H12","H13"},0),Calc!$BA$2:$BA$56,Calc!$BB$2:$BB$56,Calc!$BC$2:$BC$56,Calc!$BD$2:$BD$56,Calc!$BE$2:$BE$56,Calc!$BF$2:$BF$56,Calc!$BG$2:$BG$56,Calc!$BH$2:$BH$56,Calc!$BI$2:$BI$56,Calc!$BJ$2:$BJ$56),MATCH($W76,Calc!$A$2:$A$56,0)),"")</f>
        <v>28.303137268399</v>
      </c>
      <c r="AA76" s="11" t="n">
        <f aca="false">IF(Z76="","",IF(LEFT($X76,1)="H",SQRT(Z76*(IFERROR(INDEX(Calc!$AP$2:$AP$56,MATCH($W76,Calc!$A$2:$A$56,0)),0.5)*Config!$B$5+1-IFERROR(INDEX(Calc!$AP$2:$AP$56,MATCH($W76,Calc!$A$2:$A$56,0)),0.5))),SQRT(Z76*Config!$B$5)))</f>
        <v>6.29479087625305</v>
      </c>
      <c r="AB76" s="10" t="n">
        <f aca="false">IF(OR(F76="",Z76="",N(AA76)&lt;=0),"",1-NORMDIST(FLOOR(F76,1)+0.5,Z76,AA76,TRUE()))</f>
        <v>0.550762328156608</v>
      </c>
      <c r="AC76" s="10" t="n">
        <f aca="false">IF(AB76="","",NORMDIST(CEILING(F76,1)-0.5,Z76,AA76,TRUE()))</f>
        <v>0.449237671843392</v>
      </c>
      <c r="AD76" s="0" t="str">
        <f aca="false">IF(AB76="","",IF(AB76&gt;=0.5+Config!$B$6,"OVER",IF(AC76&gt;=0.5+Config!$B$6,"UNDER","—")))</f>
        <v>OVER</v>
      </c>
      <c r="AE76" s="13" t="n">
        <f aca="false">IFERROR(Z76/G76,"")</f>
        <v>1</v>
      </c>
    </row>
  </sheetData>
  <autoFilter ref="A1:AE76"/>
  <conditionalFormatting sqref="AB2:AB76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I2:I76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42" min="7" style="0" width="9"/>
    <col collapsed="false" customWidth="true" hidden="false" outlineLevel="0" max="43" min="43" style="0" width="40"/>
    <col collapsed="false" customWidth="true" hidden="false" outlineLevel="0" max="63" min="44" style="0" width="9"/>
  </cols>
  <sheetData>
    <row r="1" customFormat="false" ht="28.35" hidden="false" customHeight="false" outlineLevel="0" collapsed="false">
      <c r="A1" s="12" t="s">
        <v>811</v>
      </c>
      <c r="B1" s="12" t="s">
        <v>571</v>
      </c>
      <c r="C1" s="12" t="s">
        <v>570</v>
      </c>
      <c r="D1" s="12" t="s">
        <v>545</v>
      </c>
      <c r="E1" s="12" t="s">
        <v>546</v>
      </c>
      <c r="F1" s="12" t="s">
        <v>812</v>
      </c>
      <c r="G1" s="12" t="s">
        <v>578</v>
      </c>
      <c r="H1" s="12" t="s">
        <v>579</v>
      </c>
      <c r="I1" s="12" t="s">
        <v>580</v>
      </c>
      <c r="J1" s="12" t="s">
        <v>813</v>
      </c>
      <c r="K1" s="12" t="s">
        <v>814</v>
      </c>
      <c r="L1" s="12" t="s">
        <v>815</v>
      </c>
      <c r="M1" s="12" t="s">
        <v>816</v>
      </c>
      <c r="N1" s="12" t="s">
        <v>817</v>
      </c>
      <c r="O1" s="12" t="s">
        <v>818</v>
      </c>
      <c r="P1" s="12" t="s">
        <v>819</v>
      </c>
      <c r="Q1" s="12" t="s">
        <v>820</v>
      </c>
      <c r="R1" s="12" t="s">
        <v>821</v>
      </c>
      <c r="S1" s="12" t="s">
        <v>822</v>
      </c>
      <c r="T1" s="12" t="s">
        <v>823</v>
      </c>
      <c r="U1" s="12" t="s">
        <v>824</v>
      </c>
      <c r="V1" s="12" t="s">
        <v>825</v>
      </c>
      <c r="W1" s="12" t="s">
        <v>826</v>
      </c>
      <c r="X1" s="12" t="s">
        <v>827</v>
      </c>
      <c r="Y1" s="12" t="s">
        <v>828</v>
      </c>
      <c r="Z1" s="12" t="s">
        <v>829</v>
      </c>
      <c r="AA1" s="12" t="s">
        <v>830</v>
      </c>
      <c r="AB1" s="12" t="s">
        <v>831</v>
      </c>
      <c r="AC1" s="12" t="s">
        <v>832</v>
      </c>
      <c r="AD1" s="12" t="s">
        <v>833</v>
      </c>
      <c r="AE1" s="12" t="s">
        <v>834</v>
      </c>
      <c r="AF1" s="12" t="s">
        <v>835</v>
      </c>
      <c r="AG1" s="12" t="s">
        <v>836</v>
      </c>
      <c r="AH1" s="12" t="s">
        <v>837</v>
      </c>
      <c r="AI1" s="12" t="s">
        <v>838</v>
      </c>
      <c r="AJ1" s="12" t="s">
        <v>839</v>
      </c>
      <c r="AK1" s="12" t="s">
        <v>840</v>
      </c>
      <c r="AL1" s="12" t="s">
        <v>551</v>
      </c>
      <c r="AM1" s="12" t="s">
        <v>841</v>
      </c>
      <c r="AN1" s="12" t="s">
        <v>560</v>
      </c>
      <c r="AO1" s="12" t="s">
        <v>842</v>
      </c>
      <c r="AP1" s="12" t="s">
        <v>559</v>
      </c>
      <c r="AQ1" s="12" t="s">
        <v>564</v>
      </c>
      <c r="AR1" s="12" t="s">
        <v>843</v>
      </c>
      <c r="AS1" s="12" t="s">
        <v>844</v>
      </c>
      <c r="AT1" s="12" t="s">
        <v>845</v>
      </c>
      <c r="AU1" s="12" t="s">
        <v>846</v>
      </c>
      <c r="AV1" s="12" t="s">
        <v>847</v>
      </c>
      <c r="AW1" s="12" t="s">
        <v>848</v>
      </c>
      <c r="AX1" s="12" t="s">
        <v>849</v>
      </c>
      <c r="AY1" s="12" t="s">
        <v>850</v>
      </c>
      <c r="AZ1" s="12" t="s">
        <v>851</v>
      </c>
      <c r="BA1" s="12" t="s">
        <v>852</v>
      </c>
      <c r="BB1" s="12" t="s">
        <v>853</v>
      </c>
      <c r="BC1" s="12" t="s">
        <v>854</v>
      </c>
      <c r="BD1" s="12" t="s">
        <v>855</v>
      </c>
      <c r="BE1" s="12" t="s">
        <v>856</v>
      </c>
      <c r="BF1" s="12" t="s">
        <v>857</v>
      </c>
      <c r="BG1" s="12" t="s">
        <v>858</v>
      </c>
      <c r="BH1" s="12" t="s">
        <v>859</v>
      </c>
      <c r="BI1" s="12" t="s">
        <v>860</v>
      </c>
      <c r="BJ1" s="12" t="s">
        <v>861</v>
      </c>
      <c r="BK1" s="12" t="s">
        <v>862</v>
      </c>
    </row>
    <row r="2" customFormat="false" ht="15" hidden="false" customHeight="false" outlineLevel="0" collapsed="false">
      <c r="A2" s="0" t="s">
        <v>691</v>
      </c>
      <c r="B2" s="0" t="s">
        <v>608</v>
      </c>
      <c r="C2" s="0" t="s">
        <v>629</v>
      </c>
      <c r="D2" s="0" t="s">
        <v>634</v>
      </c>
      <c r="E2" s="0" t="s">
        <v>688</v>
      </c>
      <c r="F2" s="0" t="s">
        <v>863</v>
      </c>
      <c r="G2" s="0" t="str">
        <f aca="false">IFERROR(IF(INDEX(Matches!$W$5:$W$12,MATCH($C2,Matches!$A$5:$A$12,0))="","",INDEX(Matches!$W$5:$W$12,MATCH($C2,Matches!$A$5:$A$12,0))),"")</f>
        <v>Dust2</v>
      </c>
      <c r="H2" s="0" t="str">
        <f aca="false">IFERROR(IF(INDEX(Matches!$X$5:$X$12,MATCH($C2,Matches!$A$5:$A$12,0))="","",INDEX(Matches!$X$5:$X$12,MATCH($C2,Matches!$A$5:$A$12,0))),"")</f>
        <v>Ancient</v>
      </c>
      <c r="I2" s="0" t="str">
        <f aca="false">IFERROR(IF(INDEX(Matches!$Y$5:$Y$12,MATCH($C2,Matches!$A$5:$A$12,0))="","",INDEX(Matches!$Y$5:$Y$12,MATCH($C2,Matches!$A$5:$A$12,0))),"")</f>
        <v>Mirage</v>
      </c>
      <c r="J2" s="11" t="n">
        <f aca="false">IFERROR(IF(INDEX(Matches!$Z$5:$Z$12,MATCH($C2,Matches!$A$5:$A$12,0))="","",INDEX(Matches!$Z$5:$Z$12,MATCH($C2,Matches!$A$5:$A$12,0))),"")</f>
        <v>21.5</v>
      </c>
      <c r="K2" s="11" t="n">
        <f aca="false">IFERROR(IF(INDEX(Matches!$AA$5:$AA$12,MATCH($C2,Matches!$A$5:$A$12,0))="","",INDEX(Matches!$AA$5:$AA$12,MATCH($C2,Matches!$A$5:$A$12,0))),"")</f>
        <v>21.5</v>
      </c>
      <c r="L2" s="11" t="n">
        <f aca="false">IFERROR(IF(INDEX(Matches!$AB$5:$AB$12,MATCH($C2,Matches!$A$5:$A$12,0))="","",INDEX(Matches!$AB$5:$AB$12,MATCH($C2,Matches!$A$5:$A$12,0))),"")</f>
        <v>21.5</v>
      </c>
      <c r="M2" s="10" t="n">
        <f aca="false">IFERROR(IF(INDEX(Matches!$AC$5:$AC$12,MATCH($C2,Matches!$A$5:$A$12,0))="","",INDEX(Matches!$AC$5:$AC$12,MATCH($C2,Matches!$A$5:$A$12,0))),"")</f>
        <v>0</v>
      </c>
      <c r="N2" s="9" t="n">
        <f aca="false">IFERROR(INDEX(Players!$F$2:$F$56,MATCH($F2,Players!$A$2:$A$56,0)),0)</f>
        <v>37</v>
      </c>
      <c r="O2" s="13" t="n">
        <f aca="false">IFERROR(1/(1/INDEX(Players!$H$2:$H$56,MATCH($F2,Players!$A$2:$A$56,0))),"")</f>
        <v>0.62</v>
      </c>
      <c r="P2" s="10" t="n">
        <f aca="false">IFERROR(1/(1/INDEX(Players!$I$2:$I$56,MATCH($F2,Players!$A$2:$A$56,0))),"")</f>
        <v>0.523</v>
      </c>
      <c r="Q2" s="9" t="n">
        <f aca="false">IF($G2="",0,SUMIFS(Map_Stats!$F$2:$F$450,Map_Stats!$A$2:$A$450,$F2&amp;"|"&amp;$G2))</f>
        <v>12</v>
      </c>
      <c r="R2" s="13" t="n">
        <f aca="false">IF($G2="","",IFERROR(1/(1/INDEX(Map_Stats!$K$2:$K$450,MATCH($F2&amp;"|"&amp;$G2,Map_Stats!$A$2:$A$450,0))),$O2))</f>
        <v>0.67</v>
      </c>
      <c r="S2" s="10" t="n">
        <f aca="false">IF(OR($G2="",$P2=""),"",IFERROR(1/(1/INDEX(Map_Stats!$I$2:$I$450,MATCH($F2&amp;"|"&amp;$G2,Map_Stats!$A$2:$A$450,0))),$P2))</f>
        <v>0.572</v>
      </c>
      <c r="T2" s="13" t="n">
        <f aca="false">IF(OR($G2="",R2=""),"",IF($O2="",R2,(Q2*R2+Config!$B$4*$O2)/(Q2+Config!$B$4)))</f>
        <v>0.655294117647059</v>
      </c>
      <c r="U2" s="10" t="n">
        <f aca="false">IF(S2="","",(Q2*S2+Config!$B$4*$P2)/(Q2+Config!$B$4))</f>
        <v>0.557588235294118</v>
      </c>
      <c r="V2" s="17" t="n">
        <f aca="false">IF(OR(T2="",$J2=""),"",T2*$J2*($J2/Config!$B$10)^Config!$B$9)</f>
        <v>14.0888235294118</v>
      </c>
      <c r="W2" s="17" t="n">
        <f aca="false">IF(OR(V2="",U2=""),"",V2*U2)</f>
        <v>7.85576224913495</v>
      </c>
      <c r="X2" s="9" t="n">
        <f aca="false">IF($H2="",0,SUMIFS(Map_Stats!$F$2:$F$450,Map_Stats!$A$2:$A$450,$F2&amp;"|"&amp;$H2))</f>
        <v>10</v>
      </c>
      <c r="Y2" s="13" t="n">
        <f aca="false">IF($H2="","",IFERROR(1/(1/INDEX(Map_Stats!$K$2:$K$450,MATCH($F2&amp;"|"&amp;$H2,Map_Stats!$A$2:$A$450,0))),$O2))</f>
        <v>0.59</v>
      </c>
      <c r="Z2" s="10" t="n">
        <f aca="false">IF(OR($H2="",$P2=""),"",IFERROR(1/(1/INDEX(Map_Stats!$I$2:$I$450,MATCH($F2&amp;"|"&amp;$H2,Map_Stats!$A$2:$A$450,0))),$P2))</f>
        <v>0.444</v>
      </c>
      <c r="AA2" s="13" t="n">
        <f aca="false">IF(OR($H2="",Y2=""),"",IF($O2="",Y2,(X2*Y2+Config!$B$4*$O2)/(X2+Config!$B$4)))</f>
        <v>0.6</v>
      </c>
      <c r="AB2" s="10" t="n">
        <f aca="false">IF(Z2="","",(X2*Z2+Config!$B$4*$P2)/(X2+Config!$B$4))</f>
        <v>0.470333333333333</v>
      </c>
      <c r="AC2" s="17" t="n">
        <f aca="false">IF(OR(AA2="",$K2=""),"",AA2*$K2*($K2/Config!$B$10)^Config!$B$9)</f>
        <v>12.9</v>
      </c>
      <c r="AD2" s="17" t="n">
        <f aca="false">IF(OR(AC2="",AB2=""),"",AC2*AB2)</f>
        <v>6.0673</v>
      </c>
      <c r="AE2" s="9" t="n">
        <f aca="false">IF($I2="",0,SUMIFS(Map_Stats!$F$2:$F$450,Map_Stats!$A$2:$A$450,$F2&amp;"|"&amp;$I2))</f>
        <v>4</v>
      </c>
      <c r="AF2" s="13" t="n">
        <f aca="false">IF($I2="","",IFERROR(1/(1/INDEX(Map_Stats!$K$2:$K$450,MATCH($F2&amp;"|"&amp;$I2,Map_Stats!$A$2:$A$450,0))),$O2))</f>
        <v>0.67</v>
      </c>
      <c r="AG2" s="10" t="n">
        <f aca="false">IF(OR($I2="",$P2=""),"",IFERROR(1/(1/INDEX(Map_Stats!$I$2:$I$450,MATCH($F2&amp;"|"&amp;$I2,Map_Stats!$A$2:$A$450,0))),$P2))</f>
        <v>0.566</v>
      </c>
      <c r="AH2" s="13" t="n">
        <f aca="false">IF(OR($I2="",AF2=""),"",IF($O2="",AF2,(AE2*AF2+Config!$B$4*$O2)/(AE2+Config!$B$4)))</f>
        <v>0.642222222222222</v>
      </c>
      <c r="AI2" s="10" t="n">
        <f aca="false">IF(AG2="","",(AE2*AG2+Config!$B$4*$P2)/(AE2+Config!$B$4))</f>
        <v>0.542111111111111</v>
      </c>
      <c r="AJ2" s="17" t="n">
        <f aca="false">IF(OR(AH2="",$L2=""),"",AH2*$L2*($L2/Config!$B$10)^Config!$B$9)</f>
        <v>13.8077777777778</v>
      </c>
      <c r="AK2" s="17" t="n">
        <f aca="false">IF(OR(AJ2="",AI2=""),"",AJ2*AI2)</f>
        <v>7.48534975308642</v>
      </c>
      <c r="AL2" s="17" t="n">
        <f aca="false">N(V2)+N(AC2)</f>
        <v>26.9888235294118</v>
      </c>
      <c r="AM2" s="17" t="n">
        <f aca="false">AL2+N($M2)*N(AJ2)</f>
        <v>26.9888235294118</v>
      </c>
      <c r="AN2" s="17" t="n">
        <f aca="false">IF(W2="","",N(W2)+N(AD2))</f>
        <v>13.9230622491349</v>
      </c>
      <c r="AO2" s="17" t="n">
        <f aca="false">IF(AN2="","",AN2+N($M2)*N(AK2))</f>
        <v>13.9230622491349</v>
      </c>
      <c r="AP2" s="10" t="n">
        <f aca="false">IFERROR(AN2/AL2,"")</f>
        <v>0.515882518330669</v>
      </c>
      <c r="AQ2" s="0" t="str">
        <f aca="false">TRIM(IF($N2&lt;Config!$B$12,"thin sample ("&amp;$N2&amp;" maps) · ","")&amp;IF(AND($G2&lt;&gt;"",Q2=0),"M1 unplayed→overall KPR · ","")&amp;IF(AND($H2&lt;&gt;"",X2=0),"M2 unplayed→overall KPR · ","")&amp;IF($O2="","no PickFinder stats",""))</f>
        <v/>
      </c>
      <c r="AR2" s="0" t="str">
        <f aca="false">IF($C2=Board!$B$2,COUNTIFS($C$2:$C$56,Board!$B$2,$AL$2:$AL$56,"&gt;"&amp;$AL2)+COUNTIFS($C$1:$C1,Board!$B$2,$AL$1:$AL1,$AL2)+1,"")</f>
        <v/>
      </c>
      <c r="AS2" s="0" t="str">
        <f aca="false">IFERROR(IF($D2=INDEX(Matches!$AD$5:$AD$12,MATCH($C2,Matches!$A$5:$A$12,0)),"A",IF($D2=INDEX(Matches!$AE$5:$AE$12,MATCH($C2,Matches!$A$5:$A$12,0)),"B","")),"")</f>
        <v>A</v>
      </c>
      <c r="AT2" s="10" t="n">
        <f aca="false">IF($AS2="","",IFERROR(IF($AS2="A",INDEX(Matches!$AI$5:$AI$12,MATCH($C2,Matches!$A$5:$A$12,0)),INDEX(Matches!$AJ$5:$AJ$12,MATCH($C2,Matches!$A$5:$A$12,0))),""))</f>
        <v>0.492537775928135</v>
      </c>
      <c r="AU2" s="10" t="n">
        <f aca="false">IF($AS2="","",IFERROR(IF(INDEX(Matches!$AP$5:$AP$12,MATCH($C2,Matches!$A$5:$A$12,0))="","",IF($AS2="A",INDEX(Matches!$AP$5:$AP$12,MATCH($C2,Matches!$A$5:$A$12,0)),1-INDEX(Matches!$AP$5:$AP$12,MATCH($C2,Matches!$A$5:$A$12,0)))),""))</f>
        <v>0.535348456924146</v>
      </c>
      <c r="AV2" s="13" t="n">
        <f aca="false">IF(OR($AU2="",$AT2=""),1,((Config!$B$14*$AU2+Config!$B$15*(1-$AU2))/(Config!$B$14*$AT2+Config!$B$15*(1-$AT2)))^Config!$B$13)</f>
        <v>1.03851317333739</v>
      </c>
      <c r="AW2" s="10" t="n">
        <f aca="false">IF($AS2="","",IFERROR(IF(INDEX(Matches!$AV$5:$AV$12,MATCH($C2,Matches!$A$5:$A$12,0))="","",IF($AS2="A",INDEX(Matches!$AV$5:$AV$12,MATCH($C2,Matches!$A$5:$A$12,0)),1-INDEX(Matches!$AV$5:$AV$12,MATCH($C2,Matches!$A$5:$A$12,0)))),""))</f>
        <v>0.523179017366478</v>
      </c>
      <c r="AX2" s="13" t="n">
        <f aca="false">IF(OR($AW2="",$AT2=""),1,((Config!$B$14*$AW2+Config!$B$15*(1-$AW2))/(Config!$B$14*$AT2+Config!$B$15*(1-$AT2)))^Config!$B$13)</f>
        <v>1.02756535087348</v>
      </c>
      <c r="AY2" s="10" t="n">
        <f aca="false">IF($AS2="","",IFERROR(IF(INDEX(Matches!$BB$5:$BB$12,MATCH($C2,Matches!$A$5:$A$12,0))="","",IF($AS2="A",INDEX(Matches!$BB$5:$BB$12,MATCH($C2,Matches!$A$5:$A$12,0)),1-INDEX(Matches!$BB$5:$BB$12,MATCH($C2,Matches!$A$5:$A$12,0)))),""))</f>
        <v>0.568282020882563</v>
      </c>
      <c r="AZ2" s="13" t="n">
        <f aca="false">IF(OR($AY2="",$AT2=""),1,((Config!$B$14*$AY2+Config!$B$15*(1-$AY2))/(Config!$B$14*$AT2+Config!$B$15*(1-$AT2)))^Config!$B$13)</f>
        <v>1.0681407342133</v>
      </c>
      <c r="BA2" s="17" t="n">
        <f aca="false">IF(V2="","",V2*$AV2)</f>
        <v>14.6314288321199</v>
      </c>
      <c r="BB2" s="17" t="n">
        <f aca="false">IF(AC2="","",AC2*$AX2)</f>
        <v>13.2555930262679</v>
      </c>
      <c r="BC2" s="17" t="n">
        <f aca="false">IF(AJ2="","",AJ2*$AZ2)</f>
        <v>14.7486498934096</v>
      </c>
      <c r="BD2" s="17" t="n">
        <f aca="false">N(BA2)+N(BB2)</f>
        <v>27.8870218583878</v>
      </c>
      <c r="BE2" s="17" t="n">
        <f aca="false">BD2+N($M2)*N(BC2)</f>
        <v>27.8870218583878</v>
      </c>
      <c r="BF2" s="17" t="n">
        <f aca="false">IF(W2="","",W2*$AV2)</f>
        <v>8.1583125823332</v>
      </c>
      <c r="BG2" s="17" t="n">
        <f aca="false">IF(AD2="","",AD2*$AX2)</f>
        <v>6.23454725335467</v>
      </c>
      <c r="BH2" s="17" t="n">
        <f aca="false">IF(AK2="","",AK2*$AZ2)</f>
        <v>7.99540698110507</v>
      </c>
      <c r="BI2" s="17" t="n">
        <f aca="false">IF(BF2="","",N(BF2)+N(BG2))</f>
        <v>14.3928598356879</v>
      </c>
      <c r="BJ2" s="17" t="n">
        <f aca="false">IF(BI2="","",BI2+N($M2)*N(BH2))</f>
        <v>14.3928598356879</v>
      </c>
      <c r="BK2" s="13" t="n">
        <f aca="false">IFERROR(BD2/AL2,1)</f>
        <v>1.03328038096945</v>
      </c>
    </row>
    <row r="3" customFormat="false" ht="15" hidden="false" customHeight="false" outlineLevel="0" collapsed="false">
      <c r="A3" s="0" t="s">
        <v>696</v>
      </c>
      <c r="B3" s="0" t="s">
        <v>608</v>
      </c>
      <c r="C3" s="0" t="s">
        <v>629</v>
      </c>
      <c r="D3" s="0" t="s">
        <v>634</v>
      </c>
      <c r="E3" s="0" t="s">
        <v>695</v>
      </c>
      <c r="F3" s="0" t="s">
        <v>864</v>
      </c>
      <c r="G3" s="0" t="str">
        <f aca="false">IFERROR(IF(INDEX(Matches!$W$5:$W$12,MATCH($C3,Matches!$A$5:$A$12,0))="","",INDEX(Matches!$W$5:$W$12,MATCH($C3,Matches!$A$5:$A$12,0))),"")</f>
        <v>Dust2</v>
      </c>
      <c r="H3" s="0" t="str">
        <f aca="false">IFERROR(IF(INDEX(Matches!$X$5:$X$12,MATCH($C3,Matches!$A$5:$A$12,0))="","",INDEX(Matches!$X$5:$X$12,MATCH($C3,Matches!$A$5:$A$12,0))),"")</f>
        <v>Ancient</v>
      </c>
      <c r="I3" s="0" t="str">
        <f aca="false">IFERROR(IF(INDEX(Matches!$Y$5:$Y$12,MATCH($C3,Matches!$A$5:$A$12,0))="","",INDEX(Matches!$Y$5:$Y$12,MATCH($C3,Matches!$A$5:$A$12,0))),"")</f>
        <v>Mirage</v>
      </c>
      <c r="J3" s="11" t="n">
        <f aca="false">IFERROR(IF(INDEX(Matches!$Z$5:$Z$12,MATCH($C3,Matches!$A$5:$A$12,0))="","",INDEX(Matches!$Z$5:$Z$12,MATCH($C3,Matches!$A$5:$A$12,0))),"")</f>
        <v>21.5</v>
      </c>
      <c r="K3" s="11" t="n">
        <f aca="false">IFERROR(IF(INDEX(Matches!$AA$5:$AA$12,MATCH($C3,Matches!$A$5:$A$12,0))="","",INDEX(Matches!$AA$5:$AA$12,MATCH($C3,Matches!$A$5:$A$12,0))),"")</f>
        <v>21.5</v>
      </c>
      <c r="L3" s="11" t="n">
        <f aca="false">IFERROR(IF(INDEX(Matches!$AB$5:$AB$12,MATCH($C3,Matches!$A$5:$A$12,0))="","",INDEX(Matches!$AB$5:$AB$12,MATCH($C3,Matches!$A$5:$A$12,0))),"")</f>
        <v>21.5</v>
      </c>
      <c r="M3" s="10" t="n">
        <f aca="false">IFERROR(IF(INDEX(Matches!$AC$5:$AC$12,MATCH($C3,Matches!$A$5:$A$12,0))="","",INDEX(Matches!$AC$5:$AC$12,MATCH($C3,Matches!$A$5:$A$12,0))),"")</f>
        <v>0</v>
      </c>
      <c r="N3" s="9" t="n">
        <f aca="false">IFERROR(INDEX(Players!$F$2:$F$56,MATCH($F3,Players!$A$2:$A$56,0)),0)</f>
        <v>37</v>
      </c>
      <c r="O3" s="13" t="n">
        <f aca="false">IFERROR(1/(1/INDEX(Players!$H$2:$H$56,MATCH($F3,Players!$A$2:$A$56,0))),"")</f>
        <v>0.64</v>
      </c>
      <c r="P3" s="10" t="n">
        <f aca="false">IFERROR(1/(1/INDEX(Players!$I$2:$I$56,MATCH($F3,Players!$A$2:$A$56,0))),"")</f>
        <v>0.492</v>
      </c>
      <c r="Q3" s="9" t="n">
        <f aca="false">IF($G3="",0,SUMIFS(Map_Stats!$F$2:$F$450,Map_Stats!$A$2:$A$450,$F3&amp;"|"&amp;$G3))</f>
        <v>12</v>
      </c>
      <c r="R3" s="13" t="n">
        <f aca="false">IF($G3="","",IFERROR(1/(1/INDEX(Map_Stats!$K$2:$K$450,MATCH($F3&amp;"|"&amp;$G3,Map_Stats!$A$2:$A$450,0))),$O3))</f>
        <v>0.67</v>
      </c>
      <c r="S3" s="10" t="n">
        <f aca="false">IF(OR($G3="",$P3=""),"",IFERROR(1/(1/INDEX(Map_Stats!$I$2:$I$450,MATCH($F3&amp;"|"&amp;$G3,Map_Stats!$A$2:$A$450,0))),$P3))</f>
        <v>0.518</v>
      </c>
      <c r="T3" s="13" t="n">
        <f aca="false">IF(OR($G3="",R3=""),"",IF($O3="",R3,(Q3*R3+Config!$B$4*$O3)/(Q3+Config!$B$4)))</f>
        <v>0.661176470588235</v>
      </c>
      <c r="U3" s="10" t="n">
        <f aca="false">IF(S3="","",(Q3*S3+Config!$B$4*$P3)/(Q3+Config!$B$4))</f>
        <v>0.510352941176471</v>
      </c>
      <c r="V3" s="17" t="n">
        <f aca="false">IF(OR(T3="",$J3=""),"",T3*$J3*($J3/Config!$B$10)^Config!$B$9)</f>
        <v>14.2152941176471</v>
      </c>
      <c r="W3" s="17" t="n">
        <f aca="false">IF(OR(V3="",U3=""),"",V3*U3)</f>
        <v>7.25481716262976</v>
      </c>
      <c r="X3" s="9" t="n">
        <f aca="false">IF($H3="",0,SUMIFS(Map_Stats!$F$2:$F$450,Map_Stats!$A$2:$A$450,$F3&amp;"|"&amp;$H3))</f>
        <v>10</v>
      </c>
      <c r="Y3" s="13" t="n">
        <f aca="false">IF($H3="","",IFERROR(1/(1/INDEX(Map_Stats!$K$2:$K$450,MATCH($F3&amp;"|"&amp;$H3,Map_Stats!$A$2:$A$450,0))),$O3))</f>
        <v>0.66</v>
      </c>
      <c r="Z3" s="10" t="n">
        <f aca="false">IF(OR($H3="",$P3=""),"",IFERROR(1/(1/INDEX(Map_Stats!$I$2:$I$450,MATCH($F3&amp;"|"&amp;$H3,Map_Stats!$A$2:$A$450,0))),$P3))</f>
        <v>0.466</v>
      </c>
      <c r="AA3" s="13" t="n">
        <f aca="false">IF(OR($H3="",Y3=""),"",IF($O3="",Y3,(X3*Y3+Config!$B$4*$O3)/(X3+Config!$B$4)))</f>
        <v>0.653333333333333</v>
      </c>
      <c r="AB3" s="10" t="n">
        <f aca="false">IF(Z3="","",(X3*Z3+Config!$B$4*$P3)/(X3+Config!$B$4))</f>
        <v>0.474666666666667</v>
      </c>
      <c r="AC3" s="17" t="n">
        <f aca="false">IF(OR(AA3="",$K3=""),"",AA3*$K3*($K3/Config!$B$10)^Config!$B$9)</f>
        <v>14.0466666666667</v>
      </c>
      <c r="AD3" s="17" t="n">
        <f aca="false">IF(OR(AC3="",AB3=""),"",AC3*AB3)</f>
        <v>6.66748444444445</v>
      </c>
      <c r="AE3" s="9" t="n">
        <f aca="false">IF($I3="",0,SUMIFS(Map_Stats!$F$2:$F$450,Map_Stats!$A$2:$A$450,$F3&amp;"|"&amp;$I3))</f>
        <v>4</v>
      </c>
      <c r="AF3" s="13" t="n">
        <f aca="false">IF($I3="","",IFERROR(1/(1/INDEX(Map_Stats!$K$2:$K$450,MATCH($F3&amp;"|"&amp;$I3,Map_Stats!$A$2:$A$450,0))),$O3))</f>
        <v>0.57</v>
      </c>
      <c r="AG3" s="10" t="n">
        <f aca="false">IF(OR($I3="",$P3=""),"",IFERROR(1/(1/INDEX(Map_Stats!$I$2:$I$450,MATCH($F3&amp;"|"&amp;$I3,Map_Stats!$A$2:$A$450,0))),$P3))</f>
        <v>0.467</v>
      </c>
      <c r="AH3" s="13" t="n">
        <f aca="false">IF(OR($I3="",AF3=""),"",IF($O3="",AF3,(AE3*AF3+Config!$B$4*$O3)/(AE3+Config!$B$4)))</f>
        <v>0.608888888888889</v>
      </c>
      <c r="AI3" s="10" t="n">
        <f aca="false">IF(AG3="","",(AE3*AG3+Config!$B$4*$P3)/(AE3+Config!$B$4))</f>
        <v>0.480888888888889</v>
      </c>
      <c r="AJ3" s="17" t="n">
        <f aca="false">IF(OR(AH3="",$L3=""),"",AH3*$L3*($L3/Config!$B$10)^Config!$B$9)</f>
        <v>13.0911111111111</v>
      </c>
      <c r="AK3" s="17" t="n">
        <f aca="false">IF(OR(AJ3="",AI3=""),"",AJ3*AI3)</f>
        <v>6.29536987654321</v>
      </c>
      <c r="AL3" s="17" t="n">
        <f aca="false">N(V3)+N(AC3)</f>
        <v>28.2619607843137</v>
      </c>
      <c r="AM3" s="17" t="n">
        <f aca="false">AL3+N($M3)*N(AJ3)</f>
        <v>28.2619607843137</v>
      </c>
      <c r="AN3" s="17" t="n">
        <f aca="false">IF(W3="","",N(W3)+N(AD3))</f>
        <v>13.9223016070742</v>
      </c>
      <c r="AO3" s="17" t="n">
        <f aca="false">IF(AN3="","",AN3+N($M3)*N(AK3))</f>
        <v>13.9223016070742</v>
      </c>
      <c r="AP3" s="10" t="n">
        <f aca="false">IFERROR(AN3/AL3,"")</f>
        <v>0.492616266554354</v>
      </c>
      <c r="AQ3" s="0" t="str">
        <f aca="false">TRIM(IF($N3&lt;Config!$B$12,"thin sample ("&amp;$N3&amp;" maps) · ","")&amp;IF(AND($G3&lt;&gt;"",Q3=0),"M1 unplayed→overall KPR · ","")&amp;IF(AND($H3&lt;&gt;"",X3=0),"M2 unplayed→overall KPR · ","")&amp;IF($O3="","no PickFinder stats",""))</f>
        <v/>
      </c>
      <c r="AR3" s="0" t="str">
        <f aca="false">IF($C3=Board!$B$2,COUNTIFS($C$2:$C$56,Board!$B$2,$AL$2:$AL$56,"&gt;"&amp;$AL3)+COUNTIFS($C$1:$C2,Board!$B$2,$AL$1:$AL2,$AL3)+1,"")</f>
        <v/>
      </c>
      <c r="AS3" s="0" t="str">
        <f aca="false">IFERROR(IF($D3=INDEX(Matches!$AD$5:$AD$12,MATCH($C3,Matches!$A$5:$A$12,0)),"A",IF($D3=INDEX(Matches!$AE$5:$AE$12,MATCH($C3,Matches!$A$5:$A$12,0)),"B","")),"")</f>
        <v>A</v>
      </c>
      <c r="AT3" s="10" t="n">
        <f aca="false">IF($AS3="","",IFERROR(IF($AS3="A",INDEX(Matches!$AI$5:$AI$12,MATCH($C3,Matches!$A$5:$A$12,0)),INDEX(Matches!$AJ$5:$AJ$12,MATCH($C3,Matches!$A$5:$A$12,0))),""))</f>
        <v>0.492537775928135</v>
      </c>
      <c r="AU3" s="10" t="n">
        <f aca="false">IF($AS3="","",IFERROR(IF(INDEX(Matches!$AP$5:$AP$12,MATCH($C3,Matches!$A$5:$A$12,0))="","",IF($AS3="A",INDEX(Matches!$AP$5:$AP$12,MATCH($C3,Matches!$A$5:$A$12,0)),1-INDEX(Matches!$AP$5:$AP$12,MATCH($C3,Matches!$A$5:$A$12,0)))),""))</f>
        <v>0.535348456924146</v>
      </c>
      <c r="AV3" s="13" t="n">
        <f aca="false">IF(OR($AU3="",$AT3=""),1,((Config!$B$14*$AU3+Config!$B$15*(1-$AU3))/(Config!$B$14*$AT3+Config!$B$15*(1-$AT3)))^Config!$B$13)</f>
        <v>1.03851317333739</v>
      </c>
      <c r="AW3" s="10" t="n">
        <f aca="false">IF($AS3="","",IFERROR(IF(INDEX(Matches!$AV$5:$AV$12,MATCH($C3,Matches!$A$5:$A$12,0))="","",IF($AS3="A",INDEX(Matches!$AV$5:$AV$12,MATCH($C3,Matches!$A$5:$A$12,0)),1-INDEX(Matches!$AV$5:$AV$12,MATCH($C3,Matches!$A$5:$A$12,0)))),""))</f>
        <v>0.523179017366478</v>
      </c>
      <c r="AX3" s="13" t="n">
        <f aca="false">IF(OR($AW3="",$AT3=""),1,((Config!$B$14*$AW3+Config!$B$15*(1-$AW3))/(Config!$B$14*$AT3+Config!$B$15*(1-$AT3)))^Config!$B$13)</f>
        <v>1.02756535087348</v>
      </c>
      <c r="AY3" s="10" t="n">
        <f aca="false">IF($AS3="","",IFERROR(IF(INDEX(Matches!$BB$5:$BB$12,MATCH($C3,Matches!$A$5:$A$12,0))="","",IF($AS3="A",INDEX(Matches!$BB$5:$BB$12,MATCH($C3,Matches!$A$5:$A$12,0)),1-INDEX(Matches!$BB$5:$BB$12,MATCH($C3,Matches!$A$5:$A$12,0)))),""))</f>
        <v>0.568282020882563</v>
      </c>
      <c r="AZ3" s="13" t="n">
        <f aca="false">IF(OR($AY3="",$AT3=""),1,((Config!$B$14*$AY3+Config!$B$15*(1-$AY3))/(Config!$B$14*$AT3+Config!$B$15*(1-$AT3)))^Config!$B$13)</f>
        <v>1.0681407342133</v>
      </c>
      <c r="BA3" s="17" t="n">
        <f aca="false">IF(V3="","",V3*$AV3)</f>
        <v>14.762770204042</v>
      </c>
      <c r="BB3" s="17" t="n">
        <f aca="false">IF(AC3="","",AC3*$AX3)</f>
        <v>14.4338679619362</v>
      </c>
      <c r="BC3" s="17" t="n">
        <f aca="false">IF(AJ3="","",AJ3*$AZ3)</f>
        <v>13.9831490338901</v>
      </c>
      <c r="BD3" s="17" t="n">
        <f aca="false">N(BA3)+N(BB3)</f>
        <v>29.1966381659781</v>
      </c>
      <c r="BE3" s="17" t="n">
        <f aca="false">BD3+N($M3)*N(BC3)</f>
        <v>29.1966381659781</v>
      </c>
      <c r="BF3" s="17" t="n">
        <f aca="false">IF(W3="","",W3*$AV3)</f>
        <v>7.53422319354518</v>
      </c>
      <c r="BG3" s="17" t="n">
        <f aca="false">IF(AD3="","",AD3*$AX3)</f>
        <v>6.85127599259903</v>
      </c>
      <c r="BH3" s="17" t="n">
        <f aca="false">IF(AK3="","",AK3*$AZ3)</f>
        <v>6.72434100207515</v>
      </c>
      <c r="BI3" s="17" t="n">
        <f aca="false">IF(BF3="","",N(BF3)+N(BG3))</f>
        <v>14.3854991861442</v>
      </c>
      <c r="BJ3" s="17" t="n">
        <f aca="false">IF(BI3="","",BI3+N($M3)*N(BH3))</f>
        <v>14.3854991861442</v>
      </c>
      <c r="BK3" s="13" t="n">
        <f aca="false">IFERROR(BD3/AL3,1)</f>
        <v>1.03307192267364</v>
      </c>
    </row>
    <row r="4" customFormat="false" ht="15" hidden="false" customHeight="false" outlineLevel="0" collapsed="false">
      <c r="A4" s="0" t="s">
        <v>698</v>
      </c>
      <c r="B4" s="0" t="s">
        <v>608</v>
      </c>
      <c r="C4" s="0" t="s">
        <v>629</v>
      </c>
      <c r="D4" s="0" t="s">
        <v>634</v>
      </c>
      <c r="E4" s="0" t="s">
        <v>697</v>
      </c>
      <c r="F4" s="0" t="s">
        <v>865</v>
      </c>
      <c r="G4" s="0" t="str">
        <f aca="false">IFERROR(IF(INDEX(Matches!$W$5:$W$12,MATCH($C4,Matches!$A$5:$A$12,0))="","",INDEX(Matches!$W$5:$W$12,MATCH($C4,Matches!$A$5:$A$12,0))),"")</f>
        <v>Dust2</v>
      </c>
      <c r="H4" s="0" t="str">
        <f aca="false">IFERROR(IF(INDEX(Matches!$X$5:$X$12,MATCH($C4,Matches!$A$5:$A$12,0))="","",INDEX(Matches!$X$5:$X$12,MATCH($C4,Matches!$A$5:$A$12,0))),"")</f>
        <v>Ancient</v>
      </c>
      <c r="I4" s="0" t="str">
        <f aca="false">IFERROR(IF(INDEX(Matches!$Y$5:$Y$12,MATCH($C4,Matches!$A$5:$A$12,0))="","",INDEX(Matches!$Y$5:$Y$12,MATCH($C4,Matches!$A$5:$A$12,0))),"")</f>
        <v>Mirage</v>
      </c>
      <c r="J4" s="11" t="n">
        <f aca="false">IFERROR(IF(INDEX(Matches!$Z$5:$Z$12,MATCH($C4,Matches!$A$5:$A$12,0))="","",INDEX(Matches!$Z$5:$Z$12,MATCH($C4,Matches!$A$5:$A$12,0))),"")</f>
        <v>21.5</v>
      </c>
      <c r="K4" s="11" t="n">
        <f aca="false">IFERROR(IF(INDEX(Matches!$AA$5:$AA$12,MATCH($C4,Matches!$A$5:$A$12,0))="","",INDEX(Matches!$AA$5:$AA$12,MATCH($C4,Matches!$A$5:$A$12,0))),"")</f>
        <v>21.5</v>
      </c>
      <c r="L4" s="11" t="n">
        <f aca="false">IFERROR(IF(INDEX(Matches!$AB$5:$AB$12,MATCH($C4,Matches!$A$5:$A$12,0))="","",INDEX(Matches!$AB$5:$AB$12,MATCH($C4,Matches!$A$5:$A$12,0))),"")</f>
        <v>21.5</v>
      </c>
      <c r="M4" s="10" t="n">
        <f aca="false">IFERROR(IF(INDEX(Matches!$AC$5:$AC$12,MATCH($C4,Matches!$A$5:$A$12,0))="","",INDEX(Matches!$AC$5:$AC$12,MATCH($C4,Matches!$A$5:$A$12,0))),"")</f>
        <v>0</v>
      </c>
      <c r="N4" s="9" t="n">
        <f aca="false">IFERROR(INDEX(Players!$F$2:$F$56,MATCH($F4,Players!$A$2:$A$56,0)),0)</f>
        <v>37</v>
      </c>
      <c r="O4" s="13" t="n">
        <f aca="false">IFERROR(1/(1/INDEX(Players!$H$2:$H$56,MATCH($F4,Players!$A$2:$A$56,0))),"")</f>
        <v>0.72</v>
      </c>
      <c r="P4" s="10" t="n">
        <f aca="false">IFERROR(1/(1/INDEX(Players!$I$2:$I$56,MATCH($F4,Players!$A$2:$A$56,0))),"")</f>
        <v>0.33</v>
      </c>
      <c r="Q4" s="9" t="n">
        <f aca="false">IF($G4="",0,SUMIFS(Map_Stats!$F$2:$F$450,Map_Stats!$A$2:$A$450,$F4&amp;"|"&amp;$G4))</f>
        <v>12</v>
      </c>
      <c r="R4" s="13" t="n">
        <f aca="false">IF($G4="","",IFERROR(1/(1/INDEX(Map_Stats!$K$2:$K$450,MATCH($F4&amp;"|"&amp;$G4,Map_Stats!$A$2:$A$450,0))),$O4))</f>
        <v>0.7</v>
      </c>
      <c r="S4" s="10" t="n">
        <f aca="false">IF(OR($G4="",$P4=""),"",IFERROR(1/(1/INDEX(Map_Stats!$I$2:$I$450,MATCH($F4&amp;"|"&amp;$G4,Map_Stats!$A$2:$A$450,0))),$P4))</f>
        <v>0.423</v>
      </c>
      <c r="T4" s="13" t="n">
        <f aca="false">IF(OR($G4="",R4=""),"",IF($O4="",R4,(Q4*R4+Config!$B$4*$O4)/(Q4+Config!$B$4)))</f>
        <v>0.705882352941176</v>
      </c>
      <c r="U4" s="10" t="n">
        <f aca="false">IF(S4="","",(Q4*S4+Config!$B$4*$P4)/(Q4+Config!$B$4))</f>
        <v>0.395647058823529</v>
      </c>
      <c r="V4" s="17" t="n">
        <f aca="false">IF(OR(T4="",$J4=""),"",T4*$J4*($J4/Config!$B$10)^Config!$B$9)</f>
        <v>15.1764705882353</v>
      </c>
      <c r="W4" s="17" t="n">
        <f aca="false">IF(OR(V4="",U4=""),"",V4*U4)</f>
        <v>6.00452595155709</v>
      </c>
      <c r="X4" s="9" t="n">
        <f aca="false">IF($H4="",0,SUMIFS(Map_Stats!$F$2:$F$450,Map_Stats!$A$2:$A$450,$F4&amp;"|"&amp;$H4))</f>
        <v>10</v>
      </c>
      <c r="Y4" s="13" t="n">
        <f aca="false">IF($H4="","",IFERROR(1/(1/INDEX(Map_Stats!$K$2:$K$450,MATCH($F4&amp;"|"&amp;$H4,Map_Stats!$A$2:$A$450,0))),$O4))</f>
        <v>0.72</v>
      </c>
      <c r="Z4" s="10" t="n">
        <f aca="false">IF(OR($H4="",$P4=""),"",IFERROR(1/(1/INDEX(Map_Stats!$I$2:$I$450,MATCH($F4&amp;"|"&amp;$H4,Map_Stats!$A$2:$A$450,0))),$P4))</f>
        <v>0.313</v>
      </c>
      <c r="AA4" s="13" t="n">
        <f aca="false">IF(OR($H4="",Y4=""),"",IF($O4="",Y4,(X4*Y4+Config!$B$4*$O4)/(X4+Config!$B$4)))</f>
        <v>0.72</v>
      </c>
      <c r="AB4" s="10" t="n">
        <f aca="false">IF(Z4="","",(X4*Z4+Config!$B$4*$P4)/(X4+Config!$B$4))</f>
        <v>0.318666666666667</v>
      </c>
      <c r="AC4" s="17" t="n">
        <f aca="false">IF(OR(AA4="",$K4=""),"",AA4*$K4*($K4/Config!$B$10)^Config!$B$9)</f>
        <v>15.48</v>
      </c>
      <c r="AD4" s="17" t="n">
        <f aca="false">IF(OR(AC4="",AB4=""),"",AC4*AB4)</f>
        <v>4.93296</v>
      </c>
      <c r="AE4" s="9" t="n">
        <f aca="false">IF($I4="",0,SUMIFS(Map_Stats!$F$2:$F$450,Map_Stats!$A$2:$A$450,$F4&amp;"|"&amp;$I4))</f>
        <v>4</v>
      </c>
      <c r="AF4" s="13" t="n">
        <f aca="false">IF($I4="","",IFERROR(1/(1/INDEX(Map_Stats!$K$2:$K$450,MATCH($F4&amp;"|"&amp;$I4,Map_Stats!$A$2:$A$450,0))),$O4))</f>
        <v>0.65</v>
      </c>
      <c r="AG4" s="10" t="n">
        <f aca="false">IF(OR($I4="",$P4=""),"",IFERROR(1/(1/INDEX(Map_Stats!$I$2:$I$450,MATCH($F4&amp;"|"&amp;$I4,Map_Stats!$A$2:$A$450,0))),$P4))</f>
        <v>0.176</v>
      </c>
      <c r="AH4" s="13" t="n">
        <f aca="false">IF(OR($I4="",AF4=""),"",IF($O4="",AF4,(AE4*AF4+Config!$B$4*$O4)/(AE4+Config!$B$4)))</f>
        <v>0.688888888888889</v>
      </c>
      <c r="AI4" s="10" t="n">
        <f aca="false">IF(AG4="","",(AE4*AG4+Config!$B$4*$P4)/(AE4+Config!$B$4))</f>
        <v>0.261555555555556</v>
      </c>
      <c r="AJ4" s="17" t="n">
        <f aca="false">IF(OR(AH4="",$L4=""),"",AH4*$L4*($L4/Config!$B$10)^Config!$B$9)</f>
        <v>14.8111111111111</v>
      </c>
      <c r="AK4" s="17" t="n">
        <f aca="false">IF(OR(AJ4="",AI4=""),"",AJ4*AI4)</f>
        <v>3.87392839506173</v>
      </c>
      <c r="AL4" s="17" t="n">
        <f aca="false">N(V4)+N(AC4)</f>
        <v>30.6564705882353</v>
      </c>
      <c r="AM4" s="17" t="n">
        <f aca="false">AL4+N($M4)*N(AJ4)</f>
        <v>30.6564705882353</v>
      </c>
      <c r="AN4" s="17" t="n">
        <f aca="false">IF(W4="","",N(W4)+N(AD4))</f>
        <v>10.9374859515571</v>
      </c>
      <c r="AO4" s="17" t="n">
        <f aca="false">IF(AN4="","",AN4+N($M4)*N(AK4))</f>
        <v>10.9374859515571</v>
      </c>
      <c r="AP4" s="10" t="n">
        <f aca="false">IFERROR(AN4/AL4,"")</f>
        <v>0.356775771694817</v>
      </c>
      <c r="AQ4" s="0" t="str">
        <f aca="false">TRIM(IF($N4&lt;Config!$B$12,"thin sample ("&amp;$N4&amp;" maps) · ","")&amp;IF(AND($G4&lt;&gt;"",Q4=0),"M1 unplayed→overall KPR · ","")&amp;IF(AND($H4&lt;&gt;"",X4=0),"M2 unplayed→overall KPR · ","")&amp;IF($O4="","no PickFinder stats",""))</f>
        <v/>
      </c>
      <c r="AR4" s="0" t="str">
        <f aca="false">IF($C4=Board!$B$2,COUNTIFS($C$2:$C$56,Board!$B$2,$AL$2:$AL$56,"&gt;"&amp;$AL4)+COUNTIFS($C$1:$C3,Board!$B$2,$AL$1:$AL3,$AL4)+1,"")</f>
        <v/>
      </c>
      <c r="AS4" s="0" t="str">
        <f aca="false">IFERROR(IF($D4=INDEX(Matches!$AD$5:$AD$12,MATCH($C4,Matches!$A$5:$A$12,0)),"A",IF($D4=INDEX(Matches!$AE$5:$AE$12,MATCH($C4,Matches!$A$5:$A$12,0)),"B","")),"")</f>
        <v>A</v>
      </c>
      <c r="AT4" s="10" t="n">
        <f aca="false">IF($AS4="","",IFERROR(IF($AS4="A",INDEX(Matches!$AI$5:$AI$12,MATCH($C4,Matches!$A$5:$A$12,0)),INDEX(Matches!$AJ$5:$AJ$12,MATCH($C4,Matches!$A$5:$A$12,0))),""))</f>
        <v>0.492537775928135</v>
      </c>
      <c r="AU4" s="10" t="n">
        <f aca="false">IF($AS4="","",IFERROR(IF(INDEX(Matches!$AP$5:$AP$12,MATCH($C4,Matches!$A$5:$A$12,0))="","",IF($AS4="A",INDEX(Matches!$AP$5:$AP$12,MATCH($C4,Matches!$A$5:$A$12,0)),1-INDEX(Matches!$AP$5:$AP$12,MATCH($C4,Matches!$A$5:$A$12,0)))),""))</f>
        <v>0.535348456924146</v>
      </c>
      <c r="AV4" s="13" t="n">
        <f aca="false">IF(OR($AU4="",$AT4=""),1,((Config!$B$14*$AU4+Config!$B$15*(1-$AU4))/(Config!$B$14*$AT4+Config!$B$15*(1-$AT4)))^Config!$B$13)</f>
        <v>1.03851317333739</v>
      </c>
      <c r="AW4" s="10" t="n">
        <f aca="false">IF($AS4="","",IFERROR(IF(INDEX(Matches!$AV$5:$AV$12,MATCH($C4,Matches!$A$5:$A$12,0))="","",IF($AS4="A",INDEX(Matches!$AV$5:$AV$12,MATCH($C4,Matches!$A$5:$A$12,0)),1-INDEX(Matches!$AV$5:$AV$12,MATCH($C4,Matches!$A$5:$A$12,0)))),""))</f>
        <v>0.523179017366478</v>
      </c>
      <c r="AX4" s="13" t="n">
        <f aca="false">IF(OR($AW4="",$AT4=""),1,((Config!$B$14*$AW4+Config!$B$15*(1-$AW4))/(Config!$B$14*$AT4+Config!$B$15*(1-$AT4)))^Config!$B$13)</f>
        <v>1.02756535087348</v>
      </c>
      <c r="AY4" s="10" t="n">
        <f aca="false">IF($AS4="","",IFERROR(IF(INDEX(Matches!$BB$5:$BB$12,MATCH($C4,Matches!$A$5:$A$12,0))="","",IF($AS4="A",INDEX(Matches!$BB$5:$BB$12,MATCH($C4,Matches!$A$5:$A$12,0)),1-INDEX(Matches!$BB$5:$BB$12,MATCH($C4,Matches!$A$5:$A$12,0)))),""))</f>
        <v>0.568282020882563</v>
      </c>
      <c r="AZ4" s="13" t="n">
        <f aca="false">IF(OR($AY4="",$AT4=""),1,((Config!$B$14*$AY4+Config!$B$15*(1-$AY4))/(Config!$B$14*$AT4+Config!$B$15*(1-$AT4)))^Config!$B$13)</f>
        <v>1.0681407342133</v>
      </c>
      <c r="BA4" s="17" t="n">
        <f aca="false">IF(V4="","",V4*$AV4)</f>
        <v>15.7609646306498</v>
      </c>
      <c r="BB4" s="17" t="n">
        <f aca="false">IF(AC4="","",AC4*$AX4)</f>
        <v>15.9067116315215</v>
      </c>
      <c r="BC4" s="17" t="n">
        <f aca="false">IF(AJ4="","",AJ4*$AZ4)</f>
        <v>15.820351096737</v>
      </c>
      <c r="BD4" s="17" t="n">
        <f aca="false">N(BA4)+N(BB4)</f>
        <v>31.6676762621713</v>
      </c>
      <c r="BE4" s="17" t="n">
        <f aca="false">BD4+N($M4)*N(BC4)</f>
        <v>31.6676762621713</v>
      </c>
      <c r="BF4" s="17" t="n">
        <f aca="false">IF(W4="","",W4*$AV4)</f>
        <v>6.23577930033826</v>
      </c>
      <c r="BG4" s="17" t="n">
        <f aca="false">IF(AD4="","",AD4*$AX4)</f>
        <v>5.06893877324485</v>
      </c>
      <c r="BH4" s="17" t="n">
        <f aca="false">IF(AK4="","",AK4*$AZ4)</f>
        <v>4.13790072019098</v>
      </c>
      <c r="BI4" s="17" t="n">
        <f aca="false">IF(BF4="","",N(BF4)+N(BG4))</f>
        <v>11.3047180735831</v>
      </c>
      <c r="BJ4" s="17" t="n">
        <f aca="false">IF(BI4="","",BI4+N($M4)*N(BH4))</f>
        <v>11.3047180735831</v>
      </c>
      <c r="BK4" s="13" t="n">
        <f aca="false">IFERROR(BD4/AL4,1)</f>
        <v>1.03298506496452</v>
      </c>
    </row>
    <row r="5" customFormat="false" ht="15" hidden="false" customHeight="false" outlineLevel="0" collapsed="false">
      <c r="A5" s="0" t="s">
        <v>700</v>
      </c>
      <c r="B5" s="0" t="s">
        <v>608</v>
      </c>
      <c r="C5" s="0" t="s">
        <v>629</v>
      </c>
      <c r="D5" s="0" t="s">
        <v>634</v>
      </c>
      <c r="E5" s="0" t="s">
        <v>699</v>
      </c>
      <c r="F5" s="0" t="s">
        <v>866</v>
      </c>
      <c r="G5" s="0" t="str">
        <f aca="false">IFERROR(IF(INDEX(Matches!$W$5:$W$12,MATCH($C5,Matches!$A$5:$A$12,0))="","",INDEX(Matches!$W$5:$W$12,MATCH($C5,Matches!$A$5:$A$12,0))),"")</f>
        <v>Dust2</v>
      </c>
      <c r="H5" s="0" t="str">
        <f aca="false">IFERROR(IF(INDEX(Matches!$X$5:$X$12,MATCH($C5,Matches!$A$5:$A$12,0))="","",INDEX(Matches!$X$5:$X$12,MATCH($C5,Matches!$A$5:$A$12,0))),"")</f>
        <v>Ancient</v>
      </c>
      <c r="I5" s="0" t="str">
        <f aca="false">IFERROR(IF(INDEX(Matches!$Y$5:$Y$12,MATCH($C5,Matches!$A$5:$A$12,0))="","",INDEX(Matches!$Y$5:$Y$12,MATCH($C5,Matches!$A$5:$A$12,0))),"")</f>
        <v>Mirage</v>
      </c>
      <c r="J5" s="11" t="n">
        <f aca="false">IFERROR(IF(INDEX(Matches!$Z$5:$Z$12,MATCH($C5,Matches!$A$5:$A$12,0))="","",INDEX(Matches!$Z$5:$Z$12,MATCH($C5,Matches!$A$5:$A$12,0))),"")</f>
        <v>21.5</v>
      </c>
      <c r="K5" s="11" t="n">
        <f aca="false">IFERROR(IF(INDEX(Matches!$AA$5:$AA$12,MATCH($C5,Matches!$A$5:$A$12,0))="","",INDEX(Matches!$AA$5:$AA$12,MATCH($C5,Matches!$A$5:$A$12,0))),"")</f>
        <v>21.5</v>
      </c>
      <c r="L5" s="11" t="n">
        <f aca="false">IFERROR(IF(INDEX(Matches!$AB$5:$AB$12,MATCH($C5,Matches!$A$5:$A$12,0))="","",INDEX(Matches!$AB$5:$AB$12,MATCH($C5,Matches!$A$5:$A$12,0))),"")</f>
        <v>21.5</v>
      </c>
      <c r="M5" s="10" t="n">
        <f aca="false">IFERROR(IF(INDEX(Matches!$AC$5:$AC$12,MATCH($C5,Matches!$A$5:$A$12,0))="","",INDEX(Matches!$AC$5:$AC$12,MATCH($C5,Matches!$A$5:$A$12,0))),"")</f>
        <v>0</v>
      </c>
      <c r="N5" s="9" t="n">
        <f aca="false">IFERROR(INDEX(Players!$F$2:$F$56,MATCH($F5,Players!$A$2:$A$56,0)),0)</f>
        <v>37</v>
      </c>
      <c r="O5" s="13" t="n">
        <f aca="false">IFERROR(1/(1/INDEX(Players!$H$2:$H$56,MATCH($F5,Players!$A$2:$A$56,0))),"")</f>
        <v>0.59</v>
      </c>
      <c r="P5" s="10" t="n">
        <f aca="false">IFERROR(1/(1/INDEX(Players!$I$2:$I$56,MATCH($F5,Players!$A$2:$A$56,0))),"")</f>
        <v>0.54</v>
      </c>
      <c r="Q5" s="9" t="n">
        <f aca="false">IF($G5="",0,SUMIFS(Map_Stats!$F$2:$F$450,Map_Stats!$A$2:$A$450,$F5&amp;"|"&amp;$G5))</f>
        <v>12</v>
      </c>
      <c r="R5" s="13" t="n">
        <f aca="false">IF($G5="","",IFERROR(1/(1/INDEX(Map_Stats!$K$2:$K$450,MATCH($F5&amp;"|"&amp;$G5,Map_Stats!$A$2:$A$450,0))),$O5))</f>
        <v>0.58</v>
      </c>
      <c r="S5" s="10" t="n">
        <f aca="false">IF(OR($G5="",$P5=""),"",IFERROR(1/(1/INDEX(Map_Stats!$I$2:$I$450,MATCH($F5&amp;"|"&amp;$G5,Map_Stats!$A$2:$A$450,0))),$P5))</f>
        <v>0.559</v>
      </c>
      <c r="T5" s="13" t="n">
        <f aca="false">IF(OR($G5="",R5=""),"",IF($O5="",R5,(Q5*R5+Config!$B$4*$O5)/(Q5+Config!$B$4)))</f>
        <v>0.582941176470588</v>
      </c>
      <c r="U5" s="10" t="n">
        <f aca="false">IF(S5="","",(Q5*S5+Config!$B$4*$P5)/(Q5+Config!$B$4))</f>
        <v>0.553411764705882</v>
      </c>
      <c r="V5" s="17" t="n">
        <f aca="false">IF(OR(T5="",$J5=""),"",T5*$J5*($J5/Config!$B$10)^Config!$B$9)</f>
        <v>12.5332352941176</v>
      </c>
      <c r="W5" s="17" t="n">
        <f aca="false">IF(OR(V5="",U5=""),"",V5*U5)</f>
        <v>6.93603986159169</v>
      </c>
      <c r="X5" s="9" t="n">
        <f aca="false">IF($H5="",0,SUMIFS(Map_Stats!$F$2:$F$450,Map_Stats!$A$2:$A$450,$F5&amp;"|"&amp;$H5))</f>
        <v>10</v>
      </c>
      <c r="Y5" s="13" t="n">
        <f aca="false">IF($H5="","",IFERROR(1/(1/INDEX(Map_Stats!$K$2:$K$450,MATCH($F5&amp;"|"&amp;$H5,Map_Stats!$A$2:$A$450,0))),$O5))</f>
        <v>0.59</v>
      </c>
      <c r="Z5" s="10" t="n">
        <f aca="false">IF(OR($H5="",$P5=""),"",IFERROR(1/(1/INDEX(Map_Stats!$I$2:$I$450,MATCH($F5&amp;"|"&amp;$H5,Map_Stats!$A$2:$A$450,0))),$P5))</f>
        <v>0.462</v>
      </c>
      <c r="AA5" s="13" t="n">
        <f aca="false">IF(OR($H5="",Y5=""),"",IF($O5="",Y5,(X5*Y5+Config!$B$4*$O5)/(X5+Config!$B$4)))</f>
        <v>0.59</v>
      </c>
      <c r="AB5" s="10" t="n">
        <f aca="false">IF(Z5="","",(X5*Z5+Config!$B$4*$P5)/(X5+Config!$B$4))</f>
        <v>0.488</v>
      </c>
      <c r="AC5" s="17" t="n">
        <f aca="false">IF(OR(AA5="",$K5=""),"",AA5*$K5*($K5/Config!$B$10)^Config!$B$9)</f>
        <v>12.685</v>
      </c>
      <c r="AD5" s="17" t="n">
        <f aca="false">IF(OR(AC5="",AB5=""),"",AC5*AB5)</f>
        <v>6.19028</v>
      </c>
      <c r="AE5" s="9" t="n">
        <f aca="false">IF($I5="",0,SUMIFS(Map_Stats!$F$2:$F$450,Map_Stats!$A$2:$A$450,$F5&amp;"|"&amp;$I5))</f>
        <v>4</v>
      </c>
      <c r="AF5" s="13" t="n">
        <f aca="false">IF($I5="","",IFERROR(1/(1/INDEX(Map_Stats!$K$2:$K$450,MATCH($F5&amp;"|"&amp;$I5,Map_Stats!$A$2:$A$450,0))),$O5))</f>
        <v>0.68</v>
      </c>
      <c r="AG5" s="10" t="n">
        <f aca="false">IF(OR($I5="",$P5=""),"",IFERROR(1/(1/INDEX(Map_Stats!$I$2:$I$450,MATCH($F5&amp;"|"&amp;$I5,Map_Stats!$A$2:$A$450,0))),$P5))</f>
        <v>0.481</v>
      </c>
      <c r="AH5" s="13" t="n">
        <f aca="false">IF(OR($I5="",AF5=""),"",IF($O5="",AF5,(AE5*AF5+Config!$B$4*$O5)/(AE5+Config!$B$4)))</f>
        <v>0.63</v>
      </c>
      <c r="AI5" s="10" t="n">
        <f aca="false">IF(AG5="","",(AE5*AG5+Config!$B$4*$P5)/(AE5+Config!$B$4))</f>
        <v>0.513777777777778</v>
      </c>
      <c r="AJ5" s="17" t="n">
        <f aca="false">IF(OR(AH5="",$L5=""),"",AH5*$L5*($L5/Config!$B$10)^Config!$B$9)</f>
        <v>13.545</v>
      </c>
      <c r="AK5" s="17" t="n">
        <f aca="false">IF(OR(AJ5="",AI5=""),"",AJ5*AI5)</f>
        <v>6.95912</v>
      </c>
      <c r="AL5" s="17" t="n">
        <f aca="false">N(V5)+N(AC5)</f>
        <v>25.2182352941176</v>
      </c>
      <c r="AM5" s="17" t="n">
        <f aca="false">AL5+N($M5)*N(AJ5)</f>
        <v>25.2182352941176</v>
      </c>
      <c r="AN5" s="17" t="n">
        <f aca="false">IF(W5="","",N(W5)+N(AD5))</f>
        <v>13.1263198615917</v>
      </c>
      <c r="AO5" s="17" t="n">
        <f aca="false">IF(AN5="","",AN5+N($M5)*N(AK5))</f>
        <v>13.1263198615917</v>
      </c>
      <c r="AP5" s="10" t="n">
        <f aca="false">IFERROR(AN5/AL5,"")</f>
        <v>0.520509056581509</v>
      </c>
      <c r="AQ5" s="0" t="str">
        <f aca="false">TRIM(IF($N5&lt;Config!$B$12,"thin sample ("&amp;$N5&amp;" maps) · ","")&amp;IF(AND($G5&lt;&gt;"",Q5=0),"M1 unplayed→overall KPR · ","")&amp;IF(AND($H5&lt;&gt;"",X5=0),"M2 unplayed→overall KPR · ","")&amp;IF($O5="","no PickFinder stats",""))</f>
        <v/>
      </c>
      <c r="AR5" s="0" t="str">
        <f aca="false">IF($C5=Board!$B$2,COUNTIFS($C$2:$C$56,Board!$B$2,$AL$2:$AL$56,"&gt;"&amp;$AL5)+COUNTIFS($C$1:$C4,Board!$B$2,$AL$1:$AL4,$AL5)+1,"")</f>
        <v/>
      </c>
      <c r="AS5" s="0" t="str">
        <f aca="false">IFERROR(IF($D5=INDEX(Matches!$AD$5:$AD$12,MATCH($C5,Matches!$A$5:$A$12,0)),"A",IF($D5=INDEX(Matches!$AE$5:$AE$12,MATCH($C5,Matches!$A$5:$A$12,0)),"B","")),"")</f>
        <v>A</v>
      </c>
      <c r="AT5" s="10" t="n">
        <f aca="false">IF($AS5="","",IFERROR(IF($AS5="A",INDEX(Matches!$AI$5:$AI$12,MATCH($C5,Matches!$A$5:$A$12,0)),INDEX(Matches!$AJ$5:$AJ$12,MATCH($C5,Matches!$A$5:$A$12,0))),""))</f>
        <v>0.492537775928135</v>
      </c>
      <c r="AU5" s="10" t="n">
        <f aca="false">IF($AS5="","",IFERROR(IF(INDEX(Matches!$AP$5:$AP$12,MATCH($C5,Matches!$A$5:$A$12,0))="","",IF($AS5="A",INDEX(Matches!$AP$5:$AP$12,MATCH($C5,Matches!$A$5:$A$12,0)),1-INDEX(Matches!$AP$5:$AP$12,MATCH($C5,Matches!$A$5:$A$12,0)))),""))</f>
        <v>0.535348456924146</v>
      </c>
      <c r="AV5" s="13" t="n">
        <f aca="false">IF(OR($AU5="",$AT5=""),1,((Config!$B$14*$AU5+Config!$B$15*(1-$AU5))/(Config!$B$14*$AT5+Config!$B$15*(1-$AT5)))^Config!$B$13)</f>
        <v>1.03851317333739</v>
      </c>
      <c r="AW5" s="10" t="n">
        <f aca="false">IF($AS5="","",IFERROR(IF(INDEX(Matches!$AV$5:$AV$12,MATCH($C5,Matches!$A$5:$A$12,0))="","",IF($AS5="A",INDEX(Matches!$AV$5:$AV$12,MATCH($C5,Matches!$A$5:$A$12,0)),1-INDEX(Matches!$AV$5:$AV$12,MATCH($C5,Matches!$A$5:$A$12,0)))),""))</f>
        <v>0.523179017366478</v>
      </c>
      <c r="AX5" s="13" t="n">
        <f aca="false">IF(OR($AW5="",$AT5=""),1,((Config!$B$14*$AW5+Config!$B$15*(1-$AW5))/(Config!$B$14*$AT5+Config!$B$15*(1-$AT5)))^Config!$B$13)</f>
        <v>1.02756535087348</v>
      </c>
      <c r="AY5" s="10" t="n">
        <f aca="false">IF($AS5="","",IFERROR(IF(INDEX(Matches!$BB$5:$BB$12,MATCH($C5,Matches!$A$5:$A$12,0))="","",IF($AS5="A",INDEX(Matches!$BB$5:$BB$12,MATCH($C5,Matches!$A$5:$A$12,0)),1-INDEX(Matches!$BB$5:$BB$12,MATCH($C5,Matches!$A$5:$A$12,0)))),""))</f>
        <v>0.568282020882563</v>
      </c>
      <c r="AZ5" s="13" t="n">
        <f aca="false">IF(OR($AY5="",$AT5=""),1,((Config!$B$14*$AY5+Config!$B$15*(1-$AY5))/(Config!$B$14*$AT5+Config!$B$15*(1-$AT5)))^Config!$B$13)</f>
        <v>1.0681407342133</v>
      </c>
      <c r="BA5" s="17" t="n">
        <f aca="false">IF(V5="","",V5*$AV5)</f>
        <v>13.0159299574783</v>
      </c>
      <c r="BB5" s="17" t="n">
        <f aca="false">IF(AC5="","",AC5*$AX5)</f>
        <v>13.0346664758301</v>
      </c>
      <c r="BC5" s="17" t="n">
        <f aca="false">IF(AJ5="","",AJ5*$AZ5)</f>
        <v>14.4679662449191</v>
      </c>
      <c r="BD5" s="17" t="n">
        <f aca="false">N(BA5)+N(BB5)</f>
        <v>26.0505964333084</v>
      </c>
      <c r="BE5" s="17" t="n">
        <f aca="false">BD5+N($M5)*N(BC5)</f>
        <v>26.0505964333084</v>
      </c>
      <c r="BF5" s="17" t="n">
        <f aca="false">IF(W5="","",W5*$AV5)</f>
        <v>7.20316876705621</v>
      </c>
      <c r="BG5" s="17" t="n">
        <f aca="false">IF(AD5="","",AD5*$AX5)</f>
        <v>6.36091724020509</v>
      </c>
      <c r="BH5" s="17" t="n">
        <f aca="false">IF(AK5="","",AK5*$AZ5)</f>
        <v>7.43331954627846</v>
      </c>
      <c r="BI5" s="17" t="n">
        <f aca="false">IF(BF5="","",N(BF5)+N(BG5))</f>
        <v>13.5640860072613</v>
      </c>
      <c r="BJ5" s="17" t="n">
        <f aca="false">IF(BI5="","",BI5+N($M5)*N(BH5))</f>
        <v>13.5640860072613</v>
      </c>
      <c r="BK5" s="13" t="n">
        <f aca="false">IFERROR(BD5/AL5,1)</f>
        <v>1.03300631981116</v>
      </c>
    </row>
    <row r="6" customFormat="false" ht="15" hidden="false" customHeight="false" outlineLevel="0" collapsed="false">
      <c r="A6" s="0" t="s">
        <v>702</v>
      </c>
      <c r="B6" s="0" t="s">
        <v>608</v>
      </c>
      <c r="C6" s="0" t="s">
        <v>629</v>
      </c>
      <c r="D6" s="0" t="s">
        <v>634</v>
      </c>
      <c r="E6" s="0" t="s">
        <v>701</v>
      </c>
      <c r="F6" s="0" t="s">
        <v>867</v>
      </c>
      <c r="G6" s="0" t="str">
        <f aca="false">IFERROR(IF(INDEX(Matches!$W$5:$W$12,MATCH($C6,Matches!$A$5:$A$12,0))="","",INDEX(Matches!$W$5:$W$12,MATCH($C6,Matches!$A$5:$A$12,0))),"")</f>
        <v>Dust2</v>
      </c>
      <c r="H6" s="0" t="str">
        <f aca="false">IFERROR(IF(INDEX(Matches!$X$5:$X$12,MATCH($C6,Matches!$A$5:$A$12,0))="","",INDEX(Matches!$X$5:$X$12,MATCH($C6,Matches!$A$5:$A$12,0))),"")</f>
        <v>Ancient</v>
      </c>
      <c r="I6" s="0" t="str">
        <f aca="false">IFERROR(IF(INDEX(Matches!$Y$5:$Y$12,MATCH($C6,Matches!$A$5:$A$12,0))="","",INDEX(Matches!$Y$5:$Y$12,MATCH($C6,Matches!$A$5:$A$12,0))),"")</f>
        <v>Mirage</v>
      </c>
      <c r="J6" s="11" t="n">
        <f aca="false">IFERROR(IF(INDEX(Matches!$Z$5:$Z$12,MATCH($C6,Matches!$A$5:$A$12,0))="","",INDEX(Matches!$Z$5:$Z$12,MATCH($C6,Matches!$A$5:$A$12,0))),"")</f>
        <v>21.5</v>
      </c>
      <c r="K6" s="11" t="n">
        <f aca="false">IFERROR(IF(INDEX(Matches!$AA$5:$AA$12,MATCH($C6,Matches!$A$5:$A$12,0))="","",INDEX(Matches!$AA$5:$AA$12,MATCH($C6,Matches!$A$5:$A$12,0))),"")</f>
        <v>21.5</v>
      </c>
      <c r="L6" s="11" t="n">
        <f aca="false">IFERROR(IF(INDEX(Matches!$AB$5:$AB$12,MATCH($C6,Matches!$A$5:$A$12,0))="","",INDEX(Matches!$AB$5:$AB$12,MATCH($C6,Matches!$A$5:$A$12,0))),"")</f>
        <v>21.5</v>
      </c>
      <c r="M6" s="10" t="n">
        <f aca="false">IFERROR(IF(INDEX(Matches!$AC$5:$AC$12,MATCH($C6,Matches!$A$5:$A$12,0))="","",INDEX(Matches!$AC$5:$AC$12,MATCH($C6,Matches!$A$5:$A$12,0))),"")</f>
        <v>0</v>
      </c>
      <c r="N6" s="9" t="n">
        <f aca="false">IFERROR(INDEX(Players!$F$2:$F$56,MATCH($F6,Players!$A$2:$A$56,0)),0)</f>
        <v>37</v>
      </c>
      <c r="O6" s="13" t="n">
        <f aca="false">IFERROR(1/(1/INDEX(Players!$H$2:$H$56,MATCH($F6,Players!$A$2:$A$56,0))),"")</f>
        <v>0.68</v>
      </c>
      <c r="P6" s="10" t="n">
        <f aca="false">IFERROR(1/(1/INDEX(Players!$I$2:$I$56,MATCH($F6,Players!$A$2:$A$56,0))),"")</f>
        <v>0.57</v>
      </c>
      <c r="Q6" s="9" t="n">
        <f aca="false">IF($G6="",0,SUMIFS(Map_Stats!$F$2:$F$450,Map_Stats!$A$2:$A$450,$F6&amp;"|"&amp;$G6))</f>
        <v>12</v>
      </c>
      <c r="R6" s="13" t="n">
        <f aca="false">IF($G6="","",IFERROR(1/(1/INDEX(Map_Stats!$K$2:$K$450,MATCH($F6&amp;"|"&amp;$G6,Map_Stats!$A$2:$A$450,0))),$O6))</f>
        <v>0.65</v>
      </c>
      <c r="S6" s="10" t="n">
        <f aca="false">IF(OR($G6="",$P6=""),"",IFERROR(1/(1/INDEX(Map_Stats!$I$2:$I$450,MATCH($F6&amp;"|"&amp;$G6,Map_Stats!$A$2:$A$450,0))),$P6))</f>
        <v>0.54</v>
      </c>
      <c r="T6" s="13" t="n">
        <f aca="false">IF(OR($G6="",R6=""),"",IF($O6="",R6,(Q6*R6+Config!$B$4*$O6)/(Q6+Config!$B$4)))</f>
        <v>0.658823529411765</v>
      </c>
      <c r="U6" s="10" t="n">
        <f aca="false">IF(S6="","",(Q6*S6+Config!$B$4*$P6)/(Q6+Config!$B$4))</f>
        <v>0.548823529411765</v>
      </c>
      <c r="V6" s="17" t="n">
        <f aca="false">IF(OR(T6="",$J6=""),"",T6*$J6*($J6/Config!$B$10)^Config!$B$9)</f>
        <v>14.1647058823529</v>
      </c>
      <c r="W6" s="17" t="n">
        <f aca="false">IF(OR(V6="",U6=""),"",V6*U6)</f>
        <v>7.77392387543253</v>
      </c>
      <c r="X6" s="9" t="n">
        <f aca="false">IF($H6="",0,SUMIFS(Map_Stats!$F$2:$F$450,Map_Stats!$A$2:$A$450,$F6&amp;"|"&amp;$H6))</f>
        <v>10</v>
      </c>
      <c r="Y6" s="13" t="n">
        <f aca="false">IF($H6="","",IFERROR(1/(1/INDEX(Map_Stats!$K$2:$K$450,MATCH($F6&amp;"|"&amp;$H6,Map_Stats!$A$2:$A$450,0))),$O6))</f>
        <v>0.69</v>
      </c>
      <c r="Z6" s="10" t="n">
        <f aca="false">IF(OR($H6="",$P6=""),"",IFERROR(1/(1/INDEX(Map_Stats!$I$2:$I$450,MATCH($F6&amp;"|"&amp;$H6,Map_Stats!$A$2:$A$450,0))),$P6))</f>
        <v>0.606</v>
      </c>
      <c r="AA6" s="13" t="n">
        <f aca="false">IF(OR($H6="",Y6=""),"",IF($O6="",Y6,(X6*Y6+Config!$B$4*$O6)/(X6+Config!$B$4)))</f>
        <v>0.686666666666667</v>
      </c>
      <c r="AB6" s="10" t="n">
        <f aca="false">IF(Z6="","",(X6*Z6+Config!$B$4*$P6)/(X6+Config!$B$4))</f>
        <v>0.594</v>
      </c>
      <c r="AC6" s="17" t="n">
        <f aca="false">IF(OR(AA6="",$K6=""),"",AA6*$K6*($K6/Config!$B$10)^Config!$B$9)</f>
        <v>14.7633333333333</v>
      </c>
      <c r="AD6" s="17" t="n">
        <f aca="false">IF(OR(AC6="",AB6=""),"",AC6*AB6)</f>
        <v>8.76942</v>
      </c>
      <c r="AE6" s="9" t="n">
        <f aca="false">IF($I6="",0,SUMIFS(Map_Stats!$F$2:$F$450,Map_Stats!$A$2:$A$450,$F6&amp;"|"&amp;$I6))</f>
        <v>4</v>
      </c>
      <c r="AF6" s="13" t="n">
        <f aca="false">IF($I6="","",IFERROR(1/(1/INDEX(Map_Stats!$K$2:$K$450,MATCH($F6&amp;"|"&amp;$I6,Map_Stats!$A$2:$A$450,0))),$O6))</f>
        <v>0.66</v>
      </c>
      <c r="AG6" s="10" t="n">
        <f aca="false">IF(OR($I6="",$P6=""),"",IFERROR(1/(1/INDEX(Map_Stats!$I$2:$I$450,MATCH($F6&amp;"|"&amp;$I6,Map_Stats!$A$2:$A$450,0))),$P6))</f>
        <v>0.635</v>
      </c>
      <c r="AH6" s="13" t="n">
        <f aca="false">IF(OR($I6="",AF6=""),"",IF($O6="",AF6,(AE6*AF6+Config!$B$4*$O6)/(AE6+Config!$B$4)))</f>
        <v>0.671111111111111</v>
      </c>
      <c r="AI6" s="10" t="n">
        <f aca="false">IF(AG6="","",(AE6*AG6+Config!$B$4*$P6)/(AE6+Config!$B$4))</f>
        <v>0.598888888888889</v>
      </c>
      <c r="AJ6" s="17" t="n">
        <f aca="false">IF(OR(AH6="",$L6=""),"",AH6*$L6*($L6/Config!$B$10)^Config!$B$9)</f>
        <v>14.4288888888889</v>
      </c>
      <c r="AK6" s="17" t="n">
        <f aca="false">IF(OR(AJ6="",AI6=""),"",AJ6*AI6)</f>
        <v>8.6413012345679</v>
      </c>
      <c r="AL6" s="17" t="n">
        <f aca="false">N(V6)+N(AC6)</f>
        <v>28.9280392156863</v>
      </c>
      <c r="AM6" s="17" t="n">
        <f aca="false">AL6+N($M6)*N(AJ6)</f>
        <v>28.9280392156863</v>
      </c>
      <c r="AN6" s="17" t="n">
        <f aca="false">IF(W6="","",N(W6)+N(AD6))</f>
        <v>16.5433438754325</v>
      </c>
      <c r="AO6" s="17" t="n">
        <f aca="false">IF(AN6="","",AN6+N($M6)*N(AK6))</f>
        <v>16.5433438754325</v>
      </c>
      <c r="AP6" s="10" t="n">
        <f aca="false">IFERROR(AN6/AL6,"")</f>
        <v>0.57187919831296</v>
      </c>
      <c r="AQ6" s="0" t="str">
        <f aca="false">TRIM(IF($N6&lt;Config!$B$12,"thin sample ("&amp;$N6&amp;" maps) · ","")&amp;IF(AND($G6&lt;&gt;"",Q6=0),"M1 unplayed→overall KPR · ","")&amp;IF(AND($H6&lt;&gt;"",X6=0),"M2 unplayed→overall KPR · ","")&amp;IF($O6="","no PickFinder stats",""))</f>
        <v/>
      </c>
      <c r="AR6" s="0" t="str">
        <f aca="false">IF($C6=Board!$B$2,COUNTIFS($C$2:$C$56,Board!$B$2,$AL$2:$AL$56,"&gt;"&amp;$AL6)+COUNTIFS($C$1:$C5,Board!$B$2,$AL$1:$AL5,$AL6)+1,"")</f>
        <v/>
      </c>
      <c r="AS6" s="0" t="str">
        <f aca="false">IFERROR(IF($D6=INDEX(Matches!$AD$5:$AD$12,MATCH($C6,Matches!$A$5:$A$12,0)),"A",IF($D6=INDEX(Matches!$AE$5:$AE$12,MATCH($C6,Matches!$A$5:$A$12,0)),"B","")),"")</f>
        <v>A</v>
      </c>
      <c r="AT6" s="10" t="n">
        <f aca="false">IF($AS6="","",IFERROR(IF($AS6="A",INDEX(Matches!$AI$5:$AI$12,MATCH($C6,Matches!$A$5:$A$12,0)),INDEX(Matches!$AJ$5:$AJ$12,MATCH($C6,Matches!$A$5:$A$12,0))),""))</f>
        <v>0.492537775928135</v>
      </c>
      <c r="AU6" s="10" t="n">
        <f aca="false">IF($AS6="","",IFERROR(IF(INDEX(Matches!$AP$5:$AP$12,MATCH($C6,Matches!$A$5:$A$12,0))="","",IF($AS6="A",INDEX(Matches!$AP$5:$AP$12,MATCH($C6,Matches!$A$5:$A$12,0)),1-INDEX(Matches!$AP$5:$AP$12,MATCH($C6,Matches!$A$5:$A$12,0)))),""))</f>
        <v>0.535348456924146</v>
      </c>
      <c r="AV6" s="13" t="n">
        <f aca="false">IF(OR($AU6="",$AT6=""),1,((Config!$B$14*$AU6+Config!$B$15*(1-$AU6))/(Config!$B$14*$AT6+Config!$B$15*(1-$AT6)))^Config!$B$13)</f>
        <v>1.03851317333739</v>
      </c>
      <c r="AW6" s="10" t="n">
        <f aca="false">IF($AS6="","",IFERROR(IF(INDEX(Matches!$AV$5:$AV$12,MATCH($C6,Matches!$A$5:$A$12,0))="","",IF($AS6="A",INDEX(Matches!$AV$5:$AV$12,MATCH($C6,Matches!$A$5:$A$12,0)),1-INDEX(Matches!$AV$5:$AV$12,MATCH($C6,Matches!$A$5:$A$12,0)))),""))</f>
        <v>0.523179017366478</v>
      </c>
      <c r="AX6" s="13" t="n">
        <f aca="false">IF(OR($AW6="",$AT6=""),1,((Config!$B$14*$AW6+Config!$B$15*(1-$AW6))/(Config!$B$14*$AT6+Config!$B$15*(1-$AT6)))^Config!$B$13)</f>
        <v>1.02756535087348</v>
      </c>
      <c r="AY6" s="10" t="n">
        <f aca="false">IF($AS6="","",IFERROR(IF(INDEX(Matches!$BB$5:$BB$12,MATCH($C6,Matches!$A$5:$A$12,0))="","",IF($AS6="A",INDEX(Matches!$BB$5:$BB$12,MATCH($C6,Matches!$A$5:$A$12,0)),1-INDEX(Matches!$BB$5:$BB$12,MATCH($C6,Matches!$A$5:$A$12,0)))),""))</f>
        <v>0.568282020882563</v>
      </c>
      <c r="AZ6" s="13" t="n">
        <f aca="false">IF(OR($AY6="",$AT6=""),1,((Config!$B$14*$AY6+Config!$B$15*(1-$AY6))/(Config!$B$14*$AT6+Config!$B$15*(1-$AT6)))^Config!$B$13)</f>
        <v>1.0681407342133</v>
      </c>
      <c r="BA6" s="17" t="n">
        <f aca="false">IF(V6="","",V6*$AV6)</f>
        <v>14.7102336552731</v>
      </c>
      <c r="BB6" s="17" t="n">
        <f aca="false">IF(AC6="","",AC6*$AX6)</f>
        <v>15.1702897967288</v>
      </c>
      <c r="BC6" s="17" t="n">
        <f aca="false">IF(AJ6="","",AJ6*$AZ6)</f>
        <v>15.4120839716599</v>
      </c>
      <c r="BD6" s="17" t="n">
        <f aca="false">N(BA6)+N(BB6)</f>
        <v>29.880523452002</v>
      </c>
      <c r="BE6" s="17" t="n">
        <f aca="false">BD6+N($M6)*N(BC6)</f>
        <v>29.880523452002</v>
      </c>
      <c r="BF6" s="17" t="n">
        <f aca="false">IF(W6="","",W6*$AV6)</f>
        <v>8.07332235315873</v>
      </c>
      <c r="BG6" s="17" t="n">
        <f aca="false">IF(AD6="","",AD6*$AX6)</f>
        <v>9.01115213925692</v>
      </c>
      <c r="BH6" s="17" t="n">
        <f aca="false">IF(AK6="","",AK6*$AZ6)</f>
        <v>9.23012584524965</v>
      </c>
      <c r="BI6" s="17" t="n">
        <f aca="false">IF(BF6="","",N(BF6)+N(BG6))</f>
        <v>17.0844744924156</v>
      </c>
      <c r="BJ6" s="17" t="n">
        <f aca="false">IF(BI6="","",BI6+N($M6)*N(BH6))</f>
        <v>17.0844744924156</v>
      </c>
      <c r="BK6" s="13" t="n">
        <f aca="false">IFERROR(BD6/AL6,1)</f>
        <v>1.03292598676371</v>
      </c>
    </row>
    <row r="7" customFormat="false" ht="15" hidden="false" customHeight="false" outlineLevel="0" collapsed="false">
      <c r="A7" s="0" t="s">
        <v>704</v>
      </c>
      <c r="B7" s="0" t="s">
        <v>608</v>
      </c>
      <c r="C7" s="0" t="s">
        <v>622</v>
      </c>
      <c r="D7" s="0" t="s">
        <v>627</v>
      </c>
      <c r="E7" s="0" t="s">
        <v>703</v>
      </c>
      <c r="F7" s="0" t="s">
        <v>868</v>
      </c>
      <c r="G7" s="0" t="str">
        <f aca="false">IFERROR(IF(INDEX(Matches!$W$5:$W$12,MATCH($C7,Matches!$A$5:$A$12,0))="","",INDEX(Matches!$W$5:$W$12,MATCH($C7,Matches!$A$5:$A$12,0))),"")</f>
        <v>Ancient</v>
      </c>
      <c r="H7" s="0" t="str">
        <f aca="false">IFERROR(IF(INDEX(Matches!$X$5:$X$12,MATCH($C7,Matches!$A$5:$A$12,0))="","",INDEX(Matches!$X$5:$X$12,MATCH($C7,Matches!$A$5:$A$12,0))),"")</f>
        <v>Mirage</v>
      </c>
      <c r="I7" s="0" t="str">
        <f aca="false">IFERROR(IF(INDEX(Matches!$Y$5:$Y$12,MATCH($C7,Matches!$A$5:$A$12,0))="","",INDEX(Matches!$Y$5:$Y$12,MATCH($C7,Matches!$A$5:$A$12,0))),"")</f>
        <v>Dust2</v>
      </c>
      <c r="J7" s="11" t="n">
        <f aca="false">IFERROR(IF(INDEX(Matches!$Z$5:$Z$12,MATCH($C7,Matches!$A$5:$A$12,0))="","",INDEX(Matches!$Z$5:$Z$12,MATCH($C7,Matches!$A$5:$A$12,0))),"")</f>
        <v>21.5</v>
      </c>
      <c r="K7" s="11" t="n">
        <f aca="false">IFERROR(IF(INDEX(Matches!$AA$5:$AA$12,MATCH($C7,Matches!$A$5:$A$12,0))="","",INDEX(Matches!$AA$5:$AA$12,MATCH($C7,Matches!$A$5:$A$12,0))),"")</f>
        <v>21.5</v>
      </c>
      <c r="L7" s="11" t="n">
        <f aca="false">IFERROR(IF(INDEX(Matches!$AB$5:$AB$12,MATCH($C7,Matches!$A$5:$A$12,0))="","",INDEX(Matches!$AB$5:$AB$12,MATCH($C7,Matches!$A$5:$A$12,0))),"")</f>
        <v>21.5</v>
      </c>
      <c r="M7" s="10" t="n">
        <f aca="false">IFERROR(IF(INDEX(Matches!$AC$5:$AC$12,MATCH($C7,Matches!$A$5:$A$12,0))="","",INDEX(Matches!$AC$5:$AC$12,MATCH($C7,Matches!$A$5:$A$12,0))),"")</f>
        <v>0</v>
      </c>
      <c r="N7" s="9" t="n">
        <f aca="false">IFERROR(INDEX(Players!$F$2:$F$56,MATCH($F7,Players!$A$2:$A$56,0)),0)</f>
        <v>32</v>
      </c>
      <c r="O7" s="13" t="n">
        <f aca="false">IFERROR(1/(1/INDEX(Players!$H$2:$H$56,MATCH($F7,Players!$A$2:$A$56,0))),"")</f>
        <v>0.76</v>
      </c>
      <c r="P7" s="10" t="n">
        <f aca="false">IFERROR(1/(1/INDEX(Players!$I$2:$I$56,MATCH($F7,Players!$A$2:$A$56,0))),"")</f>
        <v>0.425</v>
      </c>
      <c r="Q7" s="9" t="n">
        <f aca="false">IF($G7="",0,SUMIFS(Map_Stats!$F$2:$F$450,Map_Stats!$A$2:$A$450,$F7&amp;"|"&amp;$G7))</f>
        <v>7</v>
      </c>
      <c r="R7" s="13" t="n">
        <f aca="false">IF($G7="","",IFERROR(1/(1/INDEX(Map_Stats!$K$2:$K$450,MATCH($F7&amp;"|"&amp;$G7,Map_Stats!$A$2:$A$450,0))),$O7))</f>
        <v>0.7</v>
      </c>
      <c r="S7" s="10" t="n">
        <f aca="false">IF(OR($G7="",$P7=""),"",IFERROR(1/(1/INDEX(Map_Stats!$I$2:$I$450,MATCH($F7&amp;"|"&amp;$G7,Map_Stats!$A$2:$A$450,0))),$P7))</f>
        <v>0.394</v>
      </c>
      <c r="T7" s="13" t="n">
        <f aca="false">IF(OR($G7="",R7=""),"",IF($O7="",R7,(Q7*R7+Config!$B$4*$O7)/(Q7+Config!$B$4)))</f>
        <v>0.725</v>
      </c>
      <c r="U7" s="10" t="n">
        <f aca="false">IF(S7="","",(Q7*S7+Config!$B$4*$P7)/(Q7+Config!$B$4))</f>
        <v>0.406916666666667</v>
      </c>
      <c r="V7" s="17" t="n">
        <f aca="false">IF(OR(T7="",$J7=""),"",T7*$J7*($J7/Config!$B$10)^Config!$B$9)</f>
        <v>15.5875</v>
      </c>
      <c r="W7" s="17" t="n">
        <f aca="false">IF(OR(V7="",U7=""),"",V7*U7)</f>
        <v>6.34281354166667</v>
      </c>
      <c r="X7" s="9" t="n">
        <f aca="false">IF($H7="",0,SUMIFS(Map_Stats!$F$2:$F$450,Map_Stats!$A$2:$A$450,$F7&amp;"|"&amp;$H7))</f>
        <v>8</v>
      </c>
      <c r="Y7" s="13" t="n">
        <f aca="false">IF($H7="","",IFERROR(1/(1/INDEX(Map_Stats!$K$2:$K$450,MATCH($F7&amp;"|"&amp;$H7,Map_Stats!$A$2:$A$450,0))),$O7))</f>
        <v>0.76</v>
      </c>
      <c r="Z7" s="10" t="n">
        <f aca="false">IF(OR($H7="",$P7=""),"",IFERROR(1/(1/INDEX(Map_Stats!$I$2:$I$450,MATCH($F7&amp;"|"&amp;$H7,Map_Stats!$A$2:$A$450,0))),$P7))</f>
        <v>0.433</v>
      </c>
      <c r="AA7" s="13" t="n">
        <f aca="false">IF(OR($H7="",Y7=""),"",IF($O7="",Y7,(X7*Y7+Config!$B$4*$O7)/(X7+Config!$B$4)))</f>
        <v>0.76</v>
      </c>
      <c r="AB7" s="10" t="n">
        <f aca="false">IF(Z7="","",(X7*Z7+Config!$B$4*$P7)/(X7+Config!$B$4))</f>
        <v>0.429923076923077</v>
      </c>
      <c r="AC7" s="17" t="n">
        <f aca="false">IF(OR(AA7="",$K7=""),"",AA7*$K7*($K7/Config!$B$10)^Config!$B$9)</f>
        <v>16.34</v>
      </c>
      <c r="AD7" s="17" t="n">
        <f aca="false">IF(OR(AC7="",AB7=""),"",AC7*AB7)</f>
        <v>7.02494307692308</v>
      </c>
      <c r="AE7" s="9" t="n">
        <f aca="false">IF($I7="",0,SUMIFS(Map_Stats!$F$2:$F$450,Map_Stats!$A$2:$A$450,$F7&amp;"|"&amp;$I7))</f>
        <v>4</v>
      </c>
      <c r="AF7" s="13" t="n">
        <f aca="false">IF($I7="","",IFERROR(1/(1/INDEX(Map_Stats!$K$2:$K$450,MATCH($F7&amp;"|"&amp;$I7,Map_Stats!$A$2:$A$450,0))),$O7))</f>
        <v>0.69</v>
      </c>
      <c r="AG7" s="10" t="n">
        <f aca="false">IF(OR($I7="",$P7=""),"",IFERROR(1/(1/INDEX(Map_Stats!$I$2:$I$450,MATCH($F7&amp;"|"&amp;$I7,Map_Stats!$A$2:$A$450,0))),$P7))</f>
        <v>0.468</v>
      </c>
      <c r="AH7" s="13" t="n">
        <f aca="false">IF(OR($I7="",AF7=""),"",IF($O7="",AF7,(AE7*AF7+Config!$B$4*$O7)/(AE7+Config!$B$4)))</f>
        <v>0.728888888888889</v>
      </c>
      <c r="AI7" s="10" t="n">
        <f aca="false">IF(AG7="","",(AE7*AG7+Config!$B$4*$P7)/(AE7+Config!$B$4))</f>
        <v>0.444111111111111</v>
      </c>
      <c r="AJ7" s="17" t="n">
        <f aca="false">IF(OR(AH7="",$L7=""),"",AH7*$L7*($L7/Config!$B$10)^Config!$B$9)</f>
        <v>15.6711111111111</v>
      </c>
      <c r="AK7" s="17" t="n">
        <f aca="false">IF(OR(AJ7="",AI7=""),"",AJ7*AI7)</f>
        <v>6.95971456790123</v>
      </c>
      <c r="AL7" s="17" t="n">
        <f aca="false">N(V7)+N(AC7)</f>
        <v>31.9275</v>
      </c>
      <c r="AM7" s="17" t="n">
        <f aca="false">AL7+N($M7)*N(AJ7)</f>
        <v>31.9275</v>
      </c>
      <c r="AN7" s="17" t="n">
        <f aca="false">IF(W7="","",N(W7)+N(AD7))</f>
        <v>13.3677566185897</v>
      </c>
      <c r="AO7" s="17" t="n">
        <f aca="false">IF(AN7="","",AN7+N($M7)*N(AK7))</f>
        <v>13.3677566185897</v>
      </c>
      <c r="AP7" s="10" t="n">
        <f aca="false">IFERROR(AN7/AL7,"")</f>
        <v>0.418690991107658</v>
      </c>
      <c r="AQ7" s="0" t="str">
        <f aca="false">TRIM(IF($N7&lt;Config!$B$12,"thin sample ("&amp;$N7&amp;" maps) · ","")&amp;IF(AND($G7&lt;&gt;"",Q7=0),"M1 unplayed→overall KPR · ","")&amp;IF(AND($H7&lt;&gt;"",X7=0),"M2 unplayed→overall KPR · ","")&amp;IF($O7="","no PickFinder stats",""))</f>
        <v/>
      </c>
      <c r="AR7" s="0" t="str">
        <f aca="false">IF($C7=Board!$B$2,COUNTIFS($C$2:$C$56,Board!$B$2,$AL$2:$AL$56,"&gt;"&amp;$AL7)+COUNTIFS($C$1:$C6,Board!$B$2,$AL$1:$AL6,$AL7)+1,"")</f>
        <v/>
      </c>
      <c r="AS7" s="0" t="str">
        <f aca="false">IFERROR(IF($D7=INDEX(Matches!$AD$5:$AD$12,MATCH($C7,Matches!$A$5:$A$12,0)),"A",IF($D7=INDEX(Matches!$AE$5:$AE$12,MATCH($C7,Matches!$A$5:$A$12,0)),"B","")),"")</f>
        <v>A</v>
      </c>
      <c r="AT7" s="10" t="n">
        <f aca="false">IF($AS7="","",IFERROR(IF($AS7="A",INDEX(Matches!$AI$5:$AI$12,MATCH($C7,Matches!$A$5:$A$12,0)),INDEX(Matches!$AJ$5:$AJ$12,MATCH($C7,Matches!$A$5:$A$12,0))),""))</f>
        <v>0.480988262300867</v>
      </c>
      <c r="AU7" s="10" t="n">
        <f aca="false">IF($AS7="","",IFERROR(IF(INDEX(Matches!$AP$5:$AP$12,MATCH($C7,Matches!$A$5:$A$12,0))="","",IF($AS7="A",INDEX(Matches!$AP$5:$AP$12,MATCH($C7,Matches!$A$5:$A$12,0)),1-INDEX(Matches!$AP$5:$AP$12,MATCH($C7,Matches!$A$5:$A$12,0)))),""))</f>
        <v>0.495428330683295</v>
      </c>
      <c r="AV7" s="13" t="n">
        <f aca="false">IF(OR($AU7="",$AT7=""),1,((Config!$B$14*$AU7+Config!$B$15*(1-$AU7))/(Config!$B$14*$AT7+Config!$B$15*(1-$AT7)))^Config!$B$13)</f>
        <v>1.01312690670119</v>
      </c>
      <c r="AW7" s="10" t="n">
        <f aca="false">IF($AS7="","",IFERROR(IF(INDEX(Matches!$AV$5:$AV$12,MATCH($C7,Matches!$A$5:$A$12,0))="","",IF($AS7="A",INDEX(Matches!$AV$5:$AV$12,MATCH($C7,Matches!$A$5:$A$12,0)),1-INDEX(Matches!$AV$5:$AV$12,MATCH($C7,Matches!$A$5:$A$12,0)))),""))</f>
        <v>0.534526424392716</v>
      </c>
      <c r="AX7" s="13" t="n">
        <f aca="false">IF(OR($AW7="",$AT7=""),1,((Config!$B$14*$AW7+Config!$B$15*(1-$AW7))/(Config!$B$14*$AT7+Config!$B$15*(1-$AT7)))^Config!$B$13)</f>
        <v>1.04866946887789</v>
      </c>
      <c r="AY7" s="10" t="n">
        <f aca="false">IF($AS7="","",IFERROR(IF(INDEX(Matches!$BB$5:$BB$12,MATCH($C7,Matches!$A$5:$A$12,0))="","",IF($AS7="A",INDEX(Matches!$BB$5:$BB$12,MATCH($C7,Matches!$A$5:$A$12,0)),1-INDEX(Matches!$BB$5:$BB$12,MATCH($C7,Matches!$A$5:$A$12,0)))),""))</f>
        <v>0.491252077020819</v>
      </c>
      <c r="AZ7" s="13" t="n">
        <f aca="false">IF(OR($AY7="",$AT7=""),1,((Config!$B$14*$AY7+Config!$B$15*(1-$AY7))/(Config!$B$14*$AT7+Config!$B$15*(1-$AT7)))^Config!$B$13)</f>
        <v>1.0093304363012</v>
      </c>
      <c r="BA7" s="17" t="n">
        <f aca="false">IF(V7="","",V7*$AV7)</f>
        <v>15.7921156582049</v>
      </c>
      <c r="BB7" s="17" t="n">
        <f aca="false">IF(AC7="","",AC7*$AX7)</f>
        <v>17.1352591214647</v>
      </c>
      <c r="BC7" s="17" t="n">
        <f aca="false">IF(AJ7="","",AJ7*$AZ7)</f>
        <v>15.8173294151023</v>
      </c>
      <c r="BD7" s="17" t="n">
        <f aca="false">N(BA7)+N(BB7)</f>
        <v>32.9273747796695</v>
      </c>
      <c r="BE7" s="17" t="n">
        <f aca="false">BD7+N($M7)*N(BC7)</f>
        <v>32.9273747796695</v>
      </c>
      <c r="BF7" s="17" t="n">
        <f aca="false">IF(W7="","",W7*$AV7)</f>
        <v>6.4260750632512</v>
      </c>
      <c r="BG7" s="17" t="n">
        <f aca="false">IF(AD7="","",AD7*$AX7)</f>
        <v>7.36684332537431</v>
      </c>
      <c r="BH7" s="17" t="n">
        <f aca="false">IF(AK7="","",AK7*$AZ7)</f>
        <v>7.02465174135154</v>
      </c>
      <c r="BI7" s="17" t="n">
        <f aca="false">IF(BF7="","",N(BF7)+N(BG7))</f>
        <v>13.7929183886255</v>
      </c>
      <c r="BJ7" s="17" t="n">
        <f aca="false">IF(BI7="","",BI7+N($M7)*N(BH7))</f>
        <v>13.7929183886255</v>
      </c>
      <c r="BK7" s="13" t="n">
        <f aca="false">IFERROR(BD7/AL7,1)</f>
        <v>1.03131703953236</v>
      </c>
    </row>
    <row r="8" customFormat="false" ht="15" hidden="false" customHeight="false" outlineLevel="0" collapsed="false">
      <c r="A8" s="0" t="s">
        <v>706</v>
      </c>
      <c r="B8" s="0" t="s">
        <v>608</v>
      </c>
      <c r="C8" s="0" t="s">
        <v>622</v>
      </c>
      <c r="D8" s="0" t="s">
        <v>627</v>
      </c>
      <c r="E8" s="0" t="s">
        <v>705</v>
      </c>
      <c r="F8" s="0" t="s">
        <v>869</v>
      </c>
      <c r="G8" s="0" t="str">
        <f aca="false">IFERROR(IF(INDEX(Matches!$W$5:$W$12,MATCH($C8,Matches!$A$5:$A$12,0))="","",INDEX(Matches!$W$5:$W$12,MATCH($C8,Matches!$A$5:$A$12,0))),"")</f>
        <v>Ancient</v>
      </c>
      <c r="H8" s="0" t="str">
        <f aca="false">IFERROR(IF(INDEX(Matches!$X$5:$X$12,MATCH($C8,Matches!$A$5:$A$12,0))="","",INDEX(Matches!$X$5:$X$12,MATCH($C8,Matches!$A$5:$A$12,0))),"")</f>
        <v>Mirage</v>
      </c>
      <c r="I8" s="0" t="str">
        <f aca="false">IFERROR(IF(INDEX(Matches!$Y$5:$Y$12,MATCH($C8,Matches!$A$5:$A$12,0))="","",INDEX(Matches!$Y$5:$Y$12,MATCH($C8,Matches!$A$5:$A$12,0))),"")</f>
        <v>Dust2</v>
      </c>
      <c r="J8" s="11" t="n">
        <f aca="false">IFERROR(IF(INDEX(Matches!$Z$5:$Z$12,MATCH($C8,Matches!$A$5:$A$12,0))="","",INDEX(Matches!$Z$5:$Z$12,MATCH($C8,Matches!$A$5:$A$12,0))),"")</f>
        <v>21.5</v>
      </c>
      <c r="K8" s="11" t="n">
        <f aca="false">IFERROR(IF(INDEX(Matches!$AA$5:$AA$12,MATCH($C8,Matches!$A$5:$A$12,0))="","",INDEX(Matches!$AA$5:$AA$12,MATCH($C8,Matches!$A$5:$A$12,0))),"")</f>
        <v>21.5</v>
      </c>
      <c r="L8" s="11" t="n">
        <f aca="false">IFERROR(IF(INDEX(Matches!$AB$5:$AB$12,MATCH($C8,Matches!$A$5:$A$12,0))="","",INDEX(Matches!$AB$5:$AB$12,MATCH($C8,Matches!$A$5:$A$12,0))),"")</f>
        <v>21.5</v>
      </c>
      <c r="M8" s="10" t="n">
        <f aca="false">IFERROR(IF(INDEX(Matches!$AC$5:$AC$12,MATCH($C8,Matches!$A$5:$A$12,0))="","",INDEX(Matches!$AC$5:$AC$12,MATCH($C8,Matches!$A$5:$A$12,0))),"")</f>
        <v>0</v>
      </c>
      <c r="N8" s="9" t="n">
        <f aca="false">IFERROR(INDEX(Players!$F$2:$F$56,MATCH($F8,Players!$A$2:$A$56,0)),0)</f>
        <v>36</v>
      </c>
      <c r="O8" s="13" t="n">
        <f aca="false">IFERROR(1/(1/INDEX(Players!$H$2:$H$56,MATCH($F8,Players!$A$2:$A$56,0))),"")</f>
        <v>0.62</v>
      </c>
      <c r="P8" s="10" t="n">
        <f aca="false">IFERROR(1/(1/INDEX(Players!$I$2:$I$56,MATCH($F8,Players!$A$2:$A$56,0))),"")</f>
        <v>0.542</v>
      </c>
      <c r="Q8" s="9" t="n">
        <f aca="false">IF($G8="",0,SUMIFS(Map_Stats!$F$2:$F$450,Map_Stats!$A$2:$A$450,$F8&amp;"|"&amp;$G8))</f>
        <v>3</v>
      </c>
      <c r="R8" s="13" t="n">
        <f aca="false">IF($G8="","",IFERROR(1/(1/INDEX(Map_Stats!$K$2:$K$450,MATCH($F8&amp;"|"&amp;$G8,Map_Stats!$A$2:$A$450,0))),$O8))</f>
        <v>0.62</v>
      </c>
      <c r="S8" s="10" t="n">
        <f aca="false">IF(OR($G8="",$P8=""),"",IFERROR(1/(1/INDEX(Map_Stats!$I$2:$I$450,MATCH($F8&amp;"|"&amp;$G8,Map_Stats!$A$2:$A$450,0))),$P8))</f>
        <v>0.535</v>
      </c>
      <c r="T8" s="13" t="n">
        <f aca="false">IF(OR($G8="",R8=""),"",IF($O8="",R8,(Q8*R8+Config!$B$4*$O8)/(Q8+Config!$B$4)))</f>
        <v>0.62</v>
      </c>
      <c r="U8" s="10" t="n">
        <f aca="false">IF(S8="","",(Q8*S8+Config!$B$4*$P8)/(Q8+Config!$B$4))</f>
        <v>0.539375</v>
      </c>
      <c r="V8" s="17" t="n">
        <f aca="false">IF(OR(T8="",$J8=""),"",T8*$J8*($J8/Config!$B$10)^Config!$B$9)</f>
        <v>13.33</v>
      </c>
      <c r="W8" s="17" t="n">
        <f aca="false">IF(OR(V8="",U8=""),"",V8*U8)</f>
        <v>7.18986875</v>
      </c>
      <c r="X8" s="9" t="n">
        <f aca="false">IF($H8="",0,SUMIFS(Map_Stats!$F$2:$F$450,Map_Stats!$A$2:$A$450,$F8&amp;"|"&amp;$H8))</f>
        <v>8</v>
      </c>
      <c r="Y8" s="13" t="n">
        <f aca="false">IF($H8="","",IFERROR(1/(1/INDEX(Map_Stats!$K$2:$K$450,MATCH($F8&amp;"|"&amp;$H8,Map_Stats!$A$2:$A$450,0))),$O8))</f>
        <v>0.72</v>
      </c>
      <c r="Z8" s="10" t="n">
        <f aca="false">IF(OR($H8="",$P8=""),"",IFERROR(1/(1/INDEX(Map_Stats!$I$2:$I$450,MATCH($F8&amp;"|"&amp;$H8,Map_Stats!$A$2:$A$450,0))),$P8))</f>
        <v>0.535</v>
      </c>
      <c r="AA8" s="13" t="n">
        <f aca="false">IF(OR($H8="",Y8=""),"",IF($O8="",Y8,(X8*Y8+Config!$B$4*$O8)/(X8+Config!$B$4)))</f>
        <v>0.681538461538462</v>
      </c>
      <c r="AB8" s="10" t="n">
        <f aca="false">IF(Z8="","",(X8*Z8+Config!$B$4*$P8)/(X8+Config!$B$4))</f>
        <v>0.537692307692308</v>
      </c>
      <c r="AC8" s="17" t="n">
        <f aca="false">IF(OR(AA8="",$K8=""),"",AA8*$K8*($K8/Config!$B$10)^Config!$B$9)</f>
        <v>14.6530769230769</v>
      </c>
      <c r="AD8" s="17" t="n">
        <f aca="false">IF(OR(AC8="",AB8=""),"",AC8*AB8)</f>
        <v>7.87884674556213</v>
      </c>
      <c r="AE8" s="9" t="n">
        <f aca="false">IF($I8="",0,SUMIFS(Map_Stats!$F$2:$F$450,Map_Stats!$A$2:$A$450,$F8&amp;"|"&amp;$I8))</f>
        <v>4</v>
      </c>
      <c r="AF8" s="13" t="n">
        <f aca="false">IF($I8="","",IFERROR(1/(1/INDEX(Map_Stats!$K$2:$K$450,MATCH($F8&amp;"|"&amp;$I8,Map_Stats!$A$2:$A$450,0))),$O8))</f>
        <v>0.53</v>
      </c>
      <c r="AG8" s="10" t="n">
        <f aca="false">IF(OR($I8="",$P8=""),"",IFERROR(1/(1/INDEX(Map_Stats!$I$2:$I$450,MATCH($F8&amp;"|"&amp;$I8,Map_Stats!$A$2:$A$450,0))),$P8))</f>
        <v>0.55</v>
      </c>
      <c r="AH8" s="13" t="n">
        <f aca="false">IF(OR($I8="",AF8=""),"",IF($O8="",AF8,(AE8*AF8+Config!$B$4*$O8)/(AE8+Config!$B$4)))</f>
        <v>0.58</v>
      </c>
      <c r="AI8" s="10" t="n">
        <f aca="false">IF(AG8="","",(AE8*AG8+Config!$B$4*$P8)/(AE8+Config!$B$4))</f>
        <v>0.545555555555556</v>
      </c>
      <c r="AJ8" s="17" t="n">
        <f aca="false">IF(OR(AH8="",$L8=""),"",AH8*$L8*($L8/Config!$B$10)^Config!$B$9)</f>
        <v>12.47</v>
      </c>
      <c r="AK8" s="17" t="n">
        <f aca="false">IF(OR(AJ8="",AI8=""),"",AJ8*AI8)</f>
        <v>6.80307777777778</v>
      </c>
      <c r="AL8" s="17" t="n">
        <f aca="false">N(V8)+N(AC8)</f>
        <v>27.9830769230769</v>
      </c>
      <c r="AM8" s="17" t="n">
        <f aca="false">AL8+N($M8)*N(AJ8)</f>
        <v>27.9830769230769</v>
      </c>
      <c r="AN8" s="17" t="n">
        <f aca="false">IF(W8="","",N(W8)+N(AD8))</f>
        <v>15.0687154955621</v>
      </c>
      <c r="AO8" s="17" t="n">
        <f aca="false">IF(AN8="","",AN8+N($M8)*N(AK8))</f>
        <v>15.0687154955621</v>
      </c>
      <c r="AP8" s="10" t="n">
        <f aca="false">IFERROR(AN8/AL8,"")</f>
        <v>0.538493873886161</v>
      </c>
      <c r="AQ8" s="0" t="str">
        <f aca="false">TRIM(IF($N8&lt;Config!$B$12,"thin sample ("&amp;$N8&amp;" maps) · ","")&amp;IF(AND($G8&lt;&gt;"",Q8=0),"M1 unplayed→overall KPR · ","")&amp;IF(AND($H8&lt;&gt;"",X8=0),"M2 unplayed→overall KPR · ","")&amp;IF($O8="","no PickFinder stats",""))</f>
        <v/>
      </c>
      <c r="AR8" s="0" t="str">
        <f aca="false">IF($C8=Board!$B$2,COUNTIFS($C$2:$C$56,Board!$B$2,$AL$2:$AL$56,"&gt;"&amp;$AL8)+COUNTIFS($C$1:$C7,Board!$B$2,$AL$1:$AL7,$AL8)+1,"")</f>
        <v/>
      </c>
      <c r="AS8" s="0" t="str">
        <f aca="false">IFERROR(IF($D8=INDEX(Matches!$AD$5:$AD$12,MATCH($C8,Matches!$A$5:$A$12,0)),"A",IF($D8=INDEX(Matches!$AE$5:$AE$12,MATCH($C8,Matches!$A$5:$A$12,0)),"B","")),"")</f>
        <v>A</v>
      </c>
      <c r="AT8" s="10" t="n">
        <f aca="false">IF($AS8="","",IFERROR(IF($AS8="A",INDEX(Matches!$AI$5:$AI$12,MATCH($C8,Matches!$A$5:$A$12,0)),INDEX(Matches!$AJ$5:$AJ$12,MATCH($C8,Matches!$A$5:$A$12,0))),""))</f>
        <v>0.480988262300867</v>
      </c>
      <c r="AU8" s="10" t="n">
        <f aca="false">IF($AS8="","",IFERROR(IF(INDEX(Matches!$AP$5:$AP$12,MATCH($C8,Matches!$A$5:$A$12,0))="","",IF($AS8="A",INDEX(Matches!$AP$5:$AP$12,MATCH($C8,Matches!$A$5:$A$12,0)),1-INDEX(Matches!$AP$5:$AP$12,MATCH($C8,Matches!$A$5:$A$12,0)))),""))</f>
        <v>0.495428330683295</v>
      </c>
      <c r="AV8" s="13" t="n">
        <f aca="false">IF(OR($AU8="",$AT8=""),1,((Config!$B$14*$AU8+Config!$B$15*(1-$AU8))/(Config!$B$14*$AT8+Config!$B$15*(1-$AT8)))^Config!$B$13)</f>
        <v>1.01312690670119</v>
      </c>
      <c r="AW8" s="10" t="n">
        <f aca="false">IF($AS8="","",IFERROR(IF(INDEX(Matches!$AV$5:$AV$12,MATCH($C8,Matches!$A$5:$A$12,0))="","",IF($AS8="A",INDEX(Matches!$AV$5:$AV$12,MATCH($C8,Matches!$A$5:$A$12,0)),1-INDEX(Matches!$AV$5:$AV$12,MATCH($C8,Matches!$A$5:$A$12,0)))),""))</f>
        <v>0.534526424392716</v>
      </c>
      <c r="AX8" s="13" t="n">
        <f aca="false">IF(OR($AW8="",$AT8=""),1,((Config!$B$14*$AW8+Config!$B$15*(1-$AW8))/(Config!$B$14*$AT8+Config!$B$15*(1-$AT8)))^Config!$B$13)</f>
        <v>1.04866946887789</v>
      </c>
      <c r="AY8" s="10" t="n">
        <f aca="false">IF($AS8="","",IFERROR(IF(INDEX(Matches!$BB$5:$BB$12,MATCH($C8,Matches!$A$5:$A$12,0))="","",IF($AS8="A",INDEX(Matches!$BB$5:$BB$12,MATCH($C8,Matches!$A$5:$A$12,0)),1-INDEX(Matches!$BB$5:$BB$12,MATCH($C8,Matches!$A$5:$A$12,0)))),""))</f>
        <v>0.491252077020819</v>
      </c>
      <c r="AZ8" s="13" t="n">
        <f aca="false">IF(OR($AY8="",$AT8=""),1,((Config!$B$14*$AY8+Config!$B$15*(1-$AY8))/(Config!$B$14*$AT8+Config!$B$15*(1-$AT8)))^Config!$B$13)</f>
        <v>1.0093304363012</v>
      </c>
      <c r="BA8" s="17" t="n">
        <f aca="false">IF(V8="","",V8*$AV8)</f>
        <v>13.5049816663269</v>
      </c>
      <c r="BB8" s="17" t="n">
        <f aca="false">IF(AC8="","",AC8*$AX8)</f>
        <v>15.3662343943499</v>
      </c>
      <c r="BC8" s="17" t="n">
        <f aca="false">IF(AJ8="","",AJ8*$AZ8)</f>
        <v>12.5863505406759</v>
      </c>
      <c r="BD8" s="17" t="n">
        <f aca="false">N(BA8)+N(BB8)</f>
        <v>28.8712160606768</v>
      </c>
      <c r="BE8" s="17" t="n">
        <f aca="false">BD8+N($M8)*N(BC8)</f>
        <v>28.8712160606768</v>
      </c>
      <c r="BF8" s="17" t="n">
        <f aca="false">IF(W8="","",W8*$AV8)</f>
        <v>7.28424948627508</v>
      </c>
      <c r="BG8" s="17" t="n">
        <f aca="false">IF(AD8="","",AD8*$AX8)</f>
        <v>8.2623060320389</v>
      </c>
      <c r="BH8" s="17" t="n">
        <f aca="false">IF(AK8="","",AK8*$AZ8)</f>
        <v>6.86655346163542</v>
      </c>
      <c r="BI8" s="17" t="n">
        <f aca="false">IF(BF8="","",N(BF8)+N(BG8))</f>
        <v>15.546555518314</v>
      </c>
      <c r="BJ8" s="17" t="n">
        <f aca="false">IF(BI8="","",BI8+N($M8)*N(BH8))</f>
        <v>15.546555518314</v>
      </c>
      <c r="BK8" s="13" t="n">
        <f aca="false">IFERROR(BD8/AL8,1)</f>
        <v>1.03173843748639</v>
      </c>
    </row>
    <row r="9" customFormat="false" ht="15" hidden="false" customHeight="false" outlineLevel="0" collapsed="false">
      <c r="A9" s="0" t="s">
        <v>709</v>
      </c>
      <c r="B9" s="0" t="s">
        <v>608</v>
      </c>
      <c r="C9" s="0" t="s">
        <v>622</v>
      </c>
      <c r="D9" s="0" t="s">
        <v>627</v>
      </c>
      <c r="E9" s="0" t="s">
        <v>707</v>
      </c>
      <c r="F9" s="0" t="s">
        <v>870</v>
      </c>
      <c r="G9" s="0" t="str">
        <f aca="false">IFERROR(IF(INDEX(Matches!$W$5:$W$12,MATCH($C9,Matches!$A$5:$A$12,0))="","",INDEX(Matches!$W$5:$W$12,MATCH($C9,Matches!$A$5:$A$12,0))),"")</f>
        <v>Ancient</v>
      </c>
      <c r="H9" s="0" t="str">
        <f aca="false">IFERROR(IF(INDEX(Matches!$X$5:$X$12,MATCH($C9,Matches!$A$5:$A$12,0))="","",INDEX(Matches!$X$5:$X$12,MATCH($C9,Matches!$A$5:$A$12,0))),"")</f>
        <v>Mirage</v>
      </c>
      <c r="I9" s="0" t="str">
        <f aca="false">IFERROR(IF(INDEX(Matches!$Y$5:$Y$12,MATCH($C9,Matches!$A$5:$A$12,0))="","",INDEX(Matches!$Y$5:$Y$12,MATCH($C9,Matches!$A$5:$A$12,0))),"")</f>
        <v>Dust2</v>
      </c>
      <c r="J9" s="11" t="n">
        <f aca="false">IFERROR(IF(INDEX(Matches!$Z$5:$Z$12,MATCH($C9,Matches!$A$5:$A$12,0))="","",INDEX(Matches!$Z$5:$Z$12,MATCH($C9,Matches!$A$5:$A$12,0))),"")</f>
        <v>21.5</v>
      </c>
      <c r="K9" s="11" t="n">
        <f aca="false">IFERROR(IF(INDEX(Matches!$AA$5:$AA$12,MATCH($C9,Matches!$A$5:$A$12,0))="","",INDEX(Matches!$AA$5:$AA$12,MATCH($C9,Matches!$A$5:$A$12,0))),"")</f>
        <v>21.5</v>
      </c>
      <c r="L9" s="11" t="n">
        <f aca="false">IFERROR(IF(INDEX(Matches!$AB$5:$AB$12,MATCH($C9,Matches!$A$5:$A$12,0))="","",INDEX(Matches!$AB$5:$AB$12,MATCH($C9,Matches!$A$5:$A$12,0))),"")</f>
        <v>21.5</v>
      </c>
      <c r="M9" s="10" t="n">
        <f aca="false">IFERROR(IF(INDEX(Matches!$AC$5:$AC$12,MATCH($C9,Matches!$A$5:$A$12,0))="","",INDEX(Matches!$AC$5:$AC$12,MATCH($C9,Matches!$A$5:$A$12,0))),"")</f>
        <v>0</v>
      </c>
      <c r="N9" s="9" t="n">
        <f aca="false">IFERROR(INDEX(Players!$F$2:$F$56,MATCH($F9,Players!$A$2:$A$56,0)),0)</f>
        <v>34</v>
      </c>
      <c r="O9" s="13" t="n">
        <f aca="false">IFERROR(1/(1/INDEX(Players!$H$2:$H$56,MATCH($F9,Players!$A$2:$A$56,0))),"")</f>
        <v>0.64</v>
      </c>
      <c r="P9" s="10" t="n">
        <f aca="false">IFERROR(1/(1/INDEX(Players!$I$2:$I$56,MATCH($F9,Players!$A$2:$A$56,0))),"")</f>
        <v>0.598</v>
      </c>
      <c r="Q9" s="9" t="n">
        <f aca="false">IF($G9="",0,SUMIFS(Map_Stats!$F$2:$F$450,Map_Stats!$A$2:$A$450,$F9&amp;"|"&amp;$G9))</f>
        <v>7</v>
      </c>
      <c r="R9" s="13" t="n">
        <f aca="false">IF($G9="","",IFERROR(1/(1/INDEX(Map_Stats!$K$2:$K$450,MATCH($F9&amp;"|"&amp;$G9,Map_Stats!$A$2:$A$450,0))),$O9))</f>
        <v>0.63</v>
      </c>
      <c r="S9" s="10" t="n">
        <f aca="false">IF(OR($G9="",$P9=""),"",IFERROR(1/(1/INDEX(Map_Stats!$I$2:$I$450,MATCH($F9&amp;"|"&amp;$G9,Map_Stats!$A$2:$A$450,0))),$P9))</f>
        <v>0.589</v>
      </c>
      <c r="T9" s="13" t="n">
        <f aca="false">IF(OR($G9="",R9=""),"",IF($O9="",R9,(Q9*R9+Config!$B$4*$O9)/(Q9+Config!$B$4)))</f>
        <v>0.634166666666667</v>
      </c>
      <c r="U9" s="10" t="n">
        <f aca="false">IF(S9="","",(Q9*S9+Config!$B$4*$P9)/(Q9+Config!$B$4))</f>
        <v>0.59275</v>
      </c>
      <c r="V9" s="17" t="n">
        <f aca="false">IF(OR(T9="",$J9=""),"",T9*$J9*($J9/Config!$B$10)^Config!$B$9)</f>
        <v>13.6345833333333</v>
      </c>
      <c r="W9" s="17" t="n">
        <f aca="false">IF(OR(V9="",U9=""),"",V9*U9)</f>
        <v>8.08189927083333</v>
      </c>
      <c r="X9" s="9" t="n">
        <f aca="false">IF($H9="",0,SUMIFS(Map_Stats!$F$2:$F$450,Map_Stats!$A$2:$A$450,$F9&amp;"|"&amp;$H9))</f>
        <v>9</v>
      </c>
      <c r="Y9" s="13" t="n">
        <f aca="false">IF($H9="","",IFERROR(1/(1/INDEX(Map_Stats!$K$2:$K$450,MATCH($F9&amp;"|"&amp;$H9,Map_Stats!$A$2:$A$450,0))),$O9))</f>
        <v>0.68</v>
      </c>
      <c r="Z9" s="10" t="n">
        <f aca="false">IF(OR($H9="",$P9=""),"",IFERROR(1/(1/INDEX(Map_Stats!$I$2:$I$450,MATCH($F9&amp;"|"&amp;$H9,Map_Stats!$A$2:$A$450,0))),$P9))</f>
        <v>0.606</v>
      </c>
      <c r="AA9" s="13" t="n">
        <f aca="false">IF(OR($H9="",Y9=""),"",IF($O9="",Y9,(X9*Y9+Config!$B$4*$O9)/(X9+Config!$B$4)))</f>
        <v>0.665714285714286</v>
      </c>
      <c r="AB9" s="10" t="n">
        <f aca="false">IF(Z9="","",(X9*Z9+Config!$B$4*$P9)/(X9+Config!$B$4))</f>
        <v>0.603142857142857</v>
      </c>
      <c r="AC9" s="17" t="n">
        <f aca="false">IF(OR(AA9="",$K9=""),"",AA9*$K9*($K9/Config!$B$10)^Config!$B$9)</f>
        <v>14.3128571428571</v>
      </c>
      <c r="AD9" s="17" t="n">
        <f aca="false">IF(OR(AC9="",AB9=""),"",AC9*AB9)</f>
        <v>8.63269755102041</v>
      </c>
      <c r="AE9" s="9" t="n">
        <f aca="false">IF($I9="",0,SUMIFS(Map_Stats!$F$2:$F$450,Map_Stats!$A$2:$A$450,$F9&amp;"|"&amp;$I9))</f>
        <v>6</v>
      </c>
      <c r="AF9" s="13" t="n">
        <f aca="false">IF($I9="","",IFERROR(1/(1/INDEX(Map_Stats!$K$2:$K$450,MATCH($F9&amp;"|"&amp;$I9,Map_Stats!$A$2:$A$450,0))),$O9))</f>
        <v>0.69</v>
      </c>
      <c r="AG9" s="10" t="n">
        <f aca="false">IF(OR($I9="",$P9=""),"",IFERROR(1/(1/INDEX(Map_Stats!$I$2:$I$450,MATCH($F9&amp;"|"&amp;$I9,Map_Stats!$A$2:$A$450,0))),$P9))</f>
        <v>0.644</v>
      </c>
      <c r="AH9" s="13" t="n">
        <f aca="false">IF(OR($I9="",AF9=""),"",IF($O9="",AF9,(AE9*AF9+Config!$B$4*$O9)/(AE9+Config!$B$4)))</f>
        <v>0.667272727272727</v>
      </c>
      <c r="AI9" s="10" t="n">
        <f aca="false">IF(AG9="","",(AE9*AG9+Config!$B$4*$P9)/(AE9+Config!$B$4))</f>
        <v>0.623090909090909</v>
      </c>
      <c r="AJ9" s="17" t="n">
        <f aca="false">IF(OR(AH9="",$L9=""),"",AH9*$L9*($L9/Config!$B$10)^Config!$B$9)</f>
        <v>14.3463636363636</v>
      </c>
      <c r="AK9" s="17" t="n">
        <f aca="false">IF(OR(AJ9="",AI9=""),"",AJ9*AI9)</f>
        <v>8.93908876033058</v>
      </c>
      <c r="AL9" s="17" t="n">
        <f aca="false">N(V9)+N(AC9)</f>
        <v>27.9474404761905</v>
      </c>
      <c r="AM9" s="17" t="n">
        <f aca="false">AL9+N($M9)*N(AJ9)</f>
        <v>27.9474404761905</v>
      </c>
      <c r="AN9" s="17" t="n">
        <f aca="false">IF(W9="","",N(W9)+N(AD9))</f>
        <v>16.7145968218537</v>
      </c>
      <c r="AO9" s="17" t="n">
        <f aca="false">IF(AN9="","",AN9+N($M9)*N(AK9))</f>
        <v>16.7145968218537</v>
      </c>
      <c r="AP9" s="10" t="n">
        <f aca="false">IFERROR(AN9/AL9,"")</f>
        <v>0.598072543927361</v>
      </c>
      <c r="AQ9" s="0" t="str">
        <f aca="false">TRIM(IF($N9&lt;Config!$B$12,"thin sample ("&amp;$N9&amp;" maps) · ","")&amp;IF(AND($G9&lt;&gt;"",Q9=0),"M1 unplayed→overall KPR · ","")&amp;IF(AND($H9&lt;&gt;"",X9=0),"M2 unplayed→overall KPR · ","")&amp;IF($O9="","no PickFinder stats",""))</f>
        <v/>
      </c>
      <c r="AR9" s="0" t="str">
        <f aca="false">IF($C9=Board!$B$2,COUNTIFS($C$2:$C$56,Board!$B$2,$AL$2:$AL$56,"&gt;"&amp;$AL9)+COUNTIFS($C$1:$C8,Board!$B$2,$AL$1:$AL8,$AL9)+1,"")</f>
        <v/>
      </c>
      <c r="AS9" s="0" t="str">
        <f aca="false">IFERROR(IF($D9=INDEX(Matches!$AD$5:$AD$12,MATCH($C9,Matches!$A$5:$A$12,0)),"A",IF($D9=INDEX(Matches!$AE$5:$AE$12,MATCH($C9,Matches!$A$5:$A$12,0)),"B","")),"")</f>
        <v>A</v>
      </c>
      <c r="AT9" s="10" t="n">
        <f aca="false">IF($AS9="","",IFERROR(IF($AS9="A",INDEX(Matches!$AI$5:$AI$12,MATCH($C9,Matches!$A$5:$A$12,0)),INDEX(Matches!$AJ$5:$AJ$12,MATCH($C9,Matches!$A$5:$A$12,0))),""))</f>
        <v>0.480988262300867</v>
      </c>
      <c r="AU9" s="10" t="n">
        <f aca="false">IF($AS9="","",IFERROR(IF(INDEX(Matches!$AP$5:$AP$12,MATCH($C9,Matches!$A$5:$A$12,0))="","",IF($AS9="A",INDEX(Matches!$AP$5:$AP$12,MATCH($C9,Matches!$A$5:$A$12,0)),1-INDEX(Matches!$AP$5:$AP$12,MATCH($C9,Matches!$A$5:$A$12,0)))),""))</f>
        <v>0.495428330683295</v>
      </c>
      <c r="AV9" s="13" t="n">
        <f aca="false">IF(OR($AU9="",$AT9=""),1,((Config!$B$14*$AU9+Config!$B$15*(1-$AU9))/(Config!$B$14*$AT9+Config!$B$15*(1-$AT9)))^Config!$B$13)</f>
        <v>1.01312690670119</v>
      </c>
      <c r="AW9" s="10" t="n">
        <f aca="false">IF($AS9="","",IFERROR(IF(INDEX(Matches!$AV$5:$AV$12,MATCH($C9,Matches!$A$5:$A$12,0))="","",IF($AS9="A",INDEX(Matches!$AV$5:$AV$12,MATCH($C9,Matches!$A$5:$A$12,0)),1-INDEX(Matches!$AV$5:$AV$12,MATCH($C9,Matches!$A$5:$A$12,0)))),""))</f>
        <v>0.534526424392716</v>
      </c>
      <c r="AX9" s="13" t="n">
        <f aca="false">IF(OR($AW9="",$AT9=""),1,((Config!$B$14*$AW9+Config!$B$15*(1-$AW9))/(Config!$B$14*$AT9+Config!$B$15*(1-$AT9)))^Config!$B$13)</f>
        <v>1.04866946887789</v>
      </c>
      <c r="AY9" s="10" t="n">
        <f aca="false">IF($AS9="","",IFERROR(IF(INDEX(Matches!$BB$5:$BB$12,MATCH($C9,Matches!$A$5:$A$12,0))="","",IF($AS9="A",INDEX(Matches!$BB$5:$BB$12,MATCH($C9,Matches!$A$5:$A$12,0)),1-INDEX(Matches!$BB$5:$BB$12,MATCH($C9,Matches!$A$5:$A$12,0)))),""))</f>
        <v>0.491252077020819</v>
      </c>
      <c r="AZ9" s="13" t="n">
        <f aca="false">IF(OR($AY9="",$AT9=""),1,((Config!$B$14*$AY9+Config!$B$15*(1-$AY9))/(Config!$B$14*$AT9+Config!$B$15*(1-$AT9)))^Config!$B$13)</f>
        <v>1.0093304363012</v>
      </c>
      <c r="BA9" s="17" t="n">
        <f aca="false">IF(V9="","",V9*$AV9)</f>
        <v>13.8135632366597</v>
      </c>
      <c r="BB9" s="17" t="n">
        <f aca="false">IF(AC9="","",AC9*$AX9)</f>
        <v>15.0094562981251</v>
      </c>
      <c r="BC9" s="17" t="n">
        <f aca="false">IF(AJ9="","",AJ9*$AZ9)</f>
        <v>14.4802214684265</v>
      </c>
      <c r="BD9" s="17" t="n">
        <f aca="false">N(BA9)+N(BB9)</f>
        <v>28.8230195347847</v>
      </c>
      <c r="BE9" s="17" t="n">
        <f aca="false">BD9+N($M9)*N(BC9)</f>
        <v>28.8230195347847</v>
      </c>
      <c r="BF9" s="17" t="n">
        <f aca="false">IF(W9="","",W9*$AV9)</f>
        <v>8.18798960853001</v>
      </c>
      <c r="BG9" s="17" t="n">
        <f aca="false">IF(AD9="","",AD9*$AX9)</f>
        <v>9.052846355812</v>
      </c>
      <c r="BH9" s="17" t="n">
        <f aca="false">IF(AK9="","",AK9*$AZ9)</f>
        <v>9.02249435859958</v>
      </c>
      <c r="BI9" s="17" t="n">
        <f aca="false">IF(BF9="","",N(BF9)+N(BG9))</f>
        <v>17.240835964342</v>
      </c>
      <c r="BJ9" s="17" t="n">
        <f aca="false">IF(BI9="","",BI9+N($M9)*N(BH9))</f>
        <v>17.240835964342</v>
      </c>
      <c r="BK9" s="13" t="n">
        <f aca="false">IFERROR(BD9/AL9,1)</f>
        <v>1.03132949005975</v>
      </c>
    </row>
    <row r="10" customFormat="false" ht="15" hidden="false" customHeight="false" outlineLevel="0" collapsed="false">
      <c r="A10" s="0" t="s">
        <v>712</v>
      </c>
      <c r="B10" s="0" t="s">
        <v>608</v>
      </c>
      <c r="C10" s="0" t="s">
        <v>622</v>
      </c>
      <c r="D10" s="0" t="s">
        <v>627</v>
      </c>
      <c r="E10" s="0" t="s">
        <v>710</v>
      </c>
      <c r="F10" s="0" t="s">
        <v>871</v>
      </c>
      <c r="G10" s="0" t="str">
        <f aca="false">IFERROR(IF(INDEX(Matches!$W$5:$W$12,MATCH($C10,Matches!$A$5:$A$12,0))="","",INDEX(Matches!$W$5:$W$12,MATCH($C10,Matches!$A$5:$A$12,0))),"")</f>
        <v>Ancient</v>
      </c>
      <c r="H10" s="0" t="str">
        <f aca="false">IFERROR(IF(INDEX(Matches!$X$5:$X$12,MATCH($C10,Matches!$A$5:$A$12,0))="","",INDEX(Matches!$X$5:$X$12,MATCH($C10,Matches!$A$5:$A$12,0))),"")</f>
        <v>Mirage</v>
      </c>
      <c r="I10" s="0" t="str">
        <f aca="false">IFERROR(IF(INDEX(Matches!$Y$5:$Y$12,MATCH($C10,Matches!$A$5:$A$12,0))="","",INDEX(Matches!$Y$5:$Y$12,MATCH($C10,Matches!$A$5:$A$12,0))),"")</f>
        <v>Dust2</v>
      </c>
      <c r="J10" s="11" t="n">
        <f aca="false">IFERROR(IF(INDEX(Matches!$Z$5:$Z$12,MATCH($C10,Matches!$A$5:$A$12,0))="","",INDEX(Matches!$Z$5:$Z$12,MATCH($C10,Matches!$A$5:$A$12,0))),"")</f>
        <v>21.5</v>
      </c>
      <c r="K10" s="11" t="n">
        <f aca="false">IFERROR(IF(INDEX(Matches!$AA$5:$AA$12,MATCH($C10,Matches!$A$5:$A$12,0))="","",INDEX(Matches!$AA$5:$AA$12,MATCH($C10,Matches!$A$5:$A$12,0))),"")</f>
        <v>21.5</v>
      </c>
      <c r="L10" s="11" t="n">
        <f aca="false">IFERROR(IF(INDEX(Matches!$AB$5:$AB$12,MATCH($C10,Matches!$A$5:$A$12,0))="","",INDEX(Matches!$AB$5:$AB$12,MATCH($C10,Matches!$A$5:$A$12,0))),"")</f>
        <v>21.5</v>
      </c>
      <c r="M10" s="10" t="n">
        <f aca="false">IFERROR(IF(INDEX(Matches!$AC$5:$AC$12,MATCH($C10,Matches!$A$5:$A$12,0))="","",INDEX(Matches!$AC$5:$AC$12,MATCH($C10,Matches!$A$5:$A$12,0))),"")</f>
        <v>0</v>
      </c>
      <c r="N10" s="9" t="n">
        <f aca="false">IFERROR(INDEX(Players!$F$2:$F$56,MATCH($F10,Players!$A$2:$A$56,0)),0)</f>
        <v>34</v>
      </c>
      <c r="O10" s="13" t="n">
        <f aca="false">IFERROR(1/(1/INDEX(Players!$H$2:$H$56,MATCH($F10,Players!$A$2:$A$56,0))),"")</f>
        <v>0.65</v>
      </c>
      <c r="P10" s="10" t="n">
        <f aca="false">IFERROR(1/(1/INDEX(Players!$I$2:$I$56,MATCH($F10,Players!$A$2:$A$56,0))),"")</f>
        <v>0.51</v>
      </c>
      <c r="Q10" s="9" t="n">
        <f aca="false">IF($G10="",0,SUMIFS(Map_Stats!$F$2:$F$450,Map_Stats!$A$2:$A$450,$F10&amp;"|"&amp;$G10))</f>
        <v>7</v>
      </c>
      <c r="R10" s="13" t="n">
        <f aca="false">IF($G10="","",IFERROR(1/(1/INDEX(Map_Stats!$K$2:$K$450,MATCH($F10&amp;"|"&amp;$G10,Map_Stats!$A$2:$A$450,0))),$O10))</f>
        <v>0.67</v>
      </c>
      <c r="S10" s="10" t="n">
        <f aca="false">IF(OR($G10="",$P10=""),"",IFERROR(1/(1/INDEX(Map_Stats!$I$2:$I$450,MATCH($F10&amp;"|"&amp;$G10,Map_Stats!$A$2:$A$450,0))),$P10))</f>
        <v>0.51</v>
      </c>
      <c r="T10" s="13" t="n">
        <f aca="false">IF(OR($G10="",R10=""),"",IF($O10="",R10,(Q10*R10+Config!$B$4*$O10)/(Q10+Config!$B$4)))</f>
        <v>0.661666666666667</v>
      </c>
      <c r="U10" s="10" t="n">
        <f aca="false">IF(S10="","",(Q10*S10+Config!$B$4*$P10)/(Q10+Config!$B$4))</f>
        <v>0.51</v>
      </c>
      <c r="V10" s="17" t="n">
        <f aca="false">IF(OR(T10="",$J10=""),"",T10*$J10*($J10/Config!$B$10)^Config!$B$9)</f>
        <v>14.2258333333333</v>
      </c>
      <c r="W10" s="17" t="n">
        <f aca="false">IF(OR(V10="",U10=""),"",V10*U10)</f>
        <v>7.255175</v>
      </c>
      <c r="X10" s="9" t="n">
        <f aca="false">IF($H10="",0,SUMIFS(Map_Stats!$F$2:$F$450,Map_Stats!$A$2:$A$450,$F10&amp;"|"&amp;$H10))</f>
        <v>9</v>
      </c>
      <c r="Y10" s="13" t="n">
        <f aca="false">IF($H10="","",IFERROR(1/(1/INDEX(Map_Stats!$K$2:$K$450,MATCH($F10&amp;"|"&amp;$H10,Map_Stats!$A$2:$A$450,0))),$O10))</f>
        <v>0.66</v>
      </c>
      <c r="Z10" s="10" t="n">
        <f aca="false">IF(OR($H10="",$P10=""),"",IFERROR(1/(1/INDEX(Map_Stats!$I$2:$I$450,MATCH($F10&amp;"|"&amp;$H10,Map_Stats!$A$2:$A$450,0))),$P10))</f>
        <v>0.496</v>
      </c>
      <c r="AA10" s="13" t="n">
        <f aca="false">IF(OR($H10="",Y10=""),"",IF($O10="",Y10,(X10*Y10+Config!$B$4*$O10)/(X10+Config!$B$4)))</f>
        <v>0.656428571428572</v>
      </c>
      <c r="AB10" s="10" t="n">
        <f aca="false">IF(Z10="","",(X10*Z10+Config!$B$4*$P10)/(X10+Config!$B$4))</f>
        <v>0.501</v>
      </c>
      <c r="AC10" s="17" t="n">
        <f aca="false">IF(OR(AA10="",$K10=""),"",AA10*$K10*($K10/Config!$B$10)^Config!$B$9)</f>
        <v>14.1132142857143</v>
      </c>
      <c r="AD10" s="17" t="n">
        <f aca="false">IF(OR(AC10="",AB10=""),"",AC10*AB10)</f>
        <v>7.07072035714286</v>
      </c>
      <c r="AE10" s="9" t="n">
        <f aca="false">IF($I10="",0,SUMIFS(Map_Stats!$F$2:$F$450,Map_Stats!$A$2:$A$450,$F10&amp;"|"&amp;$I10))</f>
        <v>6</v>
      </c>
      <c r="AF10" s="13" t="n">
        <f aca="false">IF($I10="","",IFERROR(1/(1/INDEX(Map_Stats!$K$2:$K$450,MATCH($F10&amp;"|"&amp;$I10,Map_Stats!$A$2:$A$450,0))),$O10))</f>
        <v>0.65</v>
      </c>
      <c r="AG10" s="10" t="n">
        <f aca="false">IF(OR($I10="",$P10=""),"",IFERROR(1/(1/INDEX(Map_Stats!$I$2:$I$450,MATCH($F10&amp;"|"&amp;$I10,Map_Stats!$A$2:$A$450,0))),$P10))</f>
        <v>0.6</v>
      </c>
      <c r="AH10" s="13" t="n">
        <f aca="false">IF(OR($I10="",AF10=""),"",IF($O10="",AF10,(AE10*AF10+Config!$B$4*$O10)/(AE10+Config!$B$4)))</f>
        <v>0.65</v>
      </c>
      <c r="AI10" s="10" t="n">
        <f aca="false">IF(AG10="","",(AE10*AG10+Config!$B$4*$P10)/(AE10+Config!$B$4))</f>
        <v>0.559090909090909</v>
      </c>
      <c r="AJ10" s="17" t="n">
        <f aca="false">IF(OR(AH10="",$L10=""),"",AH10*$L10*($L10/Config!$B$10)^Config!$B$9)</f>
        <v>13.975</v>
      </c>
      <c r="AK10" s="17" t="n">
        <f aca="false">IF(OR(AJ10="",AI10=""),"",AJ10*AI10)</f>
        <v>7.81329545454545</v>
      </c>
      <c r="AL10" s="17" t="n">
        <f aca="false">N(V10)+N(AC10)</f>
        <v>28.3390476190476</v>
      </c>
      <c r="AM10" s="17" t="n">
        <f aca="false">AL10+N($M10)*N(AJ10)</f>
        <v>28.3390476190476</v>
      </c>
      <c r="AN10" s="17" t="n">
        <f aca="false">IF(W10="","",N(W10)+N(AD10))</f>
        <v>14.3258953571429</v>
      </c>
      <c r="AO10" s="17" t="n">
        <f aca="false">IF(AN10="","",AN10+N($M10)*N(AK10))</f>
        <v>14.3258953571429</v>
      </c>
      <c r="AP10" s="10" t="n">
        <f aca="false">IFERROR(AN10/AL10,"")</f>
        <v>0.505517882947977</v>
      </c>
      <c r="AQ10" s="0" t="str">
        <f aca="false">TRIM(IF($N10&lt;Config!$B$12,"thin sample ("&amp;$N10&amp;" maps) · ","")&amp;IF(AND($G10&lt;&gt;"",Q10=0),"M1 unplayed→overall KPR · ","")&amp;IF(AND($H10&lt;&gt;"",X10=0),"M2 unplayed→overall KPR · ","")&amp;IF($O10="","no PickFinder stats",""))</f>
        <v/>
      </c>
      <c r="AR10" s="0" t="str">
        <f aca="false">IF($C10=Board!$B$2,COUNTIFS($C$2:$C$56,Board!$B$2,$AL$2:$AL$56,"&gt;"&amp;$AL10)+COUNTIFS($C$1:$C9,Board!$B$2,$AL$1:$AL9,$AL10)+1,"")</f>
        <v/>
      </c>
      <c r="AS10" s="0" t="str">
        <f aca="false">IFERROR(IF($D10=INDEX(Matches!$AD$5:$AD$12,MATCH($C10,Matches!$A$5:$A$12,0)),"A",IF($D10=INDEX(Matches!$AE$5:$AE$12,MATCH($C10,Matches!$A$5:$A$12,0)),"B","")),"")</f>
        <v>A</v>
      </c>
      <c r="AT10" s="10" t="n">
        <f aca="false">IF($AS10="","",IFERROR(IF($AS10="A",INDEX(Matches!$AI$5:$AI$12,MATCH($C10,Matches!$A$5:$A$12,0)),INDEX(Matches!$AJ$5:$AJ$12,MATCH($C10,Matches!$A$5:$A$12,0))),""))</f>
        <v>0.480988262300867</v>
      </c>
      <c r="AU10" s="10" t="n">
        <f aca="false">IF($AS10="","",IFERROR(IF(INDEX(Matches!$AP$5:$AP$12,MATCH($C10,Matches!$A$5:$A$12,0))="","",IF($AS10="A",INDEX(Matches!$AP$5:$AP$12,MATCH($C10,Matches!$A$5:$A$12,0)),1-INDEX(Matches!$AP$5:$AP$12,MATCH($C10,Matches!$A$5:$A$12,0)))),""))</f>
        <v>0.495428330683295</v>
      </c>
      <c r="AV10" s="13" t="n">
        <f aca="false">IF(OR($AU10="",$AT10=""),1,((Config!$B$14*$AU10+Config!$B$15*(1-$AU10))/(Config!$B$14*$AT10+Config!$B$15*(1-$AT10)))^Config!$B$13)</f>
        <v>1.01312690670119</v>
      </c>
      <c r="AW10" s="10" t="n">
        <f aca="false">IF($AS10="","",IFERROR(IF(INDEX(Matches!$AV$5:$AV$12,MATCH($C10,Matches!$A$5:$A$12,0))="","",IF($AS10="A",INDEX(Matches!$AV$5:$AV$12,MATCH($C10,Matches!$A$5:$A$12,0)),1-INDEX(Matches!$AV$5:$AV$12,MATCH($C10,Matches!$A$5:$A$12,0)))),""))</f>
        <v>0.534526424392716</v>
      </c>
      <c r="AX10" s="13" t="n">
        <f aca="false">IF(OR($AW10="",$AT10=""),1,((Config!$B$14*$AW10+Config!$B$15*(1-$AW10))/(Config!$B$14*$AT10+Config!$B$15*(1-$AT10)))^Config!$B$13)</f>
        <v>1.04866946887789</v>
      </c>
      <c r="AY10" s="10" t="n">
        <f aca="false">IF($AS10="","",IFERROR(IF(INDEX(Matches!$BB$5:$BB$12,MATCH($C10,Matches!$A$5:$A$12,0))="","",IF($AS10="A",INDEX(Matches!$BB$5:$BB$12,MATCH($C10,Matches!$A$5:$A$12,0)),1-INDEX(Matches!$BB$5:$BB$12,MATCH($C10,Matches!$A$5:$A$12,0)))),""))</f>
        <v>0.491252077020819</v>
      </c>
      <c r="AZ10" s="13" t="n">
        <f aca="false">IF(OR($AY10="",$AT10=""),1,((Config!$B$14*$AY10+Config!$B$15*(1-$AY10))/(Config!$B$14*$AT10+Config!$B$15*(1-$AT10)))^Config!$B$13)</f>
        <v>1.0093304363012</v>
      </c>
      <c r="BA10" s="17" t="n">
        <f aca="false">IF(V10="","",V10*$AV10)</f>
        <v>14.4125745202467</v>
      </c>
      <c r="BB10" s="17" t="n">
        <f aca="false">IF(AC10="","",AC10*$AX10)</f>
        <v>14.8000969291598</v>
      </c>
      <c r="BC10" s="17" t="n">
        <f aca="false">IF(AJ10="","",AJ10*$AZ10)</f>
        <v>14.1053928473092</v>
      </c>
      <c r="BD10" s="17" t="n">
        <f aca="false">N(BA10)+N(BB10)</f>
        <v>29.2126714494065</v>
      </c>
      <c r="BE10" s="17" t="n">
        <f aca="false">BD10+N($M10)*N(BC10)</f>
        <v>29.2126714494065</v>
      </c>
      <c r="BF10" s="17" t="n">
        <f aca="false">IF(W10="","",W10*$AV10)</f>
        <v>7.35041300532584</v>
      </c>
      <c r="BG10" s="17" t="n">
        <f aca="false">IF(AD10="","",AD10*$AX10)</f>
        <v>7.41484856150906</v>
      </c>
      <c r="BH10" s="17" t="n">
        <f aca="false">IF(AK10="","",AK10*$AZ10)</f>
        <v>7.88619691008651</v>
      </c>
      <c r="BI10" s="17" t="n">
        <f aca="false">IF(BF10="","",N(BF10)+N(BG10))</f>
        <v>14.7652615668349</v>
      </c>
      <c r="BJ10" s="17" t="n">
        <f aca="false">IF(BI10="","",BI10+N($M10)*N(BH10))</f>
        <v>14.7652615668349</v>
      </c>
      <c r="BK10" s="13" t="n">
        <f aca="false">IFERROR(BD10/AL10,1)</f>
        <v>1.03082756492394</v>
      </c>
    </row>
    <row r="11" customFormat="false" ht="15" hidden="false" customHeight="false" outlineLevel="0" collapsed="false">
      <c r="A11" s="0" t="s">
        <v>714</v>
      </c>
      <c r="B11" s="0" t="s">
        <v>608</v>
      </c>
      <c r="C11" s="0" t="s">
        <v>622</v>
      </c>
      <c r="D11" s="0" t="s">
        <v>627</v>
      </c>
      <c r="E11" s="0" t="s">
        <v>713</v>
      </c>
      <c r="F11" s="0" t="s">
        <v>872</v>
      </c>
      <c r="G11" s="0" t="str">
        <f aca="false">IFERROR(IF(INDEX(Matches!$W$5:$W$12,MATCH($C11,Matches!$A$5:$A$12,0))="","",INDEX(Matches!$W$5:$W$12,MATCH($C11,Matches!$A$5:$A$12,0))),"")</f>
        <v>Ancient</v>
      </c>
      <c r="H11" s="0" t="str">
        <f aca="false">IFERROR(IF(INDEX(Matches!$X$5:$X$12,MATCH($C11,Matches!$A$5:$A$12,0))="","",INDEX(Matches!$X$5:$X$12,MATCH($C11,Matches!$A$5:$A$12,0))),"")</f>
        <v>Mirage</v>
      </c>
      <c r="I11" s="0" t="str">
        <f aca="false">IFERROR(IF(INDEX(Matches!$Y$5:$Y$12,MATCH($C11,Matches!$A$5:$A$12,0))="","",INDEX(Matches!$Y$5:$Y$12,MATCH($C11,Matches!$A$5:$A$12,0))),"")</f>
        <v>Dust2</v>
      </c>
      <c r="J11" s="11" t="n">
        <f aca="false">IFERROR(IF(INDEX(Matches!$Z$5:$Z$12,MATCH($C11,Matches!$A$5:$A$12,0))="","",INDEX(Matches!$Z$5:$Z$12,MATCH($C11,Matches!$A$5:$A$12,0))),"")</f>
        <v>21.5</v>
      </c>
      <c r="K11" s="11" t="n">
        <f aca="false">IFERROR(IF(INDEX(Matches!$AA$5:$AA$12,MATCH($C11,Matches!$A$5:$A$12,0))="","",INDEX(Matches!$AA$5:$AA$12,MATCH($C11,Matches!$A$5:$A$12,0))),"")</f>
        <v>21.5</v>
      </c>
      <c r="L11" s="11" t="n">
        <f aca="false">IFERROR(IF(INDEX(Matches!$AB$5:$AB$12,MATCH($C11,Matches!$A$5:$A$12,0))="","",INDEX(Matches!$AB$5:$AB$12,MATCH($C11,Matches!$A$5:$A$12,0))),"")</f>
        <v>21.5</v>
      </c>
      <c r="M11" s="10" t="n">
        <f aca="false">IFERROR(IF(INDEX(Matches!$AC$5:$AC$12,MATCH($C11,Matches!$A$5:$A$12,0))="","",INDEX(Matches!$AC$5:$AC$12,MATCH($C11,Matches!$A$5:$A$12,0))),"")</f>
        <v>0</v>
      </c>
      <c r="N11" s="9" t="n">
        <f aca="false">IFERROR(INDEX(Players!$F$2:$F$56,MATCH($F11,Players!$A$2:$A$56,0)),0)</f>
        <v>34</v>
      </c>
      <c r="O11" s="13" t="n">
        <f aca="false">IFERROR(1/(1/INDEX(Players!$H$2:$H$56,MATCH($F11,Players!$A$2:$A$56,0))),"")</f>
        <v>0.66</v>
      </c>
      <c r="P11" s="10" t="n">
        <f aca="false">IFERROR(1/(1/INDEX(Players!$I$2:$I$56,MATCH($F11,Players!$A$2:$A$56,0))),"")</f>
        <v>0.277</v>
      </c>
      <c r="Q11" s="9" t="n">
        <f aca="false">IF($G11="",0,SUMIFS(Map_Stats!$F$2:$F$450,Map_Stats!$A$2:$A$450,$F11&amp;"|"&amp;$G11))</f>
        <v>7</v>
      </c>
      <c r="R11" s="13" t="n">
        <f aca="false">IF($G11="","",IFERROR(1/(1/INDEX(Map_Stats!$K$2:$K$450,MATCH($F11&amp;"|"&amp;$G11,Map_Stats!$A$2:$A$450,0))),$O11))</f>
        <v>0.62</v>
      </c>
      <c r="S11" s="10" t="n">
        <f aca="false">IF(OR($G11="",$P11=""),"",IFERROR(1/(1/INDEX(Map_Stats!$I$2:$I$450,MATCH($F11&amp;"|"&amp;$G11,Map_Stats!$A$2:$A$450,0))),$P11))</f>
        <v>0.33</v>
      </c>
      <c r="T11" s="13" t="n">
        <f aca="false">IF(OR($G11="",R11=""),"",IF($O11="",R11,(Q11*R11+Config!$B$4*$O11)/(Q11+Config!$B$4)))</f>
        <v>0.636666666666667</v>
      </c>
      <c r="U11" s="10" t="n">
        <f aca="false">IF(S11="","",(Q11*S11+Config!$B$4*$P11)/(Q11+Config!$B$4))</f>
        <v>0.307916666666667</v>
      </c>
      <c r="V11" s="17" t="n">
        <f aca="false">IF(OR(T11="",$J11=""),"",T11*$J11*($J11/Config!$B$10)^Config!$B$9)</f>
        <v>13.6883333333333</v>
      </c>
      <c r="W11" s="17" t="n">
        <f aca="false">IF(OR(V11="",U11=""),"",V11*U11)</f>
        <v>4.21486597222222</v>
      </c>
      <c r="X11" s="9" t="n">
        <f aca="false">IF($H11="",0,SUMIFS(Map_Stats!$F$2:$F$450,Map_Stats!$A$2:$A$450,$F11&amp;"|"&amp;$H11))</f>
        <v>9</v>
      </c>
      <c r="Y11" s="13" t="n">
        <f aca="false">IF($H11="","",IFERROR(1/(1/INDEX(Map_Stats!$K$2:$K$450,MATCH($F11&amp;"|"&amp;$H11,Map_Stats!$A$2:$A$450,0))),$O11))</f>
        <v>0.7</v>
      </c>
      <c r="Z11" s="10" t="n">
        <f aca="false">IF(OR($H11="",$P11=""),"",IFERROR(1/(1/INDEX(Map_Stats!$I$2:$I$450,MATCH($F11&amp;"|"&amp;$H11,Map_Stats!$A$2:$A$450,0))),$P11))</f>
        <v>0.29</v>
      </c>
      <c r="AA11" s="13" t="n">
        <f aca="false">IF(OR($H11="",Y11=""),"",IF($O11="",Y11,(X11*Y11+Config!$B$4*$O11)/(X11+Config!$B$4)))</f>
        <v>0.685714285714286</v>
      </c>
      <c r="AB11" s="10" t="n">
        <f aca="false">IF(Z11="","",(X11*Z11+Config!$B$4*$P11)/(X11+Config!$B$4))</f>
        <v>0.285357142857143</v>
      </c>
      <c r="AC11" s="17" t="n">
        <f aca="false">IF(OR(AA11="",$K11=""),"",AA11*$K11*($K11/Config!$B$10)^Config!$B$9)</f>
        <v>14.7428571428571</v>
      </c>
      <c r="AD11" s="17" t="n">
        <f aca="false">IF(OR(AC11="",AB11=""),"",AC11*AB11)</f>
        <v>4.20697959183674</v>
      </c>
      <c r="AE11" s="9" t="n">
        <f aca="false">IF($I11="",0,SUMIFS(Map_Stats!$F$2:$F$450,Map_Stats!$A$2:$A$450,$F11&amp;"|"&amp;$I11))</f>
        <v>6</v>
      </c>
      <c r="AF11" s="13" t="n">
        <f aca="false">IF($I11="","",IFERROR(1/(1/INDEX(Map_Stats!$K$2:$K$450,MATCH($F11&amp;"|"&amp;$I11,Map_Stats!$A$2:$A$450,0))),$O11))</f>
        <v>0.67</v>
      </c>
      <c r="AG11" s="10" t="n">
        <f aca="false">IF(OR($I11="",$P11=""),"",IFERROR(1/(1/INDEX(Map_Stats!$I$2:$I$450,MATCH($F11&amp;"|"&amp;$I11,Map_Stats!$A$2:$A$450,0))),$P11))</f>
        <v>0.23</v>
      </c>
      <c r="AH11" s="13" t="n">
        <f aca="false">IF(OR($I11="",AF11=""),"",IF($O11="",AF11,(AE11*AF11+Config!$B$4*$O11)/(AE11+Config!$B$4)))</f>
        <v>0.665454545454546</v>
      </c>
      <c r="AI11" s="10" t="n">
        <f aca="false">IF(AG11="","",(AE11*AG11+Config!$B$4*$P11)/(AE11+Config!$B$4))</f>
        <v>0.251363636363636</v>
      </c>
      <c r="AJ11" s="17" t="n">
        <f aca="false">IF(OR(AH11="",$L11=""),"",AH11*$L11*($L11/Config!$B$10)^Config!$B$9)</f>
        <v>14.3072727272727</v>
      </c>
      <c r="AK11" s="17" t="n">
        <f aca="false">IF(OR(AJ11="",AI11=""),"",AJ11*AI11)</f>
        <v>3.59632809917355</v>
      </c>
      <c r="AL11" s="17" t="n">
        <f aca="false">N(V11)+N(AC11)</f>
        <v>28.4311904761905</v>
      </c>
      <c r="AM11" s="17" t="n">
        <f aca="false">AL11+N($M11)*N(AJ11)</f>
        <v>28.4311904761905</v>
      </c>
      <c r="AN11" s="17" t="n">
        <f aca="false">IF(W11="","",N(W11)+N(AD11))</f>
        <v>8.42184556405896</v>
      </c>
      <c r="AO11" s="17" t="n">
        <f aca="false">IF(AN11="","",AN11+N($M11)*N(AK11))</f>
        <v>8.42184556405896</v>
      </c>
      <c r="AP11" s="10" t="n">
        <f aca="false">IFERROR(AN11/AL11,"")</f>
        <v>0.296218534046676</v>
      </c>
      <c r="AQ11" s="0" t="str">
        <f aca="false">TRIM(IF($N11&lt;Config!$B$12,"thin sample ("&amp;$N11&amp;" maps) · ","")&amp;IF(AND($G11&lt;&gt;"",Q11=0),"M1 unplayed→overall KPR · ","")&amp;IF(AND($H11&lt;&gt;"",X11=0),"M2 unplayed→overall KPR · ","")&amp;IF($O11="","no PickFinder stats",""))</f>
        <v/>
      </c>
      <c r="AR11" s="0" t="str">
        <f aca="false">IF($C11=Board!$B$2,COUNTIFS($C$2:$C$56,Board!$B$2,$AL$2:$AL$56,"&gt;"&amp;$AL11)+COUNTIFS($C$1:$C10,Board!$B$2,$AL$1:$AL10,$AL11)+1,"")</f>
        <v/>
      </c>
      <c r="AS11" s="0" t="str">
        <f aca="false">IFERROR(IF($D11=INDEX(Matches!$AD$5:$AD$12,MATCH($C11,Matches!$A$5:$A$12,0)),"A",IF($D11=INDEX(Matches!$AE$5:$AE$12,MATCH($C11,Matches!$A$5:$A$12,0)),"B","")),"")</f>
        <v>A</v>
      </c>
      <c r="AT11" s="10" t="n">
        <f aca="false">IF($AS11="","",IFERROR(IF($AS11="A",INDEX(Matches!$AI$5:$AI$12,MATCH($C11,Matches!$A$5:$A$12,0)),INDEX(Matches!$AJ$5:$AJ$12,MATCH($C11,Matches!$A$5:$A$12,0))),""))</f>
        <v>0.480988262300867</v>
      </c>
      <c r="AU11" s="10" t="n">
        <f aca="false">IF($AS11="","",IFERROR(IF(INDEX(Matches!$AP$5:$AP$12,MATCH($C11,Matches!$A$5:$A$12,0))="","",IF($AS11="A",INDEX(Matches!$AP$5:$AP$12,MATCH($C11,Matches!$A$5:$A$12,0)),1-INDEX(Matches!$AP$5:$AP$12,MATCH($C11,Matches!$A$5:$A$12,0)))),""))</f>
        <v>0.495428330683295</v>
      </c>
      <c r="AV11" s="13" t="n">
        <f aca="false">IF(OR($AU11="",$AT11=""),1,((Config!$B$14*$AU11+Config!$B$15*(1-$AU11))/(Config!$B$14*$AT11+Config!$B$15*(1-$AT11)))^Config!$B$13)</f>
        <v>1.01312690670119</v>
      </c>
      <c r="AW11" s="10" t="n">
        <f aca="false">IF($AS11="","",IFERROR(IF(INDEX(Matches!$AV$5:$AV$12,MATCH($C11,Matches!$A$5:$A$12,0))="","",IF($AS11="A",INDEX(Matches!$AV$5:$AV$12,MATCH($C11,Matches!$A$5:$A$12,0)),1-INDEX(Matches!$AV$5:$AV$12,MATCH($C11,Matches!$A$5:$A$12,0)))),""))</f>
        <v>0.534526424392716</v>
      </c>
      <c r="AX11" s="13" t="n">
        <f aca="false">IF(OR($AW11="",$AT11=""),1,((Config!$B$14*$AW11+Config!$B$15*(1-$AW11))/(Config!$B$14*$AT11+Config!$B$15*(1-$AT11)))^Config!$B$13)</f>
        <v>1.04866946887789</v>
      </c>
      <c r="AY11" s="10" t="n">
        <f aca="false">IF($AS11="","",IFERROR(IF(INDEX(Matches!$BB$5:$BB$12,MATCH($C11,Matches!$A$5:$A$12,0))="","",IF($AS11="A",INDEX(Matches!$BB$5:$BB$12,MATCH($C11,Matches!$A$5:$A$12,0)),1-INDEX(Matches!$BB$5:$BB$12,MATCH($C11,Matches!$A$5:$A$12,0)))),""))</f>
        <v>0.491252077020819</v>
      </c>
      <c r="AZ11" s="13" t="n">
        <f aca="false">IF(OR($AY11="",$AT11=""),1,((Config!$B$14*$AY11+Config!$B$15*(1-$AY11))/(Config!$B$14*$AT11+Config!$B$15*(1-$AT11)))^Config!$B$13)</f>
        <v>1.0093304363012</v>
      </c>
      <c r="BA11" s="17" t="n">
        <f aca="false">IF(V11="","",V11*$AV11)</f>
        <v>13.8680188078948</v>
      </c>
      <c r="BB11" s="17" t="n">
        <f aca="false">IF(AC11="","",AC11*$AX11)</f>
        <v>15.4603841697426</v>
      </c>
      <c r="BC11" s="17" t="n">
        <f aca="false">IF(AJ11="","",AJ11*$AZ11)</f>
        <v>14.4407658240984</v>
      </c>
      <c r="BD11" s="17" t="n">
        <f aca="false">N(BA11)+N(BB11)</f>
        <v>29.3284029776374</v>
      </c>
      <c r="BE11" s="17" t="n">
        <f aca="false">BD11+N($M11)*N(BC11)</f>
        <v>29.3284029776374</v>
      </c>
      <c r="BF11" s="17" t="n">
        <f aca="false">IF(W11="","",W11*$AV11)</f>
        <v>4.27019412459762</v>
      </c>
      <c r="BG11" s="17" t="n">
        <f aca="false">IF(AD11="","",AD11*$AX11)</f>
        <v>4.41173105415154</v>
      </c>
      <c r="BH11" s="17" t="n">
        <f aca="false">IF(AK11="","",AK11*$AZ11)</f>
        <v>3.62988340942109</v>
      </c>
      <c r="BI11" s="17" t="n">
        <f aca="false">IF(BF11="","",N(BF11)+N(BG11))</f>
        <v>8.68192517874916</v>
      </c>
      <c r="BJ11" s="17" t="n">
        <f aca="false">IF(BI11="","",BI11+N($M11)*N(BH11))</f>
        <v>8.68192517874916</v>
      </c>
      <c r="BK11" s="13" t="n">
        <f aca="false">IFERROR(BD11/AL11,1)</f>
        <v>1.03155733145252</v>
      </c>
    </row>
    <row r="12" customFormat="false" ht="15" hidden="false" customHeight="false" outlineLevel="0" collapsed="false">
      <c r="A12" s="0" t="s">
        <v>716</v>
      </c>
      <c r="B12" s="0" t="s">
        <v>608</v>
      </c>
      <c r="C12" s="0" t="s">
        <v>616</v>
      </c>
      <c r="D12" s="0" t="s">
        <v>620</v>
      </c>
      <c r="E12" s="0" t="s">
        <v>715</v>
      </c>
      <c r="F12" s="0" t="s">
        <v>873</v>
      </c>
      <c r="G12" s="0" t="str">
        <f aca="false">IFERROR(IF(INDEX(Matches!$W$5:$W$12,MATCH($C12,Matches!$A$5:$A$12,0))="","",INDEX(Matches!$W$5:$W$12,MATCH($C12,Matches!$A$5:$A$12,0))),"")</f>
        <v>Inferno</v>
      </c>
      <c r="H12" s="0" t="str">
        <f aca="false">IFERROR(IF(INDEX(Matches!$X$5:$X$12,MATCH($C12,Matches!$A$5:$A$12,0))="","",INDEX(Matches!$X$5:$X$12,MATCH($C12,Matches!$A$5:$A$12,0))),"")</f>
        <v>Dust2</v>
      </c>
      <c r="I12" s="0" t="str">
        <f aca="false">IFERROR(IF(INDEX(Matches!$Y$5:$Y$12,MATCH($C12,Matches!$A$5:$A$12,0))="","",INDEX(Matches!$Y$5:$Y$12,MATCH($C12,Matches!$A$5:$A$12,0))),"")</f>
        <v>Ancient</v>
      </c>
      <c r="J12" s="11" t="n">
        <f aca="false">IFERROR(IF(INDEX(Matches!$Z$5:$Z$12,MATCH($C12,Matches!$A$5:$A$12,0))="","",INDEX(Matches!$Z$5:$Z$12,MATCH($C12,Matches!$A$5:$A$12,0))),"")</f>
        <v>21.5</v>
      </c>
      <c r="K12" s="11" t="n">
        <f aca="false">IFERROR(IF(INDEX(Matches!$AA$5:$AA$12,MATCH($C12,Matches!$A$5:$A$12,0))="","",INDEX(Matches!$AA$5:$AA$12,MATCH($C12,Matches!$A$5:$A$12,0))),"")</f>
        <v>21.5</v>
      </c>
      <c r="L12" s="11" t="n">
        <f aca="false">IFERROR(IF(INDEX(Matches!$AB$5:$AB$12,MATCH($C12,Matches!$A$5:$A$12,0))="","",INDEX(Matches!$AB$5:$AB$12,MATCH($C12,Matches!$A$5:$A$12,0))),"")</f>
        <v>21.5</v>
      </c>
      <c r="M12" s="10" t="n">
        <f aca="false">IFERROR(IF(INDEX(Matches!$AC$5:$AC$12,MATCH($C12,Matches!$A$5:$A$12,0))="","",INDEX(Matches!$AC$5:$AC$12,MATCH($C12,Matches!$A$5:$A$12,0))),"")</f>
        <v>0</v>
      </c>
      <c r="N12" s="9" t="n">
        <f aca="false">IFERROR(INDEX(Players!$F$2:$F$56,MATCH($F12,Players!$A$2:$A$56,0)),0)</f>
        <v>36</v>
      </c>
      <c r="O12" s="13" t="n">
        <f aca="false">IFERROR(1/(1/INDEX(Players!$H$2:$H$56,MATCH($F12,Players!$A$2:$A$56,0))),"")</f>
        <v>0.72</v>
      </c>
      <c r="P12" s="10" t="n">
        <f aca="false">IFERROR(1/(1/INDEX(Players!$I$2:$I$56,MATCH($F12,Players!$A$2:$A$56,0))),"")</f>
        <v>0.37</v>
      </c>
      <c r="Q12" s="9" t="n">
        <f aca="false">IF($G12="",0,SUMIFS(Map_Stats!$F$2:$F$450,Map_Stats!$A$2:$A$450,$F12&amp;"|"&amp;$G12))</f>
        <v>12</v>
      </c>
      <c r="R12" s="13" t="n">
        <f aca="false">IF($G12="","",IFERROR(1/(1/INDEX(Map_Stats!$K$2:$K$450,MATCH($F12&amp;"|"&amp;$G12,Map_Stats!$A$2:$A$450,0))),$O12))</f>
        <v>0.77</v>
      </c>
      <c r="S12" s="10" t="n">
        <f aca="false">IF(OR($G12="",$P12=""),"",IFERROR(1/(1/INDEX(Map_Stats!$I$2:$I$450,MATCH($F12&amp;"|"&amp;$G12,Map_Stats!$A$2:$A$450,0))),$P12))</f>
        <v>0.407</v>
      </c>
      <c r="T12" s="13" t="n">
        <f aca="false">IF(OR($G12="",R12=""),"",IF($O12="",R12,(Q12*R12+Config!$B$4*$O12)/(Q12+Config!$B$4)))</f>
        <v>0.755294117647059</v>
      </c>
      <c r="U12" s="10" t="n">
        <f aca="false">IF(S12="","",(Q12*S12+Config!$B$4*$P12)/(Q12+Config!$B$4))</f>
        <v>0.396117647058823</v>
      </c>
      <c r="V12" s="17" t="n">
        <f aca="false">IF(OR(T12="",$J12=""),"",T12*$J12*($J12/Config!$B$10)^Config!$B$9)</f>
        <v>16.2388235294118</v>
      </c>
      <c r="W12" s="17" t="n">
        <f aca="false">IF(OR(V12="",U12=""),"",V12*U12)</f>
        <v>6.43248456747405</v>
      </c>
      <c r="X12" s="9" t="n">
        <f aca="false">IF($H12="",0,SUMIFS(Map_Stats!$F$2:$F$450,Map_Stats!$A$2:$A$450,$F12&amp;"|"&amp;$H12))</f>
        <v>8</v>
      </c>
      <c r="Y12" s="13" t="n">
        <f aca="false">IF($H12="","",IFERROR(1/(1/INDEX(Map_Stats!$K$2:$K$450,MATCH($F12&amp;"|"&amp;$H12,Map_Stats!$A$2:$A$450,0))),$O12))</f>
        <v>0.82</v>
      </c>
      <c r="Z12" s="10" t="n">
        <f aca="false">IF(OR($H12="",$P12=""),"",IFERROR(1/(1/INDEX(Map_Stats!$I$2:$I$450,MATCH($F12&amp;"|"&amp;$H12,Map_Stats!$A$2:$A$450,0))),$P12))</f>
        <v>0.383</v>
      </c>
      <c r="AA12" s="13" t="n">
        <f aca="false">IF(OR($H12="",Y12=""),"",IF($O12="",Y12,(X12*Y12+Config!$B$4*$O12)/(X12+Config!$B$4)))</f>
        <v>0.781538461538462</v>
      </c>
      <c r="AB12" s="10" t="n">
        <f aca="false">IF(Z12="","",(X12*Z12+Config!$B$4*$P12)/(X12+Config!$B$4))</f>
        <v>0.378</v>
      </c>
      <c r="AC12" s="17" t="n">
        <f aca="false">IF(OR(AA12="",$K12=""),"",AA12*$K12*($K12/Config!$B$10)^Config!$B$9)</f>
        <v>16.8030769230769</v>
      </c>
      <c r="AD12" s="17" t="n">
        <f aca="false">IF(OR(AC12="",AB12=""),"",AC12*AB12)</f>
        <v>6.35156307692308</v>
      </c>
      <c r="AE12" s="9" t="n">
        <f aca="false">IF($I12="",0,SUMIFS(Map_Stats!$F$2:$F$450,Map_Stats!$A$2:$A$450,$F12&amp;"|"&amp;$I12))</f>
        <v>8</v>
      </c>
      <c r="AF12" s="13" t="n">
        <f aca="false">IF($I12="","",IFERROR(1/(1/INDEX(Map_Stats!$K$2:$K$450,MATCH($F12&amp;"|"&amp;$I12,Map_Stats!$A$2:$A$450,0))),$O12))</f>
        <v>0.67</v>
      </c>
      <c r="AG12" s="10" t="n">
        <f aca="false">IF(OR($I12="",$P12=""),"",IFERROR(1/(1/INDEX(Map_Stats!$I$2:$I$450,MATCH($F12&amp;"|"&amp;$I12,Map_Stats!$A$2:$A$450,0))),$P12))</f>
        <v>0.284</v>
      </c>
      <c r="AH12" s="13" t="n">
        <f aca="false">IF(OR($I12="",AF12=""),"",IF($O12="",AF12,(AE12*AF12+Config!$B$4*$O12)/(AE12+Config!$B$4)))</f>
        <v>0.689230769230769</v>
      </c>
      <c r="AI12" s="10" t="n">
        <f aca="false">IF(AG12="","",(AE12*AG12+Config!$B$4*$P12)/(AE12+Config!$B$4))</f>
        <v>0.317076923076923</v>
      </c>
      <c r="AJ12" s="17" t="n">
        <f aca="false">IF(OR(AH12="",$L12=""),"",AH12*$L12*($L12/Config!$B$10)^Config!$B$9)</f>
        <v>14.8184615384615</v>
      </c>
      <c r="AK12" s="17" t="n">
        <f aca="false">IF(OR(AJ12="",AI12=""),"",AJ12*AI12)</f>
        <v>4.69859218934911</v>
      </c>
      <c r="AL12" s="17" t="n">
        <f aca="false">N(V12)+N(AC12)</f>
        <v>33.0419004524887</v>
      </c>
      <c r="AM12" s="17" t="n">
        <f aca="false">AL12+N($M12)*N(AJ12)</f>
        <v>33.0419004524887</v>
      </c>
      <c r="AN12" s="17" t="n">
        <f aca="false">IF(W12="","",N(W12)+N(AD12))</f>
        <v>12.7840476443971</v>
      </c>
      <c r="AO12" s="17" t="n">
        <f aca="false">IF(AN12="","",AN12+N($M12)*N(AK12))</f>
        <v>12.7840476443971</v>
      </c>
      <c r="AP12" s="10" t="n">
        <f aca="false">IFERROR(AN12/AL12,"")</f>
        <v>0.386904126860967</v>
      </c>
      <c r="AQ12" s="0" t="str">
        <f aca="false">TRIM(IF($N12&lt;Config!$B$12,"thin sample ("&amp;$N12&amp;" maps) · ","")&amp;IF(AND($G12&lt;&gt;"",Q12=0),"M1 unplayed→overall KPR · ","")&amp;IF(AND($H12&lt;&gt;"",X12=0),"M2 unplayed→overall KPR · ","")&amp;IF($O12="","no PickFinder stats",""))</f>
        <v/>
      </c>
      <c r="AR12" s="0" t="str">
        <f aca="false">IF($C12=Board!$B$2,COUNTIFS($C$2:$C$56,Board!$B$2,$AL$2:$AL$56,"&gt;"&amp;$AL12)+COUNTIFS($C$1:$C11,Board!$B$2,$AL$1:$AL11,$AL12)+1,"")</f>
        <v/>
      </c>
      <c r="AS12" s="0" t="str">
        <f aca="false">IFERROR(IF($D12=INDEX(Matches!$AD$5:$AD$12,MATCH($C12,Matches!$A$5:$A$12,0)),"A",IF($D12=INDEX(Matches!$AE$5:$AE$12,MATCH($C12,Matches!$A$5:$A$12,0)),"B","")),"")</f>
        <v>A</v>
      </c>
      <c r="AT12" s="10" t="n">
        <f aca="false">IF($AS12="","",IFERROR(IF($AS12="A",INDEX(Matches!$AI$5:$AI$12,MATCH($C12,Matches!$A$5:$A$12,0)),INDEX(Matches!$AJ$5:$AJ$12,MATCH($C12,Matches!$A$5:$A$12,0))),""))</f>
        <v>0.48996505639884</v>
      </c>
      <c r="AU12" s="10" t="n">
        <f aca="false">IF($AS12="","",IFERROR(IF(INDEX(Matches!$AP$5:$AP$12,MATCH($C12,Matches!$A$5:$A$12,0))="","",IF($AS12="A",INDEX(Matches!$AP$5:$AP$12,MATCH($C12,Matches!$A$5:$A$12,0)),1-INDEX(Matches!$AP$5:$AP$12,MATCH($C12,Matches!$A$5:$A$12,0)))),""))</f>
        <v>0.539429959255639</v>
      </c>
      <c r="AV12" s="13" t="n">
        <f aca="false">IF(OR($AU12="",$AT12=""),1,((Config!$B$14*$AU12+Config!$B$15*(1-$AU12))/(Config!$B$14*$AT12+Config!$B$15*(1-$AT12)))^Config!$B$13)</f>
        <v>1.04460264878117</v>
      </c>
      <c r="AW12" s="10" t="n">
        <f aca="false">IF($AS12="","",IFERROR(IF(INDEX(Matches!$AV$5:$AV$12,MATCH($C12,Matches!$A$5:$A$12,0))="","",IF($AS12="A",INDEX(Matches!$AV$5:$AV$12,MATCH($C12,Matches!$A$5:$A$12,0)),1-INDEX(Matches!$AV$5:$AV$12,MATCH($C12,Matches!$A$5:$A$12,0)))),""))</f>
        <v>0.563640695091593</v>
      </c>
      <c r="AX12" s="13" t="n">
        <f aca="false">IF(OR($AW12="",$AT12=""),1,((Config!$B$14*$AW12+Config!$B$15*(1-$AW12))/(Config!$B$14*$AT12+Config!$B$15*(1-$AT12)))^Config!$B$13)</f>
        <v>1.06643354068347</v>
      </c>
      <c r="AY12" s="10" t="n">
        <f aca="false">IF($AS12="","",IFERROR(IF(INDEX(Matches!$BB$5:$BB$12,MATCH($C12,Matches!$A$5:$A$12,0))="","",IF($AS12="A",INDEX(Matches!$BB$5:$BB$12,MATCH($C12,Matches!$A$5:$A$12,0)),1-INDEX(Matches!$BB$5:$BB$12,MATCH($C12,Matches!$A$5:$A$12,0)))),""))</f>
        <v>0.605128990844107</v>
      </c>
      <c r="AZ12" s="13" t="n">
        <f aca="false">IF(OR($AY12="",$AT12=""),1,((Config!$B$14*$AY12+Config!$B$15*(1-$AY12))/(Config!$B$14*$AT12+Config!$B$15*(1-$AT12)))^Config!$B$13)</f>
        <v>1.10384365931517</v>
      </c>
      <c r="BA12" s="17" t="n">
        <f aca="false">IF(V12="","",V12*$AV12)</f>
        <v>16.9631180719134</v>
      </c>
      <c r="BB12" s="17" t="n">
        <f aca="false">IF(AC12="","",AC12*$AX12)</f>
        <v>17.9193648174536</v>
      </c>
      <c r="BC12" s="17" t="n">
        <f aca="false">IF(AJ12="","",AJ12*$AZ12)</f>
        <v>16.3572648100365</v>
      </c>
      <c r="BD12" s="17" t="n">
        <f aca="false">N(BA12)+N(BB12)</f>
        <v>34.882482889367</v>
      </c>
      <c r="BE12" s="17" t="n">
        <f aca="false">BD12+N($M12)*N(BC12)</f>
        <v>34.882482889367</v>
      </c>
      <c r="BF12" s="17" t="n">
        <f aca="false">IF(W12="","",W12*$AV12)</f>
        <v>6.71939041742736</v>
      </c>
      <c r="BG12" s="17" t="n">
        <f aca="false">IF(AD12="","",AD12*$AX12)</f>
        <v>6.77351990099746</v>
      </c>
      <c r="BH12" s="17" t="n">
        <f aca="false">IF(AK12="","",AK12*$AZ12)</f>
        <v>5.1865111959208</v>
      </c>
      <c r="BI12" s="17" t="n">
        <f aca="false">IF(BF12="","",N(BF12)+N(BG12))</f>
        <v>13.4929103184248</v>
      </c>
      <c r="BJ12" s="17" t="n">
        <f aca="false">IF(BI12="","",BI12+N($M12)*N(BH12))</f>
        <v>13.4929103184248</v>
      </c>
      <c r="BK12" s="13" t="n">
        <f aca="false">IFERROR(BD12/AL12,1)</f>
        <v>1.0557044967654</v>
      </c>
    </row>
    <row r="13" customFormat="false" ht="15" hidden="false" customHeight="false" outlineLevel="0" collapsed="false">
      <c r="A13" s="0" t="s">
        <v>718</v>
      </c>
      <c r="B13" s="0" t="s">
        <v>608</v>
      </c>
      <c r="C13" s="0" t="s">
        <v>616</v>
      </c>
      <c r="D13" s="0" t="s">
        <v>620</v>
      </c>
      <c r="E13" s="0" t="s">
        <v>717</v>
      </c>
      <c r="F13" s="0" t="s">
        <v>874</v>
      </c>
      <c r="G13" s="0" t="str">
        <f aca="false">IFERROR(IF(INDEX(Matches!$W$5:$W$12,MATCH($C13,Matches!$A$5:$A$12,0))="","",INDEX(Matches!$W$5:$W$12,MATCH($C13,Matches!$A$5:$A$12,0))),"")</f>
        <v>Inferno</v>
      </c>
      <c r="H13" s="0" t="str">
        <f aca="false">IFERROR(IF(INDEX(Matches!$X$5:$X$12,MATCH($C13,Matches!$A$5:$A$12,0))="","",INDEX(Matches!$X$5:$X$12,MATCH($C13,Matches!$A$5:$A$12,0))),"")</f>
        <v>Dust2</v>
      </c>
      <c r="I13" s="0" t="str">
        <f aca="false">IFERROR(IF(INDEX(Matches!$Y$5:$Y$12,MATCH($C13,Matches!$A$5:$A$12,0))="","",INDEX(Matches!$Y$5:$Y$12,MATCH($C13,Matches!$A$5:$A$12,0))),"")</f>
        <v>Ancient</v>
      </c>
      <c r="J13" s="11" t="n">
        <f aca="false">IFERROR(IF(INDEX(Matches!$Z$5:$Z$12,MATCH($C13,Matches!$A$5:$A$12,0))="","",INDEX(Matches!$Z$5:$Z$12,MATCH($C13,Matches!$A$5:$A$12,0))),"")</f>
        <v>21.5</v>
      </c>
      <c r="K13" s="11" t="n">
        <f aca="false">IFERROR(IF(INDEX(Matches!$AA$5:$AA$12,MATCH($C13,Matches!$A$5:$A$12,0))="","",INDEX(Matches!$AA$5:$AA$12,MATCH($C13,Matches!$A$5:$A$12,0))),"")</f>
        <v>21.5</v>
      </c>
      <c r="L13" s="11" t="n">
        <f aca="false">IFERROR(IF(INDEX(Matches!$AB$5:$AB$12,MATCH($C13,Matches!$A$5:$A$12,0))="","",INDEX(Matches!$AB$5:$AB$12,MATCH($C13,Matches!$A$5:$A$12,0))),"")</f>
        <v>21.5</v>
      </c>
      <c r="M13" s="10" t="n">
        <f aca="false">IFERROR(IF(INDEX(Matches!$AC$5:$AC$12,MATCH($C13,Matches!$A$5:$A$12,0))="","",INDEX(Matches!$AC$5:$AC$12,MATCH($C13,Matches!$A$5:$A$12,0))),"")</f>
        <v>0</v>
      </c>
      <c r="N13" s="9" t="n">
        <f aca="false">IFERROR(INDEX(Players!$F$2:$F$56,MATCH($F13,Players!$A$2:$A$56,0)),0)</f>
        <v>36</v>
      </c>
      <c r="O13" s="13" t="n">
        <f aca="false">IFERROR(1/(1/INDEX(Players!$H$2:$H$56,MATCH($F13,Players!$A$2:$A$56,0))),"")</f>
        <v>0.59</v>
      </c>
      <c r="P13" s="10" t="n">
        <f aca="false">IFERROR(1/(1/INDEX(Players!$I$2:$I$56,MATCH($F13,Players!$A$2:$A$56,0))),"")</f>
        <v>0.536</v>
      </c>
      <c r="Q13" s="9" t="n">
        <f aca="false">IF($G13="",0,SUMIFS(Map_Stats!$F$2:$F$450,Map_Stats!$A$2:$A$450,$F13&amp;"|"&amp;$G13))</f>
        <v>12</v>
      </c>
      <c r="R13" s="13" t="n">
        <f aca="false">IF($G13="","",IFERROR(1/(1/INDEX(Map_Stats!$K$2:$K$450,MATCH($F13&amp;"|"&amp;$G13,Map_Stats!$A$2:$A$450,0))),$O13))</f>
        <v>0.57</v>
      </c>
      <c r="S13" s="10" t="n">
        <f aca="false">IF(OR($G13="",$P13=""),"",IFERROR(1/(1/INDEX(Map_Stats!$I$2:$I$450,MATCH($F13&amp;"|"&amp;$G13,Map_Stats!$A$2:$A$450,0))),$P13))</f>
        <v>0.523</v>
      </c>
      <c r="T13" s="13" t="n">
        <f aca="false">IF(OR($G13="",R13=""),"",IF($O13="",R13,(Q13*R13+Config!$B$4*$O13)/(Q13+Config!$B$4)))</f>
        <v>0.575882352941176</v>
      </c>
      <c r="U13" s="10" t="n">
        <f aca="false">IF(S13="","",(Q13*S13+Config!$B$4*$P13)/(Q13+Config!$B$4))</f>
        <v>0.526823529411765</v>
      </c>
      <c r="V13" s="17" t="n">
        <f aca="false">IF(OR(T13="",$J13=""),"",T13*$J13*($J13/Config!$B$10)^Config!$B$9)</f>
        <v>12.3814705882353</v>
      </c>
      <c r="W13" s="17" t="n">
        <f aca="false">IF(OR(V13="",U13=""),"",V13*U13)</f>
        <v>6.52285003460208</v>
      </c>
      <c r="X13" s="9" t="n">
        <f aca="false">IF($H13="",0,SUMIFS(Map_Stats!$F$2:$F$450,Map_Stats!$A$2:$A$450,$F13&amp;"|"&amp;$H13))</f>
        <v>8</v>
      </c>
      <c r="Y13" s="13" t="n">
        <f aca="false">IF($H13="","",IFERROR(1/(1/INDEX(Map_Stats!$K$2:$K$450,MATCH($F13&amp;"|"&amp;$H13,Map_Stats!$A$2:$A$450,0))),$O13))</f>
        <v>0.7</v>
      </c>
      <c r="Z13" s="10" t="n">
        <f aca="false">IF(OR($H13="",$P13=""),"",IFERROR(1/(1/INDEX(Map_Stats!$I$2:$I$450,MATCH($F13&amp;"|"&amp;$H13,Map_Stats!$A$2:$A$450,0))),$P13))</f>
        <v>0.588</v>
      </c>
      <c r="AA13" s="13" t="n">
        <f aca="false">IF(OR($H13="",Y13=""),"",IF($O13="",Y13,(X13*Y13+Config!$B$4*$O13)/(X13+Config!$B$4)))</f>
        <v>0.657692307692308</v>
      </c>
      <c r="AB13" s="10" t="n">
        <f aca="false">IF(Z13="","",(X13*Z13+Config!$B$4*$P13)/(X13+Config!$B$4))</f>
        <v>0.568</v>
      </c>
      <c r="AC13" s="17" t="n">
        <f aca="false">IF(OR(AA13="",$K13=""),"",AA13*$K13*($K13/Config!$B$10)^Config!$B$9)</f>
        <v>14.1403846153846</v>
      </c>
      <c r="AD13" s="17" t="n">
        <f aca="false">IF(OR(AC13="",AB13=""),"",AC13*AB13)</f>
        <v>8.03173846153846</v>
      </c>
      <c r="AE13" s="9" t="n">
        <f aca="false">IF($I13="",0,SUMIFS(Map_Stats!$F$2:$F$450,Map_Stats!$A$2:$A$450,$F13&amp;"|"&amp;$I13))</f>
        <v>8</v>
      </c>
      <c r="AF13" s="13" t="n">
        <f aca="false">IF($I13="","",IFERROR(1/(1/INDEX(Map_Stats!$K$2:$K$450,MATCH($F13&amp;"|"&amp;$I13,Map_Stats!$A$2:$A$450,0))),$O13))</f>
        <v>0.49</v>
      </c>
      <c r="AG13" s="10" t="n">
        <f aca="false">IF(OR($I13="",$P13=""),"",IFERROR(1/(1/INDEX(Map_Stats!$I$2:$I$450,MATCH($F13&amp;"|"&amp;$I13,Map_Stats!$A$2:$A$450,0))),$P13))</f>
        <v>0.488</v>
      </c>
      <c r="AH13" s="13" t="n">
        <f aca="false">IF(OR($I13="",AF13=""),"",IF($O13="",AF13,(AE13*AF13+Config!$B$4*$O13)/(AE13+Config!$B$4)))</f>
        <v>0.528461538461538</v>
      </c>
      <c r="AI13" s="10" t="n">
        <f aca="false">IF(AG13="","",(AE13*AG13+Config!$B$4*$P13)/(AE13+Config!$B$4))</f>
        <v>0.506461538461539</v>
      </c>
      <c r="AJ13" s="17" t="n">
        <f aca="false">IF(OR(AH13="",$L13=""),"",AH13*$L13*($L13/Config!$B$10)^Config!$B$9)</f>
        <v>11.3619230769231</v>
      </c>
      <c r="AK13" s="17" t="n">
        <f aca="false">IF(OR(AJ13="",AI13=""),"",AJ13*AI13)</f>
        <v>5.75437704142012</v>
      </c>
      <c r="AL13" s="17" t="n">
        <f aca="false">N(V13)+N(AC13)</f>
        <v>26.5218552036199</v>
      </c>
      <c r="AM13" s="17" t="n">
        <f aca="false">AL13+N($M13)*N(AJ13)</f>
        <v>26.5218552036199</v>
      </c>
      <c r="AN13" s="17" t="n">
        <f aca="false">IF(W13="","",N(W13)+N(AD13))</f>
        <v>14.5545884961405</v>
      </c>
      <c r="AO13" s="17" t="n">
        <f aca="false">IF(AN13="","",AN13+N($M13)*N(AK13))</f>
        <v>14.5545884961405</v>
      </c>
      <c r="AP13" s="10" t="n">
        <f aca="false">IFERROR(AN13/AL13,"")</f>
        <v>0.548777164508236</v>
      </c>
      <c r="AQ13" s="0" t="str">
        <f aca="false">TRIM(IF($N13&lt;Config!$B$12,"thin sample ("&amp;$N13&amp;" maps) · ","")&amp;IF(AND($G13&lt;&gt;"",Q13=0),"M1 unplayed→overall KPR · ","")&amp;IF(AND($H13&lt;&gt;"",X13=0),"M2 unplayed→overall KPR · ","")&amp;IF($O13="","no PickFinder stats",""))</f>
        <v/>
      </c>
      <c r="AR13" s="0" t="str">
        <f aca="false">IF($C13=Board!$B$2,COUNTIFS($C$2:$C$56,Board!$B$2,$AL$2:$AL$56,"&gt;"&amp;$AL13)+COUNTIFS($C$1:$C12,Board!$B$2,$AL$1:$AL12,$AL13)+1,"")</f>
        <v/>
      </c>
      <c r="AS13" s="0" t="str">
        <f aca="false">IFERROR(IF($D13=INDEX(Matches!$AD$5:$AD$12,MATCH($C13,Matches!$A$5:$A$12,0)),"A",IF($D13=INDEX(Matches!$AE$5:$AE$12,MATCH($C13,Matches!$A$5:$A$12,0)),"B","")),"")</f>
        <v>A</v>
      </c>
      <c r="AT13" s="10" t="n">
        <f aca="false">IF($AS13="","",IFERROR(IF($AS13="A",INDEX(Matches!$AI$5:$AI$12,MATCH($C13,Matches!$A$5:$A$12,0)),INDEX(Matches!$AJ$5:$AJ$12,MATCH($C13,Matches!$A$5:$A$12,0))),""))</f>
        <v>0.48996505639884</v>
      </c>
      <c r="AU13" s="10" t="n">
        <f aca="false">IF($AS13="","",IFERROR(IF(INDEX(Matches!$AP$5:$AP$12,MATCH($C13,Matches!$A$5:$A$12,0))="","",IF($AS13="A",INDEX(Matches!$AP$5:$AP$12,MATCH($C13,Matches!$A$5:$A$12,0)),1-INDEX(Matches!$AP$5:$AP$12,MATCH($C13,Matches!$A$5:$A$12,0)))),""))</f>
        <v>0.539429959255639</v>
      </c>
      <c r="AV13" s="13" t="n">
        <f aca="false">IF(OR($AU13="",$AT13=""),1,((Config!$B$14*$AU13+Config!$B$15*(1-$AU13))/(Config!$B$14*$AT13+Config!$B$15*(1-$AT13)))^Config!$B$13)</f>
        <v>1.04460264878117</v>
      </c>
      <c r="AW13" s="10" t="n">
        <f aca="false">IF($AS13="","",IFERROR(IF(INDEX(Matches!$AV$5:$AV$12,MATCH($C13,Matches!$A$5:$A$12,0))="","",IF($AS13="A",INDEX(Matches!$AV$5:$AV$12,MATCH($C13,Matches!$A$5:$A$12,0)),1-INDEX(Matches!$AV$5:$AV$12,MATCH($C13,Matches!$A$5:$A$12,0)))),""))</f>
        <v>0.563640695091593</v>
      </c>
      <c r="AX13" s="13" t="n">
        <f aca="false">IF(OR($AW13="",$AT13=""),1,((Config!$B$14*$AW13+Config!$B$15*(1-$AW13))/(Config!$B$14*$AT13+Config!$B$15*(1-$AT13)))^Config!$B$13)</f>
        <v>1.06643354068347</v>
      </c>
      <c r="AY13" s="10" t="n">
        <f aca="false">IF($AS13="","",IFERROR(IF(INDEX(Matches!$BB$5:$BB$12,MATCH($C13,Matches!$A$5:$A$12,0))="","",IF($AS13="A",INDEX(Matches!$BB$5:$BB$12,MATCH($C13,Matches!$A$5:$A$12,0)),1-INDEX(Matches!$BB$5:$BB$12,MATCH($C13,Matches!$A$5:$A$12,0)))),""))</f>
        <v>0.605128990844107</v>
      </c>
      <c r="AZ13" s="13" t="n">
        <f aca="false">IF(OR($AY13="",$AT13=""),1,((Config!$B$14*$AY13+Config!$B$15*(1-$AY13))/(Config!$B$14*$AT13+Config!$B$15*(1-$AT13)))^Config!$B$13)</f>
        <v>1.10384365931517</v>
      </c>
      <c r="BA13" s="17" t="n">
        <f aca="false">IF(V13="","",V13*$AV13)</f>
        <v>12.9337169722767</v>
      </c>
      <c r="BB13" s="17" t="n">
        <f aca="false">IF(AC13="","",AC13*$AX13)</f>
        <v>15.0797804320106</v>
      </c>
      <c r="BC13" s="17" t="n">
        <f aca="false">IF(AJ13="","",AJ13*$AZ13)</f>
        <v>12.5417867460882</v>
      </c>
      <c r="BD13" s="17" t="n">
        <f aca="false">N(BA13)+N(BB13)</f>
        <v>28.0134974042873</v>
      </c>
      <c r="BE13" s="17" t="n">
        <f aca="false">BD13+N($M13)*N(BC13)</f>
        <v>28.0134974042873</v>
      </c>
      <c r="BF13" s="17" t="n">
        <f aca="false">IF(W13="","",W13*$AV13)</f>
        <v>6.81378642374765</v>
      </c>
      <c r="BG13" s="17" t="n">
        <f aca="false">IF(AD13="","",AD13*$AX13)</f>
        <v>8.56531528538205</v>
      </c>
      <c r="BH13" s="17" t="n">
        <f aca="false">IF(AK13="","",AK13*$AZ13)</f>
        <v>6.35193261048039</v>
      </c>
      <c r="BI13" s="17" t="n">
        <f aca="false">IF(BF13="","",N(BF13)+N(BG13))</f>
        <v>15.3791017091297</v>
      </c>
      <c r="BJ13" s="17" t="n">
        <f aca="false">IF(BI13="","",BI13+N($M13)*N(BH13))</f>
        <v>15.3791017091297</v>
      </c>
      <c r="BK13" s="13" t="n">
        <f aca="false">IFERROR(BD13/AL13,1)</f>
        <v>1.05624200076561</v>
      </c>
    </row>
    <row r="14" customFormat="false" ht="15" hidden="false" customHeight="false" outlineLevel="0" collapsed="false">
      <c r="A14" s="0" t="s">
        <v>720</v>
      </c>
      <c r="B14" s="0" t="s">
        <v>608</v>
      </c>
      <c r="C14" s="0" t="s">
        <v>616</v>
      </c>
      <c r="D14" s="0" t="s">
        <v>620</v>
      </c>
      <c r="E14" s="0" t="s">
        <v>719</v>
      </c>
      <c r="F14" s="0" t="s">
        <v>875</v>
      </c>
      <c r="G14" s="0" t="str">
        <f aca="false">IFERROR(IF(INDEX(Matches!$W$5:$W$12,MATCH($C14,Matches!$A$5:$A$12,0))="","",INDEX(Matches!$W$5:$W$12,MATCH($C14,Matches!$A$5:$A$12,0))),"")</f>
        <v>Inferno</v>
      </c>
      <c r="H14" s="0" t="str">
        <f aca="false">IFERROR(IF(INDEX(Matches!$X$5:$X$12,MATCH($C14,Matches!$A$5:$A$12,0))="","",INDEX(Matches!$X$5:$X$12,MATCH($C14,Matches!$A$5:$A$12,0))),"")</f>
        <v>Dust2</v>
      </c>
      <c r="I14" s="0" t="str">
        <f aca="false">IFERROR(IF(INDEX(Matches!$Y$5:$Y$12,MATCH($C14,Matches!$A$5:$A$12,0))="","",INDEX(Matches!$Y$5:$Y$12,MATCH($C14,Matches!$A$5:$A$12,0))),"")</f>
        <v>Ancient</v>
      </c>
      <c r="J14" s="11" t="n">
        <f aca="false">IFERROR(IF(INDEX(Matches!$Z$5:$Z$12,MATCH($C14,Matches!$A$5:$A$12,0))="","",INDEX(Matches!$Z$5:$Z$12,MATCH($C14,Matches!$A$5:$A$12,0))),"")</f>
        <v>21.5</v>
      </c>
      <c r="K14" s="11" t="n">
        <f aca="false">IFERROR(IF(INDEX(Matches!$AA$5:$AA$12,MATCH($C14,Matches!$A$5:$A$12,0))="","",INDEX(Matches!$AA$5:$AA$12,MATCH($C14,Matches!$A$5:$A$12,0))),"")</f>
        <v>21.5</v>
      </c>
      <c r="L14" s="11" t="n">
        <f aca="false">IFERROR(IF(INDEX(Matches!$AB$5:$AB$12,MATCH($C14,Matches!$A$5:$A$12,0))="","",INDEX(Matches!$AB$5:$AB$12,MATCH($C14,Matches!$A$5:$A$12,0))),"")</f>
        <v>21.5</v>
      </c>
      <c r="M14" s="10" t="n">
        <f aca="false">IFERROR(IF(INDEX(Matches!$AC$5:$AC$12,MATCH($C14,Matches!$A$5:$A$12,0))="","",INDEX(Matches!$AC$5:$AC$12,MATCH($C14,Matches!$A$5:$A$12,0))),"")</f>
        <v>0</v>
      </c>
      <c r="N14" s="9" t="n">
        <f aca="false">IFERROR(INDEX(Players!$F$2:$F$56,MATCH($F14,Players!$A$2:$A$56,0)),0)</f>
        <v>36</v>
      </c>
      <c r="O14" s="13" t="n">
        <f aca="false">IFERROR(1/(1/INDEX(Players!$H$2:$H$56,MATCH($F14,Players!$A$2:$A$56,0))),"")</f>
        <v>0.64</v>
      </c>
      <c r="P14" s="10" t="n">
        <f aca="false">IFERROR(1/(1/INDEX(Players!$I$2:$I$56,MATCH($F14,Players!$A$2:$A$56,0))),"")</f>
        <v>0.557</v>
      </c>
      <c r="Q14" s="9" t="n">
        <f aca="false">IF($G14="",0,SUMIFS(Map_Stats!$F$2:$F$450,Map_Stats!$A$2:$A$450,$F14&amp;"|"&amp;$G14))</f>
        <v>12</v>
      </c>
      <c r="R14" s="13" t="n">
        <f aca="false">IF($G14="","",IFERROR(1/(1/INDEX(Map_Stats!$K$2:$K$450,MATCH($F14&amp;"|"&amp;$G14,Map_Stats!$A$2:$A$450,0))),$O14))</f>
        <v>0.62</v>
      </c>
      <c r="S14" s="10" t="n">
        <f aca="false">IF(OR($G14="",$P14=""),"",IFERROR(1/(1/INDEX(Map_Stats!$I$2:$I$450,MATCH($F14&amp;"|"&amp;$G14,Map_Stats!$A$2:$A$450,0))),$P14))</f>
        <v>0.55</v>
      </c>
      <c r="T14" s="13" t="n">
        <f aca="false">IF(OR($G14="",R14=""),"",IF($O14="",R14,(Q14*R14+Config!$B$4*$O14)/(Q14+Config!$B$4)))</f>
        <v>0.625882352941177</v>
      </c>
      <c r="U14" s="10" t="n">
        <f aca="false">IF(S14="","",(Q14*S14+Config!$B$4*$P14)/(Q14+Config!$B$4))</f>
        <v>0.552058823529412</v>
      </c>
      <c r="V14" s="17" t="n">
        <f aca="false">IF(OR(T14="",$J14=""),"",T14*$J14*($J14/Config!$B$10)^Config!$B$9)</f>
        <v>13.4564705882353</v>
      </c>
      <c r="W14" s="17" t="n">
        <f aca="false">IF(OR(V14="",U14=""),"",V14*U14)</f>
        <v>7.42876332179931</v>
      </c>
      <c r="X14" s="9" t="n">
        <f aca="false">IF($H14="",0,SUMIFS(Map_Stats!$F$2:$F$450,Map_Stats!$A$2:$A$450,$F14&amp;"|"&amp;$H14))</f>
        <v>8</v>
      </c>
      <c r="Y14" s="13" t="n">
        <f aca="false">IF($H14="","",IFERROR(1/(1/INDEX(Map_Stats!$K$2:$K$450,MATCH($F14&amp;"|"&amp;$H14,Map_Stats!$A$2:$A$450,0))),$O14))</f>
        <v>0.66</v>
      </c>
      <c r="Z14" s="10" t="n">
        <f aca="false">IF(OR($H14="",$P14=""),"",IFERROR(1/(1/INDEX(Map_Stats!$I$2:$I$450,MATCH($F14&amp;"|"&amp;$H14,Map_Stats!$A$2:$A$450,0))),$P14))</f>
        <v>0.57</v>
      </c>
      <c r="AA14" s="13" t="n">
        <f aca="false">IF(OR($H14="",Y14=""),"",IF($O14="",Y14,(X14*Y14+Config!$B$4*$O14)/(X14+Config!$B$4)))</f>
        <v>0.652307692307692</v>
      </c>
      <c r="AB14" s="10" t="n">
        <f aca="false">IF(Z14="","",(X14*Z14+Config!$B$4*$P14)/(X14+Config!$B$4))</f>
        <v>0.565</v>
      </c>
      <c r="AC14" s="17" t="n">
        <f aca="false">IF(OR(AA14="",$K14=""),"",AA14*$K14*($K14/Config!$B$10)^Config!$B$9)</f>
        <v>14.0246153846154</v>
      </c>
      <c r="AD14" s="17" t="n">
        <f aca="false">IF(OR(AC14="",AB14=""),"",AC14*AB14)</f>
        <v>7.92390769230769</v>
      </c>
      <c r="AE14" s="9" t="n">
        <f aca="false">IF($I14="",0,SUMIFS(Map_Stats!$F$2:$F$450,Map_Stats!$A$2:$A$450,$F14&amp;"|"&amp;$I14))</f>
        <v>8</v>
      </c>
      <c r="AF14" s="13" t="n">
        <f aca="false">IF($I14="","",IFERROR(1/(1/INDEX(Map_Stats!$K$2:$K$450,MATCH($F14&amp;"|"&amp;$I14,Map_Stats!$A$2:$A$450,0))),$O14))</f>
        <v>0.66</v>
      </c>
      <c r="AG14" s="10" t="n">
        <f aca="false">IF(OR($I14="",$P14=""),"",IFERROR(1/(1/INDEX(Map_Stats!$I$2:$I$450,MATCH($F14&amp;"|"&amp;$I14,Map_Stats!$A$2:$A$450,0))),$P14))</f>
        <v>0.505</v>
      </c>
      <c r="AH14" s="13" t="n">
        <f aca="false">IF(OR($I14="",AF14=""),"",IF($O14="",AF14,(AE14*AF14+Config!$B$4*$O14)/(AE14+Config!$B$4)))</f>
        <v>0.652307692307692</v>
      </c>
      <c r="AI14" s="10" t="n">
        <f aca="false">IF(AG14="","",(AE14*AG14+Config!$B$4*$P14)/(AE14+Config!$B$4))</f>
        <v>0.525</v>
      </c>
      <c r="AJ14" s="17" t="n">
        <f aca="false">IF(OR(AH14="",$L14=""),"",AH14*$L14*($L14/Config!$B$10)^Config!$B$9)</f>
        <v>14.0246153846154</v>
      </c>
      <c r="AK14" s="17" t="n">
        <f aca="false">IF(OR(AJ14="",AI14=""),"",AJ14*AI14)</f>
        <v>7.36292307692308</v>
      </c>
      <c r="AL14" s="17" t="n">
        <f aca="false">N(V14)+N(AC14)</f>
        <v>27.4810859728507</v>
      </c>
      <c r="AM14" s="17" t="n">
        <f aca="false">AL14+N($M14)*N(AJ14)</f>
        <v>27.4810859728507</v>
      </c>
      <c r="AN14" s="17" t="n">
        <f aca="false">IF(W14="","",N(W14)+N(AD14))</f>
        <v>15.352671014107</v>
      </c>
      <c r="AO14" s="17" t="n">
        <f aca="false">IF(AN14="","",AN14+N($M14)*N(AK14))</f>
        <v>15.352671014107</v>
      </c>
      <c r="AP14" s="10" t="n">
        <f aca="false">IFERROR(AN14/AL14,"")</f>
        <v>0.558663184900128</v>
      </c>
      <c r="AQ14" s="0" t="str">
        <f aca="false">TRIM(IF($N14&lt;Config!$B$12,"thin sample ("&amp;$N14&amp;" maps) · ","")&amp;IF(AND($G14&lt;&gt;"",Q14=0),"M1 unplayed→overall KPR · ","")&amp;IF(AND($H14&lt;&gt;"",X14=0),"M2 unplayed→overall KPR · ","")&amp;IF($O14="","no PickFinder stats",""))</f>
        <v/>
      </c>
      <c r="AR14" s="0" t="str">
        <f aca="false">IF($C14=Board!$B$2,COUNTIFS($C$2:$C$56,Board!$B$2,$AL$2:$AL$56,"&gt;"&amp;$AL14)+COUNTIFS($C$1:$C13,Board!$B$2,$AL$1:$AL13,$AL14)+1,"")</f>
        <v/>
      </c>
      <c r="AS14" s="0" t="str">
        <f aca="false">IFERROR(IF($D14=INDEX(Matches!$AD$5:$AD$12,MATCH($C14,Matches!$A$5:$A$12,0)),"A",IF($D14=INDEX(Matches!$AE$5:$AE$12,MATCH($C14,Matches!$A$5:$A$12,0)),"B","")),"")</f>
        <v>A</v>
      </c>
      <c r="AT14" s="10" t="n">
        <f aca="false">IF($AS14="","",IFERROR(IF($AS14="A",INDEX(Matches!$AI$5:$AI$12,MATCH($C14,Matches!$A$5:$A$12,0)),INDEX(Matches!$AJ$5:$AJ$12,MATCH($C14,Matches!$A$5:$A$12,0))),""))</f>
        <v>0.48996505639884</v>
      </c>
      <c r="AU14" s="10" t="n">
        <f aca="false">IF($AS14="","",IFERROR(IF(INDEX(Matches!$AP$5:$AP$12,MATCH($C14,Matches!$A$5:$A$12,0))="","",IF($AS14="A",INDEX(Matches!$AP$5:$AP$12,MATCH($C14,Matches!$A$5:$A$12,0)),1-INDEX(Matches!$AP$5:$AP$12,MATCH($C14,Matches!$A$5:$A$12,0)))),""))</f>
        <v>0.539429959255639</v>
      </c>
      <c r="AV14" s="13" t="n">
        <f aca="false">IF(OR($AU14="",$AT14=""),1,((Config!$B$14*$AU14+Config!$B$15*(1-$AU14))/(Config!$B$14*$AT14+Config!$B$15*(1-$AT14)))^Config!$B$13)</f>
        <v>1.04460264878117</v>
      </c>
      <c r="AW14" s="10" t="n">
        <f aca="false">IF($AS14="","",IFERROR(IF(INDEX(Matches!$AV$5:$AV$12,MATCH($C14,Matches!$A$5:$A$12,0))="","",IF($AS14="A",INDEX(Matches!$AV$5:$AV$12,MATCH($C14,Matches!$A$5:$A$12,0)),1-INDEX(Matches!$AV$5:$AV$12,MATCH($C14,Matches!$A$5:$A$12,0)))),""))</f>
        <v>0.563640695091593</v>
      </c>
      <c r="AX14" s="13" t="n">
        <f aca="false">IF(OR($AW14="",$AT14=""),1,((Config!$B$14*$AW14+Config!$B$15*(1-$AW14))/(Config!$B$14*$AT14+Config!$B$15*(1-$AT14)))^Config!$B$13)</f>
        <v>1.06643354068347</v>
      </c>
      <c r="AY14" s="10" t="n">
        <f aca="false">IF($AS14="","",IFERROR(IF(INDEX(Matches!$BB$5:$BB$12,MATCH($C14,Matches!$A$5:$A$12,0))="","",IF($AS14="A",INDEX(Matches!$BB$5:$BB$12,MATCH($C14,Matches!$A$5:$A$12,0)),1-INDEX(Matches!$BB$5:$BB$12,MATCH($C14,Matches!$A$5:$A$12,0)))),""))</f>
        <v>0.605128990844107</v>
      </c>
      <c r="AZ14" s="13" t="n">
        <f aca="false">IF(OR($AY14="",$AT14=""),1,((Config!$B$14*$AY14+Config!$B$15*(1-$AY14))/(Config!$B$14*$AT14+Config!$B$15*(1-$AT14)))^Config!$B$13)</f>
        <v>1.10384365931517</v>
      </c>
      <c r="BA14" s="17" t="n">
        <f aca="false">IF(V14="","",V14*$AV14)</f>
        <v>14.0566648197164</v>
      </c>
      <c r="BB14" s="17" t="n">
        <f aca="false">IF(AC14="","",AC14*$AX14)</f>
        <v>14.9563202413392</v>
      </c>
      <c r="BC14" s="17" t="n">
        <f aca="false">IF(AJ14="","",AJ14*$AZ14)</f>
        <v>15.4809827666417</v>
      </c>
      <c r="BD14" s="17" t="n">
        <f aca="false">N(BA14)+N(BB14)</f>
        <v>29.0129850610557</v>
      </c>
      <c r="BE14" s="17" t="n">
        <f aca="false">BD14+N($M14)*N(BC14)</f>
        <v>29.0129850610557</v>
      </c>
      <c r="BF14" s="17" t="n">
        <f aca="false">IF(W14="","",W14*$AV14)</f>
        <v>7.76010584311993</v>
      </c>
      <c r="BG14" s="17" t="n">
        <f aca="false">IF(AD14="","",AD14*$AX14)</f>
        <v>8.45032093635666</v>
      </c>
      <c r="BH14" s="17" t="n">
        <f aca="false">IF(AK14="","",AK14*$AZ14)</f>
        <v>8.12751595248688</v>
      </c>
      <c r="BI14" s="17" t="n">
        <f aca="false">IF(BF14="","",N(BF14)+N(BG14))</f>
        <v>16.2104267794766</v>
      </c>
      <c r="BJ14" s="17" t="n">
        <f aca="false">IF(BI14="","",BI14+N($M14)*N(BH14))</f>
        <v>16.2104267794766</v>
      </c>
      <c r="BK14" s="13" t="n">
        <f aca="false">IFERROR(BD14/AL14,1)</f>
        <v>1.05574376098959</v>
      </c>
    </row>
    <row r="15" customFormat="false" ht="15" hidden="false" customHeight="false" outlineLevel="0" collapsed="false">
      <c r="A15" s="0" t="s">
        <v>722</v>
      </c>
      <c r="B15" s="0" t="s">
        <v>608</v>
      </c>
      <c r="C15" s="0" t="s">
        <v>616</v>
      </c>
      <c r="D15" s="0" t="s">
        <v>620</v>
      </c>
      <c r="E15" s="0" t="s">
        <v>721</v>
      </c>
      <c r="F15" s="0" t="s">
        <v>876</v>
      </c>
      <c r="G15" s="0" t="str">
        <f aca="false">IFERROR(IF(INDEX(Matches!$W$5:$W$12,MATCH($C15,Matches!$A$5:$A$12,0))="","",INDEX(Matches!$W$5:$W$12,MATCH($C15,Matches!$A$5:$A$12,0))),"")</f>
        <v>Inferno</v>
      </c>
      <c r="H15" s="0" t="str">
        <f aca="false">IFERROR(IF(INDEX(Matches!$X$5:$X$12,MATCH($C15,Matches!$A$5:$A$12,0))="","",INDEX(Matches!$X$5:$X$12,MATCH($C15,Matches!$A$5:$A$12,0))),"")</f>
        <v>Dust2</v>
      </c>
      <c r="I15" s="0" t="str">
        <f aca="false">IFERROR(IF(INDEX(Matches!$Y$5:$Y$12,MATCH($C15,Matches!$A$5:$A$12,0))="","",INDEX(Matches!$Y$5:$Y$12,MATCH($C15,Matches!$A$5:$A$12,0))),"")</f>
        <v>Ancient</v>
      </c>
      <c r="J15" s="11" t="n">
        <f aca="false">IFERROR(IF(INDEX(Matches!$Z$5:$Z$12,MATCH($C15,Matches!$A$5:$A$12,0))="","",INDEX(Matches!$Z$5:$Z$12,MATCH($C15,Matches!$A$5:$A$12,0))),"")</f>
        <v>21.5</v>
      </c>
      <c r="K15" s="11" t="n">
        <f aca="false">IFERROR(IF(INDEX(Matches!$AA$5:$AA$12,MATCH($C15,Matches!$A$5:$A$12,0))="","",INDEX(Matches!$AA$5:$AA$12,MATCH($C15,Matches!$A$5:$A$12,0))),"")</f>
        <v>21.5</v>
      </c>
      <c r="L15" s="11" t="n">
        <f aca="false">IFERROR(IF(INDEX(Matches!$AB$5:$AB$12,MATCH($C15,Matches!$A$5:$A$12,0))="","",INDEX(Matches!$AB$5:$AB$12,MATCH($C15,Matches!$A$5:$A$12,0))),"")</f>
        <v>21.5</v>
      </c>
      <c r="M15" s="10" t="n">
        <f aca="false">IFERROR(IF(INDEX(Matches!$AC$5:$AC$12,MATCH($C15,Matches!$A$5:$A$12,0))="","",INDEX(Matches!$AC$5:$AC$12,MATCH($C15,Matches!$A$5:$A$12,0))),"")</f>
        <v>0</v>
      </c>
      <c r="N15" s="9" t="n">
        <f aca="false">IFERROR(INDEX(Players!$F$2:$F$56,MATCH($F15,Players!$A$2:$A$56,0)),0)</f>
        <v>37</v>
      </c>
      <c r="O15" s="13" t="n">
        <f aca="false">IFERROR(1/(1/INDEX(Players!$H$2:$H$56,MATCH($F15,Players!$A$2:$A$56,0))),"")</f>
        <v>0.55</v>
      </c>
      <c r="P15" s="10" t="n">
        <f aca="false">IFERROR(1/(1/INDEX(Players!$I$2:$I$56,MATCH($F15,Players!$A$2:$A$56,0))),"")</f>
        <v>0.463</v>
      </c>
      <c r="Q15" s="9" t="n">
        <f aca="false">IF($G15="",0,SUMIFS(Map_Stats!$F$2:$F$450,Map_Stats!$A$2:$A$450,$F15&amp;"|"&amp;$G15))</f>
        <v>11</v>
      </c>
      <c r="R15" s="13" t="n">
        <f aca="false">IF($G15="","",IFERROR(1/(1/INDEX(Map_Stats!$K$2:$K$450,MATCH($F15&amp;"|"&amp;$G15,Map_Stats!$A$2:$A$450,0))),$O15))</f>
        <v>0.55</v>
      </c>
      <c r="S15" s="10" t="n">
        <f aca="false">IF(OR($G15="",$P15=""),"",IFERROR(1/(1/INDEX(Map_Stats!$I$2:$I$450,MATCH($F15&amp;"|"&amp;$G15,Map_Stats!$A$2:$A$450,0))),$P15))</f>
        <v>0.457</v>
      </c>
      <c r="T15" s="13" t="n">
        <f aca="false">IF(OR($G15="",R15=""),"",IF($O15="",R15,(Q15*R15+Config!$B$4*$O15)/(Q15+Config!$B$4)))</f>
        <v>0.55</v>
      </c>
      <c r="U15" s="10" t="n">
        <f aca="false">IF(S15="","",(Q15*S15+Config!$B$4*$P15)/(Q15+Config!$B$4))</f>
        <v>0.458875</v>
      </c>
      <c r="V15" s="17" t="n">
        <f aca="false">IF(OR(T15="",$J15=""),"",T15*$J15*($J15/Config!$B$10)^Config!$B$9)</f>
        <v>11.825</v>
      </c>
      <c r="W15" s="17" t="n">
        <f aca="false">IF(OR(V15="",U15=""),"",V15*U15)</f>
        <v>5.426196875</v>
      </c>
      <c r="X15" s="9" t="n">
        <f aca="false">IF($H15="",0,SUMIFS(Map_Stats!$F$2:$F$450,Map_Stats!$A$2:$A$450,$F15&amp;"|"&amp;$H15))</f>
        <v>9</v>
      </c>
      <c r="Y15" s="13" t="n">
        <f aca="false">IF($H15="","",IFERROR(1/(1/INDEX(Map_Stats!$K$2:$K$450,MATCH($F15&amp;"|"&amp;$H15,Map_Stats!$A$2:$A$450,0))),$O15))</f>
        <v>0.51</v>
      </c>
      <c r="Z15" s="10" t="n">
        <f aca="false">IF(OR($H15="",$P15=""),"",IFERROR(1/(1/INDEX(Map_Stats!$I$2:$I$450,MATCH($F15&amp;"|"&amp;$H15,Map_Stats!$A$2:$A$450,0))),$P15))</f>
        <v>0.441</v>
      </c>
      <c r="AA15" s="13" t="n">
        <f aca="false">IF(OR($H15="",Y15=""),"",IF($O15="",Y15,(X15*Y15+Config!$B$4*$O15)/(X15+Config!$B$4)))</f>
        <v>0.524285714285714</v>
      </c>
      <c r="AB15" s="10" t="n">
        <f aca="false">IF(Z15="","",(X15*Z15+Config!$B$4*$P15)/(X15+Config!$B$4))</f>
        <v>0.448857142857143</v>
      </c>
      <c r="AC15" s="17" t="n">
        <f aca="false">IF(OR(AA15="",$K15=""),"",AA15*$K15*($K15/Config!$B$10)^Config!$B$9)</f>
        <v>11.2721428571429</v>
      </c>
      <c r="AD15" s="17" t="n">
        <f aca="false">IF(OR(AC15="",AB15=""),"",AC15*AB15)</f>
        <v>5.05958183673469</v>
      </c>
      <c r="AE15" s="9" t="n">
        <f aca="false">IF($I15="",0,SUMIFS(Map_Stats!$F$2:$F$450,Map_Stats!$A$2:$A$450,$F15&amp;"|"&amp;$I15))</f>
        <v>7</v>
      </c>
      <c r="AF15" s="13" t="n">
        <f aca="false">IF($I15="","",IFERROR(1/(1/INDEX(Map_Stats!$K$2:$K$450,MATCH($F15&amp;"|"&amp;$I15,Map_Stats!$A$2:$A$450,0))),$O15))</f>
        <v>0.49</v>
      </c>
      <c r="AG15" s="10" t="n">
        <f aca="false">IF(OR($I15="",$P15=""),"",IFERROR(1/(1/INDEX(Map_Stats!$I$2:$I$450,MATCH($F15&amp;"|"&amp;$I15,Map_Stats!$A$2:$A$450,0))),$P15))</f>
        <v>0.435</v>
      </c>
      <c r="AH15" s="13" t="n">
        <f aca="false">IF(OR($I15="",AF15=""),"",IF($O15="",AF15,(AE15*AF15+Config!$B$4*$O15)/(AE15+Config!$B$4)))</f>
        <v>0.515</v>
      </c>
      <c r="AI15" s="10" t="n">
        <f aca="false">IF(AG15="","",(AE15*AG15+Config!$B$4*$P15)/(AE15+Config!$B$4))</f>
        <v>0.446666666666667</v>
      </c>
      <c r="AJ15" s="17" t="n">
        <f aca="false">IF(OR(AH15="",$L15=""),"",AH15*$L15*($L15/Config!$B$10)^Config!$B$9)</f>
        <v>11.0725</v>
      </c>
      <c r="AK15" s="17" t="n">
        <f aca="false">IF(OR(AJ15="",AI15=""),"",AJ15*AI15)</f>
        <v>4.94571666666667</v>
      </c>
      <c r="AL15" s="17" t="n">
        <f aca="false">N(V15)+N(AC15)</f>
        <v>23.0971428571429</v>
      </c>
      <c r="AM15" s="17" t="n">
        <f aca="false">AL15+N($M15)*N(AJ15)</f>
        <v>23.0971428571429</v>
      </c>
      <c r="AN15" s="17" t="n">
        <f aca="false">IF(W15="","",N(W15)+N(AD15))</f>
        <v>10.4857787117347</v>
      </c>
      <c r="AO15" s="17" t="n">
        <f aca="false">IF(AN15="","",AN15+N($M15)*N(AK15))</f>
        <v>10.4857787117347</v>
      </c>
      <c r="AP15" s="10" t="n">
        <f aca="false">IFERROR(AN15/AL15,"")</f>
        <v>0.453985965995441</v>
      </c>
      <c r="AQ15" s="0" t="str">
        <f aca="false">TRIM(IF($N15&lt;Config!$B$12,"thin sample ("&amp;$N15&amp;" maps) · ","")&amp;IF(AND($G15&lt;&gt;"",Q15=0),"M1 unplayed→overall KPR · ","")&amp;IF(AND($H15&lt;&gt;"",X15=0),"M2 unplayed→overall KPR · ","")&amp;IF($O15="","no PickFinder stats",""))</f>
        <v/>
      </c>
      <c r="AR15" s="0" t="str">
        <f aca="false">IF($C15=Board!$B$2,COUNTIFS($C$2:$C$56,Board!$B$2,$AL$2:$AL$56,"&gt;"&amp;$AL15)+COUNTIFS($C$1:$C14,Board!$B$2,$AL$1:$AL14,$AL15)+1,"")</f>
        <v/>
      </c>
      <c r="AS15" s="0" t="str">
        <f aca="false">IFERROR(IF($D15=INDEX(Matches!$AD$5:$AD$12,MATCH($C15,Matches!$A$5:$A$12,0)),"A",IF($D15=INDEX(Matches!$AE$5:$AE$12,MATCH($C15,Matches!$A$5:$A$12,0)),"B","")),"")</f>
        <v>A</v>
      </c>
      <c r="AT15" s="10" t="n">
        <f aca="false">IF($AS15="","",IFERROR(IF($AS15="A",INDEX(Matches!$AI$5:$AI$12,MATCH($C15,Matches!$A$5:$A$12,0)),INDEX(Matches!$AJ$5:$AJ$12,MATCH($C15,Matches!$A$5:$A$12,0))),""))</f>
        <v>0.48996505639884</v>
      </c>
      <c r="AU15" s="10" t="n">
        <f aca="false">IF($AS15="","",IFERROR(IF(INDEX(Matches!$AP$5:$AP$12,MATCH($C15,Matches!$A$5:$A$12,0))="","",IF($AS15="A",INDEX(Matches!$AP$5:$AP$12,MATCH($C15,Matches!$A$5:$A$12,0)),1-INDEX(Matches!$AP$5:$AP$12,MATCH($C15,Matches!$A$5:$A$12,0)))),""))</f>
        <v>0.539429959255639</v>
      </c>
      <c r="AV15" s="13" t="n">
        <f aca="false">IF(OR($AU15="",$AT15=""),1,((Config!$B$14*$AU15+Config!$B$15*(1-$AU15))/(Config!$B$14*$AT15+Config!$B$15*(1-$AT15)))^Config!$B$13)</f>
        <v>1.04460264878117</v>
      </c>
      <c r="AW15" s="10" t="n">
        <f aca="false">IF($AS15="","",IFERROR(IF(INDEX(Matches!$AV$5:$AV$12,MATCH($C15,Matches!$A$5:$A$12,0))="","",IF($AS15="A",INDEX(Matches!$AV$5:$AV$12,MATCH($C15,Matches!$A$5:$A$12,0)),1-INDEX(Matches!$AV$5:$AV$12,MATCH($C15,Matches!$A$5:$A$12,0)))),""))</f>
        <v>0.563640695091593</v>
      </c>
      <c r="AX15" s="13" t="n">
        <f aca="false">IF(OR($AW15="",$AT15=""),1,((Config!$B$14*$AW15+Config!$B$15*(1-$AW15))/(Config!$B$14*$AT15+Config!$B$15*(1-$AT15)))^Config!$B$13)</f>
        <v>1.06643354068347</v>
      </c>
      <c r="AY15" s="10" t="n">
        <f aca="false">IF($AS15="","",IFERROR(IF(INDEX(Matches!$BB$5:$BB$12,MATCH($C15,Matches!$A$5:$A$12,0))="","",IF($AS15="A",INDEX(Matches!$BB$5:$BB$12,MATCH($C15,Matches!$A$5:$A$12,0)),1-INDEX(Matches!$BB$5:$BB$12,MATCH($C15,Matches!$A$5:$A$12,0)))),""))</f>
        <v>0.605128990844107</v>
      </c>
      <c r="AZ15" s="13" t="n">
        <f aca="false">IF(OR($AY15="",$AT15=""),1,((Config!$B$14*$AY15+Config!$B$15*(1-$AY15))/(Config!$B$14*$AT15+Config!$B$15*(1-$AT15)))^Config!$B$13)</f>
        <v>1.10384365931517</v>
      </c>
      <c r="BA15" s="17" t="n">
        <f aca="false">IF(V15="","",V15*$AV15)</f>
        <v>12.3524263218373</v>
      </c>
      <c r="BB15" s="17" t="n">
        <f aca="false">IF(AC15="","",AC15*$AX15)</f>
        <v>12.0209912182327</v>
      </c>
      <c r="BC15" s="17" t="n">
        <f aca="false">IF(AJ15="","",AJ15*$AZ15)</f>
        <v>12.2223089177672</v>
      </c>
      <c r="BD15" s="17" t="n">
        <f aca="false">N(BA15)+N(BB15)</f>
        <v>24.37341754007</v>
      </c>
      <c r="BE15" s="17" t="n">
        <f aca="false">BD15+N($M15)*N(BC15)</f>
        <v>24.37341754007</v>
      </c>
      <c r="BF15" s="17" t="n">
        <f aca="false">IF(W15="","",W15*$AV15)</f>
        <v>5.66821962843309</v>
      </c>
      <c r="BG15" s="17" t="n">
        <f aca="false">IF(AD15="","",AD15*$AX15)</f>
        <v>5.39570777252674</v>
      </c>
      <c r="BH15" s="17" t="n">
        <f aca="false">IF(AK15="","",AK15*$AZ15)</f>
        <v>5.45929798326936</v>
      </c>
      <c r="BI15" s="17" t="n">
        <f aca="false">IF(BF15="","",N(BF15)+N(BG15))</f>
        <v>11.0639274009598</v>
      </c>
      <c r="BJ15" s="17" t="n">
        <f aca="false">IF(BI15="","",BI15+N($M15)*N(BH15))</f>
        <v>11.0639274009598</v>
      </c>
      <c r="BK15" s="13" t="n">
        <f aca="false">IFERROR(BD15/AL15,1)</f>
        <v>1.05525682076008</v>
      </c>
    </row>
    <row r="16" customFormat="false" ht="15" hidden="false" customHeight="false" outlineLevel="0" collapsed="false">
      <c r="A16" s="0" t="s">
        <v>724</v>
      </c>
      <c r="B16" s="0" t="s">
        <v>608</v>
      </c>
      <c r="C16" s="0" t="s">
        <v>616</v>
      </c>
      <c r="D16" s="0" t="s">
        <v>620</v>
      </c>
      <c r="E16" s="0" t="s">
        <v>723</v>
      </c>
      <c r="F16" s="0" t="s">
        <v>877</v>
      </c>
      <c r="G16" s="0" t="str">
        <f aca="false">IFERROR(IF(INDEX(Matches!$W$5:$W$12,MATCH($C16,Matches!$A$5:$A$12,0))="","",INDEX(Matches!$W$5:$W$12,MATCH($C16,Matches!$A$5:$A$12,0))),"")</f>
        <v>Inferno</v>
      </c>
      <c r="H16" s="0" t="str">
        <f aca="false">IFERROR(IF(INDEX(Matches!$X$5:$X$12,MATCH($C16,Matches!$A$5:$A$12,0))="","",INDEX(Matches!$X$5:$X$12,MATCH($C16,Matches!$A$5:$A$12,0))),"")</f>
        <v>Dust2</v>
      </c>
      <c r="I16" s="0" t="str">
        <f aca="false">IFERROR(IF(INDEX(Matches!$Y$5:$Y$12,MATCH($C16,Matches!$A$5:$A$12,0))="","",INDEX(Matches!$Y$5:$Y$12,MATCH($C16,Matches!$A$5:$A$12,0))),"")</f>
        <v>Ancient</v>
      </c>
      <c r="J16" s="11" t="n">
        <f aca="false">IFERROR(IF(INDEX(Matches!$Z$5:$Z$12,MATCH($C16,Matches!$A$5:$A$12,0))="","",INDEX(Matches!$Z$5:$Z$12,MATCH($C16,Matches!$A$5:$A$12,0))),"")</f>
        <v>21.5</v>
      </c>
      <c r="K16" s="11" t="n">
        <f aca="false">IFERROR(IF(INDEX(Matches!$AA$5:$AA$12,MATCH($C16,Matches!$A$5:$A$12,0))="","",INDEX(Matches!$AA$5:$AA$12,MATCH($C16,Matches!$A$5:$A$12,0))),"")</f>
        <v>21.5</v>
      </c>
      <c r="L16" s="11" t="n">
        <f aca="false">IFERROR(IF(INDEX(Matches!$AB$5:$AB$12,MATCH($C16,Matches!$A$5:$A$12,0))="","",INDEX(Matches!$AB$5:$AB$12,MATCH($C16,Matches!$A$5:$A$12,0))),"")</f>
        <v>21.5</v>
      </c>
      <c r="M16" s="10" t="n">
        <f aca="false">IFERROR(IF(INDEX(Matches!$AC$5:$AC$12,MATCH($C16,Matches!$A$5:$A$12,0))="","",INDEX(Matches!$AC$5:$AC$12,MATCH($C16,Matches!$A$5:$A$12,0))),"")</f>
        <v>0</v>
      </c>
      <c r="N16" s="9" t="n">
        <f aca="false">IFERROR(INDEX(Players!$F$2:$F$56,MATCH($F16,Players!$A$2:$A$56,0)),0)</f>
        <v>36</v>
      </c>
      <c r="O16" s="13" t="n">
        <f aca="false">IFERROR(1/(1/INDEX(Players!$H$2:$H$56,MATCH($F16,Players!$A$2:$A$56,0))),"")</f>
        <v>0.66</v>
      </c>
      <c r="P16" s="10" t="n">
        <f aca="false">IFERROR(1/(1/INDEX(Players!$I$2:$I$56,MATCH($F16,Players!$A$2:$A$56,0))),"")</f>
        <v>0.668</v>
      </c>
      <c r="Q16" s="9" t="n">
        <f aca="false">IF($G16="",0,SUMIFS(Map_Stats!$F$2:$F$450,Map_Stats!$A$2:$A$450,$F16&amp;"|"&amp;$G16))</f>
        <v>12</v>
      </c>
      <c r="R16" s="13" t="n">
        <f aca="false">IF($G16="","",IFERROR(1/(1/INDEX(Map_Stats!$K$2:$K$450,MATCH($F16&amp;"|"&amp;$G16,Map_Stats!$A$2:$A$450,0))),$O16))</f>
        <v>0.65</v>
      </c>
      <c r="S16" s="10" t="n">
        <f aca="false">IF(OR($G16="",$P16=""),"",IFERROR(1/(1/INDEX(Map_Stats!$I$2:$I$450,MATCH($F16&amp;"|"&amp;$G16,Map_Stats!$A$2:$A$450,0))),$P16))</f>
        <v>0.618</v>
      </c>
      <c r="T16" s="13" t="n">
        <f aca="false">IF(OR($G16="",R16=""),"",IF($O16="",R16,(Q16*R16+Config!$B$4*$O16)/(Q16+Config!$B$4)))</f>
        <v>0.652941176470588</v>
      </c>
      <c r="U16" s="10" t="n">
        <f aca="false">IF(S16="","",(Q16*S16+Config!$B$4*$P16)/(Q16+Config!$B$4))</f>
        <v>0.632705882352941</v>
      </c>
      <c r="V16" s="17" t="n">
        <f aca="false">IF(OR(T16="",$J16=""),"",T16*$J16*($J16/Config!$B$10)^Config!$B$9)</f>
        <v>14.0382352941177</v>
      </c>
      <c r="W16" s="17" t="n">
        <f aca="false">IF(OR(V16="",U16=""),"",V16*U16)</f>
        <v>8.88207404844291</v>
      </c>
      <c r="X16" s="9" t="n">
        <f aca="false">IF($H16="",0,SUMIFS(Map_Stats!$F$2:$F$450,Map_Stats!$A$2:$A$450,$F16&amp;"|"&amp;$H16))</f>
        <v>8</v>
      </c>
      <c r="Y16" s="13" t="n">
        <f aca="false">IF($H16="","",IFERROR(1/(1/INDEX(Map_Stats!$K$2:$K$450,MATCH($F16&amp;"|"&amp;$H16,Map_Stats!$A$2:$A$450,0))),$O16))</f>
        <v>0.62</v>
      </c>
      <c r="Z16" s="10" t="n">
        <f aca="false">IF(OR($H16="",$P16=""),"",IFERROR(1/(1/INDEX(Map_Stats!$I$2:$I$450,MATCH($F16&amp;"|"&amp;$H16,Map_Stats!$A$2:$A$450,0))),$P16))</f>
        <v>0.713</v>
      </c>
      <c r="AA16" s="13" t="n">
        <f aca="false">IF(OR($H16="",Y16=""),"",IF($O16="",Y16,(X16*Y16+Config!$B$4*$O16)/(X16+Config!$B$4)))</f>
        <v>0.635384615384615</v>
      </c>
      <c r="AB16" s="10" t="n">
        <f aca="false">IF(Z16="","",(X16*Z16+Config!$B$4*$P16)/(X16+Config!$B$4))</f>
        <v>0.695692307692308</v>
      </c>
      <c r="AC16" s="17" t="n">
        <f aca="false">IF(OR(AA16="",$K16=""),"",AA16*$K16*($K16/Config!$B$10)^Config!$B$9)</f>
        <v>13.6607692307692</v>
      </c>
      <c r="AD16" s="17" t="n">
        <f aca="false">IF(OR(AC16="",AB16=""),"",AC16*AB16)</f>
        <v>9.50369207100592</v>
      </c>
      <c r="AE16" s="9" t="n">
        <f aca="false">IF($I16="",0,SUMIFS(Map_Stats!$F$2:$F$450,Map_Stats!$A$2:$A$450,$F16&amp;"|"&amp;$I16))</f>
        <v>8</v>
      </c>
      <c r="AF16" s="13" t="n">
        <f aca="false">IF($I16="","",IFERROR(1/(1/INDEX(Map_Stats!$K$2:$K$450,MATCH($F16&amp;"|"&amp;$I16,Map_Stats!$A$2:$A$450,0))),$O16))</f>
        <v>0.71</v>
      </c>
      <c r="AG16" s="10" t="n">
        <f aca="false">IF(OR($I16="",$P16=""),"",IFERROR(1/(1/INDEX(Map_Stats!$I$2:$I$450,MATCH($F16&amp;"|"&amp;$I16,Map_Stats!$A$2:$A$450,0))),$P16))</f>
        <v>0.687</v>
      </c>
      <c r="AH16" s="13" t="n">
        <f aca="false">IF(OR($I16="",AF16=""),"",IF($O16="",AF16,(AE16*AF16+Config!$B$4*$O16)/(AE16+Config!$B$4)))</f>
        <v>0.690769230769231</v>
      </c>
      <c r="AI16" s="10" t="n">
        <f aca="false">IF(AG16="","",(AE16*AG16+Config!$B$4*$P16)/(AE16+Config!$B$4))</f>
        <v>0.679692307692308</v>
      </c>
      <c r="AJ16" s="17" t="n">
        <f aca="false">IF(OR(AH16="",$L16=""),"",AH16*$L16*($L16/Config!$B$10)^Config!$B$9)</f>
        <v>14.8515384615385</v>
      </c>
      <c r="AK16" s="17" t="n">
        <f aca="false">IF(OR(AJ16="",AI16=""),"",AJ16*AI16)</f>
        <v>10.0944764497041</v>
      </c>
      <c r="AL16" s="17" t="n">
        <f aca="false">N(V16)+N(AC16)</f>
        <v>27.6990045248869</v>
      </c>
      <c r="AM16" s="17" t="n">
        <f aca="false">AL16+N($M16)*N(AJ16)</f>
        <v>27.6990045248869</v>
      </c>
      <c r="AN16" s="17" t="n">
        <f aca="false">IF(W16="","",N(W16)+N(AD16))</f>
        <v>18.3857661194488</v>
      </c>
      <c r="AO16" s="17" t="n">
        <f aca="false">IF(AN16="","",AN16+N($M16)*N(AK16))</f>
        <v>18.3857661194488</v>
      </c>
      <c r="AP16" s="10" t="n">
        <f aca="false">IFERROR(AN16/AL16,"")</f>
        <v>0.663769923678292</v>
      </c>
      <c r="AQ16" s="0" t="str">
        <f aca="false">TRIM(IF($N16&lt;Config!$B$12,"thin sample ("&amp;$N16&amp;" maps) · ","")&amp;IF(AND($G16&lt;&gt;"",Q16=0),"M1 unplayed→overall KPR · ","")&amp;IF(AND($H16&lt;&gt;"",X16=0),"M2 unplayed→overall KPR · ","")&amp;IF($O16="","no PickFinder stats",""))</f>
        <v/>
      </c>
      <c r="AR16" s="0" t="str">
        <f aca="false">IF($C16=Board!$B$2,COUNTIFS($C$2:$C$56,Board!$B$2,$AL$2:$AL$56,"&gt;"&amp;$AL16)+COUNTIFS($C$1:$C15,Board!$B$2,$AL$1:$AL15,$AL16)+1,"")</f>
        <v/>
      </c>
      <c r="AS16" s="0" t="str">
        <f aca="false">IFERROR(IF($D16=INDEX(Matches!$AD$5:$AD$12,MATCH($C16,Matches!$A$5:$A$12,0)),"A",IF($D16=INDEX(Matches!$AE$5:$AE$12,MATCH($C16,Matches!$A$5:$A$12,0)),"B","")),"")</f>
        <v>A</v>
      </c>
      <c r="AT16" s="10" t="n">
        <f aca="false">IF($AS16="","",IFERROR(IF($AS16="A",INDEX(Matches!$AI$5:$AI$12,MATCH($C16,Matches!$A$5:$A$12,0)),INDEX(Matches!$AJ$5:$AJ$12,MATCH($C16,Matches!$A$5:$A$12,0))),""))</f>
        <v>0.48996505639884</v>
      </c>
      <c r="AU16" s="10" t="n">
        <f aca="false">IF($AS16="","",IFERROR(IF(INDEX(Matches!$AP$5:$AP$12,MATCH($C16,Matches!$A$5:$A$12,0))="","",IF($AS16="A",INDEX(Matches!$AP$5:$AP$12,MATCH($C16,Matches!$A$5:$A$12,0)),1-INDEX(Matches!$AP$5:$AP$12,MATCH($C16,Matches!$A$5:$A$12,0)))),""))</f>
        <v>0.539429959255639</v>
      </c>
      <c r="AV16" s="13" t="n">
        <f aca="false">IF(OR($AU16="",$AT16=""),1,((Config!$B$14*$AU16+Config!$B$15*(1-$AU16))/(Config!$B$14*$AT16+Config!$B$15*(1-$AT16)))^Config!$B$13)</f>
        <v>1.04460264878117</v>
      </c>
      <c r="AW16" s="10" t="n">
        <f aca="false">IF($AS16="","",IFERROR(IF(INDEX(Matches!$AV$5:$AV$12,MATCH($C16,Matches!$A$5:$A$12,0))="","",IF($AS16="A",INDEX(Matches!$AV$5:$AV$12,MATCH($C16,Matches!$A$5:$A$12,0)),1-INDEX(Matches!$AV$5:$AV$12,MATCH($C16,Matches!$A$5:$A$12,0)))),""))</f>
        <v>0.563640695091593</v>
      </c>
      <c r="AX16" s="13" t="n">
        <f aca="false">IF(OR($AW16="",$AT16=""),1,((Config!$B$14*$AW16+Config!$B$15*(1-$AW16))/(Config!$B$14*$AT16+Config!$B$15*(1-$AT16)))^Config!$B$13)</f>
        <v>1.06643354068347</v>
      </c>
      <c r="AY16" s="10" t="n">
        <f aca="false">IF($AS16="","",IFERROR(IF(INDEX(Matches!$BB$5:$BB$12,MATCH($C16,Matches!$A$5:$A$12,0))="","",IF($AS16="A",INDEX(Matches!$BB$5:$BB$12,MATCH($C16,Matches!$A$5:$A$12,0)),1-INDEX(Matches!$BB$5:$BB$12,MATCH($C16,Matches!$A$5:$A$12,0)))),""))</f>
        <v>0.605128990844107</v>
      </c>
      <c r="AZ16" s="13" t="n">
        <f aca="false">IF(OR($AY16="",$AT16=""),1,((Config!$B$14*$AY16+Config!$B$15*(1-$AY16))/(Config!$B$14*$AT16+Config!$B$15*(1-$AT16)))^Config!$B$13)</f>
        <v>1.10384365931517</v>
      </c>
      <c r="BA16" s="17" t="n">
        <f aca="false">IF(V16="","",V16*$AV16)</f>
        <v>14.6643777724485</v>
      </c>
      <c r="BB16" s="17" t="n">
        <f aca="false">IF(AC16="","",AC16*$AX16)</f>
        <v>14.568302499229</v>
      </c>
      <c r="BC16" s="17" t="n">
        <f aca="false">IF(AJ16="","",AJ16*$AZ16)</f>
        <v>16.3937765618446</v>
      </c>
      <c r="BD16" s="17" t="n">
        <f aca="false">N(BA16)+N(BB16)</f>
        <v>29.2326802716775</v>
      </c>
      <c r="BE16" s="17" t="n">
        <f aca="false">BD16+N($M16)*N(BC16)</f>
        <v>29.2326802716775</v>
      </c>
      <c r="BF16" s="17" t="n">
        <f aca="false">IF(W16="","",W16*$AV16)</f>
        <v>9.27823807767392</v>
      </c>
      <c r="BG16" s="17" t="n">
        <f aca="false">IF(AD16="","",AD16*$AX16)</f>
        <v>10.1350559848482</v>
      </c>
      <c r="BH16" s="17" t="n">
        <f aca="false">IF(AK16="","",AK16*$AZ16)</f>
        <v>11.1427238231122</v>
      </c>
      <c r="BI16" s="17" t="n">
        <f aca="false">IF(BF16="","",N(BF16)+N(BG16))</f>
        <v>19.4132940625222</v>
      </c>
      <c r="BJ16" s="17" t="n">
        <f aca="false">IF(BI16="","",BI16+N($M16)*N(BH16))</f>
        <v>19.4132940625222</v>
      </c>
      <c r="BK16" s="13" t="n">
        <f aca="false">IFERROR(BD16/AL16,1)</f>
        <v>1.05536934532837</v>
      </c>
    </row>
    <row r="17" customFormat="false" ht="15" hidden="false" customHeight="false" outlineLevel="0" collapsed="false">
      <c r="A17" s="0" t="s">
        <v>727</v>
      </c>
      <c r="B17" s="0" t="s">
        <v>608</v>
      </c>
      <c r="C17" s="0" t="s">
        <v>525</v>
      </c>
      <c r="D17" s="0" t="s">
        <v>615</v>
      </c>
      <c r="E17" s="0" t="s">
        <v>725</v>
      </c>
      <c r="F17" s="0" t="s">
        <v>878</v>
      </c>
      <c r="G17" s="0" t="str">
        <f aca="false">IFERROR(IF(INDEX(Matches!$W$5:$W$12,MATCH($C17,Matches!$A$5:$A$12,0))="","",INDEX(Matches!$W$5:$W$12,MATCH($C17,Matches!$A$5:$A$12,0))),"")</f>
        <v>Mirage</v>
      </c>
      <c r="H17" s="0" t="str">
        <f aca="false">IFERROR(IF(INDEX(Matches!$X$5:$X$12,MATCH($C17,Matches!$A$5:$A$12,0))="","",INDEX(Matches!$X$5:$X$12,MATCH($C17,Matches!$A$5:$A$12,0))),"")</f>
        <v>Cache</v>
      </c>
      <c r="I17" s="0" t="str">
        <f aca="false">IFERROR(IF(INDEX(Matches!$Y$5:$Y$12,MATCH($C17,Matches!$A$5:$A$12,0))="","",INDEX(Matches!$Y$5:$Y$12,MATCH($C17,Matches!$A$5:$A$12,0))),"")</f>
        <v>Dust2</v>
      </c>
      <c r="J17" s="11" t="n">
        <f aca="false">IFERROR(IF(INDEX(Matches!$Z$5:$Z$12,MATCH($C17,Matches!$A$5:$A$12,0))="","",INDEX(Matches!$Z$5:$Z$12,MATCH($C17,Matches!$A$5:$A$12,0))),"")</f>
        <v>21.26</v>
      </c>
      <c r="K17" s="11" t="n">
        <f aca="false">IFERROR(IF(INDEX(Matches!$AA$5:$AA$12,MATCH($C17,Matches!$A$5:$A$12,0))="","",INDEX(Matches!$AA$5:$AA$12,MATCH($C17,Matches!$A$5:$A$12,0))),"")</f>
        <v>21.24</v>
      </c>
      <c r="L17" s="11" t="n">
        <f aca="false">IFERROR(IF(INDEX(Matches!$AB$5:$AB$12,MATCH($C17,Matches!$A$5:$A$12,0))="","",INDEX(Matches!$AB$5:$AB$12,MATCH($C17,Matches!$A$5:$A$12,0))),"")</f>
        <v>21.5</v>
      </c>
      <c r="M17" s="10" t="n">
        <f aca="false">IFERROR(IF(INDEX(Matches!$AC$5:$AC$12,MATCH($C17,Matches!$A$5:$A$12,0))="","",INDEX(Matches!$AC$5:$AC$12,MATCH($C17,Matches!$A$5:$A$12,0))),"")</f>
        <v>0.477</v>
      </c>
      <c r="N17" s="9" t="n">
        <f aca="false">IFERROR(INDEX(Players!$F$2:$F$56,MATCH($F17,Players!$A$2:$A$56,0)),0)</f>
        <v>31</v>
      </c>
      <c r="O17" s="13" t="n">
        <f aca="false">IFERROR(1/(1/INDEX(Players!$H$2:$H$56,MATCH($F17,Players!$A$2:$A$56,0))),"")</f>
        <v>0.82</v>
      </c>
      <c r="P17" s="10" t="n">
        <f aca="false">IFERROR(1/(1/INDEX(Players!$I$2:$I$56,MATCH($F17,Players!$A$2:$A$56,0))),"")</f>
        <v>0.602</v>
      </c>
      <c r="Q17" s="9" t="n">
        <f aca="false">IF($G17="",0,SUMIFS(Map_Stats!$F$2:$F$450,Map_Stats!$A$2:$A$450,$F17&amp;"|"&amp;$G17))</f>
        <v>5</v>
      </c>
      <c r="R17" s="13" t="n">
        <f aca="false">IF($G17="","",IFERROR(1/(1/INDEX(Map_Stats!$K$2:$K$450,MATCH($F17&amp;"|"&amp;$G17,Map_Stats!$A$2:$A$450,0))),$O17))</f>
        <v>0.75</v>
      </c>
      <c r="S17" s="10" t="n">
        <f aca="false">IF(OR($G17="",$P17=""),"",IFERROR(1/(1/INDEX(Map_Stats!$I$2:$I$450,MATCH($F17&amp;"|"&amp;$G17,Map_Stats!$A$2:$A$450,0))),$P17))</f>
        <v>0.651</v>
      </c>
      <c r="T17" s="13" t="n">
        <f aca="false">IF(OR($G17="",R17=""),"",IF($O17="",R17,(Q17*R17+Config!$B$4*$O17)/(Q17+Config!$B$4)))</f>
        <v>0.785</v>
      </c>
      <c r="U17" s="10" t="n">
        <f aca="false">IF(S17="","",(Q17*S17+Config!$B$4*$P17)/(Q17+Config!$B$4))</f>
        <v>0.6265</v>
      </c>
      <c r="V17" s="17" t="n">
        <f aca="false">IF(OR(T17="",$J17=""),"",T17*$J17*($J17/Config!$B$10)^Config!$B$9)</f>
        <v>16.6891</v>
      </c>
      <c r="W17" s="17" t="n">
        <f aca="false">IF(OR(V17="",U17=""),"",V17*U17)</f>
        <v>10.45572115</v>
      </c>
      <c r="X17" s="9" t="n">
        <f aca="false">IF($H17="",0,SUMIFS(Map_Stats!$F$2:$F$450,Map_Stats!$A$2:$A$450,$F17&amp;"|"&amp;$H17))</f>
        <v>8</v>
      </c>
      <c r="Y17" s="13" t="n">
        <f aca="false">IF($H17="","",IFERROR(1/(1/INDEX(Map_Stats!$K$2:$K$450,MATCH($F17&amp;"|"&amp;$H17,Map_Stats!$A$2:$A$450,0))),$O17))</f>
        <v>0.87</v>
      </c>
      <c r="Z17" s="10" t="n">
        <f aca="false">IF(OR($H17="",$P17=""),"",IFERROR(1/(1/INDEX(Map_Stats!$I$2:$I$450,MATCH($F17&amp;"|"&amp;$H17,Map_Stats!$A$2:$A$450,0))),$P17))</f>
        <v>0.574</v>
      </c>
      <c r="AA17" s="13" t="n">
        <f aca="false">IF(OR($H17="",Y17=""),"",IF($O17="",Y17,(X17*Y17+Config!$B$4*$O17)/(X17+Config!$B$4)))</f>
        <v>0.850769230769231</v>
      </c>
      <c r="AB17" s="10" t="n">
        <f aca="false">IF(Z17="","",(X17*Z17+Config!$B$4*$P17)/(X17+Config!$B$4))</f>
        <v>0.584769230769231</v>
      </c>
      <c r="AC17" s="17" t="n">
        <f aca="false">IF(OR(AA17="",$K17=""),"",AA17*$K17*($K17/Config!$B$10)^Config!$B$9)</f>
        <v>18.0703384615385</v>
      </c>
      <c r="AD17" s="17" t="n">
        <f aca="false">IF(OR(AC17="",AB17=""),"",AC17*AB17)</f>
        <v>10.5669779218935</v>
      </c>
      <c r="AE17" s="9" t="n">
        <f aca="false">IF($I17="",0,SUMIFS(Map_Stats!$F$2:$F$450,Map_Stats!$A$2:$A$450,$F17&amp;"|"&amp;$I17))</f>
        <v>7</v>
      </c>
      <c r="AF17" s="13" t="n">
        <f aca="false">IF($I17="","",IFERROR(1/(1/INDEX(Map_Stats!$K$2:$K$450,MATCH($F17&amp;"|"&amp;$I17,Map_Stats!$A$2:$A$450,0))),$O17))</f>
        <v>0.8</v>
      </c>
      <c r="AG17" s="10" t="n">
        <f aca="false">IF(OR($I17="",$P17=""),"",IFERROR(1/(1/INDEX(Map_Stats!$I$2:$I$450,MATCH($F17&amp;"|"&amp;$I17,Map_Stats!$A$2:$A$450,0))),$P17))</f>
        <v>0.63</v>
      </c>
      <c r="AH17" s="13" t="n">
        <f aca="false">IF(OR($I17="",AF17=""),"",IF($O17="",AF17,(AE17*AF17+Config!$B$4*$O17)/(AE17+Config!$B$4)))</f>
        <v>0.808333333333334</v>
      </c>
      <c r="AI17" s="10" t="n">
        <f aca="false">IF(AG17="","",(AE17*AG17+Config!$B$4*$P17)/(AE17+Config!$B$4))</f>
        <v>0.618333333333333</v>
      </c>
      <c r="AJ17" s="17" t="n">
        <f aca="false">IF(OR(AH17="",$L17=""),"",AH17*$L17*($L17/Config!$B$10)^Config!$B$9)</f>
        <v>17.3791666666667</v>
      </c>
      <c r="AK17" s="17" t="n">
        <f aca="false">IF(OR(AJ17="",AI17=""),"",AJ17*AI17)</f>
        <v>10.7461180555556</v>
      </c>
      <c r="AL17" s="17" t="n">
        <f aca="false">N(V17)+N(AC17)</f>
        <v>34.7594384615385</v>
      </c>
      <c r="AM17" s="17" t="n">
        <f aca="false">AL17+N($M17)*N(AJ17)</f>
        <v>43.0493009615385</v>
      </c>
      <c r="AN17" s="17" t="n">
        <f aca="false">IF(W17="","",N(W17)+N(AD17))</f>
        <v>21.0226990718935</v>
      </c>
      <c r="AO17" s="17" t="n">
        <f aca="false">IF(AN17="","",AN17+N($M17)*N(AK17))</f>
        <v>26.1485973843935</v>
      </c>
      <c r="AP17" s="10" t="n">
        <f aca="false">IFERROR(AN17/AL17,"")</f>
        <v>0.604805486002176</v>
      </c>
      <c r="AQ17" s="0" t="str">
        <f aca="false">TRIM(IF($N17&lt;Config!$B$12,"thin sample ("&amp;$N17&amp;" maps) · ","")&amp;IF(AND($G17&lt;&gt;"",Q17=0),"M1 unplayed→overall KPR · ","")&amp;IF(AND($H17&lt;&gt;"",X17=0),"M2 unplayed→overall KPR · ","")&amp;IF($O17="","no PickFinder stats",""))</f>
        <v/>
      </c>
      <c r="AR17" s="9" t="n">
        <f aca="false">IF($C17=Board!$B$2,COUNTIFS($C$2:$C$56,Board!$B$2,$AL$2:$AL$56,"&gt;"&amp;$AL17)+COUNTIFS($C$1:$C16,Board!$B$2,$AL$1:$AL16,$AL17)+1,"")</f>
        <v>1</v>
      </c>
      <c r="AS17" s="0" t="str">
        <f aca="false">IFERROR(IF($D17=INDEX(Matches!$AD$5:$AD$12,MATCH($C17,Matches!$A$5:$A$12,0)),"A",IF($D17=INDEX(Matches!$AE$5:$AE$12,MATCH($C17,Matches!$A$5:$A$12,0)),"B","")),"")</f>
        <v>B</v>
      </c>
      <c r="AT17" s="10" t="n">
        <f aca="false">IF($AS17="","",IFERROR(IF($AS17="A",INDEX(Matches!$AI$5:$AI$12,MATCH($C17,Matches!$A$5:$A$12,0)),INDEX(Matches!$AJ$5:$AJ$12,MATCH($C17,Matches!$A$5:$A$12,0))),""))</f>
        <v>0.522508524909545</v>
      </c>
      <c r="AU17" s="10" t="n">
        <f aca="false">IF($AS17="","",IFERROR(IF(INDEX(Matches!$AP$5:$AP$12,MATCH($C17,Matches!$A$5:$A$12,0))="","",IF($AS17="A",INDEX(Matches!$AP$5:$AP$12,MATCH($C17,Matches!$A$5:$A$12,0)),1-INDEX(Matches!$AP$5:$AP$12,MATCH($C17,Matches!$A$5:$A$12,0)))),""))</f>
        <v>0.502045420344499</v>
      </c>
      <c r="AV17" s="13" t="n">
        <f aca="false">IF(OR($AU17="",$AT17=""),1,((Config!$B$14*$AU17+Config!$B$15*(1-$AU17))/(Config!$B$14*$AT17+Config!$B$15*(1-$AT17)))^Config!$B$13)</f>
        <v>0.982074377442259</v>
      </c>
      <c r="AW17" s="10" t="n">
        <f aca="false">IF($AS17="","",IFERROR(IF(INDEX(Matches!$AV$5:$AV$12,MATCH($C17,Matches!$A$5:$A$12,0))="","",IF($AS17="A",INDEX(Matches!$AV$5:$AV$12,MATCH($C17,Matches!$A$5:$A$12,0)),1-INDEX(Matches!$AV$5:$AV$12,MATCH($C17,Matches!$A$5:$A$12,0)))),""))</f>
        <v>0.497951875537449</v>
      </c>
      <c r="AX17" s="13" t="n">
        <f aca="false">IF(OR($AW17="",$AT17=""),1,((Config!$B$14*$AW17+Config!$B$15*(1-$AW17))/(Config!$B$14*$AT17+Config!$B$15*(1-$AT17)))^Config!$B$13)</f>
        <v>0.978488443602107</v>
      </c>
      <c r="AY17" s="10" t="n">
        <f aca="false">IF($AS17="","",IFERROR(IF(INDEX(Matches!$BB$5:$BB$12,MATCH($C17,Matches!$A$5:$A$12,0))="","",IF($AS17="A",INDEX(Matches!$BB$5:$BB$12,MATCH($C17,Matches!$A$5:$A$12,0)),1-INDEX(Matches!$BB$5:$BB$12,MATCH($C17,Matches!$A$5:$A$12,0)))),""))</f>
        <v>0.486973691853102</v>
      </c>
      <c r="AZ17" s="13" t="n">
        <f aca="false">IF(OR($AY17="",$AT17=""),1,((Config!$B$14*$AY17+Config!$B$15*(1-$AY17))/(Config!$B$14*$AT17+Config!$B$15*(1-$AT17)))^Config!$B$13)</f>
        <v>0.968871585296485</v>
      </c>
      <c r="BA17" s="17" t="n">
        <f aca="false">IF(V17="","",V17*$AV17)</f>
        <v>16.3899374925716</v>
      </c>
      <c r="BB17" s="17" t="n">
        <f aca="false">IF(AC17="","",AC17*$AX17)</f>
        <v>17.6816173565941</v>
      </c>
      <c r="BC17" s="17" t="n">
        <f aca="false">IF(AJ17="","",AJ17*$AZ17)</f>
        <v>16.8381807594652</v>
      </c>
      <c r="BD17" s="17" t="n">
        <f aca="false">N(BA17)+N(BB17)</f>
        <v>34.0715548491657</v>
      </c>
      <c r="BE17" s="17" t="n">
        <f aca="false">BD17+N($M17)*N(BC17)</f>
        <v>42.1033670714306</v>
      </c>
      <c r="BF17" s="17" t="n">
        <f aca="false">IF(W17="","",W17*$AV17)</f>
        <v>10.2682958390961</v>
      </c>
      <c r="BG17" s="17" t="n">
        <f aca="false">IF(AD17="","",AD17*$AX17)</f>
        <v>10.3396657803714</v>
      </c>
      <c r="BH17" s="17" t="n">
        <f aca="false">IF(AK17="","",AK17*$AZ17)</f>
        <v>10.4116084362693</v>
      </c>
      <c r="BI17" s="17" t="n">
        <f aca="false">IF(BF17="","",N(BF17)+N(BG17))</f>
        <v>20.6079616194675</v>
      </c>
      <c r="BJ17" s="17" t="n">
        <f aca="false">IF(BI17="","",BI17+N($M17)*N(BH17))</f>
        <v>25.574298843568</v>
      </c>
      <c r="BK17" s="13" t="n">
        <f aca="false">IFERROR(BD17/AL17,1)</f>
        <v>0.980210163258709</v>
      </c>
    </row>
    <row r="18" customFormat="false" ht="15" hidden="false" customHeight="false" outlineLevel="0" collapsed="false">
      <c r="A18" s="0" t="s">
        <v>730</v>
      </c>
      <c r="B18" s="0" t="s">
        <v>608</v>
      </c>
      <c r="C18" s="0" t="s">
        <v>525</v>
      </c>
      <c r="D18" s="0" t="s">
        <v>615</v>
      </c>
      <c r="E18" s="0" t="s">
        <v>728</v>
      </c>
      <c r="F18" s="0" t="s">
        <v>879</v>
      </c>
      <c r="G18" s="0" t="str">
        <f aca="false">IFERROR(IF(INDEX(Matches!$W$5:$W$12,MATCH($C18,Matches!$A$5:$A$12,0))="","",INDEX(Matches!$W$5:$W$12,MATCH($C18,Matches!$A$5:$A$12,0))),"")</f>
        <v>Mirage</v>
      </c>
      <c r="H18" s="0" t="str">
        <f aca="false">IFERROR(IF(INDEX(Matches!$X$5:$X$12,MATCH($C18,Matches!$A$5:$A$12,0))="","",INDEX(Matches!$X$5:$X$12,MATCH($C18,Matches!$A$5:$A$12,0))),"")</f>
        <v>Cache</v>
      </c>
      <c r="I18" s="0" t="str">
        <f aca="false">IFERROR(IF(INDEX(Matches!$Y$5:$Y$12,MATCH($C18,Matches!$A$5:$A$12,0))="","",INDEX(Matches!$Y$5:$Y$12,MATCH($C18,Matches!$A$5:$A$12,0))),"")</f>
        <v>Dust2</v>
      </c>
      <c r="J18" s="11" t="n">
        <f aca="false">IFERROR(IF(INDEX(Matches!$Z$5:$Z$12,MATCH($C18,Matches!$A$5:$A$12,0))="","",INDEX(Matches!$Z$5:$Z$12,MATCH($C18,Matches!$A$5:$A$12,0))),"")</f>
        <v>21.26</v>
      </c>
      <c r="K18" s="11" t="n">
        <f aca="false">IFERROR(IF(INDEX(Matches!$AA$5:$AA$12,MATCH($C18,Matches!$A$5:$A$12,0))="","",INDEX(Matches!$AA$5:$AA$12,MATCH($C18,Matches!$A$5:$A$12,0))),"")</f>
        <v>21.24</v>
      </c>
      <c r="L18" s="11" t="n">
        <f aca="false">IFERROR(IF(INDEX(Matches!$AB$5:$AB$12,MATCH($C18,Matches!$A$5:$A$12,0))="","",INDEX(Matches!$AB$5:$AB$12,MATCH($C18,Matches!$A$5:$A$12,0))),"")</f>
        <v>21.5</v>
      </c>
      <c r="M18" s="10" t="n">
        <f aca="false">IFERROR(IF(INDEX(Matches!$AC$5:$AC$12,MATCH($C18,Matches!$A$5:$A$12,0))="","",INDEX(Matches!$AC$5:$AC$12,MATCH($C18,Matches!$A$5:$A$12,0))),"")</f>
        <v>0.477</v>
      </c>
      <c r="N18" s="9" t="n">
        <f aca="false">IFERROR(INDEX(Players!$F$2:$F$56,MATCH($F18,Players!$A$2:$A$56,0)),0)</f>
        <v>31</v>
      </c>
      <c r="O18" s="13" t="n">
        <f aca="false">IFERROR(1/(1/INDEX(Players!$H$2:$H$56,MATCH($F18,Players!$A$2:$A$56,0))),"")</f>
        <v>0.68</v>
      </c>
      <c r="P18" s="10" t="n">
        <f aca="false">IFERROR(1/(1/INDEX(Players!$I$2:$I$56,MATCH($F18,Players!$A$2:$A$56,0))),"")</f>
        <v>0.566</v>
      </c>
      <c r="Q18" s="9" t="n">
        <f aca="false">IF($G18="",0,SUMIFS(Map_Stats!$F$2:$F$450,Map_Stats!$A$2:$A$450,$F18&amp;"|"&amp;$G18))</f>
        <v>5</v>
      </c>
      <c r="R18" s="13" t="n">
        <f aca="false">IF($G18="","",IFERROR(1/(1/INDEX(Map_Stats!$K$2:$K$450,MATCH($F18&amp;"|"&amp;$G18,Map_Stats!$A$2:$A$450,0))),$O18))</f>
        <v>0.53</v>
      </c>
      <c r="S18" s="10" t="n">
        <f aca="false">IF(OR($G18="",$P18=""),"",IFERROR(1/(1/INDEX(Map_Stats!$I$2:$I$450,MATCH($F18&amp;"|"&amp;$G18,Map_Stats!$A$2:$A$450,0))),$P18))</f>
        <v>0.525</v>
      </c>
      <c r="T18" s="13" t="n">
        <f aca="false">IF(OR($G18="",R18=""),"",IF($O18="",R18,(Q18*R18+Config!$B$4*$O18)/(Q18+Config!$B$4)))</f>
        <v>0.605</v>
      </c>
      <c r="U18" s="10" t="n">
        <f aca="false">IF(S18="","",(Q18*S18+Config!$B$4*$P18)/(Q18+Config!$B$4))</f>
        <v>0.5455</v>
      </c>
      <c r="V18" s="17" t="n">
        <f aca="false">IF(OR(T18="",$J18=""),"",T18*$J18*($J18/Config!$B$10)^Config!$B$9)</f>
        <v>12.8623</v>
      </c>
      <c r="W18" s="17" t="n">
        <f aca="false">IF(OR(V18="",U18=""),"",V18*U18)</f>
        <v>7.01638465</v>
      </c>
      <c r="X18" s="9" t="n">
        <f aca="false">IF($H18="",0,SUMIFS(Map_Stats!$F$2:$F$450,Map_Stats!$A$2:$A$450,$F18&amp;"|"&amp;$H18))</f>
        <v>8</v>
      </c>
      <c r="Y18" s="13" t="n">
        <f aca="false">IF($H18="","",IFERROR(1/(1/INDEX(Map_Stats!$K$2:$K$450,MATCH($F18&amp;"|"&amp;$H18,Map_Stats!$A$2:$A$450,0))),$O18))</f>
        <v>0.74</v>
      </c>
      <c r="Z18" s="10" t="n">
        <f aca="false">IF(OR($H18="",$P18=""),"",IFERROR(1/(1/INDEX(Map_Stats!$I$2:$I$450,MATCH($F18&amp;"|"&amp;$H18,Map_Stats!$A$2:$A$450,0))),$P18))</f>
        <v>0.486</v>
      </c>
      <c r="AA18" s="13" t="n">
        <f aca="false">IF(OR($H18="",Y18=""),"",IF($O18="",Y18,(X18*Y18+Config!$B$4*$O18)/(X18+Config!$B$4)))</f>
        <v>0.716923076923077</v>
      </c>
      <c r="AB18" s="10" t="n">
        <f aca="false">IF(Z18="","",(X18*Z18+Config!$B$4*$P18)/(X18+Config!$B$4))</f>
        <v>0.516769230769231</v>
      </c>
      <c r="AC18" s="17" t="n">
        <f aca="false">IF(OR(AA18="",$K18=""),"",AA18*$K18*($K18/Config!$B$10)^Config!$B$9)</f>
        <v>15.2274461538462</v>
      </c>
      <c r="AD18" s="17" t="n">
        <f aca="false">IF(OR(AC18="",AB18=""),"",AC18*AB18)</f>
        <v>7.86907563550296</v>
      </c>
      <c r="AE18" s="9" t="n">
        <f aca="false">IF($I18="",0,SUMIFS(Map_Stats!$F$2:$F$450,Map_Stats!$A$2:$A$450,$F18&amp;"|"&amp;$I18))</f>
        <v>7</v>
      </c>
      <c r="AF18" s="13" t="n">
        <f aca="false">IF($I18="","",IFERROR(1/(1/INDEX(Map_Stats!$K$2:$K$450,MATCH($F18&amp;"|"&amp;$I18,Map_Stats!$A$2:$A$450,0))),$O18))</f>
        <v>0.67</v>
      </c>
      <c r="AG18" s="10" t="n">
        <f aca="false">IF(OR($I18="",$P18=""),"",IFERROR(1/(1/INDEX(Map_Stats!$I$2:$I$450,MATCH($F18&amp;"|"&amp;$I18,Map_Stats!$A$2:$A$450,0))),$P18))</f>
        <v>0.597</v>
      </c>
      <c r="AH18" s="13" t="n">
        <f aca="false">IF(OR($I18="",AF18=""),"",IF($O18="",AF18,(AE18*AF18+Config!$B$4*$O18)/(AE18+Config!$B$4)))</f>
        <v>0.674166666666667</v>
      </c>
      <c r="AI18" s="10" t="n">
        <f aca="false">IF(AG18="","",(AE18*AG18+Config!$B$4*$P18)/(AE18+Config!$B$4))</f>
        <v>0.584083333333333</v>
      </c>
      <c r="AJ18" s="17" t="n">
        <f aca="false">IF(OR(AH18="",$L18=""),"",AH18*$L18*($L18/Config!$B$10)^Config!$B$9)</f>
        <v>14.4945833333333</v>
      </c>
      <c r="AK18" s="17" t="n">
        <f aca="false">IF(OR(AJ18="",AI18=""),"",AJ18*AI18)</f>
        <v>8.46604454861111</v>
      </c>
      <c r="AL18" s="17" t="n">
        <f aca="false">N(V18)+N(AC18)</f>
        <v>28.0897461538462</v>
      </c>
      <c r="AM18" s="17" t="n">
        <f aca="false">AL18+N($M18)*N(AJ18)</f>
        <v>35.0036624038462</v>
      </c>
      <c r="AN18" s="17" t="n">
        <f aca="false">IF(W18="","",N(W18)+N(AD18))</f>
        <v>14.885460285503</v>
      </c>
      <c r="AO18" s="17" t="n">
        <f aca="false">IF(AN18="","",AN18+N($M18)*N(AK18))</f>
        <v>18.9237635351905</v>
      </c>
      <c r="AP18" s="10" t="n">
        <f aca="false">IFERROR(AN18/AL18,"")</f>
        <v>0.529925055355646</v>
      </c>
      <c r="AQ18" s="0" t="str">
        <f aca="false">TRIM(IF($N18&lt;Config!$B$12,"thin sample ("&amp;$N18&amp;" maps) · ","")&amp;IF(AND($G18&lt;&gt;"",Q18=0),"M1 unplayed→overall KPR · ","")&amp;IF(AND($H18&lt;&gt;"",X18=0),"M2 unplayed→overall KPR · ","")&amp;IF($O18="","no PickFinder stats",""))</f>
        <v/>
      </c>
      <c r="AR18" s="9" t="n">
        <f aca="false">IF($C18=Board!$B$2,COUNTIFS($C$2:$C$56,Board!$B$2,$AL$2:$AL$56,"&gt;"&amp;$AL18)+COUNTIFS($C$1:$C17,Board!$B$2,$AL$1:$AL17,$AL18)+1,"")</f>
        <v>7</v>
      </c>
      <c r="AS18" s="0" t="str">
        <f aca="false">IFERROR(IF($D18=INDEX(Matches!$AD$5:$AD$12,MATCH($C18,Matches!$A$5:$A$12,0)),"A",IF($D18=INDEX(Matches!$AE$5:$AE$12,MATCH($C18,Matches!$A$5:$A$12,0)),"B","")),"")</f>
        <v>B</v>
      </c>
      <c r="AT18" s="10" t="n">
        <f aca="false">IF($AS18="","",IFERROR(IF($AS18="A",INDEX(Matches!$AI$5:$AI$12,MATCH($C18,Matches!$A$5:$A$12,0)),INDEX(Matches!$AJ$5:$AJ$12,MATCH($C18,Matches!$A$5:$A$12,0))),""))</f>
        <v>0.522508524909545</v>
      </c>
      <c r="AU18" s="10" t="n">
        <f aca="false">IF($AS18="","",IFERROR(IF(INDEX(Matches!$AP$5:$AP$12,MATCH($C18,Matches!$A$5:$A$12,0))="","",IF($AS18="A",INDEX(Matches!$AP$5:$AP$12,MATCH($C18,Matches!$A$5:$A$12,0)),1-INDEX(Matches!$AP$5:$AP$12,MATCH($C18,Matches!$A$5:$A$12,0)))),""))</f>
        <v>0.502045420344499</v>
      </c>
      <c r="AV18" s="13" t="n">
        <f aca="false">IF(OR($AU18="",$AT18=""),1,((Config!$B$14*$AU18+Config!$B$15*(1-$AU18))/(Config!$B$14*$AT18+Config!$B$15*(1-$AT18)))^Config!$B$13)</f>
        <v>0.982074377442259</v>
      </c>
      <c r="AW18" s="10" t="n">
        <f aca="false">IF($AS18="","",IFERROR(IF(INDEX(Matches!$AV$5:$AV$12,MATCH($C18,Matches!$A$5:$A$12,0))="","",IF($AS18="A",INDEX(Matches!$AV$5:$AV$12,MATCH($C18,Matches!$A$5:$A$12,0)),1-INDEX(Matches!$AV$5:$AV$12,MATCH($C18,Matches!$A$5:$A$12,0)))),""))</f>
        <v>0.497951875537449</v>
      </c>
      <c r="AX18" s="13" t="n">
        <f aca="false">IF(OR($AW18="",$AT18=""),1,((Config!$B$14*$AW18+Config!$B$15*(1-$AW18))/(Config!$B$14*$AT18+Config!$B$15*(1-$AT18)))^Config!$B$13)</f>
        <v>0.978488443602107</v>
      </c>
      <c r="AY18" s="10" t="n">
        <f aca="false">IF($AS18="","",IFERROR(IF(INDEX(Matches!$BB$5:$BB$12,MATCH($C18,Matches!$A$5:$A$12,0))="","",IF($AS18="A",INDEX(Matches!$BB$5:$BB$12,MATCH($C18,Matches!$A$5:$A$12,0)),1-INDEX(Matches!$BB$5:$BB$12,MATCH($C18,Matches!$A$5:$A$12,0)))),""))</f>
        <v>0.486973691853102</v>
      </c>
      <c r="AZ18" s="13" t="n">
        <f aca="false">IF(OR($AY18="",$AT18=""),1,((Config!$B$14*$AY18+Config!$B$15*(1-$AY18))/(Config!$B$14*$AT18+Config!$B$15*(1-$AT18)))^Config!$B$13)</f>
        <v>0.968871585296485</v>
      </c>
      <c r="BA18" s="17" t="n">
        <f aca="false">IF(V18="","",V18*$AV18)</f>
        <v>12.6317352649756</v>
      </c>
      <c r="BB18" s="17" t="n">
        <f aca="false">IF(AC18="","",AC18*$AX18)</f>
        <v>14.8998800871118</v>
      </c>
      <c r="BC18" s="17" t="n">
        <f aca="false">IF(AJ18="","",AJ18*$AZ18)</f>
        <v>14.0433899323787</v>
      </c>
      <c r="BD18" s="17" t="n">
        <f aca="false">N(BA18)+N(BB18)</f>
        <v>27.5316153520874</v>
      </c>
      <c r="BE18" s="17" t="n">
        <f aca="false">BD18+N($M18)*N(BC18)</f>
        <v>34.230312349832</v>
      </c>
      <c r="BF18" s="17" t="n">
        <f aca="false">IF(W18="","",W18*$AV18)</f>
        <v>6.89061158704418</v>
      </c>
      <c r="BG18" s="17" t="n">
        <f aca="false">IF(AD18="","",AD18*$AX18)</f>
        <v>7.69979957117055</v>
      </c>
      <c r="BH18" s="17" t="n">
        <f aca="false">IF(AK18="","",AK18*$AZ18)</f>
        <v>8.20251000300352</v>
      </c>
      <c r="BI18" s="17" t="n">
        <f aca="false">IF(BF18="","",N(BF18)+N(BG18))</f>
        <v>14.5904111582147</v>
      </c>
      <c r="BJ18" s="17" t="n">
        <f aca="false">IF(BI18="","",BI18+N($M18)*N(BH18))</f>
        <v>18.5030084296474</v>
      </c>
      <c r="BK18" s="13" t="n">
        <f aca="false">IFERROR(BD18/AL18,1)</f>
        <v>0.980130443375959</v>
      </c>
    </row>
    <row r="19" customFormat="false" ht="15" hidden="false" customHeight="false" outlineLevel="0" collapsed="false">
      <c r="A19" s="0" t="s">
        <v>733</v>
      </c>
      <c r="B19" s="0" t="s">
        <v>608</v>
      </c>
      <c r="C19" s="0" t="s">
        <v>525</v>
      </c>
      <c r="D19" s="0" t="s">
        <v>615</v>
      </c>
      <c r="E19" s="0" t="s">
        <v>731</v>
      </c>
      <c r="F19" s="0" t="s">
        <v>880</v>
      </c>
      <c r="G19" s="0" t="str">
        <f aca="false">IFERROR(IF(INDEX(Matches!$W$5:$W$12,MATCH($C19,Matches!$A$5:$A$12,0))="","",INDEX(Matches!$W$5:$W$12,MATCH($C19,Matches!$A$5:$A$12,0))),"")</f>
        <v>Mirage</v>
      </c>
      <c r="H19" s="0" t="str">
        <f aca="false">IFERROR(IF(INDEX(Matches!$X$5:$X$12,MATCH($C19,Matches!$A$5:$A$12,0))="","",INDEX(Matches!$X$5:$X$12,MATCH($C19,Matches!$A$5:$A$12,0))),"")</f>
        <v>Cache</v>
      </c>
      <c r="I19" s="0" t="str">
        <f aca="false">IFERROR(IF(INDEX(Matches!$Y$5:$Y$12,MATCH($C19,Matches!$A$5:$A$12,0))="","",INDEX(Matches!$Y$5:$Y$12,MATCH($C19,Matches!$A$5:$A$12,0))),"")</f>
        <v>Dust2</v>
      </c>
      <c r="J19" s="11" t="n">
        <f aca="false">IFERROR(IF(INDEX(Matches!$Z$5:$Z$12,MATCH($C19,Matches!$A$5:$A$12,0))="","",INDEX(Matches!$Z$5:$Z$12,MATCH($C19,Matches!$A$5:$A$12,0))),"")</f>
        <v>21.26</v>
      </c>
      <c r="K19" s="11" t="n">
        <f aca="false">IFERROR(IF(INDEX(Matches!$AA$5:$AA$12,MATCH($C19,Matches!$A$5:$A$12,0))="","",INDEX(Matches!$AA$5:$AA$12,MATCH($C19,Matches!$A$5:$A$12,0))),"")</f>
        <v>21.24</v>
      </c>
      <c r="L19" s="11" t="n">
        <f aca="false">IFERROR(IF(INDEX(Matches!$AB$5:$AB$12,MATCH($C19,Matches!$A$5:$A$12,0))="","",INDEX(Matches!$AB$5:$AB$12,MATCH($C19,Matches!$A$5:$A$12,0))),"")</f>
        <v>21.5</v>
      </c>
      <c r="M19" s="10" t="n">
        <f aca="false">IFERROR(IF(INDEX(Matches!$AC$5:$AC$12,MATCH($C19,Matches!$A$5:$A$12,0))="","",INDEX(Matches!$AC$5:$AC$12,MATCH($C19,Matches!$A$5:$A$12,0))),"")</f>
        <v>0.477</v>
      </c>
      <c r="N19" s="9" t="n">
        <f aca="false">IFERROR(INDEX(Players!$F$2:$F$56,MATCH($F19,Players!$A$2:$A$56,0)),0)</f>
        <v>31</v>
      </c>
      <c r="O19" s="13" t="n">
        <f aca="false">IFERROR(1/(1/INDEX(Players!$H$2:$H$56,MATCH($F19,Players!$A$2:$A$56,0))),"")</f>
        <v>0.6</v>
      </c>
      <c r="P19" s="10" t="n">
        <f aca="false">IFERROR(1/(1/INDEX(Players!$I$2:$I$56,MATCH($F19,Players!$A$2:$A$56,0))),"")</f>
        <v>0.542</v>
      </c>
      <c r="Q19" s="9" t="n">
        <f aca="false">IF($G19="",0,SUMIFS(Map_Stats!$F$2:$F$450,Map_Stats!$A$2:$A$450,$F19&amp;"|"&amp;$G19))</f>
        <v>5</v>
      </c>
      <c r="R19" s="13" t="n">
        <f aca="false">IF($G19="","",IFERROR(1/(1/INDEX(Map_Stats!$K$2:$K$450,MATCH($F19&amp;"|"&amp;$G19,Map_Stats!$A$2:$A$450,0))),$O19))</f>
        <v>0.56</v>
      </c>
      <c r="S19" s="10" t="n">
        <f aca="false">IF(OR($G19="",$P19=""),"",IFERROR(1/(1/INDEX(Map_Stats!$I$2:$I$450,MATCH($F19&amp;"|"&amp;$G19,Map_Stats!$A$2:$A$450,0))),$P19))</f>
        <v>0.578</v>
      </c>
      <c r="T19" s="13" t="n">
        <f aca="false">IF(OR($G19="",R19=""),"",IF($O19="",R19,(Q19*R19+Config!$B$4*$O19)/(Q19+Config!$B$4)))</f>
        <v>0.58</v>
      </c>
      <c r="U19" s="10" t="n">
        <f aca="false">IF(S19="","",(Q19*S19+Config!$B$4*$P19)/(Q19+Config!$B$4))</f>
        <v>0.56</v>
      </c>
      <c r="V19" s="17" t="n">
        <f aca="false">IF(OR(T19="",$J19=""),"",T19*$J19*($J19/Config!$B$10)^Config!$B$9)</f>
        <v>12.3308</v>
      </c>
      <c r="W19" s="17" t="n">
        <f aca="false">IF(OR(V19="",U19=""),"",V19*U19)</f>
        <v>6.905248</v>
      </c>
      <c r="X19" s="9" t="n">
        <f aca="false">IF($H19="",0,SUMIFS(Map_Stats!$F$2:$F$450,Map_Stats!$A$2:$A$450,$F19&amp;"|"&amp;$H19))</f>
        <v>8</v>
      </c>
      <c r="Y19" s="13" t="n">
        <f aca="false">IF($H19="","",IFERROR(1/(1/INDEX(Map_Stats!$K$2:$K$450,MATCH($F19&amp;"|"&amp;$H19,Map_Stats!$A$2:$A$450,0))),$O19))</f>
        <v>0.61</v>
      </c>
      <c r="Z19" s="10" t="n">
        <f aca="false">IF(OR($H19="",$P19=""),"",IFERROR(1/(1/INDEX(Map_Stats!$I$2:$I$450,MATCH($F19&amp;"|"&amp;$H19,Map_Stats!$A$2:$A$450,0))),$P19))</f>
        <v>0.5</v>
      </c>
      <c r="AA19" s="13" t="n">
        <f aca="false">IF(OR($H19="",Y19=""),"",IF($O19="",Y19,(X19*Y19+Config!$B$4*$O19)/(X19+Config!$B$4)))</f>
        <v>0.606153846153846</v>
      </c>
      <c r="AB19" s="10" t="n">
        <f aca="false">IF(Z19="","",(X19*Z19+Config!$B$4*$P19)/(X19+Config!$B$4))</f>
        <v>0.516153846153846</v>
      </c>
      <c r="AC19" s="17" t="n">
        <f aca="false">IF(OR(AA19="",$K19=""),"",AA19*$K19*($K19/Config!$B$10)^Config!$B$9)</f>
        <v>12.8747076923077</v>
      </c>
      <c r="AD19" s="17" t="n">
        <f aca="false">IF(OR(AC19="",AB19=""),"",AC19*AB19)</f>
        <v>6.64532989349112</v>
      </c>
      <c r="AE19" s="9" t="n">
        <f aca="false">IF($I19="",0,SUMIFS(Map_Stats!$F$2:$F$450,Map_Stats!$A$2:$A$450,$F19&amp;"|"&amp;$I19))</f>
        <v>7</v>
      </c>
      <c r="AF19" s="13" t="n">
        <f aca="false">IF($I19="","",IFERROR(1/(1/INDEX(Map_Stats!$K$2:$K$450,MATCH($F19&amp;"|"&amp;$I19,Map_Stats!$A$2:$A$450,0))),$O19))</f>
        <v>0.6</v>
      </c>
      <c r="AG19" s="10" t="n">
        <f aca="false">IF(OR($I19="",$P19=""),"",IFERROR(1/(1/INDEX(Map_Stats!$I$2:$I$450,MATCH($F19&amp;"|"&amp;$I19,Map_Stats!$A$2:$A$450,0))),$P19))</f>
        <v>0.543</v>
      </c>
      <c r="AH19" s="13" t="n">
        <f aca="false">IF(OR($I19="",AF19=""),"",IF($O19="",AF19,(AE19*AF19+Config!$B$4*$O19)/(AE19+Config!$B$4)))</f>
        <v>0.6</v>
      </c>
      <c r="AI19" s="10" t="n">
        <f aca="false">IF(AG19="","",(AE19*AG19+Config!$B$4*$P19)/(AE19+Config!$B$4))</f>
        <v>0.542583333333333</v>
      </c>
      <c r="AJ19" s="17" t="n">
        <f aca="false">IF(OR(AH19="",$L19=""),"",AH19*$L19*($L19/Config!$B$10)^Config!$B$9)</f>
        <v>12.9</v>
      </c>
      <c r="AK19" s="17" t="n">
        <f aca="false">IF(OR(AJ19="",AI19=""),"",AJ19*AI19)</f>
        <v>6.999325</v>
      </c>
      <c r="AL19" s="17" t="n">
        <f aca="false">N(V19)+N(AC19)</f>
        <v>25.2055076923077</v>
      </c>
      <c r="AM19" s="17" t="n">
        <f aca="false">AL19+N($M19)*N(AJ19)</f>
        <v>31.3588076923077</v>
      </c>
      <c r="AN19" s="17" t="n">
        <f aca="false">IF(W19="","",N(W19)+N(AD19))</f>
        <v>13.5505778934911</v>
      </c>
      <c r="AO19" s="17" t="n">
        <f aca="false">IF(AN19="","",AN19+N($M19)*N(AK19))</f>
        <v>16.8892559184911</v>
      </c>
      <c r="AP19" s="10" t="n">
        <f aca="false">IFERROR(AN19/AL19,"")</f>
        <v>0.537603846703177</v>
      </c>
      <c r="AQ19" s="0" t="str">
        <f aca="false">TRIM(IF($N19&lt;Config!$B$12,"thin sample ("&amp;$N19&amp;" maps) · ","")&amp;IF(AND($G19&lt;&gt;"",Q19=0),"M1 unplayed→overall KPR · ","")&amp;IF(AND($H19&lt;&gt;"",X19=0),"M2 unplayed→overall KPR · ","")&amp;IF($O19="","no PickFinder stats",""))</f>
        <v/>
      </c>
      <c r="AR19" s="9" t="n">
        <f aca="false">IF($C19=Board!$B$2,COUNTIFS($C$2:$C$56,Board!$B$2,$AL$2:$AL$56,"&gt;"&amp;$AL19)+COUNTIFS($C$1:$C18,Board!$B$2,$AL$1:$AL18,$AL19)+1,"")</f>
        <v>9</v>
      </c>
      <c r="AS19" s="0" t="str">
        <f aca="false">IFERROR(IF($D19=INDEX(Matches!$AD$5:$AD$12,MATCH($C19,Matches!$A$5:$A$12,0)),"A",IF($D19=INDEX(Matches!$AE$5:$AE$12,MATCH($C19,Matches!$A$5:$A$12,0)),"B","")),"")</f>
        <v>B</v>
      </c>
      <c r="AT19" s="10" t="n">
        <f aca="false">IF($AS19="","",IFERROR(IF($AS19="A",INDEX(Matches!$AI$5:$AI$12,MATCH($C19,Matches!$A$5:$A$12,0)),INDEX(Matches!$AJ$5:$AJ$12,MATCH($C19,Matches!$A$5:$A$12,0))),""))</f>
        <v>0.522508524909545</v>
      </c>
      <c r="AU19" s="10" t="n">
        <f aca="false">IF($AS19="","",IFERROR(IF(INDEX(Matches!$AP$5:$AP$12,MATCH($C19,Matches!$A$5:$A$12,0))="","",IF($AS19="A",INDEX(Matches!$AP$5:$AP$12,MATCH($C19,Matches!$A$5:$A$12,0)),1-INDEX(Matches!$AP$5:$AP$12,MATCH($C19,Matches!$A$5:$A$12,0)))),""))</f>
        <v>0.502045420344499</v>
      </c>
      <c r="AV19" s="13" t="n">
        <f aca="false">IF(OR($AU19="",$AT19=""),1,((Config!$B$14*$AU19+Config!$B$15*(1-$AU19))/(Config!$B$14*$AT19+Config!$B$15*(1-$AT19)))^Config!$B$13)</f>
        <v>0.982074377442259</v>
      </c>
      <c r="AW19" s="10" t="n">
        <f aca="false">IF($AS19="","",IFERROR(IF(INDEX(Matches!$AV$5:$AV$12,MATCH($C19,Matches!$A$5:$A$12,0))="","",IF($AS19="A",INDEX(Matches!$AV$5:$AV$12,MATCH($C19,Matches!$A$5:$A$12,0)),1-INDEX(Matches!$AV$5:$AV$12,MATCH($C19,Matches!$A$5:$A$12,0)))),""))</f>
        <v>0.497951875537449</v>
      </c>
      <c r="AX19" s="13" t="n">
        <f aca="false">IF(OR($AW19="",$AT19=""),1,((Config!$B$14*$AW19+Config!$B$15*(1-$AW19))/(Config!$B$14*$AT19+Config!$B$15*(1-$AT19)))^Config!$B$13)</f>
        <v>0.978488443602107</v>
      </c>
      <c r="AY19" s="10" t="n">
        <f aca="false">IF($AS19="","",IFERROR(IF(INDEX(Matches!$BB$5:$BB$12,MATCH($C19,Matches!$A$5:$A$12,0))="","",IF($AS19="A",INDEX(Matches!$BB$5:$BB$12,MATCH($C19,Matches!$A$5:$A$12,0)),1-INDEX(Matches!$BB$5:$BB$12,MATCH($C19,Matches!$A$5:$A$12,0)))),""))</f>
        <v>0.486973691853102</v>
      </c>
      <c r="AZ19" s="13" t="n">
        <f aca="false">IF(OR($AY19="",$AT19=""),1,((Config!$B$14*$AY19+Config!$B$15*(1-$AY19))/(Config!$B$14*$AT19+Config!$B$15*(1-$AT19)))^Config!$B$13)</f>
        <v>0.968871585296485</v>
      </c>
      <c r="BA19" s="17" t="n">
        <f aca="false">IF(V19="","",V19*$AV19)</f>
        <v>12.109762733365</v>
      </c>
      <c r="BB19" s="17" t="n">
        <f aca="false">IF(AC19="","",AC19*$AX19)</f>
        <v>12.5977526916782</v>
      </c>
      <c r="BC19" s="17" t="n">
        <f aca="false">IF(AJ19="","",AJ19*$AZ19)</f>
        <v>12.4984434503247</v>
      </c>
      <c r="BD19" s="17" t="n">
        <f aca="false">N(BA19)+N(BB19)</f>
        <v>24.7075154250432</v>
      </c>
      <c r="BE19" s="17" t="n">
        <f aca="false">BD19+N($M19)*N(BC19)</f>
        <v>30.6692729508481</v>
      </c>
      <c r="BF19" s="17" t="n">
        <f aca="false">IF(W19="","",W19*$AV19)</f>
        <v>6.78146713068441</v>
      </c>
      <c r="BG19" s="17" t="n">
        <f aca="false">IF(AD19="","",AD19*$AX19)</f>
        <v>6.50237850470469</v>
      </c>
      <c r="BH19" s="17" t="n">
        <f aca="false">IF(AK19="","",AK19*$AZ19)</f>
        <v>6.78144710875532</v>
      </c>
      <c r="BI19" s="17" t="n">
        <f aca="false">IF(BF19="","",N(BF19)+N(BG19))</f>
        <v>13.2838456353891</v>
      </c>
      <c r="BJ19" s="17" t="n">
        <f aca="false">IF(BI19="","",BI19+N($M19)*N(BH19))</f>
        <v>16.5185959062654</v>
      </c>
      <c r="BK19" s="13" t="n">
        <f aca="false">IFERROR(BD19/AL19,1)</f>
        <v>0.980242720228308</v>
      </c>
    </row>
    <row r="20" customFormat="false" ht="15" hidden="false" customHeight="false" outlineLevel="0" collapsed="false">
      <c r="A20" s="0" t="s">
        <v>736</v>
      </c>
      <c r="B20" s="0" t="s">
        <v>608</v>
      </c>
      <c r="C20" s="0" t="s">
        <v>525</v>
      </c>
      <c r="D20" s="0" t="s">
        <v>615</v>
      </c>
      <c r="E20" s="0" t="s">
        <v>734</v>
      </c>
      <c r="F20" s="0" t="s">
        <v>881</v>
      </c>
      <c r="G20" s="0" t="str">
        <f aca="false">IFERROR(IF(INDEX(Matches!$W$5:$W$12,MATCH($C20,Matches!$A$5:$A$12,0))="","",INDEX(Matches!$W$5:$W$12,MATCH($C20,Matches!$A$5:$A$12,0))),"")</f>
        <v>Mirage</v>
      </c>
      <c r="H20" s="0" t="str">
        <f aca="false">IFERROR(IF(INDEX(Matches!$X$5:$X$12,MATCH($C20,Matches!$A$5:$A$12,0))="","",INDEX(Matches!$X$5:$X$12,MATCH($C20,Matches!$A$5:$A$12,0))),"")</f>
        <v>Cache</v>
      </c>
      <c r="I20" s="0" t="str">
        <f aca="false">IFERROR(IF(INDEX(Matches!$Y$5:$Y$12,MATCH($C20,Matches!$A$5:$A$12,0))="","",INDEX(Matches!$Y$5:$Y$12,MATCH($C20,Matches!$A$5:$A$12,0))),"")</f>
        <v>Dust2</v>
      </c>
      <c r="J20" s="11" t="n">
        <f aca="false">IFERROR(IF(INDEX(Matches!$Z$5:$Z$12,MATCH($C20,Matches!$A$5:$A$12,0))="","",INDEX(Matches!$Z$5:$Z$12,MATCH($C20,Matches!$A$5:$A$12,0))),"")</f>
        <v>21.26</v>
      </c>
      <c r="K20" s="11" t="n">
        <f aca="false">IFERROR(IF(INDEX(Matches!$AA$5:$AA$12,MATCH($C20,Matches!$A$5:$A$12,0))="","",INDEX(Matches!$AA$5:$AA$12,MATCH($C20,Matches!$A$5:$A$12,0))),"")</f>
        <v>21.24</v>
      </c>
      <c r="L20" s="11" t="n">
        <f aca="false">IFERROR(IF(INDEX(Matches!$AB$5:$AB$12,MATCH($C20,Matches!$A$5:$A$12,0))="","",INDEX(Matches!$AB$5:$AB$12,MATCH($C20,Matches!$A$5:$A$12,0))),"")</f>
        <v>21.5</v>
      </c>
      <c r="M20" s="10" t="n">
        <f aca="false">IFERROR(IF(INDEX(Matches!$AC$5:$AC$12,MATCH($C20,Matches!$A$5:$A$12,0))="","",INDEX(Matches!$AC$5:$AC$12,MATCH($C20,Matches!$A$5:$A$12,0))),"")</f>
        <v>0.477</v>
      </c>
      <c r="N20" s="9" t="n">
        <f aca="false">IFERROR(INDEX(Players!$F$2:$F$56,MATCH($F20,Players!$A$2:$A$56,0)),0)</f>
        <v>31</v>
      </c>
      <c r="O20" s="13" t="n">
        <f aca="false">IFERROR(1/(1/INDEX(Players!$H$2:$H$56,MATCH($F20,Players!$A$2:$A$56,0))),"")</f>
        <v>0.68</v>
      </c>
      <c r="P20" s="10" t="n">
        <f aca="false">IFERROR(1/(1/INDEX(Players!$I$2:$I$56,MATCH($F20,Players!$A$2:$A$56,0))),"")</f>
        <v>0.389</v>
      </c>
      <c r="Q20" s="9" t="n">
        <f aca="false">IF($G20="",0,SUMIFS(Map_Stats!$F$2:$F$450,Map_Stats!$A$2:$A$450,$F20&amp;"|"&amp;$G20))</f>
        <v>5</v>
      </c>
      <c r="R20" s="13" t="n">
        <f aca="false">IF($G20="","",IFERROR(1/(1/INDEX(Map_Stats!$K$2:$K$450,MATCH($F20&amp;"|"&amp;$G20,Map_Stats!$A$2:$A$450,0))),$O20))</f>
        <v>0.68</v>
      </c>
      <c r="S20" s="10" t="n">
        <f aca="false">IF(OR($G20="",$P20=""),"",IFERROR(1/(1/INDEX(Map_Stats!$I$2:$I$450,MATCH($F20&amp;"|"&amp;$G20,Map_Stats!$A$2:$A$450,0))),$P20))</f>
        <v>0.462</v>
      </c>
      <c r="T20" s="13" t="n">
        <f aca="false">IF(OR($G20="",R20=""),"",IF($O20="",R20,(Q20*R20+Config!$B$4*$O20)/(Q20+Config!$B$4)))</f>
        <v>0.68</v>
      </c>
      <c r="U20" s="10" t="n">
        <f aca="false">IF(S20="","",(Q20*S20+Config!$B$4*$P20)/(Q20+Config!$B$4))</f>
        <v>0.4255</v>
      </c>
      <c r="V20" s="17" t="n">
        <f aca="false">IF(OR(T20="",$J20=""),"",T20*$J20*($J20/Config!$B$10)^Config!$B$9)</f>
        <v>14.4568</v>
      </c>
      <c r="W20" s="17" t="n">
        <f aca="false">IF(OR(V20="",U20=""),"",V20*U20)</f>
        <v>6.1513684</v>
      </c>
      <c r="X20" s="9" t="n">
        <f aca="false">IF($H20="",0,SUMIFS(Map_Stats!$F$2:$F$450,Map_Stats!$A$2:$A$450,$F20&amp;"|"&amp;$H20))</f>
        <v>8</v>
      </c>
      <c r="Y20" s="13" t="n">
        <f aca="false">IF($H20="","",IFERROR(1/(1/INDEX(Map_Stats!$K$2:$K$450,MATCH($F20&amp;"|"&amp;$H20,Map_Stats!$A$2:$A$450,0))),$O20))</f>
        <v>0.66</v>
      </c>
      <c r="Z20" s="10" t="n">
        <f aca="false">IF(OR($H20="",$P20=""),"",IFERROR(1/(1/INDEX(Map_Stats!$I$2:$I$450,MATCH($F20&amp;"|"&amp;$H20,Map_Stats!$A$2:$A$450,0))),$P20))</f>
        <v>0.393</v>
      </c>
      <c r="AA20" s="13" t="n">
        <f aca="false">IF(OR($H20="",Y20=""),"",IF($O20="",Y20,(X20*Y20+Config!$B$4*$O20)/(X20+Config!$B$4)))</f>
        <v>0.667692307692308</v>
      </c>
      <c r="AB20" s="10" t="n">
        <f aca="false">IF(Z20="","",(X20*Z20+Config!$B$4*$P20)/(X20+Config!$B$4))</f>
        <v>0.391461538461538</v>
      </c>
      <c r="AC20" s="17" t="n">
        <f aca="false">IF(OR(AA20="",$K20=""),"",AA20*$K20*($K20/Config!$B$10)^Config!$B$9)</f>
        <v>14.1817846153846</v>
      </c>
      <c r="AD20" s="17" t="n">
        <f aca="false">IF(OR(AC20="",AB20=""),"",AC20*AB20)</f>
        <v>5.55162322366864</v>
      </c>
      <c r="AE20" s="9" t="n">
        <f aca="false">IF($I20="",0,SUMIFS(Map_Stats!$F$2:$F$450,Map_Stats!$A$2:$A$450,$F20&amp;"|"&amp;$I20))</f>
        <v>7</v>
      </c>
      <c r="AF20" s="13" t="n">
        <f aca="false">IF($I20="","",IFERROR(1/(1/INDEX(Map_Stats!$K$2:$K$450,MATCH($F20&amp;"|"&amp;$I20,Map_Stats!$A$2:$A$450,0))),$O20))</f>
        <v>0.66</v>
      </c>
      <c r="AG20" s="10" t="n">
        <f aca="false">IF(OR($I20="",$P20=""),"",IFERROR(1/(1/INDEX(Map_Stats!$I$2:$I$450,MATCH($F20&amp;"|"&amp;$I20,Map_Stats!$A$2:$A$450,0))),$P20))</f>
        <v>0.383</v>
      </c>
      <c r="AH20" s="13" t="n">
        <f aca="false">IF(OR($I20="",AF20=""),"",IF($O20="",AF20,(AE20*AF20+Config!$B$4*$O20)/(AE20+Config!$B$4)))</f>
        <v>0.668333333333333</v>
      </c>
      <c r="AI20" s="10" t="n">
        <f aca="false">IF(AG20="","",(AE20*AG20+Config!$B$4*$P20)/(AE20+Config!$B$4))</f>
        <v>0.3855</v>
      </c>
      <c r="AJ20" s="17" t="n">
        <f aca="false">IF(OR(AH20="",$L20=""),"",AH20*$L20*($L20/Config!$B$10)^Config!$B$9)</f>
        <v>14.3691666666667</v>
      </c>
      <c r="AK20" s="17" t="n">
        <f aca="false">IF(OR(AJ20="",AI20=""),"",AJ20*AI20)</f>
        <v>5.53931375</v>
      </c>
      <c r="AL20" s="17" t="n">
        <f aca="false">N(V20)+N(AC20)</f>
        <v>28.6385846153846</v>
      </c>
      <c r="AM20" s="17" t="n">
        <f aca="false">AL20+N($M20)*N(AJ20)</f>
        <v>35.4926771153846</v>
      </c>
      <c r="AN20" s="17" t="n">
        <f aca="false">IF(W20="","",N(W20)+N(AD20))</f>
        <v>11.7029916236686</v>
      </c>
      <c r="AO20" s="17" t="n">
        <f aca="false">IF(AN20="","",AN20+N($M20)*N(AK20))</f>
        <v>14.3452442824186</v>
      </c>
      <c r="AP20" s="10" t="n">
        <f aca="false">IFERROR(AN20/AL20,"")</f>
        <v>0.408644204343179</v>
      </c>
      <c r="AQ20" s="0" t="str">
        <f aca="false">TRIM(IF($N20&lt;Config!$B$12,"thin sample ("&amp;$N20&amp;" maps) · ","")&amp;IF(AND($G20&lt;&gt;"",Q20=0),"M1 unplayed→overall KPR · ","")&amp;IF(AND($H20&lt;&gt;"",X20=0),"M2 unplayed→overall KPR · ","")&amp;IF($O20="","no PickFinder stats",""))</f>
        <v/>
      </c>
      <c r="AR20" s="9" t="n">
        <f aca="false">IF($C20=Board!$B$2,COUNTIFS($C$2:$C$56,Board!$B$2,$AL$2:$AL$56,"&gt;"&amp;$AL20)+COUNTIFS($C$1:$C19,Board!$B$2,$AL$1:$AL19,$AL20)+1,"")</f>
        <v>6</v>
      </c>
      <c r="AS20" s="0" t="str">
        <f aca="false">IFERROR(IF($D20=INDEX(Matches!$AD$5:$AD$12,MATCH($C20,Matches!$A$5:$A$12,0)),"A",IF($D20=INDEX(Matches!$AE$5:$AE$12,MATCH($C20,Matches!$A$5:$A$12,0)),"B","")),"")</f>
        <v>B</v>
      </c>
      <c r="AT20" s="10" t="n">
        <f aca="false">IF($AS20="","",IFERROR(IF($AS20="A",INDEX(Matches!$AI$5:$AI$12,MATCH($C20,Matches!$A$5:$A$12,0)),INDEX(Matches!$AJ$5:$AJ$12,MATCH($C20,Matches!$A$5:$A$12,0))),""))</f>
        <v>0.522508524909545</v>
      </c>
      <c r="AU20" s="10" t="n">
        <f aca="false">IF($AS20="","",IFERROR(IF(INDEX(Matches!$AP$5:$AP$12,MATCH($C20,Matches!$A$5:$A$12,0))="","",IF($AS20="A",INDEX(Matches!$AP$5:$AP$12,MATCH($C20,Matches!$A$5:$A$12,0)),1-INDEX(Matches!$AP$5:$AP$12,MATCH($C20,Matches!$A$5:$A$12,0)))),""))</f>
        <v>0.502045420344499</v>
      </c>
      <c r="AV20" s="13" t="n">
        <f aca="false">IF(OR($AU20="",$AT20=""),1,((Config!$B$14*$AU20+Config!$B$15*(1-$AU20))/(Config!$B$14*$AT20+Config!$B$15*(1-$AT20)))^Config!$B$13)</f>
        <v>0.982074377442259</v>
      </c>
      <c r="AW20" s="10" t="n">
        <f aca="false">IF($AS20="","",IFERROR(IF(INDEX(Matches!$AV$5:$AV$12,MATCH($C20,Matches!$A$5:$A$12,0))="","",IF($AS20="A",INDEX(Matches!$AV$5:$AV$12,MATCH($C20,Matches!$A$5:$A$12,0)),1-INDEX(Matches!$AV$5:$AV$12,MATCH($C20,Matches!$A$5:$A$12,0)))),""))</f>
        <v>0.497951875537449</v>
      </c>
      <c r="AX20" s="13" t="n">
        <f aca="false">IF(OR($AW20="",$AT20=""),1,((Config!$B$14*$AW20+Config!$B$15*(1-$AW20))/(Config!$B$14*$AT20+Config!$B$15*(1-$AT20)))^Config!$B$13)</f>
        <v>0.978488443602107</v>
      </c>
      <c r="AY20" s="10" t="n">
        <f aca="false">IF($AS20="","",IFERROR(IF(INDEX(Matches!$BB$5:$BB$12,MATCH($C20,Matches!$A$5:$A$12,0))="","",IF($AS20="A",INDEX(Matches!$BB$5:$BB$12,MATCH($C20,Matches!$A$5:$A$12,0)),1-INDEX(Matches!$BB$5:$BB$12,MATCH($C20,Matches!$A$5:$A$12,0)))),""))</f>
        <v>0.486973691853102</v>
      </c>
      <c r="AZ20" s="13" t="n">
        <f aca="false">IF(OR($AY20="",$AT20=""),1,((Config!$B$14*$AY20+Config!$B$15*(1-$AY20))/(Config!$B$14*$AT20+Config!$B$15*(1-$AT20)))^Config!$B$13)</f>
        <v>0.968871585296485</v>
      </c>
      <c r="BA20" s="17" t="n">
        <f aca="false">IF(V20="","",V20*$AV20)</f>
        <v>14.1976528598073</v>
      </c>
      <c r="BB20" s="17" t="n">
        <f aca="false">IF(AC20="","",AC20*$AX20)</f>
        <v>13.876712355808</v>
      </c>
      <c r="BC20" s="17" t="n">
        <f aca="false">IF(AJ20="","",AJ20*$AZ20)</f>
        <v>13.9218772877227</v>
      </c>
      <c r="BD20" s="17" t="n">
        <f aca="false">N(BA20)+N(BB20)</f>
        <v>28.0743652156153</v>
      </c>
      <c r="BE20" s="17" t="n">
        <f aca="false">BD20+N($M20)*N(BC20)</f>
        <v>34.715100681859</v>
      </c>
      <c r="BF20" s="17" t="n">
        <f aca="false">IF(W20="","",W20*$AV20)</f>
        <v>6.04110129184799</v>
      </c>
      <c r="BG20" s="17" t="n">
        <f aca="false">IF(AD20="","",AD20*$AX20)</f>
        <v>5.43219916759284</v>
      </c>
      <c r="BH20" s="17" t="n">
        <f aca="false">IF(AK20="","",AK20*$AZ20)</f>
        <v>5.36688369441712</v>
      </c>
      <c r="BI20" s="17" t="n">
        <f aca="false">IF(BF20="","",N(BF20)+N(BG20))</f>
        <v>11.4733004594408</v>
      </c>
      <c r="BJ20" s="17" t="n">
        <f aca="false">IF(BI20="","",BI20+N($M20)*N(BH20))</f>
        <v>14.0333039816778</v>
      </c>
      <c r="BK20" s="13" t="n">
        <f aca="false">IFERROR(BD20/AL20,1)</f>
        <v>0.980298628324451</v>
      </c>
    </row>
    <row r="21" customFormat="false" ht="15" hidden="false" customHeight="false" outlineLevel="0" collapsed="false">
      <c r="A21" s="0" t="s">
        <v>738</v>
      </c>
      <c r="B21" s="0" t="s">
        <v>608</v>
      </c>
      <c r="C21" s="0" t="s">
        <v>525</v>
      </c>
      <c r="D21" s="0" t="s">
        <v>615</v>
      </c>
      <c r="E21" s="0" t="s">
        <v>737</v>
      </c>
      <c r="F21" s="0" t="s">
        <v>882</v>
      </c>
      <c r="G21" s="0" t="str">
        <f aca="false">IFERROR(IF(INDEX(Matches!$W$5:$W$12,MATCH($C21,Matches!$A$5:$A$12,0))="","",INDEX(Matches!$W$5:$W$12,MATCH($C21,Matches!$A$5:$A$12,0))),"")</f>
        <v>Mirage</v>
      </c>
      <c r="H21" s="0" t="str">
        <f aca="false">IFERROR(IF(INDEX(Matches!$X$5:$X$12,MATCH($C21,Matches!$A$5:$A$12,0))="","",INDEX(Matches!$X$5:$X$12,MATCH($C21,Matches!$A$5:$A$12,0))),"")</f>
        <v>Cache</v>
      </c>
      <c r="I21" s="0" t="str">
        <f aca="false">IFERROR(IF(INDEX(Matches!$Y$5:$Y$12,MATCH($C21,Matches!$A$5:$A$12,0))="","",INDEX(Matches!$Y$5:$Y$12,MATCH($C21,Matches!$A$5:$A$12,0))),"")</f>
        <v>Dust2</v>
      </c>
      <c r="J21" s="11" t="n">
        <f aca="false">IFERROR(IF(INDEX(Matches!$Z$5:$Z$12,MATCH($C21,Matches!$A$5:$A$12,0))="","",INDEX(Matches!$Z$5:$Z$12,MATCH($C21,Matches!$A$5:$A$12,0))),"")</f>
        <v>21.26</v>
      </c>
      <c r="K21" s="11" t="n">
        <f aca="false">IFERROR(IF(INDEX(Matches!$AA$5:$AA$12,MATCH($C21,Matches!$A$5:$A$12,0))="","",INDEX(Matches!$AA$5:$AA$12,MATCH($C21,Matches!$A$5:$A$12,0))),"")</f>
        <v>21.24</v>
      </c>
      <c r="L21" s="11" t="n">
        <f aca="false">IFERROR(IF(INDEX(Matches!$AB$5:$AB$12,MATCH($C21,Matches!$A$5:$A$12,0))="","",INDEX(Matches!$AB$5:$AB$12,MATCH($C21,Matches!$A$5:$A$12,0))),"")</f>
        <v>21.5</v>
      </c>
      <c r="M21" s="10" t="n">
        <f aca="false">IFERROR(IF(INDEX(Matches!$AC$5:$AC$12,MATCH($C21,Matches!$A$5:$A$12,0))="","",INDEX(Matches!$AC$5:$AC$12,MATCH($C21,Matches!$A$5:$A$12,0))),"")</f>
        <v>0.477</v>
      </c>
      <c r="N21" s="9" t="n">
        <f aca="false">IFERROR(INDEX(Players!$F$2:$F$56,MATCH($F21,Players!$A$2:$A$56,0)),0)</f>
        <v>31</v>
      </c>
      <c r="O21" s="13" t="n">
        <f aca="false">IFERROR(1/(1/INDEX(Players!$H$2:$H$56,MATCH($F21,Players!$A$2:$A$56,0))),"")</f>
        <v>0.68</v>
      </c>
      <c r="P21" s="10" t="n">
        <f aca="false">IFERROR(1/(1/INDEX(Players!$I$2:$I$56,MATCH($F21,Players!$A$2:$A$56,0))),"")</f>
        <v>0.55</v>
      </c>
      <c r="Q21" s="9" t="n">
        <f aca="false">IF($G21="",0,SUMIFS(Map_Stats!$F$2:$F$450,Map_Stats!$A$2:$A$450,$F21&amp;"|"&amp;$G21))</f>
        <v>5</v>
      </c>
      <c r="R21" s="13" t="n">
        <f aca="false">IF($G21="","",IFERROR(1/(1/INDEX(Map_Stats!$K$2:$K$450,MATCH($F21&amp;"|"&amp;$G21,Map_Stats!$A$2:$A$450,0))),$O21))</f>
        <v>0.68</v>
      </c>
      <c r="S21" s="10" t="n">
        <f aca="false">IF(OR($G21="",$P21=""),"",IFERROR(1/(1/INDEX(Map_Stats!$I$2:$I$450,MATCH($F21&amp;"|"&amp;$G21,Map_Stats!$A$2:$A$450,0))),$P21))</f>
        <v>0.603</v>
      </c>
      <c r="T21" s="13" t="n">
        <f aca="false">IF(OR($G21="",R21=""),"",IF($O21="",R21,(Q21*R21+Config!$B$4*$O21)/(Q21+Config!$B$4)))</f>
        <v>0.68</v>
      </c>
      <c r="U21" s="10" t="n">
        <f aca="false">IF(S21="","",(Q21*S21+Config!$B$4*$P21)/(Q21+Config!$B$4))</f>
        <v>0.5765</v>
      </c>
      <c r="V21" s="17" t="n">
        <f aca="false">IF(OR(T21="",$J21=""),"",T21*$J21*($J21/Config!$B$10)^Config!$B$9)</f>
        <v>14.4568</v>
      </c>
      <c r="W21" s="17" t="n">
        <f aca="false">IF(OR(V21="",U21=""),"",V21*U21)</f>
        <v>8.3343452</v>
      </c>
      <c r="X21" s="9" t="n">
        <f aca="false">IF($H21="",0,SUMIFS(Map_Stats!$F$2:$F$450,Map_Stats!$A$2:$A$450,$F21&amp;"|"&amp;$H21))</f>
        <v>8</v>
      </c>
      <c r="Y21" s="13" t="n">
        <f aca="false">IF($H21="","",IFERROR(1/(1/INDEX(Map_Stats!$K$2:$K$450,MATCH($F21&amp;"|"&amp;$H21,Map_Stats!$A$2:$A$450,0))),$O21))</f>
        <v>0.71</v>
      </c>
      <c r="Z21" s="10" t="n">
        <f aca="false">IF(OR($H21="",$P21=""),"",IFERROR(1/(1/INDEX(Map_Stats!$I$2:$I$450,MATCH($F21&amp;"|"&amp;$H21,Map_Stats!$A$2:$A$450,0))),$P21))</f>
        <v>0.591</v>
      </c>
      <c r="AA21" s="13" t="n">
        <f aca="false">IF(OR($H21="",Y21=""),"",IF($O21="",Y21,(X21*Y21+Config!$B$4*$O21)/(X21+Config!$B$4)))</f>
        <v>0.698461538461539</v>
      </c>
      <c r="AB21" s="10" t="n">
        <f aca="false">IF(Z21="","",(X21*Z21+Config!$B$4*$P21)/(X21+Config!$B$4))</f>
        <v>0.575230769230769</v>
      </c>
      <c r="AC21" s="17" t="n">
        <f aca="false">IF(OR(AA21="",$K21=""),"",AA21*$K21*($K21/Config!$B$10)^Config!$B$9)</f>
        <v>14.8353230769231</v>
      </c>
      <c r="AD21" s="17" t="n">
        <f aca="false">IF(OR(AC21="",AB21=""),"",AC21*AB21)</f>
        <v>8.53373430532544</v>
      </c>
      <c r="AE21" s="9" t="n">
        <f aca="false">IF($I21="",0,SUMIFS(Map_Stats!$F$2:$F$450,Map_Stats!$A$2:$A$450,$F21&amp;"|"&amp;$I21))</f>
        <v>7</v>
      </c>
      <c r="AF21" s="13" t="n">
        <f aca="false">IF($I21="","",IFERROR(1/(1/INDEX(Map_Stats!$K$2:$K$450,MATCH($F21&amp;"|"&amp;$I21,Map_Stats!$A$2:$A$450,0))),$O21))</f>
        <v>0.6</v>
      </c>
      <c r="AG21" s="10" t="n">
        <f aca="false">IF(OR($I21="",$P21=""),"",IFERROR(1/(1/INDEX(Map_Stats!$I$2:$I$450,MATCH($F21&amp;"|"&amp;$I21,Map_Stats!$A$2:$A$450,0))),$P21))</f>
        <v>0.509</v>
      </c>
      <c r="AH21" s="13" t="n">
        <f aca="false">IF(OR($I21="",AF21=""),"",IF($O21="",AF21,(AE21*AF21+Config!$B$4*$O21)/(AE21+Config!$B$4)))</f>
        <v>0.633333333333333</v>
      </c>
      <c r="AI21" s="10" t="n">
        <f aca="false">IF(AG21="","",(AE21*AG21+Config!$B$4*$P21)/(AE21+Config!$B$4))</f>
        <v>0.526083333333333</v>
      </c>
      <c r="AJ21" s="17" t="n">
        <f aca="false">IF(OR(AH21="",$L21=""),"",AH21*$L21*($L21/Config!$B$10)^Config!$B$9)</f>
        <v>13.6166666666667</v>
      </c>
      <c r="AK21" s="17" t="n">
        <f aca="false">IF(OR(AJ21="",AI21=""),"",AJ21*AI21)</f>
        <v>7.16350138888889</v>
      </c>
      <c r="AL21" s="17" t="n">
        <f aca="false">N(V21)+N(AC21)</f>
        <v>29.2921230769231</v>
      </c>
      <c r="AM21" s="17" t="n">
        <f aca="false">AL21+N($M21)*N(AJ21)</f>
        <v>35.7872730769231</v>
      </c>
      <c r="AN21" s="17" t="n">
        <f aca="false">IF(W21="","",N(W21)+N(AD21))</f>
        <v>16.8680795053254</v>
      </c>
      <c r="AO21" s="17" t="n">
        <f aca="false">IF(AN21="","",AN21+N($M21)*N(AK21))</f>
        <v>20.2850696678254</v>
      </c>
      <c r="AP21" s="10" t="n">
        <f aca="false">IFERROR(AN21/AL21,"")</f>
        <v>0.575857183893047</v>
      </c>
      <c r="AQ21" s="0" t="str">
        <f aca="false">TRIM(IF($N21&lt;Config!$B$12,"thin sample ("&amp;$N21&amp;" maps) · ","")&amp;IF(AND($G21&lt;&gt;"",Q21=0),"M1 unplayed→overall KPR · ","")&amp;IF(AND($H21&lt;&gt;"",X21=0),"M2 unplayed→overall KPR · ","")&amp;IF($O21="","no PickFinder stats",""))</f>
        <v/>
      </c>
      <c r="AR21" s="9" t="n">
        <f aca="false">IF($C21=Board!$B$2,COUNTIFS($C$2:$C$56,Board!$B$2,$AL$2:$AL$56,"&gt;"&amp;$AL21)+COUNTIFS($C$1:$C20,Board!$B$2,$AL$1:$AL20,$AL21)+1,"")</f>
        <v>5</v>
      </c>
      <c r="AS21" s="0" t="str">
        <f aca="false">IFERROR(IF($D21=INDEX(Matches!$AD$5:$AD$12,MATCH($C21,Matches!$A$5:$A$12,0)),"A",IF($D21=INDEX(Matches!$AE$5:$AE$12,MATCH($C21,Matches!$A$5:$A$12,0)),"B","")),"")</f>
        <v>B</v>
      </c>
      <c r="AT21" s="10" t="n">
        <f aca="false">IF($AS21="","",IFERROR(IF($AS21="A",INDEX(Matches!$AI$5:$AI$12,MATCH($C21,Matches!$A$5:$A$12,0)),INDEX(Matches!$AJ$5:$AJ$12,MATCH($C21,Matches!$A$5:$A$12,0))),""))</f>
        <v>0.522508524909545</v>
      </c>
      <c r="AU21" s="10" t="n">
        <f aca="false">IF($AS21="","",IFERROR(IF(INDEX(Matches!$AP$5:$AP$12,MATCH($C21,Matches!$A$5:$A$12,0))="","",IF($AS21="A",INDEX(Matches!$AP$5:$AP$12,MATCH($C21,Matches!$A$5:$A$12,0)),1-INDEX(Matches!$AP$5:$AP$12,MATCH($C21,Matches!$A$5:$A$12,0)))),""))</f>
        <v>0.502045420344499</v>
      </c>
      <c r="AV21" s="13" t="n">
        <f aca="false">IF(OR($AU21="",$AT21=""),1,((Config!$B$14*$AU21+Config!$B$15*(1-$AU21))/(Config!$B$14*$AT21+Config!$B$15*(1-$AT21)))^Config!$B$13)</f>
        <v>0.982074377442259</v>
      </c>
      <c r="AW21" s="10" t="n">
        <f aca="false">IF($AS21="","",IFERROR(IF(INDEX(Matches!$AV$5:$AV$12,MATCH($C21,Matches!$A$5:$A$12,0))="","",IF($AS21="A",INDEX(Matches!$AV$5:$AV$12,MATCH($C21,Matches!$A$5:$A$12,0)),1-INDEX(Matches!$AV$5:$AV$12,MATCH($C21,Matches!$A$5:$A$12,0)))),""))</f>
        <v>0.497951875537449</v>
      </c>
      <c r="AX21" s="13" t="n">
        <f aca="false">IF(OR($AW21="",$AT21=""),1,((Config!$B$14*$AW21+Config!$B$15*(1-$AW21))/(Config!$B$14*$AT21+Config!$B$15*(1-$AT21)))^Config!$B$13)</f>
        <v>0.978488443602107</v>
      </c>
      <c r="AY21" s="10" t="n">
        <f aca="false">IF($AS21="","",IFERROR(IF(INDEX(Matches!$BB$5:$BB$12,MATCH($C21,Matches!$A$5:$A$12,0))="","",IF($AS21="A",INDEX(Matches!$BB$5:$BB$12,MATCH($C21,Matches!$A$5:$A$12,0)),1-INDEX(Matches!$BB$5:$BB$12,MATCH($C21,Matches!$A$5:$A$12,0)))),""))</f>
        <v>0.486973691853102</v>
      </c>
      <c r="AZ21" s="13" t="n">
        <f aca="false">IF(OR($AY21="",$AT21=""),1,((Config!$B$14*$AY21+Config!$B$15*(1-$AY21))/(Config!$B$14*$AT21+Config!$B$15*(1-$AT21)))^Config!$B$13)</f>
        <v>0.968871585296485</v>
      </c>
      <c r="BA21" s="17" t="n">
        <f aca="false">IF(V21="","",V21*$AV21)</f>
        <v>14.1976528598073</v>
      </c>
      <c r="BB21" s="17" t="n">
        <f aca="false">IF(AC21="","",AC21*$AX21)</f>
        <v>14.5161921878729</v>
      </c>
      <c r="BC21" s="17" t="n">
        <f aca="false">IF(AJ21="","",AJ21*$AZ21)</f>
        <v>13.1928014197871</v>
      </c>
      <c r="BD21" s="17" t="n">
        <f aca="false">N(BA21)+N(BB21)</f>
        <v>28.7138450476801</v>
      </c>
      <c r="BE21" s="17" t="n">
        <f aca="false">BD21+N($M21)*N(BC21)</f>
        <v>35.0068113249186</v>
      </c>
      <c r="BF21" s="17" t="n">
        <f aca="false">IF(W21="","",W21*$AV21)</f>
        <v>8.18494687367888</v>
      </c>
      <c r="BG21" s="17" t="n">
        <f aca="false">IF(AD21="","",AD21*$AX21)</f>
        <v>8.3501603985318</v>
      </c>
      <c r="BH21" s="17" t="n">
        <f aca="false">IF(AK21="","",AK21*$AZ21)</f>
        <v>6.94051294692635</v>
      </c>
      <c r="BI21" s="17" t="n">
        <f aca="false">IF(BF21="","",N(BF21)+N(BG21))</f>
        <v>16.5351072722107</v>
      </c>
      <c r="BJ21" s="17" t="n">
        <f aca="false">IF(BI21="","",BI21+N($M21)*N(BH21))</f>
        <v>19.8457319478946</v>
      </c>
      <c r="BK21" s="13" t="n">
        <f aca="false">IFERROR(BD21/AL21,1)</f>
        <v>0.980258241175474</v>
      </c>
    </row>
    <row r="22" customFormat="false" ht="15" hidden="false" customHeight="false" outlineLevel="0" collapsed="false">
      <c r="A22" s="0" t="s">
        <v>741</v>
      </c>
      <c r="B22" s="0" t="s">
        <v>608</v>
      </c>
      <c r="C22" s="0" t="s">
        <v>525</v>
      </c>
      <c r="D22" s="0" t="s">
        <v>614</v>
      </c>
      <c r="E22" s="0" t="s">
        <v>739</v>
      </c>
      <c r="F22" s="0" t="s">
        <v>883</v>
      </c>
      <c r="G22" s="0" t="str">
        <f aca="false">IFERROR(IF(INDEX(Matches!$W$5:$W$12,MATCH($C22,Matches!$A$5:$A$12,0))="","",INDEX(Matches!$W$5:$W$12,MATCH($C22,Matches!$A$5:$A$12,0))),"")</f>
        <v>Mirage</v>
      </c>
      <c r="H22" s="0" t="str">
        <f aca="false">IFERROR(IF(INDEX(Matches!$X$5:$X$12,MATCH($C22,Matches!$A$5:$A$12,0))="","",INDEX(Matches!$X$5:$X$12,MATCH($C22,Matches!$A$5:$A$12,0))),"")</f>
        <v>Cache</v>
      </c>
      <c r="I22" s="0" t="str">
        <f aca="false">IFERROR(IF(INDEX(Matches!$Y$5:$Y$12,MATCH($C22,Matches!$A$5:$A$12,0))="","",INDEX(Matches!$Y$5:$Y$12,MATCH($C22,Matches!$A$5:$A$12,0))),"")</f>
        <v>Dust2</v>
      </c>
      <c r="J22" s="11" t="n">
        <f aca="false">IFERROR(IF(INDEX(Matches!$Z$5:$Z$12,MATCH($C22,Matches!$A$5:$A$12,0))="","",INDEX(Matches!$Z$5:$Z$12,MATCH($C22,Matches!$A$5:$A$12,0))),"")</f>
        <v>21.26</v>
      </c>
      <c r="K22" s="11" t="n">
        <f aca="false">IFERROR(IF(INDEX(Matches!$AA$5:$AA$12,MATCH($C22,Matches!$A$5:$A$12,0))="","",INDEX(Matches!$AA$5:$AA$12,MATCH($C22,Matches!$A$5:$A$12,0))),"")</f>
        <v>21.24</v>
      </c>
      <c r="L22" s="11" t="n">
        <f aca="false">IFERROR(IF(INDEX(Matches!$AB$5:$AB$12,MATCH($C22,Matches!$A$5:$A$12,0))="","",INDEX(Matches!$AB$5:$AB$12,MATCH($C22,Matches!$A$5:$A$12,0))),"")</f>
        <v>21.5</v>
      </c>
      <c r="M22" s="10" t="n">
        <f aca="false">IFERROR(IF(INDEX(Matches!$AC$5:$AC$12,MATCH($C22,Matches!$A$5:$A$12,0))="","",INDEX(Matches!$AC$5:$AC$12,MATCH($C22,Matches!$A$5:$A$12,0))),"")</f>
        <v>0.477</v>
      </c>
      <c r="N22" s="9" t="n">
        <f aca="false">IFERROR(INDEX(Players!$F$2:$F$56,MATCH($F22,Players!$A$2:$A$56,0)),0)</f>
        <v>30</v>
      </c>
      <c r="O22" s="13" t="n">
        <f aca="false">IFERROR(1/(1/INDEX(Players!$H$2:$H$56,MATCH($F22,Players!$A$2:$A$56,0))),"")</f>
        <v>0.71</v>
      </c>
      <c r="P22" s="10" t="n">
        <f aca="false">IFERROR(1/(1/INDEX(Players!$I$2:$I$56,MATCH($F22,Players!$A$2:$A$56,0))),"")</f>
        <v>0.583</v>
      </c>
      <c r="Q22" s="9" t="n">
        <f aca="false">IF($G22="",0,SUMIFS(Map_Stats!$F$2:$F$450,Map_Stats!$A$2:$A$450,$F22&amp;"|"&amp;$G22))</f>
        <v>8</v>
      </c>
      <c r="R22" s="13" t="n">
        <f aca="false">IF($G22="","",IFERROR(1/(1/INDEX(Map_Stats!$K$2:$K$450,MATCH($F22&amp;"|"&amp;$G22,Map_Stats!$A$2:$A$450,0))),$O22))</f>
        <v>0.73</v>
      </c>
      <c r="S22" s="10" t="n">
        <f aca="false">IF(OR($G22="",$P22=""),"",IFERROR(1/(1/INDEX(Map_Stats!$I$2:$I$450,MATCH($F22&amp;"|"&amp;$G22,Map_Stats!$A$2:$A$450,0))),$P22))</f>
        <v>0.603</v>
      </c>
      <c r="T22" s="13" t="n">
        <f aca="false">IF(OR($G22="",R22=""),"",IF($O22="",R22,(Q22*R22+Config!$B$4*$O22)/(Q22+Config!$B$4)))</f>
        <v>0.722307692307692</v>
      </c>
      <c r="U22" s="10" t="n">
        <f aca="false">IF(S22="","",(Q22*S22+Config!$B$4*$P22)/(Q22+Config!$B$4))</f>
        <v>0.595307692307692</v>
      </c>
      <c r="V22" s="17" t="n">
        <f aca="false">IF(OR(T22="",$J22=""),"",T22*$J22*($J22/Config!$B$10)^Config!$B$9)</f>
        <v>15.3562615384615</v>
      </c>
      <c r="W22" s="17" t="n">
        <f aca="false">IF(OR(V22="",U22=""),"",V22*U22)</f>
        <v>9.14170061893491</v>
      </c>
      <c r="X22" s="9" t="n">
        <f aca="false">IF($H22="",0,SUMIFS(Map_Stats!$F$2:$F$450,Map_Stats!$A$2:$A$450,$F22&amp;"|"&amp;$H22))</f>
        <v>4</v>
      </c>
      <c r="Y22" s="13" t="n">
        <f aca="false">IF($H22="","",IFERROR(1/(1/INDEX(Map_Stats!$K$2:$K$450,MATCH($F22&amp;"|"&amp;$H22,Map_Stats!$A$2:$A$450,0))),$O22))</f>
        <v>0.66</v>
      </c>
      <c r="Z22" s="10" t="n">
        <f aca="false">IF(OR($H22="",$P22=""),"",IFERROR(1/(1/INDEX(Map_Stats!$I$2:$I$450,MATCH($F22&amp;"|"&amp;$H22,Map_Stats!$A$2:$A$450,0))),$P22))</f>
        <v>0.627</v>
      </c>
      <c r="AA22" s="13" t="n">
        <f aca="false">IF(OR($H22="",Y22=""),"",IF($O22="",Y22,(X22*Y22+Config!$B$4*$O22)/(X22+Config!$B$4)))</f>
        <v>0.687777777777778</v>
      </c>
      <c r="AB22" s="10" t="n">
        <f aca="false">IF(Z22="","",(X22*Z22+Config!$B$4*$P22)/(X22+Config!$B$4))</f>
        <v>0.602555555555556</v>
      </c>
      <c r="AC22" s="17" t="n">
        <f aca="false">IF(OR(AA22="",$K22=""),"",AA22*$K22*($K22/Config!$B$10)^Config!$B$9)</f>
        <v>14.6084</v>
      </c>
      <c r="AD22" s="17" t="n">
        <f aca="false">IF(OR(AC22="",AB22=""),"",AC22*AB22)</f>
        <v>8.80237257777778</v>
      </c>
      <c r="AE22" s="9" t="n">
        <f aca="false">IF($I22="",0,SUMIFS(Map_Stats!$F$2:$F$450,Map_Stats!$A$2:$A$450,$F22&amp;"|"&amp;$I22))</f>
        <v>7</v>
      </c>
      <c r="AF22" s="13" t="n">
        <f aca="false">IF($I22="","",IFERROR(1/(1/INDEX(Map_Stats!$K$2:$K$450,MATCH($F22&amp;"|"&amp;$I22,Map_Stats!$A$2:$A$450,0))),$O22))</f>
        <v>0.65</v>
      </c>
      <c r="AG22" s="10" t="n">
        <f aca="false">IF(OR($I22="",$P22=""),"",IFERROR(1/(1/INDEX(Map_Stats!$I$2:$I$450,MATCH($F22&amp;"|"&amp;$I22,Map_Stats!$A$2:$A$450,0))),$P22))</f>
        <v>0.578</v>
      </c>
      <c r="AH22" s="13" t="n">
        <f aca="false">IF(OR($I22="",AF22=""),"",IF($O22="",AF22,(AE22*AF22+Config!$B$4*$O22)/(AE22+Config!$B$4)))</f>
        <v>0.675</v>
      </c>
      <c r="AI22" s="10" t="n">
        <f aca="false">IF(AG22="","",(AE22*AG22+Config!$B$4*$P22)/(AE22+Config!$B$4))</f>
        <v>0.580083333333333</v>
      </c>
      <c r="AJ22" s="17" t="n">
        <f aca="false">IF(OR(AH22="",$L22=""),"",AH22*$L22*($L22/Config!$B$10)^Config!$B$9)</f>
        <v>14.5125</v>
      </c>
      <c r="AK22" s="17" t="n">
        <f aca="false">IF(OR(AJ22="",AI22=""),"",AJ22*AI22)</f>
        <v>8.418459375</v>
      </c>
      <c r="AL22" s="17" t="n">
        <f aca="false">N(V22)+N(AC22)</f>
        <v>29.9646615384615</v>
      </c>
      <c r="AM22" s="17" t="n">
        <f aca="false">AL22+N($M22)*N(AJ22)</f>
        <v>36.8871240384615</v>
      </c>
      <c r="AN22" s="17" t="n">
        <f aca="false">IF(W22="","",N(W22)+N(AD22))</f>
        <v>17.9440731967127</v>
      </c>
      <c r="AO22" s="17" t="n">
        <f aca="false">IF(AN22="","",AN22+N($M22)*N(AK22))</f>
        <v>21.9596783185877</v>
      </c>
      <c r="AP22" s="10" t="n">
        <f aca="false">IFERROR(AN22/AL22,"")</f>
        <v>0.598841177420954</v>
      </c>
      <c r="AQ22" s="0" t="str">
        <f aca="false">TRIM(IF($N22&lt;Config!$B$12,"thin sample ("&amp;$N22&amp;" maps) · ","")&amp;IF(AND($G22&lt;&gt;"",Q22=0),"M1 unplayed→overall KPR · ","")&amp;IF(AND($H22&lt;&gt;"",X22=0),"M2 unplayed→overall KPR · ","")&amp;IF($O22="","no PickFinder stats",""))</f>
        <v/>
      </c>
      <c r="AR22" s="9" t="n">
        <f aca="false">IF($C22=Board!$B$2,COUNTIFS($C$2:$C$56,Board!$B$2,$AL$2:$AL$56,"&gt;"&amp;$AL22)+COUNTIFS($C$1:$C21,Board!$B$2,$AL$1:$AL21,$AL22)+1,"")</f>
        <v>4</v>
      </c>
      <c r="AS22" s="0" t="str">
        <f aca="false">IFERROR(IF($D22=INDEX(Matches!$AD$5:$AD$12,MATCH($C22,Matches!$A$5:$A$12,0)),"A",IF($D22=INDEX(Matches!$AE$5:$AE$12,MATCH($C22,Matches!$A$5:$A$12,0)),"B","")),"")</f>
        <v>A</v>
      </c>
      <c r="AT22" s="10" t="n">
        <f aca="false">IF($AS22="","",IFERROR(IF($AS22="A",INDEX(Matches!$AI$5:$AI$12,MATCH($C22,Matches!$A$5:$A$12,0)),INDEX(Matches!$AJ$5:$AJ$12,MATCH($C22,Matches!$A$5:$A$12,0))),""))</f>
        <v>0.501202510530204</v>
      </c>
      <c r="AU22" s="10" t="n">
        <f aca="false">IF($AS22="","",IFERROR(IF(INDEX(Matches!$AP$5:$AP$12,MATCH($C22,Matches!$A$5:$A$12,0))="","",IF($AS22="A",INDEX(Matches!$AP$5:$AP$12,MATCH($C22,Matches!$A$5:$A$12,0)),1-INDEX(Matches!$AP$5:$AP$12,MATCH($C22,Matches!$A$5:$A$12,0)))),""))</f>
        <v>0.497954579655501</v>
      </c>
      <c r="AV22" s="13" t="n">
        <f aca="false">IF(OR($AU22="",$AT22=""),1,((Config!$B$14*$AU22+Config!$B$15*(1-$AU22))/(Config!$B$14*$AT22+Config!$B$15*(1-$AT22)))^Config!$B$13)</f>
        <v>0.997100709217568</v>
      </c>
      <c r="AW22" s="10" t="n">
        <f aca="false">IF($AS22="","",IFERROR(IF(INDEX(Matches!$AV$5:$AV$12,MATCH($C22,Matches!$A$5:$A$12,0))="","",IF($AS22="A",INDEX(Matches!$AV$5:$AV$12,MATCH($C22,Matches!$A$5:$A$12,0)),1-INDEX(Matches!$AV$5:$AV$12,MATCH($C22,Matches!$A$5:$A$12,0)))),""))</f>
        <v>0.502048124462551</v>
      </c>
      <c r="AX22" s="13" t="n">
        <f aca="false">IF(OR($AW22="",$AT22=""),1,((Config!$B$14*$AW22+Config!$B$15*(1-$AW22))/(Config!$B$14*$AT22+Config!$B$15*(1-$AT22)))^Config!$B$13)</f>
        <v>1.00075484386033</v>
      </c>
      <c r="AY22" s="10" t="n">
        <f aca="false">IF($AS22="","",IFERROR(IF(INDEX(Matches!$BB$5:$BB$12,MATCH($C22,Matches!$A$5:$A$12,0))="","",IF($AS22="A",INDEX(Matches!$BB$5:$BB$12,MATCH($C22,Matches!$A$5:$A$12,0)),1-INDEX(Matches!$BB$5:$BB$12,MATCH($C22,Matches!$A$5:$A$12,0)))),""))</f>
        <v>0.513026308146898</v>
      </c>
      <c r="AZ22" s="13" t="n">
        <f aca="false">IF(OR($AY22="",$AT22=""),1,((Config!$B$14*$AY22+Config!$B$15*(1-$AY22))/(Config!$B$14*$AT22+Config!$B$15*(1-$AT22)))^Config!$B$13)</f>
        <v>1.01055460499804</v>
      </c>
      <c r="BA22" s="17" t="n">
        <f aca="false">IF(V22="","",V22*$AV22)</f>
        <v>15.3117392709305</v>
      </c>
      <c r="BB22" s="17" t="n">
        <f aca="false">IF(AC22="","",AC22*$AX22)</f>
        <v>14.6194270610493</v>
      </c>
      <c r="BC22" s="17" t="n">
        <f aca="false">IF(AJ22="","",AJ22*$AZ22)</f>
        <v>14.665673705034</v>
      </c>
      <c r="BD22" s="17" t="n">
        <f aca="false">N(BA22)+N(BB22)</f>
        <v>29.9311663319797</v>
      </c>
      <c r="BE22" s="17" t="n">
        <f aca="false">BD22+N($M22)*N(BC22)</f>
        <v>36.9266926892809</v>
      </c>
      <c r="BF22" s="17" t="n">
        <f aca="false">IF(W22="","",W22*$AV22)</f>
        <v>9.11519617059468</v>
      </c>
      <c r="BG22" s="17" t="n">
        <f aca="false">IF(AD22="","",AD22*$AX22)</f>
        <v>8.80901699467446</v>
      </c>
      <c r="BH22" s="17" t="n">
        <f aca="false">IF(AK22="","",AK22*$AZ22)</f>
        <v>8.50731288839515</v>
      </c>
      <c r="BI22" s="17" t="n">
        <f aca="false">IF(BF22="","",N(BF22)+N(BG22))</f>
        <v>17.9242131652691</v>
      </c>
      <c r="BJ22" s="17" t="n">
        <f aca="false">IF(BI22="","",BI22+N($M22)*N(BH22))</f>
        <v>21.9822014130336</v>
      </c>
      <c r="BK22" s="13" t="n">
        <f aca="false">IFERROR(BD22/AL22,1)</f>
        <v>0.998882176378371</v>
      </c>
    </row>
    <row r="23" customFormat="false" ht="15" hidden="false" customHeight="false" outlineLevel="0" collapsed="false">
      <c r="A23" s="0" t="s">
        <v>743</v>
      </c>
      <c r="B23" s="0" t="s">
        <v>608</v>
      </c>
      <c r="C23" s="0" t="s">
        <v>525</v>
      </c>
      <c r="D23" s="0" t="s">
        <v>614</v>
      </c>
      <c r="E23" s="0" t="s">
        <v>742</v>
      </c>
      <c r="F23" s="0" t="s">
        <v>884</v>
      </c>
      <c r="G23" s="0" t="str">
        <f aca="false">IFERROR(IF(INDEX(Matches!$W$5:$W$12,MATCH($C23,Matches!$A$5:$A$12,0))="","",INDEX(Matches!$W$5:$W$12,MATCH($C23,Matches!$A$5:$A$12,0))),"")</f>
        <v>Mirage</v>
      </c>
      <c r="H23" s="0" t="str">
        <f aca="false">IFERROR(IF(INDEX(Matches!$X$5:$X$12,MATCH($C23,Matches!$A$5:$A$12,0))="","",INDEX(Matches!$X$5:$X$12,MATCH($C23,Matches!$A$5:$A$12,0))),"")</f>
        <v>Cache</v>
      </c>
      <c r="I23" s="0" t="str">
        <f aca="false">IFERROR(IF(INDEX(Matches!$Y$5:$Y$12,MATCH($C23,Matches!$A$5:$A$12,0))="","",INDEX(Matches!$Y$5:$Y$12,MATCH($C23,Matches!$A$5:$A$12,0))),"")</f>
        <v>Dust2</v>
      </c>
      <c r="J23" s="11" t="n">
        <f aca="false">IFERROR(IF(INDEX(Matches!$Z$5:$Z$12,MATCH($C23,Matches!$A$5:$A$12,0))="","",INDEX(Matches!$Z$5:$Z$12,MATCH($C23,Matches!$A$5:$A$12,0))),"")</f>
        <v>21.26</v>
      </c>
      <c r="K23" s="11" t="n">
        <f aca="false">IFERROR(IF(INDEX(Matches!$AA$5:$AA$12,MATCH($C23,Matches!$A$5:$A$12,0))="","",INDEX(Matches!$AA$5:$AA$12,MATCH($C23,Matches!$A$5:$A$12,0))),"")</f>
        <v>21.24</v>
      </c>
      <c r="L23" s="11" t="n">
        <f aca="false">IFERROR(IF(INDEX(Matches!$AB$5:$AB$12,MATCH($C23,Matches!$A$5:$A$12,0))="","",INDEX(Matches!$AB$5:$AB$12,MATCH($C23,Matches!$A$5:$A$12,0))),"")</f>
        <v>21.5</v>
      </c>
      <c r="M23" s="10" t="n">
        <f aca="false">IFERROR(IF(INDEX(Matches!$AC$5:$AC$12,MATCH($C23,Matches!$A$5:$A$12,0))="","",INDEX(Matches!$AC$5:$AC$12,MATCH($C23,Matches!$A$5:$A$12,0))),"")</f>
        <v>0.477</v>
      </c>
      <c r="N23" s="9" t="n">
        <f aca="false">IFERROR(INDEX(Players!$F$2:$F$56,MATCH($F23,Players!$A$2:$A$56,0)),0)</f>
        <v>30</v>
      </c>
      <c r="O23" s="13" t="n">
        <f aca="false">IFERROR(1/(1/INDEX(Players!$H$2:$H$56,MATCH($F23,Players!$A$2:$A$56,0))),"")</f>
        <v>0.72</v>
      </c>
      <c r="P23" s="10" t="n">
        <f aca="false">IFERROR(1/(1/INDEX(Players!$I$2:$I$56,MATCH($F23,Players!$A$2:$A$56,0))),"")</f>
        <v>0.521</v>
      </c>
      <c r="Q23" s="9" t="n">
        <f aca="false">IF($G23="",0,SUMIFS(Map_Stats!$F$2:$F$450,Map_Stats!$A$2:$A$450,$F23&amp;"|"&amp;$G23))</f>
        <v>8</v>
      </c>
      <c r="R23" s="13" t="n">
        <f aca="false">IF($G23="","",IFERROR(1/(1/INDEX(Map_Stats!$K$2:$K$450,MATCH($F23&amp;"|"&amp;$G23,Map_Stats!$A$2:$A$450,0))),$O23))</f>
        <v>0.77</v>
      </c>
      <c r="S23" s="10" t="n">
        <f aca="false">IF(OR($G23="",$P23=""),"",IFERROR(1/(1/INDEX(Map_Stats!$I$2:$I$450,MATCH($F23&amp;"|"&amp;$G23,Map_Stats!$A$2:$A$450,0))),$P23))</f>
        <v>0.477</v>
      </c>
      <c r="T23" s="13" t="n">
        <f aca="false">IF(OR($G23="",R23=""),"",IF($O23="",R23,(Q23*R23+Config!$B$4*$O23)/(Q23+Config!$B$4)))</f>
        <v>0.750769230769231</v>
      </c>
      <c r="U23" s="10" t="n">
        <f aca="false">IF(S23="","",(Q23*S23+Config!$B$4*$P23)/(Q23+Config!$B$4))</f>
        <v>0.493923076923077</v>
      </c>
      <c r="V23" s="17" t="n">
        <f aca="false">IF(OR(T23="",$J23=""),"",T23*$J23*($J23/Config!$B$10)^Config!$B$9)</f>
        <v>15.9613538461538</v>
      </c>
      <c r="W23" s="17" t="n">
        <f aca="false">IF(OR(V23="",U23=""),"",V23*U23)</f>
        <v>7.8836810035503</v>
      </c>
      <c r="X23" s="9" t="n">
        <f aca="false">IF($H23="",0,SUMIFS(Map_Stats!$F$2:$F$450,Map_Stats!$A$2:$A$450,$F23&amp;"|"&amp;$H23))</f>
        <v>4</v>
      </c>
      <c r="Y23" s="13" t="n">
        <f aca="false">IF($H23="","",IFERROR(1/(1/INDEX(Map_Stats!$K$2:$K$450,MATCH($F23&amp;"|"&amp;$H23,Map_Stats!$A$2:$A$450,0))),$O23))</f>
        <v>0.83</v>
      </c>
      <c r="Z23" s="10" t="n">
        <f aca="false">IF(OR($H23="",$P23=""),"",IFERROR(1/(1/INDEX(Map_Stats!$I$2:$I$450,MATCH($F23&amp;"|"&amp;$H23,Map_Stats!$A$2:$A$450,0))),$P23))</f>
        <v>0.547</v>
      </c>
      <c r="AA23" s="13" t="n">
        <f aca="false">IF(OR($H23="",Y23=""),"",IF($O23="",Y23,(X23*Y23+Config!$B$4*$O23)/(X23+Config!$B$4)))</f>
        <v>0.768888888888889</v>
      </c>
      <c r="AB23" s="10" t="n">
        <f aca="false">IF(Z23="","",(X23*Z23+Config!$B$4*$P23)/(X23+Config!$B$4))</f>
        <v>0.532555555555556</v>
      </c>
      <c r="AC23" s="17" t="n">
        <f aca="false">IF(OR(AA23="",$K23=""),"",AA23*$K23*($K23/Config!$B$10)^Config!$B$9)</f>
        <v>16.3312</v>
      </c>
      <c r="AD23" s="17" t="n">
        <f aca="false">IF(OR(AC23="",AB23=""),"",AC23*AB23)</f>
        <v>8.69727128888889</v>
      </c>
      <c r="AE23" s="9" t="n">
        <f aca="false">IF($I23="",0,SUMIFS(Map_Stats!$F$2:$F$450,Map_Stats!$A$2:$A$450,$F23&amp;"|"&amp;$I23))</f>
        <v>7</v>
      </c>
      <c r="AF23" s="13" t="n">
        <f aca="false">IF($I23="","",IFERROR(1/(1/INDEX(Map_Stats!$K$2:$K$450,MATCH($F23&amp;"|"&amp;$I23,Map_Stats!$A$2:$A$450,0))),$O23))</f>
        <v>0.7</v>
      </c>
      <c r="AG23" s="10" t="n">
        <f aca="false">IF(OR($I23="",$P23=""),"",IFERROR(1/(1/INDEX(Map_Stats!$I$2:$I$450,MATCH($F23&amp;"|"&amp;$I23,Map_Stats!$A$2:$A$450,0))),$P23))</f>
        <v>0.548</v>
      </c>
      <c r="AH23" s="13" t="n">
        <f aca="false">IF(OR($I23="",AF23=""),"",IF($O23="",AF23,(AE23*AF23+Config!$B$4*$O23)/(AE23+Config!$B$4)))</f>
        <v>0.708333333333333</v>
      </c>
      <c r="AI23" s="10" t="n">
        <f aca="false">IF(AG23="","",(AE23*AG23+Config!$B$4*$P23)/(AE23+Config!$B$4))</f>
        <v>0.53675</v>
      </c>
      <c r="AJ23" s="17" t="n">
        <f aca="false">IF(OR(AH23="",$L23=""),"",AH23*$L23*($L23/Config!$B$10)^Config!$B$9)</f>
        <v>15.2291666666667</v>
      </c>
      <c r="AK23" s="17" t="n">
        <f aca="false">IF(OR(AJ23="",AI23=""),"",AJ23*AI23)</f>
        <v>8.17425520833333</v>
      </c>
      <c r="AL23" s="17" t="n">
        <f aca="false">N(V23)+N(AC23)</f>
        <v>32.2925538461538</v>
      </c>
      <c r="AM23" s="17" t="n">
        <f aca="false">AL23+N($M23)*N(AJ23)</f>
        <v>39.5568663461538</v>
      </c>
      <c r="AN23" s="17" t="n">
        <f aca="false">IF(W23="","",N(W23)+N(AD23))</f>
        <v>16.5809522924392</v>
      </c>
      <c r="AO23" s="17" t="n">
        <f aca="false">IF(AN23="","",AN23+N($M23)*N(AK23))</f>
        <v>20.4800720268142</v>
      </c>
      <c r="AP23" s="10" t="n">
        <f aca="false">IFERROR(AN23/AL23,"")</f>
        <v>0.513460544849847</v>
      </c>
      <c r="AQ23" s="0" t="str">
        <f aca="false">TRIM(IF($N23&lt;Config!$B$12,"thin sample ("&amp;$N23&amp;" maps) · ","")&amp;IF(AND($G23&lt;&gt;"",Q23=0),"M1 unplayed→overall KPR · ","")&amp;IF(AND($H23&lt;&gt;"",X23=0),"M2 unplayed→overall KPR · ","")&amp;IF($O23="","no PickFinder stats",""))</f>
        <v/>
      </c>
      <c r="AR23" s="9" t="n">
        <f aca="false">IF($C23=Board!$B$2,COUNTIFS($C$2:$C$56,Board!$B$2,$AL$2:$AL$56,"&gt;"&amp;$AL23)+COUNTIFS($C$1:$C22,Board!$B$2,$AL$1:$AL22,$AL23)+1,"")</f>
        <v>3</v>
      </c>
      <c r="AS23" s="0" t="str">
        <f aca="false">IFERROR(IF($D23=INDEX(Matches!$AD$5:$AD$12,MATCH($C23,Matches!$A$5:$A$12,0)),"A",IF($D23=INDEX(Matches!$AE$5:$AE$12,MATCH($C23,Matches!$A$5:$A$12,0)),"B","")),"")</f>
        <v>A</v>
      </c>
      <c r="AT23" s="10" t="n">
        <f aca="false">IF($AS23="","",IFERROR(IF($AS23="A",INDEX(Matches!$AI$5:$AI$12,MATCH($C23,Matches!$A$5:$A$12,0)),INDEX(Matches!$AJ$5:$AJ$12,MATCH($C23,Matches!$A$5:$A$12,0))),""))</f>
        <v>0.501202510530204</v>
      </c>
      <c r="AU23" s="10" t="n">
        <f aca="false">IF($AS23="","",IFERROR(IF(INDEX(Matches!$AP$5:$AP$12,MATCH($C23,Matches!$A$5:$A$12,0))="","",IF($AS23="A",INDEX(Matches!$AP$5:$AP$12,MATCH($C23,Matches!$A$5:$A$12,0)),1-INDEX(Matches!$AP$5:$AP$12,MATCH($C23,Matches!$A$5:$A$12,0)))),""))</f>
        <v>0.497954579655501</v>
      </c>
      <c r="AV23" s="13" t="n">
        <f aca="false">IF(OR($AU23="",$AT23=""),1,((Config!$B$14*$AU23+Config!$B$15*(1-$AU23))/(Config!$B$14*$AT23+Config!$B$15*(1-$AT23)))^Config!$B$13)</f>
        <v>0.997100709217568</v>
      </c>
      <c r="AW23" s="10" t="n">
        <f aca="false">IF($AS23="","",IFERROR(IF(INDEX(Matches!$AV$5:$AV$12,MATCH($C23,Matches!$A$5:$A$12,0))="","",IF($AS23="A",INDEX(Matches!$AV$5:$AV$12,MATCH($C23,Matches!$A$5:$A$12,0)),1-INDEX(Matches!$AV$5:$AV$12,MATCH($C23,Matches!$A$5:$A$12,0)))),""))</f>
        <v>0.502048124462551</v>
      </c>
      <c r="AX23" s="13" t="n">
        <f aca="false">IF(OR($AW23="",$AT23=""),1,((Config!$B$14*$AW23+Config!$B$15*(1-$AW23))/(Config!$B$14*$AT23+Config!$B$15*(1-$AT23)))^Config!$B$13)</f>
        <v>1.00075484386033</v>
      </c>
      <c r="AY23" s="10" t="n">
        <f aca="false">IF($AS23="","",IFERROR(IF(INDEX(Matches!$BB$5:$BB$12,MATCH($C23,Matches!$A$5:$A$12,0))="","",IF($AS23="A",INDEX(Matches!$BB$5:$BB$12,MATCH($C23,Matches!$A$5:$A$12,0)),1-INDEX(Matches!$BB$5:$BB$12,MATCH($C23,Matches!$A$5:$A$12,0)))),""))</f>
        <v>0.513026308146898</v>
      </c>
      <c r="AZ23" s="13" t="n">
        <f aca="false">IF(OR($AY23="",$AT23=""),1,((Config!$B$14*$AY23+Config!$B$15*(1-$AY23))/(Config!$B$14*$AT23+Config!$B$15*(1-$AT23)))^Config!$B$13)</f>
        <v>1.01055460499804</v>
      </c>
      <c r="BA23" s="17" t="n">
        <f aca="false">IF(V23="","",V23*$AV23)</f>
        <v>15.9150772400726</v>
      </c>
      <c r="BB23" s="17" t="n">
        <f aca="false">IF(AC23="","",AC23*$AX23)</f>
        <v>16.3435275060518</v>
      </c>
      <c r="BC23" s="17" t="n">
        <f aca="false">IF(AJ23="","",AJ23*$AZ23)</f>
        <v>15.3899045052826</v>
      </c>
      <c r="BD23" s="17" t="n">
        <f aca="false">N(BA23)+N(BB23)</f>
        <v>32.2586047461244</v>
      </c>
      <c r="BE23" s="17" t="n">
        <f aca="false">BD23+N($M23)*N(BC23)</f>
        <v>39.5995891951442</v>
      </c>
      <c r="BF23" s="17" t="n">
        <f aca="false">IF(W23="","",W23*$AV23)</f>
        <v>7.86082391988507</v>
      </c>
      <c r="BG23" s="17" t="n">
        <f aca="false">IF(AD23="","",AD23*$AX23)</f>
        <v>8.70383637072294</v>
      </c>
      <c r="BH23" s="17" t="n">
        <f aca="false">IF(AK23="","",AK23*$AZ23)</f>
        <v>8.26053124321044</v>
      </c>
      <c r="BI23" s="17" t="n">
        <f aca="false">IF(BF23="","",N(BF23)+N(BG23))</f>
        <v>16.564660290608</v>
      </c>
      <c r="BJ23" s="17" t="n">
        <f aca="false">IF(BI23="","",BI23+N($M23)*N(BH23))</f>
        <v>20.5049336936194</v>
      </c>
      <c r="BK23" s="13" t="n">
        <f aca="false">IFERROR(BD23/AL23,1)</f>
        <v>0.998948701914652</v>
      </c>
    </row>
    <row r="24" customFormat="false" ht="15" hidden="false" customHeight="false" outlineLevel="0" collapsed="false">
      <c r="A24" s="0" t="s">
        <v>746</v>
      </c>
      <c r="B24" s="0" t="s">
        <v>608</v>
      </c>
      <c r="C24" s="0" t="s">
        <v>525</v>
      </c>
      <c r="D24" s="0" t="s">
        <v>614</v>
      </c>
      <c r="E24" s="0" t="s">
        <v>744</v>
      </c>
      <c r="F24" s="0" t="s">
        <v>885</v>
      </c>
      <c r="G24" s="0" t="str">
        <f aca="false">IFERROR(IF(INDEX(Matches!$W$5:$W$12,MATCH($C24,Matches!$A$5:$A$12,0))="","",INDEX(Matches!$W$5:$W$12,MATCH($C24,Matches!$A$5:$A$12,0))),"")</f>
        <v>Mirage</v>
      </c>
      <c r="H24" s="0" t="str">
        <f aca="false">IFERROR(IF(INDEX(Matches!$X$5:$X$12,MATCH($C24,Matches!$A$5:$A$12,0))="","",INDEX(Matches!$X$5:$X$12,MATCH($C24,Matches!$A$5:$A$12,0))),"")</f>
        <v>Cache</v>
      </c>
      <c r="I24" s="0" t="str">
        <f aca="false">IFERROR(IF(INDEX(Matches!$Y$5:$Y$12,MATCH($C24,Matches!$A$5:$A$12,0))="","",INDEX(Matches!$Y$5:$Y$12,MATCH($C24,Matches!$A$5:$A$12,0))),"")</f>
        <v>Dust2</v>
      </c>
      <c r="J24" s="11" t="n">
        <f aca="false">IFERROR(IF(INDEX(Matches!$Z$5:$Z$12,MATCH($C24,Matches!$A$5:$A$12,0))="","",INDEX(Matches!$Z$5:$Z$12,MATCH($C24,Matches!$A$5:$A$12,0))),"")</f>
        <v>21.26</v>
      </c>
      <c r="K24" s="11" t="n">
        <f aca="false">IFERROR(IF(INDEX(Matches!$AA$5:$AA$12,MATCH($C24,Matches!$A$5:$A$12,0))="","",INDEX(Matches!$AA$5:$AA$12,MATCH($C24,Matches!$A$5:$A$12,0))),"")</f>
        <v>21.24</v>
      </c>
      <c r="L24" s="11" t="n">
        <f aca="false">IFERROR(IF(INDEX(Matches!$AB$5:$AB$12,MATCH($C24,Matches!$A$5:$A$12,0))="","",INDEX(Matches!$AB$5:$AB$12,MATCH($C24,Matches!$A$5:$A$12,0))),"")</f>
        <v>21.5</v>
      </c>
      <c r="M24" s="10" t="n">
        <f aca="false">IFERROR(IF(INDEX(Matches!$AC$5:$AC$12,MATCH($C24,Matches!$A$5:$A$12,0))="","",INDEX(Matches!$AC$5:$AC$12,MATCH($C24,Matches!$A$5:$A$12,0))),"")</f>
        <v>0.477</v>
      </c>
      <c r="N24" s="9" t="n">
        <f aca="false">IFERROR(INDEX(Players!$F$2:$F$56,MATCH($F24,Players!$A$2:$A$56,0)),0)</f>
        <v>30</v>
      </c>
      <c r="O24" s="13" t="n">
        <f aca="false">IFERROR(1/(1/INDEX(Players!$H$2:$H$56,MATCH($F24,Players!$A$2:$A$56,0))),"")</f>
        <v>0.78</v>
      </c>
      <c r="P24" s="10" t="n">
        <f aca="false">IFERROR(1/(1/INDEX(Players!$I$2:$I$56,MATCH($F24,Players!$A$2:$A$56,0))),"")</f>
        <v>0.324</v>
      </c>
      <c r="Q24" s="9" t="n">
        <f aca="false">IF($G24="",0,SUMIFS(Map_Stats!$F$2:$F$450,Map_Stats!$A$2:$A$450,$F24&amp;"|"&amp;$G24))</f>
        <v>8</v>
      </c>
      <c r="R24" s="13" t="n">
        <f aca="false">IF($G24="","",IFERROR(1/(1/INDEX(Map_Stats!$K$2:$K$450,MATCH($F24&amp;"|"&amp;$G24,Map_Stats!$A$2:$A$450,0))),$O24))</f>
        <v>0.8</v>
      </c>
      <c r="S24" s="10" t="n">
        <f aca="false">IF(OR($G24="",$P24=""),"",IFERROR(1/(1/INDEX(Map_Stats!$I$2:$I$450,MATCH($F24&amp;"|"&amp;$G24,Map_Stats!$A$2:$A$450,0))),$P24))</f>
        <v>0.391</v>
      </c>
      <c r="T24" s="13" t="n">
        <f aca="false">IF(OR($G24="",R24=""),"",IF($O24="",R24,(Q24*R24+Config!$B$4*$O24)/(Q24+Config!$B$4)))</f>
        <v>0.792307692307692</v>
      </c>
      <c r="U24" s="10" t="n">
        <f aca="false">IF(S24="","",(Q24*S24+Config!$B$4*$P24)/(Q24+Config!$B$4))</f>
        <v>0.365230769230769</v>
      </c>
      <c r="V24" s="17" t="n">
        <f aca="false">IF(OR(T24="",$J24=""),"",T24*$J24*($J24/Config!$B$10)^Config!$B$9)</f>
        <v>16.8444615384615</v>
      </c>
      <c r="W24" s="17" t="n">
        <f aca="false">IF(OR(V24="",U24=""),"",V24*U24)</f>
        <v>6.15211564497042</v>
      </c>
      <c r="X24" s="9" t="n">
        <f aca="false">IF($H24="",0,SUMIFS(Map_Stats!$F$2:$F$450,Map_Stats!$A$2:$A$450,$F24&amp;"|"&amp;$H24))</f>
        <v>4</v>
      </c>
      <c r="Y24" s="13" t="n">
        <f aca="false">IF($H24="","",IFERROR(1/(1/INDEX(Map_Stats!$K$2:$K$450,MATCH($F24&amp;"|"&amp;$H24,Map_Stats!$A$2:$A$450,0))),$O24))</f>
        <v>0.73</v>
      </c>
      <c r="Z24" s="10" t="n">
        <f aca="false">IF(OR($H24="",$P24=""),"",IFERROR(1/(1/INDEX(Map_Stats!$I$2:$I$450,MATCH($F24&amp;"|"&amp;$H24,Map_Stats!$A$2:$A$450,0))),$P24))</f>
        <v>0.304</v>
      </c>
      <c r="AA24" s="13" t="n">
        <f aca="false">IF(OR($H24="",Y24=""),"",IF($O24="",Y24,(X24*Y24+Config!$B$4*$O24)/(X24+Config!$B$4)))</f>
        <v>0.757777777777778</v>
      </c>
      <c r="AB24" s="10" t="n">
        <f aca="false">IF(Z24="","",(X24*Z24+Config!$B$4*$P24)/(X24+Config!$B$4))</f>
        <v>0.315111111111111</v>
      </c>
      <c r="AC24" s="17" t="n">
        <f aca="false">IF(OR(AA24="",$K24=""),"",AA24*$K24*($K24/Config!$B$10)^Config!$B$9)</f>
        <v>16.0952</v>
      </c>
      <c r="AD24" s="17" t="n">
        <f aca="false">IF(OR(AC24="",AB24=""),"",AC24*AB24)</f>
        <v>5.07177635555556</v>
      </c>
      <c r="AE24" s="9" t="n">
        <f aca="false">IF($I24="",0,SUMIFS(Map_Stats!$F$2:$F$450,Map_Stats!$A$2:$A$450,$F24&amp;"|"&amp;$I24))</f>
        <v>7</v>
      </c>
      <c r="AF24" s="13" t="n">
        <f aca="false">IF($I24="","",IFERROR(1/(1/INDEX(Map_Stats!$K$2:$K$450,MATCH($F24&amp;"|"&amp;$I24,Map_Stats!$A$2:$A$450,0))),$O24))</f>
        <v>0.83</v>
      </c>
      <c r="AG24" s="10" t="n">
        <f aca="false">IF(OR($I24="",$P24=""),"",IFERROR(1/(1/INDEX(Map_Stats!$I$2:$I$450,MATCH($F24&amp;"|"&amp;$I24,Map_Stats!$A$2:$A$450,0))),$P24))</f>
        <v>0.293</v>
      </c>
      <c r="AH24" s="13" t="n">
        <f aca="false">IF(OR($I24="",AF24=""),"",IF($O24="",AF24,(AE24*AF24+Config!$B$4*$O24)/(AE24+Config!$B$4)))</f>
        <v>0.809166666666667</v>
      </c>
      <c r="AI24" s="10" t="n">
        <f aca="false">IF(AG24="","",(AE24*AG24+Config!$B$4*$P24)/(AE24+Config!$B$4))</f>
        <v>0.305916666666667</v>
      </c>
      <c r="AJ24" s="17" t="n">
        <f aca="false">IF(OR(AH24="",$L24=""),"",AH24*$L24*($L24/Config!$B$10)^Config!$B$9)</f>
        <v>17.3970833333333</v>
      </c>
      <c r="AK24" s="17" t="n">
        <f aca="false">IF(OR(AJ24="",AI24=""),"",AJ24*AI24)</f>
        <v>5.32205774305556</v>
      </c>
      <c r="AL24" s="17" t="n">
        <f aca="false">N(V24)+N(AC24)</f>
        <v>32.9396615384615</v>
      </c>
      <c r="AM24" s="17" t="n">
        <f aca="false">AL24+N($M24)*N(AJ24)</f>
        <v>41.2380702884615</v>
      </c>
      <c r="AN24" s="17" t="n">
        <f aca="false">IF(W24="","",N(W24)+N(AD24))</f>
        <v>11.223892000526</v>
      </c>
      <c r="AO24" s="17" t="n">
        <f aca="false">IF(AN24="","",AN24+N($M24)*N(AK24))</f>
        <v>13.7625135439635</v>
      </c>
      <c r="AP24" s="10" t="n">
        <f aca="false">IFERROR(AN24/AL24,"")</f>
        <v>0.340740963213012</v>
      </c>
      <c r="AQ24" s="0" t="str">
        <f aca="false">TRIM(IF($N24&lt;Config!$B$12,"thin sample ("&amp;$N24&amp;" maps) · ","")&amp;IF(AND($G24&lt;&gt;"",Q24=0),"M1 unplayed→overall KPR · ","")&amp;IF(AND($H24&lt;&gt;"",X24=0),"M2 unplayed→overall KPR · ","")&amp;IF($O24="","no PickFinder stats",""))</f>
        <v/>
      </c>
      <c r="AR24" s="9" t="n">
        <f aca="false">IF($C24=Board!$B$2,COUNTIFS($C$2:$C$56,Board!$B$2,$AL$2:$AL$56,"&gt;"&amp;$AL24)+COUNTIFS($C$1:$C23,Board!$B$2,$AL$1:$AL23,$AL24)+1,"")</f>
        <v>2</v>
      </c>
      <c r="AS24" s="0" t="str">
        <f aca="false">IFERROR(IF($D24=INDEX(Matches!$AD$5:$AD$12,MATCH($C24,Matches!$A$5:$A$12,0)),"A",IF($D24=INDEX(Matches!$AE$5:$AE$12,MATCH($C24,Matches!$A$5:$A$12,0)),"B","")),"")</f>
        <v>A</v>
      </c>
      <c r="AT24" s="10" t="n">
        <f aca="false">IF($AS24="","",IFERROR(IF($AS24="A",INDEX(Matches!$AI$5:$AI$12,MATCH($C24,Matches!$A$5:$A$12,0)),INDEX(Matches!$AJ$5:$AJ$12,MATCH($C24,Matches!$A$5:$A$12,0))),""))</f>
        <v>0.501202510530204</v>
      </c>
      <c r="AU24" s="10" t="n">
        <f aca="false">IF($AS24="","",IFERROR(IF(INDEX(Matches!$AP$5:$AP$12,MATCH($C24,Matches!$A$5:$A$12,0))="","",IF($AS24="A",INDEX(Matches!$AP$5:$AP$12,MATCH($C24,Matches!$A$5:$A$12,0)),1-INDEX(Matches!$AP$5:$AP$12,MATCH($C24,Matches!$A$5:$A$12,0)))),""))</f>
        <v>0.497954579655501</v>
      </c>
      <c r="AV24" s="13" t="n">
        <f aca="false">IF(OR($AU24="",$AT24=""),1,((Config!$B$14*$AU24+Config!$B$15*(1-$AU24))/(Config!$B$14*$AT24+Config!$B$15*(1-$AT24)))^Config!$B$13)</f>
        <v>0.997100709217568</v>
      </c>
      <c r="AW24" s="10" t="n">
        <f aca="false">IF($AS24="","",IFERROR(IF(INDEX(Matches!$AV$5:$AV$12,MATCH($C24,Matches!$A$5:$A$12,0))="","",IF($AS24="A",INDEX(Matches!$AV$5:$AV$12,MATCH($C24,Matches!$A$5:$A$12,0)),1-INDEX(Matches!$AV$5:$AV$12,MATCH($C24,Matches!$A$5:$A$12,0)))),""))</f>
        <v>0.502048124462551</v>
      </c>
      <c r="AX24" s="13" t="n">
        <f aca="false">IF(OR($AW24="",$AT24=""),1,((Config!$B$14*$AW24+Config!$B$15*(1-$AW24))/(Config!$B$14*$AT24+Config!$B$15*(1-$AT24)))^Config!$B$13)</f>
        <v>1.00075484386033</v>
      </c>
      <c r="AY24" s="10" t="n">
        <f aca="false">IF($AS24="","",IFERROR(IF(INDEX(Matches!$BB$5:$BB$12,MATCH($C24,Matches!$A$5:$A$12,0))="","",IF($AS24="A",INDEX(Matches!$BB$5:$BB$12,MATCH($C24,Matches!$A$5:$A$12,0)),1-INDEX(Matches!$BB$5:$BB$12,MATCH($C24,Matches!$A$5:$A$12,0)))),""))</f>
        <v>0.513026308146898</v>
      </c>
      <c r="AZ24" s="13" t="n">
        <f aca="false">IF(OR($AY24="",$AT24=""),1,((Config!$B$14*$AY24+Config!$B$15*(1-$AY24))/(Config!$B$14*$AT24+Config!$B$15*(1-$AT24)))^Config!$B$13)</f>
        <v>1.01055460499804</v>
      </c>
      <c r="BA24" s="17" t="n">
        <f aca="false">IF(V24="","",V24*$AV24)</f>
        <v>16.795624546388</v>
      </c>
      <c r="BB24" s="17" t="n">
        <f aca="false">IF(AC24="","",AC24*$AX24)</f>
        <v>16.1073493629008</v>
      </c>
      <c r="BC24" s="17" t="n">
        <f aca="false">IF(AJ24="","",AJ24*$AZ24)</f>
        <v>17.5807026760346</v>
      </c>
      <c r="BD24" s="17" t="n">
        <f aca="false">N(BA24)+N(BB24)</f>
        <v>32.9029739092888</v>
      </c>
      <c r="BE24" s="17" t="n">
        <f aca="false">BD24+N($M24)*N(BC24)</f>
        <v>41.2889690857574</v>
      </c>
      <c r="BF24" s="17" t="n">
        <f aca="false">IF(W24="","",W24*$AV24)</f>
        <v>6.1342788727885</v>
      </c>
      <c r="BG24" s="17" t="n">
        <f aca="false">IF(AD24="","",AD24*$AX24)</f>
        <v>5.07560475479852</v>
      </c>
      <c r="BH24" s="17" t="n">
        <f aca="false">IF(AK24="","",AK24*$AZ24)</f>
        <v>5.37822996031026</v>
      </c>
      <c r="BI24" s="17" t="n">
        <f aca="false">IF(BF24="","",N(BF24)+N(BG24))</f>
        <v>11.209883627587</v>
      </c>
      <c r="BJ24" s="17" t="n">
        <f aca="false">IF(BI24="","",BI24+N($M24)*N(BH24))</f>
        <v>13.775299318655</v>
      </c>
      <c r="BK24" s="13" t="n">
        <f aca="false">IFERROR(BD24/AL24,1)</f>
        <v>0.998886217178344</v>
      </c>
    </row>
    <row r="25" customFormat="false" ht="15" hidden="false" customHeight="false" outlineLevel="0" collapsed="false">
      <c r="A25" s="0" t="s">
        <v>748</v>
      </c>
      <c r="B25" s="0" t="s">
        <v>608</v>
      </c>
      <c r="C25" s="0" t="s">
        <v>525</v>
      </c>
      <c r="D25" s="0" t="s">
        <v>614</v>
      </c>
      <c r="E25" s="0" t="s">
        <v>747</v>
      </c>
      <c r="F25" s="0" t="s">
        <v>886</v>
      </c>
      <c r="G25" s="0" t="str">
        <f aca="false">IFERROR(IF(INDEX(Matches!$W$5:$W$12,MATCH($C25,Matches!$A$5:$A$12,0))="","",INDEX(Matches!$W$5:$W$12,MATCH($C25,Matches!$A$5:$A$12,0))),"")</f>
        <v>Mirage</v>
      </c>
      <c r="H25" s="0" t="str">
        <f aca="false">IFERROR(IF(INDEX(Matches!$X$5:$X$12,MATCH($C25,Matches!$A$5:$A$12,0))="","",INDEX(Matches!$X$5:$X$12,MATCH($C25,Matches!$A$5:$A$12,0))),"")</f>
        <v>Cache</v>
      </c>
      <c r="I25" s="0" t="str">
        <f aca="false">IFERROR(IF(INDEX(Matches!$Y$5:$Y$12,MATCH($C25,Matches!$A$5:$A$12,0))="","",INDEX(Matches!$Y$5:$Y$12,MATCH($C25,Matches!$A$5:$A$12,0))),"")</f>
        <v>Dust2</v>
      </c>
      <c r="J25" s="11" t="n">
        <f aca="false">IFERROR(IF(INDEX(Matches!$Z$5:$Z$12,MATCH($C25,Matches!$A$5:$A$12,0))="","",INDEX(Matches!$Z$5:$Z$12,MATCH($C25,Matches!$A$5:$A$12,0))),"")</f>
        <v>21.26</v>
      </c>
      <c r="K25" s="11" t="n">
        <f aca="false">IFERROR(IF(INDEX(Matches!$AA$5:$AA$12,MATCH($C25,Matches!$A$5:$A$12,0))="","",INDEX(Matches!$AA$5:$AA$12,MATCH($C25,Matches!$A$5:$A$12,0))),"")</f>
        <v>21.24</v>
      </c>
      <c r="L25" s="11" t="n">
        <f aca="false">IFERROR(IF(INDEX(Matches!$AB$5:$AB$12,MATCH($C25,Matches!$A$5:$A$12,0))="","",INDEX(Matches!$AB$5:$AB$12,MATCH($C25,Matches!$A$5:$A$12,0))),"")</f>
        <v>21.5</v>
      </c>
      <c r="M25" s="10" t="n">
        <f aca="false">IFERROR(IF(INDEX(Matches!$AC$5:$AC$12,MATCH($C25,Matches!$A$5:$A$12,0))="","",INDEX(Matches!$AC$5:$AC$12,MATCH($C25,Matches!$A$5:$A$12,0))),"")</f>
        <v>0.477</v>
      </c>
      <c r="N25" s="9" t="n">
        <f aca="false">IFERROR(INDEX(Players!$F$2:$F$56,MATCH($F25,Players!$A$2:$A$56,0)),0)</f>
        <v>30</v>
      </c>
      <c r="O25" s="13" t="n">
        <f aca="false">IFERROR(1/(1/INDEX(Players!$H$2:$H$56,MATCH($F25,Players!$A$2:$A$56,0))),"")</f>
        <v>0.6</v>
      </c>
      <c r="P25" s="10" t="n">
        <f aca="false">IFERROR(1/(1/INDEX(Players!$I$2:$I$56,MATCH($F25,Players!$A$2:$A$56,0))),"")</f>
        <v>0.543</v>
      </c>
      <c r="Q25" s="9" t="n">
        <f aca="false">IF($G25="",0,SUMIFS(Map_Stats!$F$2:$F$450,Map_Stats!$A$2:$A$450,$F25&amp;"|"&amp;$G25))</f>
        <v>8</v>
      </c>
      <c r="R25" s="13" t="n">
        <f aca="false">IF($G25="","",IFERROR(1/(1/INDEX(Map_Stats!$K$2:$K$450,MATCH($F25&amp;"|"&amp;$G25,Map_Stats!$A$2:$A$450,0))),$O25))</f>
        <v>0.67</v>
      </c>
      <c r="S25" s="10" t="n">
        <f aca="false">IF(OR($G25="",$P25=""),"",IFERROR(1/(1/INDEX(Map_Stats!$I$2:$I$450,MATCH($F25&amp;"|"&amp;$G25,Map_Stats!$A$2:$A$450,0))),$P25))</f>
        <v>0.522</v>
      </c>
      <c r="T25" s="13" t="n">
        <f aca="false">IF(OR($G25="",R25=""),"",IF($O25="",R25,(Q25*R25+Config!$B$4*$O25)/(Q25+Config!$B$4)))</f>
        <v>0.643076923076923</v>
      </c>
      <c r="U25" s="10" t="n">
        <f aca="false">IF(S25="","",(Q25*S25+Config!$B$4*$P25)/(Q25+Config!$B$4))</f>
        <v>0.530076923076923</v>
      </c>
      <c r="V25" s="17" t="n">
        <f aca="false">IF(OR(T25="",$J25=""),"",T25*$J25*($J25/Config!$B$10)^Config!$B$9)</f>
        <v>13.6718153846154</v>
      </c>
      <c r="W25" s="17" t="n">
        <f aca="false">IF(OR(V25="",U25=""),"",V25*U25)</f>
        <v>7.24711383195266</v>
      </c>
      <c r="X25" s="9" t="n">
        <f aca="false">IF($H25="",0,SUMIFS(Map_Stats!$F$2:$F$450,Map_Stats!$A$2:$A$450,$F25&amp;"|"&amp;$H25))</f>
        <v>4</v>
      </c>
      <c r="Y25" s="13" t="n">
        <f aca="false">IF($H25="","",IFERROR(1/(1/INDEX(Map_Stats!$K$2:$K$450,MATCH($F25&amp;"|"&amp;$H25,Map_Stats!$A$2:$A$450,0))),$O25))</f>
        <v>0.49</v>
      </c>
      <c r="Z25" s="10" t="n">
        <f aca="false">IF(OR($H25="",$P25=""),"",IFERROR(1/(1/INDEX(Map_Stats!$I$2:$I$450,MATCH($F25&amp;"|"&amp;$H25,Map_Stats!$A$2:$A$450,0))),$P25))</f>
        <v>0.553</v>
      </c>
      <c r="AA25" s="13" t="n">
        <f aca="false">IF(OR($H25="",Y25=""),"",IF($O25="",Y25,(X25*Y25+Config!$B$4*$O25)/(X25+Config!$B$4)))</f>
        <v>0.551111111111111</v>
      </c>
      <c r="AB25" s="10" t="n">
        <f aca="false">IF(Z25="","",(X25*Z25+Config!$B$4*$P25)/(X25+Config!$B$4))</f>
        <v>0.547444444444444</v>
      </c>
      <c r="AC25" s="17" t="n">
        <f aca="false">IF(OR(AA25="",$K25=""),"",AA25*$K25*($K25/Config!$B$10)^Config!$B$9)</f>
        <v>11.7056</v>
      </c>
      <c r="AD25" s="17" t="n">
        <f aca="false">IF(OR(AC25="",AB25=""),"",AC25*AB25)</f>
        <v>6.40816568888889</v>
      </c>
      <c r="AE25" s="9" t="n">
        <f aca="false">IF($I25="",0,SUMIFS(Map_Stats!$F$2:$F$450,Map_Stats!$A$2:$A$450,$F25&amp;"|"&amp;$I25))</f>
        <v>7</v>
      </c>
      <c r="AF25" s="13" t="n">
        <f aca="false">IF($I25="","",IFERROR(1/(1/INDEX(Map_Stats!$K$2:$K$450,MATCH($F25&amp;"|"&amp;$I25,Map_Stats!$A$2:$A$450,0))),$O25))</f>
        <v>0.58</v>
      </c>
      <c r="AG25" s="10" t="n">
        <f aca="false">IF(OR($I25="",$P25=""),"",IFERROR(1/(1/INDEX(Map_Stats!$I$2:$I$450,MATCH($F25&amp;"|"&amp;$I25,Map_Stats!$A$2:$A$450,0))),$P25))</f>
        <v>0.481</v>
      </c>
      <c r="AH25" s="13" t="n">
        <f aca="false">IF(OR($I25="",AF25=""),"",IF($O25="",AF25,(AE25*AF25+Config!$B$4*$O25)/(AE25+Config!$B$4)))</f>
        <v>0.588333333333333</v>
      </c>
      <c r="AI25" s="10" t="n">
        <f aca="false">IF(AG25="","",(AE25*AG25+Config!$B$4*$P25)/(AE25+Config!$B$4))</f>
        <v>0.506833333333333</v>
      </c>
      <c r="AJ25" s="17" t="n">
        <f aca="false">IF(OR(AH25="",$L25=""),"",AH25*$L25*($L25/Config!$B$10)^Config!$B$9)</f>
        <v>12.6491666666667</v>
      </c>
      <c r="AK25" s="17" t="n">
        <f aca="false">IF(OR(AJ25="",AI25=""),"",AJ25*AI25)</f>
        <v>6.41101930555556</v>
      </c>
      <c r="AL25" s="17" t="n">
        <f aca="false">N(V25)+N(AC25)</f>
        <v>25.3774153846154</v>
      </c>
      <c r="AM25" s="17" t="n">
        <f aca="false">AL25+N($M25)*N(AJ25)</f>
        <v>31.4110678846154</v>
      </c>
      <c r="AN25" s="17" t="n">
        <f aca="false">IF(W25="","",N(W25)+N(AD25))</f>
        <v>13.6552795208416</v>
      </c>
      <c r="AO25" s="17" t="n">
        <f aca="false">IF(AN25="","",AN25+N($M25)*N(AK25))</f>
        <v>16.7133357295916</v>
      </c>
      <c r="AP25" s="10" t="n">
        <f aca="false">IFERROR(AN25/AL25,"")</f>
        <v>0.538087875139555</v>
      </c>
      <c r="AQ25" s="0" t="str">
        <f aca="false">TRIM(IF($N25&lt;Config!$B$12,"thin sample ("&amp;$N25&amp;" maps) · ","")&amp;IF(AND($G25&lt;&gt;"",Q25=0),"M1 unplayed→overall KPR · ","")&amp;IF(AND($H25&lt;&gt;"",X25=0),"M2 unplayed→overall KPR · ","")&amp;IF($O25="","no PickFinder stats",""))</f>
        <v/>
      </c>
      <c r="AR25" s="9" t="n">
        <f aca="false">IF($C25=Board!$B$2,COUNTIFS($C$2:$C$56,Board!$B$2,$AL$2:$AL$56,"&gt;"&amp;$AL25)+COUNTIFS($C$1:$C24,Board!$B$2,$AL$1:$AL24,$AL25)+1,"")</f>
        <v>8</v>
      </c>
      <c r="AS25" s="0" t="str">
        <f aca="false">IFERROR(IF($D25=INDEX(Matches!$AD$5:$AD$12,MATCH($C25,Matches!$A$5:$A$12,0)),"A",IF($D25=INDEX(Matches!$AE$5:$AE$12,MATCH($C25,Matches!$A$5:$A$12,0)),"B","")),"")</f>
        <v>A</v>
      </c>
      <c r="AT25" s="10" t="n">
        <f aca="false">IF($AS25="","",IFERROR(IF($AS25="A",INDEX(Matches!$AI$5:$AI$12,MATCH($C25,Matches!$A$5:$A$12,0)),INDEX(Matches!$AJ$5:$AJ$12,MATCH($C25,Matches!$A$5:$A$12,0))),""))</f>
        <v>0.501202510530204</v>
      </c>
      <c r="AU25" s="10" t="n">
        <f aca="false">IF($AS25="","",IFERROR(IF(INDEX(Matches!$AP$5:$AP$12,MATCH($C25,Matches!$A$5:$A$12,0))="","",IF($AS25="A",INDEX(Matches!$AP$5:$AP$12,MATCH($C25,Matches!$A$5:$A$12,0)),1-INDEX(Matches!$AP$5:$AP$12,MATCH($C25,Matches!$A$5:$A$12,0)))),""))</f>
        <v>0.497954579655501</v>
      </c>
      <c r="AV25" s="13" t="n">
        <f aca="false">IF(OR($AU25="",$AT25=""),1,((Config!$B$14*$AU25+Config!$B$15*(1-$AU25))/(Config!$B$14*$AT25+Config!$B$15*(1-$AT25)))^Config!$B$13)</f>
        <v>0.997100709217568</v>
      </c>
      <c r="AW25" s="10" t="n">
        <f aca="false">IF($AS25="","",IFERROR(IF(INDEX(Matches!$AV$5:$AV$12,MATCH($C25,Matches!$A$5:$A$12,0))="","",IF($AS25="A",INDEX(Matches!$AV$5:$AV$12,MATCH($C25,Matches!$A$5:$A$12,0)),1-INDEX(Matches!$AV$5:$AV$12,MATCH($C25,Matches!$A$5:$A$12,0)))),""))</f>
        <v>0.502048124462551</v>
      </c>
      <c r="AX25" s="13" t="n">
        <f aca="false">IF(OR($AW25="",$AT25=""),1,((Config!$B$14*$AW25+Config!$B$15*(1-$AW25))/(Config!$B$14*$AT25+Config!$B$15*(1-$AT25)))^Config!$B$13)</f>
        <v>1.00075484386033</v>
      </c>
      <c r="AY25" s="10" t="n">
        <f aca="false">IF($AS25="","",IFERROR(IF(INDEX(Matches!$BB$5:$BB$12,MATCH($C25,Matches!$A$5:$A$12,0))="","",IF($AS25="A",INDEX(Matches!$BB$5:$BB$12,MATCH($C25,Matches!$A$5:$A$12,0)),1-INDEX(Matches!$BB$5:$BB$12,MATCH($C25,Matches!$A$5:$A$12,0)))),""))</f>
        <v>0.513026308146898</v>
      </c>
      <c r="AZ25" s="13" t="n">
        <f aca="false">IF(OR($AY25="",$AT25=""),1,((Config!$B$14*$AY25+Config!$B$15*(1-$AY25))/(Config!$B$14*$AT25+Config!$B$15*(1-$AT25)))^Config!$B$13)</f>
        <v>1.01055460499804</v>
      </c>
      <c r="BA25" s="17" t="n">
        <f aca="false">IF(V25="","",V25*$AV25)</f>
        <v>13.6321768162917</v>
      </c>
      <c r="BB25" s="17" t="n">
        <f aca="false">IF(AC25="","",AC25*$AX25)</f>
        <v>11.7144359002915</v>
      </c>
      <c r="BC25" s="17" t="n">
        <f aca="false">IF(AJ25="","",AJ25*$AZ25)</f>
        <v>12.7826736243877</v>
      </c>
      <c r="BD25" s="17" t="n">
        <f aca="false">N(BA25)+N(BB25)</f>
        <v>25.3466127165831</v>
      </c>
      <c r="BE25" s="17" t="n">
        <f aca="false">BD25+N($M25)*N(BC25)</f>
        <v>31.4439480354161</v>
      </c>
      <c r="BF25" s="17" t="n">
        <f aca="false">IF(W25="","",W25*$AV25)</f>
        <v>7.22610234162045</v>
      </c>
      <c r="BG25" s="17" t="n">
        <f aca="false">IF(AD25="","",AD25*$AX25)</f>
        <v>6.41300285341513</v>
      </c>
      <c r="BH25" s="17" t="n">
        <f aca="false">IF(AK25="","",AK25*$AZ25)</f>
        <v>6.47868508196049</v>
      </c>
      <c r="BI25" s="17" t="n">
        <f aca="false">IF(BF25="","",N(BF25)+N(BG25))</f>
        <v>13.6391051950356</v>
      </c>
      <c r="BJ25" s="17" t="n">
        <f aca="false">IF(BI25="","",BI25+N($M25)*N(BH25))</f>
        <v>16.7294379791307</v>
      </c>
      <c r="BK25" s="13" t="n">
        <f aca="false">IFERROR(BD25/AL25,1)</f>
        <v>0.998786217289452</v>
      </c>
    </row>
    <row r="26" customFormat="false" ht="15" hidden="false" customHeight="false" outlineLevel="0" collapsed="false">
      <c r="A26" s="0" t="s">
        <v>750</v>
      </c>
      <c r="B26" s="0" t="s">
        <v>637</v>
      </c>
      <c r="C26" s="0" t="s">
        <v>646</v>
      </c>
      <c r="D26" s="0" t="s">
        <v>652</v>
      </c>
      <c r="E26" s="0" t="s">
        <v>749</v>
      </c>
      <c r="F26" s="0" t="s">
        <v>887</v>
      </c>
      <c r="G26" s="0" t="str">
        <f aca="false">IFERROR(IF(INDEX(Matches!$W$5:$W$12,MATCH($C26,Matches!$A$5:$A$12,0))="","",INDEX(Matches!$W$5:$W$12,MATCH($C26,Matches!$A$5:$A$12,0))),"")</f>
        <v>Lotus</v>
      </c>
      <c r="H26" s="0" t="str">
        <f aca="false">IFERROR(IF(INDEX(Matches!$X$5:$X$12,MATCH($C26,Matches!$A$5:$A$12,0))="","",INDEX(Matches!$X$5:$X$12,MATCH($C26,Matches!$A$5:$A$12,0))),"")</f>
        <v>Sunset</v>
      </c>
      <c r="I26" s="0" t="str">
        <f aca="false">IFERROR(IF(INDEX(Matches!$Y$5:$Y$12,MATCH($C26,Matches!$A$5:$A$12,0))="","",INDEX(Matches!$Y$5:$Y$12,MATCH($C26,Matches!$A$5:$A$12,0))),"")</f>
        <v>Split</v>
      </c>
      <c r="J26" s="11" t="n">
        <f aca="false">IFERROR(IF(INDEX(Matches!$Z$5:$Z$12,MATCH($C26,Matches!$A$5:$A$12,0))="","",INDEX(Matches!$Z$5:$Z$12,MATCH($C26,Matches!$A$5:$A$12,0))),"")</f>
        <v>21.36</v>
      </c>
      <c r="K26" s="11" t="n">
        <f aca="false">IFERROR(IF(INDEX(Matches!$AA$5:$AA$12,MATCH($C26,Matches!$A$5:$A$12,0))="","",INDEX(Matches!$AA$5:$AA$12,MATCH($C26,Matches!$A$5:$A$12,0))),"")</f>
        <v>21.3</v>
      </c>
      <c r="L26" s="11" t="n">
        <f aca="false">IFERROR(IF(INDEX(Matches!$AB$5:$AB$12,MATCH($C26,Matches!$A$5:$A$12,0))="","",INDEX(Matches!$AB$5:$AB$12,MATCH($C26,Matches!$A$5:$A$12,0))),"")</f>
        <v>22.5</v>
      </c>
      <c r="M26" s="10" t="n">
        <f aca="false">IFERROR(IF(INDEX(Matches!$AC$5:$AC$12,MATCH($C26,Matches!$A$5:$A$12,0))="","",INDEX(Matches!$AC$5:$AC$12,MATCH($C26,Matches!$A$5:$A$12,0))),"")</f>
        <v>0.4441</v>
      </c>
      <c r="N26" s="9" t="n">
        <f aca="false">IFERROR(INDEX(Players!$F$2:$F$56,MATCH($F26,Players!$A$2:$A$56,0)),0)</f>
        <v>13</v>
      </c>
      <c r="O26" s="13" t="n">
        <f aca="false">IFERROR(1/(1/INDEX(Players!$H$2:$H$56,MATCH($F26,Players!$A$2:$A$56,0))),"")</f>
        <v>0.58</v>
      </c>
      <c r="P26" s="10" t="str">
        <f aca="false">IFERROR(1/(1/INDEX(Players!$I$2:$I$56,MATCH($F26,Players!$A$2:$A$56,0))),"")</f>
        <v/>
      </c>
      <c r="Q26" s="9" t="n">
        <f aca="false">IF($G26="",0,SUMIFS(Map_Stats!$F$2:$F$450,Map_Stats!$A$2:$A$450,$F26&amp;"|"&amp;$G26))</f>
        <v>5</v>
      </c>
      <c r="R26" s="13" t="n">
        <f aca="false">IF($G26="","",IFERROR(1/(1/INDEX(Map_Stats!$K$2:$K$450,MATCH($F26&amp;"|"&amp;$G26,Map_Stats!$A$2:$A$450,0))),$O26))</f>
        <v>0.467818930041152</v>
      </c>
      <c r="S26" s="10" t="str">
        <f aca="false">IF(OR($G26="",$P26=""),"",IFERROR(1/(1/INDEX(Map_Stats!$I$2:$I$450,MATCH($F26&amp;"|"&amp;$G26,Map_Stats!$A$2:$A$450,0))),$P26))</f>
        <v/>
      </c>
      <c r="T26" s="13" t="n">
        <f aca="false">IF(OR($G26="",R26=""),"",IF($O26="",R26,(Q26*R26+Config!$B$4*$O26)/(Q26+Config!$B$4)))</f>
        <v>0.523909465020576</v>
      </c>
      <c r="U26" s="10" t="str">
        <f aca="false">IF(S26="","",(Q26*S26+Config!$B$4*$P26)/(Q26+Config!$B$4))</f>
        <v/>
      </c>
      <c r="V26" s="17" t="n">
        <f aca="false">IF(OR(T26="",$J26=""),"",T26*$J26*($J26/Config!$B$11)^Config!$B$9)</f>
        <v>11.1907061728395</v>
      </c>
      <c r="W26" s="17" t="str">
        <f aca="false">IF(OR(V26="",U26=""),"",V26*U26)</f>
        <v/>
      </c>
      <c r="X26" s="9" t="n">
        <f aca="false">IF($H26="",0,SUMIFS(Map_Stats!$F$2:$F$450,Map_Stats!$A$2:$A$450,$F26&amp;"|"&amp;$H26))</f>
        <v>1</v>
      </c>
      <c r="Y26" s="13" t="n">
        <f aca="false">IF($H26="","",IFERROR(1/(1/INDEX(Map_Stats!$K$2:$K$450,MATCH($F26&amp;"|"&amp;$H26,Map_Stats!$A$2:$A$450,0))),$O26))</f>
        <v>0.954732510288066</v>
      </c>
      <c r="Z26" s="10" t="str">
        <f aca="false">IF(OR($H26="",$P26=""),"",IFERROR(1/(1/INDEX(Map_Stats!$I$2:$I$450,MATCH($F26&amp;"|"&amp;$H26,Map_Stats!$A$2:$A$450,0))),$P26))</f>
        <v/>
      </c>
      <c r="AA26" s="13" t="n">
        <f aca="false">IF(OR($H26="",Y26=""),"",IF($O26="",Y26,(X26*Y26+Config!$B$4*$O26)/(X26+Config!$B$4)))</f>
        <v>0.642455418381344</v>
      </c>
      <c r="AB26" s="10" t="str">
        <f aca="false">IF(Z26="","",(X26*Z26+Config!$B$4*$P26)/(X26+Config!$B$4))</f>
        <v/>
      </c>
      <c r="AC26" s="17" t="n">
        <f aca="false">IF(OR(AA26="",$K26=""),"",AA26*$K26*($K26/Config!$B$11)^Config!$B$9)</f>
        <v>13.6843004115226</v>
      </c>
      <c r="AD26" s="17" t="str">
        <f aca="false">IF(OR(AC26="",AB26=""),"",AC26*AB26)</f>
        <v/>
      </c>
      <c r="AE26" s="9" t="n">
        <f aca="false">IF($I26="",0,SUMIFS(Map_Stats!$F$2:$F$450,Map_Stats!$A$2:$A$450,$F26&amp;"|"&amp;$I26))</f>
        <v>1</v>
      </c>
      <c r="AF26" s="13" t="n">
        <f aca="false">IF($I26="","",IFERROR(1/(1/INDEX(Map_Stats!$K$2:$K$450,MATCH($F26&amp;"|"&amp;$I26,Map_Stats!$A$2:$A$450,0))),$O26))</f>
        <v>0.477366255144033</v>
      </c>
      <c r="AG26" s="10" t="str">
        <f aca="false">IF(OR($I26="",$P26=""),"",IFERROR(1/(1/INDEX(Map_Stats!$I$2:$I$450,MATCH($F26&amp;"|"&amp;$I26,Map_Stats!$A$2:$A$450,0))),$P26))</f>
        <v/>
      </c>
      <c r="AH26" s="13" t="n">
        <f aca="false">IF(OR($I26="",AF26=""),"",IF($O26="",AF26,(AE26*AF26+Config!$B$4*$O26)/(AE26+Config!$B$4)))</f>
        <v>0.562894375857339</v>
      </c>
      <c r="AI26" s="10" t="str">
        <f aca="false">IF(AG26="","",(AE26*AG26+Config!$B$4*$P26)/(AE26+Config!$B$4))</f>
        <v/>
      </c>
      <c r="AJ26" s="17" t="n">
        <f aca="false">IF(OR(AH26="",$L26=""),"",AH26*$L26*($L26/Config!$B$11)^Config!$B$9)</f>
        <v>12.6651234567901</v>
      </c>
      <c r="AK26" s="17" t="str">
        <f aca="false">IF(OR(AJ26="",AI26=""),"",AJ26*AI26)</f>
        <v/>
      </c>
      <c r="AL26" s="17" t="n">
        <f aca="false">N(V26)+N(AC26)</f>
        <v>24.8750065843621</v>
      </c>
      <c r="AM26" s="17" t="n">
        <f aca="false">AL26+N($M26)*N(AJ26)</f>
        <v>30.4995879115226</v>
      </c>
      <c r="AN26" s="17" t="str">
        <f aca="false">IF(W26="","",N(W26)+N(AD26))</f>
        <v/>
      </c>
      <c r="AO26" s="17" t="str">
        <f aca="false">IF(AN26="","",AN26+N($M26)*N(AK26))</f>
        <v/>
      </c>
      <c r="AP26" s="10" t="str">
        <f aca="false">IFERROR(AN26/AL26,"")</f>
        <v/>
      </c>
      <c r="AQ26" s="0" t="str">
        <f aca="false">TRIM(IF($N26&lt;Config!$B$12,"thin sample ("&amp;$N26&amp;" maps) · ","")&amp;IF(AND($G26&lt;&gt;"",Q26=0),"M1 unplayed→overall KPR · ","")&amp;IF(AND($H26&lt;&gt;"",X26=0),"M2 unplayed→overall KPR · ","")&amp;IF($O26="","no PickFinder stats",""))</f>
        <v>thin sample (13 maps) ·</v>
      </c>
      <c r="AR26" s="0" t="str">
        <f aca="false">IF($C26=Board!$B$2,COUNTIFS($C$2:$C$56,Board!$B$2,$AL$2:$AL$56,"&gt;"&amp;$AL26)+COUNTIFS($C$1:$C25,Board!$B$2,$AL$1:$AL25,$AL26)+1,"")</f>
        <v/>
      </c>
      <c r="AS26" s="0" t="str">
        <f aca="false">IFERROR(IF($D26=INDEX(Matches!$AD$5:$AD$12,MATCH($C26,Matches!$A$5:$A$12,0)),"A",IF($D26=INDEX(Matches!$AE$5:$AE$12,MATCH($C26,Matches!$A$5:$A$12,0)),"B","")),"")</f>
        <v>B</v>
      </c>
      <c r="AT26" s="10" t="n">
        <f aca="false">IF($AS26="","",IFERROR(IF($AS26="A",INDEX(Matches!$AI$5:$AI$12,MATCH($C26,Matches!$A$5:$A$12,0)),INDEX(Matches!$AJ$5:$AJ$12,MATCH($C26,Matches!$A$5:$A$12,0))),""))</f>
        <v>0</v>
      </c>
      <c r="AU26" s="10" t="str">
        <f aca="false">IF($AS26="","",IFERROR(IF(INDEX(Matches!$AP$5:$AP$12,MATCH($C26,Matches!$A$5:$A$12,0))="","",IF($AS26="A",INDEX(Matches!$AP$5:$AP$12,MATCH($C26,Matches!$A$5:$A$12,0)),1-INDEX(Matches!$AP$5:$AP$12,MATCH($C26,Matches!$A$5:$A$12,0)))),""))</f>
        <v/>
      </c>
      <c r="AV26" s="13" t="n">
        <f aca="false">IF(OR($AU26="",$AT26=""),1,((Config!$B$14*$AU26+Config!$B$15*(1-$AU26))/(Config!$B$14*$AT26+Config!$B$15*(1-$AT26)))^Config!$B$13)</f>
        <v>1</v>
      </c>
      <c r="AW26" s="10" t="str">
        <f aca="false">IF($AS26="","",IFERROR(IF(INDEX(Matches!$AV$5:$AV$12,MATCH($C26,Matches!$A$5:$A$12,0))="","",IF($AS26="A",INDEX(Matches!$AV$5:$AV$12,MATCH($C26,Matches!$A$5:$A$12,0)),1-INDEX(Matches!$AV$5:$AV$12,MATCH($C26,Matches!$A$5:$A$12,0)))),""))</f>
        <v/>
      </c>
      <c r="AX26" s="13" t="n">
        <f aca="false">IF(OR($AW26="",$AT26=""),1,((Config!$B$14*$AW26+Config!$B$15*(1-$AW26))/(Config!$B$14*$AT26+Config!$B$15*(1-$AT26)))^Config!$B$13)</f>
        <v>1</v>
      </c>
      <c r="AY26" s="10" t="str">
        <f aca="false">IF($AS26="","",IFERROR(IF(INDEX(Matches!$BB$5:$BB$12,MATCH($C26,Matches!$A$5:$A$12,0))="","",IF($AS26="A",INDEX(Matches!$BB$5:$BB$12,MATCH($C26,Matches!$A$5:$A$12,0)),1-INDEX(Matches!$BB$5:$BB$12,MATCH($C26,Matches!$A$5:$A$12,0)))),""))</f>
        <v/>
      </c>
      <c r="AZ26" s="13" t="n">
        <f aca="false">IF(OR($AY26="",$AT26=""),1,((Config!$B$14*$AY26+Config!$B$15*(1-$AY26))/(Config!$B$14*$AT26+Config!$B$15*(1-$AT26)))^Config!$B$13)</f>
        <v>1</v>
      </c>
      <c r="BA26" s="17" t="n">
        <f aca="false">IF(V26="","",V26*$AV26)</f>
        <v>11.1907061728395</v>
      </c>
      <c r="BB26" s="17" t="n">
        <f aca="false">IF(AC26="","",AC26*$AX26)</f>
        <v>13.6843004115226</v>
      </c>
      <c r="BC26" s="17" t="n">
        <f aca="false">IF(AJ26="","",AJ26*$AZ26)</f>
        <v>12.6651234567901</v>
      </c>
      <c r="BD26" s="17" t="n">
        <f aca="false">N(BA26)+N(BB26)</f>
        <v>24.8750065843621</v>
      </c>
      <c r="BE26" s="17" t="n">
        <f aca="false">BD26+N($M26)*N(BC26)</f>
        <v>30.4995879115226</v>
      </c>
      <c r="BF26" s="17" t="str">
        <f aca="false">IF(W26="","",W26*$AV26)</f>
        <v/>
      </c>
      <c r="BG26" s="17" t="str">
        <f aca="false">IF(AD26="","",AD26*$AX26)</f>
        <v/>
      </c>
      <c r="BH26" s="17" t="str">
        <f aca="false">IF(AK26="","",AK26*$AZ26)</f>
        <v/>
      </c>
      <c r="BI26" s="17" t="str">
        <f aca="false">IF(BF26="","",N(BF26)+N(BG26))</f>
        <v/>
      </c>
      <c r="BJ26" s="17" t="str">
        <f aca="false">IF(BI26="","",BI26+N($M26)*N(BH26))</f>
        <v/>
      </c>
      <c r="BK26" s="13" t="n">
        <f aca="false">IFERROR(BD26/AL26,1)</f>
        <v>1</v>
      </c>
    </row>
    <row r="27" customFormat="false" ht="15" hidden="false" customHeight="false" outlineLevel="0" collapsed="false">
      <c r="A27" s="0" t="s">
        <v>752</v>
      </c>
      <c r="B27" s="0" t="s">
        <v>637</v>
      </c>
      <c r="C27" s="0" t="s">
        <v>646</v>
      </c>
      <c r="D27" s="0" t="s">
        <v>652</v>
      </c>
      <c r="E27" s="0" t="s">
        <v>751</v>
      </c>
      <c r="F27" s="0" t="s">
        <v>888</v>
      </c>
      <c r="G27" s="0" t="str">
        <f aca="false">IFERROR(IF(INDEX(Matches!$W$5:$W$12,MATCH($C27,Matches!$A$5:$A$12,0))="","",INDEX(Matches!$W$5:$W$12,MATCH($C27,Matches!$A$5:$A$12,0))),"")</f>
        <v>Lotus</v>
      </c>
      <c r="H27" s="0" t="str">
        <f aca="false">IFERROR(IF(INDEX(Matches!$X$5:$X$12,MATCH($C27,Matches!$A$5:$A$12,0))="","",INDEX(Matches!$X$5:$X$12,MATCH($C27,Matches!$A$5:$A$12,0))),"")</f>
        <v>Sunset</v>
      </c>
      <c r="I27" s="0" t="str">
        <f aca="false">IFERROR(IF(INDEX(Matches!$Y$5:$Y$12,MATCH($C27,Matches!$A$5:$A$12,0))="","",INDEX(Matches!$Y$5:$Y$12,MATCH($C27,Matches!$A$5:$A$12,0))),"")</f>
        <v>Split</v>
      </c>
      <c r="J27" s="11" t="n">
        <f aca="false">IFERROR(IF(INDEX(Matches!$Z$5:$Z$12,MATCH($C27,Matches!$A$5:$A$12,0))="","",INDEX(Matches!$Z$5:$Z$12,MATCH($C27,Matches!$A$5:$A$12,0))),"")</f>
        <v>21.36</v>
      </c>
      <c r="K27" s="11" t="n">
        <f aca="false">IFERROR(IF(INDEX(Matches!$AA$5:$AA$12,MATCH($C27,Matches!$A$5:$A$12,0))="","",INDEX(Matches!$AA$5:$AA$12,MATCH($C27,Matches!$A$5:$A$12,0))),"")</f>
        <v>21.3</v>
      </c>
      <c r="L27" s="11" t="n">
        <f aca="false">IFERROR(IF(INDEX(Matches!$AB$5:$AB$12,MATCH($C27,Matches!$A$5:$A$12,0))="","",INDEX(Matches!$AB$5:$AB$12,MATCH($C27,Matches!$A$5:$A$12,0))),"")</f>
        <v>22.5</v>
      </c>
      <c r="M27" s="10" t="n">
        <f aca="false">IFERROR(IF(INDEX(Matches!$AC$5:$AC$12,MATCH($C27,Matches!$A$5:$A$12,0))="","",INDEX(Matches!$AC$5:$AC$12,MATCH($C27,Matches!$A$5:$A$12,0))),"")</f>
        <v>0.4441</v>
      </c>
      <c r="N27" s="9" t="n">
        <f aca="false">IFERROR(INDEX(Players!$F$2:$F$56,MATCH($F27,Players!$A$2:$A$56,0)),0)</f>
        <v>23</v>
      </c>
      <c r="O27" s="13" t="n">
        <f aca="false">IFERROR(1/(1/INDEX(Players!$H$2:$H$56,MATCH($F27,Players!$A$2:$A$56,0))),"")</f>
        <v>0.73</v>
      </c>
      <c r="P27" s="10" t="str">
        <f aca="false">IFERROR(1/(1/INDEX(Players!$I$2:$I$56,MATCH($F27,Players!$A$2:$A$56,0))),"")</f>
        <v/>
      </c>
      <c r="Q27" s="9" t="n">
        <f aca="false">IF($G27="",0,SUMIFS(Map_Stats!$F$2:$F$450,Map_Stats!$A$2:$A$450,$F27&amp;"|"&amp;$G27))</f>
        <v>7</v>
      </c>
      <c r="R27" s="13" t="n">
        <f aca="false">IF($G27="","",IFERROR(1/(1/INDEX(Map_Stats!$K$2:$K$450,MATCH($F27&amp;"|"&amp;$G27,Map_Stats!$A$2:$A$450,0))),$O27))</f>
        <v>0.850616522811344</v>
      </c>
      <c r="S27" s="10" t="str">
        <f aca="false">IF(OR($G27="",$P27=""),"",IFERROR(1/(1/INDEX(Map_Stats!$I$2:$I$450,MATCH($F27&amp;"|"&amp;$G27,Map_Stats!$A$2:$A$450,0))),$P27))</f>
        <v/>
      </c>
      <c r="T27" s="13" t="n">
        <f aca="false">IF(OR($G27="",R27=""),"",IF($O27="",R27,(Q27*R27+Config!$B$4*$O27)/(Q27+Config!$B$4)))</f>
        <v>0.800359638306617</v>
      </c>
      <c r="U27" s="10" t="str">
        <f aca="false">IF(S27="","",(Q27*S27+Config!$B$4*$P27)/(Q27+Config!$B$4))</f>
        <v/>
      </c>
      <c r="V27" s="17" t="n">
        <f aca="false">IF(OR(T27="",$J27=""),"",T27*$J27*($J27/Config!$B$11)^Config!$B$9)</f>
        <v>17.0956818742293</v>
      </c>
      <c r="W27" s="17" t="str">
        <f aca="false">IF(OR(V27="",U27=""),"",V27*U27)</f>
        <v/>
      </c>
      <c r="X27" s="9" t="n">
        <f aca="false">IF($H27="",0,SUMIFS(Map_Stats!$F$2:$F$450,Map_Stats!$A$2:$A$450,$F27&amp;"|"&amp;$H27))</f>
        <v>4</v>
      </c>
      <c r="Y27" s="13" t="n">
        <f aca="false">IF($H27="","",IFERROR(1/(1/INDEX(Map_Stats!$K$2:$K$450,MATCH($F27&amp;"|"&amp;$H27,Map_Stats!$A$2:$A$450,0))),$O27))</f>
        <v>0.733600493218249</v>
      </c>
      <c r="Z27" s="10" t="str">
        <f aca="false">IF(OR($H27="",$P27=""),"",IFERROR(1/(1/INDEX(Map_Stats!$I$2:$I$450,MATCH($F27&amp;"|"&amp;$H27,Map_Stats!$A$2:$A$450,0))),$P27))</f>
        <v/>
      </c>
      <c r="AA27" s="13" t="n">
        <f aca="false">IF(OR($H27="",Y27=""),"",IF($O27="",Y27,(X27*Y27+Config!$B$4*$O27)/(X27+Config!$B$4)))</f>
        <v>0.731600219208111</v>
      </c>
      <c r="AB27" s="10" t="str">
        <f aca="false">IF(Z27="","",(X27*Z27+Config!$B$4*$P27)/(X27+Config!$B$4))</f>
        <v/>
      </c>
      <c r="AC27" s="17" t="n">
        <f aca="false">IF(OR(AA27="",$K27=""),"",AA27*$K27*($K27/Config!$B$11)^Config!$B$9)</f>
        <v>15.5830846691328</v>
      </c>
      <c r="AD27" s="17" t="str">
        <f aca="false">IF(OR(AC27="",AB27=""),"",AC27*AB27)</f>
        <v/>
      </c>
      <c r="AE27" s="9" t="n">
        <f aca="false">IF($I27="",0,SUMIFS(Map_Stats!$F$2:$F$450,Map_Stats!$A$2:$A$450,$F27&amp;"|"&amp;$I27))</f>
        <v>1</v>
      </c>
      <c r="AF27" s="13" t="n">
        <f aca="false">IF($I27="","",IFERROR(1/(1/INDEX(Map_Stats!$K$2:$K$450,MATCH($F27&amp;"|"&amp;$I27,Map_Stats!$A$2:$A$450,0))),$O27))</f>
        <v>0.765104808877929</v>
      </c>
      <c r="AG27" s="10" t="str">
        <f aca="false">IF(OR($I27="",$P27=""),"",IFERROR(1/(1/INDEX(Map_Stats!$I$2:$I$450,MATCH($F27&amp;"|"&amp;$I27,Map_Stats!$A$2:$A$450,0))),$P27))</f>
        <v/>
      </c>
      <c r="AH27" s="13" t="n">
        <f aca="false">IF(OR($I27="",AF27=""),"",IF($O27="",AF27,(AE27*AF27+Config!$B$4*$O27)/(AE27+Config!$B$4)))</f>
        <v>0.735850801479655</v>
      </c>
      <c r="AI27" s="10" t="str">
        <f aca="false">IF(AG27="","",(AE27*AG27+Config!$B$4*$P27)/(AE27+Config!$B$4))</f>
        <v/>
      </c>
      <c r="AJ27" s="17" t="n">
        <f aca="false">IF(OR(AH27="",$L27=""),"",AH27*$L27*($L27/Config!$B$11)^Config!$B$9)</f>
        <v>16.5566430332922</v>
      </c>
      <c r="AK27" s="17" t="str">
        <f aca="false">IF(OR(AJ27="",AI27=""),"",AJ27*AI27)</f>
        <v/>
      </c>
      <c r="AL27" s="17" t="n">
        <f aca="false">N(V27)+N(AC27)</f>
        <v>32.6787665433621</v>
      </c>
      <c r="AM27" s="17" t="n">
        <f aca="false">AL27+N($M27)*N(AJ27)</f>
        <v>40.0315717144472</v>
      </c>
      <c r="AN27" s="17" t="str">
        <f aca="false">IF(W27="","",N(W27)+N(AD27))</f>
        <v/>
      </c>
      <c r="AO27" s="17" t="str">
        <f aca="false">IF(AN27="","",AN27+N($M27)*N(AK27))</f>
        <v/>
      </c>
      <c r="AP27" s="10" t="str">
        <f aca="false">IFERROR(AN27/AL27,"")</f>
        <v/>
      </c>
      <c r="AQ27" s="0" t="str">
        <f aca="false">TRIM(IF($N27&lt;Config!$B$12,"thin sample ("&amp;$N27&amp;" maps) · ","")&amp;IF(AND($G27&lt;&gt;"",Q27=0),"M1 unplayed→overall KPR · ","")&amp;IF(AND($H27&lt;&gt;"",X27=0),"M2 unplayed→overall KPR · ","")&amp;IF($O27="","no PickFinder stats",""))</f>
        <v/>
      </c>
      <c r="AR27" s="0" t="str">
        <f aca="false">IF($C27=Board!$B$2,COUNTIFS($C$2:$C$56,Board!$B$2,$AL$2:$AL$56,"&gt;"&amp;$AL27)+COUNTIFS($C$1:$C26,Board!$B$2,$AL$1:$AL26,$AL27)+1,"")</f>
        <v/>
      </c>
      <c r="AS27" s="0" t="str">
        <f aca="false">IFERROR(IF($D27=INDEX(Matches!$AD$5:$AD$12,MATCH($C27,Matches!$A$5:$A$12,0)),"A",IF($D27=INDEX(Matches!$AE$5:$AE$12,MATCH($C27,Matches!$A$5:$A$12,0)),"B","")),"")</f>
        <v>B</v>
      </c>
      <c r="AT27" s="10" t="n">
        <f aca="false">IF($AS27="","",IFERROR(IF($AS27="A",INDEX(Matches!$AI$5:$AI$12,MATCH($C27,Matches!$A$5:$A$12,0)),INDEX(Matches!$AJ$5:$AJ$12,MATCH($C27,Matches!$A$5:$A$12,0))),""))</f>
        <v>0</v>
      </c>
      <c r="AU27" s="10" t="str">
        <f aca="false">IF($AS27="","",IFERROR(IF(INDEX(Matches!$AP$5:$AP$12,MATCH($C27,Matches!$A$5:$A$12,0))="","",IF($AS27="A",INDEX(Matches!$AP$5:$AP$12,MATCH($C27,Matches!$A$5:$A$12,0)),1-INDEX(Matches!$AP$5:$AP$12,MATCH($C27,Matches!$A$5:$A$12,0)))),""))</f>
        <v/>
      </c>
      <c r="AV27" s="13" t="n">
        <f aca="false">IF(OR($AU27="",$AT27=""),1,((Config!$B$14*$AU27+Config!$B$15*(1-$AU27))/(Config!$B$14*$AT27+Config!$B$15*(1-$AT27)))^Config!$B$13)</f>
        <v>1</v>
      </c>
      <c r="AW27" s="10" t="str">
        <f aca="false">IF($AS27="","",IFERROR(IF(INDEX(Matches!$AV$5:$AV$12,MATCH($C27,Matches!$A$5:$A$12,0))="","",IF($AS27="A",INDEX(Matches!$AV$5:$AV$12,MATCH($C27,Matches!$A$5:$A$12,0)),1-INDEX(Matches!$AV$5:$AV$12,MATCH($C27,Matches!$A$5:$A$12,0)))),""))</f>
        <v/>
      </c>
      <c r="AX27" s="13" t="n">
        <f aca="false">IF(OR($AW27="",$AT27=""),1,((Config!$B$14*$AW27+Config!$B$15*(1-$AW27))/(Config!$B$14*$AT27+Config!$B$15*(1-$AT27)))^Config!$B$13)</f>
        <v>1</v>
      </c>
      <c r="AY27" s="10" t="str">
        <f aca="false">IF($AS27="","",IFERROR(IF(INDEX(Matches!$BB$5:$BB$12,MATCH($C27,Matches!$A$5:$A$12,0))="","",IF($AS27="A",INDEX(Matches!$BB$5:$BB$12,MATCH($C27,Matches!$A$5:$A$12,0)),1-INDEX(Matches!$BB$5:$BB$12,MATCH($C27,Matches!$A$5:$A$12,0)))),""))</f>
        <v/>
      </c>
      <c r="AZ27" s="13" t="n">
        <f aca="false">IF(OR($AY27="",$AT27=""),1,((Config!$B$14*$AY27+Config!$B$15*(1-$AY27))/(Config!$B$14*$AT27+Config!$B$15*(1-$AT27)))^Config!$B$13)</f>
        <v>1</v>
      </c>
      <c r="BA27" s="17" t="n">
        <f aca="false">IF(V27="","",V27*$AV27)</f>
        <v>17.0956818742293</v>
      </c>
      <c r="BB27" s="17" t="n">
        <f aca="false">IF(AC27="","",AC27*$AX27)</f>
        <v>15.5830846691328</v>
      </c>
      <c r="BC27" s="17" t="n">
        <f aca="false">IF(AJ27="","",AJ27*$AZ27)</f>
        <v>16.5566430332922</v>
      </c>
      <c r="BD27" s="17" t="n">
        <f aca="false">N(BA27)+N(BB27)</f>
        <v>32.6787665433621</v>
      </c>
      <c r="BE27" s="17" t="n">
        <f aca="false">BD27+N($M27)*N(BC27)</f>
        <v>40.0315717144472</v>
      </c>
      <c r="BF27" s="17" t="str">
        <f aca="false">IF(W27="","",W27*$AV27)</f>
        <v/>
      </c>
      <c r="BG27" s="17" t="str">
        <f aca="false">IF(AD27="","",AD27*$AX27)</f>
        <v/>
      </c>
      <c r="BH27" s="17" t="str">
        <f aca="false">IF(AK27="","",AK27*$AZ27)</f>
        <v/>
      </c>
      <c r="BI27" s="17" t="str">
        <f aca="false">IF(BF27="","",N(BF27)+N(BG27))</f>
        <v/>
      </c>
      <c r="BJ27" s="17" t="str">
        <f aca="false">IF(BI27="","",BI27+N($M27)*N(BH27))</f>
        <v/>
      </c>
      <c r="BK27" s="13" t="n">
        <f aca="false">IFERROR(BD27/AL27,1)</f>
        <v>1</v>
      </c>
    </row>
    <row r="28" customFormat="false" ht="15" hidden="false" customHeight="false" outlineLevel="0" collapsed="false">
      <c r="A28" s="0" t="s">
        <v>754</v>
      </c>
      <c r="B28" s="0" t="s">
        <v>637</v>
      </c>
      <c r="C28" s="0" t="s">
        <v>646</v>
      </c>
      <c r="D28" s="0" t="s">
        <v>652</v>
      </c>
      <c r="E28" s="0" t="s">
        <v>753</v>
      </c>
      <c r="F28" s="0" t="s">
        <v>889</v>
      </c>
      <c r="G28" s="0" t="str">
        <f aca="false">IFERROR(IF(INDEX(Matches!$W$5:$W$12,MATCH($C28,Matches!$A$5:$A$12,0))="","",INDEX(Matches!$W$5:$W$12,MATCH($C28,Matches!$A$5:$A$12,0))),"")</f>
        <v>Lotus</v>
      </c>
      <c r="H28" s="0" t="str">
        <f aca="false">IFERROR(IF(INDEX(Matches!$X$5:$X$12,MATCH($C28,Matches!$A$5:$A$12,0))="","",INDEX(Matches!$X$5:$X$12,MATCH($C28,Matches!$A$5:$A$12,0))),"")</f>
        <v>Sunset</v>
      </c>
      <c r="I28" s="0" t="str">
        <f aca="false">IFERROR(IF(INDEX(Matches!$Y$5:$Y$12,MATCH($C28,Matches!$A$5:$A$12,0))="","",INDEX(Matches!$Y$5:$Y$12,MATCH($C28,Matches!$A$5:$A$12,0))),"")</f>
        <v>Split</v>
      </c>
      <c r="J28" s="11" t="n">
        <f aca="false">IFERROR(IF(INDEX(Matches!$Z$5:$Z$12,MATCH($C28,Matches!$A$5:$A$12,0))="","",INDEX(Matches!$Z$5:$Z$12,MATCH($C28,Matches!$A$5:$A$12,0))),"")</f>
        <v>21.36</v>
      </c>
      <c r="K28" s="11" t="n">
        <f aca="false">IFERROR(IF(INDEX(Matches!$AA$5:$AA$12,MATCH($C28,Matches!$A$5:$A$12,0))="","",INDEX(Matches!$AA$5:$AA$12,MATCH($C28,Matches!$A$5:$A$12,0))),"")</f>
        <v>21.3</v>
      </c>
      <c r="L28" s="11" t="n">
        <f aca="false">IFERROR(IF(INDEX(Matches!$AB$5:$AB$12,MATCH($C28,Matches!$A$5:$A$12,0))="","",INDEX(Matches!$AB$5:$AB$12,MATCH($C28,Matches!$A$5:$A$12,0))),"")</f>
        <v>22.5</v>
      </c>
      <c r="M28" s="10" t="n">
        <f aca="false">IFERROR(IF(INDEX(Matches!$AC$5:$AC$12,MATCH($C28,Matches!$A$5:$A$12,0))="","",INDEX(Matches!$AC$5:$AC$12,MATCH($C28,Matches!$A$5:$A$12,0))),"")</f>
        <v>0.4441</v>
      </c>
      <c r="N28" s="9" t="n">
        <f aca="false">IFERROR(INDEX(Players!$F$2:$F$56,MATCH($F28,Players!$A$2:$A$56,0)),0)</f>
        <v>13</v>
      </c>
      <c r="O28" s="13" t="n">
        <f aca="false">IFERROR(1/(1/INDEX(Players!$H$2:$H$56,MATCH($F28,Players!$A$2:$A$56,0))),"")</f>
        <v>0.65</v>
      </c>
      <c r="P28" s="10" t="str">
        <f aca="false">IFERROR(1/(1/INDEX(Players!$I$2:$I$56,MATCH($F28,Players!$A$2:$A$56,0))),"")</f>
        <v/>
      </c>
      <c r="Q28" s="9" t="n">
        <f aca="false">IF($G28="",0,SUMIFS(Map_Stats!$F$2:$F$450,Map_Stats!$A$2:$A$450,$F28&amp;"|"&amp;$G28))</f>
        <v>3</v>
      </c>
      <c r="R28" s="13" t="n">
        <f aca="false">IF($G28="","",IFERROR(1/(1/INDEX(Map_Stats!$K$2:$K$450,MATCH($F28&amp;"|"&amp;$G28,Map_Stats!$A$2:$A$450,0))),$O28))</f>
        <v>0.600142045454546</v>
      </c>
      <c r="S28" s="10" t="str">
        <f aca="false">IF(OR($G28="",$P28=""),"",IFERROR(1/(1/INDEX(Map_Stats!$I$2:$I$450,MATCH($F28&amp;"|"&amp;$G28,Map_Stats!$A$2:$A$450,0))),$P28))</f>
        <v/>
      </c>
      <c r="T28" s="13" t="n">
        <f aca="false">IF(OR($G28="",R28=""),"",IF($O28="",R28,(Q28*R28+Config!$B$4*$O28)/(Q28+Config!$B$4)))</f>
        <v>0.631303267045455</v>
      </c>
      <c r="U28" s="10" t="str">
        <f aca="false">IF(S28="","",(Q28*S28+Config!$B$4*$P28)/(Q28+Config!$B$4))</f>
        <v/>
      </c>
      <c r="V28" s="17" t="n">
        <f aca="false">IF(OR(T28="",$J28=""),"",T28*$J28*($J28/Config!$B$11)^Config!$B$9)</f>
        <v>13.4846377840909</v>
      </c>
      <c r="W28" s="17" t="str">
        <f aca="false">IF(OR(V28="",U28=""),"",V28*U28)</f>
        <v/>
      </c>
      <c r="X28" s="9" t="n">
        <f aca="false">IF($H28="",0,SUMIFS(Map_Stats!$F$2:$F$450,Map_Stats!$A$2:$A$450,$F28&amp;"|"&amp;$H28))</f>
        <v>2</v>
      </c>
      <c r="Y28" s="13" t="n">
        <f aca="false">IF($H28="","",IFERROR(1/(1/INDEX(Map_Stats!$K$2:$K$450,MATCH($F28&amp;"|"&amp;$H28,Map_Stats!$A$2:$A$450,0))),$O28))</f>
        <v>1.015625</v>
      </c>
      <c r="Z28" s="10" t="str">
        <f aca="false">IF(OR($H28="",$P28=""),"",IFERROR(1/(1/INDEX(Map_Stats!$I$2:$I$450,MATCH($F28&amp;"|"&amp;$H28,Map_Stats!$A$2:$A$450,0))),$P28))</f>
        <v/>
      </c>
      <c r="AA28" s="13" t="n">
        <f aca="false">IF(OR($H28="",Y28=""),"",IF($O28="",Y28,(X28*Y28+Config!$B$4*$O28)/(X28+Config!$B$4)))</f>
        <v>0.754464285714286</v>
      </c>
      <c r="AB28" s="10" t="str">
        <f aca="false">IF(Z28="","",(X28*Z28+Config!$B$4*$P28)/(X28+Config!$B$4))</f>
        <v/>
      </c>
      <c r="AC28" s="17" t="n">
        <f aca="false">IF(OR(AA28="",$K28=""),"",AA28*$K28*($K28/Config!$B$11)^Config!$B$9)</f>
        <v>16.0700892857143</v>
      </c>
      <c r="AD28" s="17" t="str">
        <f aca="false">IF(OR(AC28="",AB28=""),"",AC28*AB28)</f>
        <v/>
      </c>
      <c r="AE28" s="9" t="n">
        <f aca="false">IF($I28="",0,SUMIFS(Map_Stats!$F$2:$F$450,Map_Stats!$A$2:$A$450,$F28&amp;"|"&amp;$I28))</f>
        <v>1</v>
      </c>
      <c r="AF28" s="13" t="n">
        <f aca="false">IF($I28="","",IFERROR(1/(1/INDEX(Map_Stats!$K$2:$K$450,MATCH($F28&amp;"|"&amp;$I28,Map_Stats!$A$2:$A$450,0))),$O28))</f>
        <v>0.600142045454546</v>
      </c>
      <c r="AG28" s="10" t="str">
        <f aca="false">IF(OR($I28="",$P28=""),"",IFERROR(1/(1/INDEX(Map_Stats!$I$2:$I$450,MATCH($F28&amp;"|"&amp;$I28,Map_Stats!$A$2:$A$450,0))),$P28))</f>
        <v/>
      </c>
      <c r="AH28" s="13" t="n">
        <f aca="false">IF(OR($I28="",AF28=""),"",IF($O28="",AF28,(AE28*AF28+Config!$B$4*$O28)/(AE28+Config!$B$4)))</f>
        <v>0.641690340909091</v>
      </c>
      <c r="AI28" s="10" t="str">
        <f aca="false">IF(AG28="","",(AE28*AG28+Config!$B$4*$P28)/(AE28+Config!$B$4))</f>
        <v/>
      </c>
      <c r="AJ28" s="17" t="n">
        <f aca="false">IF(OR(AH28="",$L28=""),"",AH28*$L28*($L28/Config!$B$11)^Config!$B$9)</f>
        <v>14.4380326704545</v>
      </c>
      <c r="AK28" s="17" t="str">
        <f aca="false">IF(OR(AJ28="",AI28=""),"",AJ28*AI28)</f>
        <v/>
      </c>
      <c r="AL28" s="17" t="n">
        <f aca="false">N(V28)+N(AC28)</f>
        <v>29.5547270698052</v>
      </c>
      <c r="AM28" s="17" t="n">
        <f aca="false">AL28+N($M28)*N(AJ28)</f>
        <v>35.9666573787541</v>
      </c>
      <c r="AN28" s="17" t="str">
        <f aca="false">IF(W28="","",N(W28)+N(AD28))</f>
        <v/>
      </c>
      <c r="AO28" s="17" t="str">
        <f aca="false">IF(AN28="","",AN28+N($M28)*N(AK28))</f>
        <v/>
      </c>
      <c r="AP28" s="10" t="str">
        <f aca="false">IFERROR(AN28/AL28,"")</f>
        <v/>
      </c>
      <c r="AQ28" s="0" t="str">
        <f aca="false">TRIM(IF($N28&lt;Config!$B$12,"thin sample ("&amp;$N28&amp;" maps) · ","")&amp;IF(AND($G28&lt;&gt;"",Q28=0),"M1 unplayed→overall KPR · ","")&amp;IF(AND($H28&lt;&gt;"",X28=0),"M2 unplayed→overall KPR · ","")&amp;IF($O28="","no PickFinder stats",""))</f>
        <v>thin sample (13 maps) ·</v>
      </c>
      <c r="AR28" s="0" t="str">
        <f aca="false">IF($C28=Board!$B$2,COUNTIFS($C$2:$C$56,Board!$B$2,$AL$2:$AL$56,"&gt;"&amp;$AL28)+COUNTIFS($C$1:$C27,Board!$B$2,$AL$1:$AL27,$AL28)+1,"")</f>
        <v/>
      </c>
      <c r="AS28" s="0" t="str">
        <f aca="false">IFERROR(IF($D28=INDEX(Matches!$AD$5:$AD$12,MATCH($C28,Matches!$A$5:$A$12,0)),"A",IF($D28=INDEX(Matches!$AE$5:$AE$12,MATCH($C28,Matches!$A$5:$A$12,0)),"B","")),"")</f>
        <v>B</v>
      </c>
      <c r="AT28" s="10" t="n">
        <f aca="false">IF($AS28="","",IFERROR(IF($AS28="A",INDEX(Matches!$AI$5:$AI$12,MATCH($C28,Matches!$A$5:$A$12,0)),INDEX(Matches!$AJ$5:$AJ$12,MATCH($C28,Matches!$A$5:$A$12,0))),""))</f>
        <v>0</v>
      </c>
      <c r="AU28" s="10" t="str">
        <f aca="false">IF($AS28="","",IFERROR(IF(INDEX(Matches!$AP$5:$AP$12,MATCH($C28,Matches!$A$5:$A$12,0))="","",IF($AS28="A",INDEX(Matches!$AP$5:$AP$12,MATCH($C28,Matches!$A$5:$A$12,0)),1-INDEX(Matches!$AP$5:$AP$12,MATCH($C28,Matches!$A$5:$A$12,0)))),""))</f>
        <v/>
      </c>
      <c r="AV28" s="13" t="n">
        <f aca="false">IF(OR($AU28="",$AT28=""),1,((Config!$B$14*$AU28+Config!$B$15*(1-$AU28))/(Config!$B$14*$AT28+Config!$B$15*(1-$AT28)))^Config!$B$13)</f>
        <v>1</v>
      </c>
      <c r="AW28" s="10" t="str">
        <f aca="false">IF($AS28="","",IFERROR(IF(INDEX(Matches!$AV$5:$AV$12,MATCH($C28,Matches!$A$5:$A$12,0))="","",IF($AS28="A",INDEX(Matches!$AV$5:$AV$12,MATCH($C28,Matches!$A$5:$A$12,0)),1-INDEX(Matches!$AV$5:$AV$12,MATCH($C28,Matches!$A$5:$A$12,0)))),""))</f>
        <v/>
      </c>
      <c r="AX28" s="13" t="n">
        <f aca="false">IF(OR($AW28="",$AT28=""),1,((Config!$B$14*$AW28+Config!$B$15*(1-$AW28))/(Config!$B$14*$AT28+Config!$B$15*(1-$AT28)))^Config!$B$13)</f>
        <v>1</v>
      </c>
      <c r="AY28" s="10" t="str">
        <f aca="false">IF($AS28="","",IFERROR(IF(INDEX(Matches!$BB$5:$BB$12,MATCH($C28,Matches!$A$5:$A$12,0))="","",IF($AS28="A",INDEX(Matches!$BB$5:$BB$12,MATCH($C28,Matches!$A$5:$A$12,0)),1-INDEX(Matches!$BB$5:$BB$12,MATCH($C28,Matches!$A$5:$A$12,0)))),""))</f>
        <v/>
      </c>
      <c r="AZ28" s="13" t="n">
        <f aca="false">IF(OR($AY28="",$AT28=""),1,((Config!$B$14*$AY28+Config!$B$15*(1-$AY28))/(Config!$B$14*$AT28+Config!$B$15*(1-$AT28)))^Config!$B$13)</f>
        <v>1</v>
      </c>
      <c r="BA28" s="17" t="n">
        <f aca="false">IF(V28="","",V28*$AV28)</f>
        <v>13.4846377840909</v>
      </c>
      <c r="BB28" s="17" t="n">
        <f aca="false">IF(AC28="","",AC28*$AX28)</f>
        <v>16.0700892857143</v>
      </c>
      <c r="BC28" s="17" t="n">
        <f aca="false">IF(AJ28="","",AJ28*$AZ28)</f>
        <v>14.4380326704545</v>
      </c>
      <c r="BD28" s="17" t="n">
        <f aca="false">N(BA28)+N(BB28)</f>
        <v>29.5547270698052</v>
      </c>
      <c r="BE28" s="17" t="n">
        <f aca="false">BD28+N($M28)*N(BC28)</f>
        <v>35.9666573787541</v>
      </c>
      <c r="BF28" s="17" t="str">
        <f aca="false">IF(W28="","",W28*$AV28)</f>
        <v/>
      </c>
      <c r="BG28" s="17" t="str">
        <f aca="false">IF(AD28="","",AD28*$AX28)</f>
        <v/>
      </c>
      <c r="BH28" s="17" t="str">
        <f aca="false">IF(AK28="","",AK28*$AZ28)</f>
        <v/>
      </c>
      <c r="BI28" s="17" t="str">
        <f aca="false">IF(BF28="","",N(BF28)+N(BG28))</f>
        <v/>
      </c>
      <c r="BJ28" s="17" t="str">
        <f aca="false">IF(BI28="","",BI28+N($M28)*N(BH28))</f>
        <v/>
      </c>
      <c r="BK28" s="13" t="n">
        <f aca="false">IFERROR(BD28/AL28,1)</f>
        <v>1</v>
      </c>
    </row>
    <row r="29" customFormat="false" ht="15" hidden="false" customHeight="false" outlineLevel="0" collapsed="false">
      <c r="A29" s="0" t="s">
        <v>756</v>
      </c>
      <c r="B29" s="0" t="s">
        <v>637</v>
      </c>
      <c r="C29" s="0" t="s">
        <v>646</v>
      </c>
      <c r="D29" s="0" t="s">
        <v>652</v>
      </c>
      <c r="E29" s="0" t="s">
        <v>755</v>
      </c>
      <c r="F29" s="0" t="s">
        <v>890</v>
      </c>
      <c r="G29" s="0" t="str">
        <f aca="false">IFERROR(IF(INDEX(Matches!$W$5:$W$12,MATCH($C29,Matches!$A$5:$A$12,0))="","",INDEX(Matches!$W$5:$W$12,MATCH($C29,Matches!$A$5:$A$12,0))),"")</f>
        <v>Lotus</v>
      </c>
      <c r="H29" s="0" t="str">
        <f aca="false">IFERROR(IF(INDEX(Matches!$X$5:$X$12,MATCH($C29,Matches!$A$5:$A$12,0))="","",INDEX(Matches!$X$5:$X$12,MATCH($C29,Matches!$A$5:$A$12,0))),"")</f>
        <v>Sunset</v>
      </c>
      <c r="I29" s="0" t="str">
        <f aca="false">IFERROR(IF(INDEX(Matches!$Y$5:$Y$12,MATCH($C29,Matches!$A$5:$A$12,0))="","",INDEX(Matches!$Y$5:$Y$12,MATCH($C29,Matches!$A$5:$A$12,0))),"")</f>
        <v>Split</v>
      </c>
      <c r="J29" s="11" t="n">
        <f aca="false">IFERROR(IF(INDEX(Matches!$Z$5:$Z$12,MATCH($C29,Matches!$A$5:$A$12,0))="","",INDEX(Matches!$Z$5:$Z$12,MATCH($C29,Matches!$A$5:$A$12,0))),"")</f>
        <v>21.36</v>
      </c>
      <c r="K29" s="11" t="n">
        <f aca="false">IFERROR(IF(INDEX(Matches!$AA$5:$AA$12,MATCH($C29,Matches!$A$5:$A$12,0))="","",INDEX(Matches!$AA$5:$AA$12,MATCH($C29,Matches!$A$5:$A$12,0))),"")</f>
        <v>21.3</v>
      </c>
      <c r="L29" s="11" t="n">
        <f aca="false">IFERROR(IF(INDEX(Matches!$AB$5:$AB$12,MATCH($C29,Matches!$A$5:$A$12,0))="","",INDEX(Matches!$AB$5:$AB$12,MATCH($C29,Matches!$A$5:$A$12,0))),"")</f>
        <v>22.5</v>
      </c>
      <c r="M29" s="10" t="n">
        <f aca="false">IFERROR(IF(INDEX(Matches!$AC$5:$AC$12,MATCH($C29,Matches!$A$5:$A$12,0))="","",INDEX(Matches!$AC$5:$AC$12,MATCH($C29,Matches!$A$5:$A$12,0))),"")</f>
        <v>0.4441</v>
      </c>
      <c r="N29" s="9" t="n">
        <f aca="false">IFERROR(INDEX(Players!$F$2:$F$56,MATCH($F29,Players!$A$2:$A$56,0)),0)</f>
        <v>30</v>
      </c>
      <c r="O29" s="13" t="n">
        <f aca="false">IFERROR(1/(1/INDEX(Players!$H$2:$H$56,MATCH($F29,Players!$A$2:$A$56,0))),"")</f>
        <v>0.91</v>
      </c>
      <c r="P29" s="10" t="str">
        <f aca="false">IFERROR(1/(1/INDEX(Players!$I$2:$I$56,MATCH($F29,Players!$A$2:$A$56,0))),"")</f>
        <v/>
      </c>
      <c r="Q29" s="9" t="n">
        <f aca="false">IF($G29="",0,SUMIFS(Map_Stats!$F$2:$F$450,Map_Stats!$A$2:$A$450,$F29&amp;"|"&amp;$G29))</f>
        <v>8</v>
      </c>
      <c r="R29" s="13" t="n">
        <f aca="false">IF($G29="","",IFERROR(1/(1/INDEX(Map_Stats!$K$2:$K$450,MATCH($F29&amp;"|"&amp;$G29,Map_Stats!$A$2:$A$450,0))),$O29))</f>
        <v>0.780135912179822</v>
      </c>
      <c r="S29" s="10" t="str">
        <f aca="false">IF(OR($G29="",$P29=""),"",IFERROR(1/(1/INDEX(Map_Stats!$I$2:$I$450,MATCH($F29&amp;"|"&amp;$G29,Map_Stats!$A$2:$A$450,0))),$P29))</f>
        <v/>
      </c>
      <c r="T29" s="13" t="n">
        <f aca="false">IF(OR($G29="",R29=""),"",IF($O29="",R29,(Q29*R29+Config!$B$4*$O29)/(Q29+Config!$B$4)))</f>
        <v>0.830083638264506</v>
      </c>
      <c r="U29" s="10" t="str">
        <f aca="false">IF(S29="","",(Q29*S29+Config!$B$4*$P29)/(Q29+Config!$B$4))</f>
        <v/>
      </c>
      <c r="V29" s="17" t="n">
        <f aca="false">IF(OR(T29="",$J29=""),"",T29*$J29*($J29/Config!$B$11)^Config!$B$9)</f>
        <v>17.7305865133299</v>
      </c>
      <c r="W29" s="17" t="str">
        <f aca="false">IF(OR(V29="",U29=""),"",V29*U29)</f>
        <v/>
      </c>
      <c r="X29" s="9" t="n">
        <f aca="false">IF($H29="",0,SUMIFS(Map_Stats!$F$2:$F$450,Map_Stats!$A$2:$A$450,$F29&amp;"|"&amp;$H29))</f>
        <v>5</v>
      </c>
      <c r="Y29" s="13" t="n">
        <f aca="false">IF($H29="","",IFERROR(1/(1/INDEX(Map_Stats!$K$2:$K$450,MATCH($F29&amp;"|"&amp;$H29,Map_Stats!$A$2:$A$450,0))),$O29))</f>
        <v>0.998954521693675</v>
      </c>
      <c r="Z29" s="10" t="str">
        <f aca="false">IF(OR($H29="",$P29=""),"",IFERROR(1/(1/INDEX(Map_Stats!$I$2:$I$450,MATCH($F29&amp;"|"&amp;$H29,Map_Stats!$A$2:$A$450,0))),$P29))</f>
        <v/>
      </c>
      <c r="AA29" s="13" t="n">
        <f aca="false">IF(OR($H29="",Y29=""),"",IF($O29="",Y29,(X29*Y29+Config!$B$4*$O29)/(X29+Config!$B$4)))</f>
        <v>0.954477260846838</v>
      </c>
      <c r="AB29" s="10" t="str">
        <f aca="false">IF(Z29="","",(X29*Z29+Config!$B$4*$P29)/(X29+Config!$B$4))</f>
        <v/>
      </c>
      <c r="AC29" s="17" t="n">
        <f aca="false">IF(OR(AA29="",$K29=""),"",AA29*$K29*($K29/Config!$B$11)^Config!$B$9)</f>
        <v>20.3303656560376</v>
      </c>
      <c r="AD29" s="17" t="str">
        <f aca="false">IF(OR(AC29="",AB29=""),"",AC29*AB29)</f>
        <v/>
      </c>
      <c r="AE29" s="9" t="n">
        <f aca="false">IF($I29="",0,SUMIFS(Map_Stats!$F$2:$F$450,Map_Stats!$A$2:$A$450,$F29&amp;"|"&amp;$I29))</f>
        <v>3</v>
      </c>
      <c r="AF29" s="13" t="n">
        <f aca="false">IF($I29="","",IFERROR(1/(1/INDEX(Map_Stats!$K$2:$K$450,MATCH($F29&amp;"|"&amp;$I29,Map_Stats!$A$2:$A$450,0))),$O29))</f>
        <v>1.04652378463147</v>
      </c>
      <c r="AG29" s="10" t="str">
        <f aca="false">IF(OR($I29="",$P29=""),"",IFERROR(1/(1/INDEX(Map_Stats!$I$2:$I$450,MATCH($F29&amp;"|"&amp;$I29,Map_Stats!$A$2:$A$450,0))),$P29))</f>
        <v/>
      </c>
      <c r="AH29" s="13" t="n">
        <f aca="false">IF(OR($I29="",AF29=""),"",IF($O29="",AF29,(AE29*AF29+Config!$B$4*$O29)/(AE29+Config!$B$4)))</f>
        <v>0.961196419236801</v>
      </c>
      <c r="AI29" s="10" t="str">
        <f aca="false">IF(AG29="","",(AE29*AG29+Config!$B$4*$P29)/(AE29+Config!$B$4))</f>
        <v/>
      </c>
      <c r="AJ29" s="17" t="n">
        <f aca="false">IF(OR(AH29="",$L29=""),"",AH29*$L29*($L29/Config!$B$11)^Config!$B$9)</f>
        <v>21.626919432828</v>
      </c>
      <c r="AK29" s="17" t="str">
        <f aca="false">IF(OR(AJ29="",AI29=""),"",AJ29*AI29)</f>
        <v/>
      </c>
      <c r="AL29" s="17" t="n">
        <f aca="false">N(V29)+N(AC29)</f>
        <v>38.0609521693675</v>
      </c>
      <c r="AM29" s="17" t="n">
        <f aca="false">AL29+N($M29)*N(AJ29)</f>
        <v>47.6654670894864</v>
      </c>
      <c r="AN29" s="17" t="str">
        <f aca="false">IF(W29="","",N(W29)+N(AD29))</f>
        <v/>
      </c>
      <c r="AO29" s="17" t="str">
        <f aca="false">IF(AN29="","",AN29+N($M29)*N(AK29))</f>
        <v/>
      </c>
      <c r="AP29" s="10" t="str">
        <f aca="false">IFERROR(AN29/AL29,"")</f>
        <v/>
      </c>
      <c r="AQ29" s="0" t="str">
        <f aca="false">TRIM(IF($N29&lt;Config!$B$12,"thin sample ("&amp;$N29&amp;" maps) · ","")&amp;IF(AND($G29&lt;&gt;"",Q29=0),"M1 unplayed→overall KPR · ","")&amp;IF(AND($H29&lt;&gt;"",X29=0),"M2 unplayed→overall KPR · ","")&amp;IF($O29="","no PickFinder stats",""))</f>
        <v/>
      </c>
      <c r="AR29" s="0" t="str">
        <f aca="false">IF($C29=Board!$B$2,COUNTIFS($C$2:$C$56,Board!$B$2,$AL$2:$AL$56,"&gt;"&amp;$AL29)+COUNTIFS($C$1:$C28,Board!$B$2,$AL$1:$AL28,$AL29)+1,"")</f>
        <v/>
      </c>
      <c r="AS29" s="0" t="str">
        <f aca="false">IFERROR(IF($D29=INDEX(Matches!$AD$5:$AD$12,MATCH($C29,Matches!$A$5:$A$12,0)),"A",IF($D29=INDEX(Matches!$AE$5:$AE$12,MATCH($C29,Matches!$A$5:$A$12,0)),"B","")),"")</f>
        <v>B</v>
      </c>
      <c r="AT29" s="10" t="n">
        <f aca="false">IF($AS29="","",IFERROR(IF($AS29="A",INDEX(Matches!$AI$5:$AI$12,MATCH($C29,Matches!$A$5:$A$12,0)),INDEX(Matches!$AJ$5:$AJ$12,MATCH($C29,Matches!$A$5:$A$12,0))),""))</f>
        <v>0</v>
      </c>
      <c r="AU29" s="10" t="str">
        <f aca="false">IF($AS29="","",IFERROR(IF(INDEX(Matches!$AP$5:$AP$12,MATCH($C29,Matches!$A$5:$A$12,0))="","",IF($AS29="A",INDEX(Matches!$AP$5:$AP$12,MATCH($C29,Matches!$A$5:$A$12,0)),1-INDEX(Matches!$AP$5:$AP$12,MATCH($C29,Matches!$A$5:$A$12,0)))),""))</f>
        <v/>
      </c>
      <c r="AV29" s="13" t="n">
        <f aca="false">IF(OR($AU29="",$AT29=""),1,((Config!$B$14*$AU29+Config!$B$15*(1-$AU29))/(Config!$B$14*$AT29+Config!$B$15*(1-$AT29)))^Config!$B$13)</f>
        <v>1</v>
      </c>
      <c r="AW29" s="10" t="str">
        <f aca="false">IF($AS29="","",IFERROR(IF(INDEX(Matches!$AV$5:$AV$12,MATCH($C29,Matches!$A$5:$A$12,0))="","",IF($AS29="A",INDEX(Matches!$AV$5:$AV$12,MATCH($C29,Matches!$A$5:$A$12,0)),1-INDEX(Matches!$AV$5:$AV$12,MATCH($C29,Matches!$A$5:$A$12,0)))),""))</f>
        <v/>
      </c>
      <c r="AX29" s="13" t="n">
        <f aca="false">IF(OR($AW29="",$AT29=""),1,((Config!$B$14*$AW29+Config!$B$15*(1-$AW29))/(Config!$B$14*$AT29+Config!$B$15*(1-$AT29)))^Config!$B$13)</f>
        <v>1</v>
      </c>
      <c r="AY29" s="10" t="str">
        <f aca="false">IF($AS29="","",IFERROR(IF(INDEX(Matches!$BB$5:$BB$12,MATCH($C29,Matches!$A$5:$A$12,0))="","",IF($AS29="A",INDEX(Matches!$BB$5:$BB$12,MATCH($C29,Matches!$A$5:$A$12,0)),1-INDEX(Matches!$BB$5:$BB$12,MATCH($C29,Matches!$A$5:$A$12,0)))),""))</f>
        <v/>
      </c>
      <c r="AZ29" s="13" t="n">
        <f aca="false">IF(OR($AY29="",$AT29=""),1,((Config!$B$14*$AY29+Config!$B$15*(1-$AY29))/(Config!$B$14*$AT29+Config!$B$15*(1-$AT29)))^Config!$B$13)</f>
        <v>1</v>
      </c>
      <c r="BA29" s="17" t="n">
        <f aca="false">IF(V29="","",V29*$AV29)</f>
        <v>17.7305865133299</v>
      </c>
      <c r="BB29" s="17" t="n">
        <f aca="false">IF(AC29="","",AC29*$AX29)</f>
        <v>20.3303656560376</v>
      </c>
      <c r="BC29" s="17" t="n">
        <f aca="false">IF(AJ29="","",AJ29*$AZ29)</f>
        <v>21.626919432828</v>
      </c>
      <c r="BD29" s="17" t="n">
        <f aca="false">N(BA29)+N(BB29)</f>
        <v>38.0609521693675</v>
      </c>
      <c r="BE29" s="17" t="n">
        <f aca="false">BD29+N($M29)*N(BC29)</f>
        <v>47.6654670894864</v>
      </c>
      <c r="BF29" s="17" t="str">
        <f aca="false">IF(W29="","",W29*$AV29)</f>
        <v/>
      </c>
      <c r="BG29" s="17" t="str">
        <f aca="false">IF(AD29="","",AD29*$AX29)</f>
        <v/>
      </c>
      <c r="BH29" s="17" t="str">
        <f aca="false">IF(AK29="","",AK29*$AZ29)</f>
        <v/>
      </c>
      <c r="BI29" s="17" t="str">
        <f aca="false">IF(BF29="","",N(BF29)+N(BG29))</f>
        <v/>
      </c>
      <c r="BJ29" s="17" t="str">
        <f aca="false">IF(BI29="","",BI29+N($M29)*N(BH29))</f>
        <v/>
      </c>
      <c r="BK29" s="13" t="n">
        <f aca="false">IFERROR(BD29/AL29,1)</f>
        <v>1</v>
      </c>
    </row>
    <row r="30" customFormat="false" ht="15" hidden="false" customHeight="false" outlineLevel="0" collapsed="false">
      <c r="A30" s="0" t="s">
        <v>758</v>
      </c>
      <c r="B30" s="0" t="s">
        <v>637</v>
      </c>
      <c r="C30" s="0" t="s">
        <v>646</v>
      </c>
      <c r="D30" s="0" t="s">
        <v>652</v>
      </c>
      <c r="E30" s="0" t="s">
        <v>757</v>
      </c>
      <c r="F30" s="0" t="s">
        <v>891</v>
      </c>
      <c r="G30" s="0" t="str">
        <f aca="false">IFERROR(IF(INDEX(Matches!$W$5:$W$12,MATCH($C30,Matches!$A$5:$A$12,0))="","",INDEX(Matches!$W$5:$W$12,MATCH($C30,Matches!$A$5:$A$12,0))),"")</f>
        <v>Lotus</v>
      </c>
      <c r="H30" s="0" t="str">
        <f aca="false">IFERROR(IF(INDEX(Matches!$X$5:$X$12,MATCH($C30,Matches!$A$5:$A$12,0))="","",INDEX(Matches!$X$5:$X$12,MATCH($C30,Matches!$A$5:$A$12,0))),"")</f>
        <v>Sunset</v>
      </c>
      <c r="I30" s="0" t="str">
        <f aca="false">IFERROR(IF(INDEX(Matches!$Y$5:$Y$12,MATCH($C30,Matches!$A$5:$A$12,0))="","",INDEX(Matches!$Y$5:$Y$12,MATCH($C30,Matches!$A$5:$A$12,0))),"")</f>
        <v>Split</v>
      </c>
      <c r="J30" s="11" t="n">
        <f aca="false">IFERROR(IF(INDEX(Matches!$Z$5:$Z$12,MATCH($C30,Matches!$A$5:$A$12,0))="","",INDEX(Matches!$Z$5:$Z$12,MATCH($C30,Matches!$A$5:$A$12,0))),"")</f>
        <v>21.36</v>
      </c>
      <c r="K30" s="11" t="n">
        <f aca="false">IFERROR(IF(INDEX(Matches!$AA$5:$AA$12,MATCH($C30,Matches!$A$5:$A$12,0))="","",INDEX(Matches!$AA$5:$AA$12,MATCH($C30,Matches!$A$5:$A$12,0))),"")</f>
        <v>21.3</v>
      </c>
      <c r="L30" s="11" t="n">
        <f aca="false">IFERROR(IF(INDEX(Matches!$AB$5:$AB$12,MATCH($C30,Matches!$A$5:$A$12,0))="","",INDEX(Matches!$AB$5:$AB$12,MATCH($C30,Matches!$A$5:$A$12,0))),"")</f>
        <v>22.5</v>
      </c>
      <c r="M30" s="10" t="n">
        <f aca="false">IFERROR(IF(INDEX(Matches!$AC$5:$AC$12,MATCH($C30,Matches!$A$5:$A$12,0))="","",INDEX(Matches!$AC$5:$AC$12,MATCH($C30,Matches!$A$5:$A$12,0))),"")</f>
        <v>0.4441</v>
      </c>
      <c r="N30" s="9" t="n">
        <f aca="false">IFERROR(INDEX(Players!$F$2:$F$56,MATCH($F30,Players!$A$2:$A$56,0)),0)</f>
        <v>9</v>
      </c>
      <c r="O30" s="13" t="n">
        <f aca="false">IFERROR(1/(1/INDEX(Players!$H$2:$H$56,MATCH($F30,Players!$A$2:$A$56,0))),"")</f>
        <v>0.78</v>
      </c>
      <c r="P30" s="10" t="str">
        <f aca="false">IFERROR(1/(1/INDEX(Players!$I$2:$I$56,MATCH($F30,Players!$A$2:$A$56,0))),"")</f>
        <v/>
      </c>
      <c r="Q30" s="9" t="n">
        <f aca="false">IF($G30="",0,SUMIFS(Map_Stats!$F$2:$F$450,Map_Stats!$A$2:$A$450,$F30&amp;"|"&amp;$G30))</f>
        <v>1</v>
      </c>
      <c r="R30" s="13" t="n">
        <f aca="false">IF($G30="","",IFERROR(1/(1/INDEX(Map_Stats!$K$2:$K$450,MATCH($F30&amp;"|"&amp;$G30,Map_Stats!$A$2:$A$450,0))),$O30))</f>
        <v>0.543726235741445</v>
      </c>
      <c r="S30" s="10" t="str">
        <f aca="false">IF(OR($G30="",$P30=""),"",IFERROR(1/(1/INDEX(Map_Stats!$I$2:$I$450,MATCH($F30&amp;"|"&amp;$G30,Map_Stats!$A$2:$A$450,0))),$P30))</f>
        <v/>
      </c>
      <c r="T30" s="13" t="n">
        <f aca="false">IF(OR($G30="",R30=""),"",IF($O30="",R30,(Q30*R30+Config!$B$4*$O30)/(Q30+Config!$B$4)))</f>
        <v>0.740621039290241</v>
      </c>
      <c r="U30" s="10" t="str">
        <f aca="false">IF(S30="","",(Q30*S30+Config!$B$4*$P30)/(Q30+Config!$B$4))</f>
        <v/>
      </c>
      <c r="V30" s="17" t="n">
        <f aca="false">IF(OR(T30="",$J30=""),"",T30*$J30*($J30/Config!$B$11)^Config!$B$9)</f>
        <v>15.8196653992395</v>
      </c>
      <c r="W30" s="17" t="str">
        <f aca="false">IF(OR(V30="",U30=""),"",V30*U30)</f>
        <v/>
      </c>
      <c r="X30" s="9" t="n">
        <f aca="false">IF($H30="",0,SUMIFS(Map_Stats!$F$2:$F$450,Map_Stats!$A$2:$A$450,$F30&amp;"|"&amp;$H30))</f>
        <v>1</v>
      </c>
      <c r="Y30" s="13" t="n">
        <f aca="false">IF($H30="","",IFERROR(1/(1/INDEX(Map_Stats!$K$2:$K$450,MATCH($F30&amp;"|"&amp;$H30,Map_Stats!$A$2:$A$450,0))),$O30))</f>
        <v>0.642585551330799</v>
      </c>
      <c r="Z30" s="10" t="str">
        <f aca="false">IF(OR($H30="",$P30=""),"",IFERROR(1/(1/INDEX(Map_Stats!$I$2:$I$450,MATCH($F30&amp;"|"&amp;$H30,Map_Stats!$A$2:$A$450,0))),$P30))</f>
        <v/>
      </c>
      <c r="AA30" s="13" t="n">
        <f aca="false">IF(OR($H30="",Y30=""),"",IF($O30="",Y30,(X30*Y30+Config!$B$4*$O30)/(X30+Config!$B$4)))</f>
        <v>0.757097591888467</v>
      </c>
      <c r="AB30" s="10" t="str">
        <f aca="false">IF(Z30="","",(X30*Z30+Config!$B$4*$P30)/(X30+Config!$B$4))</f>
        <v/>
      </c>
      <c r="AC30" s="17" t="n">
        <f aca="false">IF(OR(AA30="",$K30=""),"",AA30*$K30*($K30/Config!$B$11)^Config!$B$9)</f>
        <v>16.1261787072243</v>
      </c>
      <c r="AD30" s="17" t="str">
        <f aca="false">IF(OR(AC30="",AB30=""),"",AC30*AB30)</f>
        <v/>
      </c>
      <c r="AE30" s="9" t="n">
        <f aca="false">IF($I30="",0,SUMIFS(Map_Stats!$F$2:$F$450,Map_Stats!$A$2:$A$450,$F30&amp;"|"&amp;$I30))</f>
        <v>1</v>
      </c>
      <c r="AF30" s="13" t="n">
        <f aca="false">IF($I30="","",IFERROR(1/(1/INDEX(Map_Stats!$K$2:$K$450,MATCH($F30&amp;"|"&amp;$I30,Map_Stats!$A$2:$A$450,0))),$O30))</f>
        <v>0.790874524714829</v>
      </c>
      <c r="AG30" s="10" t="str">
        <f aca="false">IF(OR($I30="",$P30=""),"",IFERROR(1/(1/INDEX(Map_Stats!$I$2:$I$450,MATCH($F30&amp;"|"&amp;$I30,Map_Stats!$A$2:$A$450,0))),$P30))</f>
        <v/>
      </c>
      <c r="AH30" s="13" t="n">
        <f aca="false">IF(OR($I30="",AF30=""),"",IF($O30="",AF30,(AE30*AF30+Config!$B$4*$O30)/(AE30+Config!$B$4)))</f>
        <v>0.781812420785805</v>
      </c>
      <c r="AI30" s="10" t="str">
        <f aca="false">IF(AG30="","",(AE30*AG30+Config!$B$4*$P30)/(AE30+Config!$B$4))</f>
        <v/>
      </c>
      <c r="AJ30" s="17" t="n">
        <f aca="false">IF(OR(AH30="",$L30=""),"",AH30*$L30*($L30/Config!$B$11)^Config!$B$9)</f>
        <v>17.5907794676806</v>
      </c>
      <c r="AK30" s="17" t="str">
        <f aca="false">IF(OR(AJ30="",AI30=""),"",AJ30*AI30)</f>
        <v/>
      </c>
      <c r="AL30" s="17" t="n">
        <f aca="false">N(V30)+N(AC30)</f>
        <v>31.9458441064639</v>
      </c>
      <c r="AM30" s="17" t="n">
        <f aca="false">AL30+N($M30)*N(AJ30)</f>
        <v>39.7579092680608</v>
      </c>
      <c r="AN30" s="17" t="str">
        <f aca="false">IF(W30="","",N(W30)+N(AD30))</f>
        <v/>
      </c>
      <c r="AO30" s="17" t="str">
        <f aca="false">IF(AN30="","",AN30+N($M30)*N(AK30))</f>
        <v/>
      </c>
      <c r="AP30" s="10" t="str">
        <f aca="false">IFERROR(AN30/AL30,"")</f>
        <v/>
      </c>
      <c r="AQ30" s="0" t="str">
        <f aca="false">TRIM(IF($N30&lt;Config!$B$12,"thin sample ("&amp;$N30&amp;" maps) · ","")&amp;IF(AND($G30&lt;&gt;"",Q30=0),"M1 unplayed→overall KPR · ","")&amp;IF(AND($H30&lt;&gt;"",X30=0),"M2 unplayed→overall KPR · ","")&amp;IF($O30="","no PickFinder stats",""))</f>
        <v>thin sample (9 maps) ·</v>
      </c>
      <c r="AR30" s="0" t="str">
        <f aca="false">IF($C30=Board!$B$2,COUNTIFS($C$2:$C$56,Board!$B$2,$AL$2:$AL$56,"&gt;"&amp;$AL30)+COUNTIFS($C$1:$C29,Board!$B$2,$AL$1:$AL29,$AL30)+1,"")</f>
        <v/>
      </c>
      <c r="AS30" s="0" t="str">
        <f aca="false">IFERROR(IF($D30=INDEX(Matches!$AD$5:$AD$12,MATCH($C30,Matches!$A$5:$A$12,0)),"A",IF($D30=INDEX(Matches!$AE$5:$AE$12,MATCH($C30,Matches!$A$5:$A$12,0)),"B","")),"")</f>
        <v>B</v>
      </c>
      <c r="AT30" s="10" t="n">
        <f aca="false">IF($AS30="","",IFERROR(IF($AS30="A",INDEX(Matches!$AI$5:$AI$12,MATCH($C30,Matches!$A$5:$A$12,0)),INDEX(Matches!$AJ$5:$AJ$12,MATCH($C30,Matches!$A$5:$A$12,0))),""))</f>
        <v>0</v>
      </c>
      <c r="AU30" s="10" t="str">
        <f aca="false">IF($AS30="","",IFERROR(IF(INDEX(Matches!$AP$5:$AP$12,MATCH($C30,Matches!$A$5:$A$12,0))="","",IF($AS30="A",INDEX(Matches!$AP$5:$AP$12,MATCH($C30,Matches!$A$5:$A$12,0)),1-INDEX(Matches!$AP$5:$AP$12,MATCH($C30,Matches!$A$5:$A$12,0)))),""))</f>
        <v/>
      </c>
      <c r="AV30" s="13" t="n">
        <f aca="false">IF(OR($AU30="",$AT30=""),1,((Config!$B$14*$AU30+Config!$B$15*(1-$AU30))/(Config!$B$14*$AT30+Config!$B$15*(1-$AT30)))^Config!$B$13)</f>
        <v>1</v>
      </c>
      <c r="AW30" s="10" t="str">
        <f aca="false">IF($AS30="","",IFERROR(IF(INDEX(Matches!$AV$5:$AV$12,MATCH($C30,Matches!$A$5:$A$12,0))="","",IF($AS30="A",INDEX(Matches!$AV$5:$AV$12,MATCH($C30,Matches!$A$5:$A$12,0)),1-INDEX(Matches!$AV$5:$AV$12,MATCH($C30,Matches!$A$5:$A$12,0)))),""))</f>
        <v/>
      </c>
      <c r="AX30" s="13" t="n">
        <f aca="false">IF(OR($AW30="",$AT30=""),1,((Config!$B$14*$AW30+Config!$B$15*(1-$AW30))/(Config!$B$14*$AT30+Config!$B$15*(1-$AT30)))^Config!$B$13)</f>
        <v>1</v>
      </c>
      <c r="AY30" s="10" t="str">
        <f aca="false">IF($AS30="","",IFERROR(IF(INDEX(Matches!$BB$5:$BB$12,MATCH($C30,Matches!$A$5:$A$12,0))="","",IF($AS30="A",INDEX(Matches!$BB$5:$BB$12,MATCH($C30,Matches!$A$5:$A$12,0)),1-INDEX(Matches!$BB$5:$BB$12,MATCH($C30,Matches!$A$5:$A$12,0)))),""))</f>
        <v/>
      </c>
      <c r="AZ30" s="13" t="n">
        <f aca="false">IF(OR($AY30="",$AT30=""),1,((Config!$B$14*$AY30+Config!$B$15*(1-$AY30))/(Config!$B$14*$AT30+Config!$B$15*(1-$AT30)))^Config!$B$13)</f>
        <v>1</v>
      </c>
      <c r="BA30" s="17" t="n">
        <f aca="false">IF(V30="","",V30*$AV30)</f>
        <v>15.8196653992395</v>
      </c>
      <c r="BB30" s="17" t="n">
        <f aca="false">IF(AC30="","",AC30*$AX30)</f>
        <v>16.1261787072243</v>
      </c>
      <c r="BC30" s="17" t="n">
        <f aca="false">IF(AJ30="","",AJ30*$AZ30)</f>
        <v>17.5907794676806</v>
      </c>
      <c r="BD30" s="17" t="n">
        <f aca="false">N(BA30)+N(BB30)</f>
        <v>31.9458441064639</v>
      </c>
      <c r="BE30" s="17" t="n">
        <f aca="false">BD30+N($M30)*N(BC30)</f>
        <v>39.7579092680608</v>
      </c>
      <c r="BF30" s="17" t="str">
        <f aca="false">IF(W30="","",W30*$AV30)</f>
        <v/>
      </c>
      <c r="BG30" s="17" t="str">
        <f aca="false">IF(AD30="","",AD30*$AX30)</f>
        <v/>
      </c>
      <c r="BH30" s="17" t="str">
        <f aca="false">IF(AK30="","",AK30*$AZ30)</f>
        <v/>
      </c>
      <c r="BI30" s="17" t="str">
        <f aca="false">IF(BF30="","",N(BF30)+N(BG30))</f>
        <v/>
      </c>
      <c r="BJ30" s="17" t="str">
        <f aca="false">IF(BI30="","",BI30+N($M30)*N(BH30))</f>
        <v/>
      </c>
      <c r="BK30" s="13" t="n">
        <f aca="false">IFERROR(BD30/AL30,1)</f>
        <v>1</v>
      </c>
    </row>
    <row r="31" customFormat="false" ht="15" hidden="false" customHeight="false" outlineLevel="0" collapsed="false">
      <c r="A31" s="0" t="s">
        <v>760</v>
      </c>
      <c r="B31" s="0" t="s">
        <v>637</v>
      </c>
      <c r="C31" s="0" t="s">
        <v>646</v>
      </c>
      <c r="D31" s="0" t="s">
        <v>651</v>
      </c>
      <c r="E31" s="0" t="s">
        <v>759</v>
      </c>
      <c r="F31" s="0" t="s">
        <v>892</v>
      </c>
      <c r="G31" s="0" t="str">
        <f aca="false">IFERROR(IF(INDEX(Matches!$W$5:$W$12,MATCH($C31,Matches!$A$5:$A$12,0))="","",INDEX(Matches!$W$5:$W$12,MATCH($C31,Matches!$A$5:$A$12,0))),"")</f>
        <v>Lotus</v>
      </c>
      <c r="H31" s="0" t="str">
        <f aca="false">IFERROR(IF(INDEX(Matches!$X$5:$X$12,MATCH($C31,Matches!$A$5:$A$12,0))="","",INDEX(Matches!$X$5:$X$12,MATCH($C31,Matches!$A$5:$A$12,0))),"")</f>
        <v>Sunset</v>
      </c>
      <c r="I31" s="0" t="str">
        <f aca="false">IFERROR(IF(INDEX(Matches!$Y$5:$Y$12,MATCH($C31,Matches!$A$5:$A$12,0))="","",INDEX(Matches!$Y$5:$Y$12,MATCH($C31,Matches!$A$5:$A$12,0))),"")</f>
        <v>Split</v>
      </c>
      <c r="J31" s="11" t="n">
        <f aca="false">IFERROR(IF(INDEX(Matches!$Z$5:$Z$12,MATCH($C31,Matches!$A$5:$A$12,0))="","",INDEX(Matches!$Z$5:$Z$12,MATCH($C31,Matches!$A$5:$A$12,0))),"")</f>
        <v>21.36</v>
      </c>
      <c r="K31" s="11" t="n">
        <f aca="false">IFERROR(IF(INDEX(Matches!$AA$5:$AA$12,MATCH($C31,Matches!$A$5:$A$12,0))="","",INDEX(Matches!$AA$5:$AA$12,MATCH($C31,Matches!$A$5:$A$12,0))),"")</f>
        <v>21.3</v>
      </c>
      <c r="L31" s="11" t="n">
        <f aca="false">IFERROR(IF(INDEX(Matches!$AB$5:$AB$12,MATCH($C31,Matches!$A$5:$A$12,0))="","",INDEX(Matches!$AB$5:$AB$12,MATCH($C31,Matches!$A$5:$A$12,0))),"")</f>
        <v>22.5</v>
      </c>
      <c r="M31" s="10" t="n">
        <f aca="false">IFERROR(IF(INDEX(Matches!$AC$5:$AC$12,MATCH($C31,Matches!$A$5:$A$12,0))="","",INDEX(Matches!$AC$5:$AC$12,MATCH($C31,Matches!$A$5:$A$12,0))),"")</f>
        <v>0.4441</v>
      </c>
      <c r="N31" s="9" t="n">
        <f aca="false">IFERROR(INDEX(Players!$F$2:$F$56,MATCH($F31,Players!$A$2:$A$56,0)),0)</f>
        <v>40</v>
      </c>
      <c r="O31" s="13" t="n">
        <f aca="false">IFERROR(1/(1/INDEX(Players!$H$2:$H$56,MATCH($F31,Players!$A$2:$A$56,0))),"")</f>
        <v>0.82</v>
      </c>
      <c r="P31" s="10" t="str">
        <f aca="false">IFERROR(1/(1/INDEX(Players!$I$2:$I$56,MATCH($F31,Players!$A$2:$A$56,0))),"")</f>
        <v/>
      </c>
      <c r="Q31" s="9" t="n">
        <f aca="false">IF($G31="",0,SUMIFS(Map_Stats!$F$2:$F$450,Map_Stats!$A$2:$A$450,$F31&amp;"|"&amp;$G31))</f>
        <v>9</v>
      </c>
      <c r="R31" s="13" t="n">
        <f aca="false">IF($G31="","",IFERROR(1/(1/INDEX(Map_Stats!$K$2:$K$450,MATCH($F31&amp;"|"&amp;$G31,Map_Stats!$A$2:$A$450,0))),$O31))</f>
        <v>0.890497737556561</v>
      </c>
      <c r="S31" s="10" t="str">
        <f aca="false">IF(OR($G31="",$P31=""),"",IFERROR(1/(1/INDEX(Map_Stats!$I$2:$I$450,MATCH($F31&amp;"|"&amp;$G31,Map_Stats!$A$2:$A$450,0))),$P31))</f>
        <v/>
      </c>
      <c r="T31" s="13" t="n">
        <f aca="false">IF(OR($G31="",R31=""),"",IF($O31="",R31,(Q31*R31+Config!$B$4*$O31)/(Q31+Config!$B$4)))</f>
        <v>0.865319974143504</v>
      </c>
      <c r="U31" s="10" t="str">
        <f aca="false">IF(S31="","",(Q31*S31+Config!$B$4*$P31)/(Q31+Config!$B$4))</f>
        <v/>
      </c>
      <c r="V31" s="17" t="n">
        <f aca="false">IF(OR(T31="",$J31=""),"",T31*$J31*($J31/Config!$B$11)^Config!$B$9)</f>
        <v>18.4832346477052</v>
      </c>
      <c r="W31" s="17" t="str">
        <f aca="false">IF(OR(V31="",U31=""),"",V31*U31)</f>
        <v/>
      </c>
      <c r="X31" s="9" t="n">
        <f aca="false">IF($H31="",0,SUMIFS(Map_Stats!$F$2:$F$450,Map_Stats!$A$2:$A$450,$F31&amp;"|"&amp;$H31))</f>
        <v>0</v>
      </c>
      <c r="Y31" s="13" t="n">
        <f aca="false">IF($H31="","",IFERROR(1/(1/INDEX(Map_Stats!$K$2:$K$450,MATCH($F31&amp;"|"&amp;$H31,Map_Stats!$A$2:$A$450,0))),$O31))</f>
        <v>0.82</v>
      </c>
      <c r="Z31" s="10" t="str">
        <f aca="false">IF(OR($H31="",$P31=""),"",IFERROR(1/(1/INDEX(Map_Stats!$I$2:$I$450,MATCH($F31&amp;"|"&amp;$H31,Map_Stats!$A$2:$A$450,0))),$P31))</f>
        <v/>
      </c>
      <c r="AA31" s="13" t="n">
        <f aca="false">IF(OR($H31="",Y31=""),"",IF($O31="",Y31,(X31*Y31+Config!$B$4*$O31)/(X31+Config!$B$4)))</f>
        <v>0.82</v>
      </c>
      <c r="AB31" s="10" t="str">
        <f aca="false">IF(Z31="","",(X31*Z31+Config!$B$4*$P31)/(X31+Config!$B$4))</f>
        <v/>
      </c>
      <c r="AC31" s="17" t="n">
        <f aca="false">IF(OR(AA31="",$K31=""),"",AA31*$K31*($K31/Config!$B$11)^Config!$B$9)</f>
        <v>17.466</v>
      </c>
      <c r="AD31" s="17" t="str">
        <f aca="false">IF(OR(AC31="",AB31=""),"",AC31*AB31)</f>
        <v/>
      </c>
      <c r="AE31" s="9" t="n">
        <f aca="false">IF($I31="",0,SUMIFS(Map_Stats!$F$2:$F$450,Map_Stats!$A$2:$A$450,$F31&amp;"|"&amp;$I31))</f>
        <v>6</v>
      </c>
      <c r="AF31" s="13" t="n">
        <f aca="false">IF($I31="","",IFERROR(1/(1/INDEX(Map_Stats!$K$2:$K$450,MATCH($F31&amp;"|"&amp;$I31,Map_Stats!$A$2:$A$450,0))),$O31))</f>
        <v>0.95079185520362</v>
      </c>
      <c r="AG31" s="10" t="str">
        <f aca="false">IF(OR($I31="",$P31=""),"",IFERROR(1/(1/INDEX(Map_Stats!$I$2:$I$450,MATCH($F31&amp;"|"&amp;$I31,Map_Stats!$A$2:$A$450,0))),$P31))</f>
        <v/>
      </c>
      <c r="AH31" s="13" t="n">
        <f aca="false">IF(OR($I31="",AF31=""),"",IF($O31="",AF31,(AE31*AF31+Config!$B$4*$O31)/(AE31+Config!$B$4)))</f>
        <v>0.891341011929247</v>
      </c>
      <c r="AI31" s="10" t="str">
        <f aca="false">IF(AG31="","",(AE31*AG31+Config!$B$4*$P31)/(AE31+Config!$B$4))</f>
        <v/>
      </c>
      <c r="AJ31" s="17" t="n">
        <f aca="false">IF(OR(AH31="",$L31=""),"",AH31*$L31*($L31/Config!$B$11)^Config!$B$9)</f>
        <v>20.0551727684081</v>
      </c>
      <c r="AK31" s="17" t="str">
        <f aca="false">IF(OR(AJ31="",AI31=""),"",AJ31*AI31)</f>
        <v/>
      </c>
      <c r="AL31" s="17" t="n">
        <f aca="false">N(V31)+N(AC31)</f>
        <v>35.9492346477052</v>
      </c>
      <c r="AM31" s="17" t="n">
        <f aca="false">AL31+N($M31)*N(AJ31)</f>
        <v>44.8557368741553</v>
      </c>
      <c r="AN31" s="17" t="str">
        <f aca="false">IF(W31="","",N(W31)+N(AD31))</f>
        <v/>
      </c>
      <c r="AO31" s="17" t="str">
        <f aca="false">IF(AN31="","",AN31+N($M31)*N(AK31))</f>
        <v/>
      </c>
      <c r="AP31" s="10" t="str">
        <f aca="false">IFERROR(AN31/AL31,"")</f>
        <v/>
      </c>
      <c r="AQ31" s="0" t="str">
        <f aca="false">TRIM(IF($N31&lt;Config!$B$12,"thin sample ("&amp;$N31&amp;" maps) · ","")&amp;IF(AND($G31&lt;&gt;"",Q31=0),"M1 unplayed→overall KPR · ","")&amp;IF(AND($H31&lt;&gt;"",X31=0),"M2 unplayed→overall KPR · ","")&amp;IF($O31="","no PickFinder stats",""))</f>
        <v>M2 unplayed→overall KPR ·</v>
      </c>
      <c r="AR31" s="0" t="str">
        <f aca="false">IF($C31=Board!$B$2,COUNTIFS($C$2:$C$56,Board!$B$2,$AL$2:$AL$56,"&gt;"&amp;$AL31)+COUNTIFS($C$1:$C30,Board!$B$2,$AL$1:$AL30,$AL31)+1,"")</f>
        <v/>
      </c>
      <c r="AS31" s="0" t="str">
        <f aca="false">IFERROR(IF($D31=INDEX(Matches!$AD$5:$AD$12,MATCH($C31,Matches!$A$5:$A$12,0)),"A",IF($D31=INDEX(Matches!$AE$5:$AE$12,MATCH($C31,Matches!$A$5:$A$12,0)),"B","")),"")</f>
        <v>A</v>
      </c>
      <c r="AT31" s="10" t="n">
        <f aca="false">IF($AS31="","",IFERROR(IF($AS31="A",INDEX(Matches!$AI$5:$AI$12,MATCH($C31,Matches!$A$5:$A$12,0)),INDEX(Matches!$AJ$5:$AJ$12,MATCH($C31,Matches!$A$5:$A$12,0))),""))</f>
        <v>0</v>
      </c>
      <c r="AU31" s="10" t="str">
        <f aca="false">IF($AS31="","",IFERROR(IF(INDEX(Matches!$AP$5:$AP$12,MATCH($C31,Matches!$A$5:$A$12,0))="","",IF($AS31="A",INDEX(Matches!$AP$5:$AP$12,MATCH($C31,Matches!$A$5:$A$12,0)),1-INDEX(Matches!$AP$5:$AP$12,MATCH($C31,Matches!$A$5:$A$12,0)))),""))</f>
        <v/>
      </c>
      <c r="AV31" s="13" t="n">
        <f aca="false">IF(OR($AU31="",$AT31=""),1,((Config!$B$14*$AU31+Config!$B$15*(1-$AU31))/(Config!$B$14*$AT31+Config!$B$15*(1-$AT31)))^Config!$B$13)</f>
        <v>1</v>
      </c>
      <c r="AW31" s="10" t="str">
        <f aca="false">IF($AS31="","",IFERROR(IF(INDEX(Matches!$AV$5:$AV$12,MATCH($C31,Matches!$A$5:$A$12,0))="","",IF($AS31="A",INDEX(Matches!$AV$5:$AV$12,MATCH($C31,Matches!$A$5:$A$12,0)),1-INDEX(Matches!$AV$5:$AV$12,MATCH($C31,Matches!$A$5:$A$12,0)))),""))</f>
        <v/>
      </c>
      <c r="AX31" s="13" t="n">
        <f aca="false">IF(OR($AW31="",$AT31=""),1,((Config!$B$14*$AW31+Config!$B$15*(1-$AW31))/(Config!$B$14*$AT31+Config!$B$15*(1-$AT31)))^Config!$B$13)</f>
        <v>1</v>
      </c>
      <c r="AY31" s="10" t="str">
        <f aca="false">IF($AS31="","",IFERROR(IF(INDEX(Matches!$BB$5:$BB$12,MATCH($C31,Matches!$A$5:$A$12,0))="","",IF($AS31="A",INDEX(Matches!$BB$5:$BB$12,MATCH($C31,Matches!$A$5:$A$12,0)),1-INDEX(Matches!$BB$5:$BB$12,MATCH($C31,Matches!$A$5:$A$12,0)))),""))</f>
        <v/>
      </c>
      <c r="AZ31" s="13" t="n">
        <f aca="false">IF(OR($AY31="",$AT31=""),1,((Config!$B$14*$AY31+Config!$B$15*(1-$AY31))/(Config!$B$14*$AT31+Config!$B$15*(1-$AT31)))^Config!$B$13)</f>
        <v>1</v>
      </c>
      <c r="BA31" s="17" t="n">
        <f aca="false">IF(V31="","",V31*$AV31)</f>
        <v>18.4832346477052</v>
      </c>
      <c r="BB31" s="17" t="n">
        <f aca="false">IF(AC31="","",AC31*$AX31)</f>
        <v>17.466</v>
      </c>
      <c r="BC31" s="17" t="n">
        <f aca="false">IF(AJ31="","",AJ31*$AZ31)</f>
        <v>20.0551727684081</v>
      </c>
      <c r="BD31" s="17" t="n">
        <f aca="false">N(BA31)+N(BB31)</f>
        <v>35.9492346477052</v>
      </c>
      <c r="BE31" s="17" t="n">
        <f aca="false">BD31+N($M31)*N(BC31)</f>
        <v>44.8557368741553</v>
      </c>
      <c r="BF31" s="17" t="str">
        <f aca="false">IF(W31="","",W31*$AV31)</f>
        <v/>
      </c>
      <c r="BG31" s="17" t="str">
        <f aca="false">IF(AD31="","",AD31*$AX31)</f>
        <v/>
      </c>
      <c r="BH31" s="17" t="str">
        <f aca="false">IF(AK31="","",AK31*$AZ31)</f>
        <v/>
      </c>
      <c r="BI31" s="17" t="str">
        <f aca="false">IF(BF31="","",N(BF31)+N(BG31))</f>
        <v/>
      </c>
      <c r="BJ31" s="17" t="str">
        <f aca="false">IF(BI31="","",BI31+N($M31)*N(BH31))</f>
        <v/>
      </c>
      <c r="BK31" s="13" t="n">
        <f aca="false">IFERROR(BD31/AL31,1)</f>
        <v>1</v>
      </c>
    </row>
    <row r="32" customFormat="false" ht="15" hidden="false" customHeight="false" outlineLevel="0" collapsed="false">
      <c r="A32" s="0" t="s">
        <v>762</v>
      </c>
      <c r="B32" s="0" t="s">
        <v>637</v>
      </c>
      <c r="C32" s="0" t="s">
        <v>646</v>
      </c>
      <c r="D32" s="0" t="s">
        <v>651</v>
      </c>
      <c r="E32" s="0" t="s">
        <v>761</v>
      </c>
      <c r="F32" s="0" t="s">
        <v>893</v>
      </c>
      <c r="G32" s="0" t="str">
        <f aca="false">IFERROR(IF(INDEX(Matches!$W$5:$W$12,MATCH($C32,Matches!$A$5:$A$12,0))="","",INDEX(Matches!$W$5:$W$12,MATCH($C32,Matches!$A$5:$A$12,0))),"")</f>
        <v>Lotus</v>
      </c>
      <c r="H32" s="0" t="str">
        <f aca="false">IFERROR(IF(INDEX(Matches!$X$5:$X$12,MATCH($C32,Matches!$A$5:$A$12,0))="","",INDEX(Matches!$X$5:$X$12,MATCH($C32,Matches!$A$5:$A$12,0))),"")</f>
        <v>Sunset</v>
      </c>
      <c r="I32" s="0" t="str">
        <f aca="false">IFERROR(IF(INDEX(Matches!$Y$5:$Y$12,MATCH($C32,Matches!$A$5:$A$12,0))="","",INDEX(Matches!$Y$5:$Y$12,MATCH($C32,Matches!$A$5:$A$12,0))),"")</f>
        <v>Split</v>
      </c>
      <c r="J32" s="11" t="n">
        <f aca="false">IFERROR(IF(INDEX(Matches!$Z$5:$Z$12,MATCH($C32,Matches!$A$5:$A$12,0))="","",INDEX(Matches!$Z$5:$Z$12,MATCH($C32,Matches!$A$5:$A$12,0))),"")</f>
        <v>21.36</v>
      </c>
      <c r="K32" s="11" t="n">
        <f aca="false">IFERROR(IF(INDEX(Matches!$AA$5:$AA$12,MATCH($C32,Matches!$A$5:$A$12,0))="","",INDEX(Matches!$AA$5:$AA$12,MATCH($C32,Matches!$A$5:$A$12,0))),"")</f>
        <v>21.3</v>
      </c>
      <c r="L32" s="11" t="n">
        <f aca="false">IFERROR(IF(INDEX(Matches!$AB$5:$AB$12,MATCH($C32,Matches!$A$5:$A$12,0))="","",INDEX(Matches!$AB$5:$AB$12,MATCH($C32,Matches!$A$5:$A$12,0))),"")</f>
        <v>22.5</v>
      </c>
      <c r="M32" s="10" t="n">
        <f aca="false">IFERROR(IF(INDEX(Matches!$AC$5:$AC$12,MATCH($C32,Matches!$A$5:$A$12,0))="","",INDEX(Matches!$AC$5:$AC$12,MATCH($C32,Matches!$A$5:$A$12,0))),"")</f>
        <v>0.4441</v>
      </c>
      <c r="N32" s="9" t="n">
        <f aca="false">IFERROR(INDEX(Players!$F$2:$F$56,MATCH($F32,Players!$A$2:$A$56,0)),0)</f>
        <v>18</v>
      </c>
      <c r="O32" s="13" t="n">
        <f aca="false">IFERROR(1/(1/INDEX(Players!$H$2:$H$56,MATCH($F32,Players!$A$2:$A$56,0))),"")</f>
        <v>0.69</v>
      </c>
      <c r="P32" s="10" t="str">
        <f aca="false">IFERROR(1/(1/INDEX(Players!$I$2:$I$56,MATCH($F32,Players!$A$2:$A$56,0))),"")</f>
        <v/>
      </c>
      <c r="Q32" s="9" t="n">
        <f aca="false">IF($G32="",0,SUMIFS(Map_Stats!$F$2:$F$450,Map_Stats!$A$2:$A$450,$F32&amp;"|"&amp;$G32))</f>
        <v>6</v>
      </c>
      <c r="R32" s="13" t="n">
        <f aca="false">IF($G32="","",IFERROR(1/(1/INDEX(Map_Stats!$K$2:$K$450,MATCH($F32&amp;"|"&amp;$G32,Map_Stats!$A$2:$A$450,0))),$O32))</f>
        <v>0.68433354390398</v>
      </c>
      <c r="S32" s="10" t="str">
        <f aca="false">IF(OR($G32="",$P32=""),"",IFERROR(1/(1/INDEX(Map_Stats!$I$2:$I$450,MATCH($F32&amp;"|"&amp;$G32,Map_Stats!$A$2:$A$450,0))),$P32))</f>
        <v/>
      </c>
      <c r="T32" s="13" t="n">
        <f aca="false">IF(OR($G32="",R32=""),"",IF($O32="",R32,(Q32*R32+Config!$B$4*$O32)/(Q32+Config!$B$4)))</f>
        <v>0.686909205765807</v>
      </c>
      <c r="U32" s="10" t="str">
        <f aca="false">IF(S32="","",(Q32*S32+Config!$B$4*$P32)/(Q32+Config!$B$4))</f>
        <v/>
      </c>
      <c r="V32" s="17" t="n">
        <f aca="false">IF(OR(T32="",$J32=""),"",T32*$J32*($J32/Config!$B$11)^Config!$B$9)</f>
        <v>14.6723806351576</v>
      </c>
      <c r="W32" s="17" t="str">
        <f aca="false">IF(OR(V32="",U32=""),"",V32*U32)</f>
        <v/>
      </c>
      <c r="X32" s="9" t="n">
        <f aca="false">IF($H32="",0,SUMIFS(Map_Stats!$F$2:$F$450,Map_Stats!$A$2:$A$450,$F32&amp;"|"&amp;$H32))</f>
        <v>4</v>
      </c>
      <c r="Y32" s="13" t="n">
        <f aca="false">IF($H32="","",IFERROR(1/(1/INDEX(Map_Stats!$K$2:$K$450,MATCH($F32&amp;"|"&amp;$H32,Map_Stats!$A$2:$A$450,0))),$O32))</f>
        <v>0.492545799115603</v>
      </c>
      <c r="Z32" s="10" t="str">
        <f aca="false">IF(OR($H32="",$P32=""),"",IFERROR(1/(1/INDEX(Map_Stats!$I$2:$I$450,MATCH($F32&amp;"|"&amp;$H32,Map_Stats!$A$2:$A$450,0))),$P32))</f>
        <v/>
      </c>
      <c r="AA32" s="13" t="n">
        <f aca="false">IF(OR($H32="",Y32=""),"",IF($O32="",Y32,(X32*Y32+Config!$B$4*$O32)/(X32+Config!$B$4)))</f>
        <v>0.602242577384712</v>
      </c>
      <c r="AB32" s="10" t="str">
        <f aca="false">IF(Z32="","",(X32*Z32+Config!$B$4*$P32)/(X32+Config!$B$4))</f>
        <v/>
      </c>
      <c r="AC32" s="17" t="n">
        <f aca="false">IF(OR(AA32="",$K32=""),"",AA32*$K32*($K32/Config!$B$11)^Config!$B$9)</f>
        <v>12.8277668982944</v>
      </c>
      <c r="AD32" s="17" t="str">
        <f aca="false">IF(OR(AC32="",AB32=""),"",AC32*AB32)</f>
        <v/>
      </c>
      <c r="AE32" s="9" t="n">
        <f aca="false">IF($I32="",0,SUMIFS(Map_Stats!$F$2:$F$450,Map_Stats!$A$2:$A$450,$F32&amp;"|"&amp;$I32))</f>
        <v>0</v>
      </c>
      <c r="AF32" s="13" t="n">
        <f aca="false">IF($I32="","",IFERROR(1/(1/INDEX(Map_Stats!$K$2:$K$450,MATCH($F32&amp;"|"&amp;$I32,Map_Stats!$A$2:$A$450,0))),$O32))</f>
        <v>0.69</v>
      </c>
      <c r="AG32" s="10" t="str">
        <f aca="false">IF(OR($I32="",$P32=""),"",IFERROR(1/(1/INDEX(Map_Stats!$I$2:$I$450,MATCH($F32&amp;"|"&amp;$I32,Map_Stats!$A$2:$A$450,0))),$P32))</f>
        <v/>
      </c>
      <c r="AH32" s="13" t="n">
        <f aca="false">IF(OR($I32="",AF32=""),"",IF($O32="",AF32,(AE32*AF32+Config!$B$4*$O32)/(AE32+Config!$B$4)))</f>
        <v>0.69</v>
      </c>
      <c r="AI32" s="10" t="str">
        <f aca="false">IF(AG32="","",(AE32*AG32+Config!$B$4*$P32)/(AE32+Config!$B$4))</f>
        <v/>
      </c>
      <c r="AJ32" s="17" t="n">
        <f aca="false">IF(OR(AH32="",$L32=""),"",AH32*$L32*($L32/Config!$B$11)^Config!$B$9)</f>
        <v>15.525</v>
      </c>
      <c r="AK32" s="17" t="str">
        <f aca="false">IF(OR(AJ32="",AI32=""),"",AJ32*AI32)</f>
        <v/>
      </c>
      <c r="AL32" s="17" t="n">
        <f aca="false">N(V32)+N(AC32)</f>
        <v>27.500147533452</v>
      </c>
      <c r="AM32" s="17" t="n">
        <f aca="false">AL32+N($M32)*N(AJ32)</f>
        <v>34.394800033452</v>
      </c>
      <c r="AN32" s="17" t="str">
        <f aca="false">IF(W32="","",N(W32)+N(AD32))</f>
        <v/>
      </c>
      <c r="AO32" s="17" t="str">
        <f aca="false">IF(AN32="","",AN32+N($M32)*N(AK32))</f>
        <v/>
      </c>
      <c r="AP32" s="10" t="str">
        <f aca="false">IFERROR(AN32/AL32,"")</f>
        <v/>
      </c>
      <c r="AQ32" s="0" t="str">
        <f aca="false">TRIM(IF($N32&lt;Config!$B$12,"thin sample ("&amp;$N32&amp;" maps) · ","")&amp;IF(AND($G32&lt;&gt;"",Q32=0),"M1 unplayed→overall KPR · ","")&amp;IF(AND($H32&lt;&gt;"",X32=0),"M2 unplayed→overall KPR · ","")&amp;IF($O32="","no PickFinder stats",""))</f>
        <v/>
      </c>
      <c r="AR32" s="0" t="str">
        <f aca="false">IF($C32=Board!$B$2,COUNTIFS($C$2:$C$56,Board!$B$2,$AL$2:$AL$56,"&gt;"&amp;$AL32)+COUNTIFS($C$1:$C31,Board!$B$2,$AL$1:$AL31,$AL32)+1,"")</f>
        <v/>
      </c>
      <c r="AS32" s="0" t="str">
        <f aca="false">IFERROR(IF($D32=INDEX(Matches!$AD$5:$AD$12,MATCH($C32,Matches!$A$5:$A$12,0)),"A",IF($D32=INDEX(Matches!$AE$5:$AE$12,MATCH($C32,Matches!$A$5:$A$12,0)),"B","")),"")</f>
        <v>A</v>
      </c>
      <c r="AT32" s="10" t="n">
        <f aca="false">IF($AS32="","",IFERROR(IF($AS32="A",INDEX(Matches!$AI$5:$AI$12,MATCH($C32,Matches!$A$5:$A$12,0)),INDEX(Matches!$AJ$5:$AJ$12,MATCH($C32,Matches!$A$5:$A$12,0))),""))</f>
        <v>0</v>
      </c>
      <c r="AU32" s="10" t="str">
        <f aca="false">IF($AS32="","",IFERROR(IF(INDEX(Matches!$AP$5:$AP$12,MATCH($C32,Matches!$A$5:$A$12,0))="","",IF($AS32="A",INDEX(Matches!$AP$5:$AP$12,MATCH($C32,Matches!$A$5:$A$12,0)),1-INDEX(Matches!$AP$5:$AP$12,MATCH($C32,Matches!$A$5:$A$12,0)))),""))</f>
        <v/>
      </c>
      <c r="AV32" s="13" t="n">
        <f aca="false">IF(OR($AU32="",$AT32=""),1,((Config!$B$14*$AU32+Config!$B$15*(1-$AU32))/(Config!$B$14*$AT32+Config!$B$15*(1-$AT32)))^Config!$B$13)</f>
        <v>1</v>
      </c>
      <c r="AW32" s="10" t="str">
        <f aca="false">IF($AS32="","",IFERROR(IF(INDEX(Matches!$AV$5:$AV$12,MATCH($C32,Matches!$A$5:$A$12,0))="","",IF($AS32="A",INDEX(Matches!$AV$5:$AV$12,MATCH($C32,Matches!$A$5:$A$12,0)),1-INDEX(Matches!$AV$5:$AV$12,MATCH($C32,Matches!$A$5:$A$12,0)))),""))</f>
        <v/>
      </c>
      <c r="AX32" s="13" t="n">
        <f aca="false">IF(OR($AW32="",$AT32=""),1,((Config!$B$14*$AW32+Config!$B$15*(1-$AW32))/(Config!$B$14*$AT32+Config!$B$15*(1-$AT32)))^Config!$B$13)</f>
        <v>1</v>
      </c>
      <c r="AY32" s="10" t="str">
        <f aca="false">IF($AS32="","",IFERROR(IF(INDEX(Matches!$BB$5:$BB$12,MATCH($C32,Matches!$A$5:$A$12,0))="","",IF($AS32="A",INDEX(Matches!$BB$5:$BB$12,MATCH($C32,Matches!$A$5:$A$12,0)),1-INDEX(Matches!$BB$5:$BB$12,MATCH($C32,Matches!$A$5:$A$12,0)))),""))</f>
        <v/>
      </c>
      <c r="AZ32" s="13" t="n">
        <f aca="false">IF(OR($AY32="",$AT32=""),1,((Config!$B$14*$AY32+Config!$B$15*(1-$AY32))/(Config!$B$14*$AT32+Config!$B$15*(1-$AT32)))^Config!$B$13)</f>
        <v>1</v>
      </c>
      <c r="BA32" s="17" t="n">
        <f aca="false">IF(V32="","",V32*$AV32)</f>
        <v>14.6723806351576</v>
      </c>
      <c r="BB32" s="17" t="n">
        <f aca="false">IF(AC32="","",AC32*$AX32)</f>
        <v>12.8277668982944</v>
      </c>
      <c r="BC32" s="17" t="n">
        <f aca="false">IF(AJ32="","",AJ32*$AZ32)</f>
        <v>15.525</v>
      </c>
      <c r="BD32" s="17" t="n">
        <f aca="false">N(BA32)+N(BB32)</f>
        <v>27.500147533452</v>
      </c>
      <c r="BE32" s="17" t="n">
        <f aca="false">BD32+N($M32)*N(BC32)</f>
        <v>34.394800033452</v>
      </c>
      <c r="BF32" s="17" t="str">
        <f aca="false">IF(W32="","",W32*$AV32)</f>
        <v/>
      </c>
      <c r="BG32" s="17" t="str">
        <f aca="false">IF(AD32="","",AD32*$AX32)</f>
        <v/>
      </c>
      <c r="BH32" s="17" t="str">
        <f aca="false">IF(AK32="","",AK32*$AZ32)</f>
        <v/>
      </c>
      <c r="BI32" s="17" t="str">
        <f aca="false">IF(BF32="","",N(BF32)+N(BG32))</f>
        <v/>
      </c>
      <c r="BJ32" s="17" t="str">
        <f aca="false">IF(BI32="","",BI32+N($M32)*N(BH32))</f>
        <v/>
      </c>
      <c r="BK32" s="13" t="n">
        <f aca="false">IFERROR(BD32/AL32,1)</f>
        <v>1</v>
      </c>
    </row>
    <row r="33" customFormat="false" ht="15" hidden="false" customHeight="false" outlineLevel="0" collapsed="false">
      <c r="A33" s="0" t="s">
        <v>764</v>
      </c>
      <c r="B33" s="0" t="s">
        <v>637</v>
      </c>
      <c r="C33" s="0" t="s">
        <v>646</v>
      </c>
      <c r="D33" s="0" t="s">
        <v>651</v>
      </c>
      <c r="E33" s="0" t="s">
        <v>763</v>
      </c>
      <c r="F33" s="0" t="s">
        <v>894</v>
      </c>
      <c r="G33" s="0" t="str">
        <f aca="false">IFERROR(IF(INDEX(Matches!$W$5:$W$12,MATCH($C33,Matches!$A$5:$A$12,0))="","",INDEX(Matches!$W$5:$W$12,MATCH($C33,Matches!$A$5:$A$12,0))),"")</f>
        <v>Lotus</v>
      </c>
      <c r="H33" s="0" t="str">
        <f aca="false">IFERROR(IF(INDEX(Matches!$X$5:$X$12,MATCH($C33,Matches!$A$5:$A$12,0))="","",INDEX(Matches!$X$5:$X$12,MATCH($C33,Matches!$A$5:$A$12,0))),"")</f>
        <v>Sunset</v>
      </c>
      <c r="I33" s="0" t="str">
        <f aca="false">IFERROR(IF(INDEX(Matches!$Y$5:$Y$12,MATCH($C33,Matches!$A$5:$A$12,0))="","",INDEX(Matches!$Y$5:$Y$12,MATCH($C33,Matches!$A$5:$A$12,0))),"")</f>
        <v>Split</v>
      </c>
      <c r="J33" s="11" t="n">
        <f aca="false">IFERROR(IF(INDEX(Matches!$Z$5:$Z$12,MATCH($C33,Matches!$A$5:$A$12,0))="","",INDEX(Matches!$Z$5:$Z$12,MATCH($C33,Matches!$A$5:$A$12,0))),"")</f>
        <v>21.36</v>
      </c>
      <c r="K33" s="11" t="n">
        <f aca="false">IFERROR(IF(INDEX(Matches!$AA$5:$AA$12,MATCH($C33,Matches!$A$5:$A$12,0))="","",INDEX(Matches!$AA$5:$AA$12,MATCH($C33,Matches!$A$5:$A$12,0))),"")</f>
        <v>21.3</v>
      </c>
      <c r="L33" s="11" t="n">
        <f aca="false">IFERROR(IF(INDEX(Matches!$AB$5:$AB$12,MATCH($C33,Matches!$A$5:$A$12,0))="","",INDEX(Matches!$AB$5:$AB$12,MATCH($C33,Matches!$A$5:$A$12,0))),"")</f>
        <v>22.5</v>
      </c>
      <c r="M33" s="10" t="n">
        <f aca="false">IFERROR(IF(INDEX(Matches!$AC$5:$AC$12,MATCH($C33,Matches!$A$5:$A$12,0))="","",INDEX(Matches!$AC$5:$AC$12,MATCH($C33,Matches!$A$5:$A$12,0))),"")</f>
        <v>0.4441</v>
      </c>
      <c r="N33" s="9" t="n">
        <f aca="false">IFERROR(INDEX(Players!$F$2:$F$56,MATCH($F33,Players!$A$2:$A$56,0)),0)</f>
        <v>36</v>
      </c>
      <c r="O33" s="13" t="n">
        <f aca="false">IFERROR(1/(1/INDEX(Players!$H$2:$H$56,MATCH($F33,Players!$A$2:$A$56,0))),"")</f>
        <v>0.64</v>
      </c>
      <c r="P33" s="10" t="str">
        <f aca="false">IFERROR(1/(1/INDEX(Players!$I$2:$I$56,MATCH($F33,Players!$A$2:$A$56,0))),"")</f>
        <v/>
      </c>
      <c r="Q33" s="9" t="n">
        <f aca="false">IF($G33="",0,SUMIFS(Map_Stats!$F$2:$F$450,Map_Stats!$A$2:$A$450,$F33&amp;"|"&amp;$G33))</f>
        <v>7</v>
      </c>
      <c r="R33" s="13" t="n">
        <f aca="false">IF($G33="","",IFERROR(1/(1/INDEX(Map_Stats!$K$2:$K$450,MATCH($F33&amp;"|"&amp;$G33,Map_Stats!$A$2:$A$450,0))),$O33))</f>
        <v>0.753767373811266</v>
      </c>
      <c r="S33" s="10" t="str">
        <f aca="false">IF(OR($G33="",$P33=""),"",IFERROR(1/(1/INDEX(Map_Stats!$I$2:$I$450,MATCH($F33&amp;"|"&amp;$G33,Map_Stats!$A$2:$A$450,0))),$P33))</f>
        <v/>
      </c>
      <c r="T33" s="13" t="n">
        <f aca="false">IF(OR($G33="",R33=""),"",IF($O33="",R33,(Q33*R33+Config!$B$4*$O33)/(Q33+Config!$B$4)))</f>
        <v>0.706364301389905</v>
      </c>
      <c r="U33" s="10" t="str">
        <f aca="false">IF(S33="","",(Q33*S33+Config!$B$4*$P33)/(Q33+Config!$B$4))</f>
        <v/>
      </c>
      <c r="V33" s="17" t="n">
        <f aca="false">IF(OR(T33="",$J33=""),"",T33*$J33*($J33/Config!$B$11)^Config!$B$9)</f>
        <v>15.0879414776884</v>
      </c>
      <c r="W33" s="17" t="str">
        <f aca="false">IF(OR(V33="",U33=""),"",V33*U33)</f>
        <v/>
      </c>
      <c r="X33" s="9" t="n">
        <f aca="false">IF($H33="",0,SUMIFS(Map_Stats!$F$2:$F$450,Map_Stats!$A$2:$A$450,$F33&amp;"|"&amp;$H33))</f>
        <v>4</v>
      </c>
      <c r="Y33" s="13" t="n">
        <f aca="false">IF($H33="","",IFERROR(1/(1/INDEX(Map_Stats!$K$2:$K$450,MATCH($F33&amp;"|"&amp;$H33,Map_Stats!$A$2:$A$450,0))),$O33))</f>
        <v>0.421360643745428</v>
      </c>
      <c r="Z33" s="10" t="str">
        <f aca="false">IF(OR($H33="",$P33=""),"",IFERROR(1/(1/INDEX(Map_Stats!$I$2:$I$450,MATCH($F33&amp;"|"&amp;$H33,Map_Stats!$A$2:$A$450,0))),$P33))</f>
        <v/>
      </c>
      <c r="AA33" s="13" t="n">
        <f aca="false">IF(OR($H33="",Y33=""),"",IF($O33="",Y33,(X33*Y33+Config!$B$4*$O33)/(X33+Config!$B$4)))</f>
        <v>0.542826952775746</v>
      </c>
      <c r="AB33" s="10" t="str">
        <f aca="false">IF(Z33="","",(X33*Z33+Config!$B$4*$P33)/(X33+Config!$B$4))</f>
        <v/>
      </c>
      <c r="AC33" s="17" t="n">
        <f aca="false">IF(OR(AA33="",$K33=""),"",AA33*$K33*($K33/Config!$B$11)^Config!$B$9)</f>
        <v>11.5622140941234</v>
      </c>
      <c r="AD33" s="17" t="str">
        <f aca="false">IF(OR(AC33="",AB33=""),"",AC33*AB33)</f>
        <v/>
      </c>
      <c r="AE33" s="9" t="n">
        <f aca="false">IF($I33="",0,SUMIFS(Map_Stats!$F$2:$F$450,Map_Stats!$A$2:$A$450,$F33&amp;"|"&amp;$I33))</f>
        <v>6</v>
      </c>
      <c r="AF33" s="13" t="n">
        <f aca="false">IF($I33="","",IFERROR(1/(1/INDEX(Map_Stats!$K$2:$K$450,MATCH($F33&amp;"|"&amp;$I33,Map_Stats!$A$2:$A$450,0))),$O33))</f>
        <v>0.819312362838332</v>
      </c>
      <c r="AG33" s="10" t="str">
        <f aca="false">IF(OR($I33="",$P33=""),"",IFERROR(1/(1/INDEX(Map_Stats!$I$2:$I$450,MATCH($F33&amp;"|"&amp;$I33,Map_Stats!$A$2:$A$450,0))),$P33))</f>
        <v/>
      </c>
      <c r="AH33" s="13" t="n">
        <f aca="false">IF(OR($I33="",AF33=""),"",IF($O33="",AF33,(AE33*AF33+Config!$B$4*$O33)/(AE33+Config!$B$4)))</f>
        <v>0.737806743366363</v>
      </c>
      <c r="AI33" s="10" t="str">
        <f aca="false">IF(AG33="","",(AE33*AG33+Config!$B$4*$P33)/(AE33+Config!$B$4))</f>
        <v/>
      </c>
      <c r="AJ33" s="17" t="n">
        <f aca="false">IF(OR(AH33="",$L33=""),"",AH33*$L33*($L33/Config!$B$11)^Config!$B$9)</f>
        <v>16.6006517257432</v>
      </c>
      <c r="AK33" s="17" t="str">
        <f aca="false">IF(OR(AJ33="",AI33=""),"",AJ33*AI33)</f>
        <v/>
      </c>
      <c r="AL33" s="17" t="n">
        <f aca="false">N(V33)+N(AC33)</f>
        <v>26.6501555718118</v>
      </c>
      <c r="AM33" s="17" t="n">
        <f aca="false">AL33+N($M33)*N(AJ33)</f>
        <v>34.0225050032143</v>
      </c>
      <c r="AN33" s="17" t="str">
        <f aca="false">IF(W33="","",N(W33)+N(AD33))</f>
        <v/>
      </c>
      <c r="AO33" s="17" t="str">
        <f aca="false">IF(AN33="","",AN33+N($M33)*N(AK33))</f>
        <v/>
      </c>
      <c r="AP33" s="10" t="str">
        <f aca="false">IFERROR(AN33/AL33,"")</f>
        <v/>
      </c>
      <c r="AQ33" s="0" t="str">
        <f aca="false">TRIM(IF($N33&lt;Config!$B$12,"thin sample ("&amp;$N33&amp;" maps) · ","")&amp;IF(AND($G33&lt;&gt;"",Q33=0),"M1 unplayed→overall KPR · ","")&amp;IF(AND($H33&lt;&gt;"",X33=0),"M2 unplayed→overall KPR · ","")&amp;IF($O33="","no PickFinder stats",""))</f>
        <v/>
      </c>
      <c r="AR33" s="0" t="str">
        <f aca="false">IF($C33=Board!$B$2,COUNTIFS($C$2:$C$56,Board!$B$2,$AL$2:$AL$56,"&gt;"&amp;$AL33)+COUNTIFS($C$1:$C32,Board!$B$2,$AL$1:$AL32,$AL33)+1,"")</f>
        <v/>
      </c>
      <c r="AS33" s="0" t="str">
        <f aca="false">IFERROR(IF($D33=INDEX(Matches!$AD$5:$AD$12,MATCH($C33,Matches!$A$5:$A$12,0)),"A",IF($D33=INDEX(Matches!$AE$5:$AE$12,MATCH($C33,Matches!$A$5:$A$12,0)),"B","")),"")</f>
        <v>A</v>
      </c>
      <c r="AT33" s="10" t="n">
        <f aca="false">IF($AS33="","",IFERROR(IF($AS33="A",INDEX(Matches!$AI$5:$AI$12,MATCH($C33,Matches!$A$5:$A$12,0)),INDEX(Matches!$AJ$5:$AJ$12,MATCH($C33,Matches!$A$5:$A$12,0))),""))</f>
        <v>0</v>
      </c>
      <c r="AU33" s="10" t="str">
        <f aca="false">IF($AS33="","",IFERROR(IF(INDEX(Matches!$AP$5:$AP$12,MATCH($C33,Matches!$A$5:$A$12,0))="","",IF($AS33="A",INDEX(Matches!$AP$5:$AP$12,MATCH($C33,Matches!$A$5:$A$12,0)),1-INDEX(Matches!$AP$5:$AP$12,MATCH($C33,Matches!$A$5:$A$12,0)))),""))</f>
        <v/>
      </c>
      <c r="AV33" s="13" t="n">
        <f aca="false">IF(OR($AU33="",$AT33=""),1,((Config!$B$14*$AU33+Config!$B$15*(1-$AU33))/(Config!$B$14*$AT33+Config!$B$15*(1-$AT33)))^Config!$B$13)</f>
        <v>1</v>
      </c>
      <c r="AW33" s="10" t="str">
        <f aca="false">IF($AS33="","",IFERROR(IF(INDEX(Matches!$AV$5:$AV$12,MATCH($C33,Matches!$A$5:$A$12,0))="","",IF($AS33="A",INDEX(Matches!$AV$5:$AV$12,MATCH($C33,Matches!$A$5:$A$12,0)),1-INDEX(Matches!$AV$5:$AV$12,MATCH($C33,Matches!$A$5:$A$12,0)))),""))</f>
        <v/>
      </c>
      <c r="AX33" s="13" t="n">
        <f aca="false">IF(OR($AW33="",$AT33=""),1,((Config!$B$14*$AW33+Config!$B$15*(1-$AW33))/(Config!$B$14*$AT33+Config!$B$15*(1-$AT33)))^Config!$B$13)</f>
        <v>1</v>
      </c>
      <c r="AY33" s="10" t="str">
        <f aca="false">IF($AS33="","",IFERROR(IF(INDEX(Matches!$BB$5:$BB$12,MATCH($C33,Matches!$A$5:$A$12,0))="","",IF($AS33="A",INDEX(Matches!$BB$5:$BB$12,MATCH($C33,Matches!$A$5:$A$12,0)),1-INDEX(Matches!$BB$5:$BB$12,MATCH($C33,Matches!$A$5:$A$12,0)))),""))</f>
        <v/>
      </c>
      <c r="AZ33" s="13" t="n">
        <f aca="false">IF(OR($AY33="",$AT33=""),1,((Config!$B$14*$AY33+Config!$B$15*(1-$AY33))/(Config!$B$14*$AT33+Config!$B$15*(1-$AT33)))^Config!$B$13)</f>
        <v>1</v>
      </c>
      <c r="BA33" s="17" t="n">
        <f aca="false">IF(V33="","",V33*$AV33)</f>
        <v>15.0879414776884</v>
      </c>
      <c r="BB33" s="17" t="n">
        <f aca="false">IF(AC33="","",AC33*$AX33)</f>
        <v>11.5622140941234</v>
      </c>
      <c r="BC33" s="17" t="n">
        <f aca="false">IF(AJ33="","",AJ33*$AZ33)</f>
        <v>16.6006517257432</v>
      </c>
      <c r="BD33" s="17" t="n">
        <f aca="false">N(BA33)+N(BB33)</f>
        <v>26.6501555718118</v>
      </c>
      <c r="BE33" s="17" t="n">
        <f aca="false">BD33+N($M33)*N(BC33)</f>
        <v>34.0225050032143</v>
      </c>
      <c r="BF33" s="17" t="str">
        <f aca="false">IF(W33="","",W33*$AV33)</f>
        <v/>
      </c>
      <c r="BG33" s="17" t="str">
        <f aca="false">IF(AD33="","",AD33*$AX33)</f>
        <v/>
      </c>
      <c r="BH33" s="17" t="str">
        <f aca="false">IF(AK33="","",AK33*$AZ33)</f>
        <v/>
      </c>
      <c r="BI33" s="17" t="str">
        <f aca="false">IF(BF33="","",N(BF33)+N(BG33))</f>
        <v/>
      </c>
      <c r="BJ33" s="17" t="str">
        <f aca="false">IF(BI33="","",BI33+N($M33)*N(BH33))</f>
        <v/>
      </c>
      <c r="BK33" s="13" t="n">
        <f aca="false">IFERROR(BD33/AL33,1)</f>
        <v>1</v>
      </c>
    </row>
    <row r="34" customFormat="false" ht="15" hidden="false" customHeight="false" outlineLevel="0" collapsed="false">
      <c r="A34" s="0" t="s">
        <v>766</v>
      </c>
      <c r="B34" s="0" t="s">
        <v>637</v>
      </c>
      <c r="C34" s="0" t="s">
        <v>660</v>
      </c>
      <c r="D34" s="0" t="s">
        <v>664</v>
      </c>
      <c r="E34" s="0" t="s">
        <v>765</v>
      </c>
      <c r="F34" s="0" t="s">
        <v>895</v>
      </c>
      <c r="G34" s="0" t="str">
        <f aca="false">IFERROR(IF(INDEX(Matches!$W$5:$W$12,MATCH($C34,Matches!$A$5:$A$12,0))="","",INDEX(Matches!$W$5:$W$12,MATCH($C34,Matches!$A$5:$A$12,0))),"")</f>
        <v>Haven</v>
      </c>
      <c r="H34" s="0" t="str">
        <f aca="false">IFERROR(IF(INDEX(Matches!$X$5:$X$12,MATCH($C34,Matches!$A$5:$A$12,0))="","",INDEX(Matches!$X$5:$X$12,MATCH($C34,Matches!$A$5:$A$12,0))),"")</f>
        <v>Lotus</v>
      </c>
      <c r="I34" s="0" t="str">
        <f aca="false">IFERROR(IF(INDEX(Matches!$Y$5:$Y$12,MATCH($C34,Matches!$A$5:$A$12,0))="","",INDEX(Matches!$Y$5:$Y$12,MATCH($C34,Matches!$A$5:$A$12,0))),"")</f>
        <v>Split</v>
      </c>
      <c r="J34" s="11" t="n">
        <f aca="false">IFERROR(IF(INDEX(Matches!$Z$5:$Z$12,MATCH($C34,Matches!$A$5:$A$12,0))="","",INDEX(Matches!$Z$5:$Z$12,MATCH($C34,Matches!$A$5:$A$12,0))),"")</f>
        <v>21.33</v>
      </c>
      <c r="K34" s="11" t="n">
        <f aca="false">IFERROR(IF(INDEX(Matches!$AA$5:$AA$12,MATCH($C34,Matches!$A$5:$A$12,0))="","",INDEX(Matches!$AA$5:$AA$12,MATCH($C34,Matches!$A$5:$A$12,0))),"")</f>
        <v>21.32</v>
      </c>
      <c r="L34" s="11" t="n">
        <f aca="false">IFERROR(IF(INDEX(Matches!$AB$5:$AB$12,MATCH($C34,Matches!$A$5:$A$12,0))="","",INDEX(Matches!$AB$5:$AB$12,MATCH($C34,Matches!$A$5:$A$12,0))),"")</f>
        <v>22.5</v>
      </c>
      <c r="M34" s="10" t="n">
        <f aca="false">IFERROR(IF(INDEX(Matches!$AC$5:$AC$12,MATCH($C34,Matches!$A$5:$A$12,0))="","",INDEX(Matches!$AC$5:$AC$12,MATCH($C34,Matches!$A$5:$A$12,0))),"")</f>
        <v>0.438</v>
      </c>
      <c r="N34" s="9" t="n">
        <f aca="false">IFERROR(INDEX(Players!$F$2:$F$56,MATCH($F34,Players!$A$2:$A$56,0)),0)</f>
        <v>48</v>
      </c>
      <c r="O34" s="13" t="n">
        <f aca="false">IFERROR(1/(1/INDEX(Players!$H$2:$H$56,MATCH($F34,Players!$A$2:$A$56,0))),"")</f>
        <v>0.79</v>
      </c>
      <c r="P34" s="10" t="str">
        <f aca="false">IFERROR(1/(1/INDEX(Players!$I$2:$I$56,MATCH($F34,Players!$A$2:$A$56,0))),"")</f>
        <v/>
      </c>
      <c r="Q34" s="9" t="n">
        <f aca="false">IF($G34="",0,SUMIFS(Map_Stats!$F$2:$F$450,Map_Stats!$A$2:$A$450,$F34&amp;"|"&amp;$G34))</f>
        <v>9</v>
      </c>
      <c r="R34" s="13" t="n">
        <f aca="false">IF($G34="","",IFERROR(1/(1/INDEX(Map_Stats!$K$2:$K$450,MATCH($F34&amp;"|"&amp;$G34,Map_Stats!$A$2:$A$450,0))),$O34))</f>
        <v>0.86092879256966</v>
      </c>
      <c r="S34" s="10" t="str">
        <f aca="false">IF(OR($G34="",$P34=""),"",IFERROR(1/(1/INDEX(Map_Stats!$I$2:$I$450,MATCH($F34&amp;"|"&amp;$G34,Map_Stats!$A$2:$A$450,0))),$P34))</f>
        <v/>
      </c>
      <c r="T34" s="13" t="n">
        <f aca="false">IF(OR($G34="",R34=""),"",IF($O34="",R34,(Q34*R34+Config!$B$4*$O34)/(Q34+Config!$B$4)))</f>
        <v>0.835597080937638</v>
      </c>
      <c r="U34" s="10" t="str">
        <f aca="false">IF(S34="","",(Q34*S34+Config!$B$4*$P34)/(Q34+Config!$B$4))</f>
        <v/>
      </c>
      <c r="V34" s="17" t="n">
        <f aca="false">IF(OR(T34="",$J34=""),"",T34*$J34*($J34/Config!$B$11)^Config!$B$9)</f>
        <v>17.8232857363998</v>
      </c>
      <c r="W34" s="17" t="str">
        <f aca="false">IF(OR(V34="",U34=""),"",V34*U34)</f>
        <v/>
      </c>
      <c r="X34" s="9" t="n">
        <f aca="false">IF($H34="",0,SUMIFS(Map_Stats!$F$2:$F$450,Map_Stats!$A$2:$A$450,$F34&amp;"|"&amp;$H34))</f>
        <v>10</v>
      </c>
      <c r="Y34" s="13" t="n">
        <f aca="false">IF($H34="","",IFERROR(1/(1/INDEX(Map_Stats!$K$2:$K$450,MATCH($F34&amp;"|"&amp;$H34,Map_Stats!$A$2:$A$450,0))),$O34))</f>
        <v>0.841362229102167</v>
      </c>
      <c r="Z34" s="10" t="str">
        <f aca="false">IF(OR($H34="",$P34=""),"",IFERROR(1/(1/INDEX(Map_Stats!$I$2:$I$450,MATCH($F34&amp;"|"&amp;$H34,Map_Stats!$A$2:$A$450,0))),$P34))</f>
        <v/>
      </c>
      <c r="AA34" s="13" t="n">
        <f aca="false">IF(OR($H34="",Y34=""),"",IF($O34="",Y34,(X34*Y34+Config!$B$4*$O34)/(X34+Config!$B$4)))</f>
        <v>0.824241486068112</v>
      </c>
      <c r="AB34" s="10" t="str">
        <f aca="false">IF(Z34="","",(X34*Z34+Config!$B$4*$P34)/(X34+Config!$B$4))</f>
        <v/>
      </c>
      <c r="AC34" s="17" t="n">
        <f aca="false">IF(OR(AA34="",$K34=""),"",AA34*$K34*($K34/Config!$B$11)^Config!$B$9)</f>
        <v>17.5728284829721</v>
      </c>
      <c r="AD34" s="17" t="str">
        <f aca="false">IF(OR(AC34="",AB34=""),"",AC34*AB34)</f>
        <v/>
      </c>
      <c r="AE34" s="9" t="n">
        <f aca="false">IF($I34="",0,SUMIFS(Map_Stats!$F$2:$F$450,Map_Stats!$A$2:$A$450,$F34&amp;"|"&amp;$I34))</f>
        <v>6</v>
      </c>
      <c r="AF34" s="13" t="n">
        <f aca="false">IF($I34="","",IFERROR(1/(1/INDEX(Map_Stats!$K$2:$K$450,MATCH($F34&amp;"|"&amp;$I34,Map_Stats!$A$2:$A$450,0))),$O34))</f>
        <v>0.79733746130031</v>
      </c>
      <c r="AG34" s="10" t="str">
        <f aca="false">IF(OR($I34="",$P34=""),"",IFERROR(1/(1/INDEX(Map_Stats!$I$2:$I$450,MATCH($F34&amp;"|"&amp;$I34,Map_Stats!$A$2:$A$450,0))),$P34))</f>
        <v/>
      </c>
      <c r="AH34" s="13" t="n">
        <f aca="false">IF(OR($I34="",AF34=""),"",IF($O34="",AF34,(AE34*AF34+Config!$B$4*$O34)/(AE34+Config!$B$4)))</f>
        <v>0.794002251618351</v>
      </c>
      <c r="AI34" s="10" t="str">
        <f aca="false">IF(AG34="","",(AE34*AG34+Config!$B$4*$P34)/(AE34+Config!$B$4))</f>
        <v/>
      </c>
      <c r="AJ34" s="17" t="n">
        <f aca="false">IF(OR(AH34="",$L34=""),"",AH34*$L34*($L34/Config!$B$11)^Config!$B$9)</f>
        <v>17.8650506614129</v>
      </c>
      <c r="AK34" s="17" t="str">
        <f aca="false">IF(OR(AJ34="",AI34=""),"",AJ34*AI34)</f>
        <v/>
      </c>
      <c r="AL34" s="17" t="n">
        <f aca="false">N(V34)+N(AC34)</f>
        <v>35.396114219372</v>
      </c>
      <c r="AM34" s="17" t="n">
        <f aca="false">AL34+N($M34)*N(AJ34)</f>
        <v>43.2210064090708</v>
      </c>
      <c r="AN34" s="17" t="str">
        <f aca="false">IF(W34="","",N(W34)+N(AD34))</f>
        <v/>
      </c>
      <c r="AO34" s="17" t="str">
        <f aca="false">IF(AN34="","",AN34+N($M34)*N(AK34))</f>
        <v/>
      </c>
      <c r="AP34" s="10" t="str">
        <f aca="false">IFERROR(AN34/AL34,"")</f>
        <v/>
      </c>
      <c r="AQ34" s="0" t="str">
        <f aca="false">TRIM(IF($N34&lt;Config!$B$12,"thin sample ("&amp;$N34&amp;" maps) · ","")&amp;IF(AND($G34&lt;&gt;"",Q34=0),"M1 unplayed→overall KPR · ","")&amp;IF(AND($H34&lt;&gt;"",X34=0),"M2 unplayed→overall KPR · ","")&amp;IF($O34="","no PickFinder stats",""))</f>
        <v/>
      </c>
      <c r="AR34" s="0" t="str">
        <f aca="false">IF($C34=Board!$B$2,COUNTIFS($C$2:$C$56,Board!$B$2,$AL$2:$AL$56,"&gt;"&amp;$AL34)+COUNTIFS($C$1:$C33,Board!$B$2,$AL$1:$AL33,$AL34)+1,"")</f>
        <v/>
      </c>
      <c r="AS34" s="0" t="str">
        <f aca="false">IFERROR(IF($D34=INDEX(Matches!$AD$5:$AD$12,MATCH($C34,Matches!$A$5:$A$12,0)),"A",IF($D34=INDEX(Matches!$AE$5:$AE$12,MATCH($C34,Matches!$A$5:$A$12,0)),"B","")),"")</f>
        <v>B</v>
      </c>
      <c r="AT34" s="10" t="n">
        <f aca="false">IF($AS34="","",IFERROR(IF($AS34="A",INDEX(Matches!$AI$5:$AI$12,MATCH($C34,Matches!$A$5:$A$12,0)),INDEX(Matches!$AJ$5:$AJ$12,MATCH($C34,Matches!$A$5:$A$12,0))),""))</f>
        <v>0</v>
      </c>
      <c r="AU34" s="10" t="str">
        <f aca="false">IF($AS34="","",IFERROR(IF(INDEX(Matches!$AP$5:$AP$12,MATCH($C34,Matches!$A$5:$A$12,0))="","",IF($AS34="A",INDEX(Matches!$AP$5:$AP$12,MATCH($C34,Matches!$A$5:$A$12,0)),1-INDEX(Matches!$AP$5:$AP$12,MATCH($C34,Matches!$A$5:$A$12,0)))),""))</f>
        <v/>
      </c>
      <c r="AV34" s="13" t="n">
        <f aca="false">IF(OR($AU34="",$AT34=""),1,((Config!$B$14*$AU34+Config!$B$15*(1-$AU34))/(Config!$B$14*$AT34+Config!$B$15*(1-$AT34)))^Config!$B$13)</f>
        <v>1</v>
      </c>
      <c r="AW34" s="10" t="str">
        <f aca="false">IF($AS34="","",IFERROR(IF(INDEX(Matches!$AV$5:$AV$12,MATCH($C34,Matches!$A$5:$A$12,0))="","",IF($AS34="A",INDEX(Matches!$AV$5:$AV$12,MATCH($C34,Matches!$A$5:$A$12,0)),1-INDEX(Matches!$AV$5:$AV$12,MATCH($C34,Matches!$A$5:$A$12,0)))),""))</f>
        <v/>
      </c>
      <c r="AX34" s="13" t="n">
        <f aca="false">IF(OR($AW34="",$AT34=""),1,((Config!$B$14*$AW34+Config!$B$15*(1-$AW34))/(Config!$B$14*$AT34+Config!$B$15*(1-$AT34)))^Config!$B$13)</f>
        <v>1</v>
      </c>
      <c r="AY34" s="10" t="str">
        <f aca="false">IF($AS34="","",IFERROR(IF(INDEX(Matches!$BB$5:$BB$12,MATCH($C34,Matches!$A$5:$A$12,0))="","",IF($AS34="A",INDEX(Matches!$BB$5:$BB$12,MATCH($C34,Matches!$A$5:$A$12,0)),1-INDEX(Matches!$BB$5:$BB$12,MATCH($C34,Matches!$A$5:$A$12,0)))),""))</f>
        <v/>
      </c>
      <c r="AZ34" s="13" t="n">
        <f aca="false">IF(OR($AY34="",$AT34=""),1,((Config!$B$14*$AY34+Config!$B$15*(1-$AY34))/(Config!$B$14*$AT34+Config!$B$15*(1-$AT34)))^Config!$B$13)</f>
        <v>1</v>
      </c>
      <c r="BA34" s="17" t="n">
        <f aca="false">IF(V34="","",V34*$AV34)</f>
        <v>17.8232857363998</v>
      </c>
      <c r="BB34" s="17" t="n">
        <f aca="false">IF(AC34="","",AC34*$AX34)</f>
        <v>17.5728284829721</v>
      </c>
      <c r="BC34" s="17" t="n">
        <f aca="false">IF(AJ34="","",AJ34*$AZ34)</f>
        <v>17.8650506614129</v>
      </c>
      <c r="BD34" s="17" t="n">
        <f aca="false">N(BA34)+N(BB34)</f>
        <v>35.396114219372</v>
      </c>
      <c r="BE34" s="17" t="n">
        <f aca="false">BD34+N($M34)*N(BC34)</f>
        <v>43.2210064090708</v>
      </c>
      <c r="BF34" s="17" t="str">
        <f aca="false">IF(W34="","",W34*$AV34)</f>
        <v/>
      </c>
      <c r="BG34" s="17" t="str">
        <f aca="false">IF(AD34="","",AD34*$AX34)</f>
        <v/>
      </c>
      <c r="BH34" s="17" t="str">
        <f aca="false">IF(AK34="","",AK34*$AZ34)</f>
        <v/>
      </c>
      <c r="BI34" s="17" t="str">
        <f aca="false">IF(BF34="","",N(BF34)+N(BG34))</f>
        <v/>
      </c>
      <c r="BJ34" s="17" t="str">
        <f aca="false">IF(BI34="","",BI34+N($M34)*N(BH34))</f>
        <v/>
      </c>
      <c r="BK34" s="13" t="n">
        <f aca="false">IFERROR(BD34/AL34,1)</f>
        <v>1</v>
      </c>
    </row>
    <row r="35" customFormat="false" ht="15" hidden="false" customHeight="false" outlineLevel="0" collapsed="false">
      <c r="A35" s="0" t="s">
        <v>768</v>
      </c>
      <c r="B35" s="0" t="s">
        <v>637</v>
      </c>
      <c r="C35" s="0" t="s">
        <v>660</v>
      </c>
      <c r="D35" s="0" t="s">
        <v>664</v>
      </c>
      <c r="E35" s="0" t="s">
        <v>767</v>
      </c>
      <c r="F35" s="0" t="s">
        <v>896</v>
      </c>
      <c r="G35" s="0" t="str">
        <f aca="false">IFERROR(IF(INDEX(Matches!$W$5:$W$12,MATCH($C35,Matches!$A$5:$A$12,0))="","",INDEX(Matches!$W$5:$W$12,MATCH($C35,Matches!$A$5:$A$12,0))),"")</f>
        <v>Haven</v>
      </c>
      <c r="H35" s="0" t="str">
        <f aca="false">IFERROR(IF(INDEX(Matches!$X$5:$X$12,MATCH($C35,Matches!$A$5:$A$12,0))="","",INDEX(Matches!$X$5:$X$12,MATCH($C35,Matches!$A$5:$A$12,0))),"")</f>
        <v>Lotus</v>
      </c>
      <c r="I35" s="0" t="str">
        <f aca="false">IFERROR(IF(INDEX(Matches!$Y$5:$Y$12,MATCH($C35,Matches!$A$5:$A$12,0))="","",INDEX(Matches!$Y$5:$Y$12,MATCH($C35,Matches!$A$5:$A$12,0))),"")</f>
        <v>Split</v>
      </c>
      <c r="J35" s="11" t="n">
        <f aca="false">IFERROR(IF(INDEX(Matches!$Z$5:$Z$12,MATCH($C35,Matches!$A$5:$A$12,0))="","",INDEX(Matches!$Z$5:$Z$12,MATCH($C35,Matches!$A$5:$A$12,0))),"")</f>
        <v>21.33</v>
      </c>
      <c r="K35" s="11" t="n">
        <f aca="false">IFERROR(IF(INDEX(Matches!$AA$5:$AA$12,MATCH($C35,Matches!$A$5:$A$12,0))="","",INDEX(Matches!$AA$5:$AA$12,MATCH($C35,Matches!$A$5:$A$12,0))),"")</f>
        <v>21.32</v>
      </c>
      <c r="L35" s="11" t="n">
        <f aca="false">IFERROR(IF(INDEX(Matches!$AB$5:$AB$12,MATCH($C35,Matches!$A$5:$A$12,0))="","",INDEX(Matches!$AB$5:$AB$12,MATCH($C35,Matches!$A$5:$A$12,0))),"")</f>
        <v>22.5</v>
      </c>
      <c r="M35" s="10" t="n">
        <f aca="false">IFERROR(IF(INDEX(Matches!$AC$5:$AC$12,MATCH($C35,Matches!$A$5:$A$12,0))="","",INDEX(Matches!$AC$5:$AC$12,MATCH($C35,Matches!$A$5:$A$12,0))),"")</f>
        <v>0.438</v>
      </c>
      <c r="N35" s="9" t="n">
        <f aca="false">IFERROR(INDEX(Players!$F$2:$F$56,MATCH($F35,Players!$A$2:$A$56,0)),0)</f>
        <v>39</v>
      </c>
      <c r="O35" s="13" t="n">
        <f aca="false">IFERROR(1/(1/INDEX(Players!$H$2:$H$56,MATCH($F35,Players!$A$2:$A$56,0))),"")</f>
        <v>0.86</v>
      </c>
      <c r="P35" s="10" t="str">
        <f aca="false">IFERROR(1/(1/INDEX(Players!$I$2:$I$56,MATCH($F35,Players!$A$2:$A$56,0))),"")</f>
        <v/>
      </c>
      <c r="Q35" s="9" t="n">
        <f aca="false">IF($G35="",0,SUMIFS(Map_Stats!$F$2:$F$450,Map_Stats!$A$2:$A$450,$F35&amp;"|"&amp;$G35))</f>
        <v>7</v>
      </c>
      <c r="R35" s="13" t="n">
        <f aca="false">IF($G35="","",IFERROR(1/(1/INDEX(Map_Stats!$K$2:$K$450,MATCH($F35&amp;"|"&amp;$G35,Map_Stats!$A$2:$A$450,0))),$O35))</f>
        <v>0.695298165137615</v>
      </c>
      <c r="S35" s="10" t="str">
        <f aca="false">IF(OR($G35="",$P35=""),"",IFERROR(1/(1/INDEX(Map_Stats!$I$2:$I$450,MATCH($F35&amp;"|"&amp;$G35,Map_Stats!$A$2:$A$450,0))),$P35))</f>
        <v/>
      </c>
      <c r="T35" s="13" t="n">
        <f aca="false">IF(OR($G35="",R35=""),"",IF($O35="",R35,(Q35*R35+Config!$B$4*$O35)/(Q35+Config!$B$4)))</f>
        <v>0.763923929663608</v>
      </c>
      <c r="U35" s="10" t="str">
        <f aca="false">IF(S35="","",(Q35*S35+Config!$B$4*$P35)/(Q35+Config!$B$4))</f>
        <v/>
      </c>
      <c r="V35" s="17" t="n">
        <f aca="false">IF(OR(T35="",$J35=""),"",T35*$J35*($J35/Config!$B$11)^Config!$B$9)</f>
        <v>16.2944974197248</v>
      </c>
      <c r="W35" s="17" t="str">
        <f aca="false">IF(OR(V35="",U35=""),"",V35*U35)</f>
        <v/>
      </c>
      <c r="X35" s="9" t="n">
        <f aca="false">IF($H35="",0,SUMIFS(Map_Stats!$F$2:$F$450,Map_Stats!$A$2:$A$450,$F35&amp;"|"&amp;$H35))</f>
        <v>7</v>
      </c>
      <c r="Y35" s="13" t="n">
        <f aca="false">IF($H35="","",IFERROR(1/(1/INDEX(Map_Stats!$K$2:$K$450,MATCH($F35&amp;"|"&amp;$H35,Map_Stats!$A$2:$A$450,0))),$O35))</f>
        <v>0.931995412844037</v>
      </c>
      <c r="Z35" s="10" t="str">
        <f aca="false">IF(OR($H35="",$P35=""),"",IFERROR(1/(1/INDEX(Map_Stats!$I$2:$I$450,MATCH($F35&amp;"|"&amp;$H35,Map_Stats!$A$2:$A$450,0))),$P35))</f>
        <v/>
      </c>
      <c r="AA35" s="13" t="n">
        <f aca="false">IF(OR($H35="",Y35=""),"",IF($O35="",Y35,(X35*Y35+Config!$B$4*$O35)/(X35+Config!$B$4)))</f>
        <v>0.901997324159021</v>
      </c>
      <c r="AB35" s="10" t="str">
        <f aca="false">IF(Z35="","",(X35*Z35+Config!$B$4*$P35)/(X35+Config!$B$4))</f>
        <v/>
      </c>
      <c r="AC35" s="17" t="n">
        <f aca="false">IF(OR(AA35="",$K35=""),"",AA35*$K35*($K35/Config!$B$11)^Config!$B$9)</f>
        <v>19.2305829510703</v>
      </c>
      <c r="AD35" s="17" t="str">
        <f aca="false">IF(OR(AC35="",AB35=""),"",AC35*AB35)</f>
        <v/>
      </c>
      <c r="AE35" s="9" t="n">
        <f aca="false">IF($I35="",0,SUMIFS(Map_Stats!$F$2:$F$450,Map_Stats!$A$2:$A$450,$F35&amp;"|"&amp;$I35))</f>
        <v>6</v>
      </c>
      <c r="AF35" s="13" t="n">
        <f aca="false">IF($I35="","",IFERROR(1/(1/INDEX(Map_Stats!$K$2:$K$450,MATCH($F35&amp;"|"&amp;$I35,Map_Stats!$A$2:$A$450,0))),$O35))</f>
        <v>0.803784403669725</v>
      </c>
      <c r="AG35" s="10" t="str">
        <f aca="false">IF(OR($I35="",$P35=""),"",IFERROR(1/(1/INDEX(Map_Stats!$I$2:$I$450,MATCH($F35&amp;"|"&amp;$I35,Map_Stats!$A$2:$A$450,0))),$P35))</f>
        <v/>
      </c>
      <c r="AH35" s="13" t="n">
        <f aca="false">IF(OR($I35="",AF35=""),"",IF($O35="",AF35,(AE35*AF35+Config!$B$4*$O35)/(AE35+Config!$B$4)))</f>
        <v>0.829336947456214</v>
      </c>
      <c r="AI35" s="10" t="str">
        <f aca="false">IF(AG35="","",(AE35*AG35+Config!$B$4*$P35)/(AE35+Config!$B$4))</f>
        <v/>
      </c>
      <c r="AJ35" s="17" t="n">
        <f aca="false">IF(OR(AH35="",$L35=""),"",AH35*$L35*($L35/Config!$B$11)^Config!$B$9)</f>
        <v>18.6600813177648</v>
      </c>
      <c r="AK35" s="17" t="str">
        <f aca="false">IF(OR(AJ35="",AI35=""),"",AJ35*AI35)</f>
        <v/>
      </c>
      <c r="AL35" s="17" t="n">
        <f aca="false">N(V35)+N(AC35)</f>
        <v>35.5250803707951</v>
      </c>
      <c r="AM35" s="17" t="n">
        <f aca="false">AL35+N($M35)*N(AJ35)</f>
        <v>43.6981959879761</v>
      </c>
      <c r="AN35" s="17" t="str">
        <f aca="false">IF(W35="","",N(W35)+N(AD35))</f>
        <v/>
      </c>
      <c r="AO35" s="17" t="str">
        <f aca="false">IF(AN35="","",AN35+N($M35)*N(AK35))</f>
        <v/>
      </c>
      <c r="AP35" s="10" t="str">
        <f aca="false">IFERROR(AN35/AL35,"")</f>
        <v/>
      </c>
      <c r="AQ35" s="0" t="str">
        <f aca="false">TRIM(IF($N35&lt;Config!$B$12,"thin sample ("&amp;$N35&amp;" maps) · ","")&amp;IF(AND($G35&lt;&gt;"",Q35=0),"M1 unplayed→overall KPR · ","")&amp;IF(AND($H35&lt;&gt;"",X35=0),"M2 unplayed→overall KPR · ","")&amp;IF($O35="","no PickFinder stats",""))</f>
        <v/>
      </c>
      <c r="AR35" s="0" t="str">
        <f aca="false">IF($C35=Board!$B$2,COUNTIFS($C$2:$C$56,Board!$B$2,$AL$2:$AL$56,"&gt;"&amp;$AL35)+COUNTIFS($C$1:$C34,Board!$B$2,$AL$1:$AL34,$AL35)+1,"")</f>
        <v/>
      </c>
      <c r="AS35" s="0" t="str">
        <f aca="false">IFERROR(IF($D35=INDEX(Matches!$AD$5:$AD$12,MATCH($C35,Matches!$A$5:$A$12,0)),"A",IF($D35=INDEX(Matches!$AE$5:$AE$12,MATCH($C35,Matches!$A$5:$A$12,0)),"B","")),"")</f>
        <v>B</v>
      </c>
      <c r="AT35" s="10" t="n">
        <f aca="false">IF($AS35="","",IFERROR(IF($AS35="A",INDEX(Matches!$AI$5:$AI$12,MATCH($C35,Matches!$A$5:$A$12,0)),INDEX(Matches!$AJ$5:$AJ$12,MATCH($C35,Matches!$A$5:$A$12,0))),""))</f>
        <v>0</v>
      </c>
      <c r="AU35" s="10" t="str">
        <f aca="false">IF($AS35="","",IFERROR(IF(INDEX(Matches!$AP$5:$AP$12,MATCH($C35,Matches!$A$5:$A$12,0))="","",IF($AS35="A",INDEX(Matches!$AP$5:$AP$12,MATCH($C35,Matches!$A$5:$A$12,0)),1-INDEX(Matches!$AP$5:$AP$12,MATCH($C35,Matches!$A$5:$A$12,0)))),""))</f>
        <v/>
      </c>
      <c r="AV35" s="13" t="n">
        <f aca="false">IF(OR($AU35="",$AT35=""),1,((Config!$B$14*$AU35+Config!$B$15*(1-$AU35))/(Config!$B$14*$AT35+Config!$B$15*(1-$AT35)))^Config!$B$13)</f>
        <v>1</v>
      </c>
      <c r="AW35" s="10" t="str">
        <f aca="false">IF($AS35="","",IFERROR(IF(INDEX(Matches!$AV$5:$AV$12,MATCH($C35,Matches!$A$5:$A$12,0))="","",IF($AS35="A",INDEX(Matches!$AV$5:$AV$12,MATCH($C35,Matches!$A$5:$A$12,0)),1-INDEX(Matches!$AV$5:$AV$12,MATCH($C35,Matches!$A$5:$A$12,0)))),""))</f>
        <v/>
      </c>
      <c r="AX35" s="13" t="n">
        <f aca="false">IF(OR($AW35="",$AT35=""),1,((Config!$B$14*$AW35+Config!$B$15*(1-$AW35))/(Config!$B$14*$AT35+Config!$B$15*(1-$AT35)))^Config!$B$13)</f>
        <v>1</v>
      </c>
      <c r="AY35" s="10" t="str">
        <f aca="false">IF($AS35="","",IFERROR(IF(INDEX(Matches!$BB$5:$BB$12,MATCH($C35,Matches!$A$5:$A$12,0))="","",IF($AS35="A",INDEX(Matches!$BB$5:$BB$12,MATCH($C35,Matches!$A$5:$A$12,0)),1-INDEX(Matches!$BB$5:$BB$12,MATCH($C35,Matches!$A$5:$A$12,0)))),""))</f>
        <v/>
      </c>
      <c r="AZ35" s="13" t="n">
        <f aca="false">IF(OR($AY35="",$AT35=""),1,((Config!$B$14*$AY35+Config!$B$15*(1-$AY35))/(Config!$B$14*$AT35+Config!$B$15*(1-$AT35)))^Config!$B$13)</f>
        <v>1</v>
      </c>
      <c r="BA35" s="17" t="n">
        <f aca="false">IF(V35="","",V35*$AV35)</f>
        <v>16.2944974197248</v>
      </c>
      <c r="BB35" s="17" t="n">
        <f aca="false">IF(AC35="","",AC35*$AX35)</f>
        <v>19.2305829510703</v>
      </c>
      <c r="BC35" s="17" t="n">
        <f aca="false">IF(AJ35="","",AJ35*$AZ35)</f>
        <v>18.6600813177648</v>
      </c>
      <c r="BD35" s="17" t="n">
        <f aca="false">N(BA35)+N(BB35)</f>
        <v>35.5250803707951</v>
      </c>
      <c r="BE35" s="17" t="n">
        <f aca="false">BD35+N($M35)*N(BC35)</f>
        <v>43.6981959879761</v>
      </c>
      <c r="BF35" s="17" t="str">
        <f aca="false">IF(W35="","",W35*$AV35)</f>
        <v/>
      </c>
      <c r="BG35" s="17" t="str">
        <f aca="false">IF(AD35="","",AD35*$AX35)</f>
        <v/>
      </c>
      <c r="BH35" s="17" t="str">
        <f aca="false">IF(AK35="","",AK35*$AZ35)</f>
        <v/>
      </c>
      <c r="BI35" s="17" t="str">
        <f aca="false">IF(BF35="","",N(BF35)+N(BG35))</f>
        <v/>
      </c>
      <c r="BJ35" s="17" t="str">
        <f aca="false">IF(BI35="","",BI35+N($M35)*N(BH35))</f>
        <v/>
      </c>
      <c r="BK35" s="13" t="n">
        <f aca="false">IFERROR(BD35/AL35,1)</f>
        <v>1</v>
      </c>
    </row>
    <row r="36" customFormat="false" ht="15" hidden="false" customHeight="false" outlineLevel="0" collapsed="false">
      <c r="A36" s="0" t="s">
        <v>770</v>
      </c>
      <c r="B36" s="0" t="s">
        <v>637</v>
      </c>
      <c r="C36" s="0" t="s">
        <v>660</v>
      </c>
      <c r="D36" s="0" t="s">
        <v>664</v>
      </c>
      <c r="E36" s="0" t="s">
        <v>769</v>
      </c>
      <c r="F36" s="0" t="s">
        <v>897</v>
      </c>
      <c r="G36" s="0" t="str">
        <f aca="false">IFERROR(IF(INDEX(Matches!$W$5:$W$12,MATCH($C36,Matches!$A$5:$A$12,0))="","",INDEX(Matches!$W$5:$W$12,MATCH($C36,Matches!$A$5:$A$12,0))),"")</f>
        <v>Haven</v>
      </c>
      <c r="H36" s="0" t="str">
        <f aca="false">IFERROR(IF(INDEX(Matches!$X$5:$X$12,MATCH($C36,Matches!$A$5:$A$12,0))="","",INDEX(Matches!$X$5:$X$12,MATCH($C36,Matches!$A$5:$A$12,0))),"")</f>
        <v>Lotus</v>
      </c>
      <c r="I36" s="0" t="str">
        <f aca="false">IFERROR(IF(INDEX(Matches!$Y$5:$Y$12,MATCH($C36,Matches!$A$5:$A$12,0))="","",INDEX(Matches!$Y$5:$Y$12,MATCH($C36,Matches!$A$5:$A$12,0))),"")</f>
        <v>Split</v>
      </c>
      <c r="J36" s="11" t="n">
        <f aca="false">IFERROR(IF(INDEX(Matches!$Z$5:$Z$12,MATCH($C36,Matches!$A$5:$A$12,0))="","",INDEX(Matches!$Z$5:$Z$12,MATCH($C36,Matches!$A$5:$A$12,0))),"")</f>
        <v>21.33</v>
      </c>
      <c r="K36" s="11" t="n">
        <f aca="false">IFERROR(IF(INDEX(Matches!$AA$5:$AA$12,MATCH($C36,Matches!$A$5:$A$12,0))="","",INDEX(Matches!$AA$5:$AA$12,MATCH($C36,Matches!$A$5:$A$12,0))),"")</f>
        <v>21.32</v>
      </c>
      <c r="L36" s="11" t="n">
        <f aca="false">IFERROR(IF(INDEX(Matches!$AB$5:$AB$12,MATCH($C36,Matches!$A$5:$A$12,0))="","",INDEX(Matches!$AB$5:$AB$12,MATCH($C36,Matches!$A$5:$A$12,0))),"")</f>
        <v>22.5</v>
      </c>
      <c r="M36" s="10" t="n">
        <f aca="false">IFERROR(IF(INDEX(Matches!$AC$5:$AC$12,MATCH($C36,Matches!$A$5:$A$12,0))="","",INDEX(Matches!$AC$5:$AC$12,MATCH($C36,Matches!$A$5:$A$12,0))),"")</f>
        <v>0.438</v>
      </c>
      <c r="N36" s="9" t="n">
        <f aca="false">IFERROR(INDEX(Players!$F$2:$F$56,MATCH($F36,Players!$A$2:$A$56,0)),0)</f>
        <v>47</v>
      </c>
      <c r="O36" s="13" t="n">
        <f aca="false">IFERROR(1/(1/INDEX(Players!$H$2:$H$56,MATCH($F36,Players!$A$2:$A$56,0))),"")</f>
        <v>0.59</v>
      </c>
      <c r="P36" s="10" t="str">
        <f aca="false">IFERROR(1/(1/INDEX(Players!$I$2:$I$56,MATCH($F36,Players!$A$2:$A$56,0))),"")</f>
        <v/>
      </c>
      <c r="Q36" s="9" t="n">
        <f aca="false">IF($G36="",0,SUMIFS(Map_Stats!$F$2:$F$450,Map_Stats!$A$2:$A$450,$F36&amp;"|"&amp;$G36))</f>
        <v>8</v>
      </c>
      <c r="R36" s="13" t="n">
        <f aca="false">IF($G36="","",IFERROR(1/(1/INDEX(Map_Stats!$K$2:$K$450,MATCH($F36&amp;"|"&amp;$G36,Map_Stats!$A$2:$A$450,0))),$O36))</f>
        <v>0.653404429860541</v>
      </c>
      <c r="S36" s="10" t="str">
        <f aca="false">IF(OR($G36="",$P36=""),"",IFERROR(1/(1/INDEX(Map_Stats!$I$2:$I$450,MATCH($F36&amp;"|"&amp;$G36,Map_Stats!$A$2:$A$450,0))),$P36))</f>
        <v/>
      </c>
      <c r="T36" s="13" t="n">
        <f aca="false">IF(OR($G36="",R36=""),"",IF($O36="",R36,(Q36*R36+Config!$B$4*$O36)/(Q36+Config!$B$4)))</f>
        <v>0.62901811068341</v>
      </c>
      <c r="U36" s="10" t="str">
        <f aca="false">IF(S36="","",(Q36*S36+Config!$B$4*$P36)/(Q36+Config!$B$4))</f>
        <v/>
      </c>
      <c r="V36" s="17" t="n">
        <f aca="false">IF(OR(T36="",$J36=""),"",T36*$J36*($J36/Config!$B$11)^Config!$B$9)</f>
        <v>13.4169563008771</v>
      </c>
      <c r="W36" s="17" t="str">
        <f aca="false">IF(OR(V36="",U36=""),"",V36*U36)</f>
        <v/>
      </c>
      <c r="X36" s="9" t="n">
        <f aca="false">IF($H36="",0,SUMIFS(Map_Stats!$F$2:$F$450,Map_Stats!$A$2:$A$450,$F36&amp;"|"&amp;$H36))</f>
        <v>8</v>
      </c>
      <c r="Y36" s="13" t="n">
        <f aca="false">IF($H36="","",IFERROR(1/(1/INDEX(Map_Stats!$K$2:$K$450,MATCH($F36&amp;"|"&amp;$H36,Map_Stats!$A$2:$A$450,0))),$O36))</f>
        <v>0.527563576702215</v>
      </c>
      <c r="Z36" s="10" t="str">
        <f aca="false">IF(OR($H36="",$P36=""),"",IFERROR(1/(1/INDEX(Map_Stats!$I$2:$I$450,MATCH($F36&amp;"|"&amp;$H36,Map_Stats!$A$2:$A$450,0))),$P36))</f>
        <v/>
      </c>
      <c r="AA36" s="13" t="n">
        <f aca="false">IF(OR($H36="",Y36=""),"",IF($O36="",Y36,(X36*Y36+Config!$B$4*$O36)/(X36+Config!$B$4)))</f>
        <v>0.551577585662901</v>
      </c>
      <c r="AB36" s="10" t="str">
        <f aca="false">IF(Z36="","",(X36*Z36+Config!$B$4*$P36)/(X36+Config!$B$4))</f>
        <v/>
      </c>
      <c r="AC36" s="17" t="n">
        <f aca="false">IF(OR(AA36="",$K36=""),"",AA36*$K36*($K36/Config!$B$11)^Config!$B$9)</f>
        <v>11.7596341263331</v>
      </c>
      <c r="AD36" s="17" t="str">
        <f aca="false">IF(OR(AC36="",AB36=""),"",AC36*AB36)</f>
        <v/>
      </c>
      <c r="AE36" s="9" t="n">
        <f aca="false">IF($I36="",0,SUMIFS(Map_Stats!$F$2:$F$450,Map_Stats!$A$2:$A$450,$F36&amp;"|"&amp;$I36))</f>
        <v>7</v>
      </c>
      <c r="AF36" s="13" t="n">
        <f aca="false">IF($I36="","",IFERROR(1/(1/INDEX(Map_Stats!$K$2:$K$450,MATCH($F36&amp;"|"&amp;$I36,Map_Stats!$A$2:$A$450,0))),$O36))</f>
        <v>0.503363412633306</v>
      </c>
      <c r="AG36" s="10" t="str">
        <f aca="false">IF(OR($I36="",$P36=""),"",IFERROR(1/(1/INDEX(Map_Stats!$I$2:$I$450,MATCH($F36&amp;"|"&amp;$I36,Map_Stats!$A$2:$A$450,0))),$P36))</f>
        <v/>
      </c>
      <c r="AH36" s="13" t="n">
        <f aca="false">IF(OR($I36="",AF36=""),"",IF($O36="",AF36,(AE36*AF36+Config!$B$4*$O36)/(AE36+Config!$B$4)))</f>
        <v>0.539461990702762</v>
      </c>
      <c r="AI36" s="10" t="str">
        <f aca="false">IF(AG36="","",(AE36*AG36+Config!$B$4*$P36)/(AE36+Config!$B$4))</f>
        <v/>
      </c>
      <c r="AJ36" s="17" t="n">
        <f aca="false">IF(OR(AH36="",$L36=""),"",AH36*$L36*($L36/Config!$B$11)^Config!$B$9)</f>
        <v>12.1378947908121</v>
      </c>
      <c r="AK36" s="17" t="str">
        <f aca="false">IF(OR(AJ36="",AI36=""),"",AJ36*AI36)</f>
        <v/>
      </c>
      <c r="AL36" s="17" t="n">
        <f aca="false">N(V36)+N(AC36)</f>
        <v>25.1765904272102</v>
      </c>
      <c r="AM36" s="17" t="n">
        <f aca="false">AL36+N($M36)*N(AJ36)</f>
        <v>30.4929883455859</v>
      </c>
      <c r="AN36" s="17" t="str">
        <f aca="false">IF(W36="","",N(W36)+N(AD36))</f>
        <v/>
      </c>
      <c r="AO36" s="17" t="str">
        <f aca="false">IF(AN36="","",AN36+N($M36)*N(AK36))</f>
        <v/>
      </c>
      <c r="AP36" s="10" t="str">
        <f aca="false">IFERROR(AN36/AL36,"")</f>
        <v/>
      </c>
      <c r="AQ36" s="0" t="str">
        <f aca="false">TRIM(IF($N36&lt;Config!$B$12,"thin sample ("&amp;$N36&amp;" maps) · ","")&amp;IF(AND($G36&lt;&gt;"",Q36=0),"M1 unplayed→overall KPR · ","")&amp;IF(AND($H36&lt;&gt;"",X36=0),"M2 unplayed→overall KPR · ","")&amp;IF($O36="","no PickFinder stats",""))</f>
        <v/>
      </c>
      <c r="AR36" s="0" t="str">
        <f aca="false">IF($C36=Board!$B$2,COUNTIFS($C$2:$C$56,Board!$B$2,$AL$2:$AL$56,"&gt;"&amp;$AL36)+COUNTIFS($C$1:$C35,Board!$B$2,$AL$1:$AL35,$AL36)+1,"")</f>
        <v/>
      </c>
      <c r="AS36" s="0" t="str">
        <f aca="false">IFERROR(IF($D36=INDEX(Matches!$AD$5:$AD$12,MATCH($C36,Matches!$A$5:$A$12,0)),"A",IF($D36=INDEX(Matches!$AE$5:$AE$12,MATCH($C36,Matches!$A$5:$A$12,0)),"B","")),"")</f>
        <v>B</v>
      </c>
      <c r="AT36" s="10" t="n">
        <f aca="false">IF($AS36="","",IFERROR(IF($AS36="A",INDEX(Matches!$AI$5:$AI$12,MATCH($C36,Matches!$A$5:$A$12,0)),INDEX(Matches!$AJ$5:$AJ$12,MATCH($C36,Matches!$A$5:$A$12,0))),""))</f>
        <v>0</v>
      </c>
      <c r="AU36" s="10" t="str">
        <f aca="false">IF($AS36="","",IFERROR(IF(INDEX(Matches!$AP$5:$AP$12,MATCH($C36,Matches!$A$5:$A$12,0))="","",IF($AS36="A",INDEX(Matches!$AP$5:$AP$12,MATCH($C36,Matches!$A$5:$A$12,0)),1-INDEX(Matches!$AP$5:$AP$12,MATCH($C36,Matches!$A$5:$A$12,0)))),""))</f>
        <v/>
      </c>
      <c r="AV36" s="13" t="n">
        <f aca="false">IF(OR($AU36="",$AT36=""),1,((Config!$B$14*$AU36+Config!$B$15*(1-$AU36))/(Config!$B$14*$AT36+Config!$B$15*(1-$AT36)))^Config!$B$13)</f>
        <v>1</v>
      </c>
      <c r="AW36" s="10" t="str">
        <f aca="false">IF($AS36="","",IFERROR(IF(INDEX(Matches!$AV$5:$AV$12,MATCH($C36,Matches!$A$5:$A$12,0))="","",IF($AS36="A",INDEX(Matches!$AV$5:$AV$12,MATCH($C36,Matches!$A$5:$A$12,0)),1-INDEX(Matches!$AV$5:$AV$12,MATCH($C36,Matches!$A$5:$A$12,0)))),""))</f>
        <v/>
      </c>
      <c r="AX36" s="13" t="n">
        <f aca="false">IF(OR($AW36="",$AT36=""),1,((Config!$B$14*$AW36+Config!$B$15*(1-$AW36))/(Config!$B$14*$AT36+Config!$B$15*(1-$AT36)))^Config!$B$13)</f>
        <v>1</v>
      </c>
      <c r="AY36" s="10" t="str">
        <f aca="false">IF($AS36="","",IFERROR(IF(INDEX(Matches!$BB$5:$BB$12,MATCH($C36,Matches!$A$5:$A$12,0))="","",IF($AS36="A",INDEX(Matches!$BB$5:$BB$12,MATCH($C36,Matches!$A$5:$A$12,0)),1-INDEX(Matches!$BB$5:$BB$12,MATCH($C36,Matches!$A$5:$A$12,0)))),""))</f>
        <v/>
      </c>
      <c r="AZ36" s="13" t="n">
        <f aca="false">IF(OR($AY36="",$AT36=""),1,((Config!$B$14*$AY36+Config!$B$15*(1-$AY36))/(Config!$B$14*$AT36+Config!$B$15*(1-$AT36)))^Config!$B$13)</f>
        <v>1</v>
      </c>
      <c r="BA36" s="17" t="n">
        <f aca="false">IF(V36="","",V36*$AV36)</f>
        <v>13.4169563008771</v>
      </c>
      <c r="BB36" s="17" t="n">
        <f aca="false">IF(AC36="","",AC36*$AX36)</f>
        <v>11.7596341263331</v>
      </c>
      <c r="BC36" s="17" t="n">
        <f aca="false">IF(AJ36="","",AJ36*$AZ36)</f>
        <v>12.1378947908121</v>
      </c>
      <c r="BD36" s="17" t="n">
        <f aca="false">N(BA36)+N(BB36)</f>
        <v>25.1765904272102</v>
      </c>
      <c r="BE36" s="17" t="n">
        <f aca="false">BD36+N($M36)*N(BC36)</f>
        <v>30.4929883455859</v>
      </c>
      <c r="BF36" s="17" t="str">
        <f aca="false">IF(W36="","",W36*$AV36)</f>
        <v/>
      </c>
      <c r="BG36" s="17" t="str">
        <f aca="false">IF(AD36="","",AD36*$AX36)</f>
        <v/>
      </c>
      <c r="BH36" s="17" t="str">
        <f aca="false">IF(AK36="","",AK36*$AZ36)</f>
        <v/>
      </c>
      <c r="BI36" s="17" t="str">
        <f aca="false">IF(BF36="","",N(BF36)+N(BG36))</f>
        <v/>
      </c>
      <c r="BJ36" s="17" t="str">
        <f aca="false">IF(BI36="","",BI36+N($M36)*N(BH36))</f>
        <v/>
      </c>
      <c r="BK36" s="13" t="n">
        <f aca="false">IFERROR(BD36/AL36,1)</f>
        <v>1</v>
      </c>
    </row>
    <row r="37" customFormat="false" ht="15" hidden="false" customHeight="false" outlineLevel="0" collapsed="false">
      <c r="A37" s="0" t="s">
        <v>772</v>
      </c>
      <c r="B37" s="0" t="s">
        <v>637</v>
      </c>
      <c r="C37" s="0" t="s">
        <v>660</v>
      </c>
      <c r="D37" s="0" t="s">
        <v>664</v>
      </c>
      <c r="E37" s="0" t="s">
        <v>771</v>
      </c>
      <c r="F37" s="0" t="s">
        <v>898</v>
      </c>
      <c r="G37" s="0" t="str">
        <f aca="false">IFERROR(IF(INDEX(Matches!$W$5:$W$12,MATCH($C37,Matches!$A$5:$A$12,0))="","",INDEX(Matches!$W$5:$W$12,MATCH($C37,Matches!$A$5:$A$12,0))),"")</f>
        <v>Haven</v>
      </c>
      <c r="H37" s="0" t="str">
        <f aca="false">IFERROR(IF(INDEX(Matches!$X$5:$X$12,MATCH($C37,Matches!$A$5:$A$12,0))="","",INDEX(Matches!$X$5:$X$12,MATCH($C37,Matches!$A$5:$A$12,0))),"")</f>
        <v>Lotus</v>
      </c>
      <c r="I37" s="0" t="str">
        <f aca="false">IFERROR(IF(INDEX(Matches!$Y$5:$Y$12,MATCH($C37,Matches!$A$5:$A$12,0))="","",INDEX(Matches!$Y$5:$Y$12,MATCH($C37,Matches!$A$5:$A$12,0))),"")</f>
        <v>Split</v>
      </c>
      <c r="J37" s="11" t="n">
        <f aca="false">IFERROR(IF(INDEX(Matches!$Z$5:$Z$12,MATCH($C37,Matches!$A$5:$A$12,0))="","",INDEX(Matches!$Z$5:$Z$12,MATCH($C37,Matches!$A$5:$A$12,0))),"")</f>
        <v>21.33</v>
      </c>
      <c r="K37" s="11" t="n">
        <f aca="false">IFERROR(IF(INDEX(Matches!$AA$5:$AA$12,MATCH($C37,Matches!$A$5:$A$12,0))="","",INDEX(Matches!$AA$5:$AA$12,MATCH($C37,Matches!$A$5:$A$12,0))),"")</f>
        <v>21.32</v>
      </c>
      <c r="L37" s="11" t="n">
        <f aca="false">IFERROR(IF(INDEX(Matches!$AB$5:$AB$12,MATCH($C37,Matches!$A$5:$A$12,0))="","",INDEX(Matches!$AB$5:$AB$12,MATCH($C37,Matches!$A$5:$A$12,0))),"")</f>
        <v>22.5</v>
      </c>
      <c r="M37" s="10" t="n">
        <f aca="false">IFERROR(IF(INDEX(Matches!$AC$5:$AC$12,MATCH($C37,Matches!$A$5:$A$12,0))="","",INDEX(Matches!$AC$5:$AC$12,MATCH($C37,Matches!$A$5:$A$12,0))),"")</f>
        <v>0.438</v>
      </c>
      <c r="N37" s="9" t="n">
        <f aca="false">IFERROR(INDEX(Players!$F$2:$F$56,MATCH($F37,Players!$A$2:$A$56,0)),0)</f>
        <v>44</v>
      </c>
      <c r="O37" s="13" t="n">
        <f aca="false">IFERROR(1/(1/INDEX(Players!$H$2:$H$56,MATCH($F37,Players!$A$2:$A$56,0))),"")</f>
        <v>0.86</v>
      </c>
      <c r="P37" s="10" t="str">
        <f aca="false">IFERROR(1/(1/INDEX(Players!$I$2:$I$56,MATCH($F37,Players!$A$2:$A$56,0))),"")</f>
        <v/>
      </c>
      <c r="Q37" s="9" t="n">
        <f aca="false">IF($G37="",0,SUMIFS(Map_Stats!$F$2:$F$450,Map_Stats!$A$2:$A$450,$F37&amp;"|"&amp;$G37))</f>
        <v>11</v>
      </c>
      <c r="R37" s="13" t="n">
        <f aca="false">IF($G37="","",IFERROR(1/(1/INDEX(Map_Stats!$K$2:$K$450,MATCH($F37&amp;"|"&amp;$G37,Map_Stats!$A$2:$A$450,0))),$O37))</f>
        <v>0.81025641025641</v>
      </c>
      <c r="S37" s="10" t="str">
        <f aca="false">IF(OR($G37="",$P37=""),"",IFERROR(1/(1/INDEX(Map_Stats!$I$2:$I$450,MATCH($F37&amp;"|"&amp;$G37,Map_Stats!$A$2:$A$450,0))),$P37))</f>
        <v/>
      </c>
      <c r="T37" s="13" t="n">
        <f aca="false">IF(OR($G37="",R37=""),"",IF($O37="",R37,(Q37*R37+Config!$B$4*$O37)/(Q37+Config!$B$4)))</f>
        <v>0.825801282051282</v>
      </c>
      <c r="U37" s="10" t="str">
        <f aca="false">IF(S37="","",(Q37*S37+Config!$B$4*$P37)/(Q37+Config!$B$4))</f>
        <v/>
      </c>
      <c r="V37" s="17" t="n">
        <f aca="false">IF(OR(T37="",$J37=""),"",T37*$J37*($J37/Config!$B$11)^Config!$B$9)</f>
        <v>17.6143413461538</v>
      </c>
      <c r="W37" s="17" t="str">
        <f aca="false">IF(OR(V37="",U37=""),"",V37*U37)</f>
        <v/>
      </c>
      <c r="X37" s="9" t="n">
        <f aca="false">IF($H37="",0,SUMIFS(Map_Stats!$F$2:$F$450,Map_Stats!$A$2:$A$450,$F37&amp;"|"&amp;$H37))</f>
        <v>10</v>
      </c>
      <c r="Y37" s="13" t="n">
        <f aca="false">IF($H37="","",IFERROR(1/(1/INDEX(Map_Stats!$K$2:$K$450,MATCH($F37&amp;"|"&amp;$H37,Map_Stats!$A$2:$A$450,0))),$O37))</f>
        <v>0.841025641025641</v>
      </c>
      <c r="Z37" s="10" t="str">
        <f aca="false">IF(OR($H37="",$P37=""),"",IFERROR(1/(1/INDEX(Map_Stats!$I$2:$I$450,MATCH($F37&amp;"|"&amp;$H37,Map_Stats!$A$2:$A$450,0))),$P37))</f>
        <v/>
      </c>
      <c r="AA37" s="13" t="n">
        <f aca="false">IF(OR($H37="",Y37=""),"",IF($O37="",Y37,(X37*Y37+Config!$B$4*$O37)/(X37+Config!$B$4)))</f>
        <v>0.847350427350427</v>
      </c>
      <c r="AB37" s="10" t="str">
        <f aca="false">IF(Z37="","",(X37*Z37+Config!$B$4*$P37)/(X37+Config!$B$4))</f>
        <v/>
      </c>
      <c r="AC37" s="17" t="n">
        <f aca="false">IF(OR(AA37="",$K37=""),"",AA37*$K37*($K37/Config!$B$11)^Config!$B$9)</f>
        <v>18.0655111111111</v>
      </c>
      <c r="AD37" s="17" t="str">
        <f aca="false">IF(OR(AC37="",AB37=""),"",AC37*AB37)</f>
        <v/>
      </c>
      <c r="AE37" s="9" t="n">
        <f aca="false">IF($I37="",0,SUMIFS(Map_Stats!$F$2:$F$450,Map_Stats!$A$2:$A$450,$F37&amp;"|"&amp;$I37))</f>
        <v>5</v>
      </c>
      <c r="AF37" s="13" t="n">
        <f aca="false">IF($I37="","",IFERROR(1/(1/INDEX(Map_Stats!$K$2:$K$450,MATCH($F37&amp;"|"&amp;$I37,Map_Stats!$A$2:$A$450,0))),$O37))</f>
        <v>0.841025641025641</v>
      </c>
      <c r="AG37" s="10" t="str">
        <f aca="false">IF(OR($I37="",$P37=""),"",IFERROR(1/(1/INDEX(Map_Stats!$I$2:$I$450,MATCH($F37&amp;"|"&amp;$I37,Map_Stats!$A$2:$A$450,0))),$P37))</f>
        <v/>
      </c>
      <c r="AH37" s="13" t="n">
        <f aca="false">IF(OR($I37="",AF37=""),"",IF($O37="",AF37,(AE37*AF37+Config!$B$4*$O37)/(AE37+Config!$B$4)))</f>
        <v>0.850512820512821</v>
      </c>
      <c r="AI37" s="10" t="str">
        <f aca="false">IF(AG37="","",(AE37*AG37+Config!$B$4*$P37)/(AE37+Config!$B$4))</f>
        <v/>
      </c>
      <c r="AJ37" s="17" t="n">
        <f aca="false">IF(OR(AH37="",$L37=""),"",AH37*$L37*($L37/Config!$B$11)^Config!$B$9)</f>
        <v>19.1365384615385</v>
      </c>
      <c r="AK37" s="17" t="str">
        <f aca="false">IF(OR(AJ37="",AI37=""),"",AJ37*AI37)</f>
        <v/>
      </c>
      <c r="AL37" s="17" t="n">
        <f aca="false">N(V37)+N(AC37)</f>
        <v>35.679852457265</v>
      </c>
      <c r="AM37" s="17" t="n">
        <f aca="false">AL37+N($M37)*N(AJ37)</f>
        <v>44.0616563034188</v>
      </c>
      <c r="AN37" s="17" t="str">
        <f aca="false">IF(W37="","",N(W37)+N(AD37))</f>
        <v/>
      </c>
      <c r="AO37" s="17" t="str">
        <f aca="false">IF(AN37="","",AN37+N($M37)*N(AK37))</f>
        <v/>
      </c>
      <c r="AP37" s="10" t="str">
        <f aca="false">IFERROR(AN37/AL37,"")</f>
        <v/>
      </c>
      <c r="AQ37" s="0" t="str">
        <f aca="false">TRIM(IF($N37&lt;Config!$B$12,"thin sample ("&amp;$N37&amp;" maps) · ","")&amp;IF(AND($G37&lt;&gt;"",Q37=0),"M1 unplayed→overall KPR · ","")&amp;IF(AND($H37&lt;&gt;"",X37=0),"M2 unplayed→overall KPR · ","")&amp;IF($O37="","no PickFinder stats",""))</f>
        <v/>
      </c>
      <c r="AR37" s="0" t="str">
        <f aca="false">IF($C37=Board!$B$2,COUNTIFS($C$2:$C$56,Board!$B$2,$AL$2:$AL$56,"&gt;"&amp;$AL37)+COUNTIFS($C$1:$C36,Board!$B$2,$AL$1:$AL36,$AL37)+1,"")</f>
        <v/>
      </c>
      <c r="AS37" s="0" t="str">
        <f aca="false">IFERROR(IF($D37=INDEX(Matches!$AD$5:$AD$12,MATCH($C37,Matches!$A$5:$A$12,0)),"A",IF($D37=INDEX(Matches!$AE$5:$AE$12,MATCH($C37,Matches!$A$5:$A$12,0)),"B","")),"")</f>
        <v>B</v>
      </c>
      <c r="AT37" s="10" t="n">
        <f aca="false">IF($AS37="","",IFERROR(IF($AS37="A",INDEX(Matches!$AI$5:$AI$12,MATCH($C37,Matches!$A$5:$A$12,0)),INDEX(Matches!$AJ$5:$AJ$12,MATCH($C37,Matches!$A$5:$A$12,0))),""))</f>
        <v>0</v>
      </c>
      <c r="AU37" s="10" t="str">
        <f aca="false">IF($AS37="","",IFERROR(IF(INDEX(Matches!$AP$5:$AP$12,MATCH($C37,Matches!$A$5:$A$12,0))="","",IF($AS37="A",INDEX(Matches!$AP$5:$AP$12,MATCH($C37,Matches!$A$5:$A$12,0)),1-INDEX(Matches!$AP$5:$AP$12,MATCH($C37,Matches!$A$5:$A$12,0)))),""))</f>
        <v/>
      </c>
      <c r="AV37" s="13" t="n">
        <f aca="false">IF(OR($AU37="",$AT37=""),1,((Config!$B$14*$AU37+Config!$B$15*(1-$AU37))/(Config!$B$14*$AT37+Config!$B$15*(1-$AT37)))^Config!$B$13)</f>
        <v>1</v>
      </c>
      <c r="AW37" s="10" t="str">
        <f aca="false">IF($AS37="","",IFERROR(IF(INDEX(Matches!$AV$5:$AV$12,MATCH($C37,Matches!$A$5:$A$12,0))="","",IF($AS37="A",INDEX(Matches!$AV$5:$AV$12,MATCH($C37,Matches!$A$5:$A$12,0)),1-INDEX(Matches!$AV$5:$AV$12,MATCH($C37,Matches!$A$5:$A$12,0)))),""))</f>
        <v/>
      </c>
      <c r="AX37" s="13" t="n">
        <f aca="false">IF(OR($AW37="",$AT37=""),1,((Config!$B$14*$AW37+Config!$B$15*(1-$AW37))/(Config!$B$14*$AT37+Config!$B$15*(1-$AT37)))^Config!$B$13)</f>
        <v>1</v>
      </c>
      <c r="AY37" s="10" t="str">
        <f aca="false">IF($AS37="","",IFERROR(IF(INDEX(Matches!$BB$5:$BB$12,MATCH($C37,Matches!$A$5:$A$12,0))="","",IF($AS37="A",INDEX(Matches!$BB$5:$BB$12,MATCH($C37,Matches!$A$5:$A$12,0)),1-INDEX(Matches!$BB$5:$BB$12,MATCH($C37,Matches!$A$5:$A$12,0)))),""))</f>
        <v/>
      </c>
      <c r="AZ37" s="13" t="n">
        <f aca="false">IF(OR($AY37="",$AT37=""),1,((Config!$B$14*$AY37+Config!$B$15*(1-$AY37))/(Config!$B$14*$AT37+Config!$B$15*(1-$AT37)))^Config!$B$13)</f>
        <v>1</v>
      </c>
      <c r="BA37" s="17" t="n">
        <f aca="false">IF(V37="","",V37*$AV37)</f>
        <v>17.6143413461538</v>
      </c>
      <c r="BB37" s="17" t="n">
        <f aca="false">IF(AC37="","",AC37*$AX37)</f>
        <v>18.0655111111111</v>
      </c>
      <c r="BC37" s="17" t="n">
        <f aca="false">IF(AJ37="","",AJ37*$AZ37)</f>
        <v>19.1365384615385</v>
      </c>
      <c r="BD37" s="17" t="n">
        <f aca="false">N(BA37)+N(BB37)</f>
        <v>35.679852457265</v>
      </c>
      <c r="BE37" s="17" t="n">
        <f aca="false">BD37+N($M37)*N(BC37)</f>
        <v>44.0616563034188</v>
      </c>
      <c r="BF37" s="17" t="str">
        <f aca="false">IF(W37="","",W37*$AV37)</f>
        <v/>
      </c>
      <c r="BG37" s="17" t="str">
        <f aca="false">IF(AD37="","",AD37*$AX37)</f>
        <v/>
      </c>
      <c r="BH37" s="17" t="str">
        <f aca="false">IF(AK37="","",AK37*$AZ37)</f>
        <v/>
      </c>
      <c r="BI37" s="17" t="str">
        <f aca="false">IF(BF37="","",N(BF37)+N(BG37))</f>
        <v/>
      </c>
      <c r="BJ37" s="17" t="str">
        <f aca="false">IF(BI37="","",BI37+N($M37)*N(BH37))</f>
        <v/>
      </c>
      <c r="BK37" s="13" t="n">
        <f aca="false">IFERROR(BD37/AL37,1)</f>
        <v>1</v>
      </c>
    </row>
    <row r="38" customFormat="false" ht="15" hidden="false" customHeight="false" outlineLevel="0" collapsed="false">
      <c r="A38" s="0" t="s">
        <v>774</v>
      </c>
      <c r="B38" s="0" t="s">
        <v>637</v>
      </c>
      <c r="C38" s="0" t="s">
        <v>660</v>
      </c>
      <c r="D38" s="0" t="s">
        <v>664</v>
      </c>
      <c r="E38" s="0" t="s">
        <v>773</v>
      </c>
      <c r="F38" s="0" t="s">
        <v>899</v>
      </c>
      <c r="G38" s="0" t="str">
        <f aca="false">IFERROR(IF(INDEX(Matches!$W$5:$W$12,MATCH($C38,Matches!$A$5:$A$12,0))="","",INDEX(Matches!$W$5:$W$12,MATCH($C38,Matches!$A$5:$A$12,0))),"")</f>
        <v>Haven</v>
      </c>
      <c r="H38" s="0" t="str">
        <f aca="false">IFERROR(IF(INDEX(Matches!$X$5:$X$12,MATCH($C38,Matches!$A$5:$A$12,0))="","",INDEX(Matches!$X$5:$X$12,MATCH($C38,Matches!$A$5:$A$12,0))),"")</f>
        <v>Lotus</v>
      </c>
      <c r="I38" s="0" t="str">
        <f aca="false">IFERROR(IF(INDEX(Matches!$Y$5:$Y$12,MATCH($C38,Matches!$A$5:$A$12,0))="","",INDEX(Matches!$Y$5:$Y$12,MATCH($C38,Matches!$A$5:$A$12,0))),"")</f>
        <v>Split</v>
      </c>
      <c r="J38" s="11" t="n">
        <f aca="false">IFERROR(IF(INDEX(Matches!$Z$5:$Z$12,MATCH($C38,Matches!$A$5:$A$12,0))="","",INDEX(Matches!$Z$5:$Z$12,MATCH($C38,Matches!$A$5:$A$12,0))),"")</f>
        <v>21.33</v>
      </c>
      <c r="K38" s="11" t="n">
        <f aca="false">IFERROR(IF(INDEX(Matches!$AA$5:$AA$12,MATCH($C38,Matches!$A$5:$A$12,0))="","",INDEX(Matches!$AA$5:$AA$12,MATCH($C38,Matches!$A$5:$A$12,0))),"")</f>
        <v>21.32</v>
      </c>
      <c r="L38" s="11" t="n">
        <f aca="false">IFERROR(IF(INDEX(Matches!$AB$5:$AB$12,MATCH($C38,Matches!$A$5:$A$12,0))="","",INDEX(Matches!$AB$5:$AB$12,MATCH($C38,Matches!$A$5:$A$12,0))),"")</f>
        <v>22.5</v>
      </c>
      <c r="M38" s="10" t="n">
        <f aca="false">IFERROR(IF(INDEX(Matches!$AC$5:$AC$12,MATCH($C38,Matches!$A$5:$A$12,0))="","",INDEX(Matches!$AC$5:$AC$12,MATCH($C38,Matches!$A$5:$A$12,0))),"")</f>
        <v>0.438</v>
      </c>
      <c r="N38" s="9" t="n">
        <f aca="false">IFERROR(INDEX(Players!$F$2:$F$56,MATCH($F38,Players!$A$2:$A$56,0)),0)</f>
        <v>44</v>
      </c>
      <c r="O38" s="13" t="n">
        <f aca="false">IFERROR(1/(1/INDEX(Players!$H$2:$H$56,MATCH($F38,Players!$A$2:$A$56,0))),"")</f>
        <v>0.63</v>
      </c>
      <c r="P38" s="10" t="str">
        <f aca="false">IFERROR(1/(1/INDEX(Players!$I$2:$I$56,MATCH($F38,Players!$A$2:$A$56,0))),"")</f>
        <v/>
      </c>
      <c r="Q38" s="9" t="n">
        <f aca="false">IF($G38="",0,SUMIFS(Map_Stats!$F$2:$F$450,Map_Stats!$A$2:$A$450,$F38&amp;"|"&amp;$G38))</f>
        <v>9</v>
      </c>
      <c r="R38" s="13" t="n">
        <f aca="false">IF($G38="","",IFERROR(1/(1/INDEX(Map_Stats!$K$2:$K$450,MATCH($F38&amp;"|"&amp;$G38,Map_Stats!$A$2:$A$450,0))),$O38))</f>
        <v>0.734664536741214</v>
      </c>
      <c r="S38" s="10" t="str">
        <f aca="false">IF(OR($G38="",$P38=""),"",IFERROR(1/(1/INDEX(Map_Stats!$I$2:$I$450,MATCH($F38&amp;"|"&amp;$G38,Map_Stats!$A$2:$A$450,0))),$P38))</f>
        <v/>
      </c>
      <c r="T38" s="13" t="n">
        <f aca="false">IF(OR($G38="",R38=""),"",IF($O38="",R38,(Q38*R38+Config!$B$4*$O38)/(Q38+Config!$B$4)))</f>
        <v>0.697284345047923</v>
      </c>
      <c r="U38" s="10" t="str">
        <f aca="false">IF(S38="","",(Q38*S38+Config!$B$4*$P38)/(Q38+Config!$B$4))</f>
        <v/>
      </c>
      <c r="V38" s="17" t="n">
        <f aca="false">IF(OR(T38="",$J38=""),"",T38*$J38*($J38/Config!$B$11)^Config!$B$9)</f>
        <v>14.8730750798722</v>
      </c>
      <c r="W38" s="17" t="str">
        <f aca="false">IF(OR(V38="",U38=""),"",V38*U38)</f>
        <v/>
      </c>
      <c r="X38" s="9" t="n">
        <f aca="false">IF($H38="",0,SUMIFS(Map_Stats!$F$2:$F$450,Map_Stats!$A$2:$A$450,$F38&amp;"|"&amp;$H38))</f>
        <v>11</v>
      </c>
      <c r="Y38" s="13" t="n">
        <f aca="false">IF($H38="","",IFERROR(1/(1/INDEX(Map_Stats!$K$2:$K$450,MATCH($F38&amp;"|"&amp;$H38,Map_Stats!$A$2:$A$450,0))),$O38))</f>
        <v>0.553514376996805</v>
      </c>
      <c r="Z38" s="10" t="str">
        <f aca="false">IF(OR($H38="",$P38=""),"",IFERROR(1/(1/INDEX(Map_Stats!$I$2:$I$450,MATCH($F38&amp;"|"&amp;$H38,Map_Stats!$A$2:$A$450,0))),$P38))</f>
        <v/>
      </c>
      <c r="AA38" s="13" t="n">
        <f aca="false">IF(OR($H38="",Y38=""),"",IF($O38="",Y38,(X38*Y38+Config!$B$4*$O38)/(X38+Config!$B$4)))</f>
        <v>0.577416134185304</v>
      </c>
      <c r="AB38" s="10" t="str">
        <f aca="false">IF(Z38="","",(X38*Z38+Config!$B$4*$P38)/(X38+Config!$B$4))</f>
        <v/>
      </c>
      <c r="AC38" s="17" t="n">
        <f aca="false">IF(OR(AA38="",$K38=""),"",AA38*$K38*($K38/Config!$B$11)^Config!$B$9)</f>
        <v>12.3105119808307</v>
      </c>
      <c r="AD38" s="17" t="str">
        <f aca="false">IF(OR(AC38="",AB38=""),"",AC38*AB38)</f>
        <v/>
      </c>
      <c r="AE38" s="9" t="n">
        <f aca="false">IF($I38="",0,SUMIFS(Map_Stats!$F$2:$F$450,Map_Stats!$A$2:$A$450,$F38&amp;"|"&amp;$I38))</f>
        <v>5</v>
      </c>
      <c r="AF38" s="13" t="n">
        <f aca="false">IF($I38="","",IFERROR(1/(1/INDEX(Map_Stats!$K$2:$K$450,MATCH($F38&amp;"|"&amp;$I38,Map_Stats!$A$2:$A$450,0))),$O38))</f>
        <v>0.613897763578275</v>
      </c>
      <c r="AG38" s="10" t="str">
        <f aca="false">IF(OR($I38="",$P38=""),"",IFERROR(1/(1/INDEX(Map_Stats!$I$2:$I$450,MATCH($F38&amp;"|"&amp;$I38,Map_Stats!$A$2:$A$450,0))),$P38))</f>
        <v/>
      </c>
      <c r="AH38" s="13" t="n">
        <f aca="false">IF(OR($I38="",AF38=""),"",IF($O38="",AF38,(AE38*AF38+Config!$B$4*$O38)/(AE38+Config!$B$4)))</f>
        <v>0.621948881789137</v>
      </c>
      <c r="AI38" s="10" t="str">
        <f aca="false">IF(AG38="","",(AE38*AG38+Config!$B$4*$P38)/(AE38+Config!$B$4))</f>
        <v/>
      </c>
      <c r="AJ38" s="17" t="n">
        <f aca="false">IF(OR(AH38="",$L38=""),"",AH38*$L38*($L38/Config!$B$11)^Config!$B$9)</f>
        <v>13.9938498402556</v>
      </c>
      <c r="AK38" s="17" t="str">
        <f aca="false">IF(OR(AJ38="",AI38=""),"",AJ38*AI38)</f>
        <v/>
      </c>
      <c r="AL38" s="17" t="n">
        <f aca="false">N(V38)+N(AC38)</f>
        <v>27.1835870607029</v>
      </c>
      <c r="AM38" s="17" t="n">
        <f aca="false">AL38+N($M38)*N(AJ38)</f>
        <v>33.3128932907348</v>
      </c>
      <c r="AN38" s="17" t="str">
        <f aca="false">IF(W38="","",N(W38)+N(AD38))</f>
        <v/>
      </c>
      <c r="AO38" s="17" t="str">
        <f aca="false">IF(AN38="","",AN38+N($M38)*N(AK38))</f>
        <v/>
      </c>
      <c r="AP38" s="10" t="str">
        <f aca="false">IFERROR(AN38/AL38,"")</f>
        <v/>
      </c>
      <c r="AQ38" s="0" t="str">
        <f aca="false">TRIM(IF($N38&lt;Config!$B$12,"thin sample ("&amp;$N38&amp;" maps) · ","")&amp;IF(AND($G38&lt;&gt;"",Q38=0),"M1 unplayed→overall KPR · ","")&amp;IF(AND($H38&lt;&gt;"",X38=0),"M2 unplayed→overall KPR · ","")&amp;IF($O38="","no PickFinder stats",""))</f>
        <v/>
      </c>
      <c r="AR38" s="0" t="str">
        <f aca="false">IF($C38=Board!$B$2,COUNTIFS($C$2:$C$56,Board!$B$2,$AL$2:$AL$56,"&gt;"&amp;$AL38)+COUNTIFS($C$1:$C37,Board!$B$2,$AL$1:$AL37,$AL38)+1,"")</f>
        <v/>
      </c>
      <c r="AS38" s="0" t="str">
        <f aca="false">IFERROR(IF($D38=INDEX(Matches!$AD$5:$AD$12,MATCH($C38,Matches!$A$5:$A$12,0)),"A",IF($D38=INDEX(Matches!$AE$5:$AE$12,MATCH($C38,Matches!$A$5:$A$12,0)),"B","")),"")</f>
        <v>B</v>
      </c>
      <c r="AT38" s="10" t="n">
        <f aca="false">IF($AS38="","",IFERROR(IF($AS38="A",INDEX(Matches!$AI$5:$AI$12,MATCH($C38,Matches!$A$5:$A$12,0)),INDEX(Matches!$AJ$5:$AJ$12,MATCH($C38,Matches!$A$5:$A$12,0))),""))</f>
        <v>0</v>
      </c>
      <c r="AU38" s="10" t="str">
        <f aca="false">IF($AS38="","",IFERROR(IF(INDEX(Matches!$AP$5:$AP$12,MATCH($C38,Matches!$A$5:$A$12,0))="","",IF($AS38="A",INDEX(Matches!$AP$5:$AP$12,MATCH($C38,Matches!$A$5:$A$12,0)),1-INDEX(Matches!$AP$5:$AP$12,MATCH($C38,Matches!$A$5:$A$12,0)))),""))</f>
        <v/>
      </c>
      <c r="AV38" s="13" t="n">
        <f aca="false">IF(OR($AU38="",$AT38=""),1,((Config!$B$14*$AU38+Config!$B$15*(1-$AU38))/(Config!$B$14*$AT38+Config!$B$15*(1-$AT38)))^Config!$B$13)</f>
        <v>1</v>
      </c>
      <c r="AW38" s="10" t="str">
        <f aca="false">IF($AS38="","",IFERROR(IF(INDEX(Matches!$AV$5:$AV$12,MATCH($C38,Matches!$A$5:$A$12,0))="","",IF($AS38="A",INDEX(Matches!$AV$5:$AV$12,MATCH($C38,Matches!$A$5:$A$12,0)),1-INDEX(Matches!$AV$5:$AV$12,MATCH($C38,Matches!$A$5:$A$12,0)))),""))</f>
        <v/>
      </c>
      <c r="AX38" s="13" t="n">
        <f aca="false">IF(OR($AW38="",$AT38=""),1,((Config!$B$14*$AW38+Config!$B$15*(1-$AW38))/(Config!$B$14*$AT38+Config!$B$15*(1-$AT38)))^Config!$B$13)</f>
        <v>1</v>
      </c>
      <c r="AY38" s="10" t="str">
        <f aca="false">IF($AS38="","",IFERROR(IF(INDEX(Matches!$BB$5:$BB$12,MATCH($C38,Matches!$A$5:$A$12,0))="","",IF($AS38="A",INDEX(Matches!$BB$5:$BB$12,MATCH($C38,Matches!$A$5:$A$12,0)),1-INDEX(Matches!$BB$5:$BB$12,MATCH($C38,Matches!$A$5:$A$12,0)))),""))</f>
        <v/>
      </c>
      <c r="AZ38" s="13" t="n">
        <f aca="false">IF(OR($AY38="",$AT38=""),1,((Config!$B$14*$AY38+Config!$B$15*(1-$AY38))/(Config!$B$14*$AT38+Config!$B$15*(1-$AT38)))^Config!$B$13)</f>
        <v>1</v>
      </c>
      <c r="BA38" s="17" t="n">
        <f aca="false">IF(V38="","",V38*$AV38)</f>
        <v>14.8730750798722</v>
      </c>
      <c r="BB38" s="17" t="n">
        <f aca="false">IF(AC38="","",AC38*$AX38)</f>
        <v>12.3105119808307</v>
      </c>
      <c r="BC38" s="17" t="n">
        <f aca="false">IF(AJ38="","",AJ38*$AZ38)</f>
        <v>13.9938498402556</v>
      </c>
      <c r="BD38" s="17" t="n">
        <f aca="false">N(BA38)+N(BB38)</f>
        <v>27.1835870607029</v>
      </c>
      <c r="BE38" s="17" t="n">
        <f aca="false">BD38+N($M38)*N(BC38)</f>
        <v>33.3128932907348</v>
      </c>
      <c r="BF38" s="17" t="str">
        <f aca="false">IF(W38="","",W38*$AV38)</f>
        <v/>
      </c>
      <c r="BG38" s="17" t="str">
        <f aca="false">IF(AD38="","",AD38*$AX38)</f>
        <v/>
      </c>
      <c r="BH38" s="17" t="str">
        <f aca="false">IF(AK38="","",AK38*$AZ38)</f>
        <v/>
      </c>
      <c r="BI38" s="17" t="str">
        <f aca="false">IF(BF38="","",N(BF38)+N(BG38))</f>
        <v/>
      </c>
      <c r="BJ38" s="17" t="str">
        <f aca="false">IF(BI38="","",BI38+N($M38)*N(BH38))</f>
        <v/>
      </c>
      <c r="BK38" s="13" t="n">
        <f aca="false">IFERROR(BD38/AL38,1)</f>
        <v>1</v>
      </c>
    </row>
    <row r="39" customFormat="false" ht="15" hidden="false" customHeight="false" outlineLevel="0" collapsed="false">
      <c r="A39" s="0" t="s">
        <v>776</v>
      </c>
      <c r="B39" s="0" t="s">
        <v>637</v>
      </c>
      <c r="C39" s="0" t="s">
        <v>660</v>
      </c>
      <c r="D39" s="0" t="s">
        <v>663</v>
      </c>
      <c r="E39" s="0" t="s">
        <v>775</v>
      </c>
      <c r="F39" s="0" t="s">
        <v>900</v>
      </c>
      <c r="G39" s="0" t="str">
        <f aca="false">IFERROR(IF(INDEX(Matches!$W$5:$W$12,MATCH($C39,Matches!$A$5:$A$12,0))="","",INDEX(Matches!$W$5:$W$12,MATCH($C39,Matches!$A$5:$A$12,0))),"")</f>
        <v>Haven</v>
      </c>
      <c r="H39" s="0" t="str">
        <f aca="false">IFERROR(IF(INDEX(Matches!$X$5:$X$12,MATCH($C39,Matches!$A$5:$A$12,0))="","",INDEX(Matches!$X$5:$X$12,MATCH($C39,Matches!$A$5:$A$12,0))),"")</f>
        <v>Lotus</v>
      </c>
      <c r="I39" s="0" t="str">
        <f aca="false">IFERROR(IF(INDEX(Matches!$Y$5:$Y$12,MATCH($C39,Matches!$A$5:$A$12,0))="","",INDEX(Matches!$Y$5:$Y$12,MATCH($C39,Matches!$A$5:$A$12,0))),"")</f>
        <v>Split</v>
      </c>
      <c r="J39" s="11" t="n">
        <f aca="false">IFERROR(IF(INDEX(Matches!$Z$5:$Z$12,MATCH($C39,Matches!$A$5:$A$12,0))="","",INDEX(Matches!$Z$5:$Z$12,MATCH($C39,Matches!$A$5:$A$12,0))),"")</f>
        <v>21.33</v>
      </c>
      <c r="K39" s="11" t="n">
        <f aca="false">IFERROR(IF(INDEX(Matches!$AA$5:$AA$12,MATCH($C39,Matches!$A$5:$A$12,0))="","",INDEX(Matches!$AA$5:$AA$12,MATCH($C39,Matches!$A$5:$A$12,0))),"")</f>
        <v>21.32</v>
      </c>
      <c r="L39" s="11" t="n">
        <f aca="false">IFERROR(IF(INDEX(Matches!$AB$5:$AB$12,MATCH($C39,Matches!$A$5:$A$12,0))="","",INDEX(Matches!$AB$5:$AB$12,MATCH($C39,Matches!$A$5:$A$12,0))),"")</f>
        <v>22.5</v>
      </c>
      <c r="M39" s="10" t="n">
        <f aca="false">IFERROR(IF(INDEX(Matches!$AC$5:$AC$12,MATCH($C39,Matches!$A$5:$A$12,0))="","",INDEX(Matches!$AC$5:$AC$12,MATCH($C39,Matches!$A$5:$A$12,0))),"")</f>
        <v>0.438</v>
      </c>
      <c r="N39" s="9" t="n">
        <f aca="false">IFERROR(INDEX(Players!$F$2:$F$56,MATCH($F39,Players!$A$2:$A$56,0)),0)</f>
        <v>35</v>
      </c>
      <c r="O39" s="13" t="n">
        <f aca="false">IFERROR(1/(1/INDEX(Players!$H$2:$H$56,MATCH($F39,Players!$A$2:$A$56,0))),"")</f>
        <v>0.62</v>
      </c>
      <c r="P39" s="10" t="str">
        <f aca="false">IFERROR(1/(1/INDEX(Players!$I$2:$I$56,MATCH($F39,Players!$A$2:$A$56,0))),"")</f>
        <v/>
      </c>
      <c r="Q39" s="9" t="n">
        <f aca="false">IF($G39="",0,SUMIFS(Map_Stats!$F$2:$F$450,Map_Stats!$A$2:$A$450,$F39&amp;"|"&amp;$G39))</f>
        <v>4</v>
      </c>
      <c r="R39" s="13" t="n">
        <f aca="false">IF($G39="","",IFERROR(1/(1/INDEX(Map_Stats!$K$2:$K$450,MATCH($F39&amp;"|"&amp;$G39,Map_Stats!$A$2:$A$450,0))),$O39))</f>
        <v>0.758426005132592</v>
      </c>
      <c r="S39" s="10" t="str">
        <f aca="false">IF(OR($G39="",$P39=""),"",IFERROR(1/(1/INDEX(Map_Stats!$I$2:$I$450,MATCH($F39&amp;"|"&amp;$G39,Map_Stats!$A$2:$A$450,0))),$P39))</f>
        <v/>
      </c>
      <c r="T39" s="13" t="n">
        <f aca="false">IF(OR($G39="",R39=""),"",IF($O39="",R39,(Q39*R39+Config!$B$4*$O39)/(Q39+Config!$B$4)))</f>
        <v>0.681522668947819</v>
      </c>
      <c r="U39" s="10" t="str">
        <f aca="false">IF(S39="","",(Q39*S39+Config!$B$4*$P39)/(Q39+Config!$B$4))</f>
        <v/>
      </c>
      <c r="V39" s="17" t="n">
        <f aca="false">IF(OR(T39="",$J39=""),"",T39*$J39*($J39/Config!$B$11)^Config!$B$9)</f>
        <v>14.536878528657</v>
      </c>
      <c r="W39" s="17" t="str">
        <f aca="false">IF(OR(V39="",U39=""),"",V39*U39)</f>
        <v/>
      </c>
      <c r="X39" s="9" t="n">
        <f aca="false">IF($H39="",0,SUMIFS(Map_Stats!$F$2:$F$450,Map_Stats!$A$2:$A$450,$F39&amp;"|"&amp;$H39))</f>
        <v>3</v>
      </c>
      <c r="Y39" s="13" t="n">
        <f aca="false">IF($H39="","",IFERROR(1/(1/INDEX(Map_Stats!$K$2:$K$450,MATCH($F39&amp;"|"&amp;$H39,Map_Stats!$A$2:$A$450,0))),$O39))</f>
        <v>0.408383233532934</v>
      </c>
      <c r="Z39" s="10" t="str">
        <f aca="false">IF(OR($H39="",$P39=""),"",IFERROR(1/(1/INDEX(Map_Stats!$I$2:$I$450,MATCH($F39&amp;"|"&amp;$H39,Map_Stats!$A$2:$A$450,0))),$P39))</f>
        <v/>
      </c>
      <c r="AA39" s="13" t="n">
        <f aca="false">IF(OR($H39="",Y39=""),"",IF($O39="",Y39,(X39*Y39+Config!$B$4*$O39)/(X39+Config!$B$4)))</f>
        <v>0.54064371257485</v>
      </c>
      <c r="AB39" s="10" t="str">
        <f aca="false">IF(Z39="","",(X39*Z39+Config!$B$4*$P39)/(X39+Config!$B$4))</f>
        <v/>
      </c>
      <c r="AC39" s="17" t="n">
        <f aca="false">IF(OR(AA39="",$K39=""),"",AA39*$K39*($K39/Config!$B$11)^Config!$B$9)</f>
        <v>11.5265239520958</v>
      </c>
      <c r="AD39" s="17" t="str">
        <f aca="false">IF(OR(AC39="",AB39=""),"",AC39*AB39)</f>
        <v/>
      </c>
      <c r="AE39" s="9" t="n">
        <f aca="false">IF($I39="",0,SUMIFS(Map_Stats!$F$2:$F$450,Map_Stats!$A$2:$A$450,$F39&amp;"|"&amp;$I39))</f>
        <v>6</v>
      </c>
      <c r="AF39" s="13" t="n">
        <f aca="false">IF($I39="","",IFERROR(1/(1/INDEX(Map_Stats!$K$2:$K$450,MATCH($F39&amp;"|"&amp;$I39,Map_Stats!$A$2:$A$450,0))),$O39))</f>
        <v>0.487938408896493</v>
      </c>
      <c r="AG39" s="10" t="str">
        <f aca="false">IF(OR($I39="",$P39=""),"",IFERROR(1/(1/INDEX(Map_Stats!$I$2:$I$450,MATCH($F39&amp;"|"&amp;$I39,Map_Stats!$A$2:$A$450,0))),$P39))</f>
        <v/>
      </c>
      <c r="AH39" s="13" t="n">
        <f aca="false">IF(OR($I39="",AF39=""),"",IF($O39="",AF39,(AE39*AF39+Config!$B$4*$O39)/(AE39+Config!$B$4)))</f>
        <v>0.547966404852632</v>
      </c>
      <c r="AI39" s="10" t="str">
        <f aca="false">IF(AG39="","",(AE39*AG39+Config!$B$4*$P39)/(AE39+Config!$B$4))</f>
        <v/>
      </c>
      <c r="AJ39" s="17" t="n">
        <f aca="false">IF(OR(AH39="",$L39=""),"",AH39*$L39*($L39/Config!$B$11)^Config!$B$9)</f>
        <v>12.3292441091842</v>
      </c>
      <c r="AK39" s="17" t="str">
        <f aca="false">IF(OR(AJ39="",AI39=""),"",AJ39*AI39)</f>
        <v/>
      </c>
      <c r="AL39" s="17" t="n">
        <f aca="false">N(V39)+N(AC39)</f>
        <v>26.0634024807528</v>
      </c>
      <c r="AM39" s="17" t="n">
        <f aca="false">AL39+N($M39)*N(AJ39)</f>
        <v>31.4636114005755</v>
      </c>
      <c r="AN39" s="17" t="str">
        <f aca="false">IF(W39="","",N(W39)+N(AD39))</f>
        <v/>
      </c>
      <c r="AO39" s="17" t="str">
        <f aca="false">IF(AN39="","",AN39+N($M39)*N(AK39))</f>
        <v/>
      </c>
      <c r="AP39" s="10" t="str">
        <f aca="false">IFERROR(AN39/AL39,"")</f>
        <v/>
      </c>
      <c r="AQ39" s="0" t="str">
        <f aca="false">TRIM(IF($N39&lt;Config!$B$12,"thin sample ("&amp;$N39&amp;" maps) · ","")&amp;IF(AND($G39&lt;&gt;"",Q39=0),"M1 unplayed→overall KPR · ","")&amp;IF(AND($H39&lt;&gt;"",X39=0),"M2 unplayed→overall KPR · ","")&amp;IF($O39="","no PickFinder stats",""))</f>
        <v/>
      </c>
      <c r="AR39" s="0" t="str">
        <f aca="false">IF($C39=Board!$B$2,COUNTIFS($C$2:$C$56,Board!$B$2,$AL$2:$AL$56,"&gt;"&amp;$AL39)+COUNTIFS($C$1:$C38,Board!$B$2,$AL$1:$AL38,$AL39)+1,"")</f>
        <v/>
      </c>
      <c r="AS39" s="0" t="str">
        <f aca="false">IFERROR(IF($D39=INDEX(Matches!$AD$5:$AD$12,MATCH($C39,Matches!$A$5:$A$12,0)),"A",IF($D39=INDEX(Matches!$AE$5:$AE$12,MATCH($C39,Matches!$A$5:$A$12,0)),"B","")),"")</f>
        <v>A</v>
      </c>
      <c r="AT39" s="10" t="n">
        <f aca="false">IF($AS39="","",IFERROR(IF($AS39="A",INDEX(Matches!$AI$5:$AI$12,MATCH($C39,Matches!$A$5:$A$12,0)),INDEX(Matches!$AJ$5:$AJ$12,MATCH($C39,Matches!$A$5:$A$12,0))),""))</f>
        <v>0</v>
      </c>
      <c r="AU39" s="10" t="str">
        <f aca="false">IF($AS39="","",IFERROR(IF(INDEX(Matches!$AP$5:$AP$12,MATCH($C39,Matches!$A$5:$A$12,0))="","",IF($AS39="A",INDEX(Matches!$AP$5:$AP$12,MATCH($C39,Matches!$A$5:$A$12,0)),1-INDEX(Matches!$AP$5:$AP$12,MATCH($C39,Matches!$A$5:$A$12,0)))),""))</f>
        <v/>
      </c>
      <c r="AV39" s="13" t="n">
        <f aca="false">IF(OR($AU39="",$AT39=""),1,((Config!$B$14*$AU39+Config!$B$15*(1-$AU39))/(Config!$B$14*$AT39+Config!$B$15*(1-$AT39)))^Config!$B$13)</f>
        <v>1</v>
      </c>
      <c r="AW39" s="10" t="str">
        <f aca="false">IF($AS39="","",IFERROR(IF(INDEX(Matches!$AV$5:$AV$12,MATCH($C39,Matches!$A$5:$A$12,0))="","",IF($AS39="A",INDEX(Matches!$AV$5:$AV$12,MATCH($C39,Matches!$A$5:$A$12,0)),1-INDEX(Matches!$AV$5:$AV$12,MATCH($C39,Matches!$A$5:$A$12,0)))),""))</f>
        <v/>
      </c>
      <c r="AX39" s="13" t="n">
        <f aca="false">IF(OR($AW39="",$AT39=""),1,((Config!$B$14*$AW39+Config!$B$15*(1-$AW39))/(Config!$B$14*$AT39+Config!$B$15*(1-$AT39)))^Config!$B$13)</f>
        <v>1</v>
      </c>
      <c r="AY39" s="10" t="str">
        <f aca="false">IF($AS39="","",IFERROR(IF(INDEX(Matches!$BB$5:$BB$12,MATCH($C39,Matches!$A$5:$A$12,0))="","",IF($AS39="A",INDEX(Matches!$BB$5:$BB$12,MATCH($C39,Matches!$A$5:$A$12,0)),1-INDEX(Matches!$BB$5:$BB$12,MATCH($C39,Matches!$A$5:$A$12,0)))),""))</f>
        <v/>
      </c>
      <c r="AZ39" s="13" t="n">
        <f aca="false">IF(OR($AY39="",$AT39=""),1,((Config!$B$14*$AY39+Config!$B$15*(1-$AY39))/(Config!$B$14*$AT39+Config!$B$15*(1-$AT39)))^Config!$B$13)</f>
        <v>1</v>
      </c>
      <c r="BA39" s="17" t="n">
        <f aca="false">IF(V39="","",V39*$AV39)</f>
        <v>14.536878528657</v>
      </c>
      <c r="BB39" s="17" t="n">
        <f aca="false">IF(AC39="","",AC39*$AX39)</f>
        <v>11.5265239520958</v>
      </c>
      <c r="BC39" s="17" t="n">
        <f aca="false">IF(AJ39="","",AJ39*$AZ39)</f>
        <v>12.3292441091842</v>
      </c>
      <c r="BD39" s="17" t="n">
        <f aca="false">N(BA39)+N(BB39)</f>
        <v>26.0634024807528</v>
      </c>
      <c r="BE39" s="17" t="n">
        <f aca="false">BD39+N($M39)*N(BC39)</f>
        <v>31.4636114005755</v>
      </c>
      <c r="BF39" s="17" t="str">
        <f aca="false">IF(W39="","",W39*$AV39)</f>
        <v/>
      </c>
      <c r="BG39" s="17" t="str">
        <f aca="false">IF(AD39="","",AD39*$AX39)</f>
        <v/>
      </c>
      <c r="BH39" s="17" t="str">
        <f aca="false">IF(AK39="","",AK39*$AZ39)</f>
        <v/>
      </c>
      <c r="BI39" s="17" t="str">
        <f aca="false">IF(BF39="","",N(BF39)+N(BG39))</f>
        <v/>
      </c>
      <c r="BJ39" s="17" t="str">
        <f aca="false">IF(BI39="","",BI39+N($M39)*N(BH39))</f>
        <v/>
      </c>
      <c r="BK39" s="13" t="n">
        <f aca="false">IFERROR(BD39/AL39,1)</f>
        <v>1</v>
      </c>
    </row>
    <row r="40" customFormat="false" ht="15" hidden="false" customHeight="false" outlineLevel="0" collapsed="false">
      <c r="A40" s="0" t="s">
        <v>778</v>
      </c>
      <c r="B40" s="0" t="s">
        <v>637</v>
      </c>
      <c r="C40" s="0" t="s">
        <v>660</v>
      </c>
      <c r="D40" s="0" t="s">
        <v>663</v>
      </c>
      <c r="E40" s="0" t="s">
        <v>777</v>
      </c>
      <c r="F40" s="0" t="s">
        <v>901</v>
      </c>
      <c r="G40" s="0" t="str">
        <f aca="false">IFERROR(IF(INDEX(Matches!$W$5:$W$12,MATCH($C40,Matches!$A$5:$A$12,0))="","",INDEX(Matches!$W$5:$W$12,MATCH($C40,Matches!$A$5:$A$12,0))),"")</f>
        <v>Haven</v>
      </c>
      <c r="H40" s="0" t="str">
        <f aca="false">IFERROR(IF(INDEX(Matches!$X$5:$X$12,MATCH($C40,Matches!$A$5:$A$12,0))="","",INDEX(Matches!$X$5:$X$12,MATCH($C40,Matches!$A$5:$A$12,0))),"")</f>
        <v>Lotus</v>
      </c>
      <c r="I40" s="0" t="str">
        <f aca="false">IFERROR(IF(INDEX(Matches!$Y$5:$Y$12,MATCH($C40,Matches!$A$5:$A$12,0))="","",INDEX(Matches!$Y$5:$Y$12,MATCH($C40,Matches!$A$5:$A$12,0))),"")</f>
        <v>Split</v>
      </c>
      <c r="J40" s="11" t="n">
        <f aca="false">IFERROR(IF(INDEX(Matches!$Z$5:$Z$12,MATCH($C40,Matches!$A$5:$A$12,0))="","",INDEX(Matches!$Z$5:$Z$12,MATCH($C40,Matches!$A$5:$A$12,0))),"")</f>
        <v>21.33</v>
      </c>
      <c r="K40" s="11" t="n">
        <f aca="false">IFERROR(IF(INDEX(Matches!$AA$5:$AA$12,MATCH($C40,Matches!$A$5:$A$12,0))="","",INDEX(Matches!$AA$5:$AA$12,MATCH($C40,Matches!$A$5:$A$12,0))),"")</f>
        <v>21.32</v>
      </c>
      <c r="L40" s="11" t="n">
        <f aca="false">IFERROR(IF(INDEX(Matches!$AB$5:$AB$12,MATCH($C40,Matches!$A$5:$A$12,0))="","",INDEX(Matches!$AB$5:$AB$12,MATCH($C40,Matches!$A$5:$A$12,0))),"")</f>
        <v>22.5</v>
      </c>
      <c r="M40" s="10" t="n">
        <f aca="false">IFERROR(IF(INDEX(Matches!$AC$5:$AC$12,MATCH($C40,Matches!$A$5:$A$12,0))="","",INDEX(Matches!$AC$5:$AC$12,MATCH($C40,Matches!$A$5:$A$12,0))),"")</f>
        <v>0.438</v>
      </c>
      <c r="N40" s="9" t="n">
        <f aca="false">IFERROR(INDEX(Players!$F$2:$F$56,MATCH($F40,Players!$A$2:$A$56,0)),0)</f>
        <v>35</v>
      </c>
      <c r="O40" s="13" t="n">
        <f aca="false">IFERROR(1/(1/INDEX(Players!$H$2:$H$56,MATCH($F40,Players!$A$2:$A$56,0))),"")</f>
        <v>0.58</v>
      </c>
      <c r="P40" s="10" t="str">
        <f aca="false">IFERROR(1/(1/INDEX(Players!$I$2:$I$56,MATCH($F40,Players!$A$2:$A$56,0))),"")</f>
        <v/>
      </c>
      <c r="Q40" s="9" t="n">
        <f aca="false">IF($G40="",0,SUMIFS(Map_Stats!$F$2:$F$450,Map_Stats!$A$2:$A$450,$F40&amp;"|"&amp;$G40))</f>
        <v>4</v>
      </c>
      <c r="R40" s="13" t="n">
        <f aca="false">IF($G40="","",IFERROR(1/(1/INDEX(Map_Stats!$K$2:$K$450,MATCH($F40&amp;"|"&amp;$G40,Map_Stats!$A$2:$A$450,0))),$O40))</f>
        <v>0.751949229374433</v>
      </c>
      <c r="S40" s="10" t="str">
        <f aca="false">IF(OR($G40="",$P40=""),"",IFERROR(1/(1/INDEX(Map_Stats!$I$2:$I$450,MATCH($F40&amp;"|"&amp;$G40,Map_Stats!$A$2:$A$450,0))),$P40))</f>
        <v/>
      </c>
      <c r="T40" s="13" t="n">
        <f aca="false">IF(OR($G40="",R40=""),"",IF($O40="",R40,(Q40*R40+Config!$B$4*$O40)/(Q40+Config!$B$4)))</f>
        <v>0.65642187972197</v>
      </c>
      <c r="U40" s="10" t="str">
        <f aca="false">IF(S40="","",(Q40*S40+Config!$B$4*$P40)/(Q40+Config!$B$4))</f>
        <v/>
      </c>
      <c r="V40" s="17" t="n">
        <f aca="false">IF(OR(T40="",$J40=""),"",T40*$J40*($J40/Config!$B$11)^Config!$B$9)</f>
        <v>14.0014786944696</v>
      </c>
      <c r="W40" s="17" t="str">
        <f aca="false">IF(OR(V40="",U40=""),"",V40*U40)</f>
        <v/>
      </c>
      <c r="X40" s="9" t="n">
        <f aca="false">IF($H40="",0,SUMIFS(Map_Stats!$F$2:$F$450,Map_Stats!$A$2:$A$450,$F40&amp;"|"&amp;$H40))</f>
        <v>3</v>
      </c>
      <c r="Y40" s="13" t="n">
        <f aca="false">IF($H40="","",IFERROR(1/(1/INDEX(Map_Stats!$K$2:$K$450,MATCH($F40&amp;"|"&amp;$H40,Map_Stats!$A$2:$A$450,0))),$O40))</f>
        <v>0.646781504986401</v>
      </c>
      <c r="Z40" s="10" t="str">
        <f aca="false">IF(OR($H40="",$P40=""),"",IFERROR(1/(1/INDEX(Map_Stats!$I$2:$I$450,MATCH($F40&amp;"|"&amp;$H40,Map_Stats!$A$2:$A$450,0))),$P40))</f>
        <v/>
      </c>
      <c r="AA40" s="13" t="n">
        <f aca="false">IF(OR($H40="",Y40=""),"",IF($O40="",Y40,(X40*Y40+Config!$B$4*$O40)/(X40+Config!$B$4)))</f>
        <v>0.6050430643699</v>
      </c>
      <c r="AB40" s="10" t="str">
        <f aca="false">IF(Z40="","",(X40*Z40+Config!$B$4*$P40)/(X40+Config!$B$4))</f>
        <v/>
      </c>
      <c r="AC40" s="17" t="n">
        <f aca="false">IF(OR(AA40="",$K40=""),"",AA40*$K40*($K40/Config!$B$11)^Config!$B$9)</f>
        <v>12.8995181323663</v>
      </c>
      <c r="AD40" s="17" t="str">
        <f aca="false">IF(OR(AC40="",AB40=""),"",AC40*AB40)</f>
        <v/>
      </c>
      <c r="AE40" s="9" t="n">
        <f aca="false">IF($I40="",0,SUMIFS(Map_Stats!$F$2:$F$450,Map_Stats!$A$2:$A$450,$F40&amp;"|"&amp;$I40))</f>
        <v>6</v>
      </c>
      <c r="AF40" s="13" t="n">
        <f aca="false">IF($I40="","",IFERROR(1/(1/INDEX(Map_Stats!$K$2:$K$450,MATCH($F40&amp;"|"&amp;$I40,Map_Stats!$A$2:$A$450,0))),$O40))</f>
        <v>0.594197642792384</v>
      </c>
      <c r="AG40" s="10" t="str">
        <f aca="false">IF(OR($I40="",$P40=""),"",IFERROR(1/(1/INDEX(Map_Stats!$I$2:$I$450,MATCH($F40&amp;"|"&amp;$I40,Map_Stats!$A$2:$A$450,0))),$P40))</f>
        <v/>
      </c>
      <c r="AH40" s="13" t="n">
        <f aca="false">IF(OR($I40="",AF40=""),"",IF($O40="",AF40,(AE40*AF40+Config!$B$4*$O40)/(AE40+Config!$B$4)))</f>
        <v>0.587744168795846</v>
      </c>
      <c r="AI40" s="10" t="str">
        <f aca="false">IF(AG40="","",(AE40*AG40+Config!$B$4*$P40)/(AE40+Config!$B$4))</f>
        <v/>
      </c>
      <c r="AJ40" s="17" t="n">
        <f aca="false">IF(OR(AH40="",$L40=""),"",AH40*$L40*($L40/Config!$B$11)^Config!$B$9)</f>
        <v>13.2242437979065</v>
      </c>
      <c r="AK40" s="17" t="str">
        <f aca="false">IF(OR(AJ40="",AI40=""),"",AJ40*AI40)</f>
        <v/>
      </c>
      <c r="AL40" s="17" t="n">
        <f aca="false">N(V40)+N(AC40)</f>
        <v>26.9009968268359</v>
      </c>
      <c r="AM40" s="17" t="n">
        <f aca="false">AL40+N($M40)*N(AJ40)</f>
        <v>32.693215610319</v>
      </c>
      <c r="AN40" s="17" t="str">
        <f aca="false">IF(W40="","",N(W40)+N(AD40))</f>
        <v/>
      </c>
      <c r="AO40" s="17" t="str">
        <f aca="false">IF(AN40="","",AN40+N($M40)*N(AK40))</f>
        <v/>
      </c>
      <c r="AP40" s="10" t="str">
        <f aca="false">IFERROR(AN40/AL40,"")</f>
        <v/>
      </c>
      <c r="AQ40" s="0" t="str">
        <f aca="false">TRIM(IF($N40&lt;Config!$B$12,"thin sample ("&amp;$N40&amp;" maps) · ","")&amp;IF(AND($G40&lt;&gt;"",Q40=0),"M1 unplayed→overall KPR · ","")&amp;IF(AND($H40&lt;&gt;"",X40=0),"M2 unplayed→overall KPR · ","")&amp;IF($O40="","no PickFinder stats",""))</f>
        <v/>
      </c>
      <c r="AR40" s="0" t="str">
        <f aca="false">IF($C40=Board!$B$2,COUNTIFS($C$2:$C$56,Board!$B$2,$AL$2:$AL$56,"&gt;"&amp;$AL40)+COUNTIFS($C$1:$C39,Board!$B$2,$AL$1:$AL39,$AL40)+1,"")</f>
        <v/>
      </c>
      <c r="AS40" s="0" t="str">
        <f aca="false">IFERROR(IF($D40=INDEX(Matches!$AD$5:$AD$12,MATCH($C40,Matches!$A$5:$A$12,0)),"A",IF($D40=INDEX(Matches!$AE$5:$AE$12,MATCH($C40,Matches!$A$5:$A$12,0)),"B","")),"")</f>
        <v>A</v>
      </c>
      <c r="AT40" s="10" t="n">
        <f aca="false">IF($AS40="","",IFERROR(IF($AS40="A",INDEX(Matches!$AI$5:$AI$12,MATCH($C40,Matches!$A$5:$A$12,0)),INDEX(Matches!$AJ$5:$AJ$12,MATCH($C40,Matches!$A$5:$A$12,0))),""))</f>
        <v>0</v>
      </c>
      <c r="AU40" s="10" t="str">
        <f aca="false">IF($AS40="","",IFERROR(IF(INDEX(Matches!$AP$5:$AP$12,MATCH($C40,Matches!$A$5:$A$12,0))="","",IF($AS40="A",INDEX(Matches!$AP$5:$AP$12,MATCH($C40,Matches!$A$5:$A$12,0)),1-INDEX(Matches!$AP$5:$AP$12,MATCH($C40,Matches!$A$5:$A$12,0)))),""))</f>
        <v/>
      </c>
      <c r="AV40" s="13" t="n">
        <f aca="false">IF(OR($AU40="",$AT40=""),1,((Config!$B$14*$AU40+Config!$B$15*(1-$AU40))/(Config!$B$14*$AT40+Config!$B$15*(1-$AT40)))^Config!$B$13)</f>
        <v>1</v>
      </c>
      <c r="AW40" s="10" t="str">
        <f aca="false">IF($AS40="","",IFERROR(IF(INDEX(Matches!$AV$5:$AV$12,MATCH($C40,Matches!$A$5:$A$12,0))="","",IF($AS40="A",INDEX(Matches!$AV$5:$AV$12,MATCH($C40,Matches!$A$5:$A$12,0)),1-INDEX(Matches!$AV$5:$AV$12,MATCH($C40,Matches!$A$5:$A$12,0)))),""))</f>
        <v/>
      </c>
      <c r="AX40" s="13" t="n">
        <f aca="false">IF(OR($AW40="",$AT40=""),1,((Config!$B$14*$AW40+Config!$B$15*(1-$AW40))/(Config!$B$14*$AT40+Config!$B$15*(1-$AT40)))^Config!$B$13)</f>
        <v>1</v>
      </c>
      <c r="AY40" s="10" t="str">
        <f aca="false">IF($AS40="","",IFERROR(IF(INDEX(Matches!$BB$5:$BB$12,MATCH($C40,Matches!$A$5:$A$12,0))="","",IF($AS40="A",INDEX(Matches!$BB$5:$BB$12,MATCH($C40,Matches!$A$5:$A$12,0)),1-INDEX(Matches!$BB$5:$BB$12,MATCH($C40,Matches!$A$5:$A$12,0)))),""))</f>
        <v/>
      </c>
      <c r="AZ40" s="13" t="n">
        <f aca="false">IF(OR($AY40="",$AT40=""),1,((Config!$B$14*$AY40+Config!$B$15*(1-$AY40))/(Config!$B$14*$AT40+Config!$B$15*(1-$AT40)))^Config!$B$13)</f>
        <v>1</v>
      </c>
      <c r="BA40" s="17" t="n">
        <f aca="false">IF(V40="","",V40*$AV40)</f>
        <v>14.0014786944696</v>
      </c>
      <c r="BB40" s="17" t="n">
        <f aca="false">IF(AC40="","",AC40*$AX40)</f>
        <v>12.8995181323663</v>
      </c>
      <c r="BC40" s="17" t="n">
        <f aca="false">IF(AJ40="","",AJ40*$AZ40)</f>
        <v>13.2242437979065</v>
      </c>
      <c r="BD40" s="17" t="n">
        <f aca="false">N(BA40)+N(BB40)</f>
        <v>26.9009968268359</v>
      </c>
      <c r="BE40" s="17" t="n">
        <f aca="false">BD40+N($M40)*N(BC40)</f>
        <v>32.693215610319</v>
      </c>
      <c r="BF40" s="17" t="str">
        <f aca="false">IF(W40="","",W40*$AV40)</f>
        <v/>
      </c>
      <c r="BG40" s="17" t="str">
        <f aca="false">IF(AD40="","",AD40*$AX40)</f>
        <v/>
      </c>
      <c r="BH40" s="17" t="str">
        <f aca="false">IF(AK40="","",AK40*$AZ40)</f>
        <v/>
      </c>
      <c r="BI40" s="17" t="str">
        <f aca="false">IF(BF40="","",N(BF40)+N(BG40))</f>
        <v/>
      </c>
      <c r="BJ40" s="17" t="str">
        <f aca="false">IF(BI40="","",BI40+N($M40)*N(BH40))</f>
        <v/>
      </c>
      <c r="BK40" s="13" t="n">
        <f aca="false">IFERROR(BD40/AL40,1)</f>
        <v>1</v>
      </c>
    </row>
    <row r="41" customFormat="false" ht="15" hidden="false" customHeight="false" outlineLevel="0" collapsed="false">
      <c r="A41" s="0" t="s">
        <v>780</v>
      </c>
      <c r="B41" s="0" t="s">
        <v>637</v>
      </c>
      <c r="C41" s="0" t="s">
        <v>660</v>
      </c>
      <c r="D41" s="0" t="s">
        <v>663</v>
      </c>
      <c r="E41" s="0" t="s">
        <v>779</v>
      </c>
      <c r="F41" s="0" t="s">
        <v>902</v>
      </c>
      <c r="G41" s="0" t="str">
        <f aca="false">IFERROR(IF(INDEX(Matches!$W$5:$W$12,MATCH($C41,Matches!$A$5:$A$12,0))="","",INDEX(Matches!$W$5:$W$12,MATCH($C41,Matches!$A$5:$A$12,0))),"")</f>
        <v>Haven</v>
      </c>
      <c r="H41" s="0" t="str">
        <f aca="false">IFERROR(IF(INDEX(Matches!$X$5:$X$12,MATCH($C41,Matches!$A$5:$A$12,0))="","",INDEX(Matches!$X$5:$X$12,MATCH($C41,Matches!$A$5:$A$12,0))),"")</f>
        <v>Lotus</v>
      </c>
      <c r="I41" s="0" t="str">
        <f aca="false">IFERROR(IF(INDEX(Matches!$Y$5:$Y$12,MATCH($C41,Matches!$A$5:$A$12,0))="","",INDEX(Matches!$Y$5:$Y$12,MATCH($C41,Matches!$A$5:$A$12,0))),"")</f>
        <v>Split</v>
      </c>
      <c r="J41" s="11" t="n">
        <f aca="false">IFERROR(IF(INDEX(Matches!$Z$5:$Z$12,MATCH($C41,Matches!$A$5:$A$12,0))="","",INDEX(Matches!$Z$5:$Z$12,MATCH($C41,Matches!$A$5:$A$12,0))),"")</f>
        <v>21.33</v>
      </c>
      <c r="K41" s="11" t="n">
        <f aca="false">IFERROR(IF(INDEX(Matches!$AA$5:$AA$12,MATCH($C41,Matches!$A$5:$A$12,0))="","",INDEX(Matches!$AA$5:$AA$12,MATCH($C41,Matches!$A$5:$A$12,0))),"")</f>
        <v>21.32</v>
      </c>
      <c r="L41" s="11" t="n">
        <f aca="false">IFERROR(IF(INDEX(Matches!$AB$5:$AB$12,MATCH($C41,Matches!$A$5:$A$12,0))="","",INDEX(Matches!$AB$5:$AB$12,MATCH($C41,Matches!$A$5:$A$12,0))),"")</f>
        <v>22.5</v>
      </c>
      <c r="M41" s="10" t="n">
        <f aca="false">IFERROR(IF(INDEX(Matches!$AC$5:$AC$12,MATCH($C41,Matches!$A$5:$A$12,0))="","",INDEX(Matches!$AC$5:$AC$12,MATCH($C41,Matches!$A$5:$A$12,0))),"")</f>
        <v>0.438</v>
      </c>
      <c r="N41" s="9" t="n">
        <f aca="false">IFERROR(INDEX(Players!$F$2:$F$56,MATCH($F41,Players!$A$2:$A$56,0)),0)</f>
        <v>37</v>
      </c>
      <c r="O41" s="13" t="n">
        <f aca="false">IFERROR(1/(1/INDEX(Players!$H$2:$H$56,MATCH($F41,Players!$A$2:$A$56,0))),"")</f>
        <v>0.88</v>
      </c>
      <c r="P41" s="10" t="str">
        <f aca="false">IFERROR(1/(1/INDEX(Players!$I$2:$I$56,MATCH($F41,Players!$A$2:$A$56,0))),"")</f>
        <v/>
      </c>
      <c r="Q41" s="9" t="n">
        <f aca="false">IF($G41="",0,SUMIFS(Map_Stats!$F$2:$F$450,Map_Stats!$A$2:$A$450,$F41&amp;"|"&amp;$G41))</f>
        <v>4</v>
      </c>
      <c r="R41" s="13" t="n">
        <f aca="false">IF($G41="","",IFERROR(1/(1/INDEX(Map_Stats!$K$2:$K$450,MATCH($F41&amp;"|"&amp;$G41,Map_Stats!$A$2:$A$450,0))),$O41))</f>
        <v>0.925774400935126</v>
      </c>
      <c r="S41" s="10" t="str">
        <f aca="false">IF(OR($G41="",$P41=""),"",IFERROR(1/(1/INDEX(Map_Stats!$I$2:$I$450,MATCH($F41&amp;"|"&amp;$G41,Map_Stats!$A$2:$A$450,0))),$P41))</f>
        <v/>
      </c>
      <c r="T41" s="13" t="n">
        <f aca="false">IF(OR($G41="",R41=""),"",IF($O41="",R41,(Q41*R41+Config!$B$4*$O41)/(Q41+Config!$B$4)))</f>
        <v>0.900344178193389</v>
      </c>
      <c r="U41" s="10" t="str">
        <f aca="false">IF(S41="","",(Q41*S41+Config!$B$4*$P41)/(Q41+Config!$B$4))</f>
        <v/>
      </c>
      <c r="V41" s="17" t="n">
        <f aca="false">IF(OR(T41="",$J41=""),"",T41*$J41*($J41/Config!$B$11)^Config!$B$9)</f>
        <v>19.204341320865</v>
      </c>
      <c r="W41" s="17" t="str">
        <f aca="false">IF(OR(V41="",U41=""),"",V41*U41)</f>
        <v/>
      </c>
      <c r="X41" s="9" t="n">
        <f aca="false">IF($H41="",0,SUMIFS(Map_Stats!$F$2:$F$450,Map_Stats!$A$2:$A$450,$F41&amp;"|"&amp;$H41))</f>
        <v>3</v>
      </c>
      <c r="Y41" s="13" t="n">
        <f aca="false">IF($H41="","",IFERROR(1/(1/INDEX(Map_Stats!$K$2:$K$450,MATCH($F41&amp;"|"&amp;$H41,Map_Stats!$A$2:$A$450,0))),$O41))</f>
        <v>0.704617182933957</v>
      </c>
      <c r="Z41" s="10" t="str">
        <f aca="false">IF(OR($H41="",$P41=""),"",IFERROR(1/(1/INDEX(Map_Stats!$I$2:$I$450,MATCH($F41&amp;"|"&amp;$H41,Map_Stats!$A$2:$A$450,0))),$P41))</f>
        <v/>
      </c>
      <c r="AA41" s="13" t="n">
        <f aca="false">IF(OR($H41="",Y41=""),"",IF($O41="",Y41,(X41*Y41+Config!$B$4*$O41)/(X41+Config!$B$4)))</f>
        <v>0.814231443600234</v>
      </c>
      <c r="AB41" s="10" t="str">
        <f aca="false">IF(Z41="","",(X41*Z41+Config!$B$4*$P41)/(X41+Config!$B$4))</f>
        <v/>
      </c>
      <c r="AC41" s="17" t="n">
        <f aca="false">IF(OR(AA41="",$K41=""),"",AA41*$K41*($K41/Config!$B$11)^Config!$B$9)</f>
        <v>17.359414377557</v>
      </c>
      <c r="AD41" s="17" t="str">
        <f aca="false">IF(OR(AC41="",AB41=""),"",AC41*AB41)</f>
        <v/>
      </c>
      <c r="AE41" s="9" t="n">
        <f aca="false">IF($I41="",0,SUMIFS(Map_Stats!$F$2:$F$450,Map_Stats!$A$2:$A$450,$F41&amp;"|"&amp;$I41))</f>
        <v>3</v>
      </c>
      <c r="AF41" s="13" t="n">
        <f aca="false">IF($I41="","",IFERROR(1/(1/INDEX(Map_Stats!$K$2:$K$450,MATCH($F41&amp;"|"&amp;$I41,Map_Stats!$A$2:$A$450,0))),$O41))</f>
        <v>0.529748684979544</v>
      </c>
      <c r="AG41" s="10" t="str">
        <f aca="false">IF(OR($I41="",$P41=""),"",IFERROR(1/(1/INDEX(Map_Stats!$I$2:$I$450,MATCH($F41&amp;"|"&amp;$I41,Map_Stats!$A$2:$A$450,0))),$P41))</f>
        <v/>
      </c>
      <c r="AH41" s="13" t="n">
        <f aca="false">IF(OR($I41="",AF41=""),"",IF($O41="",AF41,(AE41*AF41+Config!$B$4*$O41)/(AE41+Config!$B$4)))</f>
        <v>0.748655756867329</v>
      </c>
      <c r="AI41" s="10" t="str">
        <f aca="false">IF(AG41="","",(AE41*AG41+Config!$B$4*$P41)/(AE41+Config!$B$4))</f>
        <v/>
      </c>
      <c r="AJ41" s="17" t="n">
        <f aca="false">IF(OR(AH41="",$L41=""),"",AH41*$L41*($L41/Config!$B$11)^Config!$B$9)</f>
        <v>16.8447545295149</v>
      </c>
      <c r="AK41" s="17" t="str">
        <f aca="false">IF(OR(AJ41="",AI41=""),"",AJ41*AI41)</f>
        <v/>
      </c>
      <c r="AL41" s="17" t="n">
        <f aca="false">N(V41)+N(AC41)</f>
        <v>36.563755698422</v>
      </c>
      <c r="AM41" s="17" t="n">
        <f aca="false">AL41+N($M41)*N(AJ41)</f>
        <v>43.9417581823495</v>
      </c>
      <c r="AN41" s="17" t="str">
        <f aca="false">IF(W41="","",N(W41)+N(AD41))</f>
        <v/>
      </c>
      <c r="AO41" s="17" t="str">
        <f aca="false">IF(AN41="","",AN41+N($M41)*N(AK41))</f>
        <v/>
      </c>
      <c r="AP41" s="10" t="str">
        <f aca="false">IFERROR(AN41/AL41,"")</f>
        <v/>
      </c>
      <c r="AQ41" s="0" t="str">
        <f aca="false">TRIM(IF($N41&lt;Config!$B$12,"thin sample ("&amp;$N41&amp;" maps) · ","")&amp;IF(AND($G41&lt;&gt;"",Q41=0),"M1 unplayed→overall KPR · ","")&amp;IF(AND($H41&lt;&gt;"",X41=0),"M2 unplayed→overall KPR · ","")&amp;IF($O41="","no PickFinder stats",""))</f>
        <v/>
      </c>
      <c r="AR41" s="0" t="str">
        <f aca="false">IF($C41=Board!$B$2,COUNTIFS($C$2:$C$56,Board!$B$2,$AL$2:$AL$56,"&gt;"&amp;$AL41)+COUNTIFS($C$1:$C40,Board!$B$2,$AL$1:$AL40,$AL41)+1,"")</f>
        <v/>
      </c>
      <c r="AS41" s="0" t="str">
        <f aca="false">IFERROR(IF($D41=INDEX(Matches!$AD$5:$AD$12,MATCH($C41,Matches!$A$5:$A$12,0)),"A",IF($D41=INDEX(Matches!$AE$5:$AE$12,MATCH($C41,Matches!$A$5:$A$12,0)),"B","")),"")</f>
        <v>A</v>
      </c>
      <c r="AT41" s="10" t="n">
        <f aca="false">IF($AS41="","",IFERROR(IF($AS41="A",INDEX(Matches!$AI$5:$AI$12,MATCH($C41,Matches!$A$5:$A$12,0)),INDEX(Matches!$AJ$5:$AJ$12,MATCH($C41,Matches!$A$5:$A$12,0))),""))</f>
        <v>0</v>
      </c>
      <c r="AU41" s="10" t="str">
        <f aca="false">IF($AS41="","",IFERROR(IF(INDEX(Matches!$AP$5:$AP$12,MATCH($C41,Matches!$A$5:$A$12,0))="","",IF($AS41="A",INDEX(Matches!$AP$5:$AP$12,MATCH($C41,Matches!$A$5:$A$12,0)),1-INDEX(Matches!$AP$5:$AP$12,MATCH($C41,Matches!$A$5:$A$12,0)))),""))</f>
        <v/>
      </c>
      <c r="AV41" s="13" t="n">
        <f aca="false">IF(OR($AU41="",$AT41=""),1,((Config!$B$14*$AU41+Config!$B$15*(1-$AU41))/(Config!$B$14*$AT41+Config!$B$15*(1-$AT41)))^Config!$B$13)</f>
        <v>1</v>
      </c>
      <c r="AW41" s="10" t="str">
        <f aca="false">IF($AS41="","",IFERROR(IF(INDEX(Matches!$AV$5:$AV$12,MATCH($C41,Matches!$A$5:$A$12,0))="","",IF($AS41="A",INDEX(Matches!$AV$5:$AV$12,MATCH($C41,Matches!$A$5:$A$12,0)),1-INDEX(Matches!$AV$5:$AV$12,MATCH($C41,Matches!$A$5:$A$12,0)))),""))</f>
        <v/>
      </c>
      <c r="AX41" s="13" t="n">
        <f aca="false">IF(OR($AW41="",$AT41=""),1,((Config!$B$14*$AW41+Config!$B$15*(1-$AW41))/(Config!$B$14*$AT41+Config!$B$15*(1-$AT41)))^Config!$B$13)</f>
        <v>1</v>
      </c>
      <c r="AY41" s="10" t="str">
        <f aca="false">IF($AS41="","",IFERROR(IF(INDEX(Matches!$BB$5:$BB$12,MATCH($C41,Matches!$A$5:$A$12,0))="","",IF($AS41="A",INDEX(Matches!$BB$5:$BB$12,MATCH($C41,Matches!$A$5:$A$12,0)),1-INDEX(Matches!$BB$5:$BB$12,MATCH($C41,Matches!$A$5:$A$12,0)))),""))</f>
        <v/>
      </c>
      <c r="AZ41" s="13" t="n">
        <f aca="false">IF(OR($AY41="",$AT41=""),1,((Config!$B$14*$AY41+Config!$B$15*(1-$AY41))/(Config!$B$14*$AT41+Config!$B$15*(1-$AT41)))^Config!$B$13)</f>
        <v>1</v>
      </c>
      <c r="BA41" s="17" t="n">
        <f aca="false">IF(V41="","",V41*$AV41)</f>
        <v>19.204341320865</v>
      </c>
      <c r="BB41" s="17" t="n">
        <f aca="false">IF(AC41="","",AC41*$AX41)</f>
        <v>17.359414377557</v>
      </c>
      <c r="BC41" s="17" t="n">
        <f aca="false">IF(AJ41="","",AJ41*$AZ41)</f>
        <v>16.8447545295149</v>
      </c>
      <c r="BD41" s="17" t="n">
        <f aca="false">N(BA41)+N(BB41)</f>
        <v>36.563755698422</v>
      </c>
      <c r="BE41" s="17" t="n">
        <f aca="false">BD41+N($M41)*N(BC41)</f>
        <v>43.9417581823495</v>
      </c>
      <c r="BF41" s="17" t="str">
        <f aca="false">IF(W41="","",W41*$AV41)</f>
        <v/>
      </c>
      <c r="BG41" s="17" t="str">
        <f aca="false">IF(AD41="","",AD41*$AX41)</f>
        <v/>
      </c>
      <c r="BH41" s="17" t="str">
        <f aca="false">IF(AK41="","",AK41*$AZ41)</f>
        <v/>
      </c>
      <c r="BI41" s="17" t="str">
        <f aca="false">IF(BF41="","",N(BF41)+N(BG41))</f>
        <v/>
      </c>
      <c r="BJ41" s="17" t="str">
        <f aca="false">IF(BI41="","",BI41+N($M41)*N(BH41))</f>
        <v/>
      </c>
      <c r="BK41" s="13" t="n">
        <f aca="false">IFERROR(BD41/AL41,1)</f>
        <v>1</v>
      </c>
    </row>
    <row r="42" customFormat="false" ht="15" hidden="false" customHeight="false" outlineLevel="0" collapsed="false">
      <c r="A42" s="0" t="s">
        <v>782</v>
      </c>
      <c r="B42" s="0" t="s">
        <v>637</v>
      </c>
      <c r="C42" s="0" t="s">
        <v>660</v>
      </c>
      <c r="D42" s="0" t="s">
        <v>663</v>
      </c>
      <c r="E42" s="0" t="s">
        <v>781</v>
      </c>
      <c r="F42" s="0" t="s">
        <v>903</v>
      </c>
      <c r="G42" s="0" t="str">
        <f aca="false">IFERROR(IF(INDEX(Matches!$W$5:$W$12,MATCH($C42,Matches!$A$5:$A$12,0))="","",INDEX(Matches!$W$5:$W$12,MATCH($C42,Matches!$A$5:$A$12,0))),"")</f>
        <v>Haven</v>
      </c>
      <c r="H42" s="0" t="str">
        <f aca="false">IFERROR(IF(INDEX(Matches!$X$5:$X$12,MATCH($C42,Matches!$A$5:$A$12,0))="","",INDEX(Matches!$X$5:$X$12,MATCH($C42,Matches!$A$5:$A$12,0))),"")</f>
        <v>Lotus</v>
      </c>
      <c r="I42" s="0" t="str">
        <f aca="false">IFERROR(IF(INDEX(Matches!$Y$5:$Y$12,MATCH($C42,Matches!$A$5:$A$12,0))="","",INDEX(Matches!$Y$5:$Y$12,MATCH($C42,Matches!$A$5:$A$12,0))),"")</f>
        <v>Split</v>
      </c>
      <c r="J42" s="11" t="n">
        <f aca="false">IFERROR(IF(INDEX(Matches!$Z$5:$Z$12,MATCH($C42,Matches!$A$5:$A$12,0))="","",INDEX(Matches!$Z$5:$Z$12,MATCH($C42,Matches!$A$5:$A$12,0))),"")</f>
        <v>21.33</v>
      </c>
      <c r="K42" s="11" t="n">
        <f aca="false">IFERROR(IF(INDEX(Matches!$AA$5:$AA$12,MATCH($C42,Matches!$A$5:$A$12,0))="","",INDEX(Matches!$AA$5:$AA$12,MATCH($C42,Matches!$A$5:$A$12,0))),"")</f>
        <v>21.32</v>
      </c>
      <c r="L42" s="11" t="n">
        <f aca="false">IFERROR(IF(INDEX(Matches!$AB$5:$AB$12,MATCH($C42,Matches!$A$5:$A$12,0))="","",INDEX(Matches!$AB$5:$AB$12,MATCH($C42,Matches!$A$5:$A$12,0))),"")</f>
        <v>22.5</v>
      </c>
      <c r="M42" s="10" t="n">
        <f aca="false">IFERROR(IF(INDEX(Matches!$AC$5:$AC$12,MATCH($C42,Matches!$A$5:$A$12,0))="","",INDEX(Matches!$AC$5:$AC$12,MATCH($C42,Matches!$A$5:$A$12,0))),"")</f>
        <v>0.438</v>
      </c>
      <c r="N42" s="9" t="n">
        <f aca="false">IFERROR(INDEX(Players!$F$2:$F$56,MATCH($F42,Players!$A$2:$A$56,0)),0)</f>
        <v>35</v>
      </c>
      <c r="O42" s="13" t="n">
        <f aca="false">IFERROR(1/(1/INDEX(Players!$H$2:$H$56,MATCH($F42,Players!$A$2:$A$56,0))),"")</f>
        <v>0.6</v>
      </c>
      <c r="P42" s="10" t="str">
        <f aca="false">IFERROR(1/(1/INDEX(Players!$I$2:$I$56,MATCH($F42,Players!$A$2:$A$56,0))),"")</f>
        <v/>
      </c>
      <c r="Q42" s="9" t="n">
        <f aca="false">IF($G42="",0,SUMIFS(Map_Stats!$F$2:$F$450,Map_Stats!$A$2:$A$450,$F42&amp;"|"&amp;$G42))</f>
        <v>4</v>
      </c>
      <c r="R42" s="13" t="n">
        <f aca="false">IF($G42="","",IFERROR(1/(1/INDEX(Map_Stats!$K$2:$K$450,MATCH($F42&amp;"|"&amp;$G42,Map_Stats!$A$2:$A$450,0))),$O42))</f>
        <v>0.663129973474801</v>
      </c>
      <c r="S42" s="10" t="str">
        <f aca="false">IF(OR($G42="",$P42=""),"",IFERROR(1/(1/INDEX(Map_Stats!$I$2:$I$450,MATCH($F42&amp;"|"&amp;$G42,Map_Stats!$A$2:$A$450,0))),$P42))</f>
        <v/>
      </c>
      <c r="T42" s="13" t="n">
        <f aca="false">IF(OR($G42="",R42=""),"",IF($O42="",R42,(Q42*R42+Config!$B$4*$O42)/(Q42+Config!$B$4)))</f>
        <v>0.6280577659888</v>
      </c>
      <c r="U42" s="10" t="str">
        <f aca="false">IF(S42="","",(Q42*S42+Config!$B$4*$P42)/(Q42+Config!$B$4))</f>
        <v/>
      </c>
      <c r="V42" s="17" t="n">
        <f aca="false">IF(OR(T42="",$J42=""),"",T42*$J42*($J42/Config!$B$11)^Config!$B$9)</f>
        <v>13.3964721485411</v>
      </c>
      <c r="W42" s="17" t="str">
        <f aca="false">IF(OR(V42="",U42=""),"",V42*U42)</f>
        <v/>
      </c>
      <c r="X42" s="9" t="n">
        <f aca="false">IF($H42="",0,SUMIFS(Map_Stats!$F$2:$F$450,Map_Stats!$A$2:$A$450,$F42&amp;"|"&amp;$H42))</f>
        <v>3</v>
      </c>
      <c r="Y42" s="13" t="n">
        <f aca="false">IF($H42="","",IFERROR(1/(1/INDEX(Map_Stats!$K$2:$K$450,MATCH($F42&amp;"|"&amp;$H42,Map_Stats!$A$2:$A$450,0))),$O42))</f>
        <v>0.59946949602122</v>
      </c>
      <c r="Z42" s="10" t="str">
        <f aca="false">IF(OR($H42="",$P42=""),"",IFERROR(1/(1/INDEX(Map_Stats!$I$2:$I$450,MATCH($F42&amp;"|"&amp;$H42,Map_Stats!$A$2:$A$450,0))),$P42))</f>
        <v/>
      </c>
      <c r="AA42" s="13" t="n">
        <f aca="false">IF(OR($H42="",Y42=""),"",IF($O42="",Y42,(X42*Y42+Config!$B$4*$O42)/(X42+Config!$B$4)))</f>
        <v>0.599801061007958</v>
      </c>
      <c r="AB42" s="10" t="str">
        <f aca="false">IF(Z42="","",(X42*Z42+Config!$B$4*$P42)/(X42+Config!$B$4))</f>
        <v/>
      </c>
      <c r="AC42" s="17" t="n">
        <f aca="false">IF(OR(AA42="",$K42=""),"",AA42*$K42*($K42/Config!$B$11)^Config!$B$9)</f>
        <v>12.7877586206897</v>
      </c>
      <c r="AD42" s="17" t="str">
        <f aca="false">IF(OR(AC42="",AB42=""),"",AC42*AB42)</f>
        <v/>
      </c>
      <c r="AE42" s="9" t="n">
        <f aca="false">IF($I42="",0,SUMIFS(Map_Stats!$F$2:$F$450,Map_Stats!$A$2:$A$450,$F42&amp;"|"&amp;$I42))</f>
        <v>6</v>
      </c>
      <c r="AF42" s="13" t="n">
        <f aca="false">IF($I42="","",IFERROR(1/(1/INDEX(Map_Stats!$K$2:$K$450,MATCH($F42&amp;"|"&amp;$I42,Map_Stats!$A$2:$A$450,0))),$O42))</f>
        <v>0.625994694960212</v>
      </c>
      <c r="AG42" s="10" t="str">
        <f aca="false">IF(OR($I42="",$P42=""),"",IFERROR(1/(1/INDEX(Map_Stats!$I$2:$I$450,MATCH($F42&amp;"|"&amp;$I42,Map_Stats!$A$2:$A$450,0))),$P42))</f>
        <v/>
      </c>
      <c r="AH42" s="13" t="n">
        <f aca="false">IF(OR($I42="",AF42=""),"",IF($O42="",AF42,(AE42*AF42+Config!$B$4*$O42)/(AE42+Config!$B$4)))</f>
        <v>0.614178924523752</v>
      </c>
      <c r="AI42" s="10" t="str">
        <f aca="false">IF(AG42="","",(AE42*AG42+Config!$B$4*$P42)/(AE42+Config!$B$4))</f>
        <v/>
      </c>
      <c r="AJ42" s="17" t="n">
        <f aca="false">IF(OR(AH42="",$L42=""),"",AH42*$L42*($L42/Config!$B$11)^Config!$B$9)</f>
        <v>13.8190258017844</v>
      </c>
      <c r="AK42" s="17" t="str">
        <f aca="false">IF(OR(AJ42="",AI42=""),"",AJ42*AI42)</f>
        <v/>
      </c>
      <c r="AL42" s="17" t="n">
        <f aca="false">N(V42)+N(AC42)</f>
        <v>26.1842307692308</v>
      </c>
      <c r="AM42" s="17" t="n">
        <f aca="false">AL42+N($M42)*N(AJ42)</f>
        <v>32.2369640704123</v>
      </c>
      <c r="AN42" s="17" t="str">
        <f aca="false">IF(W42="","",N(W42)+N(AD42))</f>
        <v/>
      </c>
      <c r="AO42" s="17" t="str">
        <f aca="false">IF(AN42="","",AN42+N($M42)*N(AK42))</f>
        <v/>
      </c>
      <c r="AP42" s="10" t="str">
        <f aca="false">IFERROR(AN42/AL42,"")</f>
        <v/>
      </c>
      <c r="AQ42" s="0" t="str">
        <f aca="false">TRIM(IF($N42&lt;Config!$B$12,"thin sample ("&amp;$N42&amp;" maps) · ","")&amp;IF(AND($G42&lt;&gt;"",Q42=0),"M1 unplayed→overall KPR · ","")&amp;IF(AND($H42&lt;&gt;"",X42=0),"M2 unplayed→overall KPR · ","")&amp;IF($O42="","no PickFinder stats",""))</f>
        <v/>
      </c>
      <c r="AR42" s="0" t="str">
        <f aca="false">IF($C42=Board!$B$2,COUNTIFS($C$2:$C$56,Board!$B$2,$AL$2:$AL$56,"&gt;"&amp;$AL42)+COUNTIFS($C$1:$C41,Board!$B$2,$AL$1:$AL41,$AL42)+1,"")</f>
        <v/>
      </c>
      <c r="AS42" s="0" t="str">
        <f aca="false">IFERROR(IF($D42=INDEX(Matches!$AD$5:$AD$12,MATCH($C42,Matches!$A$5:$A$12,0)),"A",IF($D42=INDEX(Matches!$AE$5:$AE$12,MATCH($C42,Matches!$A$5:$A$12,0)),"B","")),"")</f>
        <v>A</v>
      </c>
      <c r="AT42" s="10" t="n">
        <f aca="false">IF($AS42="","",IFERROR(IF($AS42="A",INDEX(Matches!$AI$5:$AI$12,MATCH($C42,Matches!$A$5:$A$12,0)),INDEX(Matches!$AJ$5:$AJ$12,MATCH($C42,Matches!$A$5:$A$12,0))),""))</f>
        <v>0</v>
      </c>
      <c r="AU42" s="10" t="str">
        <f aca="false">IF($AS42="","",IFERROR(IF(INDEX(Matches!$AP$5:$AP$12,MATCH($C42,Matches!$A$5:$A$12,0))="","",IF($AS42="A",INDEX(Matches!$AP$5:$AP$12,MATCH($C42,Matches!$A$5:$A$12,0)),1-INDEX(Matches!$AP$5:$AP$12,MATCH($C42,Matches!$A$5:$A$12,0)))),""))</f>
        <v/>
      </c>
      <c r="AV42" s="13" t="n">
        <f aca="false">IF(OR($AU42="",$AT42=""),1,((Config!$B$14*$AU42+Config!$B$15*(1-$AU42))/(Config!$B$14*$AT42+Config!$B$15*(1-$AT42)))^Config!$B$13)</f>
        <v>1</v>
      </c>
      <c r="AW42" s="10" t="str">
        <f aca="false">IF($AS42="","",IFERROR(IF(INDEX(Matches!$AV$5:$AV$12,MATCH($C42,Matches!$A$5:$A$12,0))="","",IF($AS42="A",INDEX(Matches!$AV$5:$AV$12,MATCH($C42,Matches!$A$5:$A$12,0)),1-INDEX(Matches!$AV$5:$AV$12,MATCH($C42,Matches!$A$5:$A$12,0)))),""))</f>
        <v/>
      </c>
      <c r="AX42" s="13" t="n">
        <f aca="false">IF(OR($AW42="",$AT42=""),1,((Config!$B$14*$AW42+Config!$B$15*(1-$AW42))/(Config!$B$14*$AT42+Config!$B$15*(1-$AT42)))^Config!$B$13)</f>
        <v>1</v>
      </c>
      <c r="AY42" s="10" t="str">
        <f aca="false">IF($AS42="","",IFERROR(IF(INDEX(Matches!$BB$5:$BB$12,MATCH($C42,Matches!$A$5:$A$12,0))="","",IF($AS42="A",INDEX(Matches!$BB$5:$BB$12,MATCH($C42,Matches!$A$5:$A$12,0)),1-INDEX(Matches!$BB$5:$BB$12,MATCH($C42,Matches!$A$5:$A$12,0)))),""))</f>
        <v/>
      </c>
      <c r="AZ42" s="13" t="n">
        <f aca="false">IF(OR($AY42="",$AT42=""),1,((Config!$B$14*$AY42+Config!$B$15*(1-$AY42))/(Config!$B$14*$AT42+Config!$B$15*(1-$AT42)))^Config!$B$13)</f>
        <v>1</v>
      </c>
      <c r="BA42" s="17" t="n">
        <f aca="false">IF(V42="","",V42*$AV42)</f>
        <v>13.3964721485411</v>
      </c>
      <c r="BB42" s="17" t="n">
        <f aca="false">IF(AC42="","",AC42*$AX42)</f>
        <v>12.7877586206897</v>
      </c>
      <c r="BC42" s="17" t="n">
        <f aca="false">IF(AJ42="","",AJ42*$AZ42)</f>
        <v>13.8190258017844</v>
      </c>
      <c r="BD42" s="17" t="n">
        <f aca="false">N(BA42)+N(BB42)</f>
        <v>26.1842307692308</v>
      </c>
      <c r="BE42" s="17" t="n">
        <f aca="false">BD42+N($M42)*N(BC42)</f>
        <v>32.2369640704123</v>
      </c>
      <c r="BF42" s="17" t="str">
        <f aca="false">IF(W42="","",W42*$AV42)</f>
        <v/>
      </c>
      <c r="BG42" s="17" t="str">
        <f aca="false">IF(AD42="","",AD42*$AX42)</f>
        <v/>
      </c>
      <c r="BH42" s="17" t="str">
        <f aca="false">IF(AK42="","",AK42*$AZ42)</f>
        <v/>
      </c>
      <c r="BI42" s="17" t="str">
        <f aca="false">IF(BF42="","",N(BF42)+N(BG42))</f>
        <v/>
      </c>
      <c r="BJ42" s="17" t="str">
        <f aca="false">IF(BI42="","",BI42+N($M42)*N(BH42))</f>
        <v/>
      </c>
      <c r="BK42" s="13" t="n">
        <f aca="false">IFERROR(BD42/AL42,1)</f>
        <v>1</v>
      </c>
    </row>
    <row r="43" customFormat="false" ht="15" hidden="false" customHeight="false" outlineLevel="0" collapsed="false">
      <c r="A43" s="0" t="s">
        <v>784</v>
      </c>
      <c r="B43" s="0" t="s">
        <v>637</v>
      </c>
      <c r="C43" s="0" t="s">
        <v>660</v>
      </c>
      <c r="D43" s="0" t="s">
        <v>663</v>
      </c>
      <c r="E43" s="0" t="s">
        <v>783</v>
      </c>
      <c r="F43" s="0" t="s">
        <v>904</v>
      </c>
      <c r="G43" s="0" t="str">
        <f aca="false">IFERROR(IF(INDEX(Matches!$W$5:$W$12,MATCH($C43,Matches!$A$5:$A$12,0))="","",INDEX(Matches!$W$5:$W$12,MATCH($C43,Matches!$A$5:$A$12,0))),"")</f>
        <v>Haven</v>
      </c>
      <c r="H43" s="0" t="str">
        <f aca="false">IFERROR(IF(INDEX(Matches!$X$5:$X$12,MATCH($C43,Matches!$A$5:$A$12,0))="","",INDEX(Matches!$X$5:$X$12,MATCH($C43,Matches!$A$5:$A$12,0))),"")</f>
        <v>Lotus</v>
      </c>
      <c r="I43" s="0" t="str">
        <f aca="false">IFERROR(IF(INDEX(Matches!$Y$5:$Y$12,MATCH($C43,Matches!$A$5:$A$12,0))="","",INDEX(Matches!$Y$5:$Y$12,MATCH($C43,Matches!$A$5:$A$12,0))),"")</f>
        <v>Split</v>
      </c>
      <c r="J43" s="11" t="n">
        <f aca="false">IFERROR(IF(INDEX(Matches!$Z$5:$Z$12,MATCH($C43,Matches!$A$5:$A$12,0))="","",INDEX(Matches!$Z$5:$Z$12,MATCH($C43,Matches!$A$5:$A$12,0))),"")</f>
        <v>21.33</v>
      </c>
      <c r="K43" s="11" t="n">
        <f aca="false">IFERROR(IF(INDEX(Matches!$AA$5:$AA$12,MATCH($C43,Matches!$A$5:$A$12,0))="","",INDEX(Matches!$AA$5:$AA$12,MATCH($C43,Matches!$A$5:$A$12,0))),"")</f>
        <v>21.32</v>
      </c>
      <c r="L43" s="11" t="n">
        <f aca="false">IFERROR(IF(INDEX(Matches!$AB$5:$AB$12,MATCH($C43,Matches!$A$5:$A$12,0))="","",INDEX(Matches!$AB$5:$AB$12,MATCH($C43,Matches!$A$5:$A$12,0))),"")</f>
        <v>22.5</v>
      </c>
      <c r="M43" s="10" t="n">
        <f aca="false">IFERROR(IF(INDEX(Matches!$AC$5:$AC$12,MATCH($C43,Matches!$A$5:$A$12,0))="","",INDEX(Matches!$AC$5:$AC$12,MATCH($C43,Matches!$A$5:$A$12,0))),"")</f>
        <v>0.438</v>
      </c>
      <c r="N43" s="9" t="n">
        <f aca="false">IFERROR(INDEX(Players!$F$2:$F$56,MATCH($F43,Players!$A$2:$A$56,0)),0)</f>
        <v>35</v>
      </c>
      <c r="O43" s="13" t="n">
        <f aca="false">IFERROR(1/(1/INDEX(Players!$H$2:$H$56,MATCH($F43,Players!$A$2:$A$56,0))),"")</f>
        <v>0.77</v>
      </c>
      <c r="P43" s="10" t="str">
        <f aca="false">IFERROR(1/(1/INDEX(Players!$I$2:$I$56,MATCH($F43,Players!$A$2:$A$56,0))),"")</f>
        <v/>
      </c>
      <c r="Q43" s="9" t="n">
        <f aca="false">IF($G43="",0,SUMIFS(Map_Stats!$F$2:$F$450,Map_Stats!$A$2:$A$450,$F43&amp;"|"&amp;$G43))</f>
        <v>4</v>
      </c>
      <c r="R43" s="13" t="n">
        <f aca="false">IF($G43="","",IFERROR(1/(1/INDEX(Map_Stats!$K$2:$K$450,MATCH($F43&amp;"|"&amp;$G43,Map_Stats!$A$2:$A$450,0))),$O43))</f>
        <v>0.661966987620358</v>
      </c>
      <c r="S43" s="10" t="str">
        <f aca="false">IF(OR($G43="",$P43=""),"",IFERROR(1/(1/INDEX(Map_Stats!$I$2:$I$450,MATCH($F43&amp;"|"&amp;$G43,Map_Stats!$A$2:$A$450,0))),$P43))</f>
        <v/>
      </c>
      <c r="T43" s="13" t="n">
        <f aca="false">IF(OR($G43="",R43=""),"",IF($O43="",R43,(Q43*R43+Config!$B$4*$O43)/(Q43+Config!$B$4)))</f>
        <v>0.72198532783127</v>
      </c>
      <c r="U43" s="10" t="str">
        <f aca="false">IF(S43="","",(Q43*S43+Config!$B$4*$P43)/(Q43+Config!$B$4))</f>
        <v/>
      </c>
      <c r="V43" s="17" t="n">
        <f aca="false">IF(OR(T43="",$J43=""),"",T43*$J43*($J43/Config!$B$11)^Config!$B$9)</f>
        <v>15.399947042641</v>
      </c>
      <c r="W43" s="17" t="str">
        <f aca="false">IF(OR(V43="",U43=""),"",V43*U43)</f>
        <v/>
      </c>
      <c r="X43" s="9" t="n">
        <f aca="false">IF($H43="",0,SUMIFS(Map_Stats!$F$2:$F$450,Map_Stats!$A$2:$A$450,$F43&amp;"|"&amp;$H43))</f>
        <v>3</v>
      </c>
      <c r="Y43" s="13" t="n">
        <f aca="false">IF($H43="","",IFERROR(1/(1/INDEX(Map_Stats!$K$2:$K$450,MATCH($F43&amp;"|"&amp;$H43,Map_Stats!$A$2:$A$450,0))),$O43))</f>
        <v>0.672558459422283</v>
      </c>
      <c r="Z43" s="10" t="str">
        <f aca="false">IF(OR($H43="",$P43=""),"",IFERROR(1/(1/INDEX(Map_Stats!$I$2:$I$450,MATCH($F43&amp;"|"&amp;$H43,Map_Stats!$A$2:$A$450,0))),$P43))</f>
        <v/>
      </c>
      <c r="AA43" s="13" t="n">
        <f aca="false">IF(OR($H43="",Y43=""),"",IF($O43="",Y43,(X43*Y43+Config!$B$4*$O43)/(X43+Config!$B$4)))</f>
        <v>0.733459422283356</v>
      </c>
      <c r="AB43" s="10" t="str">
        <f aca="false">IF(Z43="","",(X43*Z43+Config!$B$4*$P43)/(X43+Config!$B$4))</f>
        <v/>
      </c>
      <c r="AC43" s="17" t="n">
        <f aca="false">IF(OR(AA43="",$K43=""),"",AA43*$K43*($K43/Config!$B$11)^Config!$B$9)</f>
        <v>15.6373548830812</v>
      </c>
      <c r="AD43" s="17" t="str">
        <f aca="false">IF(OR(AC43="",AB43=""),"",AC43*AB43)</f>
        <v/>
      </c>
      <c r="AE43" s="9" t="n">
        <f aca="false">IF($I43="",0,SUMIFS(Map_Stats!$F$2:$F$450,Map_Stats!$A$2:$A$450,$F43&amp;"|"&amp;$I43))</f>
        <v>6</v>
      </c>
      <c r="AF43" s="13" t="n">
        <f aca="false">IF($I43="","",IFERROR(1/(1/INDEX(Map_Stats!$K$2:$K$450,MATCH($F43&amp;"|"&amp;$I43,Map_Stats!$A$2:$A$450,0))),$O43))</f>
        <v>0.741403026134801</v>
      </c>
      <c r="AG43" s="10" t="str">
        <f aca="false">IF(OR($I43="",$P43=""),"",IFERROR(1/(1/INDEX(Map_Stats!$I$2:$I$450,MATCH($F43&amp;"|"&amp;$I43,Map_Stats!$A$2:$A$450,0))),$P43))</f>
        <v/>
      </c>
      <c r="AH43" s="13" t="n">
        <f aca="false">IF(OR($I43="",AF43=""),"",IF($O43="",AF43,(AE43*AF43+Config!$B$4*$O43)/(AE43+Config!$B$4)))</f>
        <v>0.754401650618982</v>
      </c>
      <c r="AI43" s="10" t="str">
        <f aca="false">IF(AG43="","",(AE43*AG43+Config!$B$4*$P43)/(AE43+Config!$B$4))</f>
        <v/>
      </c>
      <c r="AJ43" s="17" t="n">
        <f aca="false">IF(OR(AH43="",$L43=""),"",AH43*$L43*($L43/Config!$B$11)^Config!$B$9)</f>
        <v>16.9740371389271</v>
      </c>
      <c r="AK43" s="17" t="str">
        <f aca="false">IF(OR(AJ43="",AI43=""),"",AJ43*AI43)</f>
        <v/>
      </c>
      <c r="AL43" s="17" t="n">
        <f aca="false">N(V43)+N(AC43)</f>
        <v>31.0373019257222</v>
      </c>
      <c r="AM43" s="17" t="n">
        <f aca="false">AL43+N($M43)*N(AJ43)</f>
        <v>38.4719301925722</v>
      </c>
      <c r="AN43" s="17" t="str">
        <f aca="false">IF(W43="","",N(W43)+N(AD43))</f>
        <v/>
      </c>
      <c r="AO43" s="17" t="str">
        <f aca="false">IF(AN43="","",AN43+N($M43)*N(AK43))</f>
        <v/>
      </c>
      <c r="AP43" s="10" t="str">
        <f aca="false">IFERROR(AN43/AL43,"")</f>
        <v/>
      </c>
      <c r="AQ43" s="0" t="str">
        <f aca="false">TRIM(IF($N43&lt;Config!$B$12,"thin sample ("&amp;$N43&amp;" maps) · ","")&amp;IF(AND($G43&lt;&gt;"",Q43=0),"M1 unplayed→overall KPR · ","")&amp;IF(AND($H43&lt;&gt;"",X43=0),"M2 unplayed→overall KPR · ","")&amp;IF($O43="","no PickFinder stats",""))</f>
        <v/>
      </c>
      <c r="AR43" s="0" t="str">
        <f aca="false">IF($C43=Board!$B$2,COUNTIFS($C$2:$C$56,Board!$B$2,$AL$2:$AL$56,"&gt;"&amp;$AL43)+COUNTIFS($C$1:$C42,Board!$B$2,$AL$1:$AL42,$AL43)+1,"")</f>
        <v/>
      </c>
      <c r="AS43" s="0" t="str">
        <f aca="false">IFERROR(IF($D43=INDEX(Matches!$AD$5:$AD$12,MATCH($C43,Matches!$A$5:$A$12,0)),"A",IF($D43=INDEX(Matches!$AE$5:$AE$12,MATCH($C43,Matches!$A$5:$A$12,0)),"B","")),"")</f>
        <v>A</v>
      </c>
      <c r="AT43" s="10" t="n">
        <f aca="false">IF($AS43="","",IFERROR(IF($AS43="A",INDEX(Matches!$AI$5:$AI$12,MATCH($C43,Matches!$A$5:$A$12,0)),INDEX(Matches!$AJ$5:$AJ$12,MATCH($C43,Matches!$A$5:$A$12,0))),""))</f>
        <v>0</v>
      </c>
      <c r="AU43" s="10" t="str">
        <f aca="false">IF($AS43="","",IFERROR(IF(INDEX(Matches!$AP$5:$AP$12,MATCH($C43,Matches!$A$5:$A$12,0))="","",IF($AS43="A",INDEX(Matches!$AP$5:$AP$12,MATCH($C43,Matches!$A$5:$A$12,0)),1-INDEX(Matches!$AP$5:$AP$12,MATCH($C43,Matches!$A$5:$A$12,0)))),""))</f>
        <v/>
      </c>
      <c r="AV43" s="13" t="n">
        <f aca="false">IF(OR($AU43="",$AT43=""),1,((Config!$B$14*$AU43+Config!$B$15*(1-$AU43))/(Config!$B$14*$AT43+Config!$B$15*(1-$AT43)))^Config!$B$13)</f>
        <v>1</v>
      </c>
      <c r="AW43" s="10" t="str">
        <f aca="false">IF($AS43="","",IFERROR(IF(INDEX(Matches!$AV$5:$AV$12,MATCH($C43,Matches!$A$5:$A$12,0))="","",IF($AS43="A",INDEX(Matches!$AV$5:$AV$12,MATCH($C43,Matches!$A$5:$A$12,0)),1-INDEX(Matches!$AV$5:$AV$12,MATCH($C43,Matches!$A$5:$A$12,0)))),""))</f>
        <v/>
      </c>
      <c r="AX43" s="13" t="n">
        <f aca="false">IF(OR($AW43="",$AT43=""),1,((Config!$B$14*$AW43+Config!$B$15*(1-$AW43))/(Config!$B$14*$AT43+Config!$B$15*(1-$AT43)))^Config!$B$13)</f>
        <v>1</v>
      </c>
      <c r="AY43" s="10" t="str">
        <f aca="false">IF($AS43="","",IFERROR(IF(INDEX(Matches!$BB$5:$BB$12,MATCH($C43,Matches!$A$5:$A$12,0))="","",IF($AS43="A",INDEX(Matches!$BB$5:$BB$12,MATCH($C43,Matches!$A$5:$A$12,0)),1-INDEX(Matches!$BB$5:$BB$12,MATCH($C43,Matches!$A$5:$A$12,0)))),""))</f>
        <v/>
      </c>
      <c r="AZ43" s="13" t="n">
        <f aca="false">IF(OR($AY43="",$AT43=""),1,((Config!$B$14*$AY43+Config!$B$15*(1-$AY43))/(Config!$B$14*$AT43+Config!$B$15*(1-$AT43)))^Config!$B$13)</f>
        <v>1</v>
      </c>
      <c r="BA43" s="17" t="n">
        <f aca="false">IF(V43="","",V43*$AV43)</f>
        <v>15.399947042641</v>
      </c>
      <c r="BB43" s="17" t="n">
        <f aca="false">IF(AC43="","",AC43*$AX43)</f>
        <v>15.6373548830812</v>
      </c>
      <c r="BC43" s="17" t="n">
        <f aca="false">IF(AJ43="","",AJ43*$AZ43)</f>
        <v>16.9740371389271</v>
      </c>
      <c r="BD43" s="17" t="n">
        <f aca="false">N(BA43)+N(BB43)</f>
        <v>31.0373019257222</v>
      </c>
      <c r="BE43" s="17" t="n">
        <f aca="false">BD43+N($M43)*N(BC43)</f>
        <v>38.4719301925722</v>
      </c>
      <c r="BF43" s="17" t="str">
        <f aca="false">IF(W43="","",W43*$AV43)</f>
        <v/>
      </c>
      <c r="BG43" s="17" t="str">
        <f aca="false">IF(AD43="","",AD43*$AX43)</f>
        <v/>
      </c>
      <c r="BH43" s="17" t="str">
        <f aca="false">IF(AK43="","",AK43*$AZ43)</f>
        <v/>
      </c>
      <c r="BI43" s="17" t="str">
        <f aca="false">IF(BF43="","",N(BF43)+N(BG43))</f>
        <v/>
      </c>
      <c r="BJ43" s="17" t="str">
        <f aca="false">IF(BI43="","",BI43+N($M43)*N(BH43))</f>
        <v/>
      </c>
      <c r="BK43" s="13" t="n">
        <f aca="false">IFERROR(BD43/AL43,1)</f>
        <v>1</v>
      </c>
    </row>
    <row r="44" customFormat="false" ht="15" hidden="false" customHeight="false" outlineLevel="0" collapsed="false">
      <c r="A44" s="0" t="s">
        <v>786</v>
      </c>
      <c r="B44" s="0" t="s">
        <v>637</v>
      </c>
      <c r="C44" s="0" t="s">
        <v>636</v>
      </c>
      <c r="D44" s="0" t="s">
        <v>644</v>
      </c>
      <c r="E44" s="0" t="s">
        <v>785</v>
      </c>
      <c r="F44" s="0" t="s">
        <v>905</v>
      </c>
      <c r="G44" s="0" t="str">
        <f aca="false">IFERROR(IF(INDEX(Matches!$W$5:$W$12,MATCH($C44,Matches!$A$5:$A$12,0))="","",INDEX(Matches!$W$5:$W$12,MATCH($C44,Matches!$A$5:$A$12,0))),"")</f>
        <v>Haven</v>
      </c>
      <c r="H44" s="0" t="str">
        <f aca="false">IFERROR(IF(INDEX(Matches!$X$5:$X$12,MATCH($C44,Matches!$A$5:$A$12,0))="","",INDEX(Matches!$X$5:$X$12,MATCH($C44,Matches!$A$5:$A$12,0))),"")</f>
        <v>Sunset</v>
      </c>
      <c r="I44" s="0" t="str">
        <f aca="false">IFERROR(IF(INDEX(Matches!$Y$5:$Y$12,MATCH($C44,Matches!$A$5:$A$12,0))="","",INDEX(Matches!$Y$5:$Y$12,MATCH($C44,Matches!$A$5:$A$12,0))),"")</f>
        <v>Pearl</v>
      </c>
      <c r="J44" s="11" t="n">
        <f aca="false">IFERROR(IF(INDEX(Matches!$Z$5:$Z$12,MATCH($C44,Matches!$A$5:$A$12,0))="","",INDEX(Matches!$Z$5:$Z$12,MATCH($C44,Matches!$A$5:$A$12,0))),"")</f>
        <v>21.3</v>
      </c>
      <c r="K44" s="11" t="n">
        <f aca="false">IFERROR(IF(INDEX(Matches!$AA$5:$AA$12,MATCH($C44,Matches!$A$5:$A$12,0))="","",INDEX(Matches!$AA$5:$AA$12,MATCH($C44,Matches!$A$5:$A$12,0))),"")</f>
        <v>21.27</v>
      </c>
      <c r="L44" s="11" t="n">
        <f aca="false">IFERROR(IF(INDEX(Matches!$AB$5:$AB$12,MATCH($C44,Matches!$A$5:$A$12,0))="","",INDEX(Matches!$AB$5:$AB$12,MATCH($C44,Matches!$A$5:$A$12,0))),"")</f>
        <v>22.5</v>
      </c>
      <c r="M44" s="10" t="n">
        <f aca="false">IFERROR(IF(INDEX(Matches!$AC$5:$AC$12,MATCH($C44,Matches!$A$5:$A$12,0))="","",INDEX(Matches!$AC$5:$AC$12,MATCH($C44,Matches!$A$5:$A$12,0))),"")</f>
        <v>0.4375</v>
      </c>
      <c r="N44" s="9" t="n">
        <f aca="false">IFERROR(INDEX(Players!$F$2:$F$56,MATCH($F44,Players!$A$2:$A$56,0)),0)</f>
        <v>29</v>
      </c>
      <c r="O44" s="13" t="n">
        <f aca="false">IFERROR(1/(1/INDEX(Players!$H$2:$H$56,MATCH($F44,Players!$A$2:$A$56,0))),"")</f>
        <v>0.55</v>
      </c>
      <c r="P44" s="10" t="str">
        <f aca="false">IFERROR(1/(1/INDEX(Players!$I$2:$I$56,MATCH($F44,Players!$A$2:$A$56,0))),"")</f>
        <v/>
      </c>
      <c r="Q44" s="9" t="n">
        <f aca="false">IF($G44="",0,SUMIFS(Map_Stats!$F$2:$F$450,Map_Stats!$A$2:$A$450,$F44&amp;"|"&amp;$G44))</f>
        <v>3</v>
      </c>
      <c r="R44" s="13" t="n">
        <f aca="false">IF($G44="","",IFERROR(1/(1/INDEX(Map_Stats!$K$2:$K$450,MATCH($F44&amp;"|"&amp;$G44,Map_Stats!$A$2:$A$450,0))),$O44))</f>
        <v>0.627358490566038</v>
      </c>
      <c r="S44" s="10" t="str">
        <f aca="false">IF(OR($G44="",$P44=""),"",IFERROR(1/(1/INDEX(Map_Stats!$I$2:$I$450,MATCH($F44&amp;"|"&amp;$G44,Map_Stats!$A$2:$A$450,0))),$P44))</f>
        <v/>
      </c>
      <c r="T44" s="13" t="n">
        <f aca="false">IF(OR($G44="",R44=""),"",IF($O44="",R44,(Q44*R44+Config!$B$4*$O44)/(Q44+Config!$B$4)))</f>
        <v>0.579009433962264</v>
      </c>
      <c r="U44" s="10" t="str">
        <f aca="false">IF(S44="","",(Q44*S44+Config!$B$4*$P44)/(Q44+Config!$B$4))</f>
        <v/>
      </c>
      <c r="V44" s="17" t="n">
        <f aca="false">IF(OR(T44="",$J44=""),"",T44*$J44*($J44/Config!$B$11)^Config!$B$9)</f>
        <v>12.3329009433962</v>
      </c>
      <c r="W44" s="17" t="str">
        <f aca="false">IF(OR(V44="",U44=""),"",V44*U44)</f>
        <v/>
      </c>
      <c r="X44" s="9" t="n">
        <f aca="false">IF($H44="",0,SUMIFS(Map_Stats!$F$2:$F$450,Map_Stats!$A$2:$A$450,$F44&amp;"|"&amp;$H44))</f>
        <v>8</v>
      </c>
      <c r="Y44" s="13" t="n">
        <f aca="false">IF($H44="","",IFERROR(1/(1/INDEX(Map_Stats!$K$2:$K$450,MATCH($F44&amp;"|"&amp;$H44,Map_Stats!$A$2:$A$450,0))),$O44))</f>
        <v>0.509433962264151</v>
      </c>
      <c r="Z44" s="10" t="str">
        <f aca="false">IF(OR($H44="",$P44=""),"",IFERROR(1/(1/INDEX(Map_Stats!$I$2:$I$450,MATCH($F44&amp;"|"&amp;$H44,Map_Stats!$A$2:$A$450,0))),$P44))</f>
        <v/>
      </c>
      <c r="AA44" s="13" t="n">
        <f aca="false">IF(OR($H44="",Y44=""),"",IF($O44="",Y44,(X44*Y44+Config!$B$4*$O44)/(X44+Config!$B$4)))</f>
        <v>0.525036284470247</v>
      </c>
      <c r="AB44" s="10" t="str">
        <f aca="false">IF(Z44="","",(X44*Z44+Config!$B$4*$P44)/(X44+Config!$B$4))</f>
        <v/>
      </c>
      <c r="AC44" s="17" t="n">
        <f aca="false">IF(OR(AA44="",$K44=""),"",AA44*$K44*($K44/Config!$B$11)^Config!$B$9)</f>
        <v>11.1675217706821</v>
      </c>
      <c r="AD44" s="17" t="str">
        <f aca="false">IF(OR(AC44="",AB44=""),"",AC44*AB44)</f>
        <v/>
      </c>
      <c r="AE44" s="9" t="n">
        <f aca="false">IF($I44="",0,SUMIFS(Map_Stats!$F$2:$F$450,Map_Stats!$A$2:$A$450,$F44&amp;"|"&amp;$I44))</f>
        <v>0</v>
      </c>
      <c r="AF44" s="13" t="n">
        <f aca="false">IF($I44="","",IFERROR(1/(1/INDEX(Map_Stats!$K$2:$K$450,MATCH($F44&amp;"|"&amp;$I44,Map_Stats!$A$2:$A$450,0))),$O44))</f>
        <v>0.55</v>
      </c>
      <c r="AG44" s="10" t="str">
        <f aca="false">IF(OR($I44="",$P44=""),"",IFERROR(1/(1/INDEX(Map_Stats!$I$2:$I$450,MATCH($F44&amp;"|"&amp;$I44,Map_Stats!$A$2:$A$450,0))),$P44))</f>
        <v/>
      </c>
      <c r="AH44" s="13" t="n">
        <f aca="false">IF(OR($I44="",AF44=""),"",IF($O44="",AF44,(AE44*AF44+Config!$B$4*$O44)/(AE44+Config!$B$4)))</f>
        <v>0.55</v>
      </c>
      <c r="AI44" s="10" t="str">
        <f aca="false">IF(AG44="","",(AE44*AG44+Config!$B$4*$P44)/(AE44+Config!$B$4))</f>
        <v/>
      </c>
      <c r="AJ44" s="17" t="n">
        <f aca="false">IF(OR(AH44="",$L44=""),"",AH44*$L44*($L44/Config!$B$11)^Config!$B$9)</f>
        <v>12.375</v>
      </c>
      <c r="AK44" s="17" t="str">
        <f aca="false">IF(OR(AJ44="",AI44=""),"",AJ44*AI44)</f>
        <v/>
      </c>
      <c r="AL44" s="17" t="n">
        <f aca="false">N(V44)+N(AC44)</f>
        <v>23.5004227140784</v>
      </c>
      <c r="AM44" s="17" t="n">
        <f aca="false">AL44+N($M44)*N(AJ44)</f>
        <v>28.9144852140784</v>
      </c>
      <c r="AN44" s="17" t="str">
        <f aca="false">IF(W44="","",N(W44)+N(AD44))</f>
        <v/>
      </c>
      <c r="AO44" s="17" t="str">
        <f aca="false">IF(AN44="","",AN44+N($M44)*N(AK44))</f>
        <v/>
      </c>
      <c r="AP44" s="10" t="str">
        <f aca="false">IFERROR(AN44/AL44,"")</f>
        <v/>
      </c>
      <c r="AQ44" s="0" t="str">
        <f aca="false">TRIM(IF($N44&lt;Config!$B$12,"thin sample ("&amp;$N44&amp;" maps) · ","")&amp;IF(AND($G44&lt;&gt;"",Q44=0),"M1 unplayed→overall KPR · ","")&amp;IF(AND($H44&lt;&gt;"",X44=0),"M2 unplayed→overall KPR · ","")&amp;IF($O44="","no PickFinder stats",""))</f>
        <v/>
      </c>
      <c r="AR44" s="0" t="str">
        <f aca="false">IF($C44=Board!$B$2,COUNTIFS($C$2:$C$56,Board!$B$2,$AL$2:$AL$56,"&gt;"&amp;$AL44)+COUNTIFS($C$1:$C43,Board!$B$2,$AL$1:$AL43,$AL44)+1,"")</f>
        <v/>
      </c>
      <c r="AS44" s="0" t="str">
        <f aca="false">IFERROR(IF($D44=INDEX(Matches!$AD$5:$AD$12,MATCH($C44,Matches!$A$5:$A$12,0)),"A",IF($D44=INDEX(Matches!$AE$5:$AE$12,MATCH($C44,Matches!$A$5:$A$12,0)),"B","")),"")</f>
        <v>A</v>
      </c>
      <c r="AT44" s="10" t="n">
        <f aca="false">IF($AS44="","",IFERROR(IF($AS44="A",INDEX(Matches!$AI$5:$AI$12,MATCH($C44,Matches!$A$5:$A$12,0)),INDEX(Matches!$AJ$5:$AJ$12,MATCH($C44,Matches!$A$5:$A$12,0))),""))</f>
        <v>0</v>
      </c>
      <c r="AU44" s="10" t="str">
        <f aca="false">IF($AS44="","",IFERROR(IF(INDEX(Matches!$AP$5:$AP$12,MATCH($C44,Matches!$A$5:$A$12,0))="","",IF($AS44="A",INDEX(Matches!$AP$5:$AP$12,MATCH($C44,Matches!$A$5:$A$12,0)),1-INDEX(Matches!$AP$5:$AP$12,MATCH($C44,Matches!$A$5:$A$12,0)))),""))</f>
        <v/>
      </c>
      <c r="AV44" s="13" t="n">
        <f aca="false">IF(OR($AU44="",$AT44=""),1,((Config!$B$14*$AU44+Config!$B$15*(1-$AU44))/(Config!$B$14*$AT44+Config!$B$15*(1-$AT44)))^Config!$B$13)</f>
        <v>1</v>
      </c>
      <c r="AW44" s="10" t="str">
        <f aca="false">IF($AS44="","",IFERROR(IF(INDEX(Matches!$AV$5:$AV$12,MATCH($C44,Matches!$A$5:$A$12,0))="","",IF($AS44="A",INDEX(Matches!$AV$5:$AV$12,MATCH($C44,Matches!$A$5:$A$12,0)),1-INDEX(Matches!$AV$5:$AV$12,MATCH($C44,Matches!$A$5:$A$12,0)))),""))</f>
        <v/>
      </c>
      <c r="AX44" s="13" t="n">
        <f aca="false">IF(OR($AW44="",$AT44=""),1,((Config!$B$14*$AW44+Config!$B$15*(1-$AW44))/(Config!$B$14*$AT44+Config!$B$15*(1-$AT44)))^Config!$B$13)</f>
        <v>1</v>
      </c>
      <c r="AY44" s="10" t="str">
        <f aca="false">IF($AS44="","",IFERROR(IF(INDEX(Matches!$BB$5:$BB$12,MATCH($C44,Matches!$A$5:$A$12,0))="","",IF($AS44="A",INDEX(Matches!$BB$5:$BB$12,MATCH($C44,Matches!$A$5:$A$12,0)),1-INDEX(Matches!$BB$5:$BB$12,MATCH($C44,Matches!$A$5:$A$12,0)))),""))</f>
        <v/>
      </c>
      <c r="AZ44" s="13" t="n">
        <f aca="false">IF(OR($AY44="",$AT44=""),1,((Config!$B$14*$AY44+Config!$B$15*(1-$AY44))/(Config!$B$14*$AT44+Config!$B$15*(1-$AT44)))^Config!$B$13)</f>
        <v>1</v>
      </c>
      <c r="BA44" s="17" t="n">
        <f aca="false">IF(V44="","",V44*$AV44)</f>
        <v>12.3329009433962</v>
      </c>
      <c r="BB44" s="17" t="n">
        <f aca="false">IF(AC44="","",AC44*$AX44)</f>
        <v>11.1675217706821</v>
      </c>
      <c r="BC44" s="17" t="n">
        <f aca="false">IF(AJ44="","",AJ44*$AZ44)</f>
        <v>12.375</v>
      </c>
      <c r="BD44" s="17" t="n">
        <f aca="false">N(BA44)+N(BB44)</f>
        <v>23.5004227140784</v>
      </c>
      <c r="BE44" s="17" t="n">
        <f aca="false">BD44+N($M44)*N(BC44)</f>
        <v>28.9144852140784</v>
      </c>
      <c r="BF44" s="17" t="str">
        <f aca="false">IF(W44="","",W44*$AV44)</f>
        <v/>
      </c>
      <c r="BG44" s="17" t="str">
        <f aca="false">IF(AD44="","",AD44*$AX44)</f>
        <v/>
      </c>
      <c r="BH44" s="17" t="str">
        <f aca="false">IF(AK44="","",AK44*$AZ44)</f>
        <v/>
      </c>
      <c r="BI44" s="17" t="str">
        <f aca="false">IF(BF44="","",N(BF44)+N(BG44))</f>
        <v/>
      </c>
      <c r="BJ44" s="17" t="str">
        <f aca="false">IF(BI44="","",BI44+N($M44)*N(BH44))</f>
        <v/>
      </c>
      <c r="BK44" s="13" t="n">
        <f aca="false">IFERROR(BD44/AL44,1)</f>
        <v>1</v>
      </c>
    </row>
    <row r="45" customFormat="false" ht="15" hidden="false" customHeight="false" outlineLevel="0" collapsed="false">
      <c r="A45" s="0" t="s">
        <v>788</v>
      </c>
      <c r="B45" s="0" t="s">
        <v>637</v>
      </c>
      <c r="C45" s="0" t="s">
        <v>636</v>
      </c>
      <c r="D45" s="0" t="s">
        <v>644</v>
      </c>
      <c r="E45" s="0" t="s">
        <v>787</v>
      </c>
      <c r="F45" s="0" t="s">
        <v>906</v>
      </c>
      <c r="G45" s="0" t="str">
        <f aca="false">IFERROR(IF(INDEX(Matches!$W$5:$W$12,MATCH($C45,Matches!$A$5:$A$12,0))="","",INDEX(Matches!$W$5:$W$12,MATCH($C45,Matches!$A$5:$A$12,0))),"")</f>
        <v>Haven</v>
      </c>
      <c r="H45" s="0" t="str">
        <f aca="false">IFERROR(IF(INDEX(Matches!$X$5:$X$12,MATCH($C45,Matches!$A$5:$A$12,0))="","",INDEX(Matches!$X$5:$X$12,MATCH($C45,Matches!$A$5:$A$12,0))),"")</f>
        <v>Sunset</v>
      </c>
      <c r="I45" s="0" t="str">
        <f aca="false">IFERROR(IF(INDEX(Matches!$Y$5:$Y$12,MATCH($C45,Matches!$A$5:$A$12,0))="","",INDEX(Matches!$Y$5:$Y$12,MATCH($C45,Matches!$A$5:$A$12,0))),"")</f>
        <v>Pearl</v>
      </c>
      <c r="J45" s="11" t="n">
        <f aca="false">IFERROR(IF(INDEX(Matches!$Z$5:$Z$12,MATCH($C45,Matches!$A$5:$A$12,0))="","",INDEX(Matches!$Z$5:$Z$12,MATCH($C45,Matches!$A$5:$A$12,0))),"")</f>
        <v>21.3</v>
      </c>
      <c r="K45" s="11" t="n">
        <f aca="false">IFERROR(IF(INDEX(Matches!$AA$5:$AA$12,MATCH($C45,Matches!$A$5:$A$12,0))="","",INDEX(Matches!$AA$5:$AA$12,MATCH($C45,Matches!$A$5:$A$12,0))),"")</f>
        <v>21.27</v>
      </c>
      <c r="L45" s="11" t="n">
        <f aca="false">IFERROR(IF(INDEX(Matches!$AB$5:$AB$12,MATCH($C45,Matches!$A$5:$A$12,0))="","",INDEX(Matches!$AB$5:$AB$12,MATCH($C45,Matches!$A$5:$A$12,0))),"")</f>
        <v>22.5</v>
      </c>
      <c r="M45" s="10" t="n">
        <f aca="false">IFERROR(IF(INDEX(Matches!$AC$5:$AC$12,MATCH($C45,Matches!$A$5:$A$12,0))="","",INDEX(Matches!$AC$5:$AC$12,MATCH($C45,Matches!$A$5:$A$12,0))),"")</f>
        <v>0.4375</v>
      </c>
      <c r="N45" s="9" t="n">
        <f aca="false">IFERROR(INDEX(Players!$F$2:$F$56,MATCH($F45,Players!$A$2:$A$56,0)),0)</f>
        <v>4</v>
      </c>
      <c r="O45" s="13" t="n">
        <f aca="false">IFERROR(1/(1/INDEX(Players!$H$2:$H$56,MATCH($F45,Players!$A$2:$A$56,0))),"")</f>
        <v>0.64</v>
      </c>
      <c r="P45" s="10" t="str">
        <f aca="false">IFERROR(1/(1/INDEX(Players!$I$2:$I$56,MATCH($F45,Players!$A$2:$A$56,0))),"")</f>
        <v/>
      </c>
      <c r="Q45" s="9" t="n">
        <f aca="false">IF($G45="",0,SUMIFS(Map_Stats!$F$2:$F$450,Map_Stats!$A$2:$A$450,$F45&amp;"|"&amp;$G45))</f>
        <v>1</v>
      </c>
      <c r="R45" s="13" t="n">
        <f aca="false">IF($G45="","",IFERROR(1/(1/INDEX(Map_Stats!$K$2:$K$450,MATCH($F45&amp;"|"&amp;$G45,Map_Stats!$A$2:$A$450,0))),$O45))</f>
        <v>1.05142857142857</v>
      </c>
      <c r="S45" s="10" t="str">
        <f aca="false">IF(OR($G45="",$P45=""),"",IFERROR(1/(1/INDEX(Map_Stats!$I$2:$I$450,MATCH($F45&amp;"|"&amp;$G45,Map_Stats!$A$2:$A$450,0))),$P45))</f>
        <v/>
      </c>
      <c r="T45" s="13" t="n">
        <f aca="false">IF(OR($G45="",R45=""),"",IF($O45="",R45,(Q45*R45+Config!$B$4*$O45)/(Q45+Config!$B$4)))</f>
        <v>0.708571428571429</v>
      </c>
      <c r="U45" s="10" t="str">
        <f aca="false">IF(S45="","",(Q45*S45+Config!$B$4*$P45)/(Q45+Config!$B$4))</f>
        <v/>
      </c>
      <c r="V45" s="17" t="n">
        <f aca="false">IF(OR(T45="",$J45=""),"",T45*$J45*($J45/Config!$B$11)^Config!$B$9)</f>
        <v>15.0925714285714</v>
      </c>
      <c r="W45" s="17" t="str">
        <f aca="false">IF(OR(V45="",U45=""),"",V45*U45)</f>
        <v/>
      </c>
      <c r="X45" s="9" t="n">
        <f aca="false">IF($H45="",0,SUMIFS(Map_Stats!$F$2:$F$450,Map_Stats!$A$2:$A$450,$F45&amp;"|"&amp;$H45))</f>
        <v>2</v>
      </c>
      <c r="Y45" s="13" t="n">
        <f aca="false">IF($H45="","",IFERROR(1/(1/INDEX(Map_Stats!$K$2:$K$450,MATCH($F45&amp;"|"&amp;$H45,Map_Stats!$A$2:$A$450,0))),$O45))</f>
        <v>0.525714285714286</v>
      </c>
      <c r="Z45" s="10" t="str">
        <f aca="false">IF(OR($H45="",$P45=""),"",IFERROR(1/(1/INDEX(Map_Stats!$I$2:$I$450,MATCH($F45&amp;"|"&amp;$H45,Map_Stats!$A$2:$A$450,0))),$P45))</f>
        <v/>
      </c>
      <c r="AA45" s="13" t="n">
        <f aca="false">IF(OR($H45="",Y45=""),"",IF($O45="",Y45,(X45*Y45+Config!$B$4*$O45)/(X45+Config!$B$4)))</f>
        <v>0.60734693877551</v>
      </c>
      <c r="AB45" s="10" t="str">
        <f aca="false">IF(Z45="","",(X45*Z45+Config!$B$4*$P45)/(X45+Config!$B$4))</f>
        <v/>
      </c>
      <c r="AC45" s="17" t="n">
        <f aca="false">IF(OR(AA45="",$K45=""),"",AA45*$K45*($K45/Config!$B$11)^Config!$B$9)</f>
        <v>12.9182693877551</v>
      </c>
      <c r="AD45" s="17" t="str">
        <f aca="false">IF(OR(AC45="",AB45=""),"",AC45*AB45)</f>
        <v/>
      </c>
      <c r="AE45" s="9" t="n">
        <f aca="false">IF($I45="",0,SUMIFS(Map_Stats!$F$2:$F$450,Map_Stats!$A$2:$A$450,$F45&amp;"|"&amp;$I45))</f>
        <v>0</v>
      </c>
      <c r="AF45" s="13" t="n">
        <f aca="false">IF($I45="","",IFERROR(1/(1/INDEX(Map_Stats!$K$2:$K$450,MATCH($F45&amp;"|"&amp;$I45,Map_Stats!$A$2:$A$450,0))),$O45))</f>
        <v>0.64</v>
      </c>
      <c r="AG45" s="10" t="str">
        <f aca="false">IF(OR($I45="",$P45=""),"",IFERROR(1/(1/INDEX(Map_Stats!$I$2:$I$450,MATCH($F45&amp;"|"&amp;$I45,Map_Stats!$A$2:$A$450,0))),$P45))</f>
        <v/>
      </c>
      <c r="AH45" s="13" t="n">
        <f aca="false">IF(OR($I45="",AF45=""),"",IF($O45="",AF45,(AE45*AF45+Config!$B$4*$O45)/(AE45+Config!$B$4)))</f>
        <v>0.64</v>
      </c>
      <c r="AI45" s="10" t="str">
        <f aca="false">IF(AG45="","",(AE45*AG45+Config!$B$4*$P45)/(AE45+Config!$B$4))</f>
        <v/>
      </c>
      <c r="AJ45" s="17" t="n">
        <f aca="false">IF(OR(AH45="",$L45=""),"",AH45*$L45*($L45/Config!$B$11)^Config!$B$9)</f>
        <v>14.4</v>
      </c>
      <c r="AK45" s="17" t="str">
        <f aca="false">IF(OR(AJ45="",AI45=""),"",AJ45*AI45)</f>
        <v/>
      </c>
      <c r="AL45" s="17" t="n">
        <f aca="false">N(V45)+N(AC45)</f>
        <v>28.0108408163265</v>
      </c>
      <c r="AM45" s="17" t="n">
        <f aca="false">AL45+N($M45)*N(AJ45)</f>
        <v>34.3108408163265</v>
      </c>
      <c r="AN45" s="17" t="str">
        <f aca="false">IF(W45="","",N(W45)+N(AD45))</f>
        <v/>
      </c>
      <c r="AO45" s="17" t="str">
        <f aca="false">IF(AN45="","",AN45+N($M45)*N(AK45))</f>
        <v/>
      </c>
      <c r="AP45" s="10" t="str">
        <f aca="false">IFERROR(AN45/AL45,"")</f>
        <v/>
      </c>
      <c r="AQ45" s="0" t="str">
        <f aca="false">TRIM(IF($N45&lt;Config!$B$12,"thin sample ("&amp;$N45&amp;" maps) · ","")&amp;IF(AND($G45&lt;&gt;"",Q45=0),"M1 unplayed→overall KPR · ","")&amp;IF(AND($H45&lt;&gt;"",X45=0),"M2 unplayed→overall KPR · ","")&amp;IF($O45="","no PickFinder stats",""))</f>
        <v>thin sample (4 maps) ·</v>
      </c>
      <c r="AR45" s="0" t="str">
        <f aca="false">IF($C45=Board!$B$2,COUNTIFS($C$2:$C$56,Board!$B$2,$AL$2:$AL$56,"&gt;"&amp;$AL45)+COUNTIFS($C$1:$C44,Board!$B$2,$AL$1:$AL44,$AL45)+1,"")</f>
        <v/>
      </c>
      <c r="AS45" s="0" t="str">
        <f aca="false">IFERROR(IF($D45=INDEX(Matches!$AD$5:$AD$12,MATCH($C45,Matches!$A$5:$A$12,0)),"A",IF($D45=INDEX(Matches!$AE$5:$AE$12,MATCH($C45,Matches!$A$5:$A$12,0)),"B","")),"")</f>
        <v>A</v>
      </c>
      <c r="AT45" s="10" t="n">
        <f aca="false">IF($AS45="","",IFERROR(IF($AS45="A",INDEX(Matches!$AI$5:$AI$12,MATCH($C45,Matches!$A$5:$A$12,0)),INDEX(Matches!$AJ$5:$AJ$12,MATCH($C45,Matches!$A$5:$A$12,0))),""))</f>
        <v>0</v>
      </c>
      <c r="AU45" s="10" t="str">
        <f aca="false">IF($AS45="","",IFERROR(IF(INDEX(Matches!$AP$5:$AP$12,MATCH($C45,Matches!$A$5:$A$12,0))="","",IF($AS45="A",INDEX(Matches!$AP$5:$AP$12,MATCH($C45,Matches!$A$5:$A$12,0)),1-INDEX(Matches!$AP$5:$AP$12,MATCH($C45,Matches!$A$5:$A$12,0)))),""))</f>
        <v/>
      </c>
      <c r="AV45" s="13" t="n">
        <f aca="false">IF(OR($AU45="",$AT45=""),1,((Config!$B$14*$AU45+Config!$B$15*(1-$AU45))/(Config!$B$14*$AT45+Config!$B$15*(1-$AT45)))^Config!$B$13)</f>
        <v>1</v>
      </c>
      <c r="AW45" s="10" t="str">
        <f aca="false">IF($AS45="","",IFERROR(IF(INDEX(Matches!$AV$5:$AV$12,MATCH($C45,Matches!$A$5:$A$12,0))="","",IF($AS45="A",INDEX(Matches!$AV$5:$AV$12,MATCH($C45,Matches!$A$5:$A$12,0)),1-INDEX(Matches!$AV$5:$AV$12,MATCH($C45,Matches!$A$5:$A$12,0)))),""))</f>
        <v/>
      </c>
      <c r="AX45" s="13" t="n">
        <f aca="false">IF(OR($AW45="",$AT45=""),1,((Config!$B$14*$AW45+Config!$B$15*(1-$AW45))/(Config!$B$14*$AT45+Config!$B$15*(1-$AT45)))^Config!$B$13)</f>
        <v>1</v>
      </c>
      <c r="AY45" s="10" t="str">
        <f aca="false">IF($AS45="","",IFERROR(IF(INDEX(Matches!$BB$5:$BB$12,MATCH($C45,Matches!$A$5:$A$12,0))="","",IF($AS45="A",INDEX(Matches!$BB$5:$BB$12,MATCH($C45,Matches!$A$5:$A$12,0)),1-INDEX(Matches!$BB$5:$BB$12,MATCH($C45,Matches!$A$5:$A$12,0)))),""))</f>
        <v/>
      </c>
      <c r="AZ45" s="13" t="n">
        <f aca="false">IF(OR($AY45="",$AT45=""),1,((Config!$B$14*$AY45+Config!$B$15*(1-$AY45))/(Config!$B$14*$AT45+Config!$B$15*(1-$AT45)))^Config!$B$13)</f>
        <v>1</v>
      </c>
      <c r="BA45" s="17" t="n">
        <f aca="false">IF(V45="","",V45*$AV45)</f>
        <v>15.0925714285714</v>
      </c>
      <c r="BB45" s="17" t="n">
        <f aca="false">IF(AC45="","",AC45*$AX45)</f>
        <v>12.9182693877551</v>
      </c>
      <c r="BC45" s="17" t="n">
        <f aca="false">IF(AJ45="","",AJ45*$AZ45)</f>
        <v>14.4</v>
      </c>
      <c r="BD45" s="17" t="n">
        <f aca="false">N(BA45)+N(BB45)</f>
        <v>28.0108408163265</v>
      </c>
      <c r="BE45" s="17" t="n">
        <f aca="false">BD45+N($M45)*N(BC45)</f>
        <v>34.3108408163265</v>
      </c>
      <c r="BF45" s="17" t="str">
        <f aca="false">IF(W45="","",W45*$AV45)</f>
        <v/>
      </c>
      <c r="BG45" s="17" t="str">
        <f aca="false">IF(AD45="","",AD45*$AX45)</f>
        <v/>
      </c>
      <c r="BH45" s="17" t="str">
        <f aca="false">IF(AK45="","",AK45*$AZ45)</f>
        <v/>
      </c>
      <c r="BI45" s="17" t="str">
        <f aca="false">IF(BF45="","",N(BF45)+N(BG45))</f>
        <v/>
      </c>
      <c r="BJ45" s="17" t="str">
        <f aca="false">IF(BI45="","",BI45+N($M45)*N(BH45))</f>
        <v/>
      </c>
      <c r="BK45" s="13" t="n">
        <f aca="false">IFERROR(BD45/AL45,1)</f>
        <v>1</v>
      </c>
    </row>
    <row r="46" customFormat="false" ht="15" hidden="false" customHeight="false" outlineLevel="0" collapsed="false">
      <c r="A46" s="0" t="s">
        <v>790</v>
      </c>
      <c r="B46" s="0" t="s">
        <v>637</v>
      </c>
      <c r="C46" s="0" t="s">
        <v>636</v>
      </c>
      <c r="D46" s="0" t="s">
        <v>645</v>
      </c>
      <c r="E46" s="0" t="s">
        <v>789</v>
      </c>
      <c r="F46" s="0" t="s">
        <v>907</v>
      </c>
      <c r="G46" s="0" t="str">
        <f aca="false">IFERROR(IF(INDEX(Matches!$W$5:$W$12,MATCH($C46,Matches!$A$5:$A$12,0))="","",INDEX(Matches!$W$5:$W$12,MATCH($C46,Matches!$A$5:$A$12,0))),"")</f>
        <v>Haven</v>
      </c>
      <c r="H46" s="0" t="str">
        <f aca="false">IFERROR(IF(INDEX(Matches!$X$5:$X$12,MATCH($C46,Matches!$A$5:$A$12,0))="","",INDEX(Matches!$X$5:$X$12,MATCH($C46,Matches!$A$5:$A$12,0))),"")</f>
        <v>Sunset</v>
      </c>
      <c r="I46" s="0" t="str">
        <f aca="false">IFERROR(IF(INDEX(Matches!$Y$5:$Y$12,MATCH($C46,Matches!$A$5:$A$12,0))="","",INDEX(Matches!$Y$5:$Y$12,MATCH($C46,Matches!$A$5:$A$12,0))),"")</f>
        <v>Pearl</v>
      </c>
      <c r="J46" s="11" t="n">
        <f aca="false">IFERROR(IF(INDEX(Matches!$Z$5:$Z$12,MATCH($C46,Matches!$A$5:$A$12,0))="","",INDEX(Matches!$Z$5:$Z$12,MATCH($C46,Matches!$A$5:$A$12,0))),"")</f>
        <v>21.3</v>
      </c>
      <c r="K46" s="11" t="n">
        <f aca="false">IFERROR(IF(INDEX(Matches!$AA$5:$AA$12,MATCH($C46,Matches!$A$5:$A$12,0))="","",INDEX(Matches!$AA$5:$AA$12,MATCH($C46,Matches!$A$5:$A$12,0))),"")</f>
        <v>21.27</v>
      </c>
      <c r="L46" s="11" t="n">
        <f aca="false">IFERROR(IF(INDEX(Matches!$AB$5:$AB$12,MATCH($C46,Matches!$A$5:$A$12,0))="","",INDEX(Matches!$AB$5:$AB$12,MATCH($C46,Matches!$A$5:$A$12,0))),"")</f>
        <v>22.5</v>
      </c>
      <c r="M46" s="10" t="n">
        <f aca="false">IFERROR(IF(INDEX(Matches!$AC$5:$AC$12,MATCH($C46,Matches!$A$5:$A$12,0))="","",INDEX(Matches!$AC$5:$AC$12,MATCH($C46,Matches!$A$5:$A$12,0))),"")</f>
        <v>0.4375</v>
      </c>
      <c r="N46" s="9" t="n">
        <f aca="false">IFERROR(INDEX(Players!$F$2:$F$56,MATCH($F46,Players!$A$2:$A$56,0)),0)</f>
        <v>32</v>
      </c>
      <c r="O46" s="13" t="n">
        <f aca="false">IFERROR(1/(1/INDEX(Players!$H$2:$H$56,MATCH($F46,Players!$A$2:$A$56,0))),"")</f>
        <v>0.71</v>
      </c>
      <c r="P46" s="10" t="str">
        <f aca="false">IFERROR(1/(1/INDEX(Players!$I$2:$I$56,MATCH($F46,Players!$A$2:$A$56,0))),"")</f>
        <v/>
      </c>
      <c r="Q46" s="9" t="n">
        <f aca="false">IF($G46="",0,SUMIFS(Map_Stats!$F$2:$F$450,Map_Stats!$A$2:$A$450,$F46&amp;"|"&amp;$G46))</f>
        <v>8</v>
      </c>
      <c r="R46" s="13" t="n">
        <f aca="false">IF($G46="","",IFERROR(1/(1/INDEX(Map_Stats!$K$2:$K$450,MATCH($F46&amp;"|"&amp;$G46,Map_Stats!$A$2:$A$450,0))),$O46))</f>
        <v>0.693165969316597</v>
      </c>
      <c r="S46" s="10" t="str">
        <f aca="false">IF(OR($G46="",$P46=""),"",IFERROR(1/(1/INDEX(Map_Stats!$I$2:$I$450,MATCH($F46&amp;"|"&amp;$G46,Map_Stats!$A$2:$A$450,0))),$P46))</f>
        <v/>
      </c>
      <c r="T46" s="13" t="n">
        <f aca="false">IF(OR($G46="",R46=""),"",IF($O46="",R46,(Q46*R46+Config!$B$4*$O46)/(Q46+Config!$B$4)))</f>
        <v>0.699640596502521</v>
      </c>
      <c r="U46" s="10" t="str">
        <f aca="false">IF(S46="","",(Q46*S46+Config!$B$4*$P46)/(Q46+Config!$B$4))</f>
        <v/>
      </c>
      <c r="V46" s="17" t="n">
        <f aca="false">IF(OR(T46="",$J46=""),"",T46*$J46*($J46/Config!$B$11)^Config!$B$9)</f>
        <v>14.9023447055037</v>
      </c>
      <c r="W46" s="17" t="str">
        <f aca="false">IF(OR(V46="",U46=""),"",V46*U46)</f>
        <v/>
      </c>
      <c r="X46" s="9" t="n">
        <f aca="false">IF($H46="",0,SUMIFS(Map_Stats!$F$2:$F$450,Map_Stats!$A$2:$A$450,$F46&amp;"|"&amp;$H46))</f>
        <v>1</v>
      </c>
      <c r="Y46" s="13" t="n">
        <f aca="false">IF($H46="","",IFERROR(1/(1/INDEX(Map_Stats!$K$2:$K$450,MATCH($F46&amp;"|"&amp;$H46,Map_Stats!$A$2:$A$450,0))),$O46))</f>
        <v>0.594142259414226</v>
      </c>
      <c r="Z46" s="10" t="str">
        <f aca="false">IF(OR($H46="",$P46=""),"",IFERROR(1/(1/INDEX(Map_Stats!$I$2:$I$450,MATCH($F46&amp;"|"&amp;$H46,Map_Stats!$A$2:$A$450,0))),$P46))</f>
        <v/>
      </c>
      <c r="AA46" s="13" t="n">
        <f aca="false">IF(OR($H46="",Y46=""),"",IF($O46="",Y46,(X46*Y46+Config!$B$4*$O46)/(X46+Config!$B$4)))</f>
        <v>0.690690376569038</v>
      </c>
      <c r="AB46" s="10" t="str">
        <f aca="false">IF(Z46="","",(X46*Z46+Config!$B$4*$P46)/(X46+Config!$B$4))</f>
        <v/>
      </c>
      <c r="AC46" s="17" t="n">
        <f aca="false">IF(OR(AA46="",$K46=""),"",AA46*$K46*($K46/Config!$B$11)^Config!$B$9)</f>
        <v>14.6909843096234</v>
      </c>
      <c r="AD46" s="17" t="str">
        <f aca="false">IF(OR(AC46="",AB46=""),"",AC46*AB46)</f>
        <v/>
      </c>
      <c r="AE46" s="9" t="n">
        <f aca="false">IF($I46="",0,SUMIFS(Map_Stats!$F$2:$F$450,Map_Stats!$A$2:$A$450,$F46&amp;"|"&amp;$I46))</f>
        <v>7</v>
      </c>
      <c r="AF46" s="13" t="n">
        <f aca="false">IF($I46="","",IFERROR(1/(1/INDEX(Map_Stats!$K$2:$K$450,MATCH($F46&amp;"|"&amp;$I46,Map_Stats!$A$2:$A$450,0))),$O46))</f>
        <v>0.772384937238494</v>
      </c>
      <c r="AG46" s="10" t="str">
        <f aca="false">IF(OR($I46="",$P46=""),"",IFERROR(1/(1/INDEX(Map_Stats!$I$2:$I$450,MATCH($F46&amp;"|"&amp;$I46,Map_Stats!$A$2:$A$450,0))),$P46))</f>
        <v/>
      </c>
      <c r="AH46" s="13" t="n">
        <f aca="false">IF(OR($I46="",AF46=""),"",IF($O46="",AF46,(AE46*AF46+Config!$B$4*$O46)/(AE46+Config!$B$4)))</f>
        <v>0.746391213389121</v>
      </c>
      <c r="AI46" s="10" t="str">
        <f aca="false">IF(AG46="","",(AE46*AG46+Config!$B$4*$P46)/(AE46+Config!$B$4))</f>
        <v/>
      </c>
      <c r="AJ46" s="17" t="n">
        <f aca="false">IF(OR(AH46="",$L46=""),"",AH46*$L46*($L46/Config!$B$11)^Config!$B$9)</f>
        <v>16.7938023012552</v>
      </c>
      <c r="AK46" s="17" t="str">
        <f aca="false">IF(OR(AJ46="",AI46=""),"",AJ46*AI46)</f>
        <v/>
      </c>
      <c r="AL46" s="17" t="n">
        <f aca="false">N(V46)+N(AC46)</f>
        <v>29.5933290151271</v>
      </c>
      <c r="AM46" s="17" t="n">
        <f aca="false">AL46+N($M46)*N(AJ46)</f>
        <v>36.9406175219263</v>
      </c>
      <c r="AN46" s="17" t="str">
        <f aca="false">IF(W46="","",N(W46)+N(AD46))</f>
        <v/>
      </c>
      <c r="AO46" s="17" t="str">
        <f aca="false">IF(AN46="","",AN46+N($M46)*N(AK46))</f>
        <v/>
      </c>
      <c r="AP46" s="10" t="str">
        <f aca="false">IFERROR(AN46/AL46,"")</f>
        <v/>
      </c>
      <c r="AQ46" s="0" t="str">
        <f aca="false">TRIM(IF($N46&lt;Config!$B$12,"thin sample ("&amp;$N46&amp;" maps) · ","")&amp;IF(AND($G46&lt;&gt;"",Q46=0),"M1 unplayed→overall KPR · ","")&amp;IF(AND($H46&lt;&gt;"",X46=0),"M2 unplayed→overall KPR · ","")&amp;IF($O46="","no PickFinder stats",""))</f>
        <v/>
      </c>
      <c r="AR46" s="0" t="str">
        <f aca="false">IF($C46=Board!$B$2,COUNTIFS($C$2:$C$56,Board!$B$2,$AL$2:$AL$56,"&gt;"&amp;$AL46)+COUNTIFS($C$1:$C45,Board!$B$2,$AL$1:$AL45,$AL46)+1,"")</f>
        <v/>
      </c>
      <c r="AS46" s="0" t="str">
        <f aca="false">IFERROR(IF($D46=INDEX(Matches!$AD$5:$AD$12,MATCH($C46,Matches!$A$5:$A$12,0)),"A",IF($D46=INDEX(Matches!$AE$5:$AE$12,MATCH($C46,Matches!$A$5:$A$12,0)),"B","")),"")</f>
        <v>B</v>
      </c>
      <c r="AT46" s="10" t="n">
        <f aca="false">IF($AS46="","",IFERROR(IF($AS46="A",INDEX(Matches!$AI$5:$AI$12,MATCH($C46,Matches!$A$5:$A$12,0)),INDEX(Matches!$AJ$5:$AJ$12,MATCH($C46,Matches!$A$5:$A$12,0))),""))</f>
        <v>0</v>
      </c>
      <c r="AU46" s="10" t="str">
        <f aca="false">IF($AS46="","",IFERROR(IF(INDEX(Matches!$AP$5:$AP$12,MATCH($C46,Matches!$A$5:$A$12,0))="","",IF($AS46="A",INDEX(Matches!$AP$5:$AP$12,MATCH($C46,Matches!$A$5:$A$12,0)),1-INDEX(Matches!$AP$5:$AP$12,MATCH($C46,Matches!$A$5:$A$12,0)))),""))</f>
        <v/>
      </c>
      <c r="AV46" s="13" t="n">
        <f aca="false">IF(OR($AU46="",$AT46=""),1,((Config!$B$14*$AU46+Config!$B$15*(1-$AU46))/(Config!$B$14*$AT46+Config!$B$15*(1-$AT46)))^Config!$B$13)</f>
        <v>1</v>
      </c>
      <c r="AW46" s="10" t="str">
        <f aca="false">IF($AS46="","",IFERROR(IF(INDEX(Matches!$AV$5:$AV$12,MATCH($C46,Matches!$A$5:$A$12,0))="","",IF($AS46="A",INDEX(Matches!$AV$5:$AV$12,MATCH($C46,Matches!$A$5:$A$12,0)),1-INDEX(Matches!$AV$5:$AV$12,MATCH($C46,Matches!$A$5:$A$12,0)))),""))</f>
        <v/>
      </c>
      <c r="AX46" s="13" t="n">
        <f aca="false">IF(OR($AW46="",$AT46=""),1,((Config!$B$14*$AW46+Config!$B$15*(1-$AW46))/(Config!$B$14*$AT46+Config!$B$15*(1-$AT46)))^Config!$B$13)</f>
        <v>1</v>
      </c>
      <c r="AY46" s="10" t="str">
        <f aca="false">IF($AS46="","",IFERROR(IF(INDEX(Matches!$BB$5:$BB$12,MATCH($C46,Matches!$A$5:$A$12,0))="","",IF($AS46="A",INDEX(Matches!$BB$5:$BB$12,MATCH($C46,Matches!$A$5:$A$12,0)),1-INDEX(Matches!$BB$5:$BB$12,MATCH($C46,Matches!$A$5:$A$12,0)))),""))</f>
        <v/>
      </c>
      <c r="AZ46" s="13" t="n">
        <f aca="false">IF(OR($AY46="",$AT46=""),1,((Config!$B$14*$AY46+Config!$B$15*(1-$AY46))/(Config!$B$14*$AT46+Config!$B$15*(1-$AT46)))^Config!$B$13)</f>
        <v>1</v>
      </c>
      <c r="BA46" s="17" t="n">
        <f aca="false">IF(V46="","",V46*$AV46)</f>
        <v>14.9023447055037</v>
      </c>
      <c r="BB46" s="17" t="n">
        <f aca="false">IF(AC46="","",AC46*$AX46)</f>
        <v>14.6909843096234</v>
      </c>
      <c r="BC46" s="17" t="n">
        <f aca="false">IF(AJ46="","",AJ46*$AZ46)</f>
        <v>16.7938023012552</v>
      </c>
      <c r="BD46" s="17" t="n">
        <f aca="false">N(BA46)+N(BB46)</f>
        <v>29.5933290151271</v>
      </c>
      <c r="BE46" s="17" t="n">
        <f aca="false">BD46+N($M46)*N(BC46)</f>
        <v>36.9406175219263</v>
      </c>
      <c r="BF46" s="17" t="str">
        <f aca="false">IF(W46="","",W46*$AV46)</f>
        <v/>
      </c>
      <c r="BG46" s="17" t="str">
        <f aca="false">IF(AD46="","",AD46*$AX46)</f>
        <v/>
      </c>
      <c r="BH46" s="17" t="str">
        <f aca="false">IF(AK46="","",AK46*$AZ46)</f>
        <v/>
      </c>
      <c r="BI46" s="17" t="str">
        <f aca="false">IF(BF46="","",N(BF46)+N(BG46))</f>
        <v/>
      </c>
      <c r="BJ46" s="17" t="str">
        <f aca="false">IF(BI46="","",BI46+N($M46)*N(BH46))</f>
        <v/>
      </c>
      <c r="BK46" s="13" t="n">
        <f aca="false">IFERROR(BD46/AL46,1)</f>
        <v>1</v>
      </c>
    </row>
    <row r="47" customFormat="false" ht="15" hidden="false" customHeight="false" outlineLevel="0" collapsed="false">
      <c r="A47" s="0" t="s">
        <v>792</v>
      </c>
      <c r="B47" s="0" t="s">
        <v>637</v>
      </c>
      <c r="C47" s="0" t="s">
        <v>653</v>
      </c>
      <c r="D47" s="0" t="s">
        <v>659</v>
      </c>
      <c r="E47" s="0" t="s">
        <v>791</v>
      </c>
      <c r="F47" s="0" t="s">
        <v>908</v>
      </c>
      <c r="G47" s="0" t="str">
        <f aca="false">IFERROR(IF(INDEX(Matches!$W$5:$W$12,MATCH($C47,Matches!$A$5:$A$12,0))="","",INDEX(Matches!$W$5:$W$12,MATCH($C47,Matches!$A$5:$A$12,0))),"")</f>
        <v>Haven</v>
      </c>
      <c r="H47" s="0" t="str">
        <f aca="false">IFERROR(IF(INDEX(Matches!$X$5:$X$12,MATCH($C47,Matches!$A$5:$A$12,0))="","",INDEX(Matches!$X$5:$X$12,MATCH($C47,Matches!$A$5:$A$12,0))),"")</f>
        <v>Lotus</v>
      </c>
      <c r="I47" s="0" t="str">
        <f aca="false">IFERROR(IF(INDEX(Matches!$Y$5:$Y$12,MATCH($C47,Matches!$A$5:$A$12,0))="","",INDEX(Matches!$Y$5:$Y$12,MATCH($C47,Matches!$A$5:$A$12,0))),"")</f>
        <v>Split</v>
      </c>
      <c r="J47" s="11" t="n">
        <f aca="false">IFERROR(IF(INDEX(Matches!$Z$5:$Z$12,MATCH($C47,Matches!$A$5:$A$12,0))="","",INDEX(Matches!$Z$5:$Z$12,MATCH($C47,Matches!$A$5:$A$12,0))),"")</f>
        <v>21.42</v>
      </c>
      <c r="K47" s="11" t="n">
        <f aca="false">IFERROR(IF(INDEX(Matches!$AA$5:$AA$12,MATCH($C47,Matches!$A$5:$A$12,0))="","",INDEX(Matches!$AA$5:$AA$12,MATCH($C47,Matches!$A$5:$A$12,0))),"")</f>
        <v>21.4</v>
      </c>
      <c r="L47" s="11" t="n">
        <f aca="false">IFERROR(IF(INDEX(Matches!$AB$5:$AB$12,MATCH($C47,Matches!$A$5:$A$12,0))="","",INDEX(Matches!$AB$5:$AB$12,MATCH($C47,Matches!$A$5:$A$12,0))),"")</f>
        <v>22.5</v>
      </c>
      <c r="M47" s="10" t="n">
        <f aca="false">IFERROR(IF(INDEX(Matches!$AC$5:$AC$12,MATCH($C47,Matches!$A$5:$A$12,0))="","",INDEX(Matches!$AC$5:$AC$12,MATCH($C47,Matches!$A$5:$A$12,0))),"")</f>
        <v>0.4529</v>
      </c>
      <c r="N47" s="9" t="n">
        <f aca="false">IFERROR(INDEX(Players!$F$2:$F$56,MATCH($F47,Players!$A$2:$A$56,0)),0)</f>
        <v>39</v>
      </c>
      <c r="O47" s="13" t="n">
        <f aca="false">IFERROR(1/(1/INDEX(Players!$H$2:$H$56,MATCH($F47,Players!$A$2:$A$56,0))),"")</f>
        <v>0.86</v>
      </c>
      <c r="P47" s="10" t="str">
        <f aca="false">IFERROR(1/(1/INDEX(Players!$I$2:$I$56,MATCH($F47,Players!$A$2:$A$56,0))),"")</f>
        <v/>
      </c>
      <c r="Q47" s="9" t="n">
        <f aca="false">IF($G47="",0,SUMIFS(Map_Stats!$F$2:$F$450,Map_Stats!$A$2:$A$450,$F47&amp;"|"&amp;$G47))</f>
        <v>8</v>
      </c>
      <c r="R47" s="13" t="n">
        <f aca="false">IF($G47="","",IFERROR(1/(1/INDEX(Map_Stats!$K$2:$K$450,MATCH($F47&amp;"|"&amp;$G47,Map_Stats!$A$2:$A$450,0))),$O47))</f>
        <v>0.849262202043133</v>
      </c>
      <c r="S47" s="10" t="str">
        <f aca="false">IF(OR($G47="",$P47=""),"",IFERROR(1/(1/INDEX(Map_Stats!$I$2:$I$450,MATCH($F47&amp;"|"&amp;$G47,Map_Stats!$A$2:$A$450,0))),$P47))</f>
        <v/>
      </c>
      <c r="T47" s="13" t="n">
        <f aca="false">IF(OR($G47="",R47=""),"",IF($O47="",R47,(Q47*R47+Config!$B$4*$O47)/(Q47+Config!$B$4)))</f>
        <v>0.853392124334235</v>
      </c>
      <c r="U47" s="10" t="str">
        <f aca="false">IF(S47="","",(Q47*S47+Config!$B$4*$P47)/(Q47+Config!$B$4))</f>
        <v/>
      </c>
      <c r="V47" s="17" t="n">
        <f aca="false">IF(OR(T47="",$J47=""),"",T47*$J47*($J47/Config!$B$11)^Config!$B$9)</f>
        <v>18.2796593032393</v>
      </c>
      <c r="W47" s="17" t="str">
        <f aca="false">IF(OR(V47="",U47=""),"",V47*U47)</f>
        <v/>
      </c>
      <c r="X47" s="9" t="n">
        <f aca="false">IF($H47="",0,SUMIFS(Map_Stats!$F$2:$F$450,Map_Stats!$A$2:$A$450,$F47&amp;"|"&amp;$H47))</f>
        <v>2</v>
      </c>
      <c r="Y47" s="13" t="n">
        <f aca="false">IF($H47="","",IFERROR(1/(1/INDEX(Map_Stats!$K$2:$K$450,MATCH($F47&amp;"|"&amp;$H47,Map_Stats!$A$2:$A$450,0))),$O47))</f>
        <v>0.463677639046538</v>
      </c>
      <c r="Z47" s="10" t="str">
        <f aca="false">IF(OR($H47="",$P47=""),"",IFERROR(1/(1/INDEX(Map_Stats!$I$2:$I$450,MATCH($F47&amp;"|"&amp;$H47,Map_Stats!$A$2:$A$450,0))),$P47))</f>
        <v/>
      </c>
      <c r="AA47" s="13" t="n">
        <f aca="false">IF(OR($H47="",Y47=""),"",IF($O47="",Y47,(X47*Y47+Config!$B$4*$O47)/(X47+Config!$B$4)))</f>
        <v>0.746765039727582</v>
      </c>
      <c r="AB47" s="10" t="str">
        <f aca="false">IF(Z47="","",(X47*Z47+Config!$B$4*$P47)/(X47+Config!$B$4))</f>
        <v/>
      </c>
      <c r="AC47" s="17" t="n">
        <f aca="false">IF(OR(AA47="",$K47=""),"",AA47*$K47*($K47/Config!$B$11)^Config!$B$9)</f>
        <v>15.9807718501703</v>
      </c>
      <c r="AD47" s="17" t="str">
        <f aca="false">IF(OR(AC47="",AB47=""),"",AC47*AB47)</f>
        <v/>
      </c>
      <c r="AE47" s="9" t="n">
        <f aca="false">IF($I47="",0,SUMIFS(Map_Stats!$F$2:$F$450,Map_Stats!$A$2:$A$450,$F47&amp;"|"&amp;$I47))</f>
        <v>5</v>
      </c>
      <c r="AF47" s="13" t="n">
        <f aca="false">IF($I47="","",IFERROR(1/(1/INDEX(Map_Stats!$K$2:$K$450,MATCH($F47&amp;"|"&amp;$I47,Map_Stats!$A$2:$A$450,0))),$O47))</f>
        <v>0.917593643586833</v>
      </c>
      <c r="AG47" s="10" t="str">
        <f aca="false">IF(OR($I47="",$P47=""),"",IFERROR(1/(1/INDEX(Map_Stats!$I$2:$I$450,MATCH($F47&amp;"|"&amp;$I47,Map_Stats!$A$2:$A$450,0))),$P47))</f>
        <v/>
      </c>
      <c r="AH47" s="13" t="n">
        <f aca="false">IF(OR($I47="",AF47=""),"",IF($O47="",AF47,(AE47*AF47+Config!$B$4*$O47)/(AE47+Config!$B$4)))</f>
        <v>0.888796821793417</v>
      </c>
      <c r="AI47" s="10" t="str">
        <f aca="false">IF(AG47="","",(AE47*AG47+Config!$B$4*$P47)/(AE47+Config!$B$4))</f>
        <v/>
      </c>
      <c r="AJ47" s="17" t="n">
        <f aca="false">IF(OR(AH47="",$L47=""),"",AH47*$L47*($L47/Config!$B$11)^Config!$B$9)</f>
        <v>19.9979284903519</v>
      </c>
      <c r="AK47" s="17" t="str">
        <f aca="false">IF(OR(AJ47="",AI47=""),"",AJ47*AI47)</f>
        <v/>
      </c>
      <c r="AL47" s="17" t="n">
        <f aca="false">N(V47)+N(AC47)</f>
        <v>34.2604311534096</v>
      </c>
      <c r="AM47" s="17" t="n">
        <f aca="false">AL47+N($M47)*N(AJ47)</f>
        <v>43.31749296669</v>
      </c>
      <c r="AN47" s="17" t="str">
        <f aca="false">IF(W47="","",N(W47)+N(AD47))</f>
        <v/>
      </c>
      <c r="AO47" s="17" t="str">
        <f aca="false">IF(AN47="","",AN47+N($M47)*N(AK47))</f>
        <v/>
      </c>
      <c r="AP47" s="10" t="str">
        <f aca="false">IFERROR(AN47/AL47,"")</f>
        <v/>
      </c>
      <c r="AQ47" s="0" t="str">
        <f aca="false">TRIM(IF($N47&lt;Config!$B$12,"thin sample ("&amp;$N47&amp;" maps) · ","")&amp;IF(AND($G47&lt;&gt;"",Q47=0),"M1 unplayed→overall KPR · ","")&amp;IF(AND($H47&lt;&gt;"",X47=0),"M2 unplayed→overall KPR · ","")&amp;IF($O47="","no PickFinder stats",""))</f>
        <v/>
      </c>
      <c r="AR47" s="0" t="str">
        <f aca="false">IF($C47=Board!$B$2,COUNTIFS($C$2:$C$56,Board!$B$2,$AL$2:$AL$56,"&gt;"&amp;$AL47)+COUNTIFS($C$1:$C46,Board!$B$2,$AL$1:$AL46,$AL47)+1,"")</f>
        <v/>
      </c>
      <c r="AS47" s="0" t="str">
        <f aca="false">IFERROR(IF($D47=INDEX(Matches!$AD$5:$AD$12,MATCH($C47,Matches!$A$5:$A$12,0)),"A",IF($D47=INDEX(Matches!$AE$5:$AE$12,MATCH($C47,Matches!$A$5:$A$12,0)),"B","")),"")</f>
        <v>B</v>
      </c>
      <c r="AT47" s="10" t="n">
        <f aca="false">IF($AS47="","",IFERROR(IF($AS47="A",INDEX(Matches!$AI$5:$AI$12,MATCH($C47,Matches!$A$5:$A$12,0)),INDEX(Matches!$AJ$5:$AJ$12,MATCH($C47,Matches!$A$5:$A$12,0))),""))</f>
        <v>0</v>
      </c>
      <c r="AU47" s="10" t="str">
        <f aca="false">IF($AS47="","",IFERROR(IF(INDEX(Matches!$AP$5:$AP$12,MATCH($C47,Matches!$A$5:$A$12,0))="","",IF($AS47="A",INDEX(Matches!$AP$5:$AP$12,MATCH($C47,Matches!$A$5:$A$12,0)),1-INDEX(Matches!$AP$5:$AP$12,MATCH($C47,Matches!$A$5:$A$12,0)))),""))</f>
        <v/>
      </c>
      <c r="AV47" s="13" t="n">
        <f aca="false">IF(OR($AU47="",$AT47=""),1,((Config!$B$14*$AU47+Config!$B$15*(1-$AU47))/(Config!$B$14*$AT47+Config!$B$15*(1-$AT47)))^Config!$B$13)</f>
        <v>1</v>
      </c>
      <c r="AW47" s="10" t="str">
        <f aca="false">IF($AS47="","",IFERROR(IF(INDEX(Matches!$AV$5:$AV$12,MATCH($C47,Matches!$A$5:$A$12,0))="","",IF($AS47="A",INDEX(Matches!$AV$5:$AV$12,MATCH($C47,Matches!$A$5:$A$12,0)),1-INDEX(Matches!$AV$5:$AV$12,MATCH($C47,Matches!$A$5:$A$12,0)))),""))</f>
        <v/>
      </c>
      <c r="AX47" s="13" t="n">
        <f aca="false">IF(OR($AW47="",$AT47=""),1,((Config!$B$14*$AW47+Config!$B$15*(1-$AW47))/(Config!$B$14*$AT47+Config!$B$15*(1-$AT47)))^Config!$B$13)</f>
        <v>1</v>
      </c>
      <c r="AY47" s="10" t="str">
        <f aca="false">IF($AS47="","",IFERROR(IF(INDEX(Matches!$BB$5:$BB$12,MATCH($C47,Matches!$A$5:$A$12,0))="","",IF($AS47="A",INDEX(Matches!$BB$5:$BB$12,MATCH($C47,Matches!$A$5:$A$12,0)),1-INDEX(Matches!$BB$5:$BB$12,MATCH($C47,Matches!$A$5:$A$12,0)))),""))</f>
        <v/>
      </c>
      <c r="AZ47" s="13" t="n">
        <f aca="false">IF(OR($AY47="",$AT47=""),1,((Config!$B$14*$AY47+Config!$B$15*(1-$AY47))/(Config!$B$14*$AT47+Config!$B$15*(1-$AT47)))^Config!$B$13)</f>
        <v>1</v>
      </c>
      <c r="BA47" s="17" t="n">
        <f aca="false">IF(V47="","",V47*$AV47)</f>
        <v>18.2796593032393</v>
      </c>
      <c r="BB47" s="17" t="n">
        <f aca="false">IF(AC47="","",AC47*$AX47)</f>
        <v>15.9807718501703</v>
      </c>
      <c r="BC47" s="17" t="n">
        <f aca="false">IF(AJ47="","",AJ47*$AZ47)</f>
        <v>19.9979284903519</v>
      </c>
      <c r="BD47" s="17" t="n">
        <f aca="false">N(BA47)+N(BB47)</f>
        <v>34.2604311534096</v>
      </c>
      <c r="BE47" s="17" t="n">
        <f aca="false">BD47+N($M47)*N(BC47)</f>
        <v>43.31749296669</v>
      </c>
      <c r="BF47" s="17" t="str">
        <f aca="false">IF(W47="","",W47*$AV47)</f>
        <v/>
      </c>
      <c r="BG47" s="17" t="str">
        <f aca="false">IF(AD47="","",AD47*$AX47)</f>
        <v/>
      </c>
      <c r="BH47" s="17" t="str">
        <f aca="false">IF(AK47="","",AK47*$AZ47)</f>
        <v/>
      </c>
      <c r="BI47" s="17" t="str">
        <f aca="false">IF(BF47="","",N(BF47)+N(BG47))</f>
        <v/>
      </c>
      <c r="BJ47" s="17" t="str">
        <f aca="false">IF(BI47="","",BI47+N($M47)*N(BH47))</f>
        <v/>
      </c>
      <c r="BK47" s="13" t="n">
        <f aca="false">IFERROR(BD47/AL47,1)</f>
        <v>1</v>
      </c>
    </row>
    <row r="48" customFormat="false" ht="15" hidden="false" customHeight="false" outlineLevel="0" collapsed="false">
      <c r="A48" s="0" t="s">
        <v>794</v>
      </c>
      <c r="B48" s="0" t="s">
        <v>637</v>
      </c>
      <c r="C48" s="0" t="s">
        <v>653</v>
      </c>
      <c r="D48" s="0" t="s">
        <v>659</v>
      </c>
      <c r="E48" s="0" t="s">
        <v>793</v>
      </c>
      <c r="F48" s="0" t="s">
        <v>909</v>
      </c>
      <c r="G48" s="0" t="str">
        <f aca="false">IFERROR(IF(INDEX(Matches!$W$5:$W$12,MATCH($C48,Matches!$A$5:$A$12,0))="","",INDEX(Matches!$W$5:$W$12,MATCH($C48,Matches!$A$5:$A$12,0))),"")</f>
        <v>Haven</v>
      </c>
      <c r="H48" s="0" t="str">
        <f aca="false">IFERROR(IF(INDEX(Matches!$X$5:$X$12,MATCH($C48,Matches!$A$5:$A$12,0))="","",INDEX(Matches!$X$5:$X$12,MATCH($C48,Matches!$A$5:$A$12,0))),"")</f>
        <v>Lotus</v>
      </c>
      <c r="I48" s="0" t="str">
        <f aca="false">IFERROR(IF(INDEX(Matches!$Y$5:$Y$12,MATCH($C48,Matches!$A$5:$A$12,0))="","",INDEX(Matches!$Y$5:$Y$12,MATCH($C48,Matches!$A$5:$A$12,0))),"")</f>
        <v>Split</v>
      </c>
      <c r="J48" s="11" t="n">
        <f aca="false">IFERROR(IF(INDEX(Matches!$Z$5:$Z$12,MATCH($C48,Matches!$A$5:$A$12,0))="","",INDEX(Matches!$Z$5:$Z$12,MATCH($C48,Matches!$A$5:$A$12,0))),"")</f>
        <v>21.42</v>
      </c>
      <c r="K48" s="11" t="n">
        <f aca="false">IFERROR(IF(INDEX(Matches!$AA$5:$AA$12,MATCH($C48,Matches!$A$5:$A$12,0))="","",INDEX(Matches!$AA$5:$AA$12,MATCH($C48,Matches!$A$5:$A$12,0))),"")</f>
        <v>21.4</v>
      </c>
      <c r="L48" s="11" t="n">
        <f aca="false">IFERROR(IF(INDEX(Matches!$AB$5:$AB$12,MATCH($C48,Matches!$A$5:$A$12,0))="","",INDEX(Matches!$AB$5:$AB$12,MATCH($C48,Matches!$A$5:$A$12,0))),"")</f>
        <v>22.5</v>
      </c>
      <c r="M48" s="10" t="n">
        <f aca="false">IFERROR(IF(INDEX(Matches!$AC$5:$AC$12,MATCH($C48,Matches!$A$5:$A$12,0))="","",INDEX(Matches!$AC$5:$AC$12,MATCH($C48,Matches!$A$5:$A$12,0))),"")</f>
        <v>0.4529</v>
      </c>
      <c r="N48" s="9" t="n">
        <f aca="false">IFERROR(INDEX(Players!$F$2:$F$56,MATCH($F48,Players!$A$2:$A$56,0)),0)</f>
        <v>39</v>
      </c>
      <c r="O48" s="13" t="n">
        <f aca="false">IFERROR(1/(1/INDEX(Players!$H$2:$H$56,MATCH($F48,Players!$A$2:$A$56,0))),"")</f>
        <v>0.75</v>
      </c>
      <c r="P48" s="10" t="str">
        <f aca="false">IFERROR(1/(1/INDEX(Players!$I$2:$I$56,MATCH($F48,Players!$A$2:$A$56,0))),"")</f>
        <v/>
      </c>
      <c r="Q48" s="9" t="n">
        <f aca="false">IF($G48="",0,SUMIFS(Map_Stats!$F$2:$F$450,Map_Stats!$A$2:$A$450,$F48&amp;"|"&amp;$G48))</f>
        <v>8</v>
      </c>
      <c r="R48" s="13" t="n">
        <f aca="false">IF($G48="","",IFERROR(1/(1/INDEX(Map_Stats!$K$2:$K$450,MATCH($F48&amp;"|"&amp;$G48,Map_Stats!$A$2:$A$450,0))),$O48))</f>
        <v>0.749510124101894</v>
      </c>
      <c r="S48" s="10" t="str">
        <f aca="false">IF(OR($G48="",$P48=""),"",IFERROR(1/(1/INDEX(Map_Stats!$I$2:$I$450,MATCH($F48&amp;"|"&amp;$G48,Map_Stats!$A$2:$A$450,0))),$P48))</f>
        <v/>
      </c>
      <c r="T48" s="13" t="n">
        <f aca="false">IF(OR($G48="",R48=""),"",IF($O48="",R48,(Q48*R48+Config!$B$4*$O48)/(Q48+Config!$B$4)))</f>
        <v>0.749698537908858</v>
      </c>
      <c r="U48" s="10" t="str">
        <f aca="false">IF(S48="","",(Q48*S48+Config!$B$4*$P48)/(Q48+Config!$B$4))</f>
        <v/>
      </c>
      <c r="V48" s="17" t="n">
        <f aca="false">IF(OR(T48="",$J48=""),"",T48*$J48*($J48/Config!$B$11)^Config!$B$9)</f>
        <v>16.0585426820077</v>
      </c>
      <c r="W48" s="17" t="str">
        <f aca="false">IF(OR(V48="",U48=""),"",V48*U48)</f>
        <v/>
      </c>
      <c r="X48" s="9" t="n">
        <f aca="false">IF($H48="",0,SUMIFS(Map_Stats!$F$2:$F$450,Map_Stats!$A$2:$A$450,$F48&amp;"|"&amp;$H48))</f>
        <v>2</v>
      </c>
      <c r="Y48" s="13" t="n">
        <f aca="false">IF($H48="","",IFERROR(1/(1/INDEX(Map_Stats!$K$2:$K$450,MATCH($F48&amp;"|"&amp;$H48,Map_Stats!$A$2:$A$450,0))),$O48))</f>
        <v>0.685826257348138</v>
      </c>
      <c r="Z48" s="10" t="str">
        <f aca="false">IF(OR($H48="",$P48=""),"",IFERROR(1/(1/INDEX(Map_Stats!$I$2:$I$450,MATCH($F48&amp;"|"&amp;$H48,Map_Stats!$A$2:$A$450,0))),$P48))</f>
        <v/>
      </c>
      <c r="AA48" s="13" t="n">
        <f aca="false">IF(OR($H48="",Y48=""),"",IF($O48="",Y48,(X48*Y48+Config!$B$4*$O48)/(X48+Config!$B$4)))</f>
        <v>0.731664644956611</v>
      </c>
      <c r="AB48" s="10" t="str">
        <f aca="false">IF(Z48="","",(X48*Z48+Config!$B$4*$P48)/(X48+Config!$B$4))</f>
        <v/>
      </c>
      <c r="AC48" s="17" t="n">
        <f aca="false">IF(OR(AA48="",$K48=""),"",AA48*$K48*($K48/Config!$B$11)^Config!$B$9)</f>
        <v>15.6576234020715</v>
      </c>
      <c r="AD48" s="17" t="str">
        <f aca="false">IF(OR(AC48="",AB48=""),"",AC48*AB48)</f>
        <v/>
      </c>
      <c r="AE48" s="9" t="n">
        <f aca="false">IF($I48="",0,SUMIFS(Map_Stats!$F$2:$F$450,Map_Stats!$A$2:$A$450,$F48&amp;"|"&amp;$I48))</f>
        <v>5</v>
      </c>
      <c r="AF48" s="13" t="n">
        <f aca="false">IF($I48="","",IFERROR(1/(1/INDEX(Map_Stats!$K$2:$K$450,MATCH($F48&amp;"|"&amp;$I48,Map_Stats!$A$2:$A$450,0))),$O48))</f>
        <v>0.725016329196604</v>
      </c>
      <c r="AG48" s="10" t="str">
        <f aca="false">IF(OR($I48="",$P48=""),"",IFERROR(1/(1/INDEX(Map_Stats!$I$2:$I$450,MATCH($F48&amp;"|"&amp;$I48,Map_Stats!$A$2:$A$450,0))),$P48))</f>
        <v/>
      </c>
      <c r="AH48" s="13" t="n">
        <f aca="false">IF(OR($I48="",AF48=""),"",IF($O48="",AF48,(AE48*AF48+Config!$B$4*$O48)/(AE48+Config!$B$4)))</f>
        <v>0.737508164598302</v>
      </c>
      <c r="AI48" s="10" t="str">
        <f aca="false">IF(AG48="","",(AE48*AG48+Config!$B$4*$P48)/(AE48+Config!$B$4))</f>
        <v/>
      </c>
      <c r="AJ48" s="17" t="n">
        <f aca="false">IF(OR(AH48="",$L48=""),"",AH48*$L48*($L48/Config!$B$11)^Config!$B$9)</f>
        <v>16.5939337034618</v>
      </c>
      <c r="AK48" s="17" t="str">
        <f aca="false">IF(OR(AJ48="",AI48=""),"",AJ48*AI48)</f>
        <v/>
      </c>
      <c r="AL48" s="17" t="n">
        <f aca="false">N(V48)+N(AC48)</f>
        <v>31.7161660840792</v>
      </c>
      <c r="AM48" s="17" t="n">
        <f aca="false">AL48+N($M48)*N(AJ48)</f>
        <v>39.2315586583771</v>
      </c>
      <c r="AN48" s="17" t="str">
        <f aca="false">IF(W48="","",N(W48)+N(AD48))</f>
        <v/>
      </c>
      <c r="AO48" s="17" t="str">
        <f aca="false">IF(AN48="","",AN48+N($M48)*N(AK48))</f>
        <v/>
      </c>
      <c r="AP48" s="10" t="str">
        <f aca="false">IFERROR(AN48/AL48,"")</f>
        <v/>
      </c>
      <c r="AQ48" s="0" t="str">
        <f aca="false">TRIM(IF($N48&lt;Config!$B$12,"thin sample ("&amp;$N48&amp;" maps) · ","")&amp;IF(AND($G48&lt;&gt;"",Q48=0),"M1 unplayed→overall KPR · ","")&amp;IF(AND($H48&lt;&gt;"",X48=0),"M2 unplayed→overall KPR · ","")&amp;IF($O48="","no PickFinder stats",""))</f>
        <v/>
      </c>
      <c r="AR48" s="0" t="str">
        <f aca="false">IF($C48=Board!$B$2,COUNTIFS($C$2:$C$56,Board!$B$2,$AL$2:$AL$56,"&gt;"&amp;$AL48)+COUNTIFS($C$1:$C47,Board!$B$2,$AL$1:$AL47,$AL48)+1,"")</f>
        <v/>
      </c>
      <c r="AS48" s="0" t="str">
        <f aca="false">IFERROR(IF($D48=INDEX(Matches!$AD$5:$AD$12,MATCH($C48,Matches!$A$5:$A$12,0)),"A",IF($D48=INDEX(Matches!$AE$5:$AE$12,MATCH($C48,Matches!$A$5:$A$12,0)),"B","")),"")</f>
        <v>B</v>
      </c>
      <c r="AT48" s="10" t="n">
        <f aca="false">IF($AS48="","",IFERROR(IF($AS48="A",INDEX(Matches!$AI$5:$AI$12,MATCH($C48,Matches!$A$5:$A$12,0)),INDEX(Matches!$AJ$5:$AJ$12,MATCH($C48,Matches!$A$5:$A$12,0))),""))</f>
        <v>0</v>
      </c>
      <c r="AU48" s="10" t="str">
        <f aca="false">IF($AS48="","",IFERROR(IF(INDEX(Matches!$AP$5:$AP$12,MATCH($C48,Matches!$A$5:$A$12,0))="","",IF($AS48="A",INDEX(Matches!$AP$5:$AP$12,MATCH($C48,Matches!$A$5:$A$12,0)),1-INDEX(Matches!$AP$5:$AP$12,MATCH($C48,Matches!$A$5:$A$12,0)))),""))</f>
        <v/>
      </c>
      <c r="AV48" s="13" t="n">
        <f aca="false">IF(OR($AU48="",$AT48=""),1,((Config!$B$14*$AU48+Config!$B$15*(1-$AU48))/(Config!$B$14*$AT48+Config!$B$15*(1-$AT48)))^Config!$B$13)</f>
        <v>1</v>
      </c>
      <c r="AW48" s="10" t="str">
        <f aca="false">IF($AS48="","",IFERROR(IF(INDEX(Matches!$AV$5:$AV$12,MATCH($C48,Matches!$A$5:$A$12,0))="","",IF($AS48="A",INDEX(Matches!$AV$5:$AV$12,MATCH($C48,Matches!$A$5:$A$12,0)),1-INDEX(Matches!$AV$5:$AV$12,MATCH($C48,Matches!$A$5:$A$12,0)))),""))</f>
        <v/>
      </c>
      <c r="AX48" s="13" t="n">
        <f aca="false">IF(OR($AW48="",$AT48=""),1,((Config!$B$14*$AW48+Config!$B$15*(1-$AW48))/(Config!$B$14*$AT48+Config!$B$15*(1-$AT48)))^Config!$B$13)</f>
        <v>1</v>
      </c>
      <c r="AY48" s="10" t="str">
        <f aca="false">IF($AS48="","",IFERROR(IF(INDEX(Matches!$BB$5:$BB$12,MATCH($C48,Matches!$A$5:$A$12,0))="","",IF($AS48="A",INDEX(Matches!$BB$5:$BB$12,MATCH($C48,Matches!$A$5:$A$12,0)),1-INDEX(Matches!$BB$5:$BB$12,MATCH($C48,Matches!$A$5:$A$12,0)))),""))</f>
        <v/>
      </c>
      <c r="AZ48" s="13" t="n">
        <f aca="false">IF(OR($AY48="",$AT48=""),1,((Config!$B$14*$AY48+Config!$B$15*(1-$AY48))/(Config!$B$14*$AT48+Config!$B$15*(1-$AT48)))^Config!$B$13)</f>
        <v>1</v>
      </c>
      <c r="BA48" s="17" t="n">
        <f aca="false">IF(V48="","",V48*$AV48)</f>
        <v>16.0585426820077</v>
      </c>
      <c r="BB48" s="17" t="n">
        <f aca="false">IF(AC48="","",AC48*$AX48)</f>
        <v>15.6576234020715</v>
      </c>
      <c r="BC48" s="17" t="n">
        <f aca="false">IF(AJ48="","",AJ48*$AZ48)</f>
        <v>16.5939337034618</v>
      </c>
      <c r="BD48" s="17" t="n">
        <f aca="false">N(BA48)+N(BB48)</f>
        <v>31.7161660840792</v>
      </c>
      <c r="BE48" s="17" t="n">
        <f aca="false">BD48+N($M48)*N(BC48)</f>
        <v>39.2315586583771</v>
      </c>
      <c r="BF48" s="17" t="str">
        <f aca="false">IF(W48="","",W48*$AV48)</f>
        <v/>
      </c>
      <c r="BG48" s="17" t="str">
        <f aca="false">IF(AD48="","",AD48*$AX48)</f>
        <v/>
      </c>
      <c r="BH48" s="17" t="str">
        <f aca="false">IF(AK48="","",AK48*$AZ48)</f>
        <v/>
      </c>
      <c r="BI48" s="17" t="str">
        <f aca="false">IF(BF48="","",N(BF48)+N(BG48))</f>
        <v/>
      </c>
      <c r="BJ48" s="17" t="str">
        <f aca="false">IF(BI48="","",BI48+N($M48)*N(BH48))</f>
        <v/>
      </c>
      <c r="BK48" s="13" t="n">
        <f aca="false">IFERROR(BD48/AL48,1)</f>
        <v>1</v>
      </c>
    </row>
    <row r="49" customFormat="false" ht="15" hidden="false" customHeight="false" outlineLevel="0" collapsed="false">
      <c r="A49" s="0" t="s">
        <v>796</v>
      </c>
      <c r="B49" s="0" t="s">
        <v>637</v>
      </c>
      <c r="C49" s="0" t="s">
        <v>653</v>
      </c>
      <c r="D49" s="0" t="s">
        <v>659</v>
      </c>
      <c r="E49" s="0" t="s">
        <v>795</v>
      </c>
      <c r="F49" s="0" t="s">
        <v>910</v>
      </c>
      <c r="G49" s="0" t="str">
        <f aca="false">IFERROR(IF(INDEX(Matches!$W$5:$W$12,MATCH($C49,Matches!$A$5:$A$12,0))="","",INDEX(Matches!$W$5:$W$12,MATCH($C49,Matches!$A$5:$A$12,0))),"")</f>
        <v>Haven</v>
      </c>
      <c r="H49" s="0" t="str">
        <f aca="false">IFERROR(IF(INDEX(Matches!$X$5:$X$12,MATCH($C49,Matches!$A$5:$A$12,0))="","",INDEX(Matches!$X$5:$X$12,MATCH($C49,Matches!$A$5:$A$12,0))),"")</f>
        <v>Lotus</v>
      </c>
      <c r="I49" s="0" t="str">
        <f aca="false">IFERROR(IF(INDEX(Matches!$Y$5:$Y$12,MATCH($C49,Matches!$A$5:$A$12,0))="","",INDEX(Matches!$Y$5:$Y$12,MATCH($C49,Matches!$A$5:$A$12,0))),"")</f>
        <v>Split</v>
      </c>
      <c r="J49" s="11" t="n">
        <f aca="false">IFERROR(IF(INDEX(Matches!$Z$5:$Z$12,MATCH($C49,Matches!$A$5:$A$12,0))="","",INDEX(Matches!$Z$5:$Z$12,MATCH($C49,Matches!$A$5:$A$12,0))),"")</f>
        <v>21.42</v>
      </c>
      <c r="K49" s="11" t="n">
        <f aca="false">IFERROR(IF(INDEX(Matches!$AA$5:$AA$12,MATCH($C49,Matches!$A$5:$A$12,0))="","",INDEX(Matches!$AA$5:$AA$12,MATCH($C49,Matches!$A$5:$A$12,0))),"")</f>
        <v>21.4</v>
      </c>
      <c r="L49" s="11" t="n">
        <f aca="false">IFERROR(IF(INDEX(Matches!$AB$5:$AB$12,MATCH($C49,Matches!$A$5:$A$12,0))="","",INDEX(Matches!$AB$5:$AB$12,MATCH($C49,Matches!$A$5:$A$12,0))),"")</f>
        <v>22.5</v>
      </c>
      <c r="M49" s="10" t="n">
        <f aca="false">IFERROR(IF(INDEX(Matches!$AC$5:$AC$12,MATCH($C49,Matches!$A$5:$A$12,0))="","",INDEX(Matches!$AC$5:$AC$12,MATCH($C49,Matches!$A$5:$A$12,0))),"")</f>
        <v>0.4529</v>
      </c>
      <c r="N49" s="9" t="n">
        <f aca="false">IFERROR(INDEX(Players!$F$2:$F$56,MATCH($F49,Players!$A$2:$A$56,0)),0)</f>
        <v>40</v>
      </c>
      <c r="O49" s="13" t="n">
        <f aca="false">IFERROR(1/(1/INDEX(Players!$H$2:$H$56,MATCH($F49,Players!$A$2:$A$56,0))),"")</f>
        <v>0.7</v>
      </c>
      <c r="P49" s="10" t="str">
        <f aca="false">IFERROR(1/(1/INDEX(Players!$I$2:$I$56,MATCH($F49,Players!$A$2:$A$56,0))),"")</f>
        <v/>
      </c>
      <c r="Q49" s="9" t="n">
        <f aca="false">IF($G49="",0,SUMIFS(Map_Stats!$F$2:$F$450,Map_Stats!$A$2:$A$450,$F49&amp;"|"&amp;$G49))</f>
        <v>8</v>
      </c>
      <c r="R49" s="13" t="n">
        <f aca="false">IF($G49="","",IFERROR(1/(1/INDEX(Map_Stats!$K$2:$K$450,MATCH($F49&amp;"|"&amp;$G49,Map_Stats!$A$2:$A$450,0))),$O49))</f>
        <v>0.575673807878369</v>
      </c>
      <c r="S49" s="10" t="str">
        <f aca="false">IF(OR($G49="",$P49=""),"",IFERROR(1/(1/INDEX(Map_Stats!$I$2:$I$450,MATCH($F49&amp;"|"&amp;$G49,Map_Stats!$A$2:$A$450,0))),$P49))</f>
        <v/>
      </c>
      <c r="T49" s="13" t="n">
        <f aca="false">IF(OR($G49="",R49=""),"",IF($O49="",R49,(Q49*R49+Config!$B$4*$O49)/(Q49+Config!$B$4)))</f>
        <v>0.623491574078996</v>
      </c>
      <c r="U49" s="10" t="str">
        <f aca="false">IF(S49="","",(Q49*S49+Config!$B$4*$P49)/(Q49+Config!$B$4))</f>
        <v/>
      </c>
      <c r="V49" s="17" t="n">
        <f aca="false">IF(OR(T49="",$J49=""),"",T49*$J49*($J49/Config!$B$11)^Config!$B$9)</f>
        <v>13.3551895167721</v>
      </c>
      <c r="W49" s="17" t="str">
        <f aca="false">IF(OR(V49="",U49=""),"",V49*U49)</f>
        <v/>
      </c>
      <c r="X49" s="9" t="n">
        <f aca="false">IF($H49="",0,SUMIFS(Map_Stats!$F$2:$F$450,Map_Stats!$A$2:$A$450,$F49&amp;"|"&amp;$H49))</f>
        <v>2</v>
      </c>
      <c r="Y49" s="13" t="n">
        <f aca="false">IF($H49="","",IFERROR(1/(1/INDEX(Map_Stats!$K$2:$K$450,MATCH($F49&amp;"|"&amp;$H49,Map_Stats!$A$2:$A$450,0))),$O49))</f>
        <v>0.556323427781617</v>
      </c>
      <c r="Z49" s="10" t="str">
        <f aca="false">IF(OR($H49="",$P49=""),"",IFERROR(1/(1/INDEX(Map_Stats!$I$2:$I$450,MATCH($F49&amp;"|"&amp;$H49,Map_Stats!$A$2:$A$450,0))),$P49))</f>
        <v/>
      </c>
      <c r="AA49" s="13" t="n">
        <f aca="false">IF(OR($H49="",Y49=""),"",IF($O49="",Y49,(X49*Y49+Config!$B$4*$O49)/(X49+Config!$B$4)))</f>
        <v>0.658949550794748</v>
      </c>
      <c r="AB49" s="10" t="str">
        <f aca="false">IF(Z49="","",(X49*Z49+Config!$B$4*$P49)/(X49+Config!$B$4))</f>
        <v/>
      </c>
      <c r="AC49" s="17" t="n">
        <f aca="false">IF(OR(AA49="",$K49=""),"",AA49*$K49*($K49/Config!$B$11)^Config!$B$9)</f>
        <v>14.1015203870076</v>
      </c>
      <c r="AD49" s="17" t="str">
        <f aca="false">IF(OR(AC49="",AB49=""),"",AC49*AB49)</f>
        <v/>
      </c>
      <c r="AE49" s="9" t="n">
        <f aca="false">IF($I49="",0,SUMIFS(Map_Stats!$F$2:$F$450,Map_Stats!$A$2:$A$450,$F49&amp;"|"&amp;$I49))</f>
        <v>6</v>
      </c>
      <c r="AF49" s="13" t="n">
        <f aca="false">IF($I49="","",IFERROR(1/(1/INDEX(Map_Stats!$K$2:$K$450,MATCH($F49&amp;"|"&amp;$I49,Map_Stats!$A$2:$A$450,0))),$O49))</f>
        <v>0.7643400138217</v>
      </c>
      <c r="AG49" s="10" t="str">
        <f aca="false">IF(OR($I49="",$P49=""),"",IFERROR(1/(1/INDEX(Map_Stats!$I$2:$I$450,MATCH($F49&amp;"|"&amp;$I49,Map_Stats!$A$2:$A$450,0))),$P49))</f>
        <v/>
      </c>
      <c r="AH49" s="13" t="n">
        <f aca="false">IF(OR($I49="",AF49=""),"",IF($O49="",AF49,(AE49*AF49+Config!$B$4*$O49)/(AE49+Config!$B$4)))</f>
        <v>0.735094552993655</v>
      </c>
      <c r="AI49" s="10" t="str">
        <f aca="false">IF(AG49="","",(AE49*AG49+Config!$B$4*$P49)/(AE49+Config!$B$4))</f>
        <v/>
      </c>
      <c r="AJ49" s="17" t="n">
        <f aca="false">IF(OR(AH49="",$L49=""),"",AH49*$L49*($L49/Config!$B$11)^Config!$B$9)</f>
        <v>16.5396274423572</v>
      </c>
      <c r="AK49" s="17" t="str">
        <f aca="false">IF(OR(AJ49="",AI49=""),"",AJ49*AI49)</f>
        <v/>
      </c>
      <c r="AL49" s="17" t="n">
        <f aca="false">N(V49)+N(AC49)</f>
        <v>27.4567099037797</v>
      </c>
      <c r="AM49" s="17" t="n">
        <f aca="false">AL49+N($M49)*N(AJ49)</f>
        <v>34.9475071724233</v>
      </c>
      <c r="AN49" s="17" t="str">
        <f aca="false">IF(W49="","",N(W49)+N(AD49))</f>
        <v/>
      </c>
      <c r="AO49" s="17" t="str">
        <f aca="false">IF(AN49="","",AN49+N($M49)*N(AK49))</f>
        <v/>
      </c>
      <c r="AP49" s="10" t="str">
        <f aca="false">IFERROR(AN49/AL49,"")</f>
        <v/>
      </c>
      <c r="AQ49" s="0" t="str">
        <f aca="false">TRIM(IF($N49&lt;Config!$B$12,"thin sample ("&amp;$N49&amp;" maps) · ","")&amp;IF(AND($G49&lt;&gt;"",Q49=0),"M1 unplayed→overall KPR · ","")&amp;IF(AND($H49&lt;&gt;"",X49=0),"M2 unplayed→overall KPR · ","")&amp;IF($O49="","no PickFinder stats",""))</f>
        <v/>
      </c>
      <c r="AR49" s="0" t="str">
        <f aca="false">IF($C49=Board!$B$2,COUNTIFS($C$2:$C$56,Board!$B$2,$AL$2:$AL$56,"&gt;"&amp;$AL49)+COUNTIFS($C$1:$C48,Board!$B$2,$AL$1:$AL48,$AL49)+1,"")</f>
        <v/>
      </c>
      <c r="AS49" s="0" t="str">
        <f aca="false">IFERROR(IF($D49=INDEX(Matches!$AD$5:$AD$12,MATCH($C49,Matches!$A$5:$A$12,0)),"A",IF($D49=INDEX(Matches!$AE$5:$AE$12,MATCH($C49,Matches!$A$5:$A$12,0)),"B","")),"")</f>
        <v>B</v>
      </c>
      <c r="AT49" s="10" t="n">
        <f aca="false">IF($AS49="","",IFERROR(IF($AS49="A",INDEX(Matches!$AI$5:$AI$12,MATCH($C49,Matches!$A$5:$A$12,0)),INDEX(Matches!$AJ$5:$AJ$12,MATCH($C49,Matches!$A$5:$A$12,0))),""))</f>
        <v>0</v>
      </c>
      <c r="AU49" s="10" t="str">
        <f aca="false">IF($AS49="","",IFERROR(IF(INDEX(Matches!$AP$5:$AP$12,MATCH($C49,Matches!$A$5:$A$12,0))="","",IF($AS49="A",INDEX(Matches!$AP$5:$AP$12,MATCH($C49,Matches!$A$5:$A$12,0)),1-INDEX(Matches!$AP$5:$AP$12,MATCH($C49,Matches!$A$5:$A$12,0)))),""))</f>
        <v/>
      </c>
      <c r="AV49" s="13" t="n">
        <f aca="false">IF(OR($AU49="",$AT49=""),1,((Config!$B$14*$AU49+Config!$B$15*(1-$AU49))/(Config!$B$14*$AT49+Config!$B$15*(1-$AT49)))^Config!$B$13)</f>
        <v>1</v>
      </c>
      <c r="AW49" s="10" t="str">
        <f aca="false">IF($AS49="","",IFERROR(IF(INDEX(Matches!$AV$5:$AV$12,MATCH($C49,Matches!$A$5:$A$12,0))="","",IF($AS49="A",INDEX(Matches!$AV$5:$AV$12,MATCH($C49,Matches!$A$5:$A$12,0)),1-INDEX(Matches!$AV$5:$AV$12,MATCH($C49,Matches!$A$5:$A$12,0)))),""))</f>
        <v/>
      </c>
      <c r="AX49" s="13" t="n">
        <f aca="false">IF(OR($AW49="",$AT49=""),1,((Config!$B$14*$AW49+Config!$B$15*(1-$AW49))/(Config!$B$14*$AT49+Config!$B$15*(1-$AT49)))^Config!$B$13)</f>
        <v>1</v>
      </c>
      <c r="AY49" s="10" t="str">
        <f aca="false">IF($AS49="","",IFERROR(IF(INDEX(Matches!$BB$5:$BB$12,MATCH($C49,Matches!$A$5:$A$12,0))="","",IF($AS49="A",INDEX(Matches!$BB$5:$BB$12,MATCH($C49,Matches!$A$5:$A$12,0)),1-INDEX(Matches!$BB$5:$BB$12,MATCH($C49,Matches!$A$5:$A$12,0)))),""))</f>
        <v/>
      </c>
      <c r="AZ49" s="13" t="n">
        <f aca="false">IF(OR($AY49="",$AT49=""),1,((Config!$B$14*$AY49+Config!$B$15*(1-$AY49))/(Config!$B$14*$AT49+Config!$B$15*(1-$AT49)))^Config!$B$13)</f>
        <v>1</v>
      </c>
      <c r="BA49" s="17" t="n">
        <f aca="false">IF(V49="","",V49*$AV49)</f>
        <v>13.3551895167721</v>
      </c>
      <c r="BB49" s="17" t="n">
        <f aca="false">IF(AC49="","",AC49*$AX49)</f>
        <v>14.1015203870076</v>
      </c>
      <c r="BC49" s="17" t="n">
        <f aca="false">IF(AJ49="","",AJ49*$AZ49)</f>
        <v>16.5396274423572</v>
      </c>
      <c r="BD49" s="17" t="n">
        <f aca="false">N(BA49)+N(BB49)</f>
        <v>27.4567099037797</v>
      </c>
      <c r="BE49" s="17" t="n">
        <f aca="false">BD49+N($M49)*N(BC49)</f>
        <v>34.9475071724233</v>
      </c>
      <c r="BF49" s="17" t="str">
        <f aca="false">IF(W49="","",W49*$AV49)</f>
        <v/>
      </c>
      <c r="BG49" s="17" t="str">
        <f aca="false">IF(AD49="","",AD49*$AX49)</f>
        <v/>
      </c>
      <c r="BH49" s="17" t="str">
        <f aca="false">IF(AK49="","",AK49*$AZ49)</f>
        <v/>
      </c>
      <c r="BI49" s="17" t="str">
        <f aca="false">IF(BF49="","",N(BF49)+N(BG49))</f>
        <v/>
      </c>
      <c r="BJ49" s="17" t="str">
        <f aca="false">IF(BI49="","",BI49+N($M49)*N(BH49))</f>
        <v/>
      </c>
      <c r="BK49" s="13" t="n">
        <f aca="false">IFERROR(BD49/AL49,1)</f>
        <v>1</v>
      </c>
    </row>
    <row r="50" customFormat="false" ht="15" hidden="false" customHeight="false" outlineLevel="0" collapsed="false">
      <c r="A50" s="0" t="s">
        <v>798</v>
      </c>
      <c r="B50" s="0" t="s">
        <v>637</v>
      </c>
      <c r="C50" s="0" t="s">
        <v>653</v>
      </c>
      <c r="D50" s="0" t="s">
        <v>659</v>
      </c>
      <c r="E50" s="0" t="s">
        <v>797</v>
      </c>
      <c r="F50" s="0" t="s">
        <v>911</v>
      </c>
      <c r="G50" s="0" t="str">
        <f aca="false">IFERROR(IF(INDEX(Matches!$W$5:$W$12,MATCH($C50,Matches!$A$5:$A$12,0))="","",INDEX(Matches!$W$5:$W$12,MATCH($C50,Matches!$A$5:$A$12,0))),"")</f>
        <v>Haven</v>
      </c>
      <c r="H50" s="0" t="str">
        <f aca="false">IFERROR(IF(INDEX(Matches!$X$5:$X$12,MATCH($C50,Matches!$A$5:$A$12,0))="","",INDEX(Matches!$X$5:$X$12,MATCH($C50,Matches!$A$5:$A$12,0))),"")</f>
        <v>Lotus</v>
      </c>
      <c r="I50" s="0" t="str">
        <f aca="false">IFERROR(IF(INDEX(Matches!$Y$5:$Y$12,MATCH($C50,Matches!$A$5:$A$12,0))="","",INDEX(Matches!$Y$5:$Y$12,MATCH($C50,Matches!$A$5:$A$12,0))),"")</f>
        <v>Split</v>
      </c>
      <c r="J50" s="11" t="n">
        <f aca="false">IFERROR(IF(INDEX(Matches!$Z$5:$Z$12,MATCH($C50,Matches!$A$5:$A$12,0))="","",INDEX(Matches!$Z$5:$Z$12,MATCH($C50,Matches!$A$5:$A$12,0))),"")</f>
        <v>21.42</v>
      </c>
      <c r="K50" s="11" t="n">
        <f aca="false">IFERROR(IF(INDEX(Matches!$AA$5:$AA$12,MATCH($C50,Matches!$A$5:$A$12,0))="","",INDEX(Matches!$AA$5:$AA$12,MATCH($C50,Matches!$A$5:$A$12,0))),"")</f>
        <v>21.4</v>
      </c>
      <c r="L50" s="11" t="n">
        <f aca="false">IFERROR(IF(INDEX(Matches!$AB$5:$AB$12,MATCH($C50,Matches!$A$5:$A$12,0))="","",INDEX(Matches!$AB$5:$AB$12,MATCH($C50,Matches!$A$5:$A$12,0))),"")</f>
        <v>22.5</v>
      </c>
      <c r="M50" s="10" t="n">
        <f aca="false">IFERROR(IF(INDEX(Matches!$AC$5:$AC$12,MATCH($C50,Matches!$A$5:$A$12,0))="","",INDEX(Matches!$AC$5:$AC$12,MATCH($C50,Matches!$A$5:$A$12,0))),"")</f>
        <v>0.4529</v>
      </c>
      <c r="N50" s="9" t="n">
        <f aca="false">IFERROR(INDEX(Players!$F$2:$F$56,MATCH($F50,Players!$A$2:$A$56,0)),0)</f>
        <v>38</v>
      </c>
      <c r="O50" s="13" t="n">
        <f aca="false">IFERROR(1/(1/INDEX(Players!$H$2:$H$56,MATCH($F50,Players!$A$2:$A$56,0))),"")</f>
        <v>0.79</v>
      </c>
      <c r="P50" s="10" t="str">
        <f aca="false">IFERROR(1/(1/INDEX(Players!$I$2:$I$56,MATCH($F50,Players!$A$2:$A$56,0))),"")</f>
        <v/>
      </c>
      <c r="Q50" s="9" t="n">
        <f aca="false">IF($G50="",0,SUMIFS(Map_Stats!$F$2:$F$450,Map_Stats!$A$2:$A$450,$F50&amp;"|"&amp;$G50))</f>
        <v>8</v>
      </c>
      <c r="R50" s="13" t="n">
        <f aca="false">IF($G50="","",IFERROR(1/(1/INDEX(Map_Stats!$K$2:$K$450,MATCH($F50&amp;"|"&amp;$G50,Map_Stats!$A$2:$A$450,0))),$O50))</f>
        <v>0.850143102461362</v>
      </c>
      <c r="S50" s="10" t="str">
        <f aca="false">IF(OR($G50="",$P50=""),"",IFERROR(1/(1/INDEX(Map_Stats!$I$2:$I$450,MATCH($F50&amp;"|"&amp;$G50,Map_Stats!$A$2:$A$450,0))),$P50))</f>
        <v/>
      </c>
      <c r="T50" s="13" t="n">
        <f aca="false">IF(OR($G50="",R50=""),"",IF($O50="",R50,(Q50*R50+Config!$B$4*$O50)/(Q50+Config!$B$4)))</f>
        <v>0.827011139976223</v>
      </c>
      <c r="U50" s="10" t="str">
        <f aca="false">IF(S50="","",(Q50*S50+Config!$B$4*$P50)/(Q50+Config!$B$4))</f>
        <v/>
      </c>
      <c r="V50" s="17" t="n">
        <f aca="false">IF(OR(T50="",$J50=""),"",T50*$J50*($J50/Config!$B$11)^Config!$B$9)</f>
        <v>17.7145786182907</v>
      </c>
      <c r="W50" s="17" t="str">
        <f aca="false">IF(OR(V50="",U50=""),"",V50*U50)</f>
        <v/>
      </c>
      <c r="X50" s="9" t="n">
        <f aca="false">IF($H50="",0,SUMIFS(Map_Stats!$F$2:$F$450,Map_Stats!$A$2:$A$450,$F50&amp;"|"&amp;$H50))</f>
        <v>12</v>
      </c>
      <c r="Y50" s="13" t="n">
        <f aca="false">IF($H50="","",IFERROR(1/(1/INDEX(Map_Stats!$K$2:$K$450,MATCH($F50&amp;"|"&amp;$H50,Map_Stats!$A$2:$A$450,0))),$O50))</f>
        <v>0.832054951345163</v>
      </c>
      <c r="Z50" s="10" t="str">
        <f aca="false">IF(OR($H50="",$P50=""),"",IFERROR(1/(1/INDEX(Map_Stats!$I$2:$I$450,MATCH($F50&amp;"|"&amp;$H50,Map_Stats!$A$2:$A$450,0))),$P50))</f>
        <v/>
      </c>
      <c r="AA50" s="13" t="n">
        <f aca="false">IF(OR($H50="",Y50=""),"",IF($O50="",Y50,(X50*Y50+Config!$B$4*$O50)/(X50+Config!$B$4)))</f>
        <v>0.81968584800835</v>
      </c>
      <c r="AB50" s="10" t="str">
        <f aca="false">IF(Z50="","",(X50*Z50+Config!$B$4*$P50)/(X50+Config!$B$4))</f>
        <v/>
      </c>
      <c r="AC50" s="17" t="n">
        <f aca="false">IF(OR(AA50="",$K50=""),"",AA50*$K50*($K50/Config!$B$11)^Config!$B$9)</f>
        <v>17.5412771473787</v>
      </c>
      <c r="AD50" s="17" t="str">
        <f aca="false">IF(OR(AC50="",AB50=""),"",AC50*AB50)</f>
        <v/>
      </c>
      <c r="AE50" s="9" t="n">
        <f aca="false">IF($I50="",0,SUMIFS(Map_Stats!$F$2:$F$450,Map_Stats!$A$2:$A$450,$F50&amp;"|"&amp;$I50))</f>
        <v>7</v>
      </c>
      <c r="AF50" s="13" t="n">
        <f aca="false">IF($I50="","",IFERROR(1/(1/INDEX(Map_Stats!$K$2:$K$450,MATCH($F50&amp;"|"&amp;$I50,Map_Stats!$A$2:$A$450,0))),$O50))</f>
        <v>0.768746422438466</v>
      </c>
      <c r="AG50" s="10" t="str">
        <f aca="false">IF(OR($I50="",$P50=""),"",IFERROR(1/(1/INDEX(Map_Stats!$I$2:$I$450,MATCH($F50&amp;"|"&amp;$I50,Map_Stats!$A$2:$A$450,0))),$P50))</f>
        <v/>
      </c>
      <c r="AH50" s="13" t="n">
        <f aca="false">IF(OR($I50="",AF50=""),"",IF($O50="",AF50,(AE50*AF50+Config!$B$4*$O50)/(AE50+Config!$B$4)))</f>
        <v>0.777602079755772</v>
      </c>
      <c r="AI50" s="10" t="str">
        <f aca="false">IF(AG50="","",(AE50*AG50+Config!$B$4*$P50)/(AE50+Config!$B$4))</f>
        <v/>
      </c>
      <c r="AJ50" s="17" t="n">
        <f aca="false">IF(OR(AH50="",$L50=""),"",AH50*$L50*($L50/Config!$B$11)^Config!$B$9)</f>
        <v>17.4960467945049</v>
      </c>
      <c r="AK50" s="17" t="str">
        <f aca="false">IF(OR(AJ50="",AI50=""),"",AJ50*AI50)</f>
        <v/>
      </c>
      <c r="AL50" s="17" t="n">
        <f aca="false">N(V50)+N(AC50)</f>
        <v>35.2558557656694</v>
      </c>
      <c r="AM50" s="17" t="n">
        <f aca="false">AL50+N($M50)*N(AJ50)</f>
        <v>43.1798153589007</v>
      </c>
      <c r="AN50" s="17" t="str">
        <f aca="false">IF(W50="","",N(W50)+N(AD50))</f>
        <v/>
      </c>
      <c r="AO50" s="17" t="str">
        <f aca="false">IF(AN50="","",AN50+N($M50)*N(AK50))</f>
        <v/>
      </c>
      <c r="AP50" s="10" t="str">
        <f aca="false">IFERROR(AN50/AL50,"")</f>
        <v/>
      </c>
      <c r="AQ50" s="0" t="str">
        <f aca="false">TRIM(IF($N50&lt;Config!$B$12,"thin sample ("&amp;$N50&amp;" maps) · ","")&amp;IF(AND($G50&lt;&gt;"",Q50=0),"M1 unplayed→overall KPR · ","")&amp;IF(AND($H50&lt;&gt;"",X50=0),"M2 unplayed→overall KPR · ","")&amp;IF($O50="","no PickFinder stats",""))</f>
        <v/>
      </c>
      <c r="AR50" s="0" t="str">
        <f aca="false">IF($C50=Board!$B$2,COUNTIFS($C$2:$C$56,Board!$B$2,$AL$2:$AL$56,"&gt;"&amp;$AL50)+COUNTIFS($C$1:$C49,Board!$B$2,$AL$1:$AL49,$AL50)+1,"")</f>
        <v/>
      </c>
      <c r="AS50" s="0" t="str">
        <f aca="false">IFERROR(IF($D50=INDEX(Matches!$AD$5:$AD$12,MATCH($C50,Matches!$A$5:$A$12,0)),"A",IF($D50=INDEX(Matches!$AE$5:$AE$12,MATCH($C50,Matches!$A$5:$A$12,0)),"B","")),"")</f>
        <v>B</v>
      </c>
      <c r="AT50" s="10" t="n">
        <f aca="false">IF($AS50="","",IFERROR(IF($AS50="A",INDEX(Matches!$AI$5:$AI$12,MATCH($C50,Matches!$A$5:$A$12,0)),INDEX(Matches!$AJ$5:$AJ$12,MATCH($C50,Matches!$A$5:$A$12,0))),""))</f>
        <v>0</v>
      </c>
      <c r="AU50" s="10" t="str">
        <f aca="false">IF($AS50="","",IFERROR(IF(INDEX(Matches!$AP$5:$AP$12,MATCH($C50,Matches!$A$5:$A$12,0))="","",IF($AS50="A",INDEX(Matches!$AP$5:$AP$12,MATCH($C50,Matches!$A$5:$A$12,0)),1-INDEX(Matches!$AP$5:$AP$12,MATCH($C50,Matches!$A$5:$A$12,0)))),""))</f>
        <v/>
      </c>
      <c r="AV50" s="13" t="n">
        <f aca="false">IF(OR($AU50="",$AT50=""),1,((Config!$B$14*$AU50+Config!$B$15*(1-$AU50))/(Config!$B$14*$AT50+Config!$B$15*(1-$AT50)))^Config!$B$13)</f>
        <v>1</v>
      </c>
      <c r="AW50" s="10" t="str">
        <f aca="false">IF($AS50="","",IFERROR(IF(INDEX(Matches!$AV$5:$AV$12,MATCH($C50,Matches!$A$5:$A$12,0))="","",IF($AS50="A",INDEX(Matches!$AV$5:$AV$12,MATCH($C50,Matches!$A$5:$A$12,0)),1-INDEX(Matches!$AV$5:$AV$12,MATCH($C50,Matches!$A$5:$A$12,0)))),""))</f>
        <v/>
      </c>
      <c r="AX50" s="13" t="n">
        <f aca="false">IF(OR($AW50="",$AT50=""),1,((Config!$B$14*$AW50+Config!$B$15*(1-$AW50))/(Config!$B$14*$AT50+Config!$B$15*(1-$AT50)))^Config!$B$13)</f>
        <v>1</v>
      </c>
      <c r="AY50" s="10" t="str">
        <f aca="false">IF($AS50="","",IFERROR(IF(INDEX(Matches!$BB$5:$BB$12,MATCH($C50,Matches!$A$5:$A$12,0))="","",IF($AS50="A",INDEX(Matches!$BB$5:$BB$12,MATCH($C50,Matches!$A$5:$A$12,0)),1-INDEX(Matches!$BB$5:$BB$12,MATCH($C50,Matches!$A$5:$A$12,0)))),""))</f>
        <v/>
      </c>
      <c r="AZ50" s="13" t="n">
        <f aca="false">IF(OR($AY50="",$AT50=""),1,((Config!$B$14*$AY50+Config!$B$15*(1-$AY50))/(Config!$B$14*$AT50+Config!$B$15*(1-$AT50)))^Config!$B$13)</f>
        <v>1</v>
      </c>
      <c r="BA50" s="17" t="n">
        <f aca="false">IF(V50="","",V50*$AV50)</f>
        <v>17.7145786182907</v>
      </c>
      <c r="BB50" s="17" t="n">
        <f aca="false">IF(AC50="","",AC50*$AX50)</f>
        <v>17.5412771473787</v>
      </c>
      <c r="BC50" s="17" t="n">
        <f aca="false">IF(AJ50="","",AJ50*$AZ50)</f>
        <v>17.4960467945049</v>
      </c>
      <c r="BD50" s="17" t="n">
        <f aca="false">N(BA50)+N(BB50)</f>
        <v>35.2558557656694</v>
      </c>
      <c r="BE50" s="17" t="n">
        <f aca="false">BD50+N($M50)*N(BC50)</f>
        <v>43.1798153589007</v>
      </c>
      <c r="BF50" s="17" t="str">
        <f aca="false">IF(W50="","",W50*$AV50)</f>
        <v/>
      </c>
      <c r="BG50" s="17" t="str">
        <f aca="false">IF(AD50="","",AD50*$AX50)</f>
        <v/>
      </c>
      <c r="BH50" s="17" t="str">
        <f aca="false">IF(AK50="","",AK50*$AZ50)</f>
        <v/>
      </c>
      <c r="BI50" s="17" t="str">
        <f aca="false">IF(BF50="","",N(BF50)+N(BG50))</f>
        <v/>
      </c>
      <c r="BJ50" s="17" t="str">
        <f aca="false">IF(BI50="","",BI50+N($M50)*N(BH50))</f>
        <v/>
      </c>
      <c r="BK50" s="13" t="n">
        <f aca="false">IFERROR(BD50/AL50,1)</f>
        <v>1</v>
      </c>
    </row>
    <row r="51" customFormat="false" ht="15" hidden="false" customHeight="false" outlineLevel="0" collapsed="false">
      <c r="A51" s="0" t="s">
        <v>800</v>
      </c>
      <c r="B51" s="0" t="s">
        <v>637</v>
      </c>
      <c r="C51" s="0" t="s">
        <v>653</v>
      </c>
      <c r="D51" s="0" t="s">
        <v>659</v>
      </c>
      <c r="E51" s="0" t="s">
        <v>799</v>
      </c>
      <c r="F51" s="0" t="s">
        <v>912</v>
      </c>
      <c r="G51" s="0" t="str">
        <f aca="false">IFERROR(IF(INDEX(Matches!$W$5:$W$12,MATCH($C51,Matches!$A$5:$A$12,0))="","",INDEX(Matches!$W$5:$W$12,MATCH($C51,Matches!$A$5:$A$12,0))),"")</f>
        <v>Haven</v>
      </c>
      <c r="H51" s="0" t="str">
        <f aca="false">IFERROR(IF(INDEX(Matches!$X$5:$X$12,MATCH($C51,Matches!$A$5:$A$12,0))="","",INDEX(Matches!$X$5:$X$12,MATCH($C51,Matches!$A$5:$A$12,0))),"")</f>
        <v>Lotus</v>
      </c>
      <c r="I51" s="0" t="str">
        <f aca="false">IFERROR(IF(INDEX(Matches!$Y$5:$Y$12,MATCH($C51,Matches!$A$5:$A$12,0))="","",INDEX(Matches!$Y$5:$Y$12,MATCH($C51,Matches!$A$5:$A$12,0))),"")</f>
        <v>Split</v>
      </c>
      <c r="J51" s="11" t="n">
        <f aca="false">IFERROR(IF(INDEX(Matches!$Z$5:$Z$12,MATCH($C51,Matches!$A$5:$A$12,0))="","",INDEX(Matches!$Z$5:$Z$12,MATCH($C51,Matches!$A$5:$A$12,0))),"")</f>
        <v>21.42</v>
      </c>
      <c r="K51" s="11" t="n">
        <f aca="false">IFERROR(IF(INDEX(Matches!$AA$5:$AA$12,MATCH($C51,Matches!$A$5:$A$12,0))="","",INDEX(Matches!$AA$5:$AA$12,MATCH($C51,Matches!$A$5:$A$12,0))),"")</f>
        <v>21.4</v>
      </c>
      <c r="L51" s="11" t="n">
        <f aca="false">IFERROR(IF(INDEX(Matches!$AB$5:$AB$12,MATCH($C51,Matches!$A$5:$A$12,0))="","",INDEX(Matches!$AB$5:$AB$12,MATCH($C51,Matches!$A$5:$A$12,0))),"")</f>
        <v>22.5</v>
      </c>
      <c r="M51" s="10" t="n">
        <f aca="false">IFERROR(IF(INDEX(Matches!$AC$5:$AC$12,MATCH($C51,Matches!$A$5:$A$12,0))="","",INDEX(Matches!$AC$5:$AC$12,MATCH($C51,Matches!$A$5:$A$12,0))),"")</f>
        <v>0.4529</v>
      </c>
      <c r="N51" s="9" t="n">
        <f aca="false">IFERROR(INDEX(Players!$F$2:$F$56,MATCH($F51,Players!$A$2:$A$56,0)),0)</f>
        <v>39</v>
      </c>
      <c r="O51" s="13" t="n">
        <f aca="false">IFERROR(1/(1/INDEX(Players!$H$2:$H$56,MATCH($F51,Players!$A$2:$A$56,0))),"")</f>
        <v>0.67</v>
      </c>
      <c r="P51" s="10" t="str">
        <f aca="false">IFERROR(1/(1/INDEX(Players!$I$2:$I$56,MATCH($F51,Players!$A$2:$A$56,0))),"")</f>
        <v/>
      </c>
      <c r="Q51" s="9" t="n">
        <f aca="false">IF($G51="",0,SUMIFS(Map_Stats!$F$2:$F$450,Map_Stats!$A$2:$A$450,$F51&amp;"|"&amp;$G51))</f>
        <v>8</v>
      </c>
      <c r="R51" s="13" t="n">
        <f aca="false">IF($G51="","",IFERROR(1/(1/INDEX(Map_Stats!$K$2:$K$450,MATCH($F51&amp;"|"&amp;$G51,Map_Stats!$A$2:$A$450,0))),$O51))</f>
        <v>0.70087783467447</v>
      </c>
      <c r="S51" s="10" t="str">
        <f aca="false">IF(OR($G51="",$P51=""),"",IFERROR(1/(1/INDEX(Map_Stats!$I$2:$I$450,MATCH($F51&amp;"|"&amp;$G51,Map_Stats!$A$2:$A$450,0))),$P51))</f>
        <v/>
      </c>
      <c r="T51" s="13" t="n">
        <f aca="false">IF(OR($G51="",R51=""),"",IF($O51="",R51,(Q51*R51+Config!$B$4*$O51)/(Q51+Config!$B$4)))</f>
        <v>0.689001744415058</v>
      </c>
      <c r="U51" s="10" t="str">
        <f aca="false">IF(S51="","",(Q51*S51+Config!$B$4*$P51)/(Q51+Config!$B$4))</f>
        <v/>
      </c>
      <c r="V51" s="17" t="n">
        <f aca="false">IF(OR(T51="",$J51=""),"",T51*$J51*($J51/Config!$B$11)^Config!$B$9)</f>
        <v>14.7584173653706</v>
      </c>
      <c r="W51" s="17" t="str">
        <f aca="false">IF(OR(V51="",U51=""),"",V51*U51)</f>
        <v/>
      </c>
      <c r="X51" s="9" t="n">
        <f aca="false">IF($H51="",0,SUMIFS(Map_Stats!$F$2:$F$450,Map_Stats!$A$2:$A$450,$F51&amp;"|"&amp;$H51))</f>
        <v>2</v>
      </c>
      <c r="Y51" s="13" t="n">
        <f aca="false">IF($H51="","",IFERROR(1/(1/INDEX(Map_Stats!$K$2:$K$450,MATCH($F51&amp;"|"&amp;$H51,Map_Stats!$A$2:$A$450,0))),$O51))</f>
        <v>0.29407461594733</v>
      </c>
      <c r="Z51" s="10" t="str">
        <f aca="false">IF(OR($H51="",$P51=""),"",IFERROR(1/(1/INDEX(Map_Stats!$I$2:$I$450,MATCH($F51&amp;"|"&amp;$H51,Map_Stats!$A$2:$A$450,0))),$P51))</f>
        <v/>
      </c>
      <c r="AA51" s="13" t="n">
        <f aca="false">IF(OR($H51="",Y51=""),"",IF($O51="",Y51,(X51*Y51+Config!$B$4*$O51)/(X51+Config!$B$4)))</f>
        <v>0.562592747413523</v>
      </c>
      <c r="AB51" s="10" t="str">
        <f aca="false">IF(Z51="","",(X51*Z51+Config!$B$4*$P51)/(X51+Config!$B$4))</f>
        <v/>
      </c>
      <c r="AC51" s="17" t="n">
        <f aca="false">IF(OR(AA51="",$K51=""),"",AA51*$K51*($K51/Config!$B$11)^Config!$B$9)</f>
        <v>12.0394847946494</v>
      </c>
      <c r="AD51" s="17" t="str">
        <f aca="false">IF(OR(AC51="",AB51=""),"",AC51*AB51)</f>
        <v/>
      </c>
      <c r="AE51" s="9" t="n">
        <f aca="false">IF($I51="",0,SUMIFS(Map_Stats!$F$2:$F$450,Map_Stats!$A$2:$A$450,$F51&amp;"|"&amp;$I51))</f>
        <v>5</v>
      </c>
      <c r="AF51" s="13" t="n">
        <f aca="false">IF($I51="","",IFERROR(1/(1/INDEX(Map_Stats!$K$2:$K$450,MATCH($F51&amp;"|"&amp;$I51,Map_Stats!$A$2:$A$450,0))),$O51))</f>
        <v>0.578346744696416</v>
      </c>
      <c r="AG51" s="10" t="str">
        <f aca="false">IF(OR($I51="",$P51=""),"",IFERROR(1/(1/INDEX(Map_Stats!$I$2:$I$450,MATCH($F51&amp;"|"&amp;$I51,Map_Stats!$A$2:$A$450,0))),$P51))</f>
        <v/>
      </c>
      <c r="AH51" s="13" t="n">
        <f aca="false">IF(OR($I51="",AF51=""),"",IF($O51="",AF51,(AE51*AF51+Config!$B$4*$O51)/(AE51+Config!$B$4)))</f>
        <v>0.624173372348208</v>
      </c>
      <c r="AI51" s="10" t="str">
        <f aca="false">IF(AG51="","",(AE51*AG51+Config!$B$4*$P51)/(AE51+Config!$B$4))</f>
        <v/>
      </c>
      <c r="AJ51" s="17" t="n">
        <f aca="false">IF(OR(AH51="",$L51=""),"",AH51*$L51*($L51/Config!$B$11)^Config!$B$9)</f>
        <v>14.0439008778347</v>
      </c>
      <c r="AK51" s="17" t="str">
        <f aca="false">IF(OR(AJ51="",AI51=""),"",AJ51*AI51)</f>
        <v/>
      </c>
      <c r="AL51" s="17" t="n">
        <f aca="false">N(V51)+N(AC51)</f>
        <v>26.7979021600199</v>
      </c>
      <c r="AM51" s="17" t="n">
        <f aca="false">AL51+N($M51)*N(AJ51)</f>
        <v>33.1583848675913</v>
      </c>
      <c r="AN51" s="17" t="str">
        <f aca="false">IF(W51="","",N(W51)+N(AD51))</f>
        <v/>
      </c>
      <c r="AO51" s="17" t="str">
        <f aca="false">IF(AN51="","",AN51+N($M51)*N(AK51))</f>
        <v/>
      </c>
      <c r="AP51" s="10" t="str">
        <f aca="false">IFERROR(AN51/AL51,"")</f>
        <v/>
      </c>
      <c r="AQ51" s="0" t="str">
        <f aca="false">TRIM(IF($N51&lt;Config!$B$12,"thin sample ("&amp;$N51&amp;" maps) · ","")&amp;IF(AND($G51&lt;&gt;"",Q51=0),"M1 unplayed→overall KPR · ","")&amp;IF(AND($H51&lt;&gt;"",X51=0),"M2 unplayed→overall KPR · ","")&amp;IF($O51="","no PickFinder stats",""))</f>
        <v/>
      </c>
      <c r="AR51" s="0" t="str">
        <f aca="false">IF($C51=Board!$B$2,COUNTIFS($C$2:$C$56,Board!$B$2,$AL$2:$AL$56,"&gt;"&amp;$AL51)+COUNTIFS($C$1:$C50,Board!$B$2,$AL$1:$AL50,$AL51)+1,"")</f>
        <v/>
      </c>
      <c r="AS51" s="0" t="str">
        <f aca="false">IFERROR(IF($D51=INDEX(Matches!$AD$5:$AD$12,MATCH($C51,Matches!$A$5:$A$12,0)),"A",IF($D51=INDEX(Matches!$AE$5:$AE$12,MATCH($C51,Matches!$A$5:$A$12,0)),"B","")),"")</f>
        <v>B</v>
      </c>
      <c r="AT51" s="10" t="n">
        <f aca="false">IF($AS51="","",IFERROR(IF($AS51="A",INDEX(Matches!$AI$5:$AI$12,MATCH($C51,Matches!$A$5:$A$12,0)),INDEX(Matches!$AJ$5:$AJ$12,MATCH($C51,Matches!$A$5:$A$12,0))),""))</f>
        <v>0</v>
      </c>
      <c r="AU51" s="10" t="str">
        <f aca="false">IF($AS51="","",IFERROR(IF(INDEX(Matches!$AP$5:$AP$12,MATCH($C51,Matches!$A$5:$A$12,0))="","",IF($AS51="A",INDEX(Matches!$AP$5:$AP$12,MATCH($C51,Matches!$A$5:$A$12,0)),1-INDEX(Matches!$AP$5:$AP$12,MATCH($C51,Matches!$A$5:$A$12,0)))),""))</f>
        <v/>
      </c>
      <c r="AV51" s="13" t="n">
        <f aca="false">IF(OR($AU51="",$AT51=""),1,((Config!$B$14*$AU51+Config!$B$15*(1-$AU51))/(Config!$B$14*$AT51+Config!$B$15*(1-$AT51)))^Config!$B$13)</f>
        <v>1</v>
      </c>
      <c r="AW51" s="10" t="str">
        <f aca="false">IF($AS51="","",IFERROR(IF(INDEX(Matches!$AV$5:$AV$12,MATCH($C51,Matches!$A$5:$A$12,0))="","",IF($AS51="A",INDEX(Matches!$AV$5:$AV$12,MATCH($C51,Matches!$A$5:$A$12,0)),1-INDEX(Matches!$AV$5:$AV$12,MATCH($C51,Matches!$A$5:$A$12,0)))),""))</f>
        <v/>
      </c>
      <c r="AX51" s="13" t="n">
        <f aca="false">IF(OR($AW51="",$AT51=""),1,((Config!$B$14*$AW51+Config!$B$15*(1-$AW51))/(Config!$B$14*$AT51+Config!$B$15*(1-$AT51)))^Config!$B$13)</f>
        <v>1</v>
      </c>
      <c r="AY51" s="10" t="str">
        <f aca="false">IF($AS51="","",IFERROR(IF(INDEX(Matches!$BB$5:$BB$12,MATCH($C51,Matches!$A$5:$A$12,0))="","",IF($AS51="A",INDEX(Matches!$BB$5:$BB$12,MATCH($C51,Matches!$A$5:$A$12,0)),1-INDEX(Matches!$BB$5:$BB$12,MATCH($C51,Matches!$A$5:$A$12,0)))),""))</f>
        <v/>
      </c>
      <c r="AZ51" s="13" t="n">
        <f aca="false">IF(OR($AY51="",$AT51=""),1,((Config!$B$14*$AY51+Config!$B$15*(1-$AY51))/(Config!$B$14*$AT51+Config!$B$15*(1-$AT51)))^Config!$B$13)</f>
        <v>1</v>
      </c>
      <c r="BA51" s="17" t="n">
        <f aca="false">IF(V51="","",V51*$AV51)</f>
        <v>14.7584173653706</v>
      </c>
      <c r="BB51" s="17" t="n">
        <f aca="false">IF(AC51="","",AC51*$AX51)</f>
        <v>12.0394847946494</v>
      </c>
      <c r="BC51" s="17" t="n">
        <f aca="false">IF(AJ51="","",AJ51*$AZ51)</f>
        <v>14.0439008778347</v>
      </c>
      <c r="BD51" s="17" t="n">
        <f aca="false">N(BA51)+N(BB51)</f>
        <v>26.7979021600199</v>
      </c>
      <c r="BE51" s="17" t="n">
        <f aca="false">BD51+N($M51)*N(BC51)</f>
        <v>33.1583848675913</v>
      </c>
      <c r="BF51" s="17" t="str">
        <f aca="false">IF(W51="","",W51*$AV51)</f>
        <v/>
      </c>
      <c r="BG51" s="17" t="str">
        <f aca="false">IF(AD51="","",AD51*$AX51)</f>
        <v/>
      </c>
      <c r="BH51" s="17" t="str">
        <f aca="false">IF(AK51="","",AK51*$AZ51)</f>
        <v/>
      </c>
      <c r="BI51" s="17" t="str">
        <f aca="false">IF(BF51="","",N(BF51)+N(BG51))</f>
        <v/>
      </c>
      <c r="BJ51" s="17" t="str">
        <f aca="false">IF(BI51="","",BI51+N($M51)*N(BH51))</f>
        <v/>
      </c>
      <c r="BK51" s="13" t="n">
        <f aca="false">IFERROR(BD51/AL51,1)</f>
        <v>1</v>
      </c>
    </row>
    <row r="52" customFormat="false" ht="15" hidden="false" customHeight="false" outlineLevel="0" collapsed="false">
      <c r="A52" s="0" t="s">
        <v>802</v>
      </c>
      <c r="B52" s="0" t="s">
        <v>637</v>
      </c>
      <c r="C52" s="0" t="s">
        <v>653</v>
      </c>
      <c r="D52" s="0" t="s">
        <v>658</v>
      </c>
      <c r="E52" s="0" t="s">
        <v>801</v>
      </c>
      <c r="F52" s="0" t="s">
        <v>913</v>
      </c>
      <c r="G52" s="0" t="str">
        <f aca="false">IFERROR(IF(INDEX(Matches!$W$5:$W$12,MATCH($C52,Matches!$A$5:$A$12,0))="","",INDEX(Matches!$W$5:$W$12,MATCH($C52,Matches!$A$5:$A$12,0))),"")</f>
        <v>Haven</v>
      </c>
      <c r="H52" s="0" t="str">
        <f aca="false">IFERROR(IF(INDEX(Matches!$X$5:$X$12,MATCH($C52,Matches!$A$5:$A$12,0))="","",INDEX(Matches!$X$5:$X$12,MATCH($C52,Matches!$A$5:$A$12,0))),"")</f>
        <v>Lotus</v>
      </c>
      <c r="I52" s="0" t="str">
        <f aca="false">IFERROR(IF(INDEX(Matches!$Y$5:$Y$12,MATCH($C52,Matches!$A$5:$A$12,0))="","",INDEX(Matches!$Y$5:$Y$12,MATCH($C52,Matches!$A$5:$A$12,0))),"")</f>
        <v>Split</v>
      </c>
      <c r="J52" s="11" t="n">
        <f aca="false">IFERROR(IF(INDEX(Matches!$Z$5:$Z$12,MATCH($C52,Matches!$A$5:$A$12,0))="","",INDEX(Matches!$Z$5:$Z$12,MATCH($C52,Matches!$A$5:$A$12,0))),"")</f>
        <v>21.42</v>
      </c>
      <c r="K52" s="11" t="n">
        <f aca="false">IFERROR(IF(INDEX(Matches!$AA$5:$AA$12,MATCH($C52,Matches!$A$5:$A$12,0))="","",INDEX(Matches!$AA$5:$AA$12,MATCH($C52,Matches!$A$5:$A$12,0))),"")</f>
        <v>21.4</v>
      </c>
      <c r="L52" s="11" t="n">
        <f aca="false">IFERROR(IF(INDEX(Matches!$AB$5:$AB$12,MATCH($C52,Matches!$A$5:$A$12,0))="","",INDEX(Matches!$AB$5:$AB$12,MATCH($C52,Matches!$A$5:$A$12,0))),"")</f>
        <v>22.5</v>
      </c>
      <c r="M52" s="10" t="n">
        <f aca="false">IFERROR(IF(INDEX(Matches!$AC$5:$AC$12,MATCH($C52,Matches!$A$5:$A$12,0))="","",INDEX(Matches!$AC$5:$AC$12,MATCH($C52,Matches!$A$5:$A$12,0))),"")</f>
        <v>0.4529</v>
      </c>
      <c r="N52" s="9" t="n">
        <f aca="false">IFERROR(INDEX(Players!$F$2:$F$56,MATCH($F52,Players!$A$2:$A$56,0)),0)</f>
        <v>41</v>
      </c>
      <c r="O52" s="13" t="n">
        <f aca="false">IFERROR(1/(1/INDEX(Players!$H$2:$H$56,MATCH($F52,Players!$A$2:$A$56,0))),"")</f>
        <v>0.73</v>
      </c>
      <c r="P52" s="10" t="str">
        <f aca="false">IFERROR(1/(1/INDEX(Players!$I$2:$I$56,MATCH($F52,Players!$A$2:$A$56,0))),"")</f>
        <v/>
      </c>
      <c r="Q52" s="9" t="n">
        <f aca="false">IF($G52="",0,SUMIFS(Map_Stats!$F$2:$F$450,Map_Stats!$A$2:$A$450,$F52&amp;"|"&amp;$G52))</f>
        <v>7</v>
      </c>
      <c r="R52" s="13" t="n">
        <f aca="false">IF($G52="","",IFERROR(1/(1/INDEX(Map_Stats!$K$2:$K$450,MATCH($F52&amp;"|"&amp;$G52,Map_Stats!$A$2:$A$450,0))),$O52))</f>
        <v>1.0373935821873</v>
      </c>
      <c r="S52" s="10" t="str">
        <f aca="false">IF(OR($G52="",$P52=""),"",IFERROR(1/(1/INDEX(Map_Stats!$I$2:$I$450,MATCH($F52&amp;"|"&amp;$G52,Map_Stats!$A$2:$A$450,0))),$P52))</f>
        <v/>
      </c>
      <c r="T52" s="13" t="n">
        <f aca="false">IF(OR($G52="",R52=""),"",IF($O52="",R52,(Q52*R52+Config!$B$4*$O52)/(Q52+Config!$B$4)))</f>
        <v>0.909312922942589</v>
      </c>
      <c r="U52" s="10" t="str">
        <f aca="false">IF(S52="","",(Q52*S52+Config!$B$4*$P52)/(Q52+Config!$B$4))</f>
        <v/>
      </c>
      <c r="V52" s="17" t="n">
        <f aca="false">IF(OR(T52="",$J52=""),"",T52*$J52*($J52/Config!$B$11)^Config!$B$9)</f>
        <v>19.4774828094303</v>
      </c>
      <c r="W52" s="17" t="str">
        <f aca="false">IF(OR(V52="",U52=""),"",V52*U52)</f>
        <v/>
      </c>
      <c r="X52" s="9" t="n">
        <f aca="false">IF($H52="",0,SUMIFS(Map_Stats!$F$2:$F$450,Map_Stats!$A$2:$A$450,$F52&amp;"|"&amp;$H52))</f>
        <v>8</v>
      </c>
      <c r="Y52" s="13" t="n">
        <f aca="false">IF($H52="","",IFERROR(1/(1/INDEX(Map_Stats!$K$2:$K$450,MATCH($F52&amp;"|"&amp;$H52,Map_Stats!$A$2:$A$450,0))),$O52))</f>
        <v>0.611918795022921</v>
      </c>
      <c r="Z52" s="10" t="str">
        <f aca="false">IF(OR($H52="",$P52=""),"",IFERROR(1/(1/INDEX(Map_Stats!$I$2:$I$450,MATCH($F52&amp;"|"&amp;$H52,Map_Stats!$A$2:$A$450,0))),$P52))</f>
        <v/>
      </c>
      <c r="AA52" s="13" t="n">
        <f aca="false">IF(OR($H52="",Y52=""),"",IF($O52="",Y52,(X52*Y52+Config!$B$4*$O52)/(X52+Config!$B$4)))</f>
        <v>0.657334643091028</v>
      </c>
      <c r="AB52" s="10" t="str">
        <f aca="false">IF(Z52="","",(X52*Z52+Config!$B$4*$P52)/(X52+Config!$B$4))</f>
        <v/>
      </c>
      <c r="AC52" s="17" t="n">
        <f aca="false">IF(OR(AA52="",$K52=""),"",AA52*$K52*($K52/Config!$B$11)^Config!$B$9)</f>
        <v>14.066961362148</v>
      </c>
      <c r="AD52" s="17" t="str">
        <f aca="false">IF(OR(AC52="",AB52=""),"",AC52*AB52)</f>
        <v/>
      </c>
      <c r="AE52" s="9" t="n">
        <f aca="false">IF($I52="",0,SUMIFS(Map_Stats!$F$2:$F$450,Map_Stats!$A$2:$A$450,$F52&amp;"|"&amp;$I52))</f>
        <v>6</v>
      </c>
      <c r="AF52" s="13" t="n">
        <f aca="false">IF($I52="","",IFERROR(1/(1/INDEX(Map_Stats!$K$2:$K$450,MATCH($F52&amp;"|"&amp;$I52,Map_Stats!$A$2:$A$450,0))),$O52))</f>
        <v>0.693189259986903</v>
      </c>
      <c r="AG52" s="10" t="str">
        <f aca="false">IF(OR($I52="",$P52=""),"",IFERROR(1/(1/INDEX(Map_Stats!$I$2:$I$450,MATCH($F52&amp;"|"&amp;$I52,Map_Stats!$A$2:$A$450,0))),$P52))</f>
        <v/>
      </c>
      <c r="AH52" s="13" t="n">
        <f aca="false">IF(OR($I52="",AF52=""),"",IF($O52="",AF52,(AE52*AF52+Config!$B$4*$O52)/(AE52+Config!$B$4)))</f>
        <v>0.709921414538311</v>
      </c>
      <c r="AI52" s="10" t="str">
        <f aca="false">IF(AG52="","",(AE52*AG52+Config!$B$4*$P52)/(AE52+Config!$B$4))</f>
        <v/>
      </c>
      <c r="AJ52" s="17" t="n">
        <f aca="false">IF(OR(AH52="",$L52=""),"",AH52*$L52*($L52/Config!$B$11)^Config!$B$9)</f>
        <v>15.973231827112</v>
      </c>
      <c r="AK52" s="17" t="str">
        <f aca="false">IF(OR(AJ52="",AI52=""),"",AJ52*AI52)</f>
        <v/>
      </c>
      <c r="AL52" s="17" t="n">
        <f aca="false">N(V52)+N(AC52)</f>
        <v>33.5444441715783</v>
      </c>
      <c r="AM52" s="17" t="n">
        <f aca="false">AL52+N($M52)*N(AJ52)</f>
        <v>40.7787208660773</v>
      </c>
      <c r="AN52" s="17" t="str">
        <f aca="false">IF(W52="","",N(W52)+N(AD52))</f>
        <v/>
      </c>
      <c r="AO52" s="17" t="str">
        <f aca="false">IF(AN52="","",AN52+N($M52)*N(AK52))</f>
        <v/>
      </c>
      <c r="AP52" s="10" t="str">
        <f aca="false">IFERROR(AN52/AL52,"")</f>
        <v/>
      </c>
      <c r="AQ52" s="0" t="str">
        <f aca="false">TRIM(IF($N52&lt;Config!$B$12,"thin sample ("&amp;$N52&amp;" maps) · ","")&amp;IF(AND($G52&lt;&gt;"",Q52=0),"M1 unplayed→overall KPR · ","")&amp;IF(AND($H52&lt;&gt;"",X52=0),"M2 unplayed→overall KPR · ","")&amp;IF($O52="","no PickFinder stats",""))</f>
        <v/>
      </c>
      <c r="AR52" s="0" t="str">
        <f aca="false">IF($C52=Board!$B$2,COUNTIFS($C$2:$C$56,Board!$B$2,$AL$2:$AL$56,"&gt;"&amp;$AL52)+COUNTIFS($C$1:$C51,Board!$B$2,$AL$1:$AL51,$AL52)+1,"")</f>
        <v/>
      </c>
      <c r="AS52" s="0" t="str">
        <f aca="false">IFERROR(IF($D52=INDEX(Matches!$AD$5:$AD$12,MATCH($C52,Matches!$A$5:$A$12,0)),"A",IF($D52=INDEX(Matches!$AE$5:$AE$12,MATCH($C52,Matches!$A$5:$A$12,0)),"B","")),"")</f>
        <v>A</v>
      </c>
      <c r="AT52" s="10" t="n">
        <f aca="false">IF($AS52="","",IFERROR(IF($AS52="A",INDEX(Matches!$AI$5:$AI$12,MATCH($C52,Matches!$A$5:$A$12,0)),INDEX(Matches!$AJ$5:$AJ$12,MATCH($C52,Matches!$A$5:$A$12,0))),""))</f>
        <v>0</v>
      </c>
      <c r="AU52" s="10" t="str">
        <f aca="false">IF($AS52="","",IFERROR(IF(INDEX(Matches!$AP$5:$AP$12,MATCH($C52,Matches!$A$5:$A$12,0))="","",IF($AS52="A",INDEX(Matches!$AP$5:$AP$12,MATCH($C52,Matches!$A$5:$A$12,0)),1-INDEX(Matches!$AP$5:$AP$12,MATCH($C52,Matches!$A$5:$A$12,0)))),""))</f>
        <v/>
      </c>
      <c r="AV52" s="13" t="n">
        <f aca="false">IF(OR($AU52="",$AT52=""),1,((Config!$B$14*$AU52+Config!$B$15*(1-$AU52))/(Config!$B$14*$AT52+Config!$B$15*(1-$AT52)))^Config!$B$13)</f>
        <v>1</v>
      </c>
      <c r="AW52" s="10" t="str">
        <f aca="false">IF($AS52="","",IFERROR(IF(INDEX(Matches!$AV$5:$AV$12,MATCH($C52,Matches!$A$5:$A$12,0))="","",IF($AS52="A",INDEX(Matches!$AV$5:$AV$12,MATCH($C52,Matches!$A$5:$A$12,0)),1-INDEX(Matches!$AV$5:$AV$12,MATCH($C52,Matches!$A$5:$A$12,0)))),""))</f>
        <v/>
      </c>
      <c r="AX52" s="13" t="n">
        <f aca="false">IF(OR($AW52="",$AT52=""),1,((Config!$B$14*$AW52+Config!$B$15*(1-$AW52))/(Config!$B$14*$AT52+Config!$B$15*(1-$AT52)))^Config!$B$13)</f>
        <v>1</v>
      </c>
      <c r="AY52" s="10" t="str">
        <f aca="false">IF($AS52="","",IFERROR(IF(INDEX(Matches!$BB$5:$BB$12,MATCH($C52,Matches!$A$5:$A$12,0))="","",IF($AS52="A",INDEX(Matches!$BB$5:$BB$12,MATCH($C52,Matches!$A$5:$A$12,0)),1-INDEX(Matches!$BB$5:$BB$12,MATCH($C52,Matches!$A$5:$A$12,0)))),""))</f>
        <v/>
      </c>
      <c r="AZ52" s="13" t="n">
        <f aca="false">IF(OR($AY52="",$AT52=""),1,((Config!$B$14*$AY52+Config!$B$15*(1-$AY52))/(Config!$B$14*$AT52+Config!$B$15*(1-$AT52)))^Config!$B$13)</f>
        <v>1</v>
      </c>
      <c r="BA52" s="17" t="n">
        <f aca="false">IF(V52="","",V52*$AV52)</f>
        <v>19.4774828094303</v>
      </c>
      <c r="BB52" s="17" t="n">
        <f aca="false">IF(AC52="","",AC52*$AX52)</f>
        <v>14.066961362148</v>
      </c>
      <c r="BC52" s="17" t="n">
        <f aca="false">IF(AJ52="","",AJ52*$AZ52)</f>
        <v>15.973231827112</v>
      </c>
      <c r="BD52" s="17" t="n">
        <f aca="false">N(BA52)+N(BB52)</f>
        <v>33.5444441715783</v>
      </c>
      <c r="BE52" s="17" t="n">
        <f aca="false">BD52+N($M52)*N(BC52)</f>
        <v>40.7787208660773</v>
      </c>
      <c r="BF52" s="17" t="str">
        <f aca="false">IF(W52="","",W52*$AV52)</f>
        <v/>
      </c>
      <c r="BG52" s="17" t="str">
        <f aca="false">IF(AD52="","",AD52*$AX52)</f>
        <v/>
      </c>
      <c r="BH52" s="17" t="str">
        <f aca="false">IF(AK52="","",AK52*$AZ52)</f>
        <v/>
      </c>
      <c r="BI52" s="17" t="str">
        <f aca="false">IF(BF52="","",N(BF52)+N(BG52))</f>
        <v/>
      </c>
      <c r="BJ52" s="17" t="str">
        <f aca="false">IF(BI52="","",BI52+N($M52)*N(BH52))</f>
        <v/>
      </c>
      <c r="BK52" s="13" t="n">
        <f aca="false">IFERROR(BD52/AL52,1)</f>
        <v>1</v>
      </c>
    </row>
    <row r="53" customFormat="false" ht="15" hidden="false" customHeight="false" outlineLevel="0" collapsed="false">
      <c r="A53" s="0" t="s">
        <v>804</v>
      </c>
      <c r="B53" s="0" t="s">
        <v>637</v>
      </c>
      <c r="C53" s="0" t="s">
        <v>653</v>
      </c>
      <c r="D53" s="0" t="s">
        <v>658</v>
      </c>
      <c r="E53" s="0" t="s">
        <v>803</v>
      </c>
      <c r="F53" s="0" t="s">
        <v>914</v>
      </c>
      <c r="G53" s="0" t="str">
        <f aca="false">IFERROR(IF(INDEX(Matches!$W$5:$W$12,MATCH($C53,Matches!$A$5:$A$12,0))="","",INDEX(Matches!$W$5:$W$12,MATCH($C53,Matches!$A$5:$A$12,0))),"")</f>
        <v>Haven</v>
      </c>
      <c r="H53" s="0" t="str">
        <f aca="false">IFERROR(IF(INDEX(Matches!$X$5:$X$12,MATCH($C53,Matches!$A$5:$A$12,0))="","",INDEX(Matches!$X$5:$X$12,MATCH($C53,Matches!$A$5:$A$12,0))),"")</f>
        <v>Lotus</v>
      </c>
      <c r="I53" s="0" t="str">
        <f aca="false">IFERROR(IF(INDEX(Matches!$Y$5:$Y$12,MATCH($C53,Matches!$A$5:$A$12,0))="","",INDEX(Matches!$Y$5:$Y$12,MATCH($C53,Matches!$A$5:$A$12,0))),"")</f>
        <v>Split</v>
      </c>
      <c r="J53" s="11" t="n">
        <f aca="false">IFERROR(IF(INDEX(Matches!$Z$5:$Z$12,MATCH($C53,Matches!$A$5:$A$12,0))="","",INDEX(Matches!$Z$5:$Z$12,MATCH($C53,Matches!$A$5:$A$12,0))),"")</f>
        <v>21.42</v>
      </c>
      <c r="K53" s="11" t="n">
        <f aca="false">IFERROR(IF(INDEX(Matches!$AA$5:$AA$12,MATCH($C53,Matches!$A$5:$A$12,0))="","",INDEX(Matches!$AA$5:$AA$12,MATCH($C53,Matches!$A$5:$A$12,0))),"")</f>
        <v>21.4</v>
      </c>
      <c r="L53" s="11" t="n">
        <f aca="false">IFERROR(IF(INDEX(Matches!$AB$5:$AB$12,MATCH($C53,Matches!$A$5:$A$12,0))="","",INDEX(Matches!$AB$5:$AB$12,MATCH($C53,Matches!$A$5:$A$12,0))),"")</f>
        <v>22.5</v>
      </c>
      <c r="M53" s="10" t="n">
        <f aca="false">IFERROR(IF(INDEX(Matches!$AC$5:$AC$12,MATCH($C53,Matches!$A$5:$A$12,0))="","",INDEX(Matches!$AC$5:$AC$12,MATCH($C53,Matches!$A$5:$A$12,0))),"")</f>
        <v>0.4529</v>
      </c>
      <c r="N53" s="9" t="n">
        <f aca="false">IFERROR(INDEX(Players!$F$2:$F$56,MATCH($F53,Players!$A$2:$A$56,0)),0)</f>
        <v>41</v>
      </c>
      <c r="O53" s="13" t="n">
        <f aca="false">IFERROR(1/(1/INDEX(Players!$H$2:$H$56,MATCH($F53,Players!$A$2:$A$56,0))),"")</f>
        <v>0.67</v>
      </c>
      <c r="P53" s="10" t="str">
        <f aca="false">IFERROR(1/(1/INDEX(Players!$I$2:$I$56,MATCH($F53,Players!$A$2:$A$56,0))),"")</f>
        <v/>
      </c>
      <c r="Q53" s="9" t="n">
        <f aca="false">IF($G53="",0,SUMIFS(Map_Stats!$F$2:$F$450,Map_Stats!$A$2:$A$450,$F53&amp;"|"&amp;$G53))</f>
        <v>7</v>
      </c>
      <c r="R53" s="13" t="n">
        <f aca="false">IF($G53="","",IFERROR(1/(1/INDEX(Map_Stats!$K$2:$K$450,MATCH($F53&amp;"|"&amp;$G53,Map_Stats!$A$2:$A$450,0))),$O53))</f>
        <v>0.746028368794326</v>
      </c>
      <c r="S53" s="10" t="str">
        <f aca="false">IF(OR($G53="",$P53=""),"",IFERROR(1/(1/INDEX(Map_Stats!$I$2:$I$450,MATCH($F53&amp;"|"&amp;$G53,Map_Stats!$A$2:$A$450,0))),$P53))</f>
        <v/>
      </c>
      <c r="T53" s="13" t="n">
        <f aca="false">IF(OR($G53="",R53=""),"",IF($O53="",R53,(Q53*R53+Config!$B$4*$O53)/(Q53+Config!$B$4)))</f>
        <v>0.71434988179669</v>
      </c>
      <c r="U53" s="10" t="str">
        <f aca="false">IF(S53="","",(Q53*S53+Config!$B$4*$P53)/(Q53+Config!$B$4))</f>
        <v/>
      </c>
      <c r="V53" s="17" t="n">
        <f aca="false">IF(OR(T53="",$J53=""),"",T53*$J53*($J53/Config!$B$11)^Config!$B$9)</f>
        <v>15.3013744680851</v>
      </c>
      <c r="W53" s="17" t="str">
        <f aca="false">IF(OR(V53="",U53=""),"",V53*U53)</f>
        <v/>
      </c>
      <c r="X53" s="9" t="n">
        <f aca="false">IF($H53="",0,SUMIFS(Map_Stats!$F$2:$F$450,Map_Stats!$A$2:$A$450,$F53&amp;"|"&amp;$H53))</f>
        <v>8</v>
      </c>
      <c r="Y53" s="13" t="n">
        <f aca="false">IF($H53="","",IFERROR(1/(1/INDEX(Map_Stats!$K$2:$K$450,MATCH($F53&amp;"|"&amp;$H53,Map_Stats!$A$2:$A$450,0))),$O53))</f>
        <v>0.522695035460993</v>
      </c>
      <c r="Z53" s="10" t="str">
        <f aca="false">IF(OR($H53="",$P53=""),"",IFERROR(1/(1/INDEX(Map_Stats!$I$2:$I$450,MATCH($F53&amp;"|"&amp;$H53,Map_Stats!$A$2:$A$450,0))),$P53))</f>
        <v/>
      </c>
      <c r="AA53" s="13" t="n">
        <f aca="false">IF(OR($H53="",Y53=""),"",IF($O53="",Y53,(X53*Y53+Config!$B$4*$O53)/(X53+Config!$B$4)))</f>
        <v>0.579350791052919</v>
      </c>
      <c r="AB53" s="10" t="str">
        <f aca="false">IF(Z53="","",(X53*Z53+Config!$B$4*$P53)/(X53+Config!$B$4))</f>
        <v/>
      </c>
      <c r="AC53" s="17" t="n">
        <f aca="false">IF(OR(AA53="",$K53=""),"",AA53*$K53*($K53/Config!$B$11)^Config!$B$9)</f>
        <v>12.3981069285325</v>
      </c>
      <c r="AD53" s="17" t="str">
        <f aca="false">IF(OR(AC53="",AB53=""),"",AC53*AB53)</f>
        <v/>
      </c>
      <c r="AE53" s="9" t="n">
        <f aca="false">IF($I53="",0,SUMIFS(Map_Stats!$F$2:$F$450,Map_Stats!$A$2:$A$450,$F53&amp;"|"&amp;$I53))</f>
        <v>6</v>
      </c>
      <c r="AF53" s="13" t="n">
        <f aca="false">IF($I53="","",IFERROR(1/(1/INDEX(Map_Stats!$K$2:$K$450,MATCH($F53&amp;"|"&amp;$I53,Map_Stats!$A$2:$A$450,0))),$O53))</f>
        <v>0.641489361702128</v>
      </c>
      <c r="AG53" s="10" t="str">
        <f aca="false">IF(OR($I53="",$P53=""),"",IFERROR(1/(1/INDEX(Map_Stats!$I$2:$I$450,MATCH($F53&amp;"|"&amp;$I53,Map_Stats!$A$2:$A$450,0))),$P53))</f>
        <v/>
      </c>
      <c r="AH53" s="13" t="n">
        <f aca="false">IF(OR($I53="",AF53=""),"",IF($O53="",AF53,(AE53*AF53+Config!$B$4*$O53)/(AE53+Config!$B$4)))</f>
        <v>0.654448742746615</v>
      </c>
      <c r="AI53" s="10" t="str">
        <f aca="false">IF(AG53="","",(AE53*AG53+Config!$B$4*$P53)/(AE53+Config!$B$4))</f>
        <v/>
      </c>
      <c r="AJ53" s="17" t="n">
        <f aca="false">IF(OR(AH53="",$L53=""),"",AH53*$L53*($L53/Config!$B$11)^Config!$B$9)</f>
        <v>14.7250967117988</v>
      </c>
      <c r="AK53" s="17" t="str">
        <f aca="false">IF(OR(AJ53="",AI53=""),"",AJ53*AI53)</f>
        <v/>
      </c>
      <c r="AL53" s="17" t="n">
        <f aca="false">N(V53)+N(AC53)</f>
        <v>27.6994813966176</v>
      </c>
      <c r="AM53" s="17" t="n">
        <f aca="false">AL53+N($M53)*N(AJ53)</f>
        <v>34.3684776973913</v>
      </c>
      <c r="AN53" s="17" t="str">
        <f aca="false">IF(W53="","",N(W53)+N(AD53))</f>
        <v/>
      </c>
      <c r="AO53" s="17" t="str">
        <f aca="false">IF(AN53="","",AN53+N($M53)*N(AK53))</f>
        <v/>
      </c>
      <c r="AP53" s="10" t="str">
        <f aca="false">IFERROR(AN53/AL53,"")</f>
        <v/>
      </c>
      <c r="AQ53" s="0" t="str">
        <f aca="false">TRIM(IF($N53&lt;Config!$B$12,"thin sample ("&amp;$N53&amp;" maps) · ","")&amp;IF(AND($G53&lt;&gt;"",Q53=0),"M1 unplayed→overall KPR · ","")&amp;IF(AND($H53&lt;&gt;"",X53=0),"M2 unplayed→overall KPR · ","")&amp;IF($O53="","no PickFinder stats",""))</f>
        <v/>
      </c>
      <c r="AR53" s="0" t="str">
        <f aca="false">IF($C53=Board!$B$2,COUNTIFS($C$2:$C$56,Board!$B$2,$AL$2:$AL$56,"&gt;"&amp;$AL53)+COUNTIFS($C$1:$C52,Board!$B$2,$AL$1:$AL52,$AL53)+1,"")</f>
        <v/>
      </c>
      <c r="AS53" s="0" t="str">
        <f aca="false">IFERROR(IF($D53=INDEX(Matches!$AD$5:$AD$12,MATCH($C53,Matches!$A$5:$A$12,0)),"A",IF($D53=INDEX(Matches!$AE$5:$AE$12,MATCH($C53,Matches!$A$5:$A$12,0)),"B","")),"")</f>
        <v>A</v>
      </c>
      <c r="AT53" s="10" t="n">
        <f aca="false">IF($AS53="","",IFERROR(IF($AS53="A",INDEX(Matches!$AI$5:$AI$12,MATCH($C53,Matches!$A$5:$A$12,0)),INDEX(Matches!$AJ$5:$AJ$12,MATCH($C53,Matches!$A$5:$A$12,0))),""))</f>
        <v>0</v>
      </c>
      <c r="AU53" s="10" t="str">
        <f aca="false">IF($AS53="","",IFERROR(IF(INDEX(Matches!$AP$5:$AP$12,MATCH($C53,Matches!$A$5:$A$12,0))="","",IF($AS53="A",INDEX(Matches!$AP$5:$AP$12,MATCH($C53,Matches!$A$5:$A$12,0)),1-INDEX(Matches!$AP$5:$AP$12,MATCH($C53,Matches!$A$5:$A$12,0)))),""))</f>
        <v/>
      </c>
      <c r="AV53" s="13" t="n">
        <f aca="false">IF(OR($AU53="",$AT53=""),1,((Config!$B$14*$AU53+Config!$B$15*(1-$AU53))/(Config!$B$14*$AT53+Config!$B$15*(1-$AT53)))^Config!$B$13)</f>
        <v>1</v>
      </c>
      <c r="AW53" s="10" t="str">
        <f aca="false">IF($AS53="","",IFERROR(IF(INDEX(Matches!$AV$5:$AV$12,MATCH($C53,Matches!$A$5:$A$12,0))="","",IF($AS53="A",INDEX(Matches!$AV$5:$AV$12,MATCH($C53,Matches!$A$5:$A$12,0)),1-INDEX(Matches!$AV$5:$AV$12,MATCH($C53,Matches!$A$5:$A$12,0)))),""))</f>
        <v/>
      </c>
      <c r="AX53" s="13" t="n">
        <f aca="false">IF(OR($AW53="",$AT53=""),1,((Config!$B$14*$AW53+Config!$B$15*(1-$AW53))/(Config!$B$14*$AT53+Config!$B$15*(1-$AT53)))^Config!$B$13)</f>
        <v>1</v>
      </c>
      <c r="AY53" s="10" t="str">
        <f aca="false">IF($AS53="","",IFERROR(IF(INDEX(Matches!$BB$5:$BB$12,MATCH($C53,Matches!$A$5:$A$12,0))="","",IF($AS53="A",INDEX(Matches!$BB$5:$BB$12,MATCH($C53,Matches!$A$5:$A$12,0)),1-INDEX(Matches!$BB$5:$BB$12,MATCH($C53,Matches!$A$5:$A$12,0)))),""))</f>
        <v/>
      </c>
      <c r="AZ53" s="13" t="n">
        <f aca="false">IF(OR($AY53="",$AT53=""),1,((Config!$B$14*$AY53+Config!$B$15*(1-$AY53))/(Config!$B$14*$AT53+Config!$B$15*(1-$AT53)))^Config!$B$13)</f>
        <v>1</v>
      </c>
      <c r="BA53" s="17" t="n">
        <f aca="false">IF(V53="","",V53*$AV53)</f>
        <v>15.3013744680851</v>
      </c>
      <c r="BB53" s="17" t="n">
        <f aca="false">IF(AC53="","",AC53*$AX53)</f>
        <v>12.3981069285325</v>
      </c>
      <c r="BC53" s="17" t="n">
        <f aca="false">IF(AJ53="","",AJ53*$AZ53)</f>
        <v>14.7250967117988</v>
      </c>
      <c r="BD53" s="17" t="n">
        <f aca="false">N(BA53)+N(BB53)</f>
        <v>27.6994813966176</v>
      </c>
      <c r="BE53" s="17" t="n">
        <f aca="false">BD53+N($M53)*N(BC53)</f>
        <v>34.3684776973913</v>
      </c>
      <c r="BF53" s="17" t="str">
        <f aca="false">IF(W53="","",W53*$AV53)</f>
        <v/>
      </c>
      <c r="BG53" s="17" t="str">
        <f aca="false">IF(AD53="","",AD53*$AX53)</f>
        <v/>
      </c>
      <c r="BH53" s="17" t="str">
        <f aca="false">IF(AK53="","",AK53*$AZ53)</f>
        <v/>
      </c>
      <c r="BI53" s="17" t="str">
        <f aca="false">IF(BF53="","",N(BF53)+N(BG53))</f>
        <v/>
      </c>
      <c r="BJ53" s="17" t="str">
        <f aca="false">IF(BI53="","",BI53+N($M53)*N(BH53))</f>
        <v/>
      </c>
      <c r="BK53" s="13" t="n">
        <f aca="false">IFERROR(BD53/AL53,1)</f>
        <v>1</v>
      </c>
    </row>
    <row r="54" customFormat="false" ht="15" hidden="false" customHeight="false" outlineLevel="0" collapsed="false">
      <c r="A54" s="0" t="s">
        <v>806</v>
      </c>
      <c r="B54" s="0" t="s">
        <v>637</v>
      </c>
      <c r="C54" s="0" t="s">
        <v>653</v>
      </c>
      <c r="D54" s="0" t="s">
        <v>658</v>
      </c>
      <c r="E54" s="0" t="s">
        <v>805</v>
      </c>
      <c r="F54" s="0" t="s">
        <v>915</v>
      </c>
      <c r="G54" s="0" t="str">
        <f aca="false">IFERROR(IF(INDEX(Matches!$W$5:$W$12,MATCH($C54,Matches!$A$5:$A$12,0))="","",INDEX(Matches!$W$5:$W$12,MATCH($C54,Matches!$A$5:$A$12,0))),"")</f>
        <v>Haven</v>
      </c>
      <c r="H54" s="0" t="str">
        <f aca="false">IFERROR(IF(INDEX(Matches!$X$5:$X$12,MATCH($C54,Matches!$A$5:$A$12,0))="","",INDEX(Matches!$X$5:$X$12,MATCH($C54,Matches!$A$5:$A$12,0))),"")</f>
        <v>Lotus</v>
      </c>
      <c r="I54" s="0" t="str">
        <f aca="false">IFERROR(IF(INDEX(Matches!$Y$5:$Y$12,MATCH($C54,Matches!$A$5:$A$12,0))="","",INDEX(Matches!$Y$5:$Y$12,MATCH($C54,Matches!$A$5:$A$12,0))),"")</f>
        <v>Split</v>
      </c>
      <c r="J54" s="11" t="n">
        <f aca="false">IFERROR(IF(INDEX(Matches!$Z$5:$Z$12,MATCH($C54,Matches!$A$5:$A$12,0))="","",INDEX(Matches!$Z$5:$Z$12,MATCH($C54,Matches!$A$5:$A$12,0))),"")</f>
        <v>21.42</v>
      </c>
      <c r="K54" s="11" t="n">
        <f aca="false">IFERROR(IF(INDEX(Matches!$AA$5:$AA$12,MATCH($C54,Matches!$A$5:$A$12,0))="","",INDEX(Matches!$AA$5:$AA$12,MATCH($C54,Matches!$A$5:$A$12,0))),"")</f>
        <v>21.4</v>
      </c>
      <c r="L54" s="11" t="n">
        <f aca="false">IFERROR(IF(INDEX(Matches!$AB$5:$AB$12,MATCH($C54,Matches!$A$5:$A$12,0))="","",INDEX(Matches!$AB$5:$AB$12,MATCH($C54,Matches!$A$5:$A$12,0))),"")</f>
        <v>22.5</v>
      </c>
      <c r="M54" s="10" t="n">
        <f aca="false">IFERROR(IF(INDEX(Matches!$AC$5:$AC$12,MATCH($C54,Matches!$A$5:$A$12,0))="","",INDEX(Matches!$AC$5:$AC$12,MATCH($C54,Matches!$A$5:$A$12,0))),"")</f>
        <v>0.4529</v>
      </c>
      <c r="N54" s="9" t="n">
        <f aca="false">IFERROR(INDEX(Players!$F$2:$F$56,MATCH($F54,Players!$A$2:$A$56,0)),0)</f>
        <v>41</v>
      </c>
      <c r="O54" s="13" t="n">
        <f aca="false">IFERROR(1/(1/INDEX(Players!$H$2:$H$56,MATCH($F54,Players!$A$2:$A$56,0))),"")</f>
        <v>0.57</v>
      </c>
      <c r="P54" s="10" t="str">
        <f aca="false">IFERROR(1/(1/INDEX(Players!$I$2:$I$56,MATCH($F54,Players!$A$2:$A$56,0))),"")</f>
        <v/>
      </c>
      <c r="Q54" s="9" t="n">
        <f aca="false">IF($G54="",0,SUMIFS(Map_Stats!$F$2:$F$450,Map_Stats!$A$2:$A$450,$F54&amp;"|"&amp;$G54))</f>
        <v>7</v>
      </c>
      <c r="R54" s="13" t="n">
        <f aca="false">IF($G54="","",IFERROR(1/(1/INDEX(Map_Stats!$K$2:$K$450,MATCH($F54&amp;"|"&amp;$G54,Map_Stats!$A$2:$A$450,0))),$O54))</f>
        <v>0.602011735121542</v>
      </c>
      <c r="S54" s="10" t="str">
        <f aca="false">IF(OR($G54="",$P54=""),"",IFERROR(1/(1/INDEX(Map_Stats!$I$2:$I$450,MATCH($F54&amp;"|"&amp;$G54,Map_Stats!$A$2:$A$450,0))),$P54))</f>
        <v/>
      </c>
      <c r="T54" s="13" t="n">
        <f aca="false">IF(OR($G54="",R54=""),"",IF($O54="",R54,(Q54*R54+Config!$B$4*$O54)/(Q54+Config!$B$4)))</f>
        <v>0.588673512154233</v>
      </c>
      <c r="U54" s="10" t="str">
        <f aca="false">IF(S54="","",(Q54*S54+Config!$B$4*$P54)/(Q54+Config!$B$4))</f>
        <v/>
      </c>
      <c r="V54" s="17" t="n">
        <f aca="false">IF(OR(T54="",$J54=""),"",T54*$J54*($J54/Config!$B$11)^Config!$B$9)</f>
        <v>12.6093866303437</v>
      </c>
      <c r="W54" s="17" t="str">
        <f aca="false">IF(OR(V54="",U54=""),"",V54*U54)</f>
        <v/>
      </c>
      <c r="X54" s="9" t="n">
        <f aca="false">IF($H54="",0,SUMIFS(Map_Stats!$F$2:$F$450,Map_Stats!$A$2:$A$450,$F54&amp;"|"&amp;$H54))</f>
        <v>8</v>
      </c>
      <c r="Y54" s="13" t="n">
        <f aca="false">IF($H54="","",IFERROR(1/(1/INDEX(Map_Stats!$K$2:$K$450,MATCH($F54&amp;"|"&amp;$H54,Map_Stats!$A$2:$A$450,0))),$O54))</f>
        <v>0.516010058675608</v>
      </c>
      <c r="Z54" s="10" t="str">
        <f aca="false">IF(OR($H54="",$P54=""),"",IFERROR(1/(1/INDEX(Map_Stats!$I$2:$I$450,MATCH($F54&amp;"|"&amp;$H54,Map_Stats!$A$2:$A$450,0))),$P54))</f>
        <v/>
      </c>
      <c r="AA54" s="13" t="n">
        <f aca="false">IF(OR($H54="",Y54=""),"",IF($O54="",Y54,(X54*Y54+Config!$B$4*$O54)/(X54+Config!$B$4)))</f>
        <v>0.536775420723451</v>
      </c>
      <c r="AB54" s="10" t="str">
        <f aca="false">IF(Z54="","",(X54*Z54+Config!$B$4*$P54)/(X54+Config!$B$4))</f>
        <v/>
      </c>
      <c r="AC54" s="17" t="n">
        <f aca="false">IF(OR(AA54="",$K54=""),"",AA54*$K54*($K54/Config!$B$11)^Config!$B$9)</f>
        <v>11.4869940034818</v>
      </c>
      <c r="AD54" s="17" t="str">
        <f aca="false">IF(OR(AC54="",AB54=""),"",AC54*AB54)</f>
        <v/>
      </c>
      <c r="AE54" s="9" t="n">
        <f aca="false">IF($I54="",0,SUMIFS(Map_Stats!$F$2:$F$450,Map_Stats!$A$2:$A$450,$F54&amp;"|"&amp;$I54))</f>
        <v>6</v>
      </c>
      <c r="AF54" s="13" t="n">
        <f aca="false">IF($I54="","",IFERROR(1/(1/INDEX(Map_Stats!$K$2:$K$450,MATCH($F54&amp;"|"&amp;$I54,Map_Stats!$A$2:$A$450,0))),$O54))</f>
        <v>0.630678960603521</v>
      </c>
      <c r="AG54" s="10" t="str">
        <f aca="false">IF(OR($I54="",$P54=""),"",IFERROR(1/(1/INDEX(Map_Stats!$I$2:$I$450,MATCH($F54&amp;"|"&amp;$I54,Map_Stats!$A$2:$A$450,0))),$P54))</f>
        <v/>
      </c>
      <c r="AH54" s="13" t="n">
        <f aca="false">IF(OR($I54="",AF54=""),"",IF($O54="",AF54,(AE54*AF54+Config!$B$4*$O54)/(AE54+Config!$B$4)))</f>
        <v>0.603097614874648</v>
      </c>
      <c r="AI54" s="10" t="str">
        <f aca="false">IF(AG54="","",(AE54*AG54+Config!$B$4*$P54)/(AE54+Config!$B$4))</f>
        <v/>
      </c>
      <c r="AJ54" s="17" t="n">
        <f aca="false">IF(OR(AH54="",$L54=""),"",AH54*$L54*($L54/Config!$B$11)^Config!$B$9)</f>
        <v>13.5696963346796</v>
      </c>
      <c r="AK54" s="17" t="str">
        <f aca="false">IF(OR(AJ54="",AI54=""),"",AJ54*AI54)</f>
        <v/>
      </c>
      <c r="AL54" s="17" t="n">
        <f aca="false">N(V54)+N(AC54)</f>
        <v>24.0963806338255</v>
      </c>
      <c r="AM54" s="17" t="n">
        <f aca="false">AL54+N($M54)*N(AJ54)</f>
        <v>30.2420961038019</v>
      </c>
      <c r="AN54" s="17" t="str">
        <f aca="false">IF(W54="","",N(W54)+N(AD54))</f>
        <v/>
      </c>
      <c r="AO54" s="17" t="str">
        <f aca="false">IF(AN54="","",AN54+N($M54)*N(AK54))</f>
        <v/>
      </c>
      <c r="AP54" s="10" t="str">
        <f aca="false">IFERROR(AN54/AL54,"")</f>
        <v/>
      </c>
      <c r="AQ54" s="0" t="str">
        <f aca="false">TRIM(IF($N54&lt;Config!$B$12,"thin sample ("&amp;$N54&amp;" maps) · ","")&amp;IF(AND($G54&lt;&gt;"",Q54=0),"M1 unplayed→overall KPR · ","")&amp;IF(AND($H54&lt;&gt;"",X54=0),"M2 unplayed→overall KPR · ","")&amp;IF($O54="","no PickFinder stats",""))</f>
        <v/>
      </c>
      <c r="AR54" s="0" t="str">
        <f aca="false">IF($C54=Board!$B$2,COUNTIFS($C$2:$C$56,Board!$B$2,$AL$2:$AL$56,"&gt;"&amp;$AL54)+COUNTIFS($C$1:$C53,Board!$B$2,$AL$1:$AL53,$AL54)+1,"")</f>
        <v/>
      </c>
      <c r="AS54" s="0" t="str">
        <f aca="false">IFERROR(IF($D54=INDEX(Matches!$AD$5:$AD$12,MATCH($C54,Matches!$A$5:$A$12,0)),"A",IF($D54=INDEX(Matches!$AE$5:$AE$12,MATCH($C54,Matches!$A$5:$A$12,0)),"B","")),"")</f>
        <v>A</v>
      </c>
      <c r="AT54" s="10" t="n">
        <f aca="false">IF($AS54="","",IFERROR(IF($AS54="A",INDEX(Matches!$AI$5:$AI$12,MATCH($C54,Matches!$A$5:$A$12,0)),INDEX(Matches!$AJ$5:$AJ$12,MATCH($C54,Matches!$A$5:$A$12,0))),""))</f>
        <v>0</v>
      </c>
      <c r="AU54" s="10" t="str">
        <f aca="false">IF($AS54="","",IFERROR(IF(INDEX(Matches!$AP$5:$AP$12,MATCH($C54,Matches!$A$5:$A$12,0))="","",IF($AS54="A",INDEX(Matches!$AP$5:$AP$12,MATCH($C54,Matches!$A$5:$A$12,0)),1-INDEX(Matches!$AP$5:$AP$12,MATCH($C54,Matches!$A$5:$A$12,0)))),""))</f>
        <v/>
      </c>
      <c r="AV54" s="13" t="n">
        <f aca="false">IF(OR($AU54="",$AT54=""),1,((Config!$B$14*$AU54+Config!$B$15*(1-$AU54))/(Config!$B$14*$AT54+Config!$B$15*(1-$AT54)))^Config!$B$13)</f>
        <v>1</v>
      </c>
      <c r="AW54" s="10" t="str">
        <f aca="false">IF($AS54="","",IFERROR(IF(INDEX(Matches!$AV$5:$AV$12,MATCH($C54,Matches!$A$5:$A$12,0))="","",IF($AS54="A",INDEX(Matches!$AV$5:$AV$12,MATCH($C54,Matches!$A$5:$A$12,0)),1-INDEX(Matches!$AV$5:$AV$12,MATCH($C54,Matches!$A$5:$A$12,0)))),""))</f>
        <v/>
      </c>
      <c r="AX54" s="13" t="n">
        <f aca="false">IF(OR($AW54="",$AT54=""),1,((Config!$B$14*$AW54+Config!$B$15*(1-$AW54))/(Config!$B$14*$AT54+Config!$B$15*(1-$AT54)))^Config!$B$13)</f>
        <v>1</v>
      </c>
      <c r="AY54" s="10" t="str">
        <f aca="false">IF($AS54="","",IFERROR(IF(INDEX(Matches!$BB$5:$BB$12,MATCH($C54,Matches!$A$5:$A$12,0))="","",IF($AS54="A",INDEX(Matches!$BB$5:$BB$12,MATCH($C54,Matches!$A$5:$A$12,0)),1-INDEX(Matches!$BB$5:$BB$12,MATCH($C54,Matches!$A$5:$A$12,0)))),""))</f>
        <v/>
      </c>
      <c r="AZ54" s="13" t="n">
        <f aca="false">IF(OR($AY54="",$AT54=""),1,((Config!$B$14*$AY54+Config!$B$15*(1-$AY54))/(Config!$B$14*$AT54+Config!$B$15*(1-$AT54)))^Config!$B$13)</f>
        <v>1</v>
      </c>
      <c r="BA54" s="17" t="n">
        <f aca="false">IF(V54="","",V54*$AV54)</f>
        <v>12.6093866303437</v>
      </c>
      <c r="BB54" s="17" t="n">
        <f aca="false">IF(AC54="","",AC54*$AX54)</f>
        <v>11.4869940034818</v>
      </c>
      <c r="BC54" s="17" t="n">
        <f aca="false">IF(AJ54="","",AJ54*$AZ54)</f>
        <v>13.5696963346796</v>
      </c>
      <c r="BD54" s="17" t="n">
        <f aca="false">N(BA54)+N(BB54)</f>
        <v>24.0963806338255</v>
      </c>
      <c r="BE54" s="17" t="n">
        <f aca="false">BD54+N($M54)*N(BC54)</f>
        <v>30.2420961038019</v>
      </c>
      <c r="BF54" s="17" t="str">
        <f aca="false">IF(W54="","",W54*$AV54)</f>
        <v/>
      </c>
      <c r="BG54" s="17" t="str">
        <f aca="false">IF(AD54="","",AD54*$AX54)</f>
        <v/>
      </c>
      <c r="BH54" s="17" t="str">
        <f aca="false">IF(AK54="","",AK54*$AZ54)</f>
        <v/>
      </c>
      <c r="BI54" s="17" t="str">
        <f aca="false">IF(BF54="","",N(BF54)+N(BG54))</f>
        <v/>
      </c>
      <c r="BJ54" s="17" t="str">
        <f aca="false">IF(BI54="","",BI54+N($M54)*N(BH54))</f>
        <v/>
      </c>
      <c r="BK54" s="13" t="n">
        <f aca="false">IFERROR(BD54/AL54,1)</f>
        <v>1</v>
      </c>
    </row>
    <row r="55" customFormat="false" ht="15" hidden="false" customHeight="false" outlineLevel="0" collapsed="false">
      <c r="A55" s="0" t="s">
        <v>808</v>
      </c>
      <c r="B55" s="0" t="s">
        <v>637</v>
      </c>
      <c r="C55" s="0" t="s">
        <v>653</v>
      </c>
      <c r="D55" s="0" t="s">
        <v>658</v>
      </c>
      <c r="E55" s="0" t="s">
        <v>807</v>
      </c>
      <c r="F55" s="0" t="s">
        <v>916</v>
      </c>
      <c r="G55" s="0" t="str">
        <f aca="false">IFERROR(IF(INDEX(Matches!$W$5:$W$12,MATCH($C55,Matches!$A$5:$A$12,0))="","",INDEX(Matches!$W$5:$W$12,MATCH($C55,Matches!$A$5:$A$12,0))),"")</f>
        <v>Haven</v>
      </c>
      <c r="H55" s="0" t="str">
        <f aca="false">IFERROR(IF(INDEX(Matches!$X$5:$X$12,MATCH($C55,Matches!$A$5:$A$12,0))="","",INDEX(Matches!$X$5:$X$12,MATCH($C55,Matches!$A$5:$A$12,0))),"")</f>
        <v>Lotus</v>
      </c>
      <c r="I55" s="0" t="str">
        <f aca="false">IFERROR(IF(INDEX(Matches!$Y$5:$Y$12,MATCH($C55,Matches!$A$5:$A$12,0))="","",INDEX(Matches!$Y$5:$Y$12,MATCH($C55,Matches!$A$5:$A$12,0))),"")</f>
        <v>Split</v>
      </c>
      <c r="J55" s="11" t="n">
        <f aca="false">IFERROR(IF(INDEX(Matches!$Z$5:$Z$12,MATCH($C55,Matches!$A$5:$A$12,0))="","",INDEX(Matches!$Z$5:$Z$12,MATCH($C55,Matches!$A$5:$A$12,0))),"")</f>
        <v>21.42</v>
      </c>
      <c r="K55" s="11" t="n">
        <f aca="false">IFERROR(IF(INDEX(Matches!$AA$5:$AA$12,MATCH($C55,Matches!$A$5:$A$12,0))="","",INDEX(Matches!$AA$5:$AA$12,MATCH($C55,Matches!$A$5:$A$12,0))),"")</f>
        <v>21.4</v>
      </c>
      <c r="L55" s="11" t="n">
        <f aca="false">IFERROR(IF(INDEX(Matches!$AB$5:$AB$12,MATCH($C55,Matches!$A$5:$A$12,0))="","",INDEX(Matches!$AB$5:$AB$12,MATCH($C55,Matches!$A$5:$A$12,0))),"")</f>
        <v>22.5</v>
      </c>
      <c r="M55" s="10" t="n">
        <f aca="false">IFERROR(IF(INDEX(Matches!$AC$5:$AC$12,MATCH($C55,Matches!$A$5:$A$12,0))="","",INDEX(Matches!$AC$5:$AC$12,MATCH($C55,Matches!$A$5:$A$12,0))),"")</f>
        <v>0.4529</v>
      </c>
      <c r="N55" s="9" t="n">
        <f aca="false">IFERROR(INDEX(Players!$F$2:$F$56,MATCH($F55,Players!$A$2:$A$56,0)),0)</f>
        <v>41</v>
      </c>
      <c r="O55" s="13" t="n">
        <f aca="false">IFERROR(1/(1/INDEX(Players!$H$2:$H$56,MATCH($F55,Players!$A$2:$A$56,0))),"")</f>
        <v>0.78</v>
      </c>
      <c r="P55" s="10" t="str">
        <f aca="false">IFERROR(1/(1/INDEX(Players!$I$2:$I$56,MATCH($F55,Players!$A$2:$A$56,0))),"")</f>
        <v/>
      </c>
      <c r="Q55" s="9" t="n">
        <f aca="false">IF($G55="",0,SUMIFS(Map_Stats!$F$2:$F$450,Map_Stats!$A$2:$A$450,$F55&amp;"|"&amp;$G55))</f>
        <v>7</v>
      </c>
      <c r="R55" s="13" t="n">
        <f aca="false">IF($G55="","",IFERROR(1/(1/INDEX(Map_Stats!$K$2:$K$450,MATCH($F55&amp;"|"&amp;$G55,Map_Stats!$A$2:$A$450,0))),$O55))</f>
        <v>0.709090909090909</v>
      </c>
      <c r="S55" s="10" t="str">
        <f aca="false">IF(OR($G55="",$P55=""),"",IFERROR(1/(1/INDEX(Map_Stats!$I$2:$I$450,MATCH($F55&amp;"|"&amp;$G55,Map_Stats!$A$2:$A$450,0))),$P55))</f>
        <v/>
      </c>
      <c r="T55" s="13" t="n">
        <f aca="false">IF(OR($G55="",R55=""),"",IF($O55="",R55,(Q55*R55+Config!$B$4*$O55)/(Q55+Config!$B$4)))</f>
        <v>0.738636363636364</v>
      </c>
      <c r="U55" s="10" t="str">
        <f aca="false">IF(S55="","",(Q55*S55+Config!$B$4*$P55)/(Q55+Config!$B$4))</f>
        <v/>
      </c>
      <c r="V55" s="17" t="n">
        <f aca="false">IF(OR(T55="",$J55=""),"",T55*$J55*($J55/Config!$B$11)^Config!$B$9)</f>
        <v>15.8215909090909</v>
      </c>
      <c r="W55" s="17" t="str">
        <f aca="false">IF(OR(V55="",U55=""),"",V55*U55)</f>
        <v/>
      </c>
      <c r="X55" s="9" t="n">
        <f aca="false">IF($H55="",0,SUMIFS(Map_Stats!$F$2:$F$450,Map_Stats!$A$2:$A$450,$F55&amp;"|"&amp;$H55))</f>
        <v>8</v>
      </c>
      <c r="Y55" s="13" t="n">
        <f aca="false">IF($H55="","",IFERROR(1/(1/INDEX(Map_Stats!$K$2:$K$450,MATCH($F55&amp;"|"&amp;$H55,Map_Stats!$A$2:$A$450,0))),$O55))</f>
        <v>0.766198901769372</v>
      </c>
      <c r="Z55" s="10" t="str">
        <f aca="false">IF(OR($H55="",$P55=""),"",IFERROR(1/(1/INDEX(Map_Stats!$I$2:$I$450,MATCH($F55&amp;"|"&amp;$H55,Map_Stats!$A$2:$A$450,0))),$P55))</f>
        <v/>
      </c>
      <c r="AA55" s="13" t="n">
        <f aca="false">IF(OR($H55="",Y55=""),"",IF($O55="",Y55,(X55*Y55+Config!$B$4*$O55)/(X55+Config!$B$4)))</f>
        <v>0.771507016473459</v>
      </c>
      <c r="AB55" s="10" t="str">
        <f aca="false">IF(Z55="","",(X55*Z55+Config!$B$4*$P55)/(X55+Config!$B$4))</f>
        <v/>
      </c>
      <c r="AC55" s="17" t="n">
        <f aca="false">IF(OR(AA55="",$K55=""),"",AA55*$K55*($K55/Config!$B$11)^Config!$B$9)</f>
        <v>16.510250152532</v>
      </c>
      <c r="AD55" s="17" t="str">
        <f aca="false">IF(OR(AC55="",AB55=""),"",AC55*AB55)</f>
        <v/>
      </c>
      <c r="AE55" s="9" t="n">
        <f aca="false">IF($I55="",0,SUMIFS(Map_Stats!$F$2:$F$450,Map_Stats!$A$2:$A$450,$F55&amp;"|"&amp;$I55))</f>
        <v>6</v>
      </c>
      <c r="AF55" s="13" t="n">
        <f aca="false">IF($I55="","",IFERROR(1/(1/INDEX(Map_Stats!$K$2:$K$450,MATCH($F55&amp;"|"&amp;$I55,Map_Stats!$A$2:$A$450,0))),$O55))</f>
        <v>0.7614399023795</v>
      </c>
      <c r="AG55" s="10" t="str">
        <f aca="false">IF(OR($I55="",$P55=""),"",IFERROR(1/(1/INDEX(Map_Stats!$I$2:$I$450,MATCH($F55&amp;"|"&amp;$I55,Map_Stats!$A$2:$A$450,0))),$P55))</f>
        <v/>
      </c>
      <c r="AH55" s="13" t="n">
        <f aca="false">IF(OR($I55="",AF55=""),"",IF($O55="",AF55,(AE55*AF55+Config!$B$4*$O55)/(AE55+Config!$B$4)))</f>
        <v>0.769876310388818</v>
      </c>
      <c r="AI55" s="10" t="str">
        <f aca="false">IF(AG55="","",(AE55*AG55+Config!$B$4*$P55)/(AE55+Config!$B$4))</f>
        <v/>
      </c>
      <c r="AJ55" s="17" t="n">
        <f aca="false">IF(OR(AH55="",$L55=""),"",AH55*$L55*($L55/Config!$B$11)^Config!$B$9)</f>
        <v>17.3222169837484</v>
      </c>
      <c r="AK55" s="17" t="str">
        <f aca="false">IF(OR(AJ55="",AI55=""),"",AJ55*AI55)</f>
        <v/>
      </c>
      <c r="AL55" s="17" t="n">
        <f aca="false">N(V55)+N(AC55)</f>
        <v>32.3318410616229</v>
      </c>
      <c r="AM55" s="17" t="n">
        <f aca="false">AL55+N($M55)*N(AJ55)</f>
        <v>40.1770731335626</v>
      </c>
      <c r="AN55" s="17" t="str">
        <f aca="false">IF(W55="","",N(W55)+N(AD55))</f>
        <v/>
      </c>
      <c r="AO55" s="17" t="str">
        <f aca="false">IF(AN55="","",AN55+N($M55)*N(AK55))</f>
        <v/>
      </c>
      <c r="AP55" s="10" t="str">
        <f aca="false">IFERROR(AN55/AL55,"")</f>
        <v/>
      </c>
      <c r="AQ55" s="0" t="str">
        <f aca="false">TRIM(IF($N55&lt;Config!$B$12,"thin sample ("&amp;$N55&amp;" maps) · ","")&amp;IF(AND($G55&lt;&gt;"",Q55=0),"M1 unplayed→overall KPR · ","")&amp;IF(AND($H55&lt;&gt;"",X55=0),"M2 unplayed→overall KPR · ","")&amp;IF($O55="","no PickFinder stats",""))</f>
        <v/>
      </c>
      <c r="AR55" s="0" t="str">
        <f aca="false">IF($C55=Board!$B$2,COUNTIFS($C$2:$C$56,Board!$B$2,$AL$2:$AL$56,"&gt;"&amp;$AL55)+COUNTIFS($C$1:$C54,Board!$B$2,$AL$1:$AL54,$AL55)+1,"")</f>
        <v/>
      </c>
      <c r="AS55" s="0" t="str">
        <f aca="false">IFERROR(IF($D55=INDEX(Matches!$AD$5:$AD$12,MATCH($C55,Matches!$A$5:$A$12,0)),"A",IF($D55=INDEX(Matches!$AE$5:$AE$12,MATCH($C55,Matches!$A$5:$A$12,0)),"B","")),"")</f>
        <v>A</v>
      </c>
      <c r="AT55" s="10" t="n">
        <f aca="false">IF($AS55="","",IFERROR(IF($AS55="A",INDEX(Matches!$AI$5:$AI$12,MATCH($C55,Matches!$A$5:$A$12,0)),INDEX(Matches!$AJ$5:$AJ$12,MATCH($C55,Matches!$A$5:$A$12,0))),""))</f>
        <v>0</v>
      </c>
      <c r="AU55" s="10" t="str">
        <f aca="false">IF($AS55="","",IFERROR(IF(INDEX(Matches!$AP$5:$AP$12,MATCH($C55,Matches!$A$5:$A$12,0))="","",IF($AS55="A",INDEX(Matches!$AP$5:$AP$12,MATCH($C55,Matches!$A$5:$A$12,0)),1-INDEX(Matches!$AP$5:$AP$12,MATCH($C55,Matches!$A$5:$A$12,0)))),""))</f>
        <v/>
      </c>
      <c r="AV55" s="13" t="n">
        <f aca="false">IF(OR($AU55="",$AT55=""),1,((Config!$B$14*$AU55+Config!$B$15*(1-$AU55))/(Config!$B$14*$AT55+Config!$B$15*(1-$AT55)))^Config!$B$13)</f>
        <v>1</v>
      </c>
      <c r="AW55" s="10" t="str">
        <f aca="false">IF($AS55="","",IFERROR(IF(INDEX(Matches!$AV$5:$AV$12,MATCH($C55,Matches!$A$5:$A$12,0))="","",IF($AS55="A",INDEX(Matches!$AV$5:$AV$12,MATCH($C55,Matches!$A$5:$A$12,0)),1-INDEX(Matches!$AV$5:$AV$12,MATCH($C55,Matches!$A$5:$A$12,0)))),""))</f>
        <v/>
      </c>
      <c r="AX55" s="13" t="n">
        <f aca="false">IF(OR($AW55="",$AT55=""),1,((Config!$B$14*$AW55+Config!$B$15*(1-$AW55))/(Config!$B$14*$AT55+Config!$B$15*(1-$AT55)))^Config!$B$13)</f>
        <v>1</v>
      </c>
      <c r="AY55" s="10" t="str">
        <f aca="false">IF($AS55="","",IFERROR(IF(INDEX(Matches!$BB$5:$BB$12,MATCH($C55,Matches!$A$5:$A$12,0))="","",IF($AS55="A",INDEX(Matches!$BB$5:$BB$12,MATCH($C55,Matches!$A$5:$A$12,0)),1-INDEX(Matches!$BB$5:$BB$12,MATCH($C55,Matches!$A$5:$A$12,0)))),""))</f>
        <v/>
      </c>
      <c r="AZ55" s="13" t="n">
        <f aca="false">IF(OR($AY55="",$AT55=""),1,((Config!$B$14*$AY55+Config!$B$15*(1-$AY55))/(Config!$B$14*$AT55+Config!$B$15*(1-$AT55)))^Config!$B$13)</f>
        <v>1</v>
      </c>
      <c r="BA55" s="17" t="n">
        <f aca="false">IF(V55="","",V55*$AV55)</f>
        <v>15.8215909090909</v>
      </c>
      <c r="BB55" s="17" t="n">
        <f aca="false">IF(AC55="","",AC55*$AX55)</f>
        <v>16.510250152532</v>
      </c>
      <c r="BC55" s="17" t="n">
        <f aca="false">IF(AJ55="","",AJ55*$AZ55)</f>
        <v>17.3222169837484</v>
      </c>
      <c r="BD55" s="17" t="n">
        <f aca="false">N(BA55)+N(BB55)</f>
        <v>32.3318410616229</v>
      </c>
      <c r="BE55" s="17" t="n">
        <f aca="false">BD55+N($M55)*N(BC55)</f>
        <v>40.1770731335626</v>
      </c>
      <c r="BF55" s="17" t="str">
        <f aca="false">IF(W55="","",W55*$AV55)</f>
        <v/>
      </c>
      <c r="BG55" s="17" t="str">
        <f aca="false">IF(AD55="","",AD55*$AX55)</f>
        <v/>
      </c>
      <c r="BH55" s="17" t="str">
        <f aca="false">IF(AK55="","",AK55*$AZ55)</f>
        <v/>
      </c>
      <c r="BI55" s="17" t="str">
        <f aca="false">IF(BF55="","",N(BF55)+N(BG55))</f>
        <v/>
      </c>
      <c r="BJ55" s="17" t="str">
        <f aca="false">IF(BI55="","",BI55+N($M55)*N(BH55))</f>
        <v/>
      </c>
      <c r="BK55" s="13" t="n">
        <f aca="false">IFERROR(BD55/AL55,1)</f>
        <v>1</v>
      </c>
    </row>
    <row r="56" customFormat="false" ht="15" hidden="false" customHeight="false" outlineLevel="0" collapsed="false">
      <c r="A56" s="0" t="s">
        <v>810</v>
      </c>
      <c r="B56" s="0" t="s">
        <v>637</v>
      </c>
      <c r="C56" s="0" t="s">
        <v>653</v>
      </c>
      <c r="D56" s="0" t="s">
        <v>658</v>
      </c>
      <c r="E56" s="0" t="s">
        <v>809</v>
      </c>
      <c r="F56" s="0" t="s">
        <v>917</v>
      </c>
      <c r="G56" s="0" t="str">
        <f aca="false">IFERROR(IF(INDEX(Matches!$W$5:$W$12,MATCH($C56,Matches!$A$5:$A$12,0))="","",INDEX(Matches!$W$5:$W$12,MATCH($C56,Matches!$A$5:$A$12,0))),"")</f>
        <v>Haven</v>
      </c>
      <c r="H56" s="0" t="str">
        <f aca="false">IFERROR(IF(INDEX(Matches!$X$5:$X$12,MATCH($C56,Matches!$A$5:$A$12,0))="","",INDEX(Matches!$X$5:$X$12,MATCH($C56,Matches!$A$5:$A$12,0))),"")</f>
        <v>Lotus</v>
      </c>
      <c r="I56" s="0" t="str">
        <f aca="false">IFERROR(IF(INDEX(Matches!$Y$5:$Y$12,MATCH($C56,Matches!$A$5:$A$12,0))="","",INDEX(Matches!$Y$5:$Y$12,MATCH($C56,Matches!$A$5:$A$12,0))),"")</f>
        <v>Split</v>
      </c>
      <c r="J56" s="11" t="n">
        <f aca="false">IFERROR(IF(INDEX(Matches!$Z$5:$Z$12,MATCH($C56,Matches!$A$5:$A$12,0))="","",INDEX(Matches!$Z$5:$Z$12,MATCH($C56,Matches!$A$5:$A$12,0))),"")</f>
        <v>21.42</v>
      </c>
      <c r="K56" s="11" t="n">
        <f aca="false">IFERROR(IF(INDEX(Matches!$AA$5:$AA$12,MATCH($C56,Matches!$A$5:$A$12,0))="","",INDEX(Matches!$AA$5:$AA$12,MATCH($C56,Matches!$A$5:$A$12,0))),"")</f>
        <v>21.4</v>
      </c>
      <c r="L56" s="11" t="n">
        <f aca="false">IFERROR(IF(INDEX(Matches!$AB$5:$AB$12,MATCH($C56,Matches!$A$5:$A$12,0))="","",INDEX(Matches!$AB$5:$AB$12,MATCH($C56,Matches!$A$5:$A$12,0))),"")</f>
        <v>22.5</v>
      </c>
      <c r="M56" s="10" t="n">
        <f aca="false">IFERROR(IF(INDEX(Matches!$AC$5:$AC$12,MATCH($C56,Matches!$A$5:$A$12,0))="","",INDEX(Matches!$AC$5:$AC$12,MATCH($C56,Matches!$A$5:$A$12,0))),"")</f>
        <v>0.4529</v>
      </c>
      <c r="N56" s="9" t="n">
        <f aca="false">IFERROR(INDEX(Players!$F$2:$F$56,MATCH($F56,Players!$A$2:$A$56,0)),0)</f>
        <v>41</v>
      </c>
      <c r="O56" s="13" t="n">
        <f aca="false">IFERROR(1/(1/INDEX(Players!$H$2:$H$56,MATCH($F56,Players!$A$2:$A$56,0))),"")</f>
        <v>0.64</v>
      </c>
      <c r="P56" s="10" t="str">
        <f aca="false">IFERROR(1/(1/INDEX(Players!$I$2:$I$56,MATCH($F56,Players!$A$2:$A$56,0))),"")</f>
        <v/>
      </c>
      <c r="Q56" s="9" t="n">
        <f aca="false">IF($G56="",0,SUMIFS(Map_Stats!$F$2:$F$450,Map_Stats!$A$2:$A$450,$F56&amp;"|"&amp;$G56))</f>
        <v>7</v>
      </c>
      <c r="R56" s="13" t="n">
        <f aca="false">IF($G56="","",IFERROR(1/(1/INDEX(Map_Stats!$K$2:$K$450,MATCH($F56&amp;"|"&amp;$G56,Map_Stats!$A$2:$A$450,0))),$O56))</f>
        <v>0.687248322147651</v>
      </c>
      <c r="S56" s="10" t="str">
        <f aca="false">IF(OR($G56="",$P56=""),"",IFERROR(1/(1/INDEX(Map_Stats!$I$2:$I$450,MATCH($F56&amp;"|"&amp;$G56,Map_Stats!$A$2:$A$450,0))),$P56))</f>
        <v/>
      </c>
      <c r="T56" s="13" t="n">
        <f aca="false">IF(OR($G56="",R56=""),"",IF($O56="",R56,(Q56*R56+Config!$B$4*$O56)/(Q56+Config!$B$4)))</f>
        <v>0.667561521252796</v>
      </c>
      <c r="U56" s="10" t="str">
        <f aca="false">IF(S56="","",(Q56*S56+Config!$B$4*$P56)/(Q56+Config!$B$4))</f>
        <v/>
      </c>
      <c r="V56" s="17" t="n">
        <f aca="false">IF(OR(T56="",$J56=""),"",T56*$J56*($J56/Config!$B$11)^Config!$B$9)</f>
        <v>14.2991677852349</v>
      </c>
      <c r="W56" s="17" t="str">
        <f aca="false">IF(OR(V56="",U56=""),"",V56*U56)</f>
        <v/>
      </c>
      <c r="X56" s="9" t="n">
        <f aca="false">IF($H56="",0,SUMIFS(Map_Stats!$F$2:$F$450,Map_Stats!$A$2:$A$450,$F56&amp;"|"&amp;$H56))</f>
        <v>8</v>
      </c>
      <c r="Y56" s="13" t="n">
        <f aca="false">IF($H56="","",IFERROR(1/(1/INDEX(Map_Stats!$K$2:$K$450,MATCH($F56&amp;"|"&amp;$H56,Map_Stats!$A$2:$A$450,0))),$O56))</f>
        <v>0.663385533184191</v>
      </c>
      <c r="Z56" s="10" t="str">
        <f aca="false">IF(OR($H56="",$P56=""),"",IFERROR(1/(1/INDEX(Map_Stats!$I$2:$I$450,MATCH($F56&amp;"|"&amp;$H56,Map_Stats!$A$2:$A$450,0))),$P56))</f>
        <v/>
      </c>
      <c r="AA56" s="13" t="n">
        <f aca="false">IF(OR($H56="",Y56=""),"",IF($O56="",Y56,(X56*Y56+Config!$B$4*$O56)/(X56+Config!$B$4)))</f>
        <v>0.654391097344117</v>
      </c>
      <c r="AB56" s="10" t="str">
        <f aca="false">IF(Z56="","",(X56*Z56+Config!$B$4*$P56)/(X56+Config!$B$4))</f>
        <v/>
      </c>
      <c r="AC56" s="17" t="n">
        <f aca="false">IF(OR(AA56="",$K56=""),"",AA56*$K56*($K56/Config!$B$11)^Config!$B$9)</f>
        <v>14.0039694831641</v>
      </c>
      <c r="AD56" s="17" t="str">
        <f aca="false">IF(OR(AC56="",AB56=""),"",AC56*AB56)</f>
        <v/>
      </c>
      <c r="AE56" s="9" t="n">
        <f aca="false">IF($I56="",0,SUMIFS(Map_Stats!$F$2:$F$450,Map_Stats!$A$2:$A$450,$F56&amp;"|"&amp;$I56))</f>
        <v>6</v>
      </c>
      <c r="AF56" s="13" t="n">
        <f aca="false">IF($I56="","",IFERROR(1/(1/INDEX(Map_Stats!$K$2:$K$450,MATCH($F56&amp;"|"&amp;$I56,Map_Stats!$A$2:$A$450,0))),$O56))</f>
        <v>0.653840417598807</v>
      </c>
      <c r="AG56" s="10" t="str">
        <f aca="false">IF(OR($I56="",$P56=""),"",IFERROR(1/(1/INDEX(Map_Stats!$I$2:$I$450,MATCH($F56&amp;"|"&amp;$I56,Map_Stats!$A$2:$A$450,0))),$P56))</f>
        <v/>
      </c>
      <c r="AH56" s="13" t="n">
        <f aca="false">IF(OR($I56="",AF56=""),"",IF($O56="",AF56,(AE56*AF56+Config!$B$4*$O56)/(AE56+Config!$B$4)))</f>
        <v>0.647549318690258</v>
      </c>
      <c r="AI56" s="10" t="str">
        <f aca="false">IF(AG56="","",(AE56*AG56+Config!$B$4*$P56)/(AE56+Config!$B$4))</f>
        <v/>
      </c>
      <c r="AJ56" s="17" t="n">
        <f aca="false">IF(OR(AH56="",$L56=""),"",AH56*$L56*($L56/Config!$B$11)^Config!$B$9)</f>
        <v>14.5698596705308</v>
      </c>
      <c r="AK56" s="17" t="str">
        <f aca="false">IF(OR(AJ56="",AI56=""),"",AJ56*AI56)</f>
        <v/>
      </c>
      <c r="AL56" s="17" t="n">
        <f aca="false">N(V56)+N(AC56)</f>
        <v>28.303137268399</v>
      </c>
      <c r="AM56" s="17" t="n">
        <f aca="false">AL56+N($M56)*N(AJ56)</f>
        <v>34.9018267131824</v>
      </c>
      <c r="AN56" s="17" t="str">
        <f aca="false">IF(W56="","",N(W56)+N(AD56))</f>
        <v/>
      </c>
      <c r="AO56" s="17" t="str">
        <f aca="false">IF(AN56="","",AN56+N($M56)*N(AK56))</f>
        <v/>
      </c>
      <c r="AP56" s="10" t="str">
        <f aca="false">IFERROR(AN56/AL56,"")</f>
        <v/>
      </c>
      <c r="AQ56" s="0" t="str">
        <f aca="false">TRIM(IF($N56&lt;Config!$B$12,"thin sample ("&amp;$N56&amp;" maps) · ","")&amp;IF(AND($G56&lt;&gt;"",Q56=0),"M1 unplayed→overall KPR · ","")&amp;IF(AND($H56&lt;&gt;"",X56=0),"M2 unplayed→overall KPR · ","")&amp;IF($O56="","no PickFinder stats",""))</f>
        <v/>
      </c>
      <c r="AR56" s="0" t="str">
        <f aca="false">IF($C56=Board!$B$2,COUNTIFS($C$2:$C$56,Board!$B$2,$AL$2:$AL$56,"&gt;"&amp;$AL56)+COUNTIFS($C$1:$C55,Board!$B$2,$AL$1:$AL55,$AL56)+1,"")</f>
        <v/>
      </c>
      <c r="AS56" s="0" t="str">
        <f aca="false">IFERROR(IF($D56=INDEX(Matches!$AD$5:$AD$12,MATCH($C56,Matches!$A$5:$A$12,0)),"A",IF($D56=INDEX(Matches!$AE$5:$AE$12,MATCH($C56,Matches!$A$5:$A$12,0)),"B","")),"")</f>
        <v>A</v>
      </c>
      <c r="AT56" s="10" t="n">
        <f aca="false">IF($AS56="","",IFERROR(IF($AS56="A",INDEX(Matches!$AI$5:$AI$12,MATCH($C56,Matches!$A$5:$A$12,0)),INDEX(Matches!$AJ$5:$AJ$12,MATCH($C56,Matches!$A$5:$A$12,0))),""))</f>
        <v>0</v>
      </c>
      <c r="AU56" s="10" t="str">
        <f aca="false">IF($AS56="","",IFERROR(IF(INDEX(Matches!$AP$5:$AP$12,MATCH($C56,Matches!$A$5:$A$12,0))="","",IF($AS56="A",INDEX(Matches!$AP$5:$AP$12,MATCH($C56,Matches!$A$5:$A$12,0)),1-INDEX(Matches!$AP$5:$AP$12,MATCH($C56,Matches!$A$5:$A$12,0)))),""))</f>
        <v/>
      </c>
      <c r="AV56" s="13" t="n">
        <f aca="false">IF(OR($AU56="",$AT56=""),1,((Config!$B$14*$AU56+Config!$B$15*(1-$AU56))/(Config!$B$14*$AT56+Config!$B$15*(1-$AT56)))^Config!$B$13)</f>
        <v>1</v>
      </c>
      <c r="AW56" s="10" t="str">
        <f aca="false">IF($AS56="","",IFERROR(IF(INDEX(Matches!$AV$5:$AV$12,MATCH($C56,Matches!$A$5:$A$12,0))="","",IF($AS56="A",INDEX(Matches!$AV$5:$AV$12,MATCH($C56,Matches!$A$5:$A$12,0)),1-INDEX(Matches!$AV$5:$AV$12,MATCH($C56,Matches!$A$5:$A$12,0)))),""))</f>
        <v/>
      </c>
      <c r="AX56" s="13" t="n">
        <f aca="false">IF(OR($AW56="",$AT56=""),1,((Config!$B$14*$AW56+Config!$B$15*(1-$AW56))/(Config!$B$14*$AT56+Config!$B$15*(1-$AT56)))^Config!$B$13)</f>
        <v>1</v>
      </c>
      <c r="AY56" s="10" t="str">
        <f aca="false">IF($AS56="","",IFERROR(IF(INDEX(Matches!$BB$5:$BB$12,MATCH($C56,Matches!$A$5:$A$12,0))="","",IF($AS56="A",INDEX(Matches!$BB$5:$BB$12,MATCH($C56,Matches!$A$5:$A$12,0)),1-INDEX(Matches!$BB$5:$BB$12,MATCH($C56,Matches!$A$5:$A$12,0)))),""))</f>
        <v/>
      </c>
      <c r="AZ56" s="13" t="n">
        <f aca="false">IF(OR($AY56="",$AT56=""),1,((Config!$B$14*$AY56+Config!$B$15*(1-$AY56))/(Config!$B$14*$AT56+Config!$B$15*(1-$AT56)))^Config!$B$13)</f>
        <v>1</v>
      </c>
      <c r="BA56" s="17" t="n">
        <f aca="false">IF(V56="","",V56*$AV56)</f>
        <v>14.2991677852349</v>
      </c>
      <c r="BB56" s="17" t="n">
        <f aca="false">IF(AC56="","",AC56*$AX56)</f>
        <v>14.0039694831641</v>
      </c>
      <c r="BC56" s="17" t="n">
        <f aca="false">IF(AJ56="","",AJ56*$AZ56)</f>
        <v>14.5698596705308</v>
      </c>
      <c r="BD56" s="17" t="n">
        <f aca="false">N(BA56)+N(BB56)</f>
        <v>28.303137268399</v>
      </c>
      <c r="BE56" s="17" t="n">
        <f aca="false">BD56+N($M56)*N(BC56)</f>
        <v>34.9018267131824</v>
      </c>
      <c r="BF56" s="17" t="str">
        <f aca="false">IF(W56="","",W56*$AV56)</f>
        <v/>
      </c>
      <c r="BG56" s="17" t="str">
        <f aca="false">IF(AD56="","",AD56*$AX56)</f>
        <v/>
      </c>
      <c r="BH56" s="17" t="str">
        <f aca="false">IF(AK56="","",AK56*$AZ56)</f>
        <v/>
      </c>
      <c r="BI56" s="17" t="str">
        <f aca="false">IF(BF56="","",N(BF56)+N(BG56))</f>
        <v/>
      </c>
      <c r="BJ56" s="17" t="str">
        <f aca="false">IF(BI56="","",BI56+N($M56)*N(BH56))</f>
        <v/>
      </c>
      <c r="BK56" s="13" t="n">
        <f aca="false">IFERROR(BD56/AL56,1)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10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1" t="s">
        <v>918</v>
      </c>
    </row>
    <row r="3" customFormat="false" ht="15" hidden="false" customHeight="false" outlineLevel="0" collapsed="false">
      <c r="A3" s="12" t="s">
        <v>919</v>
      </c>
      <c r="B3" s="12" t="s">
        <v>920</v>
      </c>
      <c r="C3" s="12" t="s">
        <v>921</v>
      </c>
      <c r="E3" s="18" t="s">
        <v>922</v>
      </c>
      <c r="F3" s="18" t="s">
        <v>923</v>
      </c>
    </row>
    <row r="4" customFormat="false" ht="41.75" hidden="false" customHeight="false" outlineLevel="0" collapsed="false">
      <c r="A4" s="3" t="s">
        <v>924</v>
      </c>
      <c r="B4" s="19" t="n">
        <v>5</v>
      </c>
      <c r="C4" s="4" t="s">
        <v>925</v>
      </c>
      <c r="E4" s="9" t="s">
        <v>208</v>
      </c>
      <c r="F4" s="9" t="s">
        <v>82</v>
      </c>
    </row>
    <row r="5" customFormat="false" ht="41.75" hidden="false" customHeight="false" outlineLevel="0" collapsed="false">
      <c r="A5" s="3" t="s">
        <v>926</v>
      </c>
      <c r="B5" s="19" t="n">
        <v>1.4</v>
      </c>
      <c r="C5" s="4" t="s">
        <v>927</v>
      </c>
      <c r="E5" s="9" t="s">
        <v>221</v>
      </c>
      <c r="F5" s="9" t="s">
        <v>88</v>
      </c>
    </row>
    <row r="6" customFormat="false" ht="28.35" hidden="false" customHeight="false" outlineLevel="0" collapsed="false">
      <c r="A6" s="3" t="s">
        <v>928</v>
      </c>
      <c r="B6" s="19" t="n">
        <v>0.04</v>
      </c>
      <c r="C6" s="4" t="s">
        <v>929</v>
      </c>
      <c r="E6" s="9" t="s">
        <v>228</v>
      </c>
      <c r="F6" s="9" t="s">
        <v>930</v>
      </c>
    </row>
    <row r="7" customFormat="false" ht="15" hidden="false" customHeight="false" outlineLevel="0" collapsed="false">
      <c r="A7" s="3" t="s">
        <v>931</v>
      </c>
      <c r="B7" s="19" t="n">
        <v>21.5</v>
      </c>
      <c r="C7" s="4" t="s">
        <v>932</v>
      </c>
      <c r="E7" s="9" t="s">
        <v>197</v>
      </c>
      <c r="F7" s="9" t="s">
        <v>92</v>
      </c>
    </row>
    <row r="8" customFormat="false" ht="15" hidden="false" customHeight="false" outlineLevel="0" collapsed="false">
      <c r="A8" s="3" t="s">
        <v>933</v>
      </c>
      <c r="B8" s="19" t="n">
        <v>22.5</v>
      </c>
      <c r="C8" s="4" t="s">
        <v>934</v>
      </c>
      <c r="E8" s="9" t="s">
        <v>183</v>
      </c>
      <c r="F8" s="9" t="s">
        <v>935</v>
      </c>
    </row>
    <row r="9" customFormat="false" ht="28.35" hidden="false" customHeight="false" outlineLevel="0" collapsed="false">
      <c r="A9" s="3" t="s">
        <v>936</v>
      </c>
      <c r="B9" s="19" t="n">
        <v>0</v>
      </c>
      <c r="C9" s="4" t="s">
        <v>937</v>
      </c>
      <c r="E9" s="9" t="s">
        <v>234</v>
      </c>
      <c r="F9" s="9" t="s">
        <v>938</v>
      </c>
    </row>
    <row r="10" customFormat="false" ht="15" hidden="false" customHeight="false" outlineLevel="0" collapsed="false">
      <c r="A10" s="3" t="s">
        <v>939</v>
      </c>
      <c r="B10" s="19" t="n">
        <v>21.5</v>
      </c>
      <c r="C10" s="4" t="s">
        <v>940</v>
      </c>
      <c r="E10" s="9" t="s">
        <v>245</v>
      </c>
      <c r="F10" s="9" t="s">
        <v>68</v>
      </c>
    </row>
    <row r="11" customFormat="false" ht="15" hidden="false" customHeight="false" outlineLevel="0" collapsed="false">
      <c r="A11" s="3" t="s">
        <v>941</v>
      </c>
      <c r="B11" s="19" t="n">
        <v>22.5</v>
      </c>
      <c r="C11" s="4" t="s">
        <v>934</v>
      </c>
      <c r="F11" s="9" t="s">
        <v>942</v>
      </c>
    </row>
    <row r="12" customFormat="false" ht="15" hidden="false" customHeight="false" outlineLevel="0" collapsed="false">
      <c r="A12" s="3" t="s">
        <v>943</v>
      </c>
      <c r="B12" s="19" t="n">
        <v>15</v>
      </c>
      <c r="C12" s="4" t="s">
        <v>944</v>
      </c>
      <c r="F12" s="9" t="s">
        <v>95</v>
      </c>
    </row>
    <row r="13" customFormat="false" ht="41.75" hidden="false" customHeight="false" outlineLevel="0" collapsed="false">
      <c r="A13" s="3" t="s">
        <v>945</v>
      </c>
      <c r="B13" s="19" t="n">
        <v>1</v>
      </c>
      <c r="C13" s="4" t="s">
        <v>946</v>
      </c>
      <c r="F13" s="9" t="s">
        <v>643</v>
      </c>
    </row>
    <row r="14" customFormat="false" ht="28.35" hidden="false" customHeight="false" outlineLevel="0" collapsed="false">
      <c r="A14" s="3" t="s">
        <v>947</v>
      </c>
      <c r="B14" s="19" t="n">
        <v>4.76</v>
      </c>
      <c r="C14" s="4" t="s">
        <v>948</v>
      </c>
      <c r="F14" s="9" t="s">
        <v>99</v>
      </c>
    </row>
    <row r="15" customFormat="false" ht="15" hidden="false" customHeight="false" outlineLevel="0" collapsed="false">
      <c r="A15" s="3" t="s">
        <v>949</v>
      </c>
      <c r="B15" s="19" t="n">
        <v>1.82</v>
      </c>
      <c r="C15" s="4" t="s">
        <v>950</v>
      </c>
      <c r="F15" s="9" t="s">
        <v>105</v>
      </c>
    </row>
    <row r="16" customFormat="false" ht="15" hidden="false" customHeight="false" outlineLevel="0" collapsed="false">
      <c r="F16" s="0" t="s">
        <v>74</v>
      </c>
    </row>
    <row r="17" customFormat="false" ht="15" hidden="false" customHeight="false" outlineLevel="0" collapsed="false">
      <c r="A17" s="3" t="s">
        <v>951</v>
      </c>
    </row>
    <row r="18" customFormat="false" ht="15" hidden="false" customHeight="false" outlineLevel="0" collapsed="false">
      <c r="A18" s="0" t="s">
        <v>952</v>
      </c>
      <c r="B18" s="0" t="s">
        <v>953</v>
      </c>
    </row>
    <row r="19" customFormat="false" ht="15" hidden="false" customHeight="false" outlineLevel="0" collapsed="false">
      <c r="A19" s="0" t="s">
        <v>954</v>
      </c>
      <c r="B19" s="0" t="s">
        <v>955</v>
      </c>
    </row>
    <row r="20" customFormat="false" ht="15" hidden="false" customHeight="false" outlineLevel="0" collapsed="false">
      <c r="A20" s="0" t="s">
        <v>956</v>
      </c>
      <c r="C20" s="0" t="s">
        <v>957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9" min="8" style="0" width="7"/>
    <col collapsed="false" customWidth="true" hidden="false" outlineLevel="0" max="10" min="10" style="0" width="9"/>
    <col collapsed="false" customWidth="true" hidden="false" outlineLevel="0" max="11" min="11" style="0" width="6"/>
    <col collapsed="false" customWidth="true" hidden="false" outlineLevel="0" max="12" min="12" style="0" width="7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60"/>
  </cols>
  <sheetData>
    <row r="1" customFormat="false" ht="41.75" hidden="false" customHeight="false" outlineLevel="0" collapsed="false">
      <c r="A1" s="12" t="s">
        <v>812</v>
      </c>
      <c r="B1" s="12" t="s">
        <v>546</v>
      </c>
      <c r="C1" s="12" t="s">
        <v>571</v>
      </c>
      <c r="D1" s="12" t="s">
        <v>545</v>
      </c>
      <c r="E1" s="12" t="s">
        <v>958</v>
      </c>
      <c r="F1" s="12" t="s">
        <v>959</v>
      </c>
      <c r="G1" s="12" t="s">
        <v>960</v>
      </c>
      <c r="H1" s="12" t="s">
        <v>961</v>
      </c>
      <c r="I1" s="12" t="s">
        <v>962</v>
      </c>
      <c r="J1" s="12" t="s">
        <v>963</v>
      </c>
      <c r="K1" s="12" t="s">
        <v>964</v>
      </c>
      <c r="L1" s="12" t="s">
        <v>965</v>
      </c>
      <c r="M1" s="12" t="s">
        <v>966</v>
      </c>
      <c r="N1" s="12" t="s">
        <v>967</v>
      </c>
      <c r="O1" s="12" t="s">
        <v>968</v>
      </c>
    </row>
    <row r="2" customFormat="false" ht="15" hidden="false" customHeight="false" outlineLevel="0" collapsed="false">
      <c r="A2" s="0" t="s">
        <v>863</v>
      </c>
      <c r="B2" s="0" t="s">
        <v>688</v>
      </c>
      <c r="C2" s="0" t="s">
        <v>608</v>
      </c>
      <c r="D2" s="0" t="s">
        <v>634</v>
      </c>
      <c r="E2" s="0" t="s">
        <v>969</v>
      </c>
      <c r="F2" s="0" t="n">
        <v>37</v>
      </c>
      <c r="G2" s="0" t="n">
        <v>13.54</v>
      </c>
      <c r="H2" s="0" t="n">
        <v>0.62</v>
      </c>
      <c r="I2" s="10" t="n">
        <v>0.523</v>
      </c>
      <c r="J2" s="0" t="n">
        <v>0.32</v>
      </c>
      <c r="K2" s="0" t="n">
        <v>0.85</v>
      </c>
      <c r="L2" s="0" t="n">
        <v>0.95</v>
      </c>
      <c r="M2" s="11" t="n">
        <f aca="false">IFERROR(G2/H2,"")</f>
        <v>21.8387096774194</v>
      </c>
      <c r="N2" s="9" t="s">
        <v>970</v>
      </c>
      <c r="O2" s="9" t="s">
        <v>971</v>
      </c>
    </row>
    <row r="3" customFormat="false" ht="15" hidden="false" customHeight="false" outlineLevel="0" collapsed="false">
      <c r="A3" s="0" t="s">
        <v>864</v>
      </c>
      <c r="B3" s="0" t="s">
        <v>695</v>
      </c>
      <c r="C3" s="0" t="s">
        <v>608</v>
      </c>
      <c r="D3" s="0" t="s">
        <v>634</v>
      </c>
      <c r="E3" s="0" t="s">
        <v>969</v>
      </c>
      <c r="F3" s="0" t="n">
        <v>37</v>
      </c>
      <c r="G3" s="0" t="n">
        <v>14.05</v>
      </c>
      <c r="H3" s="0" t="n">
        <v>0.64</v>
      </c>
      <c r="I3" s="10" t="n">
        <v>0.492</v>
      </c>
      <c r="J3" s="0" t="n">
        <v>0.32</v>
      </c>
      <c r="K3" s="0" t="n">
        <v>0.99</v>
      </c>
      <c r="L3" s="0" t="n">
        <v>1.04</v>
      </c>
      <c r="M3" s="11" t="n">
        <f aca="false">IFERROR(G3/H3,"")</f>
        <v>21.953125</v>
      </c>
      <c r="N3" s="9" t="s">
        <v>970</v>
      </c>
      <c r="O3" s="9" t="s">
        <v>972</v>
      </c>
    </row>
    <row r="4" customFormat="false" ht="15" hidden="false" customHeight="false" outlineLevel="0" collapsed="false">
      <c r="A4" s="0" t="s">
        <v>865</v>
      </c>
      <c r="B4" s="0" t="s">
        <v>697</v>
      </c>
      <c r="C4" s="0" t="s">
        <v>608</v>
      </c>
      <c r="D4" s="0" t="s">
        <v>634</v>
      </c>
      <c r="E4" s="0" t="s">
        <v>969</v>
      </c>
      <c r="F4" s="0" t="n">
        <v>37</v>
      </c>
      <c r="G4" s="0" t="n">
        <v>15.81</v>
      </c>
      <c r="H4" s="0" t="n">
        <v>0.72</v>
      </c>
      <c r="I4" s="10" t="n">
        <v>0.33</v>
      </c>
      <c r="J4" s="0" t="n">
        <v>0.24</v>
      </c>
      <c r="K4" s="0" t="n">
        <v>1.18</v>
      </c>
      <c r="L4" s="0" t="n">
        <v>1.17</v>
      </c>
      <c r="M4" s="11" t="n">
        <f aca="false">IFERROR(G4/H4,"")</f>
        <v>21.9583333333333</v>
      </c>
      <c r="N4" s="9" t="s">
        <v>970</v>
      </c>
      <c r="O4" s="9" t="s">
        <v>973</v>
      </c>
    </row>
    <row r="5" customFormat="false" ht="15" hidden="false" customHeight="false" outlineLevel="0" collapsed="false">
      <c r="A5" s="0" t="s">
        <v>866</v>
      </c>
      <c r="B5" s="0" t="s">
        <v>699</v>
      </c>
      <c r="C5" s="0" t="s">
        <v>608</v>
      </c>
      <c r="D5" s="0" t="s">
        <v>634</v>
      </c>
      <c r="E5" s="0" t="s">
        <v>969</v>
      </c>
      <c r="F5" s="0" t="n">
        <v>37</v>
      </c>
      <c r="G5" s="0" t="n">
        <v>12.97</v>
      </c>
      <c r="H5" s="0" t="n">
        <v>0.59</v>
      </c>
      <c r="I5" s="10" t="n">
        <v>0.54</v>
      </c>
      <c r="J5" s="0" t="n">
        <v>0.32</v>
      </c>
      <c r="K5" s="0" t="n">
        <v>0.85</v>
      </c>
      <c r="L5" s="0" t="n">
        <v>0.97</v>
      </c>
      <c r="M5" s="11" t="n">
        <f aca="false">IFERROR(G5/H5,"")</f>
        <v>21.9830508474576</v>
      </c>
      <c r="N5" s="9" t="s">
        <v>970</v>
      </c>
      <c r="O5" s="9" t="s">
        <v>974</v>
      </c>
    </row>
    <row r="6" customFormat="false" ht="15" hidden="false" customHeight="false" outlineLevel="0" collapsed="false">
      <c r="A6" s="0" t="s">
        <v>867</v>
      </c>
      <c r="B6" s="0" t="s">
        <v>701</v>
      </c>
      <c r="C6" s="0" t="s">
        <v>608</v>
      </c>
      <c r="D6" s="0" t="s">
        <v>634</v>
      </c>
      <c r="E6" s="0" t="s">
        <v>969</v>
      </c>
      <c r="F6" s="0" t="n">
        <v>37</v>
      </c>
      <c r="G6" s="0" t="n">
        <v>14.84</v>
      </c>
      <c r="H6" s="0" t="n">
        <v>0.68</v>
      </c>
      <c r="I6" s="10" t="n">
        <v>0.57</v>
      </c>
      <c r="J6" s="0" t="n">
        <v>0.39</v>
      </c>
      <c r="K6" s="0" t="n">
        <v>0.98</v>
      </c>
      <c r="L6" s="0" t="n">
        <v>1.09</v>
      </c>
      <c r="M6" s="11" t="n">
        <f aca="false">IFERROR(G6/H6,"")</f>
        <v>21.8235294117647</v>
      </c>
      <c r="N6" s="9" t="s">
        <v>970</v>
      </c>
      <c r="O6" s="9" t="s">
        <v>975</v>
      </c>
    </row>
    <row r="7" customFormat="false" ht="15" hidden="false" customHeight="false" outlineLevel="0" collapsed="false">
      <c r="A7" s="0" t="s">
        <v>868</v>
      </c>
      <c r="B7" s="0" t="s">
        <v>703</v>
      </c>
      <c r="C7" s="0" t="s">
        <v>608</v>
      </c>
      <c r="D7" s="0" t="s">
        <v>627</v>
      </c>
      <c r="E7" s="0" t="s">
        <v>976</v>
      </c>
      <c r="F7" s="0" t="n">
        <v>32</v>
      </c>
      <c r="G7" s="0" t="n">
        <v>15.59</v>
      </c>
      <c r="H7" s="0" t="n">
        <v>0.76</v>
      </c>
      <c r="I7" s="10" t="n">
        <v>0.425</v>
      </c>
      <c r="J7" s="0" t="n">
        <v>0.32</v>
      </c>
      <c r="K7" s="0" t="n">
        <v>1.11</v>
      </c>
      <c r="L7" s="0" t="n">
        <v>1.28</v>
      </c>
      <c r="M7" s="11" t="n">
        <f aca="false">IFERROR(G7/H7,"")</f>
        <v>20.5131578947368</v>
      </c>
      <c r="N7" s="9" t="s">
        <v>970</v>
      </c>
      <c r="O7" s="9" t="s">
        <v>977</v>
      </c>
    </row>
    <row r="8" customFormat="false" ht="15" hidden="false" customHeight="false" outlineLevel="0" collapsed="false">
      <c r="A8" s="0" t="s">
        <v>869</v>
      </c>
      <c r="B8" s="0" t="s">
        <v>705</v>
      </c>
      <c r="C8" s="0" t="s">
        <v>608</v>
      </c>
      <c r="D8" s="0" t="s">
        <v>627</v>
      </c>
      <c r="E8" s="0" t="s">
        <v>976</v>
      </c>
      <c r="F8" s="0" t="n">
        <v>36</v>
      </c>
      <c r="G8" s="0" t="n">
        <v>13.58</v>
      </c>
      <c r="H8" s="0" t="n">
        <v>0.62</v>
      </c>
      <c r="I8" s="10" t="n">
        <v>0.542</v>
      </c>
      <c r="J8" s="0" t="n">
        <v>0.33</v>
      </c>
      <c r="K8" s="0" t="n">
        <v>0.89</v>
      </c>
      <c r="L8" s="0" t="n">
        <v>1.02</v>
      </c>
      <c r="M8" s="11" t="n">
        <f aca="false">IFERROR(G8/H8,"")</f>
        <v>21.9032258064516</v>
      </c>
      <c r="N8" s="9" t="s">
        <v>970</v>
      </c>
      <c r="O8" s="9" t="s">
        <v>978</v>
      </c>
    </row>
    <row r="9" customFormat="false" ht="15" hidden="false" customHeight="false" outlineLevel="0" collapsed="false">
      <c r="A9" s="0" t="s">
        <v>870</v>
      </c>
      <c r="B9" s="0" t="s">
        <v>707</v>
      </c>
      <c r="C9" s="0" t="s">
        <v>608</v>
      </c>
      <c r="D9" s="0" t="s">
        <v>627</v>
      </c>
      <c r="E9" s="0" t="s">
        <v>976</v>
      </c>
      <c r="F9" s="0" t="n">
        <v>34</v>
      </c>
      <c r="G9" s="0" t="n">
        <v>13.82</v>
      </c>
      <c r="H9" s="0" t="n">
        <v>0.64</v>
      </c>
      <c r="I9" s="10" t="n">
        <v>0.598</v>
      </c>
      <c r="J9" s="0" t="n">
        <v>0.38</v>
      </c>
      <c r="K9" s="0" t="n">
        <v>0.98</v>
      </c>
      <c r="L9" s="0" t="n">
        <v>1.06</v>
      </c>
      <c r="M9" s="11" t="n">
        <f aca="false">IFERROR(G9/H9,"")</f>
        <v>21.59375</v>
      </c>
      <c r="N9" s="9" t="s">
        <v>970</v>
      </c>
      <c r="O9" s="9" t="s">
        <v>979</v>
      </c>
    </row>
    <row r="10" customFormat="false" ht="15" hidden="false" customHeight="false" outlineLevel="0" collapsed="false">
      <c r="A10" s="0" t="s">
        <v>871</v>
      </c>
      <c r="B10" s="0" t="s">
        <v>710</v>
      </c>
      <c r="C10" s="0" t="s">
        <v>608</v>
      </c>
      <c r="D10" s="0" t="s">
        <v>627</v>
      </c>
      <c r="E10" s="0" t="s">
        <v>976</v>
      </c>
      <c r="F10" s="0" t="n">
        <v>34</v>
      </c>
      <c r="G10" s="0" t="n">
        <v>14.06</v>
      </c>
      <c r="H10" s="0" t="n">
        <v>0.65</v>
      </c>
      <c r="I10" s="10" t="n">
        <v>0.51</v>
      </c>
      <c r="J10" s="0" t="n">
        <v>0.33</v>
      </c>
      <c r="K10" s="0" t="n">
        <v>0.86</v>
      </c>
      <c r="L10" s="0" t="n">
        <v>0.99</v>
      </c>
      <c r="M10" s="11" t="n">
        <f aca="false">IFERROR(G10/H10,"")</f>
        <v>21.6307692307692</v>
      </c>
      <c r="N10" s="9" t="s">
        <v>970</v>
      </c>
      <c r="O10" s="9" t="s">
        <v>980</v>
      </c>
    </row>
    <row r="11" customFormat="false" ht="15" hidden="false" customHeight="false" outlineLevel="0" collapsed="false">
      <c r="A11" s="0" t="s">
        <v>872</v>
      </c>
      <c r="B11" s="0" t="s">
        <v>713</v>
      </c>
      <c r="C11" s="0" t="s">
        <v>608</v>
      </c>
      <c r="D11" s="0" t="s">
        <v>627</v>
      </c>
      <c r="E11" s="0" t="s">
        <v>976</v>
      </c>
      <c r="F11" s="0" t="n">
        <v>34</v>
      </c>
      <c r="G11" s="0" t="n">
        <v>14.21</v>
      </c>
      <c r="H11" s="0" t="n">
        <v>0.66</v>
      </c>
      <c r="I11" s="10" t="n">
        <v>0.277</v>
      </c>
      <c r="J11" s="0" t="n">
        <v>0.18</v>
      </c>
      <c r="K11" s="0" t="n">
        <v>1.04</v>
      </c>
      <c r="L11" s="0" t="n">
        <v>1.06</v>
      </c>
      <c r="M11" s="11" t="n">
        <f aca="false">IFERROR(G11/H11,"")</f>
        <v>21.530303030303</v>
      </c>
      <c r="N11" s="9" t="s">
        <v>970</v>
      </c>
      <c r="O11" s="9" t="s">
        <v>981</v>
      </c>
    </row>
    <row r="12" customFormat="false" ht="15" hidden="false" customHeight="false" outlineLevel="0" collapsed="false">
      <c r="A12" s="0" t="s">
        <v>878</v>
      </c>
      <c r="B12" s="0" t="s">
        <v>725</v>
      </c>
      <c r="C12" s="0" t="s">
        <v>608</v>
      </c>
      <c r="D12" s="0" t="s">
        <v>615</v>
      </c>
      <c r="E12" s="0" t="s">
        <v>982</v>
      </c>
      <c r="F12" s="0" t="n">
        <v>31</v>
      </c>
      <c r="G12" s="0" t="n">
        <v>19.55</v>
      </c>
      <c r="H12" s="0" t="n">
        <v>0.82</v>
      </c>
      <c r="I12" s="10" t="n">
        <v>0.602</v>
      </c>
      <c r="J12" s="0" t="n">
        <v>0.5</v>
      </c>
      <c r="K12" s="0" t="n">
        <v>1.24</v>
      </c>
      <c r="L12" s="0" t="n">
        <v>1.34</v>
      </c>
      <c r="M12" s="11" t="n">
        <f aca="false">IFERROR(G12/H12,"")</f>
        <v>23.8414634146342</v>
      </c>
      <c r="N12" s="9" t="s">
        <v>970</v>
      </c>
      <c r="O12" s="9" t="s">
        <v>983</v>
      </c>
    </row>
    <row r="13" customFormat="false" ht="15" hidden="false" customHeight="false" outlineLevel="0" collapsed="false">
      <c r="A13" s="0" t="s">
        <v>879</v>
      </c>
      <c r="B13" s="0" t="s">
        <v>728</v>
      </c>
      <c r="C13" s="0" t="s">
        <v>608</v>
      </c>
      <c r="D13" s="0" t="s">
        <v>615</v>
      </c>
      <c r="E13" s="0" t="s">
        <v>982</v>
      </c>
      <c r="F13" s="0" t="n">
        <v>31</v>
      </c>
      <c r="G13" s="0" t="n">
        <v>16.19</v>
      </c>
      <c r="H13" s="0" t="n">
        <v>0.68</v>
      </c>
      <c r="I13" s="10" t="n">
        <v>0.566</v>
      </c>
      <c r="J13" s="0" t="n">
        <v>0.39</v>
      </c>
      <c r="K13" s="0" t="n">
        <v>0.98</v>
      </c>
      <c r="L13" s="0" t="n">
        <v>1.06</v>
      </c>
      <c r="M13" s="11" t="n">
        <f aca="false">IFERROR(G13/H13,"")</f>
        <v>23.8088235294118</v>
      </c>
      <c r="N13" s="9" t="s">
        <v>970</v>
      </c>
      <c r="O13" s="9" t="s">
        <v>984</v>
      </c>
    </row>
    <row r="14" customFormat="false" ht="15" hidden="false" customHeight="false" outlineLevel="0" collapsed="false">
      <c r="A14" s="0" t="s">
        <v>880</v>
      </c>
      <c r="B14" s="0" t="s">
        <v>731</v>
      </c>
      <c r="C14" s="0" t="s">
        <v>608</v>
      </c>
      <c r="D14" s="0" t="s">
        <v>615</v>
      </c>
      <c r="E14" s="0" t="s">
        <v>982</v>
      </c>
      <c r="F14" s="0" t="n">
        <v>31</v>
      </c>
      <c r="G14" s="0" t="n">
        <v>14.23</v>
      </c>
      <c r="H14" s="0" t="n">
        <v>0.6</v>
      </c>
      <c r="I14" s="10" t="n">
        <v>0.542</v>
      </c>
      <c r="J14" s="0" t="n">
        <v>0.32</v>
      </c>
      <c r="K14" s="0" t="n">
        <v>0.88</v>
      </c>
      <c r="L14" s="0" t="n">
        <v>1</v>
      </c>
      <c r="M14" s="11" t="n">
        <f aca="false">IFERROR(G14/H14,"")</f>
        <v>23.7166666666667</v>
      </c>
      <c r="N14" s="9" t="s">
        <v>970</v>
      </c>
      <c r="O14" s="9" t="s">
        <v>985</v>
      </c>
    </row>
    <row r="15" customFormat="false" ht="15" hidden="false" customHeight="false" outlineLevel="0" collapsed="false">
      <c r="A15" s="0" t="s">
        <v>881</v>
      </c>
      <c r="B15" s="0" t="s">
        <v>734</v>
      </c>
      <c r="C15" s="0" t="s">
        <v>608</v>
      </c>
      <c r="D15" s="0" t="s">
        <v>615</v>
      </c>
      <c r="E15" s="0" t="s">
        <v>982</v>
      </c>
      <c r="F15" s="0" t="n">
        <v>31</v>
      </c>
      <c r="G15" s="0" t="n">
        <v>16.26</v>
      </c>
      <c r="H15" s="0" t="n">
        <v>0.68</v>
      </c>
      <c r="I15" s="10" t="n">
        <v>0.389</v>
      </c>
      <c r="J15" s="0" t="n">
        <v>0.27</v>
      </c>
      <c r="K15" s="0" t="n">
        <v>1.18</v>
      </c>
      <c r="L15" s="0" t="n">
        <v>1.14</v>
      </c>
      <c r="M15" s="11" t="n">
        <f aca="false">IFERROR(G15/H15,"")</f>
        <v>23.9117647058824</v>
      </c>
      <c r="N15" s="9" t="s">
        <v>970</v>
      </c>
      <c r="O15" s="9" t="s">
        <v>986</v>
      </c>
    </row>
    <row r="16" customFormat="false" ht="15" hidden="false" customHeight="false" outlineLevel="0" collapsed="false">
      <c r="A16" s="0" t="s">
        <v>882</v>
      </c>
      <c r="B16" s="0" t="s">
        <v>737</v>
      </c>
      <c r="C16" s="0" t="s">
        <v>608</v>
      </c>
      <c r="D16" s="0" t="s">
        <v>615</v>
      </c>
      <c r="E16" s="0" t="s">
        <v>982</v>
      </c>
      <c r="F16" s="0" t="n">
        <v>31</v>
      </c>
      <c r="G16" s="0" t="n">
        <v>16.06</v>
      </c>
      <c r="H16" s="0" t="n">
        <v>0.68</v>
      </c>
      <c r="I16" s="10" t="n">
        <v>0.55</v>
      </c>
      <c r="J16" s="0" t="n">
        <v>0.37</v>
      </c>
      <c r="K16" s="0" t="n">
        <v>0.99</v>
      </c>
      <c r="L16" s="0" t="n">
        <v>1.17</v>
      </c>
      <c r="M16" s="11" t="n">
        <f aca="false">IFERROR(G16/H16,"")</f>
        <v>23.6176470588235</v>
      </c>
      <c r="N16" s="9" t="s">
        <v>970</v>
      </c>
      <c r="O16" s="9" t="s">
        <v>987</v>
      </c>
    </row>
    <row r="17" customFormat="false" ht="15" hidden="false" customHeight="false" outlineLevel="0" collapsed="false">
      <c r="A17" s="0" t="s">
        <v>873</v>
      </c>
      <c r="B17" s="0" t="s">
        <v>715</v>
      </c>
      <c r="C17" s="0" t="s">
        <v>608</v>
      </c>
      <c r="D17" s="0" t="s">
        <v>620</v>
      </c>
      <c r="E17" s="0" t="s">
        <v>988</v>
      </c>
      <c r="F17" s="0" t="n">
        <v>36</v>
      </c>
      <c r="G17" s="0" t="n">
        <v>15.56</v>
      </c>
      <c r="H17" s="0" t="n">
        <v>0.72</v>
      </c>
      <c r="I17" s="10" t="n">
        <v>0.37</v>
      </c>
      <c r="J17" s="0" t="n">
        <v>0.27</v>
      </c>
      <c r="K17" s="0" t="n">
        <v>1.12</v>
      </c>
      <c r="L17" s="0" t="n">
        <v>1.1</v>
      </c>
      <c r="M17" s="11" t="n">
        <f aca="false">IFERROR(G17/H17,"")</f>
        <v>21.6111111111111</v>
      </c>
      <c r="N17" s="9" t="s">
        <v>970</v>
      </c>
      <c r="O17" s="9" t="s">
        <v>989</v>
      </c>
    </row>
    <row r="18" customFormat="false" ht="15" hidden="false" customHeight="false" outlineLevel="0" collapsed="false">
      <c r="A18" s="0" t="s">
        <v>874</v>
      </c>
      <c r="B18" s="0" t="s">
        <v>717</v>
      </c>
      <c r="C18" s="0" t="s">
        <v>608</v>
      </c>
      <c r="D18" s="0" t="s">
        <v>620</v>
      </c>
      <c r="E18" s="0" t="s">
        <v>988</v>
      </c>
      <c r="F18" s="0" t="n">
        <v>36</v>
      </c>
      <c r="G18" s="0" t="n">
        <v>12.81</v>
      </c>
      <c r="H18" s="0" t="n">
        <v>0.59</v>
      </c>
      <c r="I18" s="10" t="n">
        <v>0.536</v>
      </c>
      <c r="J18" s="0" t="n">
        <v>0.32</v>
      </c>
      <c r="K18" s="0" t="n">
        <v>0.85</v>
      </c>
      <c r="L18" s="0" t="n">
        <v>1.01</v>
      </c>
      <c r="M18" s="11" t="n">
        <f aca="false">IFERROR(G18/H18,"")</f>
        <v>21.7118644067797</v>
      </c>
      <c r="N18" s="9" t="s">
        <v>970</v>
      </c>
      <c r="O18" s="9" t="s">
        <v>990</v>
      </c>
    </row>
    <row r="19" customFormat="false" ht="15" hidden="false" customHeight="false" outlineLevel="0" collapsed="false">
      <c r="A19" s="0" t="s">
        <v>875</v>
      </c>
      <c r="B19" s="0" t="s">
        <v>719</v>
      </c>
      <c r="C19" s="0" t="s">
        <v>608</v>
      </c>
      <c r="D19" s="0" t="s">
        <v>620</v>
      </c>
      <c r="E19" s="0" t="s">
        <v>988</v>
      </c>
      <c r="F19" s="0" t="n">
        <v>36</v>
      </c>
      <c r="G19" s="0" t="n">
        <v>13.81</v>
      </c>
      <c r="H19" s="0" t="n">
        <v>0.64</v>
      </c>
      <c r="I19" s="10" t="n">
        <v>0.557</v>
      </c>
      <c r="J19" s="0" t="n">
        <v>0.36</v>
      </c>
      <c r="K19" s="0" t="n">
        <v>0.92</v>
      </c>
      <c r="L19" s="0" t="n">
        <v>0.96</v>
      </c>
      <c r="M19" s="11" t="n">
        <f aca="false">IFERROR(G19/H19,"")</f>
        <v>21.578125</v>
      </c>
      <c r="N19" s="9" t="s">
        <v>970</v>
      </c>
      <c r="O19" s="9" t="s">
        <v>991</v>
      </c>
    </row>
    <row r="20" customFormat="false" ht="15" hidden="false" customHeight="false" outlineLevel="0" collapsed="false">
      <c r="A20" s="0" t="s">
        <v>876</v>
      </c>
      <c r="B20" s="0" t="s">
        <v>721</v>
      </c>
      <c r="C20" s="0" t="s">
        <v>608</v>
      </c>
      <c r="D20" s="0" t="s">
        <v>620</v>
      </c>
      <c r="E20" s="0" t="s">
        <v>988</v>
      </c>
      <c r="F20" s="0" t="n">
        <v>37</v>
      </c>
      <c r="G20" s="0" t="n">
        <v>11.73</v>
      </c>
      <c r="H20" s="0" t="n">
        <v>0.55</v>
      </c>
      <c r="I20" s="10" t="n">
        <v>0.463</v>
      </c>
      <c r="J20" s="0" t="n">
        <v>0.25</v>
      </c>
      <c r="K20" s="0" t="n">
        <v>0.78</v>
      </c>
      <c r="L20" s="0" t="n">
        <v>0.88</v>
      </c>
      <c r="M20" s="11" t="n">
        <f aca="false">IFERROR(G20/H20,"")</f>
        <v>21.3272727272727</v>
      </c>
      <c r="N20" s="9" t="s">
        <v>970</v>
      </c>
      <c r="O20" s="9" t="s">
        <v>992</v>
      </c>
    </row>
    <row r="21" customFormat="false" ht="15" hidden="false" customHeight="false" outlineLevel="0" collapsed="false">
      <c r="A21" s="0" t="s">
        <v>877</v>
      </c>
      <c r="B21" s="0" t="s">
        <v>723</v>
      </c>
      <c r="C21" s="0" t="s">
        <v>608</v>
      </c>
      <c r="D21" s="0" t="s">
        <v>620</v>
      </c>
      <c r="E21" s="0" t="s">
        <v>988</v>
      </c>
      <c r="F21" s="0" t="n">
        <v>36</v>
      </c>
      <c r="G21" s="0" t="n">
        <v>14.31</v>
      </c>
      <c r="H21" s="0" t="n">
        <v>0.66</v>
      </c>
      <c r="I21" s="10" t="n">
        <v>0.668</v>
      </c>
      <c r="J21" s="0" t="n">
        <v>0.44</v>
      </c>
      <c r="K21" s="0" t="n">
        <v>0.88</v>
      </c>
      <c r="L21" s="0" t="n">
        <v>1.01</v>
      </c>
      <c r="M21" s="11" t="n">
        <f aca="false">IFERROR(G21/H21,"")</f>
        <v>21.6818181818182</v>
      </c>
      <c r="N21" s="9" t="s">
        <v>970</v>
      </c>
      <c r="O21" s="9" t="s">
        <v>993</v>
      </c>
    </row>
    <row r="22" customFormat="false" ht="15" hidden="false" customHeight="false" outlineLevel="0" collapsed="false">
      <c r="A22" s="0" t="s">
        <v>883</v>
      </c>
      <c r="B22" s="0" t="s">
        <v>739</v>
      </c>
      <c r="C22" s="0" t="s">
        <v>608</v>
      </c>
      <c r="D22" s="0" t="s">
        <v>614</v>
      </c>
      <c r="E22" s="0" t="s">
        <v>994</v>
      </c>
      <c r="F22" s="0" t="n">
        <v>30</v>
      </c>
      <c r="G22" s="0" t="n">
        <v>15.83</v>
      </c>
      <c r="H22" s="0" t="n">
        <v>0.71</v>
      </c>
      <c r="I22" s="10" t="n">
        <v>0.583</v>
      </c>
      <c r="J22" s="0" t="n">
        <v>0.41</v>
      </c>
      <c r="K22" s="0" t="n">
        <v>1.02</v>
      </c>
      <c r="L22" s="0" t="n">
        <v>1.14</v>
      </c>
      <c r="M22" s="11" t="n">
        <f aca="false">IFERROR(G22/H22,"")</f>
        <v>22.2957746478873</v>
      </c>
      <c r="N22" s="9" t="s">
        <v>970</v>
      </c>
      <c r="O22" s="9" t="s">
        <v>995</v>
      </c>
    </row>
    <row r="23" customFormat="false" ht="15" hidden="false" customHeight="false" outlineLevel="0" collapsed="false">
      <c r="A23" s="0" t="s">
        <v>884</v>
      </c>
      <c r="B23" s="0" t="s">
        <v>742</v>
      </c>
      <c r="C23" s="0" t="s">
        <v>608</v>
      </c>
      <c r="D23" s="0" t="s">
        <v>614</v>
      </c>
      <c r="E23" s="0" t="s">
        <v>994</v>
      </c>
      <c r="F23" s="0" t="n">
        <v>30</v>
      </c>
      <c r="G23" s="0" t="n">
        <v>16.07</v>
      </c>
      <c r="H23" s="0" t="n">
        <v>0.72</v>
      </c>
      <c r="I23" s="10" t="n">
        <v>0.521</v>
      </c>
      <c r="J23" s="0" t="n">
        <v>0.37</v>
      </c>
      <c r="K23" s="0" t="n">
        <v>1.07</v>
      </c>
      <c r="L23" s="0" t="n">
        <v>1.09</v>
      </c>
      <c r="M23" s="11" t="n">
        <f aca="false">IFERROR(G23/H23,"")</f>
        <v>22.3194444444444</v>
      </c>
      <c r="N23" s="9" t="s">
        <v>970</v>
      </c>
      <c r="O23" s="9" t="s">
        <v>996</v>
      </c>
    </row>
    <row r="24" customFormat="false" ht="15" hidden="false" customHeight="false" outlineLevel="0" collapsed="false">
      <c r="A24" s="0" t="s">
        <v>885</v>
      </c>
      <c r="B24" s="0" t="s">
        <v>744</v>
      </c>
      <c r="C24" s="0" t="s">
        <v>608</v>
      </c>
      <c r="D24" s="0" t="s">
        <v>614</v>
      </c>
      <c r="E24" s="0" t="s">
        <v>994</v>
      </c>
      <c r="F24" s="0" t="n">
        <v>30</v>
      </c>
      <c r="G24" s="0" t="n">
        <v>17.4</v>
      </c>
      <c r="H24" s="0" t="n">
        <v>0.78</v>
      </c>
      <c r="I24" s="10" t="n">
        <v>0.324</v>
      </c>
      <c r="J24" s="0" t="n">
        <v>0.25</v>
      </c>
      <c r="K24" s="0" t="n">
        <v>1.32</v>
      </c>
      <c r="L24" s="0" t="n">
        <v>1.19</v>
      </c>
      <c r="M24" s="11" t="n">
        <f aca="false">IFERROR(G24/H24,"")</f>
        <v>22.3076923076923</v>
      </c>
      <c r="N24" s="9" t="s">
        <v>970</v>
      </c>
      <c r="O24" s="9" t="s">
        <v>997</v>
      </c>
    </row>
    <row r="25" customFormat="false" ht="15" hidden="false" customHeight="false" outlineLevel="0" collapsed="false">
      <c r="A25" s="0" t="s">
        <v>886</v>
      </c>
      <c r="B25" s="0" t="s">
        <v>747</v>
      </c>
      <c r="C25" s="0" t="s">
        <v>608</v>
      </c>
      <c r="D25" s="0" t="s">
        <v>614</v>
      </c>
      <c r="E25" s="0" t="s">
        <v>994</v>
      </c>
      <c r="F25" s="0" t="n">
        <v>30</v>
      </c>
      <c r="G25" s="0" t="n">
        <v>13.57</v>
      </c>
      <c r="H25" s="0" t="n">
        <v>0.6</v>
      </c>
      <c r="I25" s="10" t="n">
        <v>0.543</v>
      </c>
      <c r="J25" s="0" t="n">
        <v>0.33</v>
      </c>
      <c r="K25" s="0" t="n">
        <v>0.87</v>
      </c>
      <c r="L25" s="0" t="n">
        <v>1</v>
      </c>
      <c r="M25" s="11" t="n">
        <f aca="false">IFERROR(G25/H25,"")</f>
        <v>22.6166666666667</v>
      </c>
      <c r="N25" s="9" t="s">
        <v>970</v>
      </c>
      <c r="O25" s="9" t="s">
        <v>998</v>
      </c>
    </row>
    <row r="26" customFormat="false" ht="15" hidden="false" customHeight="false" outlineLevel="0" collapsed="false">
      <c r="A26" s="0" t="s">
        <v>887</v>
      </c>
      <c r="B26" s="0" t="s">
        <v>749</v>
      </c>
      <c r="C26" s="0" t="s">
        <v>637</v>
      </c>
      <c r="D26" s="0" t="s">
        <v>652</v>
      </c>
      <c r="E26" s="0" t="s">
        <v>999</v>
      </c>
      <c r="F26" s="0" t="n">
        <v>13</v>
      </c>
      <c r="G26" s="0" t="n">
        <v>12.15</v>
      </c>
      <c r="H26" s="0" t="n">
        <v>0.58</v>
      </c>
      <c r="I26" s="10"/>
      <c r="K26" s="0" t="n">
        <v>0.77</v>
      </c>
      <c r="M26" s="11" t="n">
        <f aca="false">IFERROR(G26/H26,"")</f>
        <v>20.948275862069</v>
      </c>
      <c r="N26" s="9" t="s">
        <v>970</v>
      </c>
      <c r="O26" s="9" t="s">
        <v>1000</v>
      </c>
    </row>
    <row r="27" customFormat="false" ht="15" hidden="false" customHeight="false" outlineLevel="0" collapsed="false">
      <c r="A27" s="0" t="s">
        <v>888</v>
      </c>
      <c r="B27" s="0" t="s">
        <v>751</v>
      </c>
      <c r="C27" s="0" t="s">
        <v>637</v>
      </c>
      <c r="D27" s="0" t="s">
        <v>652</v>
      </c>
      <c r="E27" s="0" t="s">
        <v>999</v>
      </c>
      <c r="F27" s="0" t="n">
        <v>23</v>
      </c>
      <c r="G27" s="0" t="n">
        <v>16.22</v>
      </c>
      <c r="H27" s="0" t="n">
        <v>0.73</v>
      </c>
      <c r="I27" s="10"/>
      <c r="K27" s="0" t="n">
        <v>0.92</v>
      </c>
      <c r="M27" s="11" t="n">
        <f aca="false">IFERROR(G27/H27,"")</f>
        <v>22.2191780821918</v>
      </c>
      <c r="N27" s="9" t="s">
        <v>970</v>
      </c>
      <c r="O27" s="9" t="s">
        <v>1001</v>
      </c>
    </row>
    <row r="28" customFormat="false" ht="15" hidden="false" customHeight="false" outlineLevel="0" collapsed="false">
      <c r="A28" s="0" t="s">
        <v>889</v>
      </c>
      <c r="B28" s="0" t="s">
        <v>753</v>
      </c>
      <c r="C28" s="0" t="s">
        <v>637</v>
      </c>
      <c r="D28" s="0" t="s">
        <v>652</v>
      </c>
      <c r="E28" s="0" t="s">
        <v>999</v>
      </c>
      <c r="F28" s="0" t="n">
        <v>13</v>
      </c>
      <c r="G28" s="0" t="n">
        <v>14.08</v>
      </c>
      <c r="H28" s="0" t="n">
        <v>0.65</v>
      </c>
      <c r="I28" s="10"/>
      <c r="K28" s="0" t="n">
        <v>0.93</v>
      </c>
      <c r="M28" s="11" t="n">
        <f aca="false">IFERROR(G28/H28,"")</f>
        <v>21.6615384615385</v>
      </c>
      <c r="N28" s="9" t="s">
        <v>970</v>
      </c>
      <c r="O28" s="9" t="s">
        <v>1002</v>
      </c>
    </row>
    <row r="29" customFormat="false" ht="15" hidden="false" customHeight="false" outlineLevel="0" collapsed="false">
      <c r="A29" s="0" t="s">
        <v>890</v>
      </c>
      <c r="B29" s="0" t="s">
        <v>755</v>
      </c>
      <c r="C29" s="0" t="s">
        <v>637</v>
      </c>
      <c r="D29" s="0" t="s">
        <v>652</v>
      </c>
      <c r="E29" s="0" t="s">
        <v>999</v>
      </c>
      <c r="F29" s="0" t="n">
        <v>30</v>
      </c>
      <c r="G29" s="0" t="n">
        <v>19.13</v>
      </c>
      <c r="H29" s="0" t="n">
        <v>0.91</v>
      </c>
      <c r="I29" s="10"/>
      <c r="K29" s="0" t="n">
        <v>1.12</v>
      </c>
      <c r="M29" s="11" t="n">
        <f aca="false">IFERROR(G29/H29,"")</f>
        <v>21.021978021978</v>
      </c>
      <c r="N29" s="9" t="s">
        <v>970</v>
      </c>
      <c r="O29" s="9" t="s">
        <v>1003</v>
      </c>
    </row>
    <row r="30" customFormat="false" ht="15" hidden="false" customHeight="false" outlineLevel="0" collapsed="false">
      <c r="A30" s="0" t="s">
        <v>891</v>
      </c>
      <c r="B30" s="0" t="s">
        <v>757</v>
      </c>
      <c r="C30" s="0" t="s">
        <v>637</v>
      </c>
      <c r="D30" s="0" t="s">
        <v>652</v>
      </c>
      <c r="E30" s="0" t="s">
        <v>999</v>
      </c>
      <c r="F30" s="0" t="n">
        <v>9</v>
      </c>
      <c r="G30" s="0" t="n">
        <v>15.78</v>
      </c>
      <c r="H30" s="0" t="n">
        <v>0.78</v>
      </c>
      <c r="I30" s="10"/>
      <c r="K30" s="0" t="n">
        <v>1.07</v>
      </c>
      <c r="M30" s="11" t="n">
        <f aca="false">IFERROR(G30/H30,"")</f>
        <v>20.2307692307692</v>
      </c>
      <c r="N30" s="9" t="s">
        <v>970</v>
      </c>
      <c r="O30" s="9" t="s">
        <v>1004</v>
      </c>
    </row>
    <row r="31" customFormat="false" ht="15" hidden="false" customHeight="false" outlineLevel="0" collapsed="false">
      <c r="A31" s="0" t="s">
        <v>892</v>
      </c>
      <c r="B31" s="0" t="s">
        <v>759</v>
      </c>
      <c r="C31" s="0" t="s">
        <v>637</v>
      </c>
      <c r="D31" s="0" t="s">
        <v>651</v>
      </c>
      <c r="E31" s="0" t="s">
        <v>1005</v>
      </c>
      <c r="F31" s="0" t="n">
        <v>40</v>
      </c>
      <c r="G31" s="0" t="n">
        <v>17.68</v>
      </c>
      <c r="H31" s="0" t="n">
        <v>0.82</v>
      </c>
      <c r="I31" s="10"/>
      <c r="K31" s="0" t="n">
        <v>1.16</v>
      </c>
      <c r="M31" s="11" t="n">
        <f aca="false">IFERROR(G31/H31,"")</f>
        <v>21.5609756097561</v>
      </c>
      <c r="N31" s="9" t="s">
        <v>970</v>
      </c>
      <c r="O31" s="9" t="s">
        <v>1006</v>
      </c>
    </row>
    <row r="32" customFormat="false" ht="15" hidden="false" customHeight="false" outlineLevel="0" collapsed="false">
      <c r="A32" s="0" t="s">
        <v>893</v>
      </c>
      <c r="B32" s="0" t="s">
        <v>761</v>
      </c>
      <c r="C32" s="0" t="s">
        <v>637</v>
      </c>
      <c r="D32" s="0" t="s">
        <v>651</v>
      </c>
      <c r="E32" s="0" t="s">
        <v>1005</v>
      </c>
      <c r="F32" s="0" t="n">
        <v>18</v>
      </c>
      <c r="G32" s="0" t="n">
        <v>15.83</v>
      </c>
      <c r="H32" s="0" t="n">
        <v>0.69</v>
      </c>
      <c r="I32" s="10"/>
      <c r="K32" s="0" t="n">
        <v>0.98</v>
      </c>
      <c r="M32" s="11" t="n">
        <f aca="false">IFERROR(G32/H32,"")</f>
        <v>22.9420289855073</v>
      </c>
      <c r="N32" s="9" t="s">
        <v>970</v>
      </c>
      <c r="O32" s="9" t="s">
        <v>1007</v>
      </c>
    </row>
    <row r="33" customFormat="false" ht="15" hidden="false" customHeight="false" outlineLevel="0" collapsed="false">
      <c r="A33" s="0" t="s">
        <v>894</v>
      </c>
      <c r="B33" s="0" t="s">
        <v>763</v>
      </c>
      <c r="C33" s="0" t="s">
        <v>637</v>
      </c>
      <c r="D33" s="0" t="s">
        <v>651</v>
      </c>
      <c r="E33" s="0" t="s">
        <v>1005</v>
      </c>
      <c r="F33" s="0" t="n">
        <v>36</v>
      </c>
      <c r="G33" s="0" t="n">
        <v>13.67</v>
      </c>
      <c r="H33" s="0" t="n">
        <v>0.64</v>
      </c>
      <c r="I33" s="10"/>
      <c r="K33" s="0" t="n">
        <v>0.91</v>
      </c>
      <c r="M33" s="11" t="n">
        <f aca="false">IFERROR(G33/H33,"")</f>
        <v>21.359375</v>
      </c>
      <c r="N33" s="9" t="s">
        <v>970</v>
      </c>
      <c r="O33" s="9" t="s">
        <v>1008</v>
      </c>
    </row>
    <row r="34" customFormat="false" ht="15" hidden="false" customHeight="false" outlineLevel="0" collapsed="false">
      <c r="A34" s="0" t="s">
        <v>895</v>
      </c>
      <c r="B34" s="0" t="s">
        <v>765</v>
      </c>
      <c r="C34" s="0" t="s">
        <v>637</v>
      </c>
      <c r="D34" s="0" t="s">
        <v>664</v>
      </c>
      <c r="E34" s="0" t="s">
        <v>1009</v>
      </c>
      <c r="F34" s="0" t="n">
        <v>48</v>
      </c>
      <c r="G34" s="0" t="n">
        <v>16.15</v>
      </c>
      <c r="H34" s="0" t="n">
        <v>0.79</v>
      </c>
      <c r="I34" s="10"/>
      <c r="K34" s="0" t="n">
        <v>1.11</v>
      </c>
      <c r="M34" s="11" t="n">
        <f aca="false">IFERROR(G34/H34,"")</f>
        <v>20.4430379746835</v>
      </c>
      <c r="N34" s="9" t="s">
        <v>970</v>
      </c>
      <c r="O34" s="9" t="s">
        <v>1010</v>
      </c>
    </row>
    <row r="35" customFormat="false" ht="15" hidden="false" customHeight="false" outlineLevel="0" collapsed="false">
      <c r="A35" s="0" t="s">
        <v>896</v>
      </c>
      <c r="B35" s="0" t="s">
        <v>767</v>
      </c>
      <c r="C35" s="0" t="s">
        <v>637</v>
      </c>
      <c r="D35" s="0" t="s">
        <v>664</v>
      </c>
      <c r="E35" s="0" t="s">
        <v>1009</v>
      </c>
      <c r="F35" s="0" t="n">
        <v>39</v>
      </c>
      <c r="G35" s="0" t="n">
        <v>17.44</v>
      </c>
      <c r="H35" s="0" t="n">
        <v>0.86</v>
      </c>
      <c r="I35" s="10"/>
      <c r="K35" s="0" t="n">
        <v>1.15</v>
      </c>
      <c r="M35" s="11" t="n">
        <f aca="false">IFERROR(G35/H35,"")</f>
        <v>20.2790697674419</v>
      </c>
      <c r="N35" s="9" t="s">
        <v>970</v>
      </c>
      <c r="O35" s="9" t="s">
        <v>1011</v>
      </c>
    </row>
    <row r="36" customFormat="false" ht="15" hidden="false" customHeight="false" outlineLevel="0" collapsed="false">
      <c r="A36" s="0" t="s">
        <v>897</v>
      </c>
      <c r="B36" s="0" t="s">
        <v>769</v>
      </c>
      <c r="C36" s="0" t="s">
        <v>637</v>
      </c>
      <c r="D36" s="0" t="s">
        <v>664</v>
      </c>
      <c r="E36" s="0" t="s">
        <v>1009</v>
      </c>
      <c r="F36" s="0" t="n">
        <v>47</v>
      </c>
      <c r="G36" s="0" t="n">
        <v>12.19</v>
      </c>
      <c r="H36" s="0" t="n">
        <v>0.59</v>
      </c>
      <c r="I36" s="10"/>
      <c r="K36" s="0" t="n">
        <v>0.87</v>
      </c>
      <c r="M36" s="11" t="n">
        <f aca="false">IFERROR(G36/H36,"")</f>
        <v>20.6610169491525</v>
      </c>
      <c r="N36" s="9" t="s">
        <v>970</v>
      </c>
      <c r="O36" s="9" t="s">
        <v>1012</v>
      </c>
    </row>
    <row r="37" customFormat="false" ht="15" hidden="false" customHeight="false" outlineLevel="0" collapsed="false">
      <c r="A37" s="0" t="s">
        <v>898</v>
      </c>
      <c r="B37" s="0" t="s">
        <v>771</v>
      </c>
      <c r="C37" s="0" t="s">
        <v>637</v>
      </c>
      <c r="D37" s="0" t="s">
        <v>664</v>
      </c>
      <c r="E37" s="0" t="s">
        <v>1009</v>
      </c>
      <c r="F37" s="0" t="n">
        <v>44</v>
      </c>
      <c r="G37" s="0" t="n">
        <v>16.77</v>
      </c>
      <c r="H37" s="0" t="n">
        <v>0.86</v>
      </c>
      <c r="I37" s="10"/>
      <c r="K37" s="0" t="n">
        <v>1.15</v>
      </c>
      <c r="M37" s="11" t="n">
        <f aca="false">IFERROR(G37/H37,"")</f>
        <v>19.5</v>
      </c>
      <c r="N37" s="9" t="s">
        <v>970</v>
      </c>
      <c r="O37" s="9" t="s">
        <v>1013</v>
      </c>
    </row>
    <row r="38" customFormat="false" ht="15" hidden="false" customHeight="false" outlineLevel="0" collapsed="false">
      <c r="A38" s="0" t="s">
        <v>899</v>
      </c>
      <c r="B38" s="0" t="s">
        <v>773</v>
      </c>
      <c r="C38" s="0" t="s">
        <v>637</v>
      </c>
      <c r="D38" s="0" t="s">
        <v>664</v>
      </c>
      <c r="E38" s="0" t="s">
        <v>1009</v>
      </c>
      <c r="F38" s="0" t="n">
        <v>44</v>
      </c>
      <c r="G38" s="0" t="n">
        <v>12.52</v>
      </c>
      <c r="H38" s="0" t="n">
        <v>0.63</v>
      </c>
      <c r="I38" s="10"/>
      <c r="K38" s="0" t="n">
        <v>1.04</v>
      </c>
      <c r="M38" s="11" t="n">
        <f aca="false">IFERROR(G38/H38,"")</f>
        <v>19.8730158730159</v>
      </c>
      <c r="N38" s="9" t="s">
        <v>970</v>
      </c>
      <c r="O38" s="9" t="s">
        <v>1014</v>
      </c>
    </row>
    <row r="39" customFormat="false" ht="15" hidden="false" customHeight="false" outlineLevel="0" collapsed="false">
      <c r="A39" s="0" t="s">
        <v>900</v>
      </c>
      <c r="B39" s="0" t="s">
        <v>775</v>
      </c>
      <c r="C39" s="0" t="s">
        <v>637</v>
      </c>
      <c r="D39" s="0" t="s">
        <v>663</v>
      </c>
      <c r="E39" s="0" t="s">
        <v>1015</v>
      </c>
      <c r="F39" s="0" t="n">
        <v>35</v>
      </c>
      <c r="G39" s="0" t="n">
        <v>11.69</v>
      </c>
      <c r="H39" s="0" t="n">
        <v>0.62</v>
      </c>
      <c r="I39" s="10"/>
      <c r="K39" s="0" t="n">
        <v>0.85</v>
      </c>
      <c r="M39" s="11" t="n">
        <f aca="false">IFERROR(G39/H39,"")</f>
        <v>18.8548387096774</v>
      </c>
      <c r="N39" s="9" t="s">
        <v>970</v>
      </c>
      <c r="O39" s="9" t="s">
        <v>1016</v>
      </c>
    </row>
    <row r="40" customFormat="false" ht="15" hidden="false" customHeight="false" outlineLevel="0" collapsed="false">
      <c r="A40" s="0" t="s">
        <v>901</v>
      </c>
      <c r="B40" s="0" t="s">
        <v>777</v>
      </c>
      <c r="C40" s="0" t="s">
        <v>637</v>
      </c>
      <c r="D40" s="0" t="s">
        <v>663</v>
      </c>
      <c r="E40" s="0" t="s">
        <v>1015</v>
      </c>
      <c r="F40" s="0" t="n">
        <v>35</v>
      </c>
      <c r="G40" s="0" t="n">
        <v>11.03</v>
      </c>
      <c r="H40" s="0" t="n">
        <v>0.58</v>
      </c>
      <c r="I40" s="10"/>
      <c r="K40" s="0" t="n">
        <v>0.84</v>
      </c>
      <c r="M40" s="11" t="n">
        <f aca="false">IFERROR(G40/H40,"")</f>
        <v>19.0172413793103</v>
      </c>
      <c r="N40" s="9" t="s">
        <v>970</v>
      </c>
      <c r="O40" s="9" t="s">
        <v>1017</v>
      </c>
    </row>
    <row r="41" customFormat="false" ht="15" hidden="false" customHeight="false" outlineLevel="0" collapsed="false">
      <c r="A41" s="0" t="s">
        <v>902</v>
      </c>
      <c r="B41" s="0" t="s">
        <v>779</v>
      </c>
      <c r="C41" s="0" t="s">
        <v>637</v>
      </c>
      <c r="D41" s="0" t="s">
        <v>663</v>
      </c>
      <c r="E41" s="0" t="s">
        <v>1015</v>
      </c>
      <c r="F41" s="0" t="n">
        <v>37</v>
      </c>
      <c r="G41" s="0" t="n">
        <v>17.11</v>
      </c>
      <c r="H41" s="0" t="n">
        <v>0.88</v>
      </c>
      <c r="I41" s="10"/>
      <c r="K41" s="0" t="n">
        <v>1.13</v>
      </c>
      <c r="M41" s="11" t="n">
        <f aca="false">IFERROR(G41/H41,"")</f>
        <v>19.4431818181818</v>
      </c>
      <c r="N41" s="9" t="s">
        <v>970</v>
      </c>
      <c r="O41" s="9" t="s">
        <v>1018</v>
      </c>
    </row>
    <row r="42" customFormat="false" ht="15" hidden="false" customHeight="false" outlineLevel="0" collapsed="false">
      <c r="A42" s="0" t="s">
        <v>903</v>
      </c>
      <c r="B42" s="0" t="s">
        <v>781</v>
      </c>
      <c r="C42" s="0" t="s">
        <v>637</v>
      </c>
      <c r="D42" s="0" t="s">
        <v>663</v>
      </c>
      <c r="E42" s="0" t="s">
        <v>1015</v>
      </c>
      <c r="F42" s="0" t="n">
        <v>35</v>
      </c>
      <c r="G42" s="0" t="n">
        <v>11.31</v>
      </c>
      <c r="H42" s="0" t="n">
        <v>0.6</v>
      </c>
      <c r="I42" s="10"/>
      <c r="K42" s="0" t="n">
        <v>0.88</v>
      </c>
      <c r="M42" s="11" t="n">
        <f aca="false">IFERROR(G42/H42,"")</f>
        <v>18.85</v>
      </c>
      <c r="N42" s="9" t="s">
        <v>970</v>
      </c>
      <c r="O42" s="9" t="s">
        <v>1019</v>
      </c>
    </row>
    <row r="43" customFormat="false" ht="15" hidden="false" customHeight="false" outlineLevel="0" collapsed="false">
      <c r="A43" s="0" t="s">
        <v>904</v>
      </c>
      <c r="B43" s="0" t="s">
        <v>783</v>
      </c>
      <c r="C43" s="0" t="s">
        <v>637</v>
      </c>
      <c r="D43" s="0" t="s">
        <v>663</v>
      </c>
      <c r="E43" s="0" t="s">
        <v>1015</v>
      </c>
      <c r="F43" s="0" t="n">
        <v>35</v>
      </c>
      <c r="G43" s="0" t="n">
        <v>14.54</v>
      </c>
      <c r="H43" s="0" t="n">
        <v>0.77</v>
      </c>
      <c r="I43" s="10"/>
      <c r="K43" s="0" t="n">
        <v>1.09</v>
      </c>
      <c r="M43" s="11" t="n">
        <f aca="false">IFERROR(G43/H43,"")</f>
        <v>18.8831168831169</v>
      </c>
      <c r="N43" s="9" t="s">
        <v>970</v>
      </c>
      <c r="O43" s="9" t="s">
        <v>1020</v>
      </c>
    </row>
    <row r="44" customFormat="false" ht="15" hidden="false" customHeight="false" outlineLevel="0" collapsed="false">
      <c r="A44" s="0" t="s">
        <v>908</v>
      </c>
      <c r="B44" s="0" t="s">
        <v>791</v>
      </c>
      <c r="C44" s="0" t="s">
        <v>637</v>
      </c>
      <c r="D44" s="0" t="s">
        <v>659</v>
      </c>
      <c r="E44" s="0" t="s">
        <v>1021</v>
      </c>
      <c r="F44" s="0" t="n">
        <v>39</v>
      </c>
      <c r="G44" s="0" t="n">
        <v>17.62</v>
      </c>
      <c r="H44" s="0" t="n">
        <v>0.86</v>
      </c>
      <c r="I44" s="10"/>
      <c r="K44" s="0" t="n">
        <v>1.25</v>
      </c>
      <c r="M44" s="11" t="n">
        <f aca="false">IFERROR(G44/H44,"")</f>
        <v>20.4883720930233</v>
      </c>
      <c r="N44" s="9" t="s">
        <v>970</v>
      </c>
      <c r="O44" s="9" t="s">
        <v>1022</v>
      </c>
    </row>
    <row r="45" customFormat="false" ht="15" hidden="false" customHeight="false" outlineLevel="0" collapsed="false">
      <c r="A45" s="0" t="s">
        <v>909</v>
      </c>
      <c r="B45" s="0" t="s">
        <v>793</v>
      </c>
      <c r="C45" s="0" t="s">
        <v>637</v>
      </c>
      <c r="D45" s="0" t="s">
        <v>659</v>
      </c>
      <c r="E45" s="0" t="s">
        <v>1021</v>
      </c>
      <c r="F45" s="0" t="n">
        <v>39</v>
      </c>
      <c r="G45" s="0" t="n">
        <v>15.31</v>
      </c>
      <c r="H45" s="0" t="n">
        <v>0.75</v>
      </c>
      <c r="I45" s="10"/>
      <c r="K45" s="0" t="n">
        <v>1.11</v>
      </c>
      <c r="M45" s="11" t="n">
        <f aca="false">IFERROR(G45/H45,"")</f>
        <v>20.4133333333333</v>
      </c>
      <c r="N45" s="9" t="s">
        <v>970</v>
      </c>
      <c r="O45" s="9" t="s">
        <v>1023</v>
      </c>
    </row>
    <row r="46" customFormat="false" ht="15" hidden="false" customHeight="false" outlineLevel="0" collapsed="false">
      <c r="A46" s="0" t="s">
        <v>910</v>
      </c>
      <c r="B46" s="0" t="s">
        <v>795</v>
      </c>
      <c r="C46" s="0" t="s">
        <v>637</v>
      </c>
      <c r="D46" s="0" t="s">
        <v>659</v>
      </c>
      <c r="E46" s="0" t="s">
        <v>1021</v>
      </c>
      <c r="F46" s="0" t="n">
        <v>40</v>
      </c>
      <c r="G46" s="0" t="n">
        <v>14.47</v>
      </c>
      <c r="H46" s="0" t="n">
        <v>0.7</v>
      </c>
      <c r="I46" s="10"/>
      <c r="K46" s="0" t="n">
        <v>1.03</v>
      </c>
      <c r="M46" s="11" t="n">
        <f aca="false">IFERROR(G46/H46,"")</f>
        <v>20.6714285714286</v>
      </c>
      <c r="N46" s="9" t="s">
        <v>970</v>
      </c>
      <c r="O46" s="9" t="s">
        <v>1024</v>
      </c>
    </row>
    <row r="47" customFormat="false" ht="15" hidden="false" customHeight="false" outlineLevel="0" collapsed="false">
      <c r="A47" s="0" t="s">
        <v>911</v>
      </c>
      <c r="B47" s="0" t="s">
        <v>797</v>
      </c>
      <c r="C47" s="0" t="s">
        <v>637</v>
      </c>
      <c r="D47" s="0" t="s">
        <v>659</v>
      </c>
      <c r="E47" s="0" t="s">
        <v>1021</v>
      </c>
      <c r="F47" s="0" t="n">
        <v>38</v>
      </c>
      <c r="G47" s="0" t="n">
        <v>17.47</v>
      </c>
      <c r="H47" s="0" t="n">
        <v>0.79</v>
      </c>
      <c r="I47" s="10"/>
      <c r="K47" s="0" t="n">
        <v>1.1</v>
      </c>
      <c r="M47" s="11" t="n">
        <f aca="false">IFERROR(G47/H47,"")</f>
        <v>22.1139240506329</v>
      </c>
      <c r="N47" s="9" t="s">
        <v>970</v>
      </c>
      <c r="O47" s="9" t="s">
        <v>1025</v>
      </c>
    </row>
    <row r="48" customFormat="false" ht="15" hidden="false" customHeight="false" outlineLevel="0" collapsed="false">
      <c r="A48" s="0" t="s">
        <v>912</v>
      </c>
      <c r="B48" s="0" t="s">
        <v>799</v>
      </c>
      <c r="C48" s="0" t="s">
        <v>637</v>
      </c>
      <c r="D48" s="0" t="s">
        <v>659</v>
      </c>
      <c r="E48" s="0" t="s">
        <v>1021</v>
      </c>
      <c r="F48" s="0" t="n">
        <v>39</v>
      </c>
      <c r="G48" s="0" t="n">
        <v>13.67</v>
      </c>
      <c r="H48" s="0" t="n">
        <v>0.67</v>
      </c>
      <c r="I48" s="10"/>
      <c r="K48" s="0" t="n">
        <v>1</v>
      </c>
      <c r="M48" s="11" t="n">
        <f aca="false">IFERROR(G48/H48,"")</f>
        <v>20.4029850746269</v>
      </c>
      <c r="N48" s="9" t="s">
        <v>970</v>
      </c>
      <c r="O48" s="9" t="s">
        <v>1026</v>
      </c>
    </row>
    <row r="49" customFormat="false" ht="15" hidden="false" customHeight="false" outlineLevel="0" collapsed="false">
      <c r="A49" s="0" t="s">
        <v>905</v>
      </c>
      <c r="B49" s="0" t="s">
        <v>785</v>
      </c>
      <c r="C49" s="0" t="s">
        <v>637</v>
      </c>
      <c r="D49" s="0" t="s">
        <v>644</v>
      </c>
      <c r="E49" s="0" t="s">
        <v>1027</v>
      </c>
      <c r="F49" s="0" t="n">
        <v>29</v>
      </c>
      <c r="G49" s="0" t="n">
        <v>11.66</v>
      </c>
      <c r="H49" s="0" t="n">
        <v>0.55</v>
      </c>
      <c r="I49" s="10"/>
      <c r="K49" s="0" t="n">
        <v>0.74</v>
      </c>
      <c r="M49" s="11" t="n">
        <f aca="false">IFERROR(G49/H49,"")</f>
        <v>21.2</v>
      </c>
      <c r="N49" s="9" t="s">
        <v>970</v>
      </c>
      <c r="O49" s="9" t="s">
        <v>1028</v>
      </c>
    </row>
    <row r="50" customFormat="false" ht="15" hidden="false" customHeight="false" outlineLevel="0" collapsed="false">
      <c r="A50" s="0" t="s">
        <v>906</v>
      </c>
      <c r="B50" s="0" t="s">
        <v>787</v>
      </c>
      <c r="C50" s="0" t="s">
        <v>637</v>
      </c>
      <c r="D50" s="0" t="s">
        <v>644</v>
      </c>
      <c r="E50" s="0" t="s">
        <v>1027</v>
      </c>
      <c r="F50" s="0" t="n">
        <v>4</v>
      </c>
      <c r="G50" s="0" t="n">
        <v>14</v>
      </c>
      <c r="H50" s="0" t="n">
        <v>0.64</v>
      </c>
      <c r="I50" s="10"/>
      <c r="K50" s="0" t="n">
        <v>0.89</v>
      </c>
      <c r="M50" s="11" t="n">
        <f aca="false">IFERROR(G50/H50,"")</f>
        <v>21.875</v>
      </c>
      <c r="N50" s="9" t="s">
        <v>970</v>
      </c>
      <c r="O50" s="9" t="s">
        <v>1029</v>
      </c>
    </row>
    <row r="51" customFormat="false" ht="15" hidden="false" customHeight="false" outlineLevel="0" collapsed="false">
      <c r="A51" s="0" t="s">
        <v>913</v>
      </c>
      <c r="B51" s="0" t="s">
        <v>801</v>
      </c>
      <c r="C51" s="0" t="s">
        <v>637</v>
      </c>
      <c r="D51" s="0" t="s">
        <v>658</v>
      </c>
      <c r="E51" s="0" t="s">
        <v>1030</v>
      </c>
      <c r="F51" s="0" t="n">
        <v>41</v>
      </c>
      <c r="G51" s="0" t="n">
        <v>15.27</v>
      </c>
      <c r="H51" s="0" t="n">
        <v>0.73</v>
      </c>
      <c r="I51" s="10"/>
      <c r="K51" s="0" t="n">
        <v>1.05</v>
      </c>
      <c r="M51" s="11" t="n">
        <f aca="false">IFERROR(G51/H51,"")</f>
        <v>20.9178082191781</v>
      </c>
      <c r="N51" s="9" t="s">
        <v>970</v>
      </c>
      <c r="O51" s="9" t="s">
        <v>1031</v>
      </c>
    </row>
    <row r="52" customFormat="false" ht="15" hidden="false" customHeight="false" outlineLevel="0" collapsed="false">
      <c r="A52" s="0" t="s">
        <v>914</v>
      </c>
      <c r="B52" s="0" t="s">
        <v>803</v>
      </c>
      <c r="C52" s="0" t="s">
        <v>637</v>
      </c>
      <c r="D52" s="0" t="s">
        <v>658</v>
      </c>
      <c r="E52" s="0" t="s">
        <v>1030</v>
      </c>
      <c r="F52" s="0" t="n">
        <v>41</v>
      </c>
      <c r="G52" s="0" t="n">
        <v>14.1</v>
      </c>
      <c r="H52" s="0" t="n">
        <v>0.67</v>
      </c>
      <c r="I52" s="10"/>
      <c r="K52" s="0" t="n">
        <v>0.99</v>
      </c>
      <c r="M52" s="11" t="n">
        <f aca="false">IFERROR(G52/H52,"")</f>
        <v>21.044776119403</v>
      </c>
      <c r="N52" s="9" t="s">
        <v>970</v>
      </c>
      <c r="O52" s="9" t="s">
        <v>1032</v>
      </c>
    </row>
    <row r="53" customFormat="false" ht="15" hidden="false" customHeight="false" outlineLevel="0" collapsed="false">
      <c r="A53" s="0" t="s">
        <v>915</v>
      </c>
      <c r="B53" s="0" t="s">
        <v>805</v>
      </c>
      <c r="C53" s="0" t="s">
        <v>637</v>
      </c>
      <c r="D53" s="0" t="s">
        <v>658</v>
      </c>
      <c r="E53" s="0" t="s">
        <v>1030</v>
      </c>
      <c r="F53" s="0" t="n">
        <v>41</v>
      </c>
      <c r="G53" s="0" t="n">
        <v>11.93</v>
      </c>
      <c r="H53" s="0" t="n">
        <v>0.57</v>
      </c>
      <c r="I53" s="10"/>
      <c r="K53" s="0" t="n">
        <v>0.82</v>
      </c>
      <c r="M53" s="11" t="n">
        <f aca="false">IFERROR(G53/H53,"")</f>
        <v>20.9298245614035</v>
      </c>
      <c r="N53" s="9" t="s">
        <v>970</v>
      </c>
      <c r="O53" s="9" t="s">
        <v>1033</v>
      </c>
    </row>
    <row r="54" customFormat="false" ht="15" hidden="false" customHeight="false" outlineLevel="0" collapsed="false">
      <c r="A54" s="0" t="s">
        <v>916</v>
      </c>
      <c r="B54" s="0" t="s">
        <v>807</v>
      </c>
      <c r="C54" s="0" t="s">
        <v>637</v>
      </c>
      <c r="D54" s="0" t="s">
        <v>658</v>
      </c>
      <c r="E54" s="0" t="s">
        <v>1030</v>
      </c>
      <c r="F54" s="0" t="n">
        <v>41</v>
      </c>
      <c r="G54" s="0" t="n">
        <v>16.39</v>
      </c>
      <c r="H54" s="0" t="n">
        <v>0.78</v>
      </c>
      <c r="I54" s="10"/>
      <c r="K54" s="0" t="n">
        <v>1.07</v>
      </c>
      <c r="M54" s="11" t="n">
        <f aca="false">IFERROR(G54/H54,"")</f>
        <v>21.0128205128205</v>
      </c>
      <c r="N54" s="9" t="s">
        <v>970</v>
      </c>
      <c r="O54" s="9" t="s">
        <v>1034</v>
      </c>
    </row>
    <row r="55" customFormat="false" ht="15" hidden="false" customHeight="false" outlineLevel="0" collapsed="false">
      <c r="A55" s="0" t="s">
        <v>917</v>
      </c>
      <c r="B55" s="0" t="s">
        <v>809</v>
      </c>
      <c r="C55" s="0" t="s">
        <v>637</v>
      </c>
      <c r="D55" s="0" t="s">
        <v>658</v>
      </c>
      <c r="E55" s="0" t="s">
        <v>1030</v>
      </c>
      <c r="F55" s="0" t="n">
        <v>41</v>
      </c>
      <c r="G55" s="0" t="n">
        <v>13.41</v>
      </c>
      <c r="H55" s="0" t="n">
        <v>0.64</v>
      </c>
      <c r="I55" s="10"/>
      <c r="K55" s="0" t="n">
        <v>0.92</v>
      </c>
      <c r="M55" s="11" t="n">
        <f aca="false">IFERROR(G55/H55,"")</f>
        <v>20.953125</v>
      </c>
      <c r="N55" s="9" t="s">
        <v>970</v>
      </c>
      <c r="O55" s="9" t="s">
        <v>1035</v>
      </c>
    </row>
    <row r="56" customFormat="false" ht="15" hidden="false" customHeight="false" outlineLevel="0" collapsed="false">
      <c r="A56" s="0" t="s">
        <v>907</v>
      </c>
      <c r="B56" s="0" t="s">
        <v>789</v>
      </c>
      <c r="C56" s="0" t="s">
        <v>637</v>
      </c>
      <c r="D56" s="0" t="s">
        <v>645</v>
      </c>
      <c r="E56" s="0" t="s">
        <v>1036</v>
      </c>
      <c r="F56" s="0" t="n">
        <v>32</v>
      </c>
      <c r="G56" s="0" t="n">
        <v>14.34</v>
      </c>
      <c r="H56" s="0" t="n">
        <v>0.71</v>
      </c>
      <c r="I56" s="10"/>
      <c r="K56" s="0" t="n">
        <v>1.05</v>
      </c>
      <c r="M56" s="11" t="n">
        <f aca="false">IFERROR(G56/H56,"")</f>
        <v>20.1971830985916</v>
      </c>
      <c r="N56" s="9" t="s">
        <v>970</v>
      </c>
      <c r="O56" s="9" t="s">
        <v>1037</v>
      </c>
    </row>
  </sheetData>
  <autoFilter ref="A1:O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1" min="11" style="0" width="9"/>
  </cols>
  <sheetData>
    <row r="1" customFormat="false" ht="28.35" hidden="false" customHeight="false" outlineLevel="0" collapsed="false">
      <c r="A1" s="12" t="s">
        <v>811</v>
      </c>
      <c r="B1" s="12" t="s">
        <v>812</v>
      </c>
      <c r="C1" s="12" t="s">
        <v>546</v>
      </c>
      <c r="D1" s="12" t="s">
        <v>571</v>
      </c>
      <c r="E1" s="12" t="s">
        <v>58</v>
      </c>
      <c r="F1" s="12" t="s">
        <v>1038</v>
      </c>
      <c r="G1" s="12" t="s">
        <v>1039</v>
      </c>
      <c r="H1" s="12" t="s">
        <v>1040</v>
      </c>
      <c r="I1" s="12" t="s">
        <v>962</v>
      </c>
      <c r="J1" s="12" t="s">
        <v>964</v>
      </c>
      <c r="K1" s="12" t="s">
        <v>1041</v>
      </c>
    </row>
    <row r="2" customFormat="false" ht="15" hidden="false" customHeight="false" outlineLevel="0" collapsed="false">
      <c r="A2" s="0" t="s">
        <v>1042</v>
      </c>
      <c r="B2" s="0" t="s">
        <v>883</v>
      </c>
      <c r="C2" s="0" t="s">
        <v>739</v>
      </c>
      <c r="D2" s="0" t="s">
        <v>608</v>
      </c>
      <c r="E2" s="0" t="s">
        <v>234</v>
      </c>
      <c r="F2" s="0" t="n">
        <v>8</v>
      </c>
      <c r="G2" s="0" t="n">
        <v>15.8</v>
      </c>
      <c r="H2" s="0" t="n">
        <v>0.73</v>
      </c>
      <c r="I2" s="10" t="n">
        <v>0.603</v>
      </c>
      <c r="J2" s="0" t="n">
        <v>1.08</v>
      </c>
      <c r="K2" s="13" t="n">
        <f aca="false">IF(H2&lt;&gt;"",H2,IFERROR(G2/INDEX(Players!$M$2:$M$56,MATCH(B2,Players!$A$2:$A$56,0)),""))</f>
        <v>0.73</v>
      </c>
    </row>
    <row r="3" customFormat="false" ht="15" hidden="false" customHeight="false" outlineLevel="0" collapsed="false">
      <c r="A3" s="0" t="s">
        <v>1043</v>
      </c>
      <c r="B3" s="0" t="s">
        <v>883</v>
      </c>
      <c r="C3" s="0" t="s">
        <v>739</v>
      </c>
      <c r="D3" s="0" t="s">
        <v>608</v>
      </c>
      <c r="E3" s="0" t="s">
        <v>197</v>
      </c>
      <c r="F3" s="0" t="n">
        <v>7</v>
      </c>
      <c r="G3" s="0" t="n">
        <v>16.6</v>
      </c>
      <c r="H3" s="0" t="n">
        <v>0.65</v>
      </c>
      <c r="I3" s="10" t="n">
        <v>0.578</v>
      </c>
      <c r="J3" s="0" t="n">
        <v>0.93</v>
      </c>
      <c r="K3" s="13" t="n">
        <f aca="false">IF(H3&lt;&gt;"",H3,IFERROR(G3/INDEX(Players!$M$2:$M$56,MATCH(B3,Players!$A$2:$A$56,0)),""))</f>
        <v>0.65</v>
      </c>
    </row>
    <row r="4" customFormat="false" ht="15" hidden="false" customHeight="false" outlineLevel="0" collapsed="false">
      <c r="A4" s="0" t="s">
        <v>1044</v>
      </c>
      <c r="B4" s="0" t="s">
        <v>883</v>
      </c>
      <c r="C4" s="0" t="s">
        <v>739</v>
      </c>
      <c r="D4" s="0" t="s">
        <v>608</v>
      </c>
      <c r="E4" s="0" t="s">
        <v>221</v>
      </c>
      <c r="F4" s="0" t="n">
        <v>5</v>
      </c>
      <c r="G4" s="0" t="n">
        <v>16.4</v>
      </c>
      <c r="H4" s="0" t="n">
        <v>0.75</v>
      </c>
      <c r="I4" s="10" t="n">
        <v>0.512</v>
      </c>
      <c r="J4" s="0" t="n">
        <v>1.11</v>
      </c>
      <c r="K4" s="13" t="n">
        <f aca="false">IF(H4&lt;&gt;"",H4,IFERROR(G4/INDEX(Players!$M$2:$M$56,MATCH(B4,Players!$A$2:$A$56,0)),""))</f>
        <v>0.75</v>
      </c>
    </row>
    <row r="5" customFormat="false" ht="15" hidden="false" customHeight="false" outlineLevel="0" collapsed="false">
      <c r="A5" s="0" t="s">
        <v>1045</v>
      </c>
      <c r="B5" s="0" t="s">
        <v>883</v>
      </c>
      <c r="C5" s="0" t="s">
        <v>739</v>
      </c>
      <c r="D5" s="0" t="s">
        <v>608</v>
      </c>
      <c r="E5" s="0" t="s">
        <v>183</v>
      </c>
      <c r="F5" s="0" t="n">
        <v>4</v>
      </c>
      <c r="G5" s="0" t="n">
        <v>16.5</v>
      </c>
      <c r="H5" s="0" t="n">
        <v>0.79</v>
      </c>
      <c r="I5" s="10" t="n">
        <v>0.636</v>
      </c>
      <c r="J5" s="0" t="n">
        <v>1.08</v>
      </c>
      <c r="K5" s="13" t="n">
        <f aca="false">IF(H5&lt;&gt;"",H5,IFERROR(G5/INDEX(Players!$M$2:$M$56,MATCH(B5,Players!$A$2:$A$56,0)),""))</f>
        <v>0.79</v>
      </c>
    </row>
    <row r="6" customFormat="false" ht="15" hidden="false" customHeight="false" outlineLevel="0" collapsed="false">
      <c r="A6" s="0" t="s">
        <v>1046</v>
      </c>
      <c r="B6" s="0" t="s">
        <v>883</v>
      </c>
      <c r="C6" s="0" t="s">
        <v>739</v>
      </c>
      <c r="D6" s="0" t="s">
        <v>608</v>
      </c>
      <c r="E6" s="0" t="s">
        <v>228</v>
      </c>
      <c r="F6" s="0" t="n">
        <v>4</v>
      </c>
      <c r="G6" s="0" t="n">
        <v>12.8</v>
      </c>
      <c r="H6" s="0" t="n">
        <v>0.66</v>
      </c>
      <c r="I6" s="10" t="n">
        <v>0.627</v>
      </c>
      <c r="J6" s="0" t="n">
        <v>0.89</v>
      </c>
      <c r="K6" s="13" t="n">
        <f aca="false">IF(H6&lt;&gt;"",H6,IFERROR(G6/INDEX(Players!$M$2:$M$56,MATCH(B6,Players!$A$2:$A$56,0)),""))</f>
        <v>0.66</v>
      </c>
    </row>
    <row r="7" customFormat="false" ht="15" hidden="false" customHeight="false" outlineLevel="0" collapsed="false">
      <c r="A7" s="0" t="s">
        <v>1047</v>
      </c>
      <c r="B7" s="0" t="s">
        <v>883</v>
      </c>
      <c r="C7" s="0" t="s">
        <v>739</v>
      </c>
      <c r="D7" s="0" t="s">
        <v>608</v>
      </c>
      <c r="E7" s="0" t="s">
        <v>208</v>
      </c>
      <c r="F7" s="0" t="n">
        <v>2</v>
      </c>
      <c r="G7" s="0" t="n">
        <v>17</v>
      </c>
      <c r="H7" s="0" t="n">
        <v>0.64</v>
      </c>
      <c r="I7" s="10" t="n">
        <v>0.529</v>
      </c>
      <c r="J7" s="0" t="n">
        <v>1.06</v>
      </c>
      <c r="K7" s="13" t="n">
        <f aca="false">IF(H7&lt;&gt;"",H7,IFERROR(G7/INDEX(Players!$M$2:$M$56,MATCH(B7,Players!$A$2:$A$56,0)),""))</f>
        <v>0.64</v>
      </c>
    </row>
    <row r="8" customFormat="false" ht="15" hidden="false" customHeight="false" outlineLevel="0" collapsed="false">
      <c r="A8" s="0" t="s">
        <v>1048</v>
      </c>
      <c r="B8" s="0" t="s">
        <v>873</v>
      </c>
      <c r="C8" s="0" t="s">
        <v>715</v>
      </c>
      <c r="D8" s="0" t="s">
        <v>608</v>
      </c>
      <c r="E8" s="0" t="s">
        <v>183</v>
      </c>
      <c r="F8" s="0" t="n">
        <v>12</v>
      </c>
      <c r="G8" s="0" t="n">
        <v>17.4</v>
      </c>
      <c r="H8" s="0" t="n">
        <v>0.77</v>
      </c>
      <c r="I8" s="10" t="n">
        <v>0.407</v>
      </c>
      <c r="J8" s="0" t="n">
        <v>1.27</v>
      </c>
      <c r="K8" s="13" t="n">
        <f aca="false">IF(H8&lt;&gt;"",H8,IFERROR(G8/INDEX(Players!$M$2:$M$56,MATCH(B8,Players!$A$2:$A$56,0)),""))</f>
        <v>0.77</v>
      </c>
    </row>
    <row r="9" customFormat="false" ht="15" hidden="false" customHeight="false" outlineLevel="0" collapsed="false">
      <c r="A9" s="0" t="s">
        <v>1049</v>
      </c>
      <c r="B9" s="0" t="s">
        <v>873</v>
      </c>
      <c r="C9" s="0" t="s">
        <v>715</v>
      </c>
      <c r="D9" s="0" t="s">
        <v>608</v>
      </c>
      <c r="E9" s="0" t="s">
        <v>197</v>
      </c>
      <c r="F9" s="0" t="n">
        <v>8</v>
      </c>
      <c r="G9" s="0" t="n">
        <v>16.6</v>
      </c>
      <c r="H9" s="0" t="n">
        <v>0.82</v>
      </c>
      <c r="I9" s="10" t="n">
        <v>0.383</v>
      </c>
      <c r="J9" s="0" t="n">
        <v>1.34</v>
      </c>
      <c r="K9" s="13" t="n">
        <f aca="false">IF(H9&lt;&gt;"",H9,IFERROR(G9/INDEX(Players!$M$2:$M$56,MATCH(B9,Players!$A$2:$A$56,0)),""))</f>
        <v>0.82</v>
      </c>
    </row>
    <row r="10" customFormat="false" ht="15" hidden="false" customHeight="false" outlineLevel="0" collapsed="false">
      <c r="A10" s="0" t="s">
        <v>1050</v>
      </c>
      <c r="B10" s="0" t="s">
        <v>873</v>
      </c>
      <c r="C10" s="0" t="s">
        <v>715</v>
      </c>
      <c r="D10" s="0" t="s">
        <v>608</v>
      </c>
      <c r="E10" s="0" t="s">
        <v>208</v>
      </c>
      <c r="F10" s="0" t="n">
        <v>8</v>
      </c>
      <c r="G10" s="0" t="n">
        <v>13.6</v>
      </c>
      <c r="H10" s="0" t="n">
        <v>0.67</v>
      </c>
      <c r="I10" s="10" t="n">
        <v>0.284</v>
      </c>
      <c r="J10" s="0" t="n">
        <v>0.96</v>
      </c>
      <c r="K10" s="13" t="n">
        <f aca="false">IF(H10&lt;&gt;"",H10,IFERROR(G10/INDEX(Players!$M$2:$M$56,MATCH(B10,Players!$A$2:$A$56,0)),""))</f>
        <v>0.67</v>
      </c>
    </row>
    <row r="11" customFormat="false" ht="15" hidden="false" customHeight="false" outlineLevel="0" collapsed="false">
      <c r="A11" s="0" t="s">
        <v>1051</v>
      </c>
      <c r="B11" s="0" t="s">
        <v>873</v>
      </c>
      <c r="C11" s="0" t="s">
        <v>715</v>
      </c>
      <c r="D11" s="0" t="s">
        <v>608</v>
      </c>
      <c r="E11" s="0" t="s">
        <v>228</v>
      </c>
      <c r="F11" s="0" t="n">
        <v>5</v>
      </c>
      <c r="G11" s="0" t="n">
        <v>12.8</v>
      </c>
      <c r="H11" s="0" t="n">
        <v>0.62</v>
      </c>
      <c r="I11" s="10" t="n">
        <v>0.453</v>
      </c>
      <c r="J11" s="0" t="n">
        <v>0.94</v>
      </c>
      <c r="K11" s="13" t="n">
        <f aca="false">IF(H11&lt;&gt;"",H11,IFERROR(G11/INDEX(Players!$M$2:$M$56,MATCH(B11,Players!$A$2:$A$56,0)),""))</f>
        <v>0.62</v>
      </c>
    </row>
    <row r="12" customFormat="false" ht="15" hidden="false" customHeight="false" outlineLevel="0" collapsed="false">
      <c r="A12" s="0" t="s">
        <v>1052</v>
      </c>
      <c r="B12" s="0" t="s">
        <v>873</v>
      </c>
      <c r="C12" s="0" t="s">
        <v>715</v>
      </c>
      <c r="D12" s="0" t="s">
        <v>608</v>
      </c>
      <c r="E12" s="0" t="s">
        <v>245</v>
      </c>
      <c r="F12" s="0" t="n">
        <v>2</v>
      </c>
      <c r="G12" s="0" t="n">
        <v>21</v>
      </c>
      <c r="H12" s="0" t="n">
        <v>0.74</v>
      </c>
      <c r="I12" s="10" t="n">
        <v>0.238</v>
      </c>
      <c r="J12" s="0" t="n">
        <v>1.08</v>
      </c>
      <c r="K12" s="13" t="n">
        <f aca="false">IF(H12&lt;&gt;"",H12,IFERROR(G12/INDEX(Players!$M$2:$M$56,MATCH(B12,Players!$A$2:$A$56,0)),""))</f>
        <v>0.74</v>
      </c>
    </row>
    <row r="13" customFormat="false" ht="15" hidden="false" customHeight="false" outlineLevel="0" collapsed="false">
      <c r="A13" s="0" t="s">
        <v>1053</v>
      </c>
      <c r="B13" s="0" t="s">
        <v>873</v>
      </c>
      <c r="C13" s="0" t="s">
        <v>715</v>
      </c>
      <c r="D13" s="0" t="s">
        <v>608</v>
      </c>
      <c r="E13" s="0" t="s">
        <v>234</v>
      </c>
      <c r="F13" s="0" t="n">
        <v>1</v>
      </c>
      <c r="G13" s="0" t="n">
        <v>3</v>
      </c>
      <c r="H13" s="0" t="n">
        <v>0.16</v>
      </c>
      <c r="I13" s="10" t="n">
        <v>0.333</v>
      </c>
      <c r="J13" s="0" t="n">
        <v>0.21</v>
      </c>
      <c r="K13" s="13" t="n">
        <f aca="false">IF(H13&lt;&gt;"",H13,IFERROR(G13/INDEX(Players!$M$2:$M$56,MATCH(B13,Players!$A$2:$A$56,0)),""))</f>
        <v>0.16</v>
      </c>
    </row>
    <row r="14" customFormat="false" ht="15" hidden="false" customHeight="false" outlineLevel="0" collapsed="false">
      <c r="A14" s="0" t="s">
        <v>1054</v>
      </c>
      <c r="B14" s="0" t="s">
        <v>863</v>
      </c>
      <c r="C14" s="0" t="s">
        <v>688</v>
      </c>
      <c r="D14" s="0" t="s">
        <v>608</v>
      </c>
      <c r="E14" s="0" t="s">
        <v>197</v>
      </c>
      <c r="F14" s="0" t="n">
        <v>12</v>
      </c>
      <c r="G14" s="0" t="n">
        <v>13.8</v>
      </c>
      <c r="H14" s="0" t="n">
        <v>0.67</v>
      </c>
      <c r="I14" s="10" t="n">
        <v>0.572</v>
      </c>
      <c r="J14" s="0" t="n">
        <v>0.93</v>
      </c>
      <c r="K14" s="13" t="n">
        <f aca="false">IF(H14&lt;&gt;"",H14,IFERROR(G14/INDEX(Players!$M$2:$M$56,MATCH(B14,Players!$A$2:$A$56,0)),""))</f>
        <v>0.67</v>
      </c>
    </row>
    <row r="15" customFormat="false" ht="15" hidden="false" customHeight="false" outlineLevel="0" collapsed="false">
      <c r="A15" s="0" t="s">
        <v>1055</v>
      </c>
      <c r="B15" s="0" t="s">
        <v>863</v>
      </c>
      <c r="C15" s="0" t="s">
        <v>688</v>
      </c>
      <c r="D15" s="0" t="s">
        <v>608</v>
      </c>
      <c r="E15" s="0" t="s">
        <v>208</v>
      </c>
      <c r="F15" s="0" t="n">
        <v>10</v>
      </c>
      <c r="G15" s="0" t="n">
        <v>13.3</v>
      </c>
      <c r="H15" s="0" t="n">
        <v>0.59</v>
      </c>
      <c r="I15" s="10" t="n">
        <v>0.444</v>
      </c>
      <c r="J15" s="0" t="n">
        <v>0.84</v>
      </c>
      <c r="K15" s="13" t="n">
        <f aca="false">IF(H15&lt;&gt;"",H15,IFERROR(G15/INDEX(Players!$M$2:$M$56,MATCH(B15,Players!$A$2:$A$56,0)),""))</f>
        <v>0.59</v>
      </c>
    </row>
    <row r="16" customFormat="false" ht="15" hidden="false" customHeight="false" outlineLevel="0" collapsed="false">
      <c r="A16" s="0" t="s">
        <v>1056</v>
      </c>
      <c r="B16" s="0" t="s">
        <v>863</v>
      </c>
      <c r="C16" s="0" t="s">
        <v>688</v>
      </c>
      <c r="D16" s="0" t="s">
        <v>608</v>
      </c>
      <c r="E16" s="0" t="s">
        <v>245</v>
      </c>
      <c r="F16" s="0" t="n">
        <v>6</v>
      </c>
      <c r="G16" s="0" t="n">
        <v>11.8</v>
      </c>
      <c r="H16" s="0" t="n">
        <v>0.53</v>
      </c>
      <c r="I16" s="10" t="n">
        <v>0.577</v>
      </c>
      <c r="J16" s="0" t="n">
        <v>0.69</v>
      </c>
      <c r="K16" s="13" t="n">
        <f aca="false">IF(H16&lt;&gt;"",H16,IFERROR(G16/INDEX(Players!$M$2:$M$56,MATCH(B16,Players!$A$2:$A$56,0)),""))</f>
        <v>0.53</v>
      </c>
    </row>
    <row r="17" customFormat="false" ht="15" hidden="false" customHeight="false" outlineLevel="0" collapsed="false">
      <c r="A17" s="0" t="s">
        <v>1057</v>
      </c>
      <c r="B17" s="0" t="s">
        <v>863</v>
      </c>
      <c r="C17" s="0" t="s">
        <v>688</v>
      </c>
      <c r="D17" s="0" t="s">
        <v>608</v>
      </c>
      <c r="E17" s="0" t="s">
        <v>234</v>
      </c>
      <c r="F17" s="0" t="n">
        <v>4</v>
      </c>
      <c r="G17" s="0" t="n">
        <v>13.3</v>
      </c>
      <c r="H17" s="0" t="n">
        <v>0.67</v>
      </c>
      <c r="I17" s="10" t="n">
        <v>0.566</v>
      </c>
      <c r="J17" s="0" t="n">
        <v>0.91</v>
      </c>
      <c r="K17" s="13" t="n">
        <f aca="false">IF(H17&lt;&gt;"",H17,IFERROR(G17/INDEX(Players!$M$2:$M$56,MATCH(B17,Players!$A$2:$A$56,0)),""))</f>
        <v>0.67</v>
      </c>
    </row>
    <row r="18" customFormat="false" ht="15" hidden="false" customHeight="false" outlineLevel="0" collapsed="false">
      <c r="A18" s="0" t="s">
        <v>1058</v>
      </c>
      <c r="B18" s="0" t="s">
        <v>863</v>
      </c>
      <c r="C18" s="0" t="s">
        <v>688</v>
      </c>
      <c r="D18" s="0" t="s">
        <v>608</v>
      </c>
      <c r="E18" s="0" t="s">
        <v>183</v>
      </c>
      <c r="F18" s="0" t="n">
        <v>3</v>
      </c>
      <c r="G18" s="0" t="n">
        <v>9.3</v>
      </c>
      <c r="H18" s="0" t="n">
        <v>0.51</v>
      </c>
      <c r="I18" s="10" t="n">
        <v>0.571</v>
      </c>
      <c r="J18" s="0" t="n">
        <v>0.68</v>
      </c>
      <c r="K18" s="13" t="n">
        <f aca="false">IF(H18&lt;&gt;"",H18,IFERROR(G18/INDEX(Players!$M$2:$M$56,MATCH(B18,Players!$A$2:$A$56,0)),""))</f>
        <v>0.51</v>
      </c>
    </row>
    <row r="19" customFormat="false" ht="15" hidden="false" customHeight="false" outlineLevel="0" collapsed="false">
      <c r="A19" s="0" t="s">
        <v>1059</v>
      </c>
      <c r="B19" s="0" t="s">
        <v>863</v>
      </c>
      <c r="C19" s="0" t="s">
        <v>688</v>
      </c>
      <c r="D19" s="0" t="s">
        <v>608</v>
      </c>
      <c r="E19" s="0" t="s">
        <v>228</v>
      </c>
      <c r="F19" s="0" t="n">
        <v>1</v>
      </c>
      <c r="G19" s="0" t="n">
        <v>34</v>
      </c>
      <c r="H19" s="0" t="n">
        <v>0.72</v>
      </c>
      <c r="I19" s="10" t="n">
        <v>0.382</v>
      </c>
      <c r="J19" s="0" t="n">
        <v>0.97</v>
      </c>
      <c r="K19" s="13" t="n">
        <f aca="false">IF(H19&lt;&gt;"",H19,IFERROR(G19/INDEX(Players!$M$2:$M$56,MATCH(B19,Players!$A$2:$A$56,0)),""))</f>
        <v>0.72</v>
      </c>
    </row>
    <row r="20" customFormat="false" ht="15" hidden="false" customHeight="false" outlineLevel="0" collapsed="false">
      <c r="A20" s="0" t="s">
        <v>1060</v>
      </c>
      <c r="B20" s="0" t="s">
        <v>863</v>
      </c>
      <c r="C20" s="0" t="s">
        <v>688</v>
      </c>
      <c r="D20" s="0" t="s">
        <v>608</v>
      </c>
      <c r="E20" s="0" t="s">
        <v>221</v>
      </c>
      <c r="F20" s="0" t="n">
        <v>1</v>
      </c>
      <c r="G20" s="0" t="n">
        <v>16</v>
      </c>
      <c r="H20" s="0" t="n">
        <v>0.73</v>
      </c>
      <c r="I20" s="10" t="n">
        <v>0.5</v>
      </c>
      <c r="J20" s="0" t="n">
        <v>0.94</v>
      </c>
      <c r="K20" s="13" t="n">
        <f aca="false">IF(H20&lt;&gt;"",H20,IFERROR(G20/INDEX(Players!$M$2:$M$56,MATCH(B20,Players!$A$2:$A$56,0)),""))</f>
        <v>0.73</v>
      </c>
    </row>
    <row r="21" customFormat="false" ht="15" hidden="false" customHeight="false" outlineLevel="0" collapsed="false">
      <c r="A21" s="0" t="s">
        <v>1061</v>
      </c>
      <c r="B21" s="0" t="s">
        <v>884</v>
      </c>
      <c r="C21" s="0" t="s">
        <v>742</v>
      </c>
      <c r="D21" s="0" t="s">
        <v>608</v>
      </c>
      <c r="E21" s="0" t="s">
        <v>234</v>
      </c>
      <c r="F21" s="0" t="n">
        <v>8</v>
      </c>
      <c r="G21" s="0" t="n">
        <v>16.5</v>
      </c>
      <c r="H21" s="0" t="n">
        <v>0.77</v>
      </c>
      <c r="I21" s="10" t="n">
        <v>0.477</v>
      </c>
      <c r="J21" s="0" t="n">
        <v>1.16</v>
      </c>
      <c r="K21" s="13" t="n">
        <f aca="false">IF(H21&lt;&gt;"",H21,IFERROR(G21/INDEX(Players!$M$2:$M$56,MATCH(B21,Players!$A$2:$A$56,0)),""))</f>
        <v>0.77</v>
      </c>
    </row>
    <row r="22" customFormat="false" ht="15" hidden="false" customHeight="false" outlineLevel="0" collapsed="false">
      <c r="A22" s="0" t="s">
        <v>1062</v>
      </c>
      <c r="B22" s="0" t="s">
        <v>884</v>
      </c>
      <c r="C22" s="0" t="s">
        <v>742</v>
      </c>
      <c r="D22" s="0" t="s">
        <v>608</v>
      </c>
      <c r="E22" s="0" t="s">
        <v>197</v>
      </c>
      <c r="F22" s="0" t="n">
        <v>7</v>
      </c>
      <c r="G22" s="0" t="n">
        <v>17.7</v>
      </c>
      <c r="H22" s="0" t="n">
        <v>0.7</v>
      </c>
      <c r="I22" s="10" t="n">
        <v>0.548</v>
      </c>
      <c r="J22" s="0" t="n">
        <v>1.07</v>
      </c>
      <c r="K22" s="13" t="n">
        <f aca="false">IF(H22&lt;&gt;"",H22,IFERROR(G22/INDEX(Players!$M$2:$M$56,MATCH(B22,Players!$A$2:$A$56,0)),""))</f>
        <v>0.7</v>
      </c>
    </row>
    <row r="23" customFormat="false" ht="15" hidden="false" customHeight="false" outlineLevel="0" collapsed="false">
      <c r="A23" s="0" t="s">
        <v>1063</v>
      </c>
      <c r="B23" s="0" t="s">
        <v>884</v>
      </c>
      <c r="C23" s="0" t="s">
        <v>742</v>
      </c>
      <c r="D23" s="0" t="s">
        <v>608</v>
      </c>
      <c r="E23" s="0" t="s">
        <v>221</v>
      </c>
      <c r="F23" s="0" t="n">
        <v>5</v>
      </c>
      <c r="G23" s="0" t="n">
        <v>14.2</v>
      </c>
      <c r="H23" s="0" t="n">
        <v>0.65</v>
      </c>
      <c r="I23" s="10" t="n">
        <v>0.493</v>
      </c>
      <c r="J23" s="0" t="n">
        <v>0.96</v>
      </c>
      <c r="K23" s="13" t="n">
        <f aca="false">IF(H23&lt;&gt;"",H23,IFERROR(G23/INDEX(Players!$M$2:$M$56,MATCH(B23,Players!$A$2:$A$56,0)),""))</f>
        <v>0.65</v>
      </c>
    </row>
    <row r="24" customFormat="false" ht="15" hidden="false" customHeight="false" outlineLevel="0" collapsed="false">
      <c r="A24" s="0" t="s">
        <v>1064</v>
      </c>
      <c r="B24" s="0" t="s">
        <v>884</v>
      </c>
      <c r="C24" s="0" t="s">
        <v>742</v>
      </c>
      <c r="D24" s="0" t="s">
        <v>608</v>
      </c>
      <c r="E24" s="0" t="s">
        <v>228</v>
      </c>
      <c r="F24" s="0" t="n">
        <v>4</v>
      </c>
      <c r="G24" s="0" t="n">
        <v>16</v>
      </c>
      <c r="H24" s="0" t="n">
        <v>0.83</v>
      </c>
      <c r="I24" s="10" t="n">
        <v>0.547</v>
      </c>
      <c r="J24" s="0" t="n">
        <v>1.12</v>
      </c>
      <c r="K24" s="13" t="n">
        <f aca="false">IF(H24&lt;&gt;"",H24,IFERROR(G24/INDEX(Players!$M$2:$M$56,MATCH(B24,Players!$A$2:$A$56,0)),""))</f>
        <v>0.83</v>
      </c>
    </row>
    <row r="25" customFormat="false" ht="15" hidden="false" customHeight="false" outlineLevel="0" collapsed="false">
      <c r="A25" s="0" t="s">
        <v>1065</v>
      </c>
      <c r="B25" s="0" t="s">
        <v>884</v>
      </c>
      <c r="C25" s="0" t="s">
        <v>742</v>
      </c>
      <c r="D25" s="0" t="s">
        <v>608</v>
      </c>
      <c r="E25" s="0" t="s">
        <v>183</v>
      </c>
      <c r="F25" s="0" t="n">
        <v>4</v>
      </c>
      <c r="G25" s="0" t="n">
        <v>13.8</v>
      </c>
      <c r="H25" s="0" t="n">
        <v>0.65</v>
      </c>
      <c r="I25" s="10" t="n">
        <v>0.509</v>
      </c>
      <c r="J25" s="0" t="n">
        <v>1.04</v>
      </c>
      <c r="K25" s="13" t="n">
        <f aca="false">IF(H25&lt;&gt;"",H25,IFERROR(G25/INDEX(Players!$M$2:$M$56,MATCH(B25,Players!$A$2:$A$56,0)),""))</f>
        <v>0.65</v>
      </c>
    </row>
    <row r="26" customFormat="false" ht="15" hidden="false" customHeight="false" outlineLevel="0" collapsed="false">
      <c r="A26" s="0" t="s">
        <v>1066</v>
      </c>
      <c r="B26" s="0" t="s">
        <v>884</v>
      </c>
      <c r="C26" s="0" t="s">
        <v>742</v>
      </c>
      <c r="D26" s="0" t="s">
        <v>608</v>
      </c>
      <c r="E26" s="0" t="s">
        <v>208</v>
      </c>
      <c r="F26" s="0" t="n">
        <v>2</v>
      </c>
      <c r="G26" s="0" t="n">
        <v>18</v>
      </c>
      <c r="H26" s="0" t="n">
        <v>0.68</v>
      </c>
      <c r="I26" s="10" t="n">
        <v>0.611</v>
      </c>
      <c r="J26" s="0" t="n">
        <v>0.97</v>
      </c>
      <c r="K26" s="13" t="n">
        <f aca="false">IF(H26&lt;&gt;"",H26,IFERROR(G26/INDEX(Players!$M$2:$M$56,MATCH(B26,Players!$A$2:$A$56,0)),""))</f>
        <v>0.68</v>
      </c>
    </row>
    <row r="27" customFormat="false" ht="15" hidden="false" customHeight="false" outlineLevel="0" collapsed="false">
      <c r="A27" s="0" t="s">
        <v>1067</v>
      </c>
      <c r="B27" s="0" t="s">
        <v>864</v>
      </c>
      <c r="C27" s="0" t="s">
        <v>695</v>
      </c>
      <c r="D27" s="0" t="s">
        <v>608</v>
      </c>
      <c r="E27" s="0" t="s">
        <v>197</v>
      </c>
      <c r="F27" s="0" t="n">
        <v>12</v>
      </c>
      <c r="G27" s="0" t="n">
        <v>13.8</v>
      </c>
      <c r="H27" s="0" t="n">
        <v>0.67</v>
      </c>
      <c r="I27" s="10" t="n">
        <v>0.518</v>
      </c>
      <c r="J27" s="0" t="n">
        <v>1.05</v>
      </c>
      <c r="K27" s="13" t="n">
        <f aca="false">IF(H27&lt;&gt;"",H27,IFERROR(G27/INDEX(Players!$M$2:$M$56,MATCH(B27,Players!$A$2:$A$56,0)),""))</f>
        <v>0.67</v>
      </c>
    </row>
    <row r="28" customFormat="false" ht="15" hidden="false" customHeight="false" outlineLevel="0" collapsed="false">
      <c r="A28" s="0" t="s">
        <v>1068</v>
      </c>
      <c r="B28" s="0" t="s">
        <v>864</v>
      </c>
      <c r="C28" s="0" t="s">
        <v>695</v>
      </c>
      <c r="D28" s="0" t="s">
        <v>608</v>
      </c>
      <c r="E28" s="0" t="s">
        <v>208</v>
      </c>
      <c r="F28" s="0" t="n">
        <v>10</v>
      </c>
      <c r="G28" s="0" t="n">
        <v>14.8</v>
      </c>
      <c r="H28" s="0" t="n">
        <v>0.66</v>
      </c>
      <c r="I28" s="10" t="n">
        <v>0.466</v>
      </c>
      <c r="J28" s="0" t="n">
        <v>0.99</v>
      </c>
      <c r="K28" s="13" t="n">
        <f aca="false">IF(H28&lt;&gt;"",H28,IFERROR(G28/INDEX(Players!$M$2:$M$56,MATCH(B28,Players!$A$2:$A$56,0)),""))</f>
        <v>0.66</v>
      </c>
    </row>
    <row r="29" customFormat="false" ht="15" hidden="false" customHeight="false" outlineLevel="0" collapsed="false">
      <c r="A29" s="0" t="s">
        <v>1069</v>
      </c>
      <c r="B29" s="0" t="s">
        <v>864</v>
      </c>
      <c r="C29" s="0" t="s">
        <v>695</v>
      </c>
      <c r="D29" s="0" t="s">
        <v>608</v>
      </c>
      <c r="E29" s="0" t="s">
        <v>245</v>
      </c>
      <c r="F29" s="0" t="n">
        <v>6</v>
      </c>
      <c r="G29" s="0" t="n">
        <v>14.8</v>
      </c>
      <c r="H29" s="0" t="n">
        <v>0.66</v>
      </c>
      <c r="I29" s="10" t="n">
        <v>0.506</v>
      </c>
      <c r="J29" s="0" t="n">
        <v>1.1</v>
      </c>
      <c r="K29" s="13" t="n">
        <f aca="false">IF(H29&lt;&gt;"",H29,IFERROR(G29/INDEX(Players!$M$2:$M$56,MATCH(B29,Players!$A$2:$A$56,0)),""))</f>
        <v>0.66</v>
      </c>
    </row>
    <row r="30" customFormat="false" ht="15" hidden="false" customHeight="false" outlineLevel="0" collapsed="false">
      <c r="A30" s="0" t="s">
        <v>1070</v>
      </c>
      <c r="B30" s="0" t="s">
        <v>864</v>
      </c>
      <c r="C30" s="0" t="s">
        <v>695</v>
      </c>
      <c r="D30" s="0" t="s">
        <v>608</v>
      </c>
      <c r="E30" s="0" t="s">
        <v>234</v>
      </c>
      <c r="F30" s="0" t="n">
        <v>4</v>
      </c>
      <c r="G30" s="0" t="n">
        <v>11.3</v>
      </c>
      <c r="H30" s="0" t="n">
        <v>0.57</v>
      </c>
      <c r="I30" s="10" t="n">
        <v>0.467</v>
      </c>
      <c r="J30" s="0" t="n">
        <v>0.98</v>
      </c>
      <c r="K30" s="13" t="n">
        <f aca="false">IF(H30&lt;&gt;"",H30,IFERROR(G30/INDEX(Players!$M$2:$M$56,MATCH(B30,Players!$A$2:$A$56,0)),""))</f>
        <v>0.57</v>
      </c>
    </row>
    <row r="31" customFormat="false" ht="15" hidden="false" customHeight="false" outlineLevel="0" collapsed="false">
      <c r="A31" s="0" t="s">
        <v>1071</v>
      </c>
      <c r="B31" s="0" t="s">
        <v>864</v>
      </c>
      <c r="C31" s="0" t="s">
        <v>695</v>
      </c>
      <c r="D31" s="0" t="s">
        <v>608</v>
      </c>
      <c r="E31" s="0" t="s">
        <v>183</v>
      </c>
      <c r="F31" s="0" t="n">
        <v>3</v>
      </c>
      <c r="G31" s="0" t="n">
        <v>11.7</v>
      </c>
      <c r="H31" s="0" t="n">
        <v>0.64</v>
      </c>
      <c r="I31" s="10" t="n">
        <v>0.4</v>
      </c>
      <c r="J31" s="0" t="n">
        <v>0.9</v>
      </c>
      <c r="K31" s="13" t="n">
        <f aca="false">IF(H31&lt;&gt;"",H31,IFERROR(G31/INDEX(Players!$M$2:$M$56,MATCH(B31,Players!$A$2:$A$56,0)),""))</f>
        <v>0.64</v>
      </c>
    </row>
    <row r="32" customFormat="false" ht="15" hidden="false" customHeight="false" outlineLevel="0" collapsed="false">
      <c r="A32" s="0" t="s">
        <v>1072</v>
      </c>
      <c r="B32" s="0" t="s">
        <v>864</v>
      </c>
      <c r="C32" s="0" t="s">
        <v>695</v>
      </c>
      <c r="D32" s="0" t="s">
        <v>608</v>
      </c>
      <c r="E32" s="0" t="s">
        <v>228</v>
      </c>
      <c r="F32" s="0" t="n">
        <v>1</v>
      </c>
      <c r="G32" s="0" t="n">
        <v>27</v>
      </c>
      <c r="H32" s="0" t="n">
        <v>0.57</v>
      </c>
      <c r="I32" s="10" t="n">
        <v>0.481</v>
      </c>
      <c r="J32" s="0" t="n">
        <v>0.87</v>
      </c>
      <c r="K32" s="13" t="n">
        <f aca="false">IF(H32&lt;&gt;"",H32,IFERROR(G32/INDEX(Players!$M$2:$M$56,MATCH(B32,Players!$A$2:$A$56,0)),""))</f>
        <v>0.57</v>
      </c>
    </row>
    <row r="33" customFormat="false" ht="15" hidden="false" customHeight="false" outlineLevel="0" collapsed="false">
      <c r="A33" s="0" t="s">
        <v>1073</v>
      </c>
      <c r="B33" s="0" t="s">
        <v>864</v>
      </c>
      <c r="C33" s="0" t="s">
        <v>695</v>
      </c>
      <c r="D33" s="0" t="s">
        <v>608</v>
      </c>
      <c r="E33" s="0" t="s">
        <v>221</v>
      </c>
      <c r="F33" s="0" t="n">
        <v>1</v>
      </c>
      <c r="G33" s="0" t="n">
        <v>10</v>
      </c>
      <c r="H33" s="0" t="n">
        <v>0.45</v>
      </c>
      <c r="I33" s="10" t="n">
        <v>0.8</v>
      </c>
      <c r="J33" s="0" t="n">
        <v>0.56</v>
      </c>
      <c r="K33" s="13" t="n">
        <f aca="false">IF(H33&lt;&gt;"",H33,IFERROR(G33/INDEX(Players!$M$2:$M$56,MATCH(B33,Players!$A$2:$A$56,0)),""))</f>
        <v>0.45</v>
      </c>
    </row>
    <row r="34" customFormat="false" ht="15" hidden="false" customHeight="false" outlineLevel="0" collapsed="false">
      <c r="A34" s="0" t="s">
        <v>1074</v>
      </c>
      <c r="B34" s="0" t="s">
        <v>874</v>
      </c>
      <c r="C34" s="0" t="s">
        <v>717</v>
      </c>
      <c r="D34" s="0" t="s">
        <v>608</v>
      </c>
      <c r="E34" s="0" t="s">
        <v>183</v>
      </c>
      <c r="F34" s="0" t="n">
        <v>12</v>
      </c>
      <c r="G34" s="0" t="n">
        <v>12.9</v>
      </c>
      <c r="H34" s="0" t="n">
        <v>0.57</v>
      </c>
      <c r="I34" s="10" t="n">
        <v>0.523</v>
      </c>
      <c r="J34" s="0" t="n">
        <v>0.82</v>
      </c>
      <c r="K34" s="13" t="n">
        <f aca="false">IF(H34&lt;&gt;"",H34,IFERROR(G34/INDEX(Players!$M$2:$M$56,MATCH(B34,Players!$A$2:$A$56,0)),""))</f>
        <v>0.57</v>
      </c>
    </row>
    <row r="35" customFormat="false" ht="15" hidden="false" customHeight="false" outlineLevel="0" collapsed="false">
      <c r="A35" s="0" t="s">
        <v>1075</v>
      </c>
      <c r="B35" s="0" t="s">
        <v>874</v>
      </c>
      <c r="C35" s="0" t="s">
        <v>717</v>
      </c>
      <c r="D35" s="0" t="s">
        <v>608</v>
      </c>
      <c r="E35" s="0" t="s">
        <v>197</v>
      </c>
      <c r="F35" s="0" t="n">
        <v>8</v>
      </c>
      <c r="G35" s="0" t="n">
        <v>14.3</v>
      </c>
      <c r="H35" s="0" t="n">
        <v>0.7</v>
      </c>
      <c r="I35" s="10" t="n">
        <v>0.588</v>
      </c>
      <c r="J35" s="0" t="n">
        <v>1.08</v>
      </c>
      <c r="K35" s="13" t="n">
        <f aca="false">IF(H35&lt;&gt;"",H35,IFERROR(G35/INDEX(Players!$M$2:$M$56,MATCH(B35,Players!$A$2:$A$56,0)),""))</f>
        <v>0.7</v>
      </c>
    </row>
    <row r="36" customFormat="false" ht="15" hidden="false" customHeight="false" outlineLevel="0" collapsed="false">
      <c r="A36" s="0" t="s">
        <v>1076</v>
      </c>
      <c r="B36" s="0" t="s">
        <v>874</v>
      </c>
      <c r="C36" s="0" t="s">
        <v>717</v>
      </c>
      <c r="D36" s="0" t="s">
        <v>608</v>
      </c>
      <c r="E36" s="0" t="s">
        <v>208</v>
      </c>
      <c r="F36" s="0" t="n">
        <v>8</v>
      </c>
      <c r="G36" s="0" t="n">
        <v>10</v>
      </c>
      <c r="H36" s="0" t="n">
        <v>0.49</v>
      </c>
      <c r="I36" s="10" t="n">
        <v>0.488</v>
      </c>
      <c r="J36" s="0" t="n">
        <v>0.65</v>
      </c>
      <c r="K36" s="13" t="n">
        <f aca="false">IF(H36&lt;&gt;"",H36,IFERROR(G36/INDEX(Players!$M$2:$M$56,MATCH(B36,Players!$A$2:$A$56,0)),""))</f>
        <v>0.49</v>
      </c>
    </row>
    <row r="37" customFormat="false" ht="15" hidden="false" customHeight="false" outlineLevel="0" collapsed="false">
      <c r="A37" s="0" t="s">
        <v>1077</v>
      </c>
      <c r="B37" s="0" t="s">
        <v>874</v>
      </c>
      <c r="C37" s="0" t="s">
        <v>717</v>
      </c>
      <c r="D37" s="0" t="s">
        <v>608</v>
      </c>
      <c r="E37" s="0" t="s">
        <v>228</v>
      </c>
      <c r="F37" s="0" t="n">
        <v>5</v>
      </c>
      <c r="G37" s="0" t="n">
        <v>14.6</v>
      </c>
      <c r="H37" s="0" t="n">
        <v>0.7</v>
      </c>
      <c r="I37" s="10" t="n">
        <v>0.562</v>
      </c>
      <c r="J37" s="0" t="n">
        <v>1.06</v>
      </c>
      <c r="K37" s="13" t="n">
        <f aca="false">IF(H37&lt;&gt;"",H37,IFERROR(G37/INDEX(Players!$M$2:$M$56,MATCH(B37,Players!$A$2:$A$56,0)),""))</f>
        <v>0.7</v>
      </c>
    </row>
    <row r="38" customFormat="false" ht="15" hidden="false" customHeight="false" outlineLevel="0" collapsed="false">
      <c r="A38" s="0" t="s">
        <v>1078</v>
      </c>
      <c r="B38" s="0" t="s">
        <v>874</v>
      </c>
      <c r="C38" s="0" t="s">
        <v>717</v>
      </c>
      <c r="D38" s="0" t="s">
        <v>608</v>
      </c>
      <c r="E38" s="0" t="s">
        <v>245</v>
      </c>
      <c r="F38" s="0" t="n">
        <v>2</v>
      </c>
      <c r="G38" s="0" t="n">
        <v>15.5</v>
      </c>
      <c r="H38" s="0" t="n">
        <v>0.54</v>
      </c>
      <c r="I38" s="10" t="n">
        <v>0.452</v>
      </c>
      <c r="J38" s="0" t="n">
        <v>0.7</v>
      </c>
      <c r="K38" s="13" t="n">
        <f aca="false">IF(H38&lt;&gt;"",H38,IFERROR(G38/INDEX(Players!$M$2:$M$56,MATCH(B38,Players!$A$2:$A$56,0)),""))</f>
        <v>0.54</v>
      </c>
    </row>
    <row r="39" customFormat="false" ht="15" hidden="false" customHeight="false" outlineLevel="0" collapsed="false">
      <c r="A39" s="0" t="s">
        <v>1079</v>
      </c>
      <c r="B39" s="0" t="s">
        <v>874</v>
      </c>
      <c r="C39" s="0" t="s">
        <v>717</v>
      </c>
      <c r="D39" s="0" t="s">
        <v>608</v>
      </c>
      <c r="E39" s="0" t="s">
        <v>234</v>
      </c>
      <c r="F39" s="0" t="n">
        <v>1</v>
      </c>
      <c r="G39" s="0" t="n">
        <v>8</v>
      </c>
      <c r="H39" s="0" t="n">
        <v>0.42</v>
      </c>
      <c r="I39" s="10" t="n">
        <v>0.625</v>
      </c>
      <c r="J39" s="0" t="n">
        <v>0.62</v>
      </c>
      <c r="K39" s="13" t="n">
        <f aca="false">IF(H39&lt;&gt;"",H39,IFERROR(G39/INDEX(Players!$M$2:$M$56,MATCH(B39,Players!$A$2:$A$56,0)),""))</f>
        <v>0.42</v>
      </c>
    </row>
    <row r="40" customFormat="false" ht="15" hidden="false" customHeight="false" outlineLevel="0" collapsed="false">
      <c r="A40" s="0" t="s">
        <v>1080</v>
      </c>
      <c r="B40" s="0" t="s">
        <v>875</v>
      </c>
      <c r="C40" s="0" t="s">
        <v>719</v>
      </c>
      <c r="D40" s="0" t="s">
        <v>608</v>
      </c>
      <c r="E40" s="0" t="s">
        <v>183</v>
      </c>
      <c r="F40" s="0" t="n">
        <v>12</v>
      </c>
      <c r="G40" s="0" t="n">
        <v>14.1</v>
      </c>
      <c r="H40" s="0" t="n">
        <v>0.62</v>
      </c>
      <c r="I40" s="10" t="n">
        <v>0.55</v>
      </c>
      <c r="J40" s="0" t="n">
        <v>0.89</v>
      </c>
      <c r="K40" s="13" t="n">
        <f aca="false">IF(H40&lt;&gt;"",H40,IFERROR(G40/INDEX(Players!$M$2:$M$56,MATCH(B40,Players!$A$2:$A$56,0)),""))</f>
        <v>0.62</v>
      </c>
    </row>
    <row r="41" customFormat="false" ht="15" hidden="false" customHeight="false" outlineLevel="0" collapsed="false">
      <c r="A41" s="0" t="s">
        <v>1081</v>
      </c>
      <c r="B41" s="0" t="s">
        <v>875</v>
      </c>
      <c r="C41" s="0" t="s">
        <v>719</v>
      </c>
      <c r="D41" s="0" t="s">
        <v>608</v>
      </c>
      <c r="E41" s="0" t="s">
        <v>197</v>
      </c>
      <c r="F41" s="0" t="n">
        <v>8</v>
      </c>
      <c r="G41" s="0" t="n">
        <v>13.4</v>
      </c>
      <c r="H41" s="0" t="n">
        <v>0.66</v>
      </c>
      <c r="I41" s="10" t="n">
        <v>0.57</v>
      </c>
      <c r="J41" s="0" t="n">
        <v>1.03</v>
      </c>
      <c r="K41" s="13" t="n">
        <f aca="false">IF(H41&lt;&gt;"",H41,IFERROR(G41/INDEX(Players!$M$2:$M$56,MATCH(B41,Players!$A$2:$A$56,0)),""))</f>
        <v>0.66</v>
      </c>
    </row>
    <row r="42" customFormat="false" ht="15" hidden="false" customHeight="false" outlineLevel="0" collapsed="false">
      <c r="A42" s="0" t="s">
        <v>1082</v>
      </c>
      <c r="B42" s="0" t="s">
        <v>875</v>
      </c>
      <c r="C42" s="0" t="s">
        <v>719</v>
      </c>
      <c r="D42" s="0" t="s">
        <v>608</v>
      </c>
      <c r="E42" s="0" t="s">
        <v>208</v>
      </c>
      <c r="F42" s="0" t="n">
        <v>8</v>
      </c>
      <c r="G42" s="0" t="n">
        <v>13.4</v>
      </c>
      <c r="H42" s="0" t="n">
        <v>0.66</v>
      </c>
      <c r="I42" s="10" t="n">
        <v>0.505</v>
      </c>
      <c r="J42" s="0" t="n">
        <v>0.91</v>
      </c>
      <c r="K42" s="13" t="n">
        <f aca="false">IF(H42&lt;&gt;"",H42,IFERROR(G42/INDEX(Players!$M$2:$M$56,MATCH(B42,Players!$A$2:$A$56,0)),""))</f>
        <v>0.66</v>
      </c>
    </row>
    <row r="43" customFormat="false" ht="15" hidden="false" customHeight="false" outlineLevel="0" collapsed="false">
      <c r="A43" s="0" t="s">
        <v>1083</v>
      </c>
      <c r="B43" s="0" t="s">
        <v>875</v>
      </c>
      <c r="C43" s="0" t="s">
        <v>719</v>
      </c>
      <c r="D43" s="0" t="s">
        <v>608</v>
      </c>
      <c r="E43" s="0" t="s">
        <v>228</v>
      </c>
      <c r="F43" s="0" t="n">
        <v>5</v>
      </c>
      <c r="G43" s="0" t="n">
        <v>13.2</v>
      </c>
      <c r="H43" s="0" t="n">
        <v>0.63</v>
      </c>
      <c r="I43" s="10" t="n">
        <v>0.697</v>
      </c>
      <c r="J43" s="0" t="n">
        <v>0.89</v>
      </c>
      <c r="K43" s="13" t="n">
        <f aca="false">IF(H43&lt;&gt;"",H43,IFERROR(G43/INDEX(Players!$M$2:$M$56,MATCH(B43,Players!$A$2:$A$56,0)),""))</f>
        <v>0.63</v>
      </c>
    </row>
    <row r="44" customFormat="false" ht="15" hidden="false" customHeight="false" outlineLevel="0" collapsed="false">
      <c r="A44" s="0" t="s">
        <v>1084</v>
      </c>
      <c r="B44" s="0" t="s">
        <v>875</v>
      </c>
      <c r="C44" s="0" t="s">
        <v>719</v>
      </c>
      <c r="D44" s="0" t="s">
        <v>608</v>
      </c>
      <c r="E44" s="0" t="s">
        <v>245</v>
      </c>
      <c r="F44" s="0" t="n">
        <v>2</v>
      </c>
      <c r="G44" s="0" t="n">
        <v>17</v>
      </c>
      <c r="H44" s="0" t="n">
        <v>0.6</v>
      </c>
      <c r="I44" s="10" t="n">
        <v>0.441</v>
      </c>
      <c r="J44" s="0" t="n">
        <v>0.83</v>
      </c>
      <c r="K44" s="13" t="n">
        <f aca="false">IF(H44&lt;&gt;"",H44,IFERROR(G44/INDEX(Players!$M$2:$M$56,MATCH(B44,Players!$A$2:$A$56,0)),""))</f>
        <v>0.6</v>
      </c>
    </row>
    <row r="45" customFormat="false" ht="15" hidden="false" customHeight="false" outlineLevel="0" collapsed="false">
      <c r="A45" s="0" t="s">
        <v>1085</v>
      </c>
      <c r="B45" s="0" t="s">
        <v>875</v>
      </c>
      <c r="C45" s="0" t="s">
        <v>719</v>
      </c>
      <c r="D45" s="0" t="s">
        <v>608</v>
      </c>
      <c r="E45" s="0" t="s">
        <v>234</v>
      </c>
      <c r="F45" s="0" t="n">
        <v>1</v>
      </c>
      <c r="G45" s="0" t="n">
        <v>14</v>
      </c>
      <c r="H45" s="0" t="n">
        <v>0.74</v>
      </c>
      <c r="I45" s="10" t="n">
        <v>0.571</v>
      </c>
      <c r="J45" s="0" t="n">
        <v>1</v>
      </c>
      <c r="K45" s="13" t="n">
        <f aca="false">IF(H45&lt;&gt;"",H45,IFERROR(G45/INDEX(Players!$M$2:$M$56,MATCH(B45,Players!$A$2:$A$56,0)),""))</f>
        <v>0.74</v>
      </c>
    </row>
    <row r="46" customFormat="false" ht="15" hidden="false" customHeight="false" outlineLevel="0" collapsed="false">
      <c r="A46" s="0" t="s">
        <v>1086</v>
      </c>
      <c r="B46" s="0" t="s">
        <v>868</v>
      </c>
      <c r="C46" s="0" t="s">
        <v>703</v>
      </c>
      <c r="D46" s="0" t="s">
        <v>608</v>
      </c>
      <c r="E46" s="0" t="s">
        <v>234</v>
      </c>
      <c r="F46" s="0" t="n">
        <v>8</v>
      </c>
      <c r="G46" s="0" t="n">
        <v>15</v>
      </c>
      <c r="H46" s="0" t="n">
        <v>0.76</v>
      </c>
      <c r="I46" s="10" t="n">
        <v>0.433</v>
      </c>
      <c r="J46" s="0" t="n">
        <v>1.2</v>
      </c>
      <c r="K46" s="13" t="n">
        <f aca="false">IF(H46&lt;&gt;"",H46,IFERROR(G46/INDEX(Players!$M$2:$M$56,MATCH(B46,Players!$A$2:$A$56,0)),""))</f>
        <v>0.76</v>
      </c>
    </row>
    <row r="47" customFormat="false" ht="15" hidden="false" customHeight="false" outlineLevel="0" collapsed="false">
      <c r="A47" s="0" t="s">
        <v>1087</v>
      </c>
      <c r="B47" s="0" t="s">
        <v>868</v>
      </c>
      <c r="C47" s="0" t="s">
        <v>703</v>
      </c>
      <c r="D47" s="0" t="s">
        <v>608</v>
      </c>
      <c r="E47" s="0" t="s">
        <v>208</v>
      </c>
      <c r="F47" s="0" t="n">
        <v>7</v>
      </c>
      <c r="G47" s="0" t="n">
        <v>14.9</v>
      </c>
      <c r="H47" s="0" t="n">
        <v>0.7</v>
      </c>
      <c r="I47" s="10" t="n">
        <v>0.394</v>
      </c>
      <c r="J47" s="0" t="n">
        <v>0.94</v>
      </c>
      <c r="K47" s="13" t="n">
        <f aca="false">IF(H47&lt;&gt;"",H47,IFERROR(G47/INDEX(Players!$M$2:$M$56,MATCH(B47,Players!$A$2:$A$56,0)),""))</f>
        <v>0.7</v>
      </c>
    </row>
    <row r="48" customFormat="false" ht="15" hidden="false" customHeight="false" outlineLevel="0" collapsed="false">
      <c r="A48" s="0" t="s">
        <v>1088</v>
      </c>
      <c r="B48" s="0" t="s">
        <v>868</v>
      </c>
      <c r="C48" s="0" t="s">
        <v>703</v>
      </c>
      <c r="D48" s="0" t="s">
        <v>608</v>
      </c>
      <c r="E48" s="0" t="s">
        <v>221</v>
      </c>
      <c r="F48" s="0" t="n">
        <v>6</v>
      </c>
      <c r="G48" s="0" t="n">
        <v>16.7</v>
      </c>
      <c r="H48" s="0" t="n">
        <v>0.82</v>
      </c>
      <c r="I48" s="10" t="n">
        <v>0.36</v>
      </c>
      <c r="J48" s="0" t="n">
        <v>1.14</v>
      </c>
      <c r="K48" s="13" t="n">
        <f aca="false">IF(H48&lt;&gt;"",H48,IFERROR(G48/INDEX(Players!$M$2:$M$56,MATCH(B48,Players!$A$2:$A$56,0)),""))</f>
        <v>0.82</v>
      </c>
    </row>
    <row r="49" customFormat="false" ht="15" hidden="false" customHeight="false" outlineLevel="0" collapsed="false">
      <c r="A49" s="0" t="s">
        <v>1089</v>
      </c>
      <c r="B49" s="0" t="s">
        <v>868</v>
      </c>
      <c r="C49" s="0" t="s">
        <v>703</v>
      </c>
      <c r="D49" s="0" t="s">
        <v>608</v>
      </c>
      <c r="E49" s="0" t="s">
        <v>197</v>
      </c>
      <c r="F49" s="0" t="n">
        <v>4</v>
      </c>
      <c r="G49" s="0" t="n">
        <v>15.5</v>
      </c>
      <c r="H49" s="0" t="n">
        <v>0.69</v>
      </c>
      <c r="I49" s="10" t="n">
        <v>0.468</v>
      </c>
      <c r="J49" s="0" t="n">
        <v>0.98</v>
      </c>
      <c r="K49" s="13" t="n">
        <f aca="false">IF(H49&lt;&gt;"",H49,IFERROR(G49/INDEX(Players!$M$2:$M$56,MATCH(B49,Players!$A$2:$A$56,0)),""))</f>
        <v>0.69</v>
      </c>
    </row>
    <row r="50" customFormat="false" ht="15" hidden="false" customHeight="false" outlineLevel="0" collapsed="false">
      <c r="A50" s="0" t="s">
        <v>1090</v>
      </c>
      <c r="B50" s="0" t="s">
        <v>868</v>
      </c>
      <c r="C50" s="0" t="s">
        <v>703</v>
      </c>
      <c r="D50" s="0" t="s">
        <v>608</v>
      </c>
      <c r="E50" s="0" t="s">
        <v>228</v>
      </c>
      <c r="F50" s="0" t="n">
        <v>3</v>
      </c>
      <c r="G50" s="0" t="n">
        <v>15.7</v>
      </c>
      <c r="H50" s="0" t="n">
        <v>0.71</v>
      </c>
      <c r="I50" s="10" t="n">
        <v>0.574</v>
      </c>
      <c r="J50" s="0" t="n">
        <v>1.24</v>
      </c>
      <c r="K50" s="13" t="n">
        <f aca="false">IF(H50&lt;&gt;"",H50,IFERROR(G50/INDEX(Players!$M$2:$M$56,MATCH(B50,Players!$A$2:$A$56,0)),""))</f>
        <v>0.71</v>
      </c>
    </row>
    <row r="51" customFormat="false" ht="15" hidden="false" customHeight="false" outlineLevel="0" collapsed="false">
      <c r="A51" s="0" t="s">
        <v>1091</v>
      </c>
      <c r="B51" s="0" t="s">
        <v>868</v>
      </c>
      <c r="C51" s="0" t="s">
        <v>703</v>
      </c>
      <c r="D51" s="0" t="s">
        <v>608</v>
      </c>
      <c r="E51" s="0" t="s">
        <v>183</v>
      </c>
      <c r="F51" s="0" t="n">
        <v>2</v>
      </c>
      <c r="G51" s="0" t="n">
        <v>19.5</v>
      </c>
      <c r="H51" s="0" t="n">
        <v>1.05</v>
      </c>
      <c r="I51" s="10" t="n">
        <v>0.487</v>
      </c>
      <c r="J51" s="0" t="n">
        <v>1.86</v>
      </c>
      <c r="K51" s="13" t="n">
        <f aca="false">IF(H51&lt;&gt;"",H51,IFERROR(G51/INDEX(Players!$M$2:$M$56,MATCH(B51,Players!$A$2:$A$56,0)),""))</f>
        <v>1.05</v>
      </c>
    </row>
    <row r="52" customFormat="false" ht="15" hidden="false" customHeight="false" outlineLevel="0" collapsed="false">
      <c r="A52" s="0" t="s">
        <v>1092</v>
      </c>
      <c r="B52" s="0" t="s">
        <v>868</v>
      </c>
      <c r="C52" s="0" t="s">
        <v>703</v>
      </c>
      <c r="D52" s="0" t="s">
        <v>608</v>
      </c>
      <c r="E52" s="0" t="s">
        <v>245</v>
      </c>
      <c r="F52" s="0" t="n">
        <v>2</v>
      </c>
      <c r="G52" s="0" t="n">
        <v>13.5</v>
      </c>
      <c r="H52" s="0" t="n">
        <v>0.75</v>
      </c>
      <c r="I52" s="10" t="n">
        <v>0.296</v>
      </c>
      <c r="J52" s="0" t="n">
        <v>0.93</v>
      </c>
      <c r="K52" s="13" t="n">
        <f aca="false">IF(H52&lt;&gt;"",H52,IFERROR(G52/INDEX(Players!$M$2:$M$56,MATCH(B52,Players!$A$2:$A$56,0)),""))</f>
        <v>0.75</v>
      </c>
    </row>
    <row r="53" customFormat="false" ht="15" hidden="false" customHeight="false" outlineLevel="0" collapsed="false">
      <c r="A53" s="0" t="s">
        <v>1093</v>
      </c>
      <c r="B53" s="0" t="s">
        <v>876</v>
      </c>
      <c r="C53" s="0" t="s">
        <v>721</v>
      </c>
      <c r="D53" s="0" t="s">
        <v>608</v>
      </c>
      <c r="E53" s="0" t="s">
        <v>183</v>
      </c>
      <c r="F53" s="0" t="n">
        <v>11</v>
      </c>
      <c r="G53" s="0" t="n">
        <v>12.5</v>
      </c>
      <c r="H53" s="0" t="n">
        <v>0.55</v>
      </c>
      <c r="I53" s="10" t="n">
        <v>0.457</v>
      </c>
      <c r="J53" s="0" t="n">
        <v>0.88</v>
      </c>
      <c r="K53" s="13" t="n">
        <f aca="false">IF(H53&lt;&gt;"",H53,IFERROR(G53/INDEX(Players!$M$2:$M$56,MATCH(B53,Players!$A$2:$A$56,0)),""))</f>
        <v>0.55</v>
      </c>
    </row>
    <row r="54" customFormat="false" ht="15" hidden="false" customHeight="false" outlineLevel="0" collapsed="false">
      <c r="A54" s="0" t="s">
        <v>1094</v>
      </c>
      <c r="B54" s="0" t="s">
        <v>876</v>
      </c>
      <c r="C54" s="0" t="s">
        <v>721</v>
      </c>
      <c r="D54" s="0" t="s">
        <v>608</v>
      </c>
      <c r="E54" s="0" t="s">
        <v>197</v>
      </c>
      <c r="F54" s="0" t="n">
        <v>9</v>
      </c>
      <c r="G54" s="0" t="n">
        <v>10.3</v>
      </c>
      <c r="H54" s="0" t="n">
        <v>0.51</v>
      </c>
      <c r="I54" s="10" t="n">
        <v>0.441</v>
      </c>
      <c r="J54" s="0" t="n">
        <v>0.7</v>
      </c>
      <c r="K54" s="13" t="n">
        <f aca="false">IF(H54&lt;&gt;"",H54,IFERROR(G54/INDEX(Players!$M$2:$M$56,MATCH(B54,Players!$A$2:$A$56,0)),""))</f>
        <v>0.51</v>
      </c>
    </row>
    <row r="55" customFormat="false" ht="15" hidden="false" customHeight="false" outlineLevel="0" collapsed="false">
      <c r="A55" s="0" t="s">
        <v>1095</v>
      </c>
      <c r="B55" s="0" t="s">
        <v>876</v>
      </c>
      <c r="C55" s="0" t="s">
        <v>721</v>
      </c>
      <c r="D55" s="0" t="s">
        <v>608</v>
      </c>
      <c r="E55" s="0" t="s">
        <v>208</v>
      </c>
      <c r="F55" s="0" t="n">
        <v>7</v>
      </c>
      <c r="G55" s="0" t="n">
        <v>9.9</v>
      </c>
      <c r="H55" s="0" t="n">
        <v>0.49</v>
      </c>
      <c r="I55" s="10" t="n">
        <v>0.435</v>
      </c>
      <c r="J55" s="0" t="n">
        <v>0.64</v>
      </c>
      <c r="K55" s="13" t="n">
        <f aca="false">IF(H55&lt;&gt;"",H55,IFERROR(G55/INDEX(Players!$M$2:$M$56,MATCH(B55,Players!$A$2:$A$56,0)),""))</f>
        <v>0.49</v>
      </c>
    </row>
    <row r="56" customFormat="false" ht="15" hidden="false" customHeight="false" outlineLevel="0" collapsed="false">
      <c r="A56" s="0" t="s">
        <v>1096</v>
      </c>
      <c r="B56" s="0" t="s">
        <v>876</v>
      </c>
      <c r="C56" s="0" t="s">
        <v>721</v>
      </c>
      <c r="D56" s="0" t="s">
        <v>608</v>
      </c>
      <c r="E56" s="0" t="s">
        <v>228</v>
      </c>
      <c r="F56" s="0" t="n">
        <v>6</v>
      </c>
      <c r="G56" s="0" t="n">
        <v>13.5</v>
      </c>
      <c r="H56" s="0" t="n">
        <v>0.65</v>
      </c>
      <c r="I56" s="10" t="n">
        <v>0.506</v>
      </c>
      <c r="J56" s="0" t="n">
        <v>0.92</v>
      </c>
      <c r="K56" s="13" t="n">
        <f aca="false">IF(H56&lt;&gt;"",H56,IFERROR(G56/INDEX(Players!$M$2:$M$56,MATCH(B56,Players!$A$2:$A$56,0)),""))</f>
        <v>0.65</v>
      </c>
    </row>
    <row r="57" customFormat="false" ht="15" hidden="false" customHeight="false" outlineLevel="0" collapsed="false">
      <c r="A57" s="0" t="s">
        <v>1097</v>
      </c>
      <c r="B57" s="0" t="s">
        <v>876</v>
      </c>
      <c r="C57" s="0" t="s">
        <v>721</v>
      </c>
      <c r="D57" s="0" t="s">
        <v>608</v>
      </c>
      <c r="E57" s="0" t="s">
        <v>245</v>
      </c>
      <c r="F57" s="0" t="n">
        <v>3</v>
      </c>
      <c r="G57" s="0" t="n">
        <v>13.7</v>
      </c>
      <c r="H57" s="0" t="n">
        <v>0.52</v>
      </c>
      <c r="I57" s="10" t="n">
        <v>0.488</v>
      </c>
      <c r="J57" s="0" t="n">
        <v>0.76</v>
      </c>
      <c r="K57" s="13" t="n">
        <f aca="false">IF(H57&lt;&gt;"",H57,IFERROR(G57/INDEX(Players!$M$2:$M$56,MATCH(B57,Players!$A$2:$A$56,0)),""))</f>
        <v>0.52</v>
      </c>
    </row>
    <row r="58" customFormat="false" ht="15" hidden="false" customHeight="false" outlineLevel="0" collapsed="false">
      <c r="A58" s="0" t="s">
        <v>1098</v>
      </c>
      <c r="B58" s="0" t="s">
        <v>876</v>
      </c>
      <c r="C58" s="0" t="s">
        <v>721</v>
      </c>
      <c r="D58" s="0" t="s">
        <v>608</v>
      </c>
      <c r="E58" s="0" t="s">
        <v>234</v>
      </c>
      <c r="F58" s="0" t="n">
        <v>1</v>
      </c>
      <c r="G58" s="0" t="n">
        <v>12</v>
      </c>
      <c r="H58" s="0" t="n">
        <v>0.63</v>
      </c>
      <c r="I58" s="10" t="n">
        <v>0.5</v>
      </c>
      <c r="J58" s="0" t="n">
        <v>0.8</v>
      </c>
      <c r="K58" s="13" t="n">
        <f aca="false">IF(H58&lt;&gt;"",H58,IFERROR(G58/INDEX(Players!$M$2:$M$56,MATCH(B58,Players!$A$2:$A$56,0)),""))</f>
        <v>0.63</v>
      </c>
    </row>
    <row r="59" customFormat="false" ht="15" hidden="false" customHeight="false" outlineLevel="0" collapsed="false">
      <c r="A59" s="0" t="s">
        <v>1099</v>
      </c>
      <c r="B59" s="0" t="s">
        <v>878</v>
      </c>
      <c r="C59" s="0" t="s">
        <v>725</v>
      </c>
      <c r="D59" s="0" t="s">
        <v>608</v>
      </c>
      <c r="E59" s="0" t="s">
        <v>228</v>
      </c>
      <c r="F59" s="0" t="n">
        <v>8</v>
      </c>
      <c r="G59" s="0" t="n">
        <v>20.3</v>
      </c>
      <c r="H59" s="0" t="n">
        <v>0.87</v>
      </c>
      <c r="I59" s="10" t="n">
        <v>0.574</v>
      </c>
      <c r="J59" s="0" t="n">
        <v>1.34</v>
      </c>
      <c r="K59" s="13" t="n">
        <f aca="false">IF(H59&lt;&gt;"",H59,IFERROR(G59/INDEX(Players!$M$2:$M$56,MATCH(B59,Players!$A$2:$A$56,0)),""))</f>
        <v>0.87</v>
      </c>
    </row>
    <row r="60" customFormat="false" ht="15" hidden="false" customHeight="false" outlineLevel="0" collapsed="false">
      <c r="A60" s="0" t="s">
        <v>1100</v>
      </c>
      <c r="B60" s="0" t="s">
        <v>878</v>
      </c>
      <c r="C60" s="0" t="s">
        <v>725</v>
      </c>
      <c r="D60" s="0" t="s">
        <v>608</v>
      </c>
      <c r="E60" s="0" t="s">
        <v>197</v>
      </c>
      <c r="F60" s="0" t="n">
        <v>7</v>
      </c>
      <c r="G60" s="0" t="n">
        <v>22</v>
      </c>
      <c r="H60" s="0" t="n">
        <v>0.8</v>
      </c>
      <c r="I60" s="10" t="n">
        <v>0.63</v>
      </c>
      <c r="J60" s="0" t="n">
        <v>1.11</v>
      </c>
      <c r="K60" s="13" t="n">
        <f aca="false">IF(H60&lt;&gt;"",H60,IFERROR(G60/INDEX(Players!$M$2:$M$56,MATCH(B60,Players!$A$2:$A$56,0)),""))</f>
        <v>0.8</v>
      </c>
    </row>
    <row r="61" customFormat="false" ht="15" hidden="false" customHeight="false" outlineLevel="0" collapsed="false">
      <c r="A61" s="0" t="s">
        <v>1101</v>
      </c>
      <c r="B61" s="0" t="s">
        <v>878</v>
      </c>
      <c r="C61" s="0" t="s">
        <v>725</v>
      </c>
      <c r="D61" s="0" t="s">
        <v>608</v>
      </c>
      <c r="E61" s="0" t="s">
        <v>208</v>
      </c>
      <c r="F61" s="0" t="n">
        <v>6</v>
      </c>
      <c r="G61" s="0" t="n">
        <v>19.8</v>
      </c>
      <c r="H61" s="0" t="n">
        <v>0.89</v>
      </c>
      <c r="I61" s="10" t="n">
        <v>0.513</v>
      </c>
      <c r="J61" s="0" t="n">
        <v>1.59</v>
      </c>
      <c r="K61" s="13" t="n">
        <f aca="false">IF(H61&lt;&gt;"",H61,IFERROR(G61/INDEX(Players!$M$2:$M$56,MATCH(B61,Players!$A$2:$A$56,0)),""))</f>
        <v>0.89</v>
      </c>
    </row>
    <row r="62" customFormat="false" ht="15" hidden="false" customHeight="false" outlineLevel="0" collapsed="false">
      <c r="A62" s="0" t="s">
        <v>1102</v>
      </c>
      <c r="B62" s="0" t="s">
        <v>878</v>
      </c>
      <c r="C62" s="0" t="s">
        <v>725</v>
      </c>
      <c r="D62" s="0" t="s">
        <v>608</v>
      </c>
      <c r="E62" s="0" t="s">
        <v>234</v>
      </c>
      <c r="F62" s="0" t="n">
        <v>5</v>
      </c>
      <c r="G62" s="0" t="n">
        <v>17.2</v>
      </c>
      <c r="H62" s="0" t="n">
        <v>0.75</v>
      </c>
      <c r="I62" s="10" t="n">
        <v>0.651</v>
      </c>
      <c r="J62" s="0" t="n">
        <v>1.06</v>
      </c>
      <c r="K62" s="13" t="n">
        <f aca="false">IF(H62&lt;&gt;"",H62,IFERROR(G62/INDEX(Players!$M$2:$M$56,MATCH(B62,Players!$A$2:$A$56,0)),""))</f>
        <v>0.75</v>
      </c>
    </row>
    <row r="63" customFormat="false" ht="15" hidden="false" customHeight="false" outlineLevel="0" collapsed="false">
      <c r="A63" s="0" t="s">
        <v>1103</v>
      </c>
      <c r="B63" s="0" t="s">
        <v>878</v>
      </c>
      <c r="C63" s="0" t="s">
        <v>725</v>
      </c>
      <c r="D63" s="0" t="s">
        <v>608</v>
      </c>
      <c r="E63" s="0" t="s">
        <v>221</v>
      </c>
      <c r="F63" s="0" t="n">
        <v>4</v>
      </c>
      <c r="G63" s="0" t="n">
        <v>16.8</v>
      </c>
      <c r="H63" s="0" t="n">
        <v>0.78</v>
      </c>
      <c r="I63" s="10" t="n">
        <v>0.657</v>
      </c>
      <c r="J63" s="0" t="n">
        <v>1.18</v>
      </c>
      <c r="K63" s="13" t="n">
        <f aca="false">IF(H63&lt;&gt;"",H63,IFERROR(G63/INDEX(Players!$M$2:$M$56,MATCH(B63,Players!$A$2:$A$56,0)),""))</f>
        <v>0.78</v>
      </c>
    </row>
    <row r="64" customFormat="false" ht="15" hidden="false" customHeight="false" outlineLevel="0" collapsed="false">
      <c r="A64" s="0" t="s">
        <v>1104</v>
      </c>
      <c r="B64" s="0" t="s">
        <v>878</v>
      </c>
      <c r="C64" s="0" t="s">
        <v>725</v>
      </c>
      <c r="D64" s="0" t="s">
        <v>608</v>
      </c>
      <c r="E64" s="0" t="s">
        <v>183</v>
      </c>
      <c r="F64" s="0" t="n">
        <v>1</v>
      </c>
      <c r="G64" s="0" t="n">
        <v>18</v>
      </c>
      <c r="H64" s="0" t="n">
        <v>0.75</v>
      </c>
      <c r="I64" s="10" t="n">
        <v>0.778</v>
      </c>
      <c r="J64" s="0" t="n">
        <v>1.13</v>
      </c>
      <c r="K64" s="13" t="n">
        <f aca="false">IF(H64&lt;&gt;"",H64,IFERROR(G64/INDEX(Players!$M$2:$M$56,MATCH(B64,Players!$A$2:$A$56,0)),""))</f>
        <v>0.75</v>
      </c>
    </row>
    <row r="65" customFormat="false" ht="15" hidden="false" customHeight="false" outlineLevel="0" collapsed="false">
      <c r="A65" s="0" t="s">
        <v>1105</v>
      </c>
      <c r="B65" s="0" t="s">
        <v>869</v>
      </c>
      <c r="C65" s="0" t="s">
        <v>705</v>
      </c>
      <c r="D65" s="0" t="s">
        <v>608</v>
      </c>
      <c r="E65" s="0" t="s">
        <v>234</v>
      </c>
      <c r="F65" s="0" t="n">
        <v>8</v>
      </c>
      <c r="G65" s="0" t="n">
        <v>16.1</v>
      </c>
      <c r="H65" s="0" t="n">
        <v>0.72</v>
      </c>
      <c r="I65" s="10" t="n">
        <v>0.535</v>
      </c>
      <c r="J65" s="0" t="n">
        <v>1.1</v>
      </c>
      <c r="K65" s="13" t="n">
        <f aca="false">IF(H65&lt;&gt;"",H65,IFERROR(G65/INDEX(Players!$M$2:$M$56,MATCH(B65,Players!$A$2:$A$56,0)),""))</f>
        <v>0.72</v>
      </c>
    </row>
    <row r="66" customFormat="false" ht="15" hidden="false" customHeight="false" outlineLevel="0" collapsed="false">
      <c r="A66" s="0" t="s">
        <v>1106</v>
      </c>
      <c r="B66" s="0" t="s">
        <v>869</v>
      </c>
      <c r="C66" s="0" t="s">
        <v>705</v>
      </c>
      <c r="D66" s="0" t="s">
        <v>608</v>
      </c>
      <c r="E66" s="0" t="s">
        <v>221</v>
      </c>
      <c r="F66" s="0" t="n">
        <v>6</v>
      </c>
      <c r="G66" s="0" t="n">
        <v>14</v>
      </c>
      <c r="H66" s="0" t="n">
        <v>0.61</v>
      </c>
      <c r="I66" s="10" t="n">
        <v>0.548</v>
      </c>
      <c r="J66" s="0" t="n">
        <v>0.9</v>
      </c>
      <c r="K66" s="13" t="n">
        <f aca="false">IF(H66&lt;&gt;"",H66,IFERROR(G66/INDEX(Players!$M$2:$M$56,MATCH(B66,Players!$A$2:$A$56,0)),""))</f>
        <v>0.61</v>
      </c>
    </row>
    <row r="67" customFormat="false" ht="15" hidden="false" customHeight="false" outlineLevel="0" collapsed="false">
      <c r="A67" s="0" t="s">
        <v>1107</v>
      </c>
      <c r="B67" s="0" t="s">
        <v>869</v>
      </c>
      <c r="C67" s="0" t="s">
        <v>705</v>
      </c>
      <c r="D67" s="0" t="s">
        <v>608</v>
      </c>
      <c r="E67" s="0" t="s">
        <v>245</v>
      </c>
      <c r="F67" s="0" t="n">
        <v>6</v>
      </c>
      <c r="G67" s="0" t="n">
        <v>13</v>
      </c>
      <c r="H67" s="0" t="n">
        <v>0.57</v>
      </c>
      <c r="I67" s="10" t="n">
        <v>0.59</v>
      </c>
      <c r="J67" s="0" t="n">
        <v>0.8</v>
      </c>
      <c r="K67" s="13" t="n">
        <f aca="false">IF(H67&lt;&gt;"",H67,IFERROR(G67/INDEX(Players!$M$2:$M$56,MATCH(B67,Players!$A$2:$A$56,0)),""))</f>
        <v>0.57</v>
      </c>
    </row>
    <row r="68" customFormat="false" ht="15" hidden="false" customHeight="false" outlineLevel="0" collapsed="false">
      <c r="A68" s="0" t="s">
        <v>1108</v>
      </c>
      <c r="B68" s="0" t="s">
        <v>869</v>
      </c>
      <c r="C68" s="0" t="s">
        <v>705</v>
      </c>
      <c r="D68" s="0" t="s">
        <v>608</v>
      </c>
      <c r="E68" s="0" t="s">
        <v>228</v>
      </c>
      <c r="F68" s="0" t="n">
        <v>5</v>
      </c>
      <c r="G68" s="0" t="n">
        <v>10.6</v>
      </c>
      <c r="H68" s="0" t="n">
        <v>0.51</v>
      </c>
      <c r="I68" s="10" t="n">
        <v>0.509</v>
      </c>
      <c r="J68" s="0" t="n">
        <v>0.79</v>
      </c>
      <c r="K68" s="13" t="n">
        <f aca="false">IF(H68&lt;&gt;"",H68,IFERROR(G68/INDEX(Players!$M$2:$M$56,MATCH(B68,Players!$A$2:$A$56,0)),""))</f>
        <v>0.51</v>
      </c>
    </row>
    <row r="69" customFormat="false" ht="15" hidden="false" customHeight="false" outlineLevel="0" collapsed="false">
      <c r="A69" s="0" t="s">
        <v>1109</v>
      </c>
      <c r="B69" s="0" t="s">
        <v>869</v>
      </c>
      <c r="C69" s="0" t="s">
        <v>705</v>
      </c>
      <c r="D69" s="0" t="s">
        <v>608</v>
      </c>
      <c r="E69" s="0" t="s">
        <v>183</v>
      </c>
      <c r="F69" s="0" t="n">
        <v>4</v>
      </c>
      <c r="G69" s="0" t="n">
        <v>15.5</v>
      </c>
      <c r="H69" s="0" t="n">
        <v>0.67</v>
      </c>
      <c r="I69" s="10" t="n">
        <v>0.516</v>
      </c>
      <c r="J69" s="0" t="n">
        <v>0.93</v>
      </c>
      <c r="K69" s="13" t="n">
        <f aca="false">IF(H69&lt;&gt;"",H69,IFERROR(G69/INDEX(Players!$M$2:$M$56,MATCH(B69,Players!$A$2:$A$56,0)),""))</f>
        <v>0.67</v>
      </c>
    </row>
    <row r="70" customFormat="false" ht="15" hidden="false" customHeight="false" outlineLevel="0" collapsed="false">
      <c r="A70" s="0" t="s">
        <v>1110</v>
      </c>
      <c r="B70" s="0" t="s">
        <v>869</v>
      </c>
      <c r="C70" s="0" t="s">
        <v>705</v>
      </c>
      <c r="D70" s="0" t="s">
        <v>608</v>
      </c>
      <c r="E70" s="0" t="s">
        <v>197</v>
      </c>
      <c r="F70" s="0" t="n">
        <v>4</v>
      </c>
      <c r="G70" s="0" t="n">
        <v>10</v>
      </c>
      <c r="H70" s="0" t="n">
        <v>0.53</v>
      </c>
      <c r="I70" s="10" t="n">
        <v>0.55</v>
      </c>
      <c r="J70" s="0" t="n">
        <v>0.7</v>
      </c>
      <c r="K70" s="13" t="n">
        <f aca="false">IF(H70&lt;&gt;"",H70,IFERROR(G70/INDEX(Players!$M$2:$M$56,MATCH(B70,Players!$A$2:$A$56,0)),""))</f>
        <v>0.53</v>
      </c>
    </row>
    <row r="71" customFormat="false" ht="15" hidden="false" customHeight="false" outlineLevel="0" collapsed="false">
      <c r="A71" s="0" t="s">
        <v>1111</v>
      </c>
      <c r="B71" s="0" t="s">
        <v>869</v>
      </c>
      <c r="C71" s="0" t="s">
        <v>705</v>
      </c>
      <c r="D71" s="0" t="s">
        <v>608</v>
      </c>
      <c r="E71" s="0" t="s">
        <v>208</v>
      </c>
      <c r="F71" s="0" t="n">
        <v>3</v>
      </c>
      <c r="G71" s="0" t="n">
        <v>14.3</v>
      </c>
      <c r="H71" s="0" t="n">
        <v>0.62</v>
      </c>
      <c r="I71" s="10" t="n">
        <v>0.535</v>
      </c>
      <c r="J71" s="0" t="n">
        <v>0.88</v>
      </c>
      <c r="K71" s="13" t="n">
        <f aca="false">IF(H71&lt;&gt;"",H71,IFERROR(G71/INDEX(Players!$M$2:$M$56,MATCH(B71,Players!$A$2:$A$56,0)),""))</f>
        <v>0.62</v>
      </c>
    </row>
    <row r="72" customFormat="false" ht="15" hidden="false" customHeight="false" outlineLevel="0" collapsed="false">
      <c r="A72" s="0" t="s">
        <v>1112</v>
      </c>
      <c r="B72" s="0" t="s">
        <v>879</v>
      </c>
      <c r="C72" s="0" t="s">
        <v>728</v>
      </c>
      <c r="D72" s="0" t="s">
        <v>608</v>
      </c>
      <c r="E72" s="0" t="s">
        <v>228</v>
      </c>
      <c r="F72" s="0" t="n">
        <v>8</v>
      </c>
      <c r="G72" s="0" t="n">
        <v>17.3</v>
      </c>
      <c r="H72" s="0" t="n">
        <v>0.74</v>
      </c>
      <c r="I72" s="10" t="n">
        <v>0.486</v>
      </c>
      <c r="J72" s="0" t="n">
        <v>1.11</v>
      </c>
      <c r="K72" s="13" t="n">
        <f aca="false">IF(H72&lt;&gt;"",H72,IFERROR(G72/INDEX(Players!$M$2:$M$56,MATCH(B72,Players!$A$2:$A$56,0)),""))</f>
        <v>0.74</v>
      </c>
    </row>
    <row r="73" customFormat="false" ht="15" hidden="false" customHeight="false" outlineLevel="0" collapsed="false">
      <c r="A73" s="0" t="s">
        <v>1113</v>
      </c>
      <c r="B73" s="0" t="s">
        <v>879</v>
      </c>
      <c r="C73" s="0" t="s">
        <v>728</v>
      </c>
      <c r="D73" s="0" t="s">
        <v>608</v>
      </c>
      <c r="E73" s="0" t="s">
        <v>197</v>
      </c>
      <c r="F73" s="0" t="n">
        <v>7</v>
      </c>
      <c r="G73" s="0" t="n">
        <v>18.4</v>
      </c>
      <c r="H73" s="0" t="n">
        <v>0.67</v>
      </c>
      <c r="I73" s="10" t="n">
        <v>0.597</v>
      </c>
      <c r="J73" s="0" t="n">
        <v>0.91</v>
      </c>
      <c r="K73" s="13" t="n">
        <f aca="false">IF(H73&lt;&gt;"",H73,IFERROR(G73/INDEX(Players!$M$2:$M$56,MATCH(B73,Players!$A$2:$A$56,0)),""))</f>
        <v>0.67</v>
      </c>
    </row>
    <row r="74" customFormat="false" ht="15" hidden="false" customHeight="false" outlineLevel="0" collapsed="false">
      <c r="A74" s="0" t="s">
        <v>1114</v>
      </c>
      <c r="B74" s="0" t="s">
        <v>879</v>
      </c>
      <c r="C74" s="0" t="s">
        <v>728</v>
      </c>
      <c r="D74" s="0" t="s">
        <v>608</v>
      </c>
      <c r="E74" s="0" t="s">
        <v>208</v>
      </c>
      <c r="F74" s="0" t="n">
        <v>6</v>
      </c>
      <c r="G74" s="0" t="n">
        <v>17.2</v>
      </c>
      <c r="H74" s="0" t="n">
        <v>0.77</v>
      </c>
      <c r="I74" s="10" t="n">
        <v>0.573</v>
      </c>
      <c r="J74" s="0" t="n">
        <v>1.08</v>
      </c>
      <c r="K74" s="13" t="n">
        <f aca="false">IF(H74&lt;&gt;"",H74,IFERROR(G74/INDEX(Players!$M$2:$M$56,MATCH(B74,Players!$A$2:$A$56,0)),""))</f>
        <v>0.77</v>
      </c>
    </row>
    <row r="75" customFormat="false" ht="15" hidden="false" customHeight="false" outlineLevel="0" collapsed="false">
      <c r="A75" s="0" t="s">
        <v>1115</v>
      </c>
      <c r="B75" s="0" t="s">
        <v>879</v>
      </c>
      <c r="C75" s="0" t="s">
        <v>728</v>
      </c>
      <c r="D75" s="0" t="s">
        <v>608</v>
      </c>
      <c r="E75" s="0" t="s">
        <v>234</v>
      </c>
      <c r="F75" s="0" t="n">
        <v>5</v>
      </c>
      <c r="G75" s="0" t="n">
        <v>12.2</v>
      </c>
      <c r="H75" s="0" t="n">
        <v>0.53</v>
      </c>
      <c r="I75" s="10" t="n">
        <v>0.525</v>
      </c>
      <c r="J75" s="0" t="n">
        <v>0.75</v>
      </c>
      <c r="K75" s="13" t="n">
        <f aca="false">IF(H75&lt;&gt;"",H75,IFERROR(G75/INDEX(Players!$M$2:$M$56,MATCH(B75,Players!$A$2:$A$56,0)),""))</f>
        <v>0.53</v>
      </c>
    </row>
    <row r="76" customFormat="false" ht="15" hidden="false" customHeight="false" outlineLevel="0" collapsed="false">
      <c r="A76" s="0" t="s">
        <v>1116</v>
      </c>
      <c r="B76" s="0" t="s">
        <v>879</v>
      </c>
      <c r="C76" s="0" t="s">
        <v>728</v>
      </c>
      <c r="D76" s="0" t="s">
        <v>608</v>
      </c>
      <c r="E76" s="0" t="s">
        <v>221</v>
      </c>
      <c r="F76" s="0" t="n">
        <v>4</v>
      </c>
      <c r="G76" s="0" t="n">
        <v>12.8</v>
      </c>
      <c r="H76" s="0" t="n">
        <v>0.59</v>
      </c>
      <c r="I76" s="10" t="n">
        <v>0.686</v>
      </c>
      <c r="J76" s="0" t="n">
        <v>0.93</v>
      </c>
      <c r="K76" s="13" t="n">
        <f aca="false">IF(H76&lt;&gt;"",H76,IFERROR(G76/INDEX(Players!$M$2:$M$56,MATCH(B76,Players!$A$2:$A$56,0)),""))</f>
        <v>0.59</v>
      </c>
    </row>
    <row r="77" customFormat="false" ht="15" hidden="false" customHeight="false" outlineLevel="0" collapsed="false">
      <c r="A77" s="0" t="s">
        <v>1117</v>
      </c>
      <c r="B77" s="0" t="s">
        <v>879</v>
      </c>
      <c r="C77" s="0" t="s">
        <v>728</v>
      </c>
      <c r="D77" s="0" t="s">
        <v>608</v>
      </c>
      <c r="E77" s="0" t="s">
        <v>183</v>
      </c>
      <c r="F77" s="0" t="n">
        <v>1</v>
      </c>
      <c r="G77" s="0" t="n">
        <v>20</v>
      </c>
      <c r="H77" s="0" t="n">
        <v>0.83</v>
      </c>
      <c r="I77" s="10" t="n">
        <v>0.7</v>
      </c>
      <c r="J77" s="0" t="n">
        <v>1.25</v>
      </c>
      <c r="K77" s="13" t="n">
        <f aca="false">IF(H77&lt;&gt;"",H77,IFERROR(G77/INDEX(Players!$M$2:$M$56,MATCH(B77,Players!$A$2:$A$56,0)),""))</f>
        <v>0.83</v>
      </c>
    </row>
    <row r="78" customFormat="false" ht="15" hidden="false" customHeight="false" outlineLevel="0" collapsed="false">
      <c r="A78" s="0" t="s">
        <v>1118</v>
      </c>
      <c r="B78" s="0" t="s">
        <v>870</v>
      </c>
      <c r="C78" s="0" t="s">
        <v>707</v>
      </c>
      <c r="D78" s="0" t="s">
        <v>608</v>
      </c>
      <c r="E78" s="0" t="s">
        <v>234</v>
      </c>
      <c r="F78" s="0" t="n">
        <v>9</v>
      </c>
      <c r="G78" s="0" t="n">
        <v>14.1</v>
      </c>
      <c r="H78" s="0" t="n">
        <v>0.68</v>
      </c>
      <c r="I78" s="10" t="n">
        <v>0.606</v>
      </c>
      <c r="J78" s="0" t="n">
        <v>1.08</v>
      </c>
      <c r="K78" s="13" t="n">
        <f aca="false">IF(H78&lt;&gt;"",H78,IFERROR(G78/INDEX(Players!$M$2:$M$56,MATCH(B78,Players!$A$2:$A$56,0)),""))</f>
        <v>0.68</v>
      </c>
    </row>
    <row r="79" customFormat="false" ht="15" hidden="false" customHeight="false" outlineLevel="0" collapsed="false">
      <c r="A79" s="0" t="s">
        <v>1119</v>
      </c>
      <c r="B79" s="0" t="s">
        <v>870</v>
      </c>
      <c r="C79" s="0" t="s">
        <v>707</v>
      </c>
      <c r="D79" s="0" t="s">
        <v>608</v>
      </c>
      <c r="E79" s="0" t="s">
        <v>208</v>
      </c>
      <c r="F79" s="0" t="n">
        <v>7</v>
      </c>
      <c r="G79" s="0" t="n">
        <v>13.6</v>
      </c>
      <c r="H79" s="0" t="n">
        <v>0.63</v>
      </c>
      <c r="I79" s="10" t="n">
        <v>0.589</v>
      </c>
      <c r="J79" s="0" t="n">
        <v>0.88</v>
      </c>
      <c r="K79" s="13" t="n">
        <f aca="false">IF(H79&lt;&gt;"",H79,IFERROR(G79/INDEX(Players!$M$2:$M$56,MATCH(B79,Players!$A$2:$A$56,0)),""))</f>
        <v>0.63</v>
      </c>
    </row>
    <row r="80" customFormat="false" ht="15" hidden="false" customHeight="false" outlineLevel="0" collapsed="false">
      <c r="A80" s="0" t="s">
        <v>1120</v>
      </c>
      <c r="B80" s="0" t="s">
        <v>870</v>
      </c>
      <c r="C80" s="0" t="s">
        <v>707</v>
      </c>
      <c r="D80" s="0" t="s">
        <v>608</v>
      </c>
      <c r="E80" s="0" t="s">
        <v>197</v>
      </c>
      <c r="F80" s="0" t="n">
        <v>6</v>
      </c>
      <c r="G80" s="0" t="n">
        <v>15</v>
      </c>
      <c r="H80" s="0" t="n">
        <v>0.69</v>
      </c>
      <c r="I80" s="10" t="n">
        <v>0.644</v>
      </c>
      <c r="J80" s="0" t="n">
        <v>1.13</v>
      </c>
      <c r="K80" s="13" t="n">
        <f aca="false">IF(H80&lt;&gt;"",H80,IFERROR(G80/INDEX(Players!$M$2:$M$56,MATCH(B80,Players!$A$2:$A$56,0)),""))</f>
        <v>0.69</v>
      </c>
    </row>
    <row r="81" customFormat="false" ht="15" hidden="false" customHeight="false" outlineLevel="0" collapsed="false">
      <c r="A81" s="0" t="s">
        <v>1121</v>
      </c>
      <c r="B81" s="0" t="s">
        <v>870</v>
      </c>
      <c r="C81" s="0" t="s">
        <v>707</v>
      </c>
      <c r="D81" s="0" t="s">
        <v>608</v>
      </c>
      <c r="E81" s="0" t="s">
        <v>221</v>
      </c>
      <c r="F81" s="0" t="n">
        <v>6</v>
      </c>
      <c r="G81" s="0" t="n">
        <v>12.8</v>
      </c>
      <c r="H81" s="0" t="n">
        <v>0.63</v>
      </c>
      <c r="I81" s="10" t="n">
        <v>0.519</v>
      </c>
      <c r="J81" s="0" t="n">
        <v>0.92</v>
      </c>
      <c r="K81" s="13" t="n">
        <f aca="false">IF(H81&lt;&gt;"",H81,IFERROR(G81/INDEX(Players!$M$2:$M$56,MATCH(B81,Players!$A$2:$A$56,0)),""))</f>
        <v>0.63</v>
      </c>
    </row>
    <row r="82" customFormat="false" ht="15" hidden="false" customHeight="false" outlineLevel="0" collapsed="false">
      <c r="A82" s="0" t="s">
        <v>1122</v>
      </c>
      <c r="B82" s="0" t="s">
        <v>870</v>
      </c>
      <c r="C82" s="0" t="s">
        <v>707</v>
      </c>
      <c r="D82" s="0" t="s">
        <v>608</v>
      </c>
      <c r="E82" s="0" t="s">
        <v>183</v>
      </c>
      <c r="F82" s="0" t="n">
        <v>4</v>
      </c>
      <c r="G82" s="0" t="n">
        <v>13.5</v>
      </c>
      <c r="H82" s="0" t="n">
        <v>0.64</v>
      </c>
      <c r="I82" s="10" t="n">
        <v>0.63</v>
      </c>
      <c r="J82" s="0" t="n">
        <v>1.13</v>
      </c>
      <c r="K82" s="13" t="n">
        <f aca="false">IF(H82&lt;&gt;"",H82,IFERROR(G82/INDEX(Players!$M$2:$M$56,MATCH(B82,Players!$A$2:$A$56,0)),""))</f>
        <v>0.64</v>
      </c>
    </row>
    <row r="83" customFormat="false" ht="15" hidden="false" customHeight="false" outlineLevel="0" collapsed="false">
      <c r="A83" s="0" t="s">
        <v>1123</v>
      </c>
      <c r="B83" s="0" t="s">
        <v>870</v>
      </c>
      <c r="C83" s="0" t="s">
        <v>707</v>
      </c>
      <c r="D83" s="0" t="s">
        <v>608</v>
      </c>
      <c r="E83" s="0" t="s">
        <v>245</v>
      </c>
      <c r="F83" s="0" t="n">
        <v>2</v>
      </c>
      <c r="G83" s="0" t="n">
        <v>13.5</v>
      </c>
      <c r="H83" s="0" t="n">
        <v>0.47</v>
      </c>
      <c r="I83" s="10" t="n">
        <v>0.593</v>
      </c>
      <c r="J83" s="0" t="n">
        <v>0.63</v>
      </c>
      <c r="K83" s="13" t="n">
        <f aca="false">IF(H83&lt;&gt;"",H83,IFERROR(G83/INDEX(Players!$M$2:$M$56,MATCH(B83,Players!$A$2:$A$56,0)),""))</f>
        <v>0.47</v>
      </c>
    </row>
    <row r="84" customFormat="false" ht="15" hidden="false" customHeight="false" outlineLevel="0" collapsed="false">
      <c r="A84" s="0" t="s">
        <v>1124</v>
      </c>
      <c r="B84" s="0" t="s">
        <v>885</v>
      </c>
      <c r="C84" s="0" t="s">
        <v>744</v>
      </c>
      <c r="D84" s="0" t="s">
        <v>608</v>
      </c>
      <c r="E84" s="0" t="s">
        <v>234</v>
      </c>
      <c r="F84" s="0" t="n">
        <v>8</v>
      </c>
      <c r="G84" s="0" t="n">
        <v>17.3</v>
      </c>
      <c r="H84" s="0" t="n">
        <v>0.8</v>
      </c>
      <c r="I84" s="10" t="n">
        <v>0.391</v>
      </c>
      <c r="J84" s="0" t="n">
        <v>1.41</v>
      </c>
      <c r="K84" s="13" t="n">
        <f aca="false">IF(H84&lt;&gt;"",H84,IFERROR(G84/INDEX(Players!$M$2:$M$56,MATCH(B84,Players!$A$2:$A$56,0)),""))</f>
        <v>0.8</v>
      </c>
    </row>
    <row r="85" customFormat="false" ht="15" hidden="false" customHeight="false" outlineLevel="0" collapsed="false">
      <c r="A85" s="0" t="s">
        <v>1125</v>
      </c>
      <c r="B85" s="0" t="s">
        <v>885</v>
      </c>
      <c r="C85" s="0" t="s">
        <v>744</v>
      </c>
      <c r="D85" s="0" t="s">
        <v>608</v>
      </c>
      <c r="E85" s="0" t="s">
        <v>197</v>
      </c>
      <c r="F85" s="0" t="n">
        <v>7</v>
      </c>
      <c r="G85" s="0" t="n">
        <v>21</v>
      </c>
      <c r="H85" s="0" t="n">
        <v>0.83</v>
      </c>
      <c r="I85" s="10" t="n">
        <v>0.293</v>
      </c>
      <c r="J85" s="0" t="n">
        <v>1.43</v>
      </c>
      <c r="K85" s="13" t="n">
        <f aca="false">IF(H85&lt;&gt;"",H85,IFERROR(G85/INDEX(Players!$M$2:$M$56,MATCH(B85,Players!$A$2:$A$56,0)),""))</f>
        <v>0.83</v>
      </c>
    </row>
    <row r="86" customFormat="false" ht="15" hidden="false" customHeight="false" outlineLevel="0" collapsed="false">
      <c r="A86" s="0" t="s">
        <v>1126</v>
      </c>
      <c r="B86" s="0" t="s">
        <v>885</v>
      </c>
      <c r="C86" s="0" t="s">
        <v>744</v>
      </c>
      <c r="D86" s="0" t="s">
        <v>608</v>
      </c>
      <c r="E86" s="0" t="s">
        <v>221</v>
      </c>
      <c r="F86" s="0" t="n">
        <v>5</v>
      </c>
      <c r="G86" s="0" t="n">
        <v>16</v>
      </c>
      <c r="H86" s="0" t="n">
        <v>0.73</v>
      </c>
      <c r="I86" s="10" t="n">
        <v>0.35</v>
      </c>
      <c r="J86" s="0" t="n">
        <v>1.27</v>
      </c>
      <c r="K86" s="13" t="n">
        <f aca="false">IF(H86&lt;&gt;"",H86,IFERROR(G86/INDEX(Players!$M$2:$M$56,MATCH(B86,Players!$A$2:$A$56,0)),""))</f>
        <v>0.73</v>
      </c>
    </row>
    <row r="87" customFormat="false" ht="15" hidden="false" customHeight="false" outlineLevel="0" collapsed="false">
      <c r="A87" s="0" t="s">
        <v>1127</v>
      </c>
      <c r="B87" s="0" t="s">
        <v>885</v>
      </c>
      <c r="C87" s="0" t="s">
        <v>744</v>
      </c>
      <c r="D87" s="0" t="s">
        <v>608</v>
      </c>
      <c r="E87" s="0" t="s">
        <v>183</v>
      </c>
      <c r="F87" s="0" t="n">
        <v>4</v>
      </c>
      <c r="G87" s="0" t="n">
        <v>17.3</v>
      </c>
      <c r="H87" s="0" t="n">
        <v>0.82</v>
      </c>
      <c r="I87" s="10" t="n">
        <v>0.304</v>
      </c>
      <c r="J87" s="0" t="n">
        <v>1.3</v>
      </c>
      <c r="K87" s="13" t="n">
        <f aca="false">IF(H87&lt;&gt;"",H87,IFERROR(G87/INDEX(Players!$M$2:$M$56,MATCH(B87,Players!$A$2:$A$56,0)),""))</f>
        <v>0.82</v>
      </c>
    </row>
    <row r="88" customFormat="false" ht="15" hidden="false" customHeight="false" outlineLevel="0" collapsed="false">
      <c r="A88" s="0" t="s">
        <v>1128</v>
      </c>
      <c r="B88" s="0" t="s">
        <v>885</v>
      </c>
      <c r="C88" s="0" t="s">
        <v>744</v>
      </c>
      <c r="D88" s="0" t="s">
        <v>608</v>
      </c>
      <c r="E88" s="0" t="s">
        <v>228</v>
      </c>
      <c r="F88" s="0" t="n">
        <v>4</v>
      </c>
      <c r="G88" s="0" t="n">
        <v>14</v>
      </c>
      <c r="H88" s="0" t="n">
        <v>0.73</v>
      </c>
      <c r="I88" s="10" t="n">
        <v>0.304</v>
      </c>
      <c r="J88" s="0" t="n">
        <v>1.14</v>
      </c>
      <c r="K88" s="13" t="n">
        <f aca="false">IF(H88&lt;&gt;"",H88,IFERROR(G88/INDEX(Players!$M$2:$M$56,MATCH(B88,Players!$A$2:$A$56,0)),""))</f>
        <v>0.73</v>
      </c>
    </row>
    <row r="89" customFormat="false" ht="15" hidden="false" customHeight="false" outlineLevel="0" collapsed="false">
      <c r="A89" s="0" t="s">
        <v>1129</v>
      </c>
      <c r="B89" s="0" t="s">
        <v>885</v>
      </c>
      <c r="C89" s="0" t="s">
        <v>744</v>
      </c>
      <c r="D89" s="0" t="s">
        <v>608</v>
      </c>
      <c r="E89" s="0" t="s">
        <v>208</v>
      </c>
      <c r="F89" s="0" t="n">
        <v>2</v>
      </c>
      <c r="G89" s="0" t="n">
        <v>16</v>
      </c>
      <c r="H89" s="0" t="n">
        <v>0.6</v>
      </c>
      <c r="I89" s="10" t="n">
        <v>0.188</v>
      </c>
      <c r="J89" s="0" t="n">
        <v>1.1</v>
      </c>
      <c r="K89" s="13" t="n">
        <f aca="false">IF(H89&lt;&gt;"",H89,IFERROR(G89/INDEX(Players!$M$2:$M$56,MATCH(B89,Players!$A$2:$A$56,0)),""))</f>
        <v>0.6</v>
      </c>
    </row>
    <row r="90" customFormat="false" ht="15" hidden="false" customHeight="false" outlineLevel="0" collapsed="false">
      <c r="A90" s="0" t="s">
        <v>1130</v>
      </c>
      <c r="B90" s="0" t="s">
        <v>880</v>
      </c>
      <c r="C90" s="0" t="s">
        <v>731</v>
      </c>
      <c r="D90" s="0" t="s">
        <v>608</v>
      </c>
      <c r="E90" s="0" t="s">
        <v>228</v>
      </c>
      <c r="F90" s="0" t="n">
        <v>8</v>
      </c>
      <c r="G90" s="0" t="n">
        <v>14.3</v>
      </c>
      <c r="H90" s="0" t="n">
        <v>0.61</v>
      </c>
      <c r="I90" s="10" t="n">
        <v>0.5</v>
      </c>
      <c r="J90" s="0" t="n">
        <v>0.97</v>
      </c>
      <c r="K90" s="13" t="n">
        <f aca="false">IF(H90&lt;&gt;"",H90,IFERROR(G90/INDEX(Players!$M$2:$M$56,MATCH(B90,Players!$A$2:$A$56,0)),""))</f>
        <v>0.61</v>
      </c>
    </row>
    <row r="91" customFormat="false" ht="15" hidden="false" customHeight="false" outlineLevel="0" collapsed="false">
      <c r="A91" s="0" t="s">
        <v>1131</v>
      </c>
      <c r="B91" s="0" t="s">
        <v>880</v>
      </c>
      <c r="C91" s="0" t="s">
        <v>731</v>
      </c>
      <c r="D91" s="0" t="s">
        <v>608</v>
      </c>
      <c r="E91" s="0" t="s">
        <v>197</v>
      </c>
      <c r="F91" s="0" t="n">
        <v>7</v>
      </c>
      <c r="G91" s="0" t="n">
        <v>16.6</v>
      </c>
      <c r="H91" s="0" t="n">
        <v>0.6</v>
      </c>
      <c r="I91" s="10" t="n">
        <v>0.543</v>
      </c>
      <c r="J91" s="0" t="n">
        <v>0.85</v>
      </c>
      <c r="K91" s="13" t="n">
        <f aca="false">IF(H91&lt;&gt;"",H91,IFERROR(G91/INDEX(Players!$M$2:$M$56,MATCH(B91,Players!$A$2:$A$56,0)),""))</f>
        <v>0.6</v>
      </c>
    </row>
    <row r="92" customFormat="false" ht="15" hidden="false" customHeight="false" outlineLevel="0" collapsed="false">
      <c r="A92" s="0" t="s">
        <v>1132</v>
      </c>
      <c r="B92" s="0" t="s">
        <v>880</v>
      </c>
      <c r="C92" s="0" t="s">
        <v>731</v>
      </c>
      <c r="D92" s="0" t="s">
        <v>608</v>
      </c>
      <c r="E92" s="0" t="s">
        <v>208</v>
      </c>
      <c r="F92" s="0" t="n">
        <v>6</v>
      </c>
      <c r="G92" s="0" t="n">
        <v>14.3</v>
      </c>
      <c r="H92" s="0" t="n">
        <v>0.65</v>
      </c>
      <c r="I92" s="10" t="n">
        <v>0.558</v>
      </c>
      <c r="J92" s="0" t="n">
        <v>1</v>
      </c>
      <c r="K92" s="13" t="n">
        <f aca="false">IF(H92&lt;&gt;"",H92,IFERROR(G92/INDEX(Players!$M$2:$M$56,MATCH(B92,Players!$A$2:$A$56,0)),""))</f>
        <v>0.65</v>
      </c>
    </row>
    <row r="93" customFormat="false" ht="15" hidden="false" customHeight="false" outlineLevel="0" collapsed="false">
      <c r="A93" s="0" t="s">
        <v>1133</v>
      </c>
      <c r="B93" s="0" t="s">
        <v>880</v>
      </c>
      <c r="C93" s="0" t="s">
        <v>731</v>
      </c>
      <c r="D93" s="0" t="s">
        <v>608</v>
      </c>
      <c r="E93" s="0" t="s">
        <v>234</v>
      </c>
      <c r="F93" s="0" t="n">
        <v>5</v>
      </c>
      <c r="G93" s="0" t="n">
        <v>12.8</v>
      </c>
      <c r="H93" s="0" t="n">
        <v>0.56</v>
      </c>
      <c r="I93" s="10" t="n">
        <v>0.578</v>
      </c>
      <c r="J93" s="0" t="n">
        <v>0.8</v>
      </c>
      <c r="K93" s="13" t="n">
        <f aca="false">IF(H93&lt;&gt;"",H93,IFERROR(G93/INDEX(Players!$M$2:$M$56,MATCH(B93,Players!$A$2:$A$56,0)),""))</f>
        <v>0.56</v>
      </c>
    </row>
    <row r="94" customFormat="false" ht="15" hidden="false" customHeight="false" outlineLevel="0" collapsed="false">
      <c r="A94" s="0" t="s">
        <v>1134</v>
      </c>
      <c r="B94" s="0" t="s">
        <v>880</v>
      </c>
      <c r="C94" s="0" t="s">
        <v>731</v>
      </c>
      <c r="D94" s="0" t="s">
        <v>608</v>
      </c>
      <c r="E94" s="0" t="s">
        <v>221</v>
      </c>
      <c r="F94" s="0" t="n">
        <v>4</v>
      </c>
      <c r="G94" s="0" t="n">
        <v>12.8</v>
      </c>
      <c r="H94" s="0" t="n">
        <v>0.59</v>
      </c>
      <c r="I94" s="10" t="n">
        <v>0.529</v>
      </c>
      <c r="J94" s="0" t="n">
        <v>0.78</v>
      </c>
      <c r="K94" s="13" t="n">
        <f aca="false">IF(H94&lt;&gt;"",H94,IFERROR(G94/INDEX(Players!$M$2:$M$56,MATCH(B94,Players!$A$2:$A$56,0)),""))</f>
        <v>0.59</v>
      </c>
    </row>
    <row r="95" customFormat="false" ht="15" hidden="false" customHeight="false" outlineLevel="0" collapsed="false">
      <c r="A95" s="0" t="s">
        <v>1135</v>
      </c>
      <c r="B95" s="0" t="s">
        <v>880</v>
      </c>
      <c r="C95" s="0" t="s">
        <v>731</v>
      </c>
      <c r="D95" s="0" t="s">
        <v>608</v>
      </c>
      <c r="E95" s="0" t="s">
        <v>183</v>
      </c>
      <c r="F95" s="0" t="n">
        <v>1</v>
      </c>
      <c r="G95" s="0" t="n">
        <v>10</v>
      </c>
      <c r="H95" s="0" t="n">
        <v>0.42</v>
      </c>
      <c r="I95" s="10" t="n">
        <v>0.7</v>
      </c>
      <c r="J95" s="0" t="n">
        <v>0.59</v>
      </c>
      <c r="K95" s="13" t="n">
        <f aca="false">IF(H95&lt;&gt;"",H95,IFERROR(G95/INDEX(Players!$M$2:$M$56,MATCH(B95,Players!$A$2:$A$56,0)),""))</f>
        <v>0.42</v>
      </c>
    </row>
    <row r="96" customFormat="false" ht="15" hidden="false" customHeight="false" outlineLevel="0" collapsed="false">
      <c r="A96" s="0" t="s">
        <v>1136</v>
      </c>
      <c r="B96" s="0" t="s">
        <v>865</v>
      </c>
      <c r="C96" s="0" t="s">
        <v>697</v>
      </c>
      <c r="D96" s="0" t="s">
        <v>608</v>
      </c>
      <c r="E96" s="0" t="s">
        <v>197</v>
      </c>
      <c r="F96" s="0" t="n">
        <v>12</v>
      </c>
      <c r="G96" s="0" t="n">
        <v>14.6</v>
      </c>
      <c r="H96" s="0" t="n">
        <v>0.7</v>
      </c>
      <c r="I96" s="10" t="n">
        <v>0.423</v>
      </c>
      <c r="J96" s="0" t="n">
        <v>1.12</v>
      </c>
      <c r="K96" s="13" t="n">
        <f aca="false">IF(H96&lt;&gt;"",H96,IFERROR(G96/INDEX(Players!$M$2:$M$56,MATCH(B96,Players!$A$2:$A$56,0)),""))</f>
        <v>0.7</v>
      </c>
    </row>
    <row r="97" customFormat="false" ht="15" hidden="false" customHeight="false" outlineLevel="0" collapsed="false">
      <c r="A97" s="0" t="s">
        <v>1137</v>
      </c>
      <c r="B97" s="0" t="s">
        <v>865</v>
      </c>
      <c r="C97" s="0" t="s">
        <v>697</v>
      </c>
      <c r="D97" s="0" t="s">
        <v>608</v>
      </c>
      <c r="E97" s="0" t="s">
        <v>208</v>
      </c>
      <c r="F97" s="0" t="n">
        <v>10</v>
      </c>
      <c r="G97" s="0" t="n">
        <v>16.3</v>
      </c>
      <c r="H97" s="0" t="n">
        <v>0.72</v>
      </c>
      <c r="I97" s="10" t="n">
        <v>0.313</v>
      </c>
      <c r="J97" s="0" t="n">
        <v>1.22</v>
      </c>
      <c r="K97" s="13" t="n">
        <f aca="false">IF(H97&lt;&gt;"",H97,IFERROR(G97/INDEX(Players!$M$2:$M$56,MATCH(B97,Players!$A$2:$A$56,0)),""))</f>
        <v>0.72</v>
      </c>
    </row>
    <row r="98" customFormat="false" ht="15" hidden="false" customHeight="false" outlineLevel="0" collapsed="false">
      <c r="A98" s="0" t="s">
        <v>1138</v>
      </c>
      <c r="B98" s="0" t="s">
        <v>865</v>
      </c>
      <c r="C98" s="0" t="s">
        <v>697</v>
      </c>
      <c r="D98" s="0" t="s">
        <v>608</v>
      </c>
      <c r="E98" s="0" t="s">
        <v>245</v>
      </c>
      <c r="F98" s="0" t="n">
        <v>6</v>
      </c>
      <c r="G98" s="0" t="n">
        <v>18.2</v>
      </c>
      <c r="H98" s="0" t="n">
        <v>0.81</v>
      </c>
      <c r="I98" s="10" t="n">
        <v>0.321</v>
      </c>
      <c r="J98" s="0" t="n">
        <v>1.35</v>
      </c>
      <c r="K98" s="13" t="n">
        <f aca="false">IF(H98&lt;&gt;"",H98,IFERROR(G98/INDEX(Players!$M$2:$M$56,MATCH(B98,Players!$A$2:$A$56,0)),""))</f>
        <v>0.81</v>
      </c>
    </row>
    <row r="99" customFormat="false" ht="15" hidden="false" customHeight="false" outlineLevel="0" collapsed="false">
      <c r="A99" s="0" t="s">
        <v>1139</v>
      </c>
      <c r="B99" s="0" t="s">
        <v>865</v>
      </c>
      <c r="C99" s="0" t="s">
        <v>697</v>
      </c>
      <c r="D99" s="0" t="s">
        <v>608</v>
      </c>
      <c r="E99" s="0" t="s">
        <v>234</v>
      </c>
      <c r="F99" s="0" t="n">
        <v>4</v>
      </c>
      <c r="G99" s="0" t="n">
        <v>12.8</v>
      </c>
      <c r="H99" s="0" t="n">
        <v>0.65</v>
      </c>
      <c r="I99" s="10" t="n">
        <v>0.176</v>
      </c>
      <c r="J99" s="0" t="n">
        <v>1.31</v>
      </c>
      <c r="K99" s="13" t="n">
        <f aca="false">IF(H99&lt;&gt;"",H99,IFERROR(G99/INDEX(Players!$M$2:$M$56,MATCH(B99,Players!$A$2:$A$56,0)),""))</f>
        <v>0.65</v>
      </c>
    </row>
    <row r="100" customFormat="false" ht="15" hidden="false" customHeight="false" outlineLevel="0" collapsed="false">
      <c r="A100" s="0" t="s">
        <v>1140</v>
      </c>
      <c r="B100" s="0" t="s">
        <v>865</v>
      </c>
      <c r="C100" s="0" t="s">
        <v>697</v>
      </c>
      <c r="D100" s="0" t="s">
        <v>608</v>
      </c>
      <c r="E100" s="0" t="s">
        <v>183</v>
      </c>
      <c r="F100" s="0" t="n">
        <v>3</v>
      </c>
      <c r="G100" s="0" t="n">
        <v>11</v>
      </c>
      <c r="H100" s="0" t="n">
        <v>0.6</v>
      </c>
      <c r="I100" s="10" t="n">
        <v>0.303</v>
      </c>
      <c r="J100" s="0" t="n">
        <v>0.79</v>
      </c>
      <c r="K100" s="13" t="n">
        <f aca="false">IF(H100&lt;&gt;"",H100,IFERROR(G100/INDEX(Players!$M$2:$M$56,MATCH(B100,Players!$A$2:$A$56,0)),""))</f>
        <v>0.6</v>
      </c>
    </row>
    <row r="101" customFormat="false" ht="15" hidden="false" customHeight="false" outlineLevel="0" collapsed="false">
      <c r="A101" s="0" t="s">
        <v>1141</v>
      </c>
      <c r="B101" s="0" t="s">
        <v>865</v>
      </c>
      <c r="C101" s="0" t="s">
        <v>697</v>
      </c>
      <c r="D101" s="0" t="s">
        <v>608</v>
      </c>
      <c r="E101" s="0" t="s">
        <v>228</v>
      </c>
      <c r="F101" s="0" t="n">
        <v>1</v>
      </c>
      <c r="G101" s="0" t="n">
        <v>46</v>
      </c>
      <c r="H101" s="0" t="n">
        <v>0.98</v>
      </c>
      <c r="I101" s="10" t="n">
        <v>0.217</v>
      </c>
      <c r="J101" s="0" t="n">
        <v>1.59</v>
      </c>
      <c r="K101" s="13" t="n">
        <f aca="false">IF(H101&lt;&gt;"",H101,IFERROR(G101/INDEX(Players!$M$2:$M$56,MATCH(B101,Players!$A$2:$A$56,0)),""))</f>
        <v>0.98</v>
      </c>
    </row>
    <row r="102" customFormat="false" ht="15" hidden="false" customHeight="false" outlineLevel="0" collapsed="false">
      <c r="A102" s="0" t="s">
        <v>1142</v>
      </c>
      <c r="B102" s="0" t="s">
        <v>865</v>
      </c>
      <c r="C102" s="0" t="s">
        <v>697</v>
      </c>
      <c r="D102" s="0" t="s">
        <v>608</v>
      </c>
      <c r="E102" s="0" t="s">
        <v>221</v>
      </c>
      <c r="F102" s="0" t="n">
        <v>1</v>
      </c>
      <c r="G102" s="0" t="n">
        <v>8</v>
      </c>
      <c r="H102" s="0" t="n">
        <v>0.36</v>
      </c>
      <c r="I102" s="10" t="n">
        <v>0.5</v>
      </c>
      <c r="J102" s="0" t="n">
        <v>0.57</v>
      </c>
      <c r="K102" s="13" t="n">
        <f aca="false">IF(H102&lt;&gt;"",H102,IFERROR(G102/INDEX(Players!$M$2:$M$56,MATCH(B102,Players!$A$2:$A$56,0)),""))</f>
        <v>0.36</v>
      </c>
    </row>
    <row r="103" customFormat="false" ht="15" hidden="false" customHeight="false" outlineLevel="0" collapsed="false">
      <c r="A103" s="0" t="s">
        <v>1143</v>
      </c>
      <c r="B103" s="0" t="s">
        <v>866</v>
      </c>
      <c r="C103" s="0" t="s">
        <v>699</v>
      </c>
      <c r="D103" s="0" t="s">
        <v>608</v>
      </c>
      <c r="E103" s="0" t="s">
        <v>197</v>
      </c>
      <c r="F103" s="0" t="n">
        <v>12</v>
      </c>
      <c r="G103" s="0" t="n">
        <v>12.1</v>
      </c>
      <c r="H103" s="0" t="n">
        <v>0.58</v>
      </c>
      <c r="I103" s="10" t="n">
        <v>0.559</v>
      </c>
      <c r="J103" s="0" t="n">
        <v>0.83</v>
      </c>
      <c r="K103" s="13" t="n">
        <f aca="false">IF(H103&lt;&gt;"",H103,IFERROR(G103/INDEX(Players!$M$2:$M$56,MATCH(B103,Players!$A$2:$A$56,0)),""))</f>
        <v>0.58</v>
      </c>
    </row>
    <row r="104" customFormat="false" ht="15" hidden="false" customHeight="false" outlineLevel="0" collapsed="false">
      <c r="A104" s="0" t="s">
        <v>1144</v>
      </c>
      <c r="B104" s="0" t="s">
        <v>866</v>
      </c>
      <c r="C104" s="0" t="s">
        <v>699</v>
      </c>
      <c r="D104" s="0" t="s">
        <v>608</v>
      </c>
      <c r="E104" s="0" t="s">
        <v>208</v>
      </c>
      <c r="F104" s="0" t="n">
        <v>10</v>
      </c>
      <c r="G104" s="0" t="n">
        <v>13.2</v>
      </c>
      <c r="H104" s="0" t="n">
        <v>0.59</v>
      </c>
      <c r="I104" s="10" t="n">
        <v>0.462</v>
      </c>
      <c r="J104" s="0" t="n">
        <v>0.82</v>
      </c>
      <c r="K104" s="13" t="n">
        <f aca="false">IF(H104&lt;&gt;"",H104,IFERROR(G104/INDEX(Players!$M$2:$M$56,MATCH(B104,Players!$A$2:$A$56,0)),""))</f>
        <v>0.59</v>
      </c>
    </row>
    <row r="105" customFormat="false" ht="15" hidden="false" customHeight="false" outlineLevel="0" collapsed="false">
      <c r="A105" s="0" t="s">
        <v>1145</v>
      </c>
      <c r="B105" s="0" t="s">
        <v>866</v>
      </c>
      <c r="C105" s="0" t="s">
        <v>699</v>
      </c>
      <c r="D105" s="0" t="s">
        <v>608</v>
      </c>
      <c r="E105" s="0" t="s">
        <v>245</v>
      </c>
      <c r="F105" s="0" t="n">
        <v>6</v>
      </c>
      <c r="G105" s="0" t="n">
        <v>13.5</v>
      </c>
      <c r="H105" s="0" t="n">
        <v>0.6</v>
      </c>
      <c r="I105" s="10" t="n">
        <v>0.63</v>
      </c>
      <c r="J105" s="0" t="n">
        <v>0.87</v>
      </c>
      <c r="K105" s="13" t="n">
        <f aca="false">IF(H105&lt;&gt;"",H105,IFERROR(G105/INDEX(Players!$M$2:$M$56,MATCH(B105,Players!$A$2:$A$56,0)),""))</f>
        <v>0.6</v>
      </c>
    </row>
    <row r="106" customFormat="false" ht="15" hidden="false" customHeight="false" outlineLevel="0" collapsed="false">
      <c r="A106" s="0" t="s">
        <v>1146</v>
      </c>
      <c r="B106" s="0" t="s">
        <v>866</v>
      </c>
      <c r="C106" s="0" t="s">
        <v>699</v>
      </c>
      <c r="D106" s="0" t="s">
        <v>608</v>
      </c>
      <c r="E106" s="0" t="s">
        <v>234</v>
      </c>
      <c r="F106" s="0" t="n">
        <v>4</v>
      </c>
      <c r="G106" s="0" t="n">
        <v>13.5</v>
      </c>
      <c r="H106" s="0" t="n">
        <v>0.68</v>
      </c>
      <c r="I106" s="10" t="n">
        <v>0.481</v>
      </c>
      <c r="J106" s="0" t="n">
        <v>1.2</v>
      </c>
      <c r="K106" s="13" t="n">
        <f aca="false">IF(H106&lt;&gt;"",H106,IFERROR(G106/INDEX(Players!$M$2:$M$56,MATCH(B106,Players!$A$2:$A$56,0)),""))</f>
        <v>0.68</v>
      </c>
    </row>
    <row r="107" customFormat="false" ht="15" hidden="false" customHeight="false" outlineLevel="0" collapsed="false">
      <c r="A107" s="0" t="s">
        <v>1147</v>
      </c>
      <c r="B107" s="0" t="s">
        <v>866</v>
      </c>
      <c r="C107" s="0" t="s">
        <v>699</v>
      </c>
      <c r="D107" s="0" t="s">
        <v>608</v>
      </c>
      <c r="E107" s="0" t="s">
        <v>183</v>
      </c>
      <c r="F107" s="0" t="n">
        <v>3</v>
      </c>
      <c r="G107" s="0" t="n">
        <v>6.7</v>
      </c>
      <c r="H107" s="0" t="n">
        <v>0.36</v>
      </c>
      <c r="I107" s="10" t="n">
        <v>0.65</v>
      </c>
      <c r="J107" s="0" t="n">
        <v>0.47</v>
      </c>
      <c r="K107" s="13" t="n">
        <f aca="false">IF(H107&lt;&gt;"",H107,IFERROR(G107/INDEX(Players!$M$2:$M$56,MATCH(B107,Players!$A$2:$A$56,0)),""))</f>
        <v>0.36</v>
      </c>
    </row>
    <row r="108" customFormat="false" ht="15" hidden="false" customHeight="false" outlineLevel="0" collapsed="false">
      <c r="A108" s="0" t="s">
        <v>1148</v>
      </c>
      <c r="B108" s="0" t="s">
        <v>866</v>
      </c>
      <c r="C108" s="0" t="s">
        <v>699</v>
      </c>
      <c r="D108" s="0" t="s">
        <v>608</v>
      </c>
      <c r="E108" s="0" t="s">
        <v>221</v>
      </c>
      <c r="F108" s="0" t="n">
        <v>1</v>
      </c>
      <c r="G108" s="0" t="n">
        <v>19</v>
      </c>
      <c r="H108" s="0" t="n">
        <v>0.86</v>
      </c>
      <c r="I108" s="10" t="n">
        <v>0.632</v>
      </c>
      <c r="J108" s="0" t="n">
        <v>1.19</v>
      </c>
      <c r="K108" s="13" t="n">
        <f aca="false">IF(H108&lt;&gt;"",H108,IFERROR(G108/INDEX(Players!$M$2:$M$56,MATCH(B108,Players!$A$2:$A$56,0)),""))</f>
        <v>0.86</v>
      </c>
    </row>
    <row r="109" customFormat="false" ht="15" hidden="false" customHeight="false" outlineLevel="0" collapsed="false">
      <c r="A109" s="0" t="s">
        <v>1149</v>
      </c>
      <c r="B109" s="0" t="s">
        <v>866</v>
      </c>
      <c r="C109" s="0" t="s">
        <v>699</v>
      </c>
      <c r="D109" s="0" t="s">
        <v>608</v>
      </c>
      <c r="E109" s="0" t="s">
        <v>228</v>
      </c>
      <c r="F109" s="0" t="n">
        <v>1</v>
      </c>
      <c r="G109" s="0" t="n">
        <v>29</v>
      </c>
      <c r="H109" s="0" t="n">
        <v>0.62</v>
      </c>
      <c r="I109" s="10" t="n">
        <v>0.517</v>
      </c>
      <c r="J109" s="0" t="n">
        <v>0.83</v>
      </c>
      <c r="K109" s="13" t="n">
        <f aca="false">IF(H109&lt;&gt;"",H109,IFERROR(G109/INDEX(Players!$M$2:$M$56,MATCH(B109,Players!$A$2:$A$56,0)),""))</f>
        <v>0.62</v>
      </c>
    </row>
    <row r="110" customFormat="false" ht="15" hidden="false" customHeight="false" outlineLevel="0" collapsed="false">
      <c r="A110" s="0" t="s">
        <v>1150</v>
      </c>
      <c r="B110" s="0" t="s">
        <v>881</v>
      </c>
      <c r="C110" s="0" t="s">
        <v>734</v>
      </c>
      <c r="D110" s="0" t="s">
        <v>608</v>
      </c>
      <c r="E110" s="0" t="s">
        <v>228</v>
      </c>
      <c r="F110" s="0" t="n">
        <v>8</v>
      </c>
      <c r="G110" s="0" t="n">
        <v>15.3</v>
      </c>
      <c r="H110" s="0" t="n">
        <v>0.66</v>
      </c>
      <c r="I110" s="10" t="n">
        <v>0.393</v>
      </c>
      <c r="J110" s="0" t="n">
        <v>1.14</v>
      </c>
      <c r="K110" s="13" t="n">
        <f aca="false">IF(H110&lt;&gt;"",H110,IFERROR(G110/INDEX(Players!$M$2:$M$56,MATCH(B110,Players!$A$2:$A$56,0)),""))</f>
        <v>0.66</v>
      </c>
    </row>
    <row r="111" customFormat="false" ht="15" hidden="false" customHeight="false" outlineLevel="0" collapsed="false">
      <c r="A111" s="0" t="s">
        <v>1151</v>
      </c>
      <c r="B111" s="0" t="s">
        <v>881</v>
      </c>
      <c r="C111" s="0" t="s">
        <v>734</v>
      </c>
      <c r="D111" s="0" t="s">
        <v>608</v>
      </c>
      <c r="E111" s="0" t="s">
        <v>197</v>
      </c>
      <c r="F111" s="0" t="n">
        <v>7</v>
      </c>
      <c r="G111" s="0" t="n">
        <v>18.3</v>
      </c>
      <c r="H111" s="0" t="n">
        <v>0.66</v>
      </c>
      <c r="I111" s="10" t="n">
        <v>0.383</v>
      </c>
      <c r="J111" s="0" t="n">
        <v>1.17</v>
      </c>
      <c r="K111" s="13" t="n">
        <f aca="false">IF(H111&lt;&gt;"",H111,IFERROR(G111/INDEX(Players!$M$2:$M$56,MATCH(B111,Players!$A$2:$A$56,0)),""))</f>
        <v>0.66</v>
      </c>
    </row>
    <row r="112" customFormat="false" ht="15" hidden="false" customHeight="false" outlineLevel="0" collapsed="false">
      <c r="A112" s="0" t="s">
        <v>1152</v>
      </c>
      <c r="B112" s="0" t="s">
        <v>881</v>
      </c>
      <c r="C112" s="0" t="s">
        <v>734</v>
      </c>
      <c r="D112" s="0" t="s">
        <v>608</v>
      </c>
      <c r="E112" s="0" t="s">
        <v>208</v>
      </c>
      <c r="F112" s="0" t="n">
        <v>6</v>
      </c>
      <c r="G112" s="0" t="n">
        <v>18.7</v>
      </c>
      <c r="H112" s="0" t="n">
        <v>0.84</v>
      </c>
      <c r="I112" s="10" t="n">
        <v>0.286</v>
      </c>
      <c r="J112" s="0" t="n">
        <v>1.44</v>
      </c>
      <c r="K112" s="13" t="n">
        <f aca="false">IF(H112&lt;&gt;"",H112,IFERROR(G112/INDEX(Players!$M$2:$M$56,MATCH(B112,Players!$A$2:$A$56,0)),""))</f>
        <v>0.84</v>
      </c>
    </row>
    <row r="113" customFormat="false" ht="15" hidden="false" customHeight="false" outlineLevel="0" collapsed="false">
      <c r="A113" s="0" t="s">
        <v>1153</v>
      </c>
      <c r="B113" s="0" t="s">
        <v>881</v>
      </c>
      <c r="C113" s="0" t="s">
        <v>734</v>
      </c>
      <c r="D113" s="0" t="s">
        <v>608</v>
      </c>
      <c r="E113" s="0" t="s">
        <v>234</v>
      </c>
      <c r="F113" s="0" t="n">
        <v>5</v>
      </c>
      <c r="G113" s="0" t="n">
        <v>15.6</v>
      </c>
      <c r="H113" s="0" t="n">
        <v>0.68</v>
      </c>
      <c r="I113" s="10" t="n">
        <v>0.462</v>
      </c>
      <c r="J113" s="0" t="n">
        <v>1.15</v>
      </c>
      <c r="K113" s="13" t="n">
        <f aca="false">IF(H113&lt;&gt;"",H113,IFERROR(G113/INDEX(Players!$M$2:$M$56,MATCH(B113,Players!$A$2:$A$56,0)),""))</f>
        <v>0.68</v>
      </c>
    </row>
    <row r="114" customFormat="false" ht="15" hidden="false" customHeight="false" outlineLevel="0" collapsed="false">
      <c r="A114" s="0" t="s">
        <v>1154</v>
      </c>
      <c r="B114" s="0" t="s">
        <v>881</v>
      </c>
      <c r="C114" s="0" t="s">
        <v>734</v>
      </c>
      <c r="D114" s="0" t="s">
        <v>608</v>
      </c>
      <c r="E114" s="0" t="s">
        <v>221</v>
      </c>
      <c r="F114" s="0" t="n">
        <v>4</v>
      </c>
      <c r="G114" s="0" t="n">
        <v>12.3</v>
      </c>
      <c r="H114" s="0" t="n">
        <v>0.57</v>
      </c>
      <c r="I114" s="10" t="n">
        <v>0.531</v>
      </c>
      <c r="J114" s="0" t="n">
        <v>0.98</v>
      </c>
      <c r="K114" s="13" t="n">
        <f aca="false">IF(H114&lt;&gt;"",H114,IFERROR(G114/INDEX(Players!$M$2:$M$56,MATCH(B114,Players!$A$2:$A$56,0)),""))</f>
        <v>0.57</v>
      </c>
    </row>
    <row r="115" customFormat="false" ht="15" hidden="false" customHeight="false" outlineLevel="0" collapsed="false">
      <c r="A115" s="0" t="s">
        <v>1155</v>
      </c>
      <c r="B115" s="0" t="s">
        <v>881</v>
      </c>
      <c r="C115" s="0" t="s">
        <v>734</v>
      </c>
      <c r="D115" s="0" t="s">
        <v>608</v>
      </c>
      <c r="E115" s="0" t="s">
        <v>183</v>
      </c>
      <c r="F115" s="0" t="n">
        <v>1</v>
      </c>
      <c r="G115" s="0" t="n">
        <v>15</v>
      </c>
      <c r="H115" s="0" t="n">
        <v>0.63</v>
      </c>
      <c r="I115" s="10" t="n">
        <v>0.333</v>
      </c>
      <c r="J115" s="0" t="n">
        <v>1</v>
      </c>
      <c r="K115" s="13" t="n">
        <f aca="false">IF(H115&lt;&gt;"",H115,IFERROR(G115/INDEX(Players!$M$2:$M$56,MATCH(B115,Players!$A$2:$A$56,0)),""))</f>
        <v>0.63</v>
      </c>
    </row>
    <row r="116" customFormat="false" ht="15" hidden="false" customHeight="false" outlineLevel="0" collapsed="false">
      <c r="A116" s="0" t="s">
        <v>1156</v>
      </c>
      <c r="B116" s="0" t="s">
        <v>877</v>
      </c>
      <c r="C116" s="0" t="s">
        <v>723</v>
      </c>
      <c r="D116" s="0" t="s">
        <v>608</v>
      </c>
      <c r="E116" s="0" t="s">
        <v>183</v>
      </c>
      <c r="F116" s="0" t="n">
        <v>12</v>
      </c>
      <c r="G116" s="0" t="n">
        <v>14.8</v>
      </c>
      <c r="H116" s="0" t="n">
        <v>0.65</v>
      </c>
      <c r="I116" s="10" t="n">
        <v>0.618</v>
      </c>
      <c r="J116" s="0" t="n">
        <v>0.88</v>
      </c>
      <c r="K116" s="13" t="n">
        <f aca="false">IF(H116&lt;&gt;"",H116,IFERROR(G116/INDEX(Players!$M$2:$M$56,MATCH(B116,Players!$A$2:$A$56,0)),""))</f>
        <v>0.65</v>
      </c>
    </row>
    <row r="117" customFormat="false" ht="15" hidden="false" customHeight="false" outlineLevel="0" collapsed="false">
      <c r="A117" s="0" t="s">
        <v>1157</v>
      </c>
      <c r="B117" s="0" t="s">
        <v>877</v>
      </c>
      <c r="C117" s="0" t="s">
        <v>723</v>
      </c>
      <c r="D117" s="0" t="s">
        <v>608</v>
      </c>
      <c r="E117" s="0" t="s">
        <v>208</v>
      </c>
      <c r="F117" s="0" t="n">
        <v>8</v>
      </c>
      <c r="G117" s="0" t="n">
        <v>14.4</v>
      </c>
      <c r="H117" s="0" t="n">
        <v>0.71</v>
      </c>
      <c r="I117" s="10" t="n">
        <v>0.687</v>
      </c>
      <c r="J117" s="0" t="n">
        <v>0.93</v>
      </c>
      <c r="K117" s="13" t="n">
        <f aca="false">IF(H117&lt;&gt;"",H117,IFERROR(G117/INDEX(Players!$M$2:$M$56,MATCH(B117,Players!$A$2:$A$56,0)),""))</f>
        <v>0.71</v>
      </c>
    </row>
    <row r="118" customFormat="false" ht="15" hidden="false" customHeight="false" outlineLevel="0" collapsed="false">
      <c r="A118" s="0" t="s">
        <v>1158</v>
      </c>
      <c r="B118" s="0" t="s">
        <v>877</v>
      </c>
      <c r="C118" s="0" t="s">
        <v>723</v>
      </c>
      <c r="D118" s="0" t="s">
        <v>608</v>
      </c>
      <c r="E118" s="0" t="s">
        <v>197</v>
      </c>
      <c r="F118" s="0" t="n">
        <v>8</v>
      </c>
      <c r="G118" s="0" t="n">
        <v>12.6</v>
      </c>
      <c r="H118" s="0" t="n">
        <v>0.62</v>
      </c>
      <c r="I118" s="10" t="n">
        <v>0.713</v>
      </c>
      <c r="J118" s="0" t="n">
        <v>0.89</v>
      </c>
      <c r="K118" s="13" t="n">
        <f aca="false">IF(H118&lt;&gt;"",H118,IFERROR(G118/INDEX(Players!$M$2:$M$56,MATCH(B118,Players!$A$2:$A$56,0)),""))</f>
        <v>0.62</v>
      </c>
    </row>
    <row r="119" customFormat="false" ht="15" hidden="false" customHeight="false" outlineLevel="0" collapsed="false">
      <c r="A119" s="0" t="s">
        <v>1159</v>
      </c>
      <c r="B119" s="0" t="s">
        <v>877</v>
      </c>
      <c r="C119" s="0" t="s">
        <v>723</v>
      </c>
      <c r="D119" s="0" t="s">
        <v>608</v>
      </c>
      <c r="E119" s="0" t="s">
        <v>228</v>
      </c>
      <c r="F119" s="0" t="n">
        <v>5</v>
      </c>
      <c r="G119" s="0" t="n">
        <v>14.4</v>
      </c>
      <c r="H119" s="0" t="n">
        <v>0.69</v>
      </c>
      <c r="I119" s="10" t="n">
        <v>0.667</v>
      </c>
      <c r="J119" s="0" t="n">
        <v>0.9</v>
      </c>
      <c r="K119" s="13" t="n">
        <f aca="false">IF(H119&lt;&gt;"",H119,IFERROR(G119/INDEX(Players!$M$2:$M$56,MATCH(B119,Players!$A$2:$A$56,0)),""))</f>
        <v>0.69</v>
      </c>
    </row>
    <row r="120" customFormat="false" ht="15" hidden="false" customHeight="false" outlineLevel="0" collapsed="false">
      <c r="A120" s="0" t="s">
        <v>1160</v>
      </c>
      <c r="B120" s="0" t="s">
        <v>877</v>
      </c>
      <c r="C120" s="0" t="s">
        <v>723</v>
      </c>
      <c r="D120" s="0" t="s">
        <v>608</v>
      </c>
      <c r="E120" s="0" t="s">
        <v>245</v>
      </c>
      <c r="F120" s="0" t="n">
        <v>2</v>
      </c>
      <c r="G120" s="0" t="n">
        <v>20</v>
      </c>
      <c r="H120" s="0" t="n">
        <v>0.7</v>
      </c>
      <c r="I120" s="10" t="n">
        <v>0.725</v>
      </c>
      <c r="J120" s="0" t="n">
        <v>0.85</v>
      </c>
      <c r="K120" s="13" t="n">
        <f aca="false">IF(H120&lt;&gt;"",H120,IFERROR(G120/INDEX(Players!$M$2:$M$56,MATCH(B120,Players!$A$2:$A$56,0)),""))</f>
        <v>0.7</v>
      </c>
    </row>
    <row r="121" customFormat="false" ht="15" hidden="false" customHeight="false" outlineLevel="0" collapsed="false">
      <c r="A121" s="0" t="s">
        <v>1161</v>
      </c>
      <c r="B121" s="0" t="s">
        <v>877</v>
      </c>
      <c r="C121" s="0" t="s">
        <v>723</v>
      </c>
      <c r="D121" s="0" t="s">
        <v>608</v>
      </c>
      <c r="E121" s="0" t="s">
        <v>234</v>
      </c>
      <c r="F121" s="0" t="n">
        <v>1</v>
      </c>
      <c r="G121" s="0" t="n">
        <v>9</v>
      </c>
      <c r="H121" s="0" t="n">
        <v>0.47</v>
      </c>
      <c r="I121" s="10" t="n">
        <v>0.667</v>
      </c>
      <c r="J121" s="0" t="n">
        <v>0.64</v>
      </c>
      <c r="K121" s="13" t="n">
        <f aca="false">IF(H121&lt;&gt;"",H121,IFERROR(G121/INDEX(Players!$M$2:$M$56,MATCH(B121,Players!$A$2:$A$56,0)),""))</f>
        <v>0.47</v>
      </c>
    </row>
    <row r="122" customFormat="false" ht="15" hidden="false" customHeight="false" outlineLevel="0" collapsed="false">
      <c r="A122" s="0" t="s">
        <v>1162</v>
      </c>
      <c r="B122" s="0" t="s">
        <v>886</v>
      </c>
      <c r="C122" s="0" t="s">
        <v>747</v>
      </c>
      <c r="D122" s="0" t="s">
        <v>608</v>
      </c>
      <c r="E122" s="0" t="s">
        <v>234</v>
      </c>
      <c r="F122" s="0" t="n">
        <v>8</v>
      </c>
      <c r="G122" s="0" t="n">
        <v>14.4</v>
      </c>
      <c r="H122" s="0" t="n">
        <v>0.67</v>
      </c>
      <c r="I122" s="10" t="n">
        <v>0.522</v>
      </c>
      <c r="J122" s="0" t="n">
        <v>0.98</v>
      </c>
      <c r="K122" s="13" t="n">
        <f aca="false">IF(H122&lt;&gt;"",H122,IFERROR(G122/INDEX(Players!$M$2:$M$56,MATCH(B122,Players!$A$2:$A$56,0)),""))</f>
        <v>0.67</v>
      </c>
    </row>
    <row r="123" customFormat="false" ht="15" hidden="false" customHeight="false" outlineLevel="0" collapsed="false">
      <c r="A123" s="0" t="s">
        <v>1163</v>
      </c>
      <c r="B123" s="0" t="s">
        <v>886</v>
      </c>
      <c r="C123" s="0" t="s">
        <v>747</v>
      </c>
      <c r="D123" s="0" t="s">
        <v>608</v>
      </c>
      <c r="E123" s="0" t="s">
        <v>197</v>
      </c>
      <c r="F123" s="0" t="n">
        <v>7</v>
      </c>
      <c r="G123" s="0" t="n">
        <v>14.9</v>
      </c>
      <c r="H123" s="0" t="n">
        <v>0.58</v>
      </c>
      <c r="I123" s="10" t="n">
        <v>0.481</v>
      </c>
      <c r="J123" s="0" t="n">
        <v>0.82</v>
      </c>
      <c r="K123" s="13" t="n">
        <f aca="false">IF(H123&lt;&gt;"",H123,IFERROR(G123/INDEX(Players!$M$2:$M$56,MATCH(B123,Players!$A$2:$A$56,0)),""))</f>
        <v>0.58</v>
      </c>
    </row>
    <row r="124" customFormat="false" ht="15" hidden="false" customHeight="false" outlineLevel="0" collapsed="false">
      <c r="A124" s="0" t="s">
        <v>1164</v>
      </c>
      <c r="B124" s="0" t="s">
        <v>886</v>
      </c>
      <c r="C124" s="0" t="s">
        <v>747</v>
      </c>
      <c r="D124" s="0" t="s">
        <v>608</v>
      </c>
      <c r="E124" s="0" t="s">
        <v>221</v>
      </c>
      <c r="F124" s="0" t="n">
        <v>5</v>
      </c>
      <c r="G124" s="0" t="n">
        <v>14.2</v>
      </c>
      <c r="H124" s="0" t="n">
        <v>0.65</v>
      </c>
      <c r="I124" s="10" t="n">
        <v>0.62</v>
      </c>
      <c r="J124" s="0" t="n">
        <v>0.88</v>
      </c>
      <c r="K124" s="13" t="n">
        <f aca="false">IF(H124&lt;&gt;"",H124,IFERROR(G124/INDEX(Players!$M$2:$M$56,MATCH(B124,Players!$A$2:$A$56,0)),""))</f>
        <v>0.65</v>
      </c>
    </row>
    <row r="125" customFormat="false" ht="15" hidden="false" customHeight="false" outlineLevel="0" collapsed="false">
      <c r="A125" s="0" t="s">
        <v>1165</v>
      </c>
      <c r="B125" s="0" t="s">
        <v>886</v>
      </c>
      <c r="C125" s="0" t="s">
        <v>747</v>
      </c>
      <c r="D125" s="0" t="s">
        <v>608</v>
      </c>
      <c r="E125" s="0" t="s">
        <v>228</v>
      </c>
      <c r="F125" s="0" t="n">
        <v>4</v>
      </c>
      <c r="G125" s="0" t="n">
        <v>9.5</v>
      </c>
      <c r="H125" s="0" t="n">
        <v>0.49</v>
      </c>
      <c r="I125" s="10" t="n">
        <v>0.553</v>
      </c>
      <c r="J125" s="0" t="n">
        <v>0.75</v>
      </c>
      <c r="K125" s="13" t="n">
        <f aca="false">IF(H125&lt;&gt;"",H125,IFERROR(G125/INDEX(Players!$M$2:$M$56,MATCH(B125,Players!$A$2:$A$56,0)),""))</f>
        <v>0.49</v>
      </c>
    </row>
    <row r="126" customFormat="false" ht="15" hidden="false" customHeight="false" outlineLevel="0" collapsed="false">
      <c r="A126" s="0" t="s">
        <v>1166</v>
      </c>
      <c r="B126" s="0" t="s">
        <v>886</v>
      </c>
      <c r="C126" s="0" t="s">
        <v>747</v>
      </c>
      <c r="D126" s="0" t="s">
        <v>608</v>
      </c>
      <c r="E126" s="0" t="s">
        <v>183</v>
      </c>
      <c r="F126" s="0" t="n">
        <v>4</v>
      </c>
      <c r="G126" s="0" t="n">
        <v>10</v>
      </c>
      <c r="H126" s="0" t="n">
        <v>0.48</v>
      </c>
      <c r="I126" s="10" t="n">
        <v>0.475</v>
      </c>
      <c r="J126" s="0" t="n">
        <v>0.68</v>
      </c>
      <c r="K126" s="13" t="n">
        <f aca="false">IF(H126&lt;&gt;"",H126,IFERROR(G126/INDEX(Players!$M$2:$M$56,MATCH(B126,Players!$A$2:$A$56,0)),""))</f>
        <v>0.48</v>
      </c>
    </row>
    <row r="127" customFormat="false" ht="15" hidden="false" customHeight="false" outlineLevel="0" collapsed="false">
      <c r="A127" s="0" t="s">
        <v>1167</v>
      </c>
      <c r="B127" s="0" t="s">
        <v>886</v>
      </c>
      <c r="C127" s="0" t="s">
        <v>747</v>
      </c>
      <c r="D127" s="0" t="s">
        <v>608</v>
      </c>
      <c r="E127" s="0" t="s">
        <v>208</v>
      </c>
      <c r="F127" s="0" t="n">
        <v>2</v>
      </c>
      <c r="G127" s="0" t="n">
        <v>19.5</v>
      </c>
      <c r="H127" s="0" t="n">
        <v>0.74</v>
      </c>
      <c r="I127" s="10" t="n">
        <v>0.692</v>
      </c>
      <c r="J127" s="0" t="n">
        <v>1.15</v>
      </c>
      <c r="K127" s="13" t="n">
        <f aca="false">IF(H127&lt;&gt;"",H127,IFERROR(G127/INDEX(Players!$M$2:$M$56,MATCH(B127,Players!$A$2:$A$56,0)),""))</f>
        <v>0.74</v>
      </c>
    </row>
    <row r="128" customFormat="false" ht="15" hidden="false" customHeight="false" outlineLevel="0" collapsed="false">
      <c r="A128" s="0" t="s">
        <v>1168</v>
      </c>
      <c r="B128" s="0" t="s">
        <v>882</v>
      </c>
      <c r="C128" s="0" t="s">
        <v>737</v>
      </c>
      <c r="D128" s="0" t="s">
        <v>608</v>
      </c>
      <c r="E128" s="0" t="s">
        <v>228</v>
      </c>
      <c r="F128" s="0" t="n">
        <v>8</v>
      </c>
      <c r="G128" s="0" t="n">
        <v>16.5</v>
      </c>
      <c r="H128" s="0" t="n">
        <v>0.71</v>
      </c>
      <c r="I128" s="10" t="n">
        <v>0.591</v>
      </c>
      <c r="J128" s="0" t="n">
        <v>1.14</v>
      </c>
      <c r="K128" s="13" t="n">
        <f aca="false">IF(H128&lt;&gt;"",H128,IFERROR(G128/INDEX(Players!$M$2:$M$56,MATCH(B128,Players!$A$2:$A$56,0)),""))</f>
        <v>0.71</v>
      </c>
    </row>
    <row r="129" customFormat="false" ht="15" hidden="false" customHeight="false" outlineLevel="0" collapsed="false">
      <c r="A129" s="0" t="s">
        <v>1169</v>
      </c>
      <c r="B129" s="0" t="s">
        <v>882</v>
      </c>
      <c r="C129" s="0" t="s">
        <v>737</v>
      </c>
      <c r="D129" s="0" t="s">
        <v>608</v>
      </c>
      <c r="E129" s="0" t="s">
        <v>197</v>
      </c>
      <c r="F129" s="0" t="n">
        <v>7</v>
      </c>
      <c r="G129" s="0" t="n">
        <v>16.6</v>
      </c>
      <c r="H129" s="0" t="n">
        <v>0.6</v>
      </c>
      <c r="I129" s="10" t="n">
        <v>0.509</v>
      </c>
      <c r="J129" s="0" t="n">
        <v>0.84</v>
      </c>
      <c r="K129" s="13" t="n">
        <f aca="false">IF(H129&lt;&gt;"",H129,IFERROR(G129/INDEX(Players!$M$2:$M$56,MATCH(B129,Players!$A$2:$A$56,0)),""))</f>
        <v>0.6</v>
      </c>
    </row>
    <row r="130" customFormat="false" ht="15" hidden="false" customHeight="false" outlineLevel="0" collapsed="false">
      <c r="A130" s="0" t="s">
        <v>1170</v>
      </c>
      <c r="B130" s="0" t="s">
        <v>882</v>
      </c>
      <c r="C130" s="0" t="s">
        <v>737</v>
      </c>
      <c r="D130" s="0" t="s">
        <v>608</v>
      </c>
      <c r="E130" s="0" t="s">
        <v>208</v>
      </c>
      <c r="F130" s="0" t="n">
        <v>6</v>
      </c>
      <c r="G130" s="0" t="n">
        <v>15.8</v>
      </c>
      <c r="H130" s="0" t="n">
        <v>0.71</v>
      </c>
      <c r="I130" s="10" t="n">
        <v>0.516</v>
      </c>
      <c r="J130" s="0" t="n">
        <v>1.09</v>
      </c>
      <c r="K130" s="13" t="n">
        <f aca="false">IF(H130&lt;&gt;"",H130,IFERROR(G130/INDEX(Players!$M$2:$M$56,MATCH(B130,Players!$A$2:$A$56,0)),""))</f>
        <v>0.71</v>
      </c>
    </row>
    <row r="131" customFormat="false" ht="15" hidden="false" customHeight="false" outlineLevel="0" collapsed="false">
      <c r="A131" s="0" t="s">
        <v>1171</v>
      </c>
      <c r="B131" s="0" t="s">
        <v>882</v>
      </c>
      <c r="C131" s="0" t="s">
        <v>737</v>
      </c>
      <c r="D131" s="0" t="s">
        <v>608</v>
      </c>
      <c r="E131" s="0" t="s">
        <v>234</v>
      </c>
      <c r="F131" s="0" t="n">
        <v>5</v>
      </c>
      <c r="G131" s="0" t="n">
        <v>15.6</v>
      </c>
      <c r="H131" s="0" t="n">
        <v>0.68</v>
      </c>
      <c r="I131" s="10" t="n">
        <v>0.603</v>
      </c>
      <c r="J131" s="0" t="n">
        <v>0.92</v>
      </c>
      <c r="K131" s="13" t="n">
        <f aca="false">IF(H131&lt;&gt;"",H131,IFERROR(G131/INDEX(Players!$M$2:$M$56,MATCH(B131,Players!$A$2:$A$56,0)),""))</f>
        <v>0.68</v>
      </c>
    </row>
    <row r="132" customFormat="false" ht="15" hidden="false" customHeight="false" outlineLevel="0" collapsed="false">
      <c r="A132" s="0" t="s">
        <v>1172</v>
      </c>
      <c r="B132" s="0" t="s">
        <v>882</v>
      </c>
      <c r="C132" s="0" t="s">
        <v>737</v>
      </c>
      <c r="D132" s="0" t="s">
        <v>608</v>
      </c>
      <c r="E132" s="0" t="s">
        <v>221</v>
      </c>
      <c r="F132" s="0" t="n">
        <v>4</v>
      </c>
      <c r="G132" s="0" t="n">
        <v>15.8</v>
      </c>
      <c r="H132" s="0" t="n">
        <v>0.73</v>
      </c>
      <c r="I132" s="10" t="n">
        <v>0.524</v>
      </c>
      <c r="J132" s="0" t="n">
        <v>1.03</v>
      </c>
      <c r="K132" s="13" t="n">
        <f aca="false">IF(H132&lt;&gt;"",H132,IFERROR(G132/INDEX(Players!$M$2:$M$56,MATCH(B132,Players!$A$2:$A$56,0)),""))</f>
        <v>0.73</v>
      </c>
    </row>
    <row r="133" customFormat="false" ht="15" hidden="false" customHeight="false" outlineLevel="0" collapsed="false">
      <c r="A133" s="0" t="s">
        <v>1173</v>
      </c>
      <c r="B133" s="0" t="s">
        <v>882</v>
      </c>
      <c r="C133" s="0" t="s">
        <v>737</v>
      </c>
      <c r="D133" s="0" t="s">
        <v>608</v>
      </c>
      <c r="E133" s="0" t="s">
        <v>183</v>
      </c>
      <c r="F133" s="0" t="n">
        <v>1</v>
      </c>
      <c r="G133" s="0" t="n">
        <v>14</v>
      </c>
      <c r="H133" s="0" t="n">
        <v>0.58</v>
      </c>
      <c r="I133" s="10" t="n">
        <v>0.571</v>
      </c>
      <c r="J133" s="0" t="n">
        <v>0.93</v>
      </c>
      <c r="K133" s="13" t="n">
        <f aca="false">IF(H133&lt;&gt;"",H133,IFERROR(G133/INDEX(Players!$M$2:$M$56,MATCH(B133,Players!$A$2:$A$56,0)),""))</f>
        <v>0.58</v>
      </c>
    </row>
    <row r="134" customFormat="false" ht="15" hidden="false" customHeight="false" outlineLevel="0" collapsed="false">
      <c r="A134" s="0" t="s">
        <v>1174</v>
      </c>
      <c r="B134" s="0" t="s">
        <v>871</v>
      </c>
      <c r="C134" s="0" t="s">
        <v>710</v>
      </c>
      <c r="D134" s="0" t="s">
        <v>608</v>
      </c>
      <c r="E134" s="0" t="s">
        <v>234</v>
      </c>
      <c r="F134" s="0" t="n">
        <v>9</v>
      </c>
      <c r="G134" s="0" t="n">
        <v>13.9</v>
      </c>
      <c r="H134" s="0" t="n">
        <v>0.66</v>
      </c>
      <c r="I134" s="10" t="n">
        <v>0.496</v>
      </c>
      <c r="J134" s="0" t="n">
        <v>0.93</v>
      </c>
      <c r="K134" s="13" t="n">
        <f aca="false">IF(H134&lt;&gt;"",H134,IFERROR(G134/INDEX(Players!$M$2:$M$56,MATCH(B134,Players!$A$2:$A$56,0)),""))</f>
        <v>0.66</v>
      </c>
    </row>
    <row r="135" customFormat="false" ht="15" hidden="false" customHeight="false" outlineLevel="0" collapsed="false">
      <c r="A135" s="0" t="s">
        <v>1175</v>
      </c>
      <c r="B135" s="0" t="s">
        <v>871</v>
      </c>
      <c r="C135" s="0" t="s">
        <v>710</v>
      </c>
      <c r="D135" s="0" t="s">
        <v>608</v>
      </c>
      <c r="E135" s="0" t="s">
        <v>208</v>
      </c>
      <c r="F135" s="0" t="n">
        <v>7</v>
      </c>
      <c r="G135" s="0" t="n">
        <v>14.6</v>
      </c>
      <c r="H135" s="0" t="n">
        <v>0.67</v>
      </c>
      <c r="I135" s="10" t="n">
        <v>0.51</v>
      </c>
      <c r="J135" s="0" t="n">
        <v>0.85</v>
      </c>
      <c r="K135" s="13" t="n">
        <f aca="false">IF(H135&lt;&gt;"",H135,IFERROR(G135/INDEX(Players!$M$2:$M$56,MATCH(B135,Players!$A$2:$A$56,0)),""))</f>
        <v>0.67</v>
      </c>
    </row>
    <row r="136" customFormat="false" ht="15" hidden="false" customHeight="false" outlineLevel="0" collapsed="false">
      <c r="A136" s="0" t="s">
        <v>1176</v>
      </c>
      <c r="B136" s="0" t="s">
        <v>871</v>
      </c>
      <c r="C136" s="0" t="s">
        <v>710</v>
      </c>
      <c r="D136" s="0" t="s">
        <v>608</v>
      </c>
      <c r="E136" s="0" t="s">
        <v>197</v>
      </c>
      <c r="F136" s="0" t="n">
        <v>6</v>
      </c>
      <c r="G136" s="0" t="n">
        <v>14.2</v>
      </c>
      <c r="H136" s="0" t="n">
        <v>0.65</v>
      </c>
      <c r="I136" s="10" t="n">
        <v>0.6</v>
      </c>
      <c r="J136" s="0" t="n">
        <v>0.86</v>
      </c>
      <c r="K136" s="13" t="n">
        <f aca="false">IF(H136&lt;&gt;"",H136,IFERROR(G136/INDEX(Players!$M$2:$M$56,MATCH(B136,Players!$A$2:$A$56,0)),""))</f>
        <v>0.65</v>
      </c>
    </row>
    <row r="137" customFormat="false" ht="15" hidden="false" customHeight="false" outlineLevel="0" collapsed="false">
      <c r="A137" s="0" t="s">
        <v>1177</v>
      </c>
      <c r="B137" s="0" t="s">
        <v>871</v>
      </c>
      <c r="C137" s="0" t="s">
        <v>710</v>
      </c>
      <c r="D137" s="0" t="s">
        <v>608</v>
      </c>
      <c r="E137" s="0" t="s">
        <v>221</v>
      </c>
      <c r="F137" s="0" t="n">
        <v>6</v>
      </c>
      <c r="G137" s="0" t="n">
        <v>12.3</v>
      </c>
      <c r="H137" s="0" t="n">
        <v>0.61</v>
      </c>
      <c r="I137" s="10" t="n">
        <v>0.419</v>
      </c>
      <c r="J137" s="0" t="n">
        <v>0.8</v>
      </c>
      <c r="K137" s="13" t="n">
        <f aca="false">IF(H137&lt;&gt;"",H137,IFERROR(G137/INDEX(Players!$M$2:$M$56,MATCH(B137,Players!$A$2:$A$56,0)),""))</f>
        <v>0.61</v>
      </c>
    </row>
    <row r="138" customFormat="false" ht="15" hidden="false" customHeight="false" outlineLevel="0" collapsed="false">
      <c r="A138" s="0" t="s">
        <v>1178</v>
      </c>
      <c r="B138" s="0" t="s">
        <v>871</v>
      </c>
      <c r="C138" s="0" t="s">
        <v>710</v>
      </c>
      <c r="D138" s="0" t="s">
        <v>608</v>
      </c>
      <c r="E138" s="0" t="s">
        <v>183</v>
      </c>
      <c r="F138" s="0" t="n">
        <v>4</v>
      </c>
      <c r="G138" s="0" t="n">
        <v>14.3</v>
      </c>
      <c r="H138" s="0" t="n">
        <v>0.67</v>
      </c>
      <c r="I138" s="10" t="n">
        <v>0.509</v>
      </c>
      <c r="J138" s="0" t="n">
        <v>0.86</v>
      </c>
      <c r="K138" s="13" t="n">
        <f aca="false">IF(H138&lt;&gt;"",H138,IFERROR(G138/INDEX(Players!$M$2:$M$56,MATCH(B138,Players!$A$2:$A$56,0)),""))</f>
        <v>0.67</v>
      </c>
    </row>
    <row r="139" customFormat="false" ht="15" hidden="false" customHeight="false" outlineLevel="0" collapsed="false">
      <c r="A139" s="0" t="s">
        <v>1179</v>
      </c>
      <c r="B139" s="0" t="s">
        <v>871</v>
      </c>
      <c r="C139" s="0" t="s">
        <v>710</v>
      </c>
      <c r="D139" s="0" t="s">
        <v>608</v>
      </c>
      <c r="E139" s="0" t="s">
        <v>245</v>
      </c>
      <c r="F139" s="0" t="n">
        <v>2</v>
      </c>
      <c r="G139" s="0" t="n">
        <v>17.5</v>
      </c>
      <c r="H139" s="0" t="n">
        <v>0.6</v>
      </c>
      <c r="I139" s="10" t="n">
        <v>0.543</v>
      </c>
      <c r="J139" s="0" t="n">
        <v>0.78</v>
      </c>
      <c r="K139" s="13" t="n">
        <f aca="false">IF(H139&lt;&gt;"",H139,IFERROR(G139/INDEX(Players!$M$2:$M$56,MATCH(B139,Players!$A$2:$A$56,0)),""))</f>
        <v>0.6</v>
      </c>
    </row>
    <row r="140" customFormat="false" ht="15" hidden="false" customHeight="false" outlineLevel="0" collapsed="false">
      <c r="A140" s="0" t="s">
        <v>1180</v>
      </c>
      <c r="B140" s="0" t="s">
        <v>867</v>
      </c>
      <c r="C140" s="0" t="s">
        <v>701</v>
      </c>
      <c r="D140" s="0" t="s">
        <v>608</v>
      </c>
      <c r="E140" s="0" t="s">
        <v>197</v>
      </c>
      <c r="F140" s="0" t="n">
        <v>12</v>
      </c>
      <c r="G140" s="0" t="n">
        <v>13.6</v>
      </c>
      <c r="H140" s="0" t="n">
        <v>0.65</v>
      </c>
      <c r="I140" s="10" t="n">
        <v>0.54</v>
      </c>
      <c r="J140" s="0" t="n">
        <v>0.95</v>
      </c>
      <c r="K140" s="13" t="n">
        <f aca="false">IF(H140&lt;&gt;"",H140,IFERROR(G140/INDEX(Players!$M$2:$M$56,MATCH(B140,Players!$A$2:$A$56,0)),""))</f>
        <v>0.65</v>
      </c>
    </row>
    <row r="141" customFormat="false" ht="15" hidden="false" customHeight="false" outlineLevel="0" collapsed="false">
      <c r="A141" s="0" t="s">
        <v>1181</v>
      </c>
      <c r="B141" s="0" t="s">
        <v>867</v>
      </c>
      <c r="C141" s="0" t="s">
        <v>701</v>
      </c>
      <c r="D141" s="0" t="s">
        <v>608</v>
      </c>
      <c r="E141" s="0" t="s">
        <v>208</v>
      </c>
      <c r="F141" s="0" t="n">
        <v>10</v>
      </c>
      <c r="G141" s="0" t="n">
        <v>15.5</v>
      </c>
      <c r="H141" s="0" t="n">
        <v>0.69</v>
      </c>
      <c r="I141" s="10" t="n">
        <v>0.606</v>
      </c>
      <c r="J141" s="0" t="n">
        <v>0.96</v>
      </c>
      <c r="K141" s="13" t="n">
        <f aca="false">IF(H141&lt;&gt;"",H141,IFERROR(G141/INDEX(Players!$M$2:$M$56,MATCH(B141,Players!$A$2:$A$56,0)),""))</f>
        <v>0.69</v>
      </c>
    </row>
    <row r="142" customFormat="false" ht="15" hidden="false" customHeight="false" outlineLevel="0" collapsed="false">
      <c r="A142" s="0" t="s">
        <v>1182</v>
      </c>
      <c r="B142" s="0" t="s">
        <v>867</v>
      </c>
      <c r="C142" s="0" t="s">
        <v>701</v>
      </c>
      <c r="D142" s="0" t="s">
        <v>608</v>
      </c>
      <c r="E142" s="0" t="s">
        <v>245</v>
      </c>
      <c r="F142" s="0" t="n">
        <v>6</v>
      </c>
      <c r="G142" s="0" t="n">
        <v>15.7</v>
      </c>
      <c r="H142" s="0" t="n">
        <v>0.7</v>
      </c>
      <c r="I142" s="10" t="n">
        <v>0.511</v>
      </c>
      <c r="J142" s="0" t="n">
        <v>1.15</v>
      </c>
      <c r="K142" s="13" t="n">
        <f aca="false">IF(H142&lt;&gt;"",H142,IFERROR(G142/INDEX(Players!$M$2:$M$56,MATCH(B142,Players!$A$2:$A$56,0)),""))</f>
        <v>0.7</v>
      </c>
    </row>
    <row r="143" customFormat="false" ht="15" hidden="false" customHeight="false" outlineLevel="0" collapsed="false">
      <c r="A143" s="0" t="s">
        <v>1183</v>
      </c>
      <c r="B143" s="0" t="s">
        <v>867</v>
      </c>
      <c r="C143" s="0" t="s">
        <v>701</v>
      </c>
      <c r="D143" s="0" t="s">
        <v>608</v>
      </c>
      <c r="E143" s="0" t="s">
        <v>234</v>
      </c>
      <c r="F143" s="0" t="n">
        <v>4</v>
      </c>
      <c r="G143" s="0" t="n">
        <v>13</v>
      </c>
      <c r="H143" s="0" t="n">
        <v>0.66</v>
      </c>
      <c r="I143" s="10" t="n">
        <v>0.635</v>
      </c>
      <c r="J143" s="0" t="n">
        <v>0.98</v>
      </c>
      <c r="K143" s="13" t="n">
        <f aca="false">IF(H143&lt;&gt;"",H143,IFERROR(G143/INDEX(Players!$M$2:$M$56,MATCH(B143,Players!$A$2:$A$56,0)),""))</f>
        <v>0.66</v>
      </c>
    </row>
    <row r="144" customFormat="false" ht="15" hidden="false" customHeight="false" outlineLevel="0" collapsed="false">
      <c r="A144" s="0" t="s">
        <v>1184</v>
      </c>
      <c r="B144" s="0" t="s">
        <v>867</v>
      </c>
      <c r="C144" s="0" t="s">
        <v>701</v>
      </c>
      <c r="D144" s="0" t="s">
        <v>608</v>
      </c>
      <c r="E144" s="0" t="s">
        <v>183</v>
      </c>
      <c r="F144" s="0" t="n">
        <v>3</v>
      </c>
      <c r="G144" s="0" t="n">
        <v>10.3</v>
      </c>
      <c r="H144" s="0" t="n">
        <v>0.56</v>
      </c>
      <c r="I144" s="10" t="n">
        <v>0.645</v>
      </c>
      <c r="J144" s="0" t="n">
        <v>0.72</v>
      </c>
      <c r="K144" s="13" t="n">
        <f aca="false">IF(H144&lt;&gt;"",H144,IFERROR(G144/INDEX(Players!$M$2:$M$56,MATCH(B144,Players!$A$2:$A$56,0)),""))</f>
        <v>0.56</v>
      </c>
    </row>
    <row r="145" customFormat="false" ht="15" hidden="false" customHeight="false" outlineLevel="0" collapsed="false">
      <c r="A145" s="0" t="s">
        <v>1185</v>
      </c>
      <c r="B145" s="0" t="s">
        <v>867</v>
      </c>
      <c r="C145" s="0" t="s">
        <v>701</v>
      </c>
      <c r="D145" s="0" t="s">
        <v>608</v>
      </c>
      <c r="E145" s="0" t="s">
        <v>221</v>
      </c>
      <c r="F145" s="0" t="n">
        <v>1</v>
      </c>
      <c r="G145" s="0" t="n">
        <v>25</v>
      </c>
      <c r="H145" s="0" t="n">
        <v>1.14</v>
      </c>
      <c r="I145" s="10" t="n">
        <v>0.44</v>
      </c>
      <c r="J145" s="0" t="n">
        <v>1.56</v>
      </c>
      <c r="K145" s="13" t="n">
        <f aca="false">IF(H145&lt;&gt;"",H145,IFERROR(G145/INDEX(Players!$M$2:$M$56,MATCH(B145,Players!$A$2:$A$56,0)),""))</f>
        <v>1.14</v>
      </c>
    </row>
    <row r="146" customFormat="false" ht="15" hidden="false" customHeight="false" outlineLevel="0" collapsed="false">
      <c r="A146" s="0" t="s">
        <v>1186</v>
      </c>
      <c r="B146" s="0" t="s">
        <v>867</v>
      </c>
      <c r="C146" s="0" t="s">
        <v>701</v>
      </c>
      <c r="D146" s="0" t="s">
        <v>608</v>
      </c>
      <c r="E146" s="0" t="s">
        <v>228</v>
      </c>
      <c r="F146" s="0" t="n">
        <v>1</v>
      </c>
      <c r="G146" s="0" t="n">
        <v>29</v>
      </c>
      <c r="H146" s="0" t="n">
        <v>0.62</v>
      </c>
      <c r="I146" s="10" t="n">
        <v>0.655</v>
      </c>
      <c r="J146" s="0" t="n">
        <v>0.83</v>
      </c>
      <c r="K146" s="13" t="n">
        <f aca="false">IF(H146&lt;&gt;"",H146,IFERROR(G146/INDEX(Players!$M$2:$M$56,MATCH(B146,Players!$A$2:$A$56,0)),""))</f>
        <v>0.62</v>
      </c>
    </row>
    <row r="147" customFormat="false" ht="15" hidden="false" customHeight="false" outlineLevel="0" collapsed="false">
      <c r="A147" s="0" t="s">
        <v>1187</v>
      </c>
      <c r="B147" s="0" t="s">
        <v>872</v>
      </c>
      <c r="C147" s="0" t="s">
        <v>713</v>
      </c>
      <c r="D147" s="0" t="s">
        <v>608</v>
      </c>
      <c r="E147" s="0" t="s">
        <v>234</v>
      </c>
      <c r="F147" s="0" t="n">
        <v>9</v>
      </c>
      <c r="G147" s="0" t="n">
        <v>14.6</v>
      </c>
      <c r="H147" s="0" t="n">
        <v>0.7</v>
      </c>
      <c r="I147" s="10" t="n">
        <v>0.29</v>
      </c>
      <c r="J147" s="0" t="n">
        <v>1.15</v>
      </c>
      <c r="K147" s="13" t="n">
        <f aca="false">IF(H147&lt;&gt;"",H147,IFERROR(G147/INDEX(Players!$M$2:$M$56,MATCH(B147,Players!$A$2:$A$56,0)),""))</f>
        <v>0.7</v>
      </c>
    </row>
    <row r="148" customFormat="false" ht="15" hidden="false" customHeight="false" outlineLevel="0" collapsed="false">
      <c r="A148" s="0" t="s">
        <v>1188</v>
      </c>
      <c r="B148" s="0" t="s">
        <v>872</v>
      </c>
      <c r="C148" s="0" t="s">
        <v>713</v>
      </c>
      <c r="D148" s="0" t="s">
        <v>608</v>
      </c>
      <c r="E148" s="0" t="s">
        <v>208</v>
      </c>
      <c r="F148" s="0" t="n">
        <v>7</v>
      </c>
      <c r="G148" s="0" t="n">
        <v>13.4</v>
      </c>
      <c r="H148" s="0" t="n">
        <v>0.62</v>
      </c>
      <c r="I148" s="10" t="n">
        <v>0.33</v>
      </c>
      <c r="J148" s="0" t="n">
        <v>0.94</v>
      </c>
      <c r="K148" s="13" t="n">
        <f aca="false">IF(H148&lt;&gt;"",H148,IFERROR(G148/INDEX(Players!$M$2:$M$56,MATCH(B148,Players!$A$2:$A$56,0)),""))</f>
        <v>0.62</v>
      </c>
    </row>
    <row r="149" customFormat="false" ht="15" hidden="false" customHeight="false" outlineLevel="0" collapsed="false">
      <c r="A149" s="0" t="s">
        <v>1189</v>
      </c>
      <c r="B149" s="0" t="s">
        <v>872</v>
      </c>
      <c r="C149" s="0" t="s">
        <v>713</v>
      </c>
      <c r="D149" s="0" t="s">
        <v>608</v>
      </c>
      <c r="E149" s="0" t="s">
        <v>221</v>
      </c>
      <c r="F149" s="0" t="n">
        <v>6</v>
      </c>
      <c r="G149" s="0" t="n">
        <v>13.7</v>
      </c>
      <c r="H149" s="0" t="n">
        <v>0.67</v>
      </c>
      <c r="I149" s="10" t="n">
        <v>0.268</v>
      </c>
      <c r="J149" s="0" t="n">
        <v>0.98</v>
      </c>
      <c r="K149" s="13" t="n">
        <f aca="false">IF(H149&lt;&gt;"",H149,IFERROR(G149/INDEX(Players!$M$2:$M$56,MATCH(B149,Players!$A$2:$A$56,0)),""))</f>
        <v>0.67</v>
      </c>
    </row>
    <row r="150" customFormat="false" ht="15" hidden="false" customHeight="false" outlineLevel="0" collapsed="false">
      <c r="A150" s="0" t="s">
        <v>1190</v>
      </c>
      <c r="B150" s="0" t="s">
        <v>872</v>
      </c>
      <c r="C150" s="0" t="s">
        <v>713</v>
      </c>
      <c r="D150" s="0" t="s">
        <v>608</v>
      </c>
      <c r="E150" s="0" t="s">
        <v>197</v>
      </c>
      <c r="F150" s="0" t="n">
        <v>6</v>
      </c>
      <c r="G150" s="0" t="n">
        <v>14.5</v>
      </c>
      <c r="H150" s="0" t="n">
        <v>0.67</v>
      </c>
      <c r="I150" s="10" t="n">
        <v>0.23</v>
      </c>
      <c r="J150" s="0" t="n">
        <v>0.97</v>
      </c>
      <c r="K150" s="13" t="n">
        <f aca="false">IF(H150&lt;&gt;"",H150,IFERROR(G150/INDEX(Players!$M$2:$M$56,MATCH(B150,Players!$A$2:$A$56,0)),""))</f>
        <v>0.67</v>
      </c>
    </row>
    <row r="151" customFormat="false" ht="15" hidden="false" customHeight="false" outlineLevel="0" collapsed="false">
      <c r="A151" s="0" t="s">
        <v>1191</v>
      </c>
      <c r="B151" s="0" t="s">
        <v>872</v>
      </c>
      <c r="C151" s="0" t="s">
        <v>713</v>
      </c>
      <c r="D151" s="0" t="s">
        <v>608</v>
      </c>
      <c r="E151" s="0" t="s">
        <v>183</v>
      </c>
      <c r="F151" s="0" t="n">
        <v>4</v>
      </c>
      <c r="G151" s="0" t="n">
        <v>12.3</v>
      </c>
      <c r="H151" s="0" t="n">
        <v>0.58</v>
      </c>
      <c r="I151" s="10" t="n">
        <v>0.224</v>
      </c>
      <c r="J151" s="0" t="n">
        <v>1.2</v>
      </c>
      <c r="K151" s="13" t="n">
        <f aca="false">IF(H151&lt;&gt;"",H151,IFERROR(G151/INDEX(Players!$M$2:$M$56,MATCH(B151,Players!$A$2:$A$56,0)),""))</f>
        <v>0.58</v>
      </c>
    </row>
    <row r="152" customFormat="false" ht="15" hidden="false" customHeight="false" outlineLevel="0" collapsed="false">
      <c r="A152" s="0" t="s">
        <v>1192</v>
      </c>
      <c r="B152" s="0" t="s">
        <v>872</v>
      </c>
      <c r="C152" s="0" t="s">
        <v>713</v>
      </c>
      <c r="D152" s="0" t="s">
        <v>608</v>
      </c>
      <c r="E152" s="0" t="s">
        <v>245</v>
      </c>
      <c r="F152" s="0" t="n">
        <v>2</v>
      </c>
      <c r="G152" s="0" t="n">
        <v>20</v>
      </c>
      <c r="H152" s="0" t="n">
        <v>0.69</v>
      </c>
      <c r="I152" s="10" t="n">
        <v>0.3</v>
      </c>
      <c r="J152" s="0" t="n">
        <v>1.14</v>
      </c>
      <c r="K152" s="13" t="n">
        <f aca="false">IF(H152&lt;&gt;"",H152,IFERROR(G152/INDEX(Players!$M$2:$M$56,MATCH(B152,Players!$A$2:$A$56,0)),""))</f>
        <v>0.69</v>
      </c>
    </row>
    <row r="153" customFormat="false" ht="15" hidden="false" customHeight="false" outlineLevel="0" collapsed="false">
      <c r="A153" s="0" t="s">
        <v>1193</v>
      </c>
      <c r="B153" s="0" t="s">
        <v>895</v>
      </c>
      <c r="C153" s="0" t="s">
        <v>765</v>
      </c>
      <c r="D153" s="0" t="s">
        <v>637</v>
      </c>
      <c r="E153" s="0" t="s">
        <v>95</v>
      </c>
      <c r="F153" s="0" t="n">
        <v>10</v>
      </c>
      <c r="G153" s="0" t="n">
        <v>17.2</v>
      </c>
      <c r="I153" s="10"/>
      <c r="J153" s="0" t="n">
        <v>1.06</v>
      </c>
      <c r="K153" s="13" t="n">
        <f aca="false">IF(H153&lt;&gt;"",H153,IFERROR(G153/INDEX(Players!$M$2:$M$56,MATCH(B153,Players!$A$2:$A$56,0)),""))</f>
        <v>0.841362229102167</v>
      </c>
    </row>
    <row r="154" customFormat="false" ht="15" hidden="false" customHeight="false" outlineLevel="0" collapsed="false">
      <c r="A154" s="0" t="s">
        <v>1194</v>
      </c>
      <c r="B154" s="0" t="s">
        <v>895</v>
      </c>
      <c r="C154" s="0" t="s">
        <v>765</v>
      </c>
      <c r="D154" s="0" t="s">
        <v>637</v>
      </c>
      <c r="E154" s="0" t="s">
        <v>68</v>
      </c>
      <c r="F154" s="0" t="n">
        <v>9</v>
      </c>
      <c r="G154" s="0" t="n">
        <v>17.6</v>
      </c>
      <c r="I154" s="10"/>
      <c r="J154" s="0" t="n">
        <v>1.06</v>
      </c>
      <c r="K154" s="13" t="n">
        <f aca="false">IF(H154&lt;&gt;"",H154,IFERROR(G154/INDEX(Players!$M$2:$M$56,MATCH(B154,Players!$A$2:$A$56,0)),""))</f>
        <v>0.86092879256966</v>
      </c>
    </row>
    <row r="155" customFormat="false" ht="15" hidden="false" customHeight="false" outlineLevel="0" collapsed="false">
      <c r="A155" s="0" t="s">
        <v>1195</v>
      </c>
      <c r="B155" s="0" t="s">
        <v>895</v>
      </c>
      <c r="C155" s="0" t="s">
        <v>765</v>
      </c>
      <c r="D155" s="0" t="s">
        <v>637</v>
      </c>
      <c r="E155" s="0" t="s">
        <v>99</v>
      </c>
      <c r="F155" s="0" t="n">
        <v>6</v>
      </c>
      <c r="G155" s="0" t="n">
        <v>16.3</v>
      </c>
      <c r="I155" s="10"/>
      <c r="J155" s="0" t="n">
        <v>1.36</v>
      </c>
      <c r="K155" s="13" t="n">
        <f aca="false">IF(H155&lt;&gt;"",H155,IFERROR(G155/INDEX(Players!$M$2:$M$56,MATCH(B155,Players!$A$2:$A$56,0)),""))</f>
        <v>0.79733746130031</v>
      </c>
    </row>
    <row r="156" customFormat="false" ht="15" hidden="false" customHeight="false" outlineLevel="0" collapsed="false">
      <c r="A156" s="0" t="s">
        <v>1196</v>
      </c>
      <c r="B156" s="0" t="s">
        <v>895</v>
      </c>
      <c r="C156" s="0" t="s">
        <v>765</v>
      </c>
      <c r="D156" s="0" t="s">
        <v>637</v>
      </c>
      <c r="E156" s="0" t="s">
        <v>88</v>
      </c>
      <c r="F156" s="0" t="n">
        <v>6</v>
      </c>
      <c r="G156" s="0" t="n">
        <v>14.3</v>
      </c>
      <c r="I156" s="10"/>
      <c r="J156" s="0" t="n">
        <v>1.13</v>
      </c>
      <c r="K156" s="13" t="n">
        <f aca="false">IF(H156&lt;&gt;"",H156,IFERROR(G156/INDEX(Players!$M$2:$M$56,MATCH(B156,Players!$A$2:$A$56,0)),""))</f>
        <v>0.699504643962848</v>
      </c>
    </row>
    <row r="157" customFormat="false" ht="15" hidden="false" customHeight="false" outlineLevel="0" collapsed="false">
      <c r="A157" s="0" t="s">
        <v>1197</v>
      </c>
      <c r="B157" s="0" t="s">
        <v>895</v>
      </c>
      <c r="C157" s="0" t="s">
        <v>765</v>
      </c>
      <c r="D157" s="0" t="s">
        <v>637</v>
      </c>
      <c r="E157" s="0" t="s">
        <v>930</v>
      </c>
      <c r="F157" s="0" t="n">
        <v>6</v>
      </c>
      <c r="G157" s="0" t="n">
        <v>14.8</v>
      </c>
      <c r="I157" s="10"/>
      <c r="J157" s="0" t="n">
        <v>0.96</v>
      </c>
      <c r="K157" s="13" t="n">
        <f aca="false">IF(H157&lt;&gt;"",H157,IFERROR(G157/INDEX(Players!$M$2:$M$56,MATCH(B157,Players!$A$2:$A$56,0)),""))</f>
        <v>0.723962848297214</v>
      </c>
    </row>
    <row r="158" customFormat="false" ht="15" hidden="false" customHeight="false" outlineLevel="0" collapsed="false">
      <c r="A158" s="0" t="s">
        <v>1198</v>
      </c>
      <c r="B158" s="0" t="s">
        <v>895</v>
      </c>
      <c r="C158" s="0" t="s">
        <v>765</v>
      </c>
      <c r="D158" s="0" t="s">
        <v>637</v>
      </c>
      <c r="E158" s="0" t="s">
        <v>74</v>
      </c>
      <c r="F158" s="0" t="n">
        <v>4</v>
      </c>
      <c r="G158" s="0" t="n">
        <v>14.8</v>
      </c>
      <c r="I158" s="10"/>
      <c r="J158" s="0" t="n">
        <v>1.07</v>
      </c>
      <c r="K158" s="13" t="n">
        <f aca="false">IF(H158&lt;&gt;"",H158,IFERROR(G158/INDEX(Players!$M$2:$M$56,MATCH(B158,Players!$A$2:$A$56,0)),""))</f>
        <v>0.723962848297214</v>
      </c>
    </row>
    <row r="159" customFormat="false" ht="15" hidden="false" customHeight="false" outlineLevel="0" collapsed="false">
      <c r="A159" s="0" t="s">
        <v>1199</v>
      </c>
      <c r="B159" s="0" t="s">
        <v>895</v>
      </c>
      <c r="C159" s="0" t="s">
        <v>765</v>
      </c>
      <c r="D159" s="0" t="s">
        <v>637</v>
      </c>
      <c r="E159" s="0" t="s">
        <v>82</v>
      </c>
      <c r="F159" s="0" t="n">
        <v>2</v>
      </c>
      <c r="G159" s="0" t="n">
        <v>15.5</v>
      </c>
      <c r="I159" s="10"/>
      <c r="J159" s="0" t="n">
        <v>1.41</v>
      </c>
      <c r="K159" s="13" t="n">
        <f aca="false">IF(H159&lt;&gt;"",H159,IFERROR(G159/INDEX(Players!$M$2:$M$56,MATCH(B159,Players!$A$2:$A$56,0)),""))</f>
        <v>0.758204334365325</v>
      </c>
    </row>
    <row r="160" customFormat="false" ht="15" hidden="false" customHeight="false" outlineLevel="0" collapsed="false">
      <c r="A160" s="0" t="s">
        <v>1200</v>
      </c>
      <c r="B160" s="0" t="s">
        <v>895</v>
      </c>
      <c r="C160" s="0" t="s">
        <v>765</v>
      </c>
      <c r="D160" s="0" t="s">
        <v>637</v>
      </c>
      <c r="E160" s="0" t="s">
        <v>935</v>
      </c>
      <c r="F160" s="0" t="n">
        <v>2</v>
      </c>
      <c r="G160" s="0" t="n">
        <v>15.5</v>
      </c>
      <c r="I160" s="10"/>
      <c r="J160" s="0" t="n">
        <v>1.19</v>
      </c>
      <c r="K160" s="13" t="n">
        <f aca="false">IF(H160&lt;&gt;"",H160,IFERROR(G160/INDEX(Players!$M$2:$M$56,MATCH(B160,Players!$A$2:$A$56,0)),""))</f>
        <v>0.758204334365325</v>
      </c>
    </row>
    <row r="161" customFormat="false" ht="15" hidden="false" customHeight="false" outlineLevel="0" collapsed="false">
      <c r="A161" s="0" t="s">
        <v>1201</v>
      </c>
      <c r="B161" s="0" t="s">
        <v>895</v>
      </c>
      <c r="C161" s="0" t="s">
        <v>765</v>
      </c>
      <c r="D161" s="0" t="s">
        <v>637</v>
      </c>
      <c r="E161" s="0" t="s">
        <v>643</v>
      </c>
      <c r="F161" s="0" t="n">
        <v>1</v>
      </c>
      <c r="G161" s="0" t="n">
        <v>16</v>
      </c>
      <c r="I161" s="10"/>
      <c r="J161" s="0" t="n">
        <v>1.78</v>
      </c>
      <c r="K161" s="13" t="n">
        <f aca="false">IF(H161&lt;&gt;"",H161,IFERROR(G161/INDEX(Players!$M$2:$M$56,MATCH(B161,Players!$A$2:$A$56,0)),""))</f>
        <v>0.782662538699691</v>
      </c>
    </row>
    <row r="162" customFormat="false" ht="15" hidden="false" customHeight="false" outlineLevel="0" collapsed="false">
      <c r="A162" s="0" t="s">
        <v>1202</v>
      </c>
      <c r="B162" s="0" t="s">
        <v>895</v>
      </c>
      <c r="C162" s="0" t="s">
        <v>765</v>
      </c>
      <c r="D162" s="0" t="s">
        <v>637</v>
      </c>
      <c r="E162" s="0" t="s">
        <v>105</v>
      </c>
      <c r="F162" s="0" t="n">
        <v>1</v>
      </c>
      <c r="G162" s="0" t="n">
        <v>18</v>
      </c>
      <c r="I162" s="10"/>
      <c r="J162" s="0" t="n">
        <v>1.13</v>
      </c>
      <c r="K162" s="13" t="n">
        <f aca="false">IF(H162&lt;&gt;"",H162,IFERROR(G162/INDEX(Players!$M$2:$M$56,MATCH(B162,Players!$A$2:$A$56,0)),""))</f>
        <v>0.880495356037152</v>
      </c>
    </row>
    <row r="163" customFormat="false" ht="15" hidden="false" customHeight="false" outlineLevel="0" collapsed="false">
      <c r="A163" s="0" t="s">
        <v>1203</v>
      </c>
      <c r="B163" s="0" t="s">
        <v>895</v>
      </c>
      <c r="C163" s="0" t="s">
        <v>765</v>
      </c>
      <c r="D163" s="0" t="s">
        <v>637</v>
      </c>
      <c r="E163" s="0" t="s">
        <v>942</v>
      </c>
      <c r="F163" s="0" t="n">
        <v>1</v>
      </c>
      <c r="G163" s="0" t="n">
        <v>17</v>
      </c>
      <c r="I163" s="10"/>
      <c r="J163" s="0" t="n">
        <v>0.89</v>
      </c>
      <c r="K163" s="13" t="n">
        <f aca="false">IF(H163&lt;&gt;"",H163,IFERROR(G163/INDEX(Players!$M$2:$M$56,MATCH(B163,Players!$A$2:$A$56,0)),""))</f>
        <v>0.831578947368421</v>
      </c>
    </row>
    <row r="164" customFormat="false" ht="15" hidden="false" customHeight="false" outlineLevel="0" collapsed="false">
      <c r="A164" s="0" t="s">
        <v>1204</v>
      </c>
      <c r="B164" s="0" t="s">
        <v>892</v>
      </c>
      <c r="C164" s="0" t="s">
        <v>759</v>
      </c>
      <c r="D164" s="0" t="s">
        <v>637</v>
      </c>
      <c r="E164" s="0" t="s">
        <v>95</v>
      </c>
      <c r="F164" s="0" t="n">
        <v>9</v>
      </c>
      <c r="G164" s="0" t="n">
        <v>19.2</v>
      </c>
      <c r="I164" s="10"/>
      <c r="J164" s="0" t="n">
        <v>1.34</v>
      </c>
      <c r="K164" s="13" t="n">
        <f aca="false">IF(H164&lt;&gt;"",H164,IFERROR(G164/INDEX(Players!$M$2:$M$56,MATCH(B164,Players!$A$2:$A$56,0)),""))</f>
        <v>0.890497737556561</v>
      </c>
    </row>
    <row r="165" customFormat="false" ht="15" hidden="false" customHeight="false" outlineLevel="0" collapsed="false">
      <c r="A165" s="0" t="s">
        <v>1205</v>
      </c>
      <c r="B165" s="0" t="s">
        <v>892</v>
      </c>
      <c r="C165" s="0" t="s">
        <v>759</v>
      </c>
      <c r="D165" s="0" t="s">
        <v>637</v>
      </c>
      <c r="E165" s="0" t="s">
        <v>643</v>
      </c>
      <c r="F165" s="0" t="n">
        <v>7</v>
      </c>
      <c r="G165" s="0" t="n">
        <v>17.4</v>
      </c>
      <c r="I165" s="10"/>
      <c r="J165" s="0" t="n">
        <v>1</v>
      </c>
      <c r="K165" s="13" t="n">
        <f aca="false">IF(H165&lt;&gt;"",H165,IFERROR(G165/INDEX(Players!$M$2:$M$56,MATCH(B165,Players!$A$2:$A$56,0)),""))</f>
        <v>0.807013574660633</v>
      </c>
    </row>
    <row r="166" customFormat="false" ht="15" hidden="false" customHeight="false" outlineLevel="0" collapsed="false">
      <c r="A166" s="0" t="s">
        <v>1206</v>
      </c>
      <c r="B166" s="0" t="s">
        <v>892</v>
      </c>
      <c r="C166" s="0" t="s">
        <v>759</v>
      </c>
      <c r="D166" s="0" t="s">
        <v>637</v>
      </c>
      <c r="E166" s="0" t="s">
        <v>99</v>
      </c>
      <c r="F166" s="0" t="n">
        <v>6</v>
      </c>
      <c r="G166" s="0" t="n">
        <v>20.5</v>
      </c>
      <c r="I166" s="10"/>
      <c r="J166" s="0" t="n">
        <v>1.26</v>
      </c>
      <c r="K166" s="13" t="n">
        <f aca="false">IF(H166&lt;&gt;"",H166,IFERROR(G166/INDEX(Players!$M$2:$M$56,MATCH(B166,Players!$A$2:$A$56,0)),""))</f>
        <v>0.95079185520362</v>
      </c>
    </row>
    <row r="167" customFormat="false" ht="15" hidden="false" customHeight="false" outlineLevel="0" collapsed="false">
      <c r="A167" s="0" t="s">
        <v>1207</v>
      </c>
      <c r="B167" s="0" t="s">
        <v>892</v>
      </c>
      <c r="C167" s="0" t="s">
        <v>759</v>
      </c>
      <c r="D167" s="0" t="s">
        <v>637</v>
      </c>
      <c r="E167" s="0" t="s">
        <v>938</v>
      </c>
      <c r="F167" s="0" t="n">
        <v>6</v>
      </c>
      <c r="G167" s="0" t="n">
        <v>17.8</v>
      </c>
      <c r="I167" s="10"/>
      <c r="J167" s="0" t="n">
        <v>1.16</v>
      </c>
      <c r="K167" s="13" t="n">
        <f aca="false">IF(H167&lt;&gt;"",H167,IFERROR(G167/INDEX(Players!$M$2:$M$56,MATCH(B167,Players!$A$2:$A$56,0)),""))</f>
        <v>0.825565610859729</v>
      </c>
    </row>
    <row r="168" customFormat="false" ht="15" hidden="false" customHeight="false" outlineLevel="0" collapsed="false">
      <c r="A168" s="0" t="s">
        <v>1208</v>
      </c>
      <c r="B168" s="0" t="s">
        <v>892</v>
      </c>
      <c r="C168" s="0" t="s">
        <v>759</v>
      </c>
      <c r="D168" s="0" t="s">
        <v>637</v>
      </c>
      <c r="E168" s="0" t="s">
        <v>92</v>
      </c>
      <c r="F168" s="0" t="n">
        <v>5</v>
      </c>
      <c r="G168" s="0" t="n">
        <v>15.4</v>
      </c>
      <c r="I168" s="10"/>
      <c r="J168" s="0" t="n">
        <v>1.03</v>
      </c>
      <c r="K168" s="13" t="n">
        <f aca="false">IF(H168&lt;&gt;"",H168,IFERROR(G168/INDEX(Players!$M$2:$M$56,MATCH(B168,Players!$A$2:$A$56,0)),""))</f>
        <v>0.714253393665158</v>
      </c>
    </row>
    <row r="169" customFormat="false" ht="15" hidden="false" customHeight="false" outlineLevel="0" collapsed="false">
      <c r="A169" s="0" t="s">
        <v>1209</v>
      </c>
      <c r="B169" s="0" t="s">
        <v>892</v>
      </c>
      <c r="C169" s="0" t="s">
        <v>759</v>
      </c>
      <c r="D169" s="0" t="s">
        <v>637</v>
      </c>
      <c r="E169" s="0" t="s">
        <v>88</v>
      </c>
      <c r="F169" s="0" t="n">
        <v>3</v>
      </c>
      <c r="G169" s="0" t="n">
        <v>18.3</v>
      </c>
      <c r="I169" s="10"/>
      <c r="J169" s="0" t="n">
        <v>1.41</v>
      </c>
      <c r="K169" s="13" t="n">
        <f aca="false">IF(H169&lt;&gt;"",H169,IFERROR(G169/INDEX(Players!$M$2:$M$56,MATCH(B169,Players!$A$2:$A$56,0)),""))</f>
        <v>0.848755656108597</v>
      </c>
    </row>
    <row r="170" customFormat="false" ht="15" hidden="false" customHeight="false" outlineLevel="0" collapsed="false">
      <c r="A170" s="0" t="s">
        <v>1210</v>
      </c>
      <c r="B170" s="0" t="s">
        <v>892</v>
      </c>
      <c r="C170" s="0" t="s">
        <v>759</v>
      </c>
      <c r="D170" s="0" t="s">
        <v>637</v>
      </c>
      <c r="E170" s="0" t="s">
        <v>930</v>
      </c>
      <c r="F170" s="0" t="n">
        <v>2</v>
      </c>
      <c r="G170" s="0" t="n">
        <v>14</v>
      </c>
      <c r="I170" s="10"/>
      <c r="J170" s="0" t="n">
        <v>1.17</v>
      </c>
      <c r="K170" s="13" t="n">
        <f aca="false">IF(H170&lt;&gt;"",H170,IFERROR(G170/INDEX(Players!$M$2:$M$56,MATCH(B170,Players!$A$2:$A$56,0)),""))</f>
        <v>0.649321266968326</v>
      </c>
    </row>
    <row r="171" customFormat="false" ht="15" hidden="false" customHeight="false" outlineLevel="0" collapsed="false">
      <c r="A171" s="0" t="s">
        <v>1211</v>
      </c>
      <c r="B171" s="0" t="s">
        <v>892</v>
      </c>
      <c r="C171" s="0" t="s">
        <v>759</v>
      </c>
      <c r="D171" s="0" t="s">
        <v>637</v>
      </c>
      <c r="E171" s="0" t="s">
        <v>68</v>
      </c>
      <c r="F171" s="0" t="n">
        <v>2</v>
      </c>
      <c r="G171" s="0" t="n">
        <v>11</v>
      </c>
      <c r="I171" s="10"/>
      <c r="J171" s="0" t="n">
        <v>0.73</v>
      </c>
      <c r="K171" s="13" t="n">
        <f aca="false">IF(H171&lt;&gt;"",H171,IFERROR(G171/INDEX(Players!$M$2:$M$56,MATCH(B171,Players!$A$2:$A$56,0)),""))</f>
        <v>0.510180995475113</v>
      </c>
    </row>
    <row r="172" customFormat="false" ht="15" hidden="false" customHeight="false" outlineLevel="0" collapsed="false">
      <c r="A172" s="0" t="s">
        <v>1212</v>
      </c>
      <c r="B172" s="0" t="s">
        <v>893</v>
      </c>
      <c r="C172" s="0" t="s">
        <v>761</v>
      </c>
      <c r="D172" s="0" t="s">
        <v>637</v>
      </c>
      <c r="E172" s="0" t="s">
        <v>95</v>
      </c>
      <c r="F172" s="0" t="n">
        <v>6</v>
      </c>
      <c r="G172" s="0" t="n">
        <v>15.7</v>
      </c>
      <c r="I172" s="10"/>
      <c r="J172" s="0" t="n">
        <v>1</v>
      </c>
      <c r="K172" s="13" t="n">
        <f aca="false">IF(H172&lt;&gt;"",H172,IFERROR(G172/INDEX(Players!$M$2:$M$56,MATCH(B172,Players!$A$2:$A$56,0)),""))</f>
        <v>0.68433354390398</v>
      </c>
    </row>
    <row r="173" customFormat="false" ht="15" hidden="false" customHeight="false" outlineLevel="0" collapsed="false">
      <c r="A173" s="0" t="s">
        <v>1213</v>
      </c>
      <c r="B173" s="0" t="s">
        <v>893</v>
      </c>
      <c r="C173" s="0" t="s">
        <v>761</v>
      </c>
      <c r="D173" s="0" t="s">
        <v>637</v>
      </c>
      <c r="E173" s="0" t="s">
        <v>74</v>
      </c>
      <c r="F173" s="0" t="n">
        <v>4</v>
      </c>
      <c r="G173" s="0" t="n">
        <v>11.3</v>
      </c>
      <c r="I173" s="10"/>
      <c r="J173" s="0" t="n">
        <v>0.75</v>
      </c>
      <c r="K173" s="13" t="n">
        <f aca="false">IF(H173&lt;&gt;"",H173,IFERROR(G173/INDEX(Players!$M$2:$M$56,MATCH(B173,Players!$A$2:$A$56,0)),""))</f>
        <v>0.492545799115603</v>
      </c>
    </row>
    <row r="174" customFormat="false" ht="15" hidden="false" customHeight="false" outlineLevel="0" collapsed="false">
      <c r="A174" s="0" t="s">
        <v>1214</v>
      </c>
      <c r="B174" s="0" t="s">
        <v>893</v>
      </c>
      <c r="C174" s="0" t="s">
        <v>761</v>
      </c>
      <c r="D174" s="0" t="s">
        <v>637</v>
      </c>
      <c r="E174" s="0" t="s">
        <v>942</v>
      </c>
      <c r="F174" s="0" t="n">
        <v>3</v>
      </c>
      <c r="G174" s="0" t="n">
        <v>21.3</v>
      </c>
      <c r="I174" s="10"/>
      <c r="J174" s="0" t="n">
        <v>1.19</v>
      </c>
      <c r="K174" s="13" t="n">
        <f aca="false">IF(H174&lt;&gt;"",H174,IFERROR(G174/INDEX(Players!$M$2:$M$56,MATCH(B174,Players!$A$2:$A$56,0)),""))</f>
        <v>0.928427037271004</v>
      </c>
    </row>
    <row r="175" customFormat="false" ht="15" hidden="false" customHeight="false" outlineLevel="0" collapsed="false">
      <c r="A175" s="0" t="s">
        <v>1215</v>
      </c>
      <c r="B175" s="0" t="s">
        <v>893</v>
      </c>
      <c r="C175" s="0" t="s">
        <v>761</v>
      </c>
      <c r="D175" s="0" t="s">
        <v>637</v>
      </c>
      <c r="E175" s="0" t="s">
        <v>930</v>
      </c>
      <c r="F175" s="0" t="n">
        <v>2</v>
      </c>
      <c r="G175" s="0" t="n">
        <v>13</v>
      </c>
      <c r="I175" s="10"/>
      <c r="J175" s="0" t="n">
        <v>0.93</v>
      </c>
      <c r="K175" s="13" t="n">
        <f aca="false">IF(H175&lt;&gt;"",H175,IFERROR(G175/INDEX(Players!$M$2:$M$56,MATCH(B175,Players!$A$2:$A$56,0)),""))</f>
        <v>0.566645609602021</v>
      </c>
    </row>
    <row r="176" customFormat="false" ht="15" hidden="false" customHeight="false" outlineLevel="0" collapsed="false">
      <c r="A176" s="0" t="s">
        <v>1216</v>
      </c>
      <c r="B176" s="0" t="s">
        <v>893</v>
      </c>
      <c r="C176" s="0" t="s">
        <v>761</v>
      </c>
      <c r="D176" s="0" t="s">
        <v>637</v>
      </c>
      <c r="E176" s="0" t="s">
        <v>82</v>
      </c>
      <c r="F176" s="0" t="n">
        <v>1</v>
      </c>
      <c r="G176" s="0" t="n">
        <v>27</v>
      </c>
      <c r="I176" s="10"/>
      <c r="J176" s="0" t="n">
        <v>1.5</v>
      </c>
      <c r="K176" s="13" t="n">
        <f aca="false">IF(H176&lt;&gt;"",H176,IFERROR(G176/INDEX(Players!$M$2:$M$56,MATCH(B176,Players!$A$2:$A$56,0)),""))</f>
        <v>1.17687934301958</v>
      </c>
    </row>
    <row r="177" customFormat="false" ht="15" hidden="false" customHeight="false" outlineLevel="0" collapsed="false">
      <c r="A177" s="0" t="s">
        <v>1217</v>
      </c>
      <c r="B177" s="0" t="s">
        <v>893</v>
      </c>
      <c r="C177" s="0" t="s">
        <v>761</v>
      </c>
      <c r="D177" s="0" t="s">
        <v>637</v>
      </c>
      <c r="E177" s="0" t="s">
        <v>88</v>
      </c>
      <c r="F177" s="0" t="n">
        <v>1</v>
      </c>
      <c r="G177" s="0" t="n">
        <v>18</v>
      </c>
      <c r="I177" s="10"/>
      <c r="J177" s="0" t="n">
        <v>1.06</v>
      </c>
      <c r="K177" s="13" t="n">
        <f aca="false">IF(H177&lt;&gt;"",H177,IFERROR(G177/INDEX(Players!$M$2:$M$56,MATCH(B177,Players!$A$2:$A$56,0)),""))</f>
        <v>0.784586228679722</v>
      </c>
    </row>
    <row r="178" customFormat="false" ht="15" hidden="false" customHeight="false" outlineLevel="0" collapsed="false">
      <c r="A178" s="0" t="s">
        <v>1218</v>
      </c>
      <c r="B178" s="0" t="s">
        <v>893</v>
      </c>
      <c r="C178" s="0" t="s">
        <v>761</v>
      </c>
      <c r="D178" s="0" t="s">
        <v>637</v>
      </c>
      <c r="E178" s="0" t="s">
        <v>92</v>
      </c>
      <c r="F178" s="0" t="n">
        <v>1</v>
      </c>
      <c r="G178" s="0" t="n">
        <v>11</v>
      </c>
      <c r="I178" s="10"/>
      <c r="J178" s="0" t="n">
        <v>0.58</v>
      </c>
      <c r="K178" s="13" t="n">
        <f aca="false">IF(H178&lt;&gt;"",H178,IFERROR(G178/INDEX(Players!$M$2:$M$56,MATCH(B178,Players!$A$2:$A$56,0)),""))</f>
        <v>0.479469361970941</v>
      </c>
    </row>
    <row r="179" customFormat="false" ht="15" hidden="false" customHeight="false" outlineLevel="0" collapsed="false">
      <c r="A179" s="0" t="s">
        <v>1219</v>
      </c>
      <c r="B179" s="0" t="s">
        <v>900</v>
      </c>
      <c r="C179" s="0" t="s">
        <v>775</v>
      </c>
      <c r="D179" s="0" t="s">
        <v>637</v>
      </c>
      <c r="E179" s="0" t="s">
        <v>92</v>
      </c>
      <c r="F179" s="0" t="n">
        <v>6</v>
      </c>
      <c r="G179" s="0" t="n">
        <v>12</v>
      </c>
      <c r="I179" s="10"/>
      <c r="J179" s="0" t="n">
        <v>0.97</v>
      </c>
      <c r="K179" s="13" t="n">
        <f aca="false">IF(H179&lt;&gt;"",H179,IFERROR(G179/INDEX(Players!$M$2:$M$56,MATCH(B179,Players!$A$2:$A$56,0)),""))</f>
        <v>0.636441402908469</v>
      </c>
    </row>
    <row r="180" customFormat="false" ht="15" hidden="false" customHeight="false" outlineLevel="0" collapsed="false">
      <c r="A180" s="0" t="s">
        <v>1220</v>
      </c>
      <c r="B180" s="0" t="s">
        <v>900</v>
      </c>
      <c r="C180" s="0" t="s">
        <v>775</v>
      </c>
      <c r="D180" s="0" t="s">
        <v>637</v>
      </c>
      <c r="E180" s="0" t="s">
        <v>99</v>
      </c>
      <c r="F180" s="0" t="n">
        <v>6</v>
      </c>
      <c r="G180" s="0" t="n">
        <v>9.2</v>
      </c>
      <c r="I180" s="10"/>
      <c r="J180" s="0" t="n">
        <v>0.6</v>
      </c>
      <c r="K180" s="13" t="n">
        <f aca="false">IF(H180&lt;&gt;"",H180,IFERROR(G180/INDEX(Players!$M$2:$M$56,MATCH(B180,Players!$A$2:$A$56,0)),""))</f>
        <v>0.487938408896493</v>
      </c>
    </row>
    <row r="181" customFormat="false" ht="15" hidden="false" customHeight="false" outlineLevel="0" collapsed="false">
      <c r="A181" s="0" t="s">
        <v>1221</v>
      </c>
      <c r="B181" s="0" t="s">
        <v>900</v>
      </c>
      <c r="C181" s="0" t="s">
        <v>775</v>
      </c>
      <c r="D181" s="0" t="s">
        <v>637</v>
      </c>
      <c r="E181" s="0" t="s">
        <v>68</v>
      </c>
      <c r="F181" s="0" t="n">
        <v>4</v>
      </c>
      <c r="G181" s="0" t="n">
        <v>14.3</v>
      </c>
      <c r="I181" s="10"/>
      <c r="J181" s="0" t="n">
        <v>1</v>
      </c>
      <c r="K181" s="13" t="n">
        <f aca="false">IF(H181&lt;&gt;"",H181,IFERROR(G181/INDEX(Players!$M$2:$M$56,MATCH(B181,Players!$A$2:$A$56,0)),""))</f>
        <v>0.758426005132592</v>
      </c>
    </row>
    <row r="182" customFormat="false" ht="15" hidden="false" customHeight="false" outlineLevel="0" collapsed="false">
      <c r="A182" s="0" t="s">
        <v>1222</v>
      </c>
      <c r="B182" s="0" t="s">
        <v>900</v>
      </c>
      <c r="C182" s="0" t="s">
        <v>775</v>
      </c>
      <c r="D182" s="0" t="s">
        <v>637</v>
      </c>
      <c r="E182" s="0" t="s">
        <v>88</v>
      </c>
      <c r="F182" s="0" t="n">
        <v>4</v>
      </c>
      <c r="G182" s="0" t="n">
        <v>11.8</v>
      </c>
      <c r="I182" s="10"/>
      <c r="J182" s="0" t="n">
        <v>0.87</v>
      </c>
      <c r="K182" s="13" t="n">
        <f aca="false">IF(H182&lt;&gt;"",H182,IFERROR(G182/INDEX(Players!$M$2:$M$56,MATCH(B182,Players!$A$2:$A$56,0)),""))</f>
        <v>0.625834046193328</v>
      </c>
    </row>
    <row r="183" customFormat="false" ht="15" hidden="false" customHeight="false" outlineLevel="0" collapsed="false">
      <c r="A183" s="0" t="s">
        <v>1223</v>
      </c>
      <c r="B183" s="0" t="s">
        <v>900</v>
      </c>
      <c r="C183" s="0" t="s">
        <v>775</v>
      </c>
      <c r="D183" s="0" t="s">
        <v>637</v>
      </c>
      <c r="E183" s="0" t="s">
        <v>643</v>
      </c>
      <c r="F183" s="0" t="n">
        <v>4</v>
      </c>
      <c r="G183" s="0" t="n">
        <v>11.8</v>
      </c>
      <c r="I183" s="10"/>
      <c r="J183" s="0" t="n">
        <v>0.8</v>
      </c>
      <c r="K183" s="13" t="n">
        <f aca="false">IF(H183&lt;&gt;"",H183,IFERROR(G183/INDEX(Players!$M$2:$M$56,MATCH(B183,Players!$A$2:$A$56,0)),""))</f>
        <v>0.625834046193328</v>
      </c>
    </row>
    <row r="184" customFormat="false" ht="15" hidden="false" customHeight="false" outlineLevel="0" collapsed="false">
      <c r="A184" s="0" t="s">
        <v>1224</v>
      </c>
      <c r="B184" s="0" t="s">
        <v>900</v>
      </c>
      <c r="C184" s="0" t="s">
        <v>775</v>
      </c>
      <c r="D184" s="0" t="s">
        <v>637</v>
      </c>
      <c r="E184" s="0" t="s">
        <v>74</v>
      </c>
      <c r="F184" s="0" t="n">
        <v>3</v>
      </c>
      <c r="G184" s="0" t="n">
        <v>13.7</v>
      </c>
      <c r="I184" s="10"/>
      <c r="J184" s="0" t="n">
        <v>1.46</v>
      </c>
      <c r="K184" s="13" t="n">
        <f aca="false">IF(H184&lt;&gt;"",H184,IFERROR(G184/INDEX(Players!$M$2:$M$56,MATCH(B184,Players!$A$2:$A$56,0)),""))</f>
        <v>0.726603934987169</v>
      </c>
    </row>
    <row r="185" customFormat="false" ht="15" hidden="false" customHeight="false" outlineLevel="0" collapsed="false">
      <c r="A185" s="0" t="s">
        <v>1225</v>
      </c>
      <c r="B185" s="0" t="s">
        <v>900</v>
      </c>
      <c r="C185" s="0" t="s">
        <v>775</v>
      </c>
      <c r="D185" s="0" t="s">
        <v>637</v>
      </c>
      <c r="E185" s="0" t="s">
        <v>95</v>
      </c>
      <c r="F185" s="0" t="n">
        <v>3</v>
      </c>
      <c r="G185" s="0" t="n">
        <v>7.7</v>
      </c>
      <c r="I185" s="10"/>
      <c r="J185" s="0" t="n">
        <v>0.5</v>
      </c>
      <c r="K185" s="13" t="n">
        <f aca="false">IF(H185&lt;&gt;"",H185,IFERROR(G185/INDEX(Players!$M$2:$M$56,MATCH(B185,Players!$A$2:$A$56,0)),""))</f>
        <v>0.408383233532934</v>
      </c>
    </row>
    <row r="186" customFormat="false" ht="15" hidden="false" customHeight="false" outlineLevel="0" collapsed="false">
      <c r="A186" s="0" t="s">
        <v>1226</v>
      </c>
      <c r="B186" s="0" t="s">
        <v>900</v>
      </c>
      <c r="C186" s="0" t="s">
        <v>775</v>
      </c>
      <c r="D186" s="0" t="s">
        <v>637</v>
      </c>
      <c r="E186" s="0" t="s">
        <v>930</v>
      </c>
      <c r="F186" s="0" t="n">
        <v>2</v>
      </c>
      <c r="G186" s="0" t="n">
        <v>14.5</v>
      </c>
      <c r="I186" s="10"/>
      <c r="J186" s="0" t="n">
        <v>1.07</v>
      </c>
      <c r="K186" s="13" t="n">
        <f aca="false">IF(H186&lt;&gt;"",H186,IFERROR(G186/INDEX(Players!$M$2:$M$56,MATCH(B186,Players!$A$2:$A$56,0)),""))</f>
        <v>0.769033361847733</v>
      </c>
    </row>
    <row r="187" customFormat="false" ht="15" hidden="false" customHeight="false" outlineLevel="0" collapsed="false">
      <c r="A187" s="0" t="s">
        <v>1227</v>
      </c>
      <c r="B187" s="0" t="s">
        <v>900</v>
      </c>
      <c r="C187" s="0" t="s">
        <v>775</v>
      </c>
      <c r="D187" s="0" t="s">
        <v>637</v>
      </c>
      <c r="E187" s="0" t="s">
        <v>938</v>
      </c>
      <c r="F187" s="0" t="n">
        <v>2</v>
      </c>
      <c r="G187" s="0" t="n">
        <v>12.5</v>
      </c>
      <c r="I187" s="10"/>
      <c r="J187" s="0" t="n">
        <v>0.76</v>
      </c>
      <c r="K187" s="13" t="n">
        <f aca="false">IF(H187&lt;&gt;"",H187,IFERROR(G187/INDEX(Players!$M$2:$M$56,MATCH(B187,Players!$A$2:$A$56,0)),""))</f>
        <v>0.662959794696322</v>
      </c>
    </row>
    <row r="188" customFormat="false" ht="15" hidden="false" customHeight="false" outlineLevel="0" collapsed="false">
      <c r="A188" s="0" t="s">
        <v>1228</v>
      </c>
      <c r="B188" s="0" t="s">
        <v>900</v>
      </c>
      <c r="C188" s="0" t="s">
        <v>775</v>
      </c>
      <c r="D188" s="0" t="s">
        <v>637</v>
      </c>
      <c r="E188" s="0" t="s">
        <v>82</v>
      </c>
      <c r="F188" s="0" t="n">
        <v>1</v>
      </c>
      <c r="G188" s="0" t="n">
        <v>13</v>
      </c>
      <c r="I188" s="10"/>
      <c r="J188" s="0" t="n">
        <v>1.18</v>
      </c>
      <c r="K188" s="13" t="n">
        <f aca="false">IF(H188&lt;&gt;"",H188,IFERROR(G188/INDEX(Players!$M$2:$M$56,MATCH(B188,Players!$A$2:$A$56,0)),""))</f>
        <v>0.689478186484175</v>
      </c>
    </row>
    <row r="189" customFormat="false" ht="15" hidden="false" customHeight="false" outlineLevel="0" collapsed="false">
      <c r="A189" s="0" t="s">
        <v>1229</v>
      </c>
      <c r="B189" s="0" t="s">
        <v>908</v>
      </c>
      <c r="C189" s="0" t="s">
        <v>791</v>
      </c>
      <c r="D189" s="0" t="s">
        <v>637</v>
      </c>
      <c r="E189" s="0" t="s">
        <v>68</v>
      </c>
      <c r="F189" s="0" t="n">
        <v>8</v>
      </c>
      <c r="G189" s="0" t="n">
        <v>17.4</v>
      </c>
      <c r="I189" s="10"/>
      <c r="J189" s="0" t="n">
        <v>1.07</v>
      </c>
      <c r="K189" s="13" t="n">
        <f aca="false">IF(H189&lt;&gt;"",H189,IFERROR(G189/INDEX(Players!$M$2:$M$56,MATCH(B189,Players!$A$2:$A$56,0)),""))</f>
        <v>0.849262202043133</v>
      </c>
    </row>
    <row r="190" customFormat="false" ht="15" hidden="false" customHeight="false" outlineLevel="0" collapsed="false">
      <c r="A190" s="0" t="s">
        <v>1230</v>
      </c>
      <c r="B190" s="0" t="s">
        <v>908</v>
      </c>
      <c r="C190" s="0" t="s">
        <v>791</v>
      </c>
      <c r="D190" s="0" t="s">
        <v>637</v>
      </c>
      <c r="E190" s="0" t="s">
        <v>105</v>
      </c>
      <c r="F190" s="0" t="n">
        <v>6</v>
      </c>
      <c r="G190" s="0" t="n">
        <v>18.5</v>
      </c>
      <c r="I190" s="10"/>
      <c r="J190" s="0" t="n">
        <v>1.5</v>
      </c>
      <c r="K190" s="13" t="n">
        <f aca="false">IF(H190&lt;&gt;"",H190,IFERROR(G190/INDEX(Players!$M$2:$M$56,MATCH(B190,Players!$A$2:$A$56,0)),""))</f>
        <v>0.902951191827469</v>
      </c>
    </row>
    <row r="191" customFormat="false" ht="15" hidden="false" customHeight="false" outlineLevel="0" collapsed="false">
      <c r="A191" s="0" t="s">
        <v>1231</v>
      </c>
      <c r="B191" s="0" t="s">
        <v>908</v>
      </c>
      <c r="C191" s="0" t="s">
        <v>791</v>
      </c>
      <c r="D191" s="0" t="s">
        <v>637</v>
      </c>
      <c r="E191" s="0" t="s">
        <v>74</v>
      </c>
      <c r="F191" s="0" t="n">
        <v>6</v>
      </c>
      <c r="G191" s="0" t="n">
        <v>19.5</v>
      </c>
      <c r="I191" s="10"/>
      <c r="J191" s="0" t="n">
        <v>1.36</v>
      </c>
      <c r="K191" s="13" t="n">
        <f aca="false">IF(H191&lt;&gt;"",H191,IFERROR(G191/INDEX(Players!$M$2:$M$56,MATCH(B191,Players!$A$2:$A$56,0)),""))</f>
        <v>0.951759364358683</v>
      </c>
    </row>
    <row r="192" customFormat="false" ht="15" hidden="false" customHeight="false" outlineLevel="0" collapsed="false">
      <c r="A192" s="0" t="s">
        <v>1232</v>
      </c>
      <c r="B192" s="0" t="s">
        <v>908</v>
      </c>
      <c r="C192" s="0" t="s">
        <v>791</v>
      </c>
      <c r="D192" s="0" t="s">
        <v>637</v>
      </c>
      <c r="E192" s="0" t="s">
        <v>92</v>
      </c>
      <c r="F192" s="0" t="n">
        <v>6</v>
      </c>
      <c r="G192" s="0" t="n">
        <v>16.3</v>
      </c>
      <c r="I192" s="10"/>
      <c r="J192" s="0" t="n">
        <v>1.31</v>
      </c>
      <c r="K192" s="13" t="n">
        <f aca="false">IF(H192&lt;&gt;"",H192,IFERROR(G192/INDEX(Players!$M$2:$M$56,MATCH(B192,Players!$A$2:$A$56,0)),""))</f>
        <v>0.795573212258797</v>
      </c>
    </row>
    <row r="193" customFormat="false" ht="15" hidden="false" customHeight="false" outlineLevel="0" collapsed="false">
      <c r="A193" s="0" t="s">
        <v>1233</v>
      </c>
      <c r="B193" s="0" t="s">
        <v>908</v>
      </c>
      <c r="C193" s="0" t="s">
        <v>791</v>
      </c>
      <c r="D193" s="0" t="s">
        <v>637</v>
      </c>
      <c r="E193" s="0" t="s">
        <v>99</v>
      </c>
      <c r="F193" s="0" t="n">
        <v>5</v>
      </c>
      <c r="G193" s="0" t="n">
        <v>18.8</v>
      </c>
      <c r="I193" s="10"/>
      <c r="J193" s="0" t="n">
        <v>1.31</v>
      </c>
      <c r="K193" s="13" t="n">
        <f aca="false">IF(H193&lt;&gt;"",H193,IFERROR(G193/INDEX(Players!$M$2:$M$56,MATCH(B193,Players!$A$2:$A$56,0)),""))</f>
        <v>0.917593643586833</v>
      </c>
    </row>
    <row r="194" customFormat="false" ht="15" hidden="false" customHeight="false" outlineLevel="0" collapsed="false">
      <c r="A194" s="0" t="s">
        <v>1234</v>
      </c>
      <c r="B194" s="0" t="s">
        <v>908</v>
      </c>
      <c r="C194" s="0" t="s">
        <v>791</v>
      </c>
      <c r="D194" s="0" t="s">
        <v>637</v>
      </c>
      <c r="E194" s="0" t="s">
        <v>88</v>
      </c>
      <c r="F194" s="0" t="n">
        <v>3</v>
      </c>
      <c r="G194" s="0" t="n">
        <v>15</v>
      </c>
      <c r="I194" s="10"/>
      <c r="J194" s="0" t="n">
        <v>1.25</v>
      </c>
      <c r="K194" s="13" t="n">
        <f aca="false">IF(H194&lt;&gt;"",H194,IFERROR(G194/INDEX(Players!$M$2:$M$56,MATCH(B194,Players!$A$2:$A$56,0)),""))</f>
        <v>0.732122587968218</v>
      </c>
    </row>
    <row r="195" customFormat="false" ht="15" hidden="false" customHeight="false" outlineLevel="0" collapsed="false">
      <c r="A195" s="0" t="s">
        <v>1235</v>
      </c>
      <c r="B195" s="0" t="s">
        <v>908</v>
      </c>
      <c r="C195" s="0" t="s">
        <v>791</v>
      </c>
      <c r="D195" s="0" t="s">
        <v>637</v>
      </c>
      <c r="E195" s="0" t="s">
        <v>938</v>
      </c>
      <c r="F195" s="0" t="n">
        <v>2</v>
      </c>
      <c r="G195" s="0" t="n">
        <v>23</v>
      </c>
      <c r="I195" s="10"/>
      <c r="J195" s="0" t="n">
        <v>1.35</v>
      </c>
      <c r="K195" s="13" t="n">
        <f aca="false">IF(H195&lt;&gt;"",H195,IFERROR(G195/INDEX(Players!$M$2:$M$56,MATCH(B195,Players!$A$2:$A$56,0)),""))</f>
        <v>1.12258796821793</v>
      </c>
    </row>
    <row r="196" customFormat="false" ht="15" hidden="false" customHeight="false" outlineLevel="0" collapsed="false">
      <c r="A196" s="0" t="s">
        <v>1236</v>
      </c>
      <c r="B196" s="0" t="s">
        <v>908</v>
      </c>
      <c r="C196" s="0" t="s">
        <v>791</v>
      </c>
      <c r="D196" s="0" t="s">
        <v>637</v>
      </c>
      <c r="E196" s="0" t="s">
        <v>95</v>
      </c>
      <c r="F196" s="0" t="n">
        <v>2</v>
      </c>
      <c r="G196" s="0" t="n">
        <v>9.5</v>
      </c>
      <c r="I196" s="10"/>
      <c r="J196" s="0" t="n">
        <v>0.7</v>
      </c>
      <c r="K196" s="13" t="n">
        <f aca="false">IF(H196&lt;&gt;"",H196,IFERROR(G196/INDEX(Players!$M$2:$M$56,MATCH(B196,Players!$A$2:$A$56,0)),""))</f>
        <v>0.463677639046538</v>
      </c>
    </row>
    <row r="197" customFormat="false" ht="15" hidden="false" customHeight="false" outlineLevel="0" collapsed="false">
      <c r="A197" s="0" t="s">
        <v>1237</v>
      </c>
      <c r="B197" s="0" t="s">
        <v>908</v>
      </c>
      <c r="C197" s="0" t="s">
        <v>791</v>
      </c>
      <c r="D197" s="0" t="s">
        <v>637</v>
      </c>
      <c r="E197" s="0" t="s">
        <v>643</v>
      </c>
      <c r="F197" s="0" t="n">
        <v>1</v>
      </c>
      <c r="G197" s="0" t="n">
        <v>18</v>
      </c>
      <c r="I197" s="10"/>
      <c r="J197" s="0" t="n">
        <v>1.06</v>
      </c>
      <c r="K197" s="13" t="n">
        <f aca="false">IF(H197&lt;&gt;"",H197,IFERROR(G197/INDEX(Players!$M$2:$M$56,MATCH(B197,Players!$A$2:$A$56,0)),""))</f>
        <v>0.878547105561861</v>
      </c>
    </row>
    <row r="198" customFormat="false" ht="15" hidden="false" customHeight="false" outlineLevel="0" collapsed="false">
      <c r="A198" s="0" t="s">
        <v>1238</v>
      </c>
      <c r="B198" s="0" t="s">
        <v>913</v>
      </c>
      <c r="C198" s="0" t="s">
        <v>801</v>
      </c>
      <c r="D198" s="0" t="s">
        <v>637</v>
      </c>
      <c r="E198" s="0" t="s">
        <v>95</v>
      </c>
      <c r="F198" s="0" t="n">
        <v>8</v>
      </c>
      <c r="G198" s="0" t="n">
        <v>12.8</v>
      </c>
      <c r="I198" s="10"/>
      <c r="J198" s="0" t="n">
        <v>0.84</v>
      </c>
      <c r="K198" s="13" t="n">
        <f aca="false">IF(H198&lt;&gt;"",H198,IFERROR(G198/INDEX(Players!$M$2:$M$56,MATCH(B198,Players!$A$2:$A$56,0)),""))</f>
        <v>0.611918795022921</v>
      </c>
    </row>
    <row r="199" customFormat="false" ht="15" hidden="false" customHeight="false" outlineLevel="0" collapsed="false">
      <c r="A199" s="0" t="s">
        <v>1239</v>
      </c>
      <c r="B199" s="0" t="s">
        <v>913</v>
      </c>
      <c r="C199" s="0" t="s">
        <v>801</v>
      </c>
      <c r="D199" s="0" t="s">
        <v>637</v>
      </c>
      <c r="E199" s="0" t="s">
        <v>68</v>
      </c>
      <c r="F199" s="0" t="n">
        <v>7</v>
      </c>
      <c r="G199" s="0" t="n">
        <v>21.7</v>
      </c>
      <c r="I199" s="10"/>
      <c r="J199" s="0" t="n">
        <v>1.57</v>
      </c>
      <c r="K199" s="13" t="n">
        <f aca="false">IF(H199&lt;&gt;"",H199,IFERROR(G199/INDEX(Players!$M$2:$M$56,MATCH(B199,Players!$A$2:$A$56,0)),""))</f>
        <v>1.0373935821873</v>
      </c>
    </row>
    <row r="200" customFormat="false" ht="15" hidden="false" customHeight="false" outlineLevel="0" collapsed="false">
      <c r="A200" s="0" t="s">
        <v>1240</v>
      </c>
      <c r="B200" s="0" t="s">
        <v>913</v>
      </c>
      <c r="C200" s="0" t="s">
        <v>801</v>
      </c>
      <c r="D200" s="0" t="s">
        <v>637</v>
      </c>
      <c r="E200" s="0" t="s">
        <v>99</v>
      </c>
      <c r="F200" s="0" t="n">
        <v>6</v>
      </c>
      <c r="G200" s="0" t="n">
        <v>14.5</v>
      </c>
      <c r="I200" s="10"/>
      <c r="J200" s="0" t="n">
        <v>0.99</v>
      </c>
      <c r="K200" s="13" t="n">
        <f aca="false">IF(H200&lt;&gt;"",H200,IFERROR(G200/INDEX(Players!$M$2:$M$56,MATCH(B200,Players!$A$2:$A$56,0)),""))</f>
        <v>0.693189259986903</v>
      </c>
    </row>
    <row r="201" customFormat="false" ht="15" hidden="false" customHeight="false" outlineLevel="0" collapsed="false">
      <c r="A201" s="0" t="s">
        <v>1241</v>
      </c>
      <c r="B201" s="0" t="s">
        <v>913</v>
      </c>
      <c r="C201" s="0" t="s">
        <v>801</v>
      </c>
      <c r="D201" s="0" t="s">
        <v>637</v>
      </c>
      <c r="E201" s="0" t="s">
        <v>74</v>
      </c>
      <c r="F201" s="0" t="n">
        <v>4</v>
      </c>
      <c r="G201" s="0" t="n">
        <v>14.3</v>
      </c>
      <c r="I201" s="10"/>
      <c r="J201" s="0" t="n">
        <v>1.27</v>
      </c>
      <c r="K201" s="13" t="n">
        <f aca="false">IF(H201&lt;&gt;"",H201,IFERROR(G201/INDEX(Players!$M$2:$M$56,MATCH(B201,Players!$A$2:$A$56,0)),""))</f>
        <v>0.683628028814669</v>
      </c>
    </row>
    <row r="202" customFormat="false" ht="15" hidden="false" customHeight="false" outlineLevel="0" collapsed="false">
      <c r="A202" s="0" t="s">
        <v>1242</v>
      </c>
      <c r="B202" s="0" t="s">
        <v>913</v>
      </c>
      <c r="C202" s="0" t="s">
        <v>801</v>
      </c>
      <c r="D202" s="0" t="s">
        <v>637</v>
      </c>
      <c r="E202" s="0" t="s">
        <v>92</v>
      </c>
      <c r="F202" s="0" t="n">
        <v>4</v>
      </c>
      <c r="G202" s="0" t="n">
        <v>12</v>
      </c>
      <c r="I202" s="10"/>
      <c r="J202" s="0" t="n">
        <v>0.92</v>
      </c>
      <c r="K202" s="13" t="n">
        <f aca="false">IF(H202&lt;&gt;"",H202,IFERROR(G202/INDEX(Players!$M$2:$M$56,MATCH(B202,Players!$A$2:$A$56,0)),""))</f>
        <v>0.573673870333988</v>
      </c>
    </row>
    <row r="203" customFormat="false" ht="15" hidden="false" customHeight="false" outlineLevel="0" collapsed="false">
      <c r="A203" s="0" t="s">
        <v>1243</v>
      </c>
      <c r="B203" s="0" t="s">
        <v>913</v>
      </c>
      <c r="C203" s="0" t="s">
        <v>801</v>
      </c>
      <c r="D203" s="0" t="s">
        <v>637</v>
      </c>
      <c r="E203" s="0" t="s">
        <v>643</v>
      </c>
      <c r="F203" s="0" t="n">
        <v>3</v>
      </c>
      <c r="G203" s="0" t="n">
        <v>13.3</v>
      </c>
      <c r="I203" s="10"/>
      <c r="J203" s="0" t="n">
        <v>0.8</v>
      </c>
      <c r="K203" s="13" t="n">
        <f aca="false">IF(H203&lt;&gt;"",H203,IFERROR(G203/INDEX(Players!$M$2:$M$56,MATCH(B203,Players!$A$2:$A$56,0)),""))</f>
        <v>0.635821872953504</v>
      </c>
    </row>
    <row r="204" customFormat="false" ht="15" hidden="false" customHeight="false" outlineLevel="0" collapsed="false">
      <c r="A204" s="0" t="s">
        <v>1244</v>
      </c>
      <c r="B204" s="0" t="s">
        <v>913</v>
      </c>
      <c r="C204" s="0" t="s">
        <v>801</v>
      </c>
      <c r="D204" s="0" t="s">
        <v>637</v>
      </c>
      <c r="E204" s="0" t="s">
        <v>935</v>
      </c>
      <c r="F204" s="0" t="n">
        <v>3</v>
      </c>
      <c r="G204" s="0" t="n">
        <v>9.7</v>
      </c>
      <c r="I204" s="10"/>
      <c r="J204" s="0" t="n">
        <v>0.74</v>
      </c>
      <c r="K204" s="13" t="n">
        <f aca="false">IF(H204&lt;&gt;"",H204,IFERROR(G204/INDEX(Players!$M$2:$M$56,MATCH(B204,Players!$A$2:$A$56,0)),""))</f>
        <v>0.463719711853307</v>
      </c>
    </row>
    <row r="205" customFormat="false" ht="15" hidden="false" customHeight="false" outlineLevel="0" collapsed="false">
      <c r="A205" s="0" t="s">
        <v>1245</v>
      </c>
      <c r="B205" s="0" t="s">
        <v>913</v>
      </c>
      <c r="C205" s="0" t="s">
        <v>801</v>
      </c>
      <c r="D205" s="0" t="s">
        <v>637</v>
      </c>
      <c r="E205" s="0" t="s">
        <v>930</v>
      </c>
      <c r="F205" s="0" t="n">
        <v>2</v>
      </c>
      <c r="G205" s="0" t="n">
        <v>19.5</v>
      </c>
      <c r="I205" s="10"/>
      <c r="J205" s="0" t="n">
        <v>1.39</v>
      </c>
      <c r="K205" s="13" t="n">
        <f aca="false">IF(H205&lt;&gt;"",H205,IFERROR(G205/INDEX(Players!$M$2:$M$56,MATCH(B205,Players!$A$2:$A$56,0)),""))</f>
        <v>0.932220039292731</v>
      </c>
    </row>
    <row r="206" customFormat="false" ht="15" hidden="false" customHeight="false" outlineLevel="0" collapsed="false">
      <c r="A206" s="0" t="s">
        <v>1246</v>
      </c>
      <c r="B206" s="0" t="s">
        <v>913</v>
      </c>
      <c r="C206" s="0" t="s">
        <v>801</v>
      </c>
      <c r="D206" s="0" t="s">
        <v>637</v>
      </c>
      <c r="E206" s="0" t="s">
        <v>88</v>
      </c>
      <c r="F206" s="0" t="n">
        <v>1</v>
      </c>
      <c r="G206" s="0" t="n">
        <v>15</v>
      </c>
      <c r="I206" s="10"/>
      <c r="J206" s="0" t="n">
        <v>1.07</v>
      </c>
      <c r="K206" s="13" t="n">
        <f aca="false">IF(H206&lt;&gt;"",H206,IFERROR(G206/INDEX(Players!$M$2:$M$56,MATCH(B206,Players!$A$2:$A$56,0)),""))</f>
        <v>0.717092337917485</v>
      </c>
    </row>
    <row r="207" customFormat="false" ht="15" hidden="false" customHeight="false" outlineLevel="0" collapsed="false">
      <c r="A207" s="0" t="s">
        <v>1247</v>
      </c>
      <c r="B207" s="0" t="s">
        <v>913</v>
      </c>
      <c r="C207" s="0" t="s">
        <v>801</v>
      </c>
      <c r="D207" s="0" t="s">
        <v>637</v>
      </c>
      <c r="E207" s="0" t="s">
        <v>105</v>
      </c>
      <c r="F207" s="0" t="n">
        <v>1</v>
      </c>
      <c r="G207" s="0" t="n">
        <v>18</v>
      </c>
      <c r="I207" s="10"/>
      <c r="J207" s="0" t="n">
        <v>1.06</v>
      </c>
      <c r="K207" s="13" t="n">
        <f aca="false">IF(H207&lt;&gt;"",H207,IFERROR(G207/INDEX(Players!$M$2:$M$56,MATCH(B207,Players!$A$2:$A$56,0)),""))</f>
        <v>0.860510805500982</v>
      </c>
    </row>
    <row r="208" customFormat="false" ht="15" hidden="false" customHeight="false" outlineLevel="0" collapsed="false">
      <c r="A208" s="0" t="s">
        <v>1248</v>
      </c>
      <c r="B208" s="0" t="s">
        <v>913</v>
      </c>
      <c r="C208" s="0" t="s">
        <v>801</v>
      </c>
      <c r="D208" s="0" t="s">
        <v>637</v>
      </c>
      <c r="E208" s="0" t="s">
        <v>938</v>
      </c>
      <c r="F208" s="0" t="n">
        <v>1</v>
      </c>
      <c r="G208" s="0" t="n">
        <v>13</v>
      </c>
      <c r="I208" s="10"/>
      <c r="J208" s="0" t="n">
        <v>1</v>
      </c>
      <c r="K208" s="13" t="n">
        <f aca="false">IF(H208&lt;&gt;"",H208,IFERROR(G208/INDEX(Players!$M$2:$M$56,MATCH(B208,Players!$A$2:$A$56,0)),""))</f>
        <v>0.621480026195154</v>
      </c>
    </row>
    <row r="209" customFormat="false" ht="15" hidden="false" customHeight="false" outlineLevel="0" collapsed="false">
      <c r="A209" s="0" t="s">
        <v>1249</v>
      </c>
      <c r="B209" s="0" t="s">
        <v>913</v>
      </c>
      <c r="C209" s="0" t="s">
        <v>801</v>
      </c>
      <c r="D209" s="0" t="s">
        <v>637</v>
      </c>
      <c r="E209" s="0" t="s">
        <v>82</v>
      </c>
      <c r="F209" s="0" t="n">
        <v>1</v>
      </c>
      <c r="G209" s="0" t="n">
        <v>26</v>
      </c>
      <c r="I209" s="10"/>
      <c r="J209" s="0" t="n">
        <v>0.87</v>
      </c>
      <c r="K209" s="13" t="n">
        <f aca="false">IF(H209&lt;&gt;"",H209,IFERROR(G209/INDEX(Players!$M$2:$M$56,MATCH(B209,Players!$A$2:$A$56,0)),""))</f>
        <v>1.24296005239031</v>
      </c>
    </row>
    <row r="210" customFormat="false" ht="15" hidden="false" customHeight="false" outlineLevel="0" collapsed="false">
      <c r="A210" s="0" t="s">
        <v>1250</v>
      </c>
      <c r="B210" s="0" t="s">
        <v>894</v>
      </c>
      <c r="C210" s="0" t="s">
        <v>763</v>
      </c>
      <c r="D210" s="0" t="s">
        <v>637</v>
      </c>
      <c r="E210" s="0" t="s">
        <v>95</v>
      </c>
      <c r="F210" s="0" t="n">
        <v>7</v>
      </c>
      <c r="G210" s="0" t="n">
        <v>16.1</v>
      </c>
      <c r="I210" s="10"/>
      <c r="J210" s="0" t="n">
        <v>1.01</v>
      </c>
      <c r="K210" s="13" t="n">
        <f aca="false">IF(H210&lt;&gt;"",H210,IFERROR(G210/INDEX(Players!$M$2:$M$56,MATCH(B210,Players!$A$2:$A$56,0)),""))</f>
        <v>0.753767373811266</v>
      </c>
    </row>
    <row r="211" customFormat="false" ht="15" hidden="false" customHeight="false" outlineLevel="0" collapsed="false">
      <c r="A211" s="0" t="s">
        <v>1251</v>
      </c>
      <c r="B211" s="0" t="s">
        <v>894</v>
      </c>
      <c r="C211" s="0" t="s">
        <v>763</v>
      </c>
      <c r="D211" s="0" t="s">
        <v>637</v>
      </c>
      <c r="E211" s="0" t="s">
        <v>68</v>
      </c>
      <c r="F211" s="0" t="n">
        <v>7</v>
      </c>
      <c r="G211" s="0" t="n">
        <v>9</v>
      </c>
      <c r="I211" s="10"/>
      <c r="J211" s="0" t="n">
        <v>0.62</v>
      </c>
      <c r="K211" s="13" t="n">
        <f aca="false">IF(H211&lt;&gt;"",H211,IFERROR(G211/INDEX(Players!$M$2:$M$56,MATCH(B211,Players!$A$2:$A$56,0)),""))</f>
        <v>0.421360643745428</v>
      </c>
    </row>
    <row r="212" customFormat="false" ht="15" hidden="false" customHeight="false" outlineLevel="0" collapsed="false">
      <c r="A212" s="0" t="s">
        <v>1252</v>
      </c>
      <c r="B212" s="0" t="s">
        <v>894</v>
      </c>
      <c r="C212" s="0" t="s">
        <v>763</v>
      </c>
      <c r="D212" s="0" t="s">
        <v>637</v>
      </c>
      <c r="E212" s="0" t="s">
        <v>99</v>
      </c>
      <c r="F212" s="0" t="n">
        <v>6</v>
      </c>
      <c r="G212" s="0" t="n">
        <v>17.5</v>
      </c>
      <c r="I212" s="10"/>
      <c r="J212" s="0" t="n">
        <v>1.22</v>
      </c>
      <c r="K212" s="13" t="n">
        <f aca="false">IF(H212&lt;&gt;"",H212,IFERROR(G212/INDEX(Players!$M$2:$M$56,MATCH(B212,Players!$A$2:$A$56,0)),""))</f>
        <v>0.819312362838332</v>
      </c>
    </row>
    <row r="213" customFormat="false" ht="15" hidden="false" customHeight="false" outlineLevel="0" collapsed="false">
      <c r="A213" s="0" t="s">
        <v>1253</v>
      </c>
      <c r="B213" s="0" t="s">
        <v>894</v>
      </c>
      <c r="C213" s="0" t="s">
        <v>763</v>
      </c>
      <c r="D213" s="0" t="s">
        <v>637</v>
      </c>
      <c r="E213" s="0" t="s">
        <v>930</v>
      </c>
      <c r="F213" s="0" t="n">
        <v>6</v>
      </c>
      <c r="G213" s="0" t="n">
        <v>15.7</v>
      </c>
      <c r="I213" s="10"/>
      <c r="J213" s="0" t="n">
        <v>1.12</v>
      </c>
      <c r="K213" s="13" t="n">
        <f aca="false">IF(H213&lt;&gt;"",H213,IFERROR(G213/INDEX(Players!$M$2:$M$56,MATCH(B213,Players!$A$2:$A$56,0)),""))</f>
        <v>0.735040234089247</v>
      </c>
    </row>
    <row r="214" customFormat="false" ht="15" hidden="false" customHeight="false" outlineLevel="0" collapsed="false">
      <c r="A214" s="0" t="s">
        <v>1254</v>
      </c>
      <c r="B214" s="0" t="s">
        <v>894</v>
      </c>
      <c r="C214" s="0" t="s">
        <v>763</v>
      </c>
      <c r="D214" s="0" t="s">
        <v>637</v>
      </c>
      <c r="E214" s="0" t="s">
        <v>74</v>
      </c>
      <c r="F214" s="0" t="n">
        <v>4</v>
      </c>
      <c r="G214" s="0" t="n">
        <v>9</v>
      </c>
      <c r="I214" s="10"/>
      <c r="J214" s="0" t="n">
        <v>0.57</v>
      </c>
      <c r="K214" s="13" t="n">
        <f aca="false">IF(H214&lt;&gt;"",H214,IFERROR(G214/INDEX(Players!$M$2:$M$56,MATCH(B214,Players!$A$2:$A$56,0)),""))</f>
        <v>0.421360643745428</v>
      </c>
    </row>
    <row r="215" customFormat="false" ht="15" hidden="false" customHeight="false" outlineLevel="0" collapsed="false">
      <c r="A215" s="0" t="s">
        <v>1255</v>
      </c>
      <c r="B215" s="0" t="s">
        <v>894</v>
      </c>
      <c r="C215" s="0" t="s">
        <v>763</v>
      </c>
      <c r="D215" s="0" t="s">
        <v>637</v>
      </c>
      <c r="E215" s="0" t="s">
        <v>942</v>
      </c>
      <c r="F215" s="0" t="n">
        <v>3</v>
      </c>
      <c r="G215" s="0" t="n">
        <v>13</v>
      </c>
      <c r="I215" s="10"/>
      <c r="J215" s="0" t="n">
        <v>0.91</v>
      </c>
      <c r="K215" s="13" t="n">
        <f aca="false">IF(H215&lt;&gt;"",H215,IFERROR(G215/INDEX(Players!$M$2:$M$56,MATCH(B215,Players!$A$2:$A$56,0)),""))</f>
        <v>0.608632040965618</v>
      </c>
    </row>
    <row r="216" customFormat="false" ht="15" hidden="false" customHeight="false" outlineLevel="0" collapsed="false">
      <c r="A216" s="0" t="s">
        <v>1256</v>
      </c>
      <c r="B216" s="0" t="s">
        <v>894</v>
      </c>
      <c r="C216" s="0" t="s">
        <v>763</v>
      </c>
      <c r="D216" s="0" t="s">
        <v>637</v>
      </c>
      <c r="E216" s="0" t="s">
        <v>88</v>
      </c>
      <c r="F216" s="0" t="n">
        <v>2</v>
      </c>
      <c r="G216" s="0" t="n">
        <v>14.5</v>
      </c>
      <c r="I216" s="10"/>
      <c r="J216" s="0" t="n">
        <v>0.88</v>
      </c>
      <c r="K216" s="13" t="n">
        <f aca="false">IF(H216&lt;&gt;"",H216,IFERROR(G216/INDEX(Players!$M$2:$M$56,MATCH(B216,Players!$A$2:$A$56,0)),""))</f>
        <v>0.678858814923189</v>
      </c>
    </row>
    <row r="217" customFormat="false" ht="15" hidden="false" customHeight="false" outlineLevel="0" collapsed="false">
      <c r="A217" s="0" t="s">
        <v>1257</v>
      </c>
      <c r="B217" s="0" t="s">
        <v>894</v>
      </c>
      <c r="C217" s="0" t="s">
        <v>763</v>
      </c>
      <c r="D217" s="0" t="s">
        <v>637</v>
      </c>
      <c r="E217" s="0" t="s">
        <v>82</v>
      </c>
      <c r="F217" s="0" t="n">
        <v>1</v>
      </c>
      <c r="G217" s="0" t="n">
        <v>13</v>
      </c>
      <c r="I217" s="10"/>
      <c r="J217" s="0" t="n">
        <v>0.81</v>
      </c>
      <c r="K217" s="13" t="n">
        <f aca="false">IF(H217&lt;&gt;"",H217,IFERROR(G217/INDEX(Players!$M$2:$M$56,MATCH(B217,Players!$A$2:$A$56,0)),""))</f>
        <v>0.608632040965618</v>
      </c>
    </row>
    <row r="218" customFormat="false" ht="15" hidden="false" customHeight="false" outlineLevel="0" collapsed="false">
      <c r="A218" s="0" t="s">
        <v>1258</v>
      </c>
      <c r="B218" s="0" t="s">
        <v>907</v>
      </c>
      <c r="C218" s="0" t="s">
        <v>789</v>
      </c>
      <c r="D218" s="0" t="s">
        <v>637</v>
      </c>
      <c r="E218" s="0" t="s">
        <v>68</v>
      </c>
      <c r="F218" s="0" t="n">
        <v>8</v>
      </c>
      <c r="G218" s="0" t="n">
        <v>14</v>
      </c>
      <c r="I218" s="10"/>
      <c r="J218" s="0" t="n">
        <v>1.05</v>
      </c>
      <c r="K218" s="13" t="n">
        <f aca="false">IF(H218&lt;&gt;"",H218,IFERROR(G218/INDEX(Players!$M$2:$M$56,MATCH(B218,Players!$A$2:$A$56,0)),""))</f>
        <v>0.693165969316597</v>
      </c>
    </row>
    <row r="219" customFormat="false" ht="15" hidden="false" customHeight="false" outlineLevel="0" collapsed="false">
      <c r="A219" s="0" t="s">
        <v>1259</v>
      </c>
      <c r="B219" s="0" t="s">
        <v>907</v>
      </c>
      <c r="C219" s="0" t="s">
        <v>789</v>
      </c>
      <c r="D219" s="0" t="s">
        <v>637</v>
      </c>
      <c r="E219" s="0" t="s">
        <v>643</v>
      </c>
      <c r="F219" s="0" t="n">
        <v>7</v>
      </c>
      <c r="G219" s="0" t="n">
        <v>15.6</v>
      </c>
      <c r="I219" s="10"/>
      <c r="J219" s="0" t="n">
        <v>1.27</v>
      </c>
      <c r="K219" s="13" t="n">
        <f aca="false">IF(H219&lt;&gt;"",H219,IFERROR(G219/INDEX(Players!$M$2:$M$56,MATCH(B219,Players!$A$2:$A$56,0)),""))</f>
        <v>0.772384937238494</v>
      </c>
    </row>
    <row r="220" customFormat="false" ht="15" hidden="false" customHeight="false" outlineLevel="0" collapsed="false">
      <c r="A220" s="0" t="s">
        <v>1260</v>
      </c>
      <c r="B220" s="0" t="s">
        <v>907</v>
      </c>
      <c r="C220" s="0" t="s">
        <v>789</v>
      </c>
      <c r="D220" s="0" t="s">
        <v>637</v>
      </c>
      <c r="E220" s="0" t="s">
        <v>88</v>
      </c>
      <c r="F220" s="0" t="n">
        <v>3</v>
      </c>
      <c r="G220" s="0" t="n">
        <v>20</v>
      </c>
      <c r="I220" s="10"/>
      <c r="J220" s="0" t="n">
        <v>1.54</v>
      </c>
      <c r="K220" s="13" t="n">
        <f aca="false">IF(H220&lt;&gt;"",H220,IFERROR(G220/INDEX(Players!$M$2:$M$56,MATCH(B220,Players!$A$2:$A$56,0)),""))</f>
        <v>0.99023709902371</v>
      </c>
    </row>
    <row r="221" customFormat="false" ht="15" hidden="false" customHeight="false" outlineLevel="0" collapsed="false">
      <c r="A221" s="0" t="s">
        <v>1261</v>
      </c>
      <c r="B221" s="0" t="s">
        <v>907</v>
      </c>
      <c r="C221" s="0" t="s">
        <v>789</v>
      </c>
      <c r="D221" s="0" t="s">
        <v>637</v>
      </c>
      <c r="E221" s="0" t="s">
        <v>95</v>
      </c>
      <c r="F221" s="0" t="n">
        <v>3</v>
      </c>
      <c r="G221" s="0" t="n">
        <v>14.7</v>
      </c>
      <c r="I221" s="10"/>
      <c r="J221" s="0" t="n">
        <v>1.07</v>
      </c>
      <c r="K221" s="13" t="n">
        <f aca="false">IF(H221&lt;&gt;"",H221,IFERROR(G221/INDEX(Players!$M$2:$M$56,MATCH(B221,Players!$A$2:$A$56,0)),""))</f>
        <v>0.727824267782427</v>
      </c>
    </row>
    <row r="222" customFormat="false" ht="15" hidden="false" customHeight="false" outlineLevel="0" collapsed="false">
      <c r="A222" s="0" t="s">
        <v>1262</v>
      </c>
      <c r="B222" s="0" t="s">
        <v>907</v>
      </c>
      <c r="C222" s="0" t="s">
        <v>789</v>
      </c>
      <c r="D222" s="0" t="s">
        <v>637</v>
      </c>
      <c r="E222" s="0" t="s">
        <v>82</v>
      </c>
      <c r="F222" s="0" t="n">
        <v>3</v>
      </c>
      <c r="G222" s="0" t="n">
        <v>13.7</v>
      </c>
      <c r="I222" s="10"/>
      <c r="J222" s="0" t="n">
        <v>0.95</v>
      </c>
      <c r="K222" s="13" t="n">
        <f aca="false">IF(H222&lt;&gt;"",H222,IFERROR(G222/INDEX(Players!$M$2:$M$56,MATCH(B222,Players!$A$2:$A$56,0)),""))</f>
        <v>0.678312412831241</v>
      </c>
    </row>
    <row r="223" customFormat="false" ht="15" hidden="false" customHeight="false" outlineLevel="0" collapsed="false">
      <c r="A223" s="0" t="s">
        <v>1263</v>
      </c>
      <c r="B223" s="0" t="s">
        <v>907</v>
      </c>
      <c r="C223" s="0" t="s">
        <v>789</v>
      </c>
      <c r="D223" s="0" t="s">
        <v>637</v>
      </c>
      <c r="E223" s="0" t="s">
        <v>938</v>
      </c>
      <c r="F223" s="0" t="n">
        <v>3</v>
      </c>
      <c r="G223" s="0" t="n">
        <v>8.7</v>
      </c>
      <c r="I223" s="10"/>
      <c r="J223" s="0" t="n">
        <v>0.52</v>
      </c>
      <c r="K223" s="13" t="n">
        <f aca="false">IF(H223&lt;&gt;"",H223,IFERROR(G223/INDEX(Players!$M$2:$M$56,MATCH(B223,Players!$A$2:$A$56,0)),""))</f>
        <v>0.430753138075314</v>
      </c>
    </row>
    <row r="224" customFormat="false" ht="15" hidden="false" customHeight="false" outlineLevel="0" collapsed="false">
      <c r="A224" s="0" t="s">
        <v>1264</v>
      </c>
      <c r="B224" s="0" t="s">
        <v>907</v>
      </c>
      <c r="C224" s="0" t="s">
        <v>789</v>
      </c>
      <c r="D224" s="0" t="s">
        <v>637</v>
      </c>
      <c r="E224" s="0" t="s">
        <v>930</v>
      </c>
      <c r="F224" s="0" t="n">
        <v>2</v>
      </c>
      <c r="G224" s="0" t="n">
        <v>12.5</v>
      </c>
      <c r="I224" s="10"/>
      <c r="J224" s="0" t="n">
        <v>0.96</v>
      </c>
      <c r="K224" s="13" t="n">
        <f aca="false">IF(H224&lt;&gt;"",H224,IFERROR(G224/INDEX(Players!$M$2:$M$56,MATCH(B224,Players!$A$2:$A$56,0)),""))</f>
        <v>0.618898186889819</v>
      </c>
    </row>
    <row r="225" customFormat="false" ht="15" hidden="false" customHeight="false" outlineLevel="0" collapsed="false">
      <c r="A225" s="0" t="s">
        <v>1265</v>
      </c>
      <c r="B225" s="0" t="s">
        <v>907</v>
      </c>
      <c r="C225" s="0" t="s">
        <v>789</v>
      </c>
      <c r="D225" s="0" t="s">
        <v>637</v>
      </c>
      <c r="E225" s="0" t="s">
        <v>942</v>
      </c>
      <c r="F225" s="0" t="n">
        <v>1</v>
      </c>
      <c r="G225" s="0" t="n">
        <v>20</v>
      </c>
      <c r="I225" s="10"/>
      <c r="J225" s="0" t="n">
        <v>1.33</v>
      </c>
      <c r="K225" s="13" t="n">
        <f aca="false">IF(H225&lt;&gt;"",H225,IFERROR(G225/INDEX(Players!$M$2:$M$56,MATCH(B225,Players!$A$2:$A$56,0)),""))</f>
        <v>0.99023709902371</v>
      </c>
    </row>
    <row r="226" customFormat="false" ht="15" hidden="false" customHeight="false" outlineLevel="0" collapsed="false">
      <c r="A226" s="0" t="s">
        <v>1266</v>
      </c>
      <c r="B226" s="0" t="s">
        <v>907</v>
      </c>
      <c r="C226" s="0" t="s">
        <v>789</v>
      </c>
      <c r="D226" s="0" t="s">
        <v>637</v>
      </c>
      <c r="E226" s="0" t="s">
        <v>74</v>
      </c>
      <c r="F226" s="0" t="n">
        <v>1</v>
      </c>
      <c r="G226" s="0" t="n">
        <v>12</v>
      </c>
      <c r="I226" s="10"/>
      <c r="J226" s="0" t="n">
        <v>0.92</v>
      </c>
      <c r="K226" s="13" t="n">
        <f aca="false">IF(H226&lt;&gt;"",H226,IFERROR(G226/INDEX(Players!$M$2:$M$56,MATCH(B226,Players!$A$2:$A$56,0)),""))</f>
        <v>0.594142259414226</v>
      </c>
    </row>
    <row r="227" customFormat="false" ht="15" hidden="false" customHeight="false" outlineLevel="0" collapsed="false">
      <c r="A227" s="0" t="s">
        <v>1267</v>
      </c>
      <c r="B227" s="0" t="s">
        <v>907</v>
      </c>
      <c r="C227" s="0" t="s">
        <v>789</v>
      </c>
      <c r="D227" s="0" t="s">
        <v>637</v>
      </c>
      <c r="E227" s="0" t="s">
        <v>99</v>
      </c>
      <c r="F227" s="0" t="n">
        <v>1</v>
      </c>
      <c r="G227" s="0" t="n">
        <v>10</v>
      </c>
      <c r="I227" s="10"/>
      <c r="J227" s="0" t="n">
        <v>0.53</v>
      </c>
      <c r="K227" s="13" t="n">
        <f aca="false">IF(H227&lt;&gt;"",H227,IFERROR(G227/INDEX(Players!$M$2:$M$56,MATCH(B227,Players!$A$2:$A$56,0)),""))</f>
        <v>0.495118549511855</v>
      </c>
    </row>
    <row r="228" customFormat="false" ht="15" hidden="false" customHeight="false" outlineLevel="0" collapsed="false">
      <c r="A228" s="0" t="s">
        <v>1268</v>
      </c>
      <c r="B228" s="0" t="s">
        <v>914</v>
      </c>
      <c r="C228" s="0" t="s">
        <v>803</v>
      </c>
      <c r="D228" s="0" t="s">
        <v>637</v>
      </c>
      <c r="E228" s="0" t="s">
        <v>95</v>
      </c>
      <c r="F228" s="0" t="n">
        <v>8</v>
      </c>
      <c r="G228" s="0" t="n">
        <v>11</v>
      </c>
      <c r="I228" s="10"/>
      <c r="J228" s="0" t="n">
        <v>0.72</v>
      </c>
      <c r="K228" s="13" t="n">
        <f aca="false">IF(H228&lt;&gt;"",H228,IFERROR(G228/INDEX(Players!$M$2:$M$56,MATCH(B228,Players!$A$2:$A$56,0)),""))</f>
        <v>0.522695035460993</v>
      </c>
    </row>
    <row r="229" customFormat="false" ht="15" hidden="false" customHeight="false" outlineLevel="0" collapsed="false">
      <c r="A229" s="0" t="s">
        <v>1269</v>
      </c>
      <c r="B229" s="0" t="s">
        <v>914</v>
      </c>
      <c r="C229" s="0" t="s">
        <v>803</v>
      </c>
      <c r="D229" s="0" t="s">
        <v>637</v>
      </c>
      <c r="E229" s="0" t="s">
        <v>68</v>
      </c>
      <c r="F229" s="0" t="n">
        <v>7</v>
      </c>
      <c r="G229" s="0" t="n">
        <v>15.7</v>
      </c>
      <c r="I229" s="10"/>
      <c r="J229" s="0" t="n">
        <v>1.18</v>
      </c>
      <c r="K229" s="13" t="n">
        <f aca="false">IF(H229&lt;&gt;"",H229,IFERROR(G229/INDEX(Players!$M$2:$M$56,MATCH(B229,Players!$A$2:$A$56,0)),""))</f>
        <v>0.746028368794326</v>
      </c>
    </row>
    <row r="230" customFormat="false" ht="15" hidden="false" customHeight="false" outlineLevel="0" collapsed="false">
      <c r="A230" s="0" t="s">
        <v>1270</v>
      </c>
      <c r="B230" s="0" t="s">
        <v>914</v>
      </c>
      <c r="C230" s="0" t="s">
        <v>803</v>
      </c>
      <c r="D230" s="0" t="s">
        <v>637</v>
      </c>
      <c r="E230" s="0" t="s">
        <v>99</v>
      </c>
      <c r="F230" s="0" t="n">
        <v>6</v>
      </c>
      <c r="G230" s="0" t="n">
        <v>13.5</v>
      </c>
      <c r="I230" s="10"/>
      <c r="J230" s="0" t="n">
        <v>0.95</v>
      </c>
      <c r="K230" s="13" t="n">
        <f aca="false">IF(H230&lt;&gt;"",H230,IFERROR(G230/INDEX(Players!$M$2:$M$56,MATCH(B230,Players!$A$2:$A$56,0)),""))</f>
        <v>0.641489361702128</v>
      </c>
    </row>
    <row r="231" customFormat="false" ht="15" hidden="false" customHeight="false" outlineLevel="0" collapsed="false">
      <c r="A231" s="0" t="s">
        <v>1271</v>
      </c>
      <c r="B231" s="0" t="s">
        <v>914</v>
      </c>
      <c r="C231" s="0" t="s">
        <v>803</v>
      </c>
      <c r="D231" s="0" t="s">
        <v>637</v>
      </c>
      <c r="E231" s="0" t="s">
        <v>74</v>
      </c>
      <c r="F231" s="0" t="n">
        <v>4</v>
      </c>
      <c r="G231" s="0" t="n">
        <v>16.8</v>
      </c>
      <c r="I231" s="10"/>
      <c r="J231" s="0" t="n">
        <v>1.34</v>
      </c>
      <c r="K231" s="13" t="n">
        <f aca="false">IF(H231&lt;&gt;"",H231,IFERROR(G231/INDEX(Players!$M$2:$M$56,MATCH(B231,Players!$A$2:$A$56,0)),""))</f>
        <v>0.798297872340426</v>
      </c>
    </row>
    <row r="232" customFormat="false" ht="15" hidden="false" customHeight="false" outlineLevel="0" collapsed="false">
      <c r="A232" s="0" t="s">
        <v>1272</v>
      </c>
      <c r="B232" s="0" t="s">
        <v>914</v>
      </c>
      <c r="C232" s="0" t="s">
        <v>803</v>
      </c>
      <c r="D232" s="0" t="s">
        <v>637</v>
      </c>
      <c r="E232" s="0" t="s">
        <v>92</v>
      </c>
      <c r="F232" s="0" t="n">
        <v>4</v>
      </c>
      <c r="G232" s="0" t="n">
        <v>10.3</v>
      </c>
      <c r="I232" s="10"/>
      <c r="J232" s="0" t="n">
        <v>0.73</v>
      </c>
      <c r="K232" s="13" t="n">
        <f aca="false">IF(H232&lt;&gt;"",H232,IFERROR(G232/INDEX(Players!$M$2:$M$56,MATCH(B232,Players!$A$2:$A$56,0)),""))</f>
        <v>0.489432624113475</v>
      </c>
    </row>
    <row r="233" customFormat="false" ht="15" hidden="false" customHeight="false" outlineLevel="0" collapsed="false">
      <c r="A233" s="0" t="s">
        <v>1273</v>
      </c>
      <c r="B233" s="0" t="s">
        <v>914</v>
      </c>
      <c r="C233" s="0" t="s">
        <v>803</v>
      </c>
      <c r="D233" s="0" t="s">
        <v>637</v>
      </c>
      <c r="E233" s="0" t="s">
        <v>935</v>
      </c>
      <c r="F233" s="0" t="n">
        <v>3</v>
      </c>
      <c r="G233" s="0" t="n">
        <v>16</v>
      </c>
      <c r="I233" s="10"/>
      <c r="J233" s="0" t="n">
        <v>1.26</v>
      </c>
      <c r="K233" s="13" t="n">
        <f aca="false">IF(H233&lt;&gt;"",H233,IFERROR(G233/INDEX(Players!$M$2:$M$56,MATCH(B233,Players!$A$2:$A$56,0)),""))</f>
        <v>0.760283687943263</v>
      </c>
    </row>
    <row r="234" customFormat="false" ht="15" hidden="false" customHeight="false" outlineLevel="0" collapsed="false">
      <c r="A234" s="0" t="s">
        <v>1274</v>
      </c>
      <c r="B234" s="0" t="s">
        <v>914</v>
      </c>
      <c r="C234" s="0" t="s">
        <v>803</v>
      </c>
      <c r="D234" s="0" t="s">
        <v>637</v>
      </c>
      <c r="E234" s="0" t="s">
        <v>643</v>
      </c>
      <c r="F234" s="0" t="n">
        <v>3</v>
      </c>
      <c r="G234" s="0" t="n">
        <v>16</v>
      </c>
      <c r="I234" s="10"/>
      <c r="J234" s="0" t="n">
        <v>1.09</v>
      </c>
      <c r="K234" s="13" t="n">
        <f aca="false">IF(H234&lt;&gt;"",H234,IFERROR(G234/INDEX(Players!$M$2:$M$56,MATCH(B234,Players!$A$2:$A$56,0)),""))</f>
        <v>0.760283687943263</v>
      </c>
    </row>
    <row r="235" customFormat="false" ht="15" hidden="false" customHeight="false" outlineLevel="0" collapsed="false">
      <c r="A235" s="0" t="s">
        <v>1275</v>
      </c>
      <c r="B235" s="0" t="s">
        <v>914</v>
      </c>
      <c r="C235" s="0" t="s">
        <v>803</v>
      </c>
      <c r="D235" s="0" t="s">
        <v>637</v>
      </c>
      <c r="E235" s="0" t="s">
        <v>930</v>
      </c>
      <c r="F235" s="0" t="n">
        <v>2</v>
      </c>
      <c r="G235" s="0" t="n">
        <v>15</v>
      </c>
      <c r="I235" s="10"/>
      <c r="J235" s="0" t="n">
        <v>1.43</v>
      </c>
      <c r="K235" s="13" t="n">
        <f aca="false">IF(H235&lt;&gt;"",H235,IFERROR(G235/INDEX(Players!$M$2:$M$56,MATCH(B235,Players!$A$2:$A$56,0)),""))</f>
        <v>0.712765957446809</v>
      </c>
    </row>
    <row r="236" customFormat="false" ht="15" hidden="false" customHeight="false" outlineLevel="0" collapsed="false">
      <c r="A236" s="0" t="s">
        <v>1276</v>
      </c>
      <c r="B236" s="0" t="s">
        <v>914</v>
      </c>
      <c r="C236" s="0" t="s">
        <v>803</v>
      </c>
      <c r="D236" s="0" t="s">
        <v>637</v>
      </c>
      <c r="E236" s="0" t="s">
        <v>938</v>
      </c>
      <c r="F236" s="0" t="n">
        <v>1</v>
      </c>
      <c r="G236" s="0" t="n">
        <v>18</v>
      </c>
      <c r="I236" s="10"/>
      <c r="J236" s="0" t="n">
        <v>1.2</v>
      </c>
      <c r="K236" s="13" t="n">
        <f aca="false">IF(H236&lt;&gt;"",H236,IFERROR(G236/INDEX(Players!$M$2:$M$56,MATCH(B236,Players!$A$2:$A$56,0)),""))</f>
        <v>0.85531914893617</v>
      </c>
    </row>
    <row r="237" customFormat="false" ht="15" hidden="false" customHeight="false" outlineLevel="0" collapsed="false">
      <c r="A237" s="0" t="s">
        <v>1277</v>
      </c>
      <c r="B237" s="0" t="s">
        <v>914</v>
      </c>
      <c r="C237" s="0" t="s">
        <v>803</v>
      </c>
      <c r="D237" s="0" t="s">
        <v>637</v>
      </c>
      <c r="E237" s="0" t="s">
        <v>105</v>
      </c>
      <c r="F237" s="0" t="n">
        <v>1</v>
      </c>
      <c r="G237" s="0" t="n">
        <v>20</v>
      </c>
      <c r="I237" s="10"/>
      <c r="J237" s="0" t="n">
        <v>1.05</v>
      </c>
      <c r="K237" s="13" t="n">
        <f aca="false">IF(H237&lt;&gt;"",H237,IFERROR(G237/INDEX(Players!$M$2:$M$56,MATCH(B237,Players!$A$2:$A$56,0)),""))</f>
        <v>0.950354609929078</v>
      </c>
    </row>
    <row r="238" customFormat="false" ht="15" hidden="false" customHeight="false" outlineLevel="0" collapsed="false">
      <c r="A238" s="0" t="s">
        <v>1278</v>
      </c>
      <c r="B238" s="0" t="s">
        <v>914</v>
      </c>
      <c r="C238" s="0" t="s">
        <v>803</v>
      </c>
      <c r="D238" s="0" t="s">
        <v>637</v>
      </c>
      <c r="E238" s="0" t="s">
        <v>82</v>
      </c>
      <c r="F238" s="0" t="n">
        <v>1</v>
      </c>
      <c r="G238" s="0" t="n">
        <v>22</v>
      </c>
      <c r="I238" s="10"/>
      <c r="J238" s="0" t="n">
        <v>0.85</v>
      </c>
      <c r="K238" s="13" t="n">
        <f aca="false">IF(H238&lt;&gt;"",H238,IFERROR(G238/INDEX(Players!$M$2:$M$56,MATCH(B238,Players!$A$2:$A$56,0)),""))</f>
        <v>1.04539007092199</v>
      </c>
    </row>
    <row r="239" customFormat="false" ht="15" hidden="false" customHeight="false" outlineLevel="0" collapsed="false">
      <c r="A239" s="0" t="s">
        <v>1279</v>
      </c>
      <c r="B239" s="0" t="s">
        <v>914</v>
      </c>
      <c r="C239" s="0" t="s">
        <v>803</v>
      </c>
      <c r="D239" s="0" t="s">
        <v>637</v>
      </c>
      <c r="E239" s="0" t="s">
        <v>88</v>
      </c>
      <c r="F239" s="0" t="n">
        <v>1</v>
      </c>
      <c r="G239" s="0" t="n">
        <v>5</v>
      </c>
      <c r="I239" s="10"/>
      <c r="J239" s="0" t="n">
        <v>0.31</v>
      </c>
      <c r="K239" s="13" t="n">
        <f aca="false">IF(H239&lt;&gt;"",H239,IFERROR(G239/INDEX(Players!$M$2:$M$56,MATCH(B239,Players!$A$2:$A$56,0)),""))</f>
        <v>0.23758865248227</v>
      </c>
    </row>
    <row r="240" customFormat="false" ht="15" hidden="false" customHeight="false" outlineLevel="0" collapsed="false">
      <c r="A240" s="0" t="s">
        <v>1280</v>
      </c>
      <c r="B240" s="0" t="s">
        <v>896</v>
      </c>
      <c r="C240" s="0" t="s">
        <v>767</v>
      </c>
      <c r="D240" s="0" t="s">
        <v>637</v>
      </c>
      <c r="E240" s="0" t="s">
        <v>95</v>
      </c>
      <c r="F240" s="0" t="n">
        <v>7</v>
      </c>
      <c r="G240" s="0" t="n">
        <v>18.9</v>
      </c>
      <c r="I240" s="10"/>
      <c r="J240" s="0" t="n">
        <v>1.12</v>
      </c>
      <c r="K240" s="13" t="n">
        <f aca="false">IF(H240&lt;&gt;"",H240,IFERROR(G240/INDEX(Players!$M$2:$M$56,MATCH(B240,Players!$A$2:$A$56,0)),""))</f>
        <v>0.931995412844037</v>
      </c>
    </row>
    <row r="241" customFormat="false" ht="15" hidden="false" customHeight="false" outlineLevel="0" collapsed="false">
      <c r="A241" s="0" t="s">
        <v>1281</v>
      </c>
      <c r="B241" s="0" t="s">
        <v>896</v>
      </c>
      <c r="C241" s="0" t="s">
        <v>767</v>
      </c>
      <c r="D241" s="0" t="s">
        <v>637</v>
      </c>
      <c r="E241" s="0" t="s">
        <v>68</v>
      </c>
      <c r="F241" s="0" t="n">
        <v>7</v>
      </c>
      <c r="G241" s="0" t="n">
        <v>14.1</v>
      </c>
      <c r="I241" s="10"/>
      <c r="J241" s="0" t="n">
        <v>0.82</v>
      </c>
      <c r="K241" s="13" t="n">
        <f aca="false">IF(H241&lt;&gt;"",H241,IFERROR(G241/INDEX(Players!$M$2:$M$56,MATCH(B241,Players!$A$2:$A$56,0)),""))</f>
        <v>0.695298165137615</v>
      </c>
    </row>
    <row r="242" customFormat="false" ht="15" hidden="false" customHeight="false" outlineLevel="0" collapsed="false">
      <c r="A242" s="0" t="s">
        <v>1282</v>
      </c>
      <c r="B242" s="0" t="s">
        <v>896</v>
      </c>
      <c r="C242" s="0" t="s">
        <v>767</v>
      </c>
      <c r="D242" s="0" t="s">
        <v>637</v>
      </c>
      <c r="E242" s="0" t="s">
        <v>99</v>
      </c>
      <c r="F242" s="0" t="n">
        <v>6</v>
      </c>
      <c r="G242" s="0" t="n">
        <v>16.3</v>
      </c>
      <c r="I242" s="10"/>
      <c r="J242" s="0" t="n">
        <v>1.44</v>
      </c>
      <c r="K242" s="13" t="n">
        <f aca="false">IF(H242&lt;&gt;"",H242,IFERROR(G242/INDEX(Players!$M$2:$M$56,MATCH(B242,Players!$A$2:$A$56,0)),""))</f>
        <v>0.803784403669725</v>
      </c>
    </row>
    <row r="243" customFormat="false" ht="15" hidden="false" customHeight="false" outlineLevel="0" collapsed="false">
      <c r="A243" s="0" t="s">
        <v>1283</v>
      </c>
      <c r="B243" s="0" t="s">
        <v>896</v>
      </c>
      <c r="C243" s="0" t="s">
        <v>767</v>
      </c>
      <c r="D243" s="0" t="s">
        <v>637</v>
      </c>
      <c r="E243" s="0" t="s">
        <v>88</v>
      </c>
      <c r="F243" s="0" t="n">
        <v>5</v>
      </c>
      <c r="G243" s="0" t="n">
        <v>16</v>
      </c>
      <c r="I243" s="10"/>
      <c r="J243" s="0" t="n">
        <v>1.04</v>
      </c>
      <c r="K243" s="13" t="n">
        <f aca="false">IF(H243&lt;&gt;"",H243,IFERROR(G243/INDEX(Players!$M$2:$M$56,MATCH(B243,Players!$A$2:$A$56,0)),""))</f>
        <v>0.788990825688073</v>
      </c>
    </row>
    <row r="244" customFormat="false" ht="15" hidden="false" customHeight="false" outlineLevel="0" collapsed="false">
      <c r="A244" s="0" t="s">
        <v>1284</v>
      </c>
      <c r="B244" s="0" t="s">
        <v>896</v>
      </c>
      <c r="C244" s="0" t="s">
        <v>767</v>
      </c>
      <c r="D244" s="0" t="s">
        <v>637</v>
      </c>
      <c r="E244" s="0" t="s">
        <v>930</v>
      </c>
      <c r="F244" s="0" t="n">
        <v>5</v>
      </c>
      <c r="G244" s="0" t="n">
        <v>15</v>
      </c>
      <c r="I244" s="10"/>
      <c r="J244" s="0" t="n">
        <v>0.94</v>
      </c>
      <c r="K244" s="13" t="n">
        <f aca="false">IF(H244&lt;&gt;"",H244,IFERROR(G244/INDEX(Players!$M$2:$M$56,MATCH(B244,Players!$A$2:$A$56,0)),""))</f>
        <v>0.739678899082569</v>
      </c>
    </row>
    <row r="245" customFormat="false" ht="15" hidden="false" customHeight="false" outlineLevel="0" collapsed="false">
      <c r="A245" s="0" t="s">
        <v>1285</v>
      </c>
      <c r="B245" s="0" t="s">
        <v>896</v>
      </c>
      <c r="C245" s="0" t="s">
        <v>767</v>
      </c>
      <c r="D245" s="0" t="s">
        <v>637</v>
      </c>
      <c r="E245" s="0" t="s">
        <v>74</v>
      </c>
      <c r="F245" s="0" t="n">
        <v>4</v>
      </c>
      <c r="G245" s="0" t="n">
        <v>22</v>
      </c>
      <c r="I245" s="10"/>
      <c r="J245" s="0" t="n">
        <v>1.6</v>
      </c>
      <c r="K245" s="13" t="n">
        <f aca="false">IF(H245&lt;&gt;"",H245,IFERROR(G245/INDEX(Players!$M$2:$M$56,MATCH(B245,Players!$A$2:$A$56,0)),""))</f>
        <v>1.0848623853211</v>
      </c>
    </row>
    <row r="246" customFormat="false" ht="15" hidden="false" customHeight="false" outlineLevel="0" collapsed="false">
      <c r="A246" s="0" t="s">
        <v>1286</v>
      </c>
      <c r="B246" s="0" t="s">
        <v>896</v>
      </c>
      <c r="C246" s="0" t="s">
        <v>767</v>
      </c>
      <c r="D246" s="0" t="s">
        <v>637</v>
      </c>
      <c r="E246" s="0" t="s">
        <v>935</v>
      </c>
      <c r="F246" s="0" t="n">
        <v>2</v>
      </c>
      <c r="G246" s="0" t="n">
        <v>18</v>
      </c>
      <c r="I246" s="10"/>
      <c r="J246" s="0" t="n">
        <v>1.33</v>
      </c>
      <c r="K246" s="13" t="n">
        <f aca="false">IF(H246&lt;&gt;"",H246,IFERROR(G246/INDEX(Players!$M$2:$M$56,MATCH(B246,Players!$A$2:$A$56,0)),""))</f>
        <v>0.887614678899083</v>
      </c>
    </row>
    <row r="247" customFormat="false" ht="15" hidden="false" customHeight="false" outlineLevel="0" collapsed="false">
      <c r="A247" s="0" t="s">
        <v>1287</v>
      </c>
      <c r="B247" s="0" t="s">
        <v>896</v>
      </c>
      <c r="C247" s="0" t="s">
        <v>767</v>
      </c>
      <c r="D247" s="0" t="s">
        <v>637</v>
      </c>
      <c r="E247" s="0" t="s">
        <v>82</v>
      </c>
      <c r="F247" s="0" t="n">
        <v>1</v>
      </c>
      <c r="G247" s="0" t="n">
        <v>31</v>
      </c>
      <c r="I247" s="10"/>
      <c r="J247" s="0" t="n">
        <v>1.94</v>
      </c>
      <c r="K247" s="13" t="n">
        <f aca="false">IF(H247&lt;&gt;"",H247,IFERROR(G247/INDEX(Players!$M$2:$M$56,MATCH(B247,Players!$A$2:$A$56,0)),""))</f>
        <v>1.52866972477064</v>
      </c>
    </row>
    <row r="248" customFormat="false" ht="15" hidden="false" customHeight="false" outlineLevel="0" collapsed="false">
      <c r="A248" s="0" t="s">
        <v>1288</v>
      </c>
      <c r="B248" s="0" t="s">
        <v>896</v>
      </c>
      <c r="C248" s="0" t="s">
        <v>767</v>
      </c>
      <c r="D248" s="0" t="s">
        <v>637</v>
      </c>
      <c r="E248" s="0" t="s">
        <v>105</v>
      </c>
      <c r="F248" s="0" t="n">
        <v>1</v>
      </c>
      <c r="G248" s="0" t="n">
        <v>27</v>
      </c>
      <c r="I248" s="10"/>
      <c r="J248" s="0" t="n">
        <v>1.69</v>
      </c>
      <c r="K248" s="13" t="n">
        <f aca="false">IF(H248&lt;&gt;"",H248,IFERROR(G248/INDEX(Players!$M$2:$M$56,MATCH(B248,Players!$A$2:$A$56,0)),""))</f>
        <v>1.33142201834862</v>
      </c>
    </row>
    <row r="249" customFormat="false" ht="15" hidden="false" customHeight="false" outlineLevel="0" collapsed="false">
      <c r="A249" s="0" t="s">
        <v>1289</v>
      </c>
      <c r="B249" s="0" t="s">
        <v>896</v>
      </c>
      <c r="C249" s="0" t="s">
        <v>767</v>
      </c>
      <c r="D249" s="0" t="s">
        <v>637</v>
      </c>
      <c r="E249" s="0" t="s">
        <v>643</v>
      </c>
      <c r="F249" s="0" t="n">
        <v>1</v>
      </c>
      <c r="G249" s="0" t="n">
        <v>14</v>
      </c>
      <c r="I249" s="10"/>
      <c r="J249" s="0" t="n">
        <v>1.08</v>
      </c>
      <c r="K249" s="13" t="n">
        <f aca="false">IF(H249&lt;&gt;"",H249,IFERROR(G249/INDEX(Players!$M$2:$M$56,MATCH(B249,Players!$A$2:$A$56,0)),""))</f>
        <v>0.690366972477064</v>
      </c>
    </row>
    <row r="250" customFormat="false" ht="15" hidden="false" customHeight="false" outlineLevel="0" collapsed="false">
      <c r="A250" s="0" t="s">
        <v>1290</v>
      </c>
      <c r="B250" s="0" t="s">
        <v>887</v>
      </c>
      <c r="C250" s="0" t="s">
        <v>749</v>
      </c>
      <c r="D250" s="0" t="s">
        <v>637</v>
      </c>
      <c r="E250" s="0" t="s">
        <v>95</v>
      </c>
      <c r="F250" s="0" t="n">
        <v>5</v>
      </c>
      <c r="G250" s="0" t="n">
        <v>9.8</v>
      </c>
      <c r="I250" s="10"/>
      <c r="J250" s="0" t="n">
        <v>0.58</v>
      </c>
      <c r="K250" s="13" t="n">
        <f aca="false">IF(H250&lt;&gt;"",H250,IFERROR(G250/INDEX(Players!$M$2:$M$56,MATCH(B250,Players!$A$2:$A$56,0)),""))</f>
        <v>0.467818930041152</v>
      </c>
    </row>
    <row r="251" customFormat="false" ht="15" hidden="false" customHeight="false" outlineLevel="0" collapsed="false">
      <c r="A251" s="0" t="s">
        <v>1291</v>
      </c>
      <c r="B251" s="0" t="s">
        <v>887</v>
      </c>
      <c r="C251" s="0" t="s">
        <v>749</v>
      </c>
      <c r="D251" s="0" t="s">
        <v>637</v>
      </c>
      <c r="E251" s="0" t="s">
        <v>942</v>
      </c>
      <c r="F251" s="0" t="n">
        <v>1</v>
      </c>
      <c r="G251" s="0" t="n">
        <v>16</v>
      </c>
      <c r="I251" s="10"/>
      <c r="J251" s="0" t="n">
        <v>1.45</v>
      </c>
      <c r="K251" s="13" t="n">
        <f aca="false">IF(H251&lt;&gt;"",H251,IFERROR(G251/INDEX(Players!$M$2:$M$56,MATCH(B251,Players!$A$2:$A$56,0)),""))</f>
        <v>0.763786008230453</v>
      </c>
    </row>
    <row r="252" customFormat="false" ht="15" hidden="false" customHeight="false" outlineLevel="0" collapsed="false">
      <c r="A252" s="0" t="s">
        <v>1292</v>
      </c>
      <c r="B252" s="0" t="s">
        <v>887</v>
      </c>
      <c r="C252" s="0" t="s">
        <v>749</v>
      </c>
      <c r="D252" s="0" t="s">
        <v>637</v>
      </c>
      <c r="E252" s="0" t="s">
        <v>68</v>
      </c>
      <c r="F252" s="0" t="n">
        <v>1</v>
      </c>
      <c r="G252" s="0" t="n">
        <v>13</v>
      </c>
      <c r="I252" s="10"/>
      <c r="J252" s="0" t="n">
        <v>1.18</v>
      </c>
      <c r="K252" s="13" t="n">
        <f aca="false">IF(H252&lt;&gt;"",H252,IFERROR(G252/INDEX(Players!$M$2:$M$56,MATCH(B252,Players!$A$2:$A$56,0)),""))</f>
        <v>0.620576131687243</v>
      </c>
    </row>
    <row r="253" customFormat="false" ht="15" hidden="false" customHeight="false" outlineLevel="0" collapsed="false">
      <c r="A253" s="0" t="s">
        <v>1293</v>
      </c>
      <c r="B253" s="0" t="s">
        <v>887</v>
      </c>
      <c r="C253" s="0" t="s">
        <v>749</v>
      </c>
      <c r="D253" s="0" t="s">
        <v>637</v>
      </c>
      <c r="E253" s="0" t="s">
        <v>82</v>
      </c>
      <c r="F253" s="0" t="n">
        <v>1</v>
      </c>
      <c r="G253" s="0" t="n">
        <v>17</v>
      </c>
      <c r="I253" s="10"/>
      <c r="J253" s="0" t="n">
        <v>1.13</v>
      </c>
      <c r="K253" s="13" t="n">
        <f aca="false">IF(H253&lt;&gt;"",H253,IFERROR(G253/INDEX(Players!$M$2:$M$56,MATCH(B253,Players!$A$2:$A$56,0)),""))</f>
        <v>0.811522633744856</v>
      </c>
    </row>
    <row r="254" customFormat="false" ht="15" hidden="false" customHeight="false" outlineLevel="0" collapsed="false">
      <c r="A254" s="0" t="s">
        <v>1294</v>
      </c>
      <c r="B254" s="0" t="s">
        <v>887</v>
      </c>
      <c r="C254" s="0" t="s">
        <v>749</v>
      </c>
      <c r="D254" s="0" t="s">
        <v>637</v>
      </c>
      <c r="E254" s="0" t="s">
        <v>938</v>
      </c>
      <c r="F254" s="0" t="n">
        <v>1</v>
      </c>
      <c r="G254" s="0" t="n">
        <v>15</v>
      </c>
      <c r="I254" s="10"/>
      <c r="J254" s="0" t="n">
        <v>0.94</v>
      </c>
      <c r="K254" s="13" t="n">
        <f aca="false">IF(H254&lt;&gt;"",H254,IFERROR(G254/INDEX(Players!$M$2:$M$56,MATCH(B254,Players!$A$2:$A$56,0)),""))</f>
        <v>0.716049382716049</v>
      </c>
    </row>
    <row r="255" customFormat="false" ht="15" hidden="false" customHeight="false" outlineLevel="0" collapsed="false">
      <c r="A255" s="0" t="s">
        <v>1295</v>
      </c>
      <c r="B255" s="0" t="s">
        <v>887</v>
      </c>
      <c r="C255" s="0" t="s">
        <v>749</v>
      </c>
      <c r="D255" s="0" t="s">
        <v>637</v>
      </c>
      <c r="E255" s="0" t="s">
        <v>74</v>
      </c>
      <c r="F255" s="0" t="n">
        <v>1</v>
      </c>
      <c r="G255" s="0" t="n">
        <v>20</v>
      </c>
      <c r="I255" s="10"/>
      <c r="J255" s="0" t="n">
        <v>0.91</v>
      </c>
      <c r="K255" s="13" t="n">
        <f aca="false">IF(H255&lt;&gt;"",H255,IFERROR(G255/INDEX(Players!$M$2:$M$56,MATCH(B255,Players!$A$2:$A$56,0)),""))</f>
        <v>0.954732510288066</v>
      </c>
    </row>
    <row r="256" customFormat="false" ht="15" hidden="false" customHeight="false" outlineLevel="0" collapsed="false">
      <c r="A256" s="0" t="s">
        <v>1296</v>
      </c>
      <c r="B256" s="0" t="s">
        <v>887</v>
      </c>
      <c r="C256" s="0" t="s">
        <v>749</v>
      </c>
      <c r="D256" s="0" t="s">
        <v>637</v>
      </c>
      <c r="E256" s="0" t="s">
        <v>930</v>
      </c>
      <c r="F256" s="0" t="n">
        <v>1</v>
      </c>
      <c r="G256" s="0" t="n">
        <v>12</v>
      </c>
      <c r="I256" s="10"/>
      <c r="J256" s="0" t="n">
        <v>0.75</v>
      </c>
      <c r="K256" s="13" t="n">
        <f aca="false">IF(H256&lt;&gt;"",H256,IFERROR(G256/INDEX(Players!$M$2:$M$56,MATCH(B256,Players!$A$2:$A$56,0)),""))</f>
        <v>0.572839506172839</v>
      </c>
    </row>
    <row r="257" customFormat="false" ht="15" hidden="false" customHeight="false" outlineLevel="0" collapsed="false">
      <c r="A257" s="0" t="s">
        <v>1297</v>
      </c>
      <c r="B257" s="0" t="s">
        <v>887</v>
      </c>
      <c r="C257" s="0" t="s">
        <v>749</v>
      </c>
      <c r="D257" s="0" t="s">
        <v>637</v>
      </c>
      <c r="E257" s="0" t="s">
        <v>99</v>
      </c>
      <c r="F257" s="0" t="n">
        <v>1</v>
      </c>
      <c r="G257" s="0" t="n">
        <v>10</v>
      </c>
      <c r="I257" s="10"/>
      <c r="J257" s="0" t="n">
        <v>0.71</v>
      </c>
      <c r="K257" s="13" t="n">
        <f aca="false">IF(H257&lt;&gt;"",H257,IFERROR(G257/INDEX(Players!$M$2:$M$56,MATCH(B257,Players!$A$2:$A$56,0)),""))</f>
        <v>0.477366255144033</v>
      </c>
    </row>
    <row r="258" customFormat="false" ht="15" hidden="false" customHeight="false" outlineLevel="0" collapsed="false">
      <c r="A258" s="0" t="s">
        <v>1298</v>
      </c>
      <c r="B258" s="0" t="s">
        <v>887</v>
      </c>
      <c r="C258" s="0" t="s">
        <v>749</v>
      </c>
      <c r="D258" s="0" t="s">
        <v>637</v>
      </c>
      <c r="E258" s="0" t="s">
        <v>92</v>
      </c>
      <c r="F258" s="0" t="n">
        <v>1</v>
      </c>
      <c r="G258" s="0" t="n">
        <v>6</v>
      </c>
      <c r="I258" s="10"/>
      <c r="J258" s="0" t="n">
        <v>0.4</v>
      </c>
      <c r="K258" s="13" t="n">
        <f aca="false">IF(H258&lt;&gt;"",H258,IFERROR(G258/INDEX(Players!$M$2:$M$56,MATCH(B258,Players!$A$2:$A$56,0)),""))</f>
        <v>0.28641975308642</v>
      </c>
    </row>
    <row r="259" customFormat="false" ht="15" hidden="false" customHeight="false" outlineLevel="0" collapsed="false">
      <c r="A259" s="0" t="s">
        <v>1299</v>
      </c>
      <c r="B259" s="0" t="s">
        <v>897</v>
      </c>
      <c r="C259" s="0" t="s">
        <v>769</v>
      </c>
      <c r="D259" s="0" t="s">
        <v>637</v>
      </c>
      <c r="E259" s="0" t="s">
        <v>68</v>
      </c>
      <c r="F259" s="0" t="n">
        <v>8</v>
      </c>
      <c r="G259" s="0" t="n">
        <v>13.5</v>
      </c>
      <c r="I259" s="10"/>
      <c r="J259" s="0" t="n">
        <v>0.86</v>
      </c>
      <c r="K259" s="13" t="n">
        <f aca="false">IF(H259&lt;&gt;"",H259,IFERROR(G259/INDEX(Players!$M$2:$M$56,MATCH(B259,Players!$A$2:$A$56,0)),""))</f>
        <v>0.653404429860541</v>
      </c>
    </row>
    <row r="260" customFormat="false" ht="15" hidden="false" customHeight="false" outlineLevel="0" collapsed="false">
      <c r="A260" s="0" t="s">
        <v>1300</v>
      </c>
      <c r="B260" s="0" t="s">
        <v>897</v>
      </c>
      <c r="C260" s="0" t="s">
        <v>769</v>
      </c>
      <c r="D260" s="0" t="s">
        <v>637</v>
      </c>
      <c r="E260" s="0" t="s">
        <v>95</v>
      </c>
      <c r="F260" s="0" t="n">
        <v>8</v>
      </c>
      <c r="G260" s="0" t="n">
        <v>10.9</v>
      </c>
      <c r="I260" s="10"/>
      <c r="J260" s="0" t="n">
        <v>0.69</v>
      </c>
      <c r="K260" s="13" t="n">
        <f aca="false">IF(H260&lt;&gt;"",H260,IFERROR(G260/INDEX(Players!$M$2:$M$56,MATCH(B260,Players!$A$2:$A$56,0)),""))</f>
        <v>0.527563576702215</v>
      </c>
    </row>
    <row r="261" customFormat="false" ht="15" hidden="false" customHeight="false" outlineLevel="0" collapsed="false">
      <c r="A261" s="0" t="s">
        <v>1301</v>
      </c>
      <c r="B261" s="0" t="s">
        <v>897</v>
      </c>
      <c r="C261" s="0" t="s">
        <v>769</v>
      </c>
      <c r="D261" s="0" t="s">
        <v>637</v>
      </c>
      <c r="E261" s="0" t="s">
        <v>99</v>
      </c>
      <c r="F261" s="0" t="n">
        <v>7</v>
      </c>
      <c r="G261" s="0" t="n">
        <v>10.4</v>
      </c>
      <c r="I261" s="10"/>
      <c r="J261" s="0" t="n">
        <v>0.89</v>
      </c>
      <c r="K261" s="13" t="n">
        <f aca="false">IF(H261&lt;&gt;"",H261,IFERROR(G261/INDEX(Players!$M$2:$M$56,MATCH(B261,Players!$A$2:$A$56,0)),""))</f>
        <v>0.503363412633306</v>
      </c>
    </row>
    <row r="262" customFormat="false" ht="15" hidden="false" customHeight="false" outlineLevel="0" collapsed="false">
      <c r="A262" s="0" t="s">
        <v>1302</v>
      </c>
      <c r="B262" s="0" t="s">
        <v>897</v>
      </c>
      <c r="C262" s="0" t="s">
        <v>769</v>
      </c>
      <c r="D262" s="0" t="s">
        <v>637</v>
      </c>
      <c r="E262" s="0" t="s">
        <v>930</v>
      </c>
      <c r="F262" s="0" t="n">
        <v>6</v>
      </c>
      <c r="G262" s="0" t="n">
        <v>12.5</v>
      </c>
      <c r="I262" s="10"/>
      <c r="J262" s="0" t="n">
        <v>0.83</v>
      </c>
      <c r="K262" s="13" t="n">
        <f aca="false">IF(H262&lt;&gt;"",H262,IFERROR(G262/INDEX(Players!$M$2:$M$56,MATCH(B262,Players!$A$2:$A$56,0)),""))</f>
        <v>0.605004101722724</v>
      </c>
    </row>
    <row r="263" customFormat="false" ht="15" hidden="false" customHeight="false" outlineLevel="0" collapsed="false">
      <c r="A263" s="0" t="s">
        <v>1303</v>
      </c>
      <c r="B263" s="0" t="s">
        <v>897</v>
      </c>
      <c r="C263" s="0" t="s">
        <v>769</v>
      </c>
      <c r="D263" s="0" t="s">
        <v>637</v>
      </c>
      <c r="E263" s="0" t="s">
        <v>88</v>
      </c>
      <c r="F263" s="0" t="n">
        <v>5</v>
      </c>
      <c r="G263" s="0" t="n">
        <v>15.2</v>
      </c>
      <c r="I263" s="10"/>
      <c r="J263" s="0" t="n">
        <v>1.13</v>
      </c>
      <c r="K263" s="13" t="n">
        <f aca="false">IF(H263&lt;&gt;"",H263,IFERROR(G263/INDEX(Players!$M$2:$M$56,MATCH(B263,Players!$A$2:$A$56,0)),""))</f>
        <v>0.735684987694832</v>
      </c>
    </row>
    <row r="264" customFormat="false" ht="15" hidden="false" customHeight="false" outlineLevel="0" collapsed="false">
      <c r="A264" s="0" t="s">
        <v>1304</v>
      </c>
      <c r="B264" s="0" t="s">
        <v>897</v>
      </c>
      <c r="C264" s="0" t="s">
        <v>769</v>
      </c>
      <c r="D264" s="0" t="s">
        <v>637</v>
      </c>
      <c r="E264" s="0" t="s">
        <v>74</v>
      </c>
      <c r="F264" s="0" t="n">
        <v>5</v>
      </c>
      <c r="G264" s="0" t="n">
        <v>8.8</v>
      </c>
      <c r="I264" s="10"/>
      <c r="J264" s="0" t="n">
        <v>0.67</v>
      </c>
      <c r="K264" s="13" t="n">
        <f aca="false">IF(H264&lt;&gt;"",H264,IFERROR(G264/INDEX(Players!$M$2:$M$56,MATCH(B264,Players!$A$2:$A$56,0)),""))</f>
        <v>0.425922887612797</v>
      </c>
    </row>
    <row r="265" customFormat="false" ht="15" hidden="false" customHeight="false" outlineLevel="0" collapsed="false">
      <c r="A265" s="0" t="s">
        <v>1305</v>
      </c>
      <c r="B265" s="0" t="s">
        <v>897</v>
      </c>
      <c r="C265" s="0" t="s">
        <v>769</v>
      </c>
      <c r="D265" s="0" t="s">
        <v>637</v>
      </c>
      <c r="E265" s="0" t="s">
        <v>935</v>
      </c>
      <c r="F265" s="0" t="n">
        <v>3</v>
      </c>
      <c r="G265" s="0" t="n">
        <v>16.3</v>
      </c>
      <c r="I265" s="10"/>
      <c r="J265" s="0" t="n">
        <v>1.4</v>
      </c>
      <c r="K265" s="13" t="n">
        <f aca="false">IF(H265&lt;&gt;"",H265,IFERROR(G265/INDEX(Players!$M$2:$M$56,MATCH(B265,Players!$A$2:$A$56,0)),""))</f>
        <v>0.788925348646432</v>
      </c>
    </row>
    <row r="266" customFormat="false" ht="15" hidden="false" customHeight="false" outlineLevel="0" collapsed="false">
      <c r="A266" s="0" t="s">
        <v>1306</v>
      </c>
      <c r="B266" s="0" t="s">
        <v>897</v>
      </c>
      <c r="C266" s="0" t="s">
        <v>769</v>
      </c>
      <c r="D266" s="0" t="s">
        <v>637</v>
      </c>
      <c r="E266" s="0" t="s">
        <v>82</v>
      </c>
      <c r="F266" s="0" t="n">
        <v>3</v>
      </c>
      <c r="G266" s="0" t="n">
        <v>12.3</v>
      </c>
      <c r="I266" s="10"/>
      <c r="J266" s="0" t="n">
        <v>0.95</v>
      </c>
      <c r="K266" s="13" t="n">
        <f aca="false">IF(H266&lt;&gt;"",H266,IFERROR(G266/INDEX(Players!$M$2:$M$56,MATCH(B266,Players!$A$2:$A$56,0)),""))</f>
        <v>0.59532403609516</v>
      </c>
    </row>
    <row r="267" customFormat="false" ht="15" hidden="false" customHeight="false" outlineLevel="0" collapsed="false">
      <c r="A267" s="0" t="s">
        <v>1307</v>
      </c>
      <c r="B267" s="0" t="s">
        <v>897</v>
      </c>
      <c r="C267" s="0" t="s">
        <v>769</v>
      </c>
      <c r="D267" s="0" t="s">
        <v>637</v>
      </c>
      <c r="E267" s="0" t="s">
        <v>643</v>
      </c>
      <c r="F267" s="0" t="n">
        <v>1</v>
      </c>
      <c r="G267" s="0" t="n">
        <v>12</v>
      </c>
      <c r="I267" s="10"/>
      <c r="J267" s="0" t="n">
        <v>1.2</v>
      </c>
      <c r="K267" s="13" t="n">
        <f aca="false">IF(H267&lt;&gt;"",H267,IFERROR(G267/INDEX(Players!$M$2:$M$56,MATCH(B267,Players!$A$2:$A$56,0)),""))</f>
        <v>0.580803937653815</v>
      </c>
    </row>
    <row r="268" customFormat="false" ht="15" hidden="false" customHeight="false" outlineLevel="0" collapsed="false">
      <c r="A268" s="0" t="s">
        <v>1308</v>
      </c>
      <c r="B268" s="0" t="s">
        <v>897</v>
      </c>
      <c r="C268" s="0" t="s">
        <v>769</v>
      </c>
      <c r="D268" s="0" t="s">
        <v>637</v>
      </c>
      <c r="E268" s="0" t="s">
        <v>105</v>
      </c>
      <c r="F268" s="0" t="n">
        <v>1</v>
      </c>
      <c r="G268" s="0" t="n">
        <v>12</v>
      </c>
      <c r="I268" s="10"/>
      <c r="J268" s="0" t="n">
        <v>0.75</v>
      </c>
      <c r="K268" s="13" t="n">
        <f aca="false">IF(H268&lt;&gt;"",H268,IFERROR(G268/INDEX(Players!$M$2:$M$56,MATCH(B268,Players!$A$2:$A$56,0)),""))</f>
        <v>0.580803937653815</v>
      </c>
    </row>
    <row r="269" customFormat="false" ht="15" hidden="false" customHeight="false" outlineLevel="0" collapsed="false">
      <c r="A269" s="0" t="s">
        <v>1309</v>
      </c>
      <c r="B269" s="0" t="s">
        <v>905</v>
      </c>
      <c r="C269" s="0" t="s">
        <v>785</v>
      </c>
      <c r="D269" s="0" t="s">
        <v>637</v>
      </c>
      <c r="E269" s="0" t="s">
        <v>74</v>
      </c>
      <c r="F269" s="0" t="n">
        <v>8</v>
      </c>
      <c r="G269" s="0" t="n">
        <v>10.8</v>
      </c>
      <c r="I269" s="10"/>
      <c r="J269" s="0" t="n">
        <v>0.76</v>
      </c>
      <c r="K269" s="13" t="n">
        <f aca="false">IF(H269&lt;&gt;"",H269,IFERROR(G269/INDEX(Players!$M$2:$M$56,MATCH(B269,Players!$A$2:$A$56,0)),""))</f>
        <v>0.509433962264151</v>
      </c>
    </row>
    <row r="270" customFormat="false" ht="15" hidden="false" customHeight="false" outlineLevel="0" collapsed="false">
      <c r="A270" s="0" t="s">
        <v>1310</v>
      </c>
      <c r="B270" s="0" t="s">
        <v>905</v>
      </c>
      <c r="C270" s="0" t="s">
        <v>785</v>
      </c>
      <c r="D270" s="0" t="s">
        <v>637</v>
      </c>
      <c r="E270" s="0" t="s">
        <v>99</v>
      </c>
      <c r="F270" s="0" t="n">
        <v>5</v>
      </c>
      <c r="G270" s="0" t="n">
        <v>10.2</v>
      </c>
      <c r="I270" s="10"/>
      <c r="J270" s="0" t="n">
        <v>0.61</v>
      </c>
      <c r="K270" s="13" t="n">
        <f aca="false">IF(H270&lt;&gt;"",H270,IFERROR(G270/INDEX(Players!$M$2:$M$56,MATCH(B270,Players!$A$2:$A$56,0)),""))</f>
        <v>0.481132075471698</v>
      </c>
    </row>
    <row r="271" customFormat="false" ht="15" hidden="false" customHeight="false" outlineLevel="0" collapsed="false">
      <c r="A271" s="0" t="s">
        <v>1311</v>
      </c>
      <c r="B271" s="0" t="s">
        <v>905</v>
      </c>
      <c r="C271" s="0" t="s">
        <v>785</v>
      </c>
      <c r="D271" s="0" t="s">
        <v>637</v>
      </c>
      <c r="E271" s="0" t="s">
        <v>930</v>
      </c>
      <c r="F271" s="0" t="n">
        <v>4</v>
      </c>
      <c r="G271" s="0" t="n">
        <v>14</v>
      </c>
      <c r="I271" s="10"/>
      <c r="J271" s="0" t="n">
        <v>0.81</v>
      </c>
      <c r="K271" s="13" t="n">
        <f aca="false">IF(H271&lt;&gt;"",H271,IFERROR(G271/INDEX(Players!$M$2:$M$56,MATCH(B271,Players!$A$2:$A$56,0)),""))</f>
        <v>0.660377358490566</v>
      </c>
    </row>
    <row r="272" customFormat="false" ht="15" hidden="false" customHeight="false" outlineLevel="0" collapsed="false">
      <c r="A272" s="0" t="s">
        <v>1312</v>
      </c>
      <c r="B272" s="0" t="s">
        <v>905</v>
      </c>
      <c r="C272" s="0" t="s">
        <v>785</v>
      </c>
      <c r="D272" s="0" t="s">
        <v>637</v>
      </c>
      <c r="E272" s="0" t="s">
        <v>68</v>
      </c>
      <c r="F272" s="0" t="n">
        <v>3</v>
      </c>
      <c r="G272" s="0" t="n">
        <v>13.3</v>
      </c>
      <c r="I272" s="10"/>
      <c r="J272" s="0" t="n">
        <v>0.89</v>
      </c>
      <c r="K272" s="13" t="n">
        <f aca="false">IF(H272&lt;&gt;"",H272,IFERROR(G272/INDEX(Players!$M$2:$M$56,MATCH(B272,Players!$A$2:$A$56,0)),""))</f>
        <v>0.627358490566038</v>
      </c>
    </row>
    <row r="273" customFormat="false" ht="15" hidden="false" customHeight="false" outlineLevel="0" collapsed="false">
      <c r="A273" s="0" t="s">
        <v>1313</v>
      </c>
      <c r="B273" s="0" t="s">
        <v>905</v>
      </c>
      <c r="C273" s="0" t="s">
        <v>785</v>
      </c>
      <c r="D273" s="0" t="s">
        <v>637</v>
      </c>
      <c r="E273" s="0" t="s">
        <v>942</v>
      </c>
      <c r="F273" s="0" t="n">
        <v>3</v>
      </c>
      <c r="G273" s="0" t="n">
        <v>12.7</v>
      </c>
      <c r="I273" s="10"/>
      <c r="J273" s="0" t="n">
        <v>0.88</v>
      </c>
      <c r="K273" s="13" t="n">
        <f aca="false">IF(H273&lt;&gt;"",H273,IFERROR(G273/INDEX(Players!$M$2:$M$56,MATCH(B273,Players!$A$2:$A$56,0)),""))</f>
        <v>0.599056603773585</v>
      </c>
    </row>
    <row r="274" customFormat="false" ht="15" hidden="false" customHeight="false" outlineLevel="0" collapsed="false">
      <c r="A274" s="0" t="s">
        <v>1314</v>
      </c>
      <c r="B274" s="0" t="s">
        <v>905</v>
      </c>
      <c r="C274" s="0" t="s">
        <v>785</v>
      </c>
      <c r="D274" s="0" t="s">
        <v>637</v>
      </c>
      <c r="E274" s="0" t="s">
        <v>95</v>
      </c>
      <c r="F274" s="0" t="n">
        <v>3</v>
      </c>
      <c r="G274" s="0" t="n">
        <v>13</v>
      </c>
      <c r="I274" s="10"/>
      <c r="J274" s="0" t="n">
        <v>0.72</v>
      </c>
      <c r="K274" s="13" t="n">
        <f aca="false">IF(H274&lt;&gt;"",H274,IFERROR(G274/INDEX(Players!$M$2:$M$56,MATCH(B274,Players!$A$2:$A$56,0)),""))</f>
        <v>0.613207547169811</v>
      </c>
    </row>
    <row r="275" customFormat="false" ht="15" hidden="false" customHeight="false" outlineLevel="0" collapsed="false">
      <c r="A275" s="0" t="s">
        <v>1315</v>
      </c>
      <c r="B275" s="0" t="s">
        <v>905</v>
      </c>
      <c r="C275" s="0" t="s">
        <v>785</v>
      </c>
      <c r="D275" s="0" t="s">
        <v>637</v>
      </c>
      <c r="E275" s="0" t="s">
        <v>92</v>
      </c>
      <c r="F275" s="0" t="n">
        <v>3</v>
      </c>
      <c r="G275" s="0" t="n">
        <v>9.3</v>
      </c>
      <c r="I275" s="10"/>
      <c r="J275" s="0" t="n">
        <v>0.56</v>
      </c>
      <c r="K275" s="13" t="n">
        <f aca="false">IF(H275&lt;&gt;"",H275,IFERROR(G275/INDEX(Players!$M$2:$M$56,MATCH(B275,Players!$A$2:$A$56,0)),""))</f>
        <v>0.438679245283019</v>
      </c>
    </row>
    <row r="276" customFormat="false" ht="15" hidden="false" customHeight="false" outlineLevel="0" collapsed="false">
      <c r="A276" s="0" t="s">
        <v>1316</v>
      </c>
      <c r="B276" s="0" t="s">
        <v>915</v>
      </c>
      <c r="C276" s="0" t="s">
        <v>805</v>
      </c>
      <c r="D276" s="0" t="s">
        <v>637</v>
      </c>
      <c r="E276" s="0" t="s">
        <v>95</v>
      </c>
      <c r="F276" s="0" t="n">
        <v>8</v>
      </c>
      <c r="G276" s="0" t="n">
        <v>10.8</v>
      </c>
      <c r="I276" s="10"/>
      <c r="J276" s="0" t="n">
        <v>0.75</v>
      </c>
      <c r="K276" s="13" t="n">
        <f aca="false">IF(H276&lt;&gt;"",H276,IFERROR(G276/INDEX(Players!$M$2:$M$56,MATCH(B276,Players!$A$2:$A$56,0)),""))</f>
        <v>0.516010058675608</v>
      </c>
    </row>
    <row r="277" customFormat="false" ht="15" hidden="false" customHeight="false" outlineLevel="0" collapsed="false">
      <c r="A277" s="0" t="s">
        <v>1317</v>
      </c>
      <c r="B277" s="0" t="s">
        <v>915</v>
      </c>
      <c r="C277" s="0" t="s">
        <v>805</v>
      </c>
      <c r="D277" s="0" t="s">
        <v>637</v>
      </c>
      <c r="E277" s="0" t="s">
        <v>68</v>
      </c>
      <c r="F277" s="0" t="n">
        <v>7</v>
      </c>
      <c r="G277" s="0" t="n">
        <v>12.6</v>
      </c>
      <c r="I277" s="10"/>
      <c r="J277" s="0" t="n">
        <v>0.85</v>
      </c>
      <c r="K277" s="13" t="n">
        <f aca="false">IF(H277&lt;&gt;"",H277,IFERROR(G277/INDEX(Players!$M$2:$M$56,MATCH(B277,Players!$A$2:$A$56,0)),""))</f>
        <v>0.602011735121542</v>
      </c>
    </row>
    <row r="278" customFormat="false" ht="15" hidden="false" customHeight="false" outlineLevel="0" collapsed="false">
      <c r="A278" s="0" t="s">
        <v>1318</v>
      </c>
      <c r="B278" s="0" t="s">
        <v>915</v>
      </c>
      <c r="C278" s="0" t="s">
        <v>805</v>
      </c>
      <c r="D278" s="0" t="s">
        <v>637</v>
      </c>
      <c r="E278" s="0" t="s">
        <v>99</v>
      </c>
      <c r="F278" s="0" t="n">
        <v>6</v>
      </c>
      <c r="G278" s="0" t="n">
        <v>13.2</v>
      </c>
      <c r="I278" s="10"/>
      <c r="J278" s="0" t="n">
        <v>0.86</v>
      </c>
      <c r="K278" s="13" t="n">
        <f aca="false">IF(H278&lt;&gt;"",H278,IFERROR(G278/INDEX(Players!$M$2:$M$56,MATCH(B278,Players!$A$2:$A$56,0)),""))</f>
        <v>0.630678960603521</v>
      </c>
    </row>
    <row r="279" customFormat="false" ht="15" hidden="false" customHeight="false" outlineLevel="0" collapsed="false">
      <c r="A279" s="0" t="s">
        <v>1319</v>
      </c>
      <c r="B279" s="0" t="s">
        <v>915</v>
      </c>
      <c r="C279" s="0" t="s">
        <v>805</v>
      </c>
      <c r="D279" s="0" t="s">
        <v>637</v>
      </c>
      <c r="E279" s="0" t="s">
        <v>74</v>
      </c>
      <c r="F279" s="0" t="n">
        <v>4</v>
      </c>
      <c r="G279" s="0" t="n">
        <v>12</v>
      </c>
      <c r="I279" s="10"/>
      <c r="J279" s="0" t="n">
        <v>0.98</v>
      </c>
      <c r="K279" s="13" t="n">
        <f aca="false">IF(H279&lt;&gt;"",H279,IFERROR(G279/INDEX(Players!$M$2:$M$56,MATCH(B279,Players!$A$2:$A$56,0)),""))</f>
        <v>0.573344509639564</v>
      </c>
    </row>
    <row r="280" customFormat="false" ht="15" hidden="false" customHeight="false" outlineLevel="0" collapsed="false">
      <c r="A280" s="0" t="s">
        <v>1320</v>
      </c>
      <c r="B280" s="0" t="s">
        <v>915</v>
      </c>
      <c r="C280" s="0" t="s">
        <v>805</v>
      </c>
      <c r="D280" s="0" t="s">
        <v>637</v>
      </c>
      <c r="E280" s="0" t="s">
        <v>92</v>
      </c>
      <c r="F280" s="0" t="n">
        <v>4</v>
      </c>
      <c r="G280" s="0" t="n">
        <v>9.8</v>
      </c>
      <c r="I280" s="10"/>
      <c r="J280" s="0" t="n">
        <v>0.75</v>
      </c>
      <c r="K280" s="13" t="n">
        <f aca="false">IF(H280&lt;&gt;"",H280,IFERROR(G280/INDEX(Players!$M$2:$M$56,MATCH(B280,Players!$A$2:$A$56,0)),""))</f>
        <v>0.468231349538977</v>
      </c>
    </row>
    <row r="281" customFormat="false" ht="15" hidden="false" customHeight="false" outlineLevel="0" collapsed="false">
      <c r="A281" s="0" t="s">
        <v>1321</v>
      </c>
      <c r="B281" s="0" t="s">
        <v>915</v>
      </c>
      <c r="C281" s="0" t="s">
        <v>805</v>
      </c>
      <c r="D281" s="0" t="s">
        <v>637</v>
      </c>
      <c r="E281" s="0" t="s">
        <v>643</v>
      </c>
      <c r="F281" s="0" t="n">
        <v>3</v>
      </c>
      <c r="G281" s="0" t="n">
        <v>10.3</v>
      </c>
      <c r="I281" s="10"/>
      <c r="J281" s="0" t="n">
        <v>0.58</v>
      </c>
      <c r="K281" s="13" t="n">
        <f aca="false">IF(H281&lt;&gt;"",H281,IFERROR(G281/INDEX(Players!$M$2:$M$56,MATCH(B281,Players!$A$2:$A$56,0)),""))</f>
        <v>0.492120704107293</v>
      </c>
    </row>
    <row r="282" customFormat="false" ht="15" hidden="false" customHeight="false" outlineLevel="0" collapsed="false">
      <c r="A282" s="0" t="s">
        <v>1322</v>
      </c>
      <c r="B282" s="0" t="s">
        <v>915</v>
      </c>
      <c r="C282" s="0" t="s">
        <v>805</v>
      </c>
      <c r="D282" s="0" t="s">
        <v>637</v>
      </c>
      <c r="E282" s="0" t="s">
        <v>935</v>
      </c>
      <c r="F282" s="0" t="n">
        <v>3</v>
      </c>
      <c r="G282" s="0" t="n">
        <v>7.3</v>
      </c>
      <c r="I282" s="10"/>
      <c r="J282" s="0" t="n">
        <v>0.56</v>
      </c>
      <c r="K282" s="13" t="n">
        <f aca="false">IF(H282&lt;&gt;"",H282,IFERROR(G282/INDEX(Players!$M$2:$M$56,MATCH(B282,Players!$A$2:$A$56,0)),""))</f>
        <v>0.348784576697402</v>
      </c>
    </row>
    <row r="283" customFormat="false" ht="15" hidden="false" customHeight="false" outlineLevel="0" collapsed="false">
      <c r="A283" s="0" t="s">
        <v>1323</v>
      </c>
      <c r="B283" s="0" t="s">
        <v>915</v>
      </c>
      <c r="C283" s="0" t="s">
        <v>805</v>
      </c>
      <c r="D283" s="0" t="s">
        <v>637</v>
      </c>
      <c r="E283" s="0" t="s">
        <v>930</v>
      </c>
      <c r="F283" s="0" t="n">
        <v>2</v>
      </c>
      <c r="G283" s="0" t="n">
        <v>16</v>
      </c>
      <c r="I283" s="10"/>
      <c r="J283" s="0" t="n">
        <v>1.39</v>
      </c>
      <c r="K283" s="13" t="n">
        <f aca="false">IF(H283&lt;&gt;"",H283,IFERROR(G283/INDEX(Players!$M$2:$M$56,MATCH(B283,Players!$A$2:$A$56,0)),""))</f>
        <v>0.764459346186086</v>
      </c>
    </row>
    <row r="284" customFormat="false" ht="15" hidden="false" customHeight="false" outlineLevel="0" collapsed="false">
      <c r="A284" s="0" t="s">
        <v>1324</v>
      </c>
      <c r="B284" s="0" t="s">
        <v>915</v>
      </c>
      <c r="C284" s="0" t="s">
        <v>805</v>
      </c>
      <c r="D284" s="0" t="s">
        <v>637</v>
      </c>
      <c r="E284" s="0" t="s">
        <v>82</v>
      </c>
      <c r="F284" s="0" t="n">
        <v>1</v>
      </c>
      <c r="G284" s="0" t="n">
        <v>31</v>
      </c>
      <c r="I284" s="10"/>
      <c r="J284" s="0" t="n">
        <v>1.07</v>
      </c>
      <c r="K284" s="13" t="n">
        <f aca="false">IF(H284&lt;&gt;"",H284,IFERROR(G284/INDEX(Players!$M$2:$M$56,MATCH(B284,Players!$A$2:$A$56,0)),""))</f>
        <v>1.48113998323554</v>
      </c>
    </row>
    <row r="285" customFormat="false" ht="15" hidden="false" customHeight="false" outlineLevel="0" collapsed="false">
      <c r="A285" s="0" t="s">
        <v>1325</v>
      </c>
      <c r="B285" s="0" t="s">
        <v>915</v>
      </c>
      <c r="C285" s="0" t="s">
        <v>805</v>
      </c>
      <c r="D285" s="0" t="s">
        <v>637</v>
      </c>
      <c r="E285" s="0" t="s">
        <v>938</v>
      </c>
      <c r="F285" s="0" t="n">
        <v>1</v>
      </c>
      <c r="G285" s="0" t="n">
        <v>11</v>
      </c>
      <c r="I285" s="10"/>
      <c r="J285" s="0" t="n">
        <v>0.92</v>
      </c>
      <c r="K285" s="13" t="n">
        <f aca="false">IF(H285&lt;&gt;"",H285,IFERROR(G285/INDEX(Players!$M$2:$M$56,MATCH(B285,Players!$A$2:$A$56,0)),""))</f>
        <v>0.525565800502934</v>
      </c>
    </row>
    <row r="286" customFormat="false" ht="15" hidden="false" customHeight="false" outlineLevel="0" collapsed="false">
      <c r="A286" s="0" t="s">
        <v>1326</v>
      </c>
      <c r="B286" s="0" t="s">
        <v>915</v>
      </c>
      <c r="C286" s="0" t="s">
        <v>805</v>
      </c>
      <c r="D286" s="0" t="s">
        <v>637</v>
      </c>
      <c r="E286" s="0" t="s">
        <v>88</v>
      </c>
      <c r="F286" s="0" t="n">
        <v>1</v>
      </c>
      <c r="G286" s="0" t="n">
        <v>11</v>
      </c>
      <c r="I286" s="10"/>
      <c r="J286" s="0" t="n">
        <v>0.85</v>
      </c>
      <c r="K286" s="13" t="n">
        <f aca="false">IF(H286&lt;&gt;"",H286,IFERROR(G286/INDEX(Players!$M$2:$M$56,MATCH(B286,Players!$A$2:$A$56,0)),""))</f>
        <v>0.525565800502934</v>
      </c>
    </row>
    <row r="287" customFormat="false" ht="15" hidden="false" customHeight="false" outlineLevel="0" collapsed="false">
      <c r="A287" s="0" t="s">
        <v>1327</v>
      </c>
      <c r="B287" s="0" t="s">
        <v>915</v>
      </c>
      <c r="C287" s="0" t="s">
        <v>805</v>
      </c>
      <c r="D287" s="0" t="s">
        <v>637</v>
      </c>
      <c r="E287" s="0" t="s">
        <v>105</v>
      </c>
      <c r="F287" s="0" t="n">
        <v>1</v>
      </c>
      <c r="G287" s="0" t="n">
        <v>11</v>
      </c>
      <c r="I287" s="10"/>
      <c r="J287" s="0" t="n">
        <v>0.61</v>
      </c>
      <c r="K287" s="13" t="n">
        <f aca="false">IF(H287&lt;&gt;"",H287,IFERROR(G287/INDEX(Players!$M$2:$M$56,MATCH(B287,Players!$A$2:$A$56,0)),""))</f>
        <v>0.525565800502934</v>
      </c>
    </row>
    <row r="288" customFormat="false" ht="15" hidden="false" customHeight="false" outlineLevel="0" collapsed="false">
      <c r="A288" s="0" t="s">
        <v>1328</v>
      </c>
      <c r="B288" s="0" t="s">
        <v>916</v>
      </c>
      <c r="C288" s="0" t="s">
        <v>807</v>
      </c>
      <c r="D288" s="0" t="s">
        <v>637</v>
      </c>
      <c r="E288" s="0" t="s">
        <v>95</v>
      </c>
      <c r="F288" s="0" t="n">
        <v>8</v>
      </c>
      <c r="G288" s="0" t="n">
        <v>16.1</v>
      </c>
      <c r="I288" s="10"/>
      <c r="J288" s="0" t="n">
        <v>1.09</v>
      </c>
      <c r="K288" s="13" t="n">
        <f aca="false">IF(H288&lt;&gt;"",H288,IFERROR(G288/INDEX(Players!$M$2:$M$56,MATCH(B288,Players!$A$2:$A$56,0)),""))</f>
        <v>0.766198901769372</v>
      </c>
    </row>
    <row r="289" customFormat="false" ht="15" hidden="false" customHeight="false" outlineLevel="0" collapsed="false">
      <c r="A289" s="0" t="s">
        <v>1329</v>
      </c>
      <c r="B289" s="0" t="s">
        <v>916</v>
      </c>
      <c r="C289" s="0" t="s">
        <v>807</v>
      </c>
      <c r="D289" s="0" t="s">
        <v>637</v>
      </c>
      <c r="E289" s="0" t="s">
        <v>68</v>
      </c>
      <c r="F289" s="0" t="n">
        <v>7</v>
      </c>
      <c r="G289" s="0" t="n">
        <v>14.9</v>
      </c>
      <c r="I289" s="10"/>
      <c r="J289" s="0" t="n">
        <v>0.98</v>
      </c>
      <c r="K289" s="13" t="n">
        <f aca="false">IF(H289&lt;&gt;"",H289,IFERROR(G289/INDEX(Players!$M$2:$M$56,MATCH(B289,Players!$A$2:$A$56,0)),""))</f>
        <v>0.709090909090909</v>
      </c>
    </row>
    <row r="290" customFormat="false" ht="15" hidden="false" customHeight="false" outlineLevel="0" collapsed="false">
      <c r="A290" s="0" t="s">
        <v>1330</v>
      </c>
      <c r="B290" s="0" t="s">
        <v>916</v>
      </c>
      <c r="C290" s="0" t="s">
        <v>807</v>
      </c>
      <c r="D290" s="0" t="s">
        <v>637</v>
      </c>
      <c r="E290" s="0" t="s">
        <v>99</v>
      </c>
      <c r="F290" s="0" t="n">
        <v>6</v>
      </c>
      <c r="G290" s="0" t="n">
        <v>16</v>
      </c>
      <c r="I290" s="10"/>
      <c r="J290" s="0" t="n">
        <v>1.02</v>
      </c>
      <c r="K290" s="13" t="n">
        <f aca="false">IF(H290&lt;&gt;"",H290,IFERROR(G290/INDEX(Players!$M$2:$M$56,MATCH(B290,Players!$A$2:$A$56,0)),""))</f>
        <v>0.7614399023795</v>
      </c>
    </row>
    <row r="291" customFormat="false" ht="15" hidden="false" customHeight="false" outlineLevel="0" collapsed="false">
      <c r="A291" s="0" t="s">
        <v>1331</v>
      </c>
      <c r="B291" s="0" t="s">
        <v>916</v>
      </c>
      <c r="C291" s="0" t="s">
        <v>807</v>
      </c>
      <c r="D291" s="0" t="s">
        <v>637</v>
      </c>
      <c r="E291" s="0" t="s">
        <v>92</v>
      </c>
      <c r="F291" s="0" t="n">
        <v>4</v>
      </c>
      <c r="G291" s="0" t="n">
        <v>18.8</v>
      </c>
      <c r="I291" s="10"/>
      <c r="J291" s="0" t="n">
        <v>1.32</v>
      </c>
      <c r="K291" s="13" t="n">
        <f aca="false">IF(H291&lt;&gt;"",H291,IFERROR(G291/INDEX(Players!$M$2:$M$56,MATCH(B291,Players!$A$2:$A$56,0)),""))</f>
        <v>0.894691885295912</v>
      </c>
    </row>
    <row r="292" customFormat="false" ht="15" hidden="false" customHeight="false" outlineLevel="0" collapsed="false">
      <c r="A292" s="0" t="s">
        <v>1332</v>
      </c>
      <c r="B292" s="0" t="s">
        <v>916</v>
      </c>
      <c r="C292" s="0" t="s">
        <v>807</v>
      </c>
      <c r="D292" s="0" t="s">
        <v>637</v>
      </c>
      <c r="E292" s="0" t="s">
        <v>74</v>
      </c>
      <c r="F292" s="0" t="n">
        <v>4</v>
      </c>
      <c r="G292" s="0" t="n">
        <v>17</v>
      </c>
      <c r="I292" s="10"/>
      <c r="J292" s="0" t="n">
        <v>1.17</v>
      </c>
      <c r="K292" s="13" t="n">
        <f aca="false">IF(H292&lt;&gt;"",H292,IFERROR(G292/INDEX(Players!$M$2:$M$56,MATCH(B292,Players!$A$2:$A$56,0)),""))</f>
        <v>0.809029896278218</v>
      </c>
    </row>
    <row r="293" customFormat="false" ht="15" hidden="false" customHeight="false" outlineLevel="0" collapsed="false">
      <c r="A293" s="0" t="s">
        <v>1333</v>
      </c>
      <c r="B293" s="0" t="s">
        <v>916</v>
      </c>
      <c r="C293" s="0" t="s">
        <v>807</v>
      </c>
      <c r="D293" s="0" t="s">
        <v>637</v>
      </c>
      <c r="E293" s="0" t="s">
        <v>935</v>
      </c>
      <c r="F293" s="0" t="n">
        <v>3</v>
      </c>
      <c r="G293" s="0" t="n">
        <v>14.3</v>
      </c>
      <c r="I293" s="10"/>
      <c r="J293" s="0" t="n">
        <v>1.07</v>
      </c>
      <c r="K293" s="13" t="n">
        <f aca="false">IF(H293&lt;&gt;"",H293,IFERROR(G293/INDEX(Players!$M$2:$M$56,MATCH(B293,Players!$A$2:$A$56,0)),""))</f>
        <v>0.680536912751678</v>
      </c>
    </row>
    <row r="294" customFormat="false" ht="15" hidden="false" customHeight="false" outlineLevel="0" collapsed="false">
      <c r="A294" s="0" t="s">
        <v>1334</v>
      </c>
      <c r="B294" s="0" t="s">
        <v>916</v>
      </c>
      <c r="C294" s="0" t="s">
        <v>807</v>
      </c>
      <c r="D294" s="0" t="s">
        <v>637</v>
      </c>
      <c r="E294" s="0" t="s">
        <v>643</v>
      </c>
      <c r="F294" s="0" t="n">
        <v>3</v>
      </c>
      <c r="G294" s="0" t="n">
        <v>15.7</v>
      </c>
      <c r="I294" s="10"/>
      <c r="J294" s="0" t="n">
        <v>0.98</v>
      </c>
      <c r="K294" s="13" t="n">
        <f aca="false">IF(H294&lt;&gt;"",H294,IFERROR(G294/INDEX(Players!$M$2:$M$56,MATCH(B294,Players!$A$2:$A$56,0)),""))</f>
        <v>0.747162904209884</v>
      </c>
    </row>
    <row r="295" customFormat="false" ht="15" hidden="false" customHeight="false" outlineLevel="0" collapsed="false">
      <c r="A295" s="0" t="s">
        <v>1335</v>
      </c>
      <c r="B295" s="0" t="s">
        <v>916</v>
      </c>
      <c r="C295" s="0" t="s">
        <v>807</v>
      </c>
      <c r="D295" s="0" t="s">
        <v>637</v>
      </c>
      <c r="E295" s="0" t="s">
        <v>930</v>
      </c>
      <c r="F295" s="0" t="n">
        <v>2</v>
      </c>
      <c r="G295" s="0" t="n">
        <v>20</v>
      </c>
      <c r="I295" s="10"/>
      <c r="J295" s="0" t="n">
        <v>1.43</v>
      </c>
      <c r="K295" s="13" t="n">
        <f aca="false">IF(H295&lt;&gt;"",H295,IFERROR(G295/INDEX(Players!$M$2:$M$56,MATCH(B295,Players!$A$2:$A$56,0)),""))</f>
        <v>0.951799877974375</v>
      </c>
    </row>
    <row r="296" customFormat="false" ht="15" hidden="false" customHeight="false" outlineLevel="0" collapsed="false">
      <c r="A296" s="0" t="s">
        <v>1336</v>
      </c>
      <c r="B296" s="0" t="s">
        <v>916</v>
      </c>
      <c r="C296" s="0" t="s">
        <v>807</v>
      </c>
      <c r="D296" s="0" t="s">
        <v>637</v>
      </c>
      <c r="E296" s="0" t="s">
        <v>105</v>
      </c>
      <c r="F296" s="0" t="n">
        <v>1</v>
      </c>
      <c r="G296" s="0" t="n">
        <v>17</v>
      </c>
      <c r="I296" s="10"/>
      <c r="J296" s="0" t="n">
        <v>0.94</v>
      </c>
      <c r="K296" s="13" t="n">
        <f aca="false">IF(H296&lt;&gt;"",H296,IFERROR(G296/INDEX(Players!$M$2:$M$56,MATCH(B296,Players!$A$2:$A$56,0)),""))</f>
        <v>0.809029896278218</v>
      </c>
    </row>
    <row r="297" customFormat="false" ht="15" hidden="false" customHeight="false" outlineLevel="0" collapsed="false">
      <c r="A297" s="0" t="s">
        <v>1337</v>
      </c>
      <c r="B297" s="0" t="s">
        <v>916</v>
      </c>
      <c r="C297" s="0" t="s">
        <v>807</v>
      </c>
      <c r="D297" s="0" t="s">
        <v>637</v>
      </c>
      <c r="E297" s="0" t="s">
        <v>82</v>
      </c>
      <c r="F297" s="0" t="n">
        <v>1</v>
      </c>
      <c r="G297" s="0" t="n">
        <v>32</v>
      </c>
      <c r="I297" s="10"/>
      <c r="J297" s="0" t="n">
        <v>0.91</v>
      </c>
      <c r="K297" s="13" t="n">
        <f aca="false">IF(H297&lt;&gt;"",H297,IFERROR(G297/INDEX(Players!$M$2:$M$56,MATCH(B297,Players!$A$2:$A$56,0)),""))</f>
        <v>1.522879804759</v>
      </c>
    </row>
    <row r="298" customFormat="false" ht="15" hidden="false" customHeight="false" outlineLevel="0" collapsed="false">
      <c r="A298" s="0" t="s">
        <v>1338</v>
      </c>
      <c r="B298" s="0" t="s">
        <v>916</v>
      </c>
      <c r="C298" s="0" t="s">
        <v>807</v>
      </c>
      <c r="D298" s="0" t="s">
        <v>637</v>
      </c>
      <c r="E298" s="0" t="s">
        <v>938</v>
      </c>
      <c r="F298" s="0" t="n">
        <v>1</v>
      </c>
      <c r="G298" s="0" t="n">
        <v>13</v>
      </c>
      <c r="I298" s="10"/>
      <c r="J298" s="0" t="n">
        <v>0.87</v>
      </c>
      <c r="K298" s="13" t="n">
        <f aca="false">IF(H298&lt;&gt;"",H298,IFERROR(G298/INDEX(Players!$M$2:$M$56,MATCH(B298,Players!$A$2:$A$56,0)),""))</f>
        <v>0.618669920683344</v>
      </c>
    </row>
    <row r="299" customFormat="false" ht="15" hidden="false" customHeight="false" outlineLevel="0" collapsed="false">
      <c r="A299" s="0" t="s">
        <v>1339</v>
      </c>
      <c r="B299" s="0" t="s">
        <v>916</v>
      </c>
      <c r="C299" s="0" t="s">
        <v>807</v>
      </c>
      <c r="D299" s="0" t="s">
        <v>637</v>
      </c>
      <c r="E299" s="0" t="s">
        <v>88</v>
      </c>
      <c r="F299" s="0" t="n">
        <v>1</v>
      </c>
      <c r="G299" s="0" t="n">
        <v>8</v>
      </c>
      <c r="I299" s="10"/>
      <c r="J299" s="0" t="n">
        <v>0.62</v>
      </c>
      <c r="K299" s="13" t="n">
        <f aca="false">IF(H299&lt;&gt;"",H299,IFERROR(G299/INDEX(Players!$M$2:$M$56,MATCH(B299,Players!$A$2:$A$56,0)),""))</f>
        <v>0.38071995118975</v>
      </c>
    </row>
    <row r="300" customFormat="false" ht="15" hidden="false" customHeight="false" outlineLevel="0" collapsed="false">
      <c r="A300" s="0" t="s">
        <v>1340</v>
      </c>
      <c r="B300" s="0" t="s">
        <v>917</v>
      </c>
      <c r="C300" s="0" t="s">
        <v>809</v>
      </c>
      <c r="D300" s="0" t="s">
        <v>637</v>
      </c>
      <c r="E300" s="0" t="s">
        <v>95</v>
      </c>
      <c r="F300" s="0" t="n">
        <v>8</v>
      </c>
      <c r="G300" s="0" t="n">
        <v>13.9</v>
      </c>
      <c r="I300" s="10"/>
      <c r="J300" s="0" t="n">
        <v>0.99</v>
      </c>
      <c r="K300" s="13" t="n">
        <f aca="false">IF(H300&lt;&gt;"",H300,IFERROR(G300/INDEX(Players!$M$2:$M$56,MATCH(B300,Players!$A$2:$A$56,0)),""))</f>
        <v>0.663385533184191</v>
      </c>
    </row>
    <row r="301" customFormat="false" ht="15" hidden="false" customHeight="false" outlineLevel="0" collapsed="false">
      <c r="A301" s="0" t="s">
        <v>1341</v>
      </c>
      <c r="B301" s="0" t="s">
        <v>917</v>
      </c>
      <c r="C301" s="0" t="s">
        <v>809</v>
      </c>
      <c r="D301" s="0" t="s">
        <v>637</v>
      </c>
      <c r="E301" s="0" t="s">
        <v>68</v>
      </c>
      <c r="F301" s="0" t="n">
        <v>7</v>
      </c>
      <c r="G301" s="0" t="n">
        <v>14.4</v>
      </c>
      <c r="I301" s="10"/>
      <c r="J301" s="0" t="n">
        <v>0.95</v>
      </c>
      <c r="K301" s="13" t="n">
        <f aca="false">IF(H301&lt;&gt;"",H301,IFERROR(G301/INDEX(Players!$M$2:$M$56,MATCH(B301,Players!$A$2:$A$56,0)),""))</f>
        <v>0.687248322147651</v>
      </c>
    </row>
    <row r="302" customFormat="false" ht="15" hidden="false" customHeight="false" outlineLevel="0" collapsed="false">
      <c r="A302" s="0" t="s">
        <v>1342</v>
      </c>
      <c r="B302" s="0" t="s">
        <v>917</v>
      </c>
      <c r="C302" s="0" t="s">
        <v>809</v>
      </c>
      <c r="D302" s="0" t="s">
        <v>637</v>
      </c>
      <c r="E302" s="0" t="s">
        <v>99</v>
      </c>
      <c r="F302" s="0" t="n">
        <v>6</v>
      </c>
      <c r="G302" s="0" t="n">
        <v>13.7</v>
      </c>
      <c r="I302" s="10"/>
      <c r="J302" s="0" t="n">
        <v>1.09</v>
      </c>
      <c r="K302" s="13" t="n">
        <f aca="false">IF(H302&lt;&gt;"",H302,IFERROR(G302/INDEX(Players!$M$2:$M$56,MATCH(B302,Players!$A$2:$A$56,0)),""))</f>
        <v>0.653840417598807</v>
      </c>
    </row>
    <row r="303" customFormat="false" ht="15" hidden="false" customHeight="false" outlineLevel="0" collapsed="false">
      <c r="A303" s="0" t="s">
        <v>1343</v>
      </c>
      <c r="B303" s="0" t="s">
        <v>917</v>
      </c>
      <c r="C303" s="0" t="s">
        <v>809</v>
      </c>
      <c r="D303" s="0" t="s">
        <v>637</v>
      </c>
      <c r="E303" s="0" t="s">
        <v>74</v>
      </c>
      <c r="F303" s="0" t="n">
        <v>4</v>
      </c>
      <c r="G303" s="0" t="n">
        <v>13.3</v>
      </c>
      <c r="I303" s="10"/>
      <c r="J303" s="0" t="n">
        <v>0.95</v>
      </c>
      <c r="K303" s="13" t="n">
        <f aca="false">IF(H303&lt;&gt;"",H303,IFERROR(G303/INDEX(Players!$M$2:$M$56,MATCH(B303,Players!$A$2:$A$56,0)),""))</f>
        <v>0.634750186428039</v>
      </c>
    </row>
    <row r="304" customFormat="false" ht="15" hidden="false" customHeight="false" outlineLevel="0" collapsed="false">
      <c r="A304" s="0" t="s">
        <v>1344</v>
      </c>
      <c r="B304" s="0" t="s">
        <v>917</v>
      </c>
      <c r="C304" s="0" t="s">
        <v>809</v>
      </c>
      <c r="D304" s="0" t="s">
        <v>637</v>
      </c>
      <c r="E304" s="0" t="s">
        <v>92</v>
      </c>
      <c r="F304" s="0" t="n">
        <v>4</v>
      </c>
      <c r="G304" s="0" t="n">
        <v>12</v>
      </c>
      <c r="I304" s="10"/>
      <c r="J304" s="0" t="n">
        <v>0.86</v>
      </c>
      <c r="K304" s="13" t="n">
        <f aca="false">IF(H304&lt;&gt;"",H304,IFERROR(G304/INDEX(Players!$M$2:$M$56,MATCH(B304,Players!$A$2:$A$56,0)),""))</f>
        <v>0.572706935123043</v>
      </c>
    </row>
    <row r="305" customFormat="false" ht="15" hidden="false" customHeight="false" outlineLevel="0" collapsed="false">
      <c r="A305" s="0" t="s">
        <v>1345</v>
      </c>
      <c r="B305" s="0" t="s">
        <v>917</v>
      </c>
      <c r="C305" s="0" t="s">
        <v>809</v>
      </c>
      <c r="D305" s="0" t="s">
        <v>637</v>
      </c>
      <c r="E305" s="0" t="s">
        <v>643</v>
      </c>
      <c r="F305" s="0" t="n">
        <v>3</v>
      </c>
      <c r="G305" s="0" t="n">
        <v>14</v>
      </c>
      <c r="I305" s="10"/>
      <c r="J305" s="0" t="n">
        <v>0.82</v>
      </c>
      <c r="K305" s="13" t="n">
        <f aca="false">IF(H305&lt;&gt;"",H305,IFERROR(G305/INDEX(Players!$M$2:$M$56,MATCH(B305,Players!$A$2:$A$56,0)),""))</f>
        <v>0.668158090976883</v>
      </c>
    </row>
    <row r="306" customFormat="false" ht="15" hidden="false" customHeight="false" outlineLevel="0" collapsed="false">
      <c r="A306" s="0" t="s">
        <v>1346</v>
      </c>
      <c r="B306" s="0" t="s">
        <v>917</v>
      </c>
      <c r="C306" s="0" t="s">
        <v>809</v>
      </c>
      <c r="D306" s="0" t="s">
        <v>637</v>
      </c>
      <c r="E306" s="0" t="s">
        <v>935</v>
      </c>
      <c r="F306" s="0" t="n">
        <v>3</v>
      </c>
      <c r="G306" s="0" t="n">
        <v>6.7</v>
      </c>
      <c r="I306" s="10"/>
      <c r="J306" s="0" t="n">
        <v>0.54</v>
      </c>
      <c r="K306" s="13" t="n">
        <f aca="false">IF(H306&lt;&gt;"",H306,IFERROR(G306/INDEX(Players!$M$2:$M$56,MATCH(B306,Players!$A$2:$A$56,0)),""))</f>
        <v>0.319761372110365</v>
      </c>
    </row>
    <row r="307" customFormat="false" ht="15" hidden="false" customHeight="false" outlineLevel="0" collapsed="false">
      <c r="A307" s="0" t="s">
        <v>1347</v>
      </c>
      <c r="B307" s="0" t="s">
        <v>917</v>
      </c>
      <c r="C307" s="0" t="s">
        <v>809</v>
      </c>
      <c r="D307" s="0" t="s">
        <v>637</v>
      </c>
      <c r="E307" s="0" t="s">
        <v>930</v>
      </c>
      <c r="F307" s="0" t="n">
        <v>2</v>
      </c>
      <c r="G307" s="0" t="n">
        <v>12</v>
      </c>
      <c r="I307" s="10"/>
      <c r="J307" s="0" t="n">
        <v>0.86</v>
      </c>
      <c r="K307" s="13" t="n">
        <f aca="false">IF(H307&lt;&gt;"",H307,IFERROR(G307/INDEX(Players!$M$2:$M$56,MATCH(B307,Players!$A$2:$A$56,0)),""))</f>
        <v>0.572706935123043</v>
      </c>
    </row>
    <row r="308" customFormat="false" ht="15" hidden="false" customHeight="false" outlineLevel="0" collapsed="false">
      <c r="A308" s="0" t="s">
        <v>1348</v>
      </c>
      <c r="B308" s="0" t="s">
        <v>917</v>
      </c>
      <c r="C308" s="0" t="s">
        <v>809</v>
      </c>
      <c r="D308" s="0" t="s">
        <v>637</v>
      </c>
      <c r="E308" s="0" t="s">
        <v>82</v>
      </c>
      <c r="F308" s="0" t="n">
        <v>1</v>
      </c>
      <c r="G308" s="0" t="n">
        <v>37</v>
      </c>
      <c r="I308" s="10"/>
      <c r="J308" s="0" t="n">
        <v>1.32</v>
      </c>
      <c r="K308" s="13" t="n">
        <f aca="false">IF(H308&lt;&gt;"",H308,IFERROR(G308/INDEX(Players!$M$2:$M$56,MATCH(B308,Players!$A$2:$A$56,0)),""))</f>
        <v>1.76584638329605</v>
      </c>
    </row>
    <row r="309" customFormat="false" ht="15" hidden="false" customHeight="false" outlineLevel="0" collapsed="false">
      <c r="A309" s="0" t="s">
        <v>1349</v>
      </c>
      <c r="B309" s="0" t="s">
        <v>917</v>
      </c>
      <c r="C309" s="0" t="s">
        <v>809</v>
      </c>
      <c r="D309" s="0" t="s">
        <v>637</v>
      </c>
      <c r="E309" s="0" t="s">
        <v>105</v>
      </c>
      <c r="F309" s="0" t="n">
        <v>1</v>
      </c>
      <c r="G309" s="0" t="n">
        <v>18</v>
      </c>
      <c r="I309" s="10"/>
      <c r="J309" s="0" t="n">
        <v>1</v>
      </c>
      <c r="K309" s="13" t="n">
        <f aca="false">IF(H309&lt;&gt;"",H309,IFERROR(G309/INDEX(Players!$M$2:$M$56,MATCH(B309,Players!$A$2:$A$56,0)),""))</f>
        <v>0.859060402684564</v>
      </c>
    </row>
    <row r="310" customFormat="false" ht="15" hidden="false" customHeight="false" outlineLevel="0" collapsed="false">
      <c r="A310" s="0" t="s">
        <v>1350</v>
      </c>
      <c r="B310" s="0" t="s">
        <v>917</v>
      </c>
      <c r="C310" s="0" t="s">
        <v>809</v>
      </c>
      <c r="D310" s="0" t="s">
        <v>637</v>
      </c>
      <c r="E310" s="0" t="s">
        <v>938</v>
      </c>
      <c r="F310" s="0" t="n">
        <v>1</v>
      </c>
      <c r="G310" s="0" t="n">
        <v>9</v>
      </c>
      <c r="I310" s="10"/>
      <c r="J310" s="0" t="n">
        <v>0.5</v>
      </c>
      <c r="K310" s="13" t="n">
        <f aca="false">IF(H310&lt;&gt;"",H310,IFERROR(G310/INDEX(Players!$M$2:$M$56,MATCH(B310,Players!$A$2:$A$56,0)),""))</f>
        <v>0.429530201342282</v>
      </c>
    </row>
    <row r="311" customFormat="false" ht="15" hidden="false" customHeight="false" outlineLevel="0" collapsed="false">
      <c r="A311" s="0" t="s">
        <v>1351</v>
      </c>
      <c r="B311" s="0" t="s">
        <v>917</v>
      </c>
      <c r="C311" s="0" t="s">
        <v>809</v>
      </c>
      <c r="D311" s="0" t="s">
        <v>637</v>
      </c>
      <c r="E311" s="0" t="s">
        <v>88</v>
      </c>
      <c r="F311" s="0" t="n">
        <v>1</v>
      </c>
      <c r="G311" s="0" t="n">
        <v>5</v>
      </c>
      <c r="I311" s="10"/>
      <c r="J311" s="0" t="n">
        <v>0.42</v>
      </c>
      <c r="K311" s="13" t="n">
        <f aca="false">IF(H311&lt;&gt;"",H311,IFERROR(G311/INDEX(Players!$M$2:$M$56,MATCH(B311,Players!$A$2:$A$56,0)),""))</f>
        <v>0.238627889634601</v>
      </c>
    </row>
    <row r="312" customFormat="false" ht="15" hidden="false" customHeight="false" outlineLevel="0" collapsed="false">
      <c r="A312" s="0" t="s">
        <v>1352</v>
      </c>
      <c r="B312" s="0" t="s">
        <v>888</v>
      </c>
      <c r="C312" s="0" t="s">
        <v>751</v>
      </c>
      <c r="D312" s="0" t="s">
        <v>637</v>
      </c>
      <c r="E312" s="0" t="s">
        <v>95</v>
      </c>
      <c r="F312" s="0" t="n">
        <v>7</v>
      </c>
      <c r="G312" s="0" t="n">
        <v>18.9</v>
      </c>
      <c r="I312" s="10"/>
      <c r="J312" s="0" t="n">
        <v>1.07</v>
      </c>
      <c r="K312" s="13" t="n">
        <f aca="false">IF(H312&lt;&gt;"",H312,IFERROR(G312/INDEX(Players!$M$2:$M$56,MATCH(B312,Players!$A$2:$A$56,0)),""))</f>
        <v>0.850616522811344</v>
      </c>
    </row>
    <row r="313" customFormat="false" ht="15" hidden="false" customHeight="false" outlineLevel="0" collapsed="false">
      <c r="A313" s="0" t="s">
        <v>1353</v>
      </c>
      <c r="B313" s="0" t="s">
        <v>888</v>
      </c>
      <c r="C313" s="0" t="s">
        <v>751</v>
      </c>
      <c r="D313" s="0" t="s">
        <v>637</v>
      </c>
      <c r="E313" s="0" t="s">
        <v>74</v>
      </c>
      <c r="F313" s="0" t="n">
        <v>4</v>
      </c>
      <c r="G313" s="0" t="n">
        <v>16.3</v>
      </c>
      <c r="I313" s="10"/>
      <c r="J313" s="0" t="n">
        <v>1.05</v>
      </c>
      <c r="K313" s="13" t="n">
        <f aca="false">IF(H313&lt;&gt;"",H313,IFERROR(G313/INDEX(Players!$M$2:$M$56,MATCH(B313,Players!$A$2:$A$56,0)),""))</f>
        <v>0.733600493218249</v>
      </c>
    </row>
    <row r="314" customFormat="false" ht="15" hidden="false" customHeight="false" outlineLevel="0" collapsed="false">
      <c r="A314" s="0" t="s">
        <v>1354</v>
      </c>
      <c r="B314" s="0" t="s">
        <v>888</v>
      </c>
      <c r="C314" s="0" t="s">
        <v>751</v>
      </c>
      <c r="D314" s="0" t="s">
        <v>637</v>
      </c>
      <c r="E314" s="0" t="s">
        <v>942</v>
      </c>
      <c r="F314" s="0" t="n">
        <v>3</v>
      </c>
      <c r="G314" s="0" t="n">
        <v>21</v>
      </c>
      <c r="I314" s="10"/>
      <c r="J314" s="0" t="n">
        <v>0.94</v>
      </c>
      <c r="K314" s="13" t="n">
        <f aca="false">IF(H314&lt;&gt;"",H314,IFERROR(G314/INDEX(Players!$M$2:$M$56,MATCH(B314,Players!$A$2:$A$56,0)),""))</f>
        <v>0.945129469790382</v>
      </c>
    </row>
    <row r="315" customFormat="false" ht="15" hidden="false" customHeight="false" outlineLevel="0" collapsed="false">
      <c r="A315" s="0" t="s">
        <v>1355</v>
      </c>
      <c r="B315" s="0" t="s">
        <v>888</v>
      </c>
      <c r="C315" s="0" t="s">
        <v>751</v>
      </c>
      <c r="D315" s="0" t="s">
        <v>637</v>
      </c>
      <c r="E315" s="0" t="s">
        <v>930</v>
      </c>
      <c r="F315" s="0" t="n">
        <v>2</v>
      </c>
      <c r="G315" s="0" t="n">
        <v>15</v>
      </c>
      <c r="I315" s="10"/>
      <c r="J315" s="0" t="n">
        <v>0.91</v>
      </c>
      <c r="K315" s="13" t="n">
        <f aca="false">IF(H315&lt;&gt;"",H315,IFERROR(G315/INDEX(Players!$M$2:$M$56,MATCH(B315,Players!$A$2:$A$56,0)),""))</f>
        <v>0.675092478421702</v>
      </c>
    </row>
    <row r="316" customFormat="false" ht="15" hidden="false" customHeight="false" outlineLevel="0" collapsed="false">
      <c r="A316" s="0" t="s">
        <v>1356</v>
      </c>
      <c r="B316" s="0" t="s">
        <v>888</v>
      </c>
      <c r="C316" s="0" t="s">
        <v>751</v>
      </c>
      <c r="D316" s="0" t="s">
        <v>637</v>
      </c>
      <c r="E316" s="0" t="s">
        <v>92</v>
      </c>
      <c r="F316" s="0" t="n">
        <v>2</v>
      </c>
      <c r="G316" s="0" t="n">
        <v>14</v>
      </c>
      <c r="I316" s="10"/>
      <c r="J316" s="0" t="n">
        <v>0.8</v>
      </c>
      <c r="K316" s="13" t="n">
        <f aca="false">IF(H316&lt;&gt;"",H316,IFERROR(G316/INDEX(Players!$M$2:$M$56,MATCH(B316,Players!$A$2:$A$56,0)),""))</f>
        <v>0.630086313193588</v>
      </c>
    </row>
    <row r="317" customFormat="false" ht="15" hidden="false" customHeight="false" outlineLevel="0" collapsed="false">
      <c r="A317" s="0" t="s">
        <v>1357</v>
      </c>
      <c r="B317" s="0" t="s">
        <v>888</v>
      </c>
      <c r="C317" s="0" t="s">
        <v>751</v>
      </c>
      <c r="D317" s="0" t="s">
        <v>637</v>
      </c>
      <c r="E317" s="0" t="s">
        <v>99</v>
      </c>
      <c r="F317" s="0" t="n">
        <v>1</v>
      </c>
      <c r="G317" s="0" t="n">
        <v>17</v>
      </c>
      <c r="I317" s="10"/>
      <c r="J317" s="0" t="n">
        <v>1.13</v>
      </c>
      <c r="K317" s="13" t="n">
        <f aca="false">IF(H317&lt;&gt;"",H317,IFERROR(G317/INDEX(Players!$M$2:$M$56,MATCH(B317,Players!$A$2:$A$56,0)),""))</f>
        <v>0.765104808877929</v>
      </c>
    </row>
    <row r="318" customFormat="false" ht="15" hidden="false" customHeight="false" outlineLevel="0" collapsed="false">
      <c r="A318" s="0" t="s">
        <v>1358</v>
      </c>
      <c r="B318" s="0" t="s">
        <v>888</v>
      </c>
      <c r="C318" s="0" t="s">
        <v>751</v>
      </c>
      <c r="D318" s="0" t="s">
        <v>637</v>
      </c>
      <c r="E318" s="0" t="s">
        <v>68</v>
      </c>
      <c r="F318" s="0" t="n">
        <v>1</v>
      </c>
      <c r="G318" s="0" t="n">
        <v>10</v>
      </c>
      <c r="I318" s="10"/>
      <c r="J318" s="0" t="n">
        <v>0.83</v>
      </c>
      <c r="K318" s="13" t="n">
        <f aca="false">IF(H318&lt;&gt;"",H318,IFERROR(G318/INDEX(Players!$M$2:$M$56,MATCH(B318,Players!$A$2:$A$56,0)),""))</f>
        <v>0.450061652281135</v>
      </c>
    </row>
    <row r="319" customFormat="false" ht="15" hidden="false" customHeight="false" outlineLevel="0" collapsed="false">
      <c r="A319" s="0" t="s">
        <v>1359</v>
      </c>
      <c r="B319" s="0" t="s">
        <v>888</v>
      </c>
      <c r="C319" s="0" t="s">
        <v>751</v>
      </c>
      <c r="D319" s="0" t="s">
        <v>637</v>
      </c>
      <c r="E319" s="0" t="s">
        <v>82</v>
      </c>
      <c r="F319" s="0" t="n">
        <v>1</v>
      </c>
      <c r="G319" s="0" t="n">
        <v>12</v>
      </c>
      <c r="I319" s="10"/>
      <c r="J319" s="0" t="n">
        <v>0.6</v>
      </c>
      <c r="K319" s="13" t="n">
        <f aca="false">IF(H319&lt;&gt;"",H319,IFERROR(G319/INDEX(Players!$M$2:$M$56,MATCH(B319,Players!$A$2:$A$56,0)),""))</f>
        <v>0.540073982737361</v>
      </c>
    </row>
    <row r="320" customFormat="false" ht="15" hidden="false" customHeight="false" outlineLevel="0" collapsed="false">
      <c r="A320" s="0" t="s">
        <v>1360</v>
      </c>
      <c r="B320" s="0" t="s">
        <v>888</v>
      </c>
      <c r="C320" s="0" t="s">
        <v>751</v>
      </c>
      <c r="D320" s="0" t="s">
        <v>637</v>
      </c>
      <c r="E320" s="0" t="s">
        <v>88</v>
      </c>
      <c r="F320" s="0" t="n">
        <v>1</v>
      </c>
      <c r="G320" s="0" t="n">
        <v>10</v>
      </c>
      <c r="I320" s="10"/>
      <c r="J320" s="0" t="n">
        <v>0.5</v>
      </c>
      <c r="K320" s="13" t="n">
        <f aca="false">IF(H320&lt;&gt;"",H320,IFERROR(G320/INDEX(Players!$M$2:$M$56,MATCH(B320,Players!$A$2:$A$56,0)),""))</f>
        <v>0.450061652281135</v>
      </c>
    </row>
    <row r="321" customFormat="false" ht="15" hidden="false" customHeight="false" outlineLevel="0" collapsed="false">
      <c r="A321" s="0" t="s">
        <v>1361</v>
      </c>
      <c r="B321" s="0" t="s">
        <v>888</v>
      </c>
      <c r="C321" s="0" t="s">
        <v>751</v>
      </c>
      <c r="D321" s="0" t="s">
        <v>637</v>
      </c>
      <c r="E321" s="0" t="s">
        <v>938</v>
      </c>
      <c r="F321" s="0" t="n">
        <v>1</v>
      </c>
      <c r="G321" s="0" t="n">
        <v>6</v>
      </c>
      <c r="I321" s="10"/>
      <c r="J321" s="0" t="n">
        <v>0.3</v>
      </c>
      <c r="K321" s="13" t="n">
        <f aca="false">IF(H321&lt;&gt;"",H321,IFERROR(G321/INDEX(Players!$M$2:$M$56,MATCH(B321,Players!$A$2:$A$56,0)),""))</f>
        <v>0.270036991368681</v>
      </c>
    </row>
    <row r="322" customFormat="false" ht="15" hidden="false" customHeight="false" outlineLevel="0" collapsed="false">
      <c r="A322" s="0" t="s">
        <v>1362</v>
      </c>
      <c r="B322" s="0" t="s">
        <v>906</v>
      </c>
      <c r="C322" s="0" t="s">
        <v>787</v>
      </c>
      <c r="D322" s="0" t="s">
        <v>637</v>
      </c>
      <c r="E322" s="0" t="s">
        <v>74</v>
      </c>
      <c r="F322" s="0" t="n">
        <v>2</v>
      </c>
      <c r="G322" s="0" t="n">
        <v>11.5</v>
      </c>
      <c r="I322" s="10"/>
      <c r="J322" s="0" t="n">
        <v>0.72</v>
      </c>
      <c r="K322" s="13" t="n">
        <f aca="false">IF(H322&lt;&gt;"",H322,IFERROR(G322/INDEX(Players!$M$2:$M$56,MATCH(B322,Players!$A$2:$A$56,0)),""))</f>
        <v>0.525714285714286</v>
      </c>
    </row>
    <row r="323" customFormat="false" ht="15" hidden="false" customHeight="false" outlineLevel="0" collapsed="false">
      <c r="A323" s="0" t="s">
        <v>1363</v>
      </c>
      <c r="B323" s="0" t="s">
        <v>906</v>
      </c>
      <c r="C323" s="0" t="s">
        <v>787</v>
      </c>
      <c r="D323" s="0" t="s">
        <v>637</v>
      </c>
      <c r="E323" s="0" t="s">
        <v>68</v>
      </c>
      <c r="F323" s="0" t="n">
        <v>1</v>
      </c>
      <c r="G323" s="0" t="n">
        <v>23</v>
      </c>
      <c r="I323" s="10"/>
      <c r="J323" s="0" t="n">
        <v>1.35</v>
      </c>
      <c r="K323" s="13" t="n">
        <f aca="false">IF(H323&lt;&gt;"",H323,IFERROR(G323/INDEX(Players!$M$2:$M$56,MATCH(B323,Players!$A$2:$A$56,0)),""))</f>
        <v>1.05142857142857</v>
      </c>
    </row>
    <row r="324" customFormat="false" ht="15" hidden="false" customHeight="false" outlineLevel="0" collapsed="false">
      <c r="A324" s="0" t="s">
        <v>1364</v>
      </c>
      <c r="B324" s="0" t="s">
        <v>906</v>
      </c>
      <c r="C324" s="0" t="s">
        <v>787</v>
      </c>
      <c r="D324" s="0" t="s">
        <v>637</v>
      </c>
      <c r="E324" s="0" t="s">
        <v>942</v>
      </c>
      <c r="F324" s="0" t="n">
        <v>1</v>
      </c>
      <c r="G324" s="0" t="n">
        <v>10</v>
      </c>
      <c r="I324" s="10"/>
      <c r="J324" s="0" t="n">
        <v>0.71</v>
      </c>
      <c r="K324" s="13" t="n">
        <f aca="false">IF(H324&lt;&gt;"",H324,IFERROR(G324/INDEX(Players!$M$2:$M$56,MATCH(B324,Players!$A$2:$A$56,0)),""))</f>
        <v>0.457142857142857</v>
      </c>
    </row>
    <row r="325" customFormat="false" ht="15" hidden="false" customHeight="false" outlineLevel="0" collapsed="false">
      <c r="A325" s="0" t="s">
        <v>1365</v>
      </c>
      <c r="B325" s="0" t="s">
        <v>909</v>
      </c>
      <c r="C325" s="0" t="s">
        <v>793</v>
      </c>
      <c r="D325" s="0" t="s">
        <v>637</v>
      </c>
      <c r="E325" s="0" t="s">
        <v>68</v>
      </c>
      <c r="F325" s="0" t="n">
        <v>8</v>
      </c>
      <c r="G325" s="0" t="n">
        <v>15.3</v>
      </c>
      <c r="I325" s="10"/>
      <c r="J325" s="0" t="n">
        <v>0.97</v>
      </c>
      <c r="K325" s="13" t="n">
        <f aca="false">IF(H325&lt;&gt;"",H325,IFERROR(G325/INDEX(Players!$M$2:$M$56,MATCH(B325,Players!$A$2:$A$56,0)),""))</f>
        <v>0.749510124101894</v>
      </c>
    </row>
    <row r="326" customFormat="false" ht="15" hidden="false" customHeight="false" outlineLevel="0" collapsed="false">
      <c r="A326" s="0" t="s">
        <v>1366</v>
      </c>
      <c r="B326" s="0" t="s">
        <v>909</v>
      </c>
      <c r="C326" s="0" t="s">
        <v>793</v>
      </c>
      <c r="D326" s="0" t="s">
        <v>637</v>
      </c>
      <c r="E326" s="0" t="s">
        <v>105</v>
      </c>
      <c r="F326" s="0" t="n">
        <v>6</v>
      </c>
      <c r="G326" s="0" t="n">
        <v>17.5</v>
      </c>
      <c r="I326" s="10"/>
      <c r="J326" s="0" t="n">
        <v>1.3</v>
      </c>
      <c r="K326" s="13" t="n">
        <f aca="false">IF(H326&lt;&gt;"",H326,IFERROR(G326/INDEX(Players!$M$2:$M$56,MATCH(B326,Players!$A$2:$A$56,0)),""))</f>
        <v>0.857282821685173</v>
      </c>
    </row>
    <row r="327" customFormat="false" ht="15" hidden="false" customHeight="false" outlineLevel="0" collapsed="false">
      <c r="A327" s="0" t="s">
        <v>1367</v>
      </c>
      <c r="B327" s="0" t="s">
        <v>909</v>
      </c>
      <c r="C327" s="0" t="s">
        <v>793</v>
      </c>
      <c r="D327" s="0" t="s">
        <v>637</v>
      </c>
      <c r="E327" s="0" t="s">
        <v>74</v>
      </c>
      <c r="F327" s="0" t="n">
        <v>6</v>
      </c>
      <c r="G327" s="0" t="n">
        <v>14</v>
      </c>
      <c r="I327" s="10"/>
      <c r="J327" s="0" t="n">
        <v>1.09</v>
      </c>
      <c r="K327" s="13" t="n">
        <f aca="false">IF(H327&lt;&gt;"",H327,IFERROR(G327/INDEX(Players!$M$2:$M$56,MATCH(B327,Players!$A$2:$A$56,0)),""))</f>
        <v>0.685826257348138</v>
      </c>
    </row>
    <row r="328" customFormat="false" ht="15" hidden="false" customHeight="false" outlineLevel="0" collapsed="false">
      <c r="A328" s="0" t="s">
        <v>1368</v>
      </c>
      <c r="B328" s="0" t="s">
        <v>909</v>
      </c>
      <c r="C328" s="0" t="s">
        <v>793</v>
      </c>
      <c r="D328" s="0" t="s">
        <v>637</v>
      </c>
      <c r="E328" s="0" t="s">
        <v>92</v>
      </c>
      <c r="F328" s="0" t="n">
        <v>6</v>
      </c>
      <c r="G328" s="0" t="n">
        <v>14.5</v>
      </c>
      <c r="I328" s="10"/>
      <c r="J328" s="0" t="n">
        <v>1.04</v>
      </c>
      <c r="K328" s="13" t="n">
        <f aca="false">IF(H328&lt;&gt;"",H328,IFERROR(G328/INDEX(Players!$M$2:$M$56,MATCH(B328,Players!$A$2:$A$56,0)),""))</f>
        <v>0.710320052253429</v>
      </c>
    </row>
    <row r="329" customFormat="false" ht="15" hidden="false" customHeight="false" outlineLevel="0" collapsed="false">
      <c r="A329" s="0" t="s">
        <v>1369</v>
      </c>
      <c r="B329" s="0" t="s">
        <v>909</v>
      </c>
      <c r="C329" s="0" t="s">
        <v>793</v>
      </c>
      <c r="D329" s="0" t="s">
        <v>637</v>
      </c>
      <c r="E329" s="0" t="s">
        <v>99</v>
      </c>
      <c r="F329" s="0" t="n">
        <v>5</v>
      </c>
      <c r="G329" s="0" t="n">
        <v>14.8</v>
      </c>
      <c r="I329" s="10"/>
      <c r="J329" s="0" t="n">
        <v>1.21</v>
      </c>
      <c r="K329" s="13" t="n">
        <f aca="false">IF(H329&lt;&gt;"",H329,IFERROR(G329/INDEX(Players!$M$2:$M$56,MATCH(B329,Players!$A$2:$A$56,0)),""))</f>
        <v>0.725016329196604</v>
      </c>
    </row>
    <row r="330" customFormat="false" ht="15" hidden="false" customHeight="false" outlineLevel="0" collapsed="false">
      <c r="A330" s="0" t="s">
        <v>1370</v>
      </c>
      <c r="B330" s="0" t="s">
        <v>909</v>
      </c>
      <c r="C330" s="0" t="s">
        <v>793</v>
      </c>
      <c r="D330" s="0" t="s">
        <v>637</v>
      </c>
      <c r="E330" s="0" t="s">
        <v>88</v>
      </c>
      <c r="F330" s="0" t="n">
        <v>3</v>
      </c>
      <c r="G330" s="0" t="n">
        <v>17</v>
      </c>
      <c r="I330" s="10"/>
      <c r="J330" s="0" t="n">
        <v>1.46</v>
      </c>
      <c r="K330" s="13" t="n">
        <f aca="false">IF(H330&lt;&gt;"",H330,IFERROR(G330/INDEX(Players!$M$2:$M$56,MATCH(B330,Players!$A$2:$A$56,0)),""))</f>
        <v>0.832789026779882</v>
      </c>
    </row>
    <row r="331" customFormat="false" ht="15" hidden="false" customHeight="false" outlineLevel="0" collapsed="false">
      <c r="A331" s="0" t="s">
        <v>1371</v>
      </c>
      <c r="B331" s="0" t="s">
        <v>909</v>
      </c>
      <c r="C331" s="0" t="s">
        <v>793</v>
      </c>
      <c r="D331" s="0" t="s">
        <v>637</v>
      </c>
      <c r="E331" s="0" t="s">
        <v>938</v>
      </c>
      <c r="F331" s="0" t="n">
        <v>2</v>
      </c>
      <c r="G331" s="0" t="n">
        <v>13.5</v>
      </c>
      <c r="I331" s="10"/>
      <c r="J331" s="0" t="n">
        <v>1</v>
      </c>
      <c r="K331" s="13" t="n">
        <f aca="false">IF(H331&lt;&gt;"",H331,IFERROR(G331/INDEX(Players!$M$2:$M$56,MATCH(B331,Players!$A$2:$A$56,0)),""))</f>
        <v>0.661332462442848</v>
      </c>
    </row>
    <row r="332" customFormat="false" ht="15" hidden="false" customHeight="false" outlineLevel="0" collapsed="false">
      <c r="A332" s="0" t="s">
        <v>1372</v>
      </c>
      <c r="B332" s="0" t="s">
        <v>909</v>
      </c>
      <c r="C332" s="0" t="s">
        <v>793</v>
      </c>
      <c r="D332" s="0" t="s">
        <v>637</v>
      </c>
      <c r="E332" s="0" t="s">
        <v>95</v>
      </c>
      <c r="F332" s="0" t="n">
        <v>2</v>
      </c>
      <c r="G332" s="0" t="n">
        <v>14</v>
      </c>
      <c r="I332" s="10"/>
      <c r="J332" s="0" t="n">
        <v>0.93</v>
      </c>
      <c r="K332" s="13" t="n">
        <f aca="false">IF(H332&lt;&gt;"",H332,IFERROR(G332/INDEX(Players!$M$2:$M$56,MATCH(B332,Players!$A$2:$A$56,0)),""))</f>
        <v>0.685826257348138</v>
      </c>
    </row>
    <row r="333" customFormat="false" ht="15" hidden="false" customHeight="false" outlineLevel="0" collapsed="false">
      <c r="A333" s="0" t="s">
        <v>1373</v>
      </c>
      <c r="B333" s="0" t="s">
        <v>909</v>
      </c>
      <c r="C333" s="0" t="s">
        <v>793</v>
      </c>
      <c r="D333" s="0" t="s">
        <v>637</v>
      </c>
      <c r="E333" s="0" t="s">
        <v>643</v>
      </c>
      <c r="F333" s="0" t="n">
        <v>1</v>
      </c>
      <c r="G333" s="0" t="n">
        <v>19</v>
      </c>
      <c r="I333" s="10"/>
      <c r="J333" s="0" t="n">
        <v>1.06</v>
      </c>
      <c r="K333" s="13" t="n">
        <f aca="false">IF(H333&lt;&gt;"",H333,IFERROR(G333/INDEX(Players!$M$2:$M$56,MATCH(B333,Players!$A$2:$A$56,0)),""))</f>
        <v>0.930764206401045</v>
      </c>
    </row>
    <row r="334" customFormat="false" ht="15" hidden="false" customHeight="false" outlineLevel="0" collapsed="false">
      <c r="A334" s="0" t="s">
        <v>1374</v>
      </c>
      <c r="B334" s="0" t="s">
        <v>901</v>
      </c>
      <c r="C334" s="0" t="s">
        <v>777</v>
      </c>
      <c r="D334" s="0" t="s">
        <v>637</v>
      </c>
      <c r="E334" s="0" t="s">
        <v>92</v>
      </c>
      <c r="F334" s="0" t="n">
        <v>6</v>
      </c>
      <c r="G334" s="0" t="n">
        <v>9.7</v>
      </c>
      <c r="I334" s="10"/>
      <c r="J334" s="0" t="n">
        <v>0.78</v>
      </c>
      <c r="K334" s="13" t="n">
        <f aca="false">IF(H334&lt;&gt;"",H334,IFERROR(G334/INDEX(Players!$M$2:$M$56,MATCH(B334,Players!$A$2:$A$56,0)),""))</f>
        <v>0.510063463281958</v>
      </c>
    </row>
    <row r="335" customFormat="false" ht="15" hidden="false" customHeight="false" outlineLevel="0" collapsed="false">
      <c r="A335" s="0" t="s">
        <v>1375</v>
      </c>
      <c r="B335" s="0" t="s">
        <v>901</v>
      </c>
      <c r="C335" s="0" t="s">
        <v>777</v>
      </c>
      <c r="D335" s="0" t="s">
        <v>637</v>
      </c>
      <c r="E335" s="0" t="s">
        <v>99</v>
      </c>
      <c r="F335" s="0" t="n">
        <v>6</v>
      </c>
      <c r="G335" s="0" t="n">
        <v>11.3</v>
      </c>
      <c r="I335" s="10"/>
      <c r="J335" s="0" t="n">
        <v>0.72</v>
      </c>
      <c r="K335" s="13" t="n">
        <f aca="false">IF(H335&lt;&gt;"",H335,IFERROR(G335/INDEX(Players!$M$2:$M$56,MATCH(B335,Players!$A$2:$A$56,0)),""))</f>
        <v>0.594197642792384</v>
      </c>
    </row>
    <row r="336" customFormat="false" ht="15" hidden="false" customHeight="false" outlineLevel="0" collapsed="false">
      <c r="A336" s="0" t="s">
        <v>1376</v>
      </c>
      <c r="B336" s="0" t="s">
        <v>901</v>
      </c>
      <c r="C336" s="0" t="s">
        <v>777</v>
      </c>
      <c r="D336" s="0" t="s">
        <v>637</v>
      </c>
      <c r="E336" s="0" t="s">
        <v>68</v>
      </c>
      <c r="F336" s="0" t="n">
        <v>4</v>
      </c>
      <c r="G336" s="0" t="n">
        <v>14.3</v>
      </c>
      <c r="I336" s="10"/>
      <c r="J336" s="0" t="n">
        <v>1.24</v>
      </c>
      <c r="K336" s="13" t="n">
        <f aca="false">IF(H336&lt;&gt;"",H336,IFERROR(G336/INDEX(Players!$M$2:$M$56,MATCH(B336,Players!$A$2:$A$56,0)),""))</f>
        <v>0.751949229374433</v>
      </c>
    </row>
    <row r="337" customFormat="false" ht="15" hidden="false" customHeight="false" outlineLevel="0" collapsed="false">
      <c r="A337" s="0" t="s">
        <v>1377</v>
      </c>
      <c r="B337" s="0" t="s">
        <v>901</v>
      </c>
      <c r="C337" s="0" t="s">
        <v>777</v>
      </c>
      <c r="D337" s="0" t="s">
        <v>637</v>
      </c>
      <c r="E337" s="0" t="s">
        <v>88</v>
      </c>
      <c r="F337" s="0" t="n">
        <v>4</v>
      </c>
      <c r="G337" s="0" t="n">
        <v>11.8</v>
      </c>
      <c r="I337" s="10"/>
      <c r="J337" s="0" t="n">
        <v>0.96</v>
      </c>
      <c r="K337" s="13" t="n">
        <f aca="false">IF(H337&lt;&gt;"",H337,IFERROR(G337/INDEX(Players!$M$2:$M$56,MATCH(B337,Players!$A$2:$A$56,0)),""))</f>
        <v>0.620489573889393</v>
      </c>
    </row>
    <row r="338" customFormat="false" ht="15" hidden="false" customHeight="false" outlineLevel="0" collapsed="false">
      <c r="A338" s="0" t="s">
        <v>1378</v>
      </c>
      <c r="B338" s="0" t="s">
        <v>901</v>
      </c>
      <c r="C338" s="0" t="s">
        <v>777</v>
      </c>
      <c r="D338" s="0" t="s">
        <v>637</v>
      </c>
      <c r="E338" s="0" t="s">
        <v>643</v>
      </c>
      <c r="F338" s="0" t="n">
        <v>4</v>
      </c>
      <c r="G338" s="0" t="n">
        <v>10.3</v>
      </c>
      <c r="I338" s="10"/>
      <c r="J338" s="0" t="n">
        <v>0.72</v>
      </c>
      <c r="K338" s="13" t="n">
        <f aca="false">IF(H338&lt;&gt;"",H338,IFERROR(G338/INDEX(Players!$M$2:$M$56,MATCH(B338,Players!$A$2:$A$56,0)),""))</f>
        <v>0.541613780598368</v>
      </c>
    </row>
    <row r="339" customFormat="false" ht="15" hidden="false" customHeight="false" outlineLevel="0" collapsed="false">
      <c r="A339" s="0" t="s">
        <v>1379</v>
      </c>
      <c r="B339" s="0" t="s">
        <v>901</v>
      </c>
      <c r="C339" s="0" t="s">
        <v>777</v>
      </c>
      <c r="D339" s="0" t="s">
        <v>637</v>
      </c>
      <c r="E339" s="0" t="s">
        <v>74</v>
      </c>
      <c r="F339" s="0" t="n">
        <v>3</v>
      </c>
      <c r="G339" s="0" t="n">
        <v>9.7</v>
      </c>
      <c r="I339" s="10"/>
      <c r="J339" s="0" t="n">
        <v>1.12</v>
      </c>
      <c r="K339" s="13" t="n">
        <f aca="false">IF(H339&lt;&gt;"",H339,IFERROR(G339/INDEX(Players!$M$2:$M$56,MATCH(B339,Players!$A$2:$A$56,0)),""))</f>
        <v>0.510063463281958</v>
      </c>
    </row>
    <row r="340" customFormat="false" ht="15" hidden="false" customHeight="false" outlineLevel="0" collapsed="false">
      <c r="A340" s="0" t="s">
        <v>1380</v>
      </c>
      <c r="B340" s="0" t="s">
        <v>901</v>
      </c>
      <c r="C340" s="0" t="s">
        <v>777</v>
      </c>
      <c r="D340" s="0" t="s">
        <v>637</v>
      </c>
      <c r="E340" s="0" t="s">
        <v>95</v>
      </c>
      <c r="F340" s="0" t="n">
        <v>3</v>
      </c>
      <c r="G340" s="0" t="n">
        <v>12.3</v>
      </c>
      <c r="I340" s="10"/>
      <c r="J340" s="0" t="n">
        <v>0.8</v>
      </c>
      <c r="K340" s="13" t="n">
        <f aca="false">IF(H340&lt;&gt;"",H340,IFERROR(G340/INDEX(Players!$M$2:$M$56,MATCH(B340,Players!$A$2:$A$56,0)),""))</f>
        <v>0.646781504986401</v>
      </c>
    </row>
    <row r="341" customFormat="false" ht="15" hidden="false" customHeight="false" outlineLevel="0" collapsed="false">
      <c r="A341" s="0" t="s">
        <v>1381</v>
      </c>
      <c r="B341" s="0" t="s">
        <v>901</v>
      </c>
      <c r="C341" s="0" t="s">
        <v>777</v>
      </c>
      <c r="D341" s="0" t="s">
        <v>637</v>
      </c>
      <c r="E341" s="0" t="s">
        <v>930</v>
      </c>
      <c r="F341" s="0" t="n">
        <v>2</v>
      </c>
      <c r="G341" s="0" t="n">
        <v>10.5</v>
      </c>
      <c r="I341" s="10"/>
      <c r="J341" s="0" t="n">
        <v>0.84</v>
      </c>
      <c r="K341" s="13" t="n">
        <f aca="false">IF(H341&lt;&gt;"",H341,IFERROR(G341/INDEX(Players!$M$2:$M$56,MATCH(B341,Players!$A$2:$A$56,0)),""))</f>
        <v>0.552130553037171</v>
      </c>
    </row>
    <row r="342" customFormat="false" ht="15" hidden="false" customHeight="false" outlineLevel="0" collapsed="false">
      <c r="A342" s="0" t="s">
        <v>1382</v>
      </c>
      <c r="B342" s="0" t="s">
        <v>901</v>
      </c>
      <c r="C342" s="0" t="s">
        <v>777</v>
      </c>
      <c r="D342" s="0" t="s">
        <v>637</v>
      </c>
      <c r="E342" s="0" t="s">
        <v>938</v>
      </c>
      <c r="F342" s="0" t="n">
        <v>2</v>
      </c>
      <c r="G342" s="0" t="n">
        <v>9.5</v>
      </c>
      <c r="I342" s="10"/>
      <c r="J342" s="0" t="n">
        <v>0.7</v>
      </c>
      <c r="K342" s="13" t="n">
        <f aca="false">IF(H342&lt;&gt;"",H342,IFERROR(G342/INDEX(Players!$M$2:$M$56,MATCH(B342,Players!$A$2:$A$56,0)),""))</f>
        <v>0.499546690843155</v>
      </c>
    </row>
    <row r="343" customFormat="false" ht="15" hidden="false" customHeight="false" outlineLevel="0" collapsed="false">
      <c r="A343" s="0" t="s">
        <v>1383</v>
      </c>
      <c r="B343" s="0" t="s">
        <v>901</v>
      </c>
      <c r="C343" s="0" t="s">
        <v>777</v>
      </c>
      <c r="D343" s="0" t="s">
        <v>637</v>
      </c>
      <c r="E343" s="0" t="s">
        <v>82</v>
      </c>
      <c r="F343" s="0" t="n">
        <v>1</v>
      </c>
      <c r="G343" s="0" t="n">
        <v>9</v>
      </c>
      <c r="I343" s="10"/>
      <c r="J343" s="0" t="n">
        <v>0.69</v>
      </c>
      <c r="K343" s="13" t="n">
        <f aca="false">IF(H343&lt;&gt;"",H343,IFERROR(G343/INDEX(Players!$M$2:$M$56,MATCH(B343,Players!$A$2:$A$56,0)),""))</f>
        <v>0.473254759746147</v>
      </c>
    </row>
    <row r="344" customFormat="false" ht="15" hidden="false" customHeight="false" outlineLevel="0" collapsed="false">
      <c r="A344" s="0" t="s">
        <v>1384</v>
      </c>
      <c r="B344" s="0" t="s">
        <v>898</v>
      </c>
      <c r="C344" s="0" t="s">
        <v>771</v>
      </c>
      <c r="D344" s="0" t="s">
        <v>637</v>
      </c>
      <c r="E344" s="0" t="s">
        <v>68</v>
      </c>
      <c r="F344" s="0" t="n">
        <v>11</v>
      </c>
      <c r="G344" s="0" t="n">
        <v>15.8</v>
      </c>
      <c r="I344" s="10"/>
      <c r="J344" s="0" t="n">
        <v>1.11</v>
      </c>
      <c r="K344" s="13" t="n">
        <f aca="false">IF(H344&lt;&gt;"",H344,IFERROR(G344/INDEX(Players!$M$2:$M$56,MATCH(B344,Players!$A$2:$A$56,0)),""))</f>
        <v>0.81025641025641</v>
      </c>
    </row>
    <row r="345" customFormat="false" ht="15" hidden="false" customHeight="false" outlineLevel="0" collapsed="false">
      <c r="A345" s="0" t="s">
        <v>1385</v>
      </c>
      <c r="B345" s="0" t="s">
        <v>898</v>
      </c>
      <c r="C345" s="0" t="s">
        <v>771</v>
      </c>
      <c r="D345" s="0" t="s">
        <v>637</v>
      </c>
      <c r="E345" s="0" t="s">
        <v>95</v>
      </c>
      <c r="F345" s="0" t="n">
        <v>10</v>
      </c>
      <c r="G345" s="0" t="n">
        <v>16.4</v>
      </c>
      <c r="I345" s="10"/>
      <c r="J345" s="0" t="n">
        <v>1.15</v>
      </c>
      <c r="K345" s="13" t="n">
        <f aca="false">IF(H345&lt;&gt;"",H345,IFERROR(G345/INDEX(Players!$M$2:$M$56,MATCH(B345,Players!$A$2:$A$56,0)),""))</f>
        <v>0.841025641025641</v>
      </c>
    </row>
    <row r="346" customFormat="false" ht="15" hidden="false" customHeight="false" outlineLevel="0" collapsed="false">
      <c r="A346" s="0" t="s">
        <v>1386</v>
      </c>
      <c r="B346" s="0" t="s">
        <v>898</v>
      </c>
      <c r="C346" s="0" t="s">
        <v>771</v>
      </c>
      <c r="D346" s="0" t="s">
        <v>637</v>
      </c>
      <c r="E346" s="0" t="s">
        <v>74</v>
      </c>
      <c r="F346" s="0" t="n">
        <v>5</v>
      </c>
      <c r="G346" s="0" t="n">
        <v>17.8</v>
      </c>
      <c r="I346" s="10"/>
      <c r="J346" s="0" t="n">
        <v>1.19</v>
      </c>
      <c r="K346" s="13" t="n">
        <f aca="false">IF(H346&lt;&gt;"",H346,IFERROR(G346/INDEX(Players!$M$2:$M$56,MATCH(B346,Players!$A$2:$A$56,0)),""))</f>
        <v>0.912820512820513</v>
      </c>
    </row>
    <row r="347" customFormat="false" ht="15" hidden="false" customHeight="false" outlineLevel="0" collapsed="false">
      <c r="A347" s="0" t="s">
        <v>1387</v>
      </c>
      <c r="B347" s="0" t="s">
        <v>898</v>
      </c>
      <c r="C347" s="0" t="s">
        <v>771</v>
      </c>
      <c r="D347" s="0" t="s">
        <v>637</v>
      </c>
      <c r="E347" s="0" t="s">
        <v>99</v>
      </c>
      <c r="F347" s="0" t="n">
        <v>5</v>
      </c>
      <c r="G347" s="0" t="n">
        <v>16.4</v>
      </c>
      <c r="I347" s="10"/>
      <c r="J347" s="0" t="n">
        <v>1.12</v>
      </c>
      <c r="K347" s="13" t="n">
        <f aca="false">IF(H347&lt;&gt;"",H347,IFERROR(G347/INDEX(Players!$M$2:$M$56,MATCH(B347,Players!$A$2:$A$56,0)),""))</f>
        <v>0.841025641025641</v>
      </c>
    </row>
    <row r="348" customFormat="false" ht="15" hidden="false" customHeight="false" outlineLevel="0" collapsed="false">
      <c r="A348" s="0" t="s">
        <v>1388</v>
      </c>
      <c r="B348" s="0" t="s">
        <v>898</v>
      </c>
      <c r="C348" s="0" t="s">
        <v>771</v>
      </c>
      <c r="D348" s="0" t="s">
        <v>637</v>
      </c>
      <c r="E348" s="0" t="s">
        <v>88</v>
      </c>
      <c r="F348" s="0" t="n">
        <v>4</v>
      </c>
      <c r="G348" s="0" t="n">
        <v>18.5</v>
      </c>
      <c r="I348" s="10"/>
      <c r="J348" s="0" t="n">
        <v>1.35</v>
      </c>
      <c r="K348" s="13" t="n">
        <f aca="false">IF(H348&lt;&gt;"",H348,IFERROR(G348/INDEX(Players!$M$2:$M$56,MATCH(B348,Players!$A$2:$A$56,0)),""))</f>
        <v>0.948717948717949</v>
      </c>
    </row>
    <row r="349" customFormat="false" ht="15" hidden="false" customHeight="false" outlineLevel="0" collapsed="false">
      <c r="A349" s="0" t="s">
        <v>1389</v>
      </c>
      <c r="B349" s="0" t="s">
        <v>898</v>
      </c>
      <c r="C349" s="0" t="s">
        <v>771</v>
      </c>
      <c r="D349" s="0" t="s">
        <v>637</v>
      </c>
      <c r="E349" s="0" t="s">
        <v>930</v>
      </c>
      <c r="F349" s="0" t="n">
        <v>3</v>
      </c>
      <c r="G349" s="0" t="n">
        <v>15.3</v>
      </c>
      <c r="I349" s="10"/>
      <c r="J349" s="0" t="n">
        <v>1.07</v>
      </c>
      <c r="K349" s="13" t="n">
        <f aca="false">IF(H349&lt;&gt;"",H349,IFERROR(G349/INDEX(Players!$M$2:$M$56,MATCH(B349,Players!$A$2:$A$56,0)),""))</f>
        <v>0.784615384615385</v>
      </c>
    </row>
    <row r="350" customFormat="false" ht="15" hidden="false" customHeight="false" outlineLevel="0" collapsed="false">
      <c r="A350" s="0" t="s">
        <v>1390</v>
      </c>
      <c r="B350" s="0" t="s">
        <v>898</v>
      </c>
      <c r="C350" s="0" t="s">
        <v>771</v>
      </c>
      <c r="D350" s="0" t="s">
        <v>637</v>
      </c>
      <c r="E350" s="0" t="s">
        <v>942</v>
      </c>
      <c r="F350" s="0" t="n">
        <v>2</v>
      </c>
      <c r="G350" s="0" t="n">
        <v>25.5</v>
      </c>
      <c r="I350" s="10"/>
      <c r="J350" s="0" t="n">
        <v>1.7</v>
      </c>
      <c r="K350" s="13" t="n">
        <f aca="false">IF(H350&lt;&gt;"",H350,IFERROR(G350/INDEX(Players!$M$2:$M$56,MATCH(B350,Players!$A$2:$A$56,0)),""))</f>
        <v>1.30769230769231</v>
      </c>
    </row>
    <row r="351" customFormat="false" ht="15" hidden="false" customHeight="false" outlineLevel="0" collapsed="false">
      <c r="A351" s="0" t="s">
        <v>1391</v>
      </c>
      <c r="B351" s="0" t="s">
        <v>898</v>
      </c>
      <c r="C351" s="0" t="s">
        <v>771</v>
      </c>
      <c r="D351" s="0" t="s">
        <v>637</v>
      </c>
      <c r="E351" s="0" t="s">
        <v>935</v>
      </c>
      <c r="F351" s="0" t="n">
        <v>1</v>
      </c>
      <c r="G351" s="0" t="n">
        <v>21</v>
      </c>
      <c r="I351" s="10"/>
      <c r="J351" s="0" t="n">
        <v>1.75</v>
      </c>
      <c r="K351" s="13" t="n">
        <f aca="false">IF(H351&lt;&gt;"",H351,IFERROR(G351/INDEX(Players!$M$2:$M$56,MATCH(B351,Players!$A$2:$A$56,0)),""))</f>
        <v>1.07692307692308</v>
      </c>
    </row>
    <row r="352" customFormat="false" ht="15" hidden="false" customHeight="false" outlineLevel="0" collapsed="false">
      <c r="A352" s="0" t="s">
        <v>1392</v>
      </c>
      <c r="B352" s="0" t="s">
        <v>898</v>
      </c>
      <c r="C352" s="0" t="s">
        <v>771</v>
      </c>
      <c r="D352" s="0" t="s">
        <v>637</v>
      </c>
      <c r="E352" s="0" t="s">
        <v>82</v>
      </c>
      <c r="F352" s="0" t="n">
        <v>1</v>
      </c>
      <c r="G352" s="0" t="n">
        <v>15</v>
      </c>
      <c r="I352" s="10"/>
      <c r="J352" s="0" t="n">
        <v>1.07</v>
      </c>
      <c r="K352" s="13" t="n">
        <f aca="false">IF(H352&lt;&gt;"",H352,IFERROR(G352/INDEX(Players!$M$2:$M$56,MATCH(B352,Players!$A$2:$A$56,0)),""))</f>
        <v>0.769230769230769</v>
      </c>
    </row>
    <row r="353" customFormat="false" ht="15" hidden="false" customHeight="false" outlineLevel="0" collapsed="false">
      <c r="A353" s="0" t="s">
        <v>1393</v>
      </c>
      <c r="B353" s="0" t="s">
        <v>898</v>
      </c>
      <c r="C353" s="0" t="s">
        <v>771</v>
      </c>
      <c r="D353" s="0" t="s">
        <v>637</v>
      </c>
      <c r="E353" s="0" t="s">
        <v>105</v>
      </c>
      <c r="F353" s="0" t="n">
        <v>1</v>
      </c>
      <c r="G353" s="0" t="n">
        <v>11</v>
      </c>
      <c r="I353" s="10"/>
      <c r="J353" s="0" t="n">
        <v>0.55</v>
      </c>
      <c r="K353" s="13" t="n">
        <f aca="false">IF(H353&lt;&gt;"",H353,IFERROR(G353/INDEX(Players!$M$2:$M$56,MATCH(B353,Players!$A$2:$A$56,0)),""))</f>
        <v>0.564102564102564</v>
      </c>
    </row>
    <row r="354" customFormat="false" ht="15" hidden="false" customHeight="false" outlineLevel="0" collapsed="false">
      <c r="A354" s="0" t="s">
        <v>1394</v>
      </c>
      <c r="B354" s="0" t="s">
        <v>898</v>
      </c>
      <c r="C354" s="0" t="s">
        <v>771</v>
      </c>
      <c r="D354" s="0" t="s">
        <v>637</v>
      </c>
      <c r="E354" s="0" t="s">
        <v>643</v>
      </c>
      <c r="F354" s="0" t="n">
        <v>1</v>
      </c>
      <c r="G354" s="0" t="n">
        <v>11</v>
      </c>
      <c r="I354" s="10"/>
      <c r="J354" s="0" t="n">
        <v>0.55</v>
      </c>
      <c r="K354" s="13" t="n">
        <f aca="false">IF(H354&lt;&gt;"",H354,IFERROR(G354/INDEX(Players!$M$2:$M$56,MATCH(B354,Players!$A$2:$A$56,0)),""))</f>
        <v>0.564102564102564</v>
      </c>
    </row>
    <row r="355" customFormat="false" ht="15" hidden="false" customHeight="false" outlineLevel="0" collapsed="false">
      <c r="A355" s="0" t="s">
        <v>1395</v>
      </c>
      <c r="B355" s="0" t="s">
        <v>910</v>
      </c>
      <c r="C355" s="0" t="s">
        <v>795</v>
      </c>
      <c r="D355" s="0" t="s">
        <v>637</v>
      </c>
      <c r="E355" s="0" t="s">
        <v>68</v>
      </c>
      <c r="F355" s="0" t="n">
        <v>8</v>
      </c>
      <c r="G355" s="0" t="n">
        <v>11.9</v>
      </c>
      <c r="I355" s="10"/>
      <c r="J355" s="0" t="n">
        <v>0.74</v>
      </c>
      <c r="K355" s="13" t="n">
        <f aca="false">IF(H355&lt;&gt;"",H355,IFERROR(G355/INDEX(Players!$M$2:$M$56,MATCH(B355,Players!$A$2:$A$56,0)),""))</f>
        <v>0.575673807878369</v>
      </c>
    </row>
    <row r="356" customFormat="false" ht="15" hidden="false" customHeight="false" outlineLevel="0" collapsed="false">
      <c r="A356" s="0" t="s">
        <v>1396</v>
      </c>
      <c r="B356" s="0" t="s">
        <v>910</v>
      </c>
      <c r="C356" s="0" t="s">
        <v>795</v>
      </c>
      <c r="D356" s="0" t="s">
        <v>637</v>
      </c>
      <c r="E356" s="0" t="s">
        <v>92</v>
      </c>
      <c r="F356" s="0" t="n">
        <v>6</v>
      </c>
      <c r="G356" s="0" t="n">
        <v>16.3</v>
      </c>
      <c r="I356" s="10"/>
      <c r="J356" s="0" t="n">
        <v>1.24</v>
      </c>
      <c r="K356" s="13" t="n">
        <f aca="false">IF(H356&lt;&gt;"",H356,IFERROR(G356/INDEX(Players!$M$2:$M$56,MATCH(B356,Players!$A$2:$A$56,0)),""))</f>
        <v>0.78852798894264</v>
      </c>
    </row>
    <row r="357" customFormat="false" ht="15" hidden="false" customHeight="false" outlineLevel="0" collapsed="false">
      <c r="A357" s="0" t="s">
        <v>1397</v>
      </c>
      <c r="B357" s="0" t="s">
        <v>910</v>
      </c>
      <c r="C357" s="0" t="s">
        <v>795</v>
      </c>
      <c r="D357" s="0" t="s">
        <v>637</v>
      </c>
      <c r="E357" s="0" t="s">
        <v>99</v>
      </c>
      <c r="F357" s="0" t="n">
        <v>6</v>
      </c>
      <c r="G357" s="0" t="n">
        <v>15.8</v>
      </c>
      <c r="I357" s="10"/>
      <c r="J357" s="0" t="n">
        <v>1.17</v>
      </c>
      <c r="K357" s="13" t="n">
        <f aca="false">IF(H357&lt;&gt;"",H357,IFERROR(G357/INDEX(Players!$M$2:$M$56,MATCH(B357,Players!$A$2:$A$56,0)),""))</f>
        <v>0.7643400138217</v>
      </c>
    </row>
    <row r="358" customFormat="false" ht="15" hidden="false" customHeight="false" outlineLevel="0" collapsed="false">
      <c r="A358" s="0" t="s">
        <v>1398</v>
      </c>
      <c r="B358" s="0" t="s">
        <v>910</v>
      </c>
      <c r="C358" s="0" t="s">
        <v>795</v>
      </c>
      <c r="D358" s="0" t="s">
        <v>637</v>
      </c>
      <c r="E358" s="0" t="s">
        <v>105</v>
      </c>
      <c r="F358" s="0" t="n">
        <v>6</v>
      </c>
      <c r="G358" s="0" t="n">
        <v>11.7</v>
      </c>
      <c r="I358" s="10"/>
      <c r="J358" s="0" t="n">
        <v>0.87</v>
      </c>
      <c r="K358" s="13" t="n">
        <f aca="false">IF(H358&lt;&gt;"",H358,IFERROR(G358/INDEX(Players!$M$2:$M$56,MATCH(B358,Players!$A$2:$A$56,0)),""))</f>
        <v>0.565998617829993</v>
      </c>
    </row>
    <row r="359" customFormat="false" ht="15" hidden="false" customHeight="false" outlineLevel="0" collapsed="false">
      <c r="A359" s="0" t="s">
        <v>1399</v>
      </c>
      <c r="B359" s="0" t="s">
        <v>910</v>
      </c>
      <c r="C359" s="0" t="s">
        <v>795</v>
      </c>
      <c r="D359" s="0" t="s">
        <v>637</v>
      </c>
      <c r="E359" s="0" t="s">
        <v>74</v>
      </c>
      <c r="F359" s="0" t="n">
        <v>5</v>
      </c>
      <c r="G359" s="0" t="n">
        <v>20.6</v>
      </c>
      <c r="I359" s="10"/>
      <c r="J359" s="0" t="n">
        <v>1.37</v>
      </c>
      <c r="K359" s="13" t="n">
        <f aca="false">IF(H359&lt;&gt;"",H359,IFERROR(G359/INDEX(Players!$M$2:$M$56,MATCH(B359,Players!$A$2:$A$56,0)),""))</f>
        <v>0.996544574982723</v>
      </c>
    </row>
    <row r="360" customFormat="false" ht="15" hidden="false" customHeight="false" outlineLevel="0" collapsed="false">
      <c r="A360" s="0" t="s">
        <v>1400</v>
      </c>
      <c r="B360" s="0" t="s">
        <v>910</v>
      </c>
      <c r="C360" s="0" t="s">
        <v>795</v>
      </c>
      <c r="D360" s="0" t="s">
        <v>637</v>
      </c>
      <c r="E360" s="0" t="s">
        <v>88</v>
      </c>
      <c r="F360" s="0" t="n">
        <v>4</v>
      </c>
      <c r="G360" s="0" t="n">
        <v>12</v>
      </c>
      <c r="I360" s="10"/>
      <c r="J360" s="0" t="n">
        <v>1.23</v>
      </c>
      <c r="K360" s="13" t="n">
        <f aca="false">IF(H360&lt;&gt;"",H360,IFERROR(G360/INDEX(Players!$M$2:$M$56,MATCH(B360,Players!$A$2:$A$56,0)),""))</f>
        <v>0.580511402902557</v>
      </c>
    </row>
    <row r="361" customFormat="false" ht="15" hidden="false" customHeight="false" outlineLevel="0" collapsed="false">
      <c r="A361" s="0" t="s">
        <v>1401</v>
      </c>
      <c r="B361" s="0" t="s">
        <v>910</v>
      </c>
      <c r="C361" s="0" t="s">
        <v>795</v>
      </c>
      <c r="D361" s="0" t="s">
        <v>637</v>
      </c>
      <c r="E361" s="0" t="s">
        <v>95</v>
      </c>
      <c r="F361" s="0" t="n">
        <v>2</v>
      </c>
      <c r="G361" s="0" t="n">
        <v>11.5</v>
      </c>
      <c r="I361" s="10"/>
      <c r="J361" s="0" t="n">
        <v>0.85</v>
      </c>
      <c r="K361" s="13" t="n">
        <f aca="false">IF(H361&lt;&gt;"",H361,IFERROR(G361/INDEX(Players!$M$2:$M$56,MATCH(B361,Players!$A$2:$A$56,0)),""))</f>
        <v>0.556323427781617</v>
      </c>
    </row>
    <row r="362" customFormat="false" ht="15" hidden="false" customHeight="false" outlineLevel="0" collapsed="false">
      <c r="A362" s="0" t="s">
        <v>1402</v>
      </c>
      <c r="B362" s="0" t="s">
        <v>910</v>
      </c>
      <c r="C362" s="0" t="s">
        <v>795</v>
      </c>
      <c r="D362" s="0" t="s">
        <v>637</v>
      </c>
      <c r="E362" s="0" t="s">
        <v>938</v>
      </c>
      <c r="F362" s="0" t="n">
        <v>2</v>
      </c>
      <c r="G362" s="0" t="n">
        <v>15</v>
      </c>
      <c r="I362" s="10"/>
      <c r="J362" s="0" t="n">
        <v>0.83</v>
      </c>
      <c r="K362" s="13" t="n">
        <f aca="false">IF(H362&lt;&gt;"",H362,IFERROR(G362/INDEX(Players!$M$2:$M$56,MATCH(B362,Players!$A$2:$A$56,0)),""))</f>
        <v>0.725639253628196</v>
      </c>
    </row>
    <row r="363" customFormat="false" ht="15" hidden="false" customHeight="false" outlineLevel="0" collapsed="false">
      <c r="A363" s="0" t="s">
        <v>1403</v>
      </c>
      <c r="B363" s="0" t="s">
        <v>910</v>
      </c>
      <c r="C363" s="0" t="s">
        <v>795</v>
      </c>
      <c r="D363" s="0" t="s">
        <v>637</v>
      </c>
      <c r="E363" s="0" t="s">
        <v>643</v>
      </c>
      <c r="F363" s="0" t="n">
        <v>1</v>
      </c>
      <c r="G363" s="0" t="n">
        <v>17</v>
      </c>
      <c r="I363" s="10"/>
      <c r="J363" s="0" t="n">
        <v>0.94</v>
      </c>
      <c r="K363" s="13" t="n">
        <f aca="false">IF(H363&lt;&gt;"",H363,IFERROR(G363/INDEX(Players!$M$2:$M$56,MATCH(B363,Players!$A$2:$A$56,0)),""))</f>
        <v>0.822391154111956</v>
      </c>
    </row>
    <row r="364" customFormat="false" ht="15" hidden="false" customHeight="false" outlineLevel="0" collapsed="false">
      <c r="A364" s="0" t="s">
        <v>1404</v>
      </c>
      <c r="B364" s="0" t="s">
        <v>889</v>
      </c>
      <c r="C364" s="0" t="s">
        <v>753</v>
      </c>
      <c r="D364" s="0" t="s">
        <v>637</v>
      </c>
      <c r="E364" s="0" t="s">
        <v>95</v>
      </c>
      <c r="F364" s="0" t="n">
        <v>3</v>
      </c>
      <c r="G364" s="0" t="n">
        <v>13</v>
      </c>
      <c r="I364" s="10"/>
      <c r="J364" s="0" t="n">
        <v>0.89</v>
      </c>
      <c r="K364" s="13" t="n">
        <f aca="false">IF(H364&lt;&gt;"",H364,IFERROR(G364/INDEX(Players!$M$2:$M$56,MATCH(B364,Players!$A$2:$A$56,0)),""))</f>
        <v>0.600142045454546</v>
      </c>
    </row>
    <row r="365" customFormat="false" ht="15" hidden="false" customHeight="false" outlineLevel="0" collapsed="false">
      <c r="A365" s="0" t="s">
        <v>1405</v>
      </c>
      <c r="B365" s="0" t="s">
        <v>889</v>
      </c>
      <c r="C365" s="0" t="s">
        <v>753</v>
      </c>
      <c r="D365" s="0" t="s">
        <v>637</v>
      </c>
      <c r="E365" s="0" t="s">
        <v>74</v>
      </c>
      <c r="F365" s="0" t="n">
        <v>2</v>
      </c>
      <c r="G365" s="0" t="n">
        <v>22</v>
      </c>
      <c r="I365" s="10"/>
      <c r="J365" s="0" t="n">
        <v>1.38</v>
      </c>
      <c r="K365" s="13" t="n">
        <f aca="false">IF(H365&lt;&gt;"",H365,IFERROR(G365/INDEX(Players!$M$2:$M$56,MATCH(B365,Players!$A$2:$A$56,0)),""))</f>
        <v>1.015625</v>
      </c>
    </row>
    <row r="366" customFormat="false" ht="15" hidden="false" customHeight="false" outlineLevel="0" collapsed="false">
      <c r="A366" s="0" t="s">
        <v>1406</v>
      </c>
      <c r="B366" s="0" t="s">
        <v>889</v>
      </c>
      <c r="C366" s="0" t="s">
        <v>753</v>
      </c>
      <c r="D366" s="0" t="s">
        <v>637</v>
      </c>
      <c r="E366" s="0" t="s">
        <v>68</v>
      </c>
      <c r="F366" s="0" t="n">
        <v>1</v>
      </c>
      <c r="G366" s="0" t="n">
        <v>18</v>
      </c>
      <c r="I366" s="10"/>
      <c r="J366" s="0" t="n">
        <v>3</v>
      </c>
      <c r="K366" s="13" t="n">
        <f aca="false">IF(H366&lt;&gt;"",H366,IFERROR(G366/INDEX(Players!$M$2:$M$56,MATCH(B366,Players!$A$2:$A$56,0)),""))</f>
        <v>0.830965909090909</v>
      </c>
    </row>
    <row r="367" customFormat="false" ht="15" hidden="false" customHeight="false" outlineLevel="0" collapsed="false">
      <c r="A367" s="0" t="s">
        <v>1407</v>
      </c>
      <c r="B367" s="0" t="s">
        <v>889</v>
      </c>
      <c r="C367" s="0" t="s">
        <v>753</v>
      </c>
      <c r="D367" s="0" t="s">
        <v>637</v>
      </c>
      <c r="E367" s="0" t="s">
        <v>938</v>
      </c>
      <c r="F367" s="0" t="n">
        <v>1</v>
      </c>
      <c r="G367" s="0" t="n">
        <v>18</v>
      </c>
      <c r="I367" s="10"/>
      <c r="J367" s="0" t="n">
        <v>1.13</v>
      </c>
      <c r="K367" s="13" t="n">
        <f aca="false">IF(H367&lt;&gt;"",H367,IFERROR(G367/INDEX(Players!$M$2:$M$56,MATCH(B367,Players!$A$2:$A$56,0)),""))</f>
        <v>0.830965909090909</v>
      </c>
    </row>
    <row r="368" customFormat="false" ht="15" hidden="false" customHeight="false" outlineLevel="0" collapsed="false">
      <c r="A368" s="0" t="s">
        <v>1408</v>
      </c>
      <c r="B368" s="0" t="s">
        <v>889</v>
      </c>
      <c r="C368" s="0" t="s">
        <v>753</v>
      </c>
      <c r="D368" s="0" t="s">
        <v>637</v>
      </c>
      <c r="E368" s="0" t="s">
        <v>92</v>
      </c>
      <c r="F368" s="0" t="n">
        <v>1</v>
      </c>
      <c r="G368" s="0" t="n">
        <v>11</v>
      </c>
      <c r="I368" s="10"/>
      <c r="J368" s="0" t="n">
        <v>0.85</v>
      </c>
      <c r="K368" s="13" t="n">
        <f aca="false">IF(H368&lt;&gt;"",H368,IFERROR(G368/INDEX(Players!$M$2:$M$56,MATCH(B368,Players!$A$2:$A$56,0)),""))</f>
        <v>0.5078125</v>
      </c>
    </row>
    <row r="369" customFormat="false" ht="15" hidden="false" customHeight="false" outlineLevel="0" collapsed="false">
      <c r="A369" s="0" t="s">
        <v>1409</v>
      </c>
      <c r="B369" s="0" t="s">
        <v>889</v>
      </c>
      <c r="C369" s="0" t="s">
        <v>753</v>
      </c>
      <c r="D369" s="0" t="s">
        <v>637</v>
      </c>
      <c r="E369" s="0" t="s">
        <v>99</v>
      </c>
      <c r="F369" s="0" t="n">
        <v>1</v>
      </c>
      <c r="G369" s="0" t="n">
        <v>13</v>
      </c>
      <c r="I369" s="10"/>
      <c r="J369" s="0" t="n">
        <v>0.76</v>
      </c>
      <c r="K369" s="13" t="n">
        <f aca="false">IF(H369&lt;&gt;"",H369,IFERROR(G369/INDEX(Players!$M$2:$M$56,MATCH(B369,Players!$A$2:$A$56,0)),""))</f>
        <v>0.600142045454546</v>
      </c>
    </row>
    <row r="370" customFormat="false" ht="15" hidden="false" customHeight="false" outlineLevel="0" collapsed="false">
      <c r="A370" s="0" t="s">
        <v>1410</v>
      </c>
      <c r="B370" s="0" t="s">
        <v>889</v>
      </c>
      <c r="C370" s="0" t="s">
        <v>753</v>
      </c>
      <c r="D370" s="0" t="s">
        <v>637</v>
      </c>
      <c r="E370" s="0" t="s">
        <v>942</v>
      </c>
      <c r="F370" s="0" t="n">
        <v>1</v>
      </c>
      <c r="G370" s="0" t="n">
        <v>10</v>
      </c>
      <c r="I370" s="10"/>
      <c r="J370" s="0" t="n">
        <v>0.71</v>
      </c>
      <c r="K370" s="13" t="n">
        <f aca="false">IF(H370&lt;&gt;"",H370,IFERROR(G370/INDEX(Players!$M$2:$M$56,MATCH(B370,Players!$A$2:$A$56,0)),""))</f>
        <v>0.461647727272727</v>
      </c>
    </row>
    <row r="371" customFormat="false" ht="15" hidden="false" customHeight="false" outlineLevel="0" collapsed="false">
      <c r="A371" s="0" t="s">
        <v>1411</v>
      </c>
      <c r="B371" s="0" t="s">
        <v>889</v>
      </c>
      <c r="C371" s="0" t="s">
        <v>753</v>
      </c>
      <c r="D371" s="0" t="s">
        <v>637</v>
      </c>
      <c r="E371" s="0" t="s">
        <v>88</v>
      </c>
      <c r="F371" s="0" t="n">
        <v>1</v>
      </c>
      <c r="G371" s="0" t="n">
        <v>14</v>
      </c>
      <c r="I371" s="10"/>
      <c r="J371" s="0" t="n">
        <v>0.67</v>
      </c>
      <c r="K371" s="13" t="n">
        <f aca="false">IF(H371&lt;&gt;"",H371,IFERROR(G371/INDEX(Players!$M$2:$M$56,MATCH(B371,Players!$A$2:$A$56,0)),""))</f>
        <v>0.646306818181818</v>
      </c>
    </row>
    <row r="372" customFormat="false" ht="15" hidden="false" customHeight="false" outlineLevel="0" collapsed="false">
      <c r="A372" s="0" t="s">
        <v>1412</v>
      </c>
      <c r="B372" s="0" t="s">
        <v>889</v>
      </c>
      <c r="C372" s="0" t="s">
        <v>753</v>
      </c>
      <c r="D372" s="0" t="s">
        <v>637</v>
      </c>
      <c r="E372" s="0" t="s">
        <v>82</v>
      </c>
      <c r="F372" s="0" t="n">
        <v>1</v>
      </c>
      <c r="G372" s="0" t="n">
        <v>10</v>
      </c>
      <c r="I372" s="10"/>
      <c r="J372" s="0" t="n">
        <v>0.56</v>
      </c>
      <c r="K372" s="13" t="n">
        <f aca="false">IF(H372&lt;&gt;"",H372,IFERROR(G372/INDEX(Players!$M$2:$M$56,MATCH(B372,Players!$A$2:$A$56,0)),""))</f>
        <v>0.461647727272727</v>
      </c>
    </row>
    <row r="373" customFormat="false" ht="15" hidden="false" customHeight="false" outlineLevel="0" collapsed="false">
      <c r="A373" s="0" t="s">
        <v>1413</v>
      </c>
      <c r="B373" s="0" t="s">
        <v>889</v>
      </c>
      <c r="C373" s="0" t="s">
        <v>753</v>
      </c>
      <c r="D373" s="0" t="s">
        <v>637</v>
      </c>
      <c r="E373" s="0" t="s">
        <v>930</v>
      </c>
      <c r="F373" s="0" t="n">
        <v>1</v>
      </c>
      <c r="G373" s="0" t="n">
        <v>6</v>
      </c>
      <c r="I373" s="10"/>
      <c r="J373" s="0" t="n">
        <v>0.4</v>
      </c>
      <c r="K373" s="13" t="n">
        <f aca="false">IF(H373&lt;&gt;"",H373,IFERROR(G373/INDEX(Players!$M$2:$M$56,MATCH(B373,Players!$A$2:$A$56,0)),""))</f>
        <v>0.276988636363636</v>
      </c>
    </row>
    <row r="374" customFormat="false" ht="15" hidden="false" customHeight="false" outlineLevel="0" collapsed="false">
      <c r="A374" s="0" t="s">
        <v>1414</v>
      </c>
      <c r="B374" s="0" t="s">
        <v>902</v>
      </c>
      <c r="C374" s="0" t="s">
        <v>779</v>
      </c>
      <c r="D374" s="0" t="s">
        <v>637</v>
      </c>
      <c r="E374" s="0" t="s">
        <v>74</v>
      </c>
      <c r="F374" s="0" t="n">
        <v>6</v>
      </c>
      <c r="G374" s="0" t="n">
        <v>22.5</v>
      </c>
      <c r="I374" s="10"/>
      <c r="J374" s="0" t="n">
        <v>1.85</v>
      </c>
      <c r="K374" s="13" t="n">
        <f aca="false">IF(H374&lt;&gt;"",H374,IFERROR(G374/INDEX(Players!$M$2:$M$56,MATCH(B374,Players!$A$2:$A$56,0)),""))</f>
        <v>1.15721800116891</v>
      </c>
    </row>
    <row r="375" customFormat="false" ht="15" hidden="false" customHeight="false" outlineLevel="0" collapsed="false">
      <c r="A375" s="0" t="s">
        <v>1415</v>
      </c>
      <c r="B375" s="0" t="s">
        <v>902</v>
      </c>
      <c r="C375" s="0" t="s">
        <v>779</v>
      </c>
      <c r="D375" s="0" t="s">
        <v>637</v>
      </c>
      <c r="E375" s="0" t="s">
        <v>92</v>
      </c>
      <c r="F375" s="0" t="n">
        <v>6</v>
      </c>
      <c r="G375" s="0" t="n">
        <v>14.5</v>
      </c>
      <c r="I375" s="10"/>
      <c r="J375" s="0" t="n">
        <v>0.98</v>
      </c>
      <c r="K375" s="13" t="n">
        <f aca="false">IF(H375&lt;&gt;"",H375,IFERROR(G375/INDEX(Players!$M$2:$M$56,MATCH(B375,Players!$A$2:$A$56,0)),""))</f>
        <v>0.745762711864407</v>
      </c>
    </row>
    <row r="376" customFormat="false" ht="15" hidden="false" customHeight="false" outlineLevel="0" collapsed="false">
      <c r="A376" s="0" t="s">
        <v>1416</v>
      </c>
      <c r="B376" s="0" t="s">
        <v>902</v>
      </c>
      <c r="C376" s="0" t="s">
        <v>779</v>
      </c>
      <c r="D376" s="0" t="s">
        <v>637</v>
      </c>
      <c r="E376" s="0" t="s">
        <v>88</v>
      </c>
      <c r="F376" s="0" t="n">
        <v>5</v>
      </c>
      <c r="G376" s="0" t="n">
        <v>19.4</v>
      </c>
      <c r="I376" s="10"/>
      <c r="J376" s="0" t="n">
        <v>1.28</v>
      </c>
      <c r="K376" s="13" t="n">
        <f aca="false">IF(H376&lt;&gt;"",H376,IFERROR(G376/INDEX(Players!$M$2:$M$56,MATCH(B376,Players!$A$2:$A$56,0)),""))</f>
        <v>0.997779076563413</v>
      </c>
    </row>
    <row r="377" customFormat="false" ht="15" hidden="false" customHeight="false" outlineLevel="0" collapsed="false">
      <c r="A377" s="0" t="s">
        <v>1417</v>
      </c>
      <c r="B377" s="0" t="s">
        <v>902</v>
      </c>
      <c r="C377" s="0" t="s">
        <v>779</v>
      </c>
      <c r="D377" s="0" t="s">
        <v>637</v>
      </c>
      <c r="E377" s="0" t="s">
        <v>68</v>
      </c>
      <c r="F377" s="0" t="n">
        <v>4</v>
      </c>
      <c r="G377" s="0" t="n">
        <v>18</v>
      </c>
      <c r="I377" s="10"/>
      <c r="J377" s="0" t="n">
        <v>1.04</v>
      </c>
      <c r="K377" s="13" t="n">
        <f aca="false">IF(H377&lt;&gt;"",H377,IFERROR(G377/INDEX(Players!$M$2:$M$56,MATCH(B377,Players!$A$2:$A$56,0)),""))</f>
        <v>0.925774400935126</v>
      </c>
    </row>
    <row r="378" customFormat="false" ht="15" hidden="false" customHeight="false" outlineLevel="0" collapsed="false">
      <c r="A378" s="0" t="s">
        <v>1418</v>
      </c>
      <c r="B378" s="0" t="s">
        <v>902</v>
      </c>
      <c r="C378" s="0" t="s">
        <v>779</v>
      </c>
      <c r="D378" s="0" t="s">
        <v>637</v>
      </c>
      <c r="E378" s="0" t="s">
        <v>95</v>
      </c>
      <c r="F378" s="0" t="n">
        <v>3</v>
      </c>
      <c r="G378" s="0" t="n">
        <v>13.7</v>
      </c>
      <c r="I378" s="10"/>
      <c r="J378" s="0" t="n">
        <v>0.85</v>
      </c>
      <c r="K378" s="13" t="n">
        <f aca="false">IF(H378&lt;&gt;"",H378,IFERROR(G378/INDEX(Players!$M$2:$M$56,MATCH(B378,Players!$A$2:$A$56,0)),""))</f>
        <v>0.704617182933957</v>
      </c>
    </row>
    <row r="379" customFormat="false" ht="15" hidden="false" customHeight="false" outlineLevel="0" collapsed="false">
      <c r="A379" s="0" t="s">
        <v>1419</v>
      </c>
      <c r="B379" s="0" t="s">
        <v>902</v>
      </c>
      <c r="C379" s="0" t="s">
        <v>779</v>
      </c>
      <c r="D379" s="0" t="s">
        <v>637</v>
      </c>
      <c r="E379" s="0" t="s">
        <v>643</v>
      </c>
      <c r="F379" s="0" t="n">
        <v>3</v>
      </c>
      <c r="G379" s="0" t="n">
        <v>13</v>
      </c>
      <c r="I379" s="10"/>
      <c r="J379" s="0" t="n">
        <v>0.74</v>
      </c>
      <c r="K379" s="13" t="n">
        <f aca="false">IF(H379&lt;&gt;"",H379,IFERROR(G379/INDEX(Players!$M$2:$M$56,MATCH(B379,Players!$A$2:$A$56,0)),""))</f>
        <v>0.668614845119813</v>
      </c>
    </row>
    <row r="380" customFormat="false" ht="15" hidden="false" customHeight="false" outlineLevel="0" collapsed="false">
      <c r="A380" s="0" t="s">
        <v>1420</v>
      </c>
      <c r="B380" s="0" t="s">
        <v>902</v>
      </c>
      <c r="C380" s="0" t="s">
        <v>779</v>
      </c>
      <c r="D380" s="0" t="s">
        <v>637</v>
      </c>
      <c r="E380" s="0" t="s">
        <v>99</v>
      </c>
      <c r="F380" s="0" t="n">
        <v>3</v>
      </c>
      <c r="G380" s="0" t="n">
        <v>10.3</v>
      </c>
      <c r="I380" s="10"/>
      <c r="J380" s="0" t="n">
        <v>0.69</v>
      </c>
      <c r="K380" s="13" t="n">
        <f aca="false">IF(H380&lt;&gt;"",H380,IFERROR(G380/INDEX(Players!$M$2:$M$56,MATCH(B380,Players!$A$2:$A$56,0)),""))</f>
        <v>0.529748684979544</v>
      </c>
    </row>
    <row r="381" customFormat="false" ht="15" hidden="false" customHeight="false" outlineLevel="0" collapsed="false">
      <c r="A381" s="0" t="s">
        <v>1421</v>
      </c>
      <c r="B381" s="0" t="s">
        <v>902</v>
      </c>
      <c r="C381" s="0" t="s">
        <v>779</v>
      </c>
      <c r="D381" s="0" t="s">
        <v>637</v>
      </c>
      <c r="E381" s="0" t="s">
        <v>82</v>
      </c>
      <c r="F381" s="0" t="n">
        <v>2</v>
      </c>
      <c r="G381" s="0" t="n">
        <v>23</v>
      </c>
      <c r="I381" s="10"/>
      <c r="J381" s="0" t="n">
        <v>1.35</v>
      </c>
      <c r="K381" s="13" t="n">
        <f aca="false">IF(H381&lt;&gt;"",H381,IFERROR(G381/INDEX(Players!$M$2:$M$56,MATCH(B381,Players!$A$2:$A$56,0)),""))</f>
        <v>1.18293395675044</v>
      </c>
    </row>
    <row r="382" customFormat="false" ht="15" hidden="false" customHeight="false" outlineLevel="0" collapsed="false">
      <c r="A382" s="0" t="s">
        <v>1422</v>
      </c>
      <c r="B382" s="0" t="s">
        <v>902</v>
      </c>
      <c r="C382" s="0" t="s">
        <v>779</v>
      </c>
      <c r="D382" s="0" t="s">
        <v>637</v>
      </c>
      <c r="E382" s="0" t="s">
        <v>930</v>
      </c>
      <c r="F382" s="0" t="n">
        <v>2</v>
      </c>
      <c r="G382" s="0" t="n">
        <v>18</v>
      </c>
      <c r="I382" s="10"/>
      <c r="J382" s="0" t="n">
        <v>1.29</v>
      </c>
      <c r="K382" s="13" t="n">
        <f aca="false">IF(H382&lt;&gt;"",H382,IFERROR(G382/INDEX(Players!$M$2:$M$56,MATCH(B382,Players!$A$2:$A$56,0)),""))</f>
        <v>0.925774400935126</v>
      </c>
    </row>
    <row r="383" customFormat="false" ht="15" hidden="false" customHeight="false" outlineLevel="0" collapsed="false">
      <c r="A383" s="0" t="s">
        <v>1423</v>
      </c>
      <c r="B383" s="0" t="s">
        <v>902</v>
      </c>
      <c r="C383" s="0" t="s">
        <v>779</v>
      </c>
      <c r="D383" s="0" t="s">
        <v>637</v>
      </c>
      <c r="E383" s="0" t="s">
        <v>942</v>
      </c>
      <c r="F383" s="0" t="n">
        <v>1</v>
      </c>
      <c r="G383" s="0" t="n">
        <v>20</v>
      </c>
      <c r="I383" s="10"/>
      <c r="J383" s="0" t="n">
        <v>1.43</v>
      </c>
      <c r="K383" s="13" t="n">
        <f aca="false">IF(H383&lt;&gt;"",H383,IFERROR(G383/INDEX(Players!$M$2:$M$56,MATCH(B383,Players!$A$2:$A$56,0)),""))</f>
        <v>1.02863822326125</v>
      </c>
    </row>
    <row r="384" customFormat="false" ht="15" hidden="false" customHeight="false" outlineLevel="0" collapsed="false">
      <c r="A384" s="0" t="s">
        <v>1424</v>
      </c>
      <c r="B384" s="0" t="s">
        <v>902</v>
      </c>
      <c r="C384" s="0" t="s">
        <v>779</v>
      </c>
      <c r="D384" s="0" t="s">
        <v>637</v>
      </c>
      <c r="E384" s="0" t="s">
        <v>935</v>
      </c>
      <c r="F384" s="0" t="n">
        <v>1</v>
      </c>
      <c r="G384" s="0" t="n">
        <v>24</v>
      </c>
      <c r="I384" s="10"/>
      <c r="J384" s="0" t="n">
        <v>1.33</v>
      </c>
      <c r="K384" s="13" t="n">
        <f aca="false">IF(H384&lt;&gt;"",H384,IFERROR(G384/INDEX(Players!$M$2:$M$56,MATCH(B384,Players!$A$2:$A$56,0)),""))</f>
        <v>1.2343658679135</v>
      </c>
    </row>
    <row r="385" customFormat="false" ht="15" hidden="false" customHeight="false" outlineLevel="0" collapsed="false">
      <c r="A385" s="0" t="s">
        <v>1425</v>
      </c>
      <c r="B385" s="0" t="s">
        <v>902</v>
      </c>
      <c r="C385" s="0" t="s">
        <v>779</v>
      </c>
      <c r="D385" s="0" t="s">
        <v>637</v>
      </c>
      <c r="E385" s="0" t="s">
        <v>938</v>
      </c>
      <c r="F385" s="0" t="n">
        <v>1</v>
      </c>
      <c r="G385" s="0" t="n">
        <v>5</v>
      </c>
      <c r="I385" s="10"/>
      <c r="J385" s="0" t="n">
        <v>0.36</v>
      </c>
      <c r="K385" s="13" t="n">
        <f aca="false">IF(H385&lt;&gt;"",H385,IFERROR(G385/INDEX(Players!$M$2:$M$56,MATCH(B385,Players!$A$2:$A$56,0)),""))</f>
        <v>0.257159555815313</v>
      </c>
    </row>
    <row r="386" customFormat="false" ht="15" hidden="false" customHeight="false" outlineLevel="0" collapsed="false">
      <c r="A386" s="0" t="s">
        <v>1426</v>
      </c>
      <c r="B386" s="0" t="s">
        <v>903</v>
      </c>
      <c r="C386" s="0" t="s">
        <v>781</v>
      </c>
      <c r="D386" s="0" t="s">
        <v>637</v>
      </c>
      <c r="E386" s="0" t="s">
        <v>99</v>
      </c>
      <c r="F386" s="0" t="n">
        <v>6</v>
      </c>
      <c r="G386" s="0" t="n">
        <v>11.8</v>
      </c>
      <c r="I386" s="10"/>
      <c r="J386" s="0" t="n">
        <v>0.78</v>
      </c>
      <c r="K386" s="13" t="n">
        <f aca="false">IF(H386&lt;&gt;"",H386,IFERROR(G386/INDEX(Players!$M$2:$M$56,MATCH(B386,Players!$A$2:$A$56,0)),""))</f>
        <v>0.625994694960212</v>
      </c>
    </row>
    <row r="387" customFormat="false" ht="15" hidden="false" customHeight="false" outlineLevel="0" collapsed="false">
      <c r="A387" s="0" t="s">
        <v>1427</v>
      </c>
      <c r="B387" s="0" t="s">
        <v>903</v>
      </c>
      <c r="C387" s="0" t="s">
        <v>781</v>
      </c>
      <c r="D387" s="0" t="s">
        <v>637</v>
      </c>
      <c r="E387" s="0" t="s">
        <v>92</v>
      </c>
      <c r="F387" s="0" t="n">
        <v>6</v>
      </c>
      <c r="G387" s="0" t="n">
        <v>8.7</v>
      </c>
      <c r="I387" s="10"/>
      <c r="J387" s="0" t="n">
        <v>0.69</v>
      </c>
      <c r="K387" s="13" t="n">
        <f aca="false">IF(H387&lt;&gt;"",H387,IFERROR(G387/INDEX(Players!$M$2:$M$56,MATCH(B387,Players!$A$2:$A$56,0)),""))</f>
        <v>0.461538461538461</v>
      </c>
    </row>
    <row r="388" customFormat="false" ht="15" hidden="false" customHeight="false" outlineLevel="0" collapsed="false">
      <c r="A388" s="0" t="s">
        <v>1428</v>
      </c>
      <c r="B388" s="0" t="s">
        <v>903</v>
      </c>
      <c r="C388" s="0" t="s">
        <v>781</v>
      </c>
      <c r="D388" s="0" t="s">
        <v>637</v>
      </c>
      <c r="E388" s="0" t="s">
        <v>88</v>
      </c>
      <c r="F388" s="0" t="n">
        <v>4</v>
      </c>
      <c r="G388" s="0" t="n">
        <v>10.5</v>
      </c>
      <c r="I388" s="10"/>
      <c r="J388" s="0" t="n">
        <v>1.02</v>
      </c>
      <c r="K388" s="13" t="n">
        <f aca="false">IF(H388&lt;&gt;"",H388,IFERROR(G388/INDEX(Players!$M$2:$M$56,MATCH(B388,Players!$A$2:$A$56,0)),""))</f>
        <v>0.557029177718833</v>
      </c>
    </row>
    <row r="389" customFormat="false" ht="15" hidden="false" customHeight="false" outlineLevel="0" collapsed="false">
      <c r="A389" s="0" t="s">
        <v>1429</v>
      </c>
      <c r="B389" s="0" t="s">
        <v>903</v>
      </c>
      <c r="C389" s="0" t="s">
        <v>781</v>
      </c>
      <c r="D389" s="0" t="s">
        <v>637</v>
      </c>
      <c r="E389" s="0" t="s">
        <v>68</v>
      </c>
      <c r="F389" s="0" t="n">
        <v>4</v>
      </c>
      <c r="G389" s="0" t="n">
        <v>12.5</v>
      </c>
      <c r="I389" s="10"/>
      <c r="J389" s="0" t="n">
        <v>0.94</v>
      </c>
      <c r="K389" s="13" t="n">
        <f aca="false">IF(H389&lt;&gt;"",H389,IFERROR(G389/INDEX(Players!$M$2:$M$56,MATCH(B389,Players!$A$2:$A$56,0)),""))</f>
        <v>0.663129973474801</v>
      </c>
    </row>
    <row r="390" customFormat="false" ht="15" hidden="false" customHeight="false" outlineLevel="0" collapsed="false">
      <c r="A390" s="0" t="s">
        <v>1430</v>
      </c>
      <c r="B390" s="0" t="s">
        <v>903</v>
      </c>
      <c r="C390" s="0" t="s">
        <v>781</v>
      </c>
      <c r="D390" s="0" t="s">
        <v>637</v>
      </c>
      <c r="E390" s="0" t="s">
        <v>643</v>
      </c>
      <c r="F390" s="0" t="n">
        <v>4</v>
      </c>
      <c r="G390" s="0" t="n">
        <v>11.3</v>
      </c>
      <c r="I390" s="10"/>
      <c r="J390" s="0" t="n">
        <v>0.75</v>
      </c>
      <c r="K390" s="13" t="n">
        <f aca="false">IF(H390&lt;&gt;"",H390,IFERROR(G390/INDEX(Players!$M$2:$M$56,MATCH(B390,Players!$A$2:$A$56,0)),""))</f>
        <v>0.59946949602122</v>
      </c>
    </row>
    <row r="391" customFormat="false" ht="15" hidden="false" customHeight="false" outlineLevel="0" collapsed="false">
      <c r="A391" s="0" t="s">
        <v>1431</v>
      </c>
      <c r="B391" s="0" t="s">
        <v>903</v>
      </c>
      <c r="C391" s="0" t="s">
        <v>781</v>
      </c>
      <c r="D391" s="0" t="s">
        <v>637</v>
      </c>
      <c r="E391" s="0" t="s">
        <v>74</v>
      </c>
      <c r="F391" s="0" t="n">
        <v>3</v>
      </c>
      <c r="G391" s="0" t="n">
        <v>12</v>
      </c>
      <c r="I391" s="10"/>
      <c r="J391" s="0" t="n">
        <v>1.5</v>
      </c>
      <c r="K391" s="13" t="n">
        <f aca="false">IF(H391&lt;&gt;"",H391,IFERROR(G391/INDEX(Players!$M$2:$M$56,MATCH(B391,Players!$A$2:$A$56,0)),""))</f>
        <v>0.636604774535809</v>
      </c>
    </row>
    <row r="392" customFormat="false" ht="15" hidden="false" customHeight="false" outlineLevel="0" collapsed="false">
      <c r="A392" s="0" t="s">
        <v>1432</v>
      </c>
      <c r="B392" s="0" t="s">
        <v>903</v>
      </c>
      <c r="C392" s="0" t="s">
        <v>781</v>
      </c>
      <c r="D392" s="0" t="s">
        <v>637</v>
      </c>
      <c r="E392" s="0" t="s">
        <v>95</v>
      </c>
      <c r="F392" s="0" t="n">
        <v>3</v>
      </c>
      <c r="G392" s="0" t="n">
        <v>11.3</v>
      </c>
      <c r="I392" s="10"/>
      <c r="J392" s="0" t="n">
        <v>0.79</v>
      </c>
      <c r="K392" s="13" t="n">
        <f aca="false">IF(H392&lt;&gt;"",H392,IFERROR(G392/INDEX(Players!$M$2:$M$56,MATCH(B392,Players!$A$2:$A$56,0)),""))</f>
        <v>0.59946949602122</v>
      </c>
    </row>
    <row r="393" customFormat="false" ht="15" hidden="false" customHeight="false" outlineLevel="0" collapsed="false">
      <c r="A393" s="0" t="s">
        <v>1433</v>
      </c>
      <c r="B393" s="0" t="s">
        <v>903</v>
      </c>
      <c r="C393" s="0" t="s">
        <v>781</v>
      </c>
      <c r="D393" s="0" t="s">
        <v>637</v>
      </c>
      <c r="E393" s="0" t="s">
        <v>930</v>
      </c>
      <c r="F393" s="0" t="n">
        <v>2</v>
      </c>
      <c r="G393" s="0" t="n">
        <v>12.5</v>
      </c>
      <c r="I393" s="10"/>
      <c r="J393" s="0" t="n">
        <v>1.04</v>
      </c>
      <c r="K393" s="13" t="n">
        <f aca="false">IF(H393&lt;&gt;"",H393,IFERROR(G393/INDEX(Players!$M$2:$M$56,MATCH(B393,Players!$A$2:$A$56,0)),""))</f>
        <v>0.663129973474801</v>
      </c>
    </row>
    <row r="394" customFormat="false" ht="15" hidden="false" customHeight="false" outlineLevel="0" collapsed="false">
      <c r="A394" s="0" t="s">
        <v>1434</v>
      </c>
      <c r="B394" s="0" t="s">
        <v>903</v>
      </c>
      <c r="C394" s="0" t="s">
        <v>781</v>
      </c>
      <c r="D394" s="0" t="s">
        <v>637</v>
      </c>
      <c r="E394" s="0" t="s">
        <v>938</v>
      </c>
      <c r="F394" s="0" t="n">
        <v>2</v>
      </c>
      <c r="G394" s="0" t="n">
        <v>13</v>
      </c>
      <c r="I394" s="10"/>
      <c r="J394" s="0" t="n">
        <v>0.93</v>
      </c>
      <c r="K394" s="13" t="n">
        <f aca="false">IF(H394&lt;&gt;"",H394,IFERROR(G394/INDEX(Players!$M$2:$M$56,MATCH(B394,Players!$A$2:$A$56,0)),""))</f>
        <v>0.689655172413793</v>
      </c>
    </row>
    <row r="395" customFormat="false" ht="15" hidden="false" customHeight="false" outlineLevel="0" collapsed="false">
      <c r="A395" s="0" t="s">
        <v>1435</v>
      </c>
      <c r="B395" s="0" t="s">
        <v>903</v>
      </c>
      <c r="C395" s="0" t="s">
        <v>781</v>
      </c>
      <c r="D395" s="0" t="s">
        <v>637</v>
      </c>
      <c r="E395" s="0" t="s">
        <v>82</v>
      </c>
      <c r="F395" s="0" t="n">
        <v>1</v>
      </c>
      <c r="G395" s="0" t="n">
        <v>15</v>
      </c>
      <c r="I395" s="10"/>
      <c r="J395" s="0" t="n">
        <v>1.5</v>
      </c>
      <c r="K395" s="13" t="n">
        <f aca="false">IF(H395&lt;&gt;"",H395,IFERROR(G395/INDEX(Players!$M$2:$M$56,MATCH(B395,Players!$A$2:$A$56,0)),""))</f>
        <v>0.795755968169761</v>
      </c>
    </row>
    <row r="396" customFormat="false" ht="15" hidden="false" customHeight="false" outlineLevel="0" collapsed="false">
      <c r="A396" s="0" t="s">
        <v>1436</v>
      </c>
      <c r="B396" s="0" t="s">
        <v>911</v>
      </c>
      <c r="C396" s="0" t="s">
        <v>797</v>
      </c>
      <c r="D396" s="0" t="s">
        <v>637</v>
      </c>
      <c r="E396" s="0" t="s">
        <v>95</v>
      </c>
      <c r="F396" s="0" t="n">
        <v>12</v>
      </c>
      <c r="G396" s="0" t="n">
        <v>18.4</v>
      </c>
      <c r="I396" s="10"/>
      <c r="J396" s="0" t="n">
        <v>1.13</v>
      </c>
      <c r="K396" s="13" t="n">
        <f aca="false">IF(H396&lt;&gt;"",H396,IFERROR(G396/INDEX(Players!$M$2:$M$56,MATCH(B396,Players!$A$2:$A$56,0)),""))</f>
        <v>0.832054951345163</v>
      </c>
    </row>
    <row r="397" customFormat="false" ht="15" hidden="false" customHeight="false" outlineLevel="0" collapsed="false">
      <c r="A397" s="0" t="s">
        <v>1437</v>
      </c>
      <c r="B397" s="0" t="s">
        <v>911</v>
      </c>
      <c r="C397" s="0" t="s">
        <v>797</v>
      </c>
      <c r="D397" s="0" t="s">
        <v>637</v>
      </c>
      <c r="E397" s="0" t="s">
        <v>68</v>
      </c>
      <c r="F397" s="0" t="n">
        <v>8</v>
      </c>
      <c r="G397" s="0" t="n">
        <v>18.8</v>
      </c>
      <c r="I397" s="10"/>
      <c r="J397" s="0" t="n">
        <v>1.18</v>
      </c>
      <c r="K397" s="13" t="n">
        <f aca="false">IF(H397&lt;&gt;"",H397,IFERROR(G397/INDEX(Players!$M$2:$M$56,MATCH(B397,Players!$A$2:$A$56,0)),""))</f>
        <v>0.850143102461362</v>
      </c>
    </row>
    <row r="398" customFormat="false" ht="15" hidden="false" customHeight="false" outlineLevel="0" collapsed="false">
      <c r="A398" s="0" t="s">
        <v>1438</v>
      </c>
      <c r="B398" s="0" t="s">
        <v>911</v>
      </c>
      <c r="C398" s="0" t="s">
        <v>797</v>
      </c>
      <c r="D398" s="0" t="s">
        <v>637</v>
      </c>
      <c r="E398" s="0" t="s">
        <v>99</v>
      </c>
      <c r="F398" s="0" t="n">
        <v>7</v>
      </c>
      <c r="G398" s="0" t="n">
        <v>17</v>
      </c>
      <c r="I398" s="10"/>
      <c r="J398" s="0" t="n">
        <v>1.05</v>
      </c>
      <c r="K398" s="13" t="n">
        <f aca="false">IF(H398&lt;&gt;"",H398,IFERROR(G398/INDEX(Players!$M$2:$M$56,MATCH(B398,Players!$A$2:$A$56,0)),""))</f>
        <v>0.768746422438466</v>
      </c>
    </row>
    <row r="399" customFormat="false" ht="15" hidden="false" customHeight="false" outlineLevel="0" collapsed="false">
      <c r="A399" s="0" t="s">
        <v>1439</v>
      </c>
      <c r="B399" s="0" t="s">
        <v>911</v>
      </c>
      <c r="C399" s="0" t="s">
        <v>797</v>
      </c>
      <c r="D399" s="0" t="s">
        <v>637</v>
      </c>
      <c r="E399" s="0" t="s">
        <v>74</v>
      </c>
      <c r="F399" s="0" t="n">
        <v>5</v>
      </c>
      <c r="G399" s="0" t="n">
        <v>16.6</v>
      </c>
      <c r="I399" s="10"/>
      <c r="J399" s="0" t="n">
        <v>1.26</v>
      </c>
      <c r="K399" s="13" t="n">
        <f aca="false">IF(H399&lt;&gt;"",H399,IFERROR(G399/INDEX(Players!$M$2:$M$56,MATCH(B399,Players!$A$2:$A$56,0)),""))</f>
        <v>0.750658271322267</v>
      </c>
    </row>
    <row r="400" customFormat="false" ht="15" hidden="false" customHeight="false" outlineLevel="0" collapsed="false">
      <c r="A400" s="0" t="s">
        <v>1440</v>
      </c>
      <c r="B400" s="0" t="s">
        <v>911</v>
      </c>
      <c r="C400" s="0" t="s">
        <v>797</v>
      </c>
      <c r="D400" s="0" t="s">
        <v>637</v>
      </c>
      <c r="E400" s="0" t="s">
        <v>92</v>
      </c>
      <c r="F400" s="0" t="n">
        <v>3</v>
      </c>
      <c r="G400" s="0" t="n">
        <v>13.3</v>
      </c>
      <c r="I400" s="10"/>
      <c r="J400" s="0" t="n">
        <v>0.78</v>
      </c>
      <c r="K400" s="13" t="n">
        <f aca="false">IF(H400&lt;&gt;"",H400,IFERROR(G400/INDEX(Players!$M$2:$M$56,MATCH(B400,Players!$A$2:$A$56,0)),""))</f>
        <v>0.601431024613623</v>
      </c>
    </row>
    <row r="401" customFormat="false" ht="15" hidden="false" customHeight="false" outlineLevel="0" collapsed="false">
      <c r="A401" s="0" t="s">
        <v>1441</v>
      </c>
      <c r="B401" s="0" t="s">
        <v>911</v>
      </c>
      <c r="C401" s="0" t="s">
        <v>797</v>
      </c>
      <c r="D401" s="0" t="s">
        <v>637</v>
      </c>
      <c r="E401" s="0" t="s">
        <v>105</v>
      </c>
      <c r="F401" s="0" t="n">
        <v>2</v>
      </c>
      <c r="G401" s="0" t="n">
        <v>18</v>
      </c>
      <c r="I401" s="10"/>
      <c r="J401" s="0" t="n">
        <v>1.03</v>
      </c>
      <c r="K401" s="13" t="n">
        <f aca="false">IF(H401&lt;&gt;"",H401,IFERROR(G401/INDEX(Players!$M$2:$M$56,MATCH(B401,Players!$A$2:$A$56,0)),""))</f>
        <v>0.813966800228964</v>
      </c>
    </row>
    <row r="402" customFormat="false" ht="15" hidden="false" customHeight="false" outlineLevel="0" collapsed="false">
      <c r="A402" s="0" t="s">
        <v>1442</v>
      </c>
      <c r="B402" s="0" t="s">
        <v>911</v>
      </c>
      <c r="C402" s="0" t="s">
        <v>797</v>
      </c>
      <c r="D402" s="0" t="s">
        <v>637</v>
      </c>
      <c r="E402" s="0" t="s">
        <v>643</v>
      </c>
      <c r="F402" s="0" t="n">
        <v>1</v>
      </c>
      <c r="G402" s="0" t="n">
        <v>15</v>
      </c>
      <c r="I402" s="10"/>
      <c r="J402" s="0" t="n">
        <v>1.07</v>
      </c>
      <c r="K402" s="13" t="n">
        <f aca="false">IF(H402&lt;&gt;"",H402,IFERROR(G402/INDEX(Players!$M$2:$M$56,MATCH(B402,Players!$A$2:$A$56,0)),""))</f>
        <v>0.67830566685747</v>
      </c>
    </row>
    <row r="403" customFormat="false" ht="15" hidden="false" customHeight="false" outlineLevel="0" collapsed="false">
      <c r="A403" s="0" t="s">
        <v>1443</v>
      </c>
      <c r="B403" s="0" t="s">
        <v>890</v>
      </c>
      <c r="C403" s="0" t="s">
        <v>755</v>
      </c>
      <c r="D403" s="0" t="s">
        <v>637</v>
      </c>
      <c r="E403" s="0" t="s">
        <v>95</v>
      </c>
      <c r="F403" s="0" t="n">
        <v>8</v>
      </c>
      <c r="G403" s="0" t="n">
        <v>16.4</v>
      </c>
      <c r="I403" s="10"/>
      <c r="J403" s="0" t="n">
        <v>0.98</v>
      </c>
      <c r="K403" s="13" t="n">
        <f aca="false">IF(H403&lt;&gt;"",H403,IFERROR(G403/INDEX(Players!$M$2:$M$56,MATCH(B403,Players!$A$2:$A$56,0)),""))</f>
        <v>0.780135912179822</v>
      </c>
    </row>
    <row r="404" customFormat="false" ht="15" hidden="false" customHeight="false" outlineLevel="0" collapsed="false">
      <c r="A404" s="0" t="s">
        <v>1444</v>
      </c>
      <c r="B404" s="0" t="s">
        <v>890</v>
      </c>
      <c r="C404" s="0" t="s">
        <v>755</v>
      </c>
      <c r="D404" s="0" t="s">
        <v>637</v>
      </c>
      <c r="E404" s="0" t="s">
        <v>88</v>
      </c>
      <c r="F404" s="0" t="n">
        <v>6</v>
      </c>
      <c r="G404" s="0" t="n">
        <v>21.7</v>
      </c>
      <c r="I404" s="10"/>
      <c r="J404" s="0" t="n">
        <v>1.34</v>
      </c>
      <c r="K404" s="13" t="n">
        <f aca="false">IF(H404&lt;&gt;"",H404,IFERROR(G404/INDEX(Players!$M$2:$M$56,MATCH(B404,Players!$A$2:$A$56,0)),""))</f>
        <v>1.03225300575013</v>
      </c>
    </row>
    <row r="405" customFormat="false" ht="15" hidden="false" customHeight="false" outlineLevel="0" collapsed="false">
      <c r="A405" s="0" t="s">
        <v>1445</v>
      </c>
      <c r="B405" s="0" t="s">
        <v>890</v>
      </c>
      <c r="C405" s="0" t="s">
        <v>755</v>
      </c>
      <c r="D405" s="0" t="s">
        <v>637</v>
      </c>
      <c r="E405" s="0" t="s">
        <v>74</v>
      </c>
      <c r="F405" s="0" t="n">
        <v>5</v>
      </c>
      <c r="G405" s="0" t="n">
        <v>21</v>
      </c>
      <c r="I405" s="10"/>
      <c r="J405" s="0" t="n">
        <v>1.09</v>
      </c>
      <c r="K405" s="13" t="n">
        <f aca="false">IF(H405&lt;&gt;"",H405,IFERROR(G405/INDEX(Players!$M$2:$M$56,MATCH(B405,Players!$A$2:$A$56,0)),""))</f>
        <v>0.998954521693675</v>
      </c>
    </row>
    <row r="406" customFormat="false" ht="15" hidden="false" customHeight="false" outlineLevel="0" collapsed="false">
      <c r="A406" s="0" t="s">
        <v>1446</v>
      </c>
      <c r="B406" s="0" t="s">
        <v>890</v>
      </c>
      <c r="C406" s="0" t="s">
        <v>755</v>
      </c>
      <c r="D406" s="0" t="s">
        <v>637</v>
      </c>
      <c r="E406" s="0" t="s">
        <v>68</v>
      </c>
      <c r="F406" s="0" t="n">
        <v>3</v>
      </c>
      <c r="G406" s="0" t="n">
        <v>21.3</v>
      </c>
      <c r="I406" s="10"/>
      <c r="J406" s="0" t="n">
        <v>1.39</v>
      </c>
      <c r="K406" s="13" t="n">
        <f aca="false">IF(H406&lt;&gt;"",H406,IFERROR(G406/INDEX(Players!$M$2:$M$56,MATCH(B406,Players!$A$2:$A$56,0)),""))</f>
        <v>1.01322530057501</v>
      </c>
    </row>
    <row r="407" customFormat="false" ht="15" hidden="false" customHeight="false" outlineLevel="0" collapsed="false">
      <c r="A407" s="0" t="s">
        <v>1447</v>
      </c>
      <c r="B407" s="0" t="s">
        <v>890</v>
      </c>
      <c r="C407" s="0" t="s">
        <v>755</v>
      </c>
      <c r="D407" s="0" t="s">
        <v>637</v>
      </c>
      <c r="E407" s="0" t="s">
        <v>99</v>
      </c>
      <c r="F407" s="0" t="n">
        <v>3</v>
      </c>
      <c r="G407" s="0" t="n">
        <v>22</v>
      </c>
      <c r="I407" s="10"/>
      <c r="J407" s="0" t="n">
        <v>1.32</v>
      </c>
      <c r="K407" s="13" t="n">
        <f aca="false">IF(H407&lt;&gt;"",H407,IFERROR(G407/INDEX(Players!$M$2:$M$56,MATCH(B407,Players!$A$2:$A$56,0)),""))</f>
        <v>1.04652378463147</v>
      </c>
    </row>
    <row r="408" customFormat="false" ht="15" hidden="false" customHeight="false" outlineLevel="0" collapsed="false">
      <c r="A408" s="0" t="s">
        <v>1448</v>
      </c>
      <c r="B408" s="0" t="s">
        <v>890</v>
      </c>
      <c r="C408" s="0" t="s">
        <v>755</v>
      </c>
      <c r="D408" s="0" t="s">
        <v>637</v>
      </c>
      <c r="E408" s="0" t="s">
        <v>92</v>
      </c>
      <c r="F408" s="0" t="n">
        <v>2</v>
      </c>
      <c r="G408" s="0" t="n">
        <v>13</v>
      </c>
      <c r="I408" s="10"/>
      <c r="J408" s="0" t="n">
        <v>0.81</v>
      </c>
      <c r="K408" s="13" t="n">
        <f aca="false">IF(H408&lt;&gt;"",H408,IFERROR(G408/INDEX(Players!$M$2:$M$56,MATCH(B408,Players!$A$2:$A$56,0)),""))</f>
        <v>0.618400418191323</v>
      </c>
    </row>
    <row r="409" customFormat="false" ht="15" hidden="false" customHeight="false" outlineLevel="0" collapsed="false">
      <c r="A409" s="0" t="s">
        <v>1449</v>
      </c>
      <c r="B409" s="0" t="s">
        <v>890</v>
      </c>
      <c r="C409" s="0" t="s">
        <v>755</v>
      </c>
      <c r="D409" s="0" t="s">
        <v>637</v>
      </c>
      <c r="E409" s="0" t="s">
        <v>942</v>
      </c>
      <c r="F409" s="0" t="n">
        <v>1</v>
      </c>
      <c r="G409" s="0" t="n">
        <v>27</v>
      </c>
      <c r="I409" s="10"/>
      <c r="J409" s="0" t="n">
        <v>1.23</v>
      </c>
      <c r="K409" s="13" t="n">
        <f aca="false">IF(H409&lt;&gt;"",H409,IFERROR(G409/INDEX(Players!$M$2:$M$56,MATCH(B409,Players!$A$2:$A$56,0)),""))</f>
        <v>1.28437009932044</v>
      </c>
    </row>
    <row r="410" customFormat="false" ht="15" hidden="false" customHeight="false" outlineLevel="0" collapsed="false">
      <c r="A410" s="0" t="s">
        <v>1450</v>
      </c>
      <c r="B410" s="0" t="s">
        <v>890</v>
      </c>
      <c r="C410" s="0" t="s">
        <v>755</v>
      </c>
      <c r="D410" s="0" t="s">
        <v>637</v>
      </c>
      <c r="E410" s="0" t="s">
        <v>82</v>
      </c>
      <c r="F410" s="0" t="n">
        <v>1</v>
      </c>
      <c r="G410" s="0" t="n">
        <v>14</v>
      </c>
      <c r="I410" s="10"/>
      <c r="J410" s="0" t="n">
        <v>0.82</v>
      </c>
      <c r="K410" s="13" t="n">
        <f aca="false">IF(H410&lt;&gt;"",H410,IFERROR(G410/INDEX(Players!$M$2:$M$56,MATCH(B410,Players!$A$2:$A$56,0)),""))</f>
        <v>0.665969681129117</v>
      </c>
    </row>
    <row r="411" customFormat="false" ht="15" hidden="false" customHeight="false" outlineLevel="0" collapsed="false">
      <c r="A411" s="0" t="s">
        <v>1451</v>
      </c>
      <c r="B411" s="0" t="s">
        <v>890</v>
      </c>
      <c r="C411" s="0" t="s">
        <v>755</v>
      </c>
      <c r="D411" s="0" t="s">
        <v>637</v>
      </c>
      <c r="E411" s="0" t="s">
        <v>938</v>
      </c>
      <c r="F411" s="0" t="n">
        <v>1</v>
      </c>
      <c r="G411" s="0" t="n">
        <v>11</v>
      </c>
      <c r="I411" s="10"/>
      <c r="J411" s="0" t="n">
        <v>0.65</v>
      </c>
      <c r="K411" s="13" t="n">
        <f aca="false">IF(H411&lt;&gt;"",H411,IFERROR(G411/INDEX(Players!$M$2:$M$56,MATCH(B411,Players!$A$2:$A$56,0)),""))</f>
        <v>0.523261892315735</v>
      </c>
    </row>
    <row r="412" customFormat="false" ht="15" hidden="false" customHeight="false" outlineLevel="0" collapsed="false">
      <c r="A412" s="0" t="s">
        <v>1452</v>
      </c>
      <c r="B412" s="0" t="s">
        <v>904</v>
      </c>
      <c r="C412" s="0" t="s">
        <v>783</v>
      </c>
      <c r="D412" s="0" t="s">
        <v>637</v>
      </c>
      <c r="E412" s="0" t="s">
        <v>92</v>
      </c>
      <c r="F412" s="0" t="n">
        <v>6</v>
      </c>
      <c r="G412" s="0" t="n">
        <v>15.7</v>
      </c>
      <c r="I412" s="10"/>
      <c r="J412" s="0" t="n">
        <v>1.29</v>
      </c>
      <c r="K412" s="13" t="n">
        <f aca="false">IF(H412&lt;&gt;"",H412,IFERROR(G412/INDEX(Players!$M$2:$M$56,MATCH(B412,Players!$A$2:$A$56,0)),""))</f>
        <v>0.831430536451169</v>
      </c>
    </row>
    <row r="413" customFormat="false" ht="15" hidden="false" customHeight="false" outlineLevel="0" collapsed="false">
      <c r="A413" s="0" t="s">
        <v>1453</v>
      </c>
      <c r="B413" s="0" t="s">
        <v>904</v>
      </c>
      <c r="C413" s="0" t="s">
        <v>783</v>
      </c>
      <c r="D413" s="0" t="s">
        <v>637</v>
      </c>
      <c r="E413" s="0" t="s">
        <v>99</v>
      </c>
      <c r="F413" s="0" t="n">
        <v>6</v>
      </c>
      <c r="G413" s="0" t="n">
        <v>14</v>
      </c>
      <c r="I413" s="10"/>
      <c r="J413" s="0" t="n">
        <v>0.88</v>
      </c>
      <c r="K413" s="13" t="n">
        <f aca="false">IF(H413&lt;&gt;"",H413,IFERROR(G413/INDEX(Players!$M$2:$M$56,MATCH(B413,Players!$A$2:$A$56,0)),""))</f>
        <v>0.741403026134801</v>
      </c>
    </row>
    <row r="414" customFormat="false" ht="15" hidden="false" customHeight="false" outlineLevel="0" collapsed="false">
      <c r="A414" s="0" t="s">
        <v>1454</v>
      </c>
      <c r="B414" s="0" t="s">
        <v>904</v>
      </c>
      <c r="C414" s="0" t="s">
        <v>783</v>
      </c>
      <c r="D414" s="0" t="s">
        <v>637</v>
      </c>
      <c r="E414" s="0" t="s">
        <v>88</v>
      </c>
      <c r="F414" s="0" t="n">
        <v>4</v>
      </c>
      <c r="G414" s="0" t="n">
        <v>16.8</v>
      </c>
      <c r="I414" s="10"/>
      <c r="J414" s="0" t="n">
        <v>1.56</v>
      </c>
      <c r="K414" s="13" t="n">
        <f aca="false">IF(H414&lt;&gt;"",H414,IFERROR(G414/INDEX(Players!$M$2:$M$56,MATCH(B414,Players!$A$2:$A$56,0)),""))</f>
        <v>0.889683631361761</v>
      </c>
    </row>
    <row r="415" customFormat="false" ht="15" hidden="false" customHeight="false" outlineLevel="0" collapsed="false">
      <c r="A415" s="0" t="s">
        <v>1455</v>
      </c>
      <c r="B415" s="0" t="s">
        <v>904</v>
      </c>
      <c r="C415" s="0" t="s">
        <v>783</v>
      </c>
      <c r="D415" s="0" t="s">
        <v>637</v>
      </c>
      <c r="E415" s="0" t="s">
        <v>643</v>
      </c>
      <c r="F415" s="0" t="n">
        <v>4</v>
      </c>
      <c r="G415" s="0" t="n">
        <v>16.8</v>
      </c>
      <c r="I415" s="10"/>
      <c r="J415" s="0" t="n">
        <v>1.18</v>
      </c>
      <c r="K415" s="13" t="n">
        <f aca="false">IF(H415&lt;&gt;"",H415,IFERROR(G415/INDEX(Players!$M$2:$M$56,MATCH(B415,Players!$A$2:$A$56,0)),""))</f>
        <v>0.889683631361761</v>
      </c>
    </row>
    <row r="416" customFormat="false" ht="15" hidden="false" customHeight="false" outlineLevel="0" collapsed="false">
      <c r="A416" s="0" t="s">
        <v>1456</v>
      </c>
      <c r="B416" s="0" t="s">
        <v>904</v>
      </c>
      <c r="C416" s="0" t="s">
        <v>783</v>
      </c>
      <c r="D416" s="0" t="s">
        <v>637</v>
      </c>
      <c r="E416" s="0" t="s">
        <v>68</v>
      </c>
      <c r="F416" s="0" t="n">
        <v>4</v>
      </c>
      <c r="G416" s="0" t="n">
        <v>12.5</v>
      </c>
      <c r="I416" s="10"/>
      <c r="J416" s="0" t="n">
        <v>0.89</v>
      </c>
      <c r="K416" s="13" t="n">
        <f aca="false">IF(H416&lt;&gt;"",H416,IFERROR(G416/INDEX(Players!$M$2:$M$56,MATCH(B416,Players!$A$2:$A$56,0)),""))</f>
        <v>0.661966987620358</v>
      </c>
    </row>
    <row r="417" customFormat="false" ht="15" hidden="false" customHeight="false" outlineLevel="0" collapsed="false">
      <c r="A417" s="0" t="s">
        <v>1457</v>
      </c>
      <c r="B417" s="0" t="s">
        <v>904</v>
      </c>
      <c r="C417" s="0" t="s">
        <v>783</v>
      </c>
      <c r="D417" s="0" t="s">
        <v>637</v>
      </c>
      <c r="E417" s="0" t="s">
        <v>74</v>
      </c>
      <c r="F417" s="0" t="n">
        <v>3</v>
      </c>
      <c r="G417" s="0" t="n">
        <v>17.3</v>
      </c>
      <c r="I417" s="10"/>
      <c r="J417" s="0" t="n">
        <v>2</v>
      </c>
      <c r="K417" s="13" t="n">
        <f aca="false">IF(H417&lt;&gt;"",H417,IFERROR(G417/INDEX(Players!$M$2:$M$56,MATCH(B417,Players!$A$2:$A$56,0)),""))</f>
        <v>0.916162310866575</v>
      </c>
    </row>
    <row r="418" customFormat="false" ht="15" hidden="false" customHeight="false" outlineLevel="0" collapsed="false">
      <c r="A418" s="0" t="s">
        <v>1458</v>
      </c>
      <c r="B418" s="0" t="s">
        <v>904</v>
      </c>
      <c r="C418" s="0" t="s">
        <v>783</v>
      </c>
      <c r="D418" s="0" t="s">
        <v>637</v>
      </c>
      <c r="E418" s="0" t="s">
        <v>95</v>
      </c>
      <c r="F418" s="0" t="n">
        <v>3</v>
      </c>
      <c r="G418" s="0" t="n">
        <v>12.7</v>
      </c>
      <c r="I418" s="10"/>
      <c r="J418" s="0" t="n">
        <v>0.86</v>
      </c>
      <c r="K418" s="13" t="n">
        <f aca="false">IF(H418&lt;&gt;"",H418,IFERROR(G418/INDEX(Players!$M$2:$M$56,MATCH(B418,Players!$A$2:$A$56,0)),""))</f>
        <v>0.672558459422283</v>
      </c>
    </row>
    <row r="419" customFormat="false" ht="15" hidden="false" customHeight="false" outlineLevel="0" collapsed="false">
      <c r="A419" s="0" t="s">
        <v>1459</v>
      </c>
      <c r="B419" s="0" t="s">
        <v>904</v>
      </c>
      <c r="C419" s="0" t="s">
        <v>783</v>
      </c>
      <c r="D419" s="0" t="s">
        <v>637</v>
      </c>
      <c r="E419" s="0" t="s">
        <v>930</v>
      </c>
      <c r="F419" s="0" t="n">
        <v>2</v>
      </c>
      <c r="G419" s="0" t="n">
        <v>10.5</v>
      </c>
      <c r="I419" s="10"/>
      <c r="J419" s="0" t="n">
        <v>0.75</v>
      </c>
      <c r="K419" s="13" t="n">
        <f aca="false">IF(H419&lt;&gt;"",H419,IFERROR(G419/INDEX(Players!$M$2:$M$56,MATCH(B419,Players!$A$2:$A$56,0)),""))</f>
        <v>0.556052269601101</v>
      </c>
    </row>
    <row r="420" customFormat="false" ht="15" hidden="false" customHeight="false" outlineLevel="0" collapsed="false">
      <c r="A420" s="0" t="s">
        <v>1460</v>
      </c>
      <c r="B420" s="0" t="s">
        <v>904</v>
      </c>
      <c r="C420" s="0" t="s">
        <v>783</v>
      </c>
      <c r="D420" s="0" t="s">
        <v>637</v>
      </c>
      <c r="E420" s="0" t="s">
        <v>938</v>
      </c>
      <c r="F420" s="0" t="n">
        <v>2</v>
      </c>
      <c r="G420" s="0" t="n">
        <v>12.5</v>
      </c>
      <c r="I420" s="10"/>
      <c r="J420" s="0" t="n">
        <v>0.74</v>
      </c>
      <c r="K420" s="13" t="n">
        <f aca="false">IF(H420&lt;&gt;"",H420,IFERROR(G420/INDEX(Players!$M$2:$M$56,MATCH(B420,Players!$A$2:$A$56,0)),""))</f>
        <v>0.661966987620358</v>
      </c>
    </row>
    <row r="421" customFormat="false" ht="15" hidden="false" customHeight="false" outlineLevel="0" collapsed="false">
      <c r="A421" s="0" t="s">
        <v>1461</v>
      </c>
      <c r="B421" s="0" t="s">
        <v>904</v>
      </c>
      <c r="C421" s="0" t="s">
        <v>783</v>
      </c>
      <c r="D421" s="0" t="s">
        <v>637</v>
      </c>
      <c r="E421" s="0" t="s">
        <v>82</v>
      </c>
      <c r="F421" s="0" t="n">
        <v>1</v>
      </c>
      <c r="G421" s="0" t="n">
        <v>11</v>
      </c>
      <c r="I421" s="10"/>
      <c r="J421" s="0" t="n">
        <v>0.92</v>
      </c>
      <c r="K421" s="13" t="n">
        <f aca="false">IF(H421&lt;&gt;"",H421,IFERROR(G421/INDEX(Players!$M$2:$M$56,MATCH(B421,Players!$A$2:$A$56,0)),""))</f>
        <v>0.582530949105915</v>
      </c>
    </row>
    <row r="422" customFormat="false" ht="15" hidden="false" customHeight="false" outlineLevel="0" collapsed="false">
      <c r="A422" s="0" t="s">
        <v>1462</v>
      </c>
      <c r="B422" s="0" t="s">
        <v>891</v>
      </c>
      <c r="C422" s="0" t="s">
        <v>757</v>
      </c>
      <c r="D422" s="0" t="s">
        <v>637</v>
      </c>
      <c r="E422" s="0" t="s">
        <v>68</v>
      </c>
      <c r="F422" s="0" t="n">
        <v>1</v>
      </c>
      <c r="G422" s="0" t="n">
        <v>20</v>
      </c>
      <c r="I422" s="10"/>
      <c r="J422" s="0" t="n">
        <v>1.82</v>
      </c>
      <c r="K422" s="13" t="n">
        <f aca="false">IF(H422&lt;&gt;"",H422,IFERROR(G422/INDEX(Players!$M$2:$M$56,MATCH(B422,Players!$A$2:$A$56,0)),""))</f>
        <v>0.988593155893536</v>
      </c>
    </row>
    <row r="423" customFormat="false" ht="15" hidden="false" customHeight="false" outlineLevel="0" collapsed="false">
      <c r="A423" s="0" t="s">
        <v>1463</v>
      </c>
      <c r="B423" s="0" t="s">
        <v>891</v>
      </c>
      <c r="C423" s="0" t="s">
        <v>757</v>
      </c>
      <c r="D423" s="0" t="s">
        <v>637</v>
      </c>
      <c r="E423" s="0" t="s">
        <v>938</v>
      </c>
      <c r="F423" s="0" t="n">
        <v>1</v>
      </c>
      <c r="G423" s="0" t="n">
        <v>24</v>
      </c>
      <c r="I423" s="10"/>
      <c r="J423" s="0" t="n">
        <v>1.6</v>
      </c>
      <c r="K423" s="13" t="n">
        <f aca="false">IF(H423&lt;&gt;"",H423,IFERROR(G423/INDEX(Players!$M$2:$M$56,MATCH(B423,Players!$A$2:$A$56,0)),""))</f>
        <v>1.18631178707224</v>
      </c>
    </row>
    <row r="424" customFormat="false" ht="15" hidden="false" customHeight="false" outlineLevel="0" collapsed="false">
      <c r="A424" s="0" t="s">
        <v>1464</v>
      </c>
      <c r="B424" s="0" t="s">
        <v>891</v>
      </c>
      <c r="C424" s="0" t="s">
        <v>757</v>
      </c>
      <c r="D424" s="0" t="s">
        <v>637</v>
      </c>
      <c r="E424" s="0" t="s">
        <v>930</v>
      </c>
      <c r="F424" s="0" t="n">
        <v>1</v>
      </c>
      <c r="G424" s="0" t="n">
        <v>21</v>
      </c>
      <c r="I424" s="10"/>
      <c r="J424" s="0" t="n">
        <v>1.31</v>
      </c>
      <c r="K424" s="13" t="n">
        <f aca="false">IF(H424&lt;&gt;"",H424,IFERROR(G424/INDEX(Players!$M$2:$M$56,MATCH(B424,Players!$A$2:$A$56,0)),""))</f>
        <v>1.03802281368821</v>
      </c>
    </row>
    <row r="425" customFormat="false" ht="15" hidden="false" customHeight="false" outlineLevel="0" collapsed="false">
      <c r="A425" s="0" t="s">
        <v>1465</v>
      </c>
      <c r="B425" s="0" t="s">
        <v>891</v>
      </c>
      <c r="C425" s="0" t="s">
        <v>757</v>
      </c>
      <c r="D425" s="0" t="s">
        <v>637</v>
      </c>
      <c r="E425" s="0" t="s">
        <v>88</v>
      </c>
      <c r="F425" s="0" t="n">
        <v>1</v>
      </c>
      <c r="G425" s="0" t="n">
        <v>20</v>
      </c>
      <c r="I425" s="10"/>
      <c r="J425" s="0" t="n">
        <v>1.18</v>
      </c>
      <c r="K425" s="13" t="n">
        <f aca="false">IF(H425&lt;&gt;"",H425,IFERROR(G425/INDEX(Players!$M$2:$M$56,MATCH(B425,Players!$A$2:$A$56,0)),""))</f>
        <v>0.988593155893536</v>
      </c>
    </row>
    <row r="426" customFormat="false" ht="15" hidden="false" customHeight="false" outlineLevel="0" collapsed="false">
      <c r="A426" s="0" t="s">
        <v>1466</v>
      </c>
      <c r="B426" s="0" t="s">
        <v>891</v>
      </c>
      <c r="C426" s="0" t="s">
        <v>757</v>
      </c>
      <c r="D426" s="0" t="s">
        <v>637</v>
      </c>
      <c r="E426" s="0" t="s">
        <v>99</v>
      </c>
      <c r="F426" s="0" t="n">
        <v>1</v>
      </c>
      <c r="G426" s="0" t="n">
        <v>16</v>
      </c>
      <c r="I426" s="10"/>
      <c r="J426" s="0" t="n">
        <v>1.07</v>
      </c>
      <c r="K426" s="13" t="n">
        <f aca="false">IF(H426&lt;&gt;"",H426,IFERROR(G426/INDEX(Players!$M$2:$M$56,MATCH(B426,Players!$A$2:$A$56,0)),""))</f>
        <v>0.790874524714829</v>
      </c>
    </row>
    <row r="427" customFormat="false" ht="15" hidden="false" customHeight="false" outlineLevel="0" collapsed="false">
      <c r="A427" s="0" t="s">
        <v>1467</v>
      </c>
      <c r="B427" s="0" t="s">
        <v>891</v>
      </c>
      <c r="C427" s="0" t="s">
        <v>757</v>
      </c>
      <c r="D427" s="0" t="s">
        <v>637</v>
      </c>
      <c r="E427" s="0" t="s">
        <v>74</v>
      </c>
      <c r="F427" s="0" t="n">
        <v>1</v>
      </c>
      <c r="G427" s="0" t="n">
        <v>13</v>
      </c>
      <c r="I427" s="10"/>
      <c r="J427" s="0" t="n">
        <v>0.87</v>
      </c>
      <c r="K427" s="13" t="n">
        <f aca="false">IF(H427&lt;&gt;"",H427,IFERROR(G427/INDEX(Players!$M$2:$M$56,MATCH(B427,Players!$A$2:$A$56,0)),""))</f>
        <v>0.642585551330799</v>
      </c>
    </row>
    <row r="428" customFormat="false" ht="15" hidden="false" customHeight="false" outlineLevel="0" collapsed="false">
      <c r="A428" s="0" t="s">
        <v>1468</v>
      </c>
      <c r="B428" s="0" t="s">
        <v>891</v>
      </c>
      <c r="C428" s="0" t="s">
        <v>757</v>
      </c>
      <c r="D428" s="0" t="s">
        <v>637</v>
      </c>
      <c r="E428" s="0" t="s">
        <v>95</v>
      </c>
      <c r="F428" s="0" t="n">
        <v>1</v>
      </c>
      <c r="G428" s="0" t="n">
        <v>11</v>
      </c>
      <c r="I428" s="10"/>
      <c r="J428" s="0" t="n">
        <v>0.69</v>
      </c>
      <c r="K428" s="13" t="n">
        <f aca="false">IF(H428&lt;&gt;"",H428,IFERROR(G428/INDEX(Players!$M$2:$M$56,MATCH(B428,Players!$A$2:$A$56,0)),""))</f>
        <v>0.543726235741445</v>
      </c>
    </row>
    <row r="429" customFormat="false" ht="15" hidden="false" customHeight="false" outlineLevel="0" collapsed="false">
      <c r="A429" s="0" t="s">
        <v>1469</v>
      </c>
      <c r="B429" s="0" t="s">
        <v>891</v>
      </c>
      <c r="C429" s="0" t="s">
        <v>757</v>
      </c>
      <c r="D429" s="0" t="s">
        <v>637</v>
      </c>
      <c r="E429" s="0" t="s">
        <v>92</v>
      </c>
      <c r="F429" s="0" t="n">
        <v>1</v>
      </c>
      <c r="G429" s="0" t="n">
        <v>8</v>
      </c>
      <c r="I429" s="10"/>
      <c r="J429" s="0" t="n">
        <v>0.62</v>
      </c>
      <c r="K429" s="13" t="n">
        <f aca="false">IF(H429&lt;&gt;"",H429,IFERROR(G429/INDEX(Players!$M$2:$M$56,MATCH(B429,Players!$A$2:$A$56,0)),""))</f>
        <v>0.395437262357414</v>
      </c>
    </row>
    <row r="430" customFormat="false" ht="15" hidden="false" customHeight="false" outlineLevel="0" collapsed="false">
      <c r="A430" s="0" t="s">
        <v>1470</v>
      </c>
      <c r="B430" s="0" t="s">
        <v>891</v>
      </c>
      <c r="C430" s="0" t="s">
        <v>757</v>
      </c>
      <c r="D430" s="0" t="s">
        <v>637</v>
      </c>
      <c r="E430" s="0" t="s">
        <v>942</v>
      </c>
      <c r="F430" s="0" t="n">
        <v>1</v>
      </c>
      <c r="G430" s="0" t="n">
        <v>9</v>
      </c>
      <c r="I430" s="10"/>
      <c r="J430" s="0" t="n">
        <v>0.6</v>
      </c>
      <c r="K430" s="13" t="n">
        <f aca="false">IF(H430&lt;&gt;"",H430,IFERROR(G430/INDEX(Players!$M$2:$M$56,MATCH(B430,Players!$A$2:$A$56,0)),""))</f>
        <v>0.444866920152091</v>
      </c>
    </row>
    <row r="431" customFormat="false" ht="15" hidden="false" customHeight="false" outlineLevel="0" collapsed="false">
      <c r="A431" s="0" t="s">
        <v>1471</v>
      </c>
      <c r="B431" s="0" t="s">
        <v>912</v>
      </c>
      <c r="C431" s="0" t="s">
        <v>799</v>
      </c>
      <c r="D431" s="0" t="s">
        <v>637</v>
      </c>
      <c r="E431" s="0" t="s">
        <v>68</v>
      </c>
      <c r="F431" s="0" t="n">
        <v>8</v>
      </c>
      <c r="G431" s="0" t="n">
        <v>14.3</v>
      </c>
      <c r="I431" s="10"/>
      <c r="J431" s="0" t="n">
        <v>1.01</v>
      </c>
      <c r="K431" s="13" t="n">
        <f aca="false">IF(H431&lt;&gt;"",H431,IFERROR(G431/INDEX(Players!$M$2:$M$56,MATCH(B431,Players!$A$2:$A$56,0)),""))</f>
        <v>0.70087783467447</v>
      </c>
    </row>
    <row r="432" customFormat="false" ht="15" hidden="false" customHeight="false" outlineLevel="0" collapsed="false">
      <c r="A432" s="0" t="s">
        <v>1472</v>
      </c>
      <c r="B432" s="0" t="s">
        <v>912</v>
      </c>
      <c r="C432" s="0" t="s">
        <v>799</v>
      </c>
      <c r="D432" s="0" t="s">
        <v>637</v>
      </c>
      <c r="E432" s="0" t="s">
        <v>74</v>
      </c>
      <c r="F432" s="0" t="n">
        <v>6</v>
      </c>
      <c r="G432" s="0" t="n">
        <v>17.3</v>
      </c>
      <c r="I432" s="10"/>
      <c r="J432" s="0" t="n">
        <v>1.33</v>
      </c>
      <c r="K432" s="13" t="n">
        <f aca="false">IF(H432&lt;&gt;"",H432,IFERROR(G432/INDEX(Players!$M$2:$M$56,MATCH(B432,Players!$A$2:$A$56,0)),""))</f>
        <v>0.847915142648135</v>
      </c>
    </row>
    <row r="433" customFormat="false" ht="15" hidden="false" customHeight="false" outlineLevel="0" collapsed="false">
      <c r="A433" s="0" t="s">
        <v>1473</v>
      </c>
      <c r="B433" s="0" t="s">
        <v>912</v>
      </c>
      <c r="C433" s="0" t="s">
        <v>799</v>
      </c>
      <c r="D433" s="0" t="s">
        <v>637</v>
      </c>
      <c r="E433" s="0" t="s">
        <v>105</v>
      </c>
      <c r="F433" s="0" t="n">
        <v>6</v>
      </c>
      <c r="G433" s="0" t="n">
        <v>15.3</v>
      </c>
      <c r="I433" s="10"/>
      <c r="J433" s="0" t="n">
        <v>1.26</v>
      </c>
      <c r="K433" s="13" t="n">
        <f aca="false">IF(H433&lt;&gt;"",H433,IFERROR(G433/INDEX(Players!$M$2:$M$56,MATCH(B433,Players!$A$2:$A$56,0)),""))</f>
        <v>0.749890270665691</v>
      </c>
    </row>
    <row r="434" customFormat="false" ht="15" hidden="false" customHeight="false" outlineLevel="0" collapsed="false">
      <c r="A434" s="0" t="s">
        <v>1474</v>
      </c>
      <c r="B434" s="0" t="s">
        <v>912</v>
      </c>
      <c r="C434" s="0" t="s">
        <v>799</v>
      </c>
      <c r="D434" s="0" t="s">
        <v>637</v>
      </c>
      <c r="E434" s="0" t="s">
        <v>92</v>
      </c>
      <c r="F434" s="0" t="n">
        <v>6</v>
      </c>
      <c r="G434" s="0" t="n">
        <v>13.3</v>
      </c>
      <c r="I434" s="10"/>
      <c r="J434" s="0" t="n">
        <v>1</v>
      </c>
      <c r="K434" s="13" t="n">
        <f aca="false">IF(H434&lt;&gt;"",H434,IFERROR(G434/INDEX(Players!$M$2:$M$56,MATCH(B434,Players!$A$2:$A$56,0)),""))</f>
        <v>0.651865398683248</v>
      </c>
    </row>
    <row r="435" customFormat="false" ht="15" hidden="false" customHeight="false" outlineLevel="0" collapsed="false">
      <c r="A435" s="0" t="s">
        <v>1475</v>
      </c>
      <c r="B435" s="0" t="s">
        <v>912</v>
      </c>
      <c r="C435" s="0" t="s">
        <v>799</v>
      </c>
      <c r="D435" s="0" t="s">
        <v>637</v>
      </c>
      <c r="E435" s="0" t="s">
        <v>99</v>
      </c>
      <c r="F435" s="0" t="n">
        <v>5</v>
      </c>
      <c r="G435" s="0" t="n">
        <v>11.8</v>
      </c>
      <c r="I435" s="10"/>
      <c r="J435" s="0" t="n">
        <v>0.82</v>
      </c>
      <c r="K435" s="13" t="n">
        <f aca="false">IF(H435&lt;&gt;"",H435,IFERROR(G435/INDEX(Players!$M$2:$M$56,MATCH(B435,Players!$A$2:$A$56,0)),""))</f>
        <v>0.578346744696416</v>
      </c>
    </row>
    <row r="436" customFormat="false" ht="15" hidden="false" customHeight="false" outlineLevel="0" collapsed="false">
      <c r="A436" s="0" t="s">
        <v>1476</v>
      </c>
      <c r="B436" s="0" t="s">
        <v>912</v>
      </c>
      <c r="C436" s="0" t="s">
        <v>799</v>
      </c>
      <c r="D436" s="0" t="s">
        <v>637</v>
      </c>
      <c r="E436" s="0" t="s">
        <v>88</v>
      </c>
      <c r="F436" s="0" t="n">
        <v>3</v>
      </c>
      <c r="G436" s="0" t="n">
        <v>9</v>
      </c>
      <c r="I436" s="10"/>
      <c r="J436" s="0" t="n">
        <v>0.79</v>
      </c>
      <c r="K436" s="13" t="n">
        <f aca="false">IF(H436&lt;&gt;"",H436,IFERROR(G436/INDEX(Players!$M$2:$M$56,MATCH(B436,Players!$A$2:$A$56,0)),""))</f>
        <v>0.441111923920995</v>
      </c>
    </row>
    <row r="437" customFormat="false" ht="15" hidden="false" customHeight="false" outlineLevel="0" collapsed="false">
      <c r="A437" s="0" t="s">
        <v>1477</v>
      </c>
      <c r="B437" s="0" t="s">
        <v>912</v>
      </c>
      <c r="C437" s="0" t="s">
        <v>799</v>
      </c>
      <c r="D437" s="0" t="s">
        <v>637</v>
      </c>
      <c r="E437" s="0" t="s">
        <v>938</v>
      </c>
      <c r="F437" s="0" t="n">
        <v>2</v>
      </c>
      <c r="G437" s="0" t="n">
        <v>17.5</v>
      </c>
      <c r="I437" s="10"/>
      <c r="J437" s="0" t="n">
        <v>0.92</v>
      </c>
      <c r="K437" s="13" t="n">
        <f aca="false">IF(H437&lt;&gt;"",H437,IFERROR(G437/INDEX(Players!$M$2:$M$56,MATCH(B437,Players!$A$2:$A$56,0)),""))</f>
        <v>0.857717629846379</v>
      </c>
    </row>
    <row r="438" customFormat="false" ht="15" hidden="false" customHeight="false" outlineLevel="0" collapsed="false">
      <c r="A438" s="0" t="s">
        <v>1478</v>
      </c>
      <c r="B438" s="0" t="s">
        <v>912</v>
      </c>
      <c r="C438" s="0" t="s">
        <v>799</v>
      </c>
      <c r="D438" s="0" t="s">
        <v>637</v>
      </c>
      <c r="E438" s="0" t="s">
        <v>95</v>
      </c>
      <c r="F438" s="0" t="n">
        <v>2</v>
      </c>
      <c r="G438" s="0" t="n">
        <v>6</v>
      </c>
      <c r="I438" s="10"/>
      <c r="J438" s="0" t="n">
        <v>0.44</v>
      </c>
      <c r="K438" s="13" t="n">
        <f aca="false">IF(H438&lt;&gt;"",H438,IFERROR(G438/INDEX(Players!$M$2:$M$56,MATCH(B438,Players!$A$2:$A$56,0)),""))</f>
        <v>0.29407461594733</v>
      </c>
    </row>
    <row r="439" customFormat="false" ht="15" hidden="false" customHeight="false" outlineLevel="0" collapsed="false">
      <c r="A439" s="0" t="s">
        <v>1479</v>
      </c>
      <c r="B439" s="0" t="s">
        <v>912</v>
      </c>
      <c r="C439" s="0" t="s">
        <v>799</v>
      </c>
      <c r="D439" s="0" t="s">
        <v>637</v>
      </c>
      <c r="E439" s="0" t="s">
        <v>643</v>
      </c>
      <c r="F439" s="0" t="n">
        <v>1</v>
      </c>
      <c r="G439" s="0" t="n">
        <v>10</v>
      </c>
      <c r="I439" s="10"/>
      <c r="J439" s="0" t="n">
        <v>0.63</v>
      </c>
      <c r="K439" s="13" t="n">
        <f aca="false">IF(H439&lt;&gt;"",H439,IFERROR(G439/INDEX(Players!$M$2:$M$56,MATCH(B439,Players!$A$2:$A$56,0)),""))</f>
        <v>0.490124359912217</v>
      </c>
    </row>
    <row r="440" customFormat="false" ht="15" hidden="false" customHeight="false" outlineLevel="0" collapsed="false">
      <c r="A440" s="0" t="s">
        <v>1480</v>
      </c>
      <c r="B440" s="0" t="s">
        <v>899</v>
      </c>
      <c r="C440" s="0" t="s">
        <v>773</v>
      </c>
      <c r="D440" s="0" t="s">
        <v>637</v>
      </c>
      <c r="E440" s="0" t="s">
        <v>95</v>
      </c>
      <c r="F440" s="0" t="n">
        <v>11</v>
      </c>
      <c r="G440" s="0" t="n">
        <v>11</v>
      </c>
      <c r="I440" s="10"/>
      <c r="J440" s="0" t="n">
        <v>0.92</v>
      </c>
      <c r="K440" s="13" t="n">
        <f aca="false">IF(H440&lt;&gt;"",H440,IFERROR(G440/INDEX(Players!$M$2:$M$56,MATCH(B440,Players!$A$2:$A$56,0)),""))</f>
        <v>0.553514376996805</v>
      </c>
    </row>
    <row r="441" customFormat="false" ht="15" hidden="false" customHeight="false" outlineLevel="0" collapsed="false">
      <c r="A441" s="0" t="s">
        <v>1481</v>
      </c>
      <c r="B441" s="0" t="s">
        <v>899</v>
      </c>
      <c r="C441" s="0" t="s">
        <v>773</v>
      </c>
      <c r="D441" s="0" t="s">
        <v>637</v>
      </c>
      <c r="E441" s="0" t="s">
        <v>68</v>
      </c>
      <c r="F441" s="0" t="n">
        <v>9</v>
      </c>
      <c r="G441" s="0" t="n">
        <v>14.6</v>
      </c>
      <c r="I441" s="10"/>
      <c r="J441" s="0" t="n">
        <v>1.3</v>
      </c>
      <c r="K441" s="13" t="n">
        <f aca="false">IF(H441&lt;&gt;"",H441,IFERROR(G441/INDEX(Players!$M$2:$M$56,MATCH(B441,Players!$A$2:$A$56,0)),""))</f>
        <v>0.734664536741214</v>
      </c>
    </row>
    <row r="442" customFormat="false" ht="15" hidden="false" customHeight="false" outlineLevel="0" collapsed="false">
      <c r="A442" s="0" t="s">
        <v>1482</v>
      </c>
      <c r="B442" s="0" t="s">
        <v>899</v>
      </c>
      <c r="C442" s="0" t="s">
        <v>773</v>
      </c>
      <c r="D442" s="0" t="s">
        <v>637</v>
      </c>
      <c r="E442" s="0" t="s">
        <v>99</v>
      </c>
      <c r="F442" s="0" t="n">
        <v>5</v>
      </c>
      <c r="G442" s="0" t="n">
        <v>12.2</v>
      </c>
      <c r="I442" s="10"/>
      <c r="J442" s="0" t="n">
        <v>1.22</v>
      </c>
      <c r="K442" s="13" t="n">
        <f aca="false">IF(H442&lt;&gt;"",H442,IFERROR(G442/INDEX(Players!$M$2:$M$56,MATCH(B442,Players!$A$2:$A$56,0)),""))</f>
        <v>0.613897763578275</v>
      </c>
    </row>
    <row r="443" customFormat="false" ht="15" hidden="false" customHeight="false" outlineLevel="0" collapsed="false">
      <c r="A443" s="0" t="s">
        <v>1483</v>
      </c>
      <c r="B443" s="0" t="s">
        <v>899</v>
      </c>
      <c r="C443" s="0" t="s">
        <v>773</v>
      </c>
      <c r="D443" s="0" t="s">
        <v>637</v>
      </c>
      <c r="E443" s="0" t="s">
        <v>88</v>
      </c>
      <c r="F443" s="0" t="n">
        <v>5</v>
      </c>
      <c r="G443" s="0" t="n">
        <v>13.8</v>
      </c>
      <c r="I443" s="10"/>
      <c r="J443" s="0" t="n">
        <v>1.03</v>
      </c>
      <c r="K443" s="13" t="n">
        <f aca="false">IF(H443&lt;&gt;"",H443,IFERROR(G443/INDEX(Players!$M$2:$M$56,MATCH(B443,Players!$A$2:$A$56,0)),""))</f>
        <v>0.694408945686901</v>
      </c>
    </row>
    <row r="444" customFormat="false" ht="15" hidden="false" customHeight="false" outlineLevel="0" collapsed="false">
      <c r="A444" s="0" t="s">
        <v>1484</v>
      </c>
      <c r="B444" s="0" t="s">
        <v>899</v>
      </c>
      <c r="C444" s="0" t="s">
        <v>773</v>
      </c>
      <c r="D444" s="0" t="s">
        <v>637</v>
      </c>
      <c r="E444" s="0" t="s">
        <v>74</v>
      </c>
      <c r="F444" s="0" t="n">
        <v>5</v>
      </c>
      <c r="G444" s="0" t="n">
        <v>12</v>
      </c>
      <c r="I444" s="10"/>
      <c r="J444" s="0" t="n">
        <v>0.92</v>
      </c>
      <c r="K444" s="13" t="n">
        <f aca="false">IF(H444&lt;&gt;"",H444,IFERROR(G444/INDEX(Players!$M$2:$M$56,MATCH(B444,Players!$A$2:$A$56,0)),""))</f>
        <v>0.603833865814696</v>
      </c>
    </row>
    <row r="445" customFormat="false" ht="15" hidden="false" customHeight="false" outlineLevel="0" collapsed="false">
      <c r="A445" s="0" t="s">
        <v>1485</v>
      </c>
      <c r="B445" s="0" t="s">
        <v>899</v>
      </c>
      <c r="C445" s="0" t="s">
        <v>773</v>
      </c>
      <c r="D445" s="0" t="s">
        <v>637</v>
      </c>
      <c r="E445" s="0" t="s">
        <v>643</v>
      </c>
      <c r="F445" s="0" t="n">
        <v>3</v>
      </c>
      <c r="G445" s="0" t="n">
        <v>12.3</v>
      </c>
      <c r="I445" s="10"/>
      <c r="J445" s="0" t="n">
        <v>1.09</v>
      </c>
      <c r="K445" s="13" t="n">
        <f aca="false">IF(H445&lt;&gt;"",H445,IFERROR(G445/INDEX(Players!$M$2:$M$56,MATCH(B445,Players!$A$2:$A$56,0)),""))</f>
        <v>0.618929712460064</v>
      </c>
    </row>
    <row r="446" customFormat="false" ht="15" hidden="false" customHeight="false" outlineLevel="0" collapsed="false">
      <c r="A446" s="0" t="s">
        <v>1486</v>
      </c>
      <c r="B446" s="0" t="s">
        <v>899</v>
      </c>
      <c r="C446" s="0" t="s">
        <v>773</v>
      </c>
      <c r="D446" s="0" t="s">
        <v>637</v>
      </c>
      <c r="E446" s="0" t="s">
        <v>942</v>
      </c>
      <c r="F446" s="0" t="n">
        <v>2</v>
      </c>
      <c r="G446" s="0" t="n">
        <v>15</v>
      </c>
      <c r="I446" s="10"/>
      <c r="J446" s="0" t="n">
        <v>1.07</v>
      </c>
      <c r="K446" s="13" t="n">
        <f aca="false">IF(H446&lt;&gt;"",H446,IFERROR(G446/INDEX(Players!$M$2:$M$56,MATCH(B446,Players!$A$2:$A$56,0)),""))</f>
        <v>0.754792332268371</v>
      </c>
    </row>
    <row r="447" customFormat="false" ht="15" hidden="false" customHeight="false" outlineLevel="0" collapsed="false">
      <c r="A447" s="0" t="s">
        <v>1487</v>
      </c>
      <c r="B447" s="0" t="s">
        <v>899</v>
      </c>
      <c r="C447" s="0" t="s">
        <v>773</v>
      </c>
      <c r="D447" s="0" t="s">
        <v>637</v>
      </c>
      <c r="E447" s="0" t="s">
        <v>930</v>
      </c>
      <c r="F447" s="0" t="n">
        <v>1</v>
      </c>
      <c r="G447" s="0" t="n">
        <v>14</v>
      </c>
      <c r="I447" s="10"/>
      <c r="J447" s="0" t="n">
        <v>1</v>
      </c>
      <c r="K447" s="13" t="n">
        <f aca="false">IF(H447&lt;&gt;"",H447,IFERROR(G447/INDEX(Players!$M$2:$M$56,MATCH(B447,Players!$A$2:$A$56,0)),""))</f>
        <v>0.704472843450479</v>
      </c>
    </row>
    <row r="448" customFormat="false" ht="15" hidden="false" customHeight="false" outlineLevel="0" collapsed="false">
      <c r="A448" s="0" t="s">
        <v>1488</v>
      </c>
      <c r="B448" s="0" t="s">
        <v>899</v>
      </c>
      <c r="C448" s="0" t="s">
        <v>773</v>
      </c>
      <c r="D448" s="0" t="s">
        <v>637</v>
      </c>
      <c r="E448" s="0" t="s">
        <v>105</v>
      </c>
      <c r="F448" s="0" t="n">
        <v>1</v>
      </c>
      <c r="G448" s="0" t="n">
        <v>11</v>
      </c>
      <c r="I448" s="10"/>
      <c r="J448" s="0" t="n">
        <v>0.79</v>
      </c>
      <c r="K448" s="13" t="n">
        <f aca="false">IF(H448&lt;&gt;"",H448,IFERROR(G448/INDEX(Players!$M$2:$M$56,MATCH(B448,Players!$A$2:$A$56,0)),""))</f>
        <v>0.553514376996805</v>
      </c>
    </row>
    <row r="449" customFormat="false" ht="15" hidden="false" customHeight="false" outlineLevel="0" collapsed="false">
      <c r="A449" s="0" t="s">
        <v>1489</v>
      </c>
      <c r="B449" s="0" t="s">
        <v>899</v>
      </c>
      <c r="C449" s="0" t="s">
        <v>773</v>
      </c>
      <c r="D449" s="0" t="s">
        <v>637</v>
      </c>
      <c r="E449" s="0" t="s">
        <v>935</v>
      </c>
      <c r="F449" s="0" t="n">
        <v>1</v>
      </c>
      <c r="G449" s="0" t="n">
        <v>9</v>
      </c>
      <c r="I449" s="10"/>
      <c r="J449" s="0" t="n">
        <v>0.69</v>
      </c>
      <c r="K449" s="13" t="n">
        <f aca="false">IF(H449&lt;&gt;"",H449,IFERROR(G449/INDEX(Players!$M$2:$M$56,MATCH(B449,Players!$A$2:$A$56,0)),""))</f>
        <v>0.452875399361022</v>
      </c>
    </row>
    <row r="450" customFormat="false" ht="15" hidden="false" customHeight="false" outlineLevel="0" collapsed="false">
      <c r="A450" s="0" t="s">
        <v>1490</v>
      </c>
      <c r="B450" s="0" t="s">
        <v>899</v>
      </c>
      <c r="C450" s="0" t="s">
        <v>773</v>
      </c>
      <c r="D450" s="0" t="s">
        <v>637</v>
      </c>
      <c r="E450" s="0" t="s">
        <v>82</v>
      </c>
      <c r="F450" s="0" t="n">
        <v>1</v>
      </c>
      <c r="G450" s="0" t="n">
        <v>8</v>
      </c>
      <c r="I450" s="10"/>
      <c r="J450" s="0" t="n">
        <v>0.57</v>
      </c>
      <c r="K450" s="13" t="n">
        <f aca="false">IF(H450&lt;&gt;"",H450,IFERROR(G450/INDEX(Players!$M$2:$M$56,MATCH(B450,Players!$A$2:$A$56,0)),""))</f>
        <v>0.402555910543131</v>
      </c>
    </row>
  </sheetData>
  <autoFilter ref="A1:K4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8"/>
  </cols>
  <sheetData>
    <row r="1" customFormat="false" ht="28.35" hidden="false" customHeight="false" outlineLevel="0" collapsed="false">
      <c r="A1" s="12" t="s">
        <v>570</v>
      </c>
      <c r="B1" s="12" t="s">
        <v>1491</v>
      </c>
      <c r="C1" s="12" t="s">
        <v>1492</v>
      </c>
      <c r="D1" s="12" t="s">
        <v>1493</v>
      </c>
      <c r="E1" s="12" t="s">
        <v>1494</v>
      </c>
      <c r="F1" s="12" t="s">
        <v>1495</v>
      </c>
      <c r="G1" s="12" t="s">
        <v>1496</v>
      </c>
      <c r="H1" s="12" t="s">
        <v>1497</v>
      </c>
    </row>
    <row r="2" customFormat="false" ht="15" hidden="false" customHeight="false" outlineLevel="0" collapsed="false">
      <c r="A2" s="0" t="s">
        <v>525</v>
      </c>
      <c r="B2" s="0" t="s">
        <v>1498</v>
      </c>
      <c r="C2" s="0" t="n">
        <v>13.64</v>
      </c>
      <c r="D2" s="0" t="n">
        <v>3</v>
      </c>
      <c r="E2" s="0" t="n">
        <v>13.93</v>
      </c>
      <c r="F2" s="0" t="n">
        <v>2</v>
      </c>
      <c r="G2" s="0" t="n">
        <v>27.58</v>
      </c>
      <c r="H2" s="0" t="s">
        <v>883</v>
      </c>
    </row>
    <row r="3" customFormat="false" ht="15" hidden="false" customHeight="false" outlineLevel="0" collapsed="false">
      <c r="A3" s="0" t="s">
        <v>525</v>
      </c>
      <c r="B3" s="0" t="s">
        <v>1499</v>
      </c>
      <c r="C3" s="0" t="n">
        <v>12.6</v>
      </c>
      <c r="D3" s="0" t="n">
        <v>3</v>
      </c>
      <c r="E3" s="0" t="n">
        <v>12.87</v>
      </c>
      <c r="F3" s="0" t="n">
        <v>2</v>
      </c>
      <c r="G3" s="0" t="n">
        <v>25.47</v>
      </c>
    </row>
    <row r="4" customFormat="false" ht="15" hidden="false" customHeight="false" outlineLevel="0" collapsed="false">
      <c r="A4" s="0" t="s">
        <v>525</v>
      </c>
      <c r="B4" s="0" t="s">
        <v>1500</v>
      </c>
      <c r="C4" s="0" t="n">
        <v>15.1</v>
      </c>
      <c r="D4" s="0" t="n">
        <v>3</v>
      </c>
      <c r="E4" s="0" t="n">
        <v>15.43</v>
      </c>
      <c r="F4" s="0" t="n">
        <v>3</v>
      </c>
      <c r="G4" s="0" t="n">
        <v>30.53</v>
      </c>
      <c r="H4" s="0" t="s">
        <v>884</v>
      </c>
    </row>
    <row r="5" customFormat="false" ht="15" hidden="false" customHeight="false" outlineLevel="0" collapsed="false">
      <c r="A5" s="0" t="s">
        <v>525</v>
      </c>
      <c r="B5" s="0" t="s">
        <v>1501</v>
      </c>
      <c r="C5" s="0" t="n">
        <v>15.88</v>
      </c>
      <c r="D5" s="0" t="n">
        <v>3</v>
      </c>
      <c r="E5" s="0" t="n">
        <v>15.5</v>
      </c>
      <c r="F5" s="0" t="n">
        <v>3</v>
      </c>
      <c r="G5" s="0" t="n">
        <v>31.38</v>
      </c>
      <c r="H5" s="0" t="s">
        <v>878</v>
      </c>
    </row>
    <row r="6" customFormat="false" ht="15" hidden="false" customHeight="false" outlineLevel="0" collapsed="false">
      <c r="A6" s="0" t="s">
        <v>525</v>
      </c>
      <c r="B6" s="0" t="s">
        <v>1502</v>
      </c>
      <c r="C6" s="0" t="n">
        <v>14.86</v>
      </c>
      <c r="D6" s="0" t="n">
        <v>2</v>
      </c>
      <c r="E6" s="0" t="n">
        <v>14.48</v>
      </c>
      <c r="F6" s="0" t="n">
        <v>3</v>
      </c>
      <c r="G6" s="0" t="n">
        <v>29.34</v>
      </c>
      <c r="H6" s="0" t="s">
        <v>879</v>
      </c>
    </row>
    <row r="7" customFormat="false" ht="15" hidden="false" customHeight="false" outlineLevel="0" collapsed="false">
      <c r="A7" s="0" t="s">
        <v>525</v>
      </c>
      <c r="B7" s="0" t="s">
        <v>1503</v>
      </c>
      <c r="C7" s="0" t="n">
        <v>15.74</v>
      </c>
      <c r="D7" s="0" t="n">
        <v>3</v>
      </c>
      <c r="E7" s="0" t="n">
        <v>16.07</v>
      </c>
      <c r="F7" s="0" t="n">
        <v>3</v>
      </c>
      <c r="G7" s="0" t="n">
        <v>31.8</v>
      </c>
      <c r="H7" s="0" t="s">
        <v>885</v>
      </c>
    </row>
    <row r="8" customFormat="false" ht="15" hidden="false" customHeight="false" outlineLevel="0" collapsed="false">
      <c r="A8" s="0" t="s">
        <v>525</v>
      </c>
      <c r="B8" s="0" t="s">
        <v>1504</v>
      </c>
      <c r="C8" s="0" t="n">
        <v>12.18</v>
      </c>
      <c r="D8" s="0" t="n">
        <v>2</v>
      </c>
      <c r="E8" s="0" t="n">
        <v>11.88</v>
      </c>
      <c r="F8" s="0" t="n">
        <v>2</v>
      </c>
      <c r="G8" s="0" t="n">
        <v>24.06</v>
      </c>
      <c r="H8" s="0" t="s">
        <v>880</v>
      </c>
    </row>
    <row r="9" customFormat="false" ht="15" hidden="false" customHeight="false" outlineLevel="0" collapsed="false">
      <c r="A9" s="0" t="s">
        <v>525</v>
      </c>
      <c r="B9" s="0" t="s">
        <v>734</v>
      </c>
      <c r="C9" s="0" t="n">
        <v>13.82</v>
      </c>
      <c r="D9" s="0" t="n">
        <v>2</v>
      </c>
      <c r="E9" s="0" t="n">
        <v>13.46</v>
      </c>
      <c r="F9" s="0" t="n">
        <v>3</v>
      </c>
      <c r="G9" s="0" t="n">
        <v>27.28</v>
      </c>
      <c r="H9" s="0" t="s">
        <v>881</v>
      </c>
    </row>
    <row r="10" customFormat="false" ht="15" hidden="false" customHeight="false" outlineLevel="0" collapsed="false">
      <c r="A10" s="0" t="s">
        <v>525</v>
      </c>
      <c r="B10" s="0" t="s">
        <v>747</v>
      </c>
      <c r="C10" s="0" t="n">
        <v>13.02</v>
      </c>
      <c r="D10" s="0" t="n">
        <v>2</v>
      </c>
      <c r="E10" s="0" t="n">
        <v>13.3</v>
      </c>
      <c r="F10" s="0" t="n">
        <v>3</v>
      </c>
      <c r="G10" s="0" t="n">
        <v>26.32</v>
      </c>
      <c r="H10" s="0" t="s">
        <v>886</v>
      </c>
    </row>
    <row r="11" customFormat="false" ht="15" hidden="false" customHeight="false" outlineLevel="0" collapsed="false">
      <c r="A11" s="0" t="s">
        <v>525</v>
      </c>
      <c r="B11" s="0" t="s">
        <v>1505</v>
      </c>
      <c r="C11" s="0" t="n">
        <v>14.64</v>
      </c>
      <c r="D11" s="0" t="n">
        <v>3</v>
      </c>
      <c r="E11" s="0" t="n">
        <v>14.28</v>
      </c>
      <c r="F11" s="0" t="n">
        <v>3</v>
      </c>
      <c r="G11" s="0" t="n">
        <v>28.92</v>
      </c>
      <c r="H11" s="0" t="s">
        <v>882</v>
      </c>
    </row>
    <row r="12" customFormat="false" ht="15" hidden="false" customHeight="false" outlineLevel="0" collapsed="false">
      <c r="A12" s="0" t="s">
        <v>653</v>
      </c>
      <c r="B12" s="0" t="s">
        <v>791</v>
      </c>
      <c r="C12" s="0" t="n">
        <v>16.87</v>
      </c>
      <c r="D12" s="0" t="n">
        <v>2</v>
      </c>
      <c r="E12" s="0" t="n">
        <v>16.84</v>
      </c>
      <c r="F12" s="0" t="n">
        <v>2</v>
      </c>
      <c r="G12" s="0" t="n">
        <v>33.71</v>
      </c>
      <c r="H12" s="0" t="s">
        <v>908</v>
      </c>
    </row>
    <row r="13" customFormat="false" ht="15" hidden="false" customHeight="false" outlineLevel="0" collapsed="false">
      <c r="A13" s="0" t="s">
        <v>653</v>
      </c>
      <c r="B13" s="0" t="s">
        <v>801</v>
      </c>
      <c r="C13" s="0" t="n">
        <v>16.31</v>
      </c>
      <c r="D13" s="0" t="n">
        <v>2</v>
      </c>
      <c r="E13" s="0" t="n">
        <v>16.27</v>
      </c>
      <c r="F13" s="0" t="n">
        <v>2</v>
      </c>
      <c r="G13" s="0" t="n">
        <v>32.58</v>
      </c>
      <c r="H13" s="0" t="s">
        <v>913</v>
      </c>
    </row>
    <row r="14" customFormat="false" ht="15" hidden="false" customHeight="false" outlineLevel="0" collapsed="false">
      <c r="A14" s="0" t="s">
        <v>653</v>
      </c>
      <c r="B14" s="0" t="s">
        <v>803</v>
      </c>
      <c r="C14" s="0" t="n">
        <v>14.29</v>
      </c>
      <c r="D14" s="0" t="n">
        <v>2</v>
      </c>
      <c r="E14" s="0" t="n">
        <v>14.29</v>
      </c>
      <c r="F14" s="0" t="n">
        <v>2</v>
      </c>
      <c r="G14" s="0" t="n">
        <v>28.58</v>
      </c>
      <c r="H14" s="0" t="s">
        <v>914</v>
      </c>
    </row>
    <row r="15" customFormat="false" ht="15" hidden="false" customHeight="false" outlineLevel="0" collapsed="false">
      <c r="A15" s="0" t="s">
        <v>653</v>
      </c>
      <c r="B15" s="0" t="s">
        <v>805</v>
      </c>
      <c r="C15" s="0" t="n">
        <v>12.73</v>
      </c>
      <c r="D15" s="0" t="n">
        <v>2</v>
      </c>
      <c r="E15" s="0" t="n">
        <v>12.73</v>
      </c>
      <c r="F15" s="0" t="n">
        <v>2</v>
      </c>
      <c r="G15" s="0" t="n">
        <v>25.46</v>
      </c>
      <c r="H15" s="0" t="s">
        <v>915</v>
      </c>
    </row>
    <row r="16" customFormat="false" ht="15" hidden="false" customHeight="false" outlineLevel="0" collapsed="false">
      <c r="A16" s="0" t="s">
        <v>653</v>
      </c>
      <c r="B16" s="0" t="s">
        <v>1506</v>
      </c>
      <c r="C16" s="0" t="n">
        <v>18.99</v>
      </c>
      <c r="D16" s="0" t="n">
        <v>2</v>
      </c>
      <c r="E16" s="0" t="n">
        <v>18.96</v>
      </c>
      <c r="F16" s="0" t="n">
        <v>2</v>
      </c>
      <c r="G16" s="0" t="n">
        <v>37.95</v>
      </c>
      <c r="H16" s="0" t="s">
        <v>916</v>
      </c>
    </row>
    <row r="17" customFormat="false" ht="15" hidden="false" customHeight="false" outlineLevel="0" collapsed="false">
      <c r="A17" s="0" t="s">
        <v>653</v>
      </c>
      <c r="B17" s="0" t="s">
        <v>1507</v>
      </c>
      <c r="C17" s="0" t="n">
        <v>13.86</v>
      </c>
      <c r="D17" s="0" t="n">
        <v>2</v>
      </c>
      <c r="E17" s="0" t="n">
        <v>13.84</v>
      </c>
      <c r="F17" s="0" t="n">
        <v>2</v>
      </c>
      <c r="G17" s="0" t="n">
        <v>27.69</v>
      </c>
      <c r="H17" s="0" t="s">
        <v>917</v>
      </c>
    </row>
    <row r="18" customFormat="false" ht="15" hidden="false" customHeight="false" outlineLevel="0" collapsed="false">
      <c r="A18" s="0" t="s">
        <v>653</v>
      </c>
      <c r="B18" s="0" t="s">
        <v>1508</v>
      </c>
      <c r="C18" s="0" t="n">
        <v>14.73</v>
      </c>
      <c r="D18" s="0" t="n">
        <v>2</v>
      </c>
      <c r="E18" s="0" t="n">
        <v>14.7</v>
      </c>
      <c r="F18" s="0" t="n">
        <v>2</v>
      </c>
      <c r="G18" s="0" t="n">
        <v>29.44</v>
      </c>
      <c r="H18" s="0" t="s">
        <v>909</v>
      </c>
    </row>
    <row r="19" customFormat="false" ht="15" hidden="false" customHeight="false" outlineLevel="0" collapsed="false">
      <c r="A19" s="0" t="s">
        <v>653</v>
      </c>
      <c r="B19" s="0" t="s">
        <v>1509</v>
      </c>
      <c r="D19" s="0" t="n">
        <v>1</v>
      </c>
      <c r="F19" s="0" t="n">
        <v>1</v>
      </c>
      <c r="H19" s="0" t="s">
        <v>910</v>
      </c>
    </row>
    <row r="20" customFormat="false" ht="15" hidden="false" customHeight="false" outlineLevel="0" collapsed="false">
      <c r="A20" s="0" t="s">
        <v>653</v>
      </c>
      <c r="B20" s="0" t="s">
        <v>797</v>
      </c>
      <c r="C20" s="0" t="n">
        <v>14.92</v>
      </c>
      <c r="D20" s="0" t="n">
        <v>2</v>
      </c>
      <c r="E20" s="0" t="n">
        <v>14.9</v>
      </c>
      <c r="F20" s="0" t="n">
        <v>2</v>
      </c>
      <c r="G20" s="0" t="n">
        <v>29.82</v>
      </c>
      <c r="H20" s="0" t="s">
        <v>911</v>
      </c>
    </row>
    <row r="21" customFormat="false" ht="15" hidden="false" customHeight="false" outlineLevel="0" collapsed="false">
      <c r="A21" s="0" t="s">
        <v>653</v>
      </c>
      <c r="B21" s="0" t="s">
        <v>1510</v>
      </c>
      <c r="C21" s="0" t="n">
        <v>12.97</v>
      </c>
      <c r="D21" s="0" t="n">
        <v>2</v>
      </c>
      <c r="E21" s="0" t="n">
        <v>12.97</v>
      </c>
      <c r="F21" s="0" t="n">
        <v>2</v>
      </c>
      <c r="G21" s="0" t="n">
        <v>25.94</v>
      </c>
      <c r="H21" s="0" t="s">
        <v>912</v>
      </c>
    </row>
    <row r="22" customFormat="false" ht="15" hidden="false" customHeight="false" outlineLevel="0" collapsed="false">
      <c r="A22" s="0" t="s">
        <v>660</v>
      </c>
      <c r="B22" s="0" t="s">
        <v>765</v>
      </c>
      <c r="C22" s="0" t="n">
        <v>15.37</v>
      </c>
      <c r="D22" s="0" t="n">
        <v>2</v>
      </c>
      <c r="E22" s="0" t="n">
        <v>15.37</v>
      </c>
      <c r="F22" s="0" t="n">
        <v>2</v>
      </c>
      <c r="G22" s="0" t="n">
        <v>30.74</v>
      </c>
      <c r="H22" s="0" t="s">
        <v>895</v>
      </c>
    </row>
    <row r="23" customFormat="false" ht="15" hidden="false" customHeight="false" outlineLevel="0" collapsed="false">
      <c r="A23" s="0" t="s">
        <v>660</v>
      </c>
      <c r="B23" s="0" t="s">
        <v>1511</v>
      </c>
      <c r="D23" s="0" t="n">
        <v>1</v>
      </c>
      <c r="F23" s="0" t="n">
        <v>1</v>
      </c>
      <c r="H23" s="0" t="s">
        <v>900</v>
      </c>
    </row>
    <row r="24" customFormat="false" ht="15" hidden="false" customHeight="false" outlineLevel="0" collapsed="false">
      <c r="A24" s="0" t="s">
        <v>660</v>
      </c>
      <c r="B24" s="0" t="s">
        <v>1512</v>
      </c>
      <c r="C24" s="0" t="n">
        <v>17.48</v>
      </c>
      <c r="D24" s="0" t="n">
        <v>3</v>
      </c>
      <c r="E24" s="0" t="n">
        <v>17.48</v>
      </c>
      <c r="F24" s="0" t="n">
        <v>3</v>
      </c>
      <c r="G24" s="0" t="n">
        <v>34.96</v>
      </c>
      <c r="H24" s="0" t="s">
        <v>896</v>
      </c>
    </row>
    <row r="25" customFormat="false" ht="15" hidden="false" customHeight="false" outlineLevel="0" collapsed="false">
      <c r="A25" s="0" t="s">
        <v>660</v>
      </c>
      <c r="B25" s="0" t="s">
        <v>769</v>
      </c>
      <c r="D25" s="0" t="n">
        <v>1</v>
      </c>
      <c r="F25" s="0" t="n">
        <v>1</v>
      </c>
      <c r="H25" s="0" t="s">
        <v>897</v>
      </c>
    </row>
    <row r="26" customFormat="false" ht="15" hidden="false" customHeight="false" outlineLevel="0" collapsed="false">
      <c r="A26" s="0" t="s">
        <v>660</v>
      </c>
      <c r="B26" s="0" t="s">
        <v>777</v>
      </c>
      <c r="C26" s="0" t="n">
        <v>13.95</v>
      </c>
      <c r="D26" s="0" t="n">
        <v>2</v>
      </c>
      <c r="E26" s="0" t="n">
        <v>13.95</v>
      </c>
      <c r="F26" s="0" t="n">
        <v>2</v>
      </c>
      <c r="G26" s="0" t="n">
        <v>27.89</v>
      </c>
      <c r="H26" s="0" t="s">
        <v>901</v>
      </c>
    </row>
    <row r="27" customFormat="false" ht="15" hidden="false" customHeight="false" outlineLevel="0" collapsed="false">
      <c r="A27" s="0" t="s">
        <v>660</v>
      </c>
      <c r="B27" s="0" t="s">
        <v>1513</v>
      </c>
      <c r="C27" s="0" t="n">
        <v>16.92</v>
      </c>
      <c r="D27" s="0" t="n">
        <v>2</v>
      </c>
      <c r="E27" s="0" t="n">
        <v>16.9</v>
      </c>
      <c r="F27" s="0" t="n">
        <v>2</v>
      </c>
      <c r="G27" s="0" t="n">
        <v>33.82</v>
      </c>
      <c r="H27" s="0" t="s">
        <v>898</v>
      </c>
    </row>
    <row r="28" customFormat="false" ht="15" hidden="false" customHeight="false" outlineLevel="0" collapsed="false">
      <c r="A28" s="0" t="s">
        <v>660</v>
      </c>
      <c r="B28" s="0" t="s">
        <v>1514</v>
      </c>
      <c r="C28" s="0" t="n">
        <v>18.96</v>
      </c>
      <c r="D28" s="0" t="n">
        <v>2</v>
      </c>
      <c r="E28" s="0" t="n">
        <v>18.93</v>
      </c>
      <c r="F28" s="0" t="n">
        <v>2</v>
      </c>
      <c r="G28" s="0" t="n">
        <v>37.9</v>
      </c>
    </row>
    <row r="29" customFormat="false" ht="15" hidden="false" customHeight="false" outlineLevel="0" collapsed="false">
      <c r="A29" s="0" t="s">
        <v>660</v>
      </c>
      <c r="B29" s="0" t="s">
        <v>1515</v>
      </c>
      <c r="C29" s="0" t="n">
        <v>12.86</v>
      </c>
      <c r="D29" s="0" t="n">
        <v>2</v>
      </c>
      <c r="E29" s="0" t="n">
        <v>12.86</v>
      </c>
      <c r="F29" s="0" t="n">
        <v>2</v>
      </c>
      <c r="G29" s="0" t="n">
        <v>25.72</v>
      </c>
      <c r="H29" s="0" t="s">
        <v>903</v>
      </c>
    </row>
    <row r="30" customFormat="false" ht="15" hidden="false" customHeight="false" outlineLevel="0" collapsed="false">
      <c r="A30" s="0" t="s">
        <v>660</v>
      </c>
      <c r="B30" s="0" t="s">
        <v>783</v>
      </c>
      <c r="C30" s="0" t="n">
        <v>17.2</v>
      </c>
      <c r="D30" s="0" t="n">
        <v>2</v>
      </c>
      <c r="E30" s="0" t="n">
        <v>17.2</v>
      </c>
      <c r="F30" s="0" t="n">
        <v>2</v>
      </c>
      <c r="G30" s="0" t="n">
        <v>34.4</v>
      </c>
      <c r="H30" s="0" t="s">
        <v>904</v>
      </c>
    </row>
    <row r="31" customFormat="false" ht="15" hidden="false" customHeight="false" outlineLevel="0" collapsed="false">
      <c r="A31" s="0" t="s">
        <v>660</v>
      </c>
      <c r="B31" s="0" t="s">
        <v>1516</v>
      </c>
      <c r="D31" s="0" t="n">
        <v>1</v>
      </c>
      <c r="F31" s="0" t="n">
        <v>1</v>
      </c>
      <c r="H31" s="0" t="s">
        <v>899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28.35" hidden="false" customHeight="false" outlineLevel="0" collapsed="false">
      <c r="A1" s="12" t="s">
        <v>570</v>
      </c>
      <c r="B1" s="12" t="s">
        <v>58</v>
      </c>
      <c r="C1" s="12" t="s">
        <v>1517</v>
      </c>
      <c r="D1" s="12" t="s">
        <v>1518</v>
      </c>
      <c r="E1" s="12" t="s">
        <v>1519</v>
      </c>
      <c r="F1" s="12" t="s">
        <v>1520</v>
      </c>
      <c r="G1" s="12" t="s">
        <v>1521</v>
      </c>
    </row>
    <row r="2" customFormat="false" ht="15" hidden="false" customHeight="false" outlineLevel="0" collapsed="false">
      <c r="A2" s="0" t="s">
        <v>525</v>
      </c>
      <c r="B2" s="0" t="n">
        <v>1</v>
      </c>
      <c r="C2" s="0" t="n">
        <v>18.5</v>
      </c>
      <c r="D2" s="0" t="n">
        <v>1.22</v>
      </c>
      <c r="E2" s="0" t="n">
        <v>3.61</v>
      </c>
      <c r="F2" s="10" t="n">
        <v>0.7474</v>
      </c>
      <c r="G2" s="0" t="n">
        <v>21.26</v>
      </c>
    </row>
    <row r="3" customFormat="false" ht="15" hidden="false" customHeight="false" outlineLevel="0" collapsed="false">
      <c r="A3" s="0" t="s">
        <v>525</v>
      </c>
      <c r="B3" s="0" t="n">
        <v>1</v>
      </c>
      <c r="C3" s="0" t="n">
        <v>19.5</v>
      </c>
      <c r="D3" s="0" t="n">
        <v>1.36</v>
      </c>
      <c r="E3" s="0" t="n">
        <v>2.74</v>
      </c>
      <c r="F3" s="10" t="n">
        <v>0.6683</v>
      </c>
      <c r="G3" s="0" t="n">
        <v>21.26</v>
      </c>
    </row>
    <row r="4" customFormat="false" ht="15" hidden="false" customHeight="false" outlineLevel="0" collapsed="false">
      <c r="A4" s="0" t="s">
        <v>525</v>
      </c>
      <c r="B4" s="0" t="n">
        <v>1</v>
      </c>
      <c r="C4" s="0" t="n">
        <v>20.5</v>
      </c>
      <c r="D4" s="0" t="n">
        <v>1.59</v>
      </c>
      <c r="E4" s="0" t="n">
        <v>2.17</v>
      </c>
      <c r="F4" s="10" t="n">
        <v>0.5771</v>
      </c>
      <c r="G4" s="0" t="n">
        <v>21.26</v>
      </c>
    </row>
    <row r="5" customFormat="false" ht="15" hidden="false" customHeight="false" outlineLevel="0" collapsed="false">
      <c r="A5" s="0" t="s">
        <v>525</v>
      </c>
      <c r="B5" s="0" t="n">
        <v>1</v>
      </c>
      <c r="C5" s="0" t="n">
        <v>21.5</v>
      </c>
      <c r="D5" s="0" t="n">
        <v>1.94</v>
      </c>
      <c r="E5" s="0" t="n">
        <v>1.76</v>
      </c>
      <c r="F5" s="10" t="n">
        <v>0.4757</v>
      </c>
      <c r="G5" s="0" t="n">
        <v>21.26</v>
      </c>
    </row>
    <row r="6" customFormat="false" ht="15" hidden="false" customHeight="false" outlineLevel="0" collapsed="false">
      <c r="A6" s="0" t="s">
        <v>525</v>
      </c>
      <c r="B6" s="0" t="n">
        <v>1</v>
      </c>
      <c r="C6" s="0" t="n">
        <v>22.5</v>
      </c>
      <c r="D6" s="0" t="n">
        <v>2.46</v>
      </c>
      <c r="E6" s="0" t="n">
        <v>1.45</v>
      </c>
      <c r="F6" s="10" t="n">
        <v>0.3708</v>
      </c>
      <c r="G6" s="0" t="n">
        <v>21.26</v>
      </c>
    </row>
    <row r="7" customFormat="false" ht="15" hidden="false" customHeight="false" outlineLevel="0" collapsed="false">
      <c r="A7" s="0" t="s">
        <v>525</v>
      </c>
      <c r="B7" s="0" t="n">
        <v>1</v>
      </c>
      <c r="C7" s="0" t="n">
        <v>23.5</v>
      </c>
      <c r="D7" s="0" t="n">
        <v>3.45</v>
      </c>
      <c r="E7" s="0" t="n">
        <v>1.24</v>
      </c>
      <c r="F7" s="10" t="n">
        <v>0.2644</v>
      </c>
      <c r="G7" s="0" t="n">
        <v>21.26</v>
      </c>
    </row>
    <row r="8" customFormat="false" ht="15" hidden="false" customHeight="false" outlineLevel="0" collapsed="false">
      <c r="A8" s="0" t="s">
        <v>525</v>
      </c>
      <c r="B8" s="0" t="n">
        <v>2</v>
      </c>
      <c r="C8" s="0" t="n">
        <v>18.5</v>
      </c>
      <c r="D8" s="0" t="n">
        <v>1.22</v>
      </c>
      <c r="E8" s="0" t="n">
        <v>3.59</v>
      </c>
      <c r="F8" s="10" t="n">
        <v>0.7464</v>
      </c>
      <c r="G8" s="0" t="n">
        <v>21.24</v>
      </c>
    </row>
    <row r="9" customFormat="false" ht="15" hidden="false" customHeight="false" outlineLevel="0" collapsed="false">
      <c r="A9" s="0" t="s">
        <v>525</v>
      </c>
      <c r="B9" s="0" t="n">
        <v>2</v>
      </c>
      <c r="C9" s="0" t="n">
        <v>19.5</v>
      </c>
      <c r="D9" s="0" t="n">
        <v>1.37</v>
      </c>
      <c r="E9" s="0" t="n">
        <v>2.73</v>
      </c>
      <c r="F9" s="10" t="n">
        <v>0.6659</v>
      </c>
      <c r="G9" s="0" t="n">
        <v>21.24</v>
      </c>
    </row>
    <row r="10" customFormat="false" ht="15" hidden="false" customHeight="false" outlineLevel="0" collapsed="false">
      <c r="A10" s="0" t="s">
        <v>525</v>
      </c>
      <c r="B10" s="0" t="n">
        <v>2</v>
      </c>
      <c r="C10" s="0" t="n">
        <v>20.5</v>
      </c>
      <c r="D10" s="0" t="n">
        <v>1.6</v>
      </c>
      <c r="E10" s="0" t="n">
        <v>2.16</v>
      </c>
      <c r="F10" s="10" t="n">
        <v>0.5745</v>
      </c>
      <c r="G10" s="0" t="n">
        <v>21.24</v>
      </c>
    </row>
    <row r="11" customFormat="false" ht="15" hidden="false" customHeight="false" outlineLevel="0" collapsed="false">
      <c r="A11" s="0" t="s">
        <v>525</v>
      </c>
      <c r="B11" s="0" t="n">
        <v>2</v>
      </c>
      <c r="C11" s="0" t="n">
        <v>21.5</v>
      </c>
      <c r="D11" s="0" t="n">
        <v>1.94</v>
      </c>
      <c r="E11" s="0" t="n">
        <v>1.75</v>
      </c>
      <c r="F11" s="10" t="n">
        <v>0.4743</v>
      </c>
      <c r="G11" s="0" t="n">
        <v>21.24</v>
      </c>
    </row>
    <row r="12" customFormat="false" ht="15" hidden="false" customHeight="false" outlineLevel="0" collapsed="false">
      <c r="A12" s="0" t="s">
        <v>525</v>
      </c>
      <c r="B12" s="0" t="n">
        <v>2</v>
      </c>
      <c r="C12" s="0" t="n">
        <v>22.5</v>
      </c>
      <c r="D12" s="0" t="n">
        <v>2.47</v>
      </c>
      <c r="E12" s="0" t="n">
        <v>1.45</v>
      </c>
      <c r="F12" s="10" t="n">
        <v>0.3699</v>
      </c>
      <c r="G12" s="0" t="n">
        <v>21.24</v>
      </c>
    </row>
    <row r="13" customFormat="false" ht="15" hidden="false" customHeight="false" outlineLevel="0" collapsed="false">
      <c r="A13" s="0" t="s">
        <v>525</v>
      </c>
      <c r="B13" s="0" t="n">
        <v>2</v>
      </c>
      <c r="C13" s="0" t="n">
        <v>23.5</v>
      </c>
      <c r="D13" s="0" t="n">
        <v>3.47</v>
      </c>
      <c r="E13" s="0" t="n">
        <v>1.23</v>
      </c>
      <c r="F13" s="10" t="n">
        <v>0.2617</v>
      </c>
      <c r="G13" s="0" t="n">
        <v>21.24</v>
      </c>
    </row>
    <row r="14" customFormat="false" ht="15" hidden="false" customHeight="false" outlineLevel="0" collapsed="false">
      <c r="A14" s="0" t="s">
        <v>636</v>
      </c>
      <c r="B14" s="0" t="n">
        <v>1</v>
      </c>
      <c r="C14" s="0" t="n">
        <v>19.5</v>
      </c>
      <c r="D14" s="0" t="n">
        <v>1.36</v>
      </c>
      <c r="E14" s="0" t="n">
        <v>2.87</v>
      </c>
      <c r="F14" s="10" t="n">
        <v>0.6785</v>
      </c>
      <c r="G14" s="0" t="n">
        <v>21.3</v>
      </c>
    </row>
    <row r="15" customFormat="false" ht="15" hidden="false" customHeight="false" outlineLevel="0" collapsed="false">
      <c r="A15" s="0" t="s">
        <v>636</v>
      </c>
      <c r="B15" s="0" t="n">
        <v>1</v>
      </c>
      <c r="C15" s="0" t="n">
        <v>20.5</v>
      </c>
      <c r="D15" s="0" t="n">
        <v>1.58</v>
      </c>
      <c r="E15" s="0" t="n">
        <v>2.21</v>
      </c>
      <c r="F15" s="10" t="n">
        <v>0.5831</v>
      </c>
      <c r="G15" s="0" t="n">
        <v>21.3</v>
      </c>
    </row>
    <row r="16" customFormat="false" ht="15" hidden="false" customHeight="false" outlineLevel="0" collapsed="false">
      <c r="A16" s="0" t="s">
        <v>636</v>
      </c>
      <c r="B16" s="0" t="n">
        <v>1</v>
      </c>
      <c r="C16" s="0" t="n">
        <v>21.5</v>
      </c>
      <c r="D16" s="0" t="n">
        <v>1.92</v>
      </c>
      <c r="E16" s="0" t="n">
        <v>1.77</v>
      </c>
      <c r="F16" s="10" t="n">
        <v>0.4797</v>
      </c>
      <c r="G16" s="0" t="n">
        <v>21.3</v>
      </c>
    </row>
    <row r="17" customFormat="false" ht="15" hidden="false" customHeight="false" outlineLevel="0" collapsed="false">
      <c r="A17" s="0" t="s">
        <v>636</v>
      </c>
      <c r="B17" s="0" t="n">
        <v>1</v>
      </c>
      <c r="C17" s="0" t="n">
        <v>22.5</v>
      </c>
      <c r="D17" s="0" t="n">
        <v>2.48</v>
      </c>
      <c r="E17" s="0" t="n">
        <v>1.47</v>
      </c>
      <c r="F17" s="10" t="n">
        <v>0.3722</v>
      </c>
      <c r="G17" s="0" t="n">
        <v>21.3</v>
      </c>
    </row>
    <row r="18" customFormat="false" ht="15" hidden="false" customHeight="false" outlineLevel="0" collapsed="false">
      <c r="A18" s="0" t="s">
        <v>636</v>
      </c>
      <c r="B18" s="0" t="n">
        <v>2</v>
      </c>
      <c r="C18" s="0" t="n">
        <v>19.5</v>
      </c>
      <c r="D18" s="0" t="n">
        <v>1.37</v>
      </c>
      <c r="E18" s="0" t="n">
        <v>2.83</v>
      </c>
      <c r="F18" s="10" t="n">
        <v>0.6738</v>
      </c>
      <c r="G18" s="0" t="n">
        <v>21.27</v>
      </c>
    </row>
    <row r="19" customFormat="false" ht="15" hidden="false" customHeight="false" outlineLevel="0" collapsed="false">
      <c r="A19" s="0" t="s">
        <v>636</v>
      </c>
      <c r="B19" s="0" t="n">
        <v>2</v>
      </c>
      <c r="C19" s="0" t="n">
        <v>20.5</v>
      </c>
      <c r="D19" s="0" t="n">
        <v>1.59</v>
      </c>
      <c r="E19" s="0" t="n">
        <v>2.19</v>
      </c>
      <c r="F19" s="10" t="n">
        <v>0.5794</v>
      </c>
      <c r="G19" s="0" t="n">
        <v>21.27</v>
      </c>
    </row>
    <row r="20" customFormat="false" ht="15" hidden="false" customHeight="false" outlineLevel="0" collapsed="false">
      <c r="A20" s="0" t="s">
        <v>636</v>
      </c>
      <c r="B20" s="0" t="n">
        <v>2</v>
      </c>
      <c r="C20" s="0" t="n">
        <v>21.5</v>
      </c>
      <c r="D20" s="0" t="n">
        <v>1.94</v>
      </c>
      <c r="E20" s="0" t="n">
        <v>1.76</v>
      </c>
      <c r="F20" s="10" t="n">
        <v>0.4757</v>
      </c>
      <c r="G20" s="0" t="n">
        <v>21.27</v>
      </c>
    </row>
    <row r="21" customFormat="false" ht="15" hidden="false" customHeight="false" outlineLevel="0" collapsed="false">
      <c r="A21" s="0" t="s">
        <v>636</v>
      </c>
      <c r="B21" s="0" t="n">
        <v>2</v>
      </c>
      <c r="C21" s="0" t="n">
        <v>22.5</v>
      </c>
      <c r="D21" s="0" t="n">
        <v>2.51</v>
      </c>
      <c r="E21" s="0" t="n">
        <v>1.46</v>
      </c>
      <c r="F21" s="10" t="n">
        <v>0.3678</v>
      </c>
      <c r="G21" s="0" t="n">
        <v>21.27</v>
      </c>
    </row>
    <row r="22" customFormat="false" ht="15" hidden="false" customHeight="false" outlineLevel="0" collapsed="false">
      <c r="A22" s="0" t="s">
        <v>646</v>
      </c>
      <c r="B22" s="0" t="n">
        <v>1</v>
      </c>
      <c r="C22" s="0" t="n">
        <v>19.5</v>
      </c>
      <c r="D22" s="0" t="n">
        <v>1.35</v>
      </c>
      <c r="E22" s="0" t="n">
        <v>2.9</v>
      </c>
      <c r="F22" s="10" t="n">
        <v>0.6824</v>
      </c>
      <c r="G22" s="0" t="n">
        <v>21.36</v>
      </c>
    </row>
    <row r="23" customFormat="false" ht="15" hidden="false" customHeight="false" outlineLevel="0" collapsed="false">
      <c r="A23" s="0" t="s">
        <v>646</v>
      </c>
      <c r="B23" s="0" t="n">
        <v>1</v>
      </c>
      <c r="C23" s="0" t="n">
        <v>20.5</v>
      </c>
      <c r="D23" s="0" t="n">
        <v>1.57</v>
      </c>
      <c r="E23" s="0" t="n">
        <v>2.24</v>
      </c>
      <c r="F23" s="10" t="n">
        <v>0.5879</v>
      </c>
      <c r="G23" s="0" t="n">
        <v>21.36</v>
      </c>
    </row>
    <row r="24" customFormat="false" ht="15" hidden="false" customHeight="false" outlineLevel="0" collapsed="false">
      <c r="A24" s="0" t="s">
        <v>646</v>
      </c>
      <c r="B24" s="0" t="n">
        <v>1</v>
      </c>
      <c r="C24" s="0" t="n">
        <v>21.5</v>
      </c>
      <c r="D24" s="0" t="n">
        <v>1.9</v>
      </c>
      <c r="E24" s="0" t="n">
        <v>1.79</v>
      </c>
      <c r="F24" s="10" t="n">
        <v>0.4851</v>
      </c>
      <c r="G24" s="0" t="n">
        <v>21.36</v>
      </c>
    </row>
    <row r="25" customFormat="false" ht="15" hidden="false" customHeight="false" outlineLevel="0" collapsed="false">
      <c r="A25" s="0" t="s">
        <v>646</v>
      </c>
      <c r="B25" s="0" t="n">
        <v>1</v>
      </c>
      <c r="C25" s="0" t="n">
        <v>22.5</v>
      </c>
      <c r="D25" s="0" t="n">
        <v>2.46</v>
      </c>
      <c r="E25" s="0" t="n">
        <v>1.47</v>
      </c>
      <c r="F25" s="10" t="n">
        <v>0.374</v>
      </c>
      <c r="G25" s="0" t="n">
        <v>21.36</v>
      </c>
    </row>
    <row r="26" customFormat="false" ht="15" hidden="false" customHeight="false" outlineLevel="0" collapsed="false">
      <c r="A26" s="0" t="s">
        <v>646</v>
      </c>
      <c r="B26" s="0" t="n">
        <v>2</v>
      </c>
      <c r="C26" s="0" t="n">
        <v>19.5</v>
      </c>
      <c r="D26" s="0" t="n">
        <v>1.36</v>
      </c>
      <c r="E26" s="0" t="n">
        <v>2.86</v>
      </c>
      <c r="F26" s="10" t="n">
        <v>0.6777</v>
      </c>
      <c r="G26" s="0" t="n">
        <v>21.3</v>
      </c>
    </row>
    <row r="27" customFormat="false" ht="15" hidden="false" customHeight="false" outlineLevel="0" collapsed="false">
      <c r="A27" s="0" t="s">
        <v>646</v>
      </c>
      <c r="B27" s="0" t="n">
        <v>2</v>
      </c>
      <c r="C27" s="0" t="n">
        <v>20.5</v>
      </c>
      <c r="D27" s="0" t="n">
        <v>1.58</v>
      </c>
      <c r="E27" s="0" t="n">
        <v>2.21</v>
      </c>
      <c r="F27" s="10" t="n">
        <v>0.5831</v>
      </c>
      <c r="G27" s="0" t="n">
        <v>21.3</v>
      </c>
    </row>
    <row r="28" customFormat="false" ht="15" hidden="false" customHeight="false" outlineLevel="0" collapsed="false">
      <c r="A28" s="0" t="s">
        <v>646</v>
      </c>
      <c r="B28" s="0" t="n">
        <v>2</v>
      </c>
      <c r="C28" s="0" t="n">
        <v>21.5</v>
      </c>
      <c r="D28" s="0" t="n">
        <v>1.92</v>
      </c>
      <c r="E28" s="0" t="n">
        <v>1.77</v>
      </c>
      <c r="F28" s="10" t="n">
        <v>0.4797</v>
      </c>
      <c r="G28" s="0" t="n">
        <v>21.3</v>
      </c>
    </row>
    <row r="29" customFormat="false" ht="15" hidden="false" customHeight="false" outlineLevel="0" collapsed="false">
      <c r="A29" s="0" t="s">
        <v>646</v>
      </c>
      <c r="B29" s="0" t="n">
        <v>2</v>
      </c>
      <c r="C29" s="0" t="n">
        <v>22.5</v>
      </c>
      <c r="D29" s="0" t="n">
        <v>2.48</v>
      </c>
      <c r="E29" s="0" t="n">
        <v>1.47</v>
      </c>
      <c r="F29" s="10" t="n">
        <v>0.3722</v>
      </c>
      <c r="G29" s="0" t="n">
        <v>21.3</v>
      </c>
    </row>
    <row r="30" customFormat="false" ht="15" hidden="false" customHeight="false" outlineLevel="0" collapsed="false">
      <c r="A30" s="0" t="s">
        <v>653</v>
      </c>
      <c r="B30" s="0" t="n">
        <v>1</v>
      </c>
      <c r="C30" s="0" t="n">
        <v>19.5</v>
      </c>
      <c r="D30" s="0" t="n">
        <v>1.33</v>
      </c>
      <c r="E30" s="0" t="n">
        <v>2.92</v>
      </c>
      <c r="F30" s="10" t="n">
        <v>0.6871</v>
      </c>
      <c r="G30" s="0" t="n">
        <v>21.42</v>
      </c>
    </row>
    <row r="31" customFormat="false" ht="15" hidden="false" customHeight="false" outlineLevel="0" collapsed="false">
      <c r="A31" s="0" t="s">
        <v>653</v>
      </c>
      <c r="B31" s="0" t="n">
        <v>1</v>
      </c>
      <c r="C31" s="0" t="n">
        <v>20.5</v>
      </c>
      <c r="D31" s="0" t="n">
        <v>1.54</v>
      </c>
      <c r="E31" s="0" t="n">
        <v>2.27</v>
      </c>
      <c r="F31" s="10" t="n">
        <v>0.5958</v>
      </c>
      <c r="G31" s="0" t="n">
        <v>21.42</v>
      </c>
    </row>
    <row r="32" customFormat="false" ht="15" hidden="false" customHeight="false" outlineLevel="0" collapsed="false">
      <c r="A32" s="0" t="s">
        <v>653</v>
      </c>
      <c r="B32" s="0" t="n">
        <v>1</v>
      </c>
      <c r="C32" s="0" t="n">
        <v>21.5</v>
      </c>
      <c r="D32" s="0" t="n">
        <v>1.88</v>
      </c>
      <c r="E32" s="0" t="n">
        <v>1.82</v>
      </c>
      <c r="F32" s="10" t="n">
        <v>0.4919</v>
      </c>
      <c r="G32" s="0" t="n">
        <v>21.42</v>
      </c>
    </row>
    <row r="33" customFormat="false" ht="15" hidden="false" customHeight="false" outlineLevel="0" collapsed="false">
      <c r="A33" s="0" t="s">
        <v>653</v>
      </c>
      <c r="B33" s="0" t="n">
        <v>1</v>
      </c>
      <c r="C33" s="0" t="n">
        <v>22.5</v>
      </c>
      <c r="D33" s="0" t="n">
        <v>2.4</v>
      </c>
      <c r="E33" s="0" t="n">
        <v>1.48</v>
      </c>
      <c r="F33" s="10" t="n">
        <v>0.3814</v>
      </c>
      <c r="G33" s="0" t="n">
        <v>21.42</v>
      </c>
    </row>
    <row r="34" customFormat="false" ht="15" hidden="false" customHeight="false" outlineLevel="0" collapsed="false">
      <c r="A34" s="0" t="s">
        <v>653</v>
      </c>
      <c r="B34" s="0" t="n">
        <v>1</v>
      </c>
      <c r="C34" s="0" t="n">
        <v>23.5</v>
      </c>
      <c r="D34" s="0" t="n">
        <v>3.37</v>
      </c>
      <c r="E34" s="0" t="n">
        <v>1.25</v>
      </c>
      <c r="F34" s="10" t="n">
        <v>0.2706</v>
      </c>
      <c r="G34" s="0" t="n">
        <v>21.42</v>
      </c>
    </row>
    <row r="35" customFormat="false" ht="15" hidden="false" customHeight="false" outlineLevel="0" collapsed="false">
      <c r="A35" s="0" t="s">
        <v>653</v>
      </c>
      <c r="B35" s="0" t="n">
        <v>2</v>
      </c>
      <c r="C35" s="0" t="n">
        <v>19.5</v>
      </c>
      <c r="D35" s="0" t="n">
        <v>1.33</v>
      </c>
      <c r="E35" s="0" t="n">
        <v>2.9</v>
      </c>
      <c r="F35" s="10" t="n">
        <v>0.6856</v>
      </c>
      <c r="G35" s="0" t="n">
        <v>21.4</v>
      </c>
    </row>
    <row r="36" customFormat="false" ht="15" hidden="false" customHeight="false" outlineLevel="0" collapsed="false">
      <c r="A36" s="0" t="s">
        <v>653</v>
      </c>
      <c r="B36" s="0" t="n">
        <v>2</v>
      </c>
      <c r="C36" s="0" t="n">
        <v>20.5</v>
      </c>
      <c r="D36" s="0" t="n">
        <v>1.55</v>
      </c>
      <c r="E36" s="0" t="n">
        <v>2.26</v>
      </c>
      <c r="F36" s="10" t="n">
        <v>0.5932</v>
      </c>
      <c r="G36" s="0" t="n">
        <v>21.4</v>
      </c>
    </row>
    <row r="37" customFormat="false" ht="15" hidden="false" customHeight="false" outlineLevel="0" collapsed="false">
      <c r="A37" s="0" t="s">
        <v>653</v>
      </c>
      <c r="B37" s="0" t="n">
        <v>2</v>
      </c>
      <c r="C37" s="0" t="n">
        <v>21.5</v>
      </c>
      <c r="D37" s="0" t="n">
        <v>1.89</v>
      </c>
      <c r="E37" s="0" t="n">
        <v>1.81</v>
      </c>
      <c r="F37" s="10" t="n">
        <v>0.4892</v>
      </c>
      <c r="G37" s="0" t="n">
        <v>21.4</v>
      </c>
    </row>
    <row r="38" customFormat="false" ht="15" hidden="false" customHeight="false" outlineLevel="0" collapsed="false">
      <c r="A38" s="0" t="s">
        <v>653</v>
      </c>
      <c r="B38" s="0" t="n">
        <v>2</v>
      </c>
      <c r="C38" s="0" t="n">
        <v>22.5</v>
      </c>
      <c r="D38" s="0" t="n">
        <v>2.41</v>
      </c>
      <c r="E38" s="0" t="n">
        <v>1.48</v>
      </c>
      <c r="F38" s="10" t="n">
        <v>0.3805</v>
      </c>
      <c r="G38" s="0" t="n">
        <v>21.4</v>
      </c>
    </row>
    <row r="39" customFormat="false" ht="15" hidden="false" customHeight="false" outlineLevel="0" collapsed="false">
      <c r="A39" s="0" t="s">
        <v>653</v>
      </c>
      <c r="B39" s="0" t="n">
        <v>2</v>
      </c>
      <c r="C39" s="0" t="n">
        <v>23.5</v>
      </c>
      <c r="D39" s="0" t="n">
        <v>3.39</v>
      </c>
      <c r="E39" s="0" t="n">
        <v>1.25</v>
      </c>
      <c r="F39" s="10" t="n">
        <v>0.2694</v>
      </c>
      <c r="G39" s="0" t="n">
        <v>21.4</v>
      </c>
    </row>
    <row r="40" customFormat="false" ht="15" hidden="false" customHeight="false" outlineLevel="0" collapsed="false">
      <c r="A40" s="0" t="s">
        <v>660</v>
      </c>
      <c r="B40" s="0" t="n">
        <v>1</v>
      </c>
      <c r="C40" s="0" t="n">
        <v>19.5</v>
      </c>
      <c r="D40" s="0" t="n">
        <v>1.34</v>
      </c>
      <c r="E40" s="0" t="n">
        <v>2.84</v>
      </c>
      <c r="F40" s="10" t="n">
        <v>0.6794</v>
      </c>
      <c r="G40" s="0" t="n">
        <v>21.33</v>
      </c>
    </row>
    <row r="41" customFormat="false" ht="15" hidden="false" customHeight="false" outlineLevel="0" collapsed="false">
      <c r="A41" s="0" t="s">
        <v>660</v>
      </c>
      <c r="B41" s="0" t="n">
        <v>1</v>
      </c>
      <c r="C41" s="0" t="n">
        <v>20.5</v>
      </c>
      <c r="D41" s="0" t="n">
        <v>1.57</v>
      </c>
      <c r="E41" s="0" t="n">
        <v>2.22</v>
      </c>
      <c r="F41" s="10" t="n">
        <v>0.5858</v>
      </c>
      <c r="G41" s="0" t="n">
        <v>21.33</v>
      </c>
    </row>
    <row r="42" customFormat="false" ht="15" hidden="false" customHeight="false" outlineLevel="0" collapsed="false">
      <c r="A42" s="0" t="s">
        <v>660</v>
      </c>
      <c r="B42" s="0" t="n">
        <v>1</v>
      </c>
      <c r="C42" s="0" t="n">
        <v>21.5</v>
      </c>
      <c r="D42" s="0" t="n">
        <v>1.92</v>
      </c>
      <c r="E42" s="0" t="n">
        <v>1.79</v>
      </c>
      <c r="F42" s="10" t="n">
        <v>0.4825</v>
      </c>
      <c r="G42" s="0" t="n">
        <v>21.33</v>
      </c>
    </row>
    <row r="43" customFormat="false" ht="15" hidden="false" customHeight="false" outlineLevel="0" collapsed="false">
      <c r="A43" s="0" t="s">
        <v>660</v>
      </c>
      <c r="B43" s="0" t="n">
        <v>1</v>
      </c>
      <c r="C43" s="0" t="n">
        <v>22.5</v>
      </c>
      <c r="D43" s="0" t="n">
        <v>2.44</v>
      </c>
      <c r="E43" s="0" t="n">
        <v>1.46</v>
      </c>
      <c r="F43" s="10" t="n">
        <v>0.3744</v>
      </c>
      <c r="G43" s="0" t="n">
        <v>21.33</v>
      </c>
    </row>
    <row r="44" customFormat="false" ht="15" hidden="false" customHeight="false" outlineLevel="0" collapsed="false">
      <c r="A44" s="0" t="s">
        <v>660</v>
      </c>
      <c r="B44" s="0" t="n">
        <v>2</v>
      </c>
      <c r="C44" s="0" t="n">
        <v>19.5</v>
      </c>
      <c r="D44" s="0" t="n">
        <v>1.35</v>
      </c>
      <c r="E44" s="0" t="n">
        <v>2.83</v>
      </c>
      <c r="F44" s="10" t="n">
        <v>0.677</v>
      </c>
      <c r="G44" s="0" t="n">
        <v>21.32</v>
      </c>
    </row>
    <row r="45" customFormat="false" ht="15" hidden="false" customHeight="false" outlineLevel="0" collapsed="false">
      <c r="A45" s="0" t="s">
        <v>660</v>
      </c>
      <c r="B45" s="0" t="n">
        <v>2</v>
      </c>
      <c r="C45" s="0" t="n">
        <v>20.5</v>
      </c>
      <c r="D45" s="0" t="n">
        <v>1.57</v>
      </c>
      <c r="E45" s="0" t="n">
        <v>2.21</v>
      </c>
      <c r="F45" s="10" t="n">
        <v>0.5847</v>
      </c>
      <c r="G45" s="0" t="n">
        <v>21.32</v>
      </c>
    </row>
    <row r="46" customFormat="false" ht="15" hidden="false" customHeight="false" outlineLevel="0" collapsed="false">
      <c r="A46" s="0" t="s">
        <v>660</v>
      </c>
      <c r="B46" s="0" t="n">
        <v>2</v>
      </c>
      <c r="C46" s="0" t="n">
        <v>21.5</v>
      </c>
      <c r="D46" s="0" t="n">
        <v>1.92</v>
      </c>
      <c r="E46" s="0" t="n">
        <v>1.78</v>
      </c>
      <c r="F46" s="10" t="n">
        <v>0.4811</v>
      </c>
      <c r="G46" s="0" t="n">
        <v>21.32</v>
      </c>
    </row>
    <row r="47" customFormat="false" ht="15" hidden="false" customHeight="false" outlineLevel="0" collapsed="false">
      <c r="A47" s="0" t="s">
        <v>660</v>
      </c>
      <c r="B47" s="0" t="n">
        <v>2</v>
      </c>
      <c r="C47" s="0" t="n">
        <v>22.5</v>
      </c>
      <c r="D47" s="0" t="n">
        <v>2.45</v>
      </c>
      <c r="E47" s="0" t="n">
        <v>1.46</v>
      </c>
      <c r="F47" s="10" t="n">
        <v>0.3734</v>
      </c>
      <c r="G47" s="0" t="n">
        <v>21.32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5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7" min="6" style="0" width="10"/>
    <col collapsed="false" customWidth="true" hidden="false" outlineLevel="0" max="11" min="8" style="0" width="7"/>
    <col collapsed="false" customWidth="true" hidden="false" outlineLevel="0" max="12" min="12" style="0" width="6"/>
    <col collapsed="false" customWidth="true" hidden="false" outlineLevel="0" max="13" min="13" style="0" width="9"/>
    <col collapsed="false" customWidth="true" hidden="false" outlineLevel="0" max="14" min="14" style="0" width="10"/>
  </cols>
  <sheetData>
    <row r="1" customFormat="false" ht="41.75" hidden="false" customHeight="false" outlineLevel="0" collapsed="false">
      <c r="A1" s="12" t="s">
        <v>811</v>
      </c>
      <c r="B1" s="12" t="s">
        <v>570</v>
      </c>
      <c r="C1" s="12" t="s">
        <v>844</v>
      </c>
      <c r="D1" s="12" t="s">
        <v>1522</v>
      </c>
      <c r="E1" s="12" t="s">
        <v>1523</v>
      </c>
      <c r="F1" s="12" t="s">
        <v>1524</v>
      </c>
      <c r="G1" s="12" t="s">
        <v>1525</v>
      </c>
      <c r="H1" s="12" t="s">
        <v>1526</v>
      </c>
      <c r="I1" s="12" t="s">
        <v>1527</v>
      </c>
      <c r="J1" s="12" t="s">
        <v>1528</v>
      </c>
      <c r="K1" s="12" t="s">
        <v>1529</v>
      </c>
      <c r="L1" s="12" t="s">
        <v>1530</v>
      </c>
      <c r="M1" s="12" t="s">
        <v>1531</v>
      </c>
      <c r="N1" s="12" t="s">
        <v>1532</v>
      </c>
    </row>
    <row r="2" customFormat="false" ht="15" hidden="false" customHeight="false" outlineLevel="0" collapsed="false">
      <c r="A2" s="0" t="s">
        <v>1533</v>
      </c>
      <c r="B2" s="0" t="s">
        <v>525</v>
      </c>
      <c r="C2" s="0" t="s">
        <v>1534</v>
      </c>
      <c r="D2" s="0" t="s">
        <v>1535</v>
      </c>
      <c r="F2" s="0" t="n">
        <v>8.77</v>
      </c>
      <c r="G2" s="0" t="n">
        <v>8.43</v>
      </c>
      <c r="H2" s="10" t="n">
        <v>0.25</v>
      </c>
      <c r="I2" s="10" t="n">
        <v>0.333</v>
      </c>
      <c r="J2" s="10" t="n">
        <v>0.292</v>
      </c>
      <c r="K2" s="10" t="n">
        <v>0.125</v>
      </c>
      <c r="L2" s="10" t="n">
        <v>0.051</v>
      </c>
      <c r="M2" s="10" t="n">
        <f aca="false">IFERROR((2*H2+2*I2+K2)/(2*H2+3*I2+2*J2+3*K2),"")</f>
        <v>0.525223759153784</v>
      </c>
      <c r="N2" s="10" t="n">
        <f aca="false">IFERROR((M2*13+(1-M2)*G2)/((M2*13+(1-M2)*G2)+(M2*F2+(1-M2)*13)),"")</f>
        <v>0.501202510530204</v>
      </c>
    </row>
    <row r="3" customFormat="false" ht="15" hidden="false" customHeight="false" outlineLevel="0" collapsed="false">
      <c r="A3" s="0" t="s">
        <v>1536</v>
      </c>
      <c r="B3" s="0" t="s">
        <v>525</v>
      </c>
      <c r="C3" s="0" t="s">
        <v>1537</v>
      </c>
      <c r="D3" s="0" t="s">
        <v>1538</v>
      </c>
      <c r="F3" s="0" t="n">
        <v>8.3</v>
      </c>
      <c r="G3" s="0" t="n">
        <v>8.78</v>
      </c>
      <c r="H3" s="10" t="n">
        <v>0.343</v>
      </c>
      <c r="I3" s="10" t="n">
        <v>0.286</v>
      </c>
      <c r="J3" s="10" t="n">
        <v>0.2</v>
      </c>
      <c r="K3" s="10" t="n">
        <v>0.171</v>
      </c>
      <c r="L3" s="10" t="n">
        <v>0.069</v>
      </c>
      <c r="M3" s="10" t="n">
        <f aca="false">IFERROR((2*H3+2*I3+K3)/(2*H3+3*I3+2*J3+3*K3),"")</f>
        <v>0.581603581603582</v>
      </c>
      <c r="N3" s="10" t="n">
        <f aca="false">IFERROR((M3*13+(1-M3)*G3)/((M3*13+(1-M3)*G3)+(M3*F3+(1-M3)*13)),"")</f>
        <v>0.522508524909545</v>
      </c>
    </row>
    <row r="4" customFormat="false" ht="15" hidden="false" customHeight="false" outlineLevel="0" collapsed="false">
      <c r="A4" s="0" t="s">
        <v>1539</v>
      </c>
      <c r="B4" s="0" t="s">
        <v>616</v>
      </c>
      <c r="C4" s="0" t="s">
        <v>1534</v>
      </c>
      <c r="D4" s="0" t="s">
        <v>1540</v>
      </c>
      <c r="F4" s="0" t="n">
        <v>8.24</v>
      </c>
      <c r="G4" s="0" t="n">
        <v>8.39</v>
      </c>
      <c r="H4" s="10" t="n">
        <v>0.136</v>
      </c>
      <c r="I4" s="10" t="n">
        <v>0.318</v>
      </c>
      <c r="J4" s="10" t="n">
        <v>0.318</v>
      </c>
      <c r="K4" s="10" t="n">
        <v>0.227</v>
      </c>
      <c r="L4" s="10" t="n">
        <v>0.018</v>
      </c>
      <c r="M4" s="10" t="n">
        <f aca="false">IFERROR((2*H4+2*I4+K4)/(2*H4+3*I4+2*J4+3*K4),"")</f>
        <v>0.446323240267401</v>
      </c>
      <c r="N4" s="10" t="n">
        <f aca="false">IFERROR((M4*13+(1-M4)*G4)/((M4*13+(1-M4)*G4)+(M4*F4+(1-M4)*13)),"")</f>
        <v>0.48996505639884</v>
      </c>
    </row>
    <row r="5" customFormat="false" ht="15" hidden="false" customHeight="false" outlineLevel="0" collapsed="false">
      <c r="A5" s="0" t="s">
        <v>1541</v>
      </c>
      <c r="B5" s="0" t="s">
        <v>616</v>
      </c>
      <c r="C5" s="0" t="s">
        <v>1537</v>
      </c>
      <c r="D5" s="0" t="s">
        <v>1542</v>
      </c>
      <c r="F5" s="0" t="n">
        <v>7.83</v>
      </c>
      <c r="G5" s="0" t="n">
        <v>5.5</v>
      </c>
      <c r="H5" s="10" t="n">
        <v>0.25</v>
      </c>
      <c r="I5" s="10" t="n">
        <v>0.5</v>
      </c>
      <c r="J5" s="10" t="n">
        <v>0.25</v>
      </c>
      <c r="K5" s="10" t="n">
        <v>0</v>
      </c>
      <c r="L5" s="10" t="n">
        <v>0</v>
      </c>
      <c r="M5" s="10" t="n">
        <f aca="false">IFERROR((2*H5+2*I5+K5)/(2*H5+3*I5+2*J5+3*K5),"")</f>
        <v>0.6</v>
      </c>
      <c r="N5" s="10" t="n">
        <f aca="false">IFERROR((M5*13+(1-M5)*G5)/((M5*13+(1-M5)*G5)+(M5*F5+(1-M5)*13)),"")</f>
        <v>0.502563071665494</v>
      </c>
    </row>
    <row r="6" customFormat="false" ht="15" hidden="false" customHeight="false" outlineLevel="0" collapsed="false">
      <c r="A6" s="0" t="s">
        <v>1543</v>
      </c>
      <c r="B6" s="0" t="s">
        <v>622</v>
      </c>
      <c r="C6" s="0" t="s">
        <v>1534</v>
      </c>
      <c r="D6" s="0" t="s">
        <v>1544</v>
      </c>
      <c r="F6" s="0" t="n">
        <v>7.44</v>
      </c>
      <c r="G6" s="0" t="n">
        <v>7.42</v>
      </c>
      <c r="H6" s="10" t="n">
        <v>0.167</v>
      </c>
      <c r="I6" s="10" t="n">
        <v>0.292</v>
      </c>
      <c r="J6" s="10" t="n">
        <v>0.417</v>
      </c>
      <c r="K6" s="10" t="n">
        <v>0.125</v>
      </c>
      <c r="L6" s="10" t="n">
        <v>0.052</v>
      </c>
      <c r="M6" s="10" t="n">
        <f aca="false">IFERROR((2*H6+2*I6+K6)/(2*H6+3*I6+2*J6+3*K6),"")</f>
        <v>0.431169904919388</v>
      </c>
      <c r="N6" s="10" t="n">
        <f aca="false">IFERROR((M6*13+(1-M6)*G6)/((M6*13+(1-M6)*G6)+(M6*F6+(1-M6)*13)),"")</f>
        <v>0.480988262300867</v>
      </c>
    </row>
    <row r="7" customFormat="false" ht="15" hidden="false" customHeight="false" outlineLevel="0" collapsed="false">
      <c r="A7" s="0" t="s">
        <v>1545</v>
      </c>
      <c r="B7" s="0" t="s">
        <v>622</v>
      </c>
      <c r="C7" s="0" t="s">
        <v>1537</v>
      </c>
      <c r="D7" s="0" t="s">
        <v>1546</v>
      </c>
      <c r="F7" s="0" t="n">
        <v>8.04</v>
      </c>
      <c r="G7" s="0" t="n">
        <v>7.22</v>
      </c>
      <c r="H7" s="10" t="n">
        <v>0.474</v>
      </c>
      <c r="I7" s="10" t="n">
        <v>0.105</v>
      </c>
      <c r="J7" s="10" t="n">
        <v>0.158</v>
      </c>
      <c r="K7" s="10" t="n">
        <v>0.263</v>
      </c>
      <c r="L7" s="10" t="n">
        <v>0.022</v>
      </c>
      <c r="M7" s="10" t="n">
        <f aca="false">IFERROR((2*H7+2*I7+K7)/(2*H7+3*I7+2*J7+3*K7),"")</f>
        <v>0.600084459459459</v>
      </c>
      <c r="N7" s="10" t="n">
        <f aca="false">IFERROR((M7*13+(1-M7)*G7)/((M7*13+(1-M7)*G7)+(M7*F7+(1-M7)*13)),"")</f>
        <v>0.516051199094405</v>
      </c>
    </row>
    <row r="8" customFormat="false" ht="15" hidden="false" customHeight="false" outlineLevel="0" collapsed="false">
      <c r="A8" s="0" t="s">
        <v>1547</v>
      </c>
      <c r="B8" s="0" t="s">
        <v>629</v>
      </c>
      <c r="C8" s="0" t="s">
        <v>1534</v>
      </c>
      <c r="D8" s="0" t="s">
        <v>634</v>
      </c>
      <c r="F8" s="0" t="n">
        <v>8.65</v>
      </c>
      <c r="G8" s="0" t="n">
        <v>7.54</v>
      </c>
      <c r="H8" s="10" t="n">
        <v>0.324</v>
      </c>
      <c r="I8" s="10" t="n">
        <v>0.206</v>
      </c>
      <c r="J8" s="10" t="n">
        <v>0.265</v>
      </c>
      <c r="K8" s="10" t="n">
        <v>0.206</v>
      </c>
      <c r="L8" s="10" t="n">
        <v>0.049</v>
      </c>
      <c r="M8" s="10" t="n">
        <f aca="false">IFERROR((2*H8+2*I8+K8)/(2*H8+3*I8+2*J8+3*K8),"")</f>
        <v>0.524440762220381</v>
      </c>
      <c r="N8" s="10" t="n">
        <f aca="false">IFERROR((M8*13+(1-M8)*G8)/((M8*13+(1-M8)*G8)+(M8*F8+(1-M8)*13)),"")</f>
        <v>0.492537775928135</v>
      </c>
    </row>
    <row r="9" customFormat="false" ht="15" hidden="false" customHeight="false" outlineLevel="0" collapsed="false">
      <c r="A9" s="0" t="s">
        <v>1548</v>
      </c>
      <c r="B9" s="0" t="s">
        <v>629</v>
      </c>
      <c r="C9" s="0" t="s">
        <v>1537</v>
      </c>
      <c r="D9" s="0" t="s">
        <v>1549</v>
      </c>
      <c r="F9" s="0" t="n">
        <v>9.17</v>
      </c>
      <c r="G9" s="0" t="n">
        <v>5.2</v>
      </c>
      <c r="H9" s="10" t="n">
        <v>0.25</v>
      </c>
      <c r="I9" s="10" t="n">
        <v>0.25</v>
      </c>
      <c r="J9" s="10" t="n">
        <v>0</v>
      </c>
      <c r="K9" s="10" t="n">
        <v>0.5</v>
      </c>
      <c r="L9" s="10" t="n">
        <v>0</v>
      </c>
      <c r="M9" s="10" t="n">
        <f aca="false">IFERROR((2*H9+2*I9+K9)/(2*H9+3*I9+2*J9+3*K9),"")</f>
        <v>0.545454545454545</v>
      </c>
      <c r="N9" s="10" t="n">
        <f aca="false">IFERROR((M9*13+(1-M9)*G9)/((M9*13+(1-M9)*G9)+(M9*F9+(1-M9)*13)),"")</f>
        <v>0.464244263905008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8"/>
  </cols>
  <sheetData>
    <row r="1" customFormat="false" ht="15" hidden="false" customHeight="false" outlineLevel="0" collapsed="false">
      <c r="A1" s="12" t="s">
        <v>1550</v>
      </c>
      <c r="B1" s="12" t="s">
        <v>920</v>
      </c>
    </row>
    <row r="2" customFormat="false" ht="15" hidden="false" customHeight="false" outlineLevel="0" collapsed="false">
      <c r="A2" s="0" t="s">
        <v>1551</v>
      </c>
      <c r="B2" s="0" t="n">
        <v>8.77</v>
      </c>
    </row>
    <row r="3" customFormat="false" ht="15" hidden="false" customHeight="false" outlineLevel="0" collapsed="false">
      <c r="A3" s="0" t="s">
        <v>1552</v>
      </c>
      <c r="B3" s="0" t="n">
        <v>8.43</v>
      </c>
    </row>
    <row r="4" customFormat="false" ht="15" hidden="false" customHeight="false" outlineLevel="0" collapsed="false">
      <c r="A4" s="0" t="s">
        <v>1553</v>
      </c>
      <c r="B4" s="0" t="n">
        <v>8.25</v>
      </c>
    </row>
    <row r="5" customFormat="false" ht="15" hidden="false" customHeight="false" outlineLevel="0" collapsed="false">
      <c r="A5" s="0" t="s">
        <v>1554</v>
      </c>
      <c r="B5" s="0" t="n">
        <v>7.4</v>
      </c>
    </row>
    <row r="6" customFormat="false" ht="15" hidden="false" customHeight="false" outlineLevel="0" collapsed="false">
      <c r="A6" s="0" t="s">
        <v>1555</v>
      </c>
      <c r="B6" s="0" t="n">
        <v>7.6</v>
      </c>
    </row>
    <row r="7" customFormat="false" ht="15" hidden="false" customHeight="false" outlineLevel="0" collapsed="false">
      <c r="A7" s="0" t="s">
        <v>1556</v>
      </c>
      <c r="B7" s="0" t="n">
        <v>9.75</v>
      </c>
    </row>
    <row r="8" customFormat="false" ht="15" hidden="false" customHeight="false" outlineLevel="0" collapsed="false">
      <c r="A8" s="0" t="s">
        <v>1557</v>
      </c>
      <c r="B8" s="0" t="n">
        <v>7</v>
      </c>
    </row>
    <row r="9" customFormat="false" ht="15" hidden="false" customHeight="false" outlineLevel="0" collapsed="false">
      <c r="A9" s="0" t="s">
        <v>1558</v>
      </c>
      <c r="B9" s="0" t="n">
        <v>7.5</v>
      </c>
    </row>
    <row r="10" customFormat="false" ht="15" hidden="false" customHeight="false" outlineLevel="0" collapsed="false">
      <c r="A10" s="0" t="s">
        <v>1559</v>
      </c>
      <c r="B10" s="0" t="n">
        <v>7.5</v>
      </c>
    </row>
    <row r="11" customFormat="false" ht="15" hidden="false" customHeight="false" outlineLevel="0" collapsed="false">
      <c r="A11" s="0" t="s">
        <v>1560</v>
      </c>
      <c r="B11" s="0" t="n">
        <v>8</v>
      </c>
    </row>
    <row r="12" customFormat="false" ht="15" hidden="false" customHeight="false" outlineLevel="0" collapsed="false">
      <c r="A12" s="0" t="s">
        <v>1561</v>
      </c>
      <c r="B12" s="0" t="n">
        <v>12</v>
      </c>
    </row>
    <row r="13" customFormat="false" ht="15" hidden="false" customHeight="false" outlineLevel="0" collapsed="false">
      <c r="A13" s="0" t="s">
        <v>1562</v>
      </c>
      <c r="B13" s="0" t="n">
        <v>9.67</v>
      </c>
    </row>
    <row r="14" customFormat="false" ht="15" hidden="false" customHeight="false" outlineLevel="0" collapsed="false">
      <c r="A14" s="0" t="s">
        <v>1563</v>
      </c>
      <c r="B14" s="0" t="n">
        <v>10.2</v>
      </c>
    </row>
    <row r="15" customFormat="false" ht="15" hidden="false" customHeight="false" outlineLevel="0" collapsed="false">
      <c r="A15" s="0" t="s">
        <v>1564</v>
      </c>
      <c r="B15" s="0" t="n">
        <v>7.33</v>
      </c>
    </row>
    <row r="16" customFormat="false" ht="15" hidden="false" customHeight="false" outlineLevel="0" collapsed="false">
      <c r="A16" s="0" t="s">
        <v>1565</v>
      </c>
      <c r="B16" s="0" t="n">
        <v>8.3</v>
      </c>
    </row>
    <row r="17" customFormat="false" ht="15" hidden="false" customHeight="false" outlineLevel="0" collapsed="false">
      <c r="A17" s="0" t="s">
        <v>1566</v>
      </c>
      <c r="B17" s="0" t="n">
        <v>8.78</v>
      </c>
    </row>
    <row r="18" customFormat="false" ht="15" hidden="false" customHeight="false" outlineLevel="0" collapsed="false">
      <c r="A18" s="0" t="s">
        <v>1567</v>
      </c>
      <c r="B18" s="0" t="n">
        <v>9.2</v>
      </c>
    </row>
    <row r="19" customFormat="false" ht="15" hidden="false" customHeight="false" outlineLevel="0" collapsed="false">
      <c r="A19" s="0" t="s">
        <v>1568</v>
      </c>
      <c r="B19" s="0" t="n">
        <v>10</v>
      </c>
    </row>
    <row r="20" customFormat="false" ht="15" hidden="false" customHeight="false" outlineLevel="0" collapsed="false">
      <c r="A20" s="0" t="s">
        <v>1569</v>
      </c>
      <c r="B20" s="0" t="n">
        <v>8.18</v>
      </c>
    </row>
    <row r="21" customFormat="false" ht="15" hidden="false" customHeight="false" outlineLevel="0" collapsed="false">
      <c r="A21" s="0" t="s">
        <v>1570</v>
      </c>
      <c r="B21" s="0" t="n">
        <v>8.75</v>
      </c>
    </row>
    <row r="22" customFormat="false" ht="15" hidden="false" customHeight="false" outlineLevel="0" collapsed="false">
      <c r="A22" s="0" t="s">
        <v>1571</v>
      </c>
      <c r="B22" s="0" t="n">
        <v>9.43</v>
      </c>
    </row>
    <row r="23" customFormat="false" ht="15" hidden="false" customHeight="false" outlineLevel="0" collapsed="false">
      <c r="A23" s="0" t="s">
        <v>1572</v>
      </c>
      <c r="B23" s="0" t="n">
        <v>9</v>
      </c>
    </row>
    <row r="24" customFormat="false" ht="15" hidden="false" customHeight="false" outlineLevel="0" collapsed="false">
      <c r="A24" s="0" t="s">
        <v>1573</v>
      </c>
      <c r="B24" s="0" t="n">
        <v>4</v>
      </c>
    </row>
    <row r="25" customFormat="false" ht="15" hidden="false" customHeight="false" outlineLevel="0" collapsed="false">
      <c r="A25" s="0" t="s">
        <v>1574</v>
      </c>
      <c r="B25" s="0" t="n">
        <v>7.4</v>
      </c>
    </row>
    <row r="26" customFormat="false" ht="15" hidden="false" customHeight="false" outlineLevel="0" collapsed="false">
      <c r="A26" s="0" t="s">
        <v>1575</v>
      </c>
      <c r="B26" s="0" t="n">
        <v>7.9</v>
      </c>
    </row>
    <row r="27" customFormat="false" ht="15" hidden="false" customHeight="false" outlineLevel="0" collapsed="false">
      <c r="A27" s="0" t="s">
        <v>1576</v>
      </c>
      <c r="B27" s="0" t="n">
        <v>10</v>
      </c>
    </row>
    <row r="28" customFormat="false" ht="15" hidden="false" customHeight="false" outlineLevel="0" collapsed="false">
      <c r="A28" s="0" t="s">
        <v>1577</v>
      </c>
      <c r="B28" s="0" t="n">
        <v>10.67</v>
      </c>
    </row>
    <row r="29" customFormat="false" ht="15" hidden="false" customHeight="false" outlineLevel="0" collapsed="false">
      <c r="A29" s="0" t="s">
        <v>1578</v>
      </c>
      <c r="B29" s="0" t="n">
        <v>8</v>
      </c>
    </row>
    <row r="30" customFormat="false" ht="15" hidden="false" customHeight="false" outlineLevel="0" collapsed="false">
      <c r="A30" s="0" t="s">
        <v>1579</v>
      </c>
      <c r="B30" s="0" t="n">
        <v>8.24</v>
      </c>
    </row>
    <row r="31" customFormat="false" ht="15" hidden="false" customHeight="false" outlineLevel="0" collapsed="false">
      <c r="A31" s="0" t="s">
        <v>1580</v>
      </c>
      <c r="B31" s="0" t="n">
        <v>8.39</v>
      </c>
    </row>
    <row r="32" customFormat="false" ht="15" hidden="false" customHeight="false" outlineLevel="0" collapsed="false">
      <c r="A32" s="0" t="s">
        <v>1581</v>
      </c>
      <c r="B32" s="0" t="n">
        <v>9.33</v>
      </c>
    </row>
    <row r="33" customFormat="false" ht="15" hidden="false" customHeight="false" outlineLevel="0" collapsed="false">
      <c r="A33" s="0" t="s">
        <v>1582</v>
      </c>
      <c r="B33" s="0" t="n">
        <v>6</v>
      </c>
    </row>
    <row r="34" customFormat="false" ht="15" hidden="false" customHeight="false" outlineLevel="0" collapsed="false">
      <c r="A34" s="0" t="s">
        <v>1583</v>
      </c>
      <c r="B34" s="0" t="n">
        <v>7.56</v>
      </c>
    </row>
    <row r="35" customFormat="false" ht="15" hidden="false" customHeight="false" outlineLevel="0" collapsed="false">
      <c r="A35" s="0" t="s">
        <v>1584</v>
      </c>
      <c r="B35" s="0" t="n">
        <v>7.2</v>
      </c>
    </row>
    <row r="36" customFormat="false" ht="15" hidden="false" customHeight="false" outlineLevel="0" collapsed="false">
      <c r="A36" s="0" t="s">
        <v>1585</v>
      </c>
      <c r="B36" s="0" t="n">
        <v>5</v>
      </c>
    </row>
    <row r="37" customFormat="false" ht="15" hidden="false" customHeight="false" outlineLevel="0" collapsed="false">
      <c r="A37" s="0" t="s">
        <v>1586</v>
      </c>
      <c r="B37" s="0" t="n">
        <v>6.5</v>
      </c>
    </row>
    <row r="38" customFormat="false" ht="15" hidden="false" customHeight="false" outlineLevel="0" collapsed="false">
      <c r="A38" s="0" t="s">
        <v>1587</v>
      </c>
      <c r="B38" s="0" t="n">
        <v>9.17</v>
      </c>
    </row>
    <row r="39" customFormat="false" ht="15" hidden="false" customHeight="false" outlineLevel="0" collapsed="false">
      <c r="A39" s="0" t="s">
        <v>1588</v>
      </c>
      <c r="B39" s="0" t="n">
        <v>9.7</v>
      </c>
    </row>
    <row r="40" customFormat="false" ht="15" hidden="false" customHeight="false" outlineLevel="0" collapsed="false">
      <c r="A40" s="0" t="s">
        <v>1589</v>
      </c>
      <c r="B40" s="0" t="n">
        <v>4</v>
      </c>
    </row>
    <row r="41" customFormat="false" ht="15" hidden="false" customHeight="false" outlineLevel="0" collapsed="false">
      <c r="A41" s="0" t="s">
        <v>1590</v>
      </c>
      <c r="B41" s="0" t="n">
        <v>12</v>
      </c>
    </row>
    <row r="42" customFormat="false" ht="15" hidden="false" customHeight="false" outlineLevel="0" collapsed="false">
      <c r="A42" s="0" t="s">
        <v>1591</v>
      </c>
      <c r="B42" s="0" t="n">
        <v>9</v>
      </c>
    </row>
    <row r="43" customFormat="false" ht="15" hidden="false" customHeight="false" outlineLevel="0" collapsed="false">
      <c r="A43" s="0" t="s">
        <v>1592</v>
      </c>
      <c r="B43" s="0" t="n">
        <v>6.75</v>
      </c>
    </row>
    <row r="44" customFormat="false" ht="15" hidden="false" customHeight="false" outlineLevel="0" collapsed="false">
      <c r="A44" s="0" t="s">
        <v>1593</v>
      </c>
      <c r="B44" s="0" t="n">
        <v>7.83</v>
      </c>
    </row>
    <row r="45" customFormat="false" ht="15" hidden="false" customHeight="false" outlineLevel="0" collapsed="false">
      <c r="A45" s="0" t="s">
        <v>1594</v>
      </c>
      <c r="B45" s="0" t="n">
        <v>5.5</v>
      </c>
    </row>
    <row r="46" customFormat="false" ht="15" hidden="false" customHeight="false" outlineLevel="0" collapsed="false">
      <c r="A46" s="0" t="s">
        <v>1595</v>
      </c>
      <c r="B46" s="0" t="n">
        <v>8</v>
      </c>
    </row>
    <row r="47" customFormat="false" ht="15" hidden="false" customHeight="false" outlineLevel="0" collapsed="false">
      <c r="A47" s="0" t="s">
        <v>1596</v>
      </c>
      <c r="B47" s="0" t="n">
        <v>8</v>
      </c>
    </row>
    <row r="48" customFormat="false" ht="15" hidden="false" customHeight="false" outlineLevel="0" collapsed="false">
      <c r="A48" s="0" t="s">
        <v>1597</v>
      </c>
      <c r="B48" s="0" t="n">
        <v>8</v>
      </c>
    </row>
    <row r="49" customFormat="false" ht="15" hidden="false" customHeight="false" outlineLevel="0" collapsed="false">
      <c r="A49" s="0" t="s">
        <v>1598</v>
      </c>
      <c r="B49" s="0" t="n">
        <v>10</v>
      </c>
    </row>
    <row r="50" customFormat="false" ht="15" hidden="false" customHeight="false" outlineLevel="0" collapsed="false">
      <c r="A50" s="0" t="s">
        <v>1599</v>
      </c>
      <c r="B50" s="0" t="n">
        <v>8</v>
      </c>
    </row>
    <row r="51" customFormat="false" ht="15" hidden="false" customHeight="false" outlineLevel="0" collapsed="false">
      <c r="A51" s="0" t="s">
        <v>1600</v>
      </c>
      <c r="B51" s="0" t="n">
        <v>7.5</v>
      </c>
    </row>
    <row r="52" customFormat="false" ht="15" hidden="false" customHeight="false" outlineLevel="0" collapsed="false">
      <c r="A52" s="0" t="s">
        <v>1601</v>
      </c>
      <c r="B52" s="0" t="n">
        <v>2</v>
      </c>
    </row>
    <row r="53" customFormat="false" ht="15" hidden="false" customHeight="false" outlineLevel="0" collapsed="false">
      <c r="A53" s="0" t="s">
        <v>1602</v>
      </c>
      <c r="B53" s="0" t="n">
        <v>2</v>
      </c>
    </row>
    <row r="54" customFormat="false" ht="15" hidden="false" customHeight="false" outlineLevel="0" collapsed="false">
      <c r="A54" s="0" t="s">
        <v>1603</v>
      </c>
      <c r="B54" s="0" t="n">
        <v>7.44</v>
      </c>
    </row>
    <row r="55" customFormat="false" ht="15" hidden="false" customHeight="false" outlineLevel="0" collapsed="false">
      <c r="A55" s="0" t="s">
        <v>1604</v>
      </c>
      <c r="B55" s="0" t="n">
        <v>7.42</v>
      </c>
    </row>
    <row r="56" customFormat="false" ht="15" hidden="false" customHeight="false" outlineLevel="0" collapsed="false">
      <c r="A56" s="0" t="s">
        <v>1605</v>
      </c>
      <c r="B56" s="0" t="n">
        <v>8</v>
      </c>
    </row>
    <row r="57" customFormat="false" ht="15" hidden="false" customHeight="false" outlineLevel="0" collapsed="false">
      <c r="A57" s="0" t="s">
        <v>1606</v>
      </c>
      <c r="B57" s="0" t="n">
        <v>5.6</v>
      </c>
    </row>
    <row r="58" customFormat="false" ht="15" hidden="false" customHeight="false" outlineLevel="0" collapsed="false">
      <c r="A58" s="0" t="s">
        <v>1607</v>
      </c>
      <c r="B58" s="0" t="n">
        <v>6.83</v>
      </c>
    </row>
    <row r="59" customFormat="false" ht="15" hidden="false" customHeight="false" outlineLevel="0" collapsed="false">
      <c r="A59" s="0" t="s">
        <v>1608</v>
      </c>
      <c r="B59" s="0" t="n">
        <v>8.17</v>
      </c>
    </row>
    <row r="60" customFormat="false" ht="15" hidden="false" customHeight="false" outlineLevel="0" collapsed="false">
      <c r="A60" s="0" t="s">
        <v>1609</v>
      </c>
      <c r="B60" s="0" t="n">
        <v>5.75</v>
      </c>
    </row>
    <row r="61" customFormat="false" ht="15" hidden="false" customHeight="false" outlineLevel="0" collapsed="false">
      <c r="A61" s="0" t="s">
        <v>1610</v>
      </c>
      <c r="B61" s="0" t="n">
        <v>9.25</v>
      </c>
    </row>
    <row r="62" customFormat="false" ht="15" hidden="false" customHeight="false" outlineLevel="0" collapsed="false">
      <c r="A62" s="0" t="s">
        <v>1611</v>
      </c>
      <c r="B62" s="0" t="n">
        <v>2</v>
      </c>
    </row>
    <row r="63" customFormat="false" ht="15" hidden="false" customHeight="false" outlineLevel="0" collapsed="false">
      <c r="A63" s="0" t="s">
        <v>1612</v>
      </c>
      <c r="B63" s="0" t="n">
        <v>9.5</v>
      </c>
    </row>
    <row r="64" customFormat="false" ht="15" hidden="false" customHeight="false" outlineLevel="0" collapsed="false">
      <c r="A64" s="0" t="s">
        <v>1613</v>
      </c>
      <c r="B64" s="0" t="n">
        <v>10.83</v>
      </c>
    </row>
    <row r="65" customFormat="false" ht="15" hidden="false" customHeight="false" outlineLevel="0" collapsed="false">
      <c r="A65" s="0" t="s">
        <v>1614</v>
      </c>
      <c r="B65" s="0" t="n">
        <v>7.43</v>
      </c>
    </row>
    <row r="66" customFormat="false" ht="15" hidden="false" customHeight="false" outlineLevel="0" collapsed="false">
      <c r="A66" s="0" t="s">
        <v>1615</v>
      </c>
      <c r="B66" s="0" t="n">
        <v>6.2</v>
      </c>
    </row>
    <row r="67" customFormat="false" ht="15" hidden="false" customHeight="false" outlineLevel="0" collapsed="false">
      <c r="A67" s="0" t="s">
        <v>1616</v>
      </c>
      <c r="B67" s="0" t="n">
        <v>6.83</v>
      </c>
    </row>
    <row r="68" customFormat="false" ht="15" hidden="false" customHeight="false" outlineLevel="0" collapsed="false">
      <c r="A68" s="0" t="s">
        <v>1617</v>
      </c>
      <c r="B68" s="0" t="n">
        <v>8.04</v>
      </c>
    </row>
    <row r="69" customFormat="false" ht="15" hidden="false" customHeight="false" outlineLevel="0" collapsed="false">
      <c r="A69" s="0" t="s">
        <v>1618</v>
      </c>
      <c r="B69" s="0" t="n">
        <v>7.22</v>
      </c>
    </row>
    <row r="70" customFormat="false" ht="15" hidden="false" customHeight="false" outlineLevel="0" collapsed="false">
      <c r="A70" s="0" t="s">
        <v>1619</v>
      </c>
      <c r="B70" s="0" t="n">
        <v>10.5</v>
      </c>
    </row>
    <row r="71" customFormat="false" ht="15" hidden="false" customHeight="false" outlineLevel="0" collapsed="false">
      <c r="A71" s="0" t="s">
        <v>1620</v>
      </c>
      <c r="B71" s="0" t="n">
        <v>6</v>
      </c>
    </row>
    <row r="72" customFormat="false" ht="15" hidden="false" customHeight="false" outlineLevel="0" collapsed="false">
      <c r="A72" s="0" t="s">
        <v>1621</v>
      </c>
      <c r="B72" s="0" t="n">
        <v>7</v>
      </c>
    </row>
    <row r="73" customFormat="false" ht="15" hidden="false" customHeight="false" outlineLevel="0" collapsed="false">
      <c r="A73" s="0" t="s">
        <v>1622</v>
      </c>
      <c r="B73" s="0" t="n">
        <v>8.75</v>
      </c>
    </row>
    <row r="74" customFormat="false" ht="15" hidden="false" customHeight="false" outlineLevel="0" collapsed="false">
      <c r="A74" s="0" t="s">
        <v>1623</v>
      </c>
      <c r="B74" s="0" t="n">
        <v>6</v>
      </c>
    </row>
    <row r="75" customFormat="false" ht="15" hidden="false" customHeight="false" outlineLevel="0" collapsed="false">
      <c r="A75" s="0" t="s">
        <v>1624</v>
      </c>
      <c r="B75" s="0" t="n">
        <v>6</v>
      </c>
    </row>
    <row r="76" customFormat="false" ht="15" hidden="false" customHeight="false" outlineLevel="0" collapsed="false">
      <c r="A76" s="0" t="s">
        <v>1625</v>
      </c>
      <c r="B76" s="0" t="n">
        <v>10.5</v>
      </c>
    </row>
    <row r="77" customFormat="false" ht="15" hidden="false" customHeight="false" outlineLevel="0" collapsed="false">
      <c r="A77" s="0" t="s">
        <v>1626</v>
      </c>
      <c r="B77" s="0" t="n">
        <v>8</v>
      </c>
    </row>
    <row r="78" customFormat="false" ht="15" hidden="false" customHeight="false" outlineLevel="0" collapsed="false">
      <c r="A78" s="0" t="s">
        <v>1627</v>
      </c>
      <c r="B78" s="0" t="n">
        <v>7</v>
      </c>
    </row>
    <row r="79" customFormat="false" ht="15" hidden="false" customHeight="false" outlineLevel="0" collapsed="false">
      <c r="A79" s="0" t="s">
        <v>1628</v>
      </c>
      <c r="B79" s="0" t="n">
        <v>6.67</v>
      </c>
    </row>
    <row r="80" customFormat="false" ht="15" hidden="false" customHeight="false" outlineLevel="0" collapsed="false">
      <c r="A80" s="0" t="s">
        <v>1629</v>
      </c>
      <c r="B80" s="0" t="n">
        <v>7.29</v>
      </c>
    </row>
    <row r="81" customFormat="false" ht="15" hidden="false" customHeight="false" outlineLevel="0" collapsed="false">
      <c r="A81" s="0" t="s">
        <v>1630</v>
      </c>
      <c r="B81" s="0" t="n">
        <v>7</v>
      </c>
    </row>
    <row r="82" customFormat="false" ht="15" hidden="false" customHeight="false" outlineLevel="0" collapsed="false">
      <c r="A82" s="0" t="s">
        <v>1631</v>
      </c>
      <c r="B82" s="0" t="n">
        <v>4</v>
      </c>
    </row>
    <row r="83" customFormat="false" ht="15" hidden="false" customHeight="false" outlineLevel="0" collapsed="false">
      <c r="A83" s="0" t="s">
        <v>1632</v>
      </c>
      <c r="B83" s="0" t="n">
        <v>8.65</v>
      </c>
    </row>
    <row r="84" customFormat="false" ht="15" hidden="false" customHeight="false" outlineLevel="0" collapsed="false">
      <c r="A84" s="0" t="s">
        <v>1633</v>
      </c>
      <c r="B84" s="0" t="n">
        <v>7.54</v>
      </c>
    </row>
    <row r="85" customFormat="false" ht="15" hidden="false" customHeight="false" outlineLevel="0" collapsed="false">
      <c r="A85" s="0" t="s">
        <v>1634</v>
      </c>
      <c r="B85" s="0" t="n">
        <v>8</v>
      </c>
    </row>
    <row r="86" customFormat="false" ht="15" hidden="false" customHeight="false" outlineLevel="0" collapsed="false">
      <c r="A86" s="0" t="s">
        <v>1635</v>
      </c>
      <c r="B86" s="0" t="n">
        <v>11.33</v>
      </c>
    </row>
    <row r="87" customFormat="false" ht="15" hidden="false" customHeight="false" outlineLevel="0" collapsed="false">
      <c r="A87" s="0" t="s">
        <v>1636</v>
      </c>
      <c r="B87" s="0" t="n">
        <v>7.88</v>
      </c>
    </row>
    <row r="88" customFormat="false" ht="15" hidden="false" customHeight="false" outlineLevel="0" collapsed="false">
      <c r="A88" s="0" t="s">
        <v>1637</v>
      </c>
      <c r="B88" s="0" t="n">
        <v>6.56</v>
      </c>
    </row>
    <row r="89" customFormat="false" ht="15" hidden="false" customHeight="false" outlineLevel="0" collapsed="false">
      <c r="A89" s="0" t="s">
        <v>1638</v>
      </c>
      <c r="B89" s="0" t="n">
        <v>8.17</v>
      </c>
    </row>
    <row r="90" customFormat="false" ht="15" hidden="false" customHeight="false" outlineLevel="0" collapsed="false">
      <c r="A90" s="0" t="s">
        <v>1639</v>
      </c>
      <c r="B90" s="0" t="n">
        <v>5</v>
      </c>
    </row>
    <row r="91" customFormat="false" ht="15" hidden="false" customHeight="false" outlineLevel="0" collapsed="false">
      <c r="A91" s="0" t="s">
        <v>1640</v>
      </c>
      <c r="B91" s="0" t="n">
        <v>9.6</v>
      </c>
    </row>
    <row r="92" customFormat="false" ht="15" hidden="false" customHeight="false" outlineLevel="0" collapsed="false">
      <c r="A92" s="0" t="s">
        <v>1641</v>
      </c>
      <c r="B92" s="0" t="n">
        <v>4.5</v>
      </c>
    </row>
    <row r="93" customFormat="false" ht="15" hidden="false" customHeight="false" outlineLevel="0" collapsed="false">
      <c r="A93" s="0" t="s">
        <v>1642</v>
      </c>
      <c r="B93" s="0" t="n">
        <v>10</v>
      </c>
    </row>
    <row r="94" customFormat="false" ht="15" hidden="false" customHeight="false" outlineLevel="0" collapsed="false">
      <c r="A94" s="0" t="s">
        <v>1643</v>
      </c>
      <c r="B94" s="0" t="n">
        <v>9.8</v>
      </c>
    </row>
    <row r="95" customFormat="false" ht="15" hidden="false" customHeight="false" outlineLevel="0" collapsed="false">
      <c r="A95" s="0" t="s">
        <v>1644</v>
      </c>
      <c r="B95" s="0" t="n">
        <v>9.43</v>
      </c>
    </row>
    <row r="96" customFormat="false" ht="15" hidden="false" customHeight="false" outlineLevel="0" collapsed="false">
      <c r="A96" s="0" t="s">
        <v>1645</v>
      </c>
      <c r="B96" s="0" t="n">
        <v>8.77</v>
      </c>
    </row>
    <row r="97" customFormat="false" ht="15" hidden="false" customHeight="false" outlineLevel="0" collapsed="false">
      <c r="A97" s="0" t="s">
        <v>1646</v>
      </c>
      <c r="B97" s="0" t="n">
        <v>9</v>
      </c>
    </row>
    <row r="98" customFormat="false" ht="15" hidden="false" customHeight="false" outlineLevel="0" collapsed="false">
      <c r="A98" s="0" t="s">
        <v>1647</v>
      </c>
      <c r="B98" s="0" t="n">
        <v>9.17</v>
      </c>
    </row>
    <row r="99" customFormat="false" ht="15" hidden="false" customHeight="false" outlineLevel="0" collapsed="false">
      <c r="A99" s="0" t="s">
        <v>1648</v>
      </c>
      <c r="B99" s="0" t="n">
        <v>5.2</v>
      </c>
    </row>
    <row r="100" customFormat="false" ht="15" hidden="false" customHeight="false" outlineLevel="0" collapsed="false">
      <c r="A100" s="0" t="s">
        <v>1649</v>
      </c>
      <c r="B100" s="0" t="n">
        <v>7</v>
      </c>
    </row>
    <row r="101" customFormat="false" ht="15" hidden="false" customHeight="false" outlineLevel="0" collapsed="false">
      <c r="A101" s="0" t="s">
        <v>1650</v>
      </c>
      <c r="B101" s="0" t="n">
        <v>9</v>
      </c>
    </row>
    <row r="102" customFormat="false" ht="15" hidden="false" customHeight="false" outlineLevel="0" collapsed="false">
      <c r="A102" s="0" t="s">
        <v>1651</v>
      </c>
      <c r="B102" s="0" t="n">
        <v>3.5</v>
      </c>
    </row>
    <row r="103" customFormat="false" ht="15" hidden="false" customHeight="false" outlineLevel="0" collapsed="false">
      <c r="A103" s="0" t="s">
        <v>1652</v>
      </c>
      <c r="B103" s="0" t="n">
        <v>8.5</v>
      </c>
    </row>
    <row r="104" customFormat="false" ht="15" hidden="false" customHeight="false" outlineLevel="0" collapsed="false">
      <c r="A104" s="0" t="s">
        <v>1653</v>
      </c>
      <c r="B104" s="0" t="n">
        <v>5</v>
      </c>
    </row>
    <row r="105" customFormat="false" ht="15" hidden="false" customHeight="false" outlineLevel="0" collapsed="false">
      <c r="A105" s="0" t="s">
        <v>1654</v>
      </c>
      <c r="B105" s="0" t="n">
        <v>9.67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6" min="6" style="0" width="7"/>
    <col collapsed="false" customWidth="true" hidden="false" outlineLevel="0" max="7" min="7" style="0" width="10"/>
  </cols>
  <sheetData>
    <row r="1" customFormat="false" ht="55.2" hidden="false" customHeight="false" outlineLevel="0" collapsed="false">
      <c r="A1" s="12" t="s">
        <v>570</v>
      </c>
      <c r="B1" s="12" t="s">
        <v>58</v>
      </c>
      <c r="C1" s="12" t="s">
        <v>545</v>
      </c>
      <c r="D1" s="12" t="s">
        <v>1655</v>
      </c>
      <c r="E1" s="12" t="s">
        <v>1656</v>
      </c>
      <c r="F1" s="12" t="s">
        <v>1657</v>
      </c>
      <c r="G1" s="12" t="s">
        <v>1658</v>
      </c>
    </row>
    <row r="2" customFormat="false" ht="15" hidden="false" customHeight="false" outlineLevel="0" collapsed="false">
      <c r="A2" s="0" t="s">
        <v>525</v>
      </c>
      <c r="B2" s="0" t="s">
        <v>228</v>
      </c>
      <c r="C2" s="0" t="s">
        <v>1535</v>
      </c>
      <c r="D2" s="0" t="n">
        <v>5</v>
      </c>
      <c r="E2" s="0" t="n">
        <v>7</v>
      </c>
      <c r="F2" s="0" t="n">
        <v>40</v>
      </c>
      <c r="G2" s="0" t="n">
        <v>10</v>
      </c>
    </row>
    <row r="3" customFormat="false" ht="15" hidden="false" customHeight="false" outlineLevel="0" collapsed="false">
      <c r="A3" s="0" t="s">
        <v>525</v>
      </c>
      <c r="B3" s="0" t="s">
        <v>228</v>
      </c>
      <c r="C3" s="0" t="s">
        <v>1538</v>
      </c>
      <c r="D3" s="0" t="n">
        <v>23</v>
      </c>
      <c r="E3" s="0" t="n">
        <v>0</v>
      </c>
      <c r="F3" s="0" t="n">
        <v>62</v>
      </c>
      <c r="G3" s="0" t="n">
        <v>21</v>
      </c>
    </row>
    <row r="4" customFormat="false" ht="15" hidden="false" customHeight="false" outlineLevel="0" collapsed="false">
      <c r="A4" s="0" t="s">
        <v>525</v>
      </c>
      <c r="B4" s="0" t="s">
        <v>197</v>
      </c>
      <c r="C4" s="0" t="s">
        <v>1535</v>
      </c>
      <c r="D4" s="0" t="n">
        <v>10</v>
      </c>
      <c r="E4" s="0" t="n">
        <v>0</v>
      </c>
      <c r="F4" s="0" t="n">
        <v>38</v>
      </c>
      <c r="G4" s="0" t="n">
        <v>13</v>
      </c>
    </row>
    <row r="5" customFormat="false" ht="15" hidden="false" customHeight="false" outlineLevel="0" collapsed="false">
      <c r="A5" s="0" t="s">
        <v>525</v>
      </c>
      <c r="B5" s="0" t="s">
        <v>197</v>
      </c>
      <c r="C5" s="0" t="s">
        <v>1538</v>
      </c>
      <c r="D5" s="0" t="n">
        <v>35</v>
      </c>
      <c r="E5" s="0" t="n">
        <v>0</v>
      </c>
      <c r="F5" s="0" t="n">
        <v>71</v>
      </c>
      <c r="G5" s="0" t="n">
        <v>17</v>
      </c>
    </row>
    <row r="6" customFormat="false" ht="15" hidden="false" customHeight="false" outlineLevel="0" collapsed="false">
      <c r="A6" s="0" t="s">
        <v>525</v>
      </c>
      <c r="B6" s="0" t="s">
        <v>234</v>
      </c>
      <c r="C6" s="0" t="s">
        <v>1535</v>
      </c>
      <c r="D6" s="0" t="n">
        <v>34</v>
      </c>
      <c r="E6" s="0" t="n">
        <v>0</v>
      </c>
      <c r="F6" s="0" t="n">
        <v>75</v>
      </c>
      <c r="G6" s="0" t="n">
        <v>16</v>
      </c>
    </row>
    <row r="7" customFormat="false" ht="15" hidden="false" customHeight="false" outlineLevel="0" collapsed="false">
      <c r="A7" s="0" t="s">
        <v>525</v>
      </c>
      <c r="B7" s="0" t="s">
        <v>234</v>
      </c>
      <c r="C7" s="0" t="s">
        <v>1538</v>
      </c>
      <c r="D7" s="0" t="n">
        <v>7</v>
      </c>
      <c r="E7" s="0" t="n">
        <v>0</v>
      </c>
      <c r="F7" s="0" t="n">
        <v>41</v>
      </c>
      <c r="G7" s="0" t="n">
        <v>17</v>
      </c>
    </row>
    <row r="8" customFormat="false" ht="15" hidden="false" customHeight="false" outlineLevel="0" collapsed="false">
      <c r="A8" s="0" t="s">
        <v>525</v>
      </c>
      <c r="B8" s="0" t="s">
        <v>183</v>
      </c>
      <c r="C8" s="0" t="s">
        <v>1535</v>
      </c>
      <c r="D8" s="0" t="n">
        <v>15</v>
      </c>
      <c r="E8" s="0" t="n">
        <v>0</v>
      </c>
      <c r="F8" s="0" t="n">
        <v>38</v>
      </c>
      <c r="G8" s="0" t="n">
        <v>8</v>
      </c>
    </row>
    <row r="9" customFormat="false" ht="15" hidden="false" customHeight="false" outlineLevel="0" collapsed="false">
      <c r="A9" s="0" t="s">
        <v>525</v>
      </c>
      <c r="B9" s="0" t="s">
        <v>183</v>
      </c>
      <c r="C9" s="0" t="s">
        <v>1538</v>
      </c>
      <c r="D9" s="0" t="n">
        <v>0</v>
      </c>
      <c r="E9" s="0" t="n">
        <v>25</v>
      </c>
      <c r="F9" s="0" t="n">
        <v>55</v>
      </c>
      <c r="G9" s="0" t="n">
        <v>11</v>
      </c>
    </row>
    <row r="10" customFormat="false" ht="15" hidden="false" customHeight="false" outlineLevel="0" collapsed="false">
      <c r="A10" s="0" t="s">
        <v>525</v>
      </c>
      <c r="B10" s="0" t="s">
        <v>245</v>
      </c>
      <c r="C10" s="0" t="s">
        <v>1535</v>
      </c>
      <c r="D10" s="0" t="n">
        <v>0</v>
      </c>
      <c r="E10" s="0" t="n">
        <v>88</v>
      </c>
      <c r="G10" s="0" t="n">
        <v>0</v>
      </c>
    </row>
    <row r="11" customFormat="false" ht="15" hidden="false" customHeight="false" outlineLevel="0" collapsed="false">
      <c r="A11" s="0" t="s">
        <v>525</v>
      </c>
      <c r="B11" s="0" t="s">
        <v>245</v>
      </c>
      <c r="C11" s="0" t="s">
        <v>1538</v>
      </c>
      <c r="D11" s="0" t="n">
        <v>0</v>
      </c>
      <c r="E11" s="0" t="n">
        <v>72</v>
      </c>
      <c r="G11" s="0" t="n">
        <v>0</v>
      </c>
    </row>
    <row r="12" customFormat="false" ht="15" hidden="false" customHeight="false" outlineLevel="0" collapsed="false">
      <c r="A12" s="0" t="s">
        <v>525</v>
      </c>
      <c r="B12" s="0" t="s">
        <v>208</v>
      </c>
      <c r="C12" s="0" t="s">
        <v>1535</v>
      </c>
      <c r="D12" s="0" t="n">
        <v>29</v>
      </c>
      <c r="E12" s="0" t="n">
        <v>0</v>
      </c>
      <c r="F12" s="0" t="n">
        <v>67</v>
      </c>
      <c r="G12" s="0" t="n">
        <v>9</v>
      </c>
    </row>
    <row r="13" customFormat="false" ht="15" hidden="false" customHeight="false" outlineLevel="0" collapsed="false">
      <c r="A13" s="0" t="s">
        <v>525</v>
      </c>
      <c r="B13" s="0" t="s">
        <v>208</v>
      </c>
      <c r="C13" s="0" t="s">
        <v>1538</v>
      </c>
      <c r="D13" s="0" t="n">
        <v>25</v>
      </c>
      <c r="E13" s="0" t="n">
        <v>2</v>
      </c>
      <c r="F13" s="0" t="n">
        <v>68</v>
      </c>
      <c r="G13" s="0" t="n">
        <v>19</v>
      </c>
    </row>
    <row r="14" customFormat="false" ht="15" hidden="false" customHeight="false" outlineLevel="0" collapsed="false">
      <c r="A14" s="0" t="s">
        <v>525</v>
      </c>
      <c r="B14" s="0" t="s">
        <v>221</v>
      </c>
      <c r="C14" s="0" t="s">
        <v>1535</v>
      </c>
      <c r="D14" s="0" t="n">
        <v>0</v>
      </c>
      <c r="E14" s="0" t="n">
        <v>2</v>
      </c>
      <c r="F14" s="0" t="n">
        <v>64</v>
      </c>
      <c r="G14" s="0" t="n">
        <v>11</v>
      </c>
    </row>
    <row r="15" customFormat="false" ht="15" hidden="false" customHeight="false" outlineLevel="0" collapsed="false">
      <c r="A15" s="0" t="s">
        <v>525</v>
      </c>
      <c r="B15" s="0" t="s">
        <v>221</v>
      </c>
      <c r="C15" s="0" t="s">
        <v>1538</v>
      </c>
      <c r="D15" s="0" t="n">
        <v>5</v>
      </c>
      <c r="E15" s="0" t="n">
        <v>0</v>
      </c>
      <c r="F15" s="0" t="n">
        <v>58</v>
      </c>
      <c r="G15" s="0" t="n">
        <v>12</v>
      </c>
    </row>
    <row r="16" customFormat="false" ht="15" hidden="false" customHeight="false" outlineLevel="0" collapsed="false">
      <c r="A16" s="0" t="s">
        <v>616</v>
      </c>
      <c r="B16" s="0" t="s">
        <v>228</v>
      </c>
      <c r="C16" s="0" t="s">
        <v>1540</v>
      </c>
      <c r="D16" s="0" t="n">
        <v>13</v>
      </c>
      <c r="E16" s="0" t="n">
        <v>0</v>
      </c>
      <c r="F16" s="0" t="n">
        <v>75</v>
      </c>
      <c r="G16" s="0" t="n">
        <v>8</v>
      </c>
    </row>
    <row r="17" customFormat="false" ht="15" hidden="false" customHeight="false" outlineLevel="0" collapsed="false">
      <c r="A17" s="0" t="s">
        <v>616</v>
      </c>
      <c r="B17" s="0" t="s">
        <v>228</v>
      </c>
      <c r="C17" s="0" t="s">
        <v>1542</v>
      </c>
      <c r="D17" s="0" t="n">
        <v>0</v>
      </c>
      <c r="E17" s="0" t="n">
        <v>25</v>
      </c>
      <c r="G17" s="0" t="n">
        <v>0</v>
      </c>
    </row>
    <row r="18" customFormat="false" ht="15" hidden="false" customHeight="false" outlineLevel="0" collapsed="false">
      <c r="A18" s="0" t="s">
        <v>616</v>
      </c>
      <c r="B18" s="0" t="s">
        <v>197</v>
      </c>
      <c r="C18" s="0" t="s">
        <v>1540</v>
      </c>
      <c r="D18" s="0" t="n">
        <v>43</v>
      </c>
      <c r="E18" s="0" t="n">
        <v>0</v>
      </c>
      <c r="F18" s="0" t="n">
        <v>64</v>
      </c>
      <c r="G18" s="0" t="n">
        <v>14</v>
      </c>
    </row>
    <row r="19" customFormat="false" ht="15" hidden="false" customHeight="false" outlineLevel="0" collapsed="false">
      <c r="A19" s="0" t="s">
        <v>616</v>
      </c>
      <c r="B19" s="0" t="s">
        <v>197</v>
      </c>
      <c r="C19" s="0" t="s">
        <v>1542</v>
      </c>
      <c r="D19" s="0" t="n">
        <v>50</v>
      </c>
      <c r="E19" s="0" t="n">
        <v>0</v>
      </c>
      <c r="F19" s="0" t="n">
        <v>50</v>
      </c>
      <c r="G19" s="0" t="n">
        <v>2</v>
      </c>
    </row>
    <row r="20" customFormat="false" ht="15" hidden="false" customHeight="false" outlineLevel="0" collapsed="false">
      <c r="A20" s="0" t="s">
        <v>616</v>
      </c>
      <c r="B20" s="0" t="s">
        <v>234</v>
      </c>
      <c r="C20" s="0" t="s">
        <v>1540</v>
      </c>
      <c r="D20" s="0" t="n">
        <v>11</v>
      </c>
      <c r="E20" s="0" t="n">
        <v>2</v>
      </c>
      <c r="F20" s="0" t="n">
        <v>33</v>
      </c>
      <c r="G20" s="0" t="n">
        <v>3</v>
      </c>
    </row>
    <row r="21" customFormat="false" ht="15" hidden="false" customHeight="false" outlineLevel="0" collapsed="false">
      <c r="A21" s="0" t="s">
        <v>616</v>
      </c>
      <c r="B21" s="0" t="s">
        <v>234</v>
      </c>
      <c r="C21" s="0" t="s">
        <v>1542</v>
      </c>
      <c r="D21" s="0" t="n">
        <v>0</v>
      </c>
      <c r="E21" s="0" t="n">
        <v>0</v>
      </c>
      <c r="F21" s="0" t="n">
        <v>100</v>
      </c>
      <c r="G21" s="0" t="n">
        <v>2</v>
      </c>
    </row>
    <row r="22" customFormat="false" ht="15" hidden="false" customHeight="false" outlineLevel="0" collapsed="false">
      <c r="A22" s="0" t="s">
        <v>616</v>
      </c>
      <c r="B22" s="0" t="s">
        <v>183</v>
      </c>
      <c r="C22" s="0" t="s">
        <v>1540</v>
      </c>
      <c r="D22" s="0" t="n">
        <v>26</v>
      </c>
      <c r="E22" s="0" t="n">
        <v>0</v>
      </c>
      <c r="F22" s="0" t="n">
        <v>38</v>
      </c>
      <c r="G22" s="0" t="n">
        <v>16</v>
      </c>
    </row>
    <row r="23" customFormat="false" ht="15" hidden="false" customHeight="false" outlineLevel="0" collapsed="false">
      <c r="A23" s="0" t="s">
        <v>616</v>
      </c>
      <c r="B23" s="0" t="s">
        <v>183</v>
      </c>
      <c r="C23" s="0" t="s">
        <v>1542</v>
      </c>
      <c r="D23" s="0" t="n">
        <v>0</v>
      </c>
      <c r="E23" s="0" t="n">
        <v>25</v>
      </c>
      <c r="F23" s="0" t="n">
        <v>0</v>
      </c>
      <c r="G23" s="0" t="n">
        <v>1</v>
      </c>
    </row>
    <row r="24" customFormat="false" ht="15" hidden="false" customHeight="false" outlineLevel="0" collapsed="false">
      <c r="A24" s="0" t="s">
        <v>616</v>
      </c>
      <c r="B24" s="0" t="s">
        <v>245</v>
      </c>
      <c r="C24" s="0" t="s">
        <v>1540</v>
      </c>
      <c r="D24" s="0" t="n">
        <v>6</v>
      </c>
      <c r="E24" s="0" t="n">
        <v>9</v>
      </c>
      <c r="F24" s="0" t="n">
        <v>20</v>
      </c>
      <c r="G24" s="0" t="n">
        <v>5</v>
      </c>
    </row>
    <row r="25" customFormat="false" ht="15" hidden="false" customHeight="false" outlineLevel="0" collapsed="false">
      <c r="A25" s="0" t="s">
        <v>616</v>
      </c>
      <c r="B25" s="0" t="s">
        <v>245</v>
      </c>
      <c r="C25" s="0" t="s">
        <v>1542</v>
      </c>
      <c r="D25" s="0" t="n">
        <v>0</v>
      </c>
      <c r="E25" s="0" t="n">
        <v>0</v>
      </c>
      <c r="F25" s="0" t="n">
        <v>100</v>
      </c>
      <c r="G25" s="0" t="n">
        <v>1</v>
      </c>
    </row>
    <row r="26" customFormat="false" ht="15" hidden="false" customHeight="false" outlineLevel="0" collapsed="false">
      <c r="A26" s="0" t="s">
        <v>616</v>
      </c>
      <c r="B26" s="0" t="s">
        <v>208</v>
      </c>
      <c r="C26" s="0" t="s">
        <v>1540</v>
      </c>
      <c r="D26" s="0" t="n">
        <v>0</v>
      </c>
      <c r="E26" s="0" t="n">
        <v>6</v>
      </c>
      <c r="F26" s="0" t="n">
        <v>20</v>
      </c>
      <c r="G26" s="0" t="n">
        <v>10</v>
      </c>
    </row>
    <row r="27" customFormat="false" ht="15" hidden="false" customHeight="false" outlineLevel="0" collapsed="false">
      <c r="A27" s="0" t="s">
        <v>616</v>
      </c>
      <c r="B27" s="0" t="s">
        <v>208</v>
      </c>
      <c r="C27" s="0" t="s">
        <v>1542</v>
      </c>
      <c r="D27" s="0" t="n">
        <v>50</v>
      </c>
      <c r="E27" s="0" t="n">
        <v>0</v>
      </c>
      <c r="F27" s="0" t="n">
        <v>67</v>
      </c>
      <c r="G27" s="0" t="n">
        <v>3</v>
      </c>
    </row>
    <row r="28" customFormat="false" ht="15" hidden="false" customHeight="false" outlineLevel="0" collapsed="false">
      <c r="A28" s="0" t="s">
        <v>616</v>
      </c>
      <c r="B28" s="0" t="s">
        <v>221</v>
      </c>
      <c r="C28" s="0" t="s">
        <v>1540</v>
      </c>
      <c r="D28" s="0" t="n">
        <v>0</v>
      </c>
      <c r="E28" s="0" t="n">
        <v>83</v>
      </c>
      <c r="G28" s="0" t="n">
        <v>0</v>
      </c>
    </row>
    <row r="29" customFormat="false" ht="15" hidden="false" customHeight="false" outlineLevel="0" collapsed="false">
      <c r="A29" s="0" t="s">
        <v>616</v>
      </c>
      <c r="B29" s="0" t="s">
        <v>221</v>
      </c>
      <c r="C29" s="0" t="s">
        <v>1542</v>
      </c>
      <c r="D29" s="0" t="n">
        <v>0</v>
      </c>
      <c r="E29" s="0" t="n">
        <v>50</v>
      </c>
      <c r="F29" s="0" t="n">
        <v>0</v>
      </c>
      <c r="G29" s="0" t="n">
        <v>1</v>
      </c>
    </row>
    <row r="30" customFormat="false" ht="15" hidden="false" customHeight="false" outlineLevel="0" collapsed="false">
      <c r="A30" s="0" t="s">
        <v>622</v>
      </c>
      <c r="B30" s="0" t="s">
        <v>228</v>
      </c>
      <c r="C30" s="0" t="s">
        <v>1544</v>
      </c>
      <c r="D30" s="0" t="n">
        <v>0</v>
      </c>
      <c r="E30" s="0" t="n">
        <v>96</v>
      </c>
      <c r="G30" s="0" t="n">
        <v>0</v>
      </c>
    </row>
    <row r="31" customFormat="false" ht="15" hidden="false" customHeight="false" outlineLevel="0" collapsed="false">
      <c r="A31" s="0" t="s">
        <v>622</v>
      </c>
      <c r="B31" s="0" t="s">
        <v>228</v>
      </c>
      <c r="C31" s="0" t="s">
        <v>1546</v>
      </c>
      <c r="D31" s="0" t="n">
        <v>33</v>
      </c>
      <c r="E31" s="0" t="n">
        <v>0</v>
      </c>
      <c r="F31" s="0" t="n">
        <v>89</v>
      </c>
      <c r="G31" s="0" t="n">
        <v>9</v>
      </c>
    </row>
    <row r="32" customFormat="false" ht="15" hidden="false" customHeight="false" outlineLevel="0" collapsed="false">
      <c r="A32" s="0" t="s">
        <v>622</v>
      </c>
      <c r="B32" s="0" t="s">
        <v>197</v>
      </c>
      <c r="C32" s="0" t="s">
        <v>1544</v>
      </c>
      <c r="D32" s="0" t="n">
        <v>4</v>
      </c>
      <c r="E32" s="0" t="n">
        <v>0</v>
      </c>
      <c r="F32" s="0" t="n">
        <v>38</v>
      </c>
      <c r="G32" s="0" t="n">
        <v>8</v>
      </c>
    </row>
    <row r="33" customFormat="false" ht="15" hidden="false" customHeight="false" outlineLevel="0" collapsed="false">
      <c r="A33" s="0" t="s">
        <v>622</v>
      </c>
      <c r="B33" s="0" t="s">
        <v>197</v>
      </c>
      <c r="C33" s="0" t="s">
        <v>1546</v>
      </c>
      <c r="D33" s="0" t="n">
        <v>29</v>
      </c>
      <c r="E33" s="0" t="n">
        <v>0</v>
      </c>
      <c r="F33" s="0" t="n">
        <v>60</v>
      </c>
      <c r="G33" s="0" t="n">
        <v>10</v>
      </c>
    </row>
    <row r="34" customFormat="false" ht="15" hidden="false" customHeight="false" outlineLevel="0" collapsed="false">
      <c r="A34" s="0" t="s">
        <v>622</v>
      </c>
      <c r="B34" s="0" t="s">
        <v>234</v>
      </c>
      <c r="C34" s="0" t="s">
        <v>1544</v>
      </c>
      <c r="D34" s="0" t="n">
        <v>44</v>
      </c>
      <c r="E34" s="0" t="n">
        <v>0</v>
      </c>
      <c r="F34" s="0" t="n">
        <v>50</v>
      </c>
      <c r="G34" s="0" t="n">
        <v>12</v>
      </c>
    </row>
    <row r="35" customFormat="false" ht="15" hidden="false" customHeight="false" outlineLevel="0" collapsed="false">
      <c r="A35" s="0" t="s">
        <v>622</v>
      </c>
      <c r="B35" s="0" t="s">
        <v>234</v>
      </c>
      <c r="C35" s="0" t="s">
        <v>1546</v>
      </c>
      <c r="D35" s="0" t="n">
        <v>33</v>
      </c>
      <c r="E35" s="0" t="n">
        <v>0</v>
      </c>
      <c r="F35" s="0" t="n">
        <v>67</v>
      </c>
      <c r="G35" s="0" t="n">
        <v>9</v>
      </c>
    </row>
    <row r="36" customFormat="false" ht="15" hidden="false" customHeight="false" outlineLevel="0" collapsed="false">
      <c r="A36" s="0" t="s">
        <v>622</v>
      </c>
      <c r="B36" s="0" t="s">
        <v>183</v>
      </c>
      <c r="C36" s="0" t="s">
        <v>1544</v>
      </c>
      <c r="D36" s="0" t="n">
        <v>8</v>
      </c>
      <c r="E36" s="0" t="n">
        <v>0</v>
      </c>
      <c r="F36" s="0" t="n">
        <v>50</v>
      </c>
      <c r="G36" s="0" t="n">
        <v>8</v>
      </c>
    </row>
    <row r="37" customFormat="false" ht="15" hidden="false" customHeight="false" outlineLevel="0" collapsed="false">
      <c r="A37" s="0" t="s">
        <v>622</v>
      </c>
      <c r="B37" s="0" t="s">
        <v>183</v>
      </c>
      <c r="C37" s="0" t="s">
        <v>1546</v>
      </c>
      <c r="D37" s="0" t="n">
        <v>5</v>
      </c>
      <c r="E37" s="0" t="n">
        <v>0</v>
      </c>
      <c r="F37" s="0" t="n">
        <v>50</v>
      </c>
      <c r="G37" s="0" t="n">
        <v>4</v>
      </c>
    </row>
    <row r="38" customFormat="false" ht="15" hidden="false" customHeight="false" outlineLevel="0" collapsed="false">
      <c r="A38" s="0" t="s">
        <v>622</v>
      </c>
      <c r="B38" s="0" t="s">
        <v>245</v>
      </c>
      <c r="C38" s="0" t="s">
        <v>1544</v>
      </c>
      <c r="D38" s="0" t="n">
        <v>0</v>
      </c>
      <c r="E38" s="0" t="n">
        <v>4</v>
      </c>
      <c r="F38" s="0" t="n">
        <v>20</v>
      </c>
      <c r="G38" s="0" t="n">
        <v>5</v>
      </c>
    </row>
    <row r="39" customFormat="false" ht="15" hidden="false" customHeight="false" outlineLevel="0" collapsed="false">
      <c r="A39" s="0" t="s">
        <v>622</v>
      </c>
      <c r="B39" s="0" t="s">
        <v>245</v>
      </c>
      <c r="C39" s="0" t="s">
        <v>1546</v>
      </c>
      <c r="D39" s="0" t="n">
        <v>0</v>
      </c>
      <c r="E39" s="0" t="n">
        <v>90</v>
      </c>
      <c r="F39" s="0" t="n">
        <v>100</v>
      </c>
      <c r="G39" s="0" t="n">
        <v>1</v>
      </c>
    </row>
    <row r="40" customFormat="false" ht="15" hidden="false" customHeight="false" outlineLevel="0" collapsed="false">
      <c r="A40" s="0" t="s">
        <v>622</v>
      </c>
      <c r="B40" s="0" t="s">
        <v>208</v>
      </c>
      <c r="C40" s="0" t="s">
        <v>1544</v>
      </c>
      <c r="D40" s="0" t="n">
        <v>24</v>
      </c>
      <c r="E40" s="0" t="n">
        <v>0</v>
      </c>
      <c r="F40" s="0" t="n">
        <v>46</v>
      </c>
      <c r="G40" s="0" t="n">
        <v>13</v>
      </c>
    </row>
    <row r="41" customFormat="false" ht="15" hidden="false" customHeight="false" outlineLevel="0" collapsed="false">
      <c r="A41" s="0" t="s">
        <v>622</v>
      </c>
      <c r="B41" s="0" t="s">
        <v>208</v>
      </c>
      <c r="C41" s="0" t="s">
        <v>1546</v>
      </c>
      <c r="D41" s="0" t="n">
        <v>0</v>
      </c>
      <c r="E41" s="0" t="n">
        <v>0</v>
      </c>
      <c r="F41" s="0" t="n">
        <v>30</v>
      </c>
      <c r="G41" s="0" t="n">
        <v>10</v>
      </c>
    </row>
    <row r="42" customFormat="false" ht="15" hidden="false" customHeight="false" outlineLevel="0" collapsed="false">
      <c r="A42" s="0" t="s">
        <v>622</v>
      </c>
      <c r="B42" s="0" t="s">
        <v>221</v>
      </c>
      <c r="C42" s="0" t="s">
        <v>1544</v>
      </c>
      <c r="D42" s="0" t="n">
        <v>20</v>
      </c>
      <c r="E42" s="0" t="n">
        <v>0</v>
      </c>
      <c r="F42" s="0" t="n">
        <v>45</v>
      </c>
      <c r="G42" s="0" t="n">
        <v>11</v>
      </c>
    </row>
    <row r="43" customFormat="false" ht="15" hidden="false" customHeight="false" outlineLevel="0" collapsed="false">
      <c r="A43" s="0" t="s">
        <v>622</v>
      </c>
      <c r="B43" s="0" t="s">
        <v>221</v>
      </c>
      <c r="C43" s="0" t="s">
        <v>1546</v>
      </c>
      <c r="D43" s="0" t="n">
        <v>0</v>
      </c>
      <c r="E43" s="0" t="n">
        <v>10</v>
      </c>
      <c r="F43" s="0" t="n">
        <v>50</v>
      </c>
      <c r="G43" s="0" t="n">
        <v>2</v>
      </c>
    </row>
    <row r="44" customFormat="false" ht="15" hidden="false" customHeight="false" outlineLevel="0" collapsed="false">
      <c r="A44" s="0" t="s">
        <v>629</v>
      </c>
      <c r="B44" s="0" t="s">
        <v>228</v>
      </c>
      <c r="C44" s="0" t="s">
        <v>634</v>
      </c>
      <c r="D44" s="0" t="n">
        <v>4</v>
      </c>
      <c r="E44" s="0" t="n">
        <v>4</v>
      </c>
      <c r="F44" s="0" t="n">
        <v>50</v>
      </c>
      <c r="G44" s="0" t="n">
        <v>6</v>
      </c>
    </row>
    <row r="45" customFormat="false" ht="15" hidden="false" customHeight="false" outlineLevel="0" collapsed="false">
      <c r="A45" s="0" t="s">
        <v>629</v>
      </c>
      <c r="B45" s="0" t="s">
        <v>228</v>
      </c>
      <c r="C45" s="0" t="s">
        <v>1549</v>
      </c>
      <c r="D45" s="0" t="n">
        <v>0</v>
      </c>
      <c r="E45" s="0" t="n">
        <v>75</v>
      </c>
      <c r="G45" s="0" t="n">
        <v>0</v>
      </c>
    </row>
    <row r="46" customFormat="false" ht="15" hidden="false" customHeight="false" outlineLevel="0" collapsed="false">
      <c r="A46" s="0" t="s">
        <v>629</v>
      </c>
      <c r="B46" s="0" t="s">
        <v>197</v>
      </c>
      <c r="C46" s="0" t="s">
        <v>634</v>
      </c>
      <c r="D46" s="0" t="n">
        <v>49</v>
      </c>
      <c r="E46" s="0" t="n">
        <v>0</v>
      </c>
      <c r="F46" s="0" t="n">
        <v>64</v>
      </c>
      <c r="G46" s="0" t="n">
        <v>25</v>
      </c>
    </row>
    <row r="47" customFormat="false" ht="15" hidden="false" customHeight="false" outlineLevel="0" collapsed="false">
      <c r="A47" s="0" t="s">
        <v>629</v>
      </c>
      <c r="B47" s="0" t="s">
        <v>197</v>
      </c>
      <c r="C47" s="0" t="s">
        <v>1549</v>
      </c>
      <c r="D47" s="0" t="n">
        <v>0</v>
      </c>
      <c r="E47" s="0" t="n">
        <v>0</v>
      </c>
      <c r="F47" s="0" t="n">
        <v>0</v>
      </c>
      <c r="G47" s="0" t="n">
        <v>2</v>
      </c>
    </row>
    <row r="48" customFormat="false" ht="15" hidden="false" customHeight="false" outlineLevel="0" collapsed="false">
      <c r="A48" s="0" t="s">
        <v>629</v>
      </c>
      <c r="B48" s="0" t="s">
        <v>234</v>
      </c>
      <c r="C48" s="0" t="s">
        <v>634</v>
      </c>
      <c r="D48" s="0" t="n">
        <v>2</v>
      </c>
      <c r="E48" s="0" t="n">
        <v>4</v>
      </c>
      <c r="F48" s="0" t="n">
        <v>60</v>
      </c>
      <c r="G48" s="0" t="n">
        <v>10</v>
      </c>
    </row>
    <row r="49" customFormat="false" ht="15" hidden="false" customHeight="false" outlineLevel="0" collapsed="false">
      <c r="A49" s="0" t="s">
        <v>629</v>
      </c>
      <c r="B49" s="0" t="s">
        <v>234</v>
      </c>
      <c r="C49" s="0" t="s">
        <v>1549</v>
      </c>
      <c r="D49" s="0" t="n">
        <v>50</v>
      </c>
      <c r="E49" s="0" t="n">
        <v>0</v>
      </c>
      <c r="F49" s="0" t="n">
        <v>33</v>
      </c>
      <c r="G49" s="0" t="n">
        <v>3</v>
      </c>
    </row>
    <row r="50" customFormat="false" ht="15" hidden="false" customHeight="false" outlineLevel="0" collapsed="false">
      <c r="A50" s="0" t="s">
        <v>629</v>
      </c>
      <c r="B50" s="0" t="s">
        <v>183</v>
      </c>
      <c r="C50" s="0" t="s">
        <v>634</v>
      </c>
      <c r="D50" s="0" t="n">
        <v>4</v>
      </c>
      <c r="E50" s="0" t="n">
        <v>16</v>
      </c>
      <c r="F50" s="0" t="n">
        <v>56</v>
      </c>
      <c r="G50" s="0" t="n">
        <v>9</v>
      </c>
    </row>
    <row r="51" customFormat="false" ht="15" hidden="false" customHeight="false" outlineLevel="0" collapsed="false">
      <c r="A51" s="0" t="s">
        <v>629</v>
      </c>
      <c r="B51" s="0" t="s">
        <v>183</v>
      </c>
      <c r="C51" s="0" t="s">
        <v>1549</v>
      </c>
      <c r="D51" s="0" t="n">
        <v>25</v>
      </c>
      <c r="E51" s="0" t="n">
        <v>0</v>
      </c>
      <c r="F51" s="0" t="n">
        <v>67</v>
      </c>
      <c r="G51" s="0" t="n">
        <v>3</v>
      </c>
    </row>
    <row r="52" customFormat="false" ht="15" hidden="false" customHeight="false" outlineLevel="0" collapsed="false">
      <c r="A52" s="0" t="s">
        <v>629</v>
      </c>
      <c r="B52" s="0" t="s">
        <v>245</v>
      </c>
      <c r="C52" s="0" t="s">
        <v>634</v>
      </c>
      <c r="D52" s="0" t="n">
        <v>12</v>
      </c>
      <c r="E52" s="0" t="n">
        <v>4</v>
      </c>
      <c r="F52" s="0" t="n">
        <v>50</v>
      </c>
      <c r="G52" s="0" t="n">
        <v>10</v>
      </c>
    </row>
    <row r="53" customFormat="false" ht="15" hidden="false" customHeight="false" outlineLevel="0" collapsed="false">
      <c r="A53" s="0" t="s">
        <v>629</v>
      </c>
      <c r="B53" s="0" t="s">
        <v>245</v>
      </c>
      <c r="C53" s="0" t="s">
        <v>1549</v>
      </c>
      <c r="D53" s="0" t="n">
        <v>0</v>
      </c>
      <c r="E53" s="0" t="n">
        <v>0</v>
      </c>
      <c r="G53" s="0" t="n">
        <v>0</v>
      </c>
    </row>
    <row r="54" customFormat="false" ht="15" hidden="false" customHeight="false" outlineLevel="0" collapsed="false">
      <c r="A54" s="0" t="s">
        <v>629</v>
      </c>
      <c r="B54" s="0" t="s">
        <v>208</v>
      </c>
      <c r="C54" s="0" t="s">
        <v>634</v>
      </c>
      <c r="D54" s="0" t="n">
        <v>24</v>
      </c>
      <c r="E54" s="0" t="n">
        <v>0</v>
      </c>
      <c r="F54" s="0" t="n">
        <v>35</v>
      </c>
      <c r="G54" s="0" t="n">
        <v>20</v>
      </c>
    </row>
    <row r="55" customFormat="false" ht="15" hidden="false" customHeight="false" outlineLevel="0" collapsed="false">
      <c r="A55" s="0" t="s">
        <v>629</v>
      </c>
      <c r="B55" s="0" t="s">
        <v>208</v>
      </c>
      <c r="C55" s="0" t="s">
        <v>1549</v>
      </c>
      <c r="D55" s="0" t="n">
        <v>25</v>
      </c>
      <c r="E55" s="0" t="n">
        <v>0</v>
      </c>
      <c r="F55" s="0" t="n">
        <v>100</v>
      </c>
      <c r="G55" s="0" t="n">
        <v>3</v>
      </c>
    </row>
    <row r="56" customFormat="false" ht="15" hidden="false" customHeight="false" outlineLevel="0" collapsed="false">
      <c r="A56" s="0" t="s">
        <v>629</v>
      </c>
      <c r="B56" s="0" t="s">
        <v>221</v>
      </c>
      <c r="C56" s="0" t="s">
        <v>634</v>
      </c>
      <c r="D56" s="0" t="n">
        <v>2</v>
      </c>
      <c r="E56" s="0" t="n">
        <v>71</v>
      </c>
      <c r="F56" s="0" t="n">
        <v>100</v>
      </c>
      <c r="G56" s="0" t="n">
        <v>1</v>
      </c>
    </row>
    <row r="57" customFormat="false" ht="15" hidden="false" customHeight="false" outlineLevel="0" collapsed="false">
      <c r="A57" s="0" t="s">
        <v>629</v>
      </c>
      <c r="B57" s="0" t="s">
        <v>221</v>
      </c>
      <c r="C57" s="0" t="s">
        <v>1549</v>
      </c>
      <c r="D57" s="0" t="n">
        <v>0</v>
      </c>
      <c r="E57" s="0" t="n">
        <v>25</v>
      </c>
      <c r="G57" s="0" t="n">
        <v>0</v>
      </c>
    </row>
  </sheetData>
  <autoFilter ref="A1:G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5"/>
    <col collapsed="false" customWidth="true" hidden="false" outlineLevel="0" max="4" min="4" style="0" width="2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6"/>
    <col collapsed="false" customWidth="true" hidden="false" outlineLevel="0" max="8" min="8" style="0" width="7"/>
    <col collapsed="false" customWidth="true" hidden="false" outlineLevel="0" max="10" min="9" style="0" width="8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3" min="13" style="0" width="9"/>
    <col collapsed="false" customWidth="true" hidden="false" outlineLevel="0" max="15" min="14" style="0" width="7"/>
    <col collapsed="false" customWidth="true" hidden="false" outlineLevel="0" max="17" min="16" style="0" width="8"/>
    <col collapsed="false" customWidth="true" hidden="false" outlineLevel="0" max="18" min="18" style="0" width="9"/>
    <col collapsed="false" customWidth="true" hidden="false" outlineLevel="0" max="19" min="19" style="0" width="8"/>
    <col collapsed="false" customWidth="true" hidden="false" outlineLevel="0" max="20" min="20" style="0" width="10"/>
    <col collapsed="false" customWidth="true" hidden="false" outlineLevel="0" max="21" min="21" style="0" width="11"/>
  </cols>
  <sheetData>
    <row r="1" customFormat="false" ht="28.35" hidden="false" customHeight="false" outlineLevel="0" collapsed="false">
      <c r="A1" s="12" t="s">
        <v>1659</v>
      </c>
      <c r="B1" s="12" t="s">
        <v>951</v>
      </c>
      <c r="C1" s="12" t="s">
        <v>571</v>
      </c>
      <c r="D1" s="12" t="s">
        <v>570</v>
      </c>
      <c r="E1" s="12" t="s">
        <v>546</v>
      </c>
      <c r="F1" s="12" t="s">
        <v>665</v>
      </c>
      <c r="G1" s="12" t="s">
        <v>666</v>
      </c>
      <c r="H1" s="12" t="s">
        <v>667</v>
      </c>
      <c r="I1" s="12" t="s">
        <v>555</v>
      </c>
      <c r="J1" s="12" t="s">
        <v>669</v>
      </c>
      <c r="K1" s="12" t="s">
        <v>678</v>
      </c>
      <c r="L1" s="12" t="s">
        <v>679</v>
      </c>
      <c r="M1" s="12" t="s">
        <v>672</v>
      </c>
      <c r="N1" s="12" t="s">
        <v>558</v>
      </c>
      <c r="O1" s="12" t="s">
        <v>1660</v>
      </c>
      <c r="P1" s="12" t="s">
        <v>1661</v>
      </c>
      <c r="Q1" s="12" t="s">
        <v>683</v>
      </c>
      <c r="R1" s="12" t="s">
        <v>685</v>
      </c>
      <c r="S1" s="12" t="s">
        <v>552</v>
      </c>
      <c r="T1" s="12" t="s">
        <v>1662</v>
      </c>
      <c r="U1" s="12" t="s">
        <v>1663</v>
      </c>
    </row>
    <row r="2" customFormat="false" ht="15" hidden="false" customHeight="false" outlineLevel="0" collapsed="false">
      <c r="A2" s="0" t="s">
        <v>955</v>
      </c>
      <c r="B2" s="0" t="s">
        <v>953</v>
      </c>
      <c r="C2" s="0" t="s">
        <v>608</v>
      </c>
      <c r="D2" s="0" t="s">
        <v>629</v>
      </c>
      <c r="E2" s="0" t="s">
        <v>688</v>
      </c>
      <c r="F2" s="0" t="s">
        <v>689</v>
      </c>
      <c r="G2" s="0" t="n">
        <v>15</v>
      </c>
      <c r="H2" s="0" t="n">
        <v>13.92</v>
      </c>
      <c r="I2" s="10" t="n">
        <v>0.3502</v>
      </c>
      <c r="J2" s="10" t="n">
        <v>0.556</v>
      </c>
      <c r="K2" s="9" t="s">
        <v>1664</v>
      </c>
      <c r="L2" s="9" t="s">
        <v>1665</v>
      </c>
      <c r="N2" s="10" t="n">
        <v>0.5</v>
      </c>
      <c r="O2" s="19"/>
      <c r="P2" s="0" t="str">
        <f aca="false">IF(O2="","",IF(O2&gt;G2,"OVER",IF(O2&lt;G2,"UNDER","PUSH")))</f>
        <v/>
      </c>
      <c r="Q2" s="0" t="n">
        <v>14.39</v>
      </c>
      <c r="R2" s="10" t="n">
        <v>0.3952</v>
      </c>
      <c r="S2" s="0" t="n">
        <v>1.0337</v>
      </c>
      <c r="T2" s="0" t="n">
        <v>13.94</v>
      </c>
      <c r="U2" s="0" t="n">
        <v>14.4</v>
      </c>
    </row>
    <row r="3" customFormat="false" ht="15" hidden="false" customHeight="false" outlineLevel="0" collapsed="false">
      <c r="A3" s="0" t="s">
        <v>955</v>
      </c>
      <c r="B3" s="0" t="s">
        <v>953</v>
      </c>
      <c r="C3" s="0" t="s">
        <v>608</v>
      </c>
      <c r="D3" s="0" t="s">
        <v>629</v>
      </c>
      <c r="E3" s="0" t="s">
        <v>688</v>
      </c>
      <c r="F3" s="0" t="s">
        <v>693</v>
      </c>
      <c r="G3" s="0" t="n">
        <v>27.5</v>
      </c>
      <c r="H3" s="0" t="n">
        <v>26.99</v>
      </c>
      <c r="I3" s="10" t="n">
        <v>0.4669</v>
      </c>
      <c r="J3" s="10" t="n">
        <v>0.5331</v>
      </c>
      <c r="K3" s="9" t="s">
        <v>1664</v>
      </c>
      <c r="L3" s="9" t="s">
        <v>1665</v>
      </c>
      <c r="N3" s="10" t="n">
        <v>0.6</v>
      </c>
      <c r="O3" s="19"/>
      <c r="P3" s="0" t="str">
        <f aca="false">IF(O3="","",IF(O3&gt;G3,"OVER",IF(O3&lt;G3,"UNDER","PUSH")))</f>
        <v/>
      </c>
      <c r="Q3" s="0" t="n">
        <v>27.89</v>
      </c>
      <c r="R3" s="10" t="n">
        <v>0.5247</v>
      </c>
      <c r="S3" s="0" t="n">
        <v>1.0333</v>
      </c>
      <c r="T3" s="0" t="n">
        <v>26.66</v>
      </c>
      <c r="U3" s="0" t="n">
        <v>27.54</v>
      </c>
    </row>
    <row r="4" customFormat="false" ht="15" hidden="false" customHeight="false" outlineLevel="0" collapsed="false">
      <c r="A4" s="0" t="s">
        <v>955</v>
      </c>
      <c r="B4" s="0" t="s">
        <v>953</v>
      </c>
      <c r="C4" s="0" t="s">
        <v>608</v>
      </c>
      <c r="D4" s="0" t="s">
        <v>629</v>
      </c>
      <c r="E4" s="0" t="s">
        <v>695</v>
      </c>
      <c r="F4" s="0" t="s">
        <v>689</v>
      </c>
      <c r="G4" s="0" t="n">
        <v>14</v>
      </c>
      <c r="H4" s="0" t="n">
        <v>13.92</v>
      </c>
      <c r="I4" s="10" t="n">
        <v>0.4437</v>
      </c>
      <c r="J4" s="10" t="n">
        <v>0.4588</v>
      </c>
      <c r="K4" s="9" t="s">
        <v>1664</v>
      </c>
      <c r="L4" s="9" t="s">
        <v>1665</v>
      </c>
      <c r="N4" s="10" t="n">
        <v>0.3</v>
      </c>
      <c r="O4" s="19"/>
      <c r="P4" s="0" t="str">
        <f aca="false">IF(O4="","",IF(O4&gt;G4,"OVER",IF(O4&lt;G4,"UNDER","PUSH")))</f>
        <v/>
      </c>
      <c r="Q4" s="0" t="n">
        <v>14.39</v>
      </c>
      <c r="R4" s="10" t="n">
        <v>0.489</v>
      </c>
      <c r="S4" s="0" t="n">
        <v>1.0333</v>
      </c>
      <c r="T4" s="0" t="n">
        <v>13.54</v>
      </c>
      <c r="U4" s="0" t="n">
        <v>13.99</v>
      </c>
    </row>
    <row r="5" customFormat="false" ht="15" hidden="false" customHeight="false" outlineLevel="0" collapsed="false">
      <c r="A5" s="0" t="s">
        <v>955</v>
      </c>
      <c r="B5" s="0" t="s">
        <v>953</v>
      </c>
      <c r="C5" s="0" t="s">
        <v>608</v>
      </c>
      <c r="D5" s="0" t="s">
        <v>629</v>
      </c>
      <c r="E5" s="0" t="s">
        <v>695</v>
      </c>
      <c r="F5" s="0" t="s">
        <v>693</v>
      </c>
      <c r="G5" s="0" t="n">
        <v>28.5</v>
      </c>
      <c r="H5" s="0" t="n">
        <v>28.26</v>
      </c>
      <c r="I5" s="10" t="n">
        <v>0.4849</v>
      </c>
      <c r="J5" s="10" t="n">
        <v>0.5151</v>
      </c>
      <c r="K5" s="9" t="s">
        <v>1664</v>
      </c>
      <c r="L5" s="9" t="s">
        <v>1665</v>
      </c>
      <c r="N5" s="10" t="n">
        <v>0.3</v>
      </c>
      <c r="O5" s="19"/>
      <c r="P5" s="0" t="str">
        <f aca="false">IF(O5="","",IF(O5&gt;G5,"OVER",IF(O5&lt;G5,"UNDER","PUSH")))</f>
        <v/>
      </c>
      <c r="Q5" s="0" t="n">
        <v>29.2</v>
      </c>
      <c r="R5" s="10" t="n">
        <v>0.5434</v>
      </c>
      <c r="S5" s="0" t="n">
        <v>1.0331</v>
      </c>
      <c r="T5" s="0" t="n">
        <v>27.52</v>
      </c>
      <c r="U5" s="0" t="n">
        <v>28.43</v>
      </c>
    </row>
    <row r="6" customFormat="false" ht="15" hidden="false" customHeight="false" outlineLevel="0" collapsed="false">
      <c r="A6" s="0" t="s">
        <v>955</v>
      </c>
      <c r="B6" s="0" t="s">
        <v>953</v>
      </c>
      <c r="C6" s="0" t="s">
        <v>608</v>
      </c>
      <c r="D6" s="0" t="s">
        <v>629</v>
      </c>
      <c r="E6" s="0" t="s">
        <v>697</v>
      </c>
      <c r="F6" s="0" t="s">
        <v>689</v>
      </c>
      <c r="G6" s="0" t="n">
        <v>11</v>
      </c>
      <c r="H6" s="0" t="n">
        <v>10.94</v>
      </c>
      <c r="I6" s="10" t="n">
        <v>0.4368</v>
      </c>
      <c r="J6" s="10" t="n">
        <v>0.4508</v>
      </c>
      <c r="K6" s="9" t="s">
        <v>1664</v>
      </c>
      <c r="L6" s="9" t="s">
        <v>1665</v>
      </c>
      <c r="N6" s="10" t="n">
        <v>0.6</v>
      </c>
      <c r="O6" s="19"/>
      <c r="P6" s="0" t="str">
        <f aca="false">IF(O6="","",IF(O6&gt;G6,"OVER",IF(O6&lt;G6,"UNDER","PUSH")))</f>
        <v/>
      </c>
      <c r="Q6" s="0" t="n">
        <v>11.3</v>
      </c>
      <c r="R6" s="10" t="n">
        <v>0.4783</v>
      </c>
      <c r="S6" s="0" t="n">
        <v>1.0336</v>
      </c>
      <c r="T6" s="0" t="n">
        <v>10.22</v>
      </c>
      <c r="U6" s="0" t="n">
        <v>10.55</v>
      </c>
    </row>
    <row r="7" customFormat="false" ht="15" hidden="false" customHeight="false" outlineLevel="0" collapsed="false">
      <c r="A7" s="0" t="s">
        <v>955</v>
      </c>
      <c r="B7" s="0" t="s">
        <v>953</v>
      </c>
      <c r="C7" s="0" t="s">
        <v>608</v>
      </c>
      <c r="D7" s="0" t="s">
        <v>629</v>
      </c>
      <c r="E7" s="0" t="s">
        <v>697</v>
      </c>
      <c r="F7" s="0" t="s">
        <v>693</v>
      </c>
      <c r="G7" s="0" t="n">
        <v>32.5</v>
      </c>
      <c r="H7" s="0" t="n">
        <v>30.66</v>
      </c>
      <c r="I7" s="10" t="n">
        <v>0.3892</v>
      </c>
      <c r="J7" s="10" t="n">
        <v>0.6108</v>
      </c>
      <c r="K7" s="9" t="s">
        <v>1664</v>
      </c>
      <c r="L7" s="9" t="s">
        <v>1665</v>
      </c>
      <c r="N7" s="10" t="n">
        <v>0.4</v>
      </c>
      <c r="O7" s="19"/>
      <c r="P7" s="0" t="str">
        <f aca="false">IF(O7="","",IF(O7&gt;G7,"OVER",IF(O7&lt;G7,"UNDER","PUSH")))</f>
        <v/>
      </c>
      <c r="Q7" s="0" t="n">
        <v>31.67</v>
      </c>
      <c r="R7" s="10" t="n">
        <v>0.4503</v>
      </c>
      <c r="S7" s="0" t="n">
        <v>1.033</v>
      </c>
      <c r="T7" s="0" t="n">
        <v>30.96</v>
      </c>
      <c r="U7" s="0" t="n">
        <v>31.98</v>
      </c>
    </row>
    <row r="8" customFormat="false" ht="15" hidden="false" customHeight="false" outlineLevel="0" collapsed="false">
      <c r="A8" s="0" t="s">
        <v>955</v>
      </c>
      <c r="B8" s="0" t="s">
        <v>953</v>
      </c>
      <c r="C8" s="0" t="s">
        <v>608</v>
      </c>
      <c r="D8" s="0" t="s">
        <v>629</v>
      </c>
      <c r="E8" s="0" t="s">
        <v>699</v>
      </c>
      <c r="F8" s="0" t="s">
        <v>689</v>
      </c>
      <c r="G8" s="0" t="n">
        <v>14.5</v>
      </c>
      <c r="H8" s="0" t="n">
        <v>13.13</v>
      </c>
      <c r="I8" s="10" t="n">
        <v>0.3651</v>
      </c>
      <c r="J8" s="10" t="n">
        <v>0.6349</v>
      </c>
      <c r="K8" s="9" t="s">
        <v>1664</v>
      </c>
      <c r="L8" s="9" t="s">
        <v>1665</v>
      </c>
      <c r="N8" s="10" t="n">
        <v>0.3</v>
      </c>
      <c r="O8" s="19"/>
      <c r="P8" s="0" t="str">
        <f aca="false">IF(O8="","",IF(O8&gt;G8,"OVER",IF(O8&lt;G8,"UNDER","PUSH")))</f>
        <v/>
      </c>
      <c r="Q8" s="0" t="n">
        <v>13.56</v>
      </c>
      <c r="R8" s="10" t="n">
        <v>0.4086</v>
      </c>
      <c r="S8" s="0" t="n">
        <v>1.0334</v>
      </c>
      <c r="T8" s="0" t="n">
        <v>13.7</v>
      </c>
      <c r="U8" s="0" t="n">
        <v>14.15</v>
      </c>
    </row>
    <row r="9" customFormat="false" ht="15" hidden="false" customHeight="false" outlineLevel="0" collapsed="false">
      <c r="A9" s="0" t="s">
        <v>955</v>
      </c>
      <c r="B9" s="0" t="s">
        <v>953</v>
      </c>
      <c r="C9" s="0" t="s">
        <v>608</v>
      </c>
      <c r="D9" s="0" t="s">
        <v>629</v>
      </c>
      <c r="E9" s="0" t="s">
        <v>699</v>
      </c>
      <c r="F9" s="0" t="s">
        <v>693</v>
      </c>
      <c r="G9" s="0" t="n">
        <v>25.5</v>
      </c>
      <c r="H9" s="0" t="n">
        <v>25.22</v>
      </c>
      <c r="I9" s="10" t="n">
        <v>0.4811</v>
      </c>
      <c r="J9" s="10" t="n">
        <v>0.5189</v>
      </c>
      <c r="K9" s="9" t="s">
        <v>1664</v>
      </c>
      <c r="L9" s="9" t="s">
        <v>1665</v>
      </c>
      <c r="N9" s="10" t="n">
        <v>0.6</v>
      </c>
      <c r="O9" s="19"/>
      <c r="P9" s="0" t="str">
        <f aca="false">IF(O9="","",IF(O9&gt;G9,"OVER",IF(O9&lt;G9,"UNDER","PUSH")))</f>
        <v/>
      </c>
      <c r="Q9" s="0" t="n">
        <v>26.05</v>
      </c>
      <c r="R9" s="10" t="n">
        <v>0.5363</v>
      </c>
      <c r="S9" s="0" t="n">
        <v>1.033</v>
      </c>
      <c r="T9" s="0" t="n">
        <v>25.37</v>
      </c>
      <c r="U9" s="0" t="n">
        <v>26.21</v>
      </c>
    </row>
    <row r="10" customFormat="false" ht="15" hidden="false" customHeight="false" outlineLevel="0" collapsed="false">
      <c r="A10" s="0" t="s">
        <v>955</v>
      </c>
      <c r="B10" s="0" t="s">
        <v>953</v>
      </c>
      <c r="C10" s="0" t="s">
        <v>608</v>
      </c>
      <c r="D10" s="0" t="s">
        <v>629</v>
      </c>
      <c r="E10" s="0" t="s">
        <v>701</v>
      </c>
      <c r="F10" s="0" t="s">
        <v>689</v>
      </c>
      <c r="G10" s="0" t="n">
        <v>16.5</v>
      </c>
      <c r="H10" s="0" t="n">
        <v>16.54</v>
      </c>
      <c r="I10" s="10" t="n">
        <v>0.5038</v>
      </c>
      <c r="J10" s="10" t="n">
        <v>0.4962</v>
      </c>
      <c r="K10" s="9" t="s">
        <v>1664</v>
      </c>
      <c r="L10" s="9" t="s">
        <v>1665</v>
      </c>
      <c r="N10" s="10" t="n">
        <v>0.4</v>
      </c>
      <c r="O10" s="19"/>
      <c r="P10" s="0" t="str">
        <f aca="false">IF(O10="","",IF(O10&gt;G10,"OVER",IF(O10&lt;G10,"UNDER","PUSH")))</f>
        <v/>
      </c>
      <c r="Q10" s="0" t="n">
        <v>17.08</v>
      </c>
      <c r="R10" s="10" t="n">
        <v>0.5508</v>
      </c>
      <c r="S10" s="0" t="n">
        <v>1.0327</v>
      </c>
      <c r="T10" s="0" t="n">
        <v>16.67</v>
      </c>
      <c r="U10" s="0" t="n">
        <v>17.22</v>
      </c>
    </row>
    <row r="11" customFormat="false" ht="15" hidden="false" customHeight="false" outlineLevel="0" collapsed="false">
      <c r="A11" s="0" t="s">
        <v>955</v>
      </c>
      <c r="B11" s="0" t="s">
        <v>953</v>
      </c>
      <c r="C11" s="0" t="s">
        <v>608</v>
      </c>
      <c r="D11" s="0" t="s">
        <v>629</v>
      </c>
      <c r="E11" s="0" t="s">
        <v>701</v>
      </c>
      <c r="F11" s="0" t="s">
        <v>693</v>
      </c>
      <c r="G11" s="0" t="n">
        <v>29.5</v>
      </c>
      <c r="H11" s="0" t="n">
        <v>28.93</v>
      </c>
      <c r="I11" s="10" t="n">
        <v>0.4642</v>
      </c>
      <c r="J11" s="10" t="n">
        <v>0.5358</v>
      </c>
      <c r="K11" s="9" t="s">
        <v>1664</v>
      </c>
      <c r="L11" s="9" t="s">
        <v>1665</v>
      </c>
      <c r="N11" s="10" t="n">
        <v>0.5</v>
      </c>
      <c r="O11" s="19"/>
      <c r="P11" s="0" t="str">
        <f aca="false">IF(O11="","",IF(O11&gt;G11,"OVER",IF(O11&lt;G11,"UNDER","PUSH")))</f>
        <v/>
      </c>
      <c r="Q11" s="0" t="n">
        <v>29.88</v>
      </c>
      <c r="R11" s="10" t="n">
        <v>0.5235</v>
      </c>
      <c r="S11" s="0" t="n">
        <v>1.0329</v>
      </c>
      <c r="T11" s="0" t="n">
        <v>29.24</v>
      </c>
      <c r="U11" s="0" t="n">
        <v>30.21</v>
      </c>
    </row>
    <row r="12" customFormat="false" ht="15" hidden="false" customHeight="false" outlineLevel="0" collapsed="false">
      <c r="A12" s="0" t="s">
        <v>955</v>
      </c>
      <c r="B12" s="0" t="s">
        <v>953</v>
      </c>
      <c r="C12" s="0" t="s">
        <v>608</v>
      </c>
      <c r="D12" s="0" t="s">
        <v>622</v>
      </c>
      <c r="E12" s="0" t="s">
        <v>703</v>
      </c>
      <c r="F12" s="0" t="s">
        <v>693</v>
      </c>
      <c r="G12" s="0" t="n">
        <v>31</v>
      </c>
      <c r="H12" s="0" t="n">
        <v>31.93</v>
      </c>
      <c r="I12" s="10" t="n">
        <v>0.5255</v>
      </c>
      <c r="J12" s="10" t="n">
        <v>0.4155</v>
      </c>
      <c r="K12" s="9" t="s">
        <v>1666</v>
      </c>
      <c r="L12" s="9" t="s">
        <v>1665</v>
      </c>
      <c r="N12" s="10" t="n">
        <v>0.6</v>
      </c>
      <c r="O12" s="19"/>
      <c r="P12" s="0" t="str">
        <f aca="false">IF(O12="","",IF(O12&gt;G12,"OVER",IF(O12&lt;G12,"UNDER","PUSH")))</f>
        <v/>
      </c>
      <c r="Q12" s="0" t="n">
        <v>32.93</v>
      </c>
      <c r="R12" s="10" t="n">
        <v>0.5833</v>
      </c>
      <c r="S12" s="0" t="n">
        <v>1.0313</v>
      </c>
      <c r="T12" s="0" t="n">
        <v>32.68</v>
      </c>
      <c r="U12" s="0" t="n">
        <v>33.69</v>
      </c>
    </row>
    <row r="13" customFormat="false" ht="15" hidden="false" customHeight="false" outlineLevel="0" collapsed="false">
      <c r="A13" s="0" t="s">
        <v>955</v>
      </c>
      <c r="B13" s="0" t="s">
        <v>953</v>
      </c>
      <c r="C13" s="0" t="s">
        <v>608</v>
      </c>
      <c r="D13" s="0" t="s">
        <v>622</v>
      </c>
      <c r="E13" s="0" t="s">
        <v>705</v>
      </c>
      <c r="F13" s="0" t="s">
        <v>689</v>
      </c>
      <c r="G13" s="0" t="n">
        <v>14.5</v>
      </c>
      <c r="H13" s="0" t="n">
        <v>15.07</v>
      </c>
      <c r="I13" s="10" t="n">
        <v>0.5529</v>
      </c>
      <c r="J13" s="10" t="n">
        <v>0.4471</v>
      </c>
      <c r="K13" s="9" t="s">
        <v>1666</v>
      </c>
      <c r="L13" s="9" t="s">
        <v>1665</v>
      </c>
      <c r="N13" s="10" t="n">
        <v>0.5</v>
      </c>
      <c r="O13" s="19"/>
      <c r="P13" s="0" t="str">
        <f aca="false">IF(O13="","",IF(O13&gt;G13,"OVER",IF(O13&lt;G13,"UNDER","PUSH")))</f>
        <v/>
      </c>
      <c r="Q13" s="0" t="n">
        <v>15.55</v>
      </c>
      <c r="R13" s="10" t="n">
        <v>0.5951</v>
      </c>
      <c r="S13" s="0" t="n">
        <v>1.0317</v>
      </c>
      <c r="T13" s="0" t="n">
        <v>14.45</v>
      </c>
      <c r="U13" s="0" t="n">
        <v>14.9</v>
      </c>
    </row>
    <row r="14" customFormat="false" ht="15" hidden="false" customHeight="false" outlineLevel="0" collapsed="false">
      <c r="A14" s="0" t="s">
        <v>955</v>
      </c>
      <c r="B14" s="0" t="s">
        <v>953</v>
      </c>
      <c r="C14" s="0" t="s">
        <v>608</v>
      </c>
      <c r="D14" s="0" t="s">
        <v>622</v>
      </c>
      <c r="E14" s="0" t="s">
        <v>705</v>
      </c>
      <c r="F14" s="0" t="s">
        <v>693</v>
      </c>
      <c r="G14" s="0" t="n">
        <v>27.5</v>
      </c>
      <c r="H14" s="0" t="n">
        <v>27.98</v>
      </c>
      <c r="I14" s="10" t="n">
        <v>0.5308</v>
      </c>
      <c r="J14" s="10" t="n">
        <v>0.4692</v>
      </c>
      <c r="K14" s="9" t="s">
        <v>1666</v>
      </c>
      <c r="L14" s="9" t="s">
        <v>1665</v>
      </c>
      <c r="N14" s="10" t="n">
        <v>0.6</v>
      </c>
      <c r="O14" s="19"/>
      <c r="P14" s="0" t="str">
        <f aca="false">IF(O14="","",IF(O14&gt;G14,"OVER",IF(O14&lt;G14,"UNDER","PUSH")))</f>
        <v/>
      </c>
      <c r="Q14" s="0" t="n">
        <v>28.87</v>
      </c>
      <c r="R14" s="10" t="n">
        <v>0.5854</v>
      </c>
      <c r="S14" s="0" t="n">
        <v>1.0317</v>
      </c>
      <c r="T14" s="0" t="n">
        <v>26.66</v>
      </c>
      <c r="U14" s="0" t="n">
        <v>27.48</v>
      </c>
    </row>
    <row r="15" customFormat="false" ht="15" hidden="false" customHeight="false" outlineLevel="0" collapsed="false">
      <c r="A15" s="0" t="s">
        <v>955</v>
      </c>
      <c r="B15" s="0" t="s">
        <v>953</v>
      </c>
      <c r="C15" s="0" t="s">
        <v>608</v>
      </c>
      <c r="D15" s="0" t="s">
        <v>622</v>
      </c>
      <c r="E15" s="0" t="s">
        <v>707</v>
      </c>
      <c r="F15" s="0" t="s">
        <v>689</v>
      </c>
      <c r="G15" s="0" t="n">
        <v>17</v>
      </c>
      <c r="H15" s="0" t="n">
        <v>16.71</v>
      </c>
      <c r="I15" s="10" t="n">
        <v>0.4315</v>
      </c>
      <c r="J15" s="10" t="n">
        <v>0.4812</v>
      </c>
      <c r="K15" s="9" t="s">
        <v>1666</v>
      </c>
      <c r="L15" s="9" t="s">
        <v>1665</v>
      </c>
      <c r="N15" s="10" t="n">
        <v>0.4</v>
      </c>
      <c r="O15" s="19"/>
      <c r="P15" s="0" t="str">
        <f aca="false">IF(O15="","",IF(O15&gt;G15,"OVER",IF(O15&lt;G15,"UNDER","PUSH")))</f>
        <v/>
      </c>
      <c r="Q15" s="0" t="n">
        <v>17.24</v>
      </c>
      <c r="R15" s="10" t="n">
        <v>0.4776</v>
      </c>
      <c r="S15" s="0" t="n">
        <v>1.0315</v>
      </c>
      <c r="T15" s="0" t="n">
        <v>16.46</v>
      </c>
      <c r="U15" s="0" t="n">
        <v>16.97</v>
      </c>
    </row>
    <row r="16" customFormat="false" ht="15" hidden="false" customHeight="false" outlineLevel="0" collapsed="false">
      <c r="A16" s="0" t="s">
        <v>955</v>
      </c>
      <c r="B16" s="0" t="s">
        <v>953</v>
      </c>
      <c r="C16" s="0" t="s">
        <v>608</v>
      </c>
      <c r="D16" s="0" t="s">
        <v>622</v>
      </c>
      <c r="E16" s="0" t="s">
        <v>707</v>
      </c>
      <c r="F16" s="0" t="s">
        <v>693</v>
      </c>
      <c r="G16" s="0" t="n">
        <v>28.5</v>
      </c>
      <c r="H16" s="0" t="n">
        <v>27.95</v>
      </c>
      <c r="I16" s="10" t="n">
        <v>0.4648</v>
      </c>
      <c r="J16" s="10" t="n">
        <v>0.5352</v>
      </c>
      <c r="K16" s="9" t="s">
        <v>1666</v>
      </c>
      <c r="L16" s="9" t="s">
        <v>1665</v>
      </c>
      <c r="N16" s="10" t="n">
        <v>0.4</v>
      </c>
      <c r="O16" s="19"/>
      <c r="P16" s="0" t="str">
        <f aca="false">IF(O16="","",IF(O16&gt;G16,"OVER",IF(O16&lt;G16,"UNDER","PUSH")))</f>
        <v/>
      </c>
      <c r="Q16" s="0" t="n">
        <v>28.82</v>
      </c>
      <c r="R16" s="10" t="n">
        <v>0.5203</v>
      </c>
      <c r="S16" s="0" t="n">
        <v>1.0313</v>
      </c>
      <c r="T16" s="0" t="n">
        <v>27.52</v>
      </c>
      <c r="U16" s="0" t="n">
        <v>28.37</v>
      </c>
    </row>
    <row r="17" customFormat="false" ht="15" hidden="false" customHeight="false" outlineLevel="0" collapsed="false">
      <c r="A17" s="0" t="s">
        <v>955</v>
      </c>
      <c r="B17" s="0" t="s">
        <v>953</v>
      </c>
      <c r="C17" s="0" t="s">
        <v>608</v>
      </c>
      <c r="D17" s="0" t="s">
        <v>622</v>
      </c>
      <c r="E17" s="0" t="s">
        <v>710</v>
      </c>
      <c r="F17" s="0" t="s">
        <v>689</v>
      </c>
      <c r="G17" s="0" t="n">
        <v>15.5</v>
      </c>
      <c r="H17" s="0" t="n">
        <v>14.33</v>
      </c>
      <c r="I17" s="10" t="n">
        <v>0.3886</v>
      </c>
      <c r="J17" s="10" t="n">
        <v>0.6114</v>
      </c>
      <c r="K17" s="9" t="s">
        <v>1666</v>
      </c>
      <c r="L17" s="9" t="s">
        <v>1665</v>
      </c>
      <c r="N17" s="10" t="n">
        <v>0.3</v>
      </c>
      <c r="O17" s="19"/>
      <c r="P17" s="0" t="str">
        <f aca="false">IF(O17="","",IF(O17&gt;G17,"OVER",IF(O17&lt;G17,"UNDER","PUSH")))</f>
        <v/>
      </c>
      <c r="Q17" s="0" t="n">
        <v>14.77</v>
      </c>
      <c r="R17" s="10" t="n">
        <v>0.4308</v>
      </c>
      <c r="S17" s="0" t="n">
        <v>1.0307</v>
      </c>
      <c r="T17" s="0" t="n">
        <v>14.25</v>
      </c>
      <c r="U17" s="0" t="n">
        <v>14.69</v>
      </c>
    </row>
    <row r="18" customFormat="false" ht="15" hidden="false" customHeight="false" outlineLevel="0" collapsed="false">
      <c r="A18" s="0" t="s">
        <v>955</v>
      </c>
      <c r="B18" s="0" t="s">
        <v>953</v>
      </c>
      <c r="C18" s="0" t="s">
        <v>608</v>
      </c>
      <c r="D18" s="0" t="s">
        <v>622</v>
      </c>
      <c r="E18" s="0" t="s">
        <v>710</v>
      </c>
      <c r="F18" s="0" t="s">
        <v>693</v>
      </c>
      <c r="G18" s="0" t="n">
        <v>29.5</v>
      </c>
      <c r="H18" s="0" t="n">
        <v>28.34</v>
      </c>
      <c r="I18" s="10" t="n">
        <v>0.4269</v>
      </c>
      <c r="J18" s="10" t="n">
        <v>0.5731</v>
      </c>
      <c r="K18" s="9" t="s">
        <v>1666</v>
      </c>
      <c r="L18" s="9" t="s">
        <v>1665</v>
      </c>
      <c r="N18" s="10" t="n">
        <v>0.6</v>
      </c>
      <c r="O18" s="19"/>
      <c r="P18" s="0" t="str">
        <f aca="false">IF(O18="","",IF(O18&gt;G18,"OVER",IF(O18&lt;G18,"UNDER","PUSH")))</f>
        <v/>
      </c>
      <c r="Q18" s="0" t="n">
        <v>29.21</v>
      </c>
      <c r="R18" s="10" t="n">
        <v>0.4821</v>
      </c>
      <c r="S18" s="0" t="n">
        <v>1.0308</v>
      </c>
      <c r="T18" s="0" t="n">
        <v>27.95</v>
      </c>
      <c r="U18" s="0" t="n">
        <v>28.81</v>
      </c>
    </row>
    <row r="19" customFormat="false" ht="15" hidden="false" customHeight="false" outlineLevel="0" collapsed="false">
      <c r="A19" s="0" t="s">
        <v>955</v>
      </c>
      <c r="B19" s="0" t="s">
        <v>953</v>
      </c>
      <c r="C19" s="0" t="s">
        <v>608</v>
      </c>
      <c r="D19" s="0" t="s">
        <v>622</v>
      </c>
      <c r="E19" s="0" t="s">
        <v>713</v>
      </c>
      <c r="F19" s="0" t="s">
        <v>693</v>
      </c>
      <c r="G19" s="0" t="n">
        <v>29.5</v>
      </c>
      <c r="H19" s="0" t="n">
        <v>28.43</v>
      </c>
      <c r="I19" s="10" t="n">
        <v>0.4327</v>
      </c>
      <c r="J19" s="10" t="n">
        <v>0.5673</v>
      </c>
      <c r="K19" s="9" t="s">
        <v>1666</v>
      </c>
      <c r="L19" s="9" t="s">
        <v>1665</v>
      </c>
      <c r="N19" s="10" t="n">
        <v>0.2</v>
      </c>
      <c r="O19" s="19"/>
      <c r="P19" s="0" t="str">
        <f aca="false">IF(O19="","",IF(O19&gt;G19,"OVER",IF(O19&lt;G19,"UNDER","PUSH")))</f>
        <v/>
      </c>
      <c r="Q19" s="0" t="n">
        <v>29.33</v>
      </c>
      <c r="R19" s="10" t="n">
        <v>0.4893</v>
      </c>
      <c r="S19" s="0" t="n">
        <v>1.0316</v>
      </c>
      <c r="T19" s="0" t="n">
        <v>28.38</v>
      </c>
      <c r="U19" s="0" t="n">
        <v>29.26</v>
      </c>
    </row>
    <row r="20" customFormat="false" ht="15" hidden="false" customHeight="false" outlineLevel="0" collapsed="false">
      <c r="A20" s="0" t="s">
        <v>955</v>
      </c>
      <c r="B20" s="0" t="s">
        <v>953</v>
      </c>
      <c r="C20" s="0" t="s">
        <v>608</v>
      </c>
      <c r="D20" s="0" t="s">
        <v>616</v>
      </c>
      <c r="E20" s="0" t="s">
        <v>715</v>
      </c>
      <c r="F20" s="0" t="s">
        <v>693</v>
      </c>
      <c r="G20" s="0" t="n">
        <v>32.5</v>
      </c>
      <c r="H20" s="0" t="n">
        <v>33.04</v>
      </c>
      <c r="I20" s="10" t="n">
        <v>0.5318</v>
      </c>
      <c r="J20" s="10" t="n">
        <v>0.4682</v>
      </c>
      <c r="K20" s="9" t="s">
        <v>1667</v>
      </c>
      <c r="L20" s="9" t="s">
        <v>1665</v>
      </c>
      <c r="N20" s="10" t="n">
        <v>0.5</v>
      </c>
      <c r="O20" s="19"/>
      <c r="P20" s="0" t="str">
        <f aca="false">IF(O20="","",IF(O20&gt;G20,"OVER",IF(O20&lt;G20,"UNDER","PUSH")))</f>
        <v/>
      </c>
      <c r="Q20" s="0" t="n">
        <v>34.88</v>
      </c>
      <c r="R20" s="10" t="n">
        <v>0.6334</v>
      </c>
      <c r="S20" s="0" t="n">
        <v>1.0557</v>
      </c>
      <c r="T20" s="0" t="n">
        <v>30.96</v>
      </c>
      <c r="U20" s="0" t="n">
        <v>32.68</v>
      </c>
    </row>
    <row r="21" customFormat="false" ht="15" hidden="false" customHeight="false" outlineLevel="0" collapsed="false">
      <c r="A21" s="0" t="s">
        <v>955</v>
      </c>
      <c r="B21" s="0" t="s">
        <v>953</v>
      </c>
      <c r="C21" s="0" t="s">
        <v>608</v>
      </c>
      <c r="D21" s="0" t="s">
        <v>616</v>
      </c>
      <c r="E21" s="0" t="s">
        <v>717</v>
      </c>
      <c r="F21" s="0" t="s">
        <v>689</v>
      </c>
      <c r="G21" s="0" t="n">
        <v>15</v>
      </c>
      <c r="H21" s="0" t="n">
        <v>14.55</v>
      </c>
      <c r="I21" s="10" t="n">
        <v>0.4112</v>
      </c>
      <c r="J21" s="10" t="n">
        <v>0.4948</v>
      </c>
      <c r="K21" s="9" t="s">
        <v>1667</v>
      </c>
      <c r="L21" s="9" t="s">
        <v>1665</v>
      </c>
      <c r="N21" s="10" t="n">
        <v>0.4</v>
      </c>
      <c r="O21" s="19"/>
      <c r="P21" s="0" t="str">
        <f aca="false">IF(O21="","",IF(O21&gt;G21,"OVER",IF(O21&lt;G21,"UNDER","PUSH")))</f>
        <v/>
      </c>
      <c r="Q21" s="0" t="n">
        <v>15.38</v>
      </c>
      <c r="R21" s="10" t="n">
        <v>0.4889</v>
      </c>
      <c r="S21" s="0" t="n">
        <v>1.0566</v>
      </c>
      <c r="T21" s="0" t="n">
        <v>13.6</v>
      </c>
      <c r="U21" s="0" t="n">
        <v>14.35</v>
      </c>
    </row>
    <row r="22" customFormat="false" ht="15" hidden="false" customHeight="false" outlineLevel="0" collapsed="false">
      <c r="A22" s="0" t="s">
        <v>955</v>
      </c>
      <c r="B22" s="0" t="s">
        <v>953</v>
      </c>
      <c r="C22" s="0" t="s">
        <v>608</v>
      </c>
      <c r="D22" s="0" t="s">
        <v>616</v>
      </c>
      <c r="E22" s="0" t="s">
        <v>717</v>
      </c>
      <c r="F22" s="0" t="s">
        <v>693</v>
      </c>
      <c r="G22" s="0" t="n">
        <v>26.5</v>
      </c>
      <c r="H22" s="0" t="n">
        <v>26.52</v>
      </c>
      <c r="I22" s="10" t="n">
        <v>0.5014</v>
      </c>
      <c r="J22" s="10" t="n">
        <v>0.4986</v>
      </c>
      <c r="K22" s="9" t="s">
        <v>1667</v>
      </c>
      <c r="L22" s="9" t="s">
        <v>1665</v>
      </c>
      <c r="N22" s="10" t="n">
        <v>0.4</v>
      </c>
      <c r="O22" s="19"/>
      <c r="P22" s="0" t="str">
        <f aca="false">IF(O22="","",IF(O22&gt;G22,"OVER",IF(O22&lt;G22,"UNDER","PUSH")))</f>
        <v/>
      </c>
      <c r="Q22" s="0" t="n">
        <v>28.01</v>
      </c>
      <c r="R22" s="10" t="n">
        <v>0.5955</v>
      </c>
      <c r="S22" s="0" t="n">
        <v>1.0562</v>
      </c>
      <c r="T22" s="0" t="n">
        <v>25.37</v>
      </c>
      <c r="U22" s="0" t="n">
        <v>26.78</v>
      </c>
    </row>
    <row r="23" customFormat="false" ht="15" hidden="false" customHeight="false" outlineLevel="0" collapsed="false">
      <c r="A23" s="0" t="s">
        <v>955</v>
      </c>
      <c r="B23" s="0" t="s">
        <v>953</v>
      </c>
      <c r="C23" s="0" t="s">
        <v>608</v>
      </c>
      <c r="D23" s="0" t="s">
        <v>616</v>
      </c>
      <c r="E23" s="0" t="s">
        <v>719</v>
      </c>
      <c r="F23" s="0" t="s">
        <v>689</v>
      </c>
      <c r="G23" s="0" t="n">
        <v>16</v>
      </c>
      <c r="H23" s="0" t="n">
        <v>15.35</v>
      </c>
      <c r="I23" s="10" t="n">
        <v>0.3956</v>
      </c>
      <c r="J23" s="10" t="n">
        <v>0.5136</v>
      </c>
      <c r="K23" s="9" t="s">
        <v>1667</v>
      </c>
      <c r="L23" s="9" t="s">
        <v>1665</v>
      </c>
      <c r="N23" s="10" t="n">
        <v>0.5</v>
      </c>
      <c r="O23" s="19"/>
      <c r="P23" s="0" t="str">
        <f aca="false">IF(O23="","",IF(O23&gt;G23,"OVER",IF(O23&lt;G23,"UNDER","PUSH")))</f>
        <v/>
      </c>
      <c r="Q23" s="0" t="n">
        <v>16.21</v>
      </c>
      <c r="R23" s="10" t="n">
        <v>0.4741</v>
      </c>
      <c r="S23" s="0" t="n">
        <v>1.0559</v>
      </c>
      <c r="T23" s="0" t="n">
        <v>15.33</v>
      </c>
      <c r="U23" s="0" t="n">
        <v>16.18</v>
      </c>
    </row>
    <row r="24" customFormat="false" ht="15" hidden="false" customHeight="false" outlineLevel="0" collapsed="false">
      <c r="A24" s="0" t="s">
        <v>955</v>
      </c>
      <c r="B24" s="0" t="s">
        <v>953</v>
      </c>
      <c r="C24" s="0" t="s">
        <v>608</v>
      </c>
      <c r="D24" s="0" t="s">
        <v>616</v>
      </c>
      <c r="E24" s="0" t="s">
        <v>719</v>
      </c>
      <c r="F24" s="0" t="s">
        <v>693</v>
      </c>
      <c r="G24" s="0" t="n">
        <v>28.5</v>
      </c>
      <c r="H24" s="0" t="n">
        <v>27.48</v>
      </c>
      <c r="I24" s="10" t="n">
        <v>0.4348</v>
      </c>
      <c r="J24" s="10" t="n">
        <v>0.5652</v>
      </c>
      <c r="K24" s="9" t="s">
        <v>1667</v>
      </c>
      <c r="L24" s="9" t="s">
        <v>1665</v>
      </c>
      <c r="N24" s="10" t="n">
        <v>0.5</v>
      </c>
      <c r="O24" s="19"/>
      <c r="P24" s="0" t="str">
        <f aca="false">IF(O24="","",IF(O24&gt;G24,"OVER",IF(O24&lt;G24,"UNDER","PUSH")))</f>
        <v/>
      </c>
      <c r="Q24" s="0" t="n">
        <v>29.01</v>
      </c>
      <c r="R24" s="10" t="n">
        <v>0.5321</v>
      </c>
      <c r="S24" s="0" t="n">
        <v>1.0557</v>
      </c>
      <c r="T24" s="0" t="n">
        <v>27.52</v>
      </c>
      <c r="U24" s="0" t="n">
        <v>29.05</v>
      </c>
    </row>
    <row r="25" customFormat="false" ht="15" hidden="false" customHeight="false" outlineLevel="0" collapsed="false">
      <c r="A25" s="0" t="s">
        <v>955</v>
      </c>
      <c r="B25" s="0" t="s">
        <v>953</v>
      </c>
      <c r="C25" s="0" t="s">
        <v>608</v>
      </c>
      <c r="D25" s="0" t="s">
        <v>616</v>
      </c>
      <c r="E25" s="0" t="s">
        <v>721</v>
      </c>
      <c r="F25" s="0" t="s">
        <v>693</v>
      </c>
      <c r="G25" s="0" t="n">
        <v>26.5</v>
      </c>
      <c r="H25" s="0" t="n">
        <v>23.1</v>
      </c>
      <c r="I25" s="10" t="n">
        <v>0.2748</v>
      </c>
      <c r="J25" s="10" t="n">
        <v>0.7252</v>
      </c>
      <c r="K25" s="9" t="s">
        <v>1667</v>
      </c>
      <c r="L25" s="9" t="s">
        <v>1665</v>
      </c>
      <c r="N25" s="10" t="n">
        <v>0.6</v>
      </c>
      <c r="O25" s="19"/>
      <c r="P25" s="0" t="str">
        <f aca="false">IF(O25="","",IF(O25&gt;G25,"OVER",IF(O25&lt;G25,"UNDER","PUSH")))</f>
        <v/>
      </c>
      <c r="Q25" s="0" t="n">
        <v>24.37</v>
      </c>
      <c r="R25" s="10" t="n">
        <v>0.3579</v>
      </c>
      <c r="S25" s="0" t="n">
        <v>1.0553</v>
      </c>
      <c r="T25" s="0" t="n">
        <v>23.65</v>
      </c>
      <c r="U25" s="0" t="n">
        <v>24.96</v>
      </c>
    </row>
    <row r="26" customFormat="false" ht="15" hidden="false" customHeight="false" outlineLevel="0" collapsed="false">
      <c r="A26" s="0" t="s">
        <v>955</v>
      </c>
      <c r="B26" s="0" t="s">
        <v>953</v>
      </c>
      <c r="C26" s="0" t="s">
        <v>608</v>
      </c>
      <c r="D26" s="0" t="s">
        <v>616</v>
      </c>
      <c r="E26" s="0" t="s">
        <v>723</v>
      </c>
      <c r="F26" s="0" t="s">
        <v>689</v>
      </c>
      <c r="G26" s="0" t="n">
        <v>19.5</v>
      </c>
      <c r="H26" s="0" t="n">
        <v>18.39</v>
      </c>
      <c r="I26" s="10" t="n">
        <v>0.4087</v>
      </c>
      <c r="J26" s="10" t="n">
        <v>0.5913</v>
      </c>
      <c r="K26" s="9" t="s">
        <v>1667</v>
      </c>
      <c r="L26" s="9" t="s">
        <v>1665</v>
      </c>
      <c r="N26" s="10" t="n">
        <v>0.5</v>
      </c>
      <c r="O26" s="19"/>
      <c r="P26" s="0" t="str">
        <f aca="false">IF(O26="","",IF(O26&gt;G26,"OVER",IF(O26&lt;G26,"UNDER","PUSH")))</f>
        <v/>
      </c>
      <c r="Q26" s="0" t="n">
        <v>19.41</v>
      </c>
      <c r="R26" s="10" t="n">
        <v>0.493</v>
      </c>
      <c r="S26" s="0" t="n">
        <v>1.0559</v>
      </c>
      <c r="T26" s="0" t="n">
        <v>18.96</v>
      </c>
      <c r="U26" s="0" t="n">
        <v>20.01</v>
      </c>
    </row>
    <row r="27" customFormat="false" ht="15" hidden="false" customHeight="false" outlineLevel="0" collapsed="false">
      <c r="A27" s="0" t="s">
        <v>955</v>
      </c>
      <c r="B27" s="0" t="s">
        <v>953</v>
      </c>
      <c r="C27" s="0" t="s">
        <v>608</v>
      </c>
      <c r="D27" s="0" t="s">
        <v>616</v>
      </c>
      <c r="E27" s="0" t="s">
        <v>723</v>
      </c>
      <c r="F27" s="0" t="s">
        <v>693</v>
      </c>
      <c r="G27" s="0" t="n">
        <v>28.5</v>
      </c>
      <c r="H27" s="0" t="n">
        <v>27.7</v>
      </c>
      <c r="I27" s="10" t="n">
        <v>0.4488</v>
      </c>
      <c r="J27" s="10" t="n">
        <v>0.5512</v>
      </c>
      <c r="K27" s="9" t="s">
        <v>1667</v>
      </c>
      <c r="L27" s="9" t="s">
        <v>1665</v>
      </c>
      <c r="N27" s="10" t="n">
        <v>0.5</v>
      </c>
      <c r="O27" s="19"/>
      <c r="P27" s="0" t="str">
        <f aca="false">IF(O27="","",IF(O27&gt;G27,"OVER",IF(O27&lt;G27,"UNDER","PUSH")))</f>
        <v/>
      </c>
      <c r="Q27" s="0" t="n">
        <v>29.23</v>
      </c>
      <c r="R27" s="10" t="n">
        <v>0.5456</v>
      </c>
      <c r="S27" s="0" t="n">
        <v>1.0554</v>
      </c>
      <c r="T27" s="0" t="n">
        <v>28.38</v>
      </c>
      <c r="U27" s="0" t="n">
        <v>29.96</v>
      </c>
    </row>
    <row r="28" customFormat="false" ht="15" hidden="false" customHeight="false" outlineLevel="0" collapsed="false">
      <c r="A28" s="0" t="s">
        <v>955</v>
      </c>
      <c r="B28" s="0" t="s">
        <v>953</v>
      </c>
      <c r="C28" s="0" t="s">
        <v>608</v>
      </c>
      <c r="D28" s="0" t="s">
        <v>525</v>
      </c>
      <c r="E28" s="0" t="s">
        <v>725</v>
      </c>
      <c r="F28" s="0" t="s">
        <v>689</v>
      </c>
      <c r="G28" s="0" t="n">
        <v>20.5</v>
      </c>
      <c r="H28" s="0" t="n">
        <v>21.02</v>
      </c>
      <c r="I28" s="10" t="n">
        <v>0.5407</v>
      </c>
      <c r="J28" s="10" t="n">
        <v>0.4593</v>
      </c>
      <c r="K28" s="9" t="s">
        <v>1668</v>
      </c>
      <c r="L28" s="9" t="s">
        <v>1669</v>
      </c>
      <c r="N28" s="10" t="n">
        <v>0.6</v>
      </c>
      <c r="O28" s="19"/>
      <c r="P28" s="0" t="str">
        <f aca="false">IF(O28="","",IF(O28&gt;G28,"OVER",IF(O28&lt;G28,"UNDER","PUSH")))</f>
        <v/>
      </c>
      <c r="Q28" s="0" t="n">
        <v>20.61</v>
      </c>
      <c r="R28" s="10" t="n">
        <v>0.5085</v>
      </c>
      <c r="S28" s="0" t="n">
        <v>0.9803</v>
      </c>
      <c r="T28" s="0" t="n">
        <v>20.98</v>
      </c>
      <c r="U28" s="0" t="n">
        <v>20.57</v>
      </c>
    </row>
    <row r="29" customFormat="false" ht="15" hidden="false" customHeight="false" outlineLevel="0" collapsed="false">
      <c r="A29" s="0" t="s">
        <v>955</v>
      </c>
      <c r="B29" s="0" t="s">
        <v>953</v>
      </c>
      <c r="C29" s="0" t="s">
        <v>608</v>
      </c>
      <c r="D29" s="0" t="s">
        <v>525</v>
      </c>
      <c r="E29" s="0" t="s">
        <v>725</v>
      </c>
      <c r="F29" s="0" t="s">
        <v>693</v>
      </c>
      <c r="G29" s="0" t="n">
        <v>33.5</v>
      </c>
      <c r="H29" s="0" t="n">
        <v>34.76</v>
      </c>
      <c r="I29" s="10" t="n">
        <v>0.5716</v>
      </c>
      <c r="J29" s="10" t="n">
        <v>0.4284</v>
      </c>
      <c r="K29" s="9" t="s">
        <v>1668</v>
      </c>
      <c r="L29" s="9" t="s">
        <v>1669</v>
      </c>
      <c r="M29" s="0" t="n">
        <v>31.38</v>
      </c>
      <c r="N29" s="10" t="n">
        <v>0.4</v>
      </c>
      <c r="O29" s="19"/>
      <c r="P29" s="0" t="str">
        <f aca="false">IF(O29="","",IF(O29&gt;G29,"OVER",IF(O29&lt;G29,"UNDER","PUSH")))</f>
        <v/>
      </c>
      <c r="Q29" s="0" t="n">
        <v>34.07</v>
      </c>
      <c r="R29" s="10" t="n">
        <v>0.533</v>
      </c>
      <c r="S29" s="0" t="n">
        <v>0.9802</v>
      </c>
      <c r="T29" s="0" t="n">
        <v>34.85</v>
      </c>
      <c r="U29" s="0" t="n">
        <v>34.16</v>
      </c>
    </row>
    <row r="30" customFormat="false" ht="15" hidden="false" customHeight="false" outlineLevel="0" collapsed="false">
      <c r="A30" s="0" t="s">
        <v>955</v>
      </c>
      <c r="B30" s="0" t="s">
        <v>953</v>
      </c>
      <c r="C30" s="0" t="s">
        <v>608</v>
      </c>
      <c r="D30" s="0" t="s">
        <v>525</v>
      </c>
      <c r="E30" s="0" t="s">
        <v>728</v>
      </c>
      <c r="F30" s="0" t="s">
        <v>689</v>
      </c>
      <c r="G30" s="0" t="n">
        <v>18.5</v>
      </c>
      <c r="H30" s="0" t="n">
        <v>14.89</v>
      </c>
      <c r="I30" s="10" t="n">
        <v>0.1974</v>
      </c>
      <c r="J30" s="10" t="n">
        <v>0.8026</v>
      </c>
      <c r="K30" s="9" t="s">
        <v>1668</v>
      </c>
      <c r="L30" s="9" t="s">
        <v>1669</v>
      </c>
      <c r="N30" s="10" t="n">
        <v>0.4</v>
      </c>
      <c r="O30" s="19"/>
      <c r="P30" s="0" t="str">
        <f aca="false">IF(O30="","",IF(O30&gt;G30,"OVER",IF(O30&lt;G30,"UNDER","PUSH")))</f>
        <v/>
      </c>
      <c r="Q30" s="0" t="n">
        <v>14.59</v>
      </c>
      <c r="R30" s="10" t="n">
        <v>0.1763</v>
      </c>
      <c r="S30" s="0" t="n">
        <v>0.9802</v>
      </c>
      <c r="T30" s="0" t="n">
        <v>16.36</v>
      </c>
      <c r="U30" s="0" t="n">
        <v>16.03</v>
      </c>
    </row>
    <row r="31" customFormat="false" ht="15" hidden="false" customHeight="false" outlineLevel="0" collapsed="false">
      <c r="A31" s="0" t="s">
        <v>955</v>
      </c>
      <c r="B31" s="0" t="s">
        <v>953</v>
      </c>
      <c r="C31" s="0" t="s">
        <v>608</v>
      </c>
      <c r="D31" s="0" t="s">
        <v>525</v>
      </c>
      <c r="E31" s="0" t="s">
        <v>728</v>
      </c>
      <c r="F31" s="0" t="s">
        <v>693</v>
      </c>
      <c r="G31" s="0" t="n">
        <v>32.5</v>
      </c>
      <c r="H31" s="0" t="n">
        <v>28.09</v>
      </c>
      <c r="I31" s="10" t="n">
        <v>0.2409</v>
      </c>
      <c r="J31" s="10" t="n">
        <v>0.7591</v>
      </c>
      <c r="K31" s="9" t="s">
        <v>1668</v>
      </c>
      <c r="L31" s="9" t="s">
        <v>1669</v>
      </c>
      <c r="M31" s="0" t="n">
        <v>29.34</v>
      </c>
      <c r="N31" s="10" t="n">
        <v>0.4</v>
      </c>
      <c r="O31" s="19"/>
      <c r="P31" s="0" t="str">
        <f aca="false">IF(O31="","",IF(O31&gt;G31,"OVER",IF(O31&lt;G31,"UNDER","PUSH")))</f>
        <v/>
      </c>
      <c r="Q31" s="0" t="n">
        <v>27.53</v>
      </c>
      <c r="R31" s="10" t="n">
        <v>0.2118</v>
      </c>
      <c r="S31" s="0" t="n">
        <v>0.9801</v>
      </c>
      <c r="T31" s="0" t="n">
        <v>28.9</v>
      </c>
      <c r="U31" s="0" t="n">
        <v>28.33</v>
      </c>
    </row>
    <row r="32" customFormat="false" ht="15" hidden="false" customHeight="false" outlineLevel="0" collapsed="false">
      <c r="A32" s="0" t="s">
        <v>955</v>
      </c>
      <c r="B32" s="0" t="s">
        <v>953</v>
      </c>
      <c r="C32" s="0" t="s">
        <v>608</v>
      </c>
      <c r="D32" s="0" t="s">
        <v>525</v>
      </c>
      <c r="E32" s="0" t="s">
        <v>731</v>
      </c>
      <c r="F32" s="0" t="s">
        <v>689</v>
      </c>
      <c r="G32" s="0" t="n">
        <v>14.5</v>
      </c>
      <c r="H32" s="0" t="n">
        <v>13.55</v>
      </c>
      <c r="I32" s="10" t="n">
        <v>0.4075</v>
      </c>
      <c r="J32" s="10" t="n">
        <v>0.5925</v>
      </c>
      <c r="K32" s="9" t="s">
        <v>1668</v>
      </c>
      <c r="L32" s="9" t="s">
        <v>1669</v>
      </c>
      <c r="N32" s="10" t="n">
        <v>0.4</v>
      </c>
      <c r="O32" s="19"/>
      <c r="P32" s="0" t="str">
        <f aca="false">IF(O32="","",IF(O32&gt;G32,"OVER",IF(O32&lt;G32,"UNDER","PUSH")))</f>
        <v/>
      </c>
      <c r="Q32" s="0" t="n">
        <v>13.28</v>
      </c>
      <c r="R32" s="10" t="n">
        <v>0.3811</v>
      </c>
      <c r="S32" s="0" t="n">
        <v>0.9803</v>
      </c>
      <c r="T32" s="0" t="n">
        <v>13.82</v>
      </c>
      <c r="U32" s="0" t="n">
        <v>13.55</v>
      </c>
    </row>
    <row r="33" customFormat="false" ht="15" hidden="false" customHeight="false" outlineLevel="0" collapsed="false">
      <c r="A33" s="0" t="s">
        <v>955</v>
      </c>
      <c r="B33" s="0" t="s">
        <v>953</v>
      </c>
      <c r="C33" s="0" t="s">
        <v>608</v>
      </c>
      <c r="D33" s="0" t="s">
        <v>525</v>
      </c>
      <c r="E33" s="0" t="s">
        <v>731</v>
      </c>
      <c r="F33" s="0" t="s">
        <v>693</v>
      </c>
      <c r="G33" s="0" t="n">
        <v>25.5</v>
      </c>
      <c r="H33" s="0" t="n">
        <v>25.21</v>
      </c>
      <c r="I33" s="10" t="n">
        <v>0.4802</v>
      </c>
      <c r="J33" s="10" t="n">
        <v>0.5198</v>
      </c>
      <c r="K33" s="9" t="s">
        <v>1668</v>
      </c>
      <c r="L33" s="9" t="s">
        <v>1669</v>
      </c>
      <c r="M33" s="0" t="n">
        <v>24.06</v>
      </c>
      <c r="N33" s="10" t="n">
        <v>0.6</v>
      </c>
      <c r="O33" s="19"/>
      <c r="P33" s="0" t="str">
        <f aca="false">IF(O33="","",IF(O33&gt;G33,"OVER",IF(O33&lt;G33,"UNDER","PUSH")))</f>
        <v/>
      </c>
      <c r="Q33" s="0" t="n">
        <v>24.71</v>
      </c>
      <c r="R33" s="10" t="n">
        <v>0.4464</v>
      </c>
      <c r="S33" s="0" t="n">
        <v>0.9802</v>
      </c>
      <c r="T33" s="0" t="n">
        <v>25.5</v>
      </c>
      <c r="U33" s="0" t="n">
        <v>25</v>
      </c>
    </row>
    <row r="34" customFormat="false" ht="15" hidden="false" customHeight="false" outlineLevel="0" collapsed="false">
      <c r="A34" s="0" t="s">
        <v>955</v>
      </c>
      <c r="B34" s="0" t="s">
        <v>953</v>
      </c>
      <c r="C34" s="0" t="s">
        <v>608</v>
      </c>
      <c r="D34" s="0" t="s">
        <v>525</v>
      </c>
      <c r="E34" s="0" t="s">
        <v>734</v>
      </c>
      <c r="F34" s="0" t="s">
        <v>689</v>
      </c>
      <c r="G34" s="0" t="n">
        <v>11.5</v>
      </c>
      <c r="H34" s="0" t="n">
        <v>11.7</v>
      </c>
      <c r="I34" s="10" t="n">
        <v>0.5219</v>
      </c>
      <c r="J34" s="10" t="n">
        <v>0.4781</v>
      </c>
      <c r="K34" s="9" t="s">
        <v>1668</v>
      </c>
      <c r="L34" s="9" t="s">
        <v>1669</v>
      </c>
      <c r="N34" s="10" t="n">
        <v>0.8</v>
      </c>
      <c r="O34" s="19"/>
      <c r="P34" s="0" t="str">
        <f aca="false">IF(O34="","",IF(O34&gt;G34,"OVER",IF(O34&lt;G34,"UNDER","PUSH")))</f>
        <v/>
      </c>
      <c r="Q34" s="0" t="n">
        <v>11.47</v>
      </c>
      <c r="R34" s="10" t="n">
        <v>0.4971</v>
      </c>
      <c r="S34" s="0" t="n">
        <v>0.9804</v>
      </c>
      <c r="T34" s="0" t="n">
        <v>11.24</v>
      </c>
      <c r="U34" s="0" t="n">
        <v>11.02</v>
      </c>
    </row>
    <row r="35" customFormat="false" ht="15" hidden="false" customHeight="false" outlineLevel="0" collapsed="false">
      <c r="A35" s="0" t="s">
        <v>955</v>
      </c>
      <c r="B35" s="0" t="s">
        <v>953</v>
      </c>
      <c r="C35" s="0" t="s">
        <v>608</v>
      </c>
      <c r="D35" s="0" t="s">
        <v>525</v>
      </c>
      <c r="E35" s="0" t="s">
        <v>734</v>
      </c>
      <c r="F35" s="0" t="s">
        <v>693</v>
      </c>
      <c r="G35" s="0" t="n">
        <v>28.5</v>
      </c>
      <c r="H35" s="0" t="n">
        <v>28.64</v>
      </c>
      <c r="I35" s="10" t="n">
        <v>0.5087</v>
      </c>
      <c r="J35" s="10" t="n">
        <v>0.4913</v>
      </c>
      <c r="K35" s="9" t="s">
        <v>1668</v>
      </c>
      <c r="L35" s="9" t="s">
        <v>1669</v>
      </c>
      <c r="M35" s="0" t="n">
        <v>27.28</v>
      </c>
      <c r="N35" s="10" t="n">
        <v>0.7</v>
      </c>
      <c r="O35" s="19"/>
      <c r="P35" s="0" t="str">
        <f aca="false">IF(O35="","",IF(O35&gt;G35,"OVER",IF(O35&lt;G35,"UNDER","PUSH")))</f>
        <v/>
      </c>
      <c r="Q35" s="0" t="n">
        <v>28.07</v>
      </c>
      <c r="R35" s="10" t="n">
        <v>0.4729</v>
      </c>
      <c r="S35" s="0" t="n">
        <v>0.9803</v>
      </c>
      <c r="T35" s="0" t="n">
        <v>28.9</v>
      </c>
      <c r="U35" s="0" t="n">
        <v>28.33</v>
      </c>
    </row>
    <row r="36" customFormat="false" ht="15" hidden="false" customHeight="false" outlineLevel="0" collapsed="false">
      <c r="A36" s="0" t="s">
        <v>955</v>
      </c>
      <c r="B36" s="0" t="s">
        <v>953</v>
      </c>
      <c r="C36" s="0" t="s">
        <v>608</v>
      </c>
      <c r="D36" s="0" t="s">
        <v>525</v>
      </c>
      <c r="E36" s="0" t="s">
        <v>737</v>
      </c>
      <c r="F36" s="0" t="s">
        <v>689</v>
      </c>
      <c r="G36" s="0" t="n">
        <v>16</v>
      </c>
      <c r="H36" s="0" t="n">
        <v>16.87</v>
      </c>
      <c r="I36" s="10" t="n">
        <v>0.5322</v>
      </c>
      <c r="J36" s="10" t="n">
        <v>0.382</v>
      </c>
      <c r="K36" s="9" t="s">
        <v>1668</v>
      </c>
      <c r="L36" s="9" t="s">
        <v>1669</v>
      </c>
      <c r="N36" s="10" t="n">
        <v>0.7</v>
      </c>
      <c r="O36" s="19"/>
      <c r="P36" s="0" t="str">
        <f aca="false">IF(O36="","",IF(O36&gt;G36,"OVER",IF(O36&lt;G36,"UNDER","PUSH")))</f>
        <v/>
      </c>
      <c r="Q36" s="0" t="n">
        <v>16.54</v>
      </c>
      <c r="R36" s="10" t="n">
        <v>0.5031</v>
      </c>
      <c r="S36" s="0" t="n">
        <v>0.9803</v>
      </c>
      <c r="T36" s="0" t="n">
        <v>15.9</v>
      </c>
      <c r="U36" s="0" t="n">
        <v>15.58</v>
      </c>
    </row>
    <row r="37" customFormat="false" ht="15" hidden="false" customHeight="false" outlineLevel="0" collapsed="false">
      <c r="A37" s="0" t="s">
        <v>955</v>
      </c>
      <c r="B37" s="0" t="s">
        <v>953</v>
      </c>
      <c r="C37" s="0" t="s">
        <v>608</v>
      </c>
      <c r="D37" s="0" t="s">
        <v>525</v>
      </c>
      <c r="E37" s="0" t="s">
        <v>737</v>
      </c>
      <c r="F37" s="0" t="s">
        <v>693</v>
      </c>
      <c r="G37" s="0" t="n">
        <v>32</v>
      </c>
      <c r="H37" s="0" t="n">
        <v>29.29</v>
      </c>
      <c r="I37" s="10" t="n">
        <v>0.3082</v>
      </c>
      <c r="J37" s="10" t="n">
        <v>0.6349</v>
      </c>
      <c r="K37" s="9" t="s">
        <v>1668</v>
      </c>
      <c r="L37" s="9" t="s">
        <v>1669</v>
      </c>
      <c r="M37" s="0" t="n">
        <v>28.92</v>
      </c>
      <c r="N37" s="10" t="n">
        <v>0.5</v>
      </c>
      <c r="O37" s="19"/>
      <c r="P37" s="0" t="str">
        <f aca="false">IF(O37="","",IF(O37&gt;G37,"OVER",IF(O37&lt;G37,"UNDER","PUSH")))</f>
        <v/>
      </c>
      <c r="Q37" s="0" t="n">
        <v>28.71</v>
      </c>
      <c r="R37" s="10" t="n">
        <v>0.2752</v>
      </c>
      <c r="S37" s="0" t="n">
        <v>0.9803</v>
      </c>
      <c r="T37" s="0" t="n">
        <v>28.9</v>
      </c>
      <c r="U37" s="0" t="n">
        <v>28.33</v>
      </c>
    </row>
    <row r="38" customFormat="false" ht="15" hidden="false" customHeight="false" outlineLevel="0" collapsed="false">
      <c r="A38" s="0" t="s">
        <v>955</v>
      </c>
      <c r="B38" s="0" t="s">
        <v>953</v>
      </c>
      <c r="C38" s="0" t="s">
        <v>608</v>
      </c>
      <c r="D38" s="0" t="s">
        <v>525</v>
      </c>
      <c r="E38" s="0" t="s">
        <v>739</v>
      </c>
      <c r="F38" s="0" t="s">
        <v>689</v>
      </c>
      <c r="G38" s="0" t="n">
        <v>15.5</v>
      </c>
      <c r="H38" s="0" t="n">
        <v>17.94</v>
      </c>
      <c r="I38" s="10" t="n">
        <v>0.6979</v>
      </c>
      <c r="J38" s="10" t="n">
        <v>0.3021</v>
      </c>
      <c r="K38" s="9" t="s">
        <v>1668</v>
      </c>
      <c r="L38" s="9" t="s">
        <v>1669</v>
      </c>
      <c r="N38" s="10" t="n">
        <v>0.7</v>
      </c>
      <c r="O38" s="19"/>
      <c r="P38" s="0" t="str">
        <f aca="false">IF(O38="","",IF(O38&gt;G38,"OVER",IF(O38&lt;G38,"UNDER","PUSH")))</f>
        <v/>
      </c>
      <c r="Q38" s="0" t="n">
        <v>17.92</v>
      </c>
      <c r="R38" s="10" t="n">
        <v>0.6965</v>
      </c>
      <c r="S38" s="0" t="n">
        <v>0.9989</v>
      </c>
      <c r="T38" s="0" t="n">
        <v>17.59</v>
      </c>
      <c r="U38" s="0" t="n">
        <v>17.57</v>
      </c>
    </row>
    <row r="39" customFormat="false" ht="15" hidden="false" customHeight="false" outlineLevel="0" collapsed="false">
      <c r="A39" s="0" t="s">
        <v>955</v>
      </c>
      <c r="B39" s="0" t="s">
        <v>953</v>
      </c>
      <c r="C39" s="0" t="s">
        <v>608</v>
      </c>
      <c r="D39" s="0" t="s">
        <v>525</v>
      </c>
      <c r="E39" s="0" t="s">
        <v>739</v>
      </c>
      <c r="F39" s="0" t="s">
        <v>693</v>
      </c>
      <c r="G39" s="0" t="n">
        <v>27.5</v>
      </c>
      <c r="H39" s="0" t="n">
        <v>29.96</v>
      </c>
      <c r="I39" s="10" t="n">
        <v>0.6482</v>
      </c>
      <c r="J39" s="10" t="n">
        <v>0.3518</v>
      </c>
      <c r="K39" s="9" t="s">
        <v>1668</v>
      </c>
      <c r="L39" s="9" t="s">
        <v>1669</v>
      </c>
      <c r="M39" s="0" t="n">
        <v>27.58</v>
      </c>
      <c r="N39" s="10" t="n">
        <v>0.6</v>
      </c>
      <c r="O39" s="19"/>
      <c r="P39" s="0" t="str">
        <f aca="false">IF(O39="","",IF(O39&gt;G39,"OVER",IF(O39&lt;G39,"UNDER","PUSH")))</f>
        <v/>
      </c>
      <c r="Q39" s="0" t="n">
        <v>29.93</v>
      </c>
      <c r="R39" s="10" t="n">
        <v>0.6464</v>
      </c>
      <c r="S39" s="0" t="n">
        <v>0.9989</v>
      </c>
      <c r="T39" s="0" t="n">
        <v>30.17</v>
      </c>
      <c r="U39" s="0" t="n">
        <v>30.14</v>
      </c>
    </row>
    <row r="40" customFormat="false" ht="15" hidden="false" customHeight="false" outlineLevel="0" collapsed="false">
      <c r="A40" s="0" t="s">
        <v>955</v>
      </c>
      <c r="B40" s="0" t="s">
        <v>953</v>
      </c>
      <c r="C40" s="0" t="s">
        <v>608</v>
      </c>
      <c r="D40" s="0" t="s">
        <v>525</v>
      </c>
      <c r="E40" s="0" t="s">
        <v>742</v>
      </c>
      <c r="F40" s="0" t="s">
        <v>689</v>
      </c>
      <c r="G40" s="0" t="n">
        <v>16.5</v>
      </c>
      <c r="H40" s="0" t="n">
        <v>16.58</v>
      </c>
      <c r="I40" s="10" t="n">
        <v>0.5072</v>
      </c>
      <c r="J40" s="10" t="n">
        <v>0.4928</v>
      </c>
      <c r="K40" s="9" t="s">
        <v>1668</v>
      </c>
      <c r="L40" s="9" t="s">
        <v>1669</v>
      </c>
      <c r="N40" s="10" t="n">
        <v>0.5</v>
      </c>
      <c r="O40" s="19"/>
      <c r="P40" s="0" t="str">
        <f aca="false">IF(O40="","",IF(O40&gt;G40,"OVER",IF(O40&lt;G40,"UNDER","PUSH")))</f>
        <v/>
      </c>
      <c r="Q40" s="0" t="n">
        <v>16.56</v>
      </c>
      <c r="R40" s="10" t="n">
        <v>0.5058</v>
      </c>
      <c r="S40" s="0" t="n">
        <v>0.999</v>
      </c>
      <c r="T40" s="0" t="n">
        <v>15.94</v>
      </c>
      <c r="U40" s="0" t="n">
        <v>15.93</v>
      </c>
    </row>
    <row r="41" customFormat="false" ht="15" hidden="false" customHeight="false" outlineLevel="0" collapsed="false">
      <c r="A41" s="0" t="s">
        <v>955</v>
      </c>
      <c r="B41" s="0" t="s">
        <v>953</v>
      </c>
      <c r="C41" s="0" t="s">
        <v>608</v>
      </c>
      <c r="D41" s="0" t="s">
        <v>525</v>
      </c>
      <c r="E41" s="0" t="s">
        <v>742</v>
      </c>
      <c r="F41" s="0" t="s">
        <v>693</v>
      </c>
      <c r="G41" s="0" t="n">
        <v>31.5</v>
      </c>
      <c r="H41" s="0" t="n">
        <v>32.29</v>
      </c>
      <c r="I41" s="10" t="n">
        <v>0.5469</v>
      </c>
      <c r="J41" s="10" t="n">
        <v>0.4531</v>
      </c>
      <c r="K41" s="9" t="s">
        <v>1668</v>
      </c>
      <c r="L41" s="9" t="s">
        <v>1669</v>
      </c>
      <c r="M41" s="0" t="n">
        <v>30.53</v>
      </c>
      <c r="N41" s="10" t="n">
        <v>0.6</v>
      </c>
      <c r="O41" s="19"/>
      <c r="P41" s="0" t="str">
        <f aca="false">IF(O41="","",IF(O41&gt;G41,"OVER",IF(O41&lt;G41,"UNDER","PUSH")))</f>
        <v/>
      </c>
      <c r="Q41" s="0" t="n">
        <v>32.26</v>
      </c>
      <c r="R41" s="10" t="n">
        <v>0.5449</v>
      </c>
      <c r="S41" s="0" t="n">
        <v>0.9989</v>
      </c>
      <c r="T41" s="0" t="n">
        <v>30.6</v>
      </c>
      <c r="U41" s="0" t="n">
        <v>30.57</v>
      </c>
    </row>
    <row r="42" customFormat="false" ht="15" hidden="false" customHeight="false" outlineLevel="0" collapsed="false">
      <c r="A42" s="0" t="s">
        <v>955</v>
      </c>
      <c r="B42" s="0" t="s">
        <v>953</v>
      </c>
      <c r="C42" s="0" t="s">
        <v>608</v>
      </c>
      <c r="D42" s="0" t="s">
        <v>525</v>
      </c>
      <c r="E42" s="0" t="s">
        <v>744</v>
      </c>
      <c r="F42" s="0" t="s">
        <v>689</v>
      </c>
      <c r="G42" s="0" t="n">
        <v>10.5</v>
      </c>
      <c r="H42" s="0" t="n">
        <v>11.22</v>
      </c>
      <c r="I42" s="10" t="n">
        <v>0.5803</v>
      </c>
      <c r="J42" s="10" t="n">
        <v>0.4197</v>
      </c>
      <c r="K42" s="9" t="s">
        <v>1668</v>
      </c>
      <c r="L42" s="9" t="s">
        <v>1669</v>
      </c>
      <c r="N42" s="10" t="n">
        <v>0.5</v>
      </c>
      <c r="O42" s="19"/>
      <c r="P42" s="0" t="str">
        <f aca="false">IF(O42="","",IF(O42&gt;G42,"OVER",IF(O42&lt;G42,"UNDER","PUSH")))</f>
        <v/>
      </c>
      <c r="Q42" s="0" t="n">
        <v>11.21</v>
      </c>
      <c r="R42" s="10" t="n">
        <v>0.5788</v>
      </c>
      <c r="S42" s="0" t="n">
        <v>0.9988</v>
      </c>
      <c r="T42" s="0" t="n">
        <v>10.74</v>
      </c>
      <c r="U42" s="0" t="n">
        <v>10.73</v>
      </c>
    </row>
    <row r="43" customFormat="false" ht="15" hidden="false" customHeight="false" outlineLevel="0" collapsed="false">
      <c r="A43" s="0" t="s">
        <v>955</v>
      </c>
      <c r="B43" s="0" t="s">
        <v>953</v>
      </c>
      <c r="C43" s="0" t="s">
        <v>608</v>
      </c>
      <c r="D43" s="0" t="s">
        <v>525</v>
      </c>
      <c r="E43" s="0" t="s">
        <v>744</v>
      </c>
      <c r="F43" s="0" t="s">
        <v>693</v>
      </c>
      <c r="G43" s="0" t="n">
        <v>31.5</v>
      </c>
      <c r="H43" s="0" t="n">
        <v>32.94</v>
      </c>
      <c r="I43" s="10" t="n">
        <v>0.5839</v>
      </c>
      <c r="J43" s="10" t="n">
        <v>0.4161</v>
      </c>
      <c r="K43" s="9" t="s">
        <v>1668</v>
      </c>
      <c r="L43" s="9" t="s">
        <v>1669</v>
      </c>
      <c r="M43" s="0" t="n">
        <v>31.8</v>
      </c>
      <c r="N43" s="10" t="n">
        <v>0.7</v>
      </c>
      <c r="O43" s="19"/>
      <c r="P43" s="0" t="str">
        <f aca="false">IF(O43="","",IF(O43&gt;G43,"OVER",IF(O43&lt;G43,"UNDER","PUSH")))</f>
        <v/>
      </c>
      <c r="Q43" s="0" t="n">
        <v>32.9</v>
      </c>
      <c r="R43" s="10" t="n">
        <v>0.5819</v>
      </c>
      <c r="S43" s="0" t="n">
        <v>0.9989</v>
      </c>
      <c r="T43" s="0" t="n">
        <v>33.15</v>
      </c>
      <c r="U43" s="0" t="n">
        <v>33.11</v>
      </c>
    </row>
    <row r="44" customFormat="false" ht="15" hidden="false" customHeight="false" outlineLevel="0" collapsed="false">
      <c r="A44" s="0" t="s">
        <v>955</v>
      </c>
      <c r="B44" s="0" t="s">
        <v>953</v>
      </c>
      <c r="C44" s="0" t="s">
        <v>608</v>
      </c>
      <c r="D44" s="0" t="s">
        <v>525</v>
      </c>
      <c r="E44" s="0" t="s">
        <v>747</v>
      </c>
      <c r="F44" s="0" t="s">
        <v>689</v>
      </c>
      <c r="G44" s="0" t="n">
        <v>15</v>
      </c>
      <c r="H44" s="0" t="n">
        <v>13.66</v>
      </c>
      <c r="I44" s="10" t="n">
        <v>0.3253</v>
      </c>
      <c r="J44" s="10" t="n">
        <v>0.5821</v>
      </c>
      <c r="K44" s="9" t="s">
        <v>1668</v>
      </c>
      <c r="L44" s="9" t="s">
        <v>1669</v>
      </c>
      <c r="N44" s="10" t="n">
        <v>0.6</v>
      </c>
      <c r="O44" s="19"/>
      <c r="P44" s="0" t="str">
        <f aca="false">IF(O44="","",IF(O44&gt;G44,"OVER",IF(O44&lt;G44,"UNDER","PUSH")))</f>
        <v/>
      </c>
      <c r="Q44" s="0" t="n">
        <v>13.64</v>
      </c>
      <c r="R44" s="10" t="n">
        <v>0.3238</v>
      </c>
      <c r="S44" s="0" t="n">
        <v>0.9988</v>
      </c>
      <c r="T44" s="0" t="n">
        <v>13.85</v>
      </c>
      <c r="U44" s="0" t="n">
        <v>13.83</v>
      </c>
    </row>
    <row r="45" customFormat="false" ht="15" hidden="false" customHeight="false" outlineLevel="0" collapsed="false">
      <c r="A45" s="0" t="s">
        <v>955</v>
      </c>
      <c r="B45" s="0" t="s">
        <v>953</v>
      </c>
      <c r="C45" s="0" t="s">
        <v>608</v>
      </c>
      <c r="D45" s="0" t="s">
        <v>525</v>
      </c>
      <c r="E45" s="0" t="s">
        <v>747</v>
      </c>
      <c r="F45" s="0" t="s">
        <v>693</v>
      </c>
      <c r="G45" s="0" t="n">
        <v>27.5</v>
      </c>
      <c r="H45" s="0" t="n">
        <v>25.38</v>
      </c>
      <c r="I45" s="10" t="n">
        <v>0.3609</v>
      </c>
      <c r="J45" s="10" t="n">
        <v>0.6391</v>
      </c>
      <c r="K45" s="9" t="s">
        <v>1668</v>
      </c>
      <c r="L45" s="9" t="s">
        <v>1669</v>
      </c>
      <c r="M45" s="0" t="n">
        <v>26.32</v>
      </c>
      <c r="N45" s="10" t="n">
        <v>0.5</v>
      </c>
      <c r="O45" s="19"/>
      <c r="P45" s="0" t="str">
        <f aca="false">IF(O45="","",IF(O45&gt;G45,"OVER",IF(O45&lt;G45,"UNDER","PUSH")))</f>
        <v/>
      </c>
      <c r="Q45" s="0" t="n">
        <v>25.35</v>
      </c>
      <c r="R45" s="10" t="n">
        <v>0.3589</v>
      </c>
      <c r="S45" s="0" t="n">
        <v>0.9988</v>
      </c>
      <c r="T45" s="0" t="n">
        <v>25.5</v>
      </c>
      <c r="U45" s="0" t="n">
        <v>25.47</v>
      </c>
    </row>
    <row r="46" customFormat="false" ht="15" hidden="false" customHeight="false" outlineLevel="0" collapsed="false">
      <c r="A46" s="0" t="s">
        <v>955</v>
      </c>
      <c r="B46" s="0" t="s">
        <v>953</v>
      </c>
      <c r="C46" s="0" t="s">
        <v>637</v>
      </c>
      <c r="D46" s="0" t="s">
        <v>646</v>
      </c>
      <c r="E46" s="0" t="s">
        <v>749</v>
      </c>
      <c r="F46" s="0" t="s">
        <v>693</v>
      </c>
      <c r="G46" s="0" t="n">
        <v>25.5</v>
      </c>
      <c r="H46" s="0" t="n">
        <v>24.88</v>
      </c>
      <c r="I46" s="10" t="n">
        <v>0.4578</v>
      </c>
      <c r="J46" s="10" t="n">
        <v>0.5422</v>
      </c>
      <c r="K46" s="9" t="s">
        <v>1670</v>
      </c>
      <c r="L46" s="9" t="s">
        <v>1671</v>
      </c>
      <c r="N46" s="10"/>
      <c r="O46" s="19"/>
      <c r="P46" s="0" t="str">
        <f aca="false">IF(O46="","",IF(O46&gt;G46,"OVER",IF(O46&lt;G46,"UNDER","PUSH")))</f>
        <v/>
      </c>
      <c r="Q46" s="0" t="n">
        <v>24.88</v>
      </c>
      <c r="R46" s="10" t="n">
        <v>0.4578</v>
      </c>
      <c r="S46" s="0" t="n">
        <v>1</v>
      </c>
      <c r="T46" s="0" t="n">
        <v>24.74</v>
      </c>
      <c r="U46" s="0" t="n">
        <v>24.74</v>
      </c>
    </row>
    <row r="47" customFormat="false" ht="15" hidden="false" customHeight="false" outlineLevel="0" collapsed="false">
      <c r="A47" s="0" t="s">
        <v>955</v>
      </c>
      <c r="B47" s="0" t="s">
        <v>953</v>
      </c>
      <c r="C47" s="0" t="s">
        <v>637</v>
      </c>
      <c r="D47" s="0" t="s">
        <v>646</v>
      </c>
      <c r="E47" s="0" t="s">
        <v>751</v>
      </c>
      <c r="F47" s="0" t="s">
        <v>693</v>
      </c>
      <c r="G47" s="0" t="n">
        <v>31</v>
      </c>
      <c r="H47" s="0" t="n">
        <v>32.68</v>
      </c>
      <c r="I47" s="10" t="n">
        <v>0.5692</v>
      </c>
      <c r="J47" s="10" t="n">
        <v>0.3737</v>
      </c>
      <c r="K47" s="9" t="s">
        <v>1670</v>
      </c>
      <c r="L47" s="9" t="s">
        <v>1671</v>
      </c>
      <c r="N47" s="10"/>
      <c r="O47" s="19"/>
      <c r="P47" s="0" t="str">
        <f aca="false">IF(O47="","",IF(O47&gt;G47,"OVER",IF(O47&lt;G47,"UNDER","PUSH")))</f>
        <v/>
      </c>
      <c r="Q47" s="0" t="n">
        <v>32.68</v>
      </c>
      <c r="R47" s="10" t="n">
        <v>0.5692</v>
      </c>
      <c r="S47" s="0" t="n">
        <v>1</v>
      </c>
      <c r="T47" s="0" t="n">
        <v>31.14</v>
      </c>
      <c r="U47" s="0" t="n">
        <v>31.14</v>
      </c>
    </row>
    <row r="48" customFormat="false" ht="15" hidden="false" customHeight="false" outlineLevel="0" collapsed="false">
      <c r="A48" s="0" t="s">
        <v>955</v>
      </c>
      <c r="B48" s="0" t="s">
        <v>953</v>
      </c>
      <c r="C48" s="0" t="s">
        <v>637</v>
      </c>
      <c r="D48" s="0" t="s">
        <v>646</v>
      </c>
      <c r="E48" s="0" t="s">
        <v>753</v>
      </c>
      <c r="F48" s="0" t="s">
        <v>693</v>
      </c>
      <c r="G48" s="0" t="n">
        <v>25.5</v>
      </c>
      <c r="H48" s="0" t="n">
        <v>29.55</v>
      </c>
      <c r="I48" s="10" t="n">
        <v>0.7358</v>
      </c>
      <c r="J48" s="10" t="n">
        <v>0.2642</v>
      </c>
      <c r="K48" s="9" t="s">
        <v>1670</v>
      </c>
      <c r="L48" s="9" t="s">
        <v>1671</v>
      </c>
      <c r="N48" s="10"/>
      <c r="O48" s="19"/>
      <c r="P48" s="0" t="str">
        <f aca="false">IF(O48="","",IF(O48&gt;G48,"OVER",IF(O48&lt;G48,"UNDER","PUSH")))</f>
        <v/>
      </c>
      <c r="Q48" s="0" t="n">
        <v>29.55</v>
      </c>
      <c r="R48" s="10" t="n">
        <v>0.7358</v>
      </c>
      <c r="S48" s="0" t="n">
        <v>1</v>
      </c>
      <c r="T48" s="0" t="n">
        <v>27.73</v>
      </c>
      <c r="U48" s="0" t="n">
        <v>27.73</v>
      </c>
    </row>
    <row r="49" customFormat="false" ht="15" hidden="false" customHeight="false" outlineLevel="0" collapsed="false">
      <c r="A49" s="0" t="s">
        <v>955</v>
      </c>
      <c r="B49" s="0" t="s">
        <v>953</v>
      </c>
      <c r="C49" s="0" t="s">
        <v>637</v>
      </c>
      <c r="D49" s="0" t="s">
        <v>646</v>
      </c>
      <c r="E49" s="0" t="s">
        <v>755</v>
      </c>
      <c r="F49" s="0" t="s">
        <v>693</v>
      </c>
      <c r="G49" s="0" t="n">
        <v>30.5</v>
      </c>
      <c r="H49" s="0" t="n">
        <v>38.06</v>
      </c>
      <c r="I49" s="10" t="n">
        <v>0.8499</v>
      </c>
      <c r="J49" s="10" t="n">
        <v>0.1501</v>
      </c>
      <c r="K49" s="9" t="s">
        <v>1670</v>
      </c>
      <c r="L49" s="9" t="s">
        <v>1671</v>
      </c>
      <c r="N49" s="10" t="n">
        <v>0.7</v>
      </c>
      <c r="O49" s="19"/>
      <c r="P49" s="0" t="str">
        <f aca="false">IF(O49="","",IF(O49&gt;G49,"OVER",IF(O49&lt;G49,"UNDER","PUSH")))</f>
        <v/>
      </c>
      <c r="Q49" s="0" t="n">
        <v>38.06</v>
      </c>
      <c r="R49" s="10" t="n">
        <v>0.8499</v>
      </c>
      <c r="S49" s="0" t="n">
        <v>1</v>
      </c>
      <c r="T49" s="0" t="n">
        <v>38.82</v>
      </c>
      <c r="U49" s="0" t="n">
        <v>38.82</v>
      </c>
    </row>
    <row r="50" customFormat="false" ht="15" hidden="false" customHeight="false" outlineLevel="0" collapsed="false">
      <c r="A50" s="0" t="s">
        <v>955</v>
      </c>
      <c r="B50" s="0" t="s">
        <v>953</v>
      </c>
      <c r="C50" s="0" t="s">
        <v>637</v>
      </c>
      <c r="D50" s="0" t="s">
        <v>646</v>
      </c>
      <c r="E50" s="0" t="s">
        <v>757</v>
      </c>
      <c r="F50" s="0" t="s">
        <v>693</v>
      </c>
      <c r="G50" s="0" t="n">
        <v>32.5</v>
      </c>
      <c r="H50" s="0" t="n">
        <v>31.95</v>
      </c>
      <c r="I50" s="10" t="n">
        <v>0.467</v>
      </c>
      <c r="J50" s="10" t="n">
        <v>0.533</v>
      </c>
      <c r="K50" s="9" t="s">
        <v>1670</v>
      </c>
      <c r="L50" s="9" t="s">
        <v>1671</v>
      </c>
      <c r="N50" s="10"/>
      <c r="O50" s="19"/>
      <c r="P50" s="0" t="str">
        <f aca="false">IF(O50="","",IF(O50&gt;G50,"OVER",IF(O50&lt;G50,"UNDER","PUSH")))</f>
        <v/>
      </c>
      <c r="Q50" s="0" t="n">
        <v>31.95</v>
      </c>
      <c r="R50" s="10" t="n">
        <v>0.467</v>
      </c>
      <c r="S50" s="0" t="n">
        <v>1</v>
      </c>
      <c r="T50" s="0" t="n">
        <v>33.27</v>
      </c>
      <c r="U50" s="0" t="n">
        <v>33.27</v>
      </c>
    </row>
    <row r="51" customFormat="false" ht="15" hidden="false" customHeight="false" outlineLevel="0" collapsed="false">
      <c r="A51" s="0" t="s">
        <v>955</v>
      </c>
      <c r="B51" s="0" t="s">
        <v>953</v>
      </c>
      <c r="C51" s="0" t="s">
        <v>637</v>
      </c>
      <c r="D51" s="0" t="s">
        <v>646</v>
      </c>
      <c r="E51" s="0" t="s">
        <v>759</v>
      </c>
      <c r="F51" s="0" t="s">
        <v>693</v>
      </c>
      <c r="G51" s="0" t="n">
        <v>32.5</v>
      </c>
      <c r="H51" s="0" t="n">
        <v>35.95</v>
      </c>
      <c r="I51" s="10" t="n">
        <v>0.6866</v>
      </c>
      <c r="J51" s="10" t="n">
        <v>0.3134</v>
      </c>
      <c r="K51" s="9" t="s">
        <v>1670</v>
      </c>
      <c r="L51" s="9" t="s">
        <v>1671</v>
      </c>
      <c r="N51" s="10" t="n">
        <v>0.7</v>
      </c>
      <c r="O51" s="19"/>
      <c r="P51" s="0" t="str">
        <f aca="false">IF(O51="","",IF(O51&gt;G51,"OVER",IF(O51&lt;G51,"UNDER","PUSH")))</f>
        <v/>
      </c>
      <c r="Q51" s="0" t="n">
        <v>35.95</v>
      </c>
      <c r="R51" s="10" t="n">
        <v>0.6866</v>
      </c>
      <c r="S51" s="0" t="n">
        <v>1</v>
      </c>
      <c r="T51" s="0" t="n">
        <v>34.98</v>
      </c>
      <c r="U51" s="0" t="n">
        <v>34.98</v>
      </c>
    </row>
    <row r="52" customFormat="false" ht="15" hidden="false" customHeight="false" outlineLevel="0" collapsed="false">
      <c r="A52" s="0" t="s">
        <v>955</v>
      </c>
      <c r="B52" s="0" t="s">
        <v>953</v>
      </c>
      <c r="C52" s="0" t="s">
        <v>637</v>
      </c>
      <c r="D52" s="0" t="s">
        <v>646</v>
      </c>
      <c r="E52" s="0" t="s">
        <v>761</v>
      </c>
      <c r="F52" s="0" t="s">
        <v>693</v>
      </c>
      <c r="G52" s="0" t="n">
        <v>29.5</v>
      </c>
      <c r="H52" s="0" t="n">
        <v>27.5</v>
      </c>
      <c r="I52" s="10" t="n">
        <v>0.3736</v>
      </c>
      <c r="J52" s="10" t="n">
        <v>0.6264</v>
      </c>
      <c r="K52" s="9" t="s">
        <v>1670</v>
      </c>
      <c r="L52" s="9" t="s">
        <v>1671</v>
      </c>
      <c r="N52" s="10"/>
      <c r="O52" s="19"/>
      <c r="P52" s="0" t="str">
        <f aca="false">IF(O52="","",IF(O52&gt;G52,"OVER",IF(O52&lt;G52,"UNDER","PUSH")))</f>
        <v/>
      </c>
      <c r="Q52" s="0" t="n">
        <v>27.5</v>
      </c>
      <c r="R52" s="10" t="n">
        <v>0.3736</v>
      </c>
      <c r="S52" s="0" t="n">
        <v>1</v>
      </c>
      <c r="T52" s="0" t="n">
        <v>29.44</v>
      </c>
      <c r="U52" s="0" t="n">
        <v>29.44</v>
      </c>
    </row>
    <row r="53" customFormat="false" ht="15" hidden="false" customHeight="false" outlineLevel="0" collapsed="false">
      <c r="A53" s="0" t="s">
        <v>955</v>
      </c>
      <c r="B53" s="0" t="s">
        <v>953</v>
      </c>
      <c r="C53" s="0" t="s">
        <v>637</v>
      </c>
      <c r="D53" s="0" t="s">
        <v>646</v>
      </c>
      <c r="E53" s="0" t="s">
        <v>763</v>
      </c>
      <c r="F53" s="0" t="s">
        <v>693</v>
      </c>
      <c r="G53" s="0" t="n">
        <v>24.5</v>
      </c>
      <c r="H53" s="0" t="n">
        <v>26.65</v>
      </c>
      <c r="I53" s="10" t="n">
        <v>0.6376</v>
      </c>
      <c r="J53" s="10" t="n">
        <v>0.3624</v>
      </c>
      <c r="K53" s="9" t="s">
        <v>1670</v>
      </c>
      <c r="L53" s="9" t="s">
        <v>1671</v>
      </c>
      <c r="N53" s="10" t="n">
        <v>0.5</v>
      </c>
      <c r="O53" s="19"/>
      <c r="P53" s="0" t="str">
        <f aca="false">IF(O53="","",IF(O53&gt;G53,"OVER",IF(O53&lt;G53,"UNDER","PUSH")))</f>
        <v/>
      </c>
      <c r="Q53" s="0" t="n">
        <v>26.65</v>
      </c>
      <c r="R53" s="10" t="n">
        <v>0.6376</v>
      </c>
      <c r="S53" s="0" t="n">
        <v>1</v>
      </c>
      <c r="T53" s="0" t="n">
        <v>27.3</v>
      </c>
      <c r="U53" s="0" t="n">
        <v>27.3</v>
      </c>
    </row>
    <row r="54" customFormat="false" ht="15" hidden="false" customHeight="false" outlineLevel="0" collapsed="false">
      <c r="A54" s="0" t="s">
        <v>955</v>
      </c>
      <c r="B54" s="0" t="s">
        <v>953</v>
      </c>
      <c r="C54" s="0" t="s">
        <v>637</v>
      </c>
      <c r="D54" s="0" t="s">
        <v>660</v>
      </c>
      <c r="E54" s="0" t="s">
        <v>765</v>
      </c>
      <c r="F54" s="0" t="s">
        <v>693</v>
      </c>
      <c r="G54" s="0" t="n">
        <v>30.5</v>
      </c>
      <c r="H54" s="0" t="n">
        <v>35.4</v>
      </c>
      <c r="I54" s="10" t="n">
        <v>0.7566</v>
      </c>
      <c r="J54" s="10" t="n">
        <v>0.2434</v>
      </c>
      <c r="K54" s="9" t="s">
        <v>1672</v>
      </c>
      <c r="L54" s="9" t="s">
        <v>1673</v>
      </c>
      <c r="M54" s="0" t="n">
        <v>30.74</v>
      </c>
      <c r="N54" s="10" t="n">
        <v>0.5</v>
      </c>
      <c r="O54" s="19"/>
      <c r="P54" s="0" t="str">
        <f aca="false">IF(O54="","",IF(O54&gt;G54,"OVER",IF(O54&lt;G54,"UNDER","PUSH")))</f>
        <v/>
      </c>
      <c r="Q54" s="0" t="n">
        <v>35.4</v>
      </c>
      <c r="R54" s="10" t="n">
        <v>0.7566</v>
      </c>
      <c r="S54" s="0" t="n">
        <v>1</v>
      </c>
      <c r="T54" s="0" t="n">
        <v>33.69</v>
      </c>
      <c r="U54" s="0" t="n">
        <v>33.69</v>
      </c>
    </row>
    <row r="55" customFormat="false" ht="15" hidden="false" customHeight="false" outlineLevel="0" collapsed="false">
      <c r="A55" s="0" t="s">
        <v>955</v>
      </c>
      <c r="B55" s="0" t="s">
        <v>953</v>
      </c>
      <c r="C55" s="0" t="s">
        <v>637</v>
      </c>
      <c r="D55" s="0" t="s">
        <v>660</v>
      </c>
      <c r="E55" s="0" t="s">
        <v>767</v>
      </c>
      <c r="F55" s="0" t="s">
        <v>693</v>
      </c>
      <c r="G55" s="0" t="n">
        <v>33.5</v>
      </c>
      <c r="H55" s="0" t="n">
        <v>35.53</v>
      </c>
      <c r="I55" s="10" t="n">
        <v>0.613</v>
      </c>
      <c r="J55" s="10" t="n">
        <v>0.387</v>
      </c>
      <c r="K55" s="9" t="s">
        <v>1672</v>
      </c>
      <c r="L55" s="9" t="s">
        <v>1673</v>
      </c>
      <c r="M55" s="0" t="n">
        <v>34.96</v>
      </c>
      <c r="N55" s="10" t="n">
        <v>0.6</v>
      </c>
      <c r="O55" s="19"/>
      <c r="P55" s="0" t="str">
        <f aca="false">IF(O55="","",IF(O55&gt;G55,"OVER",IF(O55&lt;G55,"UNDER","PUSH")))</f>
        <v/>
      </c>
      <c r="Q55" s="0" t="n">
        <v>35.53</v>
      </c>
      <c r="R55" s="10" t="n">
        <v>0.613</v>
      </c>
      <c r="S55" s="0" t="n">
        <v>1</v>
      </c>
      <c r="T55" s="0" t="n">
        <v>36.68</v>
      </c>
      <c r="U55" s="0" t="n">
        <v>36.68</v>
      </c>
    </row>
    <row r="56" customFormat="false" ht="15" hidden="false" customHeight="false" outlineLevel="0" collapsed="false">
      <c r="A56" s="0" t="s">
        <v>955</v>
      </c>
      <c r="B56" s="0" t="s">
        <v>953</v>
      </c>
      <c r="C56" s="0" t="s">
        <v>637</v>
      </c>
      <c r="D56" s="0" t="s">
        <v>660</v>
      </c>
      <c r="E56" s="0" t="s">
        <v>769</v>
      </c>
      <c r="F56" s="0" t="s">
        <v>693</v>
      </c>
      <c r="G56" s="0" t="n">
        <v>23</v>
      </c>
      <c r="H56" s="0" t="n">
        <v>25.18</v>
      </c>
      <c r="I56" s="10" t="n">
        <v>0.6112</v>
      </c>
      <c r="J56" s="10" t="n">
        <v>0.3261</v>
      </c>
      <c r="K56" s="9" t="s">
        <v>1672</v>
      </c>
      <c r="L56" s="9" t="s">
        <v>1673</v>
      </c>
      <c r="N56" s="10" t="n">
        <v>0.6</v>
      </c>
      <c r="O56" s="19"/>
      <c r="P56" s="0" t="str">
        <f aca="false">IF(O56="","",IF(O56&gt;G56,"OVER",IF(O56&lt;G56,"UNDER","PUSH")))</f>
        <v/>
      </c>
      <c r="Q56" s="0" t="n">
        <v>25.18</v>
      </c>
      <c r="R56" s="10" t="n">
        <v>0.6112</v>
      </c>
      <c r="S56" s="0" t="n">
        <v>1</v>
      </c>
      <c r="T56" s="0" t="n">
        <v>25.16</v>
      </c>
      <c r="U56" s="0" t="n">
        <v>25.16</v>
      </c>
    </row>
    <row r="57" customFormat="false" ht="15" hidden="false" customHeight="false" outlineLevel="0" collapsed="false">
      <c r="A57" s="0" t="s">
        <v>955</v>
      </c>
      <c r="B57" s="0" t="s">
        <v>953</v>
      </c>
      <c r="C57" s="0" t="s">
        <v>637</v>
      </c>
      <c r="D57" s="0" t="s">
        <v>660</v>
      </c>
      <c r="E57" s="0" t="s">
        <v>771</v>
      </c>
      <c r="F57" s="0" t="s">
        <v>693</v>
      </c>
      <c r="G57" s="0" t="n">
        <v>33</v>
      </c>
      <c r="H57" s="0" t="n">
        <v>35.68</v>
      </c>
      <c r="I57" s="10" t="n">
        <v>0.6211</v>
      </c>
      <c r="J57" s="10" t="n">
        <v>0.3264</v>
      </c>
      <c r="K57" s="9" t="s">
        <v>1672</v>
      </c>
      <c r="L57" s="9" t="s">
        <v>1673</v>
      </c>
      <c r="M57" s="0" t="n">
        <v>33.82</v>
      </c>
      <c r="N57" s="10" t="n">
        <v>0.5</v>
      </c>
      <c r="O57" s="19"/>
      <c r="P57" s="0" t="str">
        <f aca="false">IF(O57="","",IF(O57&gt;G57,"OVER",IF(O57&lt;G57,"UNDER","PUSH")))</f>
        <v/>
      </c>
      <c r="Q57" s="0" t="n">
        <v>35.68</v>
      </c>
      <c r="R57" s="10" t="n">
        <v>0.6211</v>
      </c>
      <c r="S57" s="0" t="n">
        <v>1</v>
      </c>
      <c r="T57" s="0" t="n">
        <v>36.68</v>
      </c>
      <c r="U57" s="0" t="n">
        <v>36.68</v>
      </c>
    </row>
    <row r="58" customFormat="false" ht="15" hidden="false" customHeight="false" outlineLevel="0" collapsed="false">
      <c r="A58" s="0" t="s">
        <v>955</v>
      </c>
      <c r="B58" s="0" t="s">
        <v>953</v>
      </c>
      <c r="C58" s="0" t="s">
        <v>637</v>
      </c>
      <c r="D58" s="0" t="s">
        <v>660</v>
      </c>
      <c r="E58" s="0" t="s">
        <v>773</v>
      </c>
      <c r="F58" s="0" t="s">
        <v>693</v>
      </c>
      <c r="G58" s="0" t="n">
        <v>24.5</v>
      </c>
      <c r="H58" s="0" t="n">
        <v>27.18</v>
      </c>
      <c r="I58" s="10" t="n">
        <v>0.6682</v>
      </c>
      <c r="J58" s="10" t="n">
        <v>0.3318</v>
      </c>
      <c r="K58" s="9" t="s">
        <v>1672</v>
      </c>
      <c r="L58" s="9" t="s">
        <v>1673</v>
      </c>
      <c r="N58" s="10" t="n">
        <v>0.3</v>
      </c>
      <c r="O58" s="19"/>
      <c r="P58" s="0" t="str">
        <f aca="false">IF(O58="","",IF(O58&gt;G58,"OVER",IF(O58&lt;G58,"UNDER","PUSH")))</f>
        <v/>
      </c>
      <c r="Q58" s="0" t="n">
        <v>27.18</v>
      </c>
      <c r="R58" s="10" t="n">
        <v>0.6682</v>
      </c>
      <c r="S58" s="0" t="n">
        <v>1</v>
      </c>
      <c r="T58" s="0" t="n">
        <v>26.87</v>
      </c>
      <c r="U58" s="0" t="n">
        <v>26.87</v>
      </c>
    </row>
    <row r="59" customFormat="false" ht="15" hidden="false" customHeight="false" outlineLevel="0" collapsed="false">
      <c r="A59" s="0" t="s">
        <v>955</v>
      </c>
      <c r="B59" s="0" t="s">
        <v>953</v>
      </c>
      <c r="C59" s="0" t="s">
        <v>637</v>
      </c>
      <c r="D59" s="0" t="s">
        <v>660</v>
      </c>
      <c r="E59" s="0" t="s">
        <v>775</v>
      </c>
      <c r="F59" s="0" t="s">
        <v>693</v>
      </c>
      <c r="G59" s="0" t="n">
        <v>28.5</v>
      </c>
      <c r="H59" s="0" t="n">
        <v>26.06</v>
      </c>
      <c r="I59" s="10" t="n">
        <v>0.3433</v>
      </c>
      <c r="J59" s="10" t="n">
        <v>0.6567</v>
      </c>
      <c r="K59" s="9" t="s">
        <v>1672</v>
      </c>
      <c r="L59" s="9" t="s">
        <v>1673</v>
      </c>
      <c r="N59" s="10" t="n">
        <v>0.2</v>
      </c>
      <c r="O59" s="19"/>
      <c r="P59" s="0" t="str">
        <f aca="false">IF(O59="","",IF(O59&gt;G59,"OVER",IF(O59&lt;G59,"UNDER","PUSH")))</f>
        <v/>
      </c>
      <c r="Q59" s="0" t="n">
        <v>26.06</v>
      </c>
      <c r="R59" s="10" t="n">
        <v>0.3433</v>
      </c>
      <c r="S59" s="0" t="n">
        <v>1</v>
      </c>
      <c r="T59" s="0" t="n">
        <v>26.44</v>
      </c>
      <c r="U59" s="0" t="n">
        <v>26.44</v>
      </c>
    </row>
    <row r="60" customFormat="false" ht="15" hidden="false" customHeight="false" outlineLevel="0" collapsed="false">
      <c r="A60" s="0" t="s">
        <v>955</v>
      </c>
      <c r="B60" s="0" t="s">
        <v>953</v>
      </c>
      <c r="C60" s="0" t="s">
        <v>637</v>
      </c>
      <c r="D60" s="0" t="s">
        <v>660</v>
      </c>
      <c r="E60" s="0" t="s">
        <v>777</v>
      </c>
      <c r="F60" s="0" t="s">
        <v>693</v>
      </c>
      <c r="G60" s="0" t="n">
        <v>26.5</v>
      </c>
      <c r="H60" s="0" t="n">
        <v>26.9</v>
      </c>
      <c r="I60" s="10" t="n">
        <v>0.526</v>
      </c>
      <c r="J60" s="10" t="n">
        <v>0.474</v>
      </c>
      <c r="K60" s="9" t="s">
        <v>1672</v>
      </c>
      <c r="L60" s="9" t="s">
        <v>1673</v>
      </c>
      <c r="M60" s="0" t="n">
        <v>27.89</v>
      </c>
      <c r="N60" s="10" t="n">
        <v>0.2</v>
      </c>
      <c r="O60" s="19"/>
      <c r="P60" s="0" t="str">
        <f aca="false">IF(O60="","",IF(O60&gt;G60,"OVER",IF(O60&lt;G60,"UNDER","PUSH")))</f>
        <v/>
      </c>
      <c r="Q60" s="0" t="n">
        <v>26.9</v>
      </c>
      <c r="R60" s="10" t="n">
        <v>0.526</v>
      </c>
      <c r="S60" s="0" t="n">
        <v>1</v>
      </c>
      <c r="T60" s="0" t="n">
        <v>24.74</v>
      </c>
      <c r="U60" s="0" t="n">
        <v>24.74</v>
      </c>
    </row>
    <row r="61" customFormat="false" ht="15" hidden="false" customHeight="false" outlineLevel="0" collapsed="false">
      <c r="A61" s="0" t="s">
        <v>955</v>
      </c>
      <c r="B61" s="0" t="s">
        <v>953</v>
      </c>
      <c r="C61" s="0" t="s">
        <v>637</v>
      </c>
      <c r="D61" s="0" t="s">
        <v>660</v>
      </c>
      <c r="E61" s="0" t="s">
        <v>779</v>
      </c>
      <c r="F61" s="0" t="s">
        <v>693</v>
      </c>
      <c r="G61" s="0" t="n">
        <v>35.5</v>
      </c>
      <c r="H61" s="0" t="n">
        <v>36.56</v>
      </c>
      <c r="I61" s="10" t="n">
        <v>0.5591</v>
      </c>
      <c r="J61" s="10" t="n">
        <v>0.4409</v>
      </c>
      <c r="K61" s="9" t="s">
        <v>1672</v>
      </c>
      <c r="L61" s="9" t="s">
        <v>1673</v>
      </c>
      <c r="N61" s="10" t="n">
        <v>0.4</v>
      </c>
      <c r="O61" s="19"/>
      <c r="P61" s="0" t="str">
        <f aca="false">IF(O61="","",IF(O61&gt;G61,"OVER",IF(O61&lt;G61,"UNDER","PUSH")))</f>
        <v/>
      </c>
      <c r="Q61" s="0" t="n">
        <v>36.56</v>
      </c>
      <c r="R61" s="10" t="n">
        <v>0.5591</v>
      </c>
      <c r="S61" s="0" t="n">
        <v>1</v>
      </c>
      <c r="T61" s="0" t="n">
        <v>37.53</v>
      </c>
      <c r="U61" s="0" t="n">
        <v>37.53</v>
      </c>
    </row>
    <row r="62" customFormat="false" ht="15" hidden="false" customHeight="false" outlineLevel="0" collapsed="false">
      <c r="A62" s="0" t="s">
        <v>955</v>
      </c>
      <c r="B62" s="0" t="s">
        <v>953</v>
      </c>
      <c r="C62" s="0" t="s">
        <v>637</v>
      </c>
      <c r="D62" s="0" t="s">
        <v>660</v>
      </c>
      <c r="E62" s="0" t="s">
        <v>781</v>
      </c>
      <c r="F62" s="0" t="s">
        <v>693</v>
      </c>
      <c r="G62" s="0" t="n">
        <v>24.5</v>
      </c>
      <c r="H62" s="0" t="n">
        <v>26.18</v>
      </c>
      <c r="I62" s="10" t="n">
        <v>0.6096</v>
      </c>
      <c r="J62" s="10" t="n">
        <v>0.3904</v>
      </c>
      <c r="K62" s="9" t="s">
        <v>1672</v>
      </c>
      <c r="L62" s="9" t="s">
        <v>1673</v>
      </c>
      <c r="M62" s="0" t="n">
        <v>25.72</v>
      </c>
      <c r="N62" s="10" t="n">
        <v>0.5</v>
      </c>
      <c r="O62" s="19"/>
      <c r="P62" s="0" t="str">
        <f aca="false">IF(O62="","",IF(O62&gt;G62,"OVER",IF(O62&lt;G62,"UNDER","PUSH")))</f>
        <v/>
      </c>
      <c r="Q62" s="0" t="n">
        <v>26.18</v>
      </c>
      <c r="R62" s="10" t="n">
        <v>0.6096</v>
      </c>
      <c r="S62" s="0" t="n">
        <v>1</v>
      </c>
      <c r="T62" s="0" t="n">
        <v>25.59</v>
      </c>
      <c r="U62" s="0" t="n">
        <v>25.59</v>
      </c>
    </row>
    <row r="63" customFormat="false" ht="15" hidden="false" customHeight="false" outlineLevel="0" collapsed="false">
      <c r="A63" s="0" t="s">
        <v>955</v>
      </c>
      <c r="B63" s="0" t="s">
        <v>953</v>
      </c>
      <c r="C63" s="0" t="s">
        <v>637</v>
      </c>
      <c r="D63" s="0" t="s">
        <v>660</v>
      </c>
      <c r="E63" s="0" t="s">
        <v>783</v>
      </c>
      <c r="F63" s="0" t="s">
        <v>693</v>
      </c>
      <c r="G63" s="0" t="n">
        <v>34.5</v>
      </c>
      <c r="H63" s="0" t="n">
        <v>31.04</v>
      </c>
      <c r="I63" s="10" t="n">
        <v>0.2997</v>
      </c>
      <c r="J63" s="10" t="n">
        <v>0.7003</v>
      </c>
      <c r="K63" s="9" t="s">
        <v>1672</v>
      </c>
      <c r="L63" s="9" t="s">
        <v>1673</v>
      </c>
      <c r="M63" s="0" t="n">
        <v>34.4</v>
      </c>
      <c r="N63" s="10" t="n">
        <v>0.1</v>
      </c>
      <c r="O63" s="19"/>
      <c r="P63" s="0" t="str">
        <f aca="false">IF(O63="","",IF(O63&gt;G63,"OVER",IF(O63&lt;G63,"UNDER","PUSH")))</f>
        <v/>
      </c>
      <c r="Q63" s="0" t="n">
        <v>31.04</v>
      </c>
      <c r="R63" s="10" t="n">
        <v>0.2997</v>
      </c>
      <c r="S63" s="0" t="n">
        <v>1</v>
      </c>
      <c r="T63" s="0" t="n">
        <v>32.84</v>
      </c>
      <c r="U63" s="0" t="n">
        <v>32.84</v>
      </c>
    </row>
    <row r="64" customFormat="false" ht="15" hidden="false" customHeight="false" outlineLevel="0" collapsed="false">
      <c r="A64" s="0" t="s">
        <v>955</v>
      </c>
      <c r="B64" s="0" t="s">
        <v>953</v>
      </c>
      <c r="C64" s="0" t="s">
        <v>637</v>
      </c>
      <c r="D64" s="0" t="s">
        <v>636</v>
      </c>
      <c r="E64" s="0" t="s">
        <v>785</v>
      </c>
      <c r="F64" s="0" t="s">
        <v>693</v>
      </c>
      <c r="G64" s="0" t="n">
        <v>26.5</v>
      </c>
      <c r="H64" s="0" t="n">
        <v>23.5</v>
      </c>
      <c r="I64" s="10" t="n">
        <v>0.3005</v>
      </c>
      <c r="J64" s="10" t="n">
        <v>0.6995</v>
      </c>
      <c r="K64" s="9" t="s">
        <v>1674</v>
      </c>
      <c r="L64" s="9" t="s">
        <v>1673</v>
      </c>
      <c r="N64" s="10" t="n">
        <v>0.4</v>
      </c>
      <c r="O64" s="19"/>
      <c r="P64" s="0" t="str">
        <f aca="false">IF(O64="","",IF(O64&gt;G64,"OVER",IF(O64&lt;G64,"UNDER","PUSH")))</f>
        <v/>
      </c>
      <c r="Q64" s="0" t="n">
        <v>23.5</v>
      </c>
      <c r="R64" s="10" t="n">
        <v>0.3005</v>
      </c>
      <c r="S64" s="0" t="n">
        <v>1</v>
      </c>
      <c r="T64" s="0" t="n">
        <v>23.41</v>
      </c>
      <c r="U64" s="0" t="n">
        <v>23.41</v>
      </c>
    </row>
    <row r="65" customFormat="false" ht="15" hidden="false" customHeight="false" outlineLevel="0" collapsed="false">
      <c r="A65" s="0" t="s">
        <v>955</v>
      </c>
      <c r="B65" s="0" t="s">
        <v>953</v>
      </c>
      <c r="C65" s="0" t="s">
        <v>637</v>
      </c>
      <c r="D65" s="0" t="s">
        <v>636</v>
      </c>
      <c r="E65" s="0" t="s">
        <v>787</v>
      </c>
      <c r="F65" s="0" t="s">
        <v>693</v>
      </c>
      <c r="G65" s="0" t="n">
        <v>27.5</v>
      </c>
      <c r="H65" s="0" t="n">
        <v>28.01</v>
      </c>
      <c r="I65" s="10" t="n">
        <v>0.5325</v>
      </c>
      <c r="J65" s="10" t="n">
        <v>0.4675</v>
      </c>
      <c r="K65" s="9" t="s">
        <v>1674</v>
      </c>
      <c r="L65" s="9" t="s">
        <v>1673</v>
      </c>
      <c r="N65" s="10"/>
      <c r="O65" s="19"/>
      <c r="P65" s="0" t="str">
        <f aca="false">IF(O65="","",IF(O65&gt;G65,"OVER",IF(O65&lt;G65,"UNDER","PUSH")))</f>
        <v/>
      </c>
      <c r="Q65" s="0" t="n">
        <v>28.01</v>
      </c>
      <c r="R65" s="10" t="n">
        <v>0.5325</v>
      </c>
      <c r="S65" s="0" t="n">
        <v>1</v>
      </c>
      <c r="T65" s="0" t="n">
        <v>27.24</v>
      </c>
      <c r="U65" s="0" t="n">
        <v>27.24</v>
      </c>
    </row>
    <row r="66" customFormat="false" ht="15" hidden="false" customHeight="false" outlineLevel="0" collapsed="false">
      <c r="A66" s="0" t="s">
        <v>955</v>
      </c>
      <c r="B66" s="0" t="s">
        <v>953</v>
      </c>
      <c r="C66" s="0" t="s">
        <v>637</v>
      </c>
      <c r="D66" s="0" t="s">
        <v>636</v>
      </c>
      <c r="E66" s="0" t="s">
        <v>789</v>
      </c>
      <c r="F66" s="0" t="s">
        <v>693</v>
      </c>
      <c r="G66" s="0" t="n">
        <v>27.5</v>
      </c>
      <c r="H66" s="0" t="n">
        <v>29.59</v>
      </c>
      <c r="I66" s="10" t="n">
        <v>0.6275</v>
      </c>
      <c r="J66" s="10" t="n">
        <v>0.3725</v>
      </c>
      <c r="K66" s="9" t="s">
        <v>1674</v>
      </c>
      <c r="L66" s="9" t="s">
        <v>1673</v>
      </c>
      <c r="N66" s="10" t="n">
        <v>0.4</v>
      </c>
      <c r="O66" s="19"/>
      <c r="P66" s="0" t="str">
        <f aca="false">IF(O66="","",IF(O66&gt;G66,"OVER",IF(O66&lt;G66,"UNDER","PUSH")))</f>
        <v/>
      </c>
      <c r="Q66" s="0" t="n">
        <v>29.59</v>
      </c>
      <c r="R66" s="10" t="n">
        <v>0.6275</v>
      </c>
      <c r="S66" s="0" t="n">
        <v>1</v>
      </c>
      <c r="T66" s="0" t="n">
        <v>30.22</v>
      </c>
      <c r="U66" s="0" t="n">
        <v>30.22</v>
      </c>
    </row>
    <row r="67" customFormat="false" ht="15" hidden="false" customHeight="false" outlineLevel="0" collapsed="false">
      <c r="A67" s="0" t="s">
        <v>955</v>
      </c>
      <c r="B67" s="0" t="s">
        <v>953</v>
      </c>
      <c r="C67" s="0" t="s">
        <v>637</v>
      </c>
      <c r="D67" s="0" t="s">
        <v>653</v>
      </c>
      <c r="E67" s="0" t="s">
        <v>791</v>
      </c>
      <c r="F67" s="0" t="s">
        <v>693</v>
      </c>
      <c r="G67" s="0" t="n">
        <v>33.5</v>
      </c>
      <c r="H67" s="0" t="n">
        <v>34.26</v>
      </c>
      <c r="I67" s="10" t="n">
        <v>0.5437</v>
      </c>
      <c r="J67" s="10" t="n">
        <v>0.4563</v>
      </c>
      <c r="K67" s="9" t="s">
        <v>1672</v>
      </c>
      <c r="L67" s="9" t="s">
        <v>1675</v>
      </c>
      <c r="M67" s="0" t="n">
        <v>33.71</v>
      </c>
      <c r="N67" s="10" t="n">
        <v>0.7</v>
      </c>
      <c r="O67" s="19"/>
      <c r="P67" s="0" t="str">
        <f aca="false">IF(O67="","",IF(O67&gt;G67,"OVER",IF(O67&lt;G67,"UNDER","PUSH")))</f>
        <v/>
      </c>
      <c r="Q67" s="0" t="n">
        <v>34.26</v>
      </c>
      <c r="R67" s="10" t="n">
        <v>0.5437</v>
      </c>
      <c r="S67" s="0" t="n">
        <v>1</v>
      </c>
      <c r="T67" s="0" t="n">
        <v>36.83</v>
      </c>
      <c r="U67" s="0" t="n">
        <v>36.83</v>
      </c>
    </row>
    <row r="68" customFormat="false" ht="15" hidden="false" customHeight="false" outlineLevel="0" collapsed="false">
      <c r="A68" s="0" t="s">
        <v>955</v>
      </c>
      <c r="B68" s="0" t="s">
        <v>953</v>
      </c>
      <c r="C68" s="0" t="s">
        <v>637</v>
      </c>
      <c r="D68" s="0" t="s">
        <v>653</v>
      </c>
      <c r="E68" s="0" t="s">
        <v>793</v>
      </c>
      <c r="F68" s="0" t="s">
        <v>693</v>
      </c>
      <c r="G68" s="0" t="n">
        <v>28</v>
      </c>
      <c r="H68" s="0" t="n">
        <v>31.72</v>
      </c>
      <c r="I68" s="10" t="n">
        <v>0.6853</v>
      </c>
      <c r="J68" s="10" t="n">
        <v>0.2635</v>
      </c>
      <c r="K68" s="9" t="s">
        <v>1672</v>
      </c>
      <c r="L68" s="9" t="s">
        <v>1675</v>
      </c>
      <c r="M68" s="0" t="n">
        <v>29.44</v>
      </c>
      <c r="N68" s="10" t="n">
        <v>0.5</v>
      </c>
      <c r="O68" s="19"/>
      <c r="P68" s="0" t="str">
        <f aca="false">IF(O68="","",IF(O68&gt;G68,"OVER",IF(O68&lt;G68,"UNDER","PUSH")))</f>
        <v/>
      </c>
      <c r="Q68" s="0" t="n">
        <v>31.72</v>
      </c>
      <c r="R68" s="10" t="n">
        <v>0.6853</v>
      </c>
      <c r="S68" s="0" t="n">
        <v>1</v>
      </c>
      <c r="T68" s="0" t="n">
        <v>32.11</v>
      </c>
      <c r="U68" s="0" t="n">
        <v>32.11</v>
      </c>
    </row>
    <row r="69" customFormat="false" ht="15" hidden="false" customHeight="false" outlineLevel="0" collapsed="false">
      <c r="A69" s="0" t="s">
        <v>955</v>
      </c>
      <c r="B69" s="0" t="s">
        <v>953</v>
      </c>
      <c r="C69" s="0" t="s">
        <v>637</v>
      </c>
      <c r="D69" s="0" t="s">
        <v>653</v>
      </c>
      <c r="E69" s="0" t="s">
        <v>795</v>
      </c>
      <c r="F69" s="0" t="s">
        <v>693</v>
      </c>
      <c r="G69" s="0" t="n">
        <v>27.5</v>
      </c>
      <c r="H69" s="0" t="n">
        <v>27.46</v>
      </c>
      <c r="I69" s="10" t="n">
        <v>0.4972</v>
      </c>
      <c r="J69" s="10" t="n">
        <v>0.5028</v>
      </c>
      <c r="K69" s="9" t="s">
        <v>1672</v>
      </c>
      <c r="L69" s="9" t="s">
        <v>1675</v>
      </c>
      <c r="N69" s="10" t="n">
        <v>0.6</v>
      </c>
      <c r="O69" s="19"/>
      <c r="P69" s="0" t="str">
        <f aca="false">IF(O69="","",IF(O69&gt;G69,"OVER",IF(O69&lt;G69,"UNDER","PUSH")))</f>
        <v/>
      </c>
      <c r="Q69" s="0" t="n">
        <v>27.46</v>
      </c>
      <c r="R69" s="10" t="n">
        <v>0.4972</v>
      </c>
      <c r="S69" s="0" t="n">
        <v>1</v>
      </c>
      <c r="T69" s="0" t="n">
        <v>29.97</v>
      </c>
      <c r="U69" s="0" t="n">
        <v>29.97</v>
      </c>
    </row>
    <row r="70" customFormat="false" ht="15" hidden="false" customHeight="false" outlineLevel="0" collapsed="false">
      <c r="A70" s="0" t="s">
        <v>955</v>
      </c>
      <c r="B70" s="0" t="s">
        <v>953</v>
      </c>
      <c r="C70" s="0" t="s">
        <v>637</v>
      </c>
      <c r="D70" s="0" t="s">
        <v>653</v>
      </c>
      <c r="E70" s="0" t="s">
        <v>797</v>
      </c>
      <c r="F70" s="0" t="s">
        <v>693</v>
      </c>
      <c r="G70" s="0" t="n">
        <v>30.5</v>
      </c>
      <c r="H70" s="0" t="n">
        <v>35.26</v>
      </c>
      <c r="I70" s="10" t="n">
        <v>0.7508</v>
      </c>
      <c r="J70" s="10" t="n">
        <v>0.2492</v>
      </c>
      <c r="K70" s="9" t="s">
        <v>1672</v>
      </c>
      <c r="L70" s="9" t="s">
        <v>1675</v>
      </c>
      <c r="M70" s="0" t="n">
        <v>29.82</v>
      </c>
      <c r="N70" s="10" t="n">
        <v>0.7</v>
      </c>
      <c r="O70" s="19"/>
      <c r="P70" s="0" t="str">
        <f aca="false">IF(O70="","",IF(O70&gt;G70,"OVER",IF(O70&lt;G70,"UNDER","PUSH")))</f>
        <v/>
      </c>
      <c r="Q70" s="0" t="n">
        <v>35.26</v>
      </c>
      <c r="R70" s="10" t="n">
        <v>0.7508</v>
      </c>
      <c r="S70" s="0" t="n">
        <v>1</v>
      </c>
      <c r="T70" s="0" t="n">
        <v>33.83</v>
      </c>
      <c r="U70" s="0" t="n">
        <v>33.83</v>
      </c>
    </row>
    <row r="71" customFormat="false" ht="15" hidden="false" customHeight="false" outlineLevel="0" collapsed="false">
      <c r="A71" s="0" t="s">
        <v>955</v>
      </c>
      <c r="B71" s="0" t="s">
        <v>953</v>
      </c>
      <c r="C71" s="0" t="s">
        <v>637</v>
      </c>
      <c r="D71" s="0" t="s">
        <v>653</v>
      </c>
      <c r="E71" s="0" t="s">
        <v>799</v>
      </c>
      <c r="F71" s="0" t="s">
        <v>693</v>
      </c>
      <c r="G71" s="0" t="n">
        <v>25.5</v>
      </c>
      <c r="H71" s="0" t="n">
        <v>26.8</v>
      </c>
      <c r="I71" s="10" t="n">
        <v>0.5839</v>
      </c>
      <c r="J71" s="10" t="n">
        <v>0.4161</v>
      </c>
      <c r="K71" s="9" t="s">
        <v>1672</v>
      </c>
      <c r="L71" s="9" t="s">
        <v>1675</v>
      </c>
      <c r="M71" s="0" t="n">
        <v>25.94</v>
      </c>
      <c r="N71" s="10" t="n">
        <v>0.8</v>
      </c>
      <c r="O71" s="19"/>
      <c r="P71" s="0" t="str">
        <f aca="false">IF(O71="","",IF(O71&gt;G71,"OVER",IF(O71&lt;G71,"UNDER","PUSH")))</f>
        <v/>
      </c>
      <c r="Q71" s="0" t="n">
        <v>26.8</v>
      </c>
      <c r="R71" s="10" t="n">
        <v>0.5839</v>
      </c>
      <c r="S71" s="0" t="n">
        <v>1</v>
      </c>
      <c r="T71" s="0" t="n">
        <v>28.69</v>
      </c>
      <c r="U71" s="0" t="n">
        <v>28.69</v>
      </c>
    </row>
    <row r="72" customFormat="false" ht="15" hidden="false" customHeight="false" outlineLevel="0" collapsed="false">
      <c r="A72" s="0" t="s">
        <v>955</v>
      </c>
      <c r="B72" s="0" t="s">
        <v>953</v>
      </c>
      <c r="C72" s="0" t="s">
        <v>637</v>
      </c>
      <c r="D72" s="0" t="s">
        <v>653</v>
      </c>
      <c r="E72" s="0" t="s">
        <v>801</v>
      </c>
      <c r="F72" s="0" t="s">
        <v>693</v>
      </c>
      <c r="G72" s="0" t="n">
        <v>31.5</v>
      </c>
      <c r="H72" s="0" t="n">
        <v>33.54</v>
      </c>
      <c r="I72" s="10" t="n">
        <v>0.6173</v>
      </c>
      <c r="J72" s="10" t="n">
        <v>0.3827</v>
      </c>
      <c r="K72" s="9" t="s">
        <v>1672</v>
      </c>
      <c r="L72" s="9" t="s">
        <v>1675</v>
      </c>
      <c r="M72" s="0" t="n">
        <v>32.58</v>
      </c>
      <c r="N72" s="10" t="n">
        <v>0.4</v>
      </c>
      <c r="O72" s="19"/>
      <c r="P72" s="0" t="str">
        <f aca="false">IF(O72="","",IF(O72&gt;G72,"OVER",IF(O72&lt;G72,"UNDER","PUSH")))</f>
        <v/>
      </c>
      <c r="Q72" s="0" t="n">
        <v>33.54</v>
      </c>
      <c r="R72" s="10" t="n">
        <v>0.6173</v>
      </c>
      <c r="S72" s="0" t="n">
        <v>1</v>
      </c>
      <c r="T72" s="0" t="n">
        <v>31.26</v>
      </c>
      <c r="U72" s="0" t="n">
        <v>31.26</v>
      </c>
    </row>
    <row r="73" customFormat="false" ht="15" hidden="false" customHeight="false" outlineLevel="0" collapsed="false">
      <c r="A73" s="0" t="s">
        <v>955</v>
      </c>
      <c r="B73" s="0" t="s">
        <v>953</v>
      </c>
      <c r="C73" s="0" t="s">
        <v>637</v>
      </c>
      <c r="D73" s="0" t="s">
        <v>653</v>
      </c>
      <c r="E73" s="0" t="s">
        <v>803</v>
      </c>
      <c r="F73" s="0" t="s">
        <v>693</v>
      </c>
      <c r="G73" s="0" t="n">
        <v>28</v>
      </c>
      <c r="H73" s="0" t="n">
        <v>27.7</v>
      </c>
      <c r="I73" s="10" t="n">
        <v>0.4489</v>
      </c>
      <c r="J73" s="10" t="n">
        <v>0.4872</v>
      </c>
      <c r="K73" s="9" t="s">
        <v>1672</v>
      </c>
      <c r="L73" s="9" t="s">
        <v>1675</v>
      </c>
      <c r="M73" s="0" t="n">
        <v>28.58</v>
      </c>
      <c r="N73" s="10" t="n">
        <v>0.4</v>
      </c>
      <c r="O73" s="19"/>
      <c r="P73" s="0" t="str">
        <f aca="false">IF(O73="","",IF(O73&gt;G73,"OVER",IF(O73&lt;G73,"UNDER","PUSH")))</f>
        <v/>
      </c>
      <c r="Q73" s="0" t="n">
        <v>27.7</v>
      </c>
      <c r="R73" s="10" t="n">
        <v>0.4489</v>
      </c>
      <c r="S73" s="0" t="n">
        <v>1</v>
      </c>
      <c r="T73" s="0" t="n">
        <v>28.69</v>
      </c>
      <c r="U73" s="0" t="n">
        <v>28.69</v>
      </c>
    </row>
    <row r="74" customFormat="false" ht="15" hidden="false" customHeight="false" outlineLevel="0" collapsed="false">
      <c r="A74" s="0" t="s">
        <v>955</v>
      </c>
      <c r="B74" s="0" t="s">
        <v>953</v>
      </c>
      <c r="C74" s="0" t="s">
        <v>637</v>
      </c>
      <c r="D74" s="0" t="s">
        <v>653</v>
      </c>
      <c r="E74" s="0" t="s">
        <v>805</v>
      </c>
      <c r="F74" s="0" t="s">
        <v>693</v>
      </c>
      <c r="G74" s="0" t="n">
        <v>24.5</v>
      </c>
      <c r="H74" s="0" t="n">
        <v>24.1</v>
      </c>
      <c r="I74" s="10" t="n">
        <v>0.4723</v>
      </c>
      <c r="J74" s="10" t="n">
        <v>0.5277</v>
      </c>
      <c r="K74" s="9" t="s">
        <v>1672</v>
      </c>
      <c r="L74" s="9" t="s">
        <v>1675</v>
      </c>
      <c r="M74" s="0" t="n">
        <v>25.46</v>
      </c>
      <c r="N74" s="10" t="n">
        <v>0.4</v>
      </c>
      <c r="O74" s="19"/>
      <c r="P74" s="0" t="str">
        <f aca="false">IF(O74="","",IF(O74&gt;G74,"OVER",IF(O74&lt;G74,"UNDER","PUSH")))</f>
        <v/>
      </c>
      <c r="Q74" s="0" t="n">
        <v>24.1</v>
      </c>
      <c r="R74" s="10" t="n">
        <v>0.4723</v>
      </c>
      <c r="S74" s="0" t="n">
        <v>1</v>
      </c>
      <c r="T74" s="0" t="n">
        <v>24.41</v>
      </c>
      <c r="U74" s="0" t="n">
        <v>24.41</v>
      </c>
    </row>
    <row r="75" customFormat="false" ht="15" hidden="false" customHeight="false" outlineLevel="0" collapsed="false">
      <c r="A75" s="0" t="s">
        <v>955</v>
      </c>
      <c r="B75" s="0" t="s">
        <v>953</v>
      </c>
      <c r="C75" s="0" t="s">
        <v>637</v>
      </c>
      <c r="D75" s="0" t="s">
        <v>653</v>
      </c>
      <c r="E75" s="0" t="s">
        <v>807</v>
      </c>
      <c r="F75" s="0" t="s">
        <v>693</v>
      </c>
      <c r="G75" s="0" t="n">
        <v>35.5</v>
      </c>
      <c r="H75" s="0" t="n">
        <v>32.33</v>
      </c>
      <c r="I75" s="10" t="n">
        <v>0.3189</v>
      </c>
      <c r="J75" s="10" t="n">
        <v>0.6811</v>
      </c>
      <c r="K75" s="9" t="s">
        <v>1672</v>
      </c>
      <c r="L75" s="9" t="s">
        <v>1675</v>
      </c>
      <c r="M75" s="0" t="n">
        <v>37.95</v>
      </c>
      <c r="N75" s="10" t="n">
        <v>0.4</v>
      </c>
      <c r="O75" s="19"/>
      <c r="P75" s="0" t="str">
        <f aca="false">IF(O75="","",IF(O75&gt;G75,"OVER",IF(O75&lt;G75,"UNDER","PUSH")))</f>
        <v/>
      </c>
      <c r="Q75" s="0" t="n">
        <v>32.33</v>
      </c>
      <c r="R75" s="10" t="n">
        <v>0.3189</v>
      </c>
      <c r="S75" s="0" t="n">
        <v>1</v>
      </c>
      <c r="T75" s="0" t="n">
        <v>33.4</v>
      </c>
      <c r="U75" s="0" t="n">
        <v>33.4</v>
      </c>
    </row>
    <row r="76" customFormat="false" ht="15" hidden="false" customHeight="false" outlineLevel="0" collapsed="false">
      <c r="A76" s="0" t="s">
        <v>955</v>
      </c>
      <c r="B76" s="0" t="s">
        <v>953</v>
      </c>
      <c r="C76" s="0" t="s">
        <v>637</v>
      </c>
      <c r="D76" s="0" t="s">
        <v>653</v>
      </c>
      <c r="E76" s="0" t="s">
        <v>809</v>
      </c>
      <c r="F76" s="0" t="s">
        <v>693</v>
      </c>
      <c r="G76" s="0" t="n">
        <v>27.5</v>
      </c>
      <c r="H76" s="0" t="n">
        <v>28.3</v>
      </c>
      <c r="I76" s="10" t="n">
        <v>0.5508</v>
      </c>
      <c r="J76" s="10" t="n">
        <v>0.4492</v>
      </c>
      <c r="K76" s="9" t="s">
        <v>1672</v>
      </c>
      <c r="L76" s="9" t="s">
        <v>1675</v>
      </c>
      <c r="M76" s="0" t="n">
        <v>27.69</v>
      </c>
      <c r="N76" s="10" t="n">
        <v>0.3</v>
      </c>
      <c r="O76" s="19"/>
      <c r="P76" s="0" t="str">
        <f aca="false">IF(O76="","",IF(O76&gt;G76,"OVER",IF(O76&lt;G76,"UNDER","PUSH")))</f>
        <v/>
      </c>
      <c r="Q76" s="0" t="n">
        <v>28.3</v>
      </c>
      <c r="R76" s="10" t="n">
        <v>0.5508</v>
      </c>
      <c r="S76" s="0" t="n">
        <v>1</v>
      </c>
      <c r="T76" s="0" t="n">
        <v>27.4</v>
      </c>
      <c r="U76" s="0" t="n">
        <v>27.4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12" t="s">
        <v>1676</v>
      </c>
      <c r="B1" s="12" t="s">
        <v>1661</v>
      </c>
    </row>
    <row r="2" customFormat="false" ht="15" hidden="false" customHeight="false" outlineLevel="0" collapsed="false">
      <c r="A2" s="0" t="s">
        <v>1677</v>
      </c>
      <c r="B2" s="0" t="n">
        <v>75</v>
      </c>
    </row>
    <row r="3" customFormat="false" ht="15" hidden="false" customHeight="false" outlineLevel="0" collapsed="false">
      <c r="A3" s="0" t="s">
        <v>1678</v>
      </c>
      <c r="B3" s="0" t="n">
        <v>55</v>
      </c>
    </row>
    <row r="4" customFormat="false" ht="15" hidden="false" customHeight="false" outlineLevel="0" collapsed="false">
      <c r="A4" s="0" t="s">
        <v>1679</v>
      </c>
      <c r="B4" s="0" t="s">
        <v>1680</v>
      </c>
    </row>
    <row r="5" customFormat="false" ht="15" hidden="false" customHeight="false" outlineLevel="0" collapsed="false">
      <c r="A5" s="0" t="s">
        <v>1681</v>
      </c>
      <c r="B5" s="0" t="n">
        <v>0</v>
      </c>
    </row>
    <row r="6" customFormat="false" ht="15" hidden="false" customHeight="false" outlineLevel="0" collapsed="false">
      <c r="A6" s="0" t="s">
        <v>1682</v>
      </c>
      <c r="B6" s="0" t="s">
        <v>1683</v>
      </c>
    </row>
    <row r="7" customFormat="false" ht="15" hidden="false" customHeight="false" outlineLevel="0" collapsed="false">
      <c r="A7" s="0" t="s">
        <v>1684</v>
      </c>
      <c r="B7" s="0" t="n">
        <v>5</v>
      </c>
    </row>
    <row r="8" customFormat="false" ht="15" hidden="false" customHeight="false" outlineLevel="0" collapsed="false">
      <c r="A8" s="0" t="s">
        <v>1685</v>
      </c>
      <c r="B8" s="0" t="n">
        <v>5</v>
      </c>
    </row>
    <row r="9" customFormat="false" ht="15" hidden="false" customHeight="false" outlineLevel="0" collapsed="false">
      <c r="A9" s="0" t="s">
        <v>1686</v>
      </c>
      <c r="B9" s="0" t="n">
        <v>0</v>
      </c>
    </row>
    <row r="10" customFormat="false" ht="15" hidden="false" customHeight="false" outlineLevel="0" collapsed="false">
      <c r="A10" s="0" t="s">
        <v>1687</v>
      </c>
      <c r="B10" s="0" t="n">
        <v>28</v>
      </c>
    </row>
    <row r="11" customFormat="false" ht="15" hidden="false" customHeight="false" outlineLevel="0" collapsed="false">
      <c r="A11" s="0" t="s">
        <v>1688</v>
      </c>
      <c r="B11" s="0" t="n">
        <f aca="false">SUMPRODUCT(--ISERROR(Projections!G2:L76))</f>
        <v>0</v>
      </c>
    </row>
    <row r="12" customFormat="false" ht="15" hidden="false" customHeight="false" outlineLevel="0" collapsed="false">
      <c r="A12" s="0" t="s">
        <v>1689</v>
      </c>
      <c r="B12" s="0" t="n">
        <f aca="false">COUNTBLANK(Projections!G2:G76)</f>
        <v>0</v>
      </c>
    </row>
    <row r="13" customFormat="false" ht="15" hidden="false" customHeight="false" outlineLevel="0" collapsed="false">
      <c r="A13" s="0" t="s">
        <v>1690</v>
      </c>
      <c r="B13" s="0" t="n">
        <f aca="false">SUMPRODUCT(--ISERROR(Calc!A2:BK56))</f>
        <v>0</v>
      </c>
    </row>
    <row r="14" customFormat="false" ht="15" hidden="false" customHeight="false" outlineLevel="0" collapsed="false">
      <c r="A14" s="0" t="s">
        <v>1691</v>
      </c>
      <c r="B14" s="0" t="n">
        <f aca="false">SUMPRODUCT(MAX(ABS(N(+Projections!G2:G76)-N(+Log!H2:H76))))</f>
        <v>0.00499341563785904</v>
      </c>
    </row>
    <row r="15" customFormat="false" ht="15" hidden="false" customHeight="false" outlineLevel="0" collapsed="false">
      <c r="A15" s="0" t="s">
        <v>1692</v>
      </c>
      <c r="B15" s="0" t="n">
        <f aca="false">SUMPRODUCT(MAX(ABS(N(+Projections!Z2:Z76)-N(+Log!Q2:Q76))))</f>
        <v>0.00499341563785904</v>
      </c>
    </row>
    <row r="16" customFormat="false" ht="15" hidden="false" customHeight="false" outlineLevel="0" collapsed="false">
      <c r="A16" s="0" t="s">
        <v>1693</v>
      </c>
      <c r="B16" s="0" t="n">
        <f aca="false">SUMPRODUCT(--ISERROR(Matches!A5:BB12))</f>
        <v>0</v>
      </c>
    </row>
    <row r="17" customFormat="false" ht="15" hidden="false" customHeight="false" outlineLevel="0" collapsed="false">
      <c r="A17" s="0" t="s">
        <v>1694</v>
      </c>
      <c r="B17" s="0" t="n">
        <v>4</v>
      </c>
    </row>
    <row r="18" customFormat="false" ht="15" hidden="false" customHeight="false" outlineLevel="0" collapsed="false">
      <c r="A18" s="0" t="s">
        <v>1695</v>
      </c>
      <c r="B18" s="0" t="s">
        <v>1696</v>
      </c>
    </row>
    <row r="19" customFormat="false" ht="15" hidden="false" customHeight="false" outlineLevel="0" collapsed="false">
      <c r="A19" s="0" t="s">
        <v>1695</v>
      </c>
      <c r="B19" s="0" t="s">
        <v>1697</v>
      </c>
    </row>
    <row r="20" customFormat="false" ht="15" hidden="false" customHeight="false" outlineLevel="0" collapsed="false">
      <c r="A20" s="0" t="s">
        <v>1695</v>
      </c>
      <c r="B20" s="0" t="s">
        <v>1698</v>
      </c>
    </row>
    <row r="21" customFormat="false" ht="15" hidden="false" customHeight="false" outlineLevel="0" collapsed="false">
      <c r="A21" s="0" t="s">
        <v>1695</v>
      </c>
      <c r="B21" s="0" t="s">
        <v>1699</v>
      </c>
    </row>
    <row r="22" customFormat="false" ht="15" hidden="false" customHeight="false" outlineLevel="0" collapsed="false">
      <c r="A22" s="0" t="s">
        <v>1695</v>
      </c>
      <c r="B22" s="0" t="s">
        <v>1700</v>
      </c>
    </row>
    <row r="23" customFormat="false" ht="15" hidden="false" customHeight="false" outlineLevel="0" collapsed="false">
      <c r="A23" s="0" t="s">
        <v>1695</v>
      </c>
      <c r="B23" s="0" t="s">
        <v>1701</v>
      </c>
    </row>
    <row r="24" customFormat="false" ht="15" hidden="false" customHeight="false" outlineLevel="0" collapsed="false">
      <c r="A24" s="0" t="s">
        <v>1695</v>
      </c>
      <c r="B24" s="0" t="s">
        <v>1702</v>
      </c>
    </row>
    <row r="25" customFormat="false" ht="15" hidden="false" customHeight="false" outlineLevel="0" collapsed="false">
      <c r="A25" s="0" t="s">
        <v>1695</v>
      </c>
      <c r="B25" s="0" t="s">
        <v>1703</v>
      </c>
    </row>
    <row r="26" customFormat="false" ht="15" hidden="false" customHeight="false" outlineLevel="0" collapsed="false">
      <c r="A26" s="0" t="s">
        <v>1695</v>
      </c>
      <c r="B26" s="0" t="s">
        <v>1704</v>
      </c>
    </row>
    <row r="27" customFormat="false" ht="15" hidden="false" customHeight="false" outlineLevel="0" collapsed="false">
      <c r="A27" s="0" t="s">
        <v>1695</v>
      </c>
      <c r="B27" s="0" t="s">
        <v>1705</v>
      </c>
    </row>
    <row r="28" customFormat="false" ht="15" hidden="false" customHeight="false" outlineLevel="0" collapsed="false">
      <c r="A28" s="0" t="s">
        <v>1695</v>
      </c>
      <c r="B28" s="0" t="s">
        <v>1706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2026-10-23T01:49:31Z</dcterms:created>
  <dc:creator>openpyxl</dc:creator>
  <dc:description/>
  <dc:language>en-US</dc:language>
  <cp:lastModifiedBy/>
  <dcterms:modified xsi:type="dcterms:W3CDTF">2026-10-23T01:49:31Z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