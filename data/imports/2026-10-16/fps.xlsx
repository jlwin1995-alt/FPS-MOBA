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atch_Intel" sheetId="2" r:id="rId6"/>
    <sheet state="visible" name="Board" sheetId="3" r:id="rId7"/>
    <sheet state="visible" name="Matches" sheetId="4" r:id="rId8"/>
    <sheet state="visible" name="Projections" sheetId="5" r:id="rId9"/>
    <sheet state="visible" name="Calc" sheetId="6" r:id="rId10"/>
    <sheet state="visible" name="Config" sheetId="7" r:id="rId11"/>
    <sheet state="visible" name="Players" sheetId="8" r:id="rId12"/>
    <sheet state="visible" name="Map_Stats" sheetId="9" r:id="rId13"/>
    <sheet state="visible" name="Book_Props" sheetId="10" r:id="rId14"/>
    <sheet state="visible" name="Round_Ladders" sheetId="11" r:id="rId15"/>
    <sheet state="visible" name="HLTV_Teams" sheetId="12" r:id="rId16"/>
    <sheet state="visible" name="HLTV_Long" sheetId="13" r:id="rId17"/>
    <sheet state="visible" name="HLTV_Veto" sheetId="14" r:id="rId18"/>
    <sheet state="visible" name="Log" sheetId="15" r:id="rId19"/>
    <sheet state="visible" name="Data_Checks" sheetId="16" r:id="rId20"/>
  </sheets>
  <definedNames>
    <definedName hidden="1" localSheetId="4" name="_xlnm._FilterDatabase">Projections!$A$1:$AE$282</definedName>
    <definedName hidden="1" localSheetId="7" name="_xlnm._FilterDatabase">Players!$A$1:$O$127</definedName>
    <definedName hidden="1" localSheetId="8" name="_xlnm._FilterDatabase">Map_Stats!$A$1:$K$825</definedName>
    <definedName hidden="1" localSheetId="13" name="_xlnm._FilterDatabase">HLTV_Veto!$A$1:$G$225</definedName>
  </definedNames>
  <calcPr/>
</workbook>
</file>

<file path=xl/sharedStrings.xml><?xml version="1.0" encoding="utf-8"?>
<sst xmlns="http://schemas.openxmlformats.org/spreadsheetml/2006/main" count="15084" uniqueCount="3296">
  <si>
    <t>Board</t>
  </si>
  <si>
    <t>FPS Player Model — CS2 + Valorant</t>
  </si>
  <si>
    <t>Matches — pick the maps and rounds for every match in the shaded columns</t>
  </si>
  <si>
    <t>Match Intel — 2026-10-16</t>
  </si>
  <si>
    <t>Match:</t>
  </si>
  <si>
    <t>Prefilled: maps from PickFinder Map Picks (#1, #2, #3), rounds from Thunderpick "Total Rounds - Map k" (devigged 50% crossing). Overwrite any shaded cell; Calc, Projections and Board follow instantly.</t>
  </si>
  <si>
    <t>Kills and headshot projections built map by map: per-map KPR × the rounds you expect on that map.</t>
  </si>
  <si>
    <t>CS2 · EF vs BCA</t>
  </si>
  <si>
    <t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</si>
  <si>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>Slate 2026-10-16 · 281 board legs · 18 matches</t>
  </si>
  <si>
    <t>Match</t>
  </si>
  <si>
    <t>HOW TO USE</t>
  </si>
  <si>
    <t>Teams</t>
  </si>
  <si>
    <t>VAL · VIT vs LOUD   |   06:00 UTC   |   Bo3   |   Win: VIT 47% – LOUD 53%   |   2-0 24% · 2-1 23% · 1-2 26% · 0-2 27%</t>
  </si>
  <si>
    <t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</si>
  <si>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>Title</t>
  </si>
  <si>
    <t>Start (CT)</t>
  </si>
  <si>
    <t>Bo</t>
  </si>
  <si>
    <t>Team A</t>
  </si>
  <si>
    <t>Team B</t>
  </si>
  <si>
    <t>2. Board tab: pick a match in the shaded cell B2. Both rosters load, ranked by projected Maps 1-2 kills, with the PrizePicks line, the model's P(over), Thunderpick's own kill-line median and PickFinder's L10 beside it.</t>
  </si>
  <si>
    <t>P(A wins)</t>
  </si>
  <si>
    <t>P(A 2-0)</t>
  </si>
  <si>
    <t>P(B 2-0)</t>
  </si>
  <si>
    <t>P(3 maps)</t>
  </si>
  <si>
    <t>3. Projections tab: every leg on the board (Maps 1-2, Map 1, Map 2 — kills and HS), filterable.</t>
  </si>
  <si>
    <t>Map pick #1</t>
  </si>
  <si>
    <t>Map pick #2</t>
  </si>
  <si>
    <t>Map pick #3</t>
  </si>
  <si>
    <t>Picks from</t>
  </si>
  <si>
    <t>4. Log tab: the same projections frozen as values at default settings when the sheet was built. Type the result in Actual after settlement; Result fills itself. This is the forward record the model does not yet have.</t>
  </si>
  <si>
    <t>TP rounds M1</t>
  </si>
  <si>
    <t>TP rounds M2</t>
  </si>
  <si>
    <t>TP rounds M3</t>
  </si>
  <si>
    <t>THE MODEL, IN FOUR LINES</t>
  </si>
  <si>
    <t>P(OT) M1</t>
  </si>
  <si>
    <t>A margin M1</t>
  </si>
  <si>
    <t>A rounds M1</t>
  </si>
  <si>
    <t>Per-map KPR = (n × map KPR + SHRINK_MAPS × overall KPR) ÷ (n + SHRINK_MAPS), n = maps the player has on that map in PickFinder's sample. A map he has never played uses his overall KPR.</t>
  </si>
  <si>
    <t>B rounds M1</t>
  </si>
  <si>
    <t>TP markets</t>
  </si>
  <si>
    <t>Map 1</t>
  </si>
  <si>
    <t>Map 2</t>
  </si>
  <si>
    <t>Map 3</t>
  </si>
  <si>
    <t>Kills on map k = per-map KPR × rounds on map k.  Maps 1-2 = map 1 + map 2.  Maps 1-3 = maps 1-2 + P(map 3) × map 3.</t>
  </si>
  <si>
    <t>Rounds M1</t>
  </si>
  <si>
    <t>Rounds M2</t>
  </si>
  <si>
    <t>HS on map k = kills on map k × per-map HS%, shrunk the same way.  (CS2 only — PickFinder posts no Valorant HS%.)</t>
  </si>
  <si>
    <t>Rounds M3</t>
  </si>
  <si>
    <t>P(map 3) used</t>
  </si>
  <si>
    <t>P(over) = normal approximation with variance = KILLS_DISPERSION × projection, continuity-corrected, so a whole-number line shows its push probability separately.</t>
  </si>
  <si>
    <t>Tag A</t>
  </si>
  <si>
    <t>Tag B</t>
  </si>
  <si>
    <t>P(A map 1)</t>
  </si>
  <si>
    <t>P(A map 2)</t>
  </si>
  <si>
    <t>WHERE EACH NUMBER COMES FROM</t>
  </si>
  <si>
    <t>P(A map 3)</t>
  </si>
  <si>
    <t>A hist share</t>
  </si>
  <si>
    <t>B hist share</t>
  </si>
  <si>
    <t>HLTV cA M1</t>
  </si>
  <si>
    <t>PickFinder → Player Stats panel (Map Stats): maps played, kills/map, KPR, HS%, K/D per map; the Per Round toggle gives overall Kills/Round. Same page → Maps panel: Map Picks likelihood for the matchup. /props: lines and L5/L10/L15/H2H/streak.</t>
  </si>
  <si>
    <t>HLTV cB M1</t>
  </si>
  <si>
    <t>HLTV src M1</t>
  </si>
  <si>
    <t>HLTV rounds M1</t>
  </si>
  <si>
    <t>HLTV A margin M1</t>
  </si>
  <si>
    <t>HLTV A share M1</t>
  </si>
  <si>
    <t>HLTV cA M2</t>
  </si>
  <si>
    <t>HLTV cB M2</t>
  </si>
  <si>
    <t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</si>
  <si>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>HLTV src M2</t>
  </si>
  <si>
    <t>HLTV rounds M2</t>
  </si>
  <si>
    <t>HLTV A margin M2</t>
  </si>
  <si>
    <t>HLTV A share M2</t>
  </si>
  <si>
    <t>Valorant: PickFinder gives per-map KILLS but not per-map KPR. The sheet converts with the player's average map length (Kills/Map ÷ Kills/Round), i.e. it assumes his maps run equally long. CS2 uses PickFinder's own KPR.</t>
  </si>
  <si>
    <t>Team Vitality (VIT)</t>
  </si>
  <si>
    <t>HLTV cA M3</t>
  </si>
  <si>
    <t>HLTV cB M3</t>
  </si>
  <si>
    <t>HLTV src M3</t>
  </si>
  <si>
    <t>LOUD (LOUD)</t>
  </si>
  <si>
    <t>HLTV rounds M3</t>
  </si>
  <si>
    <t>HLTV → /betting/analytics/&lt;match&gt;: per team and per map, average rounds lost in wins and rounds won in losses; series-score distribution and overtime % (3 months); veto stats (first pick, first ban, win %, played).</t>
  </si>
  <si>
    <t>HLTV A margin M3</t>
  </si>
  <si>
    <t>HLTV A share M3</t>
  </si>
  <si>
    <t>Rank (vlr)</t>
  </si>
  <si>
    <t>ROUND-DIFFERENTIAL LAYER (CS2) — the "adj" columns</t>
  </si>
  <si>
    <t>Current Rank 1 Europe · Rating 2052 · Record 31W 15L</t>
  </si>
  <si>
    <t>CS2</t>
  </si>
  <si>
    <t>Fri 03:00</t>
  </si>
  <si>
    <t>Current Rank 1 Brazil · Rating 2004 · Record 79W 48L</t>
  </si>
  <si>
    <t>Eternal Fire (EF)</t>
  </si>
  <si>
    <t>A team scores ~4.76 kills per round it WINS and ~1.82 per round it LOSES. A player's KPR was earned at his team's historical round share; tonight he plays at a different one. Adj kills = kills × (a·s + b·(1−s)) ÷ (a·s_hist + b·(1−s_hist)).</t>
  </si>
  <si>
    <t>Apogee Esports (BCA)</t>
  </si>
  <si>
    <t>Last 10 series: maps W-L</t>
  </si>
  <si>
    <t>16-10</t>
  </si>
  <si>
    <t>18-10</t>
  </si>
  <si>
    <t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</si>
  <si>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>Avg margin in wins / losses</t>
  </si>
  <si>
    <t>Ancient 29%</t>
  </si>
  <si>
    <t>Anubis 24%</t>
  </si>
  <si>
    <t>+4.8 / -4.0</t>
  </si>
  <si>
    <t>Cache 22%</t>
  </si>
  <si>
    <t>PF Map Picks</t>
  </si>
  <si>
    <t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</si>
  <si>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>+5.7 / -4.3</t>
  </si>
  <si>
    <t>READ THIS BEFORE TRUSTING A NUMBER</t>
  </si>
  <si>
    <t>Stomps for / against (8+)</t>
  </si>
  <si>
    <t>1 / 2</t>
  </si>
  <si>
    <t>5 / 2</t>
  </si>
  <si>
    <t>Pistols</t>
  </si>
  <si>
    <t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</si>
  <si>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>Ancient</t>
  </si>
  <si>
    <t>not available from vlr summary pages</t>
  </si>
  <si>
    <t>Anubis</t>
  </si>
  <si>
    <t>Cache</t>
  </si>
  <si>
    <t>Round differential — who wins the rounds — is the largest effect in the record (+34 points over-rate gap). The base projection ignores it; the adj columns are the first attempt at a pre-game handle and are not yet tested.</t>
  </si>
  <si>
    <t>Kill share (last 10 series, all maps)</t>
  </si>
  <si>
    <t>10 series · 26 maps · team 81.3 kills/map
Derke 21.2% (17.3/map)
Chronicle 20.9% (17.0/map)
Jamppi 20.4% (16.6/map)
Sayonara 20.1% (16.4/map)
PROFEK 17.4% (14.1/map)</t>
  </si>
  <si>
    <t>10 series · 28 maps · team 76.1 kills/map
lukxo 25.2% (19.1/map)
erde 22.2% (16.9/map)
tkzin 20.8% (15.8/map)
Darker 16.6% (12.6/map)
DaviH 15.2% (11.6/map)</t>
  </si>
  <si>
    <t>Per-map samples are small (3–9 maps). Shrinkage is why a 3-map Nuke at 0.95 does not become the projection. Model side and P(over) are PAPER columns: an ordering, not an edge, until the Log says otherwise.</t>
  </si>
  <si>
    <t>Last 5 series</t>
  </si>
  <si>
    <t>EF</t>
  </si>
  <si>
    <t>Map Picks shares sum to ~100% across maps; they are PickFinder's likelihood for a map appearing, not the veto. The decider and map order are only known after veto — confirm Map 1 / Map 2 before lock.</t>
  </si>
  <si>
    <t>BCA</t>
  </si>
  <si>
    <t>2026-10-10  G2 Esports vs Team Vitality  Abyss:11-13:P,Split:4-13:P
2026-10-08  Team Vitality vs Nongshim RedForce  Split:13-8:P,Abyss:4-13:P,Haven:14-12:
2026-09-30  Team Vitality vs LOUD  Ascent:13-7:P,Summit:19-17:P
2026-09-26  Global Esports vs Team Vitality  Abyss:10-13:P,Ascent:13-9:P,Summit:11-13:
2026-08-22  Team Vitality vs Fire Flux Esports  Abyss:13-11:P,Ascent:11-13:P,Split:7-13:</t>
  </si>
  <si>
    <t>Data_Checks lists every integrity identity that was run on this slate's captures and anything that failed.</t>
  </si>
  <si>
    <t>2026-10-10  NRG vs LOUD  Haven:9-13:P,Sunset:13-10:P,Summit:3-13:
2026-10-07  Paper Rex vs LOUD  Split:9-13:P,Sunset:13-15:P
2026-10-04  LOUD vs Global Esports  Split:13-8:P,Sunset:13-9:P
2026-09-30  Team Vitality vs LOUD  Ascent:13-7:P,Summit:19-17:P
2026-09-26  LOUD vs EDward Gaming  Lotus:13-8:P,Summit:13-5:P</t>
  </si>
  <si>
    <t>REFRESHING</t>
  </si>
  <si>
    <t>Recent vetoes (last 5)</t>
  </si>
  <si>
    <t>Each slate is rebuilt from fresh captures and imported over this file (File → Import → Replace spreadsheet), so the link stays the same. Your shaded edits are per slate and are replaced on the next import.</t>
  </si>
  <si>
    <t>2026-10-10 vs G2 Esports: G2 ban Summit; VIT ban Sunset; G2 pick Abyss; VIT pick Split; G2 ban Haven; VIT ban Lotus; Ascent remains
2026-10-08 vs Nongshim RedForce: NS ban Lotus; VIT ban Sunset; NS pick Split; VIT pick Abyss; NS ban Ascent; VIT ban Summit; Haven remains
2026-09-30 vs LOUD: VIT ban Sunset; LOUD ban Split; VIT pick Ascent; LOUD pick Summit; VIT ban Abyss; LOUD ban Haven; Lotus remains
2026-09-26 vs Global Esports: VIT ban Sunset; GE ban Split; VIT pick Abyss; GE pick Ascent; VIT ban Haven; GE ban Lotus; Summit remains
2026-08-22 vs Fire Flux Esports: FF ban Haven; VIT ban Sunset; FF pick Abyss; VIT pick Ascent; FF ban Summit; VIT ban Lotus; Split remains</t>
  </si>
  <si>
    <t>2026-10-10 vs NRG: NRG ban Split; LOUD ban Lotus; NRG pick Haven; LOUD pick Sunset; NRG ban Abyss; LOUD ban Ascent; Summit remains
2026-10-07 vs Paper Rex: PRX ban Abyss; LOUD ban Ascent; PRX pick Split; LOUD pick Sunset; PRX ban Haven; LOUD ban Lotus; Summit remains
2026-10-04 vs Global Esports: GE ban Lotus; LOUD ban Ascent; GE pick Split; LOUD pick Sunset; GE ban Summit; LOUD ban Haven; Abyss remains
2026-09-30 vs Team Vitality: VIT ban Sunset; LOUD ban Split; VIT pick Ascent; LOUD pick Summit; VIT ban Abyss; LOUD ban Haven; Lotus remains
2026-09-26 vs EDward Gaming: EDG ban Ascent; LOUD ban Split; EDG pick Lotus; LOUD pick Summit; EDG ban Abyss; LOUD ban Haven; Sunset remains</t>
  </si>
  <si>
    <t>Map</t>
  </si>
  <si>
    <t>PF pick %</t>
  </si>
  <si>
    <t>A maps (3 mo)</t>
  </si>
  <si>
    <t>A ATK %</t>
  </si>
  <si>
    <t>A DEF %</t>
  </si>
  <si>
    <t>B maps (3 mo)</t>
  </si>
  <si>
    <t>B ATK %</t>
  </si>
  <si>
    <t>B DEF %</t>
  </si>
  <si>
    <t>A 8+ | A 3-7 | close/OT | B 3-7 | B 8+</t>
  </si>
  <si>
    <t>E rounds</t>
  </si>
  <si>
    <t>Split</t>
  </si>
  <si>
    <t>15%</t>
  </si>
  <si>
    <t>55%</t>
  </si>
  <si>
    <t>62%</t>
  </si>
  <si>
    <t>84%</t>
  </si>
  <si>
    <t>41%</t>
  </si>
  <si>
    <t>Haven</t>
  </si>
  <si>
    <t>63%</t>
  </si>
  <si>
    <t>40%</t>
  </si>
  <si>
    <t>46%</t>
  </si>
  <si>
    <t>50%</t>
  </si>
  <si>
    <t>Summit</t>
  </si>
  <si>
    <t>43%</t>
  </si>
  <si>
    <t>69%</t>
  </si>
  <si>
    <t>56%</t>
  </si>
  <si>
    <t>Breeze</t>
  </si>
  <si>
    <t>67%</t>
  </si>
  <si>
    <t>71%</t>
  </si>
  <si>
    <t>39%</t>
  </si>
  <si>
    <t>54%</t>
  </si>
  <si>
    <t>Lotus</t>
  </si>
  <si>
    <t>47%</t>
  </si>
  <si>
    <t>58%</t>
  </si>
  <si>
    <t>49%</t>
  </si>
  <si>
    <t>Abyss</t>
  </si>
  <si>
    <t>74%</t>
  </si>
  <si>
    <t>53%</t>
  </si>
  <si>
    <t>Ascent</t>
  </si>
  <si>
    <t>57%</t>
  </si>
  <si>
    <t>48%</t>
  </si>
  <si>
    <t>30%</t>
  </si>
  <si>
    <t>Sunset</t>
  </si>
  <si>
    <t>CS2 · EF vs BCA   |   08:00 UTC   |   Bo3   |   Win: EF 64% – BCA 36%   |   2-0 34% · 2-1 30% · 1-2 19% · 0-2 17%</t>
  </si>
  <si>
    <t>Rank</t>
  </si>
  <si>
    <t>HLTV: #38 · VRS: #34</t>
  </si>
  <si>
    <t>HLTV: #71 · VRS: #55</t>
  </si>
  <si>
    <t>Last 10 maps (newest first)</t>
  </si>
  <si>
    <t>6-4   L L W L W W W W W L</t>
  </si>
  <si>
    <t>2-8   L L L W L L L L L W</t>
  </si>
  <si>
    <t>Last 10 maps, avg margin</t>
  </si>
  <si>
    <t>+1.6</t>
  </si>
  <si>
    <t>-5.0</t>
  </si>
  <si>
    <t>3 months: maps W-L</t>
  </si>
  <si>
    <t>56-32 (64%)</t>
  </si>
  <si>
    <t>23-22 (51%)</t>
  </si>
  <si>
    <t>+5.3 / -4.7</t>
  </si>
  <si>
    <t>+5.8 / -4.6</t>
  </si>
  <si>
    <t>11 / 6</t>
  </si>
  <si>
    <t>5 / 4</t>
  </si>
  <si>
    <t>Pistols (3 months)</t>
  </si>
  <si>
    <t>52.8% (93-83) · R2 conv 82.8% · R2 break 16.9%</t>
  </si>
  <si>
    <t>not captured</t>
  </si>
  <si>
    <t>Kill share (last 6 series, all maps)</t>
  </si>
  <si>
    <t>6 series · 12 maps · team 80.0 kills/map
jottAAA 23.2% (18.6/map)
soulfly 22.2% (17.8/map)
Kvem 19.1% (15.2/map)
regali 17.8% (14.2/map)
MisteM 17.7% (14.2/map)</t>
  </si>
  <si>
    <t>6 series · 15 maps · team 67.8 kills/map
ultimate 22.1% (15.0/map)
ex1st 21.5% (14.6/map)
Demho 20.5% (13.9/map)
Qlocuu 19.4% (13.1/map)
Prism 16.5% (11.2/map)</t>
  </si>
  <si>
    <t>0 - 2  Eternal Fire vs Ninjas in Pyjamas
2 - 1  Eternal Fire vs JiJieHao
2 - 0  Eternal Fire vs Sangal
2 - 1  Eternal Fire vs BASEMENT BOYS
13 - 4  Eternal Fire vs Anteiku</t>
  </si>
  <si>
    <t>0 - 2  Betclic vs Sangal
1 - 2  Betclic vs Ninjas in Pyjamas
0 - 2  Betclic vs PRIVATE
1 - 2  Betclic vs Astralis
2 - 1  Betclic vs Eternal Fire</t>
  </si>
  <si>
    <t>First ban: Nuke×4, Anubis×1   First pick: Dust2×3, Cache×1
3rd of Octob  Eternal Fire vs Ninjas in Pyjamas:  us ban Nuke · opp ban Anubis · us pick Dust2 · opp pick Inferno · us ban Mirage · opp ban Ancient · left Cache
3rd of Octob  Eternal Fire vs JiJieHao:  us ban Nuke · opp ban Cache · us pick Dust2 · opp pick Mirage · us ban Inferno · opp ban Ancient · left Anubis
3rd of Octob  Eternal Fire vs Sangal:  us ban Nuke · opp ban Inferno · us pick Dust2 · opp pick Cache · us ban Anubis · opp ban Ancient · left Mirage
2nd of Octob  Eternal Fire vs BASEMENT BOYS:  opp ban Inferno · us ban Nuke · opp pick Mirage · us pick Cache · opp ban Anubis · us ban Dust2 · left Ancient
2nd of Octob  Eternal Fire vs Anteiku:  opp ban Nuke · us ban Anubis · opp ban Cache · us ban Inferno · opp ban Dust2 · us ban Mirage · left Ancient</t>
  </si>
  <si>
    <t>First ban: Inferno×3, Nuke×1   First pick: Anubis×2, Nuke×2
12th of Octo  Betclic vs Sangal:  opp ban Ancient · us ban Nuke · opp pick Mirage · us pick Anubis · opp ban Inferno · us ban Dust2 · left Cache
12th of Octo  Betclic vs Ninjas in Pyjamas:  us ban Inferno · opp ban Anubis · us pick Ancient · opp pick Cache · us ban Mirage · opp ban Dust2 · left Nuke
8th of Octob  Betclic vs PRIVATE:  opp ban Anubis · us ban Dust2 · opp pick Mirage · us pick Nuke · us ban Inferno · opp ban Cache · left Ancient
25th of Sept  Betclic vs Astralis:  us ban Inferno · opp ban Anubis · us pick Nuke · opp pick Ancient · us ban Mirage · opp ban Dust2 · left Cache
24th of Sept  Betclic vs Eternal Fire:  opp ban Nuke · us ban Inferno · opp pick Cache · us pick Anubis · opp ban Mirage · us ban Dust2 · left Ancient</t>
  </si>
  <si>
    <t>A maps</t>
  </si>
  <si>
    <t>A W-L</t>
  </si>
  <si>
    <t>A avg ±</t>
  </si>
  <si>
    <t>A CT %</t>
  </si>
  <si>
    <t>A T %</t>
  </si>
  <si>
    <t>A pistol</t>
  </si>
  <si>
    <t>B maps</t>
  </si>
  <si>
    <t>B W-L</t>
  </si>
  <si>
    <t>B avg ±</t>
  </si>
  <si>
    <t>B CT %</t>
  </si>
  <si>
    <t>B T %</t>
  </si>
  <si>
    <t>B pistol</t>
  </si>
  <si>
    <t>29%</t>
  </si>
  <si>
    <t>12-5</t>
  </si>
  <si>
    <t>+2.6</t>
  </si>
  <si>
    <t>58.6%</t>
  </si>
  <si>
    <t>53.5%</t>
  </si>
  <si>
    <t>16/34</t>
  </si>
  <si>
    <t>4-4</t>
  </si>
  <si>
    <t>-0.4</t>
  </si>
  <si>
    <t>57.8%</t>
  </si>
  <si>
    <t>41.3%</t>
  </si>
  <si>
    <t>4/16</t>
  </si>
  <si>
    <t>10% | 37% | 29% | 20% | 4%</t>
  </si>
  <si>
    <t>22.4</t>
  </si>
  <si>
    <t>24%</t>
  </si>
  <si>
    <t>6-4</t>
  </si>
  <si>
    <t>+0.4</t>
  </si>
  <si>
    <t>46.5%</t>
  </si>
  <si>
    <t>55.2%</t>
  </si>
  <si>
    <t>10/20</t>
  </si>
  <si>
    <t>4-7</t>
  </si>
  <si>
    <t>+0.6</t>
  </si>
  <si>
    <t>55.9%</t>
  </si>
  <si>
    <t>45.8%</t>
  </si>
  <si>
    <t>10/22</t>
  </si>
  <si>
    <t>6% | 29% | 30% | 29% | 6%</t>
  </si>
  <si>
    <t>22.5</t>
  </si>
  <si>
    <t>22%</t>
  </si>
  <si>
    <t>11-6</t>
  </si>
  <si>
    <t>+1.3</t>
  </si>
  <si>
    <t>56.0%</t>
  </si>
  <si>
    <t>50.0%</t>
  </si>
  <si>
    <t>19/34</t>
  </si>
  <si>
    <t>5-3</t>
  </si>
  <si>
    <t>+1.0</t>
  </si>
  <si>
    <t>62.2%</t>
  </si>
  <si>
    <t>43.3%</t>
  </si>
  <si>
    <t>10/16</t>
  </si>
  <si>
    <t>7% | 30% | 31% | 27% | 6%</t>
  </si>
  <si>
    <t>Mirage</t>
  </si>
  <si>
    <t>7%</t>
  </si>
  <si>
    <t>8-8</t>
  </si>
  <si>
    <t>-0.3</t>
  </si>
  <si>
    <t>48.5%</t>
  </si>
  <si>
    <t>17/32</t>
  </si>
  <si>
    <t>3-4</t>
  </si>
  <si>
    <t>-0.7</t>
  </si>
  <si>
    <t>47.6%</t>
  </si>
  <si>
    <t>49.3%</t>
  </si>
  <si>
    <t>7/14</t>
  </si>
  <si>
    <t>6% | 29% | 30% | 28% | 6%</t>
  </si>
  <si>
    <t>Nuke</t>
  </si>
  <si>
    <t>6%</t>
  </si>
  <si>
    <t>5-4</t>
  </si>
  <si>
    <t>+1.1</t>
  </si>
  <si>
    <t>55.6%</t>
  </si>
  <si>
    <t>48.8%</t>
  </si>
  <si>
    <t>10/18</t>
  </si>
  <si>
    <t>5% | 26% | 30% | 31% | 7%</t>
  </si>
  <si>
    <t>Inferno</t>
  </si>
  <si>
    <t>6-5</t>
  </si>
  <si>
    <t>+2.4</t>
  </si>
  <si>
    <t>57.7%</t>
  </si>
  <si>
    <t>14/22</t>
  </si>
  <si>
    <t>9% | 35% | 30% | 22% | 4%</t>
  </si>
  <si>
    <t>Dust2</t>
  </si>
  <si>
    <t>13-4</t>
  </si>
  <si>
    <t>+3.2</t>
  </si>
  <si>
    <t>59.5%</t>
  </si>
  <si>
    <t>55.4%</t>
  </si>
  <si>
    <t>17/34</t>
  </si>
  <si>
    <t>2-0</t>
  </si>
  <si>
    <t>+8.0</t>
  </si>
  <si>
    <t>83.3%</t>
  </si>
  <si>
    <t>2/4</t>
  </si>
  <si>
    <t>8% | 33% | 30% | 24% | 5%</t>
  </si>
  <si>
    <t>CS2 · NIP vs TL   |   08:00 UTC   |   Bo3   |   Win: NIP 52% – TL 48%   |   2-0 27% · 2-1 25% · 1-2 26% · 0-2 22%</t>
  </si>
  <si>
    <t>Ninjas in Pyjamas (NIP)</t>
  </si>
  <si>
    <t>Liquid (TL)</t>
  </si>
  <si>
    <t>HLTV: #26 · VRS: #18</t>
  </si>
  <si>
    <t>HLTV: #27 · VRS: #19</t>
  </si>
  <si>
    <t>5-5   L L L L W W W L W W</t>
  </si>
  <si>
    <t>7-3   W W L W L W W L W W</t>
  </si>
  <si>
    <t>+1.7</t>
  </si>
  <si>
    <t>51-38 (57%)</t>
  </si>
  <si>
    <t>40-19 (68%)</t>
  </si>
  <si>
    <t>+5.2 / -4.6</t>
  </si>
  <si>
    <t>+5.8 / -5.6</t>
  </si>
  <si>
    <t>12 / 5</t>
  </si>
  <si>
    <t>14 / 3</t>
  </si>
  <si>
    <t>53.4% (95-83) · R2 conv 80.9% · R2 break 17.1%</t>
  </si>
  <si>
    <t>6 series · 13 maps · team 68.5 kills/map
stavn 22.4% (15.4/map)
Krimbo 20.8% (14.2/map)
adamb 20.3% (13.9/map)
sjuush 18.4% (12.6/map)
xKacpersky 18.1% (12.4/map)</t>
  </si>
  <si>
    <t>6 series · 14 maps · team 75.0 kills/map
malbsMd 22.1% (16.6/map)
EliGE 21.2% (15.9/map)
NAF 20.3% (15.2/map)
Jorko 19.8% (14.9/map)
JT 16.6% (12.4/map)</t>
  </si>
  <si>
    <t>2 - 0  Aurora vs Ninjas in Pyjamas
0 - 2  Ninjas in Pyjamas vs Aurora
0 - 2  Ninjas in Pyjamas vs Falcons
2 - 0  Ninjas in Pyjamas vs Inner Circle
2 - 1  Ninjas in Pyjamas vs Betclic</t>
  </si>
  <si>
    <t>2 - 0  Liquid vs JiJieHao
1 - 2  Liquid vs 100 Thieves
2 - 1  Liquid vs BBL
2 - 0  Liquid vs Wildcard
2 - 0  Liquid vs M80</t>
  </si>
  <si>
    <t>First ban: Anubis×5   First pick: Cache×3, Ancient×1
15th of Octo  Aurora vs Ninjas in Pyjamas:  us ban Anubis · opp ban Ancient · us pick Cache · opp pick Dust2 · us ban Mirage · opp ban Inferno · left Nuke
15th of Octo  Ninjas in Pyjamas vs Aurora:  us ban Anubis · opp ban Ancient · us pick Cache · opp pick Dust2 · us ban Mirage · opp ban Inferno · left Nuke
14th of Octo  Ninjas in Pyjamas vs Falcons:  us ban Anubis · opp ban Cache · us pick Ancient · opp pick Dust2 · us ban Inferno · opp ban Nuke · left Mirage
12th of Octo  Ninjas in Pyjamas vs Inner Circle:  us ban Anubis · opp ban Inferno · us pick Nuke · opp pick Dust2 · us ban Mirage · opp ban Ancient · left Cache
12th of Octo  Ninjas in Pyjamas vs Betclic:  opp ban Inferno · us ban Anubis · opp pick Ancient · us pick Cache · opp ban Mirage · us ban Dust2 · left Nuke</t>
  </si>
  <si>
    <t>First ban: Ancient×4, Dust2×1   First pick: Anubis×2, Cache×1
13th of Octo  Liquid vs JiJieHao:  opp ban Nuke · us ban Ancient · opp pick Mirage · us pick Cache · opp ban Anubis · us ban Dust2 · left Inferno
13th of Octo  Liquid vs 100 Thieves:  opp ban Anubis · us ban Ancient · opp pick Dust2 · us pick Inferno · opp ban Cache · us ban Nuke · left Mirage
13th of Octo  Liquid vs BBL:  opp ban Dust2 · us ban Ancient · opp pick Nuke · us pick Mirage · opp ban Anubis · us ban Inferno · left Cache
28th of Sept  Liquid vs Wildcard:  opp ban Ancient · us ban Dust2 · opp pick Inferno · us pick Anubis · opp ban Nuke · us ban Mirage · left Cache
26th of Sept  Liquid vs M80:  opp ban Nuke · us ban Ancient · opp pick Cache · us pick Anubis · opp ban Dust2 · us ban Inferno · left Mirage</t>
  </si>
  <si>
    <t>Player</t>
  </si>
  <si>
    <t>Team</t>
  </si>
  <si>
    <t>Market</t>
  </si>
  <si>
    <t>Line</t>
  </si>
  <si>
    <t>Proj</t>
  </si>
  <si>
    <t>Sigma</t>
  </si>
  <si>
    <t>P(over)</t>
  </si>
  <si>
    <t>P(under)</t>
  </si>
  <si>
    <t>P(push)</t>
  </si>
  <si>
    <t>36%</t>
  </si>
  <si>
    <t>Model side (paper)</t>
  </si>
  <si>
    <t>6-9</t>
  </si>
  <si>
    <t>+0.1</t>
  </si>
  <si>
    <t>TP book median</t>
  </si>
  <si>
    <t>49.7%</t>
  </si>
  <si>
    <t>PF Avg L10</t>
  </si>
  <si>
    <t>50.6%</t>
  </si>
  <si>
    <t>15/30</t>
  </si>
  <si>
    <t>PF L5</t>
  </si>
  <si>
    <t>PF L10</t>
  </si>
  <si>
    <t>8-3</t>
  </si>
  <si>
    <t>+2.7</t>
  </si>
  <si>
    <t>53.9%</t>
  </si>
  <si>
    <t>58.4%</t>
  </si>
  <si>
    <t>4% | 22% | 30% | 35% | 9%</t>
  </si>
  <si>
    <t>PF L15</t>
  </si>
  <si>
    <t>PF H2H</t>
  </si>
  <si>
    <t>19%</t>
  </si>
  <si>
    <t>PF streak</t>
  </si>
  <si>
    <t>7-8</t>
  </si>
  <si>
    <t>Maps used</t>
  </si>
  <si>
    <t>+0.0</t>
  </si>
  <si>
    <t>59.0%</t>
  </si>
  <si>
    <t>Rounds used</t>
  </si>
  <si>
    <t>18/30</t>
  </si>
  <si>
    <t>Flags</t>
  </si>
  <si>
    <t>7-2</t>
  </si>
  <si>
    <t>Calc key</t>
  </si>
  <si>
    <t>+3.1</t>
  </si>
  <si>
    <t>Code</t>
  </si>
  <si>
    <t>54.8%</t>
  </si>
  <si>
    <t>59.4%</t>
  </si>
  <si>
    <t>Lookup</t>
  </si>
  <si>
    <t>14/18</t>
  </si>
  <si>
    <t>Proj adj</t>
  </si>
  <si>
    <t>Sigma adj</t>
  </si>
  <si>
    <t>14%</t>
  </si>
  <si>
    <t>P(over) adj</t>
  </si>
  <si>
    <t>P(under) adj</t>
  </si>
  <si>
    <t>15-4</t>
  </si>
  <si>
    <t>Side adj (paper)</t>
  </si>
  <si>
    <t>66.1%</t>
  </si>
  <si>
    <t>Diff mult</t>
  </si>
  <si>
    <t>47.0%</t>
  </si>
  <si>
    <t>22/38</t>
  </si>
  <si>
    <t>7-5</t>
  </si>
  <si>
    <t>CS2 · 100T vs SNG</t>
  </si>
  <si>
    <t>+1.5</t>
  </si>
  <si>
    <t>device</t>
  </si>
  <si>
    <t>56.3%</t>
  </si>
  <si>
    <t>100T</t>
  </si>
  <si>
    <t>51.2%</t>
  </si>
  <si>
    <t>Maps 1-2 HS</t>
  </si>
  <si>
    <t>12/24</t>
  </si>
  <si>
    <t>8% | 33% | 30% | 23% | 5%</t>
  </si>
  <si>
    <t>10%</t>
  </si>
  <si>
    <t>7-4</t>
  </si>
  <si>
    <t>54.5%</t>
  </si>
  <si>
    <t>12/22</t>
  </si>
  <si>
    <t>6-0</t>
  </si>
  <si>
    <t>+6.3</t>
  </si>
  <si>
    <t>76.1%</t>
  </si>
  <si>
    <t>50.9%</t>
  </si>
  <si>
    <t>7/12</t>
  </si>
  <si>
    <t>5% | 24% | 30% | 33% | 8%</t>
  </si>
  <si>
    <t>2-1</t>
  </si>
  <si>
    <t>40.0%</t>
  </si>
  <si>
    <t>63.9%</t>
  </si>
  <si>
    <t>2/6</t>
  </si>
  <si>
    <t>9-3</t>
  </si>
  <si>
    <t>+3.4</t>
  </si>
  <si>
    <t>58.5%</t>
  </si>
  <si>
    <t>13/24</t>
  </si>
  <si>
    <t>4% | 21% | 29% | 37% | 10%</t>
  </si>
  <si>
    <t>3-6</t>
  </si>
  <si>
    <t>-2.3</t>
  </si>
  <si>
    <t>3-5</t>
  </si>
  <si>
    <t>-3.2</t>
  </si>
  <si>
    <t>37.5%</t>
  </si>
  <si>
    <t>48.3%</t>
  </si>
  <si>
    <t>9/16</t>
  </si>
  <si>
    <t>+2.3</t>
  </si>
  <si>
    <t>50.3%</t>
  </si>
  <si>
    <t>0-1</t>
  </si>
  <si>
    <t>-3.0</t>
  </si>
  <si>
    <t>25.0%</t>
  </si>
  <si>
    <t>63.6%</t>
  </si>
  <si>
    <t>1/2</t>
  </si>
  <si>
    <t>10% | 36% | 29% | 21% | 4%</t>
  </si>
  <si>
    <t>CS2 · VOCA vs PHA   |   08:00 UTC   |   Bo1   |   Win: VOCA 45% – PHA 55%</t>
  </si>
  <si>
    <t>Voca (VOCA)</t>
  </si>
  <si>
    <t>Phantom Esports (PHA)</t>
  </si>
  <si>
    <t>HLTV: #59 · VRS: #67</t>
  </si>
  <si>
    <t>HLTV: #88 · VRS: #83</t>
  </si>
  <si>
    <t>5-5   L L W W L W W L L W</t>
  </si>
  <si>
    <t>3-7   L W L W L L W L L L</t>
  </si>
  <si>
    <t>+0.8</t>
  </si>
  <si>
    <t>-3.3</t>
  </si>
  <si>
    <t>29-17 (63%)</t>
  </si>
  <si>
    <t>30-34 (47%)</t>
  </si>
  <si>
    <t>+6.1 / -5.2</t>
  </si>
  <si>
    <t>+5.8 / -5.5</t>
  </si>
  <si>
    <t>11 / 3</t>
  </si>
  <si>
    <t>10 / 8</t>
  </si>
  <si>
    <t>49.2% (63-65) · R2 conv 75.8% · R2 break 21.5%</t>
  </si>
  <si>
    <t>6 series · 7 maps · team 71.4 kills/map
dare 23.2% (16.6/map)
junior 22.0% (15.7/map)
MarKE 19.6% (14.0/map)
snav 17.6% (12.6/map)
nosraC 17.6% (12.6/map)</t>
  </si>
  <si>
    <t>6 series · 14 maps · team 62.4 kills/map
Kunai 21.5% (13.4/map)
nicoodoz 21.2% (13.2/map)
Kylar 20.5% (12.8/map)
KEi 19.8% (12.4/map)
TMB 17.0% (10.6/map)</t>
  </si>
  <si>
    <t>0 - 2  Voca vs 100 Thieves
13 - 3  Voca vs Prestige
13 - 9  Voca vs Sashi
6 - 13  Voca vs BC.Game
13 - 1  Voca vs Glitch</t>
  </si>
  <si>
    <t>1 - 2  Phantom vs Nuclear TigeRES
13 - 3  Phantom vs DNK
1 - 2  Phantom vs fnatic
0 - 2  Phantom vs Iberian Soul
0 - 2  Phantom vs fnatic</t>
  </si>
  <si>
    <t>Hist share A / B</t>
  </si>
  <si>
    <t>First ban: Inferno×4, Cache×1   First pick: Ancient×1
2nd of Octob  Voca vs 100 Thieves:  opp ban Mirage · us ban Inferno · opp pick Dust2 · us pick Ancient · opp ban Cache · us ban Anubis · left Nuke
2nd of Octob  Voca vs Prestige:  opp ban Dust2 · us ban Inferno · opp ban Cache · us ban Nuke · opp ban Anubis · us ban Mirage · left Ancient
2nd of Octob  Voca vs Sashi:  us ban Cache · opp ban Dust2 · us ban Inferno · opp ban Mirage · us ban Anubis · opp ban Ancient · left Nuke
2nd of Octob  Voca vs BC.Game:  us ban Inferno · opp ban Anubis · us ban Cache · opp ban Ancient · us ban Mirage · opp ban Nuke · left Dust2
2nd of Octob  Voca vs Glitch:  opp ban Dust2 · us ban Inferno · opp ban Mirage · us ban Anubis · opp ban Cache · us ban Nuke · left Ancient</t>
  </si>
  <si>
    <t>First ban: Cache×4, Mirage×1   First pick: Ancient×2, Mirage×1
14th of Octo  Phantom vs Nuclear TigeRES:  opp ban Nuke · us ban Cache · opp pick Anubis · us pick Mirage · us ban Inferno · opp ban Ancient · left Dust2
13th of Octo  Phantom vs DNK:  us ban Cache · us ban Mirage · opp ban Nuke · opp ban Inferno · opp ban Ancient · us ban Anubis · left Dust2
7th of Octob  Phantom vs fnatic:  opp ban Nuke · us ban Cache · opp pick Anubis · us pick Ancient · us ban Dust2 · opp ban Mirage · left Inferno
24th of Sept  Phantom vs Iberian Soul:  us ban Mirage · opp ban Dust2 · us pick Nuke · opp pick Inferno · us ban Anubis · opp ban Cache · left Ancient
23rd of Sept  Phantom vs fnatic:  us ban Cache · opp ban Nuke · us pick Ancient · opp pick Anubis · us ban Dust2 · opp ban Mirage · left Inferno</t>
  </si>
  <si>
    <t>52%</t>
  </si>
  <si>
    <t>10-4</t>
  </si>
  <si>
    <t>+3.3</t>
  </si>
  <si>
    <t>64.1%</t>
  </si>
  <si>
    <t>50.7%</t>
  </si>
  <si>
    <t>16/28</t>
  </si>
  <si>
    <t>9-9</t>
  </si>
  <si>
    <t>52.9%</t>
  </si>
  <si>
    <t>23/36</t>
  </si>
  <si>
    <t>51.7%</t>
  </si>
  <si>
    <t>44.9%</t>
  </si>
  <si>
    <t>8/14</t>
  </si>
  <si>
    <t>4-6</t>
  </si>
  <si>
    <t>-1.0</t>
  </si>
  <si>
    <t>62.4%</t>
  </si>
  <si>
    <t>35.3%</t>
  </si>
  <si>
    <t>6% | 28% | 31% | 29% | 7%</t>
  </si>
  <si>
    <t>8%</t>
  </si>
  <si>
    <t>4-0</t>
  </si>
  <si>
    <t>+5.0</t>
  </si>
  <si>
    <t>60.4%</t>
  </si>
  <si>
    <t>7/8</t>
  </si>
  <si>
    <t>45.1%</t>
  </si>
  <si>
    <t>53.8%</t>
  </si>
  <si>
    <t>6/16</t>
  </si>
  <si>
    <t>2-2</t>
  </si>
  <si>
    <t>+2.2</t>
  </si>
  <si>
    <t>4/8</t>
  </si>
  <si>
    <t>2-5</t>
  </si>
  <si>
    <t>-3.7</t>
  </si>
  <si>
    <t>46.2%</t>
  </si>
  <si>
    <t>36.5%</t>
  </si>
  <si>
    <t>5/14</t>
  </si>
  <si>
    <t>12% | 40% | 28% | 18% | 3%</t>
  </si>
  <si>
    <t>22.2</t>
  </si>
  <si>
    <t>8-2</t>
  </si>
  <si>
    <t>+4.4</t>
  </si>
  <si>
    <t>12/20</t>
  </si>
  <si>
    <t>+4.2</t>
  </si>
  <si>
    <t>55.7%</t>
  </si>
  <si>
    <t>70.0%</t>
  </si>
  <si>
    <t>8/16</t>
  </si>
  <si>
    <t>IN USE</t>
  </si>
  <si>
    <t>-0.5</t>
  </si>
  <si>
    <t>52.1%</t>
  </si>
  <si>
    <t>45.3%</t>
  </si>
  <si>
    <t>7% | 30% | 30% | 27% | 6%</t>
  </si>
  <si>
    <t>51.4%</t>
  </si>
  <si>
    <t>30.0%</t>
  </si>
  <si>
    <t>4/14</t>
  </si>
  <si>
    <t>0-2</t>
  </si>
  <si>
    <t>-4.5</t>
  </si>
  <si>
    <t>29.2%</t>
  </si>
  <si>
    <t>52.6%</t>
  </si>
  <si>
    <t>1/4</t>
  </si>
  <si>
    <t>VAL · 100T vs G2   |   09:00 UTC   |   Bo3   |   Win: 100T 62% – G2 38%   |   2-0 34% · 2-1 28% · 1-2 20% · 0-2 19%</t>
  </si>
  <si>
    <t>100 Thieves (100T)</t>
  </si>
  <si>
    <t>G2 Esports (G2)</t>
  </si>
  <si>
    <t>Current Rank 1 North America · Rating 2137 · Record 96W 57L</t>
  </si>
  <si>
    <t>Current Rank 3 North America · Rating 1986 · Record 153W 74L</t>
  </si>
  <si>
    <t>17-7</t>
  </si>
  <si>
    <t>15-10</t>
  </si>
  <si>
    <t>+5.8 / -5.1</t>
  </si>
  <si>
    <t>+5.4 / -4.7</t>
  </si>
  <si>
    <t>6 / 2</t>
  </si>
  <si>
    <t>3 / 2</t>
  </si>
  <si>
    <t>10 series · 24 maps · team 76.0 kills/map
Asuna 21.5% (16.3/map)
Timotino 21.4% (16.3/map)
Cryocells 20.0% (15.2/map)
bang 19.2% (14.6/map)
vora 17.9% (13.6/map)</t>
  </si>
  <si>
    <t>10 series · 25 maps · team 74.0 kills/map
trent 21.0% (15.5/map)
BABYBAY 20.6% (15.2/map)
valyn 20.0% (14.8/map)
jawgemo 19.3% (14.3/map)
leaf 19.2% (14.2/map)</t>
  </si>
  <si>
    <t>2026-10-11  NRG vs 100 Thieves  Sunset:12-14:P,Haven:4-13:P
2026-10-09  100 Thieves vs Nongshim RedForce  Summit:13-5:P,Sunset:9-13:P,Ascent:13-1:
2026-10-08  100 Thieves vs G2 Esports  Abyss:5-13:P,Ascent:11-13:P
2026-09-30  100 Thieves vs FUT Esports  Split:13-5:P,Lotus:13-10:P
2026-09-27  100 Thieves vs T1  Summit:13-8:P,Ascent:13-9:P</t>
  </si>
  <si>
    <t>2026-10-11  G2 Esports vs T1  Lotus:13-11:P,Abyss:10-13:P,Ascent:13-6:
2026-10-10  G2 Esports vs Team Vitality  Abyss:11-13:P,Split:4-13:P
2026-10-08  100 Thieves vs G2 Esports  Abyss:5-13:P,Ascent:11-13:P
2026-10-03  G2 Esports vs Team Liquid  Split:13-10:P,Abyss:13-7:P
2026-09-29  G2 Esports vs Paper Rex  Split:13-9:P,Haven:11-13:P,Lotus:9-13:</t>
  </si>
  <si>
    <t>2026-10-11 vs NRG: 100T ban Lotus; NRG ban Ascent; 100T pick Sunset; NRG pick Haven; 100T ban Abyss; NRG ban Split; Summit remains
2026-10-09 vs Nongshim RedForce: 100T ban Abyss; NS ban Lotus; 100T pick Summit; NS pick Sunset; 100T ban Split; NS ban Haven; Ascent remains
2026-10-08 vs G2 Esports: G2 ban Split; 100T ban Lotus; G2 pick Abyss; 100T pick Ascent; G2 ban Sunset; 100T ban Haven; Summit remains
2026-09-30 vs FUT Esports: FUT ban Abyss; 100T ban Haven; FUT pick Split; 100T pick Lotus; FUT ban Summit; 100T ban Ascent; Sunset remains
2026-09-27 vs T1: T1 ban Split; 100T ban Lotus; T1 pick Summit; 100T pick Ascent; T1 ban Haven; 100T ban Abyss; Sunset remains</t>
  </si>
  <si>
    <t>2026-10-11 vs T1: T1 ban Split; G2 ban Summit; T1 pick Lotus; G2 pick Abyss; T1 ban Haven; G2 ban Sunset; Ascent remains
2026-10-10 vs Team Vitality: G2 ban Summit; VIT ban Sunset; G2 pick Abyss; VIT pick Split; G2 ban Haven; VIT ban Lotus; Ascent remains
2026-10-08 vs 100 Thieves: G2 ban Split; 100T ban Lotus; G2 pick Abyss; 100T pick Ascent; G2 ban Sunset; 100T ban Haven; Summit remains
2026-10-03 vs Team Liquid: TL ban Sunset; G2 ban Haven; TL pick Split; G2 pick Abyss; TL ban Summit; G2 ban Lotus; Ascent remains
2026-09-29 vs Paper Rex: PRX ban Abyss; G2 ban Summit; PRX pick Split; G2 pick Haven; PRX ban Ascent; G2 ban Sunset; Lotus remains</t>
  </si>
  <si>
    <t>16%</t>
  </si>
  <si>
    <t>51%</t>
  </si>
  <si>
    <t>66%</t>
  </si>
  <si>
    <t>4% | 22% | 30% | 36% | 9%</t>
  </si>
  <si>
    <t>22.0</t>
  </si>
  <si>
    <t>61%</t>
  </si>
  <si>
    <t>22.1</t>
  </si>
  <si>
    <t>13%</t>
  </si>
  <si>
    <t>64%</t>
  </si>
  <si>
    <t>8% | 33% | 30% | 25% | 5%</t>
  </si>
  <si>
    <t>60%</t>
  </si>
  <si>
    <t>7% | 31% | 30% | 26% | 5%</t>
  </si>
  <si>
    <t>34%</t>
  </si>
  <si>
    <t>21.9</t>
  </si>
  <si>
    <t>86%</t>
  </si>
  <si>
    <t>38%</t>
  </si>
  <si>
    <t>8% | 34% | 30% | 24% | 4%</t>
  </si>
  <si>
    <t>CS2 · HAVU vs RGG   |   10:00 UTC   |   Bo1   |   Win: HAVU 77% – RGG 23%</t>
  </si>
  <si>
    <t>HAVU Gaming (HAVU)</t>
  </si>
  <si>
    <t>ROUNDS (RGG)</t>
  </si>
  <si>
    <t>HLTV: #118 · VRS: #127</t>
  </si>
  <si>
    <t>HLTV: #237 · VRS: #315</t>
  </si>
  <si>
    <t>3-7   W L L W L L W L L L</t>
  </si>
  <si>
    <t>2-8   L L L W L L L W L L</t>
  </si>
  <si>
    <t>-5.3</t>
  </si>
  <si>
    <t>29-29 (50%)</t>
  </si>
  <si>
    <t>8-22 (27%)</t>
  </si>
  <si>
    <t>+4.9 / -4.9</t>
  </si>
  <si>
    <t>+5.2 / -6.2</t>
  </si>
  <si>
    <t>6 / 4</t>
  </si>
  <si>
    <t>3 / 10</t>
  </si>
  <si>
    <t>6 series · 8 maps · team 78.2 kills/map
ottob 22.0% (17.2/map)
8Juho8 21.6% (16.9/map)
uli 20.8% (16.2/map)
Alxc 20.6% (16.1/map)
p3kko 15.0% (11.8/map)</t>
  </si>
  <si>
    <t>5 series · 13 maps · team 61.5 kills/map
Monoxx 22.9% (14.1/map)
ykis 22.8% (14.0/map)
Lapa 18.6% (13.5/map)
Kollo 18.0% (11.1/map)
Tumppis 13.4% (10.7/map)
p12 2.9% (7.7/map) (sub)
Puteli 1.4% (5.5/map) (sub)</t>
  </si>
  <si>
    <t>16 - 12  HAVU vs Sangal
6 - 13  HAVU vs BBL
10 - 13  HAVU vs Ninjas in Pyjamas
13 - 4  HAVU vs XEPT
9 - 13  HAVU vs SportsBetExpert</t>
  </si>
  <si>
    <t>0 - 2  ROUNDS vs Phantom Academy
1 - 0  ROUNDS vs Mai Tai
1 - 2  ROUNDS vs Fire Flux
1 - 2  ROUNDS vs NEXORA
1 - 2  ROUNDS vs Vexar</t>
  </si>
  <si>
    <t>First ban: Anubis×5   First pick: —
2nd of Octob  HAVU vs Sangal:  opp ban Inferno · us ban Anubis · opp ban Nuke · us ban Cache · opp ban Ancient · us ban Dust2 · left Mirage
2nd of Octob  HAVU vs BBL:  us ban Anubis · opp ban Dust2 · us ban Cache · opp ban Mirage · us ban Inferno · opp ban Nuke · left Ancient
2nd of Octob  HAVU vs Ninjas in Pyjamas:  us ban Anubis · opp ban Nuke · us ban Ancient · opp ban Dust2 · us ban Cache · opp ban Mirage · left Inferno
2nd of Octob  HAVU vs XEPT:  opp ban Nuke · us ban Anubis · opp ban Inferno · us ban Ancient · opp ban Cache · us ban Dust2 · left Mirage
2nd of Octob  HAVU vs SportsBetExpert:  us ban Anubis · opp ban Ancient · us ban Cache · opp ban Nuke · us ban Inferno · opp ban Dust2 · left Mirage</t>
  </si>
  <si>
    <t>First ban: Dust2×2, Anubis×2   First pick: Ancient×2, Nuke×2
30th of Sept  ROUNDS vs Phantom Academy:  us ban Dust2 · opp ban Inferno · us pick Ancient · opp pick Mirage · us ban Cache · opp ban Nuke · left Anubis
26th of Sept  ROUNDS vs Fire Flux:  opp ban Nuke · us ban Dust2 · opp pick Anubis · us pick Ancient · opp ban Inferno · us ban Cache · left Mirage
9th of Septe  ROUNDS vs NEXORA:  us ban Anubis · opp ban Inferno · us pick Nuke · opp pick Dust2 · us ban Cache · opp ban Ancient · left Mirage
16th of Augu  ROUNDS vs Vexar:  us ban Anubis · opp ban Cache · us pick Nuke · opp pick Ancient · us ban Dust2 · opp ban Inferno · left Mirage</t>
  </si>
  <si>
    <t>13-3</t>
  </si>
  <si>
    <t>+2.5</t>
  </si>
  <si>
    <t>57.5%</t>
  </si>
  <si>
    <t>53.3%</t>
  </si>
  <si>
    <t>18/32</t>
  </si>
  <si>
    <t>+0.9</t>
  </si>
  <si>
    <t>57.4%</t>
  </si>
  <si>
    <t>47.1%</t>
  </si>
  <si>
    <t>11/18</t>
  </si>
  <si>
    <t>8-6</t>
  </si>
  <si>
    <t>+1.4</t>
  </si>
  <si>
    <t>55.3%</t>
  </si>
  <si>
    <t>11/28</t>
  </si>
  <si>
    <t>0-7</t>
  </si>
  <si>
    <t>-6.7</t>
  </si>
  <si>
    <t>35.8%</t>
  </si>
  <si>
    <t>27.8%</t>
  </si>
  <si>
    <t>6/14</t>
  </si>
  <si>
    <t>16% | 46% | 24% | 12% | 2%</t>
  </si>
  <si>
    <t>21.8</t>
  </si>
  <si>
    <t>3-7</t>
  </si>
  <si>
    <t>-1.4</t>
  </si>
  <si>
    <t>44.5%</t>
  </si>
  <si>
    <t>48.9%</t>
  </si>
  <si>
    <t>9/20</t>
  </si>
  <si>
    <t>0-3</t>
  </si>
  <si>
    <t>-9.0</t>
  </si>
  <si>
    <t>CS2 · NIP vs TL</t>
  </si>
  <si>
    <t>21.7%</t>
  </si>
  <si>
    <t>3/6</t>
  </si>
  <si>
    <t>9% | 36% | 29% | 21% | 4%</t>
  </si>
  <si>
    <t>1-4</t>
  </si>
  <si>
    <t>-3.8</t>
  </si>
  <si>
    <t>37.3%</t>
  </si>
  <si>
    <t>45.5%</t>
  </si>
  <si>
    <t>Cache 36%</t>
  </si>
  <si>
    <t>6/10</t>
  </si>
  <si>
    <t>Mirage 19%</t>
  </si>
  <si>
    <t>Nuke 14%</t>
  </si>
  <si>
    <t>NIP</t>
  </si>
  <si>
    <t>-</t>
  </si>
  <si>
    <t>TL</t>
  </si>
  <si>
    <t>-7.0</t>
  </si>
  <si>
    <t>20.8%</t>
  </si>
  <si>
    <t>KPR M1</t>
  </si>
  <si>
    <t>6% | 27% | 30% | 30% | 7%</t>
  </si>
  <si>
    <t>KPR M2</t>
  </si>
  <si>
    <t>Kills M1</t>
  </si>
  <si>
    <t>Kills M2</t>
  </si>
  <si>
    <t>2-4</t>
  </si>
  <si>
    <t>Kills 1-2</t>
  </si>
  <si>
    <t>-1.5</t>
  </si>
  <si>
    <t>37.9%</t>
  </si>
  <si>
    <t>Adj K 1-2</t>
  </si>
  <si>
    <t>6/12</t>
  </si>
  <si>
    <t>PP line</t>
  </si>
  <si>
    <t>3-2</t>
  </si>
  <si>
    <t>-1.6</t>
  </si>
  <si>
    <t>43.9%</t>
  </si>
  <si>
    <t>49.1%</t>
  </si>
  <si>
    <t>Adj P(over)</t>
  </si>
  <si>
    <t>5/10</t>
  </si>
  <si>
    <t>TP book</t>
  </si>
  <si>
    <t>6% | 28% | 30% | 29% | 6%</t>
  </si>
  <si>
    <t>HS% 1-2</t>
  </si>
  <si>
    <t>HS 1-2</t>
  </si>
  <si>
    <t>PP HS line</t>
  </si>
  <si>
    <t>P(over) HS</t>
  </si>
  <si>
    <t>-4.0</t>
  </si>
  <si>
    <t>Sample</t>
  </si>
  <si>
    <t>41.7%</t>
  </si>
  <si>
    <t>0/2</t>
  </si>
  <si>
    <t>row</t>
  </si>
  <si>
    <t>-11.0</t>
  </si>
  <si>
    <t>16.7%</t>
  </si>
  <si>
    <t>0.0%</t>
  </si>
  <si>
    <t>-2.2</t>
  </si>
  <si>
    <t>48.6%</t>
  </si>
  <si>
    <t>42.5%</t>
  </si>
  <si>
    <t>5/12</t>
  </si>
  <si>
    <t>52.8%</t>
  </si>
  <si>
    <t>4/6</t>
  </si>
  <si>
    <t>4% | 23% | 30% | 34% | 9%</t>
  </si>
  <si>
    <t>CS2 · FNC vs HERO   |   11:00 UTC   |   Bo3   |   Win: FNC 38% – HERO 62%   |   2-0 18% · 2-1 20% · 1-2 29% · 0-2 32%</t>
  </si>
  <si>
    <t>fnatic (FNC)</t>
  </si>
  <si>
    <t>HEROIC (HERO)</t>
  </si>
  <si>
    <t>HLTV: #36 · VRS: #28</t>
  </si>
  <si>
    <t>HLTV: #30 · VRS: #15</t>
  </si>
  <si>
    <t>7-3   W W W W L L W W L W</t>
  </si>
  <si>
    <t>7-3   W W W L W W W L W L</t>
  </si>
  <si>
    <t>49-27 (64%)</t>
  </si>
  <si>
    <t>56-25 (69%)</t>
  </si>
  <si>
    <t>+5.4 / -4.4</t>
  </si>
  <si>
    <t>+6.0 / -4.4</t>
  </si>
  <si>
    <t>yoqtwbv6uc6leni|CS2 · 100T vs SNG</t>
  </si>
  <si>
    <t>H12</t>
  </si>
  <si>
    <t>16 / 5</t>
  </si>
  <si>
    <t>20 / 1</t>
  </si>
  <si>
    <t>59.2% (90-62) · R2 conv 90.0% · R2 break 16.1%</t>
  </si>
  <si>
    <t>61.1% (99-63) · R2 conv 80.6% · R2 break 19.0%</t>
  </si>
  <si>
    <t>6 series · 15 maps · team 78.6 kills/map
jackasmo 22.0% (17.3/map)
cairne 21.6% (17.0/map)
jambo 21.3% (16.7/map)
mazay 19.1% (15.0/map)
fEAR 16.0% (12.6/map)</t>
  </si>
  <si>
    <t>6 series · 16 maps · team 76.6 kills/map
Brollan 22.2% (17.0/map)
nilo 21.2% (16.2/map)
Chr1zN 19.1% (14.6/map)
susp 18.9% (14.4/map)
MartinezSa 18.6% (14.2/map)</t>
  </si>
  <si>
    <t>2 - 0  fnatic vs HOTU
2 - 0  fnatic vs Sashi
0 - 2  fnatic vs HOTU
2 - 1  fnatic vs HOTU
2 - 1  fnatic vs K27</t>
  </si>
  <si>
    <t>2 - 0  HEROIC vs BC.Game
2 - 1  HEROIC vs Envy
2 - 1  HEROIC vs 100 Thieves
2 - 1  HEROIC vs Sangal
2 - 1  HEROIC vs fnatic</t>
  </si>
  <si>
    <t>First ban: Nuke×5   First pick: Ancient×4, Anubis×1
14th of Octo  fnatic vs HOTU:  us ban Nuke · opp ban Inferno · us pick Ancient · opp pick Dust2 · us ban Mirage · opp ban Anubis · left Cache
14th of Octo  fnatic vs Sashi:  opp ban Cache · us ban Nuke · opp pick Inferno · us pick Ancient · opp ban Anubis · us ban Dust2 · left Mirage
14th of Octo  fnatic vs HOTU:  us ban Nuke · opp ban Inferno · us pick Ancient · opp pick Dust2 · us ban Mirage · opp ban Anubis · left Cache
10th of Octo  fnatic vs HOTU:  opp ban Inferno · us ban Nuke · opp pick Dust2 · us pick Anubis · us ban Mirage · opp ban Ancient · left Cache
9th of Octob  fnatic vs K27:  us ban Nuke · opp ban Inferno · us pick Ancient · opp pick Mirage · opp ban Anubis · us ban Dust2 · left Cache</t>
  </si>
  <si>
    <t>First ban: Anubis×5   First pick: Nuke×1, Inferno×1
15th of Octo  HEROIC vs BC.Game:  opp ban Inferno · us ban Anubis · opp pick Cache · us pick Nuke · opp ban Ancient · us ban Dust2 · left Mirage
15th of Octo  HEROIC vs Envy:  opp ban Mirage · us ban Anubis · opp pick Cache · us pick Inferno · opp ban Nuke · us ban Dust2 · left Ancient
26th of Sept  HEROIC vs 100 Thieves:  opp ban Cache · us ban Anubis · opp pick Dust2 · us pick Ancient · opp ban Nuke · us ban Mirage · left Inferno
26th of Sept  HEROIC vs Sangal:  opp ban Inferno · us ban Anubis · opp pick Cache · us pick Dust2 · opp ban Ancient · us ban Nuke · left Mirage
25th of Sept  HEROIC vs fnatic:  opp ban Nuke · us ban Anubis · opp pick Cache · us pick Mirage · opp ban Dust2 · us ban Ancient · left Inferno</t>
  </si>
  <si>
    <t>25%</t>
  </si>
  <si>
    <t>14-2</t>
  </si>
  <si>
    <t>+3.9</t>
  </si>
  <si>
    <t>59.7%</t>
  </si>
  <si>
    <t>58.2%</t>
  </si>
  <si>
    <t>25/32</t>
  </si>
  <si>
    <t>8-4</t>
  </si>
  <si>
    <t>+2.1</t>
  </si>
  <si>
    <t>53.7%</t>
  </si>
  <si>
    <t>56.9%</t>
  </si>
  <si>
    <t>16/24</t>
  </si>
  <si>
    <t>8% | 34% | 30% | 23% | 4%</t>
  </si>
  <si>
    <t>23%</t>
  </si>
  <si>
    <t>+1.8</t>
  </si>
  <si>
    <t>63.1%</t>
  </si>
  <si>
    <t>43.1%</t>
  </si>
  <si>
    <t>15/24</t>
  </si>
  <si>
    <t>+3.7</t>
  </si>
  <si>
    <t>61.9%</t>
  </si>
  <si>
    <t>57.9%</t>
  </si>
  <si>
    <t>18/28</t>
  </si>
  <si>
    <t>4% | 21% | 30% | 36% | 10%</t>
  </si>
  <si>
    <t>20%</t>
  </si>
  <si>
    <t>12-6</t>
  </si>
  <si>
    <t>+1.9</t>
  </si>
  <si>
    <t>54.4%</t>
  </si>
  <si>
    <t>54.9%</t>
  </si>
  <si>
    <t>18/36</t>
  </si>
  <si>
    <t>11-5</t>
  </si>
  <si>
    <t>65.5%</t>
  </si>
  <si>
    <t>19/32</t>
  </si>
  <si>
    <t>5% | 26% | 30% | 32% | 7%</t>
  </si>
  <si>
    <t>-1.2</t>
  </si>
  <si>
    <t>45.2%</t>
  </si>
  <si>
    <t>9/18</t>
  </si>
  <si>
    <t>53.1%</t>
  </si>
  <si>
    <t>57.2%</t>
  </si>
  <si>
    <t>3% | 19% | 29% | 38% | 11%</t>
  </si>
  <si>
    <t>22.3</t>
  </si>
  <si>
    <t>50.8%</t>
  </si>
  <si>
    <t>64.7%</t>
  </si>
  <si>
    <t>46.8%</t>
  </si>
  <si>
    <t>14/24</t>
  </si>
  <si>
    <t>5%</t>
  </si>
  <si>
    <t>+3.6</t>
  </si>
  <si>
    <t>62.7%</t>
  </si>
  <si>
    <t>11/20</t>
  </si>
  <si>
    <t>10% | 37% | 29% | 21% | 4%</t>
  </si>
  <si>
    <t>7-3</t>
  </si>
  <si>
    <t>+3.0</t>
  </si>
  <si>
    <t>66.7%</t>
  </si>
  <si>
    <t>47.2%</t>
  </si>
  <si>
    <t>13/20</t>
  </si>
  <si>
    <t>4% | 21% | 30% | 36% | 9%</t>
  </si>
  <si>
    <t>CS2 · NEM vs NTR   |   11:00 UTC   |   Bo3   |   Win: NEM 58% – NTR 42%   |   2-0 31% · 2-1 28% · 1-2 22% · 0-2 19%</t>
  </si>
  <si>
    <t>Nemesis (NEM)</t>
  </si>
  <si>
    <t>Nuclear TigeRES (NTR)</t>
  </si>
  <si>
    <t>HLTV: #46 · VRS: #35</t>
  </si>
  <si>
    <t>HLTV: #54 · VRS: #46</t>
  </si>
  <si>
    <t>5-5   L W L L W L L W W W</t>
  </si>
  <si>
    <t>8-2   W L W W W W L W W W</t>
  </si>
  <si>
    <t>-0.8</t>
  </si>
  <si>
    <t>+4.3</t>
  </si>
  <si>
    <t>50-31 (62%)</t>
  </si>
  <si>
    <t>66-49 (57%)</t>
  </si>
  <si>
    <t>+5.5 / -5.8</t>
  </si>
  <si>
    <t>+5.4 / -5.3</t>
  </si>
  <si>
    <t>14 / 6</t>
  </si>
  <si>
    <t>16 / 11</t>
  </si>
  <si>
    <t>52.5% (85-77) · R2 conv 82.4% · R2 break 29.9%</t>
  </si>
  <si>
    <t>53.0% (122-108) · R2 conv 84.3% · R2 break 19.4%</t>
  </si>
  <si>
    <t>6 series · 18 maps · team 70.4 kills/map
r3salt 20.8% (14.7/map)
Sdaim 20.4% (14.4/map)
SELLTER 20.0% (14.1/map)
mag1k3Y 19.8% (13.9/map)
tex1y 19.0% (13.4/map)</t>
  </si>
  <si>
    <t>6 series · 14 maps · team 68.9 kills/map
flouzer 21.3% (14.6/map)
Djon8 21.1% (14.5/map)
tronic 20.3% (14.0/map)
senka 18.8% (12.9/map)
ayuki 18.6% (12.8/map)</t>
  </si>
  <si>
    <t>1 - 2  Nemesis vs SINNERS
2 - 3  Nemesis vs K27
2 - 1  Nemesis vs Nuclear TigeRES
2 - 1  Nemesis vs HOTU
2 - 0  Nemesis vs Omega</t>
  </si>
  <si>
    <t>2 - 1  Nuclear TigeRES vs FOKUS
2 - 0  Nuclear TigeRES vs Butterfly
2 - 1  Nuclear TigeRES vs Phantom
2 - 0  Nuclear TigeRES vs LPH
13 - 7  Nuclear TigeRES vs OG</t>
  </si>
  <si>
    <t>First ban: Anubis×3, Mirage×1   First pick: Ancient×3, Cache×1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
2nd of Octob  Nemesis vs Nuclear TigeRES:  us ban Anubis · opp ban Cache · us pick Dust2 · opp pick Inferno · us ban Ancient · opp ban Mirage · left Nuke
1st of Octob  Nemesis vs HOTU:  us ban Anubis · opp ban Inferno · us pick Ancient · opp pick Dust2 · us ban Mirage · opp ban Nuke · left Cache
29th of Sept  Nemesis vs Omega:  opp ban Anubis · us ban Dust2 · opp pick Mirage · us pick Ancient · opp ban Nuke · us ban Inferno · left Cache</t>
  </si>
  <si>
    <t>First ban: Cache×1, Mirage×1   First pick: Anubis×3, Inferno×1
14th of Octo  Nuclear TigeRES vs FOKUS:  us ban Cache · opp ban Inferno · us pick Anubis · opp pick Nuke · opp ban Ancient · us ban Mirage · left Dust2
14th of Octo  Nuclear TigeRES vs Butterfly:  us ban Mirage · opp ban Anubis · us pick Inferno · opp pick Nuke · opp ban Cache · us ban Dust2 · left Ancient
14th of Octo  Nuclear TigeRES vs Phantom:  us ban Nuke · opp ban Cache · us pick Anubis · opp pick Mirage · opp ban Inferno · us ban Ancient · left Dust2
14th of Octo  Nuclear TigeRES vs LPH:  opp ban Cache · us ban Inferno · opp pick Nuke · us pick Anubis · opp ban Dust2 · us ban Mirage · left Ancient
13th of Octo  Nuclear TigeRES vs OG:  us ban Dust2 · us ban Nuke · opp ban Mirage · opp ban Anubis · opp ban Cache · us ban Inferno · left Ancient</t>
  </si>
  <si>
    <t>31%</t>
  </si>
  <si>
    <t>10-3</t>
  </si>
  <si>
    <t>62.5%</t>
  </si>
  <si>
    <t>12/26</t>
  </si>
  <si>
    <t>61.8%</t>
  </si>
  <si>
    <t>24/32</t>
  </si>
  <si>
    <t>27%</t>
  </si>
  <si>
    <t>12-8</t>
  </si>
  <si>
    <t>50.2%</t>
  </si>
  <si>
    <t>23/40</t>
  </si>
  <si>
    <t>16-8</t>
  </si>
  <si>
    <t>51.9%</t>
  </si>
  <si>
    <t>54.2%</t>
  </si>
  <si>
    <t>24/48</t>
  </si>
  <si>
    <t>21%</t>
  </si>
  <si>
    <t>9-8</t>
  </si>
  <si>
    <t>43.7%</t>
  </si>
  <si>
    <t>18/34</t>
  </si>
  <si>
    <t>12-13</t>
  </si>
  <si>
    <t>49.0%</t>
  </si>
  <si>
    <t>48.0%</t>
  </si>
  <si>
    <t>26/50</t>
  </si>
  <si>
    <t>8% | 32% | 30% | 25% | 5%</t>
  </si>
  <si>
    <t>+0.5</t>
  </si>
  <si>
    <t>62.6%</t>
  </si>
  <si>
    <t>40.7%</t>
  </si>
  <si>
    <t>7-7</t>
  </si>
  <si>
    <t>54.0%</t>
  </si>
  <si>
    <t>8% | 32% | 31% | 25% | 5%</t>
  </si>
  <si>
    <t>13-10</t>
  </si>
  <si>
    <t>24/46</t>
  </si>
  <si>
    <t>5% | 25% | 30% | 32% | 8%</t>
  </si>
  <si>
    <t>4%</t>
  </si>
  <si>
    <t>-2.4</t>
  </si>
  <si>
    <t>36.4%</t>
  </si>
  <si>
    <t>1-6</t>
  </si>
  <si>
    <t>46.7%</t>
  </si>
  <si>
    <t>36.9%</t>
  </si>
  <si>
    <t>6% | 29% | 31% | 28% | 6%</t>
  </si>
  <si>
    <t>57.3%</t>
  </si>
  <si>
    <t>11/22</t>
  </si>
  <si>
    <t>4-2</t>
  </si>
  <si>
    <t>64.0%</t>
  </si>
  <si>
    <t>43.8%</t>
  </si>
  <si>
    <t>CS2 · VOCA vs HAVU   |   12:00 UTC   |   Bo1   |   Win: VOCA 62% – HAVU 38%</t>
  </si>
  <si>
    <t>3% | 20% | 29% | 37% | 10%</t>
  </si>
  <si>
    <t>12% | 40% | 28% | 17% | 3%</t>
  </si>
  <si>
    <t>14% | 43% | 26% | 15% | 2%</t>
  </si>
  <si>
    <t>5% | 27% | 30% | 31% | 7%</t>
  </si>
  <si>
    <t>7% | 32% | 30% | 25% | 5%</t>
  </si>
  <si>
    <t>Maps 1-2 Kills</t>
  </si>
  <si>
    <t>CS2 · AST vs MIBR   |   14:00 UTC   |   Bo3   |   Win: AST 53% – MIBR 47%   |   2-0 27% · 2-1 26% · 1-2 25% · 0-2 22%</t>
  </si>
  <si>
    <t>Astralis (AST)</t>
  </si>
  <si>
    <t>MIBR (MIBR)</t>
  </si>
  <si>
    <t>HLTV: #15 · VRS: #10</t>
  </si>
  <si>
    <t>HLTV: #12 · VRS: #13</t>
  </si>
  <si>
    <t>8-2   W W L W W W W L W W</t>
  </si>
  <si>
    <t>5-5   W L W W W L W L L L</t>
  </si>
  <si>
    <t>39-31 (56%)</t>
  </si>
  <si>
    <t>32-21 (60%)</t>
  </si>
  <si>
    <t>+6.2 / -3.4</t>
  </si>
  <si>
    <t>+5.3 / -4.5</t>
  </si>
  <si>
    <t>12 / 0</t>
  </si>
  <si>
    <t>6 / 1</t>
  </si>
  <si>
    <t>50.7% (71-69) · R2 conv 85.7% · R2 break 18.8%</t>
  </si>
  <si>
    <t>6 series · 17 maps · team 75.2 kills/map
ryu 22.8% (17.1/map)
Staehr 22.1% (16.6/map)
phzy 21.3% (16.0/map)
jabbi 12.7% (13.5/map)
HooXi 10.3% (10.9/map)
cmtry 5.8% (14.8/map) (sub)
siuhy 5.2% (13.2/map) (sub)</t>
  </si>
  <si>
    <t>6 series · 15 maps · team 74.3 kills/map
insani 23.4% (17.4/map)
tomaszin 21.1% (15.7/map)
nqz 19.7% (14.6/map)
venomzera 18.0% (13.4/map)
LNZ 17.8% (13.2/map)</t>
  </si>
  <si>
    <t>2 - 1  Astralis vs HOTU
2 - 0  Astralis vs Sashi
3 - 1  Astralis vs Nemiga
2 - 1  Astralis vs Luminosity
2 - 0  Astralis vs fnatic</t>
  </si>
  <si>
    <t>2 - 1  MIBR vs BC.Game
2 - 0  MIBR vs Envy
1 - 2  MIBR vs BC.Game
0 - 2  MIBR vs FURIA
2 - 0  MIBR vs NRG</t>
  </si>
  <si>
    <t>First ban: Anubis×4, Dust2×1   First pick: Ancient×3, Mirage×1
14th of Octo  Astralis vs HOTU:  opp ban Inferno · us ban Anubis · opp pick Dust2 · us pick Ancient · opp ban Mirage · us ban Cache · left Nuke
14th of Octo  Astralis vs Sashi:  opp ban Ancient · us ban Anubis · opp pick Nuke · us pick Mirage · opp ban Cache · us ban Dust2 · left Inferno
4th of Octob  Astralis vs Nemiga:  opp ban Inferno · us ban Anubis · opp pick Mirage · us pick Ancient · opp pick Nuke · us pick Cache · left Dust2
4th of Octob  Astralis vs Luminosity:  opp ban Anubis · us ban Dust2 · opp pick Mirage · us pick Cache · us ban Inferno · opp ban Ancient · left Nuke
3rd of Octob  Astralis vs fnatic:  opp ban Nuke · us ban Anubis · opp pick Dust2 · us pick Ancient · us ban Inferno · opp ban Cache · left Mirage</t>
  </si>
  <si>
    <t>First ban: Dust2×5   First pick: Ancient×3, Mirage×1
15th of Octo  MIBR vs BC.Game:  opp ban Anubis · us ban Dust2 · opp pick Mirage · us pick Ancient · opp ban Nuke · us ban Cache · left Inferno
15th of Octo  MIBR vs Envy:  opp ban Mirage · us ban Dust2 · opp pick Anubis · us pick Ancient · opp ban Nuke · us ban Cache · left Inferno
15th of Octo  MIBR vs BC.Game:  opp ban Anubis · us ban Dust2 · opp pick Cache · us pick Ancient · opp ban Inferno · us ban Mirage · left Nuke
19th of Sept  MIBR vs FURIA:  us ban Dust2 · opp ban Anubis · us pick Mirage · opp pick Nuke · opp ban Ancient · us ban Cache · left Inferno
19th of Sept  MIBR vs NRG:  opp ban Anubis · us ban Dust2 · opp pick Cache · us pick Inferno · us ban Ancient · opp ban Mirage · left Nuke</t>
  </si>
  <si>
    <t>14-5</t>
  </si>
  <si>
    <t>+2.8</t>
  </si>
  <si>
    <t>65.1%</t>
  </si>
  <si>
    <t>49.4%</t>
  </si>
  <si>
    <t>19/38</t>
  </si>
  <si>
    <t>46.0%</t>
  </si>
  <si>
    <t>52.3%</t>
  </si>
  <si>
    <t>8/18</t>
  </si>
  <si>
    <t>11% | 39% | 28% | 18% | 3%</t>
  </si>
  <si>
    <t>-0.2</t>
  </si>
  <si>
    <t>16/26</t>
  </si>
  <si>
    <t>3% | 20% | 29% | 38% | 10%</t>
  </si>
  <si>
    <t>4-3</t>
  </si>
  <si>
    <t>58.1%</t>
  </si>
  <si>
    <t>9/14</t>
  </si>
  <si>
    <t>12/18</t>
  </si>
  <si>
    <t>7% | 30% | 30% | 28% | 6%</t>
  </si>
  <si>
    <t>11-2</t>
  </si>
  <si>
    <t>+5.6</t>
  </si>
  <si>
    <t>67.9%</t>
  </si>
  <si>
    <t>13/26</t>
  </si>
  <si>
    <t>59.1%</t>
  </si>
  <si>
    <t>42.0%</t>
  </si>
  <si>
    <t>7/16</t>
  </si>
  <si>
    <t>6-7</t>
  </si>
  <si>
    <t>+2.0</t>
  </si>
  <si>
    <t>63.2%</t>
  </si>
  <si>
    <t>43.6%</t>
  </si>
  <si>
    <t>15/26</t>
  </si>
  <si>
    <t>6-6</t>
  </si>
  <si>
    <t>39.5%</t>
  </si>
  <si>
    <t>10/24</t>
  </si>
  <si>
    <t>7% | 29% | 31% | 26% | 6%</t>
  </si>
  <si>
    <t>2%</t>
  </si>
  <si>
    <t>-5.5</t>
  </si>
  <si>
    <t>5.9%</t>
  </si>
  <si>
    <t>58.3%</t>
  </si>
  <si>
    <t>1-1</t>
  </si>
  <si>
    <t>47.8%</t>
  </si>
  <si>
    <t>59.3%</t>
  </si>
  <si>
    <t>-2.7</t>
  </si>
  <si>
    <t>42.9%</t>
  </si>
  <si>
    <t>44.6%</t>
  </si>
  <si>
    <t>4% | 23% | 30% | 34% | 8%</t>
  </si>
  <si>
    <t>CS2 · AUR vs 9z   |   14:00 UTC   |   Bo3   |   Win: AUR 66% – 9z 34%   |   2-0 35% · 2-1 30% · 1-2 18% · 0-2 16%</t>
  </si>
  <si>
    <t>CS2 · VOCA vs PHA</t>
  </si>
  <si>
    <t>Aurora (AUR)</t>
  </si>
  <si>
    <t>9z Team (9z)</t>
  </si>
  <si>
    <t>Ancient 52%</t>
  </si>
  <si>
    <t>HLTV: #6 · VRS: #5</t>
  </si>
  <si>
    <t>Nuke 15%</t>
  </si>
  <si>
    <t>HLTV: #17 · VRS: #11</t>
  </si>
  <si>
    <t>Mirage 8%</t>
  </si>
  <si>
    <t>6-4   W W L L W W L L W W</t>
  </si>
  <si>
    <t>5-5   L W L W W L L W W L</t>
  </si>
  <si>
    <t>+0.7</t>
  </si>
  <si>
    <t>39-24 (62%)</t>
  </si>
  <si>
    <t>13-20 (39%)</t>
  </si>
  <si>
    <t>+5.6 / -5.4</t>
  </si>
  <si>
    <t>+6.1 / -6.2</t>
  </si>
  <si>
    <t>8 / 7</t>
  </si>
  <si>
    <t>54.0% (68-58) · R2 conv 92.6% · R2 break 15.5%</t>
  </si>
  <si>
    <t>6 series · 13 maps · team 71.7 kills/map
Wicadia 24.7% (17.7/map)
XANTARES 21.6% (15.5/map)
woxic 21.0% (15.1/map)
Jimpphat 18.9% (13.5/map)
kyxsan 13.8% (9.9/map)</t>
  </si>
  <si>
    <t>VOCA</t>
  </si>
  <si>
    <t>6 series · 14 maps · team 62.5 kills/map
luchov 24.2% (15.1/map)
dgt 21.4% (13.4/map)
HUASOPEEK 19.9% (12.4/map)
meyern 19.4% (12.1/map)
max 15.1% (9.4/map)</t>
  </si>
  <si>
    <t>PHA</t>
  </si>
  <si>
    <t>2 - 0  Aurora vs Ninjas in Pyjamas
2 - 0  Aurora vs Ninjas in Pyjamas
0 - 2  Aurora vs 9z
2 - 0  Aurora vs Spirit
1 - 2  Aurora vs Vitality</t>
  </si>
  <si>
    <t>1 - 2  9z vs Falcons
1 - 2  9z vs Falcons
2 - 0  9z vs Aurora
0 - 2  9z vs FURIA
2 - 0  9z vs BETBOOM</t>
  </si>
  <si>
    <t>First ban: Ancient×4, Dust2×1   First pick: Dust2×2, Anubis×2
15th of Octo  Aurora vs Ninjas in Pyjamas:  opp ban Anubis · us ban Ancient · opp pick Cache · us pick Dust2 · opp ban Mirage · us ban Inferno · left Nuke
15th of Octo  Aurora vs Ninjas in Pyjamas:  opp ban Anubis · us ban Ancient · opp pick Cache · us pick Dust2 · opp ban Mirage · us ban Inferno · left Nuke
14th of Octo  Aurora vs 9z:  opp ban Anubis · us ban Ancient · opp pick Inferno · us pick Nuke · opp ban Mirage · us ban Cache · left Dust2
11th of Octo  Aurora vs Spirit:  opp ban Inferno · us ban Ancient · opp pick Mirage · us pick Anubis · opp ban Cache · us ban Dust2 · left Nuke
10th of Octo  Aurora vs Vitality:  us ban Dust2 · opp ban Ancient · us pick Anubis · opp pick Cache · us ban Inferno · opp ban Nuke · left Mirage</t>
  </si>
  <si>
    <t>First ban: Anubis×5   First pick: Nuke×3, Inferno×1
15th of Octo  9z vs Falcons:  us ban Anubis · opp ban Cache · us pick Nuke · opp pick Mirage · us ban Inferno · opp ban Ancient · left Dust2
15th of Octo  9z vs Falcons:  us ban Anubis · opp ban Cache · us pick Nuke · opp pick Mirage · us ban Inferno · opp ban Ancient · left Dust2
14th of Octo  9z vs Aurora:  us ban Anubis · opp ban Ancient · us pick Inferno · opp pick Nuke · us ban Mirage · opp ban Cache · left Dust2
7th of Octob  9z vs FURIA:  us ban Anubis · opp ban Dust2 · us pick Nuke · opp pick Inferno · us ban Cache · opp ban Ancient · left Mirage
6th of Octob  9z vs BETBOOM:  us ban Anubis · opp ban Inferno · us pick Dust2 · opp pick Mirage · us ban Cache · opp ban Ancient · left Nuke</t>
  </si>
  <si>
    <t>70.6%</t>
  </si>
  <si>
    <t>44.7%</t>
  </si>
  <si>
    <t>-1.9</t>
  </si>
  <si>
    <t>34.4%</t>
  </si>
  <si>
    <t>12% | 39% | 28% | 17% | 3%</t>
  </si>
  <si>
    <t>10-6</t>
  </si>
  <si>
    <t>42.7%</t>
  </si>
  <si>
    <t>15/32</t>
  </si>
  <si>
    <t>60.8%</t>
  </si>
  <si>
    <t>48.2%</t>
  </si>
  <si>
    <t>5% | 25% | 31% | 31% | 7%</t>
  </si>
  <si>
    <t>59.8%</t>
  </si>
  <si>
    <t>7/18</t>
  </si>
  <si>
    <t>-3.1</t>
  </si>
  <si>
    <t>+0.2</t>
  </si>
  <si>
    <t>1-3</t>
  </si>
  <si>
    <t>-3.5</t>
  </si>
  <si>
    <t>38.3%</t>
  </si>
  <si>
    <t>5/8</t>
  </si>
  <si>
    <t>51.1%</t>
  </si>
  <si>
    <t>48.7%</t>
  </si>
  <si>
    <t>14/16</t>
  </si>
  <si>
    <t>57.6%</t>
  </si>
  <si>
    <t>69.9%</t>
  </si>
  <si>
    <t>11% | 38% | 29% | 20% | 3%</t>
  </si>
  <si>
    <t>-2.0</t>
  </si>
  <si>
    <t>44.4%</t>
  </si>
  <si>
    <t>0/4</t>
  </si>
  <si>
    <t>7% | 30% | 30% | 27% | 5%</t>
  </si>
  <si>
    <t>CS2 · BBL vs EYE   |   14:00 UTC   |   Bo3   |   Win: BBL 54% – EYE 46%   |   2-0 27% · 2-1 27% · 1-2 24% · 0-2 22%</t>
  </si>
  <si>
    <t>BBL Esports (BBL)</t>
  </si>
  <si>
    <t>EYEBALLERS (EYE)</t>
  </si>
  <si>
    <t>HLTV: #49 · VRS: #41</t>
  </si>
  <si>
    <t>HLTV: #52 · VRS: #47</t>
  </si>
  <si>
    <t>3-7   L L W L L W L L W L</t>
  </si>
  <si>
    <t>4-6   L L L L W W W L W L</t>
  </si>
  <si>
    <t>25-30 (45%)</t>
  </si>
  <si>
    <t>13-21 (38%)</t>
  </si>
  <si>
    <t>+6.1 / -5.3</t>
  </si>
  <si>
    <t>+5.8 / -4.5</t>
  </si>
  <si>
    <t>10 / 7</t>
  </si>
  <si>
    <t>3 / 4</t>
  </si>
  <si>
    <t>6 series · 15 maps · team 68.7 kills/map
NickyB 22.6% (15.5/map)
leakz 22.4% (15.4/map)
salazar 19.2% (13.2/map)
IceBerg 16.6% (11.4/map)
Boye 12.2% (14.0/map)
MistR 7.0% (12.0/map)</t>
  </si>
  <si>
    <t>6 series · 9 maps · team 70.8 kills/map
dex 24.3% (17.2/map)
maxster 19.5% (13.8/map)
KRIMZ 19.2% (13.6/map)
Ro1f 19.0% (13.4/map)
JW 18.1% (12.8/map)</t>
  </si>
  <si>
    <t>1 - 2  BBL vs JiJieHao
1 - 2  BBL vs Liquid
0 - 2  BBL vs Ninjas in Pyjamas
2 - 1  BBL vs BC.Game
2 - 1  BBL vs FOKUS</t>
  </si>
  <si>
    <t>0 - 2  EYEBALLERS vs K27
1 - 2  EYEBALLERS vs magic
13 - 10  EYEBALLERS vs Inner Circle
13 - 3  EYEBALLERS vs INFINITE
4 - 13  EYEBALLERS vs BBL</t>
  </si>
  <si>
    <t>First ban: Dust2×5   First pick: Nuke×2, Ancient×2
13th of Octo  BBL vs JiJieHao:  us ban Dust2 · opp ban Nuke · us pick Inferno · opp pick Mirage · us ban Anubis · opp ban Ancient · left Cache
13th of Octo  BBL vs Liquid:  us ban Dust2 · opp ban Ancient · us pick Nuke · opp pick Mirage · us ban Anubis · opp ban Inferno · left Cache
3rd of Octob  BBL vs Ninjas in Pyjamas:  us ban Dust2 · opp ban Anubis · us pick Ancient · opp pick Cache · us ban Mirage · opp ban Inferno · left Nuke
3rd of Octob  BBL vs BC.Game:  us ban Dust2 · opp ban Anubis · us pick Ancient · opp pick Cache · us ban Mirage · opp ban Nuke · left Inferno
2nd of Octob  BBL vs FOKUS:  us ban Dust2 · opp ban Inferno · us pick Nuke · opp pick Cache · us ban Anubis · opp ban Ancient · left Mirage</t>
  </si>
  <si>
    <t>First ban: Cache×5   First pick: Anubis×2
26th of Sept  EYEBALLERS vs K27:  opp ban Inferno · us ban Cache · opp pick Nuke · us pick Anubis · us ban Mirage · opp ban Ancient · left Dust2
25th of Sept  EYEBALLERS vs magic:  us ban Cache · opp ban Nuke · us pick Anubis · opp pick Dust2 · opp ban Mirage · us ban Inferno · left Ancient
18th of Sept  EYEBALLERS vs Inner Circle:  us ban Cache · us ban Dust2 · opp ban Inferno · opp ban Mirage · opp ban Ancient · us ban Nuke · left Anubis
18th of Sept  EYEBALLERS vs INFINITE:  opp ban Inferno · opp ban Anubis · us ban Cache · us ban Mirage · us ban Nuke · opp ban Ancient · left Dust2
18th of Sept  EYEBALLERS vs BBL:  opp ban Anubis · opp ban Mirage · us ban Cache · us ban Nuke · us ban Inferno · opp ban Dust2 · left Ancient</t>
  </si>
  <si>
    <t>28%</t>
  </si>
  <si>
    <t>+4.0</t>
  </si>
  <si>
    <t>60.5%</t>
  </si>
  <si>
    <t>11/16</t>
  </si>
  <si>
    <t>52.7%</t>
  </si>
  <si>
    <t>8-7</t>
  </si>
  <si>
    <t>1-2</t>
  </si>
  <si>
    <t>12%</t>
  </si>
  <si>
    <t>33.3%</t>
  </si>
  <si>
    <t>57.1%</t>
  </si>
  <si>
    <t>44.3%</t>
  </si>
  <si>
    <t>-2.1</t>
  </si>
  <si>
    <t>49.6%</t>
  </si>
  <si>
    <t>38.0%</t>
  </si>
  <si>
    <t>6/22</t>
  </si>
  <si>
    <t>K12</t>
  </si>
  <si>
    <t>51.3%</t>
  </si>
  <si>
    <t>8/20</t>
  </si>
  <si>
    <t>59.2%</t>
  </si>
  <si>
    <t>36.7%</t>
  </si>
  <si>
    <t>6/8</t>
  </si>
  <si>
    <t>2-8</t>
  </si>
  <si>
    <t>-1.8</t>
  </si>
  <si>
    <t>40.9%</t>
  </si>
  <si>
    <t>-7.7</t>
  </si>
  <si>
    <t>CS2 · PHA vs RGG   |   14:00 UTC   |   Bo1   |   Win: PHA 85% – RGG 15%</t>
  </si>
  <si>
    <t>5% | 25% | 31% | 32% | 8%</t>
  </si>
  <si>
    <t>17%</t>
  </si>
  <si>
    <t>13% | 42% | 27% | 15% | 2%</t>
  </si>
  <si>
    <t>5% | 27% | 30% | 30% | 7%</t>
  </si>
  <si>
    <t>19% | 48% | 22% | 10% | 1%</t>
  </si>
  <si>
    <t>21.5</t>
  </si>
  <si>
    <t>CS2 · VOCA vs RGG   |   16:00 UTC   |   Bo1   |   Win: VOCA 84% – RGG 16%</t>
  </si>
  <si>
    <t>5% | 25% | 30% | 31% | 8%</t>
  </si>
  <si>
    <t>Gizmy</t>
  </si>
  <si>
    <t>11% | 38% | 29% | 19% | 3%</t>
  </si>
  <si>
    <t>CS2 · 100T vs SNG   |   17:00 UTC   |   Bo3   |   Win: 100T 66% – SNG 34%   |   2-0 37% · 2-1 29% · 1-2 18% · 0-2 16%</t>
  </si>
  <si>
    <t>Sangal (SNG)</t>
  </si>
  <si>
    <t>HLTV: #37 · VRS: #24</t>
  </si>
  <si>
    <t>HLTV: #45 · VRS: #39</t>
  </si>
  <si>
    <t>7-3   W L W W W L L W W W</t>
  </si>
  <si>
    <t>6-4   W W W W L L L L W W</t>
  </si>
  <si>
    <t>42-25 (63%)</t>
  </si>
  <si>
    <t>44-25 (64%)</t>
  </si>
  <si>
    <t>+6.3 / -6.0</t>
  </si>
  <si>
    <t>+5.5 / -6.1</t>
  </si>
  <si>
    <t>12 / 10</t>
  </si>
  <si>
    <t>54.5% (73-61) · R2 conv 79.2% · R2 break 23.3%</t>
  </si>
  <si>
    <t>53.6% (74-64) · R2 conv 86.3% · R2 break 28.1%</t>
  </si>
  <si>
    <t>6 series · 12 maps · team 67.8 kills/map
poiii 24.2% (16.4/map)
device 21.4% (14.5/map)
rain 20.3% (13.8/map)
sirah 18.8% (12.8/map)
Gizmy 15.3% (10.3/map)</t>
  </si>
  <si>
    <t>6 series · 15 maps · team 70.0 kills/map
Joey 22.4% (15.7/map)
adamS 21.4% (15.0/map)
bnox 20.8% (14.5/map)
puuha 18.7% (13.1/map)
R4DYX 16.8% (11.7/map)</t>
  </si>
  <si>
    <t>2 - 1  100 Thieves vs Liquid
2 - 0  100 Thieves vs JiJieHao
1 - 2  100 Thieves vs JiJieHao
2 - 0  100 Thieves vs Voca
5 - 13  100 Thieves vs SINNERS</t>
  </si>
  <si>
    <t>2 - 0  Sangal vs Inner Circle
2 - 0  Sangal vs Betclic
0 - 2  Sangal vs Inner Circle
1 - 2  Sangal vs NAVI Junior
2 - 1  Sangal vs PURE</t>
  </si>
  <si>
    <t>First ban: Mirage×3, Anubis×1   First pick: Dust2×4
13th of Octo  100 Thieves vs Liquid:  us ban Anubis · opp ban Ancient · us pick Dust2 · opp pick Inferno · us ban Cache · opp ban Nuke · left Mirage
13th of Octo  100 Thieves vs JiJieHao:  opp ban Nuke · us ban Mirage · opp pick Cache · us pick Dust2 · opp ban Ancient · us ban Anubis · left Inferno
3rd of Octob  100 Thieves vs JiJieHao:  us ban Mirage · opp ban Nuke · us pick Dust2 · opp pick Cache · us ban Ancient · opp ban Inferno · left Anubis
2nd of Octob  100 Thieves vs Voca:  us ban Mirage · opp ban Inferno · us pick Dust2 · opp pick Ancient · us ban Cache · opp ban Anubis · left Nuke
2nd of Octob  100 Thieves vs SINNERS:  opp ban Anubis · us ban Cache · opp ban Inferno · us ban Ancient · opp ban Dust2 · us ban Nuke · left Mirage</t>
  </si>
  <si>
    <t>First ban: Ancient×3, Inferno×2   First pick: Cache×2, Mirage×1
12th of Octo  Sangal vs Inner Circle:  opp ban Nuke · us ban Ancient · opp pick Dust2 · us pick Cache · opp ban Anubis · us ban Inferno · left Mirage
12th of Octo  Sangal vs Betclic:  us ban Ancient · opp ban Nuke · us pick Mirage · opp pick Anubis · us ban Inferno · opp ban Dust2 · left Cache
12th of Octo  Sangal vs Inner Circle:  us ban Ancient · opp ban Nuke · us pick Anubis · opp pick Dust2 · us ban Inferno · opp ban Cache · left Mirage
10th of Octo  Sangal vs NAVI Junior:  us ban Inferno · opp ban Nuke · us pick Cache · opp pick Mirage · us ban Ancient · opp ban Dust2 · left Anubis
10th of Octo  Sangal vs PURE:  opp ban Dust2 · us ban Inferno · opp pick Ancient · us pick Nuke · opp ban Mirage · us ban Anubis · left Cache</t>
  </si>
  <si>
    <t>12-2</t>
  </si>
  <si>
    <t>59.6%</t>
  </si>
  <si>
    <t>63.3%</t>
  </si>
  <si>
    <t>14/28</t>
  </si>
  <si>
    <t>5-6</t>
  </si>
  <si>
    <t>38.8%</t>
  </si>
  <si>
    <t>8/22</t>
  </si>
  <si>
    <t>17% | 46% | 24% | 12% | 2%</t>
  </si>
  <si>
    <t>21.7</t>
  </si>
  <si>
    <t>5-5</t>
  </si>
  <si>
    <t>37.8%</t>
  </si>
  <si>
    <t>67.6%</t>
  </si>
  <si>
    <t>4% | 20% | 30% | 36% | 11%</t>
  </si>
  <si>
    <t>66.3%</t>
  </si>
  <si>
    <t>9% | 36% | 30% | 22% | 4%</t>
  </si>
  <si>
    <t>-0.1</t>
  </si>
  <si>
    <t>41.4%</t>
  </si>
  <si>
    <t>58.9%</t>
  </si>
  <si>
    <t>9%</t>
  </si>
  <si>
    <t>11-4</t>
  </si>
  <si>
    <t>59.9%</t>
  </si>
  <si>
    <t>16/30</t>
  </si>
  <si>
    <t>4% | 21% | 29% | 36% | 9%</t>
  </si>
  <si>
    <t>56.8%</t>
  </si>
  <si>
    <t>16/22</t>
  </si>
  <si>
    <t>52.2%</t>
  </si>
  <si>
    <t>CS2 · BB vs LGC   |   17:00 UTC   |   Bo3   |   Win: BB 37% – LGC 63%   |   2-0 17% · 2-1 20% · 1-2 27% · 0-2 36%</t>
  </si>
  <si>
    <t>CS2 · HAVU vs RGG</t>
  </si>
  <si>
    <t>Fri 05:00</t>
  </si>
  <si>
    <t>Nuke 29%</t>
  </si>
  <si>
    <t>Mirage 24%</t>
  </si>
  <si>
    <t>BB Team (BB)</t>
  </si>
  <si>
    <t>Dust2 15%</t>
  </si>
  <si>
    <t>Legacy (LGC)</t>
  </si>
  <si>
    <t>HLTV veto: played, minus first-bans (no Map Picks)</t>
  </si>
  <si>
    <t>HLTV: #14 · VRS: #12</t>
  </si>
  <si>
    <t>HLTV: #7 · VRS: #7</t>
  </si>
  <si>
    <t>3-7   W W L L L L L L W L</t>
  </si>
  <si>
    <t>4-6   L L W W W L W L L L</t>
  </si>
  <si>
    <t>12-14 (46%)</t>
  </si>
  <si>
    <t>31-19 (62%)</t>
  </si>
  <si>
    <t>+4.4 / -4.7</t>
  </si>
  <si>
    <t>+4.5 / -5.7</t>
  </si>
  <si>
    <t>1 / 3</t>
  </si>
  <si>
    <t>5 / 3</t>
  </si>
  <si>
    <t>6 series · 15 maps · team 70.5 kills/map
d1Ledez 21.8% (15.4/map)
zorte 21.3% (15.0/map)
S1ren 20.7% (14.6/map)
Magnojez 20.5% (14.5/map)
Boombl4 15.7% (11.1/map)</t>
  </si>
  <si>
    <t>6 series · 15 maps · team 66.3 kills/map
dumau 23.1% (15.3/map)
latto 21.6% (14.3/map)
try 21.0% (13.9/map)
n1ssim 17.8% (11.8/map)
arT 9.7% (12.0/map)
bobz 6.7% (9.6/map)</t>
  </si>
  <si>
    <t>HAVU</t>
  </si>
  <si>
    <t>RGG</t>
  </si>
  <si>
    <t>1 - 2  PARIVISION vs BETBOOM
2 - 1  BETBOOM vs PARIVISION
0 - 2  BETBOOM vs FURIA
0 - 2  BETBOOM vs 9z
1 - 2  BETBOOM vs Aurora</t>
  </si>
  <si>
    <t>1 - 2  Legacy vs FURIA
1 - 2  Legacy vs FURIA
2 - 0  Legacy vs PARIVISION
1 - 2  Legacy vs M80
0 - 2  Legacy vs 1win</t>
  </si>
  <si>
    <t>First ban: Inferno×5   First pick: Anubis×2, Mirage×2
15th of Octo  PARIVISION vs BETBOOM:  opp ban Nuke · us ban Inferno · opp pick Ancient · us pick Anubis · opp ban Cache · us ban Dust2 · left Mirage
15th of Octo  BETBOOM vs PARIVISION:  opp ban Nuke · us ban Inferno · opp pick Ancient · us pick Anubis · opp ban Cache · us ban Dust2 · left Mirage
14th of Octo  BETBOOM vs FURIA:  us ban Inferno · opp ban Anubis · us pick Ancient · opp pick Mirage · us ban Cache · opp ban Dust2 · left Nuke
6th of Octob  BETBOOM vs 9z:  opp ban Anubis · us ban Inferno · opp pick Dust2 · us pick Mirage · opp ban Cache · us ban Ancient · left Nuke
5th of Octob  BETBOOM vs Aurora:  us ban Inferno · opp ban Ancient · us pick Mirage · opp pick Nuke · us ban Cache · opp ban Dust2 · left Anubis</t>
  </si>
  <si>
    <t>First ban: Anubis×5   First pick: Inferno×2, Mirage×2
15th of Octo  Legacy vs FURIA:  opp ban Ancient · us ban Anubis · opp pick Cache · us pick Inferno · opp ban Dust2 · us ban Nuke · left Mirage
15th of Octo  Legacy vs FURIA:  opp ban Ancient · us ban Anubis · opp pick Cache · us pick Inferno · opp ban Dust2 · us ban Nuke · left Mirage
14th of Octo  Legacy vs PARIVISION:  opp ban Nuke · us ban Anubis · opp pick Dust2 · us pick Mirage · opp ban Cache · us ban Inferno · left Ancient
6th of Octob  Legacy vs M80:  opp ban Nuke · us ban Anubis · opp pick Cache · us pick Mirage · opp ban Ancient · us ban Inferno · left Dust2
5th of Octob  Legacy vs 1win:  opp ban Nuke · us ban Anubis · opp pick Dust2 · us pick Ancient · opp ban Inferno · us ban Cache · left Mirage</t>
  </si>
  <si>
    <t>70%</t>
  </si>
  <si>
    <t>-1.3</t>
  </si>
  <si>
    <t>45.4%</t>
  </si>
  <si>
    <t>-2.5</t>
  </si>
  <si>
    <t>51.6%</t>
  </si>
  <si>
    <t>53.4%</t>
  </si>
  <si>
    <t>13/22</t>
  </si>
  <si>
    <t>4% | 23% | 30% | 35% | 9%</t>
  </si>
  <si>
    <t>54.3%</t>
  </si>
  <si>
    <t>4-1</t>
  </si>
  <si>
    <t>63.5%</t>
  </si>
  <si>
    <t>45.6%</t>
  </si>
  <si>
    <t>4/10</t>
  </si>
  <si>
    <t>2/2</t>
  </si>
  <si>
    <t>7-6</t>
  </si>
  <si>
    <t>55.0%</t>
  </si>
  <si>
    <t>47.3%</t>
  </si>
  <si>
    <t>47.7%</t>
  </si>
  <si>
    <t>CS2 · GL vs ex-RUSTEC   |   17:00 UTC   |   Bo3   |   Win: GL 81% – ex-RUSTEC 19%</t>
  </si>
  <si>
    <t>71%/5/7</t>
  </si>
  <si>
    <t>GamerLegion (GL)</t>
  </si>
  <si>
    <t>ex-RUSTEC (ex-RUSTEC)</t>
  </si>
  <si>
    <t>HLTV: #22 · VRS: #33</t>
  </si>
  <si>
    <t>HLTV: #79 · VRS: #88</t>
  </si>
  <si>
    <t>6-4   L W L W W W W L L W</t>
  </si>
  <si>
    <t>6-4   L L W W L W L W W W</t>
  </si>
  <si>
    <t>23-21 (52%)</t>
  </si>
  <si>
    <t>93-72 (56%)</t>
  </si>
  <si>
    <t>+5.0 / -4.7</t>
  </si>
  <si>
    <t>+5.4 / -5.0</t>
  </si>
  <si>
    <t>6 / 3</t>
  </si>
  <si>
    <t>23 / 12</t>
  </si>
  <si>
    <t>49.1% (162-168) · R2 conv 83.3% · R2 break 21.4%</t>
  </si>
  <si>
    <t>6 series · 15 maps · team 84.3 kills/map
FL4MUS 24.0% (20.2/map)
REZ 19.5% (16.5/map)
hypex 19.0% (16.0/map)
Tauson 18.8% (15.9/map)
Snax 18.7% (15.7/map)</t>
  </si>
  <si>
    <t>6 series · 13 maps · team 76.9 kills/map
youka 22.1% (17.0/map)
shalfey 20.5% (15.8/map)
bl1x1 20.5% (15.8/map)
Brilliance 16.8% (12.9/map)
relaxxie 14.2% (17.8/map)
yiksrezo 5.9% (11.8/map) (sub)</t>
  </si>
  <si>
    <t>1 - 2  GamerLegion vs PRIVATE
2 - 0  GamerLegion vs SINNERS
2 - 0  GamerLegion vs BET-M
1 - 3  GamerLegion vs Ninjas in Pyjamas
2 - 0  GamerLegion vs magic</t>
  </si>
  <si>
    <t>1 - 2  ex-RUSTEC vs Black Phoenix
2 - 1  ex-RUSTEC vs mellren
2 - 1  ex-RUSTEC vs Nuclear TigeRES
2 - 0  ex-RUSTEC vs The Golden Horde
2 - 0  ex-RUSTEC vs Nordic Partners</t>
  </si>
  <si>
    <t>First ban: Anubis×3, Dust2×1   First pick: Cache×2, Ancient×2
10th of Octo  GamerLegion vs PRIVATE:  opp ban Inferno · us ban Anubis · opp pick Mirage · us pick Cache · us ban Dust2 · opp ban Nuke · left Ancient
9th of Octob  GamerLegion vs SINNERS:  us ban Dust2 · opp ban Cache · us pick Nuke · opp pick Ancient · opp ban Inferno · us ban Anubis · left Mirage
8th of Octob  GamerLegion vs BET-M:  us ban Anubis · opp ban Cache · us pick Ancient · opp pick Inferno · opp ban Mirage · us ban Dust2 · left Nuke
28th of Sept  GamerLegion vs Ninjas in Pyjamas:  us ban Inferno · opp ban Dust2 · us pick Ancient · opp pick Nuke · us pick Cache · opp pick Mirage · left Anubis
28th of Sept  GamerLegion vs magic:  us ban Anubis · opp ban Nuke · us pick Cache · opp pick Ancient · opp ban Inferno · us ban Dust2 · left Mirage</t>
  </si>
  <si>
    <t>First ban: Inferno×5   First pick: Nuke×4, Cache×1
14th of Octo  ex-RUSTEC vs Black Phoenix:  us ban Inferno · opp ban Ancient · us pick Nuke · opp pick Dust2 · us ban Mirage · opp ban Anubis · left Cache
14th of Octo  ex-RUSTEC vs mellren:  opp ban Nuke · us ban Inferno · opp pick Ancient · us pick Cache · opp ban Dust2 · us ban Mirage · left Anubis
12th of Octo  ex-RUSTEC vs Nuclear TigeRES:  opp ban Mirage · us ban Inferno · opp pick Ancient · us pick Nuke · us ban Cache · opp ban Dust2 · left Anubis
12th of Octo  ex-RUSTEC vs The Golden Horde:  us ban Inferno · opp ban Mirage · us pick Nuke · opp pick Anubis · opp ban Ancient · us ban Cache · left Dust2
12th of Octo  ex-RUSTEC vs Nordic Partners:  us ban Inferno · opp ban Ancient · us pick Nuke · opp pick Mirage · opp ban Cache · us ban Anubis · left Dust2</t>
  </si>
  <si>
    <t>acphdzip9ah477u|CS2 · 100T vs SNG</t>
  </si>
  <si>
    <t>32%</t>
  </si>
  <si>
    <t>62.1%</t>
  </si>
  <si>
    <t>18-16</t>
  </si>
  <si>
    <t>41.5%</t>
  </si>
  <si>
    <t>33/68</t>
  </si>
  <si>
    <t>8% | 32% | 31% | 24% | 5%</t>
  </si>
  <si>
    <t>18%</t>
  </si>
  <si>
    <t>8-1</t>
  </si>
  <si>
    <t>+1.2</t>
  </si>
  <si>
    <t>5-2</t>
  </si>
  <si>
    <t>8/12</t>
  </si>
  <si>
    <t>24-20</t>
  </si>
  <si>
    <t>52.5%</t>
  </si>
  <si>
    <t>42/88</t>
  </si>
  <si>
    <t>4% | 24% | 30% | 34% | 8%</t>
  </si>
  <si>
    <t>1-7</t>
  </si>
  <si>
    <t>41.9%</t>
  </si>
  <si>
    <t>43.5%</t>
  </si>
  <si>
    <t>5/16</t>
  </si>
  <si>
    <t>11-11</t>
  </si>
  <si>
    <t>54.7%</t>
  </si>
  <si>
    <t>17/44</t>
  </si>
  <si>
    <t>1-0</t>
  </si>
  <si>
    <t>77.8%</t>
  </si>
  <si>
    <t>14/30</t>
  </si>
  <si>
    <t>9% | 34% | 30% | 23% | 4%</t>
  </si>
  <si>
    <t>20-8</t>
  </si>
  <si>
    <t>32/56</t>
  </si>
  <si>
    <t>CS2 · PHA vs HAVU   |   18:00 UTC   |   Bo1   |   Win: PHA 70% – HAVU 30%</t>
  </si>
  <si>
    <t>11%</t>
  </si>
  <si>
    <t>4% | 20% | 29% | 36% | 10%</t>
  </si>
  <si>
    <t>CS2 · FNC vs HERO</t>
  </si>
  <si>
    <t>Fri 06:00</t>
  </si>
  <si>
    <t>Cache 25%</t>
  </si>
  <si>
    <t>Inferno 23%</t>
  </si>
  <si>
    <t>Ancient 20%</t>
  </si>
  <si>
    <t>FNC</t>
  </si>
  <si>
    <t>HERO</t>
  </si>
  <si>
    <t>57%/4/7</t>
  </si>
  <si>
    <t>Key</t>
  </si>
  <si>
    <t>PID</t>
  </si>
  <si>
    <t>R1</t>
  </si>
  <si>
    <t>R2</t>
  </si>
  <si>
    <t>R3</t>
  </si>
  <si>
    <t>P3</t>
  </si>
  <si>
    <t>Sample maps</t>
  </si>
  <si>
    <t>KPR all</t>
  </si>
  <si>
    <t>HS% all</t>
  </si>
  <si>
    <t>M1 n</t>
  </si>
  <si>
    <t>M1 KPR raw</t>
  </si>
  <si>
    <t>M1 HS raw</t>
  </si>
  <si>
    <t>M1 KPR</t>
  </si>
  <si>
    <t>M1 HS%</t>
  </si>
  <si>
    <t>M1 Kills</t>
  </si>
  <si>
    <t>M1 HS</t>
  </si>
  <si>
    <t>M2 n</t>
  </si>
  <si>
    <t>M2 KPR raw</t>
  </si>
  <si>
    <t>M2 HS raw</t>
  </si>
  <si>
    <t>M2 KPR</t>
  </si>
  <si>
    <t>M2 HS%</t>
  </si>
  <si>
    <t>M2 Kills</t>
  </si>
  <si>
    <t>M2 HS</t>
  </si>
  <si>
    <t>M3 n</t>
  </si>
  <si>
    <t>M3 KPR raw</t>
  </si>
  <si>
    <t>M3 HS raw</t>
  </si>
  <si>
    <t>M3 KPR</t>
  </si>
  <si>
    <t>M3 HS%</t>
  </si>
  <si>
    <t>M3 Kills</t>
  </si>
  <si>
    <t>M3 HS</t>
  </si>
  <si>
    <t>Kills 1-3</t>
  </si>
  <si>
    <t>HS 1-3</t>
  </si>
  <si>
    <t>Board rank</t>
  </si>
  <si>
    <t>Side</t>
  </si>
  <si>
    <t>Hist share</t>
  </si>
  <si>
    <t>M1 share</t>
  </si>
  <si>
    <t>M1 mult</t>
  </si>
  <si>
    <t>M2 share</t>
  </si>
  <si>
    <t>M2 mult</t>
  </si>
  <si>
    <t>M3 share</t>
  </si>
  <si>
    <t>M3 mult</t>
  </si>
  <si>
    <t>M1 Kills adj</t>
  </si>
  <si>
    <t>M2 Kills adj</t>
  </si>
  <si>
    <t>M3 Kills adj</t>
  </si>
  <si>
    <t>Kills 1-2 adj</t>
  </si>
  <si>
    <t>Kills 1-3 adj</t>
  </si>
  <si>
    <t>M1 HS adj</t>
  </si>
  <si>
    <t>M2 HS adj</t>
  </si>
  <si>
    <t>M3 HS adj</t>
  </si>
  <si>
    <t>HS 1-2 adj</t>
  </si>
  <si>
    <t>HS 1-3 adj</t>
  </si>
  <si>
    <t>Diff mult 1-2</t>
  </si>
  <si>
    <t>yoqtwbv6uc6leni</t>
  </si>
  <si>
    <t>poiii</t>
  </si>
  <si>
    <t>CS2 · NEM vs NTR</t>
  </si>
  <si>
    <t>Inferno 31%</t>
  </si>
  <si>
    <t>Ancient 27%</t>
  </si>
  <si>
    <t>Dust2 21%</t>
  </si>
  <si>
    <t>NEM</t>
  </si>
  <si>
    <t>NTR</t>
  </si>
  <si>
    <t>100%/2/2</t>
  </si>
  <si>
    <t>irrertmif0zjlof|CS2 · 100T vs SNG</t>
  </si>
  <si>
    <t>CS2 · VOCA vs HAVU</t>
  </si>
  <si>
    <t>Fri 07:00</t>
  </si>
  <si>
    <t>Nuke 25%</t>
  </si>
  <si>
    <t>Dust2 22%</t>
  </si>
  <si>
    <t>Ancient 22%</t>
  </si>
  <si>
    <t>Kills = Σ over the chosen maps of (per-map KPR, shrunk toward the player's overall KPR by SHRINK_MAPS) × rounds. HS = kills × per-map HS%, shrunk the same way. P(over) is a normal approximation with variance = KILLS_DISPERSION × projection.</t>
  </si>
  <si>
    <t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</si>
  <si>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>rain</t>
  </si>
  <si>
    <t>CS2 · AUR vs 9z</t>
  </si>
  <si>
    <t>Fri 09:00</t>
  </si>
  <si>
    <t>Nuke 54%</t>
  </si>
  <si>
    <t>Mirage 16%</t>
  </si>
  <si>
    <t>Dust2 13%</t>
  </si>
  <si>
    <t>AUR</t>
  </si>
  <si>
    <t>9z</t>
  </si>
  <si>
    <t>acphdzip9ah477u</t>
  </si>
  <si>
    <t>50%/1/2</t>
  </si>
  <si>
    <t>cy7qneakzvjx5w7|CS2 · 100T vs SNG</t>
  </si>
  <si>
    <t>CS2 · AST vs MIBR</t>
  </si>
  <si>
    <t>Ancient 69%</t>
  </si>
  <si>
    <t>Inferno 8%</t>
  </si>
  <si>
    <t>AST</t>
  </si>
  <si>
    <t>MIBR</t>
  </si>
  <si>
    <t>Config — edit the shaded cells only</t>
  </si>
  <si>
    <t>Setting</t>
  </si>
  <si>
    <t>Value</t>
  </si>
  <si>
    <t>Notes</t>
  </si>
  <si>
    <t>CS2 maps</t>
  </si>
  <si>
    <t>VAL maps</t>
  </si>
  <si>
    <t>SHRINK_MAPS</t>
  </si>
  <si>
    <t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</si>
  <si>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>KILLS_DISPERSION</t>
  </si>
  <si>
    <t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</si>
  <si>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>EDGE_MIN</t>
  </si>
  <si>
    <t>Model side shows OVER/UNDER only past 50% + this. It is a PAPER column: the KPR × rounds projection has no forward record yet, so this is an ordering, not an edge.</t>
  </si>
  <si>
    <t>DEFAULT_ROUNDS_CS2</t>
  </si>
  <si>
    <t>Rounds per map used when Thunderpick posts no Total Rounds ladder for a CS2 map.</t>
  </si>
  <si>
    <t>DEFAULT_ROUNDS_VAL</t>
  </si>
  <si>
    <t>Same for Valorant.</t>
  </si>
  <si>
    <t>KPR_ROUND_ELASTICITY</t>
  </si>
  <si>
    <t>Kills-per-round dilution on long maps: projection × (rounds ÷ REF)^this. 0 = off. PAPER found corr(rounds, k/rd) = −0.51 on 11 maps, then −0.076 on 14 maps (slate 33) — the slope did not replicate, so it ships off.</t>
  </si>
  <si>
    <t>REF_ROUNDS_CS2</t>
  </si>
  <si>
    <t>Reference map length for the elasticity above.</t>
  </si>
  <si>
    <t>REF_ROUNDS_VAL</t>
  </si>
  <si>
    <t>THIN_SAMPLE_MAPS</t>
  </si>
  <si>
    <t>Flag a player whose PickFinder sample is below this many maps.</t>
  </si>
  <si>
    <t>DIFF_WEIGHT</t>
  </si>
  <si>
    <t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</si>
  <si>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>KILLS_PER_ROUND_WON</t>
  </si>
  <si>
    <t>Team kills per round WON (CS2), from team_kills = a·rounds_won + b·rounds_lost, R² 0.970 on 47 team-maps (Kills_Markets_By_Title).</t>
  </si>
  <si>
    <t>KILLS_PER_ROUND_LOST</t>
  </si>
  <si>
    <t>Team kills per round LOST (CS2), same fit. The 2.6× ratio is the whole differential effect.</t>
  </si>
  <si>
    <t>Slate</t>
  </si>
  <si>
    <t>SLATE_DATE</t>
  </si>
  <si>
    <t>2026-10-16</t>
  </si>
  <si>
    <t>BUILT_UTC</t>
  </si>
  <si>
    <t>2026-10-16 06:47</t>
  </si>
  <si>
    <t>SOURCES</t>
  </si>
  <si>
    <t>PickFinder /props (board + hit rates), PickFinder player pages (Player Stats → Map Stats; Maps → Map Picks), Thunderpick /api/markets (odds, rounds, kill ladders).</t>
  </si>
  <si>
    <t>sirah</t>
  </si>
  <si>
    <t>PF matchup</t>
  </si>
  <si>
    <t>Maps</t>
  </si>
  <si>
    <t>Kills/Map</t>
  </si>
  <si>
    <t>KPR</t>
  </si>
  <si>
    <t>HS %</t>
  </si>
  <si>
    <t>HS/Round</t>
  </si>
  <si>
    <t>K/D</t>
  </si>
  <si>
    <t>Rating</t>
  </si>
  <si>
    <t>Avg rounds/map</t>
  </si>
  <si>
    <t>Identity</t>
  </si>
  <si>
    <t>PickFinder page</t>
  </si>
  <si>
    <t>100T vs SNG</t>
  </si>
  <si>
    <t>OK</t>
  </si>
  <si>
    <t>https://www.pickfinder.app/players/cs2/yoqtwbv6uc6leni</t>
  </si>
  <si>
    <t>CS2 · BBL vs EYE</t>
  </si>
  <si>
    <t>https://www.pickfinder.app/players/cs2/acphdzip9ah477u</t>
  </si>
  <si>
    <t>irrertmif0zjlof</t>
  </si>
  <si>
    <t>Ancient 28%</t>
  </si>
  <si>
    <t>Mirage 12%</t>
  </si>
  <si>
    <t>https://www.pickfinder.app/players/cs2/irrertmif0zjlof</t>
  </si>
  <si>
    <t>cy7qneakzvjx5w7</t>
  </si>
  <si>
    <t>BBL</t>
  </si>
  <si>
    <t>EYE</t>
  </si>
  <si>
    <t>https://www.pickfinder.app/players/cs2/cy7qneakzvjx5w7</t>
  </si>
  <si>
    <t>v1kk02jq1q269h8</t>
  </si>
  <si>
    <t>https://www.pickfinder.app/players/cs2/v1kk02jq1q269h8</t>
  </si>
  <si>
    <t>id2uf5ot80ms5oo</t>
  </si>
  <si>
    <t>dgt</t>
  </si>
  <si>
    <t>9z vs AUR</t>
  </si>
  <si>
    <t>https://www.pickfinder.app/players/cs2/id2uf5ot80ms5oo</t>
  </si>
  <si>
    <t>fg52qcdy7yej5d9</t>
  </si>
  <si>
    <t>HUASOPEEK</t>
  </si>
  <si>
    <t>https://www.pickfinder.app/players/cs2/fg52qcdy7yej5d9</t>
  </si>
  <si>
    <t>uf3pcvx03g3k6xm</t>
  </si>
  <si>
    <t>luchov</t>
  </si>
  <si>
    <t>https://www.pickfinder.app/players/cs2/uf3pcvx03g3k6xm</t>
  </si>
  <si>
    <t>2l8hxj94mm620bg</t>
  </si>
  <si>
    <t>max</t>
  </si>
  <si>
    <t>https://www.pickfinder.app/players/cs2/2l8hxj94mm620bg</t>
  </si>
  <si>
    <t>pumzitjp9bsniic</t>
  </si>
  <si>
    <t>meyern</t>
  </si>
  <si>
    <t>https://www.pickfinder.app/players/cs2/pumzitjp9bsniic</t>
  </si>
  <si>
    <t>rlpdvqxm9kegl7b</t>
  </si>
  <si>
    <t>cmtry</t>
  </si>
  <si>
    <t>AST vs MIBR</t>
  </si>
  <si>
    <t>https://www.pickfinder.app/players/cs2/rlpdvqxm9kegl7b</t>
  </si>
  <si>
    <t>u4e5uoowjf17ffu</t>
  </si>
  <si>
    <t>phzy</t>
  </si>
  <si>
    <t>https://www.pickfinder.app/players/cs2/u4e5uoowjf17ffu</t>
  </si>
  <si>
    <t>bfampq2da0guhkz</t>
  </si>
  <si>
    <t>Ryu</t>
  </si>
  <si>
    <t>https://www.pickfinder.app/players/cs2/bfampq2da0guhkz</t>
  </si>
  <si>
    <t>gffaqp23gkmuw6v</t>
  </si>
  <si>
    <t>siuhy</t>
  </si>
  <si>
    <t>https://www.pickfinder.app/players/cs2/gffaqp23gkmuw6v</t>
  </si>
  <si>
    <t>t0obepfwbzppr9o</t>
  </si>
  <si>
    <t>Staehr</t>
  </si>
  <si>
    <t>https://www.pickfinder.app/players/cs2/t0obepfwbzppr9o</t>
  </si>
  <si>
    <t>66ajrvmetqiufsf</t>
  </si>
  <si>
    <t>Jimpphat</t>
  </si>
  <si>
    <t>AUR vs 9z</t>
  </si>
  <si>
    <t>https://www.pickfinder.app/players/cs2/66ajrvmetqiufsf</t>
  </si>
  <si>
    <t>gzghvr1quamb0xn</t>
  </si>
  <si>
    <t>kyxsan</t>
  </si>
  <si>
    <t>https://www.pickfinder.app/players/cs2/gzghvr1quamb0xn</t>
  </si>
  <si>
    <t>9clq2dpvqugkf0i</t>
  </si>
  <si>
    <t>Wicadia</t>
  </si>
  <si>
    <t>https://www.pickfinder.app/players/cs2/9clq2dpvqugkf0i</t>
  </si>
  <si>
    <t>lpkyyhtoofj8ova</t>
  </si>
  <si>
    <t>woxic</t>
  </si>
  <si>
    <t>https://www.pickfinder.app/players/cs2/lpkyyhtoofj8ova</t>
  </si>
  <si>
    <t>zauqna21klkp1rt</t>
  </si>
  <si>
    <t>XANTARES</t>
  </si>
  <si>
    <t>https://www.pickfinder.app/players/cs2/zauqna21klkp1rt</t>
  </si>
  <si>
    <t>75r40osa6cjt3o0</t>
  </si>
  <si>
    <t>Boombl4</t>
  </si>
  <si>
    <t>33%/1/3</t>
  </si>
  <si>
    <t>BB</t>
  </si>
  <si>
    <t>BB vs LGC</t>
  </si>
  <si>
    <t>https://www.pickfinder.app/players/cs2/75r40osa6cjt3o0</t>
  </si>
  <si>
    <t>kgpnwz42wxtq29r</t>
  </si>
  <si>
    <t>d1Ledez</t>
  </si>
  <si>
    <t>https://www.pickfinder.app/players/cs2/kgpnwz42wxtq29r</t>
  </si>
  <si>
    <t>w2jejpg0j9hthoo</t>
  </si>
  <si>
    <t>Magnojez</t>
  </si>
  <si>
    <t>https://www.pickfinder.app/players/cs2/w2jejpg0j9hthoo</t>
  </si>
  <si>
    <t>bn3mlvy0cst11z3</t>
  </si>
  <si>
    <t>s1ren</t>
  </si>
  <si>
    <t>https://www.pickfinder.app/players/cs2/bn3mlvy0cst11z3</t>
  </si>
  <si>
    <t>c4m3zncm4mxvzoh</t>
  </si>
  <si>
    <t>zorte</t>
  </si>
  <si>
    <t>https://www.pickfinder.app/players/cs2/c4m3zncm4mxvzoh</t>
  </si>
  <si>
    <t>aulcxwhkh0pxo6k</t>
  </si>
  <si>
    <t>Leakz</t>
  </si>
  <si>
    <t>BBL vs EYE</t>
  </si>
  <si>
    <t>https://www.pickfinder.app/players/cs2/aulcxwhkh0pxo6k</t>
  </si>
  <si>
    <t>4u8b77givp2ury3</t>
  </si>
  <si>
    <t>NickyB</t>
  </si>
  <si>
    <t>https://www.pickfinder.app/players/cs2/4u8b77givp2ury3</t>
  </si>
  <si>
    <t>n7dezrlm3ggjepw</t>
  </si>
  <si>
    <t>salazar</t>
  </si>
  <si>
    <t>https://www.pickfinder.app/players/cs2/n7dezrlm3ggjepw</t>
  </si>
  <si>
    <t>ipodft09sqdlaqf</t>
  </si>
  <si>
    <t>Demho</t>
  </si>
  <si>
    <t>BCA vs EF</t>
  </si>
  <si>
    <t>https://www.pickfinder.app/players/cs2/ipodft09sqdlaqf</t>
  </si>
  <si>
    <t>ynmieq7eicmbcow</t>
  </si>
  <si>
    <t>Ex1st</t>
  </si>
  <si>
    <t>v1kk02jq1q269h8|CS2 · 100T vs SNG</t>
  </si>
  <si>
    <t>https://www.pickfinder.app/players/cs2/ynmieq7eicmbcow</t>
  </si>
  <si>
    <t>0me0g5v8fk4yzec</t>
  </si>
  <si>
    <t>Prism</t>
  </si>
  <si>
    <t>https://www.pickfinder.app/players/cs2/0me0g5v8fk4yzec</t>
  </si>
  <si>
    <t>zhf73thl2zdwjk1</t>
  </si>
  <si>
    <t>Qlocuu</t>
  </si>
  <si>
    <t>https://www.pickfinder.app/players/cs2/zhf73thl2zdwjk1</t>
  </si>
  <si>
    <t>2ybhd3dwxogp0wn</t>
  </si>
  <si>
    <t>ultimate</t>
  </si>
  <si>
    <t>https://www.pickfinder.app/players/cs2/2ybhd3dwxogp0wn</t>
  </si>
  <si>
    <t>rfuts2r0t85cd95</t>
  </si>
  <si>
    <t>jottAAA</t>
  </si>
  <si>
    <t>EF vs BCA</t>
  </si>
  <si>
    <t>https://www.pickfinder.app/players/cs2/rfuts2r0t85cd95</t>
  </si>
  <si>
    <t>t2lttsuygcwlbxl</t>
  </si>
  <si>
    <t>Kvem</t>
  </si>
  <si>
    <t>https://www.pickfinder.app/players/cs2/t2lttsuygcwlbxl</t>
  </si>
  <si>
    <t>mp3vrg2adugpxjt</t>
  </si>
  <si>
    <t>MisteM</t>
  </si>
  <si>
    <t>https://www.pickfinder.app/players/cs2/mp3vrg2adugpxjt</t>
  </si>
  <si>
    <t>v15ff2btfwe796g</t>
  </si>
  <si>
    <t>regali</t>
  </si>
  <si>
    <t>https://www.pickfinder.app/players/cs2/v15ff2btfwe796g</t>
  </si>
  <si>
    <t>agwfljw0nydsug9</t>
  </si>
  <si>
    <t>Soulfly</t>
  </si>
  <si>
    <t>https://www.pickfinder.app/players/cs2/agwfljw0nydsug9</t>
  </si>
  <si>
    <t>0tpom07myrdplgs</t>
  </si>
  <si>
    <t>dex</t>
  </si>
  <si>
    <t>EYE vs BBL</t>
  </si>
  <si>
    <t>https://www.pickfinder.app/players/cs2/0tpom07myrdplgs</t>
  </si>
  <si>
    <t>e3qct411urjbnrw</t>
  </si>
  <si>
    <t>JW</t>
  </si>
  <si>
    <t>https://www.pickfinder.app/players/cs2/e3qct411urjbnrw</t>
  </si>
  <si>
    <t>92clx6foe6b0ep2</t>
  </si>
  <si>
    <t>KRIMZ</t>
  </si>
  <si>
    <t>https://www.pickfinder.app/players/cs2/92clx6foe6b0ep2</t>
  </si>
  <si>
    <t>by1g6gafo5oyqad</t>
  </si>
  <si>
    <t>maxster</t>
  </si>
  <si>
    <t>https://www.pickfinder.app/players/cs2/by1g6gafo5oyqad</t>
  </si>
  <si>
    <t>e1p0xlwtwfrt8qa</t>
  </si>
  <si>
    <t>Ro1f</t>
  </si>
  <si>
    <t>https://www.pickfinder.app/players/cs2/e1p0xlwtwfrt8qa</t>
  </si>
  <si>
    <t>h6qqf27cvpf4wi5</t>
  </si>
  <si>
    <t>cairne</t>
  </si>
  <si>
    <t>FNC vs HERO</t>
  </si>
  <si>
    <t>https://www.pickfinder.app/players/cs2/h6qqf27cvpf4wi5</t>
  </si>
  <si>
    <t>f9t8og97ml0t6z0</t>
  </si>
  <si>
    <t>fear</t>
  </si>
  <si>
    <t>https://www.pickfinder.app/players/cs2/f9t8og97ml0t6z0</t>
  </si>
  <si>
    <t>82nefkkz4qxb3gq</t>
  </si>
  <si>
    <t>jackasmo</t>
  </si>
  <si>
    <t>https://www.pickfinder.app/players/cs2/82nefkkz4qxb3gq</t>
  </si>
  <si>
    <t>vri96qu30akszzt</t>
  </si>
  <si>
    <t>Jambo</t>
  </si>
  <si>
    <t>https://www.pickfinder.app/players/cs2/vri96qu30akszzt</t>
  </si>
  <si>
    <t>nm2jvu2w8c75yhk</t>
  </si>
  <si>
    <t>mazay</t>
  </si>
  <si>
    <t>https://www.pickfinder.app/players/cs2/nm2jvu2w8c75yhk</t>
  </si>
  <si>
    <t>cuos9kbfem9flgg</t>
  </si>
  <si>
    <t>FL4MUS</t>
  </si>
  <si>
    <t>GL</t>
  </si>
  <si>
    <t>GL vs ex-RUSTEC</t>
  </si>
  <si>
    <t>https://www.pickfinder.app/players/cs2/cuos9kbfem9flgg</t>
  </si>
  <si>
    <t>9ewlsq1d531bbzm</t>
  </si>
  <si>
    <t>Hypex</t>
  </si>
  <si>
    <t>https://www.pickfinder.app/players/cs2/9ewlsq1d531bbzm</t>
  </si>
  <si>
    <t>wt4hradl1cp0pr9</t>
  </si>
  <si>
    <t>REZ</t>
  </si>
  <si>
    <t>https://www.pickfinder.app/players/cs2/wt4hradl1cp0pr9</t>
  </si>
  <si>
    <t>7d2ry1m3iuhwjqn</t>
  </si>
  <si>
    <t>Snax</t>
  </si>
  <si>
    <t>https://www.pickfinder.app/players/cs2/7d2ry1m3iuhwjqn</t>
  </si>
  <si>
    <t>b8ta8wsdzmggqly</t>
  </si>
  <si>
    <t>Tauson</t>
  </si>
  <si>
    <t>https://www.pickfinder.app/players/cs2/b8ta8wsdzmggqly</t>
  </si>
  <si>
    <t>ngzwc6mqcf8eqdc</t>
  </si>
  <si>
    <t>8Juho8</t>
  </si>
  <si>
    <t>HAVU vs PHA</t>
  </si>
  <si>
    <t>https://www.pickfinder.app/players/cs2/ngzwc6mqcf8eqdc</t>
  </si>
  <si>
    <t>ydze2q2v3qoecsb</t>
  </si>
  <si>
    <t>Alxc</t>
  </si>
  <si>
    <t>https://www.pickfinder.app/players/cs2/ydze2q2v3qoecsb</t>
  </si>
  <si>
    <t>r5k3gcz96b2x9h8</t>
  </si>
  <si>
    <t>ottob</t>
  </si>
  <si>
    <t>https://www.pickfinder.app/players/cs2/r5k3gcz96b2x9h8</t>
  </si>
  <si>
    <t>r4mf7kxzysimlpj</t>
  </si>
  <si>
    <t>p3kko</t>
  </si>
  <si>
    <t>https://www.pickfinder.app/players/cs2/r4mf7kxzysimlpj</t>
  </si>
  <si>
    <t>rw16g75bm7idm2e</t>
  </si>
  <si>
    <t>uli</t>
  </si>
  <si>
    <t>https://www.pickfinder.app/players/cs2/rw16g75bm7idm2e</t>
  </si>
  <si>
    <t>wtlsowfl6o5b5pg</t>
  </si>
  <si>
    <t>Brollan</t>
  </si>
  <si>
    <t>HERO vs FNC</t>
  </si>
  <si>
    <t>https://www.pickfinder.app/players/cs2/wtlsowfl6o5b5pg</t>
  </si>
  <si>
    <t>4neyyyoi8995r0v</t>
  </si>
  <si>
    <t>Chr1zN</t>
  </si>
  <si>
    <t>https://www.pickfinder.app/players/cs2/4neyyyoi8995r0v</t>
  </si>
  <si>
    <t>6abl2drrh6zq9lw</t>
  </si>
  <si>
    <t>Martinez</t>
  </si>
  <si>
    <t>https://www.pickfinder.app/players/cs2/6abl2drrh6zq9lw</t>
  </si>
  <si>
    <t>zk657eunk3op4kx</t>
  </si>
  <si>
    <t>nilo</t>
  </si>
  <si>
    <t>https://www.pickfinder.app/players/cs2/zk657eunk3op4kx</t>
  </si>
  <si>
    <t>u12f792swgv1x5z</t>
  </si>
  <si>
    <t>susp</t>
  </si>
  <si>
    <t>https://www.pickfinder.app/players/cs2/u12f792swgv1x5z</t>
  </si>
  <si>
    <t>6ihem6avn05n11t</t>
  </si>
  <si>
    <t>arT</t>
  </si>
  <si>
    <t>LGC</t>
  </si>
  <si>
    <t>LGC vs BB</t>
  </si>
  <si>
    <t>https://www.pickfinder.app/players/cs2/6ihem6avn05n11t</t>
  </si>
  <si>
    <t>fegzpn598j6etni</t>
  </si>
  <si>
    <t>dumau</t>
  </si>
  <si>
    <t>https://www.pickfinder.app/players/cs2/fegzpn598j6etni</t>
  </si>
  <si>
    <t>1wpbb1hb0wgcwoh</t>
  </si>
  <si>
    <t>latto</t>
  </si>
  <si>
    <t>https://www.pickfinder.app/players/cs2/1wpbb1hb0wgcwoh</t>
  </si>
  <si>
    <t>wgxwl9snnyzsfwq</t>
  </si>
  <si>
    <t>n1ssim</t>
  </si>
  <si>
    <t>https://www.pickfinder.app/players/cs2/wgxwl9snnyzsfwq</t>
  </si>
  <si>
    <t>qtomd625i03qfpk</t>
  </si>
  <si>
    <t>try</t>
  </si>
  <si>
    <t>https://www.pickfinder.app/players/cs2/qtomd625i03qfpk</t>
  </si>
  <si>
    <t>at33ffmykh60t4i</t>
  </si>
  <si>
    <t>insani</t>
  </si>
  <si>
    <t>MIBR vs AST</t>
  </si>
  <si>
    <t>https://www.pickfinder.app/players/cs2/at33ffmykh60t4i</t>
  </si>
  <si>
    <t>dg034axrrrb2wu5</t>
  </si>
  <si>
    <t>LNZ</t>
  </si>
  <si>
    <t>https://www.pickfinder.app/players/cs2/dg034axrrrb2wu5</t>
  </si>
  <si>
    <t>ohuy083j17pze9o</t>
  </si>
  <si>
    <t>nqz</t>
  </si>
  <si>
    <t>CS2 · PHA vs RGG</t>
  </si>
  <si>
    <t>Nuke 22%</t>
  </si>
  <si>
    <t>Mirage 17%</t>
  </si>
  <si>
    <t>https://www.pickfinder.app/players/cs2/ohuy083j17pze9o</t>
  </si>
  <si>
    <t>m5jimj86u7hpg0e</t>
  </si>
  <si>
    <t>tomaszin</t>
  </si>
  <si>
    <t>https://www.pickfinder.app/players/cs2/m5jimj86u7hpg0e</t>
  </si>
  <si>
    <t>n597dm4mdfvgas1</t>
  </si>
  <si>
    <t>venomzera</t>
  </si>
  <si>
    <t>https://www.pickfinder.app/players/cs2/n597dm4mdfvgas1</t>
  </si>
  <si>
    <t>kqp0u5nsn54l8f7</t>
  </si>
  <si>
    <t>mag1k3Y</t>
  </si>
  <si>
    <t>NEM vs NTR</t>
  </si>
  <si>
    <t>https://www.pickfinder.app/players/cs2/kqp0u5nsn54l8f7</t>
  </si>
  <si>
    <t>1fsggyr6b6hmnv1</t>
  </si>
  <si>
    <t>r3salt</t>
  </si>
  <si>
    <t>https://www.pickfinder.app/players/cs2/1fsggyr6b6hmnv1</t>
  </si>
  <si>
    <t>3299qh2j667nhco</t>
  </si>
  <si>
    <t>Sdaim</t>
  </si>
  <si>
    <t>https://www.pickfinder.app/players/cs2/3299qh2j667nhco</t>
  </si>
  <si>
    <t>dk19ar0a6eahpe5</t>
  </si>
  <si>
    <t>SELLTER</t>
  </si>
  <si>
    <t>https://www.pickfinder.app/players/cs2/dk19ar0a6eahpe5</t>
  </si>
  <si>
    <t>6qaa2ur392xj7at</t>
  </si>
  <si>
    <t>tex1y</t>
  </si>
  <si>
    <t>https://www.pickfinder.app/players/cs2/6qaa2ur392xj7at</t>
  </si>
  <si>
    <t>pw4dii7j6595atb</t>
  </si>
  <si>
    <t>Adamb</t>
  </si>
  <si>
    <t>NIP vs TL</t>
  </si>
  <si>
    <t>https://www.pickfinder.app/players/cs2/pw4dii7j6595atb</t>
  </si>
  <si>
    <t>jlf7p69t2kz7r4d</t>
  </si>
  <si>
    <t>Krimbo</t>
  </si>
  <si>
    <t>https://www.pickfinder.app/players/cs2/jlf7p69t2kz7r4d</t>
  </si>
  <si>
    <t>sblclwh8nu1y7tp</t>
  </si>
  <si>
    <t>sjuush</t>
  </si>
  <si>
    <t>https://www.pickfinder.app/players/cs2/sblclwh8nu1y7tp</t>
  </si>
  <si>
    <t>aoyem2d0er1hake</t>
  </si>
  <si>
    <t>stavn</t>
  </si>
  <si>
    <t>https://www.pickfinder.app/players/cs2/aoyem2d0er1hake</t>
  </si>
  <si>
    <t>agoz9fkr6j2rnlx</t>
  </si>
  <si>
    <t>xKacpersky</t>
  </si>
  <si>
    <t>https://www.pickfinder.app/players/cs2/agoz9fkr6j2rnlx</t>
  </si>
  <si>
    <t>6wz925o5ae22g8t</t>
  </si>
  <si>
    <t>ayuki</t>
  </si>
  <si>
    <t>NTR vs NEM</t>
  </si>
  <si>
    <t>https://www.pickfinder.app/players/cs2/6wz925o5ae22g8t</t>
  </si>
  <si>
    <t>34ncnmnh403jz5x</t>
  </si>
  <si>
    <t>flouzer</t>
  </si>
  <si>
    <t>https://www.pickfinder.app/players/cs2/34ncnmnh403jz5x</t>
  </si>
  <si>
    <t>1yjjd4cv2r5113x</t>
  </si>
  <si>
    <t>senka</t>
  </si>
  <si>
    <t>https://www.pickfinder.app/players/cs2/1yjjd4cv2r5113x</t>
  </si>
  <si>
    <t>mti1aemn002cu5c</t>
  </si>
  <si>
    <t>nicoodoz</t>
  </si>
  <si>
    <t>PHA vs HAVU</t>
  </si>
  <si>
    <t>https://www.pickfinder.app/players/cs2/mti1aemn002cu5c</t>
  </si>
  <si>
    <t>14nk53aue7wxi91</t>
  </si>
  <si>
    <t>cej0t</t>
  </si>
  <si>
    <t>PHA vs VOCA</t>
  </si>
  <si>
    <t>https://www.pickfinder.app/players/cs2/14nk53aue7wxi91</t>
  </si>
  <si>
    <t>zf7bzibg1ekklis</t>
  </si>
  <si>
    <t>KEi</t>
  </si>
  <si>
    <t>https://www.pickfinder.app/players/cs2/zf7bzibg1ekklis</t>
  </si>
  <si>
    <t>w56yzcex8uwfyhn</t>
  </si>
  <si>
    <t>Kylar</t>
  </si>
  <si>
    <t>https://www.pickfinder.app/players/cs2/w56yzcex8uwfyhn</t>
  </si>
  <si>
    <t>994hwd2k6wyzjfl</t>
  </si>
  <si>
    <t>TMB</t>
  </si>
  <si>
    <t>https://www.pickfinder.app/players/cs2/994hwd2k6wyzjfl</t>
  </si>
  <si>
    <t>we8rbjpf65bc2tn</t>
  </si>
  <si>
    <t>EliGE</t>
  </si>
  <si>
    <t>TL vs NIP</t>
  </si>
  <si>
    <t>https://www.pickfinder.app/players/cs2/we8rbjpf65bc2tn</t>
  </si>
  <si>
    <t>eb7cqiuc8bqx4zr</t>
  </si>
  <si>
    <t>Jorko</t>
  </si>
  <si>
    <t>https://www.pickfinder.app/players/cs2/eb7cqiuc8bqx4zr</t>
  </si>
  <si>
    <t>j4y4z5p4stvkatz</t>
  </si>
  <si>
    <t>JT</t>
  </si>
  <si>
    <t>https://www.pickfinder.app/players/cs2/j4y4z5p4stvkatz</t>
  </si>
  <si>
    <t>30ba4vwtbgb75sn</t>
  </si>
  <si>
    <t>malbsMd</t>
  </si>
  <si>
    <t>https://www.pickfinder.app/players/cs2/30ba4vwtbgb75sn</t>
  </si>
  <si>
    <t>as14gj4lvoykr11</t>
  </si>
  <si>
    <t>NAF</t>
  </si>
  <si>
    <t>https://www.pickfinder.app/players/cs2/as14gj4lvoykr11</t>
  </si>
  <si>
    <t>al57ba5j0f51eq6</t>
  </si>
  <si>
    <t>dare</t>
  </si>
  <si>
    <t>VOCA vs PHA</t>
  </si>
  <si>
    <t>https://www.pickfinder.app/players/cs2/al57ba5j0f51eq6</t>
  </si>
  <si>
    <t>bf5itcax7wycz9n</t>
  </si>
  <si>
    <t>junior</t>
  </si>
  <si>
    <t>https://www.pickfinder.app/players/cs2/bf5itcax7wycz9n</t>
  </si>
  <si>
    <t>30mdsslkk2b2chl</t>
  </si>
  <si>
    <t>MarKE</t>
  </si>
  <si>
    <t>https://www.pickfinder.app/players/cs2/30mdsslkk2b2chl</t>
  </si>
  <si>
    <t>inq1aslhosl5opp</t>
  </si>
  <si>
    <t>nosraC</t>
  </si>
  <si>
    <t>https://www.pickfinder.app/players/cs2/inq1aslhosl5opp</t>
  </si>
  <si>
    <t>pnbyhth5hef4yqq</t>
  </si>
  <si>
    <t>snav</t>
  </si>
  <si>
    <t>https://www.pickfinder.app/players/cs2/pnbyhth5hef4yqq</t>
  </si>
  <si>
    <t>u2qbkafgxd78s8o</t>
  </si>
  <si>
    <t>bl1x1</t>
  </si>
  <si>
    <t>ex-RUSTEC</t>
  </si>
  <si>
    <t>ex-RUSTEC vs GL</t>
  </si>
  <si>
    <t>https://www.pickfinder.app/players/cs2/u2qbkafgxd78s8o</t>
  </si>
  <si>
    <t>ib0ui40iou8m5h8</t>
  </si>
  <si>
    <t>Brilliance</t>
  </si>
  <si>
    <t>https://www.pickfinder.app/players/cs2/ib0ui40iou8m5h8</t>
  </si>
  <si>
    <t>l9cxp8x8mgmbhaf</t>
  </si>
  <si>
    <t>shalfey</t>
  </si>
  <si>
    <t>https://www.pickfinder.app/players/cs2/l9cxp8x8mgmbhaf</t>
  </si>
  <si>
    <t>dvwiagwt3fsxpwe</t>
  </si>
  <si>
    <t>yiksrezo</t>
  </si>
  <si>
    <t>https://www.pickfinder.app/players/cs2/dvwiagwt3fsxpwe</t>
  </si>
  <si>
    <t>41ry45brll61gbm</t>
  </si>
  <si>
    <t>youka</t>
  </si>
  <si>
    <t>https://www.pickfinder.app/players/cs2/41ry45brll61gbm</t>
  </si>
  <si>
    <t>4r111afg5jtvvzd</t>
  </si>
  <si>
    <t>Asuna</t>
  </si>
  <si>
    <t>VAL</t>
  </si>
  <si>
    <t>100T vs G2</t>
  </si>
  <si>
    <t>https://www.pickfinder.app/players/val/4r111afg5jtvvzd</t>
  </si>
  <si>
    <t>38ouija5u053a23</t>
  </si>
  <si>
    <t>bang</t>
  </si>
  <si>
    <t>https://www.pickfinder.app/players/val/38ouija5u053a23</t>
  </si>
  <si>
    <t>tdlqzw2bt02xcdw</t>
  </si>
  <si>
    <t>Cryo</t>
  </si>
  <si>
    <t>https://www.pickfinder.app/players/val/tdlqzw2bt02xcdw</t>
  </si>
  <si>
    <t>35x56caa7qz3za9</t>
  </si>
  <si>
    <t>Timotino</t>
  </si>
  <si>
    <t>https://www.pickfinder.app/players/val/35x56caa7qz3za9</t>
  </si>
  <si>
    <t>uilo3uj58yt6kxt</t>
  </si>
  <si>
    <t>vora</t>
  </si>
  <si>
    <t>https://www.pickfinder.app/players/val/uilo3uj58yt6kxt</t>
  </si>
  <si>
    <t>0t72z8yv1b3jndf</t>
  </si>
  <si>
    <t>babybay</t>
  </si>
  <si>
    <t>G2</t>
  </si>
  <si>
    <t>G2 vs 100T</t>
  </si>
  <si>
    <t>https://www.pickfinder.app/players/val/0t72z8yv1b3jndf</t>
  </si>
  <si>
    <t>5gah6d5j7jb3k27</t>
  </si>
  <si>
    <t>jawgemo</t>
  </si>
  <si>
    <t>https://www.pickfinder.app/players/val/5gah6d5j7jb3k27</t>
  </si>
  <si>
    <t>aznc9se0wi55u4o</t>
  </si>
  <si>
    <t>leaf</t>
  </si>
  <si>
    <t>https://www.pickfinder.app/players/val/aznc9se0wi55u4o</t>
  </si>
  <si>
    <t>lzahssvqxdfzc0s</t>
  </si>
  <si>
    <t>trent</t>
  </si>
  <si>
    <t>https://www.pickfinder.app/players/val/lzahssvqxdfzc0s</t>
  </si>
  <si>
    <t>apix6yyktgy68co</t>
  </si>
  <si>
    <t>valyn</t>
  </si>
  <si>
    <t>https://www.pickfinder.app/players/val/apix6yyktgy68co</t>
  </si>
  <si>
    <t>te1wd2zymiyxnqw</t>
  </si>
  <si>
    <t>Darker</t>
  </si>
  <si>
    <t>LOUD</t>
  </si>
  <si>
    <t>LOUD vs VIT</t>
  </si>
  <si>
    <t>https://www.pickfinder.app/players/val/te1wd2zymiyxnqw</t>
  </si>
  <si>
    <t>ieotcwzy7yhbfzh</t>
  </si>
  <si>
    <t>DaviH</t>
  </si>
  <si>
    <t>https://www.pickfinder.app/players/val/ieotcwzy7yhbfzh</t>
  </si>
  <si>
    <t>bholi9vxeirq8k9</t>
  </si>
  <si>
    <t>erde</t>
  </si>
  <si>
    <t>https://www.pickfinder.app/players/val/bholi9vxeirq8k9</t>
  </si>
  <si>
    <t>iaci71h5e1lc3jg</t>
  </si>
  <si>
    <t>luk xo</t>
  </si>
  <si>
    <t>https://www.pickfinder.app/players/val/iaci71h5e1lc3jg</t>
  </si>
  <si>
    <t>ebc3o811xao6aam</t>
  </si>
  <si>
    <t>tkzin</t>
  </si>
  <si>
    <t>https://www.pickfinder.app/players/val/ebc3o811xao6aam</t>
  </si>
  <si>
    <t>74ymf96bs8s3yam</t>
  </si>
  <si>
    <t>Chronicle</t>
  </si>
  <si>
    <t>VIT</t>
  </si>
  <si>
    <t>VIT vs LOUD</t>
  </si>
  <si>
    <t>https://www.pickfinder.app/players/val/74ymf96bs8s3yam</t>
  </si>
  <si>
    <t>3425cmled3cxlhw</t>
  </si>
  <si>
    <t>Derke</t>
  </si>
  <si>
    <t>https://www.pickfinder.app/players/val/3425cmled3cxlhw</t>
  </si>
  <si>
    <t>q1vl8rb8l6us1dr</t>
  </si>
  <si>
    <t>Jamppi</t>
  </si>
  <si>
    <t>https://www.pickfinder.app/players/val/q1vl8rb8l6us1dr</t>
  </si>
  <si>
    <t>ljkl20ufsb1unwv</t>
  </si>
  <si>
    <t>PROFEK</t>
  </si>
  <si>
    <t>https://www.pickfinder.app/players/val/ljkl20ufsb1unwv</t>
  </si>
  <si>
    <t>u2kriuznrktwp57</t>
  </si>
  <si>
    <t>Sayonara</t>
  </si>
  <si>
    <t>https://www.pickfinder.app/players/val/u2kriuznrktwp57</t>
  </si>
  <si>
    <t>CS2 · VOCA vs RGG</t>
  </si>
  <si>
    <t>Fri 11:00</t>
  </si>
  <si>
    <t>Nuke 24%</t>
  </si>
  <si>
    <t>Dust2 19%</t>
  </si>
  <si>
    <t>Maps (n)</t>
  </si>
  <si>
    <t>Kills/map</t>
  </si>
  <si>
    <t>KPR (PF)</t>
  </si>
  <si>
    <t>KPR used</t>
  </si>
  <si>
    <t>ngzwc6mqcf8eqdc|Nuke</t>
  </si>
  <si>
    <t>ngzwc6mqcf8eqdc|Mirage</t>
  </si>
  <si>
    <t>ngzwc6mqcf8eqdc|Dust2</t>
  </si>
  <si>
    <t>rlpdvqxm9kegl7b|CS2 · AST vs MIBR</t>
  </si>
  <si>
    <t>ngzwc6mqcf8eqdc|Ancient</t>
  </si>
  <si>
    <t>ngzwc6mqcf8eqdc|Inferno</t>
  </si>
  <si>
    <t>ngzwc6mqcf8eqdc|Cache</t>
  </si>
  <si>
    <t>pw4dii7j6595atb|Cache</t>
  </si>
  <si>
    <t>pw4dii7j6595atb|Ancient</t>
  </si>
  <si>
    <t>pw4dii7j6595atb|Inferno</t>
  </si>
  <si>
    <t>pw4dii7j6595atb|Nuke</t>
  </si>
  <si>
    <t>pw4dii7j6595atb|Mirage</t>
  </si>
  <si>
    <t>Fri 12:00</t>
  </si>
  <si>
    <t>Dust2 30%</t>
  </si>
  <si>
    <t>Nuke 17%</t>
  </si>
  <si>
    <t>Mirage 15%</t>
  </si>
  <si>
    <t>pw4dii7j6595atb|Dust2</t>
  </si>
  <si>
    <t>SNG</t>
  </si>
  <si>
    <t>ydze2q2v3qoecsb|Mirage</t>
  </si>
  <si>
    <t>ydze2q2v3qoecsb|Nuke</t>
  </si>
  <si>
    <t>ydze2q2v3qoecsb|Dust2</t>
  </si>
  <si>
    <t>ydze2q2v3qoecsb|Inferno</t>
  </si>
  <si>
    <t>ydze2q2v3qoecsb|Ancient</t>
  </si>
  <si>
    <t>ydze2q2v3qoecsb|Cache</t>
  </si>
  <si>
    <t>6ihem6avn05n11t|Dust2</t>
  </si>
  <si>
    <t>6ihem6avn05n11t|Ancient</t>
  </si>
  <si>
    <t>6ihem6avn05n11t|Mirage</t>
  </si>
  <si>
    <t>6ihem6avn05n11t|Inferno</t>
  </si>
  <si>
    <t>6ihem6avn05n11t|Nuke</t>
  </si>
  <si>
    <t>6ihem6avn05n11t|Cache</t>
  </si>
  <si>
    <t>6wz925o5ae22g8t|Dust2</t>
  </si>
  <si>
    <t>6wz925o5ae22g8t|Anubis</t>
  </si>
  <si>
    <t>6wz925o5ae22g8t|Nuke</t>
  </si>
  <si>
    <t>6wz925o5ae22g8t|Inferno</t>
  </si>
  <si>
    <t>6wz925o5ae22g8t|Ancient</t>
  </si>
  <si>
    <t>6wz925o5ae22g8t|Mirage</t>
  </si>
  <si>
    <t>6wz925o5ae22g8t|Cache</t>
  </si>
  <si>
    <t>u2qbkafgxd78s8o|Mirage</t>
  </si>
  <si>
    <t>u2qbkafgxd78s8o|Nuke</t>
  </si>
  <si>
    <t>u2qbkafgxd78s8o|Anubis</t>
  </si>
  <si>
    <t>u2qbkafgxd78s8o|Ancient</t>
  </si>
  <si>
    <t>u4e5uoowjf17ffu|CS2 · AST vs MIBR</t>
  </si>
  <si>
    <t>u2qbkafgxd78s8o|Cache</t>
  </si>
  <si>
    <t>u2qbkafgxd78s8o|Dust2</t>
  </si>
  <si>
    <t>75r40osa6cjt3o0|Mirage</t>
  </si>
  <si>
    <t>75r40osa6cjt3o0|Anubis</t>
  </si>
  <si>
    <t>75r40osa6cjt3o0|Ancient</t>
  </si>
  <si>
    <t>75r40osa6cjt3o0|Nuke</t>
  </si>
  <si>
    <t>75r40osa6cjt3o0|Cache</t>
  </si>
  <si>
    <t>75r40osa6cjt3o0|Dust2</t>
  </si>
  <si>
    <t>ib0ui40iou8m5h8|Dust2</t>
  </si>
  <si>
    <t>ib0ui40iou8m5h8|Ancient</t>
  </si>
  <si>
    <t>ib0ui40iou8m5h8|Nuke</t>
  </si>
  <si>
    <t>CS2 · BB vs LGC</t>
  </si>
  <si>
    <t>Mirage 70%</t>
  </si>
  <si>
    <t>Ancient 10%</t>
  </si>
  <si>
    <t>ib0ui40iou8m5h8|Mirage</t>
  </si>
  <si>
    <t>Nuke 5%</t>
  </si>
  <si>
    <t>ib0ui40iou8m5h8|Anubis</t>
  </si>
  <si>
    <t>ib0ui40iou8m5h8|Inferno</t>
  </si>
  <si>
    <t>ib0ui40iou8m5h8|Cache</t>
  </si>
  <si>
    <t>wtlsowfl6o5b5pg|Dust2</t>
  </si>
  <si>
    <t>wtlsowfl6o5b5pg|Cache</t>
  </si>
  <si>
    <t>wtlsowfl6o5b5pg|Ancient</t>
  </si>
  <si>
    <t>wtlsowfl6o5b5pg|Mirage</t>
  </si>
  <si>
    <t>wtlsowfl6o5b5pg|Inferno</t>
  </si>
  <si>
    <t>wtlsowfl6o5b5pg|Nuke</t>
  </si>
  <si>
    <t>h6qqf27cvpf4wi5|Ancient</t>
  </si>
  <si>
    <t>h6qqf27cvpf4wi5|Cache</t>
  </si>
  <si>
    <t>h6qqf27cvpf4wi5|Inferno</t>
  </si>
  <si>
    <t>h6qqf27cvpf4wi5|Mirage</t>
  </si>
  <si>
    <t>h6qqf27cvpf4wi5|Dust2</t>
  </si>
  <si>
    <t>h6qqf27cvpf4wi5|Anubis</t>
  </si>
  <si>
    <t>0%/0/1</t>
  </si>
  <si>
    <t>14nk53aue7wxi91|Ancient</t>
  </si>
  <si>
    <t>14nk53aue7wxi91|Inferno</t>
  </si>
  <si>
    <t>14nk53aue7wxi91|Nuke</t>
  </si>
  <si>
    <t>14nk53aue7wxi91|Dust2</t>
  </si>
  <si>
    <t>bfampq2da0guhkz|CS2 · AST vs MIBR</t>
  </si>
  <si>
    <t>14nk53aue7wxi91|Anubis</t>
  </si>
  <si>
    <t>14nk53aue7wxi91|Mirage</t>
  </si>
  <si>
    <t>14nk53aue7wxi91|Cache</t>
  </si>
  <si>
    <t>4neyyyoi8995r0v|Dust2</t>
  </si>
  <si>
    <t>4neyyyoi8995r0v|Cache</t>
  </si>
  <si>
    <t>4neyyyoi8995r0v|Ancient</t>
  </si>
  <si>
    <t>4neyyyoi8995r0v|Mirage</t>
  </si>
  <si>
    <t>4neyyyoi8995r0v|Inferno</t>
  </si>
  <si>
    <t>4neyyyoi8995r0v|Nuke</t>
  </si>
  <si>
    <t>rlpdvqxm9kegl7b|Ancient</t>
  </si>
  <si>
    <t>rlpdvqxm9kegl7b|Dust2</t>
  </si>
  <si>
    <t>rlpdvqxm9kegl7b|Mirage</t>
  </si>
  <si>
    <t>rlpdvqxm9kegl7b|Nuke</t>
  </si>
  <si>
    <t>rlpdvqxm9kegl7b|Anubis</t>
  </si>
  <si>
    <t>rlpdvqxm9kegl7b|Cache</t>
  </si>
  <si>
    <t>kgpnwz42wxtq29r|Mirage</t>
  </si>
  <si>
    <t>kgpnwz42wxtq29r|Anubis</t>
  </si>
  <si>
    <t>kgpnwz42wxtq29r|Ancient</t>
  </si>
  <si>
    <t>kgpnwz42wxtq29r|Nuke</t>
  </si>
  <si>
    <t>kgpnwz42wxtq29r|Cache</t>
  </si>
  <si>
    <t>CS2 · GL vs ex-RUSTEC</t>
  </si>
  <si>
    <t>Nuke 32%</t>
  </si>
  <si>
    <t>Cache 18%</t>
  </si>
  <si>
    <t>Ancient 18%</t>
  </si>
  <si>
    <t>kgpnwz42wxtq29r|Dust2</t>
  </si>
  <si>
    <t>al57ba5j0f51eq6|Ancient</t>
  </si>
  <si>
    <t>al57ba5j0f51eq6|Nuke</t>
  </si>
  <si>
    <t>al57ba5j0f51eq6|Dust2</t>
  </si>
  <si>
    <t>al57ba5j0f51eq6|Anubis</t>
  </si>
  <si>
    <t>al57ba5j0f51eq6|Cache</t>
  </si>
  <si>
    <t>al57ba5j0f51eq6|Mirage</t>
  </si>
  <si>
    <t>ipodft09sqdlaqf|Anubis</t>
  </si>
  <si>
    <t>ipodft09sqdlaqf|Nuke</t>
  </si>
  <si>
    <t>ipodft09sqdlaqf|Mirage</t>
  </si>
  <si>
    <t>ipodft09sqdlaqf|Ancient</t>
  </si>
  <si>
    <t>ipodft09sqdlaqf|Cache</t>
  </si>
  <si>
    <t>ipodft09sqdlaqf|Dust2</t>
  </si>
  <si>
    <t>yoqtwbv6uc6leni|Mirage</t>
  </si>
  <si>
    <t>yoqtwbv6uc6leni|Dust2</t>
  </si>
  <si>
    <t>yoqtwbv6uc6leni|Ancient</t>
  </si>
  <si>
    <t>yoqtwbv6uc6leni|Inferno</t>
  </si>
  <si>
    <t>yoqtwbv6uc6leni|Anubis</t>
  </si>
  <si>
    <t>yoqtwbv6uc6leni|Cache</t>
  </si>
  <si>
    <t>yoqtwbv6uc6leni|Nuke</t>
  </si>
  <si>
    <t>0tpom07myrdplgs|Ancient</t>
  </si>
  <si>
    <t>0tpom07myrdplgs|Anubis</t>
  </si>
  <si>
    <t>0tpom07myrdplgs|Mirage</t>
  </si>
  <si>
    <t>0tpom07myrdplgs|Inferno</t>
  </si>
  <si>
    <t>0tpom07myrdplgs|Nuke</t>
  </si>
  <si>
    <t>0tpom07myrdplgs|Dust2</t>
  </si>
  <si>
    <t>0tpom07myrdplgs|Cache</t>
  </si>
  <si>
    <t>id2uf5ot80ms5oo|Nuke</t>
  </si>
  <si>
    <t>50%/2/4</t>
  </si>
  <si>
    <t>id2uf5ot80ms5oo|Dust2</t>
  </si>
  <si>
    <t>id2uf5ot80ms5oo|Mirage</t>
  </si>
  <si>
    <t>id2uf5ot80ms5oo|Cache</t>
  </si>
  <si>
    <t>gffaqp23gkmuw6v|CS2 · AST vs MIBR</t>
  </si>
  <si>
    <t>id2uf5ot80ms5oo|Inferno</t>
  </si>
  <si>
    <t>id2uf5ot80ms5oo|Ancient</t>
  </si>
  <si>
    <t>CS2 · PHA vs HAVU</t>
  </si>
  <si>
    <t>Fri 13:00</t>
  </si>
  <si>
    <t>fegzpn598j6etni|Dust2</t>
  </si>
  <si>
    <t>Mirage 11%</t>
  </si>
  <si>
    <t>Dust2 7%</t>
  </si>
  <si>
    <t>fegzpn598j6etni|Mirage</t>
  </si>
  <si>
    <t>fegzpn598j6etni|Ancient</t>
  </si>
  <si>
    <t>fegzpn598j6etni|Nuke</t>
  </si>
  <si>
    <t>fegzpn598j6etni|Inferno</t>
  </si>
  <si>
    <t>fegzpn598j6etni|Cache</t>
  </si>
  <si>
    <t>we8rbjpf65bc2tn|Mirage</t>
  </si>
  <si>
    <t>we8rbjpf65bc2tn|Cache</t>
  </si>
  <si>
    <t>we8rbjpf65bc2tn|Nuke</t>
  </si>
  <si>
    <t>we8rbjpf65bc2tn|Inferno</t>
  </si>
  <si>
    <t>we8rbjpf65bc2tn|Dust2</t>
  </si>
  <si>
    <t>we8rbjpf65bc2tn|Anubis</t>
  </si>
  <si>
    <t>we8rbjpf65bc2tn|Ancient</t>
  </si>
  <si>
    <t>ynmieq7eicmbcow|Anubis</t>
  </si>
  <si>
    <t>ynmieq7eicmbcow|Nuke</t>
  </si>
  <si>
    <t>ynmieq7eicmbcow|Ancient</t>
  </si>
  <si>
    <t>ynmieq7eicmbcow|Mirage</t>
  </si>
  <si>
    <t>ynmieq7eicmbcow|Cache</t>
  </si>
  <si>
    <t>ynmieq7eicmbcow|Dust2</t>
  </si>
  <si>
    <t>f9t8og97ml0t6z0|Ancient</t>
  </si>
  <si>
    <t>f9t8og97ml0t6z0|Cache</t>
  </si>
  <si>
    <t>f9t8og97ml0t6z0|Inferno</t>
  </si>
  <si>
    <t>f9t8og97ml0t6z0|Dust2</t>
  </si>
  <si>
    <t>f9t8og97ml0t6z0|Mirage</t>
  </si>
  <si>
    <t>f9t8og97ml0t6z0|Anubis</t>
  </si>
  <si>
    <t>cuos9kbfem9flgg|Ancient</t>
  </si>
  <si>
    <t>cuos9kbfem9flgg|Cache</t>
  </si>
  <si>
    <t>VAL · VIT vs LOUD</t>
  </si>
  <si>
    <t>Fri 01:00</t>
  </si>
  <si>
    <t>cuos9kbfem9flgg|Mirage</t>
  </si>
  <si>
    <t>Split 15%</t>
  </si>
  <si>
    <t>Summit 15%</t>
  </si>
  <si>
    <t>Haven 15%</t>
  </si>
  <si>
    <t>most-played by both rosters (no Map Picks)</t>
  </si>
  <si>
    <t>cuos9kbfem9flgg|Nuke</t>
  </si>
  <si>
    <t>VAL · 100T vs G2</t>
  </si>
  <si>
    <t>Fri 04:00</t>
  </si>
  <si>
    <t>Sunset 16%</t>
  </si>
  <si>
    <t>Ascent 14%</t>
  </si>
  <si>
    <t>Split 13%</t>
  </si>
  <si>
    <t>cuos9kbfem9flgg|Dust2</t>
  </si>
  <si>
    <t>cuos9kbfem9flgg|Inferno</t>
  </si>
  <si>
    <t>34ncnmnh403jz5x|Anubis</t>
  </si>
  <si>
    <t>34ncnmnh403jz5x|Dust2</t>
  </si>
  <si>
    <t>34ncnmnh403jz5x|Nuke</t>
  </si>
  <si>
    <t>50%/3/6</t>
  </si>
  <si>
    <t>34ncnmnh403jz5x|Ancient</t>
  </si>
  <si>
    <t>34ncnmnh403jz5x|Inferno</t>
  </si>
  <si>
    <t>t0obepfwbzppr9o|CS2 · AST vs MIBR</t>
  </si>
  <si>
    <t>34ncnmnh403jz5x|Mirage</t>
  </si>
  <si>
    <t>34ncnmnh403jz5x|Cache</t>
  </si>
  <si>
    <t>acphdzip9ah477u|Mirage</t>
  </si>
  <si>
    <t>acphdzip9ah477u|Dust2</t>
  </si>
  <si>
    <t>acphdzip9ah477u|Inferno</t>
  </si>
  <si>
    <t>acphdzip9ah477u|Ancient</t>
  </si>
  <si>
    <t>acphdzip9ah477u|Anubis</t>
  </si>
  <si>
    <t>acphdzip9ah477u|Cache</t>
  </si>
  <si>
    <t>acphdzip9ah477u|Nuke</t>
  </si>
  <si>
    <t>fg52qcdy7yej5d9|Nuke</t>
  </si>
  <si>
    <t>fg52qcdy7yej5d9|Dust2</t>
  </si>
  <si>
    <t>fg52qcdy7yej5d9|Mirage</t>
  </si>
  <si>
    <t>fg52qcdy7yej5d9|Cache</t>
  </si>
  <si>
    <t>fg52qcdy7yej5d9|Inferno</t>
  </si>
  <si>
    <t>fg52qcdy7yej5d9|Ancient</t>
  </si>
  <si>
    <t>9ewlsq1d531bbzm|Ancient</t>
  </si>
  <si>
    <t>9ewlsq1d531bbzm|Cache</t>
  </si>
  <si>
    <t>9ewlsq1d531bbzm|Mirage</t>
  </si>
  <si>
    <t>9ewlsq1d531bbzm|Nuke</t>
  </si>
  <si>
    <t>9ewlsq1d531bbzm|Dust2</t>
  </si>
  <si>
    <t>9ewlsq1d531bbzm|Inferno</t>
  </si>
  <si>
    <t>at33ffmykh60t4i|Inferno</t>
  </si>
  <si>
    <t>at33ffmykh60t4i|Ancient</t>
  </si>
  <si>
    <t>at33ffmykh60t4i|Nuke</t>
  </si>
  <si>
    <t>at33ffmykh60t4i|Cache</t>
  </si>
  <si>
    <t>at33ffmykh60t4i|Mirage</t>
  </si>
  <si>
    <t>at33ffmykh60t4i|Anubis</t>
  </si>
  <si>
    <t>82nefkkz4qxb3gq|Cache</t>
  </si>
  <si>
    <t>82nefkkz4qxb3gq|Ancient</t>
  </si>
  <si>
    <t>82nefkkz4qxb3gq|Inferno</t>
  </si>
  <si>
    <t>82nefkkz4qxb3gq|Dust2</t>
  </si>
  <si>
    <t>82nefkkz4qxb3gq|Mirage</t>
  </si>
  <si>
    <t>82nefkkz4qxb3gq|Anubis</t>
  </si>
  <si>
    <t>vri96qu30akszzt|Ancient</t>
  </si>
  <si>
    <t>vri96qu30akszzt|Cache</t>
  </si>
  <si>
    <t>vri96qu30akszzt|Inferno</t>
  </si>
  <si>
    <t>vri96qu30akszzt|Mirage</t>
  </si>
  <si>
    <t>vri96qu30akszzt|Dust2</t>
  </si>
  <si>
    <t>vri96qu30akszzt|Anubis</t>
  </si>
  <si>
    <t>66ajrvmetqiufsf|Mirage</t>
  </si>
  <si>
    <t>66ajrvmetqiufsf|Anubis</t>
  </si>
  <si>
    <t>66ajrvmetqiufsf|Dust2</t>
  </si>
  <si>
    <t>66ajrvmetqiufsf|Nuke</t>
  </si>
  <si>
    <t>66ajrvmetqiufsf|Inferno</t>
  </si>
  <si>
    <t>66ajrvmetqiufsf|Cache</t>
  </si>
  <si>
    <t>eb7cqiuc8bqx4zr|Mirage</t>
  </si>
  <si>
    <t>eb7cqiuc8bqx4zr|Cache</t>
  </si>
  <si>
    <t>at33ffmykh60t4i|CS2 · AST vs MIBR</t>
  </si>
  <si>
    <t>eb7cqiuc8bqx4zr|Nuke</t>
  </si>
  <si>
    <t>eb7cqiuc8bqx4zr|Inferno</t>
  </si>
  <si>
    <t>eb7cqiuc8bqx4zr|Dust2</t>
  </si>
  <si>
    <t>eb7cqiuc8bqx4zr|Anubis</t>
  </si>
  <si>
    <t>eb7cqiuc8bqx4zr|Ancient</t>
  </si>
  <si>
    <t>rfuts2r0t85cd95|Dust2</t>
  </si>
  <si>
    <t>rfuts2r0t85cd95|Anubis</t>
  </si>
  <si>
    <t>rfuts2r0t85cd95|Ancient</t>
  </si>
  <si>
    <t>rfuts2r0t85cd95|Cache</t>
  </si>
  <si>
    <t>rfuts2r0t85cd95|Mirage</t>
  </si>
  <si>
    <t>rfuts2r0t85cd95|Inferno</t>
  </si>
  <si>
    <t>j4y4z5p4stvkatz|Mirage</t>
  </si>
  <si>
    <t>j4y4z5p4stvkatz|Nuke</t>
  </si>
  <si>
    <t>j4y4z5p4stvkatz|Cache</t>
  </si>
  <si>
    <t>j4y4z5p4stvkatz|Inferno</t>
  </si>
  <si>
    <t>j4y4z5p4stvkatz|Dust2</t>
  </si>
  <si>
    <t>j4y4z5p4stvkatz|Anubis</t>
  </si>
  <si>
    <t>j4y4z5p4stvkatz|Ancient</t>
  </si>
  <si>
    <t>bf5itcax7wycz9n|Ancient</t>
  </si>
  <si>
    <t>TP player name</t>
  </si>
  <si>
    <t>Map 1 median</t>
  </si>
  <si>
    <t>Map 1 rungs</t>
  </si>
  <si>
    <t>Map 2 median</t>
  </si>
  <si>
    <t>Map 2 rungs</t>
  </si>
  <si>
    <t>Maps 1-2 median</t>
  </si>
  <si>
    <t>Matched PID</t>
  </si>
  <si>
    <t>bf5itcax7wycz9n|Dust2</t>
  </si>
  <si>
    <t>huasopeek</t>
  </si>
  <si>
    <t>jimpphat</t>
  </si>
  <si>
    <t>bf5itcax7wycz9n|Nuke</t>
  </si>
  <si>
    <t>bf5itcax7wycz9n|Anubis</t>
  </si>
  <si>
    <t>wicadia</t>
  </si>
  <si>
    <t>bf5itcax7wycz9n|Cache</t>
  </si>
  <si>
    <t>33%/2/6</t>
  </si>
  <si>
    <t>bf5itcax7wycz9n|Mirage</t>
  </si>
  <si>
    <t>e3qct411urjbnrw|Ancient</t>
  </si>
  <si>
    <t>e3qct411urjbnrw|Anubis</t>
  </si>
  <si>
    <t>e3qct411urjbnrw|Mirage</t>
  </si>
  <si>
    <t>e3qct411urjbnrw|Inferno</t>
  </si>
  <si>
    <t>e3qct411urjbnrw|Dust2</t>
  </si>
  <si>
    <t>e3qct411urjbnrw|Nuke</t>
  </si>
  <si>
    <t>e3qct411urjbnrw|Cache</t>
  </si>
  <si>
    <t>zf7bzibg1ekklis|Ancient</t>
  </si>
  <si>
    <t>zf7bzibg1ekklis|Inferno</t>
  </si>
  <si>
    <t>zf7bzibg1ekklis|Mirage</t>
  </si>
  <si>
    <t>zf7bzibg1ekklis|Anubis</t>
  </si>
  <si>
    <t>zf7bzibg1ekklis|Nuke</t>
  </si>
  <si>
    <t>zf7bzibg1ekklis|Dust2</t>
  </si>
  <si>
    <t>zf7bzibg1ekklis|Cache</t>
  </si>
  <si>
    <t>jlf7p69t2kz7r4d|Cache</t>
  </si>
  <si>
    <t>jlf7p69t2kz7r4d|Ancient</t>
  </si>
  <si>
    <t>jlf7p69t2kz7r4d|Inferno</t>
  </si>
  <si>
    <t>jlf7p69t2kz7r4d|Nuke</t>
  </si>
  <si>
    <t>jlf7p69t2kz7r4d|Mirage</t>
  </si>
  <si>
    <t>jlf7p69t2kz7r4d|Dust2</t>
  </si>
  <si>
    <t>92clx6foe6b0ep2|Ancient</t>
  </si>
  <si>
    <t>xantares</t>
  </si>
  <si>
    <t>92clx6foe6b0ep2|Anubis</t>
  </si>
  <si>
    <t>art</t>
  </si>
  <si>
    <t>92clx6foe6b0ep2|Mirage</t>
  </si>
  <si>
    <t>boombl4</t>
  </si>
  <si>
    <t>d1ledez</t>
  </si>
  <si>
    <t>92clx6foe6b0ep2|Inferno</t>
  </si>
  <si>
    <t>magnojez</t>
  </si>
  <si>
    <t>92clx6foe6b0ep2|Dust2</t>
  </si>
  <si>
    <t>chronicle</t>
  </si>
  <si>
    <t>darker</t>
  </si>
  <si>
    <t>davih</t>
  </si>
  <si>
    <t>92clx6foe6b0ep2|Nuke</t>
  </si>
  <si>
    <t>derke</t>
  </si>
  <si>
    <t>jamppi</t>
  </si>
  <si>
    <t>lukxo</t>
  </si>
  <si>
    <t>profek</t>
  </si>
  <si>
    <t>92clx6foe6b0ep2|Cache</t>
  </si>
  <si>
    <t>sayonara</t>
  </si>
  <si>
    <t>asuna</t>
  </si>
  <si>
    <t>t2lttsuygcwlbxl|Dust2</t>
  </si>
  <si>
    <t>cryocells</t>
  </si>
  <si>
    <t>t2lttsuygcwlbxl|Anubis</t>
  </si>
  <si>
    <t>timotino</t>
  </si>
  <si>
    <t>t2lttsuygcwlbxl|Ancient</t>
  </si>
  <si>
    <t>t2lttsuygcwlbxl|Cache</t>
  </si>
  <si>
    <t>t2lttsuygcwlbxl|Mirage</t>
  </si>
  <si>
    <t>t2lttsuygcwlbxl|Inferno</t>
  </si>
  <si>
    <t>w56yzcex8uwfyhn|Ancient</t>
  </si>
  <si>
    <t>w56yzcex8uwfyhn|Inferno</t>
  </si>
  <si>
    <t>w56yzcex8uwfyhn|Mirage</t>
  </si>
  <si>
    <t>w56yzcex8uwfyhn|Nuke</t>
  </si>
  <si>
    <t>w56yzcex8uwfyhn|Anubis</t>
  </si>
  <si>
    <t>w56yzcex8uwfyhn|Dust2</t>
  </si>
  <si>
    <t>w56yzcex8uwfyhn|Cache</t>
  </si>
  <si>
    <t>dg034axrrrb2wu5|CS2 · AST vs MIBR</t>
  </si>
  <si>
    <t>gzghvr1quamb0xn|Mirage</t>
  </si>
  <si>
    <t>gzghvr1quamb0xn|Anubis</t>
  </si>
  <si>
    <t>gzghvr1quamb0xn|Dust2</t>
  </si>
  <si>
    <t>gzghvr1quamb0xn|Inferno</t>
  </si>
  <si>
    <t>gzghvr1quamb0xn|Nuke</t>
  </si>
  <si>
    <t>gzghvr1quamb0xn|Cache</t>
  </si>
  <si>
    <t>1wpbb1hb0wgcwoh|Dust2</t>
  </si>
  <si>
    <t>1wpbb1hb0wgcwoh|Ancient</t>
  </si>
  <si>
    <t>1wpbb1hb0wgcwoh|Mirage</t>
  </si>
  <si>
    <t>1wpbb1hb0wgcwoh|Nuke</t>
  </si>
  <si>
    <t>1wpbb1hb0wgcwoh|Inferno</t>
  </si>
  <si>
    <t>1wpbb1hb0wgcwoh|Cache</t>
  </si>
  <si>
    <t>aulcxwhkh0pxo6k|Mirage</t>
  </si>
  <si>
    <t>aulcxwhkh0pxo6k|Nuke</t>
  </si>
  <si>
    <t>aulcxwhkh0pxo6k|Cache</t>
  </si>
  <si>
    <t>aulcxwhkh0pxo6k|Inferno</t>
  </si>
  <si>
    <t>aulcxwhkh0pxo6k|Ancient</t>
  </si>
  <si>
    <t>dg034axrrrb2wu5|Inferno</t>
  </si>
  <si>
    <t>dg034axrrrb2wu5|Ancient</t>
  </si>
  <si>
    <t>dg034axrrrb2wu5|Nuke</t>
  </si>
  <si>
    <t>dg034axrrrb2wu5|Cache</t>
  </si>
  <si>
    <t>dg034axrrrb2wu5|Mirage</t>
  </si>
  <si>
    <t>dg034axrrrb2wu5|Anubis</t>
  </si>
  <si>
    <t>uf3pcvx03g3k6xm|Nuke</t>
  </si>
  <si>
    <t>uf3pcvx03g3k6xm|Dust2</t>
  </si>
  <si>
    <t>uf3pcvx03g3k6xm|Mirage</t>
  </si>
  <si>
    <t>uf3pcvx03g3k6xm|Cache</t>
  </si>
  <si>
    <t>uf3pcvx03g3k6xm|Inferno</t>
  </si>
  <si>
    <t>uf3pcvx03g3k6xm|Ancient</t>
  </si>
  <si>
    <t>kqp0u5nsn54l8f7|Ancient</t>
  </si>
  <si>
    <t>kqp0u5nsn54l8f7|Dust2</t>
  </si>
  <si>
    <t>kqp0u5nsn54l8f7|Inferno</t>
  </si>
  <si>
    <t>kqp0u5nsn54l8f7|Cache</t>
  </si>
  <si>
    <t>kqp0u5nsn54l8f7|Nuke</t>
  </si>
  <si>
    <t>kqp0u5nsn54l8f7|Mirage</t>
  </si>
  <si>
    <t>w2jejpg0j9hthoo|Mirage</t>
  </si>
  <si>
    <t>w2jejpg0j9hthoo|Anubis</t>
  </si>
  <si>
    <t>w2jejpg0j9hthoo|Ancient</t>
  </si>
  <si>
    <t>w2jejpg0j9hthoo|Nuke</t>
  </si>
  <si>
    <t>Total</t>
  </si>
  <si>
    <t>Over odds</t>
  </si>
  <si>
    <t>Under odds</t>
  </si>
  <si>
    <t>w2jejpg0j9hthoo|Cache</t>
  </si>
  <si>
    <t>P(over) devigged</t>
  </si>
  <si>
    <t>50% crossing</t>
  </si>
  <si>
    <t>w2jejpg0j9hthoo|Dust2</t>
  </si>
  <si>
    <t>30ba4vwtbgb75sn|Nuke</t>
  </si>
  <si>
    <t>30ba4vwtbgb75sn|Cache</t>
  </si>
  <si>
    <t>30ba4vwtbgb75sn|Mirage</t>
  </si>
  <si>
    <t>30ba4vwtbgb75sn|Inferno</t>
  </si>
  <si>
    <t>30ba4vwtbgb75sn|Dust2</t>
  </si>
  <si>
    <t>30ba4vwtbgb75sn|Anubis</t>
  </si>
  <si>
    <t>67%/4/6</t>
  </si>
  <si>
    <t>30ba4vwtbgb75sn|Ancient</t>
  </si>
  <si>
    <t>30mdsslkk2b2chl|Ancient</t>
  </si>
  <si>
    <t>ohuy083j17pze9o|CS2 · AST vs MIBR</t>
  </si>
  <si>
    <t>30mdsslkk2b2chl|Nuke</t>
  </si>
  <si>
    <t>30mdsslkk2b2chl|Dust2</t>
  </si>
  <si>
    <t>30mdsslkk2b2chl|Anubis</t>
  </si>
  <si>
    <t>30mdsslkk2b2chl|Cache</t>
  </si>
  <si>
    <t>30mdsslkk2b2chl|Mirage</t>
  </si>
  <si>
    <t>6abl2drrh6zq9lw|Dust2</t>
  </si>
  <si>
    <t>6abl2drrh6zq9lw|Ancient</t>
  </si>
  <si>
    <t>6abl2drrh6zq9lw|Cache</t>
  </si>
  <si>
    <t>6abl2drrh6zq9lw|Mirage</t>
  </si>
  <si>
    <t>6abl2drrh6zq9lw|Inferno</t>
  </si>
  <si>
    <t>6abl2drrh6zq9lw|Nuke</t>
  </si>
  <si>
    <t>2l8hxj94mm620bg|Nuke</t>
  </si>
  <si>
    <t>2l8hxj94mm620bg|Dust2</t>
  </si>
  <si>
    <t>2l8hxj94mm620bg|Mirage</t>
  </si>
  <si>
    <t>2l8hxj94mm620bg|Cache</t>
  </si>
  <si>
    <t>2l8hxj94mm620bg|Inferno</t>
  </si>
  <si>
    <t>2l8hxj94mm620bg|Ancient</t>
  </si>
  <si>
    <t>by1g6gafo5oyqad|Ancient</t>
  </si>
  <si>
    <t>by1g6gafo5oyqad|Mirage</t>
  </si>
  <si>
    <t>by1g6gafo5oyqad|Anubis</t>
  </si>
  <si>
    <t>by1g6gafo5oyqad|Inferno</t>
  </si>
  <si>
    <t>by1g6gafo5oyqad|Dust2</t>
  </si>
  <si>
    <t>by1g6gafo5oyqad|Nuke</t>
  </si>
  <si>
    <t>by1g6gafo5oyqad|Cache</t>
  </si>
  <si>
    <t>nm2jvu2w8c75yhk|Cache</t>
  </si>
  <si>
    <t>nm2jvu2w8c75yhk|Ancient</t>
  </si>
  <si>
    <t>nm2jvu2w8c75yhk|Inferno</t>
  </si>
  <si>
    <t>nm2jvu2w8c75yhk|Mirage</t>
  </si>
  <si>
    <t>nm2jvu2w8c75yhk|Dust2</t>
  </si>
  <si>
    <t>nm2jvu2w8c75yhk|Anubis</t>
  </si>
  <si>
    <t>pumzitjp9bsniic|Nuke</t>
  </si>
  <si>
    <t>pumzitjp9bsniic|Dust2</t>
  </si>
  <si>
    <t>pumzitjp9bsniic|Mirage</t>
  </si>
  <si>
    <t>pumzitjp9bsniic|Inferno</t>
  </si>
  <si>
    <t>pumzitjp9bsniic|Cache</t>
  </si>
  <si>
    <t>pumzitjp9bsniic|Ancient</t>
  </si>
  <si>
    <t>mp3vrg2adugpxjt|Dust2</t>
  </si>
  <si>
    <t>mp3vrg2adugpxjt|Anubis</t>
  </si>
  <si>
    <t>mp3vrg2adugpxjt|Ancient</t>
  </si>
  <si>
    <t>mp3vrg2adugpxjt|Cache</t>
  </si>
  <si>
    <t>mp3vrg2adugpxjt|Mirage</t>
  </si>
  <si>
    <t>m5jimj86u7hpg0e|CS2 · AST vs MIBR</t>
  </si>
  <si>
    <t>mp3vrg2adugpxjt|Inferno</t>
  </si>
  <si>
    <t>wgxwl9snnyzsfwq|Dust2</t>
  </si>
  <si>
    <t>wgxwl9snnyzsfwq|Mirage</t>
  </si>
  <si>
    <t>wgxwl9snnyzsfwq|Ancient</t>
  </si>
  <si>
    <t>wgxwl9snnyzsfwq|Nuke</t>
  </si>
  <si>
    <t>wgxwl9snnyzsfwq|Inferno</t>
  </si>
  <si>
    <t>wgxwl9snnyzsfwq|Cache</t>
  </si>
  <si>
    <t>as14gj4lvoykr11|Mirage</t>
  </si>
  <si>
    <t>as14gj4lvoykr11|Cache</t>
  </si>
  <si>
    <t>as14gj4lvoykr11|Nuke</t>
  </si>
  <si>
    <t>as14gj4lvoykr11|Inferno</t>
  </si>
  <si>
    <t>as14gj4lvoykr11|Dust2</t>
  </si>
  <si>
    <t>as14gj4lvoykr11|Anubis</t>
  </si>
  <si>
    <t>as14gj4lvoykr11|Ancient</t>
  </si>
  <si>
    <t>4u8b77givp2ury3|Mirage</t>
  </si>
  <si>
    <t>4u8b77givp2ury3|Cache</t>
  </si>
  <si>
    <t>4u8b77givp2ury3|Nuke</t>
  </si>
  <si>
    <t>4u8b77givp2ury3|Inferno</t>
  </si>
  <si>
    <t>4u8b77givp2ury3|Ancient</t>
  </si>
  <si>
    <t>mti1aemn002cu5c|Ancient</t>
  </si>
  <si>
    <t>mti1aemn002cu5c|Inferno</t>
  </si>
  <si>
    <t>mti1aemn002cu5c|Mirage</t>
  </si>
  <si>
    <t>mti1aemn002cu5c|Nuke</t>
  </si>
  <si>
    <t>mti1aemn002cu5c|Anubis</t>
  </si>
  <si>
    <t>mti1aemn002cu5c|Dust2</t>
  </si>
  <si>
    <t>mti1aemn002cu5c|Cache</t>
  </si>
  <si>
    <t>zk657eunk3op4kx|Dust2</t>
  </si>
  <si>
    <t>zk657eunk3op4kx|Cache</t>
  </si>
  <si>
    <t>zk657eunk3op4kx|Ancient</t>
  </si>
  <si>
    <t>zk657eunk3op4kx|Mirage</t>
  </si>
  <si>
    <t>zk657eunk3op4kx|Inferno</t>
  </si>
  <si>
    <t>zk657eunk3op4kx|Nuke</t>
  </si>
  <si>
    <t>inq1aslhosl5opp|Ancient</t>
  </si>
  <si>
    <t>inq1aslhosl5opp|Dust2</t>
  </si>
  <si>
    <t>inq1aslhosl5opp|Nuke</t>
  </si>
  <si>
    <t>inq1aslhosl5opp|Anubis</t>
  </si>
  <si>
    <t>inq1aslhosl5opp|Cache</t>
  </si>
  <si>
    <t>inq1aslhosl5opp|Mirage</t>
  </si>
  <si>
    <t>ohuy083j17pze9o|Inferno</t>
  </si>
  <si>
    <t>ohuy083j17pze9o|Ancient</t>
  </si>
  <si>
    <t>ohuy083j17pze9o|Nuke</t>
  </si>
  <si>
    <t>ohuy083j17pze9o|Mirage</t>
  </si>
  <si>
    <t>ohuy083j17pze9o|Cache</t>
  </si>
  <si>
    <t>ohuy083j17pze9o|Anubis</t>
  </si>
  <si>
    <t>r5k3gcz96b2x9h8|Mirage</t>
  </si>
  <si>
    <t>n597dm4mdfvgas1|CS2 · AST vs MIBR</t>
  </si>
  <si>
    <t>r5k3gcz96b2x9h8|Nuke</t>
  </si>
  <si>
    <t>r5k3gcz96b2x9h8|Dust2</t>
  </si>
  <si>
    <t>r5k3gcz96b2x9h8|Inferno</t>
  </si>
  <si>
    <t>HLTV team</t>
  </si>
  <si>
    <t>Sample (3 months)</t>
  </si>
  <si>
    <t>Rounds lost in wins</t>
  </si>
  <si>
    <t>Rounds won in losses</t>
  </si>
  <si>
    <t>r5k3gcz96b2x9h8|Ancient</t>
  </si>
  <si>
    <t>P(2-0)</t>
  </si>
  <si>
    <t>P(2-1)</t>
  </si>
  <si>
    <t>P(0-2)</t>
  </si>
  <si>
    <t>P(1-2)</t>
  </si>
  <si>
    <t>OT %</t>
  </si>
  <si>
    <t>Map win rate</t>
  </si>
  <si>
    <t>Hist round share</t>
  </si>
  <si>
    <t>CS2 · EF vs BCA|A</t>
  </si>
  <si>
    <t>A</t>
  </si>
  <si>
    <t>Eternal Fire</t>
  </si>
  <si>
    <t>r5k3gcz96b2x9h8|Cache</t>
  </si>
  <si>
    <t>r4mf7kxzysimlpj|Mirage</t>
  </si>
  <si>
    <t>r4mf7kxzysimlpj|Nuke</t>
  </si>
  <si>
    <t>r4mf7kxzysimlpj|Dust2</t>
  </si>
  <si>
    <t>CS2 · EF vs BCA|B</t>
  </si>
  <si>
    <t>B</t>
  </si>
  <si>
    <t>Betclic</t>
  </si>
  <si>
    <t>r4mf7kxzysimlpj|Inferno</t>
  </si>
  <si>
    <t>CS2 · NIP vs TL|A</t>
  </si>
  <si>
    <t>Ninjas in Pyjamas</t>
  </si>
  <si>
    <t>r4mf7kxzysimlpj|Ancient</t>
  </si>
  <si>
    <t>CS2 · NIP vs TL|B</t>
  </si>
  <si>
    <t>Liquid</t>
  </si>
  <si>
    <t>CS2 · VOCA vs PHA|A</t>
  </si>
  <si>
    <t>Voca</t>
  </si>
  <si>
    <t>r4mf7kxzysimlpj|Cache</t>
  </si>
  <si>
    <t>CS2 · VOCA vs PHA|B</t>
  </si>
  <si>
    <t>Phantom</t>
  </si>
  <si>
    <t>u4e5uoowjf17ffu|Ancient</t>
  </si>
  <si>
    <t>CS2 · HAVU vs RGG|A</t>
  </si>
  <si>
    <t>CS2 · HAVU vs RGG|B</t>
  </si>
  <si>
    <t>ROUNDS</t>
  </si>
  <si>
    <t>u4e5uoowjf17ffu|Cache</t>
  </si>
  <si>
    <t>CS2 · FNC vs HERO|A</t>
  </si>
  <si>
    <t>fnatic</t>
  </si>
  <si>
    <t>u4e5uoowjf17ffu|Nuke</t>
  </si>
  <si>
    <t>CS2 · FNC vs HERO|B</t>
  </si>
  <si>
    <t>HEROIC</t>
  </si>
  <si>
    <t>CS2 · NEM vs NTR|A</t>
  </si>
  <si>
    <t>Nemesis</t>
  </si>
  <si>
    <t>u4e5uoowjf17ffu|Mirage</t>
  </si>
  <si>
    <t>CS2 · NEM vs NTR|B</t>
  </si>
  <si>
    <t>Nuclear TigeRES</t>
  </si>
  <si>
    <t>u4e5uoowjf17ffu|Inferno</t>
  </si>
  <si>
    <t>CS2 · VOCA vs HAVU|A</t>
  </si>
  <si>
    <t>CS2 · VOCA vs HAVU|B</t>
  </si>
  <si>
    <t>u4e5uoowjf17ffu|Dust2</t>
  </si>
  <si>
    <t>CS2 · AUR vs 9z|A</t>
  </si>
  <si>
    <t>Aurora</t>
  </si>
  <si>
    <t>u4e5uoowjf17ffu|Anubis</t>
  </si>
  <si>
    <t>CS2 · AUR vs 9z|B</t>
  </si>
  <si>
    <t>irrertmif0zjlof|Mirage</t>
  </si>
  <si>
    <t>CS2 · AST vs MIBR|A</t>
  </si>
  <si>
    <t>Astralis</t>
  </si>
  <si>
    <t>irrertmif0zjlof|Dust2</t>
  </si>
  <si>
    <t>CS2 · AST vs MIBR|B</t>
  </si>
  <si>
    <t>CS2 · BBL vs EYE|A</t>
  </si>
  <si>
    <t>irrertmif0zjlof|Ancient</t>
  </si>
  <si>
    <t>CS2 · BBL vs EYE|B</t>
  </si>
  <si>
    <t>EYEBALLERS</t>
  </si>
  <si>
    <t>irrertmif0zjlof|Inferno</t>
  </si>
  <si>
    <t>CS2 · PHA vs RGG|A</t>
  </si>
  <si>
    <t>irrertmif0zjlof|Anubis</t>
  </si>
  <si>
    <t>CS2 · PHA vs RGG|B</t>
  </si>
  <si>
    <t>100%/1/1</t>
  </si>
  <si>
    <t>CS2 · VOCA vs RGG|A</t>
  </si>
  <si>
    <t>irrertmif0zjlof|Cache</t>
  </si>
  <si>
    <t>CS2 · VOCA vs RGG|B</t>
  </si>
  <si>
    <t>irrertmif0zjlof|Nuke</t>
  </si>
  <si>
    <t>CS2 · 100T vs SNG|A</t>
  </si>
  <si>
    <t>100 Thieves</t>
  </si>
  <si>
    <t>CS2 · 100T vs SNG|B</t>
  </si>
  <si>
    <t>0me0g5v8fk4yzec|Anubis</t>
  </si>
  <si>
    <t>Sangal</t>
  </si>
  <si>
    <t>0me0g5v8fk4yzec|Nuke</t>
  </si>
  <si>
    <t>CS2 · BB vs LGC|A</t>
  </si>
  <si>
    <t>BETBOOM</t>
  </si>
  <si>
    <t>CS2 · BB vs LGC|B</t>
  </si>
  <si>
    <t>Legacy</t>
  </si>
  <si>
    <t>0me0g5v8fk4yzec|Mirage</t>
  </si>
  <si>
    <t>CS2 · GL vs ex-RUSTEC|A</t>
  </si>
  <si>
    <t>GamerLegion</t>
  </si>
  <si>
    <t>0me0g5v8fk4yzec|Ancient</t>
  </si>
  <si>
    <t>CS2 · GL vs ex-RUSTEC|B</t>
  </si>
  <si>
    <t>CS2 · PHA vs HAVU|A</t>
  </si>
  <si>
    <t>0me0g5v8fk4yzec|Cache</t>
  </si>
  <si>
    <t>CS2 · PHA vs HAVU|B</t>
  </si>
  <si>
    <t>0me0g5v8fk4yzec|Dust2</t>
  </si>
  <si>
    <t>zhf73thl2zdwjk1|Anubis</t>
  </si>
  <si>
    <t>zhf73thl2zdwjk1|Nuke</t>
  </si>
  <si>
    <t>zhf73thl2zdwjk1|Ancient</t>
  </si>
  <si>
    <t>zhf73thl2zdwjk1|Mirage</t>
  </si>
  <si>
    <t>zhf73thl2zdwjk1|Cache</t>
  </si>
  <si>
    <t>zhf73thl2zdwjk1|Dust2</t>
  </si>
  <si>
    <t>1fsggyr6b6hmnv1|Ancient</t>
  </si>
  <si>
    <t>1fsggyr6b6hmnv1|Dust2</t>
  </si>
  <si>
    <t>1fsggyr6b6hmnv1|Inferno</t>
  </si>
  <si>
    <t>1fsggyr6b6hmnv1|Cache</t>
  </si>
  <si>
    <t>1fsggyr6b6hmnv1|Nuke</t>
  </si>
  <si>
    <t>1fsggyr6b6hmnv1|Mirage</t>
  </si>
  <si>
    <t>cy7qneakzvjx5w7|Mirage</t>
  </si>
  <si>
    <t>cy7qneakzvjx5w7|Dust2</t>
  </si>
  <si>
    <t>cy7qneakzvjx5w7|Inferno</t>
  </si>
  <si>
    <t>cy7qneakzvjx5w7|Ancient</t>
  </si>
  <si>
    <t>cy7qneakzvjx5w7|Anubis</t>
  </si>
  <si>
    <t>cy7qneakzvjx5w7|Cache</t>
  </si>
  <si>
    <t>cy7qneakzvjx5w7|Nuke</t>
  </si>
  <si>
    <t>v15ff2btfwe796g|Dust2</t>
  </si>
  <si>
    <t>v15ff2btfwe796g|Anubis</t>
  </si>
  <si>
    <t>v15ff2btfwe796g|Cache</t>
  </si>
  <si>
    <t>v15ff2btfwe796g|Ancient</t>
  </si>
  <si>
    <t>v15ff2btfwe796g|Mirage</t>
  </si>
  <si>
    <t>v15ff2btfwe796g|Inferno</t>
  </si>
  <si>
    <t>wt4hradl1cp0pr9|Ancient</t>
  </si>
  <si>
    <t>id2uf5ot80ms5oo|CS2 · AUR vs 9z</t>
  </si>
  <si>
    <t>wt4hradl1cp0pr9|Cache</t>
  </si>
  <si>
    <t>wt4hradl1cp0pr9|Mirage</t>
  </si>
  <si>
    <t>wt4hradl1cp0pr9|Dust2</t>
  </si>
  <si>
    <t>Key (match|side|map|stat)</t>
  </si>
  <si>
    <t>CS2 · EF vs BCA|A|ALL|lw</t>
  </si>
  <si>
    <t>CS2 · EF vs BCA|A|ALL|wl</t>
  </si>
  <si>
    <t>CS2 · EF vs BCA|A|Cache|lw</t>
  </si>
  <si>
    <t>CS2 · EF vs BCA|A|Cache|wl</t>
  </si>
  <si>
    <t>wt4hradl1cp0pr9|Nuke</t>
  </si>
  <si>
    <t>CS2 · EF vs BCA|A|Dust2|lw</t>
  </si>
  <si>
    <t>CS2 · EF vs BCA|A|Dust2|wl</t>
  </si>
  <si>
    <t>CS2 · EF vs BCA|A|Mirage|lw</t>
  </si>
  <si>
    <t>CS2 · EF vs BCA|A|Mirage|wl</t>
  </si>
  <si>
    <t>CS2 · EF vs BCA|A|Inferno|lw</t>
  </si>
  <si>
    <t>CS2 · EF vs BCA|A|Inferno|wl</t>
  </si>
  <si>
    <t>CS2 · EF vs BCA|A|Ancient|lw</t>
  </si>
  <si>
    <t>CS2 · EF vs BCA|A|Ancient|wl</t>
  </si>
  <si>
    <t>CS2 · EF vs BCA|A|Anubis|lw</t>
  </si>
  <si>
    <t>CS2 · EF vs BCA|A|Anubis|wl</t>
  </si>
  <si>
    <t>CS2 · EF vs BCA|B|ALL|lw</t>
  </si>
  <si>
    <t>CS2 · EF vs BCA|B|ALL|wl</t>
  </si>
  <si>
    <t>wt4hradl1cp0pr9|Inferno</t>
  </si>
  <si>
    <t>CS2 · EF vs BCA|B|Cache|lw</t>
  </si>
  <si>
    <t>CS2 · EF vs BCA|B|Cache|wl</t>
  </si>
  <si>
    <t>CS2 · EF vs BCA|B|Dust2|lw</t>
  </si>
  <si>
    <t>CS2 · EF vs BCA|B|Mirage|lw</t>
  </si>
  <si>
    <t>CS2 · EF vs BCA|B|Mirage|wl</t>
  </si>
  <si>
    <t>CS2 · EF vs BCA|B|Nuke|lw</t>
  </si>
  <si>
    <t>CS2 · EF vs BCA|B|Nuke|wl</t>
  </si>
  <si>
    <t>CS2 · EF vs BCA|B|Ancient|lw</t>
  </si>
  <si>
    <t>CS2 · EF vs BCA|B|Ancient|wl</t>
  </si>
  <si>
    <t>CS2 · EF vs BCA|B|Anubis|lw</t>
  </si>
  <si>
    <t>CS2 · EF vs BCA|B|Anubis|wl</t>
  </si>
  <si>
    <t>CS2 · NIP vs TL|A|ALL|lw</t>
  </si>
  <si>
    <t>e1p0xlwtwfrt8qa|Ancient</t>
  </si>
  <si>
    <t>CS2 · NIP vs TL|A|ALL|wl</t>
  </si>
  <si>
    <t>CS2 · NIP vs TL|A|Cache|lw</t>
  </si>
  <si>
    <t>CS2 · NIP vs TL|A|Cache|wl</t>
  </si>
  <si>
    <t>CS2 · NIP vs TL|A|Dust2|lw</t>
  </si>
  <si>
    <t>CS2 · NIP vs TL|A|Dust2|wl</t>
  </si>
  <si>
    <t>CS2 · NIP vs TL|A|Mirage|lw</t>
  </si>
  <si>
    <t>CS2 · NIP vs TL|A|Mirage|wl</t>
  </si>
  <si>
    <t>CS2 · NIP vs TL|A|Inferno|lw</t>
  </si>
  <si>
    <t>CS2 · NIP vs TL|A|Inferno|wl</t>
  </si>
  <si>
    <t>CS2 · NIP vs TL|A|Nuke|lw</t>
  </si>
  <si>
    <t>CS2 · NIP vs TL|A|Nuke|wl</t>
  </si>
  <si>
    <t>e1p0xlwtwfrt8qa|Anubis</t>
  </si>
  <si>
    <t>CS2 · NIP vs TL|A|Ancient|lw</t>
  </si>
  <si>
    <t>CS2 · NIP vs TL|A|Ancient|wl</t>
  </si>
  <si>
    <t>CS2 · NIP vs TL|A|Anubis|lw</t>
  </si>
  <si>
    <t>CS2 · NIP vs TL|A|Anubis|wl</t>
  </si>
  <si>
    <t>CS2 · NIP vs TL|B|ALL|lw</t>
  </si>
  <si>
    <t>CS2 · NIP vs TL|B|ALL|wl</t>
  </si>
  <si>
    <t>CS2 · NIP vs TL|B|Cache|lw</t>
  </si>
  <si>
    <t>CS2 · NIP vs TL|B|Cache|wl</t>
  </si>
  <si>
    <t>CS2 · NIP vs TL|B|Dust2|lw</t>
  </si>
  <si>
    <t>CS2 · NIP vs TL|B|Dust2|wl</t>
  </si>
  <si>
    <t>CS2 · NIP vs TL|B|Mirage|lw</t>
  </si>
  <si>
    <t>CS2 · NIP vs TL|B|Mirage|wl</t>
  </si>
  <si>
    <t>e1p0xlwtwfrt8qa|Mirage</t>
  </si>
  <si>
    <t>CS2 · NIP vs TL|B|Inferno|lw</t>
  </si>
  <si>
    <t>CS2 · NIP vs TL|B|Nuke|lw</t>
  </si>
  <si>
    <t>CS2 · NIP vs TL|B|Nuke|wl</t>
  </si>
  <si>
    <t>CS2 · NIP vs TL|B|Ancient|wl</t>
  </si>
  <si>
    <t>CS2 · NIP vs TL|B|Anubis|lw</t>
  </si>
  <si>
    <t>CS2 · NIP vs TL|B|Anubis|wl</t>
  </si>
  <si>
    <t>CS2 · VOCA vs PHA|A|ALL|lw</t>
  </si>
  <si>
    <t>CS2 · VOCA vs PHA|A|ALL|wl</t>
  </si>
  <si>
    <t>CS2 · VOCA vs PHA|A|Cache|lw</t>
  </si>
  <si>
    <t>CS2 · VOCA vs PHA|A|Cache|wl</t>
  </si>
  <si>
    <t>CS2 · VOCA vs PHA|A|Dust2|lw</t>
  </si>
  <si>
    <t>CS2 · VOCA vs PHA|A|Dust2|wl</t>
  </si>
  <si>
    <t>e1p0xlwtwfrt8qa|Inferno</t>
  </si>
  <si>
    <t>CS2 · VOCA vs PHA|A|Mirage|lw</t>
  </si>
  <si>
    <t>CS2 · VOCA vs PHA|A|Nuke|lw</t>
  </si>
  <si>
    <t>CS2 · VOCA vs PHA|A|Nuke|wl</t>
  </si>
  <si>
    <t>CS2 · VOCA vs PHA|A|Ancient|lw</t>
  </si>
  <si>
    <t>CS2 · VOCA vs PHA|A|Ancient|wl</t>
  </si>
  <si>
    <t>CS2 · VOCA vs PHA|A|Anubis|lw</t>
  </si>
  <si>
    <t>CS2 · VOCA vs PHA|A|Anubis|wl</t>
  </si>
  <si>
    <t>CS2 · VOCA vs PHA|B|ALL|lw</t>
  </si>
  <si>
    <t>CS2 · VOCA vs PHA|B|ALL|wl</t>
  </si>
  <si>
    <t>CS2 · VOCA vs PHA|B|Cache|wl</t>
  </si>
  <si>
    <t>CS2 · VOCA vs PHA|B|Dust2|lw</t>
  </si>
  <si>
    <t>e1p0xlwtwfrt8qa|Nuke</t>
  </si>
  <si>
    <t>CS2 · VOCA vs PHA|B|Dust2|wl</t>
  </si>
  <si>
    <t>CS2 · VOCA vs PHA|B|Mirage|lw</t>
  </si>
  <si>
    <t>CS2 · VOCA vs PHA|B|Mirage|wl</t>
  </si>
  <si>
    <t>CS2 · VOCA vs PHA|B|Inferno|lw</t>
  </si>
  <si>
    <t>CS2 · VOCA vs PHA|B|Inferno|wl</t>
  </si>
  <si>
    <t>CS2 · VOCA vs PHA|B|Nuke|lw</t>
  </si>
  <si>
    <t>CS2 · VOCA vs PHA|B|Nuke|wl</t>
  </si>
  <si>
    <t>CS2 · VOCA vs PHA|B|Ancient|lw</t>
  </si>
  <si>
    <t>CS2 · VOCA vs PHA|B|Ancient|wl</t>
  </si>
  <si>
    <t>CS2 · VOCA vs PHA|B|Anubis|lw</t>
  </si>
  <si>
    <t>CS2 · VOCA vs PHA|B|Anubis|wl</t>
  </si>
  <si>
    <t>CS2 · HAVU vs RGG|A|ALL|lw</t>
  </si>
  <si>
    <t>e1p0xlwtwfrt8qa|Dust2</t>
  </si>
  <si>
    <t>CS2 · HAVU vs RGG|A|ALL|wl</t>
  </si>
  <si>
    <t>CS2 · HAVU vs RGG|A|Cache|lw</t>
  </si>
  <si>
    <t>CS2 · HAVU vs RGG|A|Cache|wl</t>
  </si>
  <si>
    <t>CS2 · HAVU vs RGG|A|Dust2|lw</t>
  </si>
  <si>
    <t>CS2 · HAVU vs RGG|A|Dust2|wl</t>
  </si>
  <si>
    <t>CS2 · HAVU vs RGG|A|Mirage|lw</t>
  </si>
  <si>
    <t>CS2 · HAVU vs RGG|A|Mirage|wl</t>
  </si>
  <si>
    <t>CS2 · HAVU vs RGG|A|Inferno|lw</t>
  </si>
  <si>
    <t>CS2 · HAVU vs RGG|A|Inferno|wl</t>
  </si>
  <si>
    <t>CS2 · HAVU vs RGG|A|Nuke|lw</t>
  </si>
  <si>
    <t>CS2 · HAVU vs RGG|A|Nuke|wl</t>
  </si>
  <si>
    <t>CS2 · HAVU vs RGG|A|Ancient|lw</t>
  </si>
  <si>
    <t>CS2 · HAVU vs RGG|A|Ancient|wl</t>
  </si>
  <si>
    <t>CS2 · HAVU vs RGG|A|Anubis|wl</t>
  </si>
  <si>
    <t>CS2 · HAVU vs RGG|B|ALL|lw</t>
  </si>
  <si>
    <t>CS2 · HAVU vs RGG|B|ALL|wl</t>
  </si>
  <si>
    <t>e1p0xlwtwfrt8qa|Cache</t>
  </si>
  <si>
    <t>CS2 · HAVU vs RGG|B|Cache|wl</t>
  </si>
  <si>
    <t>CS2 · HAVU vs RGG|B|Dust2|wl</t>
  </si>
  <si>
    <t>CS2 · HAVU vs RGG|B|Mirage|wl</t>
  </si>
  <si>
    <t>CS2 · HAVU vs RGG|B|Inferno|lw</t>
  </si>
  <si>
    <t>CS2 · HAVU vs RGG|B|Inferno|wl</t>
  </si>
  <si>
    <t>CS2 · HAVU vs RGG|B|Nuke|lw</t>
  </si>
  <si>
    <t>CS2 · HAVU vs RGG|B|Nuke|wl</t>
  </si>
  <si>
    <t>CS2 · HAVU vs RGG|B|Ancient|lw</t>
  </si>
  <si>
    <t>CS2 · HAVU vs RGG|B|Ancient|wl</t>
  </si>
  <si>
    <t>CS2 · HAVU vs RGG|B|Anubis|wl</t>
  </si>
  <si>
    <t>CS2 · FNC vs HERO|A|ALL|lw</t>
  </si>
  <si>
    <t>CS2 · FNC vs HERO|A|ALL|wl</t>
  </si>
  <si>
    <t>CS2 · FNC vs HERO|A|Cache|lw</t>
  </si>
  <si>
    <t>CS2 · FNC vs HERO|A|Cache|wl</t>
  </si>
  <si>
    <t>CS2 · FNC vs HERO|A|Dust2|lw</t>
  </si>
  <si>
    <t>CS2 · FNC vs HERO|A|Dust2|wl</t>
  </si>
  <si>
    <t>CS2 · FNC vs HERO|A|Mirage|lw</t>
  </si>
  <si>
    <t>CS2 · FNC vs HERO|A|Mirage|wl</t>
  </si>
  <si>
    <t>CS2 · FNC vs HERO|A|Inferno|lw</t>
  </si>
  <si>
    <t>CS2 · FNC vs HERO|A|Inferno|wl</t>
  </si>
  <si>
    <t>CS2 · FNC vs HERO|A|Ancient|lw</t>
  </si>
  <si>
    <t>CS2 · FNC vs HERO|A|Ancient|wl</t>
  </si>
  <si>
    <t>CS2 · FNC vs HERO|A|Anubis|lw</t>
  </si>
  <si>
    <t>CS2 · FNC vs HERO|A|Anubis|wl</t>
  </si>
  <si>
    <t>CS2 · FNC vs HERO|B|ALL|lw</t>
  </si>
  <si>
    <t>bfampq2da0guhkz|Ancient</t>
  </si>
  <si>
    <t>CS2 · FNC vs HERO|B|ALL|wl</t>
  </si>
  <si>
    <t>CS2 · FNC vs HERO|B|Cache|lw</t>
  </si>
  <si>
    <t>CS2 · FNC vs HERO|B|Cache|wl</t>
  </si>
  <si>
    <t>CS2 · FNC vs HERO|B|Dust2|lw</t>
  </si>
  <si>
    <t>CS2 · FNC vs HERO|B|Dust2|wl</t>
  </si>
  <si>
    <t>CS2 · FNC vs HERO|B|Mirage|lw</t>
  </si>
  <si>
    <t>CS2 · FNC vs HERO|B|Mirage|wl</t>
  </si>
  <si>
    <t>CS2 · FNC vs HERO|B|Inferno|lw</t>
  </si>
  <si>
    <t>CS2 · FNC vs HERO|B|Inferno|wl</t>
  </si>
  <si>
    <t>CS2 · FNC vs HERO|B|Nuke|lw</t>
  </si>
  <si>
    <t>CS2 · FNC vs HERO|B|Nuke|wl</t>
  </si>
  <si>
    <t>CS2 · FNC vs HERO|B|Ancient|lw</t>
  </si>
  <si>
    <t>CS2 · FNC vs HERO|B|Ancient|wl</t>
  </si>
  <si>
    <t>CS2 · NEM vs NTR|A|ALL|lw</t>
  </si>
  <si>
    <t>CS2 · NEM vs NTR|A|ALL|wl</t>
  </si>
  <si>
    <t>CS2 · NEM vs NTR|A|Cache|lw</t>
  </si>
  <si>
    <t>CS2 · NEM vs NTR|A|Cache|wl</t>
  </si>
  <si>
    <t>CS2 · NEM vs NTR|A|Dust2|lw</t>
  </si>
  <si>
    <t>CS2 · NEM vs NTR|A|Dust2|wl</t>
  </si>
  <si>
    <t>CS2 · NEM vs NTR|A|Mirage|lw</t>
  </si>
  <si>
    <t>CS2 · NEM vs NTR|A|Mirage|wl</t>
  </si>
  <si>
    <t>CS2 · NEM vs NTR|A|Inferno|lw</t>
  </si>
  <si>
    <t>CS2 · NEM vs NTR|A|Inferno|wl</t>
  </si>
  <si>
    <t>CS2 · NEM vs NTR|A|Nuke|lw</t>
  </si>
  <si>
    <t>CS2 · NEM vs NTR|A|Nuke|wl</t>
  </si>
  <si>
    <t>CS2 · NEM vs NTR|A|Ancient|lw</t>
  </si>
  <si>
    <t>CS2 · NEM vs NTR|A|Ancient|wl</t>
  </si>
  <si>
    <t>CS2 · NEM vs NTR|B|ALL|lw</t>
  </si>
  <si>
    <t>CS2 · NEM vs NTR|B|ALL|wl</t>
  </si>
  <si>
    <t>bfampq2da0guhkz|Cache</t>
  </si>
  <si>
    <t>CS2 · NEM vs NTR|B|Cache|lw</t>
  </si>
  <si>
    <t>CS2 · NEM vs NTR|B|Cache|wl</t>
  </si>
  <si>
    <t>CS2 · NEM vs NTR|B|Dust2|lw</t>
  </si>
  <si>
    <t>CS2 · NEM vs NTR|B|Dust2|wl</t>
  </si>
  <si>
    <t>CS2 · NEM vs NTR|B|Mirage|lw</t>
  </si>
  <si>
    <t>CS2 · NEM vs NTR|B|Mirage|wl</t>
  </si>
  <si>
    <t>CS2 · NEM vs NTR|B|Inferno|lw</t>
  </si>
  <si>
    <t>CS2 · NEM vs NTR|B|Inferno|wl</t>
  </si>
  <si>
    <t>CS2 · NEM vs NTR|B|Nuke|lw</t>
  </si>
  <si>
    <t>CS2 · NEM vs NTR|B|Nuke|wl</t>
  </si>
  <si>
    <t>CS2 · NEM vs NTR|B|Ancient|lw</t>
  </si>
  <si>
    <t>CS2 · NEM vs NTR|B|Ancient|wl</t>
  </si>
  <si>
    <t>CS2 · NEM vs NTR|B|Anubis|lw</t>
  </si>
  <si>
    <t>CS2 · NEM vs NTR|B|Anubis|wl</t>
  </si>
  <si>
    <t>CS2 · VOCA vs HAVU|A|ALL|lw</t>
  </si>
  <si>
    <t>CS2 · VOCA vs HAVU|A|ALL|wl</t>
  </si>
  <si>
    <t>CS2 · VOCA vs HAVU|A|Cache|lw</t>
  </si>
  <si>
    <t>CS2 · VOCA vs HAVU|A|Cache|wl</t>
  </si>
  <si>
    <t>bfampq2da0guhkz|Nuke</t>
  </si>
  <si>
    <t>CS2 · VOCA vs HAVU|A|Dust2|lw</t>
  </si>
  <si>
    <t>CS2 · VOCA vs HAVU|A|Dust2|wl</t>
  </si>
  <si>
    <t>CS2 · VOCA vs HAVU|A|Mirage|lw</t>
  </si>
  <si>
    <t>CS2 · VOCA vs HAVU|A|Nuke|lw</t>
  </si>
  <si>
    <t>CS2 · VOCA vs HAVU|A|Nuke|wl</t>
  </si>
  <si>
    <t>CS2 · VOCA vs HAVU|A|Ancient|lw</t>
  </si>
  <si>
    <t>CS2 · VOCA vs HAVU|A|Ancient|wl</t>
  </si>
  <si>
    <t>CS2 · VOCA vs HAVU|A|Anubis|lw</t>
  </si>
  <si>
    <t>CS2 · VOCA vs HAVU|A|Anubis|wl</t>
  </si>
  <si>
    <t>CS2 · VOCA vs HAVU|B|ALL|lw</t>
  </si>
  <si>
    <t>CS2 · VOCA vs HAVU|B|ALL|wl</t>
  </si>
  <si>
    <t>CS2 · VOCA vs HAVU|B|Cache|lw</t>
  </si>
  <si>
    <t>CS2 · VOCA vs HAVU|B|Cache|wl</t>
  </si>
  <si>
    <t>CS2 · VOCA vs HAVU|B|Dust2|lw</t>
  </si>
  <si>
    <t>CS2 · VOCA vs HAVU|B|Dust2|wl</t>
  </si>
  <si>
    <t>CS2 · VOCA vs HAVU|B|Mirage|lw</t>
  </si>
  <si>
    <t>CS2 · VOCA vs HAVU|B|Mirage|wl</t>
  </si>
  <si>
    <t>CS2 · VOCA vs HAVU|B|Inferno|lw</t>
  </si>
  <si>
    <t>CS2 · VOCA vs HAVU|B|Inferno|wl</t>
  </si>
  <si>
    <t>bfampq2da0guhkz|Mirage</t>
  </si>
  <si>
    <t>CS2 · VOCA vs HAVU|B|Nuke|lw</t>
  </si>
  <si>
    <t>CS2 · VOCA vs HAVU|B|Nuke|wl</t>
  </si>
  <si>
    <t>CS2 · VOCA vs HAVU|B|Ancient|lw</t>
  </si>
  <si>
    <t>CS2 · VOCA vs HAVU|B|Ancient|wl</t>
  </si>
  <si>
    <t>CS2 · VOCA vs HAVU|B|Anubis|wl</t>
  </si>
  <si>
    <t>CS2 · AUR vs 9z|A|ALL|lw</t>
  </si>
  <si>
    <t>CS2 · AUR vs 9z|A|ALL|wl</t>
  </si>
  <si>
    <t>CS2 · AUR vs 9z|A|Cache|lw</t>
  </si>
  <si>
    <t>CS2 · AUR vs 9z|A|Cache|wl</t>
  </si>
  <si>
    <t>CS2 · AUR vs 9z|A|Dust2|lw</t>
  </si>
  <si>
    <t>CS2 · AUR vs 9z|A|Dust2|wl</t>
  </si>
  <si>
    <t>CS2 · AUR vs 9z|A|Mirage|lw</t>
  </si>
  <si>
    <t>CS2 · AUR vs 9z|A|Mirage|wl</t>
  </si>
  <si>
    <t>CS2 · AUR vs 9z|A|Inferno|lw</t>
  </si>
  <si>
    <t>CS2 · AUR vs 9z|A|Inferno|wl</t>
  </si>
  <si>
    <t>CS2 · AUR vs 9z|A|Nuke|lw</t>
  </si>
  <si>
    <t>bfampq2da0guhkz|Inferno</t>
  </si>
  <si>
    <t>CS2 · AUR vs 9z|A|Nuke|wl</t>
  </si>
  <si>
    <t>CS2 · AUR vs 9z|A|Ancient|wl</t>
  </si>
  <si>
    <t>CS2 · AUR vs 9z|A|Anubis|lw</t>
  </si>
  <si>
    <t>CS2 · AUR vs 9z|A|Anubis|wl</t>
  </si>
  <si>
    <t>CS2 · AUR vs 9z|B|ALL|lw</t>
  </si>
  <si>
    <t>CS2 · AUR vs 9z|B|ALL|wl</t>
  </si>
  <si>
    <t>CS2 · AUR vs 9z|B|Cache|lw</t>
  </si>
  <si>
    <t>67%/2/3</t>
  </si>
  <si>
    <t>CS2 · AUR vs 9z|B|Cache|wl</t>
  </si>
  <si>
    <t>CS2 · AUR vs 9z|B|Dust2|lw</t>
  </si>
  <si>
    <t>CS2 · AUR vs 9z|B|Dust2|wl</t>
  </si>
  <si>
    <t>CS2 · AUR vs 9z|B|Mirage|lw</t>
  </si>
  <si>
    <t>CS2 · AUR vs 9z|B|Mirage|wl</t>
  </si>
  <si>
    <t>CS2 · AUR vs 9z|B|Inferno|lw</t>
  </si>
  <si>
    <t>CS2 · AUR vs 9z|B|Inferno|wl</t>
  </si>
  <si>
    <t>CS2 · AUR vs 9z|B|Nuke|lw</t>
  </si>
  <si>
    <t>CS2 · AUR vs 9z|B|Nuke|wl</t>
  </si>
  <si>
    <t>CS2 · AUR vs 9z|B|Ancient|wl</t>
  </si>
  <si>
    <t>CS2 · AST vs MIBR|A|ALL|lw</t>
  </si>
  <si>
    <t>bfampq2da0guhkz|Dust2</t>
  </si>
  <si>
    <t>CS2 · AST vs MIBR|A|ALL|wl</t>
  </si>
  <si>
    <t>CS2 · AST vs MIBR|A|Cache|lw</t>
  </si>
  <si>
    <t>CS2 · AST vs MIBR|A|Cache|wl</t>
  </si>
  <si>
    <t>CS2 · AST vs MIBR|A|Dust2|lw</t>
  </si>
  <si>
    <t>CS2 · AST vs MIBR|A|Dust2|wl</t>
  </si>
  <si>
    <t>CS2 · AST vs MIBR|A|Mirage|lw</t>
  </si>
  <si>
    <t>CS2 · AST vs MIBR|A|Mirage|wl</t>
  </si>
  <si>
    <t>CS2 · AST vs MIBR|A|Inferno|lw</t>
  </si>
  <si>
    <t>CS2 · AST vs MIBR|A|Inferno|wl</t>
  </si>
  <si>
    <t>CS2 · AST vs MIBR|A|Nuke|lw</t>
  </si>
  <si>
    <t>CS2 · AST vs MIBR|A|Nuke|wl</t>
  </si>
  <si>
    <t>CS2 · AST vs MIBR|A|Ancient|lw</t>
  </si>
  <si>
    <t>bfampq2da0guhkz|Anubis</t>
  </si>
  <si>
    <t>CS2 · AST vs MIBR|A|Ancient|wl</t>
  </si>
  <si>
    <t>CS2 · AST vs MIBR|A|Anubis|wl</t>
  </si>
  <si>
    <t>CS2 · AST vs MIBR|B|ALL|lw</t>
  </si>
  <si>
    <t>CS2 · AST vs MIBR|B|ALL|wl</t>
  </si>
  <si>
    <t>CS2 · AST vs MIBR|B|Cache|lw</t>
  </si>
  <si>
    <t>CS2 · AST vs MIBR|B|Cache|wl</t>
  </si>
  <si>
    <t>CS2 · AST vs MIBR|B|Mirage|lw</t>
  </si>
  <si>
    <t>CS2 · AST vs MIBR|B|Mirage|wl</t>
  </si>
  <si>
    <t>CS2 · AST vs MIBR|B|Inferno|lw</t>
  </si>
  <si>
    <t>CS2 · AST vs MIBR|B|Inferno|wl</t>
  </si>
  <si>
    <t>CS2 · AST vs MIBR|B|Nuke|lw</t>
  </si>
  <si>
    <t>CS2 · AST vs MIBR|B|Nuke|wl</t>
  </si>
  <si>
    <t>CS2 · AST vs MIBR|B|Ancient|lw</t>
  </si>
  <si>
    <t>bn3mlvy0cst11z3|Mirage</t>
  </si>
  <si>
    <t>CS2 · AST vs MIBR|B|Ancient|wl</t>
  </si>
  <si>
    <t>CS2 · AST vs MIBR|B|Anubis|lw</t>
  </si>
  <si>
    <t>CS2 · AST vs MIBR|B|Anubis|wl</t>
  </si>
  <si>
    <t>CS2 · BBL vs EYE|A|ALL|lw</t>
  </si>
  <si>
    <t>CS2 · BBL vs EYE|A|ALL|wl</t>
  </si>
  <si>
    <t>CS2 · BBL vs EYE|A|Cache|lw</t>
  </si>
  <si>
    <t>CS2 · BBL vs EYE|A|Cache|wl</t>
  </si>
  <si>
    <t>CS2 · BBL vs EYE|A|Mirage|lw</t>
  </si>
  <si>
    <t>CS2 · BBL vs EYE|A|Mirage|wl</t>
  </si>
  <si>
    <t>CS2 · BBL vs EYE|A|Inferno|lw</t>
  </si>
  <si>
    <t>CS2 · BBL vs EYE|A|Inferno|wl</t>
  </si>
  <si>
    <t>CS2 · BBL vs EYE|A|Nuke|lw</t>
  </si>
  <si>
    <t>CS2 · BBL vs EYE|A|Nuke|wl</t>
  </si>
  <si>
    <t>CS2 · BBL vs EYE|A|Ancient|lw</t>
  </si>
  <si>
    <t>CS2 · BBL vs EYE|A|Ancient|wl</t>
  </si>
  <si>
    <t>CS2 · BBL vs EYE|A|Anubis|lw</t>
  </si>
  <si>
    <t>CS2 · BBL vs EYE|A|Anubis|wl</t>
  </si>
  <si>
    <t>bn3mlvy0cst11z3|Anubis</t>
  </si>
  <si>
    <t>CS2 · BBL vs EYE|B|ALL|lw</t>
  </si>
  <si>
    <t>CS2 · BBL vs EYE|B|ALL|wl</t>
  </si>
  <si>
    <t>CS2 · BBL vs EYE|B|Cache|wl</t>
  </si>
  <si>
    <t>CS2 · BBL vs EYE|B|Dust2|wl</t>
  </si>
  <si>
    <t>CS2 · BBL vs EYE|B|Mirage|lw</t>
  </si>
  <si>
    <t>CS2 · BBL vs EYE|B|Mirage|wl</t>
  </si>
  <si>
    <t>CS2 · BBL vs EYE|B|Inferno|lw</t>
  </si>
  <si>
    <t>CS2 · BBL vs EYE|B|Inferno|wl</t>
  </si>
  <si>
    <t>CS2 · BBL vs EYE|B|Nuke|lw</t>
  </si>
  <si>
    <t>CS2 · BBL vs EYE|B|Nuke|wl</t>
  </si>
  <si>
    <t>CS2 · BBL vs EYE|B|Ancient|lw</t>
  </si>
  <si>
    <t>CS2 · BBL vs EYE|B|Ancient|wl</t>
  </si>
  <si>
    <t>CS2 · BBL vs EYE|B|Anubis|lw</t>
  </si>
  <si>
    <t>CS2 · BBL vs EYE|B|Anubis|wl</t>
  </si>
  <si>
    <t>CS2 · PHA vs RGG|A|ALL|lw</t>
  </si>
  <si>
    <t>CS2 · PHA vs RGG|A|ALL|wl</t>
  </si>
  <si>
    <t>CS2 · PHA vs RGG|A|Cache|wl</t>
  </si>
  <si>
    <t>CS2 · PHA vs RGG|A|Dust2|lw</t>
  </si>
  <si>
    <t>bn3mlvy0cst11z3|Ancient</t>
  </si>
  <si>
    <t>CS2 · PHA vs RGG|A|Dust2|wl</t>
  </si>
  <si>
    <t>CS2 · PHA vs RGG|A|Mirage|lw</t>
  </si>
  <si>
    <t>CS2 · PHA vs RGG|A|Mirage|wl</t>
  </si>
  <si>
    <t>CS2 · PHA vs RGG|A|Inferno|lw</t>
  </si>
  <si>
    <t>CS2 · PHA vs RGG|A|Inferno|wl</t>
  </si>
  <si>
    <t>CS2 · PHA vs RGG|A|Nuke|lw</t>
  </si>
  <si>
    <t>CS2 · PHA vs RGG|A|Nuke|wl</t>
  </si>
  <si>
    <t>CS2 · PHA vs RGG|A|Ancient|lw</t>
  </si>
  <si>
    <t>CS2 · PHA vs RGG|A|Ancient|wl</t>
  </si>
  <si>
    <t>CS2 · PHA vs RGG|A|Anubis|lw</t>
  </si>
  <si>
    <t>CS2 · PHA vs RGG|A|Anubis|wl</t>
  </si>
  <si>
    <t>CS2 · PHA vs RGG|B|ALL|lw</t>
  </si>
  <si>
    <t>CS2 · PHA vs RGG|B|ALL|wl</t>
  </si>
  <si>
    <t>CS2 · PHA vs RGG|B|Cache|wl</t>
  </si>
  <si>
    <t>CS2 · PHA vs RGG|B|Dust2|wl</t>
  </si>
  <si>
    <t>CS2 · PHA vs RGG|B|Mirage|wl</t>
  </si>
  <si>
    <t>CS2 · PHA vs RGG|B|Inferno|lw</t>
  </si>
  <si>
    <t>CS2 · PHA vs RGG|B|Inferno|wl</t>
  </si>
  <si>
    <t>CS2 · PHA vs RGG|B|Nuke|lw</t>
  </si>
  <si>
    <t>bn3mlvy0cst11z3|Nuke</t>
  </si>
  <si>
    <t>CS2 · PHA vs RGG|B|Nuke|wl</t>
  </si>
  <si>
    <t>CS2 · PHA vs RGG|B|Ancient|lw</t>
  </si>
  <si>
    <t>CS2 · PHA vs RGG|B|Ancient|wl</t>
  </si>
  <si>
    <t>CS2 · PHA vs RGG|B|Anubis|wl</t>
  </si>
  <si>
    <t>CS2 · VOCA vs RGG|A|ALL|lw</t>
  </si>
  <si>
    <t>CS2 · VOCA vs RGG|A|ALL|wl</t>
  </si>
  <si>
    <t>CS2 · VOCA vs RGG|A|Cache|lw</t>
  </si>
  <si>
    <t>CS2 · VOCA vs RGG|A|Cache|wl</t>
  </si>
  <si>
    <t>CS2 · VOCA vs RGG|A|Dust2|lw</t>
  </si>
  <si>
    <t>CS2 · VOCA vs RGG|A|Dust2|wl</t>
  </si>
  <si>
    <t>CS2 · VOCA vs RGG|A|Mirage|lw</t>
  </si>
  <si>
    <t>CS2 · VOCA vs RGG|A|Nuke|lw</t>
  </si>
  <si>
    <t>CS2 · VOCA vs RGG|A|Nuke|wl</t>
  </si>
  <si>
    <t>CS2 · VOCA vs RGG|A|Ancient|lw</t>
  </si>
  <si>
    <t>CS2 · VOCA vs RGG|A|Ancient|wl</t>
  </si>
  <si>
    <t>bn3mlvy0cst11z3|Cache</t>
  </si>
  <si>
    <t>CS2 · VOCA vs RGG|A|Anubis|lw</t>
  </si>
  <si>
    <t>CS2 · VOCA vs RGG|A|Anubis|wl</t>
  </si>
  <si>
    <t>CS2 · VOCA vs RGG|B|ALL|lw</t>
  </si>
  <si>
    <t>CS2 · VOCA vs RGG|B|ALL|wl</t>
  </si>
  <si>
    <t>CS2 · VOCA vs RGG|B|Cache|wl</t>
  </si>
  <si>
    <t>CS2 · VOCA vs RGG|B|Dust2|wl</t>
  </si>
  <si>
    <t>CS2 · VOCA vs RGG|B|Mirage|wl</t>
  </si>
  <si>
    <t>CS2 · VOCA vs RGG|B|Inferno|lw</t>
  </si>
  <si>
    <t>CS2 · VOCA vs RGG|B|Inferno|wl</t>
  </si>
  <si>
    <t>CS2 · VOCA vs RGG|B|Nuke|lw</t>
  </si>
  <si>
    <t>CS2 · VOCA vs RGG|B|Nuke|wl</t>
  </si>
  <si>
    <t>CS2 · VOCA vs RGG|B|Ancient|lw</t>
  </si>
  <si>
    <t>CS2 · VOCA vs RGG|B|Ancient|wl</t>
  </si>
  <si>
    <t>CS2 · VOCA vs RGG|B|Anubis|wl</t>
  </si>
  <si>
    <t>CS2 · 100T vs SNG|A|ALL|lw</t>
  </si>
  <si>
    <t>CS2 · 100T vs SNG|A|ALL|wl</t>
  </si>
  <si>
    <t>bn3mlvy0cst11z3|Dust2</t>
  </si>
  <si>
    <t>CS2 · 100T vs SNG|A|Cache|lw</t>
  </si>
  <si>
    <t>CS2 · 100T vs SNG|A|Cache|wl</t>
  </si>
  <si>
    <t>CS2 · 100T vs SNG|A|Dust2|lw</t>
  </si>
  <si>
    <t>CS2 · 100T vs SNG|A|Dust2|wl</t>
  </si>
  <si>
    <t>CS2 · 100T vs SNG|A|Mirage|lw</t>
  </si>
  <si>
    <t>CS2 · 100T vs SNG|A|Mirage|wl</t>
  </si>
  <si>
    <t>CS2 · 100T vs SNG|A|Inferno|lw</t>
  </si>
  <si>
    <t>CS2 · 100T vs SNG|A|Inferno|wl</t>
  </si>
  <si>
    <t>CS2 · 100T vs SNG|A|Nuke|lw</t>
  </si>
  <si>
    <t>CS2 · 100T vs SNG|A|Nuke|wl</t>
  </si>
  <si>
    <t>CS2 · 100T vs SNG|A|Ancient|lw</t>
  </si>
  <si>
    <t>CS2 · 100T vs SNG|A|Ancient|wl</t>
  </si>
  <si>
    <t>CS2 · 100T vs SNG|A|Anubis|lw</t>
  </si>
  <si>
    <t>CS2 · 100T vs SNG|A|Anubis|wl</t>
  </si>
  <si>
    <t>CS2 · 100T vs SNG|B|ALL|lw</t>
  </si>
  <si>
    <t>n7dezrlm3ggjepw|Mirage</t>
  </si>
  <si>
    <t>CS2 · 100T vs SNG|B|ALL|wl</t>
  </si>
  <si>
    <t>CS2 · 100T vs SNG|B|Cache|lw</t>
  </si>
  <si>
    <t>CS2 · 100T vs SNG|B|Cache|wl</t>
  </si>
  <si>
    <t>CS2 · 100T vs SNG|B|Dust2|lw</t>
  </si>
  <si>
    <t>CS2 · 100T vs SNG|B|Dust2|wl</t>
  </si>
  <si>
    <t>CS2 · 100T vs SNG|B|Mirage|lw</t>
  </si>
  <si>
    <t>CS2 · 100T vs SNG|B|Mirage|wl</t>
  </si>
  <si>
    <t>CS2 · 100T vs SNG|B|Nuke|lw</t>
  </si>
  <si>
    <t>CS2 · 100T vs SNG|B|Nuke|wl</t>
  </si>
  <si>
    <t>CS2 · 100T vs SNG|B|Ancient|lw</t>
  </si>
  <si>
    <t>CS2 · 100T vs SNG|B|Ancient|wl</t>
  </si>
  <si>
    <t>CS2 · 100T vs SNG|B|Anubis|lw</t>
  </si>
  <si>
    <t>n7dezrlm3ggjepw|Nuke</t>
  </si>
  <si>
    <t>CS2 · 100T vs SNG|B|Anubis|wl</t>
  </si>
  <si>
    <t>CS2 · BB vs LGC|A|ALL|lw</t>
  </si>
  <si>
    <t>CS2 · BB vs LGC|A|ALL|wl</t>
  </si>
  <si>
    <t>CS2 · BB vs LGC|A|Cache|lw</t>
  </si>
  <si>
    <t>CS2 · BB vs LGC|A|Cache|wl</t>
  </si>
  <si>
    <t>CS2 · BB vs LGC|A|Dust2|wl</t>
  </si>
  <si>
    <t>CS2 · BB vs LGC|A|Mirage|lw</t>
  </si>
  <si>
    <t>CS2 · BB vs LGC|A|Mirage|wl</t>
  </si>
  <si>
    <t>CS2 · BB vs LGC|A|Nuke|lw</t>
  </si>
  <si>
    <t>CS2 · BB vs LGC|A|Nuke|wl</t>
  </si>
  <si>
    <t>CS2 · BB vs LGC|A|Ancient|lw</t>
  </si>
  <si>
    <t>n7dezrlm3ggjepw|Cache</t>
  </si>
  <si>
    <t>CS2 · BB vs LGC|A|Ancient|wl</t>
  </si>
  <si>
    <t>CS2 · BB vs LGC|A|Anubis|lw</t>
  </si>
  <si>
    <t>CS2 · BB vs LGC|A|Anubis|wl</t>
  </si>
  <si>
    <t>CS2 · BB vs LGC|B|ALL|lw</t>
  </si>
  <si>
    <t>CS2 · BB vs LGC|B|ALL|wl</t>
  </si>
  <si>
    <t>CS2 · BB vs LGC|B|Cache|lw</t>
  </si>
  <si>
    <t>CS2 · BB vs LGC|B|Cache|wl</t>
  </si>
  <si>
    <t>CS2 · BB vs LGC|B|Dust2|lw</t>
  </si>
  <si>
    <t>CS2 · BB vs LGC|B|Dust2|wl</t>
  </si>
  <si>
    <t>CS2 · BB vs LGC|B|Mirage|lw</t>
  </si>
  <si>
    <t>CS2 · BB vs LGC|B|Mirage|wl</t>
  </si>
  <si>
    <t>CS2 · BB vs LGC|B|Inferno|lw</t>
  </si>
  <si>
    <t>n7dezrlm3ggjepw|Inferno</t>
  </si>
  <si>
    <t>CS2 · BB vs LGC|B|Inferno|wl</t>
  </si>
  <si>
    <t>CS2 · BB vs LGC|B|Nuke|lw</t>
  </si>
  <si>
    <t>CS2 · BB vs LGC|B|Nuke|wl</t>
  </si>
  <si>
    <t>CS2 · BB vs LGC|B|Ancient|lw</t>
  </si>
  <si>
    <t>CS2 · BB vs LGC|B|Ancient|wl</t>
  </si>
  <si>
    <t>CS2 · GL vs ex-RUSTEC|A|ALL|lw</t>
  </si>
  <si>
    <t>CS2 · GL vs ex-RUSTEC|A|ALL|wl</t>
  </si>
  <si>
    <t>CS2 · GL vs ex-RUSTEC|A|Cache|lw</t>
  </si>
  <si>
    <t>CS2 · GL vs ex-RUSTEC|A|Dust2|lw</t>
  </si>
  <si>
    <t>CS2 · GL vs ex-RUSTEC|A|Dust2|wl</t>
  </si>
  <si>
    <t>CS2 · GL vs ex-RUSTEC|A|Mirage|lw</t>
  </si>
  <si>
    <t>n7dezrlm3ggjepw|Ancient</t>
  </si>
  <si>
    <t>CS2 · GL vs ex-RUSTEC|A|Mirage|wl</t>
  </si>
  <si>
    <t>CS2 · GL vs ex-RUSTEC|A|Inferno|lw</t>
  </si>
  <si>
    <t>CS2 · GL vs ex-RUSTEC|A|Nuke|lw</t>
  </si>
  <si>
    <t>CS2 · GL vs ex-RUSTEC|A|Nuke|wl</t>
  </si>
  <si>
    <t>CS2 · GL vs ex-RUSTEC|A|Ancient|lw</t>
  </si>
  <si>
    <t>CS2 · GL vs ex-RUSTEC|A|Ancient|wl</t>
  </si>
  <si>
    <t>CS2 · GL vs ex-RUSTEC|B|ALL|lw</t>
  </si>
  <si>
    <t>CS2 · GL vs ex-RUSTEC|B|ALL|wl</t>
  </si>
  <si>
    <t>CS2 · GL vs ex-RUSTEC|B|Cache|lw</t>
  </si>
  <si>
    <t>CS2 · GL vs ex-RUSTEC|B|Cache|wl</t>
  </si>
  <si>
    <t>3299qh2j667nhco|Ancient</t>
  </si>
  <si>
    <t>CS2 · GL vs ex-RUSTEC|B|Dust2|lw</t>
  </si>
  <si>
    <t>CS2 · GL vs ex-RUSTEC|B|Dust2|wl</t>
  </si>
  <si>
    <t>CS2 · GL vs ex-RUSTEC|B|Mirage|lw</t>
  </si>
  <si>
    <t>CS2 · GL vs ex-RUSTEC|B|Mirage|wl</t>
  </si>
  <si>
    <t>CS2 · GL vs ex-RUSTEC|B|Inferno|lw</t>
  </si>
  <si>
    <t>CS2 · GL vs ex-RUSTEC|B|Inferno|wl</t>
  </si>
  <si>
    <t>CS2 · GL vs ex-RUSTEC|B|Nuke|lw</t>
  </si>
  <si>
    <t>CS2 · GL vs ex-RUSTEC|B|Nuke|wl</t>
  </si>
  <si>
    <t>CS2 · GL vs ex-RUSTEC|B|Ancient|lw</t>
  </si>
  <si>
    <t>CS2 · GL vs ex-RUSTEC|B|Ancient|wl</t>
  </si>
  <si>
    <t>CS2 · GL vs ex-RUSTEC|B|Anubis|lw</t>
  </si>
  <si>
    <t>3299qh2j667nhco|Dust2</t>
  </si>
  <si>
    <t>CS2 · GL vs ex-RUSTEC|B|Anubis|wl</t>
  </si>
  <si>
    <t>CS2 · PHA vs HAVU|A|ALL|lw</t>
  </si>
  <si>
    <t>CS2 · PHA vs HAVU|A|ALL|wl</t>
  </si>
  <si>
    <t>CS2 · PHA vs HAVU|A|Cache|wl</t>
  </si>
  <si>
    <t>CS2 · PHA vs HAVU|A|Dust2|lw</t>
  </si>
  <si>
    <t>CS2 · PHA vs HAVU|A|Dust2|wl</t>
  </si>
  <si>
    <t>CS2 · PHA vs HAVU|A|Mirage|lw</t>
  </si>
  <si>
    <t>CS2 · PHA vs HAVU|A|Mirage|wl</t>
  </si>
  <si>
    <t>CS2 · PHA vs HAVU|A|Inferno|lw</t>
  </si>
  <si>
    <t>3299qh2j667nhco|Inferno</t>
  </si>
  <si>
    <t>CS2 · PHA vs HAVU|A|Inferno|wl</t>
  </si>
  <si>
    <t>CS2 · PHA vs HAVU|A|Nuke|lw</t>
  </si>
  <si>
    <t>CS2 · PHA vs HAVU|A|Nuke|wl</t>
  </si>
  <si>
    <t>CS2 · PHA vs HAVU|A|Ancient|lw</t>
  </si>
  <si>
    <t>CS2 · PHA vs HAVU|A|Ancient|wl</t>
  </si>
  <si>
    <t>CS2 · PHA vs HAVU|A|Anubis|lw</t>
  </si>
  <si>
    <t>CS2 · PHA vs HAVU|A|Anubis|wl</t>
  </si>
  <si>
    <t>CS2 · PHA vs HAVU|B|ALL|lw</t>
  </si>
  <si>
    <t>CS2 · PHA vs HAVU|B|ALL|wl</t>
  </si>
  <si>
    <t>3299qh2j667nhco|Cache</t>
  </si>
  <si>
    <t>CS2 · PHA vs HAVU|B|Cache|lw</t>
  </si>
  <si>
    <t>CS2 · PHA vs HAVU|B|Cache|wl</t>
  </si>
  <si>
    <t>CS2 · PHA vs HAVU|B|Dust2|lw</t>
  </si>
  <si>
    <t>CS2 · PHA vs HAVU|B|Dust2|wl</t>
  </si>
  <si>
    <t>CS2 · PHA vs HAVU|B|Mirage|lw</t>
  </si>
  <si>
    <t>CS2 · PHA vs HAVU|B|Mirage|wl</t>
  </si>
  <si>
    <t>CS2 · PHA vs HAVU|B|Inferno|lw</t>
  </si>
  <si>
    <t>CS2 · PHA vs HAVU|B|Inferno|wl</t>
  </si>
  <si>
    <t>3299qh2j667nhco|Nuke</t>
  </si>
  <si>
    <t>CS2 · PHA vs HAVU|B|Nuke|lw</t>
  </si>
  <si>
    <t>CS2 · PHA vs HAVU|B|Nuke|wl</t>
  </si>
  <si>
    <t>CS2 · PHA vs HAVU|B|Ancient|lw</t>
  </si>
  <si>
    <t>CS2 · PHA vs HAVU|B|Ancient|wl</t>
  </si>
  <si>
    <t>CS2 · PHA vs HAVU|B|Anubis|wl</t>
  </si>
  <si>
    <t>3299qh2j667nhco|Mirage</t>
  </si>
  <si>
    <t>dk19ar0a6eahpe5|Ancient</t>
  </si>
  <si>
    <t>dk19ar0a6eahpe5|Dust2</t>
  </si>
  <si>
    <t>dk19ar0a6eahpe5|Inferno</t>
  </si>
  <si>
    <t>dk19ar0a6eahpe5|Cache</t>
  </si>
  <si>
    <t>dk19ar0a6eahpe5|Nuke</t>
  </si>
  <si>
    <t>dk19ar0a6eahpe5|Mirage</t>
  </si>
  <si>
    <t>1yjjd4cv2r5113x|Anubis</t>
  </si>
  <si>
    <t>fg52qcdy7yej5d9|CS2 · AUR vs 9z</t>
  </si>
  <si>
    <t>1yjjd4cv2r5113x|Dust2</t>
  </si>
  <si>
    <t>1yjjd4cv2r5113x|Nuke</t>
  </si>
  <si>
    <t>1yjjd4cv2r5113x|Ancient</t>
  </si>
  <si>
    <t>1yjjd4cv2r5113x|Inferno</t>
  </si>
  <si>
    <t>1yjjd4cv2r5113x|Mirage</t>
  </si>
  <si>
    <t>First pick %</t>
  </si>
  <si>
    <t>First ban %</t>
  </si>
  <si>
    <t>Win %</t>
  </si>
  <si>
    <t>Played (3 months)</t>
  </si>
  <si>
    <t>1yjjd4cv2r5113x|Cache</t>
  </si>
  <si>
    <t>l9cxp8x8mgmbhaf|Nuke</t>
  </si>
  <si>
    <t>l9cxp8x8mgmbhaf|Dust2</t>
  </si>
  <si>
    <t>l9cxp8x8mgmbhaf|Ancient</t>
  </si>
  <si>
    <t>l9cxp8x8mgmbhaf|Anubis</t>
  </si>
  <si>
    <t>l9cxp8x8mgmbhaf|Mirage</t>
  </si>
  <si>
    <t>l9cxp8x8mgmbhaf|Inferno</t>
  </si>
  <si>
    <t>l9cxp8x8mgmbhaf|Cache</t>
  </si>
  <si>
    <t>v1kk02jq1q269h8|Mirage</t>
  </si>
  <si>
    <t>v1kk02jq1q269h8|Ancient</t>
  </si>
  <si>
    <t>v1kk02jq1q269h8|Dust2</t>
  </si>
  <si>
    <t>v1kk02jq1q269h8|Inferno</t>
  </si>
  <si>
    <t>v1kk02jq1q269h8|Anubis</t>
  </si>
  <si>
    <t>v1kk02jq1q269h8|Cache</t>
  </si>
  <si>
    <t>v1kk02jq1q269h8|Nuke</t>
  </si>
  <si>
    <t>gffaqp23gkmuw6v|Nuke</t>
  </si>
  <si>
    <t>gffaqp23gkmuw6v|Dust2</t>
  </si>
  <si>
    <t>gffaqp23gkmuw6v|Inferno</t>
  </si>
  <si>
    <t>gffaqp23gkmuw6v|Ancient</t>
  </si>
  <si>
    <t>gffaqp23gkmuw6v|Mirage</t>
  </si>
  <si>
    <t>gffaqp23gkmuw6v|Anubis</t>
  </si>
  <si>
    <t>sblclwh8nu1y7tp|Cache</t>
  </si>
  <si>
    <t>sblclwh8nu1y7tp|Ancient</t>
  </si>
  <si>
    <t>sblclwh8nu1y7tp|Nuke</t>
  </si>
  <si>
    <t>sblclwh8nu1y7tp|Inferno</t>
  </si>
  <si>
    <t>sblclwh8nu1y7tp|Dust2</t>
  </si>
  <si>
    <t>sblclwh8nu1y7tp|Mirage</t>
  </si>
  <si>
    <t>pnbyhth5hef4yqq|Ancient</t>
  </si>
  <si>
    <t>pnbyhth5hef4yqq|Dust2</t>
  </si>
  <si>
    <t>pnbyhth5hef4yqq|Nuke</t>
  </si>
  <si>
    <t>pnbyhth5hef4yqq|Anubis</t>
  </si>
  <si>
    <t>pnbyhth5hef4yqq|Cache</t>
  </si>
  <si>
    <t>pnbyhth5hef4yqq|Mirage</t>
  </si>
  <si>
    <t>uf3pcvx03g3k6xm|CS2 · AUR vs 9z</t>
  </si>
  <si>
    <t>7d2ry1m3iuhwjqn|Ancient</t>
  </si>
  <si>
    <t>7d2ry1m3iuhwjqn|Cache</t>
  </si>
  <si>
    <t>7d2ry1m3iuhwjqn|Nuke</t>
  </si>
  <si>
    <t>7d2ry1m3iuhwjqn|Mirage</t>
  </si>
  <si>
    <t>Logged (UTC)</t>
  </si>
  <si>
    <t>7d2ry1m3iuhwjqn|Dust2</t>
  </si>
  <si>
    <t>Actual</t>
  </si>
  <si>
    <t>Result</t>
  </si>
  <si>
    <t>Proj map-free</t>
  </si>
  <si>
    <t>Proj map-free adj</t>
  </si>
  <si>
    <t>Dust2 / Nuke</t>
  </si>
  <si>
    <t>21.4 / 21.2</t>
  </si>
  <si>
    <t>7d2ry1m3iuhwjqn|Inferno</t>
  </si>
  <si>
    <t>agwfljw0nydsug9|Dust2</t>
  </si>
  <si>
    <t>agwfljw0nydsug9|Anubis</t>
  </si>
  <si>
    <t>agwfljw0nydsug9|Cache</t>
  </si>
  <si>
    <t>agwfljw0nydsug9|Ancient</t>
  </si>
  <si>
    <t>Ancient / Inferno</t>
  </si>
  <si>
    <t>21.5 / 21.5</t>
  </si>
  <si>
    <t>agwfljw0nydsug9|Mirage</t>
  </si>
  <si>
    <t>agwfljw0nydsug9|Inferno</t>
  </si>
  <si>
    <t>t0obepfwbzppr9o|Ancient</t>
  </si>
  <si>
    <t>t0obepfwbzppr9o|Cache</t>
  </si>
  <si>
    <t>t0obepfwbzppr9o|Nuke</t>
  </si>
  <si>
    <t>Nuke / Mirage</t>
  </si>
  <si>
    <t>21.3 / 21.4</t>
  </si>
  <si>
    <t>t0obepfwbzppr9o|Mirage</t>
  </si>
  <si>
    <t>t0obepfwbzppr9o|Inferno</t>
  </si>
  <si>
    <t>t0obepfwbzppr9o|Dust2</t>
  </si>
  <si>
    <t>t0obepfwbzppr9o|Anubis</t>
  </si>
  <si>
    <t>aoyem2d0er1hake|Cache</t>
  </si>
  <si>
    <t>aoyem2d0er1hake|Inferno</t>
  </si>
  <si>
    <t>aoyem2d0er1hake|Ancient</t>
  </si>
  <si>
    <t>aoyem2d0er1hake|Nuke</t>
  </si>
  <si>
    <t>Mirage / Ancient</t>
  </si>
  <si>
    <t>21.4 / 21.3</t>
  </si>
  <si>
    <t>aoyem2d0er1hake|Mirage</t>
  </si>
  <si>
    <t>aoyem2d0er1hake|Dust2</t>
  </si>
  <si>
    <t>u12f792swgv1x5z|Dust2</t>
  </si>
  <si>
    <t>u12f792swgv1x5z|Cache</t>
  </si>
  <si>
    <t>u12f792swgv1x5z|Ancient</t>
  </si>
  <si>
    <t>u12f792swgv1x5z|Mirage</t>
  </si>
  <si>
    <t>u12f792swgv1x5z|Inferno</t>
  </si>
  <si>
    <t>u12f792swgv1x5z|Nuke</t>
  </si>
  <si>
    <t>b8ta8wsdzmggqly|Ancient</t>
  </si>
  <si>
    <t>b8ta8wsdzmggqly|Cache</t>
  </si>
  <si>
    <t>Ancient / Nuke</t>
  </si>
  <si>
    <t>b8ta8wsdzmggqly|Mirage</t>
  </si>
  <si>
    <t>b8ta8wsdzmggqly|Nuke</t>
  </si>
  <si>
    <t>b8ta8wsdzmggqly|Dust2</t>
  </si>
  <si>
    <t>b8ta8wsdzmggqly|Inferno</t>
  </si>
  <si>
    <t>6qaa2ur392xj7at|Ancient</t>
  </si>
  <si>
    <t>6qaa2ur392xj7at|Dust2</t>
  </si>
  <si>
    <t>6qaa2ur392xj7at|Inferno</t>
  </si>
  <si>
    <t>2l8hxj94mm620bg|CS2 · AUR vs 9z</t>
  </si>
  <si>
    <t>Ancient / Anubis</t>
  </si>
  <si>
    <t>6qaa2ur392xj7at|Cache</t>
  </si>
  <si>
    <t>6qaa2ur392xj7at|Nuke</t>
  </si>
  <si>
    <t>6qaa2ur392xj7at|Mirage</t>
  </si>
  <si>
    <t>994hwd2k6wyzjfl|Ancient</t>
  </si>
  <si>
    <t>994hwd2k6wyzjfl|Inferno</t>
  </si>
  <si>
    <t>994hwd2k6wyzjfl|Mirage</t>
  </si>
  <si>
    <t>994hwd2k6wyzjfl|Anubis</t>
  </si>
  <si>
    <t>994hwd2k6wyzjfl|Nuke</t>
  </si>
  <si>
    <t>994hwd2k6wyzjfl|Dust2</t>
  </si>
  <si>
    <t>994hwd2k6wyzjfl|Cache</t>
  </si>
  <si>
    <t>m5jimj86u7hpg0e|Inferno</t>
  </si>
  <si>
    <t>Cache / Inferno</t>
  </si>
  <si>
    <t>21.5 / 21.3</t>
  </si>
  <si>
    <t>m5jimj86u7hpg0e|Ancient</t>
  </si>
  <si>
    <t>m5jimj86u7hpg0e|Nuke</t>
  </si>
  <si>
    <t>m5jimj86u7hpg0e|Mirage</t>
  </si>
  <si>
    <t>m5jimj86u7hpg0e|Cache</t>
  </si>
  <si>
    <t>m5jimj86u7hpg0e|Anubis</t>
  </si>
  <si>
    <t>qtomd625i03qfpk|Dust2</t>
  </si>
  <si>
    <t>qtomd625i03qfpk|Ancient</t>
  </si>
  <si>
    <t>qtomd625i03qfpk|Mirage</t>
  </si>
  <si>
    <t>qtomd625i03qfpk|Nuke</t>
  </si>
  <si>
    <t>qtomd625i03qfpk|Inferno</t>
  </si>
  <si>
    <t>Nuke / Cache</t>
  </si>
  <si>
    <t>qtomd625i03qfpk|Cache</t>
  </si>
  <si>
    <t>rw16g75bm7idm2e|Mirage</t>
  </si>
  <si>
    <t>rw16g75bm7idm2e|Nuke</t>
  </si>
  <si>
    <t>rw16g75bm7idm2e|Dust2</t>
  </si>
  <si>
    <t>rw16g75bm7idm2e|Inferno</t>
  </si>
  <si>
    <t>rw16g75bm7idm2e|Ancient</t>
  </si>
  <si>
    <t>rw16g75bm7idm2e|Cache</t>
  </si>
  <si>
    <t>Map 1 HS</t>
  </si>
  <si>
    <t>2ybhd3dwxogp0wn|Mirage</t>
  </si>
  <si>
    <t>Map 1 Kills</t>
  </si>
  <si>
    <t>2ybhd3dwxogp0wn|Nuke</t>
  </si>
  <si>
    <t>2ybhd3dwxogp0wn|Ancient</t>
  </si>
  <si>
    <t>2ybhd3dwxogp0wn|Anubis</t>
  </si>
  <si>
    <t>Inferno / Ancient</t>
  </si>
  <si>
    <t>21.5 / 21.4</t>
  </si>
  <si>
    <t>2ybhd3dwxogp0wn|Cache</t>
  </si>
  <si>
    <t>2ybhd3dwxogp0wn|Inferno</t>
  </si>
  <si>
    <t>2ybhd3dwxogp0wn|Dust2</t>
  </si>
  <si>
    <t>n597dm4mdfvgas1|Inferno</t>
  </si>
  <si>
    <t>n597dm4mdfvgas1|Nuke</t>
  </si>
  <si>
    <t>Cache / Mirage</t>
  </si>
  <si>
    <t>n597dm4mdfvgas1|Ancient</t>
  </si>
  <si>
    <t>n597dm4mdfvgas1|Mirage</t>
  </si>
  <si>
    <t>n597dm4mdfvgas1|Cache</t>
  </si>
  <si>
    <t>n597dm4mdfvgas1|Anubis</t>
  </si>
  <si>
    <t>9clq2dpvqugkf0i|Mirage</t>
  </si>
  <si>
    <t>pumzitjp9bsniic|CS2 · AUR vs 9z</t>
  </si>
  <si>
    <t>9clq2dpvqugkf0i|Anubis</t>
  </si>
  <si>
    <t>9clq2dpvqugkf0i|Dust2</t>
  </si>
  <si>
    <t>9clq2dpvqugkf0i|Inferno</t>
  </si>
  <si>
    <t>9clq2dpvqugkf0i|Nuke</t>
  </si>
  <si>
    <t>9clq2dpvqugkf0i|Cache</t>
  </si>
  <si>
    <t>21.1</t>
  </si>
  <si>
    <t>lpkyyhtoofj8ova|Mirage</t>
  </si>
  <si>
    <t>lpkyyhtoofj8ova|Anubis</t>
  </si>
  <si>
    <t>lpkyyhtoofj8ova|Dust2</t>
  </si>
  <si>
    <t>lpkyyhtoofj8ova|Inferno</t>
  </si>
  <si>
    <t>lpkyyhtoofj8ova|Nuke</t>
  </si>
  <si>
    <t>lpkyyhtoofj8ova|Cache</t>
  </si>
  <si>
    <t>zauqna21klkp1rt|Mirage</t>
  </si>
  <si>
    <t>zauqna21klkp1rt|Anubis</t>
  </si>
  <si>
    <t>zauqna21klkp1rt|Dust2</t>
  </si>
  <si>
    <t>zauqna21klkp1rt|Inferno</t>
  </si>
  <si>
    <t>zauqna21klkp1rt|Nuke</t>
  </si>
  <si>
    <t>zauqna21klkp1rt|Cache</t>
  </si>
  <si>
    <t>agoz9fkr6j2rnlx|Cache</t>
  </si>
  <si>
    <t>agoz9fkr6j2rnlx|Nuke</t>
  </si>
  <si>
    <t>agoz9fkr6j2rnlx|Ancient</t>
  </si>
  <si>
    <t>21.4</t>
  </si>
  <si>
    <t>agoz9fkr6j2rnlx|Inferno</t>
  </si>
  <si>
    <t>agoz9fkr6j2rnlx|Mirage</t>
  </si>
  <si>
    <t>agoz9fkr6j2rnlx|Dust2</t>
  </si>
  <si>
    <t>dvwiagwt3fsxpwe|Dust2</t>
  </si>
  <si>
    <t>dvwiagwt3fsxpwe|Ancient</t>
  </si>
  <si>
    <t>dvwiagwt3fsxpwe|Nuke</t>
  </si>
  <si>
    <t>dvwiagwt3fsxpwe|Anubis</t>
  </si>
  <si>
    <t>0%/0/3</t>
  </si>
  <si>
    <t>dvwiagwt3fsxpwe|Mirage</t>
  </si>
  <si>
    <t>dvwiagwt3fsxpwe|Cache</t>
  </si>
  <si>
    <t>dvwiagwt3fsxpwe|Inferno</t>
  </si>
  <si>
    <t>41ry45brll61gbm|Ancient</t>
  </si>
  <si>
    <t>41ry45brll61gbm|Dust2</t>
  </si>
  <si>
    <t>41ry45brll61gbm|Mirage</t>
  </si>
  <si>
    <t>41ry45brll61gbm|Nuke</t>
  </si>
  <si>
    <t>41ry45brll61gbm|Anubis</t>
  </si>
  <si>
    <t>41ry45brll61gbm|Inferno</t>
  </si>
  <si>
    <t>41ry45brll61gbm|Cache</t>
  </si>
  <si>
    <t>c4m3zncm4mxvzoh|Mirage</t>
  </si>
  <si>
    <t>c4m3zncm4mxvzoh|Anubis</t>
  </si>
  <si>
    <t>c4m3zncm4mxvzoh|Ancient</t>
  </si>
  <si>
    <t>c4m3zncm4mxvzoh|Nuke</t>
  </si>
  <si>
    <t>c4m3zncm4mxvzoh|Cache</t>
  </si>
  <si>
    <t>c4m3zncm4mxvzoh|Dust2</t>
  </si>
  <si>
    <t>4r111afg5jtvvzd|Sunset</t>
  </si>
  <si>
    <t>Sunset / Ascent</t>
  </si>
  <si>
    <t>21.6 / 21.6</t>
  </si>
  <si>
    <t>4r111afg5jtvvzd|Ascent</t>
  </si>
  <si>
    <t>4r111afg5jtvvzd|Haven</t>
  </si>
  <si>
    <t>4r111afg5jtvvzd|Summit</t>
  </si>
  <si>
    <t>4r111afg5jtvvzd|Split</t>
  </si>
  <si>
    <t>4r111afg5jtvvzd|Breeze</t>
  </si>
  <si>
    <t>Split / Summit</t>
  </si>
  <si>
    <t>4r111afg5jtvvzd|Lotus</t>
  </si>
  <si>
    <t>4r111afg5jtvvzd|Abyss</t>
  </si>
  <si>
    <t>0t72z8yv1b3jndf|Abyss</t>
  </si>
  <si>
    <t>0t72z8yv1b3jndf|Lotus</t>
  </si>
  <si>
    <t>0t72z8yv1b3jndf|Split</t>
  </si>
  <si>
    <t>0t72z8yv1b3jndf|Ascent</t>
  </si>
  <si>
    <t>0t72z8yv1b3jndf|Breeze</t>
  </si>
  <si>
    <t>0t72z8yv1b3jndf|Sunset</t>
  </si>
  <si>
    <t>66ajrvmetqiufsf|CS2 · AUR vs 9z</t>
  </si>
  <si>
    <t>0t72z8yv1b3jndf|Haven</t>
  </si>
  <si>
    <t>0t72z8yv1b3jndf|Summit</t>
  </si>
  <si>
    <t>38ouija5u053a23|Sunset</t>
  </si>
  <si>
    <t>38ouija5u053a23|Ascent</t>
  </si>
  <si>
    <t>38ouija5u053a23|Haven</t>
  </si>
  <si>
    <t>38ouija5u053a23|Summit</t>
  </si>
  <si>
    <t>38ouija5u053a23|Split</t>
  </si>
  <si>
    <t>38ouija5u053a23|Breeze</t>
  </si>
  <si>
    <t>38ouija5u053a23|Lotus</t>
  </si>
  <si>
    <t>38ouija5u053a23|Abyss</t>
  </si>
  <si>
    <t>74ymf96bs8s3yam|Split</t>
  </si>
  <si>
    <t>74ymf96bs8s3yam|Haven</t>
  </si>
  <si>
    <t>74ymf96bs8s3yam|Ascent</t>
  </si>
  <si>
    <t>74ymf96bs8s3yam|Lotus</t>
  </si>
  <si>
    <t>74ymf96bs8s3yam|Abyss</t>
  </si>
  <si>
    <t>74ymf96bs8s3yam|Summit</t>
  </si>
  <si>
    <t>74ymf96bs8s3yam|Breeze</t>
  </si>
  <si>
    <t>74ymf96bs8s3yam|Sunset</t>
  </si>
  <si>
    <t>tdlqzw2bt02xcdw|Sunset</t>
  </si>
  <si>
    <t>Check</t>
  </si>
  <si>
    <t>PickFinder board rows (CS2 + VAL)</t>
  </si>
  <si>
    <t>Players with map stats</t>
  </si>
  <si>
    <t>Identity: Σ per-map maps == overall Maps AND weighted kills == Kills/Map</t>
  </si>
  <si>
    <t>126 / 126 pass</t>
  </si>
  <si>
    <t>Board players with NO stats page read</t>
  </si>
  <si>
    <t>Matches resolved to Thunderpick</t>
  </si>
  <si>
    <t>18 / 18</t>
  </si>
  <si>
    <t>Matches with a Total Rounds ladder on map 1</t>
  </si>
  <si>
    <t>Matches with correct-score odds</t>
  </si>
  <si>
    <t>Matches with PickFinder Map Picks (rest use most-played fallback)</t>
  </si>
  <si>
    <t>tdlqzw2bt02xcdw|Ascent</t>
  </si>
  <si>
    <t>Thunderpick player kill ladders matched to board players</t>
  </si>
  <si>
    <t>LIVE: formula errors on Projections (should be 0)</t>
  </si>
  <si>
    <t>tdlqzw2bt02xcdw|Haven</t>
  </si>
  <si>
    <t>LIVE: legs with no projection (should be 0)</t>
  </si>
  <si>
    <t>LIVE: formula errors on Calc (should be 0)</t>
  </si>
  <si>
    <t>tdlqzw2bt02xcdw|Summit</t>
  </si>
  <si>
    <t>LIVE: largest |Projections − Log| (≈0 at default settings; grows as you edit Matches/Config)</t>
  </si>
  <si>
    <t>tdlqzw2bt02xcdw|Split</t>
  </si>
  <si>
    <t>LIVE: largest |Projections adj − Log adj| (≈0 at default settings)</t>
  </si>
  <si>
    <t>tdlqzw2bt02xcdw|Breeze</t>
  </si>
  <si>
    <t>LIVE: formula errors on Matches HLTV columns (should be 0)</t>
  </si>
  <si>
    <t>CS2 matches with HLTV analytics</t>
  </si>
  <si>
    <t>Issue</t>
  </si>
  <si>
    <t>MAP PICKS FALLBACK CS2 · HAVU vs RGG -&gt; Nuke, Mirage, Dust2</t>
  </si>
  <si>
    <t>MAP PICKS FALLBACK CS2 · VOCA vs HAVU -&gt; Nuke, Dust2, Ancient</t>
  </si>
  <si>
    <t>MAP PICKS FALLBACK CS2 · PHA vs RGG -&gt; Ancient, Nuke, Mirage</t>
  </si>
  <si>
    <t>MAP PICKS FALLBACK CS2 · VOCA vs RGG -&gt; Ancient, Nuke, Dust2</t>
  </si>
  <si>
    <t>MAP PICKS FALLBACK VAL · 100T vs G2 -&gt; Sunset, Ascent, Split</t>
  </si>
  <si>
    <t>MAP PICKS FALLBACK VAL · VIT vs LOUD -&gt; Split, Summit, Haven</t>
  </si>
  <si>
    <t>NO TP ROUNDS LADDER CS2 · GL vs ex-RUSTEC (Config default used)</t>
  </si>
  <si>
    <t>tdlqzw2bt02xcdw|Lotus</t>
  </si>
  <si>
    <t>NO TP ROUNDS LADDER CS2 · HAVU vs RGG (Config default used)</t>
  </si>
  <si>
    <t>NO TP ROUNDS LADDER CS2 · PHA vs RGG (Config default used)</t>
  </si>
  <si>
    <t>NO TP ROUNDS LADDER CS2 · VOCA vs RGG (Config default used)</t>
  </si>
  <si>
    <t>tdlqzw2bt02xcdw|Abyss</t>
  </si>
  <si>
    <t>te1wd2zymiyxnqw|Summit</t>
  </si>
  <si>
    <t>te1wd2zymiyxnqw|Sunset</t>
  </si>
  <si>
    <t>te1wd2zymiyxnqw|Lotus</t>
  </si>
  <si>
    <t>te1wd2zymiyxnqw|Haven</t>
  </si>
  <si>
    <t>te1wd2zymiyxnqw|Split</t>
  </si>
  <si>
    <t>te1wd2zymiyxnqw|Abyss</t>
  </si>
  <si>
    <t>te1wd2zymiyxnqw|Ascent</t>
  </si>
  <si>
    <t>te1wd2zymiyxnqw|Breeze</t>
  </si>
  <si>
    <t>ieotcwzy7yhbfzh|Summit</t>
  </si>
  <si>
    <t>ieotcwzy7yhbfzh|Sunset</t>
  </si>
  <si>
    <t>ieotcwzy7yhbfzh|Lotus</t>
  </si>
  <si>
    <t>ieotcwzy7yhbfzh|Haven</t>
  </si>
  <si>
    <t>ieotcwzy7yhbfzh|Split</t>
  </si>
  <si>
    <t>ieotcwzy7yhbfzh|Abyss</t>
  </si>
  <si>
    <t>ieotcwzy7yhbfzh|Ascent</t>
  </si>
  <si>
    <t>ieotcwzy7yhbfzh|Breeze</t>
  </si>
  <si>
    <t>3425cmled3cxlhw|Split</t>
  </si>
  <si>
    <t>3425cmled3cxlhw|Ascent</t>
  </si>
  <si>
    <t>3425cmled3cxlhw|Haven</t>
  </si>
  <si>
    <t>3425cmled3cxlhw|Lotus</t>
  </si>
  <si>
    <t>3425cmled3cxlhw|Abyss</t>
  </si>
  <si>
    <t>3425cmled3cxlhw|Summit</t>
  </si>
  <si>
    <t>3425cmled3cxlhw|Breeze</t>
  </si>
  <si>
    <t>3425cmled3cxlhw|Sunset</t>
  </si>
  <si>
    <t>bholi9vxeirq8k9|Summit</t>
  </si>
  <si>
    <t>bholi9vxeirq8k9|Sunset</t>
  </si>
  <si>
    <t>bholi9vxeirq8k9|Lotus</t>
  </si>
  <si>
    <t>bholi9vxeirq8k9|Haven</t>
  </si>
  <si>
    <t>bholi9vxeirq8k9|Split</t>
  </si>
  <si>
    <t>bholi9vxeirq8k9|Abyss</t>
  </si>
  <si>
    <t>bholi9vxeirq8k9|Ascent</t>
  </si>
  <si>
    <t>bholi9vxeirq8k9|Breeze</t>
  </si>
  <si>
    <t>q1vl8rb8l6us1dr|Split</t>
  </si>
  <si>
    <t>q1vl8rb8l6us1dr|Haven</t>
  </si>
  <si>
    <t>gzghvr1quamb0xn|CS2 · AUR vs 9z</t>
  </si>
  <si>
    <t>q1vl8rb8l6us1dr|Ascent</t>
  </si>
  <si>
    <t>q1vl8rb8l6us1dr|Abyss</t>
  </si>
  <si>
    <t>q1vl8rb8l6us1dr|Lotus</t>
  </si>
  <si>
    <t>q1vl8rb8l6us1dr|Summit</t>
  </si>
  <si>
    <t>q1vl8rb8l6us1dr|Breeze</t>
  </si>
  <si>
    <t>q1vl8rb8l6us1dr|Sunset</t>
  </si>
  <si>
    <t>5gah6d5j7jb3k27|Abyss</t>
  </si>
  <si>
    <t>5gah6d5j7jb3k27|Lotus</t>
  </si>
  <si>
    <t>5gah6d5j7jb3k27|Split</t>
  </si>
  <si>
    <t>5gah6d5j7jb3k27|Sunset</t>
  </si>
  <si>
    <t>5gah6d5j7jb3k27|Breeze</t>
  </si>
  <si>
    <t>5gah6d5j7jb3k27|Haven</t>
  </si>
  <si>
    <t>5gah6d5j7jb3k27|Ascent</t>
  </si>
  <si>
    <t>5gah6d5j7jb3k27|Summit</t>
  </si>
  <si>
    <t>aznc9se0wi55u4o|Abyss</t>
  </si>
  <si>
    <t>aznc9se0wi55u4o|Split</t>
  </si>
  <si>
    <t>aznc9se0wi55u4o|Lotus</t>
  </si>
  <si>
    <t>aznc9se0wi55u4o|Ascent</t>
  </si>
  <si>
    <t>aznc9se0wi55u4o|Sunset</t>
  </si>
  <si>
    <t>aznc9se0wi55u4o|Breeze</t>
  </si>
  <si>
    <t>aznc9se0wi55u4o|Haven</t>
  </si>
  <si>
    <t>aznc9se0wi55u4o|Summit</t>
  </si>
  <si>
    <t>iaci71h5e1lc3jg|Summit</t>
  </si>
  <si>
    <t>iaci71h5e1lc3jg|Sunset</t>
  </si>
  <si>
    <t>iaci71h5e1lc3jg|Lotus</t>
  </si>
  <si>
    <t>iaci71h5e1lc3jg|Haven</t>
  </si>
  <si>
    <t>iaci71h5e1lc3jg|Split</t>
  </si>
  <si>
    <t>iaci71h5e1lc3jg|Abyss</t>
  </si>
  <si>
    <t>iaci71h5e1lc3jg|Ascent</t>
  </si>
  <si>
    <t>iaci71h5e1lc3jg|Breeze</t>
  </si>
  <si>
    <t>ljkl20ufsb1unwv|Split</t>
  </si>
  <si>
    <t>ljkl20ufsb1unwv|Ascent</t>
  </si>
  <si>
    <t>ljkl20ufsb1unwv|Haven</t>
  </si>
  <si>
    <t>ljkl20ufsb1unwv|Abyss</t>
  </si>
  <si>
    <t>ljkl20ufsb1unwv|Lotus</t>
  </si>
  <si>
    <t>ljkl20ufsb1unwv|Breeze</t>
  </si>
  <si>
    <t>ljkl20ufsb1unwv|Summit</t>
  </si>
  <si>
    <t>ljkl20ufsb1unwv|Sunset</t>
  </si>
  <si>
    <t>u2kriuznrktwp57|Split</t>
  </si>
  <si>
    <t>u2kriuznrktwp57|Haven</t>
  </si>
  <si>
    <t>u2kriuznrktwp57|Ascent</t>
  </si>
  <si>
    <t>u2kriuznrktwp57|Lotus</t>
  </si>
  <si>
    <t>u2kriuznrktwp57|Abyss</t>
  </si>
  <si>
    <t>u2kriuznrktwp57|Breeze</t>
  </si>
  <si>
    <t>u2kriuznrktwp57|Summit</t>
  </si>
  <si>
    <t>u2kriuznrktwp57|Sunset</t>
  </si>
  <si>
    <t>35x56caa7qz3za9|Sunset</t>
  </si>
  <si>
    <t>35x56caa7qz3za9|Ascent</t>
  </si>
  <si>
    <t>35x56caa7qz3za9|Haven</t>
  </si>
  <si>
    <t>35x56caa7qz3za9|Summit</t>
  </si>
  <si>
    <t>35x56caa7qz3za9|Split</t>
  </si>
  <si>
    <t>35x56caa7qz3za9|Breeze</t>
  </si>
  <si>
    <t>9clq2dpvqugkf0i|CS2 · AUR vs 9z</t>
  </si>
  <si>
    <t>35x56caa7qz3za9|Lotus</t>
  </si>
  <si>
    <t>35x56caa7qz3za9|Abyss</t>
  </si>
  <si>
    <t>ebc3o811xao6aam|Summit</t>
  </si>
  <si>
    <t>ebc3o811xao6aam|Sunset</t>
  </si>
  <si>
    <t>ebc3o811xao6aam|Lotus</t>
  </si>
  <si>
    <t>ebc3o811xao6aam|Haven</t>
  </si>
  <si>
    <t>ebc3o811xao6aam|Abyss</t>
  </si>
  <si>
    <t>ebc3o811xao6aam|Ascent</t>
  </si>
  <si>
    <t>ebc3o811xao6aam|Split</t>
  </si>
  <si>
    <t>ebc3o811xao6aam|Breeze</t>
  </si>
  <si>
    <t>lzahssvqxdfzc0s|Abyss</t>
  </si>
  <si>
    <t>lzahssvqxdfzc0s|Split</t>
  </si>
  <si>
    <t>lzahssvqxdfzc0s|Lotus</t>
  </si>
  <si>
    <t>lzahssvqxdfzc0s|Sunset</t>
  </si>
  <si>
    <t>lzahssvqxdfzc0s|Breeze</t>
  </si>
  <si>
    <t>lzahssvqxdfzc0s|Ascent</t>
  </si>
  <si>
    <t>lzahssvqxdfzc0s|Haven</t>
  </si>
  <si>
    <t>lzahssvqxdfzc0s|Summit</t>
  </si>
  <si>
    <t>apix6yyktgy68co|Abyss</t>
  </si>
  <si>
    <t>apix6yyktgy68co|Lotus</t>
  </si>
  <si>
    <t>apix6yyktgy68co|Split</t>
  </si>
  <si>
    <t>apix6yyktgy68co|Sunset</t>
  </si>
  <si>
    <t>apix6yyktgy68co|Ascent</t>
  </si>
  <si>
    <t>apix6yyktgy68co|Haven</t>
  </si>
  <si>
    <t>apix6yyktgy68co|Breeze</t>
  </si>
  <si>
    <t>apix6yyktgy68co|Summit</t>
  </si>
  <si>
    <t>uilo3uj58yt6kxt|Sunset</t>
  </si>
  <si>
    <t>uilo3uj58yt6kxt|Ascent</t>
  </si>
  <si>
    <t>uilo3uj58yt6kxt|Haven</t>
  </si>
  <si>
    <t>uilo3uj58yt6kxt|Summit</t>
  </si>
  <si>
    <t>uilo3uj58yt6kxt|Breeze</t>
  </si>
  <si>
    <t>uilo3uj58yt6kxt|Split</t>
  </si>
  <si>
    <t>uilo3uj58yt6kxt|Lotus</t>
  </si>
  <si>
    <t>uilo3uj58yt6kxt|Abyss</t>
  </si>
  <si>
    <t>lpkyyhtoofj8ova|CS2 · AUR vs 9z</t>
  </si>
  <si>
    <t>zauqna21klkp1rt|CS2 · AUR vs 9z</t>
  </si>
  <si>
    <t>75r40osa6cjt3o0|CS2 · BB vs LGC</t>
  </si>
  <si>
    <t>kgpnwz42wxtq29r|CS2 · BB vs LGC</t>
  </si>
  <si>
    <t>w2jejpg0j9hthoo|CS2 · BB vs LGC</t>
  </si>
  <si>
    <t>bn3mlvy0cst11z3|CS2 · BB vs LGC</t>
  </si>
  <si>
    <t>c4m3zncm4mxvzoh|CS2 · BB vs LGC</t>
  </si>
  <si>
    <t>6ihem6avn05n11t|CS2 · BB vs LGC</t>
  </si>
  <si>
    <t>fegzpn598j6etni|CS2 · BB vs LGC</t>
  </si>
  <si>
    <t>1wpbb1hb0wgcwoh|CS2 · BB vs LGC</t>
  </si>
  <si>
    <t>wgxwl9snnyzsfwq|CS2 · BB vs LGC</t>
  </si>
  <si>
    <t>qtomd625i03qfpk|CS2 · BB vs LGC</t>
  </si>
  <si>
    <t>aulcxwhkh0pxo6k|CS2 · BBL vs EYE</t>
  </si>
  <si>
    <t>4u8b77givp2ury3|CS2 · BBL vs EYE</t>
  </si>
  <si>
    <t>n7dezrlm3ggjepw|CS2 · BBL vs EYE</t>
  </si>
  <si>
    <t>100%/3/3</t>
  </si>
  <si>
    <t>0tpom07myrdplgs|CS2 · BBL vs EYE</t>
  </si>
  <si>
    <t>e3qct411urjbnrw|CS2 · BBL vs EYE</t>
  </si>
  <si>
    <t>92clx6foe6b0ep2|CS2 · BBL vs EYE</t>
  </si>
  <si>
    <t>by1g6gafo5oyqad|CS2 · BBL vs EYE</t>
  </si>
  <si>
    <t>e1p0xlwtwfrt8qa|CS2 · BBL vs EYE</t>
  </si>
  <si>
    <t>40%/2/5</t>
  </si>
  <si>
    <t>ipodft09sqdlaqf|CS2 · EF vs BCA</t>
  </si>
  <si>
    <t>ynmieq7eicmbcow|CS2 · EF vs BCA</t>
  </si>
  <si>
    <t>80%/4/5</t>
  </si>
  <si>
    <t>0me0g5v8fk4yzec|CS2 · EF vs BCA</t>
  </si>
  <si>
    <t>zhf73thl2zdwjk1|CS2 · EF vs BCA</t>
  </si>
  <si>
    <t>2ybhd3dwxogp0wn|CS2 · EF vs BCA</t>
  </si>
  <si>
    <t>rfuts2r0t85cd95|CS2 · EF vs BCA</t>
  </si>
  <si>
    <t>t2lttsuygcwlbxl|CS2 · EF vs BCA</t>
  </si>
  <si>
    <t>0%/0/2</t>
  </si>
  <si>
    <t>mp3vrg2adugpxjt|CS2 · EF vs BCA</t>
  </si>
  <si>
    <t>v15ff2btfwe796g|CS2 · EF vs BCA</t>
  </si>
  <si>
    <t>agwfljw0nydsug9|CS2 · EF vs BCA</t>
  </si>
  <si>
    <t>25%/1/4</t>
  </si>
  <si>
    <t>h6qqf27cvpf4wi5|CS2 · FNC vs HERO</t>
  </si>
  <si>
    <t>f9t8og97ml0t6z0|CS2 · FNC vs HERO</t>
  </si>
  <si>
    <t>82nefkkz4qxb3gq|CS2 · FNC vs HERO</t>
  </si>
  <si>
    <t>60%/3/5</t>
  </si>
  <si>
    <t>vri96qu30akszzt|CS2 · FNC vs HERO</t>
  </si>
  <si>
    <t>nm2jvu2w8c75yhk|CS2 · FNC vs HERO</t>
  </si>
  <si>
    <t>wtlsowfl6o5b5pg|CS2 · FNC vs HERO</t>
  </si>
  <si>
    <t>55%/6/11</t>
  </si>
  <si>
    <t>4neyyyoi8995r0v|CS2 · FNC vs HERO</t>
  </si>
  <si>
    <t>46%/5/11</t>
  </si>
  <si>
    <t>6abl2drrh6zq9lw|CS2 · FNC vs HERO</t>
  </si>
  <si>
    <t>zk657eunk3op4kx|CS2 · FNC vs HERO</t>
  </si>
  <si>
    <t>u12f792swgv1x5z|CS2 · FNC vs HERO</t>
  </si>
  <si>
    <t>cuos9kbfem9flgg|CS2 · GL vs ex-RUSTEC</t>
  </si>
  <si>
    <t>9ewlsq1d531bbzm|CS2 · GL vs ex-RUSTEC</t>
  </si>
  <si>
    <t>wt4hradl1cp0pr9|CS2 · GL vs ex-RUSTEC</t>
  </si>
  <si>
    <t>7d2ry1m3iuhwjqn|CS2 · GL vs ex-RUSTEC</t>
  </si>
  <si>
    <t>b8ta8wsdzmggqly|CS2 · GL vs ex-RUSTEC</t>
  </si>
  <si>
    <t>u2qbkafgxd78s8o|CS2 · GL vs ex-RUSTEC</t>
  </si>
  <si>
    <t>ib0ui40iou8m5h8|CS2 · GL vs ex-RUSTEC</t>
  </si>
  <si>
    <t>l9cxp8x8mgmbhaf|CS2 · GL vs ex-RUSTEC</t>
  </si>
  <si>
    <t>dvwiagwt3fsxpwe|CS2 · GL vs ex-RUSTEC</t>
  </si>
  <si>
    <t>41ry45brll61gbm|CS2 · GL vs ex-RUSTEC</t>
  </si>
  <si>
    <t>ngzwc6mqcf8eqdc|CS2 · HAVU vs RGG</t>
  </si>
  <si>
    <t>H1</t>
  </si>
  <si>
    <t>K1</t>
  </si>
  <si>
    <t>ydze2q2v3qoecsb|CS2 · HAVU vs RGG</t>
  </si>
  <si>
    <t>r5k3gcz96b2x9h8|CS2 · HAVU vs RGG</t>
  </si>
  <si>
    <t>r4mf7kxzysimlpj|CS2 · HAVU vs RGG</t>
  </si>
  <si>
    <t>rw16g75bm7idm2e|CS2 · HAVU vs RGG</t>
  </si>
  <si>
    <t>83%/5/6</t>
  </si>
  <si>
    <t>kqp0u5nsn54l8f7|CS2 · NEM vs NTR</t>
  </si>
  <si>
    <t>1fsggyr6b6hmnv1|CS2 · NEM vs NTR</t>
  </si>
  <si>
    <t>3299qh2j667nhco|CS2 · NEM vs NTR</t>
  </si>
  <si>
    <t>dk19ar0a6eahpe5|CS2 · NEM vs NTR</t>
  </si>
  <si>
    <t>6qaa2ur392xj7at|CS2 · NEM vs NTR</t>
  </si>
  <si>
    <t>6wz925o5ae22g8t|CS2 · NEM vs NTR</t>
  </si>
  <si>
    <t>0%/0/4</t>
  </si>
  <si>
    <t>75%/3/4</t>
  </si>
  <si>
    <t>34ncnmnh403jz5x|CS2 · NEM vs NTR</t>
  </si>
  <si>
    <t>100%/4/4</t>
  </si>
  <si>
    <t>1yjjd4cv2r5113x|CS2 · NEM vs NTR</t>
  </si>
  <si>
    <t>pw4dii7j6595atb|CS2 · NIP vs TL</t>
  </si>
  <si>
    <t>jlf7p69t2kz7r4d|CS2 · NIP vs TL</t>
  </si>
  <si>
    <t>sblclwh8nu1y7tp|CS2 · NIP vs TL</t>
  </si>
  <si>
    <t>aoyem2d0er1hake|CS2 · NIP vs TL</t>
  </si>
  <si>
    <t>agoz9fkr6j2rnlx|CS2 · NIP vs TL</t>
  </si>
  <si>
    <t>we8rbjpf65bc2tn|CS2 · NIP vs TL</t>
  </si>
  <si>
    <t>eb7cqiuc8bqx4zr|CS2 · NIP vs TL</t>
  </si>
  <si>
    <t>j4y4z5p4stvkatz|CS2 · NIP vs TL</t>
  </si>
  <si>
    <t>30ba4vwtbgb75sn|CS2 · NIP vs TL</t>
  </si>
  <si>
    <t>as14gj4lvoykr11|CS2 · NIP vs TL</t>
  </si>
  <si>
    <t>ngzwc6mqcf8eqdc|CS2 · PHA vs HAVU</t>
  </si>
  <si>
    <t>ydze2q2v3qoecsb|CS2 · PHA vs HAVU</t>
  </si>
  <si>
    <t>r5k3gcz96b2x9h8|CS2 · PHA vs HAVU</t>
  </si>
  <si>
    <t>r4mf7kxzysimlpj|CS2 · PHA vs HAVU</t>
  </si>
  <si>
    <t>rw16g75bm7idm2e|CS2 · PHA vs HAVU</t>
  </si>
  <si>
    <t>14nk53aue7wxi91|CS2 · PHA vs HAVU</t>
  </si>
  <si>
    <t>zf7bzibg1ekklis|CS2 · PHA vs HAVU</t>
  </si>
  <si>
    <t>w56yzcex8uwfyhn|CS2 · PHA vs HAVU</t>
  </si>
  <si>
    <t>mti1aemn002cu5c|CS2 · PHA vs HAVU</t>
  </si>
  <si>
    <t>994hwd2k6wyzjfl|CS2 · PHA vs HAVU</t>
  </si>
  <si>
    <t>14nk53aue7wxi91|CS2 · PHA vs RGG</t>
  </si>
  <si>
    <t>zf7bzibg1ekklis|CS2 · PHA vs RGG</t>
  </si>
  <si>
    <t>w56yzcex8uwfyhn|CS2 · PHA vs RGG</t>
  </si>
  <si>
    <t>mti1aemn002cu5c|CS2 · PHA vs RGG</t>
  </si>
  <si>
    <t>994hwd2k6wyzjfl|CS2 · PHA vs RGG</t>
  </si>
  <si>
    <t>ngzwc6mqcf8eqdc|CS2 · VOCA vs HAVU</t>
  </si>
  <si>
    <t>ydze2q2v3qoecsb|CS2 · VOCA vs HAVU</t>
  </si>
  <si>
    <t>r5k3gcz96b2x9h8|CS2 · VOCA vs HAVU</t>
  </si>
  <si>
    <t>r4mf7kxzysimlpj|CS2 · VOCA vs HAVU</t>
  </si>
  <si>
    <t>rw16g75bm7idm2e|CS2 · VOCA vs HAVU</t>
  </si>
  <si>
    <t>al57ba5j0f51eq6|CS2 · VOCA vs HAVU</t>
  </si>
  <si>
    <t>bf5itcax7wycz9n|CS2 · VOCA vs HAVU</t>
  </si>
  <si>
    <t>30mdsslkk2b2chl|CS2 · VOCA vs HAVU</t>
  </si>
  <si>
    <t>inq1aslhosl5opp|CS2 · VOCA vs HAVU</t>
  </si>
  <si>
    <t>pnbyhth5hef4yqq|CS2 · VOCA vs HAVU</t>
  </si>
  <si>
    <t>14nk53aue7wxi91|CS2 · VOCA vs PHA</t>
  </si>
  <si>
    <t>zf7bzibg1ekklis|CS2 · VOCA vs PHA</t>
  </si>
  <si>
    <t>w56yzcex8uwfyhn|CS2 · VOCA vs PHA</t>
  </si>
  <si>
    <t>mti1aemn002cu5c|CS2 · VOCA vs PHA</t>
  </si>
  <si>
    <t>994hwd2k6wyzjfl|CS2 · VOCA vs PHA</t>
  </si>
  <si>
    <t>al57ba5j0f51eq6|CS2 · VOCA vs PHA</t>
  </si>
  <si>
    <t>bf5itcax7wycz9n|CS2 · VOCA vs PHA</t>
  </si>
  <si>
    <t>30mdsslkk2b2chl|CS2 · VOCA vs PHA</t>
  </si>
  <si>
    <t>inq1aslhosl5opp|CS2 · VOCA vs PHA</t>
  </si>
  <si>
    <t>pnbyhth5hef4yqq|CS2 · VOCA vs PHA</t>
  </si>
  <si>
    <t>al57ba5j0f51eq6|CS2 · VOCA vs RGG</t>
  </si>
  <si>
    <t>bf5itcax7wycz9n|CS2 · VOCA vs RGG</t>
  </si>
  <si>
    <t>30mdsslkk2b2chl|CS2 · VOCA vs RGG</t>
  </si>
  <si>
    <t>inq1aslhosl5opp|CS2 · VOCA vs RGG</t>
  </si>
  <si>
    <t>pnbyhth5hef4yqq|CS2 · VOCA vs RGG</t>
  </si>
  <si>
    <t>30%/3/10</t>
  </si>
  <si>
    <t>4r111afg5jtvvzd|VAL · 100T vs G2</t>
  </si>
  <si>
    <t>50%/7/14</t>
  </si>
  <si>
    <t>38ouija5u053a23|VAL · 100T vs G2</t>
  </si>
  <si>
    <t>40%/4/10</t>
  </si>
  <si>
    <t>tdlqzw2bt02xcdw|VAL · 100T vs G2</t>
  </si>
  <si>
    <t>35x56caa7qz3za9|VAL · 100T vs G2</t>
  </si>
  <si>
    <t>uilo3uj58yt6kxt|VAL · 100T vs G2</t>
  </si>
  <si>
    <t>100%/5/5</t>
  </si>
  <si>
    <t>0t72z8yv1b3jndf|VAL · 100T vs G2</t>
  </si>
  <si>
    <t>5gah6d5j7jb3k27|VAL · 100T vs G2</t>
  </si>
  <si>
    <t>56%/5/9</t>
  </si>
  <si>
    <t>aznc9se0wi55u4o|VAL · 100T vs G2</t>
  </si>
  <si>
    <t>50%/5/10</t>
  </si>
  <si>
    <t>lzahssvqxdfzc0s|VAL · 100T vs G2</t>
  </si>
  <si>
    <t>60%/6/10</t>
  </si>
  <si>
    <t>apix6yyktgy68co|VAL · 100T vs G2</t>
  </si>
  <si>
    <t>te1wd2zymiyxnqw|VAL · VIT vs LOUD</t>
  </si>
  <si>
    <t>ieotcwzy7yhbfzh|VAL · VIT vs LOUD</t>
  </si>
  <si>
    <t>bholi9vxeirq8k9|VAL · VIT vs LOUD</t>
  </si>
  <si>
    <t>iaci71h5e1lc3jg|VAL · VIT vs LOUD</t>
  </si>
  <si>
    <t>ebc3o811xao6aam|VAL · VIT vs LOUD</t>
  </si>
  <si>
    <t>74ymf96bs8s3yam|VAL · VIT vs LOUD</t>
  </si>
  <si>
    <t>3425cmled3cxlhw|VAL · VIT vs LOUD</t>
  </si>
  <si>
    <t>q1vl8rb8l6us1dr|VAL · VIT vs LOUD</t>
  </si>
  <si>
    <t>ljkl20ufsb1unwv|VAL · VIT vs LOUD</t>
  </si>
  <si>
    <t>u2kriuznrktwp57|VAL · VIT vs 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</si>
</sst>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0.000"/>
  </numFmts>
  <fonts count="9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i/>
      <color rgb="FF6B728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color rgb="FFFFFFFF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2937"/>
        <bgColor rgb="FF1F2937"/>
      </patternFill>
    </fill>
    <fill>
      <patternFill patternType="solid">
        <fgColor rgb="FFDDE4EE"/>
        <bgColor rgb="FFDDE4EE"/>
      </patternFill>
    </fill>
    <fill>
      <patternFill patternType="solid">
        <fgColor rgb="FFF3F5F8"/>
        <bgColor rgb="FFF3F5F8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1" fillId="2" fontId="6" numFmtId="0" xfId="0" applyBorder="1" applyFill="1" applyFont="1"/>
    <xf borderId="1" fillId="3" fontId="7" numFmtId="0" xfId="0" applyAlignment="1" applyBorder="1" applyFill="1" applyFont="1">
      <alignment shrinkToFit="0" vertical="center" wrapText="1"/>
    </xf>
    <xf borderId="2" fillId="4" fontId="6" numFmtId="0" xfId="0" applyBorder="1" applyFill="1" applyFont="1"/>
    <xf borderId="3" fillId="0" fontId="8" numFmtId="0" xfId="0" applyBorder="1" applyFont="1"/>
    <xf borderId="4" fillId="0" fontId="8" numFmtId="0" xfId="0" applyBorder="1" applyFont="1"/>
    <xf borderId="0" fillId="0" fontId="5" numFmtId="164" xfId="0" applyFont="1" applyNumberFormat="1"/>
    <xf borderId="0" fillId="0" fontId="5" numFmtId="165" xfId="0" applyFont="1" applyNumberFormat="1"/>
    <xf borderId="1" fillId="2" fontId="5" numFmtId="0" xfId="0" applyBorder="1" applyFill="1" applyFont="1"/>
    <xf borderId="1" fillId="2" fontId="5" numFmtId="165" xfId="0" applyBorder="1" applyFill="1" applyFont="1" applyNumberFormat="1"/>
    <xf borderId="1" fillId="2" fontId="5" numFmtId="164" xfId="0" applyBorder="1" applyFill="1" applyFont="1" applyNumberFormat="1"/>
    <xf borderId="1" fillId="5" fontId="2" numFmtId="0" xfId="0" applyBorder="1" applyFill="1" applyFont="1"/>
    <xf borderId="0" fillId="0" fontId="5" numFmtId="2" xfId="0" applyFont="1" applyNumberFormat="1"/>
    <xf borderId="0" fillId="0" fontId="5" numFmtId="166" xfId="0" applyFont="1" applyNumberFormat="1"/>
    <xf borderId="1" fillId="3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1</v>
      </c>
    </row>
    <row r="2">
      <c r="A2" s="4" t="s">
        <v>6</v>
      </c>
    </row>
    <row r="3">
      <c r="A3" s="3" t="s">
        <v>9</v>
      </c>
    </row>
    <row r="5">
      <c r="A5" s="2" t="s">
        <v>11</v>
      </c>
    </row>
    <row r="6">
      <c r="A6" s="5" t="s">
        <v>14</v>
      </c>
    </row>
    <row r="7">
      <c r="A7" s="5" t="s">
        <v>20</v>
      </c>
    </row>
    <row r="8">
      <c r="A8" s="5" t="s">
        <v>25</v>
      </c>
    </row>
    <row r="9">
      <c r="A9" s="5" t="s">
        <v>30</v>
      </c>
    </row>
    <row r="11">
      <c r="A11" s="2" t="s">
        <v>34</v>
      </c>
    </row>
    <row r="12">
      <c r="A12" s="5" t="s">
        <v>38</v>
      </c>
    </row>
    <row r="13">
      <c r="A13" s="5" t="s">
        <v>44</v>
      </c>
    </row>
    <row r="14">
      <c r="A14" s="5" t="s">
        <v>47</v>
      </c>
    </row>
    <row r="15">
      <c r="A15" s="5" t="s">
        <v>50</v>
      </c>
    </row>
    <row r="17">
      <c r="A17" s="2" t="s">
        <v>55</v>
      </c>
    </row>
    <row r="18">
      <c r="A18" s="5" t="s">
        <v>60</v>
      </c>
    </row>
    <row r="19">
      <c r="A19" s="5" t="s">
        <v>68</v>
      </c>
    </row>
    <row r="20">
      <c r="A20" s="5" t="s">
        <v>73</v>
      </c>
    </row>
    <row r="21" ht="15.75" customHeight="1">
      <c r="A21" s="5" t="s">
        <v>80</v>
      </c>
    </row>
    <row r="22" ht="15.75" customHeight="1"/>
    <row r="23" ht="15.75" customHeight="1">
      <c r="A23" s="2" t="s">
        <v>84</v>
      </c>
    </row>
    <row r="24" ht="15.75" customHeight="1">
      <c r="A24" s="5" t="s">
        <v>90</v>
      </c>
    </row>
    <row r="25" ht="15.75" customHeight="1">
      <c r="A25" s="5" t="s">
        <v>95</v>
      </c>
    </row>
    <row r="26" ht="15.75" customHeight="1">
      <c r="A26" s="5" t="s">
        <v>102</v>
      </c>
    </row>
    <row r="27" ht="15.75" customHeight="1"/>
    <row r="28" ht="15.75" customHeight="1">
      <c r="A28" s="2" t="s">
        <v>104</v>
      </c>
    </row>
    <row r="29" ht="15.75" customHeight="1">
      <c r="A29" s="5" t="s">
        <v>109</v>
      </c>
    </row>
    <row r="30" ht="15.75" customHeight="1">
      <c r="A30" s="5" t="s">
        <v>114</v>
      </c>
    </row>
    <row r="31" ht="15.75" customHeight="1">
      <c r="A31" s="5" t="s">
        <v>118</v>
      </c>
    </row>
    <row r="32" ht="15.75" customHeight="1">
      <c r="A32" s="5" t="s">
        <v>121</v>
      </c>
    </row>
    <row r="33" ht="15.75" customHeight="1">
      <c r="A33" s="5" t="s">
        <v>124</v>
      </c>
    </row>
    <row r="34" ht="15.75" customHeight="1"/>
    <row r="35" ht="15.75" customHeight="1">
      <c r="A35" s="2" t="s">
        <v>126</v>
      </c>
    </row>
    <row r="36" ht="15.75" customHeight="1">
      <c r="A36" s="5" t="s">
        <v>128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3" width="46.0"/>
    <col customWidth="1" min="4" max="16" width="11.0"/>
    <col customWidth="1" min="17" max="26" width="8.71"/>
  </cols>
  <sheetData>
    <row r="1">
      <c r="A1" s="1" t="s">
        <v>3</v>
      </c>
    </row>
    <row r="2" ht="30.0" customHeight="1">
      <c r="A2" s="5" t="s">
        <v>8</v>
      </c>
    </row>
    <row r="4">
      <c r="A4" s="8" t="s">
        <v>13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>
      <c r="A5" s="2"/>
      <c r="B5" s="2" t="s">
        <v>74</v>
      </c>
      <c r="C5" s="2" t="s">
        <v>78</v>
      </c>
    </row>
    <row r="6">
      <c r="A6" s="2" t="s">
        <v>83</v>
      </c>
      <c r="B6" s="5" t="s">
        <v>85</v>
      </c>
      <c r="C6" s="5" t="s">
        <v>88</v>
      </c>
    </row>
    <row r="7">
      <c r="A7" s="2" t="s">
        <v>92</v>
      </c>
      <c r="B7" s="5" t="s">
        <v>93</v>
      </c>
      <c r="C7" s="5" t="s">
        <v>94</v>
      </c>
    </row>
    <row r="8">
      <c r="A8" s="2" t="s">
        <v>96</v>
      </c>
      <c r="B8" s="5" t="s">
        <v>99</v>
      </c>
      <c r="C8" s="5" t="s">
        <v>103</v>
      </c>
    </row>
    <row r="9">
      <c r="A9" s="2" t="s">
        <v>105</v>
      </c>
      <c r="B9" s="5" t="s">
        <v>106</v>
      </c>
      <c r="C9" s="5" t="s">
        <v>107</v>
      </c>
    </row>
    <row r="10">
      <c r="A10" s="2" t="s">
        <v>108</v>
      </c>
      <c r="B10" s="5" t="s">
        <v>111</v>
      </c>
      <c r="C10" s="5" t="s">
        <v>111</v>
      </c>
    </row>
    <row r="11" ht="105.0" customHeight="1">
      <c r="A11" s="2" t="s">
        <v>115</v>
      </c>
      <c r="B11" s="5" t="s">
        <v>116</v>
      </c>
      <c r="C11" s="5" t="s">
        <v>117</v>
      </c>
    </row>
    <row r="12" ht="75.0" customHeight="1">
      <c r="A12" s="2" t="s">
        <v>119</v>
      </c>
      <c r="B12" s="5" t="s">
        <v>123</v>
      </c>
      <c r="C12" s="5" t="s">
        <v>125</v>
      </c>
    </row>
    <row r="13" ht="120.0" customHeight="1">
      <c r="A13" s="2" t="s">
        <v>127</v>
      </c>
      <c r="B13" s="5" t="s">
        <v>129</v>
      </c>
      <c r="C13" s="5" t="s">
        <v>130</v>
      </c>
    </row>
    <row r="14">
      <c r="A14" s="16" t="s">
        <v>131</v>
      </c>
      <c r="B14" s="16" t="s">
        <v>132</v>
      </c>
      <c r="C14" s="16" t="s">
        <v>133</v>
      </c>
      <c r="D14" s="16" t="s">
        <v>134</v>
      </c>
      <c r="E14" s="16" t="s">
        <v>135</v>
      </c>
      <c r="F14" s="16"/>
      <c r="G14" s="16"/>
      <c r="H14" s="16"/>
      <c r="I14" s="16" t="s">
        <v>136</v>
      </c>
      <c r="J14" s="16" t="s">
        <v>137</v>
      </c>
      <c r="K14" s="16" t="s">
        <v>138</v>
      </c>
      <c r="L14" s="16"/>
      <c r="M14" s="16"/>
      <c r="N14" s="16"/>
      <c r="O14" s="16" t="s">
        <v>139</v>
      </c>
      <c r="P14" s="16" t="s">
        <v>140</v>
      </c>
    </row>
    <row r="15">
      <c r="A15" s="4" t="s">
        <v>141</v>
      </c>
      <c r="B15" s="4" t="s">
        <v>142</v>
      </c>
      <c r="C15" s="4">
        <v>7.0</v>
      </c>
      <c r="D15" s="4" t="s">
        <v>143</v>
      </c>
      <c r="E15" s="4" t="s">
        <v>144</v>
      </c>
      <c r="I15" s="4">
        <v>3.0</v>
      </c>
      <c r="J15" s="4" t="s">
        <v>145</v>
      </c>
      <c r="K15" s="4" t="s">
        <v>146</v>
      </c>
    </row>
    <row r="16">
      <c r="A16" s="4" t="s">
        <v>147</v>
      </c>
      <c r="B16" s="4" t="s">
        <v>142</v>
      </c>
      <c r="C16" s="4">
        <v>5.0</v>
      </c>
      <c r="D16" s="4" t="s">
        <v>148</v>
      </c>
      <c r="E16" s="4" t="s">
        <v>149</v>
      </c>
      <c r="I16" s="4">
        <v>6.0</v>
      </c>
      <c r="J16" s="4" t="s">
        <v>150</v>
      </c>
      <c r="K16" s="4" t="s">
        <v>151</v>
      </c>
    </row>
    <row r="17">
      <c r="A17" s="4" t="s">
        <v>152</v>
      </c>
      <c r="B17" s="4" t="s">
        <v>142</v>
      </c>
      <c r="C17" s="4">
        <v>3.0</v>
      </c>
      <c r="D17" s="4" t="s">
        <v>153</v>
      </c>
      <c r="E17" s="4" t="s">
        <v>154</v>
      </c>
      <c r="I17" s="4">
        <v>9.0</v>
      </c>
      <c r="J17" s="4" t="s">
        <v>144</v>
      </c>
      <c r="K17" s="4" t="s">
        <v>155</v>
      </c>
    </row>
    <row r="18">
      <c r="A18" s="4" t="s">
        <v>156</v>
      </c>
      <c r="C18" s="4">
        <v>1.0</v>
      </c>
      <c r="D18" s="4" t="s">
        <v>157</v>
      </c>
      <c r="E18" s="4" t="s">
        <v>158</v>
      </c>
      <c r="I18" s="4">
        <v>2.0</v>
      </c>
      <c r="J18" s="4" t="s">
        <v>159</v>
      </c>
      <c r="K18" s="4" t="s">
        <v>160</v>
      </c>
    </row>
    <row r="19">
      <c r="A19" s="4" t="s">
        <v>161</v>
      </c>
      <c r="C19" s="4">
        <v>2.0</v>
      </c>
      <c r="D19" s="4" t="s">
        <v>162</v>
      </c>
      <c r="E19" s="4" t="s">
        <v>162</v>
      </c>
      <c r="I19" s="4">
        <v>7.0</v>
      </c>
      <c r="J19" s="4" t="s">
        <v>163</v>
      </c>
      <c r="K19" s="4" t="s">
        <v>164</v>
      </c>
    </row>
    <row r="20">
      <c r="A20" s="4" t="s">
        <v>165</v>
      </c>
      <c r="C20" s="4">
        <v>5.0</v>
      </c>
      <c r="D20" s="4" t="s">
        <v>163</v>
      </c>
      <c r="E20" s="4" t="s">
        <v>159</v>
      </c>
      <c r="I20" s="4">
        <v>3.0</v>
      </c>
      <c r="J20" s="4" t="s">
        <v>166</v>
      </c>
      <c r="K20" s="4" t="s">
        <v>167</v>
      </c>
    </row>
    <row r="21" ht="15.75" customHeight="1">
      <c r="A21" s="4" t="s">
        <v>168</v>
      </c>
      <c r="C21" s="4">
        <v>4.0</v>
      </c>
      <c r="D21" s="4" t="s">
        <v>169</v>
      </c>
      <c r="E21" s="4" t="s">
        <v>170</v>
      </c>
      <c r="I21" s="4">
        <v>3.0</v>
      </c>
      <c r="J21" s="4" t="s">
        <v>171</v>
      </c>
      <c r="K21" s="4" t="s">
        <v>170</v>
      </c>
    </row>
    <row r="22" ht="15.75" customHeight="1">
      <c r="A22" s="4" t="s">
        <v>172</v>
      </c>
      <c r="C22" s="4">
        <v>2.0</v>
      </c>
      <c r="D22" s="4" t="s">
        <v>151</v>
      </c>
      <c r="E22" s="4" t="s">
        <v>143</v>
      </c>
      <c r="I22" s="4">
        <v>9.0</v>
      </c>
      <c r="J22" s="4" t="s">
        <v>169</v>
      </c>
      <c r="K22" s="4" t="s">
        <v>143</v>
      </c>
    </row>
    <row r="23" ht="15.75" customHeight="1"/>
    <row r="24" ht="15.75" customHeight="1">
      <c r="A24" s="8" t="s">
        <v>173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</row>
    <row r="25" ht="15.75" customHeight="1">
      <c r="A25" s="2"/>
      <c r="B25" s="2" t="s">
        <v>89</v>
      </c>
      <c r="C25" s="2" t="s">
        <v>91</v>
      </c>
    </row>
    <row r="26" ht="15.75" customHeight="1">
      <c r="A26" s="2" t="s">
        <v>174</v>
      </c>
      <c r="B26" s="5" t="s">
        <v>175</v>
      </c>
      <c r="C26" s="5" t="s">
        <v>176</v>
      </c>
    </row>
    <row r="27" ht="15.75" customHeight="1">
      <c r="A27" s="2" t="s">
        <v>177</v>
      </c>
      <c r="B27" s="5" t="s">
        <v>178</v>
      </c>
      <c r="C27" s="5" t="s">
        <v>179</v>
      </c>
    </row>
    <row r="28" ht="15.75" customHeight="1">
      <c r="A28" s="2" t="s">
        <v>180</v>
      </c>
      <c r="B28" s="5" t="s">
        <v>181</v>
      </c>
      <c r="C28" s="5" t="s">
        <v>182</v>
      </c>
    </row>
    <row r="29" ht="15.75" customHeight="1">
      <c r="A29" s="2" t="s">
        <v>183</v>
      </c>
      <c r="B29" s="5" t="s">
        <v>184</v>
      </c>
      <c r="C29" s="5" t="s">
        <v>185</v>
      </c>
    </row>
    <row r="30" ht="15.75" customHeight="1">
      <c r="A30" s="2" t="s">
        <v>96</v>
      </c>
      <c r="B30" s="5" t="s">
        <v>186</v>
      </c>
      <c r="C30" s="5" t="s">
        <v>187</v>
      </c>
    </row>
    <row r="31" ht="15.75" customHeight="1">
      <c r="A31" s="2" t="s">
        <v>105</v>
      </c>
      <c r="B31" s="5" t="s">
        <v>188</v>
      </c>
      <c r="C31" s="5" t="s">
        <v>189</v>
      </c>
    </row>
    <row r="32" ht="15.75" customHeight="1">
      <c r="A32" s="2" t="s">
        <v>190</v>
      </c>
      <c r="B32" s="5" t="s">
        <v>191</v>
      </c>
      <c r="C32" s="5" t="s">
        <v>192</v>
      </c>
    </row>
    <row r="33" ht="105.0" customHeight="1">
      <c r="A33" s="2" t="s">
        <v>193</v>
      </c>
      <c r="B33" s="5" t="s">
        <v>194</v>
      </c>
      <c r="C33" s="5" t="s">
        <v>195</v>
      </c>
    </row>
    <row r="34" ht="15.75" customHeight="1">
      <c r="A34" s="2" t="s">
        <v>119</v>
      </c>
      <c r="B34" s="5" t="s">
        <v>196</v>
      </c>
      <c r="C34" s="5" t="s">
        <v>197</v>
      </c>
    </row>
    <row r="35" ht="150.0" customHeight="1">
      <c r="A35" s="2" t="s">
        <v>127</v>
      </c>
      <c r="B35" s="5" t="s">
        <v>198</v>
      </c>
      <c r="C35" s="5" t="s">
        <v>199</v>
      </c>
    </row>
    <row r="36" ht="15.75" customHeight="1">
      <c r="A36" s="16" t="s">
        <v>131</v>
      </c>
      <c r="B36" s="16" t="s">
        <v>132</v>
      </c>
      <c r="C36" s="16" t="s">
        <v>200</v>
      </c>
      <c r="D36" s="16" t="s">
        <v>201</v>
      </c>
      <c r="E36" s="16" t="s">
        <v>202</v>
      </c>
      <c r="F36" s="16" t="s">
        <v>203</v>
      </c>
      <c r="G36" s="16" t="s">
        <v>204</v>
      </c>
      <c r="H36" s="16" t="s">
        <v>205</v>
      </c>
      <c r="I36" s="16" t="s">
        <v>206</v>
      </c>
      <c r="J36" s="16" t="s">
        <v>207</v>
      </c>
      <c r="K36" s="16" t="s">
        <v>208</v>
      </c>
      <c r="L36" s="16" t="s">
        <v>209</v>
      </c>
      <c r="M36" s="16" t="s">
        <v>210</v>
      </c>
      <c r="N36" s="16" t="s">
        <v>211</v>
      </c>
      <c r="O36" s="16" t="s">
        <v>139</v>
      </c>
      <c r="P36" s="16" t="s">
        <v>140</v>
      </c>
    </row>
    <row r="37" ht="15.75" customHeight="1">
      <c r="A37" s="4" t="s">
        <v>110</v>
      </c>
      <c r="B37" s="4" t="s">
        <v>212</v>
      </c>
      <c r="C37" s="4">
        <v>17.0</v>
      </c>
      <c r="D37" s="4" t="s">
        <v>213</v>
      </c>
      <c r="E37" s="4" t="s">
        <v>214</v>
      </c>
      <c r="F37" s="4" t="s">
        <v>215</v>
      </c>
      <c r="G37" s="4" t="s">
        <v>216</v>
      </c>
      <c r="H37" s="4" t="s">
        <v>217</v>
      </c>
      <c r="I37" s="4">
        <v>8.0</v>
      </c>
      <c r="J37" s="4" t="s">
        <v>218</v>
      </c>
      <c r="K37" s="4" t="s">
        <v>219</v>
      </c>
      <c r="L37" s="4" t="s">
        <v>220</v>
      </c>
      <c r="M37" s="4" t="s">
        <v>221</v>
      </c>
      <c r="N37" s="4" t="s">
        <v>222</v>
      </c>
      <c r="O37" s="4" t="s">
        <v>223</v>
      </c>
      <c r="P37" s="4" t="s">
        <v>224</v>
      </c>
    </row>
    <row r="38" ht="15.75" customHeight="1">
      <c r="A38" s="4" t="s">
        <v>112</v>
      </c>
      <c r="B38" s="4" t="s">
        <v>225</v>
      </c>
      <c r="C38" s="4">
        <v>10.0</v>
      </c>
      <c r="D38" s="4" t="s">
        <v>226</v>
      </c>
      <c r="E38" s="4" t="s">
        <v>227</v>
      </c>
      <c r="F38" s="4" t="s">
        <v>228</v>
      </c>
      <c r="G38" s="4" t="s">
        <v>229</v>
      </c>
      <c r="H38" s="4" t="s">
        <v>230</v>
      </c>
      <c r="I38" s="4">
        <v>11.0</v>
      </c>
      <c r="J38" s="4" t="s">
        <v>231</v>
      </c>
      <c r="K38" s="4" t="s">
        <v>232</v>
      </c>
      <c r="L38" s="4" t="s">
        <v>233</v>
      </c>
      <c r="M38" s="4" t="s">
        <v>234</v>
      </c>
      <c r="N38" s="4" t="s">
        <v>235</v>
      </c>
      <c r="O38" s="4" t="s">
        <v>236</v>
      </c>
      <c r="P38" s="4" t="s">
        <v>237</v>
      </c>
    </row>
    <row r="39" ht="15.75" customHeight="1">
      <c r="A39" s="4" t="s">
        <v>113</v>
      </c>
      <c r="B39" s="4" t="s">
        <v>238</v>
      </c>
      <c r="C39" s="4">
        <v>17.0</v>
      </c>
      <c r="D39" s="4" t="s">
        <v>239</v>
      </c>
      <c r="E39" s="4" t="s">
        <v>240</v>
      </c>
      <c r="F39" s="4" t="s">
        <v>241</v>
      </c>
      <c r="G39" s="4" t="s">
        <v>242</v>
      </c>
      <c r="H39" s="4" t="s">
        <v>243</v>
      </c>
      <c r="I39" s="4">
        <v>8.0</v>
      </c>
      <c r="J39" s="4" t="s">
        <v>244</v>
      </c>
      <c r="K39" s="4" t="s">
        <v>245</v>
      </c>
      <c r="L39" s="4" t="s">
        <v>246</v>
      </c>
      <c r="M39" s="4" t="s">
        <v>247</v>
      </c>
      <c r="N39" s="4" t="s">
        <v>248</v>
      </c>
      <c r="O39" s="4" t="s">
        <v>249</v>
      </c>
      <c r="P39" s="4" t="s">
        <v>237</v>
      </c>
    </row>
    <row r="40" ht="15.75" customHeight="1">
      <c r="A40" s="4" t="s">
        <v>250</v>
      </c>
      <c r="B40" s="4" t="s">
        <v>251</v>
      </c>
      <c r="C40" s="4">
        <v>16.0</v>
      </c>
      <c r="D40" s="4" t="s">
        <v>252</v>
      </c>
      <c r="E40" s="4" t="s">
        <v>253</v>
      </c>
      <c r="F40" s="4" t="s">
        <v>242</v>
      </c>
      <c r="G40" s="4" t="s">
        <v>254</v>
      </c>
      <c r="H40" s="4" t="s">
        <v>255</v>
      </c>
      <c r="I40" s="4">
        <v>7.0</v>
      </c>
      <c r="J40" s="4" t="s">
        <v>256</v>
      </c>
      <c r="K40" s="4" t="s">
        <v>257</v>
      </c>
      <c r="L40" s="4" t="s">
        <v>258</v>
      </c>
      <c r="M40" s="4" t="s">
        <v>259</v>
      </c>
      <c r="N40" s="4" t="s">
        <v>260</v>
      </c>
      <c r="O40" s="4" t="s">
        <v>261</v>
      </c>
      <c r="P40" s="4" t="s">
        <v>237</v>
      </c>
    </row>
    <row r="41" ht="15.75" customHeight="1">
      <c r="A41" s="4" t="s">
        <v>262</v>
      </c>
      <c r="B41" s="4" t="s">
        <v>263</v>
      </c>
      <c r="C41" s="4">
        <v>0.0</v>
      </c>
      <c r="I41" s="4">
        <v>9.0</v>
      </c>
      <c r="J41" s="4" t="s">
        <v>264</v>
      </c>
      <c r="K41" s="4" t="s">
        <v>265</v>
      </c>
      <c r="L41" s="4" t="s">
        <v>266</v>
      </c>
      <c r="M41" s="4" t="s">
        <v>267</v>
      </c>
      <c r="N41" s="4" t="s">
        <v>268</v>
      </c>
      <c r="O41" s="4" t="s">
        <v>269</v>
      </c>
      <c r="P41" s="4" t="s">
        <v>237</v>
      </c>
    </row>
    <row r="42" ht="15.75" customHeight="1">
      <c r="A42" s="4" t="s">
        <v>270</v>
      </c>
      <c r="B42" s="4" t="s">
        <v>263</v>
      </c>
      <c r="C42" s="4">
        <v>11.0</v>
      </c>
      <c r="D42" s="4" t="s">
        <v>271</v>
      </c>
      <c r="E42" s="4" t="s">
        <v>272</v>
      </c>
      <c r="F42" s="4" t="s">
        <v>266</v>
      </c>
      <c r="G42" s="4" t="s">
        <v>273</v>
      </c>
      <c r="H42" s="4" t="s">
        <v>274</v>
      </c>
      <c r="I42" s="4">
        <v>0.0</v>
      </c>
      <c r="O42" s="4" t="s">
        <v>275</v>
      </c>
      <c r="P42" s="4" t="s">
        <v>224</v>
      </c>
    </row>
    <row r="43" ht="15.75" customHeight="1">
      <c r="A43" s="4" t="s">
        <v>276</v>
      </c>
      <c r="C43" s="4">
        <v>17.0</v>
      </c>
      <c r="D43" s="4" t="s">
        <v>277</v>
      </c>
      <c r="E43" s="4" t="s">
        <v>278</v>
      </c>
      <c r="F43" s="4" t="s">
        <v>279</v>
      </c>
      <c r="G43" s="4" t="s">
        <v>280</v>
      </c>
      <c r="H43" s="4" t="s">
        <v>281</v>
      </c>
      <c r="I43" s="4">
        <v>2.0</v>
      </c>
      <c r="J43" s="4" t="s">
        <v>282</v>
      </c>
      <c r="K43" s="4" t="s">
        <v>283</v>
      </c>
      <c r="L43" s="4" t="s">
        <v>284</v>
      </c>
      <c r="M43" s="4" t="s">
        <v>242</v>
      </c>
      <c r="N43" s="4" t="s">
        <v>285</v>
      </c>
      <c r="O43" s="4" t="s">
        <v>286</v>
      </c>
      <c r="P43" s="4" t="s">
        <v>237</v>
      </c>
    </row>
    <row r="44" ht="15.75" customHeight="1"/>
    <row r="45" ht="15.75" customHeight="1">
      <c r="A45" s="8" t="s">
        <v>287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</row>
    <row r="46" ht="15.75" customHeight="1">
      <c r="A46" s="2"/>
      <c r="B46" s="2" t="s">
        <v>288</v>
      </c>
      <c r="C46" s="2" t="s">
        <v>289</v>
      </c>
    </row>
    <row r="47" ht="15.75" customHeight="1">
      <c r="A47" s="2" t="s">
        <v>174</v>
      </c>
      <c r="B47" s="5" t="s">
        <v>290</v>
      </c>
      <c r="C47" s="5" t="s">
        <v>291</v>
      </c>
    </row>
    <row r="48" ht="15.75" customHeight="1">
      <c r="A48" s="2" t="s">
        <v>177</v>
      </c>
      <c r="B48" s="5" t="s">
        <v>292</v>
      </c>
      <c r="C48" s="5" t="s">
        <v>293</v>
      </c>
    </row>
    <row r="49" ht="15.75" customHeight="1">
      <c r="A49" s="2" t="s">
        <v>180</v>
      </c>
      <c r="B49" s="5" t="s">
        <v>227</v>
      </c>
      <c r="C49" s="5" t="s">
        <v>294</v>
      </c>
    </row>
    <row r="50" ht="15.75" customHeight="1">
      <c r="A50" s="2" t="s">
        <v>183</v>
      </c>
      <c r="B50" s="5" t="s">
        <v>295</v>
      </c>
      <c r="C50" s="5" t="s">
        <v>296</v>
      </c>
    </row>
    <row r="51" ht="15.75" customHeight="1">
      <c r="A51" s="2" t="s">
        <v>96</v>
      </c>
      <c r="B51" s="5" t="s">
        <v>297</v>
      </c>
      <c r="C51" s="5" t="s">
        <v>298</v>
      </c>
    </row>
    <row r="52" ht="15.75" customHeight="1">
      <c r="A52" s="2" t="s">
        <v>105</v>
      </c>
      <c r="B52" s="5" t="s">
        <v>299</v>
      </c>
      <c r="C52" s="5" t="s">
        <v>300</v>
      </c>
    </row>
    <row r="53" ht="15.75" customHeight="1">
      <c r="A53" s="2" t="s">
        <v>190</v>
      </c>
      <c r="B53" s="5" t="s">
        <v>301</v>
      </c>
      <c r="C53" s="5" t="s">
        <v>192</v>
      </c>
    </row>
    <row r="54" ht="105.0" customHeight="1">
      <c r="A54" s="2" t="s">
        <v>193</v>
      </c>
      <c r="B54" s="5" t="s">
        <v>302</v>
      </c>
      <c r="C54" s="5" t="s">
        <v>303</v>
      </c>
    </row>
    <row r="55" ht="15.75" customHeight="1">
      <c r="A55" s="2" t="s">
        <v>119</v>
      </c>
      <c r="B55" s="5" t="s">
        <v>304</v>
      </c>
      <c r="C55" s="5" t="s">
        <v>305</v>
      </c>
    </row>
    <row r="56" ht="150.0" customHeight="1">
      <c r="A56" s="2" t="s">
        <v>127</v>
      </c>
      <c r="B56" s="5" t="s">
        <v>306</v>
      </c>
      <c r="C56" s="5" t="s">
        <v>307</v>
      </c>
    </row>
    <row r="57" ht="15.75" customHeight="1">
      <c r="A57" s="16" t="s">
        <v>131</v>
      </c>
      <c r="B57" s="16" t="s">
        <v>132</v>
      </c>
      <c r="C57" s="16" t="s">
        <v>200</v>
      </c>
      <c r="D57" s="16" t="s">
        <v>201</v>
      </c>
      <c r="E57" s="16" t="s">
        <v>202</v>
      </c>
      <c r="F57" s="16" t="s">
        <v>203</v>
      </c>
      <c r="G57" s="16" t="s">
        <v>204</v>
      </c>
      <c r="H57" s="16" t="s">
        <v>205</v>
      </c>
      <c r="I57" s="16" t="s">
        <v>206</v>
      </c>
      <c r="J57" s="16" t="s">
        <v>207</v>
      </c>
      <c r="K57" s="16" t="s">
        <v>208</v>
      </c>
      <c r="L57" s="16" t="s">
        <v>209</v>
      </c>
      <c r="M57" s="16" t="s">
        <v>210</v>
      </c>
      <c r="N57" s="16" t="s">
        <v>211</v>
      </c>
      <c r="O57" s="16" t="s">
        <v>139</v>
      </c>
      <c r="P57" s="16" t="s">
        <v>140</v>
      </c>
    </row>
    <row r="58" ht="15.75" customHeight="1">
      <c r="A58" s="4" t="s">
        <v>113</v>
      </c>
      <c r="B58" s="4" t="s">
        <v>317</v>
      </c>
      <c r="C58" s="4">
        <v>15.0</v>
      </c>
      <c r="D58" s="4" t="s">
        <v>319</v>
      </c>
      <c r="E58" s="4" t="s">
        <v>320</v>
      </c>
      <c r="F58" s="4" t="s">
        <v>322</v>
      </c>
      <c r="G58" s="4" t="s">
        <v>324</v>
      </c>
      <c r="H58" s="4" t="s">
        <v>325</v>
      </c>
      <c r="I58" s="4">
        <v>11.0</v>
      </c>
      <c r="J58" s="4" t="s">
        <v>328</v>
      </c>
      <c r="K58" s="4" t="s">
        <v>329</v>
      </c>
      <c r="L58" s="4" t="s">
        <v>330</v>
      </c>
      <c r="M58" s="4" t="s">
        <v>331</v>
      </c>
      <c r="N58" s="4" t="s">
        <v>274</v>
      </c>
      <c r="O58" s="4" t="s">
        <v>332</v>
      </c>
      <c r="P58" s="4" t="s">
        <v>224</v>
      </c>
    </row>
    <row r="59" ht="15.75" customHeight="1">
      <c r="A59" s="4" t="s">
        <v>250</v>
      </c>
      <c r="B59" s="4" t="s">
        <v>335</v>
      </c>
      <c r="C59" s="4">
        <v>15.0</v>
      </c>
      <c r="D59" s="4" t="s">
        <v>337</v>
      </c>
      <c r="E59" s="4" t="s">
        <v>339</v>
      </c>
      <c r="F59" s="4" t="s">
        <v>340</v>
      </c>
      <c r="G59" s="4" t="s">
        <v>221</v>
      </c>
      <c r="H59" s="4" t="s">
        <v>342</v>
      </c>
      <c r="I59" s="4">
        <v>9.0</v>
      </c>
      <c r="J59" s="4" t="s">
        <v>344</v>
      </c>
      <c r="K59" s="4" t="s">
        <v>346</v>
      </c>
      <c r="L59" s="4" t="s">
        <v>348</v>
      </c>
      <c r="M59" s="4" t="s">
        <v>349</v>
      </c>
      <c r="N59" s="4" t="s">
        <v>351</v>
      </c>
      <c r="O59" s="4" t="s">
        <v>332</v>
      </c>
      <c r="P59" s="4" t="s">
        <v>224</v>
      </c>
    </row>
    <row r="60" ht="15.75" customHeight="1">
      <c r="A60" s="4" t="s">
        <v>262</v>
      </c>
      <c r="B60" s="4" t="s">
        <v>354</v>
      </c>
      <c r="C60" s="4">
        <v>19.0</v>
      </c>
      <c r="D60" s="4" t="s">
        <v>357</v>
      </c>
      <c r="E60" s="4" t="s">
        <v>272</v>
      </c>
      <c r="F60" s="4" t="s">
        <v>359</v>
      </c>
      <c r="G60" s="4" t="s">
        <v>361</v>
      </c>
      <c r="H60" s="4" t="s">
        <v>362</v>
      </c>
      <c r="I60" s="4">
        <v>12.0</v>
      </c>
      <c r="J60" s="4" t="s">
        <v>363</v>
      </c>
      <c r="K60" s="4" t="s">
        <v>365</v>
      </c>
      <c r="L60" s="4" t="s">
        <v>367</v>
      </c>
      <c r="M60" s="4" t="s">
        <v>369</v>
      </c>
      <c r="N60" s="4" t="s">
        <v>371</v>
      </c>
      <c r="O60" s="4" t="s">
        <v>372</v>
      </c>
      <c r="P60" s="4" t="s">
        <v>237</v>
      </c>
    </row>
    <row r="61" ht="15.75" customHeight="1">
      <c r="A61" s="4" t="s">
        <v>270</v>
      </c>
      <c r="B61" s="4" t="s">
        <v>373</v>
      </c>
      <c r="C61" s="4">
        <v>11.0</v>
      </c>
      <c r="D61" s="4" t="s">
        <v>374</v>
      </c>
      <c r="E61" s="4" t="s">
        <v>272</v>
      </c>
      <c r="F61" s="4" t="s">
        <v>375</v>
      </c>
      <c r="G61" s="4" t="s">
        <v>367</v>
      </c>
      <c r="H61" s="4" t="s">
        <v>376</v>
      </c>
      <c r="I61" s="4">
        <v>6.0</v>
      </c>
      <c r="J61" s="4" t="s">
        <v>377</v>
      </c>
      <c r="K61" s="4" t="s">
        <v>378</v>
      </c>
      <c r="L61" s="4" t="s">
        <v>379</v>
      </c>
      <c r="M61" s="4" t="s">
        <v>380</v>
      </c>
      <c r="N61" s="4" t="s">
        <v>381</v>
      </c>
      <c r="O61" s="4" t="s">
        <v>382</v>
      </c>
      <c r="P61" s="4" t="s">
        <v>237</v>
      </c>
    </row>
    <row r="62" ht="15.75" customHeight="1">
      <c r="A62" s="4" t="s">
        <v>112</v>
      </c>
      <c r="B62" s="4" t="s">
        <v>251</v>
      </c>
      <c r="C62" s="4">
        <v>3.0</v>
      </c>
      <c r="D62" s="4" t="s">
        <v>383</v>
      </c>
      <c r="E62" s="4" t="s">
        <v>245</v>
      </c>
      <c r="F62" s="4" t="s">
        <v>384</v>
      </c>
      <c r="G62" s="4" t="s">
        <v>385</v>
      </c>
      <c r="H62" s="4" t="s">
        <v>386</v>
      </c>
      <c r="I62" s="4">
        <v>12.0</v>
      </c>
      <c r="J62" s="4" t="s">
        <v>387</v>
      </c>
      <c r="K62" s="4" t="s">
        <v>388</v>
      </c>
      <c r="L62" s="4" t="s">
        <v>331</v>
      </c>
      <c r="M62" s="4" t="s">
        <v>389</v>
      </c>
      <c r="N62" s="4" t="s">
        <v>390</v>
      </c>
      <c r="O62" s="4" t="s">
        <v>391</v>
      </c>
      <c r="P62" s="4" t="s">
        <v>224</v>
      </c>
    </row>
    <row r="63" ht="15.75" customHeight="1">
      <c r="A63" s="4" t="s">
        <v>276</v>
      </c>
      <c r="B63" s="4" t="s">
        <v>251</v>
      </c>
      <c r="C63" s="4">
        <v>9.0</v>
      </c>
      <c r="D63" s="4" t="s">
        <v>392</v>
      </c>
      <c r="E63" s="4" t="s">
        <v>393</v>
      </c>
      <c r="F63" s="4" t="s">
        <v>384</v>
      </c>
      <c r="G63" s="4" t="s">
        <v>242</v>
      </c>
      <c r="H63" s="4" t="s">
        <v>268</v>
      </c>
      <c r="I63" s="4">
        <v>8.0</v>
      </c>
      <c r="J63" s="4" t="s">
        <v>394</v>
      </c>
      <c r="K63" s="4" t="s">
        <v>395</v>
      </c>
      <c r="L63" s="4" t="s">
        <v>396</v>
      </c>
      <c r="M63" s="4" t="s">
        <v>397</v>
      </c>
      <c r="N63" s="4" t="s">
        <v>398</v>
      </c>
      <c r="O63" s="4" t="s">
        <v>249</v>
      </c>
      <c r="P63" s="4" t="s">
        <v>237</v>
      </c>
    </row>
    <row r="64" ht="15.75" customHeight="1">
      <c r="A64" s="4" t="s">
        <v>110</v>
      </c>
      <c r="C64" s="4">
        <v>17.0</v>
      </c>
      <c r="D64" s="4" t="s">
        <v>239</v>
      </c>
      <c r="E64" s="4" t="s">
        <v>399</v>
      </c>
      <c r="F64" s="4" t="s">
        <v>279</v>
      </c>
      <c r="G64" s="4" t="s">
        <v>400</v>
      </c>
      <c r="H64" s="4" t="s">
        <v>217</v>
      </c>
      <c r="I64" s="4">
        <v>1.0</v>
      </c>
      <c r="J64" s="4" t="s">
        <v>401</v>
      </c>
      <c r="K64" s="4" t="s">
        <v>402</v>
      </c>
      <c r="L64" s="4" t="s">
        <v>403</v>
      </c>
      <c r="M64" s="4" t="s">
        <v>404</v>
      </c>
      <c r="N64" s="4" t="s">
        <v>405</v>
      </c>
      <c r="O64" s="4" t="s">
        <v>406</v>
      </c>
      <c r="P64" s="4" t="s">
        <v>224</v>
      </c>
    </row>
    <row r="65" ht="15.75" customHeight="1"/>
    <row r="66" ht="15.75" customHeight="1">
      <c r="A66" s="8" t="s">
        <v>407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0"/>
    </row>
    <row r="67" ht="15.75" customHeight="1">
      <c r="A67" s="2"/>
      <c r="B67" s="2" t="s">
        <v>408</v>
      </c>
      <c r="C67" s="2" t="s">
        <v>409</v>
      </c>
    </row>
    <row r="68" ht="15.75" customHeight="1">
      <c r="A68" s="2" t="s">
        <v>174</v>
      </c>
      <c r="B68" s="5" t="s">
        <v>410</v>
      </c>
      <c r="C68" s="5" t="s">
        <v>411</v>
      </c>
    </row>
    <row r="69" ht="15.75" customHeight="1">
      <c r="A69" s="2" t="s">
        <v>177</v>
      </c>
      <c r="B69" s="5" t="s">
        <v>412</v>
      </c>
      <c r="C69" s="5" t="s">
        <v>413</v>
      </c>
    </row>
    <row r="70" ht="15.75" customHeight="1">
      <c r="A70" s="2" t="s">
        <v>180</v>
      </c>
      <c r="B70" s="5" t="s">
        <v>414</v>
      </c>
      <c r="C70" s="5" t="s">
        <v>415</v>
      </c>
    </row>
    <row r="71" ht="15.75" customHeight="1">
      <c r="A71" s="2" t="s">
        <v>183</v>
      </c>
      <c r="B71" s="5" t="s">
        <v>416</v>
      </c>
      <c r="C71" s="5" t="s">
        <v>417</v>
      </c>
    </row>
    <row r="72" ht="15.75" customHeight="1">
      <c r="A72" s="2" t="s">
        <v>96</v>
      </c>
      <c r="B72" s="5" t="s">
        <v>418</v>
      </c>
      <c r="C72" s="5" t="s">
        <v>419</v>
      </c>
    </row>
    <row r="73" ht="15.75" customHeight="1">
      <c r="A73" s="2" t="s">
        <v>105</v>
      </c>
      <c r="B73" s="5" t="s">
        <v>420</v>
      </c>
      <c r="C73" s="5" t="s">
        <v>421</v>
      </c>
    </row>
    <row r="74" ht="15.75" customHeight="1">
      <c r="A74" s="2" t="s">
        <v>190</v>
      </c>
      <c r="B74" s="5" t="s">
        <v>192</v>
      </c>
      <c r="C74" s="5" t="s">
        <v>422</v>
      </c>
    </row>
    <row r="75" ht="105.0" customHeight="1">
      <c r="A75" s="2" t="s">
        <v>193</v>
      </c>
      <c r="B75" s="5" t="s">
        <v>423</v>
      </c>
      <c r="C75" s="5" t="s">
        <v>424</v>
      </c>
    </row>
    <row r="76" ht="15.75" customHeight="1">
      <c r="A76" s="2" t="s">
        <v>119</v>
      </c>
      <c r="B76" s="5" t="s">
        <v>425</v>
      </c>
      <c r="C76" s="5" t="s">
        <v>426</v>
      </c>
    </row>
    <row r="77" ht="150.0" customHeight="1">
      <c r="A77" s="2" t="s">
        <v>127</v>
      </c>
      <c r="B77" s="5" t="s">
        <v>428</v>
      </c>
      <c r="C77" s="5" t="s">
        <v>429</v>
      </c>
    </row>
    <row r="78" ht="15.75" customHeight="1">
      <c r="A78" s="16" t="s">
        <v>131</v>
      </c>
      <c r="B78" s="16" t="s">
        <v>132</v>
      </c>
      <c r="C78" s="16" t="s">
        <v>200</v>
      </c>
      <c r="D78" s="16" t="s">
        <v>201</v>
      </c>
      <c r="E78" s="16" t="s">
        <v>202</v>
      </c>
      <c r="F78" s="16" t="s">
        <v>203</v>
      </c>
      <c r="G78" s="16" t="s">
        <v>204</v>
      </c>
      <c r="H78" s="16" t="s">
        <v>205</v>
      </c>
      <c r="I78" s="16" t="s">
        <v>206</v>
      </c>
      <c r="J78" s="16" t="s">
        <v>207</v>
      </c>
      <c r="K78" s="16" t="s">
        <v>208</v>
      </c>
      <c r="L78" s="16" t="s">
        <v>209</v>
      </c>
      <c r="M78" s="16" t="s">
        <v>210</v>
      </c>
      <c r="N78" s="16" t="s">
        <v>211</v>
      </c>
      <c r="O78" s="16" t="s">
        <v>139</v>
      </c>
      <c r="P78" s="16" t="s">
        <v>140</v>
      </c>
    </row>
    <row r="79" ht="15.75" customHeight="1">
      <c r="A79" s="4" t="s">
        <v>110</v>
      </c>
      <c r="B79" s="4" t="s">
        <v>430</v>
      </c>
      <c r="C79" s="4">
        <v>14.0</v>
      </c>
      <c r="D79" s="4" t="s">
        <v>431</v>
      </c>
      <c r="E79" s="4" t="s">
        <v>432</v>
      </c>
      <c r="F79" s="4" t="s">
        <v>433</v>
      </c>
      <c r="G79" s="4" t="s">
        <v>434</v>
      </c>
      <c r="H79" s="4" t="s">
        <v>435</v>
      </c>
      <c r="I79" s="4">
        <v>18.0</v>
      </c>
      <c r="J79" s="4" t="s">
        <v>436</v>
      </c>
      <c r="K79" s="4" t="s">
        <v>227</v>
      </c>
      <c r="L79" s="4" t="s">
        <v>267</v>
      </c>
      <c r="M79" s="4" t="s">
        <v>437</v>
      </c>
      <c r="N79" s="4" t="s">
        <v>438</v>
      </c>
      <c r="O79" s="4" t="s">
        <v>406</v>
      </c>
      <c r="P79" s="4" t="s">
        <v>224</v>
      </c>
    </row>
    <row r="80" ht="15.75" customHeight="1">
      <c r="A80" s="4" t="s">
        <v>262</v>
      </c>
      <c r="B80" s="4" t="s">
        <v>142</v>
      </c>
      <c r="C80" s="4">
        <v>7.0</v>
      </c>
      <c r="D80" s="4" t="s">
        <v>256</v>
      </c>
      <c r="E80" s="4" t="s">
        <v>257</v>
      </c>
      <c r="F80" s="4" t="s">
        <v>439</v>
      </c>
      <c r="G80" s="4" t="s">
        <v>440</v>
      </c>
      <c r="H80" s="4" t="s">
        <v>441</v>
      </c>
      <c r="I80" s="4">
        <v>10.0</v>
      </c>
      <c r="J80" s="4" t="s">
        <v>442</v>
      </c>
      <c r="K80" s="4" t="s">
        <v>443</v>
      </c>
      <c r="L80" s="4" t="s">
        <v>444</v>
      </c>
      <c r="M80" s="4" t="s">
        <v>445</v>
      </c>
      <c r="N80" s="4" t="s">
        <v>230</v>
      </c>
      <c r="O80" s="4" t="s">
        <v>446</v>
      </c>
      <c r="P80" s="4" t="s">
        <v>237</v>
      </c>
    </row>
    <row r="81" ht="15.75" customHeight="1">
      <c r="A81" s="4" t="s">
        <v>250</v>
      </c>
      <c r="B81" s="4" t="s">
        <v>447</v>
      </c>
      <c r="C81" s="4">
        <v>4.0</v>
      </c>
      <c r="D81" s="4" t="s">
        <v>448</v>
      </c>
      <c r="E81" s="4" t="s">
        <v>449</v>
      </c>
      <c r="F81" s="4" t="s">
        <v>450</v>
      </c>
      <c r="G81" s="4" t="s">
        <v>385</v>
      </c>
      <c r="H81" s="4" t="s">
        <v>451</v>
      </c>
      <c r="I81" s="4">
        <v>8.0</v>
      </c>
      <c r="J81" s="4" t="s">
        <v>218</v>
      </c>
      <c r="K81" s="4" t="s">
        <v>219</v>
      </c>
      <c r="L81" s="4" t="s">
        <v>452</v>
      </c>
      <c r="M81" s="4" t="s">
        <v>453</v>
      </c>
      <c r="N81" s="4" t="s">
        <v>454</v>
      </c>
      <c r="O81" s="4" t="s">
        <v>406</v>
      </c>
      <c r="P81" s="4" t="s">
        <v>224</v>
      </c>
    </row>
    <row r="82" ht="15.75" customHeight="1">
      <c r="A82" s="4" t="s">
        <v>112</v>
      </c>
      <c r="B82" s="4" t="s">
        <v>263</v>
      </c>
      <c r="C82" s="4">
        <v>4.0</v>
      </c>
      <c r="D82" s="4" t="s">
        <v>455</v>
      </c>
      <c r="E82" s="4" t="s">
        <v>456</v>
      </c>
      <c r="F82" s="4" t="s">
        <v>246</v>
      </c>
      <c r="G82" s="4" t="s">
        <v>242</v>
      </c>
      <c r="H82" s="4" t="s">
        <v>457</v>
      </c>
      <c r="I82" s="4">
        <v>7.0</v>
      </c>
      <c r="J82" s="4" t="s">
        <v>458</v>
      </c>
      <c r="K82" s="4" t="s">
        <v>459</v>
      </c>
      <c r="L82" s="4" t="s">
        <v>460</v>
      </c>
      <c r="M82" s="4" t="s">
        <v>461</v>
      </c>
      <c r="N82" s="4" t="s">
        <v>462</v>
      </c>
      <c r="O82" s="4" t="s">
        <v>463</v>
      </c>
      <c r="P82" s="4" t="s">
        <v>464</v>
      </c>
    </row>
    <row r="83" ht="15.75" customHeight="1">
      <c r="A83" s="4" t="s">
        <v>276</v>
      </c>
      <c r="B83" s="4" t="s">
        <v>263</v>
      </c>
      <c r="C83" s="4">
        <v>10.0</v>
      </c>
      <c r="D83" s="4" t="s">
        <v>465</v>
      </c>
      <c r="E83" s="4" t="s">
        <v>466</v>
      </c>
      <c r="F83" s="4" t="s">
        <v>433</v>
      </c>
      <c r="G83" s="4" t="s">
        <v>340</v>
      </c>
      <c r="H83" s="4" t="s">
        <v>467</v>
      </c>
      <c r="I83" s="4">
        <v>8.0</v>
      </c>
      <c r="J83" s="4" t="s">
        <v>244</v>
      </c>
      <c r="K83" s="4" t="s">
        <v>468</v>
      </c>
      <c r="L83" s="4" t="s">
        <v>469</v>
      </c>
      <c r="M83" s="4" t="s">
        <v>470</v>
      </c>
      <c r="N83" s="4" t="s">
        <v>471</v>
      </c>
      <c r="O83" s="4" t="s">
        <v>261</v>
      </c>
      <c r="P83" s="4" t="s">
        <v>237</v>
      </c>
    </row>
    <row r="84" ht="15.75" customHeight="1">
      <c r="A84" s="4" t="s">
        <v>270</v>
      </c>
      <c r="B84" s="4" t="s">
        <v>263</v>
      </c>
      <c r="C84" s="4">
        <v>0.0</v>
      </c>
      <c r="I84" s="4">
        <v>11.0</v>
      </c>
      <c r="J84" s="4" t="s">
        <v>271</v>
      </c>
      <c r="K84" s="4" t="s">
        <v>473</v>
      </c>
      <c r="L84" s="4" t="s">
        <v>474</v>
      </c>
      <c r="M84" s="4" t="s">
        <v>475</v>
      </c>
      <c r="N84" s="4" t="s">
        <v>235</v>
      </c>
      <c r="O84" s="4" t="s">
        <v>476</v>
      </c>
      <c r="P84" s="4" t="s">
        <v>237</v>
      </c>
    </row>
    <row r="85" ht="15.75" customHeight="1">
      <c r="A85" s="4" t="s">
        <v>113</v>
      </c>
      <c r="C85" s="4">
        <v>7.0</v>
      </c>
      <c r="D85" s="4" t="s">
        <v>458</v>
      </c>
      <c r="E85" s="4" t="s">
        <v>459</v>
      </c>
      <c r="F85" s="4" t="s">
        <v>477</v>
      </c>
      <c r="G85" s="4" t="s">
        <v>478</v>
      </c>
      <c r="H85" s="4" t="s">
        <v>479</v>
      </c>
      <c r="I85" s="4">
        <v>2.0</v>
      </c>
      <c r="J85" s="4" t="s">
        <v>480</v>
      </c>
      <c r="K85" s="4" t="s">
        <v>481</v>
      </c>
      <c r="L85" s="4" t="s">
        <v>482</v>
      </c>
      <c r="M85" s="4" t="s">
        <v>483</v>
      </c>
      <c r="N85" s="4" t="s">
        <v>484</v>
      </c>
      <c r="O85" s="4" t="s">
        <v>382</v>
      </c>
      <c r="P85" s="4" t="s">
        <v>237</v>
      </c>
    </row>
    <row r="86" ht="15.75" customHeight="1"/>
    <row r="87" ht="15.75" customHeight="1">
      <c r="A87" s="8" t="s">
        <v>485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0"/>
    </row>
    <row r="88" ht="15.75" customHeight="1">
      <c r="A88" s="2"/>
      <c r="B88" s="2" t="s">
        <v>486</v>
      </c>
      <c r="C88" s="2" t="s">
        <v>487</v>
      </c>
    </row>
    <row r="89" ht="15.75" customHeight="1">
      <c r="A89" s="2" t="s">
        <v>83</v>
      </c>
      <c r="B89" s="5" t="s">
        <v>488</v>
      </c>
      <c r="C89" s="5" t="s">
        <v>489</v>
      </c>
    </row>
    <row r="90" ht="15.75" customHeight="1">
      <c r="A90" s="2" t="s">
        <v>92</v>
      </c>
      <c r="B90" s="5" t="s">
        <v>490</v>
      </c>
      <c r="C90" s="5" t="s">
        <v>491</v>
      </c>
    </row>
    <row r="91" ht="15.75" customHeight="1">
      <c r="A91" s="2" t="s">
        <v>96</v>
      </c>
      <c r="B91" s="5" t="s">
        <v>492</v>
      </c>
      <c r="C91" s="5" t="s">
        <v>493</v>
      </c>
    </row>
    <row r="92" ht="15.75" customHeight="1">
      <c r="A92" s="2" t="s">
        <v>105</v>
      </c>
      <c r="B92" s="5" t="s">
        <v>494</v>
      </c>
      <c r="C92" s="5" t="s">
        <v>495</v>
      </c>
    </row>
    <row r="93" ht="15.75" customHeight="1">
      <c r="A93" s="2" t="s">
        <v>108</v>
      </c>
      <c r="B93" s="5" t="s">
        <v>111</v>
      </c>
      <c r="C93" s="5" t="s">
        <v>111</v>
      </c>
    </row>
    <row r="94" ht="105.0" customHeight="1">
      <c r="A94" s="2" t="s">
        <v>115</v>
      </c>
      <c r="B94" s="5" t="s">
        <v>496</v>
      </c>
      <c r="C94" s="5" t="s">
        <v>497</v>
      </c>
    </row>
    <row r="95" ht="75.0" customHeight="1">
      <c r="A95" s="2" t="s">
        <v>119</v>
      </c>
      <c r="B95" s="5" t="s">
        <v>498</v>
      </c>
      <c r="C95" s="5" t="s">
        <v>499</v>
      </c>
    </row>
    <row r="96" ht="120.0" customHeight="1">
      <c r="A96" s="2" t="s">
        <v>127</v>
      </c>
      <c r="B96" s="5" t="s">
        <v>500</v>
      </c>
      <c r="C96" s="5" t="s">
        <v>501</v>
      </c>
    </row>
    <row r="97" ht="15.75" customHeight="1">
      <c r="A97" s="16" t="s">
        <v>131</v>
      </c>
      <c r="B97" s="16" t="s">
        <v>132</v>
      </c>
      <c r="C97" s="16" t="s">
        <v>133</v>
      </c>
      <c r="D97" s="16" t="s">
        <v>134</v>
      </c>
      <c r="E97" s="16" t="s">
        <v>135</v>
      </c>
      <c r="F97" s="16"/>
      <c r="G97" s="16"/>
      <c r="H97" s="16"/>
      <c r="I97" s="16" t="s">
        <v>136</v>
      </c>
      <c r="J97" s="16" t="s">
        <v>137</v>
      </c>
      <c r="K97" s="16" t="s">
        <v>138</v>
      </c>
      <c r="L97" s="16"/>
      <c r="M97" s="16"/>
      <c r="N97" s="16"/>
      <c r="O97" s="16" t="s">
        <v>139</v>
      </c>
      <c r="P97" s="16" t="s">
        <v>140</v>
      </c>
    </row>
    <row r="98" ht="15.75" customHeight="1">
      <c r="A98" s="4" t="s">
        <v>172</v>
      </c>
      <c r="B98" s="4" t="s">
        <v>502</v>
      </c>
      <c r="C98" s="4">
        <v>6.0</v>
      </c>
      <c r="D98" s="4" t="s">
        <v>503</v>
      </c>
      <c r="E98" s="4" t="s">
        <v>503</v>
      </c>
      <c r="I98" s="4">
        <v>6.0</v>
      </c>
      <c r="J98" s="4" t="s">
        <v>160</v>
      </c>
      <c r="K98" s="4" t="s">
        <v>504</v>
      </c>
      <c r="O98" s="4" t="s">
        <v>505</v>
      </c>
      <c r="P98" s="4" t="s">
        <v>506</v>
      </c>
    </row>
    <row r="99" ht="15.75" customHeight="1">
      <c r="A99" s="4" t="s">
        <v>168</v>
      </c>
      <c r="B99" s="4" t="s">
        <v>354</v>
      </c>
      <c r="C99" s="4">
        <v>6.0</v>
      </c>
      <c r="D99" s="4" t="s">
        <v>170</v>
      </c>
      <c r="E99" s="4" t="s">
        <v>154</v>
      </c>
      <c r="I99" s="4">
        <v>4.0</v>
      </c>
      <c r="J99" s="4" t="s">
        <v>169</v>
      </c>
      <c r="K99" s="4" t="s">
        <v>507</v>
      </c>
      <c r="O99" s="4" t="s">
        <v>476</v>
      </c>
      <c r="P99" s="4" t="s">
        <v>508</v>
      </c>
    </row>
    <row r="100" ht="15.75" customHeight="1">
      <c r="A100" s="4" t="s">
        <v>141</v>
      </c>
      <c r="B100" s="4" t="s">
        <v>509</v>
      </c>
      <c r="C100" s="4">
        <v>4.0</v>
      </c>
      <c r="D100" s="4" t="s">
        <v>503</v>
      </c>
      <c r="E100" s="4" t="s">
        <v>510</v>
      </c>
      <c r="I100" s="4">
        <v>6.0</v>
      </c>
      <c r="J100" s="4" t="s">
        <v>155</v>
      </c>
      <c r="K100" s="4" t="s">
        <v>150</v>
      </c>
      <c r="O100" s="4" t="s">
        <v>511</v>
      </c>
      <c r="P100" s="4" t="s">
        <v>506</v>
      </c>
    </row>
    <row r="101" ht="15.75" customHeight="1">
      <c r="A101" s="4" t="s">
        <v>156</v>
      </c>
      <c r="C101" s="4">
        <v>3.0</v>
      </c>
      <c r="D101" s="4" t="s">
        <v>154</v>
      </c>
      <c r="E101" s="4" t="s">
        <v>430</v>
      </c>
      <c r="I101" s="4">
        <v>7.0</v>
      </c>
      <c r="J101" s="4" t="s">
        <v>512</v>
      </c>
      <c r="K101" s="4" t="s">
        <v>170</v>
      </c>
      <c r="O101" s="4" t="s">
        <v>513</v>
      </c>
      <c r="P101" s="4" t="s">
        <v>506</v>
      </c>
    </row>
    <row r="102" ht="15.75" customHeight="1">
      <c r="A102" s="4" t="s">
        <v>147</v>
      </c>
      <c r="C102" s="4">
        <v>4.0</v>
      </c>
      <c r="D102" s="4" t="s">
        <v>507</v>
      </c>
      <c r="E102" s="4" t="s">
        <v>163</v>
      </c>
      <c r="I102" s="4">
        <v>5.0</v>
      </c>
      <c r="J102" s="4" t="s">
        <v>512</v>
      </c>
      <c r="K102" s="4" t="s">
        <v>514</v>
      </c>
      <c r="O102" s="4" t="s">
        <v>223</v>
      </c>
      <c r="P102" s="4" t="s">
        <v>515</v>
      </c>
    </row>
    <row r="103" ht="15.75" customHeight="1">
      <c r="A103" s="4" t="s">
        <v>161</v>
      </c>
      <c r="C103" s="4">
        <v>2.0</v>
      </c>
      <c r="D103" s="4" t="s">
        <v>163</v>
      </c>
      <c r="E103" s="4" t="s">
        <v>516</v>
      </c>
      <c r="I103" s="4">
        <v>7.0</v>
      </c>
      <c r="J103" s="4" t="s">
        <v>163</v>
      </c>
      <c r="K103" s="4" t="s">
        <v>170</v>
      </c>
      <c r="O103" s="4" t="s">
        <v>511</v>
      </c>
      <c r="P103" s="4" t="s">
        <v>506</v>
      </c>
    </row>
    <row r="104" ht="15.75" customHeight="1">
      <c r="A104" s="4" t="s">
        <v>152</v>
      </c>
      <c r="C104" s="4">
        <v>5.0</v>
      </c>
      <c r="D104" s="4" t="s">
        <v>510</v>
      </c>
      <c r="E104" s="4" t="s">
        <v>151</v>
      </c>
      <c r="I104" s="4">
        <v>2.0</v>
      </c>
      <c r="J104" s="4" t="s">
        <v>517</v>
      </c>
      <c r="K104" s="4" t="s">
        <v>160</v>
      </c>
      <c r="O104" s="4" t="s">
        <v>518</v>
      </c>
      <c r="P104" s="4" t="s">
        <v>506</v>
      </c>
    </row>
    <row r="105" ht="15.75" customHeight="1">
      <c r="A105" s="4" t="s">
        <v>165</v>
      </c>
      <c r="C105" s="4">
        <v>2.0</v>
      </c>
      <c r="D105" s="4" t="s">
        <v>160</v>
      </c>
      <c r="E105" s="4" t="s">
        <v>151</v>
      </c>
      <c r="I105" s="4">
        <v>7.0</v>
      </c>
      <c r="J105" s="4" t="s">
        <v>143</v>
      </c>
      <c r="K105" s="4" t="s">
        <v>167</v>
      </c>
      <c r="O105" s="4" t="s">
        <v>269</v>
      </c>
      <c r="P105" s="4" t="s">
        <v>508</v>
      </c>
    </row>
    <row r="106" ht="15.75" customHeight="1"/>
    <row r="107" ht="15.75" customHeight="1">
      <c r="A107" s="8" t="s">
        <v>519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0"/>
    </row>
    <row r="108" ht="15.75" customHeight="1">
      <c r="A108" s="2"/>
      <c r="B108" s="2" t="s">
        <v>520</v>
      </c>
      <c r="C108" s="2" t="s">
        <v>521</v>
      </c>
    </row>
    <row r="109" ht="15.75" customHeight="1">
      <c r="A109" s="2" t="s">
        <v>174</v>
      </c>
      <c r="B109" s="5" t="s">
        <v>522</v>
      </c>
      <c r="C109" s="5" t="s">
        <v>523</v>
      </c>
    </row>
    <row r="110" ht="15.75" customHeight="1">
      <c r="A110" s="2" t="s">
        <v>177</v>
      </c>
      <c r="B110" s="5" t="s">
        <v>524</v>
      </c>
      <c r="C110" s="5" t="s">
        <v>525</v>
      </c>
    </row>
    <row r="111" ht="15.75" customHeight="1">
      <c r="A111" s="2" t="s">
        <v>180</v>
      </c>
      <c r="B111" s="5" t="s">
        <v>257</v>
      </c>
      <c r="C111" s="5" t="s">
        <v>526</v>
      </c>
    </row>
    <row r="112" ht="15.75" customHeight="1">
      <c r="A112" s="2" t="s">
        <v>183</v>
      </c>
      <c r="B112" s="5" t="s">
        <v>527</v>
      </c>
      <c r="C112" s="5" t="s">
        <v>528</v>
      </c>
    </row>
    <row r="113" ht="15.75" customHeight="1">
      <c r="A113" s="2" t="s">
        <v>96</v>
      </c>
      <c r="B113" s="5" t="s">
        <v>529</v>
      </c>
      <c r="C113" s="5" t="s">
        <v>530</v>
      </c>
    </row>
    <row r="114" ht="15.75" customHeight="1">
      <c r="A114" s="2" t="s">
        <v>105</v>
      </c>
      <c r="B114" s="5" t="s">
        <v>531</v>
      </c>
      <c r="C114" s="5" t="s">
        <v>532</v>
      </c>
    </row>
    <row r="115" ht="15.75" customHeight="1">
      <c r="A115" s="2" t="s">
        <v>190</v>
      </c>
      <c r="B115" s="5" t="s">
        <v>192</v>
      </c>
      <c r="C115" s="5" t="s">
        <v>192</v>
      </c>
    </row>
    <row r="116" ht="105.0" customHeight="1">
      <c r="A116" s="2" t="s">
        <v>193</v>
      </c>
      <c r="B116" s="5" t="s">
        <v>533</v>
      </c>
      <c r="C116" s="5" t="s">
        <v>534</v>
      </c>
    </row>
    <row r="117" ht="15.75" customHeight="1">
      <c r="A117" s="2" t="s">
        <v>119</v>
      </c>
      <c r="B117" s="5" t="s">
        <v>535</v>
      </c>
      <c r="C117" s="5" t="s">
        <v>536</v>
      </c>
    </row>
    <row r="118" ht="150.0" customHeight="1">
      <c r="A118" s="2" t="s">
        <v>127</v>
      </c>
      <c r="B118" s="5" t="s">
        <v>537</v>
      </c>
      <c r="C118" s="5" t="s">
        <v>538</v>
      </c>
    </row>
    <row r="119" ht="15.75" customHeight="1">
      <c r="A119" s="16" t="s">
        <v>131</v>
      </c>
      <c r="B119" s="16" t="s">
        <v>132</v>
      </c>
      <c r="C119" s="16" t="s">
        <v>200</v>
      </c>
      <c r="D119" s="16" t="s">
        <v>201</v>
      </c>
      <c r="E119" s="16" t="s">
        <v>202</v>
      </c>
      <c r="F119" s="16" t="s">
        <v>203</v>
      </c>
      <c r="G119" s="16" t="s">
        <v>204</v>
      </c>
      <c r="H119" s="16" t="s">
        <v>205</v>
      </c>
      <c r="I119" s="16" t="s">
        <v>206</v>
      </c>
      <c r="J119" s="16" t="s">
        <v>207</v>
      </c>
      <c r="K119" s="16" t="s">
        <v>208</v>
      </c>
      <c r="L119" s="16" t="s">
        <v>209</v>
      </c>
      <c r="M119" s="16" t="s">
        <v>210</v>
      </c>
      <c r="N119" s="16" t="s">
        <v>211</v>
      </c>
      <c r="O119" s="16" t="s">
        <v>139</v>
      </c>
      <c r="P119" s="16" t="s">
        <v>140</v>
      </c>
    </row>
    <row r="120" ht="15.75" customHeight="1">
      <c r="A120" s="4" t="s">
        <v>262</v>
      </c>
      <c r="B120" s="4" t="s">
        <v>212</v>
      </c>
      <c r="C120" s="4">
        <v>16.0</v>
      </c>
      <c r="D120" s="4" t="s">
        <v>539</v>
      </c>
      <c r="E120" s="4" t="s">
        <v>540</v>
      </c>
      <c r="F120" s="4" t="s">
        <v>541</v>
      </c>
      <c r="G120" s="4" t="s">
        <v>542</v>
      </c>
      <c r="H120" s="4" t="s">
        <v>543</v>
      </c>
      <c r="I120" s="4">
        <v>9.0</v>
      </c>
      <c r="J120" s="4" t="s">
        <v>392</v>
      </c>
      <c r="K120" s="4" t="s">
        <v>544</v>
      </c>
      <c r="L120" s="4" t="s">
        <v>545</v>
      </c>
      <c r="M120" s="4" t="s">
        <v>546</v>
      </c>
      <c r="N120" s="4" t="s">
        <v>547</v>
      </c>
      <c r="O120" s="4" t="s">
        <v>286</v>
      </c>
      <c r="P120" s="4" t="s">
        <v>237</v>
      </c>
    </row>
    <row r="121" ht="15.75" customHeight="1">
      <c r="A121" s="4" t="s">
        <v>250</v>
      </c>
      <c r="B121" s="4" t="s">
        <v>225</v>
      </c>
      <c r="C121" s="4">
        <v>14.0</v>
      </c>
      <c r="D121" s="4" t="s">
        <v>548</v>
      </c>
      <c r="E121" s="4" t="s">
        <v>549</v>
      </c>
      <c r="F121" s="4" t="s">
        <v>550</v>
      </c>
      <c r="G121" s="4" t="s">
        <v>380</v>
      </c>
      <c r="H121" s="4" t="s">
        <v>551</v>
      </c>
      <c r="I121" s="4">
        <v>7.0</v>
      </c>
      <c r="J121" s="4" t="s">
        <v>552</v>
      </c>
      <c r="K121" s="4" t="s">
        <v>553</v>
      </c>
      <c r="L121" s="4" t="s">
        <v>554</v>
      </c>
      <c r="M121" s="4" t="s">
        <v>555</v>
      </c>
      <c r="N121" s="4" t="s">
        <v>556</v>
      </c>
      <c r="O121" s="4" t="s">
        <v>557</v>
      </c>
      <c r="P121" s="4" t="s">
        <v>558</v>
      </c>
    </row>
    <row r="122" ht="15.75" customHeight="1">
      <c r="A122" s="4" t="s">
        <v>276</v>
      </c>
      <c r="B122" s="4" t="s">
        <v>142</v>
      </c>
      <c r="C122" s="4">
        <v>10.0</v>
      </c>
      <c r="D122" s="4" t="s">
        <v>559</v>
      </c>
      <c r="E122" s="4" t="s">
        <v>560</v>
      </c>
      <c r="F122" s="4" t="s">
        <v>561</v>
      </c>
      <c r="G122" s="4" t="s">
        <v>562</v>
      </c>
      <c r="H122" s="4" t="s">
        <v>563</v>
      </c>
      <c r="I122" s="4">
        <v>3.0</v>
      </c>
      <c r="J122" s="4" t="s">
        <v>564</v>
      </c>
      <c r="K122" s="4" t="s">
        <v>565</v>
      </c>
      <c r="L122" s="4" t="s">
        <v>403</v>
      </c>
      <c r="M122" s="4" t="s">
        <v>567</v>
      </c>
      <c r="N122" s="4" t="s">
        <v>568</v>
      </c>
      <c r="O122" s="4" t="s">
        <v>569</v>
      </c>
      <c r="P122" s="4" t="s">
        <v>224</v>
      </c>
    </row>
    <row r="123" ht="15.75" customHeight="1">
      <c r="A123" s="4" t="s">
        <v>113</v>
      </c>
      <c r="C123" s="4">
        <v>5.0</v>
      </c>
      <c r="D123" s="4" t="s">
        <v>570</v>
      </c>
      <c r="E123" s="4" t="s">
        <v>571</v>
      </c>
      <c r="F123" s="4" t="s">
        <v>572</v>
      </c>
      <c r="G123" s="4" t="s">
        <v>573</v>
      </c>
      <c r="H123" s="4" t="s">
        <v>575</v>
      </c>
      <c r="I123" s="4">
        <v>2.0</v>
      </c>
      <c r="J123" s="4" t="s">
        <v>480</v>
      </c>
      <c r="K123" s="4" t="s">
        <v>581</v>
      </c>
      <c r="L123" s="4" t="s">
        <v>242</v>
      </c>
      <c r="M123" s="4" t="s">
        <v>582</v>
      </c>
      <c r="N123" s="4" t="s">
        <v>285</v>
      </c>
      <c r="O123" s="4" t="s">
        <v>584</v>
      </c>
      <c r="P123" s="4" t="s">
        <v>237</v>
      </c>
    </row>
    <row r="124" ht="15.75" customHeight="1">
      <c r="A124" s="4" t="s">
        <v>110</v>
      </c>
      <c r="C124" s="4">
        <v>6.0</v>
      </c>
      <c r="D124" s="4" t="s">
        <v>588</v>
      </c>
      <c r="E124" s="4" t="s">
        <v>590</v>
      </c>
      <c r="F124" s="4" t="s">
        <v>229</v>
      </c>
      <c r="G124" s="4" t="s">
        <v>591</v>
      </c>
      <c r="H124" s="4" t="s">
        <v>593</v>
      </c>
      <c r="I124" s="4">
        <v>5.0</v>
      </c>
      <c r="J124" s="4" t="s">
        <v>595</v>
      </c>
      <c r="K124" s="4" t="s">
        <v>596</v>
      </c>
      <c r="L124" s="4" t="s">
        <v>597</v>
      </c>
      <c r="M124" s="4" t="s">
        <v>598</v>
      </c>
      <c r="N124" s="4" t="s">
        <v>600</v>
      </c>
      <c r="O124" s="4" t="s">
        <v>602</v>
      </c>
      <c r="P124" s="4" t="s">
        <v>237</v>
      </c>
    </row>
    <row r="125" ht="15.75" customHeight="1">
      <c r="A125" s="4" t="s">
        <v>112</v>
      </c>
      <c r="C125" s="4">
        <v>1.0</v>
      </c>
      <c r="D125" s="4" t="s">
        <v>401</v>
      </c>
      <c r="E125" s="4" t="s">
        <v>607</v>
      </c>
      <c r="F125" s="4" t="s">
        <v>384</v>
      </c>
      <c r="G125" s="4" t="s">
        <v>609</v>
      </c>
      <c r="H125" s="4" t="s">
        <v>610</v>
      </c>
      <c r="I125" s="4">
        <v>1.0</v>
      </c>
      <c r="J125" s="4" t="s">
        <v>401</v>
      </c>
      <c r="K125" s="4" t="s">
        <v>612</v>
      </c>
      <c r="L125" s="4" t="s">
        <v>613</v>
      </c>
      <c r="M125" s="4" t="s">
        <v>614</v>
      </c>
      <c r="N125" s="4" t="s">
        <v>610</v>
      </c>
      <c r="O125" s="4" t="s">
        <v>511</v>
      </c>
      <c r="P125" s="4" t="s">
        <v>237</v>
      </c>
    </row>
    <row r="126" ht="15.75" customHeight="1">
      <c r="A126" s="4" t="s">
        <v>270</v>
      </c>
      <c r="C126" s="4">
        <v>6.0</v>
      </c>
      <c r="D126" s="4" t="s">
        <v>588</v>
      </c>
      <c r="E126" s="4" t="s">
        <v>615</v>
      </c>
      <c r="F126" s="4" t="s">
        <v>616</v>
      </c>
      <c r="G126" s="4" t="s">
        <v>617</v>
      </c>
      <c r="H126" s="4" t="s">
        <v>618</v>
      </c>
      <c r="I126" s="4">
        <v>3.0</v>
      </c>
      <c r="J126" s="4" t="s">
        <v>383</v>
      </c>
      <c r="K126" s="4" t="s">
        <v>294</v>
      </c>
      <c r="L126" s="4" t="s">
        <v>266</v>
      </c>
      <c r="M126" s="4" t="s">
        <v>619</v>
      </c>
      <c r="N126" s="4" t="s">
        <v>620</v>
      </c>
      <c r="O126" s="4" t="s">
        <v>621</v>
      </c>
      <c r="P126" s="4" t="s">
        <v>224</v>
      </c>
    </row>
    <row r="127" ht="15.75" customHeight="1"/>
    <row r="128" ht="15.75" customHeight="1">
      <c r="A128" s="8" t="s">
        <v>622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0"/>
    </row>
    <row r="129" ht="15.75" customHeight="1">
      <c r="A129" s="2"/>
      <c r="B129" s="2" t="s">
        <v>623</v>
      </c>
      <c r="C129" s="2" t="s">
        <v>624</v>
      </c>
    </row>
    <row r="130" ht="15.75" customHeight="1">
      <c r="A130" s="2" t="s">
        <v>174</v>
      </c>
      <c r="B130" s="5" t="s">
        <v>625</v>
      </c>
      <c r="C130" s="5" t="s">
        <v>626</v>
      </c>
    </row>
    <row r="131" ht="15.75" customHeight="1">
      <c r="A131" s="2" t="s">
        <v>177</v>
      </c>
      <c r="B131" s="5" t="s">
        <v>627</v>
      </c>
      <c r="C131" s="5" t="s">
        <v>628</v>
      </c>
    </row>
    <row r="132" ht="15.75" customHeight="1">
      <c r="A132" s="2" t="s">
        <v>180</v>
      </c>
      <c r="B132" s="5" t="s">
        <v>329</v>
      </c>
      <c r="C132" s="5" t="s">
        <v>540</v>
      </c>
    </row>
    <row r="133" ht="15.75" customHeight="1">
      <c r="A133" s="2" t="s">
        <v>183</v>
      </c>
      <c r="B133" s="5" t="s">
        <v>629</v>
      </c>
      <c r="C133" s="5" t="s">
        <v>630</v>
      </c>
    </row>
    <row r="134" ht="15.75" customHeight="1">
      <c r="A134" s="2" t="s">
        <v>96</v>
      </c>
      <c r="B134" s="5" t="s">
        <v>631</v>
      </c>
      <c r="C134" s="5" t="s">
        <v>632</v>
      </c>
    </row>
    <row r="135" ht="15.75" customHeight="1">
      <c r="A135" s="2" t="s">
        <v>105</v>
      </c>
      <c r="B135" s="5" t="s">
        <v>635</v>
      </c>
      <c r="C135" s="5" t="s">
        <v>636</v>
      </c>
    </row>
    <row r="136" ht="15.75" customHeight="1">
      <c r="A136" s="2" t="s">
        <v>190</v>
      </c>
      <c r="B136" s="5" t="s">
        <v>637</v>
      </c>
      <c r="C136" s="5" t="s">
        <v>638</v>
      </c>
    </row>
    <row r="137" ht="105.0" customHeight="1">
      <c r="A137" s="2" t="s">
        <v>193</v>
      </c>
      <c r="B137" s="5" t="s">
        <v>639</v>
      </c>
      <c r="C137" s="5" t="s">
        <v>640</v>
      </c>
    </row>
    <row r="138" ht="15.75" customHeight="1">
      <c r="A138" s="2" t="s">
        <v>119</v>
      </c>
      <c r="B138" s="5" t="s">
        <v>641</v>
      </c>
      <c r="C138" s="5" t="s">
        <v>642</v>
      </c>
    </row>
    <row r="139" ht="150.0" customHeight="1">
      <c r="A139" s="2" t="s">
        <v>127</v>
      </c>
      <c r="B139" s="5" t="s">
        <v>643</v>
      </c>
      <c r="C139" s="5" t="s">
        <v>644</v>
      </c>
    </row>
    <row r="140" ht="15.75" customHeight="1">
      <c r="A140" s="16" t="s">
        <v>131</v>
      </c>
      <c r="B140" s="16" t="s">
        <v>132</v>
      </c>
      <c r="C140" s="16" t="s">
        <v>200</v>
      </c>
      <c r="D140" s="16" t="s">
        <v>201</v>
      </c>
      <c r="E140" s="16" t="s">
        <v>202</v>
      </c>
      <c r="F140" s="16" t="s">
        <v>203</v>
      </c>
      <c r="G140" s="16" t="s">
        <v>204</v>
      </c>
      <c r="H140" s="16" t="s">
        <v>205</v>
      </c>
      <c r="I140" s="16" t="s">
        <v>206</v>
      </c>
      <c r="J140" s="16" t="s">
        <v>207</v>
      </c>
      <c r="K140" s="16" t="s">
        <v>208</v>
      </c>
      <c r="L140" s="16" t="s">
        <v>209</v>
      </c>
      <c r="M140" s="16" t="s">
        <v>210</v>
      </c>
      <c r="N140" s="16" t="s">
        <v>211</v>
      </c>
      <c r="O140" s="16" t="s">
        <v>139</v>
      </c>
      <c r="P140" s="16" t="s">
        <v>140</v>
      </c>
    </row>
    <row r="141" ht="15.75" customHeight="1">
      <c r="A141" s="4" t="s">
        <v>113</v>
      </c>
      <c r="B141" s="4" t="s">
        <v>645</v>
      </c>
      <c r="C141" s="4">
        <v>16.0</v>
      </c>
      <c r="D141" s="4" t="s">
        <v>646</v>
      </c>
      <c r="E141" s="4" t="s">
        <v>647</v>
      </c>
      <c r="F141" s="4" t="s">
        <v>648</v>
      </c>
      <c r="G141" s="4" t="s">
        <v>649</v>
      </c>
      <c r="H141" s="4" t="s">
        <v>650</v>
      </c>
      <c r="I141" s="4">
        <v>12.0</v>
      </c>
      <c r="J141" s="4" t="s">
        <v>651</v>
      </c>
      <c r="K141" s="4" t="s">
        <v>652</v>
      </c>
      <c r="L141" s="4" t="s">
        <v>653</v>
      </c>
      <c r="M141" s="4" t="s">
        <v>654</v>
      </c>
      <c r="N141" s="4" t="s">
        <v>655</v>
      </c>
      <c r="O141" s="4" t="s">
        <v>656</v>
      </c>
      <c r="P141" s="4" t="s">
        <v>237</v>
      </c>
    </row>
    <row r="142" ht="15.75" customHeight="1">
      <c r="A142" s="4" t="s">
        <v>270</v>
      </c>
      <c r="B142" s="4" t="s">
        <v>657</v>
      </c>
      <c r="C142" s="4">
        <v>12.0</v>
      </c>
      <c r="D142" s="4" t="s">
        <v>651</v>
      </c>
      <c r="E142" s="4" t="s">
        <v>658</v>
      </c>
      <c r="F142" s="4" t="s">
        <v>659</v>
      </c>
      <c r="G142" s="4" t="s">
        <v>660</v>
      </c>
      <c r="H142" s="4" t="s">
        <v>661</v>
      </c>
      <c r="I142" s="4">
        <v>14.0</v>
      </c>
      <c r="J142" s="4" t="s">
        <v>431</v>
      </c>
      <c r="K142" s="4" t="s">
        <v>662</v>
      </c>
      <c r="L142" s="4" t="s">
        <v>663</v>
      </c>
      <c r="M142" s="4" t="s">
        <v>664</v>
      </c>
      <c r="N142" s="4" t="s">
        <v>665</v>
      </c>
      <c r="O142" s="4" t="s">
        <v>666</v>
      </c>
      <c r="P142" s="4" t="s">
        <v>224</v>
      </c>
    </row>
    <row r="143" ht="15.75" customHeight="1">
      <c r="A143" s="4" t="s">
        <v>110</v>
      </c>
      <c r="B143" s="4" t="s">
        <v>667</v>
      </c>
      <c r="C143" s="4">
        <v>18.0</v>
      </c>
      <c r="D143" s="4" t="s">
        <v>668</v>
      </c>
      <c r="E143" s="4" t="s">
        <v>669</v>
      </c>
      <c r="F143" s="4" t="s">
        <v>670</v>
      </c>
      <c r="G143" s="4" t="s">
        <v>671</v>
      </c>
      <c r="H143" s="4" t="s">
        <v>672</v>
      </c>
      <c r="I143" s="4">
        <v>16.0</v>
      </c>
      <c r="J143" s="4" t="s">
        <v>673</v>
      </c>
      <c r="K143" s="4" t="s">
        <v>346</v>
      </c>
      <c r="L143" s="4" t="s">
        <v>674</v>
      </c>
      <c r="M143" s="4" t="s">
        <v>267</v>
      </c>
      <c r="N143" s="4" t="s">
        <v>675</v>
      </c>
      <c r="O143" s="4" t="s">
        <v>676</v>
      </c>
      <c r="P143" s="4" t="s">
        <v>237</v>
      </c>
    </row>
    <row r="144" ht="15.75" customHeight="1">
      <c r="A144" s="4" t="s">
        <v>276</v>
      </c>
      <c r="B144" s="4" t="s">
        <v>142</v>
      </c>
      <c r="C144" s="4">
        <v>9.0</v>
      </c>
      <c r="D144" s="4" t="s">
        <v>392</v>
      </c>
      <c r="E144" s="4" t="s">
        <v>677</v>
      </c>
      <c r="F144" s="4" t="s">
        <v>562</v>
      </c>
      <c r="G144" s="4" t="s">
        <v>678</v>
      </c>
      <c r="H144" s="4" t="s">
        <v>679</v>
      </c>
      <c r="I144" s="4">
        <v>17.0</v>
      </c>
      <c r="J144" s="4" t="s">
        <v>239</v>
      </c>
      <c r="K144" s="4" t="s">
        <v>399</v>
      </c>
      <c r="L144" s="4" t="s">
        <v>680</v>
      </c>
      <c r="M144" s="4" t="s">
        <v>681</v>
      </c>
      <c r="N144" s="4" t="s">
        <v>243</v>
      </c>
      <c r="O144" s="4" t="s">
        <v>682</v>
      </c>
      <c r="P144" s="4" t="s">
        <v>683</v>
      </c>
    </row>
    <row r="145" ht="15.75" customHeight="1">
      <c r="A145" s="4" t="s">
        <v>250</v>
      </c>
      <c r="B145" s="4" t="s">
        <v>251</v>
      </c>
      <c r="C145" s="4">
        <v>11.0</v>
      </c>
      <c r="D145" s="4" t="s">
        <v>231</v>
      </c>
      <c r="E145" s="4" t="s">
        <v>227</v>
      </c>
      <c r="F145" s="4" t="s">
        <v>434</v>
      </c>
      <c r="G145" s="4" t="s">
        <v>684</v>
      </c>
      <c r="H145" s="4" t="s">
        <v>376</v>
      </c>
      <c r="I145" s="4">
        <v>12.0</v>
      </c>
      <c r="J145" s="4" t="s">
        <v>387</v>
      </c>
      <c r="K145" s="4" t="s">
        <v>540</v>
      </c>
      <c r="L145" s="4" t="s">
        <v>685</v>
      </c>
      <c r="M145" s="4" t="s">
        <v>686</v>
      </c>
      <c r="N145" s="4" t="s">
        <v>687</v>
      </c>
      <c r="O145" s="4" t="s">
        <v>621</v>
      </c>
      <c r="P145" s="4" t="s">
        <v>224</v>
      </c>
    </row>
    <row r="146" ht="15.75" customHeight="1">
      <c r="A146" s="4" t="s">
        <v>112</v>
      </c>
      <c r="B146" s="4" t="s">
        <v>688</v>
      </c>
      <c r="C146" s="4">
        <v>10.0</v>
      </c>
      <c r="D146" s="4" t="s">
        <v>465</v>
      </c>
      <c r="E146" s="4" t="s">
        <v>689</v>
      </c>
      <c r="F146" s="4" t="s">
        <v>680</v>
      </c>
      <c r="G146" s="4" t="s">
        <v>690</v>
      </c>
      <c r="H146" s="4" t="s">
        <v>691</v>
      </c>
      <c r="I146" s="4">
        <v>0.0</v>
      </c>
      <c r="O146" s="4" t="s">
        <v>692</v>
      </c>
      <c r="P146" s="4" t="s">
        <v>224</v>
      </c>
    </row>
    <row r="147" ht="15.75" customHeight="1">
      <c r="A147" s="4" t="s">
        <v>262</v>
      </c>
      <c r="C147" s="4">
        <v>0.0</v>
      </c>
      <c r="I147" s="4">
        <v>10.0</v>
      </c>
      <c r="J147" s="4" t="s">
        <v>693</v>
      </c>
      <c r="K147" s="4" t="s">
        <v>694</v>
      </c>
      <c r="L147" s="4" t="s">
        <v>695</v>
      </c>
      <c r="M147" s="4" t="s">
        <v>696</v>
      </c>
      <c r="N147" s="4" t="s">
        <v>697</v>
      </c>
      <c r="O147" s="4" t="s">
        <v>698</v>
      </c>
      <c r="P147" s="4" t="s">
        <v>224</v>
      </c>
    </row>
    <row r="148" ht="15.75" customHeight="1"/>
    <row r="149" ht="15.75" customHeight="1">
      <c r="A149" s="8" t="s">
        <v>699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/>
    </row>
    <row r="150" ht="15.75" customHeight="1">
      <c r="A150" s="2"/>
      <c r="B150" s="2" t="s">
        <v>700</v>
      </c>
      <c r="C150" s="2" t="s">
        <v>701</v>
      </c>
    </row>
    <row r="151" ht="15.75" customHeight="1">
      <c r="A151" s="2" t="s">
        <v>174</v>
      </c>
      <c r="B151" s="5" t="s">
        <v>702</v>
      </c>
      <c r="C151" s="5" t="s">
        <v>703</v>
      </c>
    </row>
    <row r="152" ht="15.75" customHeight="1">
      <c r="A152" s="2" t="s">
        <v>177</v>
      </c>
      <c r="B152" s="5" t="s">
        <v>704</v>
      </c>
      <c r="C152" s="5" t="s">
        <v>705</v>
      </c>
    </row>
    <row r="153" ht="15.75" customHeight="1">
      <c r="A153" s="2" t="s">
        <v>180</v>
      </c>
      <c r="B153" s="5" t="s">
        <v>706</v>
      </c>
      <c r="C153" s="5" t="s">
        <v>707</v>
      </c>
    </row>
    <row r="154" ht="15.75" customHeight="1">
      <c r="A154" s="2" t="s">
        <v>183</v>
      </c>
      <c r="B154" s="5" t="s">
        <v>708</v>
      </c>
      <c r="C154" s="5" t="s">
        <v>709</v>
      </c>
    </row>
    <row r="155" ht="15.75" customHeight="1">
      <c r="A155" s="2" t="s">
        <v>96</v>
      </c>
      <c r="B155" s="5" t="s">
        <v>710</v>
      </c>
      <c r="C155" s="5" t="s">
        <v>711</v>
      </c>
    </row>
    <row r="156" ht="15.75" customHeight="1">
      <c r="A156" s="2" t="s">
        <v>105</v>
      </c>
      <c r="B156" s="5" t="s">
        <v>712</v>
      </c>
      <c r="C156" s="5" t="s">
        <v>713</v>
      </c>
    </row>
    <row r="157" ht="15.75" customHeight="1">
      <c r="A157" s="2" t="s">
        <v>190</v>
      </c>
      <c r="B157" s="5" t="s">
        <v>714</v>
      </c>
      <c r="C157" s="5" t="s">
        <v>715</v>
      </c>
    </row>
    <row r="158" ht="105.0" customHeight="1">
      <c r="A158" s="2" t="s">
        <v>193</v>
      </c>
      <c r="B158" s="5" t="s">
        <v>716</v>
      </c>
      <c r="C158" s="5" t="s">
        <v>717</v>
      </c>
    </row>
    <row r="159" ht="15.75" customHeight="1">
      <c r="A159" s="2" t="s">
        <v>119</v>
      </c>
      <c r="B159" s="5" t="s">
        <v>718</v>
      </c>
      <c r="C159" s="5" t="s">
        <v>719</v>
      </c>
    </row>
    <row r="160" ht="150.0" customHeight="1">
      <c r="A160" s="2" t="s">
        <v>127</v>
      </c>
      <c r="B160" s="5" t="s">
        <v>720</v>
      </c>
      <c r="C160" s="5" t="s">
        <v>721</v>
      </c>
    </row>
    <row r="161" ht="15.75" customHeight="1">
      <c r="A161" s="16" t="s">
        <v>131</v>
      </c>
      <c r="B161" s="16" t="s">
        <v>132</v>
      </c>
      <c r="C161" s="16" t="s">
        <v>200</v>
      </c>
      <c r="D161" s="16" t="s">
        <v>201</v>
      </c>
      <c r="E161" s="16" t="s">
        <v>202</v>
      </c>
      <c r="F161" s="16" t="s">
        <v>203</v>
      </c>
      <c r="G161" s="16" t="s">
        <v>204</v>
      </c>
      <c r="H161" s="16" t="s">
        <v>205</v>
      </c>
      <c r="I161" s="16" t="s">
        <v>206</v>
      </c>
      <c r="J161" s="16" t="s">
        <v>207</v>
      </c>
      <c r="K161" s="16" t="s">
        <v>208</v>
      </c>
      <c r="L161" s="16" t="s">
        <v>209</v>
      </c>
      <c r="M161" s="16" t="s">
        <v>210</v>
      </c>
      <c r="N161" s="16" t="s">
        <v>211</v>
      </c>
      <c r="O161" s="16" t="s">
        <v>139</v>
      </c>
      <c r="P161" s="16" t="s">
        <v>140</v>
      </c>
    </row>
    <row r="162" ht="15.75" customHeight="1">
      <c r="A162" s="4" t="s">
        <v>270</v>
      </c>
      <c r="B162" s="4" t="s">
        <v>722</v>
      </c>
      <c r="C162" s="4">
        <v>13.0</v>
      </c>
      <c r="D162" s="4" t="s">
        <v>723</v>
      </c>
      <c r="E162" s="4" t="s">
        <v>689</v>
      </c>
      <c r="F162" s="4" t="s">
        <v>375</v>
      </c>
      <c r="G162" s="4" t="s">
        <v>724</v>
      </c>
      <c r="H162" s="4" t="s">
        <v>725</v>
      </c>
      <c r="I162" s="4">
        <v>16.0</v>
      </c>
      <c r="J162" s="4" t="s">
        <v>539</v>
      </c>
      <c r="K162" s="4" t="s">
        <v>707</v>
      </c>
      <c r="L162" s="4" t="s">
        <v>273</v>
      </c>
      <c r="M162" s="4" t="s">
        <v>726</v>
      </c>
      <c r="N162" s="4" t="s">
        <v>727</v>
      </c>
      <c r="O162" s="4" t="s">
        <v>269</v>
      </c>
      <c r="P162" s="4" t="s">
        <v>237</v>
      </c>
    </row>
    <row r="163" ht="15.75" customHeight="1">
      <c r="A163" s="4" t="s">
        <v>110</v>
      </c>
      <c r="B163" s="4" t="s">
        <v>728</v>
      </c>
      <c r="C163" s="4">
        <v>20.0</v>
      </c>
      <c r="D163" s="4" t="s">
        <v>729</v>
      </c>
      <c r="E163" s="4" t="s">
        <v>240</v>
      </c>
      <c r="F163" s="4" t="s">
        <v>367</v>
      </c>
      <c r="G163" s="4" t="s">
        <v>730</v>
      </c>
      <c r="H163" s="4" t="s">
        <v>731</v>
      </c>
      <c r="I163" s="4">
        <v>24.0</v>
      </c>
      <c r="J163" s="4" t="s">
        <v>732</v>
      </c>
      <c r="K163" s="4" t="s">
        <v>365</v>
      </c>
      <c r="L163" s="4" t="s">
        <v>733</v>
      </c>
      <c r="M163" s="4" t="s">
        <v>734</v>
      </c>
      <c r="N163" s="4" t="s">
        <v>735</v>
      </c>
      <c r="O163" s="4" t="s">
        <v>236</v>
      </c>
      <c r="P163" s="4" t="s">
        <v>237</v>
      </c>
    </row>
    <row r="164" ht="15.75" customHeight="1">
      <c r="A164" s="4" t="s">
        <v>276</v>
      </c>
      <c r="B164" s="4" t="s">
        <v>736</v>
      </c>
      <c r="C164" s="4">
        <v>17.0</v>
      </c>
      <c r="D164" s="4" t="s">
        <v>737</v>
      </c>
      <c r="E164" s="4" t="s">
        <v>227</v>
      </c>
      <c r="F164" s="4" t="s">
        <v>664</v>
      </c>
      <c r="G164" s="4" t="s">
        <v>738</v>
      </c>
      <c r="H164" s="4" t="s">
        <v>739</v>
      </c>
      <c r="I164" s="4">
        <v>25.0</v>
      </c>
      <c r="J164" s="4" t="s">
        <v>740</v>
      </c>
      <c r="K164" s="4" t="s">
        <v>257</v>
      </c>
      <c r="L164" s="4" t="s">
        <v>741</v>
      </c>
      <c r="M164" s="4" t="s">
        <v>742</v>
      </c>
      <c r="N164" s="4" t="s">
        <v>743</v>
      </c>
      <c r="O164" s="4" t="s">
        <v>744</v>
      </c>
      <c r="P164" s="4" t="s">
        <v>237</v>
      </c>
    </row>
    <row r="165" ht="15.75" customHeight="1">
      <c r="A165" s="4" t="s">
        <v>262</v>
      </c>
      <c r="B165" s="4" t="s">
        <v>263</v>
      </c>
      <c r="C165" s="4">
        <v>10.0</v>
      </c>
      <c r="D165" s="4" t="s">
        <v>693</v>
      </c>
      <c r="E165" s="4" t="s">
        <v>745</v>
      </c>
      <c r="F165" s="4" t="s">
        <v>746</v>
      </c>
      <c r="G165" s="4" t="s">
        <v>747</v>
      </c>
      <c r="H165" s="4" t="s">
        <v>691</v>
      </c>
      <c r="I165" s="4">
        <v>14.0</v>
      </c>
      <c r="J165" s="4" t="s">
        <v>748</v>
      </c>
      <c r="K165" s="4" t="s">
        <v>219</v>
      </c>
      <c r="L165" s="4" t="s">
        <v>749</v>
      </c>
      <c r="M165" s="4" t="s">
        <v>247</v>
      </c>
      <c r="N165" s="4" t="s">
        <v>551</v>
      </c>
      <c r="O165" s="4" t="s">
        <v>750</v>
      </c>
      <c r="P165" s="4" t="s">
        <v>237</v>
      </c>
    </row>
    <row r="166" ht="15.75" customHeight="1">
      <c r="A166" s="4" t="s">
        <v>112</v>
      </c>
      <c r="B166" s="4" t="s">
        <v>688</v>
      </c>
      <c r="C166" s="4">
        <v>0.0</v>
      </c>
      <c r="I166" s="4">
        <v>23.0</v>
      </c>
      <c r="J166" s="4" t="s">
        <v>751</v>
      </c>
      <c r="K166" s="4" t="s">
        <v>245</v>
      </c>
      <c r="L166" s="4" t="s">
        <v>259</v>
      </c>
      <c r="M166" s="4" t="s">
        <v>469</v>
      </c>
      <c r="N166" s="4" t="s">
        <v>752</v>
      </c>
      <c r="O166" s="4" t="s">
        <v>753</v>
      </c>
      <c r="P166" s="4" t="s">
        <v>237</v>
      </c>
    </row>
    <row r="167" ht="15.75" customHeight="1">
      <c r="A167" s="4" t="s">
        <v>250</v>
      </c>
      <c r="B167" s="4" t="s">
        <v>754</v>
      </c>
      <c r="C167" s="4">
        <v>10.0</v>
      </c>
      <c r="D167" s="4" t="s">
        <v>442</v>
      </c>
      <c r="E167" s="4" t="s">
        <v>755</v>
      </c>
      <c r="F167" s="4" t="s">
        <v>242</v>
      </c>
      <c r="G167" s="4" t="s">
        <v>756</v>
      </c>
      <c r="H167" s="4" t="s">
        <v>230</v>
      </c>
      <c r="I167" s="4">
        <v>7.0</v>
      </c>
      <c r="J167" s="4" t="s">
        <v>757</v>
      </c>
      <c r="K167" s="4" t="s">
        <v>415</v>
      </c>
      <c r="L167" s="4" t="s">
        <v>758</v>
      </c>
      <c r="M167" s="4" t="s">
        <v>759</v>
      </c>
      <c r="N167" s="4" t="s">
        <v>441</v>
      </c>
      <c r="O167" s="4" t="s">
        <v>760</v>
      </c>
      <c r="P167" s="4" t="s">
        <v>237</v>
      </c>
    </row>
    <row r="168" ht="15.75" customHeight="1">
      <c r="A168" s="4" t="s">
        <v>113</v>
      </c>
      <c r="C168" s="4">
        <v>11.0</v>
      </c>
      <c r="D168" s="4" t="s">
        <v>328</v>
      </c>
      <c r="E168" s="4" t="s">
        <v>694</v>
      </c>
      <c r="F168" s="4" t="s">
        <v>654</v>
      </c>
      <c r="G168" s="4" t="s">
        <v>761</v>
      </c>
      <c r="H168" s="4" t="s">
        <v>762</v>
      </c>
      <c r="I168" s="4">
        <v>6.0</v>
      </c>
      <c r="J168" s="4" t="s">
        <v>763</v>
      </c>
      <c r="K168" s="4" t="s">
        <v>456</v>
      </c>
      <c r="L168" s="4" t="s">
        <v>764</v>
      </c>
      <c r="M168" s="4" t="s">
        <v>765</v>
      </c>
      <c r="N168" s="4" t="s">
        <v>618</v>
      </c>
      <c r="O168" s="4" t="s">
        <v>286</v>
      </c>
      <c r="P168" s="4" t="s">
        <v>237</v>
      </c>
    </row>
    <row r="169" ht="15.75" customHeight="1"/>
    <row r="170" ht="15.75" customHeight="1">
      <c r="A170" s="8" t="s">
        <v>766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0"/>
    </row>
    <row r="171" ht="15.75" customHeight="1">
      <c r="A171" s="2"/>
      <c r="B171" s="2" t="s">
        <v>408</v>
      </c>
      <c r="C171" s="2" t="s">
        <v>520</v>
      </c>
    </row>
    <row r="172" ht="15.75" customHeight="1">
      <c r="A172" s="2" t="s">
        <v>174</v>
      </c>
      <c r="B172" s="5" t="s">
        <v>410</v>
      </c>
      <c r="C172" s="5" t="s">
        <v>522</v>
      </c>
    </row>
    <row r="173" ht="15.75" customHeight="1">
      <c r="A173" s="2" t="s">
        <v>177</v>
      </c>
      <c r="B173" s="5" t="s">
        <v>412</v>
      </c>
      <c r="C173" s="5" t="s">
        <v>524</v>
      </c>
    </row>
    <row r="174" ht="15.75" customHeight="1">
      <c r="A174" s="2" t="s">
        <v>180</v>
      </c>
      <c r="B174" s="5" t="s">
        <v>414</v>
      </c>
      <c r="C174" s="5" t="s">
        <v>257</v>
      </c>
    </row>
    <row r="175" ht="15.75" customHeight="1">
      <c r="A175" s="2" t="s">
        <v>183</v>
      </c>
      <c r="B175" s="5" t="s">
        <v>416</v>
      </c>
      <c r="C175" s="5" t="s">
        <v>527</v>
      </c>
    </row>
    <row r="176" ht="15.75" customHeight="1">
      <c r="A176" s="2" t="s">
        <v>96</v>
      </c>
      <c r="B176" s="5" t="s">
        <v>418</v>
      </c>
      <c r="C176" s="5" t="s">
        <v>529</v>
      </c>
    </row>
    <row r="177" ht="15.75" customHeight="1">
      <c r="A177" s="2" t="s">
        <v>105</v>
      </c>
      <c r="B177" s="5" t="s">
        <v>420</v>
      </c>
      <c r="C177" s="5" t="s">
        <v>531</v>
      </c>
    </row>
    <row r="178" ht="15.75" customHeight="1">
      <c r="A178" s="2" t="s">
        <v>190</v>
      </c>
      <c r="B178" s="5" t="s">
        <v>192</v>
      </c>
      <c r="C178" s="5" t="s">
        <v>192</v>
      </c>
    </row>
    <row r="179" ht="105.0" customHeight="1">
      <c r="A179" s="2" t="s">
        <v>193</v>
      </c>
      <c r="B179" s="5" t="s">
        <v>423</v>
      </c>
      <c r="C179" s="5" t="s">
        <v>533</v>
      </c>
    </row>
    <row r="180" ht="15.75" customHeight="1">
      <c r="A180" s="2" t="s">
        <v>119</v>
      </c>
      <c r="B180" s="5" t="s">
        <v>425</v>
      </c>
      <c r="C180" s="5" t="s">
        <v>535</v>
      </c>
    </row>
    <row r="181" ht="150.0" customHeight="1">
      <c r="A181" s="2" t="s">
        <v>127</v>
      </c>
      <c r="B181" s="5" t="s">
        <v>428</v>
      </c>
      <c r="C181" s="5" t="s">
        <v>537</v>
      </c>
    </row>
    <row r="182" ht="15.75" customHeight="1">
      <c r="A182" s="16" t="s">
        <v>131</v>
      </c>
      <c r="B182" s="16" t="s">
        <v>132</v>
      </c>
      <c r="C182" s="16" t="s">
        <v>200</v>
      </c>
      <c r="D182" s="16" t="s">
        <v>201</v>
      </c>
      <c r="E182" s="16" t="s">
        <v>202</v>
      </c>
      <c r="F182" s="16" t="s">
        <v>203</v>
      </c>
      <c r="G182" s="16" t="s">
        <v>204</v>
      </c>
      <c r="H182" s="16" t="s">
        <v>205</v>
      </c>
      <c r="I182" s="16" t="s">
        <v>206</v>
      </c>
      <c r="J182" s="16" t="s">
        <v>207</v>
      </c>
      <c r="K182" s="16" t="s">
        <v>208</v>
      </c>
      <c r="L182" s="16" t="s">
        <v>209</v>
      </c>
      <c r="M182" s="16" t="s">
        <v>210</v>
      </c>
      <c r="N182" s="16" t="s">
        <v>211</v>
      </c>
      <c r="O182" s="16" t="s">
        <v>139</v>
      </c>
      <c r="P182" s="16" t="s">
        <v>140</v>
      </c>
    </row>
    <row r="183" ht="15.75" customHeight="1">
      <c r="A183" s="4" t="s">
        <v>262</v>
      </c>
      <c r="B183" s="4" t="s">
        <v>645</v>
      </c>
      <c r="C183" s="4">
        <v>7.0</v>
      </c>
      <c r="D183" s="4" t="s">
        <v>256</v>
      </c>
      <c r="E183" s="4" t="s">
        <v>257</v>
      </c>
      <c r="F183" s="4" t="s">
        <v>439</v>
      </c>
      <c r="G183" s="4" t="s">
        <v>440</v>
      </c>
      <c r="H183" s="4" t="s">
        <v>441</v>
      </c>
      <c r="I183" s="4">
        <v>16.0</v>
      </c>
      <c r="J183" s="4" t="s">
        <v>539</v>
      </c>
      <c r="K183" s="4" t="s">
        <v>540</v>
      </c>
      <c r="L183" s="4" t="s">
        <v>541</v>
      </c>
      <c r="M183" s="4" t="s">
        <v>542</v>
      </c>
      <c r="N183" s="4" t="s">
        <v>543</v>
      </c>
      <c r="O183" s="4" t="s">
        <v>767</v>
      </c>
      <c r="P183" s="4" t="s">
        <v>224</v>
      </c>
    </row>
    <row r="184" ht="15.75" customHeight="1">
      <c r="A184" s="4" t="s">
        <v>110</v>
      </c>
      <c r="B184" s="4" t="s">
        <v>238</v>
      </c>
      <c r="C184" s="4">
        <v>14.0</v>
      </c>
      <c r="D184" s="4" t="s">
        <v>431</v>
      </c>
      <c r="E184" s="4" t="s">
        <v>432</v>
      </c>
      <c r="F184" s="4" t="s">
        <v>433</v>
      </c>
      <c r="G184" s="4" t="s">
        <v>434</v>
      </c>
      <c r="H184" s="4" t="s">
        <v>435</v>
      </c>
      <c r="I184" s="4">
        <v>6.0</v>
      </c>
      <c r="J184" s="4" t="s">
        <v>588</v>
      </c>
      <c r="K184" s="4" t="s">
        <v>590</v>
      </c>
      <c r="L184" s="4" t="s">
        <v>229</v>
      </c>
      <c r="M184" s="4" t="s">
        <v>591</v>
      </c>
      <c r="N184" s="4" t="s">
        <v>593</v>
      </c>
      <c r="O184" s="4" t="s">
        <v>768</v>
      </c>
      <c r="P184" s="4" t="s">
        <v>464</v>
      </c>
    </row>
    <row r="185" ht="15.75" customHeight="1">
      <c r="A185" s="4" t="s">
        <v>276</v>
      </c>
      <c r="B185" s="4" t="s">
        <v>238</v>
      </c>
      <c r="C185" s="4">
        <v>10.0</v>
      </c>
      <c r="D185" s="4" t="s">
        <v>465</v>
      </c>
      <c r="E185" s="4" t="s">
        <v>466</v>
      </c>
      <c r="F185" s="4" t="s">
        <v>433</v>
      </c>
      <c r="G185" s="4" t="s">
        <v>340</v>
      </c>
      <c r="H185" s="4" t="s">
        <v>467</v>
      </c>
      <c r="I185" s="4">
        <v>10.0</v>
      </c>
      <c r="J185" s="4" t="s">
        <v>559</v>
      </c>
      <c r="K185" s="4" t="s">
        <v>560</v>
      </c>
      <c r="L185" s="4" t="s">
        <v>561</v>
      </c>
      <c r="M185" s="4" t="s">
        <v>562</v>
      </c>
      <c r="N185" s="4" t="s">
        <v>563</v>
      </c>
      <c r="O185" s="4" t="s">
        <v>769</v>
      </c>
      <c r="P185" s="4" t="s">
        <v>508</v>
      </c>
    </row>
    <row r="186" ht="15.75" customHeight="1">
      <c r="A186" s="4" t="s">
        <v>113</v>
      </c>
      <c r="C186" s="4">
        <v>7.0</v>
      </c>
      <c r="D186" s="4" t="s">
        <v>458</v>
      </c>
      <c r="E186" s="4" t="s">
        <v>459</v>
      </c>
      <c r="F186" s="4" t="s">
        <v>477</v>
      </c>
      <c r="G186" s="4" t="s">
        <v>478</v>
      </c>
      <c r="H186" s="4" t="s">
        <v>479</v>
      </c>
      <c r="I186" s="4">
        <v>5.0</v>
      </c>
      <c r="J186" s="4" t="s">
        <v>570</v>
      </c>
      <c r="K186" s="4" t="s">
        <v>571</v>
      </c>
      <c r="L186" s="4" t="s">
        <v>572</v>
      </c>
      <c r="M186" s="4" t="s">
        <v>573</v>
      </c>
      <c r="N186" s="4" t="s">
        <v>575</v>
      </c>
      <c r="O186" s="4" t="s">
        <v>770</v>
      </c>
      <c r="P186" s="4" t="s">
        <v>237</v>
      </c>
    </row>
    <row r="187" ht="15.75" customHeight="1">
      <c r="A187" s="4" t="s">
        <v>112</v>
      </c>
      <c r="C187" s="4">
        <v>4.0</v>
      </c>
      <c r="D187" s="4" t="s">
        <v>455</v>
      </c>
      <c r="E187" s="4" t="s">
        <v>456</v>
      </c>
      <c r="F187" s="4" t="s">
        <v>246</v>
      </c>
      <c r="G187" s="4" t="s">
        <v>242</v>
      </c>
      <c r="H187" s="4" t="s">
        <v>457</v>
      </c>
      <c r="I187" s="4">
        <v>1.0</v>
      </c>
      <c r="J187" s="4" t="s">
        <v>401</v>
      </c>
      <c r="K187" s="4" t="s">
        <v>607</v>
      </c>
      <c r="L187" s="4" t="s">
        <v>384</v>
      </c>
      <c r="M187" s="4" t="s">
        <v>609</v>
      </c>
      <c r="N187" s="4" t="s">
        <v>610</v>
      </c>
      <c r="O187" s="4" t="s">
        <v>656</v>
      </c>
      <c r="P187" s="4" t="s">
        <v>237</v>
      </c>
    </row>
    <row r="188" ht="15.75" customHeight="1">
      <c r="A188" s="4" t="s">
        <v>250</v>
      </c>
      <c r="C188" s="4">
        <v>4.0</v>
      </c>
      <c r="D188" s="4" t="s">
        <v>448</v>
      </c>
      <c r="E188" s="4" t="s">
        <v>449</v>
      </c>
      <c r="F188" s="4" t="s">
        <v>450</v>
      </c>
      <c r="G188" s="4" t="s">
        <v>385</v>
      </c>
      <c r="H188" s="4" t="s">
        <v>451</v>
      </c>
      <c r="I188" s="4">
        <v>14.0</v>
      </c>
      <c r="J188" s="4" t="s">
        <v>548</v>
      </c>
      <c r="K188" s="4" t="s">
        <v>549</v>
      </c>
      <c r="L188" s="4" t="s">
        <v>550</v>
      </c>
      <c r="M188" s="4" t="s">
        <v>380</v>
      </c>
      <c r="N188" s="4" t="s">
        <v>551</v>
      </c>
      <c r="O188" s="4" t="s">
        <v>771</v>
      </c>
      <c r="P188" s="4" t="s">
        <v>237</v>
      </c>
    </row>
    <row r="189" ht="15.75" customHeight="1">
      <c r="A189" s="4" t="s">
        <v>270</v>
      </c>
      <c r="C189" s="4">
        <v>0.0</v>
      </c>
      <c r="I189" s="4">
        <v>6.0</v>
      </c>
      <c r="J189" s="4" t="s">
        <v>588</v>
      </c>
      <c r="K189" s="4" t="s">
        <v>615</v>
      </c>
      <c r="L189" s="4" t="s">
        <v>616</v>
      </c>
      <c r="M189" s="4" t="s">
        <v>617</v>
      </c>
      <c r="N189" s="4" t="s">
        <v>618</v>
      </c>
      <c r="O189" s="4" t="s">
        <v>744</v>
      </c>
      <c r="P189" s="4" t="s">
        <v>237</v>
      </c>
    </row>
    <row r="190" ht="15.75" customHeight="1"/>
    <row r="191" ht="15.75" customHeight="1">
      <c r="A191" s="8" t="s">
        <v>773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0"/>
    </row>
    <row r="192" ht="15.75" customHeight="1">
      <c r="A192" s="2"/>
      <c r="B192" s="2" t="s">
        <v>774</v>
      </c>
      <c r="C192" s="2" t="s">
        <v>775</v>
      </c>
    </row>
    <row r="193" ht="15.75" customHeight="1">
      <c r="A193" s="2" t="s">
        <v>174</v>
      </c>
      <c r="B193" s="5" t="s">
        <v>776</v>
      </c>
      <c r="C193" s="5" t="s">
        <v>777</v>
      </c>
    </row>
    <row r="194" ht="15.75" customHeight="1">
      <c r="A194" s="2" t="s">
        <v>177</v>
      </c>
      <c r="B194" s="5" t="s">
        <v>778</v>
      </c>
      <c r="C194" s="5" t="s">
        <v>779</v>
      </c>
    </row>
    <row r="195" ht="15.75" customHeight="1">
      <c r="A195" s="2" t="s">
        <v>180</v>
      </c>
      <c r="B195" s="5" t="s">
        <v>432</v>
      </c>
      <c r="C195" s="5" t="s">
        <v>245</v>
      </c>
    </row>
    <row r="196" ht="15.75" customHeight="1">
      <c r="A196" s="2" t="s">
        <v>183</v>
      </c>
      <c r="B196" s="5" t="s">
        <v>780</v>
      </c>
      <c r="C196" s="5" t="s">
        <v>781</v>
      </c>
    </row>
    <row r="197" ht="15.75" customHeight="1">
      <c r="A197" s="2" t="s">
        <v>96</v>
      </c>
      <c r="B197" s="5" t="s">
        <v>782</v>
      </c>
      <c r="C197" s="5" t="s">
        <v>783</v>
      </c>
    </row>
    <row r="198" ht="15.75" customHeight="1">
      <c r="A198" s="2" t="s">
        <v>105</v>
      </c>
      <c r="B198" s="5" t="s">
        <v>784</v>
      </c>
      <c r="C198" s="5" t="s">
        <v>785</v>
      </c>
    </row>
    <row r="199" ht="15.75" customHeight="1">
      <c r="A199" s="2" t="s">
        <v>190</v>
      </c>
      <c r="B199" s="5" t="s">
        <v>786</v>
      </c>
      <c r="C199" s="5" t="s">
        <v>192</v>
      </c>
    </row>
    <row r="200" ht="105.0" customHeight="1">
      <c r="A200" s="2" t="s">
        <v>193</v>
      </c>
      <c r="B200" s="5" t="s">
        <v>787</v>
      </c>
      <c r="C200" s="5" t="s">
        <v>788</v>
      </c>
    </row>
    <row r="201" ht="15.75" customHeight="1">
      <c r="A201" s="2" t="s">
        <v>119</v>
      </c>
      <c r="B201" s="5" t="s">
        <v>789</v>
      </c>
      <c r="C201" s="5" t="s">
        <v>790</v>
      </c>
    </row>
    <row r="202" ht="150.0" customHeight="1">
      <c r="A202" s="2" t="s">
        <v>127</v>
      </c>
      <c r="B202" s="5" t="s">
        <v>791</v>
      </c>
      <c r="C202" s="5" t="s">
        <v>792</v>
      </c>
    </row>
    <row r="203" ht="15.75" customHeight="1">
      <c r="A203" s="16" t="s">
        <v>131</v>
      </c>
      <c r="B203" s="16" t="s">
        <v>132</v>
      </c>
      <c r="C203" s="16" t="s">
        <v>200</v>
      </c>
      <c r="D203" s="16" t="s">
        <v>201</v>
      </c>
      <c r="E203" s="16" t="s">
        <v>202</v>
      </c>
      <c r="F203" s="16" t="s">
        <v>203</v>
      </c>
      <c r="G203" s="16" t="s">
        <v>204</v>
      </c>
      <c r="H203" s="16" t="s">
        <v>205</v>
      </c>
      <c r="I203" s="16" t="s">
        <v>206</v>
      </c>
      <c r="J203" s="16" t="s">
        <v>207</v>
      </c>
      <c r="K203" s="16" t="s">
        <v>208</v>
      </c>
      <c r="L203" s="16" t="s">
        <v>209</v>
      </c>
      <c r="M203" s="16" t="s">
        <v>210</v>
      </c>
      <c r="N203" s="16" t="s">
        <v>211</v>
      </c>
      <c r="O203" s="16" t="s">
        <v>139</v>
      </c>
      <c r="P203" s="16" t="s">
        <v>140</v>
      </c>
    </row>
    <row r="204" ht="15.75" customHeight="1">
      <c r="A204" s="4" t="s">
        <v>110</v>
      </c>
      <c r="B204" s="4" t="s">
        <v>154</v>
      </c>
      <c r="C204" s="4">
        <v>19.0</v>
      </c>
      <c r="D204" s="4" t="s">
        <v>793</v>
      </c>
      <c r="E204" s="4" t="s">
        <v>794</v>
      </c>
      <c r="F204" s="4" t="s">
        <v>795</v>
      </c>
      <c r="G204" s="4" t="s">
        <v>796</v>
      </c>
      <c r="H204" s="4" t="s">
        <v>797</v>
      </c>
      <c r="I204" s="4">
        <v>9.0</v>
      </c>
      <c r="J204" s="4" t="s">
        <v>264</v>
      </c>
      <c r="K204" s="4" t="s">
        <v>253</v>
      </c>
      <c r="L204" s="4" t="s">
        <v>798</v>
      </c>
      <c r="M204" s="4" t="s">
        <v>799</v>
      </c>
      <c r="N204" s="4" t="s">
        <v>800</v>
      </c>
      <c r="O204" s="4" t="s">
        <v>801</v>
      </c>
      <c r="P204" s="4" t="s">
        <v>683</v>
      </c>
    </row>
    <row r="205" ht="15.75" customHeight="1">
      <c r="A205" s="4" t="s">
        <v>270</v>
      </c>
      <c r="B205" s="4" t="s">
        <v>447</v>
      </c>
      <c r="C205" s="4">
        <v>9.0</v>
      </c>
      <c r="D205" s="4" t="s">
        <v>392</v>
      </c>
      <c r="E205" s="4" t="s">
        <v>802</v>
      </c>
      <c r="F205" s="4" t="s">
        <v>598</v>
      </c>
      <c r="G205" s="4" t="s">
        <v>242</v>
      </c>
      <c r="H205" s="4" t="s">
        <v>268</v>
      </c>
      <c r="I205" s="4">
        <v>13.0</v>
      </c>
      <c r="J205" s="4" t="s">
        <v>723</v>
      </c>
      <c r="K205" s="4" t="s">
        <v>432</v>
      </c>
      <c r="L205" s="4" t="s">
        <v>266</v>
      </c>
      <c r="M205" s="4" t="s">
        <v>648</v>
      </c>
      <c r="N205" s="4" t="s">
        <v>803</v>
      </c>
      <c r="O205" s="4" t="s">
        <v>804</v>
      </c>
      <c r="P205" s="4" t="s">
        <v>683</v>
      </c>
    </row>
    <row r="206" ht="15.75" customHeight="1">
      <c r="A206" s="4" t="s">
        <v>250</v>
      </c>
      <c r="B206" s="4" t="s">
        <v>447</v>
      </c>
      <c r="C206" s="4">
        <v>7.0</v>
      </c>
      <c r="D206" s="4" t="s">
        <v>805</v>
      </c>
      <c r="E206" s="4" t="s">
        <v>272</v>
      </c>
      <c r="F206" s="4" t="s">
        <v>733</v>
      </c>
      <c r="G206" s="4" t="s">
        <v>806</v>
      </c>
      <c r="H206" s="4" t="s">
        <v>807</v>
      </c>
      <c r="I206" s="4">
        <v>9.0</v>
      </c>
      <c r="J206" s="4" t="s">
        <v>264</v>
      </c>
      <c r="K206" s="4" t="s">
        <v>181</v>
      </c>
      <c r="L206" s="4" t="s">
        <v>375</v>
      </c>
      <c r="M206" s="4" t="s">
        <v>799</v>
      </c>
      <c r="N206" s="4" t="s">
        <v>808</v>
      </c>
      <c r="O206" s="4" t="s">
        <v>809</v>
      </c>
      <c r="P206" s="4" t="s">
        <v>237</v>
      </c>
    </row>
    <row r="207" ht="15.75" customHeight="1">
      <c r="A207" s="4" t="s">
        <v>113</v>
      </c>
      <c r="B207" s="4" t="s">
        <v>688</v>
      </c>
      <c r="C207" s="4">
        <v>13.0</v>
      </c>
      <c r="D207" s="4" t="s">
        <v>810</v>
      </c>
      <c r="E207" s="4" t="s">
        <v>811</v>
      </c>
      <c r="F207" s="4" t="s">
        <v>812</v>
      </c>
      <c r="G207" s="4" t="s">
        <v>279</v>
      </c>
      <c r="H207" s="4" t="s">
        <v>813</v>
      </c>
      <c r="I207" s="4">
        <v>8.0</v>
      </c>
      <c r="J207" s="4" t="s">
        <v>244</v>
      </c>
      <c r="K207" s="4" t="s">
        <v>745</v>
      </c>
      <c r="L207" s="4" t="s">
        <v>814</v>
      </c>
      <c r="M207" s="4" t="s">
        <v>815</v>
      </c>
      <c r="N207" s="4" t="s">
        <v>816</v>
      </c>
      <c r="O207" s="4" t="s">
        <v>769</v>
      </c>
      <c r="P207" s="4" t="s">
        <v>506</v>
      </c>
    </row>
    <row r="208" ht="15.75" customHeight="1">
      <c r="A208" s="4" t="s">
        <v>262</v>
      </c>
      <c r="B208" s="4" t="s">
        <v>688</v>
      </c>
      <c r="C208" s="4">
        <v>13.0</v>
      </c>
      <c r="D208" s="4" t="s">
        <v>817</v>
      </c>
      <c r="E208" s="4" t="s">
        <v>818</v>
      </c>
      <c r="F208" s="4" t="s">
        <v>819</v>
      </c>
      <c r="G208" s="4" t="s">
        <v>820</v>
      </c>
      <c r="H208" s="4" t="s">
        <v>821</v>
      </c>
      <c r="I208" s="4">
        <v>12.0</v>
      </c>
      <c r="J208" s="4" t="s">
        <v>822</v>
      </c>
      <c r="K208" s="4" t="s">
        <v>245</v>
      </c>
      <c r="L208" s="4" t="s">
        <v>685</v>
      </c>
      <c r="M208" s="4" t="s">
        <v>823</v>
      </c>
      <c r="N208" s="4" t="s">
        <v>824</v>
      </c>
      <c r="O208" s="4" t="s">
        <v>825</v>
      </c>
      <c r="P208" s="4" t="s">
        <v>237</v>
      </c>
    </row>
    <row r="209" ht="15.75" customHeight="1">
      <c r="A209" s="4" t="s">
        <v>112</v>
      </c>
      <c r="B209" s="4" t="s">
        <v>826</v>
      </c>
      <c r="C209" s="4">
        <v>2.0</v>
      </c>
      <c r="D209" s="4" t="s">
        <v>480</v>
      </c>
      <c r="E209" s="4" t="s">
        <v>827</v>
      </c>
      <c r="F209" s="4" t="s">
        <v>828</v>
      </c>
      <c r="G209" s="4" t="s">
        <v>829</v>
      </c>
      <c r="H209" s="4" t="s">
        <v>484</v>
      </c>
      <c r="I209" s="4">
        <v>2.0</v>
      </c>
      <c r="J209" s="4" t="s">
        <v>830</v>
      </c>
      <c r="K209" s="4" t="s">
        <v>818</v>
      </c>
      <c r="L209" s="4" t="s">
        <v>831</v>
      </c>
      <c r="M209" s="4" t="s">
        <v>832</v>
      </c>
      <c r="N209" s="4" t="s">
        <v>285</v>
      </c>
      <c r="O209" s="4" t="s">
        <v>666</v>
      </c>
      <c r="P209" s="4" t="s">
        <v>224</v>
      </c>
    </row>
    <row r="210" ht="15.75" customHeight="1">
      <c r="A210" s="4" t="s">
        <v>276</v>
      </c>
      <c r="C210" s="4">
        <v>7.0</v>
      </c>
      <c r="D210" s="4" t="s">
        <v>757</v>
      </c>
      <c r="E210" s="4" t="s">
        <v>833</v>
      </c>
      <c r="F210" s="4" t="s">
        <v>834</v>
      </c>
      <c r="G210" s="4" t="s">
        <v>835</v>
      </c>
      <c r="H210" s="4" t="s">
        <v>479</v>
      </c>
      <c r="I210" s="4">
        <v>0.0</v>
      </c>
      <c r="O210" s="4" t="s">
        <v>836</v>
      </c>
      <c r="P210" s="4" t="s">
        <v>237</v>
      </c>
    </row>
    <row r="211" ht="15.75" customHeight="1"/>
    <row r="212" ht="15.75" customHeight="1">
      <c r="A212" s="8" t="s">
        <v>837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0"/>
    </row>
    <row r="213" ht="15.75" customHeight="1">
      <c r="A213" s="2"/>
      <c r="B213" s="2" t="s">
        <v>839</v>
      </c>
      <c r="C213" s="2" t="s">
        <v>840</v>
      </c>
    </row>
    <row r="214" ht="15.75" customHeight="1">
      <c r="A214" s="2" t="s">
        <v>174</v>
      </c>
      <c r="B214" s="5" t="s">
        <v>842</v>
      </c>
      <c r="C214" s="5" t="s">
        <v>844</v>
      </c>
    </row>
    <row r="215" ht="15.75" customHeight="1">
      <c r="A215" s="2" t="s">
        <v>177</v>
      </c>
      <c r="B215" s="5" t="s">
        <v>846</v>
      </c>
      <c r="C215" s="5" t="s">
        <v>847</v>
      </c>
    </row>
    <row r="216" ht="15.75" customHeight="1">
      <c r="A216" s="2" t="s">
        <v>180</v>
      </c>
      <c r="B216" s="5" t="s">
        <v>848</v>
      </c>
      <c r="C216" s="5" t="s">
        <v>253</v>
      </c>
    </row>
    <row r="217" ht="15.75" customHeight="1">
      <c r="A217" s="2" t="s">
        <v>183</v>
      </c>
      <c r="B217" s="5" t="s">
        <v>849</v>
      </c>
      <c r="C217" s="5" t="s">
        <v>850</v>
      </c>
    </row>
    <row r="218" ht="15.75" customHeight="1">
      <c r="A218" s="2" t="s">
        <v>96</v>
      </c>
      <c r="B218" s="5" t="s">
        <v>851</v>
      </c>
      <c r="C218" s="5" t="s">
        <v>852</v>
      </c>
    </row>
    <row r="219" ht="15.75" customHeight="1">
      <c r="A219" s="2" t="s">
        <v>105</v>
      </c>
      <c r="B219" s="5" t="s">
        <v>853</v>
      </c>
      <c r="C219" s="5" t="s">
        <v>189</v>
      </c>
    </row>
    <row r="220" ht="15.75" customHeight="1">
      <c r="A220" s="2" t="s">
        <v>190</v>
      </c>
      <c r="B220" s="5" t="s">
        <v>854</v>
      </c>
      <c r="C220" s="5" t="s">
        <v>192</v>
      </c>
    </row>
    <row r="221" ht="105.0" customHeight="1">
      <c r="A221" s="2" t="s">
        <v>193</v>
      </c>
      <c r="B221" s="5" t="s">
        <v>855</v>
      </c>
      <c r="C221" s="5" t="s">
        <v>857</v>
      </c>
    </row>
    <row r="222" ht="15.75" customHeight="1">
      <c r="A222" s="2" t="s">
        <v>119</v>
      </c>
      <c r="B222" s="5" t="s">
        <v>859</v>
      </c>
      <c r="C222" s="5" t="s">
        <v>860</v>
      </c>
    </row>
    <row r="223" ht="150.0" customHeight="1">
      <c r="A223" s="2" t="s">
        <v>127</v>
      </c>
      <c r="B223" s="5" t="s">
        <v>861</v>
      </c>
      <c r="C223" s="5" t="s">
        <v>862</v>
      </c>
    </row>
    <row r="224" ht="15.75" customHeight="1">
      <c r="A224" s="16" t="s">
        <v>131</v>
      </c>
      <c r="B224" s="16" t="s">
        <v>132</v>
      </c>
      <c r="C224" s="16" t="s">
        <v>200</v>
      </c>
      <c r="D224" s="16" t="s">
        <v>201</v>
      </c>
      <c r="E224" s="16" t="s">
        <v>202</v>
      </c>
      <c r="F224" s="16" t="s">
        <v>203</v>
      </c>
      <c r="G224" s="16" t="s">
        <v>204</v>
      </c>
      <c r="H224" s="16" t="s">
        <v>205</v>
      </c>
      <c r="I224" s="16" t="s">
        <v>206</v>
      </c>
      <c r="J224" s="16" t="s">
        <v>207</v>
      </c>
      <c r="K224" s="16" t="s">
        <v>208</v>
      </c>
      <c r="L224" s="16" t="s">
        <v>209</v>
      </c>
      <c r="M224" s="16" t="s">
        <v>210</v>
      </c>
      <c r="N224" s="16" t="s">
        <v>211</v>
      </c>
      <c r="O224" s="16" t="s">
        <v>139</v>
      </c>
      <c r="P224" s="16" t="s">
        <v>140</v>
      </c>
    </row>
    <row r="225" ht="15.75" customHeight="1">
      <c r="A225" s="4" t="s">
        <v>262</v>
      </c>
      <c r="B225" s="4" t="s">
        <v>160</v>
      </c>
      <c r="C225" s="4">
        <v>9.0</v>
      </c>
      <c r="D225" s="4" t="s">
        <v>344</v>
      </c>
      <c r="E225" s="4" t="s">
        <v>794</v>
      </c>
      <c r="F225" s="4" t="s">
        <v>863</v>
      </c>
      <c r="G225" s="4" t="s">
        <v>864</v>
      </c>
      <c r="H225" s="4" t="s">
        <v>800</v>
      </c>
      <c r="I225" s="4">
        <v>10.0</v>
      </c>
      <c r="J225" s="4" t="s">
        <v>559</v>
      </c>
      <c r="K225" s="4" t="s">
        <v>865</v>
      </c>
      <c r="L225" s="4" t="s">
        <v>469</v>
      </c>
      <c r="M225" s="4" t="s">
        <v>866</v>
      </c>
      <c r="N225" s="4" t="s">
        <v>467</v>
      </c>
      <c r="O225" s="4" t="s">
        <v>867</v>
      </c>
      <c r="P225" s="4" t="s">
        <v>464</v>
      </c>
    </row>
    <row r="226" ht="15.75" customHeight="1">
      <c r="A226" s="4" t="s">
        <v>250</v>
      </c>
      <c r="B226" s="4" t="s">
        <v>502</v>
      </c>
      <c r="C226" s="4">
        <v>16.0</v>
      </c>
      <c r="D226" s="4" t="s">
        <v>868</v>
      </c>
      <c r="E226" s="4" t="s">
        <v>745</v>
      </c>
      <c r="F226" s="4" t="s">
        <v>829</v>
      </c>
      <c r="G226" s="4" t="s">
        <v>869</v>
      </c>
      <c r="H226" s="4" t="s">
        <v>870</v>
      </c>
      <c r="I226" s="4">
        <v>6.0</v>
      </c>
      <c r="J226" s="4" t="s">
        <v>763</v>
      </c>
      <c r="K226" s="4" t="s">
        <v>399</v>
      </c>
      <c r="L226" s="4" t="s">
        <v>871</v>
      </c>
      <c r="M226" s="4" t="s">
        <v>872</v>
      </c>
      <c r="N226" s="4" t="s">
        <v>618</v>
      </c>
      <c r="O226" s="4" t="s">
        <v>873</v>
      </c>
      <c r="P226" s="4" t="s">
        <v>237</v>
      </c>
    </row>
    <row r="227" ht="15.75" customHeight="1">
      <c r="A227" s="4" t="s">
        <v>276</v>
      </c>
      <c r="B227" s="4" t="s">
        <v>509</v>
      </c>
      <c r="C227" s="4">
        <v>9.0</v>
      </c>
      <c r="D227" s="4" t="s">
        <v>264</v>
      </c>
      <c r="E227" s="4" t="s">
        <v>294</v>
      </c>
      <c r="F227" s="4" t="s">
        <v>874</v>
      </c>
      <c r="G227" s="4" t="s">
        <v>741</v>
      </c>
      <c r="H227" s="4" t="s">
        <v>875</v>
      </c>
      <c r="I227" s="4">
        <v>7.0</v>
      </c>
      <c r="J227" s="4" t="s">
        <v>256</v>
      </c>
      <c r="K227" s="4" t="s">
        <v>876</v>
      </c>
      <c r="L227" s="4" t="s">
        <v>591</v>
      </c>
      <c r="M227" s="4" t="s">
        <v>452</v>
      </c>
      <c r="N227" s="4" t="s">
        <v>462</v>
      </c>
      <c r="O227" s="4" t="s">
        <v>463</v>
      </c>
      <c r="P227" s="4" t="s">
        <v>464</v>
      </c>
    </row>
    <row r="228" ht="15.75" customHeight="1">
      <c r="A228" s="4" t="s">
        <v>270</v>
      </c>
      <c r="B228" s="4" t="s">
        <v>688</v>
      </c>
      <c r="C228" s="4">
        <v>8.0</v>
      </c>
      <c r="D228" s="4" t="s">
        <v>218</v>
      </c>
      <c r="E228" s="4" t="s">
        <v>877</v>
      </c>
      <c r="F228" s="4" t="s">
        <v>330</v>
      </c>
      <c r="G228" s="4" t="s">
        <v>228</v>
      </c>
      <c r="H228" s="4" t="s">
        <v>398</v>
      </c>
      <c r="I228" s="4">
        <v>4.0</v>
      </c>
      <c r="J228" s="4" t="s">
        <v>878</v>
      </c>
      <c r="K228" s="4" t="s">
        <v>879</v>
      </c>
      <c r="L228" s="4" t="s">
        <v>880</v>
      </c>
      <c r="M228" s="4" t="s">
        <v>460</v>
      </c>
      <c r="N228" s="4" t="s">
        <v>881</v>
      </c>
      <c r="O228" s="4" t="s">
        <v>518</v>
      </c>
      <c r="P228" s="4" t="s">
        <v>237</v>
      </c>
    </row>
    <row r="229" ht="15.75" customHeight="1">
      <c r="A229" s="4" t="s">
        <v>113</v>
      </c>
      <c r="B229" s="4" t="s">
        <v>754</v>
      </c>
      <c r="C229" s="4">
        <v>8.0</v>
      </c>
      <c r="D229" s="4" t="s">
        <v>218</v>
      </c>
      <c r="E229" s="4" t="s">
        <v>339</v>
      </c>
      <c r="F229" s="4" t="s">
        <v>882</v>
      </c>
      <c r="G229" s="4" t="s">
        <v>883</v>
      </c>
      <c r="H229" s="4" t="s">
        <v>884</v>
      </c>
      <c r="I229" s="4">
        <v>4.0</v>
      </c>
      <c r="J229" s="4" t="s">
        <v>455</v>
      </c>
      <c r="K229" s="4" t="s">
        <v>245</v>
      </c>
      <c r="L229" s="4" t="s">
        <v>885</v>
      </c>
      <c r="M229" s="4" t="s">
        <v>616</v>
      </c>
      <c r="N229" s="4" t="s">
        <v>451</v>
      </c>
      <c r="O229" s="4" t="s">
        <v>584</v>
      </c>
      <c r="P229" s="4" t="s">
        <v>237</v>
      </c>
    </row>
    <row r="230" ht="15.75" customHeight="1">
      <c r="A230" s="4" t="s">
        <v>112</v>
      </c>
      <c r="B230" s="4" t="s">
        <v>754</v>
      </c>
      <c r="C230" s="4">
        <v>12.0</v>
      </c>
      <c r="D230" s="4" t="s">
        <v>387</v>
      </c>
      <c r="E230" s="4" t="s">
        <v>388</v>
      </c>
      <c r="F230" s="4" t="s">
        <v>886</v>
      </c>
      <c r="G230" s="4" t="s">
        <v>758</v>
      </c>
      <c r="H230" s="4" t="s">
        <v>687</v>
      </c>
      <c r="I230" s="4">
        <v>0.0</v>
      </c>
      <c r="O230" s="4" t="s">
        <v>887</v>
      </c>
      <c r="P230" s="4" t="s">
        <v>683</v>
      </c>
    </row>
    <row r="231" ht="15.75" customHeight="1">
      <c r="A231" s="4" t="s">
        <v>110</v>
      </c>
      <c r="C231" s="4">
        <v>1.0</v>
      </c>
      <c r="D231" s="4" t="s">
        <v>401</v>
      </c>
      <c r="E231" s="4" t="s">
        <v>888</v>
      </c>
      <c r="F231" s="4" t="s">
        <v>403</v>
      </c>
      <c r="G231" s="4" t="s">
        <v>695</v>
      </c>
      <c r="H231" s="4" t="s">
        <v>405</v>
      </c>
      <c r="I231" s="4">
        <v>2.0</v>
      </c>
      <c r="J231" s="4" t="s">
        <v>480</v>
      </c>
      <c r="K231" s="4" t="s">
        <v>879</v>
      </c>
      <c r="L231" s="4" t="s">
        <v>247</v>
      </c>
      <c r="M231" s="4" t="s">
        <v>889</v>
      </c>
      <c r="N231" s="4" t="s">
        <v>890</v>
      </c>
      <c r="O231" s="4" t="s">
        <v>891</v>
      </c>
      <c r="P231" s="4" t="s">
        <v>237</v>
      </c>
    </row>
    <row r="232" ht="15.75" customHeight="1"/>
    <row r="233" ht="15.75" customHeight="1">
      <c r="A233" s="8" t="s">
        <v>892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0"/>
    </row>
    <row r="234" ht="15.75" customHeight="1">
      <c r="A234" s="2"/>
      <c r="B234" s="2" t="s">
        <v>893</v>
      </c>
      <c r="C234" s="2" t="s">
        <v>894</v>
      </c>
    </row>
    <row r="235" ht="15.75" customHeight="1">
      <c r="A235" s="2" t="s">
        <v>174</v>
      </c>
      <c r="B235" s="5" t="s">
        <v>895</v>
      </c>
      <c r="C235" s="5" t="s">
        <v>896</v>
      </c>
    </row>
    <row r="236" ht="15.75" customHeight="1">
      <c r="A236" s="2" t="s">
        <v>177</v>
      </c>
      <c r="B236" s="5" t="s">
        <v>897</v>
      </c>
      <c r="C236" s="5" t="s">
        <v>898</v>
      </c>
    </row>
    <row r="237" ht="15.75" customHeight="1">
      <c r="A237" s="2" t="s">
        <v>180</v>
      </c>
      <c r="B237" s="5" t="s">
        <v>615</v>
      </c>
      <c r="C237" s="5" t="s">
        <v>473</v>
      </c>
    </row>
    <row r="238" ht="15.75" customHeight="1">
      <c r="A238" s="2" t="s">
        <v>183</v>
      </c>
      <c r="B238" s="5" t="s">
        <v>899</v>
      </c>
      <c r="C238" s="5" t="s">
        <v>900</v>
      </c>
    </row>
    <row r="239" ht="15.75" customHeight="1">
      <c r="A239" s="2" t="s">
        <v>96</v>
      </c>
      <c r="B239" s="5" t="s">
        <v>901</v>
      </c>
      <c r="C239" s="5" t="s">
        <v>902</v>
      </c>
    </row>
    <row r="240" ht="15.75" customHeight="1">
      <c r="A240" s="2" t="s">
        <v>105</v>
      </c>
      <c r="B240" s="5" t="s">
        <v>903</v>
      </c>
      <c r="C240" s="5" t="s">
        <v>904</v>
      </c>
    </row>
    <row r="241" ht="15.75" customHeight="1">
      <c r="A241" s="2" t="s">
        <v>190</v>
      </c>
      <c r="B241" s="5" t="s">
        <v>192</v>
      </c>
      <c r="C241" s="5" t="s">
        <v>192</v>
      </c>
    </row>
    <row r="242" ht="105.0" customHeight="1">
      <c r="A242" s="2" t="s">
        <v>193</v>
      </c>
      <c r="B242" s="5" t="s">
        <v>905</v>
      </c>
      <c r="C242" s="5" t="s">
        <v>906</v>
      </c>
    </row>
    <row r="243" ht="15.75" customHeight="1">
      <c r="A243" s="2" t="s">
        <v>119</v>
      </c>
      <c r="B243" s="5" t="s">
        <v>907</v>
      </c>
      <c r="C243" s="5" t="s">
        <v>908</v>
      </c>
    </row>
    <row r="244" ht="150.0" customHeight="1">
      <c r="A244" s="2" t="s">
        <v>127</v>
      </c>
      <c r="B244" s="5" t="s">
        <v>909</v>
      </c>
      <c r="C244" s="5" t="s">
        <v>910</v>
      </c>
    </row>
    <row r="245" ht="15.75" customHeight="1">
      <c r="A245" s="16" t="s">
        <v>131</v>
      </c>
      <c r="B245" s="16" t="s">
        <v>132</v>
      </c>
      <c r="C245" s="16" t="s">
        <v>200</v>
      </c>
      <c r="D245" s="16" t="s">
        <v>201</v>
      </c>
      <c r="E245" s="16" t="s">
        <v>202</v>
      </c>
      <c r="F245" s="16" t="s">
        <v>203</v>
      </c>
      <c r="G245" s="16" t="s">
        <v>204</v>
      </c>
      <c r="H245" s="16" t="s">
        <v>205</v>
      </c>
      <c r="I245" s="16" t="s">
        <v>206</v>
      </c>
      <c r="J245" s="16" t="s">
        <v>207</v>
      </c>
      <c r="K245" s="16" t="s">
        <v>208</v>
      </c>
      <c r="L245" s="16" t="s">
        <v>209</v>
      </c>
      <c r="M245" s="16" t="s">
        <v>210</v>
      </c>
      <c r="N245" s="16" t="s">
        <v>211</v>
      </c>
      <c r="O245" s="16" t="s">
        <v>139</v>
      </c>
      <c r="P245" s="16" t="s">
        <v>140</v>
      </c>
    </row>
    <row r="246" ht="15.75" customHeight="1">
      <c r="A246" s="4" t="s">
        <v>110</v>
      </c>
      <c r="B246" s="4" t="s">
        <v>911</v>
      </c>
      <c r="C246" s="4">
        <v>8.0</v>
      </c>
      <c r="D246" s="4" t="s">
        <v>244</v>
      </c>
      <c r="E246" s="4" t="s">
        <v>912</v>
      </c>
      <c r="F246" s="4" t="s">
        <v>913</v>
      </c>
      <c r="G246" s="4" t="s">
        <v>279</v>
      </c>
      <c r="H246" s="4" t="s">
        <v>914</v>
      </c>
      <c r="I246" s="4">
        <v>8.0</v>
      </c>
      <c r="J246" s="4" t="s">
        <v>218</v>
      </c>
      <c r="K246" s="4" t="s">
        <v>232</v>
      </c>
      <c r="L246" s="4" t="s">
        <v>915</v>
      </c>
      <c r="M246" s="4" t="s">
        <v>242</v>
      </c>
      <c r="N246" s="4" t="s">
        <v>471</v>
      </c>
      <c r="O246" s="4" t="s">
        <v>406</v>
      </c>
      <c r="P246" s="4" t="s">
        <v>224</v>
      </c>
    </row>
    <row r="247" ht="15.75" customHeight="1">
      <c r="A247" s="4" t="s">
        <v>262</v>
      </c>
      <c r="B247" s="4" t="s">
        <v>354</v>
      </c>
      <c r="C247" s="4">
        <v>15.0</v>
      </c>
      <c r="D247" s="4" t="s">
        <v>916</v>
      </c>
      <c r="E247" s="4" t="s">
        <v>320</v>
      </c>
      <c r="F247" s="4" t="s">
        <v>831</v>
      </c>
      <c r="G247" s="4" t="s">
        <v>439</v>
      </c>
      <c r="H247" s="4" t="s">
        <v>325</v>
      </c>
      <c r="I247" s="4">
        <v>3.0</v>
      </c>
      <c r="J247" s="4" t="s">
        <v>917</v>
      </c>
      <c r="K247" s="4" t="s">
        <v>253</v>
      </c>
      <c r="L247" s="4" t="s">
        <v>619</v>
      </c>
      <c r="M247" s="4" t="s">
        <v>889</v>
      </c>
      <c r="N247" s="4" t="s">
        <v>568</v>
      </c>
      <c r="O247" s="4" t="s">
        <v>261</v>
      </c>
      <c r="P247" s="4" t="s">
        <v>237</v>
      </c>
    </row>
    <row r="248" ht="15.75" customHeight="1">
      <c r="A248" s="4" t="s">
        <v>112</v>
      </c>
      <c r="B248" s="4" t="s">
        <v>918</v>
      </c>
      <c r="C248" s="4">
        <v>1.0</v>
      </c>
      <c r="D248" s="4" t="s">
        <v>401</v>
      </c>
      <c r="E248" s="4" t="s">
        <v>402</v>
      </c>
      <c r="F248" s="4" t="s">
        <v>919</v>
      </c>
      <c r="G248" s="4" t="s">
        <v>920</v>
      </c>
      <c r="H248" s="4" t="s">
        <v>405</v>
      </c>
      <c r="I248" s="4">
        <v>6.0</v>
      </c>
      <c r="J248" s="4" t="s">
        <v>763</v>
      </c>
      <c r="K248" s="4" t="s">
        <v>794</v>
      </c>
      <c r="L248" s="4" t="s">
        <v>695</v>
      </c>
      <c r="M248" s="4" t="s">
        <v>921</v>
      </c>
      <c r="N248" s="4" t="s">
        <v>618</v>
      </c>
      <c r="O248" s="4" t="s">
        <v>621</v>
      </c>
      <c r="P248" s="4" t="s">
        <v>224</v>
      </c>
    </row>
    <row r="249" ht="15.75" customHeight="1">
      <c r="A249" s="4" t="s">
        <v>276</v>
      </c>
      <c r="B249" s="4" t="s">
        <v>918</v>
      </c>
      <c r="C249" s="4">
        <v>0.0</v>
      </c>
      <c r="I249" s="4">
        <v>4.0</v>
      </c>
      <c r="J249" s="4" t="s">
        <v>878</v>
      </c>
      <c r="K249" s="4" t="s">
        <v>615</v>
      </c>
      <c r="L249" s="4" t="s">
        <v>765</v>
      </c>
      <c r="M249" s="4" t="s">
        <v>889</v>
      </c>
      <c r="N249" s="4" t="s">
        <v>457</v>
      </c>
      <c r="O249" s="4" t="s">
        <v>771</v>
      </c>
      <c r="P249" s="4" t="s">
        <v>237</v>
      </c>
    </row>
    <row r="250" ht="15.75" customHeight="1">
      <c r="A250" s="4" t="s">
        <v>250</v>
      </c>
      <c r="B250" s="4" t="s">
        <v>918</v>
      </c>
      <c r="C250" s="4">
        <v>11.0</v>
      </c>
      <c r="D250" s="4" t="s">
        <v>231</v>
      </c>
      <c r="E250" s="4" t="s">
        <v>922</v>
      </c>
      <c r="F250" s="4" t="s">
        <v>923</v>
      </c>
      <c r="G250" s="4" t="s">
        <v>924</v>
      </c>
      <c r="H250" s="4" t="s">
        <v>925</v>
      </c>
      <c r="I250" s="4">
        <v>6.0</v>
      </c>
      <c r="J250" s="4" t="s">
        <v>588</v>
      </c>
      <c r="K250" s="4" t="s">
        <v>706</v>
      </c>
      <c r="L250" s="4" t="s">
        <v>546</v>
      </c>
      <c r="M250" s="4" t="s">
        <v>242</v>
      </c>
      <c r="N250" s="4" t="s">
        <v>593</v>
      </c>
      <c r="O250" s="4" t="s">
        <v>836</v>
      </c>
      <c r="P250" s="4" t="s">
        <v>237</v>
      </c>
    </row>
    <row r="251" ht="15.75" customHeight="1">
      <c r="A251" s="4" t="s">
        <v>270</v>
      </c>
      <c r="B251" s="4" t="s">
        <v>918</v>
      </c>
      <c r="C251" s="4">
        <v>10.0</v>
      </c>
      <c r="D251" s="4" t="s">
        <v>226</v>
      </c>
      <c r="E251" s="4" t="s">
        <v>745</v>
      </c>
      <c r="F251" s="4" t="s">
        <v>927</v>
      </c>
      <c r="G251" s="4" t="s">
        <v>380</v>
      </c>
      <c r="H251" s="4" t="s">
        <v>928</v>
      </c>
      <c r="I251" s="4">
        <v>4.0</v>
      </c>
      <c r="J251" s="4" t="s">
        <v>878</v>
      </c>
      <c r="K251" s="4" t="s">
        <v>443</v>
      </c>
      <c r="L251" s="4" t="s">
        <v>929</v>
      </c>
      <c r="M251" s="4" t="s">
        <v>930</v>
      </c>
      <c r="N251" s="4" t="s">
        <v>931</v>
      </c>
      <c r="O251" s="4" t="s">
        <v>513</v>
      </c>
      <c r="P251" s="4" t="s">
        <v>237</v>
      </c>
    </row>
    <row r="252" ht="15.75" customHeight="1">
      <c r="A252" s="4" t="s">
        <v>113</v>
      </c>
      <c r="C252" s="4">
        <v>10.0</v>
      </c>
      <c r="D252" s="4" t="s">
        <v>932</v>
      </c>
      <c r="E252" s="4" t="s">
        <v>933</v>
      </c>
      <c r="F252" s="4" t="s">
        <v>934</v>
      </c>
      <c r="G252" s="4" t="s">
        <v>927</v>
      </c>
      <c r="H252" s="4" t="s">
        <v>691</v>
      </c>
      <c r="I252" s="4">
        <v>3.0</v>
      </c>
      <c r="J252" s="4" t="s">
        <v>564</v>
      </c>
      <c r="K252" s="4" t="s">
        <v>935</v>
      </c>
      <c r="L252" s="4" t="s">
        <v>919</v>
      </c>
      <c r="M252" s="4" t="s">
        <v>403</v>
      </c>
      <c r="N252" s="4" t="s">
        <v>386</v>
      </c>
      <c r="O252" s="4" t="s">
        <v>518</v>
      </c>
      <c r="P252" s="4" t="s">
        <v>237</v>
      </c>
    </row>
    <row r="253" ht="15.75" customHeight="1"/>
    <row r="254" ht="15.75" customHeight="1">
      <c r="A254" s="8" t="s">
        <v>936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/>
    </row>
    <row r="255" ht="15.75" customHeight="1">
      <c r="A255" s="2"/>
      <c r="B255" s="2" t="s">
        <v>409</v>
      </c>
      <c r="C255" s="2" t="s">
        <v>521</v>
      </c>
    </row>
    <row r="256" ht="15.75" customHeight="1">
      <c r="A256" s="2" t="s">
        <v>174</v>
      </c>
      <c r="B256" s="5" t="s">
        <v>411</v>
      </c>
      <c r="C256" s="5" t="s">
        <v>523</v>
      </c>
    </row>
    <row r="257" ht="15.75" customHeight="1">
      <c r="A257" s="2" t="s">
        <v>177</v>
      </c>
      <c r="B257" s="5" t="s">
        <v>413</v>
      </c>
      <c r="C257" s="5" t="s">
        <v>525</v>
      </c>
    </row>
    <row r="258" ht="15.75" customHeight="1">
      <c r="A258" s="2" t="s">
        <v>180</v>
      </c>
      <c r="B258" s="5" t="s">
        <v>415</v>
      </c>
      <c r="C258" s="5" t="s">
        <v>526</v>
      </c>
    </row>
    <row r="259" ht="15.75" customHeight="1">
      <c r="A259" s="2" t="s">
        <v>183</v>
      </c>
      <c r="B259" s="5" t="s">
        <v>417</v>
      </c>
      <c r="C259" s="5" t="s">
        <v>528</v>
      </c>
    </row>
    <row r="260" ht="15.75" customHeight="1">
      <c r="A260" s="2" t="s">
        <v>96</v>
      </c>
      <c r="B260" s="5" t="s">
        <v>419</v>
      </c>
      <c r="C260" s="5" t="s">
        <v>530</v>
      </c>
    </row>
    <row r="261" ht="15.75" customHeight="1">
      <c r="A261" s="2" t="s">
        <v>105</v>
      </c>
      <c r="B261" s="5" t="s">
        <v>421</v>
      </c>
      <c r="C261" s="5" t="s">
        <v>532</v>
      </c>
    </row>
    <row r="262" ht="15.75" customHeight="1">
      <c r="A262" s="2" t="s">
        <v>190</v>
      </c>
      <c r="B262" s="5" t="s">
        <v>422</v>
      </c>
      <c r="C262" s="5" t="s">
        <v>192</v>
      </c>
    </row>
    <row r="263" ht="105.0" customHeight="1">
      <c r="A263" s="2" t="s">
        <v>193</v>
      </c>
      <c r="B263" s="5" t="s">
        <v>424</v>
      </c>
      <c r="C263" s="5" t="s">
        <v>534</v>
      </c>
    </row>
    <row r="264" ht="15.75" customHeight="1">
      <c r="A264" s="2" t="s">
        <v>119</v>
      </c>
      <c r="B264" s="5" t="s">
        <v>426</v>
      </c>
      <c r="C264" s="5" t="s">
        <v>536</v>
      </c>
    </row>
    <row r="265" ht="150.0" customHeight="1">
      <c r="A265" s="2" t="s">
        <v>127</v>
      </c>
      <c r="B265" s="5" t="s">
        <v>429</v>
      </c>
      <c r="C265" s="5" t="s">
        <v>538</v>
      </c>
    </row>
    <row r="266" ht="15.75" customHeight="1">
      <c r="A266" s="16" t="s">
        <v>131</v>
      </c>
      <c r="B266" s="16" t="s">
        <v>132</v>
      </c>
      <c r="C266" s="16" t="s">
        <v>200</v>
      </c>
      <c r="D266" s="16" t="s">
        <v>201</v>
      </c>
      <c r="E266" s="16" t="s">
        <v>202</v>
      </c>
      <c r="F266" s="16" t="s">
        <v>203</v>
      </c>
      <c r="G266" s="16" t="s">
        <v>204</v>
      </c>
      <c r="H266" s="16" t="s">
        <v>205</v>
      </c>
      <c r="I266" s="16" t="s">
        <v>206</v>
      </c>
      <c r="J266" s="16" t="s">
        <v>207</v>
      </c>
      <c r="K266" s="16" t="s">
        <v>208</v>
      </c>
      <c r="L266" s="16" t="s">
        <v>209</v>
      </c>
      <c r="M266" s="16" t="s">
        <v>210</v>
      </c>
      <c r="N266" s="16" t="s">
        <v>211</v>
      </c>
      <c r="O266" s="16" t="s">
        <v>139</v>
      </c>
      <c r="P266" s="16" t="s">
        <v>140</v>
      </c>
    </row>
    <row r="267" ht="15.75" customHeight="1">
      <c r="A267" s="4" t="s">
        <v>110</v>
      </c>
      <c r="B267" s="4" t="s">
        <v>728</v>
      </c>
      <c r="C267" s="4">
        <v>18.0</v>
      </c>
      <c r="D267" s="4" t="s">
        <v>436</v>
      </c>
      <c r="E267" s="4" t="s">
        <v>227</v>
      </c>
      <c r="F267" s="4" t="s">
        <v>267</v>
      </c>
      <c r="G267" s="4" t="s">
        <v>437</v>
      </c>
      <c r="H267" s="4" t="s">
        <v>438</v>
      </c>
      <c r="I267" s="4">
        <v>5.0</v>
      </c>
      <c r="J267" s="4" t="s">
        <v>595</v>
      </c>
      <c r="K267" s="4" t="s">
        <v>596</v>
      </c>
      <c r="L267" s="4" t="s">
        <v>597</v>
      </c>
      <c r="M267" s="4" t="s">
        <v>598</v>
      </c>
      <c r="N267" s="4" t="s">
        <v>600</v>
      </c>
      <c r="O267" s="4" t="s">
        <v>744</v>
      </c>
      <c r="P267" s="4" t="s">
        <v>237</v>
      </c>
    </row>
    <row r="268" ht="15.75" customHeight="1">
      <c r="A268" s="4" t="s">
        <v>262</v>
      </c>
      <c r="B268" s="4" t="s">
        <v>238</v>
      </c>
      <c r="C268" s="4">
        <v>10.0</v>
      </c>
      <c r="D268" s="4" t="s">
        <v>442</v>
      </c>
      <c r="E268" s="4" t="s">
        <v>443</v>
      </c>
      <c r="F268" s="4" t="s">
        <v>444</v>
      </c>
      <c r="G268" s="4" t="s">
        <v>445</v>
      </c>
      <c r="H268" s="4" t="s">
        <v>230</v>
      </c>
      <c r="I268" s="4">
        <v>9.0</v>
      </c>
      <c r="J268" s="4" t="s">
        <v>392</v>
      </c>
      <c r="K268" s="4" t="s">
        <v>544</v>
      </c>
      <c r="L268" s="4" t="s">
        <v>545</v>
      </c>
      <c r="M268" s="4" t="s">
        <v>546</v>
      </c>
      <c r="N268" s="4" t="s">
        <v>547</v>
      </c>
      <c r="O268" s="4" t="s">
        <v>937</v>
      </c>
      <c r="P268" s="4" t="s">
        <v>237</v>
      </c>
    </row>
    <row r="269" ht="15.75" customHeight="1">
      <c r="A269" s="4" t="s">
        <v>250</v>
      </c>
      <c r="B269" s="4" t="s">
        <v>938</v>
      </c>
      <c r="C269" s="4">
        <v>8.0</v>
      </c>
      <c r="D269" s="4" t="s">
        <v>218</v>
      </c>
      <c r="E269" s="4" t="s">
        <v>219</v>
      </c>
      <c r="F269" s="4" t="s">
        <v>452</v>
      </c>
      <c r="G269" s="4" t="s">
        <v>453</v>
      </c>
      <c r="H269" s="4" t="s">
        <v>454</v>
      </c>
      <c r="I269" s="4">
        <v>7.0</v>
      </c>
      <c r="J269" s="4" t="s">
        <v>552</v>
      </c>
      <c r="K269" s="4" t="s">
        <v>553</v>
      </c>
      <c r="L269" s="4" t="s">
        <v>554</v>
      </c>
      <c r="M269" s="4" t="s">
        <v>555</v>
      </c>
      <c r="N269" s="4" t="s">
        <v>556</v>
      </c>
      <c r="O269" s="4" t="s">
        <v>939</v>
      </c>
      <c r="P269" s="4" t="s">
        <v>508</v>
      </c>
    </row>
    <row r="270" ht="15.75" customHeight="1">
      <c r="A270" s="4" t="s">
        <v>113</v>
      </c>
      <c r="C270" s="4">
        <v>2.0</v>
      </c>
      <c r="D270" s="4" t="s">
        <v>480</v>
      </c>
      <c r="E270" s="4" t="s">
        <v>481</v>
      </c>
      <c r="F270" s="4" t="s">
        <v>482</v>
      </c>
      <c r="G270" s="4" t="s">
        <v>483</v>
      </c>
      <c r="H270" s="4" t="s">
        <v>484</v>
      </c>
      <c r="I270" s="4">
        <v>2.0</v>
      </c>
      <c r="J270" s="4" t="s">
        <v>480</v>
      </c>
      <c r="K270" s="4" t="s">
        <v>581</v>
      </c>
      <c r="L270" s="4" t="s">
        <v>242</v>
      </c>
      <c r="M270" s="4" t="s">
        <v>582</v>
      </c>
      <c r="N270" s="4" t="s">
        <v>285</v>
      </c>
      <c r="O270" s="4" t="s">
        <v>476</v>
      </c>
      <c r="P270" s="4" t="s">
        <v>237</v>
      </c>
    </row>
    <row r="271" ht="15.75" customHeight="1">
      <c r="A271" s="4" t="s">
        <v>112</v>
      </c>
      <c r="C271" s="4">
        <v>7.0</v>
      </c>
      <c r="D271" s="4" t="s">
        <v>458</v>
      </c>
      <c r="E271" s="4" t="s">
        <v>459</v>
      </c>
      <c r="F271" s="4" t="s">
        <v>460</v>
      </c>
      <c r="G271" s="4" t="s">
        <v>461</v>
      </c>
      <c r="H271" s="4" t="s">
        <v>462</v>
      </c>
      <c r="I271" s="4">
        <v>1.0</v>
      </c>
      <c r="J271" s="4" t="s">
        <v>401</v>
      </c>
      <c r="K271" s="4" t="s">
        <v>612</v>
      </c>
      <c r="L271" s="4" t="s">
        <v>613</v>
      </c>
      <c r="M271" s="4" t="s">
        <v>614</v>
      </c>
      <c r="N271" s="4" t="s">
        <v>610</v>
      </c>
      <c r="O271" s="4" t="s">
        <v>940</v>
      </c>
      <c r="P271" s="4" t="s">
        <v>237</v>
      </c>
    </row>
    <row r="272" ht="15.75" customHeight="1">
      <c r="A272" s="4" t="s">
        <v>276</v>
      </c>
      <c r="C272" s="4">
        <v>8.0</v>
      </c>
      <c r="D272" s="4" t="s">
        <v>244</v>
      </c>
      <c r="E272" s="4" t="s">
        <v>468</v>
      </c>
      <c r="F272" s="4" t="s">
        <v>469</v>
      </c>
      <c r="G272" s="4" t="s">
        <v>470</v>
      </c>
      <c r="H272" s="4" t="s">
        <v>471</v>
      </c>
      <c r="I272" s="4">
        <v>3.0</v>
      </c>
      <c r="J272" s="4" t="s">
        <v>564</v>
      </c>
      <c r="K272" s="4" t="s">
        <v>565</v>
      </c>
      <c r="L272" s="4" t="s">
        <v>403</v>
      </c>
      <c r="M272" s="4" t="s">
        <v>567</v>
      </c>
      <c r="N272" s="4" t="s">
        <v>568</v>
      </c>
      <c r="O272" s="4" t="s">
        <v>941</v>
      </c>
      <c r="P272" s="4" t="s">
        <v>942</v>
      </c>
    </row>
    <row r="273" ht="15.75" customHeight="1">
      <c r="A273" s="4" t="s">
        <v>270</v>
      </c>
      <c r="C273" s="4">
        <v>11.0</v>
      </c>
      <c r="D273" s="4" t="s">
        <v>271</v>
      </c>
      <c r="E273" s="4" t="s">
        <v>473</v>
      </c>
      <c r="F273" s="4" t="s">
        <v>474</v>
      </c>
      <c r="G273" s="4" t="s">
        <v>475</v>
      </c>
      <c r="H273" s="4" t="s">
        <v>235</v>
      </c>
      <c r="I273" s="4">
        <v>3.0</v>
      </c>
      <c r="J273" s="4" t="s">
        <v>383</v>
      </c>
      <c r="K273" s="4" t="s">
        <v>294</v>
      </c>
      <c r="L273" s="4" t="s">
        <v>266</v>
      </c>
      <c r="M273" s="4" t="s">
        <v>619</v>
      </c>
      <c r="N273" s="4" t="s">
        <v>620</v>
      </c>
      <c r="O273" s="4" t="s">
        <v>753</v>
      </c>
      <c r="P273" s="4" t="s">
        <v>237</v>
      </c>
    </row>
    <row r="274" ht="15.75" customHeight="1"/>
    <row r="275" ht="15.75" customHeight="1">
      <c r="A275" s="8" t="s">
        <v>943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10"/>
    </row>
    <row r="276" ht="15.75" customHeight="1">
      <c r="A276" s="2"/>
      <c r="B276" s="2" t="s">
        <v>408</v>
      </c>
      <c r="C276" s="2" t="s">
        <v>521</v>
      </c>
    </row>
    <row r="277" ht="15.75" customHeight="1">
      <c r="A277" s="2" t="s">
        <v>174</v>
      </c>
      <c r="B277" s="5" t="s">
        <v>410</v>
      </c>
      <c r="C277" s="5" t="s">
        <v>523</v>
      </c>
    </row>
    <row r="278" ht="15.75" customHeight="1">
      <c r="A278" s="2" t="s">
        <v>177</v>
      </c>
      <c r="B278" s="5" t="s">
        <v>412</v>
      </c>
      <c r="C278" s="5" t="s">
        <v>525</v>
      </c>
    </row>
    <row r="279" ht="15.75" customHeight="1">
      <c r="A279" s="2" t="s">
        <v>180</v>
      </c>
      <c r="B279" s="5" t="s">
        <v>414</v>
      </c>
      <c r="C279" s="5" t="s">
        <v>526</v>
      </c>
    </row>
    <row r="280" ht="15.75" customHeight="1">
      <c r="A280" s="2" t="s">
        <v>183</v>
      </c>
      <c r="B280" s="5" t="s">
        <v>416</v>
      </c>
      <c r="C280" s="5" t="s">
        <v>528</v>
      </c>
    </row>
    <row r="281" ht="15.75" customHeight="1">
      <c r="A281" s="2" t="s">
        <v>96</v>
      </c>
      <c r="B281" s="5" t="s">
        <v>418</v>
      </c>
      <c r="C281" s="5" t="s">
        <v>530</v>
      </c>
    </row>
    <row r="282" ht="15.75" customHeight="1">
      <c r="A282" s="2" t="s">
        <v>105</v>
      </c>
      <c r="B282" s="5" t="s">
        <v>420</v>
      </c>
      <c r="C282" s="5" t="s">
        <v>532</v>
      </c>
    </row>
    <row r="283" ht="15.75" customHeight="1">
      <c r="A283" s="2" t="s">
        <v>190</v>
      </c>
      <c r="B283" s="5" t="s">
        <v>192</v>
      </c>
      <c r="C283" s="5" t="s">
        <v>192</v>
      </c>
    </row>
    <row r="284" ht="105.0" customHeight="1">
      <c r="A284" s="2" t="s">
        <v>193</v>
      </c>
      <c r="B284" s="5" t="s">
        <v>423</v>
      </c>
      <c r="C284" s="5" t="s">
        <v>534</v>
      </c>
    </row>
    <row r="285" ht="15.75" customHeight="1">
      <c r="A285" s="2" t="s">
        <v>119</v>
      </c>
      <c r="B285" s="5" t="s">
        <v>425</v>
      </c>
      <c r="C285" s="5" t="s">
        <v>536</v>
      </c>
    </row>
    <row r="286" ht="150.0" customHeight="1">
      <c r="A286" s="2" t="s">
        <v>127</v>
      </c>
      <c r="B286" s="5" t="s">
        <v>428</v>
      </c>
      <c r="C286" s="5" t="s">
        <v>538</v>
      </c>
    </row>
    <row r="287" ht="15.75" customHeight="1">
      <c r="A287" s="16" t="s">
        <v>131</v>
      </c>
      <c r="B287" s="16" t="s">
        <v>132</v>
      </c>
      <c r="C287" s="16" t="s">
        <v>200</v>
      </c>
      <c r="D287" s="16" t="s">
        <v>201</v>
      </c>
      <c r="E287" s="16" t="s">
        <v>202</v>
      </c>
      <c r="F287" s="16" t="s">
        <v>203</v>
      </c>
      <c r="G287" s="16" t="s">
        <v>204</v>
      </c>
      <c r="H287" s="16" t="s">
        <v>205</v>
      </c>
      <c r="I287" s="16" t="s">
        <v>206</v>
      </c>
      <c r="J287" s="16" t="s">
        <v>207</v>
      </c>
      <c r="K287" s="16" t="s">
        <v>208</v>
      </c>
      <c r="L287" s="16" t="s">
        <v>209</v>
      </c>
      <c r="M287" s="16" t="s">
        <v>210</v>
      </c>
      <c r="N287" s="16" t="s">
        <v>211</v>
      </c>
      <c r="O287" s="16" t="s">
        <v>139</v>
      </c>
      <c r="P287" s="16" t="s">
        <v>140</v>
      </c>
    </row>
    <row r="288" ht="15.75" customHeight="1">
      <c r="A288" s="4" t="s">
        <v>110</v>
      </c>
      <c r="B288" s="4" t="s">
        <v>911</v>
      </c>
      <c r="C288" s="4">
        <v>14.0</v>
      </c>
      <c r="D288" s="4" t="s">
        <v>431</v>
      </c>
      <c r="E288" s="4" t="s">
        <v>432</v>
      </c>
      <c r="F288" s="4" t="s">
        <v>433</v>
      </c>
      <c r="G288" s="4" t="s">
        <v>434</v>
      </c>
      <c r="H288" s="4" t="s">
        <v>435</v>
      </c>
      <c r="I288" s="4">
        <v>5.0</v>
      </c>
      <c r="J288" s="4" t="s">
        <v>595</v>
      </c>
      <c r="K288" s="4" t="s">
        <v>596</v>
      </c>
      <c r="L288" s="4" t="s">
        <v>597</v>
      </c>
      <c r="M288" s="4" t="s">
        <v>598</v>
      </c>
      <c r="N288" s="4" t="s">
        <v>600</v>
      </c>
      <c r="O288" s="4" t="s">
        <v>463</v>
      </c>
      <c r="P288" s="4" t="s">
        <v>464</v>
      </c>
    </row>
    <row r="289" ht="15.75" customHeight="1">
      <c r="A289" s="4" t="s">
        <v>262</v>
      </c>
      <c r="B289" s="4" t="s">
        <v>225</v>
      </c>
      <c r="C289" s="4">
        <v>7.0</v>
      </c>
      <c r="D289" s="4" t="s">
        <v>256</v>
      </c>
      <c r="E289" s="4" t="s">
        <v>257</v>
      </c>
      <c r="F289" s="4" t="s">
        <v>439</v>
      </c>
      <c r="G289" s="4" t="s">
        <v>440</v>
      </c>
      <c r="H289" s="4" t="s">
        <v>441</v>
      </c>
      <c r="I289" s="4">
        <v>9.0</v>
      </c>
      <c r="J289" s="4" t="s">
        <v>392</v>
      </c>
      <c r="K289" s="4" t="s">
        <v>544</v>
      </c>
      <c r="L289" s="4" t="s">
        <v>545</v>
      </c>
      <c r="M289" s="4" t="s">
        <v>546</v>
      </c>
      <c r="N289" s="4" t="s">
        <v>547</v>
      </c>
      <c r="O289" s="4" t="s">
        <v>753</v>
      </c>
      <c r="P289" s="4" t="s">
        <v>237</v>
      </c>
    </row>
    <row r="290" ht="15.75" customHeight="1">
      <c r="A290" s="4" t="s">
        <v>276</v>
      </c>
      <c r="B290" s="4" t="s">
        <v>335</v>
      </c>
      <c r="C290" s="4">
        <v>10.0</v>
      </c>
      <c r="D290" s="4" t="s">
        <v>465</v>
      </c>
      <c r="E290" s="4" t="s">
        <v>466</v>
      </c>
      <c r="F290" s="4" t="s">
        <v>433</v>
      </c>
      <c r="G290" s="4" t="s">
        <v>340</v>
      </c>
      <c r="H290" s="4" t="s">
        <v>467</v>
      </c>
      <c r="I290" s="4">
        <v>3.0</v>
      </c>
      <c r="J290" s="4" t="s">
        <v>564</v>
      </c>
      <c r="K290" s="4" t="s">
        <v>565</v>
      </c>
      <c r="L290" s="4" t="s">
        <v>403</v>
      </c>
      <c r="M290" s="4" t="s">
        <v>567</v>
      </c>
      <c r="N290" s="4" t="s">
        <v>568</v>
      </c>
      <c r="O290" s="4" t="s">
        <v>941</v>
      </c>
      <c r="P290" s="4" t="s">
        <v>942</v>
      </c>
    </row>
    <row r="291" ht="15.75" customHeight="1">
      <c r="A291" s="4" t="s">
        <v>113</v>
      </c>
      <c r="C291" s="4">
        <v>7.0</v>
      </c>
      <c r="D291" s="4" t="s">
        <v>458</v>
      </c>
      <c r="E291" s="4" t="s">
        <v>459</v>
      </c>
      <c r="F291" s="4" t="s">
        <v>477</v>
      </c>
      <c r="G291" s="4" t="s">
        <v>478</v>
      </c>
      <c r="H291" s="4" t="s">
        <v>479</v>
      </c>
      <c r="I291" s="4">
        <v>2.0</v>
      </c>
      <c r="J291" s="4" t="s">
        <v>480</v>
      </c>
      <c r="K291" s="4" t="s">
        <v>581</v>
      </c>
      <c r="L291" s="4" t="s">
        <v>242</v>
      </c>
      <c r="M291" s="4" t="s">
        <v>582</v>
      </c>
      <c r="N291" s="4" t="s">
        <v>285</v>
      </c>
      <c r="O291" s="4" t="s">
        <v>944</v>
      </c>
      <c r="P291" s="4" t="s">
        <v>237</v>
      </c>
    </row>
    <row r="292" ht="15.75" customHeight="1">
      <c r="A292" s="4" t="s">
        <v>112</v>
      </c>
      <c r="C292" s="4">
        <v>4.0</v>
      </c>
      <c r="D292" s="4" t="s">
        <v>455</v>
      </c>
      <c r="E292" s="4" t="s">
        <v>456</v>
      </c>
      <c r="F292" s="4" t="s">
        <v>246</v>
      </c>
      <c r="G292" s="4" t="s">
        <v>242</v>
      </c>
      <c r="H292" s="4" t="s">
        <v>457</v>
      </c>
      <c r="I292" s="4">
        <v>1.0</v>
      </c>
      <c r="J292" s="4" t="s">
        <v>401</v>
      </c>
      <c r="K292" s="4" t="s">
        <v>612</v>
      </c>
      <c r="L292" s="4" t="s">
        <v>613</v>
      </c>
      <c r="M292" s="4" t="s">
        <v>614</v>
      </c>
      <c r="N292" s="4" t="s">
        <v>610</v>
      </c>
      <c r="O292" s="4" t="s">
        <v>946</v>
      </c>
      <c r="P292" s="4" t="s">
        <v>683</v>
      </c>
    </row>
    <row r="293" ht="15.75" customHeight="1">
      <c r="A293" s="4" t="s">
        <v>250</v>
      </c>
      <c r="C293" s="4">
        <v>4.0</v>
      </c>
      <c r="D293" s="4" t="s">
        <v>448</v>
      </c>
      <c r="E293" s="4" t="s">
        <v>449</v>
      </c>
      <c r="F293" s="4" t="s">
        <v>450</v>
      </c>
      <c r="G293" s="4" t="s">
        <v>385</v>
      </c>
      <c r="H293" s="4" t="s">
        <v>451</v>
      </c>
      <c r="I293" s="4">
        <v>7.0</v>
      </c>
      <c r="J293" s="4" t="s">
        <v>552</v>
      </c>
      <c r="K293" s="4" t="s">
        <v>553</v>
      </c>
      <c r="L293" s="4" t="s">
        <v>554</v>
      </c>
      <c r="M293" s="4" t="s">
        <v>555</v>
      </c>
      <c r="N293" s="4" t="s">
        <v>556</v>
      </c>
      <c r="O293" s="4" t="s">
        <v>941</v>
      </c>
      <c r="P293" s="4" t="s">
        <v>942</v>
      </c>
    </row>
    <row r="294" ht="15.75" customHeight="1">
      <c r="A294" s="4" t="s">
        <v>270</v>
      </c>
      <c r="C294" s="4">
        <v>0.0</v>
      </c>
      <c r="I294" s="4">
        <v>3.0</v>
      </c>
      <c r="J294" s="4" t="s">
        <v>383</v>
      </c>
      <c r="K294" s="4" t="s">
        <v>294</v>
      </c>
      <c r="L294" s="4" t="s">
        <v>266</v>
      </c>
      <c r="M294" s="4" t="s">
        <v>619</v>
      </c>
      <c r="N294" s="4" t="s">
        <v>620</v>
      </c>
      <c r="O294" s="4" t="s">
        <v>770</v>
      </c>
      <c r="P294" s="4" t="s">
        <v>237</v>
      </c>
    </row>
    <row r="295" ht="15.75" customHeight="1"/>
    <row r="296" ht="15.75" customHeight="1">
      <c r="A296" s="8" t="s">
        <v>947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10"/>
    </row>
    <row r="297" ht="15.75" customHeight="1">
      <c r="A297" s="2"/>
      <c r="B297" s="2" t="s">
        <v>486</v>
      </c>
      <c r="C297" s="2" t="s">
        <v>948</v>
      </c>
    </row>
    <row r="298" ht="15.75" customHeight="1">
      <c r="A298" s="2" t="s">
        <v>174</v>
      </c>
      <c r="B298" s="5" t="s">
        <v>949</v>
      </c>
      <c r="C298" s="5" t="s">
        <v>950</v>
      </c>
    </row>
    <row r="299" ht="15.75" customHeight="1">
      <c r="A299" s="2" t="s">
        <v>177</v>
      </c>
      <c r="B299" s="5" t="s">
        <v>951</v>
      </c>
      <c r="C299" s="5" t="s">
        <v>952</v>
      </c>
    </row>
    <row r="300" ht="15.75" customHeight="1">
      <c r="A300" s="2" t="s">
        <v>180</v>
      </c>
      <c r="B300" s="5" t="s">
        <v>346</v>
      </c>
      <c r="C300" s="5" t="s">
        <v>877</v>
      </c>
    </row>
    <row r="301" ht="15.75" customHeight="1">
      <c r="A301" s="2" t="s">
        <v>183</v>
      </c>
      <c r="B301" s="5" t="s">
        <v>953</v>
      </c>
      <c r="C301" s="5" t="s">
        <v>954</v>
      </c>
    </row>
    <row r="302" ht="15.75" customHeight="1">
      <c r="A302" s="2" t="s">
        <v>96</v>
      </c>
      <c r="B302" s="5" t="s">
        <v>955</v>
      </c>
      <c r="C302" s="5" t="s">
        <v>956</v>
      </c>
    </row>
    <row r="303" ht="15.75" customHeight="1">
      <c r="A303" s="2" t="s">
        <v>105</v>
      </c>
      <c r="B303" s="5" t="s">
        <v>957</v>
      </c>
      <c r="C303" s="5" t="s">
        <v>712</v>
      </c>
    </row>
    <row r="304" ht="15.75" customHeight="1">
      <c r="A304" s="2" t="s">
        <v>190</v>
      </c>
      <c r="B304" s="5" t="s">
        <v>958</v>
      </c>
      <c r="C304" s="5" t="s">
        <v>959</v>
      </c>
    </row>
    <row r="305" ht="105.0" customHeight="1">
      <c r="A305" s="2" t="s">
        <v>193</v>
      </c>
      <c r="B305" s="5" t="s">
        <v>960</v>
      </c>
      <c r="C305" s="5" t="s">
        <v>961</v>
      </c>
    </row>
    <row r="306" ht="15.75" customHeight="1">
      <c r="A306" s="2" t="s">
        <v>119</v>
      </c>
      <c r="B306" s="5" t="s">
        <v>962</v>
      </c>
      <c r="C306" s="5" t="s">
        <v>963</v>
      </c>
    </row>
    <row r="307" ht="150.0" customHeight="1">
      <c r="A307" s="2" t="s">
        <v>127</v>
      </c>
      <c r="B307" s="5" t="s">
        <v>964</v>
      </c>
      <c r="C307" s="5" t="s">
        <v>965</v>
      </c>
    </row>
    <row r="308" ht="15.75" customHeight="1">
      <c r="A308" s="16" t="s">
        <v>131</v>
      </c>
      <c r="B308" s="16" t="s">
        <v>132</v>
      </c>
      <c r="C308" s="16" t="s">
        <v>200</v>
      </c>
      <c r="D308" s="16" t="s">
        <v>201</v>
      </c>
      <c r="E308" s="16" t="s">
        <v>202</v>
      </c>
      <c r="F308" s="16" t="s">
        <v>203</v>
      </c>
      <c r="G308" s="16" t="s">
        <v>204</v>
      </c>
      <c r="H308" s="16" t="s">
        <v>205</v>
      </c>
      <c r="I308" s="16" t="s">
        <v>206</v>
      </c>
      <c r="J308" s="16" t="s">
        <v>207</v>
      </c>
      <c r="K308" s="16" t="s">
        <v>208</v>
      </c>
      <c r="L308" s="16" t="s">
        <v>209</v>
      </c>
      <c r="M308" s="16" t="s">
        <v>210</v>
      </c>
      <c r="N308" s="16" t="s">
        <v>211</v>
      </c>
      <c r="O308" s="16" t="s">
        <v>139</v>
      </c>
      <c r="P308" s="16" t="s">
        <v>140</v>
      </c>
    </row>
    <row r="309" ht="15.75" customHeight="1">
      <c r="A309" s="4" t="s">
        <v>276</v>
      </c>
      <c r="B309" s="4" t="s">
        <v>171</v>
      </c>
      <c r="C309" s="4">
        <v>14.0</v>
      </c>
      <c r="D309" s="4" t="s">
        <v>966</v>
      </c>
      <c r="E309" s="4" t="s">
        <v>466</v>
      </c>
      <c r="F309" s="4" t="s">
        <v>967</v>
      </c>
      <c r="G309" s="4" t="s">
        <v>968</v>
      </c>
      <c r="H309" s="4" t="s">
        <v>969</v>
      </c>
      <c r="I309" s="4">
        <v>11.0</v>
      </c>
      <c r="J309" s="4" t="s">
        <v>970</v>
      </c>
      <c r="K309" s="4" t="s">
        <v>922</v>
      </c>
      <c r="L309" s="4" t="s">
        <v>242</v>
      </c>
      <c r="M309" s="4" t="s">
        <v>971</v>
      </c>
      <c r="N309" s="4" t="s">
        <v>972</v>
      </c>
      <c r="O309" s="4" t="s">
        <v>973</v>
      </c>
      <c r="P309" s="4" t="s">
        <v>974</v>
      </c>
    </row>
    <row r="310" ht="15.75" customHeight="1">
      <c r="A310" s="4" t="s">
        <v>262</v>
      </c>
      <c r="B310" s="4" t="s">
        <v>938</v>
      </c>
      <c r="C310" s="4">
        <v>10.0</v>
      </c>
      <c r="D310" s="4" t="s">
        <v>975</v>
      </c>
      <c r="E310" s="4" t="s">
        <v>848</v>
      </c>
      <c r="F310" s="4" t="s">
        <v>695</v>
      </c>
      <c r="G310" s="4" t="s">
        <v>976</v>
      </c>
      <c r="H310" s="4" t="s">
        <v>563</v>
      </c>
      <c r="I310" s="4">
        <v>14.0</v>
      </c>
      <c r="J310" s="4" t="s">
        <v>966</v>
      </c>
      <c r="K310" s="4" t="s">
        <v>662</v>
      </c>
      <c r="L310" s="4" t="s">
        <v>977</v>
      </c>
      <c r="M310" s="4" t="s">
        <v>400</v>
      </c>
      <c r="N310" s="4" t="s">
        <v>665</v>
      </c>
      <c r="O310" s="4" t="s">
        <v>978</v>
      </c>
      <c r="P310" s="4" t="s">
        <v>683</v>
      </c>
    </row>
    <row r="311" ht="15.75" customHeight="1">
      <c r="A311" s="4" t="s">
        <v>250</v>
      </c>
      <c r="B311" s="4" t="s">
        <v>142</v>
      </c>
      <c r="C311" s="4">
        <v>10.0</v>
      </c>
      <c r="D311" s="4" t="s">
        <v>693</v>
      </c>
      <c r="E311" s="4" t="s">
        <v>278</v>
      </c>
      <c r="F311" s="4" t="s">
        <v>979</v>
      </c>
      <c r="G311" s="4" t="s">
        <v>242</v>
      </c>
      <c r="H311" s="4" t="s">
        <v>691</v>
      </c>
      <c r="I311" s="4">
        <v>11.0</v>
      </c>
      <c r="J311" s="4" t="s">
        <v>271</v>
      </c>
      <c r="K311" s="4" t="s">
        <v>745</v>
      </c>
      <c r="L311" s="4" t="s">
        <v>397</v>
      </c>
      <c r="M311" s="4" t="s">
        <v>749</v>
      </c>
      <c r="N311" s="4" t="s">
        <v>376</v>
      </c>
      <c r="O311" s="4" t="s">
        <v>980</v>
      </c>
      <c r="P311" s="4" t="s">
        <v>224</v>
      </c>
    </row>
    <row r="312" ht="15.75" customHeight="1">
      <c r="A312" s="4" t="s">
        <v>112</v>
      </c>
      <c r="B312" s="4" t="s">
        <v>354</v>
      </c>
      <c r="C312" s="4">
        <v>10.0</v>
      </c>
      <c r="D312" s="4" t="s">
        <v>975</v>
      </c>
      <c r="E312" s="4" t="s">
        <v>981</v>
      </c>
      <c r="F312" s="4" t="s">
        <v>982</v>
      </c>
      <c r="G312" s="4" t="s">
        <v>983</v>
      </c>
      <c r="H312" s="4" t="s">
        <v>691</v>
      </c>
      <c r="I312" s="4">
        <v>11.0</v>
      </c>
      <c r="J312" s="4" t="s">
        <v>374</v>
      </c>
      <c r="K312" s="4" t="s">
        <v>794</v>
      </c>
      <c r="L312" s="4" t="s">
        <v>616</v>
      </c>
      <c r="M312" s="4" t="s">
        <v>385</v>
      </c>
      <c r="N312" s="4" t="s">
        <v>376</v>
      </c>
      <c r="O312" s="4" t="s">
        <v>332</v>
      </c>
      <c r="P312" s="4" t="s">
        <v>224</v>
      </c>
    </row>
    <row r="313" ht="15.75" customHeight="1">
      <c r="A313" s="4" t="s">
        <v>113</v>
      </c>
      <c r="B313" s="4" t="s">
        <v>984</v>
      </c>
      <c r="C313" s="4">
        <v>3.0</v>
      </c>
      <c r="D313" s="4" t="s">
        <v>383</v>
      </c>
      <c r="E313" s="4" t="s">
        <v>848</v>
      </c>
      <c r="F313" s="4" t="s">
        <v>619</v>
      </c>
      <c r="G313" s="4" t="s">
        <v>242</v>
      </c>
      <c r="H313" s="4" t="s">
        <v>568</v>
      </c>
      <c r="I313" s="4">
        <v>15.0</v>
      </c>
      <c r="J313" s="4" t="s">
        <v>985</v>
      </c>
      <c r="K313" s="4" t="s">
        <v>329</v>
      </c>
      <c r="L313" s="4" t="s">
        <v>986</v>
      </c>
      <c r="M313" s="4" t="s">
        <v>216</v>
      </c>
      <c r="N313" s="4" t="s">
        <v>987</v>
      </c>
      <c r="O313" s="4" t="s">
        <v>988</v>
      </c>
      <c r="P313" s="4" t="s">
        <v>224</v>
      </c>
    </row>
    <row r="314" ht="15.75" customHeight="1">
      <c r="A314" s="4" t="s">
        <v>270</v>
      </c>
      <c r="B314" s="4" t="s">
        <v>447</v>
      </c>
      <c r="C314" s="4">
        <v>9.0</v>
      </c>
      <c r="D314" s="4" t="s">
        <v>264</v>
      </c>
      <c r="E314" s="4" t="s">
        <v>706</v>
      </c>
      <c r="F314" s="4" t="s">
        <v>834</v>
      </c>
      <c r="G314" s="4" t="s">
        <v>734</v>
      </c>
      <c r="H314" s="4" t="s">
        <v>679</v>
      </c>
      <c r="I314" s="4">
        <v>0.0</v>
      </c>
      <c r="O314" s="4" t="s">
        <v>584</v>
      </c>
      <c r="P314" s="4" t="s">
        <v>237</v>
      </c>
    </row>
    <row r="315" ht="15.75" customHeight="1">
      <c r="A315" s="4" t="s">
        <v>110</v>
      </c>
      <c r="C315" s="4">
        <v>11.0</v>
      </c>
      <c r="D315" s="4" t="s">
        <v>271</v>
      </c>
      <c r="E315" s="4" t="s">
        <v>294</v>
      </c>
      <c r="F315" s="4" t="s">
        <v>989</v>
      </c>
      <c r="G315" s="4" t="s">
        <v>684</v>
      </c>
      <c r="H315" s="4" t="s">
        <v>990</v>
      </c>
      <c r="I315" s="4">
        <v>7.0</v>
      </c>
      <c r="J315" s="4" t="s">
        <v>256</v>
      </c>
      <c r="K315" s="4" t="s">
        <v>393</v>
      </c>
      <c r="L315" s="4" t="s">
        <v>971</v>
      </c>
      <c r="M315" s="4" t="s">
        <v>991</v>
      </c>
      <c r="N315" s="4" t="s">
        <v>441</v>
      </c>
      <c r="O315" s="4" t="s">
        <v>692</v>
      </c>
      <c r="P315" s="4" t="s">
        <v>224</v>
      </c>
    </row>
    <row r="316" ht="15.75" customHeight="1"/>
    <row r="317" ht="15.75" customHeight="1">
      <c r="A317" s="8" t="s">
        <v>992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10"/>
    </row>
    <row r="318" ht="15.75" customHeight="1">
      <c r="A318" s="2"/>
      <c r="B318" s="2" t="s">
        <v>997</v>
      </c>
      <c r="C318" s="2" t="s">
        <v>999</v>
      </c>
    </row>
    <row r="319" ht="15.75" customHeight="1">
      <c r="A319" s="2" t="s">
        <v>174</v>
      </c>
      <c r="B319" s="5" t="s">
        <v>1001</v>
      </c>
      <c r="C319" s="5" t="s">
        <v>1002</v>
      </c>
    </row>
    <row r="320" ht="15.75" customHeight="1">
      <c r="A320" s="2" t="s">
        <v>177</v>
      </c>
      <c r="B320" s="5" t="s">
        <v>1003</v>
      </c>
      <c r="C320" s="5" t="s">
        <v>1004</v>
      </c>
    </row>
    <row r="321" ht="15.75" customHeight="1">
      <c r="A321" s="2" t="s">
        <v>180</v>
      </c>
      <c r="B321" s="5" t="s">
        <v>677</v>
      </c>
      <c r="C321" s="5" t="s">
        <v>833</v>
      </c>
    </row>
    <row r="322" ht="15.75" customHeight="1">
      <c r="A322" s="2" t="s">
        <v>183</v>
      </c>
      <c r="B322" s="5" t="s">
        <v>1005</v>
      </c>
      <c r="C322" s="5" t="s">
        <v>1006</v>
      </c>
    </row>
    <row r="323" ht="15.75" customHeight="1">
      <c r="A323" s="2" t="s">
        <v>96</v>
      </c>
      <c r="B323" s="5" t="s">
        <v>1007</v>
      </c>
      <c r="C323" s="5" t="s">
        <v>1008</v>
      </c>
    </row>
    <row r="324" ht="15.75" customHeight="1">
      <c r="A324" s="2" t="s">
        <v>105</v>
      </c>
      <c r="B324" s="5" t="s">
        <v>1009</v>
      </c>
      <c r="C324" s="5" t="s">
        <v>1010</v>
      </c>
    </row>
    <row r="325" ht="15.75" customHeight="1">
      <c r="A325" s="2" t="s">
        <v>190</v>
      </c>
      <c r="B325" s="5" t="s">
        <v>192</v>
      </c>
      <c r="C325" s="5" t="s">
        <v>192</v>
      </c>
    </row>
    <row r="326" ht="105.0" customHeight="1">
      <c r="A326" s="2" t="s">
        <v>193</v>
      </c>
      <c r="B326" s="5" t="s">
        <v>1011</v>
      </c>
      <c r="C326" s="5" t="s">
        <v>1012</v>
      </c>
    </row>
    <row r="327" ht="15.75" customHeight="1">
      <c r="A327" s="2" t="s">
        <v>119</v>
      </c>
      <c r="B327" s="5" t="s">
        <v>1015</v>
      </c>
      <c r="C327" s="5" t="s">
        <v>1016</v>
      </c>
    </row>
    <row r="328" ht="150.0" customHeight="1">
      <c r="A328" s="2" t="s">
        <v>127</v>
      </c>
      <c r="B328" s="5" t="s">
        <v>1017</v>
      </c>
      <c r="C328" s="5" t="s">
        <v>1018</v>
      </c>
    </row>
    <row r="329" ht="15.75" customHeight="1">
      <c r="A329" s="16" t="s">
        <v>131</v>
      </c>
      <c r="B329" s="16" t="s">
        <v>132</v>
      </c>
      <c r="C329" s="16" t="s">
        <v>200</v>
      </c>
      <c r="D329" s="16" t="s">
        <v>201</v>
      </c>
      <c r="E329" s="16" t="s">
        <v>202</v>
      </c>
      <c r="F329" s="16" t="s">
        <v>203</v>
      </c>
      <c r="G329" s="16" t="s">
        <v>204</v>
      </c>
      <c r="H329" s="16" t="s">
        <v>205</v>
      </c>
      <c r="I329" s="16" t="s">
        <v>206</v>
      </c>
      <c r="J329" s="16" t="s">
        <v>207</v>
      </c>
      <c r="K329" s="16" t="s">
        <v>208</v>
      </c>
      <c r="L329" s="16" t="s">
        <v>209</v>
      </c>
      <c r="M329" s="16" t="s">
        <v>210</v>
      </c>
      <c r="N329" s="16" t="s">
        <v>211</v>
      </c>
      <c r="O329" s="16" t="s">
        <v>139</v>
      </c>
      <c r="P329" s="16" t="s">
        <v>140</v>
      </c>
    </row>
    <row r="330" ht="15.75" customHeight="1">
      <c r="A330" s="4" t="s">
        <v>250</v>
      </c>
      <c r="B330" s="4" t="s">
        <v>1019</v>
      </c>
      <c r="C330" s="4">
        <v>7.0</v>
      </c>
      <c r="D330" s="4" t="s">
        <v>256</v>
      </c>
      <c r="E330" s="4" t="s">
        <v>1020</v>
      </c>
      <c r="F330" s="4" t="s">
        <v>434</v>
      </c>
      <c r="G330" s="4" t="s">
        <v>660</v>
      </c>
      <c r="H330" s="4" t="s">
        <v>441</v>
      </c>
      <c r="I330" s="4">
        <v>11.0</v>
      </c>
      <c r="J330" s="4" t="s">
        <v>328</v>
      </c>
      <c r="K330" s="4" t="s">
        <v>265</v>
      </c>
      <c r="L330" s="4" t="s">
        <v>874</v>
      </c>
      <c r="M330" s="4" t="s">
        <v>1021</v>
      </c>
      <c r="N330" s="4" t="s">
        <v>990</v>
      </c>
      <c r="O330" s="4" t="s">
        <v>621</v>
      </c>
      <c r="P330" s="4" t="s">
        <v>224</v>
      </c>
    </row>
    <row r="331" ht="15.75" customHeight="1">
      <c r="A331" s="4" t="s">
        <v>110</v>
      </c>
      <c r="B331" s="4" t="s">
        <v>373</v>
      </c>
      <c r="C331" s="4">
        <v>4.0</v>
      </c>
      <c r="D331" s="4" t="s">
        <v>878</v>
      </c>
      <c r="E331" s="4" t="s">
        <v>1022</v>
      </c>
      <c r="F331" s="4" t="s">
        <v>242</v>
      </c>
      <c r="G331" s="4" t="s">
        <v>384</v>
      </c>
      <c r="H331" s="4" t="s">
        <v>457</v>
      </c>
      <c r="I331" s="4">
        <v>11.0</v>
      </c>
      <c r="J331" s="4" t="s">
        <v>271</v>
      </c>
      <c r="K331" s="4" t="s">
        <v>265</v>
      </c>
      <c r="L331" s="4" t="s">
        <v>1023</v>
      </c>
      <c r="M331" s="4" t="s">
        <v>1024</v>
      </c>
      <c r="N331" s="4" t="s">
        <v>1025</v>
      </c>
      <c r="O331" s="4" t="s">
        <v>1026</v>
      </c>
      <c r="P331" s="4" t="s">
        <v>224</v>
      </c>
    </row>
    <row r="332" ht="15.75" customHeight="1">
      <c r="A332" s="4" t="s">
        <v>262</v>
      </c>
      <c r="B332" s="4" t="s">
        <v>688</v>
      </c>
      <c r="C332" s="4">
        <v>4.0</v>
      </c>
      <c r="D332" s="4" t="s">
        <v>455</v>
      </c>
      <c r="E332" s="4" t="s">
        <v>473</v>
      </c>
      <c r="F332" s="4" t="s">
        <v>1027</v>
      </c>
      <c r="G332" s="4" t="s">
        <v>609</v>
      </c>
      <c r="H332" s="4" t="s">
        <v>457</v>
      </c>
      <c r="I332" s="4">
        <v>5.0</v>
      </c>
      <c r="J332" s="4" t="s">
        <v>1028</v>
      </c>
      <c r="K332" s="4" t="s">
        <v>272</v>
      </c>
      <c r="L332" s="4" t="s">
        <v>1029</v>
      </c>
      <c r="M332" s="4" t="s">
        <v>1030</v>
      </c>
      <c r="N332" s="4" t="s">
        <v>1031</v>
      </c>
      <c r="O332" s="4" t="s">
        <v>382</v>
      </c>
      <c r="P332" s="4" t="s">
        <v>237</v>
      </c>
    </row>
    <row r="333" ht="15.75" customHeight="1">
      <c r="A333" s="4" t="s">
        <v>113</v>
      </c>
      <c r="B333" s="4" t="s">
        <v>754</v>
      </c>
      <c r="C333" s="4">
        <v>3.0</v>
      </c>
      <c r="D333" s="4" t="s">
        <v>383</v>
      </c>
      <c r="E333" s="4" t="s">
        <v>294</v>
      </c>
      <c r="F333" s="4" t="s">
        <v>920</v>
      </c>
      <c r="G333" s="4" t="s">
        <v>883</v>
      </c>
      <c r="H333" s="4" t="s">
        <v>620</v>
      </c>
      <c r="I333" s="4">
        <v>4.0</v>
      </c>
      <c r="J333" s="4" t="s">
        <v>455</v>
      </c>
      <c r="K333" s="4" t="s">
        <v>677</v>
      </c>
      <c r="L333" s="4" t="s">
        <v>234</v>
      </c>
      <c r="M333" s="4" t="s">
        <v>397</v>
      </c>
      <c r="N333" s="4" t="s">
        <v>457</v>
      </c>
      <c r="O333" s="4" t="s">
        <v>771</v>
      </c>
      <c r="P333" s="4" t="s">
        <v>237</v>
      </c>
    </row>
    <row r="334" ht="15.75" customHeight="1">
      <c r="A334" s="4" t="s">
        <v>276</v>
      </c>
      <c r="B334" s="4" t="s">
        <v>754</v>
      </c>
      <c r="C334" s="4">
        <v>1.0</v>
      </c>
      <c r="D334" s="4" t="s">
        <v>401</v>
      </c>
      <c r="E334" s="4" t="s">
        <v>182</v>
      </c>
      <c r="F334" s="4" t="s">
        <v>403</v>
      </c>
      <c r="G334" s="4" t="s">
        <v>266</v>
      </c>
      <c r="H334" s="4" t="s">
        <v>1032</v>
      </c>
      <c r="I334" s="4">
        <v>13.0</v>
      </c>
      <c r="J334" s="4" t="s">
        <v>1033</v>
      </c>
      <c r="K334" s="4" t="s">
        <v>339</v>
      </c>
      <c r="L334" s="4" t="s">
        <v>1034</v>
      </c>
      <c r="M334" s="4" t="s">
        <v>475</v>
      </c>
      <c r="N334" s="4" t="s">
        <v>821</v>
      </c>
      <c r="O334" s="4" t="s">
        <v>770</v>
      </c>
      <c r="P334" s="4" t="s">
        <v>237</v>
      </c>
    </row>
    <row r="335" ht="15.75" customHeight="1">
      <c r="A335" s="4" t="s">
        <v>270</v>
      </c>
      <c r="B335" s="4" t="s">
        <v>754</v>
      </c>
      <c r="C335" s="4">
        <v>0.0</v>
      </c>
      <c r="I335" s="4">
        <v>6.0</v>
      </c>
      <c r="J335" s="4" t="s">
        <v>763</v>
      </c>
      <c r="K335" s="4" t="s">
        <v>877</v>
      </c>
      <c r="L335" s="4" t="s">
        <v>1035</v>
      </c>
      <c r="M335" s="4" t="s">
        <v>437</v>
      </c>
      <c r="N335" s="4" t="s">
        <v>593</v>
      </c>
      <c r="O335" s="4" t="s">
        <v>236</v>
      </c>
      <c r="P335" s="4" t="s">
        <v>237</v>
      </c>
    </row>
    <row r="336" ht="15.75" customHeight="1">
      <c r="A336" s="4" t="s">
        <v>112</v>
      </c>
      <c r="C336" s="4">
        <v>7.0</v>
      </c>
      <c r="D336" s="4" t="s">
        <v>805</v>
      </c>
      <c r="E336" s="4" t="s">
        <v>265</v>
      </c>
      <c r="F336" s="4" t="s">
        <v>1036</v>
      </c>
      <c r="G336" s="4" t="s">
        <v>541</v>
      </c>
      <c r="H336" s="4" t="s">
        <v>441</v>
      </c>
      <c r="I336" s="4">
        <v>0.0</v>
      </c>
      <c r="O336" s="4" t="s">
        <v>513</v>
      </c>
      <c r="P336" s="4" t="s">
        <v>237</v>
      </c>
    </row>
    <row r="337" ht="15.75" customHeight="1"/>
    <row r="338" ht="15.75" customHeight="1">
      <c r="A338" s="8" t="s">
        <v>1037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10"/>
    </row>
    <row r="339" ht="15.75" customHeight="1">
      <c r="A339" s="2"/>
      <c r="B339" s="2" t="s">
        <v>1039</v>
      </c>
      <c r="C339" s="2" t="s">
        <v>1040</v>
      </c>
    </row>
    <row r="340" ht="15.75" customHeight="1">
      <c r="A340" s="2" t="s">
        <v>174</v>
      </c>
      <c r="B340" s="5" t="s">
        <v>1041</v>
      </c>
      <c r="C340" s="5" t="s">
        <v>1042</v>
      </c>
    </row>
    <row r="341" ht="15.75" customHeight="1">
      <c r="A341" s="2" t="s">
        <v>177</v>
      </c>
      <c r="B341" s="5" t="s">
        <v>1043</v>
      </c>
      <c r="C341" s="5" t="s">
        <v>1044</v>
      </c>
    </row>
    <row r="342" ht="15.75" customHeight="1">
      <c r="A342" s="2" t="s">
        <v>180</v>
      </c>
      <c r="B342" s="5" t="s">
        <v>245</v>
      </c>
      <c r="C342" s="5" t="s">
        <v>669</v>
      </c>
    </row>
    <row r="343" ht="15.75" customHeight="1">
      <c r="A343" s="2" t="s">
        <v>183</v>
      </c>
      <c r="B343" s="5" t="s">
        <v>1045</v>
      </c>
      <c r="C343" s="5" t="s">
        <v>1046</v>
      </c>
    </row>
    <row r="344" ht="15.75" customHeight="1">
      <c r="A344" s="2" t="s">
        <v>96</v>
      </c>
      <c r="B344" s="5" t="s">
        <v>1047</v>
      </c>
      <c r="C344" s="5" t="s">
        <v>1048</v>
      </c>
    </row>
    <row r="345" ht="15.75" customHeight="1">
      <c r="A345" s="2" t="s">
        <v>105</v>
      </c>
      <c r="B345" s="5" t="s">
        <v>1049</v>
      </c>
      <c r="C345" s="5" t="s">
        <v>1050</v>
      </c>
    </row>
    <row r="346" ht="15.75" customHeight="1">
      <c r="A346" s="2" t="s">
        <v>190</v>
      </c>
      <c r="B346" s="5" t="s">
        <v>192</v>
      </c>
      <c r="C346" s="5" t="s">
        <v>1051</v>
      </c>
    </row>
    <row r="347" ht="105.0" customHeight="1">
      <c r="A347" s="2" t="s">
        <v>193</v>
      </c>
      <c r="B347" s="5" t="s">
        <v>1052</v>
      </c>
      <c r="C347" s="5" t="s">
        <v>1053</v>
      </c>
    </row>
    <row r="348" ht="15.75" customHeight="1">
      <c r="A348" s="2" t="s">
        <v>119</v>
      </c>
      <c r="B348" s="5" t="s">
        <v>1054</v>
      </c>
      <c r="C348" s="5" t="s">
        <v>1055</v>
      </c>
    </row>
    <row r="349" ht="150.0" customHeight="1">
      <c r="A349" s="2" t="s">
        <v>127</v>
      </c>
      <c r="B349" s="5" t="s">
        <v>1056</v>
      </c>
      <c r="C349" s="5" t="s">
        <v>1057</v>
      </c>
    </row>
    <row r="350" ht="15.75" customHeight="1">
      <c r="A350" s="16" t="s">
        <v>131</v>
      </c>
      <c r="B350" s="16" t="s">
        <v>132</v>
      </c>
      <c r="C350" s="16" t="s">
        <v>200</v>
      </c>
      <c r="D350" s="16" t="s">
        <v>201</v>
      </c>
      <c r="E350" s="16" t="s">
        <v>202</v>
      </c>
      <c r="F350" s="16" t="s">
        <v>203</v>
      </c>
      <c r="G350" s="16" t="s">
        <v>204</v>
      </c>
      <c r="H350" s="16" t="s">
        <v>205</v>
      </c>
      <c r="I350" s="16" t="s">
        <v>206</v>
      </c>
      <c r="J350" s="16" t="s">
        <v>207</v>
      </c>
      <c r="K350" s="16" t="s">
        <v>208</v>
      </c>
      <c r="L350" s="16" t="s">
        <v>209</v>
      </c>
      <c r="M350" s="16" t="s">
        <v>210</v>
      </c>
      <c r="N350" s="16" t="s">
        <v>211</v>
      </c>
      <c r="O350" s="16" t="s">
        <v>139</v>
      </c>
      <c r="P350" s="16" t="s">
        <v>140</v>
      </c>
    </row>
    <row r="351" ht="15.75" customHeight="1">
      <c r="A351" s="4" t="s">
        <v>262</v>
      </c>
      <c r="B351" s="4" t="s">
        <v>1059</v>
      </c>
      <c r="C351" s="4">
        <v>8.0</v>
      </c>
      <c r="D351" s="4" t="s">
        <v>244</v>
      </c>
      <c r="E351" s="4" t="s">
        <v>549</v>
      </c>
      <c r="F351" s="4" t="s">
        <v>1060</v>
      </c>
      <c r="G351" s="4" t="s">
        <v>765</v>
      </c>
      <c r="H351" s="4" t="s">
        <v>471</v>
      </c>
      <c r="I351" s="4">
        <v>34.0</v>
      </c>
      <c r="J351" s="4" t="s">
        <v>1061</v>
      </c>
      <c r="K351" s="4" t="s">
        <v>219</v>
      </c>
      <c r="L351" s="4" t="s">
        <v>761</v>
      </c>
      <c r="M351" s="4" t="s">
        <v>1062</v>
      </c>
      <c r="N351" s="4" t="s">
        <v>1063</v>
      </c>
      <c r="O351" s="4" t="s">
        <v>1064</v>
      </c>
      <c r="P351" s="4" t="s">
        <v>237</v>
      </c>
    </row>
    <row r="352" ht="15.75" customHeight="1">
      <c r="A352" s="4" t="s">
        <v>113</v>
      </c>
      <c r="B352" s="4" t="s">
        <v>1065</v>
      </c>
      <c r="C352" s="4">
        <v>9.0</v>
      </c>
      <c r="D352" s="4" t="s">
        <v>1066</v>
      </c>
      <c r="E352" s="4" t="s">
        <v>794</v>
      </c>
      <c r="F352" s="4" t="s">
        <v>749</v>
      </c>
      <c r="G352" s="4" t="s">
        <v>541</v>
      </c>
      <c r="H352" s="4" t="s">
        <v>268</v>
      </c>
      <c r="I352" s="4">
        <v>15.0</v>
      </c>
      <c r="J352" s="4" t="s">
        <v>337</v>
      </c>
      <c r="K352" s="4" t="s">
        <v>1067</v>
      </c>
      <c r="L352" s="4" t="s">
        <v>734</v>
      </c>
      <c r="M352" s="4" t="s">
        <v>477</v>
      </c>
      <c r="N352" s="4" t="s">
        <v>987</v>
      </c>
      <c r="O352" s="4" t="s">
        <v>513</v>
      </c>
      <c r="P352" s="4" t="s">
        <v>237</v>
      </c>
    </row>
    <row r="353" ht="15.75" customHeight="1">
      <c r="A353" s="4" t="s">
        <v>110</v>
      </c>
      <c r="B353" s="4" t="s">
        <v>1065</v>
      </c>
      <c r="C353" s="4">
        <v>12.0</v>
      </c>
      <c r="D353" s="4" t="s">
        <v>822</v>
      </c>
      <c r="E353" s="4" t="s">
        <v>232</v>
      </c>
      <c r="F353" s="4" t="s">
        <v>258</v>
      </c>
      <c r="G353" s="4" t="s">
        <v>670</v>
      </c>
      <c r="H353" s="4" t="s">
        <v>661</v>
      </c>
      <c r="I353" s="4">
        <v>7.0</v>
      </c>
      <c r="J353" s="4" t="s">
        <v>1068</v>
      </c>
      <c r="K353" s="4" t="s">
        <v>329</v>
      </c>
      <c r="L353" s="4" t="s">
        <v>761</v>
      </c>
      <c r="M353" s="4" t="s">
        <v>233</v>
      </c>
      <c r="N353" s="4" t="s">
        <v>441</v>
      </c>
      <c r="O353" s="4" t="s">
        <v>382</v>
      </c>
      <c r="P353" s="4" t="s">
        <v>237</v>
      </c>
    </row>
    <row r="354" ht="15.75" customHeight="1">
      <c r="A354" s="4" t="s">
        <v>276</v>
      </c>
      <c r="B354" s="4" t="s">
        <v>354</v>
      </c>
      <c r="C354" s="4">
        <v>6.0</v>
      </c>
      <c r="D354" s="4" t="s">
        <v>588</v>
      </c>
      <c r="E354" s="4" t="s">
        <v>443</v>
      </c>
      <c r="F354" s="4" t="s">
        <v>234</v>
      </c>
      <c r="G354" s="4" t="s">
        <v>242</v>
      </c>
      <c r="H354" s="4" t="s">
        <v>1069</v>
      </c>
      <c r="I354" s="4">
        <v>44.0</v>
      </c>
      <c r="J354" s="4" t="s">
        <v>1070</v>
      </c>
      <c r="K354" s="4" t="s">
        <v>544</v>
      </c>
      <c r="L354" s="4" t="s">
        <v>1071</v>
      </c>
      <c r="M354" s="4" t="s">
        <v>439</v>
      </c>
      <c r="N354" s="4" t="s">
        <v>1072</v>
      </c>
      <c r="O354" s="4" t="s">
        <v>1073</v>
      </c>
      <c r="P354" s="4" t="s">
        <v>237</v>
      </c>
    </row>
    <row r="355" ht="15.75" customHeight="1">
      <c r="A355" s="4" t="s">
        <v>250</v>
      </c>
      <c r="B355" s="4" t="s">
        <v>447</v>
      </c>
      <c r="C355" s="4">
        <v>8.0</v>
      </c>
      <c r="D355" s="4" t="s">
        <v>1074</v>
      </c>
      <c r="E355" s="4" t="s">
        <v>395</v>
      </c>
      <c r="F355" s="4" t="s">
        <v>1075</v>
      </c>
      <c r="G355" s="4" t="s">
        <v>1076</v>
      </c>
      <c r="H355" s="4" t="s">
        <v>1077</v>
      </c>
      <c r="I355" s="4">
        <v>22.0</v>
      </c>
      <c r="J355" s="4" t="s">
        <v>1078</v>
      </c>
      <c r="K355" s="4" t="s">
        <v>848</v>
      </c>
      <c r="L355" s="4" t="s">
        <v>1079</v>
      </c>
      <c r="M355" s="4" t="s">
        <v>742</v>
      </c>
      <c r="N355" s="4" t="s">
        <v>1080</v>
      </c>
      <c r="O355" s="4" t="s">
        <v>767</v>
      </c>
      <c r="P355" s="4" t="s">
        <v>683</v>
      </c>
    </row>
    <row r="356" ht="15.75" customHeight="1">
      <c r="A356" s="4" t="s">
        <v>270</v>
      </c>
      <c r="B356" s="4" t="s">
        <v>688</v>
      </c>
      <c r="C356" s="4">
        <v>1.0</v>
      </c>
      <c r="D356" s="4" t="s">
        <v>1081</v>
      </c>
      <c r="E356" s="4" t="s">
        <v>449</v>
      </c>
      <c r="F356" s="4" t="s">
        <v>242</v>
      </c>
      <c r="G356" s="4" t="s">
        <v>1082</v>
      </c>
      <c r="H356" s="4" t="s">
        <v>405</v>
      </c>
      <c r="I356" s="4">
        <v>15.0</v>
      </c>
      <c r="J356" s="4" t="s">
        <v>916</v>
      </c>
      <c r="K356" s="4" t="s">
        <v>706</v>
      </c>
      <c r="L356" s="4" t="s">
        <v>453</v>
      </c>
      <c r="M356" s="4" t="s">
        <v>982</v>
      </c>
      <c r="N356" s="4" t="s">
        <v>1083</v>
      </c>
      <c r="O356" s="4" t="s">
        <v>1084</v>
      </c>
      <c r="P356" s="4" t="s">
        <v>224</v>
      </c>
    </row>
    <row r="357" ht="15.75" customHeight="1">
      <c r="A357" s="4" t="s">
        <v>112</v>
      </c>
      <c r="C357" s="4">
        <v>0.0</v>
      </c>
      <c r="I357" s="4">
        <v>28.0</v>
      </c>
      <c r="J357" s="4" t="s">
        <v>1085</v>
      </c>
      <c r="K357" s="4" t="s">
        <v>214</v>
      </c>
      <c r="L357" s="4" t="s">
        <v>483</v>
      </c>
      <c r="M357" s="4" t="s">
        <v>814</v>
      </c>
      <c r="N357" s="4" t="s">
        <v>1086</v>
      </c>
      <c r="O357" s="4" t="s">
        <v>767</v>
      </c>
      <c r="P357" s="4" t="s">
        <v>683</v>
      </c>
    </row>
    <row r="358" ht="15.75" customHeight="1"/>
    <row r="359" ht="15.75" customHeight="1">
      <c r="A359" s="8" t="s">
        <v>1087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10"/>
    </row>
    <row r="360" ht="15.75" customHeight="1">
      <c r="A360" s="2"/>
      <c r="B360" s="2" t="s">
        <v>409</v>
      </c>
      <c r="C360" s="2" t="s">
        <v>520</v>
      </c>
    </row>
    <row r="361" ht="15.75" customHeight="1">
      <c r="A361" s="2" t="s">
        <v>174</v>
      </c>
      <c r="B361" s="5" t="s">
        <v>411</v>
      </c>
      <c r="C361" s="5" t="s">
        <v>522</v>
      </c>
    </row>
    <row r="362" ht="15.75" customHeight="1">
      <c r="A362" s="2" t="s">
        <v>177</v>
      </c>
      <c r="B362" s="5" t="s">
        <v>413</v>
      </c>
      <c r="C362" s="5" t="s">
        <v>524</v>
      </c>
    </row>
    <row r="363" ht="15.75" customHeight="1">
      <c r="A363" s="2" t="s">
        <v>180</v>
      </c>
      <c r="B363" s="5" t="s">
        <v>415</v>
      </c>
      <c r="C363" s="5" t="s">
        <v>257</v>
      </c>
    </row>
    <row r="364" ht="15.75" customHeight="1">
      <c r="A364" s="2" t="s">
        <v>183</v>
      </c>
      <c r="B364" s="5" t="s">
        <v>417</v>
      </c>
      <c r="C364" s="5" t="s">
        <v>527</v>
      </c>
    </row>
    <row r="365" ht="15.75" customHeight="1">
      <c r="A365" s="2" t="s">
        <v>96</v>
      </c>
      <c r="B365" s="5" t="s">
        <v>419</v>
      </c>
      <c r="C365" s="5" t="s">
        <v>529</v>
      </c>
    </row>
    <row r="366" ht="15.75" customHeight="1">
      <c r="A366" s="2" t="s">
        <v>105</v>
      </c>
      <c r="B366" s="5" t="s">
        <v>421</v>
      </c>
      <c r="C366" s="5" t="s">
        <v>531</v>
      </c>
    </row>
    <row r="367" ht="15.75" customHeight="1">
      <c r="A367" s="2" t="s">
        <v>190</v>
      </c>
      <c r="B367" s="5" t="s">
        <v>422</v>
      </c>
      <c r="C367" s="5" t="s">
        <v>192</v>
      </c>
    </row>
    <row r="368" ht="105.0" customHeight="1">
      <c r="A368" s="2" t="s">
        <v>193</v>
      </c>
      <c r="B368" s="5" t="s">
        <v>424</v>
      </c>
      <c r="C368" s="5" t="s">
        <v>533</v>
      </c>
    </row>
    <row r="369" ht="15.75" customHeight="1">
      <c r="A369" s="2" t="s">
        <v>119</v>
      </c>
      <c r="B369" s="5" t="s">
        <v>426</v>
      </c>
      <c r="C369" s="5" t="s">
        <v>535</v>
      </c>
    </row>
    <row r="370" ht="150.0" customHeight="1">
      <c r="A370" s="2" t="s">
        <v>127</v>
      </c>
      <c r="B370" s="5" t="s">
        <v>429</v>
      </c>
      <c r="C370" s="5" t="s">
        <v>537</v>
      </c>
    </row>
    <row r="371" ht="15.75" customHeight="1">
      <c r="A371" s="16" t="s">
        <v>131</v>
      </c>
      <c r="B371" s="16" t="s">
        <v>132</v>
      </c>
      <c r="C371" s="16" t="s">
        <v>200</v>
      </c>
      <c r="D371" s="16" t="s">
        <v>201</v>
      </c>
      <c r="E371" s="16" t="s">
        <v>202</v>
      </c>
      <c r="F371" s="16" t="s">
        <v>203</v>
      </c>
      <c r="G371" s="16" t="s">
        <v>204</v>
      </c>
      <c r="H371" s="16" t="s">
        <v>205</v>
      </c>
      <c r="I371" s="16" t="s">
        <v>206</v>
      </c>
      <c r="J371" s="16" t="s">
        <v>207</v>
      </c>
      <c r="K371" s="16" t="s">
        <v>208</v>
      </c>
      <c r="L371" s="16" t="s">
        <v>209</v>
      </c>
      <c r="M371" s="16" t="s">
        <v>210</v>
      </c>
      <c r="N371" s="16" t="s">
        <v>211</v>
      </c>
      <c r="O371" s="16" t="s">
        <v>139</v>
      </c>
      <c r="P371" s="16" t="s">
        <v>140</v>
      </c>
    </row>
    <row r="372" ht="15.75" customHeight="1">
      <c r="A372" s="4" t="s">
        <v>110</v>
      </c>
      <c r="B372" s="4" t="s">
        <v>154</v>
      </c>
      <c r="C372" s="4">
        <v>18.0</v>
      </c>
      <c r="D372" s="4" t="s">
        <v>436</v>
      </c>
      <c r="E372" s="4" t="s">
        <v>227</v>
      </c>
      <c r="F372" s="4" t="s">
        <v>267</v>
      </c>
      <c r="G372" s="4" t="s">
        <v>437</v>
      </c>
      <c r="H372" s="4" t="s">
        <v>438</v>
      </c>
      <c r="I372" s="4">
        <v>6.0</v>
      </c>
      <c r="J372" s="4" t="s">
        <v>588</v>
      </c>
      <c r="K372" s="4" t="s">
        <v>590</v>
      </c>
      <c r="L372" s="4" t="s">
        <v>229</v>
      </c>
      <c r="M372" s="4" t="s">
        <v>591</v>
      </c>
      <c r="N372" s="4" t="s">
        <v>593</v>
      </c>
      <c r="O372" s="4" t="s">
        <v>511</v>
      </c>
      <c r="P372" s="4" t="s">
        <v>237</v>
      </c>
    </row>
    <row r="373" ht="15.75" customHeight="1">
      <c r="A373" s="4" t="s">
        <v>250</v>
      </c>
      <c r="B373" s="4" t="s">
        <v>1088</v>
      </c>
      <c r="C373" s="4">
        <v>8.0</v>
      </c>
      <c r="D373" s="4" t="s">
        <v>218</v>
      </c>
      <c r="E373" s="4" t="s">
        <v>219</v>
      </c>
      <c r="F373" s="4" t="s">
        <v>452</v>
      </c>
      <c r="G373" s="4" t="s">
        <v>453</v>
      </c>
      <c r="H373" s="4" t="s">
        <v>454</v>
      </c>
      <c r="I373" s="4">
        <v>14.0</v>
      </c>
      <c r="J373" s="4" t="s">
        <v>548</v>
      </c>
      <c r="K373" s="4" t="s">
        <v>549</v>
      </c>
      <c r="L373" s="4" t="s">
        <v>550</v>
      </c>
      <c r="M373" s="4" t="s">
        <v>380</v>
      </c>
      <c r="N373" s="4" t="s">
        <v>551</v>
      </c>
      <c r="O373" s="4" t="s">
        <v>382</v>
      </c>
      <c r="P373" s="4" t="s">
        <v>237</v>
      </c>
    </row>
    <row r="374" ht="15.75" customHeight="1">
      <c r="A374" s="4" t="s">
        <v>113</v>
      </c>
      <c r="B374" s="4" t="s">
        <v>251</v>
      </c>
      <c r="C374" s="4">
        <v>2.0</v>
      </c>
      <c r="D374" s="4" t="s">
        <v>480</v>
      </c>
      <c r="E374" s="4" t="s">
        <v>481</v>
      </c>
      <c r="F374" s="4" t="s">
        <v>482</v>
      </c>
      <c r="G374" s="4" t="s">
        <v>483</v>
      </c>
      <c r="H374" s="4" t="s">
        <v>484</v>
      </c>
      <c r="I374" s="4">
        <v>5.0</v>
      </c>
      <c r="J374" s="4" t="s">
        <v>570</v>
      </c>
      <c r="K374" s="4" t="s">
        <v>571</v>
      </c>
      <c r="L374" s="4" t="s">
        <v>572</v>
      </c>
      <c r="M374" s="4" t="s">
        <v>573</v>
      </c>
      <c r="N374" s="4" t="s">
        <v>575</v>
      </c>
      <c r="O374" s="4" t="s">
        <v>513</v>
      </c>
      <c r="P374" s="4" t="s">
        <v>237</v>
      </c>
    </row>
    <row r="375" ht="15.75" customHeight="1">
      <c r="A375" s="4" t="s">
        <v>112</v>
      </c>
      <c r="B375" s="4" t="s">
        <v>251</v>
      </c>
      <c r="C375" s="4">
        <v>7.0</v>
      </c>
      <c r="D375" s="4" t="s">
        <v>458</v>
      </c>
      <c r="E375" s="4" t="s">
        <v>459</v>
      </c>
      <c r="F375" s="4" t="s">
        <v>460</v>
      </c>
      <c r="G375" s="4" t="s">
        <v>461</v>
      </c>
      <c r="H375" s="4" t="s">
        <v>462</v>
      </c>
      <c r="I375" s="4">
        <v>1.0</v>
      </c>
      <c r="J375" s="4" t="s">
        <v>401</v>
      </c>
      <c r="K375" s="4" t="s">
        <v>607</v>
      </c>
      <c r="L375" s="4" t="s">
        <v>384</v>
      </c>
      <c r="M375" s="4" t="s">
        <v>609</v>
      </c>
      <c r="N375" s="4" t="s">
        <v>610</v>
      </c>
      <c r="O375" s="4" t="s">
        <v>621</v>
      </c>
      <c r="P375" s="4" t="s">
        <v>224</v>
      </c>
    </row>
    <row r="376" ht="15.75" customHeight="1">
      <c r="A376" s="4" t="s">
        <v>276</v>
      </c>
      <c r="B376" s="4" t="s">
        <v>251</v>
      </c>
      <c r="C376" s="4">
        <v>8.0</v>
      </c>
      <c r="D376" s="4" t="s">
        <v>244</v>
      </c>
      <c r="E376" s="4" t="s">
        <v>468</v>
      </c>
      <c r="F376" s="4" t="s">
        <v>469</v>
      </c>
      <c r="G376" s="4" t="s">
        <v>470</v>
      </c>
      <c r="H376" s="4" t="s">
        <v>471</v>
      </c>
      <c r="I376" s="4">
        <v>10.0</v>
      </c>
      <c r="J376" s="4" t="s">
        <v>559</v>
      </c>
      <c r="K376" s="4" t="s">
        <v>560</v>
      </c>
      <c r="L376" s="4" t="s">
        <v>561</v>
      </c>
      <c r="M376" s="4" t="s">
        <v>562</v>
      </c>
      <c r="N376" s="4" t="s">
        <v>563</v>
      </c>
      <c r="O376" s="4" t="s">
        <v>939</v>
      </c>
      <c r="P376" s="4" t="s">
        <v>508</v>
      </c>
    </row>
    <row r="377" ht="15.75" customHeight="1">
      <c r="A377" s="4" t="s">
        <v>262</v>
      </c>
      <c r="C377" s="4">
        <v>10.0</v>
      </c>
      <c r="D377" s="4" t="s">
        <v>442</v>
      </c>
      <c r="E377" s="4" t="s">
        <v>443</v>
      </c>
      <c r="F377" s="4" t="s">
        <v>444</v>
      </c>
      <c r="G377" s="4" t="s">
        <v>445</v>
      </c>
      <c r="H377" s="4" t="s">
        <v>230</v>
      </c>
      <c r="I377" s="4">
        <v>16.0</v>
      </c>
      <c r="J377" s="4" t="s">
        <v>539</v>
      </c>
      <c r="K377" s="4" t="s">
        <v>540</v>
      </c>
      <c r="L377" s="4" t="s">
        <v>541</v>
      </c>
      <c r="M377" s="4" t="s">
        <v>542</v>
      </c>
      <c r="N377" s="4" t="s">
        <v>543</v>
      </c>
      <c r="O377" s="4" t="s">
        <v>1089</v>
      </c>
      <c r="P377" s="4" t="s">
        <v>224</v>
      </c>
    </row>
    <row r="378" ht="15.75" customHeight="1">
      <c r="A378" s="4" t="s">
        <v>270</v>
      </c>
      <c r="C378" s="4">
        <v>11.0</v>
      </c>
      <c r="D378" s="4" t="s">
        <v>271</v>
      </c>
      <c r="E378" s="4" t="s">
        <v>473</v>
      </c>
      <c r="F378" s="4" t="s">
        <v>474</v>
      </c>
      <c r="G378" s="4" t="s">
        <v>475</v>
      </c>
      <c r="H378" s="4" t="s">
        <v>235</v>
      </c>
      <c r="I378" s="4">
        <v>6.0</v>
      </c>
      <c r="J378" s="4" t="s">
        <v>588</v>
      </c>
      <c r="K378" s="4" t="s">
        <v>615</v>
      </c>
      <c r="L378" s="4" t="s">
        <v>616</v>
      </c>
      <c r="M378" s="4" t="s">
        <v>617</v>
      </c>
      <c r="N378" s="4" t="s">
        <v>618</v>
      </c>
      <c r="O378" s="4" t="s">
        <v>513</v>
      </c>
      <c r="P378" s="4" t="s">
        <v>237</v>
      </c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2:L2"/>
    <mergeCell ref="A4:P4"/>
    <mergeCell ref="A24:P24"/>
    <mergeCell ref="A45:P45"/>
    <mergeCell ref="A66:P66"/>
    <mergeCell ref="A87:P87"/>
    <mergeCell ref="A107:P107"/>
    <mergeCell ref="A275:P275"/>
    <mergeCell ref="A296:P296"/>
    <mergeCell ref="A317:P317"/>
    <mergeCell ref="A338:P338"/>
    <mergeCell ref="A359:P359"/>
    <mergeCell ref="A128:P128"/>
    <mergeCell ref="A149:P149"/>
    <mergeCell ref="A170:P170"/>
    <mergeCell ref="A191:P191"/>
    <mergeCell ref="A212:P212"/>
    <mergeCell ref="A233:P233"/>
    <mergeCell ref="A254:P25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8.0"/>
    <col customWidth="1" min="4" max="4" width="13.0"/>
    <col customWidth="1" min="5" max="6" width="8.0"/>
    <col customWidth="1" min="7" max="7" width="14.0"/>
    <col customWidth="1" min="8" max="8" width="8.0"/>
    <col customWidth="1" min="9" max="9" width="9.0"/>
    <col customWidth="1" min="10" max="11" width="8.0"/>
    <col customWidth="1" min="12" max="12" width="9.0"/>
    <col customWidth="1" min="13" max="16" width="8.0"/>
    <col customWidth="1" min="17" max="18" width="10.0"/>
    <col customWidth="1" min="19" max="19" width="7.0"/>
    <col customWidth="1" min="20" max="20" width="38.0"/>
    <col customWidth="1" min="21" max="21" width="2.0"/>
    <col customWidth="1" hidden="1" min="22" max="22" width="5.0"/>
    <col customWidth="1" min="23" max="26" width="8.71"/>
  </cols>
  <sheetData>
    <row r="1">
      <c r="A1" s="1" t="s">
        <v>0</v>
      </c>
    </row>
    <row r="2">
      <c r="A2" s="2" t="s">
        <v>4</v>
      </c>
      <c r="B2" s="6" t="s">
        <v>7</v>
      </c>
    </row>
    <row r="4">
      <c r="A4" s="2" t="s">
        <v>12</v>
      </c>
      <c r="B4" s="4" t="str">
        <f t="array" ref="B4">IFERROR(IF(INDEX(Matches!$E$5:$E$22,MATCH($B$2,Matches!$A$5:$A$22,0))="","",INDEX(Matches!$E$5:$E$22,MATCH($B$2,Matches!$A$5:$A$22,0))),"")&amp;"  vs  "&amp;IFERROR(IF(INDEX(Matches!$F$5:$F$22,MATCH($B$2,Matches!$A$5:$A$22,0))="","",INDEX(Matches!$F$5:$F$22,MATCH($B$2,Matches!$A$5:$A$22,0))),"")</f>
        <v>Eternal Fire (EF)  vs  Apogee Esports (BCA)</v>
      </c>
      <c r="D4" s="2" t="s">
        <v>16</v>
      </c>
      <c r="E4" s="4" t="str">
        <f t="array" ref="E4">IFERROR(IF(INDEX(Matches!$C$5:$C$22,MATCH($B$2,Matches!$A$5:$A$22,0))="","",INDEX(Matches!$C$5:$C$22,MATCH($B$2,Matches!$A$5:$A$22,0))),"")</f>
        <v>Fri 03:00</v>
      </c>
      <c r="G4" s="2" t="s">
        <v>17</v>
      </c>
      <c r="H4" s="4">
        <f t="array" ref="H4">IFERROR(IF(INDEX(Matches!$D$5:$D$22,MATCH($B$2,Matches!$A$5:$A$22,0))="","",INDEX(Matches!$D$5:$D$22,MATCH($B$2,Matches!$A$5:$A$22,0))),"")</f>
        <v>3</v>
      </c>
    </row>
    <row r="5">
      <c r="A5" s="2" t="s">
        <v>21</v>
      </c>
      <c r="B5" s="11">
        <f t="array" ref="B5">IFERROR(IF(INDEX(Matches!$G$5:$G$22,MATCH($B$2,Matches!$A$5:$A$22,0))="","",INDEX(Matches!$G$5:$G$22,MATCH($B$2,Matches!$A$5:$A$22,0))),"")</f>
        <v>0.6419753086</v>
      </c>
      <c r="D5" s="2" t="s">
        <v>22</v>
      </c>
      <c r="E5" s="11">
        <f t="array" ref="E5">IFERROR(IF(INDEX(Matches!$H$5:$H$22,MATCH($B$2,Matches!$A$5:$A$22,0))="","",INDEX(Matches!$H$5:$H$22,MATCH($B$2,Matches!$A$5:$A$22,0))),"")</f>
        <v>0.3412677186</v>
      </c>
      <c r="G5" s="2" t="s">
        <v>23</v>
      </c>
      <c r="H5" s="11">
        <f t="array" ref="H5">IFERROR(IF(INDEX(Matches!$I$5:$I$22,MATCH($B$2,Matches!$A$5:$A$22,0))="","",INDEX(Matches!$I$5:$I$22,MATCH($B$2,Matches!$A$5:$A$22,0))),"")</f>
        <v>0.1706338593</v>
      </c>
    </row>
    <row r="6">
      <c r="A6" s="2" t="s">
        <v>24</v>
      </c>
      <c r="B6" s="11">
        <f t="array" ref="B6">IFERROR(IF(INDEX(Matches!$J$5:$J$22,MATCH($B$2,Matches!$A$5:$A$22,0))="","",INDEX(Matches!$J$5:$J$22,MATCH($B$2,Matches!$A$5:$A$22,0))),"")</f>
        <v>0.488098422</v>
      </c>
      <c r="D6" s="2" t="s">
        <v>26</v>
      </c>
      <c r="E6" s="4" t="str">
        <f t="array" ref="E6">IFERROR(IF(INDEX(Matches!$K$5:$K$22,MATCH($B$2,Matches!$A$5:$A$22,0))="","",INDEX(Matches!$K$5:$K$22,MATCH($B$2,Matches!$A$5:$A$22,0))),"")</f>
        <v>Ancient 29%</v>
      </c>
      <c r="G6" s="2" t="s">
        <v>27</v>
      </c>
      <c r="H6" s="4" t="str">
        <f t="array" ref="H6">IFERROR(IF(INDEX(Matches!$L$5:$L$22,MATCH($B$2,Matches!$A$5:$A$22,0))="","",INDEX(Matches!$L$5:$L$22,MATCH($B$2,Matches!$A$5:$A$22,0))),"")</f>
        <v>Anubis 24%</v>
      </c>
    </row>
    <row r="7">
      <c r="A7" s="2" t="s">
        <v>31</v>
      </c>
      <c r="B7" s="12">
        <f t="array" ref="B7">IFERROR(IF(INDEX(Matches!$O$5:$O$22,MATCH($B$2,Matches!$A$5:$A$22,0))="","",INDEX(Matches!$O$5:$O$22,MATCH($B$2,Matches!$A$5:$A$22,0))),"")</f>
        <v>21.42315369</v>
      </c>
      <c r="D7" s="2" t="s">
        <v>32</v>
      </c>
      <c r="E7" s="12">
        <f t="array" ref="E7">IFERROR(IF(INDEX(Matches!$P$5:$P$22,MATCH($B$2,Matches!$A$5:$A$22,0))="","",INDEX(Matches!$P$5:$P$22,MATCH($B$2,Matches!$A$5:$A$22,0))),"")</f>
        <v>21.31255313</v>
      </c>
      <c r="G7" s="2" t="s">
        <v>35</v>
      </c>
      <c r="H7" s="11">
        <f t="array" ref="H7">IFERROR(IF(INDEX(Matches!$R$5:$R$22,MATCH($B$2,Matches!$A$5:$A$22,0))="","",INDEX(Matches!$R$5:$R$22,MATCH($B$2,Matches!$A$5:$A$22,0))),"")</f>
        <v>0.1594202899</v>
      </c>
    </row>
    <row r="8">
      <c r="A8" s="2" t="s">
        <v>36</v>
      </c>
      <c r="B8" s="12">
        <f t="array" ref="B8">IFERROR(IF(INDEX(Matches!$S$5:$S$22,MATCH($B$2,Matches!$A$5:$A$22,0))="","",INDEX(Matches!$S$5:$S$22,MATCH($B$2,Matches!$A$5:$A$22,0))),"")</f>
        <v>1.700394867</v>
      </c>
      <c r="D8" s="2" t="s">
        <v>37</v>
      </c>
      <c r="E8" s="12" t="str">
        <f t="array" ref="E8">IFERROR(IF(INDEX(Matches!$T$5:$T$22,MATCH($B$2,Matches!$A$5:$A$22,0))="","",INDEX(Matches!$T$5:$T$22,MATCH($B$2,Matches!$A$5:$A$22,0))),"")</f>
        <v/>
      </c>
      <c r="G8" s="2" t="s">
        <v>39</v>
      </c>
      <c r="H8" s="12">
        <f t="array" ref="H8">IFERROR(IF(INDEX(Matches!$U$5:$U$22,MATCH($B$2,Matches!$A$5:$A$22,0))="","",INDEX(Matches!$U$5:$U$22,MATCH($B$2,Matches!$A$5:$A$22,0))),"")</f>
        <v>11.5</v>
      </c>
    </row>
    <row r="9">
      <c r="A9" s="2" t="s">
        <v>63</v>
      </c>
      <c r="B9" s="12">
        <f t="array" ref="B9">IFERROR(IF(INDEX(Matches!$AN$5:$AN$22,MATCH($B$2,Matches!$A$5:$A$22,0))="","",INDEX(Matches!$AN$5:$AN$22,MATCH($B$2,Matches!$A$5:$A$22,0))),"")</f>
        <v>21.2764</v>
      </c>
      <c r="D9" s="2" t="s">
        <v>64</v>
      </c>
      <c r="E9" s="12">
        <f t="array" ref="E9">IFERROR(IF(INDEX(Matches!$AO$5:$AO$22,MATCH($B$2,Matches!$A$5:$A$22,0))="","",INDEX(Matches!$AO$5:$AO$22,MATCH($B$2,Matches!$A$5:$A$22,0))),"")</f>
        <v>0.4116</v>
      </c>
      <c r="G9" s="2" t="s">
        <v>427</v>
      </c>
      <c r="H9" s="4" t="str">
        <f t="array" ref="H9">IF(IFERROR(IF(INDEX(Matches!$AI$5:$AI$22,MATCH($B$2,Matches!$A$5:$A$22,0))="","",INDEX(Matches!$AI$5:$AI$22,MATCH($B$2,Matches!$A$5:$A$22,0))),"")="","",TEXT(IFERROR(IF(INDEX(Matches!$AI$5:$AI$22,MATCH($B$2,Matches!$A$5:$A$22,0))="","",INDEX(Matches!$AI$5:$AI$22,MATCH($B$2,Matches!$A$5:$A$22,0))),""),"0%")&amp;" / "&amp;TEXT(IFERROR(IF(INDEX(Matches!$AJ$5:$AJ$22,MATCH($B$2,Matches!$A$5:$A$22,0))="","",INDEX(Matches!$AJ$5:$AJ$22,MATCH($B$2,Matches!$A$5:$A$22,0))),""),"0%"))</f>
        <v>53% / 53%</v>
      </c>
    </row>
    <row r="10">
      <c r="A10" s="2" t="s">
        <v>472</v>
      </c>
      <c r="B10" s="4" t="str">
        <f t="array" ref="B10">"Map 1: "&amp;IFERROR(IF(INDEX(Matches!$W$5:$W$22,MATCH($B$2,Matches!$A$5:$A$22,0))="","",INDEX(Matches!$W$5:$W$22,MATCH($B$2,Matches!$A$5:$A$22,0))),"")&amp;"   ·   Map 2: "&amp;IFERROR(IF(INDEX(Matches!$X$5:$X$22,MATCH($B$2,Matches!$A$5:$A$22,0))="","",INDEX(Matches!$X$5:$X$22,MATCH($B$2,Matches!$A$5:$A$22,0))),"")&amp;IF(IFERROR(IF(INDEX(Matches!$Y$5:$Y$22,MATCH($B$2,Matches!$A$5:$A$22,0))="","",INDEX(Matches!$Y$5:$Y$22,MATCH($B$2,Matches!$A$5:$A$22,0))),"")="","","   ·   Map 3: "&amp;IFERROR(IF(INDEX(Matches!$Y$5:$Y$22,MATCH($B$2,Matches!$A$5:$A$22,0))="","",INDEX(Matches!$Y$5:$Y$22,MATCH($B$2,Matches!$A$5:$A$22,0))),""))</f>
        <v>Map 1: Ancient   ·   Map 2: Anubis   ·   Map 3: Cache</v>
      </c>
    </row>
    <row r="11">
      <c r="B11" s="4" t="str">
        <f t="array" ref="B11">"Rounds: "&amp;TEXT(IFERROR(IF(INDEX(Matches!$Z$5:$Z$22,MATCH($B$2,Matches!$A$5:$A$22,0))="","",INDEX(Matches!$Z$5:$Z$22,MATCH($B$2,Matches!$A$5:$A$22,0))),""),"0.0")&amp;" / "&amp;TEXT(IFERROR(IF(INDEX(Matches!$AA$5:$AA$22,MATCH($B$2,Matches!$A$5:$A$22,0))="","",INDEX(Matches!$AA$5:$AA$22,MATCH($B$2,Matches!$A$5:$A$22,0))),""),"0.0")&amp;IF(IFERROR(IF(INDEX(Matches!$AB$5:$AB$22,MATCH($B$2,Matches!$A$5:$A$22,0))="","",INDEX(Matches!$AB$5:$AB$22,MATCH($B$2,Matches!$A$5:$A$22,0))),"")="",""," / "&amp;TEXT(IFERROR(IF(INDEX(Matches!$AB$5:$AB$22,MATCH($B$2,Matches!$A$5:$A$22,0))="","",INDEX(Matches!$AB$5:$AB$22,MATCH($B$2,Matches!$A$5:$A$22,0))),""),"0.0"))&amp;"   ·   P(map 3) "&amp;TEXT(IFERROR(IF(INDEX(Matches!$AC$5:$AC$22,MATCH($B$2,Matches!$A$5:$A$22,0))="","",INDEX(Matches!$AC$5:$AC$22,MATCH($B$2,Matches!$A$5:$A$22,0))),""),"0%")</f>
        <v>Rounds: 21.4 / 21.3 / 21.4   ·   P(map 3) 49%</v>
      </c>
    </row>
    <row r="12">
      <c r="B12" s="3" t="str">
        <f>"Change maps or rounds on the Matches tab, row "&amp;(MATCH($B$2,Matches!$A$5:$A$22,0)+4)&amp;" (shaded cells)."</f>
        <v>Change maps or rounds on the Matches tab, row 5 (shaded cells).</v>
      </c>
    </row>
    <row r="14">
      <c r="A14" s="7" t="s">
        <v>309</v>
      </c>
      <c r="B14" s="7" t="s">
        <v>308</v>
      </c>
      <c r="C14" s="7" t="s">
        <v>583</v>
      </c>
      <c r="D14" s="7" t="s">
        <v>585</v>
      </c>
      <c r="E14" s="7" t="s">
        <v>586</v>
      </c>
      <c r="F14" s="7" t="s">
        <v>587</v>
      </c>
      <c r="G14" s="7" t="s">
        <v>589</v>
      </c>
      <c r="H14" s="7" t="s">
        <v>360</v>
      </c>
      <c r="I14" s="7" t="s">
        <v>592</v>
      </c>
      <c r="J14" s="7" t="s">
        <v>594</v>
      </c>
      <c r="K14" s="7" t="s">
        <v>314</v>
      </c>
      <c r="L14" s="7" t="s">
        <v>599</v>
      </c>
      <c r="M14" s="7" t="s">
        <v>601</v>
      </c>
      <c r="N14" s="7" t="s">
        <v>327</v>
      </c>
      <c r="O14" s="7" t="s">
        <v>603</v>
      </c>
      <c r="P14" s="7" t="s">
        <v>604</v>
      </c>
      <c r="Q14" s="7" t="s">
        <v>605</v>
      </c>
      <c r="R14" s="7" t="s">
        <v>606</v>
      </c>
      <c r="S14" s="7" t="s">
        <v>608</v>
      </c>
      <c r="T14" s="7" t="s">
        <v>343</v>
      </c>
      <c r="U14" s="7"/>
      <c r="V14" s="7" t="s">
        <v>611</v>
      </c>
    </row>
    <row r="15">
      <c r="A15" s="4" t="str">
        <f t="array" ref="A15">IF($V15="","",INDEX(Calc!$D$2:$D$157,$V15))</f>
        <v>EF</v>
      </c>
      <c r="B15" s="4" t="str">
        <f t="array" ref="B15">IF($V15="","",INDEX(Calc!$E$2:$E$157,$V15))</f>
        <v>jottAAA</v>
      </c>
      <c r="C15" s="18">
        <f t="array" ref="C15">IF($V15="","",INDEX(Calc!$T$2:$T$157,$V15))</f>
        <v>0.825</v>
      </c>
      <c r="D15" s="18">
        <f t="array" ref="D15">IF($V15="","",INDEX(Calc!$AA$2:$AA$157,$V15))</f>
        <v>0.7945454545</v>
      </c>
      <c r="E15" s="12">
        <f t="array" ref="E15">IF($V15="","",INDEX(Calc!$V$2:$V$157,$V15))</f>
        <v>17.6715</v>
      </c>
      <c r="F15" s="12">
        <f t="array" ref="F15">IF($V15="","",INDEX(Calc!$AC$2:$AC$157,$V15))</f>
        <v>16.93176364</v>
      </c>
      <c r="G15" s="12">
        <f t="array" ref="G15">IF($V15="","",INDEX(Calc!$AL$2:$AL$157,$V15))</f>
        <v>34.60326364</v>
      </c>
      <c r="H15" s="18">
        <f t="array" ref="H15">IF($V15="","",INDEX(Calc!$BK$2:$BK$157,$V15))</f>
        <v>0.9662142461</v>
      </c>
      <c r="I15" s="12">
        <f t="array" ref="I15">IF($V15="","",INDEX(Calc!$BD$2:$BD$157,$V15))</f>
        <v>33.43416629</v>
      </c>
      <c r="J15" s="4">
        <f t="array" ref="J15">IF($V15="","",IFERROR(INDEX(Projections!$F$2:$F$282,MATCH(INDEX(Calc!$A$2:$A$157,$V15)&amp;"|K12",Projections!$Y$2:$Y$282,0)),""))</f>
        <v>33.5</v>
      </c>
      <c r="K15" s="11">
        <f t="array" ref="K15">IF($V15="","",IFERROR(INDEX(Projections!$I$2:$I$282,MATCH(INDEX(Calc!$A$2:$A$157,$V15)&amp;"|K12",Projections!$Y$2:$Y$282,0)),""))</f>
        <v>0.5629725422</v>
      </c>
      <c r="L15" s="11">
        <f t="array" ref="L15">IF($V15="","",IFERROR(INDEX(Projections!$AB$2:$AB$282,MATCH(INDEX(Calc!$A$2:$A$157,$V15)&amp;"|K12",Projections!$Y$2:$Y$282,0)),""))</f>
        <v>0.4961612269</v>
      </c>
      <c r="M15" s="4" t="str">
        <f t="array" ref="M15">IF($V15="","",IFERROR(INDEX(Projections!$M$2:$M$282,MATCH(INDEX(Calc!$A$2:$A$157,$V15)&amp;"|K12",Projections!$Y$2:$Y$282,0)),""))</f>
        <v/>
      </c>
      <c r="N15" s="11">
        <f t="array" ref="N15">IF($V15="","",IFERROR(INDEX(Projections!$P$2:$P$282,MATCH(INDEX(Calc!$A$2:$A$157,$V15)&amp;"|K12",Projections!$Y$2:$Y$282,0)),""))</f>
        <v>0.5</v>
      </c>
      <c r="O15" s="11">
        <f t="array" ref="O15">IF($V15="","",INDEX(Calc!$AP$2:$AP$157,$V15))</f>
        <v>0.5784875836</v>
      </c>
      <c r="P15" s="12">
        <f t="array" ref="P15">IF($V15="","",INDEX(Calc!$AN$2:$AN$157,$V15))</f>
        <v>20.01755837</v>
      </c>
      <c r="Q15" s="4">
        <f t="array" ref="Q15">IF($V15="","",IFERROR(INDEX(Projections!$F$2:$F$282,MATCH(INDEX(Calc!$A$2:$A$157,$V15)&amp;"|H12",Projections!$Y$2:$Y$282,0)),""))</f>
        <v>19</v>
      </c>
      <c r="R15" s="11">
        <f t="array" ref="R15">IF($V15="","",IFERROR(INDEX(Projections!$I$2:$I$282,MATCH(INDEX(Calc!$A$2:$A$157,$V15)&amp;"|H12",Projections!$Y$2:$Y$282,0)),""))</f>
        <v>0.5415125239</v>
      </c>
      <c r="S15" s="4">
        <f t="array" ref="S15">IF($V15="","",INDEX(Calc!$N$2:$N$157,$V15))</f>
        <v>29</v>
      </c>
      <c r="T15" s="4" t="str">
        <f t="array" ref="T15">IF($V15="","",INDEX(Calc!$AQ$2:$AQ$157,$V15))</f>
        <v/>
      </c>
      <c r="V15" s="4">
        <f>IFERROR(MATCH(1,Calc!$AR$2:$AR$157,0),"")</f>
        <v>49</v>
      </c>
    </row>
    <row r="16">
      <c r="A16" s="4" t="str">
        <f t="array" ref="A16">IF($V16="","",INDEX(Calc!$D$2:$D$157,$V16))</f>
        <v>EF</v>
      </c>
      <c r="B16" s="4" t="str">
        <f t="array" ref="B16">IF($V16="","",INDEX(Calc!$E$2:$E$157,$V16))</f>
        <v>Soulfly</v>
      </c>
      <c r="C16" s="18">
        <f t="array" ref="C16">IF($V16="","",INDEX(Calc!$T$2:$T$157,$V16))</f>
        <v>0.795</v>
      </c>
      <c r="D16" s="18">
        <f t="array" ref="D16">IF($V16="","",INDEX(Calc!$AA$2:$AA$157,$V16))</f>
        <v>0.7481818182</v>
      </c>
      <c r="E16" s="12">
        <f t="array" ref="E16">IF($V16="","",INDEX(Calc!$V$2:$V$157,$V16))</f>
        <v>17.0289</v>
      </c>
      <c r="F16" s="12">
        <f t="array" ref="F16">IF($V16="","",INDEX(Calc!$AC$2:$AC$157,$V16))</f>
        <v>15.94375455</v>
      </c>
      <c r="G16" s="12">
        <f t="array" ref="G16">IF($V16="","",INDEX(Calc!$AL$2:$AL$157,$V16))</f>
        <v>32.97265455</v>
      </c>
      <c r="H16" s="18">
        <f t="array" ref="H16">IF($V16="","",INDEX(Calc!$BK$2:$BK$157,$V16))</f>
        <v>0.9663928923</v>
      </c>
      <c r="I16" s="12">
        <f t="array" ref="I16">IF($V16="","",INDEX(Calc!$BD$2:$BD$157,$V16))</f>
        <v>31.86453899</v>
      </c>
      <c r="J16" s="4">
        <f t="array" ref="J16">IF($V16="","",IFERROR(INDEX(Projections!$F$2:$F$282,MATCH(INDEX(Calc!$A$2:$A$157,$V16)&amp;"|K12",Projections!$Y$2:$Y$282,0)),""))</f>
        <v>30.5</v>
      </c>
      <c r="K16" s="11">
        <f t="array" ref="K16">IF($V16="","",IFERROR(INDEX(Projections!$I$2:$I$282,MATCH(INDEX(Calc!$A$2:$A$157,$V16)&amp;"|K12",Projections!$Y$2:$Y$282,0)),""))</f>
        <v>0.6420463027</v>
      </c>
      <c r="L16" s="11">
        <f t="array" ref="L16">IF($V16="","",IFERROR(INDEX(Projections!$AB$2:$AB$282,MATCH(INDEX(Calc!$A$2:$A$157,$V16)&amp;"|K12",Projections!$Y$2:$Y$282,0)),""))</f>
        <v>0.5809404185</v>
      </c>
      <c r="M16" s="4" t="str">
        <f t="array" ref="M16">IF($V16="","",IFERROR(INDEX(Projections!$M$2:$M$282,MATCH(INDEX(Calc!$A$2:$A$157,$V16)&amp;"|K12",Projections!$Y$2:$Y$282,0)),""))</f>
        <v/>
      </c>
      <c r="N16" s="11">
        <f t="array" ref="N16">IF($V16="","",IFERROR(INDEX(Projections!$P$2:$P$282,MATCH(INDEX(Calc!$A$2:$A$157,$V16)&amp;"|K12",Projections!$Y$2:$Y$282,0)),""))</f>
        <v>0.8</v>
      </c>
      <c r="O16" s="11">
        <f t="array" ref="O16">IF($V16="","",INDEX(Calc!$AP$2:$AP$157,$V16))</f>
        <v>0.5381408182</v>
      </c>
      <c r="P16" s="12">
        <f t="array" ref="P16">IF($V16="","",INDEX(Calc!$AN$2:$AN$157,$V16))</f>
        <v>17.7439313</v>
      </c>
      <c r="Q16" s="4">
        <f t="array" ref="Q16">IF($V16="","",IFERROR(INDEX(Projections!$F$2:$F$282,MATCH(INDEX(Calc!$A$2:$A$157,$V16)&amp;"|H12",Projections!$Y$2:$Y$282,0)),""))</f>
        <v>16.5</v>
      </c>
      <c r="R16" s="11">
        <f t="array" ref="R16">IF($V16="","",IFERROR(INDEX(Projections!$I$2:$I$282,MATCH(INDEX(Calc!$A$2:$A$157,$V16)&amp;"|H12",Projections!$Y$2:$Y$282,0)),""))</f>
        <v>0.605603499</v>
      </c>
      <c r="S16" s="4">
        <f t="array" ref="S16">IF($V16="","",INDEX(Calc!$N$2:$N$157,$V16))</f>
        <v>29</v>
      </c>
      <c r="T16" s="4" t="str">
        <f t="array" ref="T16">IF($V16="","",INDEX(Calc!$AQ$2:$AQ$157,$V16))</f>
        <v/>
      </c>
      <c r="V16" s="4">
        <f>IFERROR(MATCH(2,Calc!$AR$2:$AR$157,0),"")</f>
        <v>53</v>
      </c>
    </row>
    <row r="17">
      <c r="A17" s="4" t="str">
        <f t="array" ref="A17">IF($V17="","",INDEX(Calc!$D$2:$D$157,$V17))</f>
        <v>BCA</v>
      </c>
      <c r="B17" s="4" t="str">
        <f t="array" ref="B17">IF($V17="","",INDEX(Calc!$E$2:$E$157,$V17))</f>
        <v>Ex1st</v>
      </c>
      <c r="C17" s="18">
        <f t="array" ref="C17">IF($V17="","",INDEX(Calc!$T$2:$T$157,$V17))</f>
        <v>0.7945454545</v>
      </c>
      <c r="D17" s="18">
        <f t="array" ref="D17">IF($V17="","",INDEX(Calc!$AA$2:$AA$157,$V17))</f>
        <v>0.7215384615</v>
      </c>
      <c r="E17" s="12">
        <f t="array" ref="E17">IF($V17="","",INDEX(Calc!$V$2:$V$157,$V17))</f>
        <v>17.01916364</v>
      </c>
      <c r="F17" s="12">
        <f t="array" ref="F17">IF($V17="","",INDEX(Calc!$AC$2:$AC$157,$V17))</f>
        <v>15.37598462</v>
      </c>
      <c r="G17" s="12">
        <f t="array" ref="G17">IF($V17="","",INDEX(Calc!$AL$2:$AL$157,$V17))</f>
        <v>32.39514825</v>
      </c>
      <c r="H17" s="18">
        <f t="array" ref="H17">IF($V17="","",INDEX(Calc!$BK$2:$BK$157,$V17))</f>
        <v>0.9791531178</v>
      </c>
      <c r="I17" s="12">
        <f t="array" ref="I17">IF($V17="","",INDEX(Calc!$BD$2:$BD$157,$V17))</f>
        <v>31.71981041</v>
      </c>
      <c r="J17" s="4">
        <f t="array" ref="J17">IF($V17="","",IFERROR(INDEX(Projections!$F$2:$F$282,MATCH(INDEX(Calc!$A$2:$A$157,$V17)&amp;"|K12",Projections!$Y$2:$Y$282,0)),""))</f>
        <v>29.5</v>
      </c>
      <c r="K17" s="11">
        <f t="array" ref="K17">IF($V17="","",IFERROR(INDEX(Projections!$I$2:$I$282,MATCH(INDEX(Calc!$A$2:$A$157,$V17)&amp;"|K12",Projections!$Y$2:$Y$282,0)),""))</f>
        <v>0.6663655764</v>
      </c>
      <c r="L17" s="11">
        <f t="array" ref="L17">IF($V17="","",IFERROR(INDEX(Projections!$AB$2:$AB$282,MATCH(INDEX(Calc!$A$2:$A$157,$V17)&amp;"|K12",Projections!$Y$2:$Y$282,0)),""))</f>
        <v>0.6304740572</v>
      </c>
      <c r="M17" s="4" t="str">
        <f t="array" ref="M17">IF($V17="","",IFERROR(INDEX(Projections!$M$2:$M$282,MATCH(INDEX(Calc!$A$2:$A$157,$V17)&amp;"|K12",Projections!$Y$2:$Y$282,0)),""))</f>
        <v/>
      </c>
      <c r="N17" s="11">
        <f t="array" ref="N17">IF($V17="","",IFERROR(INDEX(Projections!$P$2:$P$282,MATCH(INDEX(Calc!$A$2:$A$157,$V17)&amp;"|K12",Projections!$Y$2:$Y$282,0)),""))</f>
        <v>0.6</v>
      </c>
      <c r="O17" s="11">
        <f t="array" ref="O17">IF($V17="","",INDEX(Calc!$AP$2:$AP$157,$V17))</f>
        <v>0.5080984362</v>
      </c>
      <c r="P17" s="12">
        <f t="array" ref="P17">IF($V17="","",INDEX(Calc!$AN$2:$AN$157,$V17))</f>
        <v>16.45992417</v>
      </c>
      <c r="Q17" s="4">
        <f t="array" ref="Q17">IF($V17="","",IFERROR(INDEX(Projections!$F$2:$F$282,MATCH(INDEX(Calc!$A$2:$A$157,$V17)&amp;"|H12",Projections!$Y$2:$Y$282,0)),""))</f>
        <v>15.5</v>
      </c>
      <c r="R17" s="11">
        <f t="array" ref="R17">IF($V17="","",IFERROR(INDEX(Projections!$I$2:$I$282,MATCH(INDEX(Calc!$A$2:$A$157,$V17)&amp;"|H12",Projections!$Y$2:$Y$282,0)),""))</f>
        <v>0.5853885892</v>
      </c>
      <c r="S17" s="4">
        <f t="array" ref="S17">IF($V17="","",INDEX(Calc!$N$2:$N$157,$V17))</f>
        <v>34</v>
      </c>
      <c r="T17" s="4" t="str">
        <f t="array" ref="T17">IF($V17="","",INDEX(Calc!$AQ$2:$AQ$157,$V17))</f>
        <v/>
      </c>
      <c r="V17" s="4">
        <f>IFERROR(MATCH(3,Calc!$AR$2:$AR$157,0),"")</f>
        <v>45</v>
      </c>
    </row>
    <row r="18">
      <c r="A18" s="4" t="str">
        <f t="array" ref="A18">IF($V18="","",INDEX(Calc!$D$2:$D$157,$V18))</f>
        <v>EF</v>
      </c>
      <c r="B18" s="4" t="str">
        <f t="array" ref="B18">IF($V18="","",INDEX(Calc!$E$2:$E$157,$V18))</f>
        <v>Kvem</v>
      </c>
      <c r="C18" s="18">
        <f t="array" ref="C18">IF($V18="","",INDEX(Calc!$T$2:$T$157,$V18))</f>
        <v>0.78</v>
      </c>
      <c r="D18" s="18">
        <f t="array" ref="D18">IF($V18="","",INDEX(Calc!$AA$2:$AA$157,$V18))</f>
        <v>0.6990909091</v>
      </c>
      <c r="E18" s="12">
        <f t="array" ref="E18">IF($V18="","",INDEX(Calc!$V$2:$V$157,$V18))</f>
        <v>16.7076</v>
      </c>
      <c r="F18" s="12">
        <f t="array" ref="F18">IF($V18="","",INDEX(Calc!$AC$2:$AC$157,$V18))</f>
        <v>14.89762727</v>
      </c>
      <c r="G18" s="12">
        <f t="array" ref="G18">IF($V18="","",INDEX(Calc!$AL$2:$AL$157,$V18))</f>
        <v>31.60522727</v>
      </c>
      <c r="H18" s="18">
        <f t="array" ref="H18">IF($V18="","",INDEX(Calc!$BK$2:$BK$157,$V18))</f>
        <v>0.9667701988</v>
      </c>
      <c r="I18" s="12">
        <f t="array" ref="I18">IF($V18="","",INDEX(Calc!$BD$2:$BD$157,$V18))</f>
        <v>30.55499185</v>
      </c>
      <c r="J18" s="4">
        <f t="array" ref="J18">IF($V18="","",IFERROR(INDEX(Projections!$F$2:$F$282,MATCH(INDEX(Calc!$A$2:$A$157,$V18)&amp;"|K12",Projections!$Y$2:$Y$282,0)),""))</f>
        <v>31.5</v>
      </c>
      <c r="K18" s="11">
        <f t="array" ref="K18">IF($V18="","",IFERROR(INDEX(Projections!$I$2:$I$282,MATCH(INDEX(Calc!$A$2:$A$157,$V18)&amp;"|K12",Projections!$Y$2:$Y$282,0)),""))</f>
        <v>0.5063106892</v>
      </c>
      <c r="L18" s="11">
        <f t="array" ref="L18">IF($V18="","",IFERROR(INDEX(Projections!$AB$2:$AB$282,MATCH(INDEX(Calc!$A$2:$A$157,$V18)&amp;"|K12",Projections!$Y$2:$Y$282,0)),""))</f>
        <v>0.4425577406</v>
      </c>
      <c r="M18" s="4" t="str">
        <f t="array" ref="M18">IF($V18="","",IFERROR(INDEX(Projections!$M$2:$M$282,MATCH(INDEX(Calc!$A$2:$A$157,$V18)&amp;"|K12",Projections!$Y$2:$Y$282,0)),""))</f>
        <v/>
      </c>
      <c r="N18" s="11">
        <f t="array" ref="N18">IF($V18="","",IFERROR(INDEX(Projections!$P$2:$P$282,MATCH(INDEX(Calc!$A$2:$A$157,$V18)&amp;"|K12",Projections!$Y$2:$Y$282,0)),""))</f>
        <v>0.6</v>
      </c>
      <c r="O18" s="11">
        <f t="array" ref="O18">IF($V18="","",INDEX(Calc!$AP$2:$AP$157,$V18))</f>
        <v>0.5640708876</v>
      </c>
      <c r="P18" s="12">
        <f t="array" ref="P18">IF($V18="","",INDEX(Calc!$AN$2:$AN$157,$V18))</f>
        <v>17.8275886</v>
      </c>
      <c r="Q18" s="4">
        <f t="array" ref="Q18">IF($V18="","",IFERROR(INDEX(Projections!$F$2:$F$282,MATCH(INDEX(Calc!$A$2:$A$157,$V18)&amp;"|H12",Projections!$Y$2:$Y$282,0)),""))</f>
        <v>18.5</v>
      </c>
      <c r="R18" s="11">
        <f t="array" ref="R18">IF($V18="","",IFERROR(INDEX(Projections!$I$2:$I$282,MATCH(INDEX(Calc!$A$2:$A$157,$V18)&amp;"|H12",Projections!$Y$2:$Y$282,0)),""))</f>
        <v>0.4428095249</v>
      </c>
      <c r="S18" s="4">
        <f t="array" ref="S18">IF($V18="","",INDEX(Calc!$N$2:$N$157,$V18))</f>
        <v>29</v>
      </c>
      <c r="T18" s="4" t="str">
        <f t="array" ref="T18">IF($V18="","",INDEX(Calc!$AQ$2:$AQ$157,$V18))</f>
        <v/>
      </c>
      <c r="V18" s="4">
        <f>IFERROR(MATCH(4,Calc!$AR$2:$AR$157,0),"")</f>
        <v>50</v>
      </c>
    </row>
    <row r="19">
      <c r="A19" s="4" t="str">
        <f t="array" ref="A19">IF($V19="","",INDEX(Calc!$D$2:$D$157,$V19))</f>
        <v>BCA</v>
      </c>
      <c r="B19" s="4" t="str">
        <f t="array" ref="B19">IF($V19="","",INDEX(Calc!$E$2:$E$157,$V19))</f>
        <v>Qlocuu</v>
      </c>
      <c r="C19" s="18">
        <f t="array" ref="C19">IF($V19="","",INDEX(Calc!$T$2:$T$157,$V19))</f>
        <v>0.6654545455</v>
      </c>
      <c r="D19" s="18">
        <f t="array" ref="D19">IF($V19="","",INDEX(Calc!$AA$2:$AA$157,$V19))</f>
        <v>0.7276923077</v>
      </c>
      <c r="E19" s="12">
        <f t="array" ref="E19">IF($V19="","",INDEX(Calc!$V$2:$V$157,$V19))</f>
        <v>14.25403636</v>
      </c>
      <c r="F19" s="12">
        <f t="array" ref="F19">IF($V19="","",INDEX(Calc!$AC$2:$AC$157,$V19))</f>
        <v>15.50712308</v>
      </c>
      <c r="G19" s="12">
        <f t="array" ref="G19">IF($V19="","",INDEX(Calc!$AL$2:$AL$157,$V19))</f>
        <v>29.76115944</v>
      </c>
      <c r="H19" s="18">
        <f t="array" ref="H19">IF($V19="","",INDEX(Calc!$BK$2:$BK$157,$V19))</f>
        <v>0.9805908889</v>
      </c>
      <c r="I19" s="12">
        <f t="array" ref="I19">IF($V19="","",INDEX(Calc!$BD$2:$BD$157,$V19))</f>
        <v>29.18352179</v>
      </c>
      <c r="J19" s="4">
        <f t="array" ref="J19">IF($V19="","",IFERROR(INDEX(Projections!$F$2:$F$282,MATCH(INDEX(Calc!$A$2:$A$157,$V19)&amp;"|K12",Projections!$Y$2:$Y$282,0)),""))</f>
        <v>27.5</v>
      </c>
      <c r="K19" s="11">
        <f t="array" ref="K19">IF($V19="","",IFERROR(INDEX(Projections!$I$2:$I$282,MATCH(INDEX(Calc!$A$2:$A$157,$V19)&amp;"|K12",Projections!$Y$2:$Y$282,0)),""))</f>
        <v>0.6369438554</v>
      </c>
      <c r="L19" s="11">
        <f t="array" ref="L19">IF($V19="","",IFERROR(INDEX(Projections!$AB$2:$AB$282,MATCH(INDEX(Calc!$A$2:$A$157,$V19)&amp;"|K12",Projections!$Y$2:$Y$282,0)),""))</f>
        <v>0.6038718678</v>
      </c>
      <c r="M19" s="4" t="str">
        <f t="array" ref="M19">IF($V19="","",IFERROR(INDEX(Projections!$M$2:$M$282,MATCH(INDEX(Calc!$A$2:$A$157,$V19)&amp;"|K12",Projections!$Y$2:$Y$282,0)),""))</f>
        <v/>
      </c>
      <c r="N19" s="11">
        <f t="array" ref="N19">IF($V19="","",IFERROR(INDEX(Projections!$P$2:$P$282,MATCH(INDEX(Calc!$A$2:$A$157,$V19)&amp;"|K12",Projections!$Y$2:$Y$282,0)),""))</f>
        <v>0.7</v>
      </c>
      <c r="O19" s="11">
        <f t="array" ref="O19">IF($V19="","",INDEX(Calc!$AP$2:$AP$157,$V19))</f>
        <v>0.5159607671</v>
      </c>
      <c r="P19" s="12">
        <f t="array" ref="P19">IF($V19="","",INDEX(Calc!$AN$2:$AN$157,$V19))</f>
        <v>15.35559065</v>
      </c>
      <c r="Q19" s="4">
        <f t="array" ref="Q19">IF($V19="","",IFERROR(INDEX(Projections!$F$2:$F$282,MATCH(INDEX(Calc!$A$2:$A$157,$V19)&amp;"|H12",Projections!$Y$2:$Y$282,0)),""))</f>
        <v>14.5</v>
      </c>
      <c r="R19" s="11">
        <f t="array" ref="R19">IF($V19="","",IFERROR(INDEX(Projections!$I$2:$I$282,MATCH(INDEX(Calc!$A$2:$A$157,$V19)&amp;"|H12",Projections!$Y$2:$Y$282,0)),""))</f>
        <v>0.5787856663</v>
      </c>
      <c r="S19" s="4">
        <f t="array" ref="S19">IF($V19="","",INDEX(Calc!$N$2:$N$157,$V19))</f>
        <v>34</v>
      </c>
      <c r="T19" s="4" t="str">
        <f t="array" ref="T19">IF($V19="","",INDEX(Calc!$AQ$2:$AQ$157,$V19))</f>
        <v/>
      </c>
      <c r="V19" s="4">
        <f>IFERROR(MATCH(5,Calc!$AR$2:$AR$157,0),"")</f>
        <v>47</v>
      </c>
    </row>
    <row r="20">
      <c r="A20" s="4" t="str">
        <f t="array" ref="A20">IF($V20="","",INDEX(Calc!$D$2:$D$157,$V20))</f>
        <v>BCA</v>
      </c>
      <c r="B20" s="4" t="str">
        <f t="array" ref="B20">IF($V20="","",INDEX(Calc!$E$2:$E$157,$V20))</f>
        <v>ultimate</v>
      </c>
      <c r="C20" s="18">
        <f t="array" ref="C20">IF($V20="","",INDEX(Calc!$T$2:$T$157,$V20))</f>
        <v>0.6490909091</v>
      </c>
      <c r="D20" s="18">
        <f t="array" ref="D20">IF($V20="","",INDEX(Calc!$AA$2:$AA$157,$V20))</f>
        <v>0.6054545455</v>
      </c>
      <c r="E20" s="12">
        <f t="array" ref="E20">IF($V20="","",INDEX(Calc!$V$2:$V$157,$V20))</f>
        <v>13.90352727</v>
      </c>
      <c r="F20" s="12">
        <f t="array" ref="F20">IF($V20="","",INDEX(Calc!$AC$2:$AC$157,$V20))</f>
        <v>12.90223636</v>
      </c>
      <c r="G20" s="12">
        <f t="array" ref="G20">IF($V20="","",INDEX(Calc!$AL$2:$AL$157,$V20))</f>
        <v>26.80576364</v>
      </c>
      <c r="H20" s="18">
        <f t="array" ref="H20">IF($V20="","",INDEX(Calc!$BK$2:$BK$157,$V20))</f>
        <v>0.9793601914</v>
      </c>
      <c r="I20" s="12">
        <f t="array" ref="I20">IF($V20="","",INDEX(Calc!$BD$2:$BD$157,$V20))</f>
        <v>26.25249781</v>
      </c>
      <c r="J20" s="4">
        <f t="array" ref="J20">IF($V20="","",IFERROR(INDEX(Projections!$F$2:$F$282,MATCH(INDEX(Calc!$A$2:$A$157,$V20)&amp;"|K12",Projections!$Y$2:$Y$282,0)),""))</f>
        <v>28.5</v>
      </c>
      <c r="K20" s="11">
        <f t="array" ref="K20">IF($V20="","",IFERROR(INDEX(Projections!$I$2:$I$282,MATCH(INDEX(Calc!$A$2:$A$157,$V20)&amp;"|K12",Projections!$Y$2:$Y$282,0)),""))</f>
        <v>0.3910573963</v>
      </c>
      <c r="L20" s="11">
        <f t="array" ref="L20">IF($V20="","",IFERROR(INDEX(Projections!$AB$2:$AB$282,MATCH(INDEX(Calc!$A$2:$A$157,$V20)&amp;"|K12",Projections!$Y$2:$Y$282,0)),""))</f>
        <v>0.3554215281</v>
      </c>
      <c r="M20" s="4" t="str">
        <f t="array" ref="M20">IF($V20="","",IFERROR(INDEX(Projections!$M$2:$M$282,MATCH(INDEX(Calc!$A$2:$A$157,$V20)&amp;"|K12",Projections!$Y$2:$Y$282,0)),""))</f>
        <v/>
      </c>
      <c r="N20" s="11">
        <f t="array" ref="N20">IF($V20="","",IFERROR(INDEX(Projections!$P$2:$P$282,MATCH(INDEX(Calc!$A$2:$A$157,$V20)&amp;"|K12",Projections!$Y$2:$Y$282,0)),""))</f>
        <v>0.6</v>
      </c>
      <c r="O20" s="11">
        <f t="array" ref="O20">IF($V20="","",INDEX(Calc!$AP$2:$AP$157,$V20))</f>
        <v>0.3542139341</v>
      </c>
      <c r="P20" s="12">
        <f t="array" ref="P20">IF($V20="","",INDEX(Calc!$AN$2:$AN$157,$V20))</f>
        <v>9.494974993</v>
      </c>
      <c r="Q20" s="4">
        <f t="array" ref="Q20">IF($V20="","",IFERROR(INDEX(Projections!$F$2:$F$282,MATCH(INDEX(Calc!$A$2:$A$157,$V20)&amp;"|H12",Projections!$Y$2:$Y$282,0)),""))</f>
        <v>11.5</v>
      </c>
      <c r="R20" s="11">
        <f t="array" ref="R20">IF($V20="","",IFERROR(INDEX(Projections!$I$2:$I$282,MATCH(INDEX(Calc!$A$2:$A$157,$V20)&amp;"|H12",Projections!$Y$2:$Y$282,0)),""))</f>
        <v>0.2712704305</v>
      </c>
      <c r="S20" s="4">
        <f t="array" ref="S20">IF($V20="","",INDEX(Calc!$N$2:$N$157,$V20))</f>
        <v>30</v>
      </c>
      <c r="T20" s="4" t="str">
        <f t="array" ref="T20">IF($V20="","",INDEX(Calc!$AQ$2:$AQ$157,$V20))</f>
        <v/>
      </c>
      <c r="V20" s="4">
        <f>IFERROR(MATCH(6,Calc!$AR$2:$AR$157,0),"")</f>
        <v>48</v>
      </c>
    </row>
    <row r="21" ht="15.75" customHeight="1">
      <c r="A21" s="4" t="str">
        <f t="array" ref="A21">IF($V21="","",INDEX(Calc!$D$2:$D$157,$V21))</f>
        <v>BCA</v>
      </c>
      <c r="B21" s="4" t="str">
        <f t="array" ref="B21">IF($V21="","",INDEX(Calc!$E$2:$E$157,$V21))</f>
        <v>Prism</v>
      </c>
      <c r="C21" s="18">
        <f t="array" ref="C21">IF($V21="","",INDEX(Calc!$T$2:$T$157,$V21))</f>
        <v>0.6281818182</v>
      </c>
      <c r="D21" s="18">
        <f t="array" ref="D21">IF($V21="","",INDEX(Calc!$AA$2:$AA$157,$V21))</f>
        <v>0.6069230769</v>
      </c>
      <c r="E21" s="12">
        <f t="array" ref="E21">IF($V21="","",INDEX(Calc!$V$2:$V$157,$V21))</f>
        <v>13.45565455</v>
      </c>
      <c r="F21" s="12">
        <f t="array" ref="F21">IF($V21="","",INDEX(Calc!$AC$2:$AC$157,$V21))</f>
        <v>12.93353077</v>
      </c>
      <c r="G21" s="12">
        <f t="array" ref="G21">IF($V21="","",INDEX(Calc!$AL$2:$AL$157,$V21))</f>
        <v>26.38918531</v>
      </c>
      <c r="H21" s="18">
        <f t="array" ref="H21">IF($V21="","",INDEX(Calc!$BK$2:$BK$157,$V21))</f>
        <v>0.9796322956</v>
      </c>
      <c r="I21" s="12">
        <f t="array" ref="I21">IF($V21="","",INDEX(Calc!$BD$2:$BD$157,$V21))</f>
        <v>25.85169819</v>
      </c>
      <c r="J21" s="4">
        <f t="array" ref="J21">IF($V21="","",IFERROR(INDEX(Projections!$F$2:$F$282,MATCH(INDEX(Calc!$A$2:$A$157,$V21)&amp;"|K12",Projections!$Y$2:$Y$282,0)),""))</f>
        <v>26.5</v>
      </c>
      <c r="K21" s="11">
        <f t="array" ref="K21">IF($V21="","",IFERROR(INDEX(Projections!$I$2:$I$282,MATCH(INDEX(Calc!$A$2:$A$157,$V21)&amp;"|K12",Projections!$Y$2:$Y$282,0)),""))</f>
        <v>0.4927271218</v>
      </c>
      <c r="L21" s="11">
        <f t="array" ref="L21">IF($V21="","",IFERROR(INDEX(Projections!$AB$2:$AB$282,MATCH(INDEX(Calc!$A$2:$A$157,$V21)&amp;"|K12",Projections!$Y$2:$Y$282,0)),""))</f>
        <v>0.4570919448</v>
      </c>
      <c r="M21" s="4" t="str">
        <f t="array" ref="M21">IF($V21="","",IFERROR(INDEX(Projections!$M$2:$M$282,MATCH(INDEX(Calc!$A$2:$A$157,$V21)&amp;"|K12",Projections!$Y$2:$Y$282,0)),""))</f>
        <v/>
      </c>
      <c r="N21" s="11">
        <f t="array" ref="N21">IF($V21="","",IFERROR(INDEX(Projections!$P$2:$P$282,MATCH(INDEX(Calc!$A$2:$A$157,$V21)&amp;"|K12",Projections!$Y$2:$Y$282,0)),""))</f>
        <v>0.5</v>
      </c>
      <c r="O21" s="11">
        <f t="array" ref="O21">IF($V21="","",INDEX(Calc!$AP$2:$AP$157,$V21))</f>
        <v>0.4845857662</v>
      </c>
      <c r="P21" s="12">
        <f t="array" ref="P21">IF($V21="","",INDEX(Calc!$AN$2:$AN$157,$V21))</f>
        <v>12.78782358</v>
      </c>
      <c r="Q21" s="4">
        <f t="array" ref="Q21">IF($V21="","",IFERROR(INDEX(Projections!$F$2:$F$282,MATCH(INDEX(Calc!$A$2:$A$157,$V21)&amp;"|H12",Projections!$Y$2:$Y$282,0)),""))</f>
        <v>13.5</v>
      </c>
      <c r="R21" s="11">
        <f t="array" ref="R21">IF($V21="","",IFERROR(INDEX(Projections!$I$2:$I$282,MATCH(INDEX(Calc!$A$2:$A$157,$V21)&amp;"|H12",Projections!$Y$2:$Y$282,0)),""))</f>
        <v>0.4276850831</v>
      </c>
      <c r="S21" s="4">
        <f t="array" ref="S21">IF($V21="","",INDEX(Calc!$N$2:$N$157,$V21))</f>
        <v>34</v>
      </c>
      <c r="T21" s="4" t="str">
        <f t="array" ref="T21">IF($V21="","",INDEX(Calc!$AQ$2:$AQ$157,$V21))</f>
        <v/>
      </c>
      <c r="V21" s="4">
        <f>IFERROR(MATCH(7,Calc!$AR$2:$AR$157,0),"")</f>
        <v>46</v>
      </c>
    </row>
    <row r="22" ht="15.75" customHeight="1">
      <c r="A22" s="4" t="str">
        <f t="array" ref="A22">IF($V22="","",INDEX(Calc!$D$2:$D$157,$V22))</f>
        <v>EF</v>
      </c>
      <c r="B22" s="4" t="str">
        <f t="array" ref="B22">IF($V22="","",INDEX(Calc!$E$2:$E$157,$V22))</f>
        <v>regali</v>
      </c>
      <c r="C22" s="18">
        <f t="array" ref="C22">IF($V22="","",INDEX(Calc!$T$2:$T$157,$V22))</f>
        <v>0.625</v>
      </c>
      <c r="D22" s="18">
        <f t="array" ref="D22">IF($V22="","",INDEX(Calc!$AA$2:$AA$157,$V22))</f>
        <v>0.5827272727</v>
      </c>
      <c r="E22" s="12">
        <f t="array" ref="E22">IF($V22="","",INDEX(Calc!$V$2:$V$157,$V22))</f>
        <v>13.3875</v>
      </c>
      <c r="F22" s="12">
        <f t="array" ref="F22">IF($V22="","",INDEX(Calc!$AC$2:$AC$157,$V22))</f>
        <v>12.41791818</v>
      </c>
      <c r="G22" s="12">
        <f t="array" ref="G22">IF($V22="","",INDEX(Calc!$AL$2:$AL$157,$V22))</f>
        <v>25.80541818</v>
      </c>
      <c r="H22" s="18">
        <f t="array" ref="H22">IF($V22="","",INDEX(Calc!$BK$2:$BK$157,$V22))</f>
        <v>0.966465113</v>
      </c>
      <c r="I22" s="12">
        <f t="array" ref="I22">IF($V22="","",INDEX(Calc!$BD$2:$BD$157,$V22))</f>
        <v>24.9400364</v>
      </c>
      <c r="J22" s="4">
        <f t="array" ref="J22">IF($V22="","",IFERROR(INDEX(Projections!$F$2:$F$282,MATCH(INDEX(Calc!$A$2:$A$157,$V22)&amp;"|K12",Projections!$Y$2:$Y$282,0)),""))</f>
        <v>29.5</v>
      </c>
      <c r="K22" s="11">
        <f t="array" ref="K22">IF($V22="","",IFERROR(INDEX(Projections!$I$2:$I$282,MATCH(INDEX(Calc!$A$2:$A$157,$V22)&amp;"|K12",Projections!$Y$2:$Y$282,0)),""))</f>
        <v>0.2693845602</v>
      </c>
      <c r="L22" s="11">
        <f t="array" ref="L22">IF($V22="","",IFERROR(INDEX(Projections!$AB$2:$AB$282,MATCH(INDEX(Calc!$A$2:$A$157,$V22)&amp;"|K12",Projections!$Y$2:$Y$282,0)),""))</f>
        <v>0.2201458989</v>
      </c>
      <c r="M22" s="4" t="str">
        <f t="array" ref="M22">IF($V22="","",IFERROR(INDEX(Projections!$M$2:$M$282,MATCH(INDEX(Calc!$A$2:$A$157,$V22)&amp;"|K12",Projections!$Y$2:$Y$282,0)),""))</f>
        <v/>
      </c>
      <c r="N22" s="11">
        <f t="array" ref="N22">IF($V22="","",IFERROR(INDEX(Projections!$P$2:$P$282,MATCH(INDEX(Calc!$A$2:$A$157,$V22)&amp;"|K12",Projections!$Y$2:$Y$282,0)),""))</f>
        <v>0.4</v>
      </c>
      <c r="O22" s="11">
        <f t="array" ref="O22">IF($V22="","",INDEX(Calc!$AP$2:$AP$157,$V22))</f>
        <v>0.3453880758</v>
      </c>
      <c r="P22" s="12">
        <f t="array" ref="P22">IF($V22="","",INDEX(Calc!$AN$2:$AN$157,$V22))</f>
        <v>8.912883731</v>
      </c>
      <c r="Q22" s="4">
        <f t="array" ref="Q22">IF($V22="","",IFERROR(INDEX(Projections!$F$2:$F$282,MATCH(INDEX(Calc!$A$2:$A$157,$V22)&amp;"|H12",Projections!$Y$2:$Y$282,0)),""))</f>
        <v>11.5</v>
      </c>
      <c r="R22" s="11">
        <f t="array" ref="R22">IF($V22="","",IFERROR(INDEX(Projections!$I$2:$I$282,MATCH(INDEX(Calc!$A$2:$A$157,$V22)&amp;"|H12",Projections!$Y$2:$Y$282,0)),""))</f>
        <v>0.2083153219</v>
      </c>
      <c r="S22" s="4">
        <f t="array" ref="S22">IF($V22="","",INDEX(Calc!$N$2:$N$157,$V22))</f>
        <v>29</v>
      </c>
      <c r="T22" s="4" t="str">
        <f t="array" ref="T22">IF($V22="","",INDEX(Calc!$AQ$2:$AQ$157,$V22))</f>
        <v/>
      </c>
      <c r="V22" s="4">
        <f>IFERROR(MATCH(8,Calc!$AR$2:$AR$157,0),"")</f>
        <v>52</v>
      </c>
    </row>
    <row r="23" ht="15.75" customHeight="1">
      <c r="A23" s="4" t="str">
        <f t="array" ref="A23">IF($V23="","",INDEX(Calc!$D$2:$D$157,$V23))</f>
        <v>BCA</v>
      </c>
      <c r="B23" s="4" t="str">
        <f t="array" ref="B23">IF($V23="","",INDEX(Calc!$E$2:$E$157,$V23))</f>
        <v>Demho</v>
      </c>
      <c r="C23" s="18">
        <f t="array" ref="C23">IF($V23="","",INDEX(Calc!$T$2:$T$157,$V23))</f>
        <v>0.5781818182</v>
      </c>
      <c r="D23" s="18">
        <f t="array" ref="D23">IF($V23="","",INDEX(Calc!$AA$2:$AA$157,$V23))</f>
        <v>0.6184615385</v>
      </c>
      <c r="E23" s="12">
        <f t="array" ref="E23">IF($V23="","",INDEX(Calc!$V$2:$V$157,$V23))</f>
        <v>12.38465455</v>
      </c>
      <c r="F23" s="12">
        <f t="array" ref="F23">IF($V23="","",INDEX(Calc!$AC$2:$AC$157,$V23))</f>
        <v>13.17941538</v>
      </c>
      <c r="G23" s="12">
        <f t="array" ref="G23">IF($V23="","",INDEX(Calc!$AL$2:$AL$157,$V23))</f>
        <v>25.56406993</v>
      </c>
      <c r="H23" s="18">
        <f t="array" ref="H23">IF($V23="","",INDEX(Calc!$BK$2:$BK$157,$V23))</f>
        <v>0.9804202699</v>
      </c>
      <c r="I23" s="12">
        <f t="array" ref="I23">IF($V23="","",INDEX(Calc!$BD$2:$BD$157,$V23))</f>
        <v>25.06353234</v>
      </c>
      <c r="J23" s="4">
        <f t="array" ref="J23">IF($V23="","",IFERROR(INDEX(Projections!$F$2:$F$282,MATCH(INDEX(Calc!$A$2:$A$157,$V23)&amp;"|K12",Projections!$Y$2:$Y$282,0)),""))</f>
        <v>25.5</v>
      </c>
      <c r="K23" s="11">
        <f t="array" ref="K23">IF($V23="","",IFERROR(INDEX(Projections!$I$2:$I$282,MATCH(INDEX(Calc!$A$2:$A$157,$V23)&amp;"|K12",Projections!$Y$2:$Y$282,0)),""))</f>
        <v>0.5042724501</v>
      </c>
      <c r="L23" s="11">
        <f t="array" ref="L23">IF($V23="","",IFERROR(INDEX(Projections!$AB$2:$AB$282,MATCH(INDEX(Calc!$A$2:$A$157,$V23)&amp;"|K12",Projections!$Y$2:$Y$282,0)),""))</f>
        <v>0.4706313391</v>
      </c>
      <c r="M23" s="4" t="str">
        <f t="array" ref="M23">IF($V23="","",IFERROR(INDEX(Projections!$M$2:$M$282,MATCH(INDEX(Calc!$A$2:$A$157,$V23)&amp;"|K12",Projections!$Y$2:$Y$282,0)),""))</f>
        <v/>
      </c>
      <c r="N23" s="11">
        <f t="array" ref="N23">IF($V23="","",IFERROR(INDEX(Projections!$P$2:$P$282,MATCH(INDEX(Calc!$A$2:$A$157,$V23)&amp;"|K12",Projections!$Y$2:$Y$282,0)),""))</f>
        <v>0.6</v>
      </c>
      <c r="O23" s="11">
        <f t="array" ref="O23">IF($V23="","",INDEX(Calc!$AP$2:$AP$157,$V23))</f>
        <v>0.4212578801</v>
      </c>
      <c r="P23" s="12">
        <f t="array" ref="P23">IF($V23="","",INDEX(Calc!$AN$2:$AN$157,$V23))</f>
        <v>10.76906591</v>
      </c>
      <c r="Q23" s="4">
        <f t="array" ref="Q23">IF($V23="","",IFERROR(INDEX(Projections!$F$2:$F$282,MATCH(INDEX(Calc!$A$2:$A$157,$V23)&amp;"|H12",Projections!$Y$2:$Y$282,0)),""))</f>
        <v>11.5</v>
      </c>
      <c r="R23" s="11">
        <f t="array" ref="R23">IF($V23="","",IFERROR(INDEX(Projections!$I$2:$I$282,MATCH(INDEX(Calc!$A$2:$A$157,$V23)&amp;"|H12",Projections!$Y$2:$Y$282,0)),""))</f>
        <v>0.4183756236</v>
      </c>
      <c r="S23" s="4">
        <f t="array" ref="S23">IF($V23="","",INDEX(Calc!$N$2:$N$157,$V23))</f>
        <v>34</v>
      </c>
      <c r="T23" s="4" t="str">
        <f t="array" ref="T23">IF($V23="","",INDEX(Calc!$AQ$2:$AQ$157,$V23))</f>
        <v/>
      </c>
      <c r="V23" s="4">
        <f>IFERROR(MATCH(9,Calc!$AR$2:$AR$157,0),"")</f>
        <v>44</v>
      </c>
    </row>
    <row r="24" ht="15.75" customHeight="1">
      <c r="A24" s="4" t="str">
        <f t="array" ref="A24">IF($V24="","",INDEX(Calc!$D$2:$D$157,$V24))</f>
        <v>EF</v>
      </c>
      <c r="B24" s="4" t="str">
        <f t="array" ref="B24">IF($V24="","",INDEX(Calc!$E$2:$E$157,$V24))</f>
        <v>MisteM</v>
      </c>
      <c r="C24" s="18">
        <f t="array" ref="C24">IF($V24="","",INDEX(Calc!$T$2:$T$157,$V24))</f>
        <v>0.57</v>
      </c>
      <c r="D24" s="18">
        <f t="array" ref="D24">IF($V24="","",INDEX(Calc!$AA$2:$AA$157,$V24))</f>
        <v>0.5436363636</v>
      </c>
      <c r="E24" s="12">
        <f t="array" ref="E24">IF($V24="","",INDEX(Calc!$V$2:$V$157,$V24))</f>
        <v>12.2094</v>
      </c>
      <c r="F24" s="12">
        <f t="array" ref="F24">IF($V24="","",INDEX(Calc!$AC$2:$AC$157,$V24))</f>
        <v>11.58489091</v>
      </c>
      <c r="G24" s="12">
        <f t="array" ref="G24">IF($V24="","",INDEX(Calc!$AL$2:$AL$157,$V24))</f>
        <v>23.79429091</v>
      </c>
      <c r="H24" s="18">
        <f t="array" ref="H24">IF($V24="","",INDEX(Calc!$BK$2:$BK$157,$V24))</f>
        <v>0.9662896608</v>
      </c>
      <c r="I24" s="12">
        <f t="array" ref="I24">IF($V24="","",INDEX(Calc!$BD$2:$BD$157,$V24))</f>
        <v>22.99217729</v>
      </c>
      <c r="J24" s="4">
        <f t="array" ref="J24">IF($V24="","",IFERROR(INDEX(Projections!$F$2:$F$282,MATCH(INDEX(Calc!$A$2:$A$157,$V24)&amp;"|K12",Projections!$Y$2:$Y$282,0)),""))</f>
        <v>25.5</v>
      </c>
      <c r="K24" s="11">
        <f t="array" ref="K24">IF($V24="","",IFERROR(INDEX(Projections!$I$2:$I$282,MATCH(INDEX(Calc!$A$2:$A$157,$V24)&amp;"|K12",Projections!$Y$2:$Y$282,0)),""))</f>
        <v>0.3837937425</v>
      </c>
      <c r="L24" s="11">
        <f t="array" ref="L24">IF($V24="","",IFERROR(INDEX(Projections!$AB$2:$AB$282,MATCH(INDEX(Calc!$A$2:$A$157,$V24)&amp;"|K12",Projections!$Y$2:$Y$282,0)),""))</f>
        <v>0.3292370563</v>
      </c>
      <c r="M24" s="4" t="str">
        <f t="array" ref="M24">IF($V24="","",IFERROR(INDEX(Projections!$M$2:$M$282,MATCH(INDEX(Calc!$A$2:$A$157,$V24)&amp;"|K12",Projections!$Y$2:$Y$282,0)),""))</f>
        <v/>
      </c>
      <c r="N24" s="11">
        <f t="array" ref="N24">IF($V24="","",IFERROR(INDEX(Projections!$P$2:$P$282,MATCH(INDEX(Calc!$A$2:$A$157,$V24)&amp;"|K12",Projections!$Y$2:$Y$282,0)),""))</f>
        <v>0.6</v>
      </c>
      <c r="O24" s="11">
        <f t="array" ref="O24">IF($V24="","",INDEX(Calc!$AP$2:$AP$157,$V24))</f>
        <v>0.5514598539</v>
      </c>
      <c r="P24" s="12">
        <f t="array" ref="P24">IF($V24="","",INDEX(Calc!$AN$2:$AN$157,$V24))</f>
        <v>13.12159619</v>
      </c>
      <c r="Q24" s="4">
        <f t="array" ref="Q24">IF($V24="","",IFERROR(INDEX(Projections!$F$2:$F$282,MATCH(INDEX(Calc!$A$2:$A$157,$V24)&amp;"|H12",Projections!$Y$2:$Y$282,0)),""))</f>
        <v>13.5</v>
      </c>
      <c r="R24" s="11">
        <f t="array" ref="R24">IF($V24="","",IFERROR(INDEX(Projections!$I$2:$I$282,MATCH(INDEX(Calc!$A$2:$A$157,$V24)&amp;"|H12",Projections!$Y$2:$Y$282,0)),""))</f>
        <v>0.4623346795</v>
      </c>
      <c r="S24" s="4">
        <f t="array" ref="S24">IF($V24="","",INDEX(Calc!$N$2:$N$157,$V24))</f>
        <v>29</v>
      </c>
      <c r="T24" s="4" t="str">
        <f t="array" ref="T24">IF($V24="","",INDEX(Calc!$AQ$2:$AQ$157,$V24))</f>
        <v/>
      </c>
      <c r="V24" s="4">
        <f>IFERROR(MATCH(10,Calc!$AR$2:$AR$157,0),"")</f>
        <v>51</v>
      </c>
    </row>
    <row r="25" ht="15.75" customHeight="1">
      <c r="A25" s="4" t="str">
        <f t="array" ref="A25">IF($V25="","",INDEX(Calc!$D$2:$D$157,$V25))</f>
        <v/>
      </c>
      <c r="B25" s="4" t="str">
        <f t="array" ref="B25">IF($V25="","",INDEX(Calc!$E$2:$E$157,$V25))</f>
        <v/>
      </c>
      <c r="C25" s="18" t="str">
        <f t="array" ref="C25">IF($V25="","",INDEX(Calc!$T$2:$T$157,$V25))</f>
        <v/>
      </c>
      <c r="D25" s="18" t="str">
        <f t="array" ref="D25">IF($V25="","",INDEX(Calc!$AA$2:$AA$157,$V25))</f>
        <v/>
      </c>
      <c r="E25" s="12" t="str">
        <f t="array" ref="E25">IF($V25="","",INDEX(Calc!$V$2:$V$157,$V25))</f>
        <v/>
      </c>
      <c r="F25" s="12" t="str">
        <f t="array" ref="F25">IF($V25="","",INDEX(Calc!$AC$2:$AC$157,$V25))</f>
        <v/>
      </c>
      <c r="G25" s="12" t="str">
        <f t="array" ref="G25">IF($V25="","",INDEX(Calc!$AL$2:$AL$157,$V25))</f>
        <v/>
      </c>
      <c r="H25" s="18" t="str">
        <f t="array" ref="H25">IF($V25="","",INDEX(Calc!$BK$2:$BK$157,$V25))</f>
        <v/>
      </c>
      <c r="I25" s="12" t="str">
        <f t="array" ref="I25">IF($V25="","",INDEX(Calc!$BD$2:$BD$157,$V25))</f>
        <v/>
      </c>
      <c r="J25" s="4" t="str">
        <f t="array" ref="J25">IF($V25="","",IFERROR(INDEX(Projections!$F$2:$F$282,MATCH(INDEX(Calc!$A$2:$A$157,$V25)&amp;"|K12",Projections!$Y$2:$Y$282,0)),""))</f>
        <v/>
      </c>
      <c r="K25" s="11" t="str">
        <f t="array" ref="K25">IF($V25="","",IFERROR(INDEX(Projections!$I$2:$I$282,MATCH(INDEX(Calc!$A$2:$A$157,$V25)&amp;"|K12",Projections!$Y$2:$Y$282,0)),""))</f>
        <v/>
      </c>
      <c r="L25" s="11" t="str">
        <f t="array" ref="L25">IF($V25="","",IFERROR(INDEX(Projections!$AB$2:$AB$282,MATCH(INDEX(Calc!$A$2:$A$157,$V25)&amp;"|K12",Projections!$Y$2:$Y$282,0)),""))</f>
        <v/>
      </c>
      <c r="M25" s="4" t="str">
        <f t="array" ref="M25">IF($V25="","",IFERROR(INDEX(Projections!$M$2:$M$282,MATCH(INDEX(Calc!$A$2:$A$157,$V25)&amp;"|K12",Projections!$Y$2:$Y$282,0)),""))</f>
        <v/>
      </c>
      <c r="N25" s="11" t="str">
        <f t="array" ref="N25">IF($V25="","",IFERROR(INDEX(Projections!$P$2:$P$282,MATCH(INDEX(Calc!$A$2:$A$157,$V25)&amp;"|K12",Projections!$Y$2:$Y$282,0)),""))</f>
        <v/>
      </c>
      <c r="O25" s="11" t="str">
        <f t="array" ref="O25">IF($V25="","",INDEX(Calc!$AP$2:$AP$157,$V25))</f>
        <v/>
      </c>
      <c r="P25" s="12" t="str">
        <f t="array" ref="P25">IF($V25="","",INDEX(Calc!$AN$2:$AN$157,$V25))</f>
        <v/>
      </c>
      <c r="Q25" s="4" t="str">
        <f t="array" ref="Q25">IF($V25="","",IFERROR(INDEX(Projections!$F$2:$F$282,MATCH(INDEX(Calc!$A$2:$A$157,$V25)&amp;"|H12",Projections!$Y$2:$Y$282,0)),""))</f>
        <v/>
      </c>
      <c r="R25" s="11" t="str">
        <f t="array" ref="R25">IF($V25="","",IFERROR(INDEX(Projections!$I$2:$I$282,MATCH(INDEX(Calc!$A$2:$A$157,$V25)&amp;"|H12",Projections!$Y$2:$Y$282,0)),""))</f>
        <v/>
      </c>
      <c r="S25" s="4" t="str">
        <f t="array" ref="S25">IF($V25="","",INDEX(Calc!$N$2:$N$157,$V25))</f>
        <v/>
      </c>
      <c r="T25" s="4" t="str">
        <f t="array" ref="T25">IF($V25="","",INDEX(Calc!$AQ$2:$AQ$157,$V25))</f>
        <v/>
      </c>
      <c r="V25" s="4" t="str">
        <f>IFERROR(MATCH(11,Calc!$AR$2:$AR$157,0),"")</f>
        <v/>
      </c>
    </row>
    <row r="26" ht="15.75" customHeight="1">
      <c r="A26" s="4" t="str">
        <f t="array" ref="A26">IF($V26="","",INDEX(Calc!$D$2:$D$157,$V26))</f>
        <v/>
      </c>
      <c r="B26" s="4" t="str">
        <f t="array" ref="B26">IF($V26="","",INDEX(Calc!$E$2:$E$157,$V26))</f>
        <v/>
      </c>
      <c r="C26" s="18" t="str">
        <f t="array" ref="C26">IF($V26="","",INDEX(Calc!$T$2:$T$157,$V26))</f>
        <v/>
      </c>
      <c r="D26" s="18" t="str">
        <f t="array" ref="D26">IF($V26="","",INDEX(Calc!$AA$2:$AA$157,$V26))</f>
        <v/>
      </c>
      <c r="E26" s="12" t="str">
        <f t="array" ref="E26">IF($V26="","",INDEX(Calc!$V$2:$V$157,$V26))</f>
        <v/>
      </c>
      <c r="F26" s="12" t="str">
        <f t="array" ref="F26">IF($V26="","",INDEX(Calc!$AC$2:$AC$157,$V26))</f>
        <v/>
      </c>
      <c r="G26" s="12" t="str">
        <f t="array" ref="G26">IF($V26="","",INDEX(Calc!$AL$2:$AL$157,$V26))</f>
        <v/>
      </c>
      <c r="H26" s="18" t="str">
        <f t="array" ref="H26">IF($V26="","",INDEX(Calc!$BK$2:$BK$157,$V26))</f>
        <v/>
      </c>
      <c r="I26" s="12" t="str">
        <f t="array" ref="I26">IF($V26="","",INDEX(Calc!$BD$2:$BD$157,$V26))</f>
        <v/>
      </c>
      <c r="J26" s="4" t="str">
        <f t="array" ref="J26">IF($V26="","",IFERROR(INDEX(Projections!$F$2:$F$282,MATCH(INDEX(Calc!$A$2:$A$157,$V26)&amp;"|K12",Projections!$Y$2:$Y$282,0)),""))</f>
        <v/>
      </c>
      <c r="K26" s="11" t="str">
        <f t="array" ref="K26">IF($V26="","",IFERROR(INDEX(Projections!$I$2:$I$282,MATCH(INDEX(Calc!$A$2:$A$157,$V26)&amp;"|K12",Projections!$Y$2:$Y$282,0)),""))</f>
        <v/>
      </c>
      <c r="L26" s="11" t="str">
        <f t="array" ref="L26">IF($V26="","",IFERROR(INDEX(Projections!$AB$2:$AB$282,MATCH(INDEX(Calc!$A$2:$A$157,$V26)&amp;"|K12",Projections!$Y$2:$Y$282,0)),""))</f>
        <v/>
      </c>
      <c r="M26" s="4" t="str">
        <f t="array" ref="M26">IF($V26="","",IFERROR(INDEX(Projections!$M$2:$M$282,MATCH(INDEX(Calc!$A$2:$A$157,$V26)&amp;"|K12",Projections!$Y$2:$Y$282,0)),""))</f>
        <v/>
      </c>
      <c r="N26" s="11" t="str">
        <f t="array" ref="N26">IF($V26="","",IFERROR(INDEX(Projections!$P$2:$P$282,MATCH(INDEX(Calc!$A$2:$A$157,$V26)&amp;"|K12",Projections!$Y$2:$Y$282,0)),""))</f>
        <v/>
      </c>
      <c r="O26" s="11" t="str">
        <f t="array" ref="O26">IF($V26="","",INDEX(Calc!$AP$2:$AP$157,$V26))</f>
        <v/>
      </c>
      <c r="P26" s="12" t="str">
        <f t="array" ref="P26">IF($V26="","",INDEX(Calc!$AN$2:$AN$157,$V26))</f>
        <v/>
      </c>
      <c r="Q26" s="4" t="str">
        <f t="array" ref="Q26">IF($V26="","",IFERROR(INDEX(Projections!$F$2:$F$282,MATCH(INDEX(Calc!$A$2:$A$157,$V26)&amp;"|H12",Projections!$Y$2:$Y$282,0)),""))</f>
        <v/>
      </c>
      <c r="R26" s="11" t="str">
        <f t="array" ref="R26">IF($V26="","",IFERROR(INDEX(Projections!$I$2:$I$282,MATCH(INDEX(Calc!$A$2:$A$157,$V26)&amp;"|H12",Projections!$Y$2:$Y$282,0)),""))</f>
        <v/>
      </c>
      <c r="S26" s="4" t="str">
        <f t="array" ref="S26">IF($V26="","",INDEX(Calc!$N$2:$N$157,$V26))</f>
        <v/>
      </c>
      <c r="T26" s="4" t="str">
        <f t="array" ref="T26">IF($V26="","",INDEX(Calc!$AQ$2:$AQ$157,$V26))</f>
        <v/>
      </c>
      <c r="V26" s="4" t="str">
        <f>IFERROR(MATCH(12,Calc!$AR$2:$AR$157,0),"")</f>
        <v/>
      </c>
    </row>
    <row r="27" ht="15.75" customHeight="1"/>
    <row r="28" ht="15.75" customHeight="1">
      <c r="A28" s="3" t="s">
        <v>1165</v>
      </c>
    </row>
    <row r="29" ht="15.75" customHeight="1">
      <c r="A29" s="3" t="s">
        <v>1166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15:K26">
    <cfRule type="colorScale" priority="1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conditionalFormatting sqref="L15:L26">
    <cfRule type="colorScale" priority="2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conditionalFormatting sqref="R15:R26">
    <cfRule type="colorScale" priority="3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6.0"/>
    <col customWidth="1" min="2" max="2" width="6.0"/>
    <col customWidth="1" min="3" max="3" width="12.0"/>
    <col customWidth="1" min="4" max="4" width="4.0"/>
    <col customWidth="1" min="5" max="6" width="16.0"/>
    <col customWidth="1" min="7" max="10" width="8.0"/>
    <col customWidth="1" min="11" max="13" width="15.0"/>
    <col customWidth="1" min="14" max="14" width="18.0"/>
    <col customWidth="1" min="15" max="17" width="8.0"/>
    <col customWidth="1" min="18" max="18" width="7.0"/>
    <col customWidth="1" min="19" max="21" width="8.0"/>
    <col customWidth="1" min="22" max="22" width="7.0"/>
    <col customWidth="1" min="23" max="25" width="11.0"/>
    <col customWidth="1" min="26" max="29" width="9.0"/>
    <col customWidth="1" min="30" max="34" width="8.0"/>
    <col customWidth="1" min="35" max="36" width="9.0"/>
    <col customWidth="1" min="37" max="54" width="8.0"/>
  </cols>
  <sheetData>
    <row r="1">
      <c r="A1" s="1" t="s">
        <v>2</v>
      </c>
    </row>
    <row r="2">
      <c r="A2" s="3" t="s">
        <v>5</v>
      </c>
    </row>
    <row r="4">
      <c r="A4" s="7" t="s">
        <v>10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21</v>
      </c>
      <c r="H4" s="7" t="s">
        <v>22</v>
      </c>
      <c r="I4" s="7" t="s">
        <v>23</v>
      </c>
      <c r="J4" s="7" t="s">
        <v>24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31</v>
      </c>
      <c r="P4" s="7" t="s">
        <v>32</v>
      </c>
      <c r="Q4" s="7" t="s">
        <v>33</v>
      </c>
      <c r="R4" s="7" t="s">
        <v>35</v>
      </c>
      <c r="S4" s="7" t="s">
        <v>36</v>
      </c>
      <c r="T4" s="7" t="s">
        <v>37</v>
      </c>
      <c r="U4" s="7" t="s">
        <v>39</v>
      </c>
      <c r="V4" s="7" t="s">
        <v>40</v>
      </c>
      <c r="W4" s="7" t="s">
        <v>41</v>
      </c>
      <c r="X4" s="7" t="s">
        <v>42</v>
      </c>
      <c r="Y4" s="7" t="s">
        <v>43</v>
      </c>
      <c r="Z4" s="7" t="s">
        <v>45</v>
      </c>
      <c r="AA4" s="7" t="s">
        <v>46</v>
      </c>
      <c r="AB4" s="7" t="s">
        <v>48</v>
      </c>
      <c r="AC4" s="7" t="s">
        <v>49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56</v>
      </c>
      <c r="AI4" s="7" t="s">
        <v>57</v>
      </c>
      <c r="AJ4" s="7" t="s">
        <v>58</v>
      </c>
      <c r="AK4" s="7" t="s">
        <v>59</v>
      </c>
      <c r="AL4" s="7" t="s">
        <v>61</v>
      </c>
      <c r="AM4" s="7" t="s">
        <v>62</v>
      </c>
      <c r="AN4" s="7" t="s">
        <v>63</v>
      </c>
      <c r="AO4" s="7" t="s">
        <v>64</v>
      </c>
      <c r="AP4" s="7" t="s">
        <v>65</v>
      </c>
      <c r="AQ4" s="7" t="s">
        <v>66</v>
      </c>
      <c r="AR4" s="7" t="s">
        <v>67</v>
      </c>
      <c r="AS4" s="7" t="s">
        <v>69</v>
      </c>
      <c r="AT4" s="7" t="s">
        <v>70</v>
      </c>
      <c r="AU4" s="7" t="s">
        <v>71</v>
      </c>
      <c r="AV4" s="7" t="s">
        <v>72</v>
      </c>
      <c r="AW4" s="7" t="s">
        <v>75</v>
      </c>
      <c r="AX4" s="7" t="s">
        <v>76</v>
      </c>
      <c r="AY4" s="7" t="s">
        <v>77</v>
      </c>
      <c r="AZ4" s="7" t="s">
        <v>79</v>
      </c>
      <c r="BA4" s="7" t="s">
        <v>81</v>
      </c>
      <c r="BB4" s="7" t="s">
        <v>82</v>
      </c>
    </row>
    <row r="5">
      <c r="A5" s="4" t="s">
        <v>7</v>
      </c>
      <c r="B5" s="4" t="s">
        <v>86</v>
      </c>
      <c r="C5" s="4" t="s">
        <v>87</v>
      </c>
      <c r="D5" s="4">
        <v>3.0</v>
      </c>
      <c r="E5" s="4" t="s">
        <v>89</v>
      </c>
      <c r="F5" s="4" t="s">
        <v>91</v>
      </c>
      <c r="G5" s="11">
        <v>0.6419753086419754</v>
      </c>
      <c r="H5" s="11">
        <v>0.3412677186413479</v>
      </c>
      <c r="I5" s="11">
        <v>0.170633859320674</v>
      </c>
      <c r="J5" s="11">
        <v>0.488098422037978</v>
      </c>
      <c r="K5" s="4" t="s">
        <v>97</v>
      </c>
      <c r="L5" s="4" t="s">
        <v>98</v>
      </c>
      <c r="M5" s="4" t="s">
        <v>100</v>
      </c>
      <c r="N5" s="4" t="s">
        <v>101</v>
      </c>
      <c r="O5" s="12">
        <v>21.42315369261477</v>
      </c>
      <c r="P5" s="12">
        <v>21.31255313119864</v>
      </c>
      <c r="Q5" s="12">
        <v>21.37816455696202</v>
      </c>
      <c r="R5" s="11">
        <v>0.1594202898550725</v>
      </c>
      <c r="S5" s="12">
        <v>1.700394866732478</v>
      </c>
      <c r="T5" s="12"/>
      <c r="U5" s="12">
        <v>11.5</v>
      </c>
      <c r="V5" s="4">
        <v>225.0</v>
      </c>
      <c r="W5" s="13" t="s">
        <v>110</v>
      </c>
      <c r="X5" s="13" t="s">
        <v>112</v>
      </c>
      <c r="Y5" s="13" t="s">
        <v>113</v>
      </c>
      <c r="Z5" s="14">
        <v>21.42</v>
      </c>
      <c r="AA5" s="14">
        <v>21.31</v>
      </c>
      <c r="AB5" s="14">
        <v>21.38</v>
      </c>
      <c r="AC5" s="15">
        <v>0.4881</v>
      </c>
      <c r="AD5" s="4" t="s">
        <v>120</v>
      </c>
      <c r="AE5" s="4" t="s">
        <v>122</v>
      </c>
      <c r="AF5" s="11">
        <v>0.56</v>
      </c>
      <c r="AG5" s="11">
        <v>0.6281</v>
      </c>
      <c r="AH5" s="11">
        <v>0.6072</v>
      </c>
      <c r="AI5" s="11">
        <f t="array" ref="AI5">IFERROR(INDEX(HLTV_Teams!$N$2:$N$33,MATCH($A5&amp;"|A",HLTV_Teams!$A$2:$A$33,0)),"")</f>
        <v>0.5310960142</v>
      </c>
      <c r="AJ5" s="11">
        <f t="array" ref="AJ5">IFERROR(INDEX(HLTV_Teams!$N$2:$N$33,MATCH($A5&amp;"|B",HLTV_Teams!$A$2:$A$33,0)),"")</f>
        <v>0.5312191136</v>
      </c>
      <c r="AK5" s="17">
        <f>IF($W5="","",IFERROR((SUMIFS(HLTV_Long!$B$2:$B$451,HLTV_Long!$A$2:$A$451,$A5&amp;"|A|"&amp;$W5&amp;"|lw")+SUMIFS(HLTV_Long!$B$2:$B$451,HLTV_Long!$A$2:$A$451,$A5&amp;"|B|"&amp;$W5&amp;"|wl"))/(COUNTIFS(HLTV_Long!$A$2:$A$451,$A5&amp;"|A|"&amp;$W5&amp;"|lw")+COUNTIFS(HLTV_Long!$A$2:$A$451,$A5&amp;"|B|"&amp;$W5&amp;"|wl")),IFERROR((SUMIFS(HLTV_Long!$B$2:$B$451,HLTV_Long!$A$2:$A$451,$A5&amp;"|A|"&amp;"ALL"&amp;"|lw")+SUMIFS(HLTV_Long!$B$2:$B$451,HLTV_Long!$A$2:$A$451,$A5&amp;"|B|"&amp;"ALL"&amp;"|wl"))/(COUNTIFS(HLTV_Long!$A$2:$A$451,$A5&amp;"|A|"&amp;"ALL"&amp;"|lw")+COUNTIFS(HLTV_Long!$A$2:$A$451,$A5&amp;"|B|"&amp;"ALL"&amp;"|wl")),"")))</f>
        <v>8.415</v>
      </c>
      <c r="AL5" s="17">
        <f>IF($W5="","",IFERROR((SUMIFS(HLTV_Long!$B$2:$B$451,HLTV_Long!$A$2:$A$451,$A5&amp;"|B|"&amp;$W5&amp;"|lw")+SUMIFS(HLTV_Long!$B$2:$B$451,HLTV_Long!$A$2:$A$451,$A5&amp;"|A|"&amp;$W5&amp;"|wl"))/(COUNTIFS(HLTV_Long!$A$2:$A$451,$A5&amp;"|B|"&amp;$W5&amp;"|lw")+COUNTIFS(HLTV_Long!$A$2:$A$451,$A5&amp;"|A|"&amp;$W5&amp;"|wl")),IFERROR((SUMIFS(HLTV_Long!$B$2:$B$451,HLTV_Long!$A$2:$A$451,$A5&amp;"|B|"&amp;"ALL"&amp;"|lw")+SUMIFS(HLTV_Long!$B$2:$B$451,HLTV_Long!$A$2:$A$451,$A5&amp;"|A|"&amp;"ALL"&amp;"|wl"))/(COUNTIFS(HLTV_Long!$A$2:$A$451,$A5&amp;"|B|"&amp;"ALL"&amp;"|lw")+COUNTIFS(HLTV_Long!$A$2:$A$451,$A5&amp;"|A|"&amp;"ALL"&amp;"|wl")),"")))</f>
        <v>8.1</v>
      </c>
      <c r="AM5" s="4">
        <f>IF($W5="","",COUNTIFS(HLTV_Long!$A$2:$A$451,$A5&amp;"|A|"&amp;$W5&amp;"|lw")+COUNTIFS(HLTV_Long!$A$2:$A$451,$A5&amp;"|B|"&amp;$W5&amp;"|wl")+COUNTIFS(HLTV_Long!$A$2:$A$451,$A5&amp;"|B|"&amp;$W5&amp;"|lw")+COUNTIFS(HLTV_Long!$A$2:$A$451,$A5&amp;"|A|"&amp;$W5&amp;"|wl"))</f>
        <v>4</v>
      </c>
      <c r="AN5" s="17">
        <f t="shared" ref="AN5:AN20" si="1">IF(OR($AK5="",$AL5="",$AF5=""),"",13+$AF5*$AK5+(1-$AF5)*$AL5)</f>
        <v>21.2764</v>
      </c>
      <c r="AO5" s="17">
        <f t="shared" ref="AO5:AO20" si="2">IF($AN5="","",$AF5*(13-$AK5)-(1-$AF5)*(13-$AL5))</f>
        <v>0.4116</v>
      </c>
      <c r="AP5" s="11">
        <f t="shared" ref="AP5:AP20" si="3">IF($AN5="","",($AF5*13+(1-$AF5)*$AL5)/$AN5)</f>
        <v>0.509672689</v>
      </c>
      <c r="AQ5" s="17">
        <f>IF($X5="","",IFERROR((SUMIFS(HLTV_Long!$B$2:$B$451,HLTV_Long!$A$2:$A$451,$A5&amp;"|A|"&amp;$X5&amp;"|lw")+SUMIFS(HLTV_Long!$B$2:$B$451,HLTV_Long!$A$2:$A$451,$A5&amp;"|B|"&amp;$X5&amp;"|wl"))/(COUNTIFS(HLTV_Long!$A$2:$A$451,$A5&amp;"|A|"&amp;$X5&amp;"|lw")+COUNTIFS(HLTV_Long!$A$2:$A$451,$A5&amp;"|B|"&amp;$X5&amp;"|wl")),IFERROR((SUMIFS(HLTV_Long!$B$2:$B$451,HLTV_Long!$A$2:$A$451,$A5&amp;"|A|"&amp;"ALL"&amp;"|lw")+SUMIFS(HLTV_Long!$B$2:$B$451,HLTV_Long!$A$2:$A$451,$A5&amp;"|B|"&amp;"ALL"&amp;"|wl"))/(COUNTIFS(HLTV_Long!$A$2:$A$451,$A5&amp;"|A|"&amp;"ALL"&amp;"|lw")+COUNTIFS(HLTV_Long!$A$2:$A$451,$A5&amp;"|B|"&amp;"ALL"&amp;"|wl")),"")))</f>
        <v>11.785</v>
      </c>
      <c r="AR5" s="17">
        <f>IF($X5="","",IFERROR((SUMIFS(HLTV_Long!$B$2:$B$451,HLTV_Long!$A$2:$A$451,$A5&amp;"|B|"&amp;$X5&amp;"|lw")+SUMIFS(HLTV_Long!$B$2:$B$451,HLTV_Long!$A$2:$A$451,$A5&amp;"|A|"&amp;$X5&amp;"|wl"))/(COUNTIFS(HLTV_Long!$A$2:$A$451,$A5&amp;"|B|"&amp;$X5&amp;"|lw")+COUNTIFS(HLTV_Long!$A$2:$A$451,$A5&amp;"|A|"&amp;$X5&amp;"|wl")),IFERROR((SUMIFS(HLTV_Long!$B$2:$B$451,HLTV_Long!$A$2:$A$451,$A5&amp;"|B|"&amp;"ALL"&amp;"|lw")+SUMIFS(HLTV_Long!$B$2:$B$451,HLTV_Long!$A$2:$A$451,$A5&amp;"|A|"&amp;"ALL"&amp;"|wl"))/(COUNTIFS(HLTV_Long!$A$2:$A$451,$A5&amp;"|B|"&amp;"ALL"&amp;"|lw")+COUNTIFS(HLTV_Long!$A$2:$A$451,$A5&amp;"|A|"&amp;"ALL"&amp;"|wl")),"")))</f>
        <v>7.7</v>
      </c>
      <c r="AS5" s="4">
        <f>IF($X5="","",COUNTIFS(HLTV_Long!$A$2:$A$451,$A5&amp;"|A|"&amp;$X5&amp;"|lw")+COUNTIFS(HLTV_Long!$A$2:$A$451,$A5&amp;"|B|"&amp;$X5&amp;"|wl")+COUNTIFS(HLTV_Long!$A$2:$A$451,$A5&amp;"|B|"&amp;$X5&amp;"|lw")+COUNTIFS(HLTV_Long!$A$2:$A$451,$A5&amp;"|A|"&amp;$X5&amp;"|wl"))</f>
        <v>4</v>
      </c>
      <c r="AT5" s="17">
        <f t="shared" ref="AT5:AT20" si="4">IF(OR($AQ5="",$AR5="",$AG5=""),"",13+$AG5*$AQ5+(1-$AG5)*$AR5)</f>
        <v>23.2657885</v>
      </c>
      <c r="AU5" s="17">
        <f t="shared" ref="AU5:AU20" si="5">IF($AT5="","",$AG5*(13-$AQ5)-(1-$AG5)*(13-$AR5))</f>
        <v>-1.2079285</v>
      </c>
      <c r="AV5" s="11">
        <f t="shared" ref="AV5:AV20" si="6">IF($AT5="","",($AG5*13+(1-$AG5)*$AR5)/$AT5)</f>
        <v>0.4740406713</v>
      </c>
      <c r="AW5" s="17">
        <f>IF($Y5="","",IFERROR((SUMIFS(HLTV_Long!$B$2:$B$451,HLTV_Long!$A$2:$A$451,$A5&amp;"|A|"&amp;$Y5&amp;"|lw")+SUMIFS(HLTV_Long!$B$2:$B$451,HLTV_Long!$A$2:$A$451,$A5&amp;"|B|"&amp;$Y5&amp;"|wl"))/(COUNTIFS(HLTV_Long!$A$2:$A$451,$A5&amp;"|A|"&amp;$Y5&amp;"|lw")+COUNTIFS(HLTV_Long!$A$2:$A$451,$A5&amp;"|B|"&amp;$Y5&amp;"|wl")),IFERROR((SUMIFS(HLTV_Long!$B$2:$B$451,HLTV_Long!$A$2:$A$451,$A5&amp;"|A|"&amp;"ALL"&amp;"|lw")+SUMIFS(HLTV_Long!$B$2:$B$451,HLTV_Long!$A$2:$A$451,$A5&amp;"|B|"&amp;"ALL"&amp;"|wl"))/(COUNTIFS(HLTV_Long!$A$2:$A$451,$A5&amp;"|A|"&amp;"ALL"&amp;"|lw")+COUNTIFS(HLTV_Long!$A$2:$A$451,$A5&amp;"|B|"&amp;"ALL"&amp;"|wl")),"")))</f>
        <v>8.475</v>
      </c>
      <c r="AX5" s="17">
        <f>IF($Y5="","",IFERROR((SUMIFS(HLTV_Long!$B$2:$B$451,HLTV_Long!$A$2:$A$451,$A5&amp;"|B|"&amp;$Y5&amp;"|lw")+SUMIFS(HLTV_Long!$B$2:$B$451,HLTV_Long!$A$2:$A$451,$A5&amp;"|A|"&amp;$Y5&amp;"|wl"))/(COUNTIFS(HLTV_Long!$A$2:$A$451,$A5&amp;"|B|"&amp;$Y5&amp;"|lw")+COUNTIFS(HLTV_Long!$A$2:$A$451,$A5&amp;"|A|"&amp;$Y5&amp;"|wl")),IFERROR((SUMIFS(HLTV_Long!$B$2:$B$451,HLTV_Long!$A$2:$A$451,$A5&amp;"|B|"&amp;"ALL"&amp;"|lw")+SUMIFS(HLTV_Long!$B$2:$B$451,HLTV_Long!$A$2:$A$451,$A5&amp;"|A|"&amp;"ALL"&amp;"|wl"))/(COUNTIFS(HLTV_Long!$A$2:$A$451,$A5&amp;"|B|"&amp;"ALL"&amp;"|lw")+COUNTIFS(HLTV_Long!$A$2:$A$451,$A5&amp;"|A|"&amp;"ALL"&amp;"|wl")),"")))</f>
        <v>9.05</v>
      </c>
      <c r="AY5" s="4">
        <f>IF($Y5="","",COUNTIFS(HLTV_Long!$A$2:$A$451,$A5&amp;"|A|"&amp;$Y5&amp;"|lw")+COUNTIFS(HLTV_Long!$A$2:$A$451,$A5&amp;"|B|"&amp;$Y5&amp;"|wl")+COUNTIFS(HLTV_Long!$A$2:$A$451,$A5&amp;"|B|"&amp;$Y5&amp;"|lw")+COUNTIFS(HLTV_Long!$A$2:$A$451,$A5&amp;"|A|"&amp;$Y5&amp;"|wl"))</f>
        <v>4</v>
      </c>
      <c r="AZ5" s="17">
        <f t="shared" ref="AZ5:AZ20" si="7">IF(OR($AW5="",$AX5="",$AH5=""),"",13+$AH5*$AW5+(1-$AH5)*$AX5)</f>
        <v>21.70086</v>
      </c>
      <c r="BA5" s="17">
        <f t="shared" ref="BA5:BA20" si="8">IF($AZ5="","",$AH5*(13-$AW5)-(1-$AH5)*(13-$AX5))</f>
        <v>1.19602</v>
      </c>
      <c r="BB5" s="11">
        <f t="shared" ref="BB5:BB20" si="9">IF($AZ5="","",($AH5*13+(1-$AH5)*$AX5)/$AZ5)</f>
        <v>0.5275569724</v>
      </c>
    </row>
    <row r="6">
      <c r="A6" s="4" t="s">
        <v>566</v>
      </c>
      <c r="B6" s="4" t="s">
        <v>86</v>
      </c>
      <c r="C6" s="4" t="s">
        <v>87</v>
      </c>
      <c r="D6" s="4">
        <v>3.0</v>
      </c>
      <c r="E6" s="4" t="s">
        <v>288</v>
      </c>
      <c r="F6" s="4" t="s">
        <v>289</v>
      </c>
      <c r="G6" s="11">
        <v>0.5189189189189188</v>
      </c>
      <c r="H6" s="11">
        <v>0.2727063398659366</v>
      </c>
      <c r="I6" s="11">
        <v>0.2224709614695799</v>
      </c>
      <c r="J6" s="11">
        <v>0.5048226986644834</v>
      </c>
      <c r="K6" s="4" t="s">
        <v>574</v>
      </c>
      <c r="L6" s="4" t="s">
        <v>576</v>
      </c>
      <c r="M6" s="4" t="s">
        <v>577</v>
      </c>
      <c r="N6" s="4" t="s">
        <v>101</v>
      </c>
      <c r="O6" s="12">
        <v>21.5</v>
      </c>
      <c r="P6" s="12">
        <v>21.5</v>
      </c>
      <c r="Q6" s="12">
        <v>21.5</v>
      </c>
      <c r="R6" s="11">
        <v>0.1594202898550725</v>
      </c>
      <c r="S6" s="12">
        <v>1.629102844638949</v>
      </c>
      <c r="T6" s="12"/>
      <c r="U6" s="12">
        <v>11.5</v>
      </c>
      <c r="V6" s="4">
        <v>228.0</v>
      </c>
      <c r="W6" s="13" t="s">
        <v>113</v>
      </c>
      <c r="X6" s="13" t="s">
        <v>250</v>
      </c>
      <c r="Y6" s="13" t="s">
        <v>262</v>
      </c>
      <c r="Z6" s="14">
        <v>21.5</v>
      </c>
      <c r="AA6" s="14">
        <v>21.5</v>
      </c>
      <c r="AB6" s="14">
        <v>21.5</v>
      </c>
      <c r="AC6" s="15">
        <v>0.5048</v>
      </c>
      <c r="AD6" s="4" t="s">
        <v>578</v>
      </c>
      <c r="AE6" s="4" t="s">
        <v>580</v>
      </c>
      <c r="AF6" s="11">
        <v>0.56</v>
      </c>
      <c r="AG6" s="11">
        <v>0.4865</v>
      </c>
      <c r="AH6" s="11">
        <v>0.5081</v>
      </c>
      <c r="AI6" s="11">
        <f t="array" ref="AI6">IFERROR(INDEX(HLTV_Teams!$N$2:$N$33,MATCH($A6&amp;"|A",HLTV_Teams!$A$2:$A$33,0)),"")</f>
        <v>0.5254458432</v>
      </c>
      <c r="AJ6" s="11">
        <f t="array" ref="AJ6">IFERROR(INDEX(HLTV_Teams!$N$2:$N$33,MATCH($A6&amp;"|B",HLTV_Teams!$A$2:$A$33,0)),"")</f>
        <v>0.5592853653</v>
      </c>
      <c r="AK6" s="17">
        <f>IF($W6="","",IFERROR((SUMIFS(HLTV_Long!$B$2:$B$451,HLTV_Long!$A$2:$A$451,$A6&amp;"|A|"&amp;$W6&amp;"|lw")+SUMIFS(HLTV_Long!$B$2:$B$451,HLTV_Long!$A$2:$A$451,$A6&amp;"|B|"&amp;$W6&amp;"|wl"))/(COUNTIFS(HLTV_Long!$A$2:$A$451,$A6&amp;"|A|"&amp;$W6&amp;"|lw")+COUNTIFS(HLTV_Long!$A$2:$A$451,$A6&amp;"|B|"&amp;$W6&amp;"|wl")),IFERROR((SUMIFS(HLTV_Long!$B$2:$B$451,HLTV_Long!$A$2:$A$451,$A6&amp;"|A|"&amp;"ALL"&amp;"|lw")+SUMIFS(HLTV_Long!$B$2:$B$451,HLTV_Long!$A$2:$A$451,$A6&amp;"|B|"&amp;"ALL"&amp;"|wl"))/(COUNTIFS(HLTV_Long!$A$2:$A$451,$A6&amp;"|A|"&amp;"ALL"&amp;"|lw")+COUNTIFS(HLTV_Long!$A$2:$A$451,$A6&amp;"|B|"&amp;"ALL"&amp;"|wl")),"")))</f>
        <v>8.5</v>
      </c>
      <c r="AL6" s="17">
        <f>IF($W6="","",IFERROR((SUMIFS(HLTV_Long!$B$2:$B$451,HLTV_Long!$A$2:$A$451,$A6&amp;"|B|"&amp;$W6&amp;"|lw")+SUMIFS(HLTV_Long!$B$2:$B$451,HLTV_Long!$A$2:$A$451,$A6&amp;"|A|"&amp;$W6&amp;"|wl"))/(COUNTIFS(HLTV_Long!$A$2:$A$451,$A6&amp;"|B|"&amp;$W6&amp;"|lw")+COUNTIFS(HLTV_Long!$A$2:$A$451,$A6&amp;"|A|"&amp;$W6&amp;"|wl")),IFERROR((SUMIFS(HLTV_Long!$B$2:$B$451,HLTV_Long!$A$2:$A$451,$A6&amp;"|B|"&amp;"ALL"&amp;"|lw")+SUMIFS(HLTV_Long!$B$2:$B$451,HLTV_Long!$A$2:$A$451,$A6&amp;"|A|"&amp;"ALL"&amp;"|wl"))/(COUNTIFS(HLTV_Long!$A$2:$A$451,$A6&amp;"|B|"&amp;"ALL"&amp;"|lw")+COUNTIFS(HLTV_Long!$A$2:$A$451,$A6&amp;"|A|"&amp;"ALL"&amp;"|wl")),"")))</f>
        <v>8.57</v>
      </c>
      <c r="AM6" s="4">
        <f>IF($W6="","",COUNTIFS(HLTV_Long!$A$2:$A$451,$A6&amp;"|A|"&amp;$W6&amp;"|lw")+COUNTIFS(HLTV_Long!$A$2:$A$451,$A6&amp;"|B|"&amp;$W6&amp;"|wl")+COUNTIFS(HLTV_Long!$A$2:$A$451,$A6&amp;"|B|"&amp;$W6&amp;"|lw")+COUNTIFS(HLTV_Long!$A$2:$A$451,$A6&amp;"|A|"&amp;$W6&amp;"|wl"))</f>
        <v>4</v>
      </c>
      <c r="AN6" s="17">
        <f t="shared" si="1"/>
        <v>21.5308</v>
      </c>
      <c r="AO6" s="17">
        <f t="shared" si="2"/>
        <v>0.5708</v>
      </c>
      <c r="AP6" s="11">
        <f t="shared" si="3"/>
        <v>0.5132554294</v>
      </c>
      <c r="AQ6" s="17">
        <f>IF($X6="","",IFERROR((SUMIFS(HLTV_Long!$B$2:$B$451,HLTV_Long!$A$2:$A$451,$A6&amp;"|A|"&amp;$X6&amp;"|lw")+SUMIFS(HLTV_Long!$B$2:$B$451,HLTV_Long!$A$2:$A$451,$A6&amp;"|B|"&amp;$X6&amp;"|wl"))/(COUNTIFS(HLTV_Long!$A$2:$A$451,$A6&amp;"|A|"&amp;$X6&amp;"|lw")+COUNTIFS(HLTV_Long!$A$2:$A$451,$A6&amp;"|B|"&amp;$X6&amp;"|wl")),IFERROR((SUMIFS(HLTV_Long!$B$2:$B$451,HLTV_Long!$A$2:$A$451,$A6&amp;"|A|"&amp;"ALL"&amp;"|lw")+SUMIFS(HLTV_Long!$B$2:$B$451,HLTV_Long!$A$2:$A$451,$A6&amp;"|B|"&amp;"ALL"&amp;"|wl"))/(COUNTIFS(HLTV_Long!$A$2:$A$451,$A6&amp;"|A|"&amp;"ALL"&amp;"|lw")+COUNTIFS(HLTV_Long!$A$2:$A$451,$A6&amp;"|B|"&amp;"ALL"&amp;"|wl")),"")))</f>
        <v>8.5</v>
      </c>
      <c r="AR6" s="17">
        <f>IF($X6="","",IFERROR((SUMIFS(HLTV_Long!$B$2:$B$451,HLTV_Long!$A$2:$A$451,$A6&amp;"|B|"&amp;$X6&amp;"|lw")+SUMIFS(HLTV_Long!$B$2:$B$451,HLTV_Long!$A$2:$A$451,$A6&amp;"|A|"&amp;$X6&amp;"|wl"))/(COUNTIFS(HLTV_Long!$A$2:$A$451,$A6&amp;"|B|"&amp;$X6&amp;"|lw")+COUNTIFS(HLTV_Long!$A$2:$A$451,$A6&amp;"|A|"&amp;$X6&amp;"|wl")),IFERROR((SUMIFS(HLTV_Long!$B$2:$B$451,HLTV_Long!$A$2:$A$451,$A6&amp;"|B|"&amp;"ALL"&amp;"|lw")+SUMIFS(HLTV_Long!$B$2:$B$451,HLTV_Long!$A$2:$A$451,$A6&amp;"|A|"&amp;"ALL"&amp;"|wl"))/(COUNTIFS(HLTV_Long!$A$2:$A$451,$A6&amp;"|B|"&amp;"ALL"&amp;"|lw")+COUNTIFS(HLTV_Long!$A$2:$A$451,$A6&amp;"|A|"&amp;"ALL"&amp;"|wl")),"")))</f>
        <v>8.87</v>
      </c>
      <c r="AS6" s="4">
        <f>IF($X6="","",COUNTIFS(HLTV_Long!$A$2:$A$451,$A6&amp;"|A|"&amp;$X6&amp;"|lw")+COUNTIFS(HLTV_Long!$A$2:$A$451,$A6&amp;"|B|"&amp;$X6&amp;"|wl")+COUNTIFS(HLTV_Long!$A$2:$A$451,$A6&amp;"|B|"&amp;$X6&amp;"|lw")+COUNTIFS(HLTV_Long!$A$2:$A$451,$A6&amp;"|A|"&amp;$X6&amp;"|wl"))</f>
        <v>4</v>
      </c>
      <c r="AT6" s="17">
        <f t="shared" si="4"/>
        <v>21.689995</v>
      </c>
      <c r="AU6" s="17">
        <f t="shared" si="5"/>
        <v>0.068495</v>
      </c>
      <c r="AV6" s="11">
        <f t="shared" si="6"/>
        <v>0.5015789538</v>
      </c>
      <c r="AW6" s="17">
        <f>IF($Y6="","",IFERROR((SUMIFS(HLTV_Long!$B$2:$B$451,HLTV_Long!$A$2:$A$451,$A6&amp;"|A|"&amp;$Y6&amp;"|lw")+SUMIFS(HLTV_Long!$B$2:$B$451,HLTV_Long!$A$2:$A$451,$A6&amp;"|B|"&amp;$Y6&amp;"|wl"))/(COUNTIFS(HLTV_Long!$A$2:$A$451,$A6&amp;"|A|"&amp;$Y6&amp;"|lw")+COUNTIFS(HLTV_Long!$A$2:$A$451,$A6&amp;"|B|"&amp;$Y6&amp;"|wl")),IFERROR((SUMIFS(HLTV_Long!$B$2:$B$451,HLTV_Long!$A$2:$A$451,$A6&amp;"|A|"&amp;"ALL"&amp;"|lw")+SUMIFS(HLTV_Long!$B$2:$B$451,HLTV_Long!$A$2:$A$451,$A6&amp;"|B|"&amp;"ALL"&amp;"|wl"))/(COUNTIFS(HLTV_Long!$A$2:$A$451,$A6&amp;"|A|"&amp;"ALL"&amp;"|lw")+COUNTIFS(HLTV_Long!$A$2:$A$451,$A6&amp;"|B|"&amp;"ALL"&amp;"|wl")),"")))</f>
        <v>8.52</v>
      </c>
      <c r="AX6" s="17">
        <f>IF($Y6="","",IFERROR((SUMIFS(HLTV_Long!$B$2:$B$451,HLTV_Long!$A$2:$A$451,$A6&amp;"|B|"&amp;$Y6&amp;"|lw")+SUMIFS(HLTV_Long!$B$2:$B$451,HLTV_Long!$A$2:$A$451,$A6&amp;"|A|"&amp;$Y6&amp;"|wl"))/(COUNTIFS(HLTV_Long!$A$2:$A$451,$A6&amp;"|B|"&amp;$Y6&amp;"|lw")+COUNTIFS(HLTV_Long!$A$2:$A$451,$A6&amp;"|A|"&amp;$Y6&amp;"|wl")),IFERROR((SUMIFS(HLTV_Long!$B$2:$B$451,HLTV_Long!$A$2:$A$451,$A6&amp;"|B|"&amp;"ALL"&amp;"|lw")+SUMIFS(HLTV_Long!$B$2:$B$451,HLTV_Long!$A$2:$A$451,$A6&amp;"|A|"&amp;"ALL"&amp;"|wl"))/(COUNTIFS(HLTV_Long!$A$2:$A$451,$A6&amp;"|B|"&amp;"ALL"&amp;"|lw")+COUNTIFS(HLTV_Long!$A$2:$A$451,$A6&amp;"|A|"&amp;"ALL"&amp;"|wl")),"")))</f>
        <v>5.585</v>
      </c>
      <c r="AY6" s="4">
        <f>IF($Y6="","",COUNTIFS(HLTV_Long!$A$2:$A$451,$A6&amp;"|A|"&amp;$Y6&amp;"|lw")+COUNTIFS(HLTV_Long!$A$2:$A$451,$A6&amp;"|B|"&amp;$Y6&amp;"|wl")+COUNTIFS(HLTV_Long!$A$2:$A$451,$A6&amp;"|B|"&amp;$Y6&amp;"|lw")+COUNTIFS(HLTV_Long!$A$2:$A$451,$A6&amp;"|A|"&amp;$Y6&amp;"|wl"))</f>
        <v>4</v>
      </c>
      <c r="AZ6" s="17">
        <f t="shared" si="7"/>
        <v>20.0762735</v>
      </c>
      <c r="BA6" s="17">
        <f t="shared" si="8"/>
        <v>-1.3711505</v>
      </c>
      <c r="BB6" s="11">
        <f t="shared" si="9"/>
        <v>0.4658514689</v>
      </c>
    </row>
    <row r="7">
      <c r="A7" s="4" t="s">
        <v>838</v>
      </c>
      <c r="B7" s="4" t="s">
        <v>86</v>
      </c>
      <c r="C7" s="4" t="s">
        <v>87</v>
      </c>
      <c r="D7" s="4">
        <v>1.0</v>
      </c>
      <c r="E7" s="4" t="s">
        <v>408</v>
      </c>
      <c r="F7" s="4" t="s">
        <v>409</v>
      </c>
      <c r="G7" s="11">
        <v>0.450402144772118</v>
      </c>
      <c r="H7" s="11"/>
      <c r="I7" s="11"/>
      <c r="J7" s="11">
        <v>0.0</v>
      </c>
      <c r="K7" s="4" t="s">
        <v>841</v>
      </c>
      <c r="L7" s="4" t="s">
        <v>843</v>
      </c>
      <c r="M7" s="4" t="s">
        <v>845</v>
      </c>
      <c r="N7" s="4" t="s">
        <v>101</v>
      </c>
      <c r="O7" s="12">
        <v>21.5</v>
      </c>
      <c r="P7" s="12"/>
      <c r="Q7" s="12"/>
      <c r="R7" s="11">
        <v>0.1594202898550725</v>
      </c>
      <c r="S7" s="12">
        <v>-1.364895697522817</v>
      </c>
      <c r="T7" s="12">
        <v>12.5</v>
      </c>
      <c r="U7" s="12"/>
      <c r="V7" s="4">
        <v>70.0</v>
      </c>
      <c r="W7" s="13" t="s">
        <v>110</v>
      </c>
      <c r="X7" s="13" t="s">
        <v>262</v>
      </c>
      <c r="Y7" s="13"/>
      <c r="Z7" s="14">
        <v>21.5</v>
      </c>
      <c r="AA7" s="14">
        <f>Config!$B$7</f>
        <v>21.5</v>
      </c>
      <c r="AB7" s="14"/>
      <c r="AC7" s="15">
        <v>0.0</v>
      </c>
      <c r="AD7" s="4" t="s">
        <v>856</v>
      </c>
      <c r="AE7" s="4" t="s">
        <v>858</v>
      </c>
      <c r="AF7" s="11">
        <v>0.4504</v>
      </c>
      <c r="AG7" s="11">
        <v>0.4504</v>
      </c>
      <c r="AH7" s="11">
        <v>0.4504</v>
      </c>
      <c r="AI7" s="11">
        <f t="array" ref="AI7">IFERROR(INDEX(HLTV_Teams!$N$2:$N$33,MATCH($A7&amp;"|A",HLTV_Teams!$A$2:$A$33,0)),"")</f>
        <v>0.5464339904</v>
      </c>
      <c r="AJ7" s="11">
        <f t="array" ref="AJ7">IFERROR(INDEX(HLTV_Teams!$N$2:$N$33,MATCH($A7&amp;"|B",HLTV_Teams!$A$2:$A$33,0)),"")</f>
        <v>0.4862840163</v>
      </c>
      <c r="AK7" s="17">
        <f>IF($W7="","",IFERROR((SUMIFS(HLTV_Long!$B$2:$B$451,HLTV_Long!$A$2:$A$451,$A7&amp;"|A|"&amp;$W7&amp;"|lw")+SUMIFS(HLTV_Long!$B$2:$B$451,HLTV_Long!$A$2:$A$451,$A7&amp;"|B|"&amp;$W7&amp;"|wl"))/(COUNTIFS(HLTV_Long!$A$2:$A$451,$A7&amp;"|A|"&amp;$W7&amp;"|lw")+COUNTIFS(HLTV_Long!$A$2:$A$451,$A7&amp;"|B|"&amp;$W7&amp;"|wl")),IFERROR((SUMIFS(HLTV_Long!$B$2:$B$451,HLTV_Long!$A$2:$A$451,$A7&amp;"|A|"&amp;"ALL"&amp;"|lw")+SUMIFS(HLTV_Long!$B$2:$B$451,HLTV_Long!$A$2:$A$451,$A7&amp;"|B|"&amp;"ALL"&amp;"|wl"))/(COUNTIFS(HLTV_Long!$A$2:$A$451,$A7&amp;"|A|"&amp;"ALL"&amp;"|lw")+COUNTIFS(HLTV_Long!$A$2:$A$451,$A7&amp;"|B|"&amp;"ALL"&amp;"|wl")),"")))</f>
        <v>7.145</v>
      </c>
      <c r="AL7" s="17">
        <f>IF($W7="","",IFERROR((SUMIFS(HLTV_Long!$B$2:$B$451,HLTV_Long!$A$2:$A$451,$A7&amp;"|B|"&amp;$W7&amp;"|lw")+SUMIFS(HLTV_Long!$B$2:$B$451,HLTV_Long!$A$2:$A$451,$A7&amp;"|A|"&amp;$W7&amp;"|wl"))/(COUNTIFS(HLTV_Long!$A$2:$A$451,$A7&amp;"|B|"&amp;$W7&amp;"|lw")+COUNTIFS(HLTV_Long!$A$2:$A$451,$A7&amp;"|A|"&amp;$W7&amp;"|wl")),IFERROR((SUMIFS(HLTV_Long!$B$2:$B$451,HLTV_Long!$A$2:$A$451,$A7&amp;"|B|"&amp;"ALL"&amp;"|lw")+SUMIFS(HLTV_Long!$B$2:$B$451,HLTV_Long!$A$2:$A$451,$A7&amp;"|A|"&amp;"ALL"&amp;"|wl"))/(COUNTIFS(HLTV_Long!$A$2:$A$451,$A7&amp;"|B|"&amp;"ALL"&amp;"|lw")+COUNTIFS(HLTV_Long!$A$2:$A$451,$A7&amp;"|A|"&amp;"ALL"&amp;"|wl")),"")))</f>
        <v>8.07</v>
      </c>
      <c r="AM7" s="4">
        <f>IF($W7="","",COUNTIFS(HLTV_Long!$A$2:$A$451,$A7&amp;"|A|"&amp;$W7&amp;"|lw")+COUNTIFS(HLTV_Long!$A$2:$A$451,$A7&amp;"|B|"&amp;$W7&amp;"|wl")+COUNTIFS(HLTV_Long!$A$2:$A$451,$A7&amp;"|B|"&amp;$W7&amp;"|lw")+COUNTIFS(HLTV_Long!$A$2:$A$451,$A7&amp;"|A|"&amp;$W7&amp;"|wl"))</f>
        <v>4</v>
      </c>
      <c r="AN7" s="17">
        <f t="shared" si="1"/>
        <v>20.65338</v>
      </c>
      <c r="AO7" s="17">
        <f t="shared" si="2"/>
        <v>-0.072436</v>
      </c>
      <c r="AP7" s="11">
        <f t="shared" si="3"/>
        <v>0.4982463887</v>
      </c>
      <c r="AQ7" s="17">
        <f>IF($X7="","",IFERROR((SUMIFS(HLTV_Long!$B$2:$B$451,HLTV_Long!$A$2:$A$451,$A7&amp;"|A|"&amp;$X7&amp;"|lw")+SUMIFS(HLTV_Long!$B$2:$B$451,HLTV_Long!$A$2:$A$451,$A7&amp;"|B|"&amp;$X7&amp;"|wl"))/(COUNTIFS(HLTV_Long!$A$2:$A$451,$A7&amp;"|A|"&amp;$X7&amp;"|lw")+COUNTIFS(HLTV_Long!$A$2:$A$451,$A7&amp;"|B|"&amp;$X7&amp;"|wl")),IFERROR((SUMIFS(HLTV_Long!$B$2:$B$451,HLTV_Long!$A$2:$A$451,$A7&amp;"|A|"&amp;"ALL"&amp;"|lw")+SUMIFS(HLTV_Long!$B$2:$B$451,HLTV_Long!$A$2:$A$451,$A7&amp;"|B|"&amp;"ALL"&amp;"|wl"))/(COUNTIFS(HLTV_Long!$A$2:$A$451,$A7&amp;"|A|"&amp;"ALL"&amp;"|lw")+COUNTIFS(HLTV_Long!$A$2:$A$451,$A7&amp;"|B|"&amp;"ALL"&amp;"|wl")),"")))</f>
        <v>8.165</v>
      </c>
      <c r="AR7" s="17">
        <f>IF($X7="","",IFERROR((SUMIFS(HLTV_Long!$B$2:$B$451,HLTV_Long!$A$2:$A$451,$A7&amp;"|B|"&amp;$X7&amp;"|lw")+SUMIFS(HLTV_Long!$B$2:$B$451,HLTV_Long!$A$2:$A$451,$A7&amp;"|A|"&amp;$X7&amp;"|wl"))/(COUNTIFS(HLTV_Long!$A$2:$A$451,$A7&amp;"|B|"&amp;$X7&amp;"|lw")+COUNTIFS(HLTV_Long!$A$2:$A$451,$A7&amp;"|A|"&amp;$X7&amp;"|wl")),IFERROR((SUMIFS(HLTV_Long!$B$2:$B$451,HLTV_Long!$A$2:$A$451,$A7&amp;"|B|"&amp;"ALL"&amp;"|lw")+SUMIFS(HLTV_Long!$B$2:$B$451,HLTV_Long!$A$2:$A$451,$A7&amp;"|A|"&amp;"ALL"&amp;"|wl"))/(COUNTIFS(HLTV_Long!$A$2:$A$451,$A7&amp;"|B|"&amp;"ALL"&amp;"|lw")+COUNTIFS(HLTV_Long!$A$2:$A$451,$A7&amp;"|A|"&amp;"ALL"&amp;"|wl")),"")))</f>
        <v>9.875</v>
      </c>
      <c r="AS7" s="4">
        <f>IF($X7="","",COUNTIFS(HLTV_Long!$A$2:$A$451,$A7&amp;"|A|"&amp;$X7&amp;"|lw")+COUNTIFS(HLTV_Long!$A$2:$A$451,$A7&amp;"|B|"&amp;$X7&amp;"|wl")+COUNTIFS(HLTV_Long!$A$2:$A$451,$A7&amp;"|B|"&amp;$X7&amp;"|lw")+COUNTIFS(HLTV_Long!$A$2:$A$451,$A7&amp;"|A|"&amp;$X7&amp;"|wl"))</f>
        <v>4</v>
      </c>
      <c r="AT7" s="17">
        <f t="shared" si="4"/>
        <v>22.104816</v>
      </c>
      <c r="AU7" s="17">
        <f t="shared" si="5"/>
        <v>0.460184</v>
      </c>
      <c r="AV7" s="11">
        <f t="shared" si="6"/>
        <v>0.5104091344</v>
      </c>
      <c r="AW7" s="17" t="str">
        <f>IF($Y7="","",IFERROR((SUMIFS(HLTV_Long!$B$2:$B$451,HLTV_Long!$A$2:$A$451,$A7&amp;"|A|"&amp;$Y7&amp;"|lw")+SUMIFS(HLTV_Long!$B$2:$B$451,HLTV_Long!$A$2:$A$451,$A7&amp;"|B|"&amp;$Y7&amp;"|wl"))/(COUNTIFS(HLTV_Long!$A$2:$A$451,$A7&amp;"|A|"&amp;$Y7&amp;"|lw")+COUNTIFS(HLTV_Long!$A$2:$A$451,$A7&amp;"|B|"&amp;$Y7&amp;"|wl")),IFERROR((SUMIFS(HLTV_Long!$B$2:$B$451,HLTV_Long!$A$2:$A$451,$A7&amp;"|A|"&amp;"ALL"&amp;"|lw")+SUMIFS(HLTV_Long!$B$2:$B$451,HLTV_Long!$A$2:$A$451,$A7&amp;"|B|"&amp;"ALL"&amp;"|wl"))/(COUNTIFS(HLTV_Long!$A$2:$A$451,$A7&amp;"|A|"&amp;"ALL"&amp;"|lw")+COUNTIFS(HLTV_Long!$A$2:$A$451,$A7&amp;"|B|"&amp;"ALL"&amp;"|wl")),"")))</f>
        <v/>
      </c>
      <c r="AX7" s="17" t="str">
        <f>IF($Y7="","",IFERROR((SUMIFS(HLTV_Long!$B$2:$B$451,HLTV_Long!$A$2:$A$451,$A7&amp;"|B|"&amp;$Y7&amp;"|lw")+SUMIFS(HLTV_Long!$B$2:$B$451,HLTV_Long!$A$2:$A$451,$A7&amp;"|A|"&amp;$Y7&amp;"|wl"))/(COUNTIFS(HLTV_Long!$A$2:$A$451,$A7&amp;"|B|"&amp;$Y7&amp;"|lw")+COUNTIFS(HLTV_Long!$A$2:$A$451,$A7&amp;"|A|"&amp;$Y7&amp;"|wl")),IFERROR((SUMIFS(HLTV_Long!$B$2:$B$451,HLTV_Long!$A$2:$A$451,$A7&amp;"|B|"&amp;"ALL"&amp;"|lw")+SUMIFS(HLTV_Long!$B$2:$B$451,HLTV_Long!$A$2:$A$451,$A7&amp;"|A|"&amp;"ALL"&amp;"|wl"))/(COUNTIFS(HLTV_Long!$A$2:$A$451,$A7&amp;"|B|"&amp;"ALL"&amp;"|lw")+COUNTIFS(HLTV_Long!$A$2:$A$451,$A7&amp;"|A|"&amp;"ALL"&amp;"|wl")),"")))</f>
        <v/>
      </c>
      <c r="AY7" s="4" t="str">
        <f>IF($Y7="","",COUNTIFS(HLTV_Long!$A$2:$A$451,$A7&amp;"|A|"&amp;$Y7&amp;"|lw")+COUNTIFS(HLTV_Long!$A$2:$A$451,$A7&amp;"|B|"&amp;$Y7&amp;"|wl")+COUNTIFS(HLTV_Long!$A$2:$A$451,$A7&amp;"|B|"&amp;$Y7&amp;"|lw")+COUNTIFS(HLTV_Long!$A$2:$A$451,$A7&amp;"|A|"&amp;$Y7&amp;"|wl"))</f>
        <v/>
      </c>
      <c r="AZ7" s="17" t="str">
        <f t="shared" si="7"/>
        <v/>
      </c>
      <c r="BA7" s="17" t="str">
        <f t="shared" si="8"/>
        <v/>
      </c>
      <c r="BB7" s="11" t="str">
        <f t="shared" si="9"/>
        <v/>
      </c>
    </row>
    <row r="8">
      <c r="A8" s="4" t="s">
        <v>993</v>
      </c>
      <c r="B8" s="4" t="s">
        <v>86</v>
      </c>
      <c r="C8" s="4" t="s">
        <v>994</v>
      </c>
      <c r="D8" s="4">
        <v>1.0</v>
      </c>
      <c r="E8" s="4" t="s">
        <v>520</v>
      </c>
      <c r="F8" s="4" t="s">
        <v>521</v>
      </c>
      <c r="G8" s="11">
        <v>0.7692307692307692</v>
      </c>
      <c r="H8" s="11"/>
      <c r="I8" s="11"/>
      <c r="J8" s="11">
        <v>0.0</v>
      </c>
      <c r="K8" s="4" t="s">
        <v>995</v>
      </c>
      <c r="L8" s="4" t="s">
        <v>996</v>
      </c>
      <c r="M8" s="4" t="s">
        <v>998</v>
      </c>
      <c r="N8" s="4" t="s">
        <v>1000</v>
      </c>
      <c r="O8" s="12"/>
      <c r="P8" s="12"/>
      <c r="Q8" s="12"/>
      <c r="R8" s="11"/>
      <c r="S8" s="12"/>
      <c r="T8" s="12"/>
      <c r="U8" s="12"/>
      <c r="V8" s="4">
        <v>2.0</v>
      </c>
      <c r="W8" s="13" t="s">
        <v>262</v>
      </c>
      <c r="X8" s="13" t="s">
        <v>250</v>
      </c>
      <c r="Y8" s="13"/>
      <c r="Z8" s="14">
        <f>Config!$B$7</f>
        <v>21.5</v>
      </c>
      <c r="AA8" s="14">
        <f>Config!$B$7</f>
        <v>21.5</v>
      </c>
      <c r="AB8" s="14"/>
      <c r="AC8" s="15">
        <v>0.0</v>
      </c>
      <c r="AD8" s="4" t="s">
        <v>1013</v>
      </c>
      <c r="AE8" s="4" t="s">
        <v>1014</v>
      </c>
      <c r="AF8" s="11">
        <v>0.7692</v>
      </c>
      <c r="AG8" s="11">
        <v>0.7692</v>
      </c>
      <c r="AH8" s="11">
        <v>0.7692</v>
      </c>
      <c r="AI8" s="11">
        <f t="array" ref="AI8">IFERROR(INDEX(HLTV_Teams!$N$2:$N$33,MATCH($A8&amp;"|A",HLTV_Teams!$A$2:$A$33,0)),"")</f>
        <v>0.5021995832</v>
      </c>
      <c r="AJ8" s="11">
        <f t="array" ref="AJ8">IFERROR(INDEX(HLTV_Teams!$N$2:$N$33,MATCH($A8&amp;"|B",HLTV_Teams!$A$2:$A$33,0)),"")</f>
        <v>0.4592301535</v>
      </c>
      <c r="AK8" s="17">
        <f>IF($W8="","",IFERROR((SUMIFS(HLTV_Long!$B$2:$B$451,HLTV_Long!$A$2:$A$451,$A8&amp;"|A|"&amp;$W8&amp;"|lw")+SUMIFS(HLTV_Long!$B$2:$B$451,HLTV_Long!$A$2:$A$451,$A8&amp;"|B|"&amp;$W8&amp;"|wl"))/(COUNTIFS(HLTV_Long!$A$2:$A$451,$A8&amp;"|A|"&amp;$W8&amp;"|lw")+COUNTIFS(HLTV_Long!$A$2:$A$451,$A8&amp;"|B|"&amp;$W8&amp;"|wl")),IFERROR((SUMIFS(HLTV_Long!$B$2:$B$451,HLTV_Long!$A$2:$A$451,$A8&amp;"|A|"&amp;"ALL"&amp;"|lw")+SUMIFS(HLTV_Long!$B$2:$B$451,HLTV_Long!$A$2:$A$451,$A8&amp;"|B|"&amp;"ALL"&amp;"|wl"))/(COUNTIFS(HLTV_Long!$A$2:$A$451,$A8&amp;"|A|"&amp;"ALL"&amp;"|lw")+COUNTIFS(HLTV_Long!$A$2:$A$451,$A8&amp;"|B|"&amp;"ALL"&amp;"|wl")),"")))</f>
        <v>10.875</v>
      </c>
      <c r="AL8" s="17">
        <f>IF($W8="","",IFERROR((SUMIFS(HLTV_Long!$B$2:$B$451,HLTV_Long!$A$2:$A$451,$A8&amp;"|B|"&amp;$W8&amp;"|lw")+SUMIFS(HLTV_Long!$B$2:$B$451,HLTV_Long!$A$2:$A$451,$A8&amp;"|A|"&amp;$W8&amp;"|wl"))/(COUNTIFS(HLTV_Long!$A$2:$A$451,$A8&amp;"|B|"&amp;$W8&amp;"|lw")+COUNTIFS(HLTV_Long!$A$2:$A$451,$A8&amp;"|A|"&amp;$W8&amp;"|wl")),IFERROR((SUMIFS(HLTV_Long!$B$2:$B$451,HLTV_Long!$A$2:$A$451,$A8&amp;"|B|"&amp;"ALL"&amp;"|lw")+SUMIFS(HLTV_Long!$B$2:$B$451,HLTV_Long!$A$2:$A$451,$A8&amp;"|A|"&amp;"ALL"&amp;"|wl"))/(COUNTIFS(HLTV_Long!$A$2:$A$451,$A8&amp;"|B|"&amp;"ALL"&amp;"|lw")+COUNTIFS(HLTV_Long!$A$2:$A$451,$A8&amp;"|A|"&amp;"ALL"&amp;"|wl")),"")))</f>
        <v>7.33</v>
      </c>
      <c r="AM8" s="4">
        <f>IF($W8="","",COUNTIFS(HLTV_Long!$A$2:$A$451,$A8&amp;"|A|"&amp;$W8&amp;"|lw")+COUNTIFS(HLTV_Long!$A$2:$A$451,$A8&amp;"|B|"&amp;$W8&amp;"|wl")+COUNTIFS(HLTV_Long!$A$2:$A$451,$A8&amp;"|B|"&amp;$W8&amp;"|lw")+COUNTIFS(HLTV_Long!$A$2:$A$451,$A8&amp;"|A|"&amp;$W8&amp;"|wl"))</f>
        <v>4</v>
      </c>
      <c r="AN8" s="17">
        <f t="shared" si="1"/>
        <v>23.056814</v>
      </c>
      <c r="AO8" s="17">
        <f t="shared" si="2"/>
        <v>0.325914</v>
      </c>
      <c r="AP8" s="11">
        <f t="shared" si="3"/>
        <v>0.5070676287</v>
      </c>
      <c r="AQ8" s="17">
        <f>IF($X8="","",IFERROR((SUMIFS(HLTV_Long!$B$2:$B$451,HLTV_Long!$A$2:$A$451,$A8&amp;"|A|"&amp;$X8&amp;"|lw")+SUMIFS(HLTV_Long!$B$2:$B$451,HLTV_Long!$A$2:$A$451,$A8&amp;"|B|"&amp;$X8&amp;"|wl"))/(COUNTIFS(HLTV_Long!$A$2:$A$451,$A8&amp;"|A|"&amp;$X8&amp;"|lw")+COUNTIFS(HLTV_Long!$A$2:$A$451,$A8&amp;"|B|"&amp;$X8&amp;"|wl")),IFERROR((SUMIFS(HLTV_Long!$B$2:$B$451,HLTV_Long!$A$2:$A$451,$A8&amp;"|A|"&amp;"ALL"&amp;"|lw")+SUMIFS(HLTV_Long!$B$2:$B$451,HLTV_Long!$A$2:$A$451,$A8&amp;"|B|"&amp;"ALL"&amp;"|wl"))/(COUNTIFS(HLTV_Long!$A$2:$A$451,$A8&amp;"|A|"&amp;"ALL"&amp;"|lw")+COUNTIFS(HLTV_Long!$A$2:$A$451,$A8&amp;"|B|"&amp;"ALL"&amp;"|wl")),"")))</f>
        <v>7.045</v>
      </c>
      <c r="AR8" s="17">
        <f>IF($X8="","",IFERROR((SUMIFS(HLTV_Long!$B$2:$B$451,HLTV_Long!$A$2:$A$451,$A8&amp;"|B|"&amp;$X8&amp;"|lw")+SUMIFS(HLTV_Long!$B$2:$B$451,HLTV_Long!$A$2:$A$451,$A8&amp;"|A|"&amp;$X8&amp;"|wl"))/(COUNTIFS(HLTV_Long!$A$2:$A$451,$A8&amp;"|B|"&amp;$X8&amp;"|lw")+COUNTIFS(HLTV_Long!$A$2:$A$451,$A8&amp;"|A|"&amp;$X8&amp;"|wl")),IFERROR((SUMIFS(HLTV_Long!$B$2:$B$451,HLTV_Long!$A$2:$A$451,$A8&amp;"|B|"&amp;"ALL"&amp;"|lw")+SUMIFS(HLTV_Long!$B$2:$B$451,HLTV_Long!$A$2:$A$451,$A8&amp;"|A|"&amp;"ALL"&amp;"|wl"))/(COUNTIFS(HLTV_Long!$A$2:$A$451,$A8&amp;"|B|"&amp;"ALL"&amp;"|lw")+COUNTIFS(HLTV_Long!$A$2:$A$451,$A8&amp;"|A|"&amp;"ALL"&amp;"|wl")),"")))</f>
        <v>11.5</v>
      </c>
      <c r="AS8" s="4">
        <f>IF($X8="","",COUNTIFS(HLTV_Long!$A$2:$A$451,$A8&amp;"|A|"&amp;$X8&amp;"|lw")+COUNTIFS(HLTV_Long!$A$2:$A$451,$A8&amp;"|B|"&amp;$X8&amp;"|wl")+COUNTIFS(HLTV_Long!$A$2:$A$451,$A8&amp;"|B|"&amp;$X8&amp;"|lw")+COUNTIFS(HLTV_Long!$A$2:$A$451,$A8&amp;"|A|"&amp;$X8&amp;"|wl"))</f>
        <v>3</v>
      </c>
      <c r="AT8" s="17">
        <f t="shared" si="4"/>
        <v>21.073214</v>
      </c>
      <c r="AU8" s="17">
        <f t="shared" si="5"/>
        <v>4.234386</v>
      </c>
      <c r="AV8" s="11">
        <f t="shared" si="6"/>
        <v>0.600468443</v>
      </c>
      <c r="AW8" s="17" t="str">
        <f>IF($Y8="","",IFERROR((SUMIFS(HLTV_Long!$B$2:$B$451,HLTV_Long!$A$2:$A$451,$A8&amp;"|A|"&amp;$Y8&amp;"|lw")+SUMIFS(HLTV_Long!$B$2:$B$451,HLTV_Long!$A$2:$A$451,$A8&amp;"|B|"&amp;$Y8&amp;"|wl"))/(COUNTIFS(HLTV_Long!$A$2:$A$451,$A8&amp;"|A|"&amp;$Y8&amp;"|lw")+COUNTIFS(HLTV_Long!$A$2:$A$451,$A8&amp;"|B|"&amp;$Y8&amp;"|wl")),IFERROR((SUMIFS(HLTV_Long!$B$2:$B$451,HLTV_Long!$A$2:$A$451,$A8&amp;"|A|"&amp;"ALL"&amp;"|lw")+SUMIFS(HLTV_Long!$B$2:$B$451,HLTV_Long!$A$2:$A$451,$A8&amp;"|B|"&amp;"ALL"&amp;"|wl"))/(COUNTIFS(HLTV_Long!$A$2:$A$451,$A8&amp;"|A|"&amp;"ALL"&amp;"|lw")+COUNTIFS(HLTV_Long!$A$2:$A$451,$A8&amp;"|B|"&amp;"ALL"&amp;"|wl")),"")))</f>
        <v/>
      </c>
      <c r="AX8" s="17" t="str">
        <f>IF($Y8="","",IFERROR((SUMIFS(HLTV_Long!$B$2:$B$451,HLTV_Long!$A$2:$A$451,$A8&amp;"|B|"&amp;$Y8&amp;"|lw")+SUMIFS(HLTV_Long!$B$2:$B$451,HLTV_Long!$A$2:$A$451,$A8&amp;"|A|"&amp;$Y8&amp;"|wl"))/(COUNTIFS(HLTV_Long!$A$2:$A$451,$A8&amp;"|B|"&amp;$Y8&amp;"|lw")+COUNTIFS(HLTV_Long!$A$2:$A$451,$A8&amp;"|A|"&amp;$Y8&amp;"|wl")),IFERROR((SUMIFS(HLTV_Long!$B$2:$B$451,HLTV_Long!$A$2:$A$451,$A8&amp;"|B|"&amp;"ALL"&amp;"|lw")+SUMIFS(HLTV_Long!$B$2:$B$451,HLTV_Long!$A$2:$A$451,$A8&amp;"|A|"&amp;"ALL"&amp;"|wl"))/(COUNTIFS(HLTV_Long!$A$2:$A$451,$A8&amp;"|B|"&amp;"ALL"&amp;"|lw")+COUNTIFS(HLTV_Long!$A$2:$A$451,$A8&amp;"|A|"&amp;"ALL"&amp;"|wl")),"")))</f>
        <v/>
      </c>
      <c r="AY8" s="4" t="str">
        <f>IF($Y8="","",COUNTIFS(HLTV_Long!$A$2:$A$451,$A8&amp;"|A|"&amp;$Y8&amp;"|lw")+COUNTIFS(HLTV_Long!$A$2:$A$451,$A8&amp;"|B|"&amp;$Y8&amp;"|wl")+COUNTIFS(HLTV_Long!$A$2:$A$451,$A8&amp;"|B|"&amp;$Y8&amp;"|lw")+COUNTIFS(HLTV_Long!$A$2:$A$451,$A8&amp;"|A|"&amp;$Y8&amp;"|wl"))</f>
        <v/>
      </c>
      <c r="AZ8" s="17" t="str">
        <f t="shared" si="7"/>
        <v/>
      </c>
      <c r="BA8" s="17" t="str">
        <f t="shared" si="8"/>
        <v/>
      </c>
      <c r="BB8" s="11" t="str">
        <f t="shared" si="9"/>
        <v/>
      </c>
    </row>
    <row r="9">
      <c r="A9" s="4" t="s">
        <v>1090</v>
      </c>
      <c r="B9" s="4" t="s">
        <v>86</v>
      </c>
      <c r="C9" s="4" t="s">
        <v>1091</v>
      </c>
      <c r="D9" s="4">
        <v>3.0</v>
      </c>
      <c r="E9" s="4" t="s">
        <v>623</v>
      </c>
      <c r="F9" s="4" t="s">
        <v>624</v>
      </c>
      <c r="G9" s="11">
        <v>0.3846153846153846</v>
      </c>
      <c r="H9" s="11">
        <v>0.1809573226099365</v>
      </c>
      <c r="I9" s="11">
        <v>0.3217019068621092</v>
      </c>
      <c r="J9" s="11">
        <v>0.4973407705279543</v>
      </c>
      <c r="K9" s="4" t="s">
        <v>1092</v>
      </c>
      <c r="L9" s="4" t="s">
        <v>1093</v>
      </c>
      <c r="M9" s="4" t="s">
        <v>1094</v>
      </c>
      <c r="N9" s="4" t="s">
        <v>101</v>
      </c>
      <c r="O9" s="12">
        <v>21.5</v>
      </c>
      <c r="P9" s="12">
        <v>21.31255313119864</v>
      </c>
      <c r="Q9" s="12">
        <v>21.42315369261477</v>
      </c>
      <c r="R9" s="11">
        <v>0.1594202898550725</v>
      </c>
      <c r="S9" s="12">
        <v>-1.270270270270272</v>
      </c>
      <c r="T9" s="12">
        <v>12.5</v>
      </c>
      <c r="U9" s="12"/>
      <c r="V9" s="4">
        <v>230.0</v>
      </c>
      <c r="W9" s="13" t="s">
        <v>113</v>
      </c>
      <c r="X9" s="13" t="s">
        <v>270</v>
      </c>
      <c r="Y9" s="13" t="s">
        <v>110</v>
      </c>
      <c r="Z9" s="14">
        <v>21.5</v>
      </c>
      <c r="AA9" s="14">
        <v>21.31</v>
      </c>
      <c r="AB9" s="14">
        <v>21.42</v>
      </c>
      <c r="AC9" s="15">
        <v>0.4973</v>
      </c>
      <c r="AD9" s="4" t="s">
        <v>1095</v>
      </c>
      <c r="AE9" s="4" t="s">
        <v>1096</v>
      </c>
      <c r="AF9" s="11">
        <v>0.4624</v>
      </c>
      <c r="AG9" s="11">
        <v>0.3846</v>
      </c>
      <c r="AH9" s="11">
        <v>0.418</v>
      </c>
      <c r="AI9" s="11">
        <f t="array" ref="AI9">IFERROR(INDEX(HLTV_Teams!$N$2:$N$33,MATCH($A9&amp;"|A",HLTV_Teams!$A$2:$A$33,0)),"")</f>
        <v>0.5498492587</v>
      </c>
      <c r="AJ9" s="11">
        <f t="array" ref="AJ9">IFERROR(INDEX(HLTV_Teams!$N$2:$N$33,MATCH($A9&amp;"|B",HLTV_Teams!$A$2:$A$33,0)),"")</f>
        <v>0.562569722</v>
      </c>
      <c r="AK9" s="17">
        <f>IF($W9="","",IFERROR((SUMIFS(HLTV_Long!$B$2:$B$451,HLTV_Long!$A$2:$A$451,$A9&amp;"|A|"&amp;$W9&amp;"|lw")+SUMIFS(HLTV_Long!$B$2:$B$451,HLTV_Long!$A$2:$A$451,$A9&amp;"|B|"&amp;$W9&amp;"|wl"))/(COUNTIFS(HLTV_Long!$A$2:$A$451,$A9&amp;"|A|"&amp;$W9&amp;"|lw")+COUNTIFS(HLTV_Long!$A$2:$A$451,$A9&amp;"|B|"&amp;$W9&amp;"|wl")),IFERROR((SUMIFS(HLTV_Long!$B$2:$B$451,HLTV_Long!$A$2:$A$451,$A9&amp;"|A|"&amp;"ALL"&amp;"|lw")+SUMIFS(HLTV_Long!$B$2:$B$451,HLTV_Long!$A$2:$A$451,$A9&amp;"|B|"&amp;"ALL"&amp;"|wl"))/(COUNTIFS(HLTV_Long!$A$2:$A$451,$A9&amp;"|A|"&amp;"ALL"&amp;"|lw")+COUNTIFS(HLTV_Long!$A$2:$A$451,$A9&amp;"|B|"&amp;"ALL"&amp;"|wl")),"")))</f>
        <v>7.965</v>
      </c>
      <c r="AL9" s="17">
        <f>IF($W9="","",IFERROR((SUMIFS(HLTV_Long!$B$2:$B$451,HLTV_Long!$A$2:$A$451,$A9&amp;"|B|"&amp;$W9&amp;"|lw")+SUMIFS(HLTV_Long!$B$2:$B$451,HLTV_Long!$A$2:$A$451,$A9&amp;"|A|"&amp;$W9&amp;"|wl"))/(COUNTIFS(HLTV_Long!$A$2:$A$451,$A9&amp;"|B|"&amp;$W9&amp;"|lw")+COUNTIFS(HLTV_Long!$A$2:$A$451,$A9&amp;"|A|"&amp;$W9&amp;"|wl")),IFERROR((SUMIFS(HLTV_Long!$B$2:$B$451,HLTV_Long!$A$2:$A$451,$A9&amp;"|B|"&amp;"ALL"&amp;"|lw")+SUMIFS(HLTV_Long!$B$2:$B$451,HLTV_Long!$A$2:$A$451,$A9&amp;"|A|"&amp;"ALL"&amp;"|wl"))/(COUNTIFS(HLTV_Long!$A$2:$A$451,$A9&amp;"|B|"&amp;"ALL"&amp;"|lw")+COUNTIFS(HLTV_Long!$A$2:$A$451,$A9&amp;"|A|"&amp;"ALL"&amp;"|wl")),"")))</f>
        <v>7.5</v>
      </c>
      <c r="AM9" s="4">
        <f>IF($W9="","",COUNTIFS(HLTV_Long!$A$2:$A$451,$A9&amp;"|A|"&amp;$W9&amp;"|lw")+COUNTIFS(HLTV_Long!$A$2:$A$451,$A9&amp;"|B|"&amp;$W9&amp;"|wl")+COUNTIFS(HLTV_Long!$A$2:$A$451,$A9&amp;"|B|"&amp;$W9&amp;"|lw")+COUNTIFS(HLTV_Long!$A$2:$A$451,$A9&amp;"|A|"&amp;$W9&amp;"|wl"))</f>
        <v>4</v>
      </c>
      <c r="AN9" s="17">
        <f t="shared" si="1"/>
        <v>20.715016</v>
      </c>
      <c r="AO9" s="17">
        <f t="shared" si="2"/>
        <v>-0.628616</v>
      </c>
      <c r="AP9" s="11">
        <f t="shared" si="3"/>
        <v>0.4848270453</v>
      </c>
      <c r="AQ9" s="17">
        <f>IF($X9="","",IFERROR((SUMIFS(HLTV_Long!$B$2:$B$451,HLTV_Long!$A$2:$A$451,$A9&amp;"|A|"&amp;$X9&amp;"|lw")+SUMIFS(HLTV_Long!$B$2:$B$451,HLTV_Long!$A$2:$A$451,$A9&amp;"|B|"&amp;$X9&amp;"|wl"))/(COUNTIFS(HLTV_Long!$A$2:$A$451,$A9&amp;"|A|"&amp;$X9&amp;"|lw")+COUNTIFS(HLTV_Long!$A$2:$A$451,$A9&amp;"|B|"&amp;$X9&amp;"|wl")),IFERROR((SUMIFS(HLTV_Long!$B$2:$B$451,HLTV_Long!$A$2:$A$451,$A9&amp;"|A|"&amp;"ALL"&amp;"|lw")+SUMIFS(HLTV_Long!$B$2:$B$451,HLTV_Long!$A$2:$A$451,$A9&amp;"|B|"&amp;"ALL"&amp;"|wl"))/(COUNTIFS(HLTV_Long!$A$2:$A$451,$A9&amp;"|A|"&amp;"ALL"&amp;"|lw")+COUNTIFS(HLTV_Long!$A$2:$A$451,$A9&amp;"|B|"&amp;"ALL"&amp;"|wl")),"")))</f>
        <v>7.75</v>
      </c>
      <c r="AR9" s="17">
        <f>IF($X9="","",IFERROR((SUMIFS(HLTV_Long!$B$2:$B$451,HLTV_Long!$A$2:$A$451,$A9&amp;"|B|"&amp;$X9&amp;"|lw")+SUMIFS(HLTV_Long!$B$2:$B$451,HLTV_Long!$A$2:$A$451,$A9&amp;"|A|"&amp;$X9&amp;"|wl"))/(COUNTIFS(HLTV_Long!$A$2:$A$451,$A9&amp;"|B|"&amp;$X9&amp;"|lw")+COUNTIFS(HLTV_Long!$A$2:$A$451,$A9&amp;"|A|"&amp;$X9&amp;"|wl")),IFERROR((SUMIFS(HLTV_Long!$B$2:$B$451,HLTV_Long!$A$2:$A$451,$A9&amp;"|B|"&amp;"ALL"&amp;"|lw")+SUMIFS(HLTV_Long!$B$2:$B$451,HLTV_Long!$A$2:$A$451,$A9&amp;"|A|"&amp;"ALL"&amp;"|wl"))/(COUNTIFS(HLTV_Long!$A$2:$A$451,$A9&amp;"|B|"&amp;"ALL"&amp;"|lw")+COUNTIFS(HLTV_Long!$A$2:$A$451,$A9&amp;"|A|"&amp;"ALL"&amp;"|wl")),"")))</f>
        <v>7.125</v>
      </c>
      <c r="AS9" s="4">
        <f>IF($X9="","",COUNTIFS(HLTV_Long!$A$2:$A$451,$A9&amp;"|A|"&amp;$X9&amp;"|lw")+COUNTIFS(HLTV_Long!$A$2:$A$451,$A9&amp;"|B|"&amp;$X9&amp;"|wl")+COUNTIFS(HLTV_Long!$A$2:$A$451,$A9&amp;"|B|"&amp;$X9&amp;"|lw")+COUNTIFS(HLTV_Long!$A$2:$A$451,$A9&amp;"|A|"&amp;$X9&amp;"|wl"))</f>
        <v>4</v>
      </c>
      <c r="AT9" s="17">
        <f t="shared" si="4"/>
        <v>20.365375</v>
      </c>
      <c r="AU9" s="17">
        <f t="shared" si="5"/>
        <v>-1.596325</v>
      </c>
      <c r="AV9" s="11">
        <f t="shared" si="6"/>
        <v>0.4608078663</v>
      </c>
      <c r="AW9" s="17">
        <f>IF($Y9="","",IFERROR((SUMIFS(HLTV_Long!$B$2:$B$451,HLTV_Long!$A$2:$A$451,$A9&amp;"|A|"&amp;$Y9&amp;"|lw")+SUMIFS(HLTV_Long!$B$2:$B$451,HLTV_Long!$A$2:$A$451,$A9&amp;"|B|"&amp;$Y9&amp;"|wl"))/(COUNTIFS(HLTV_Long!$A$2:$A$451,$A9&amp;"|A|"&amp;$Y9&amp;"|lw")+COUNTIFS(HLTV_Long!$A$2:$A$451,$A9&amp;"|B|"&amp;$Y9&amp;"|wl")),IFERROR((SUMIFS(HLTV_Long!$B$2:$B$451,HLTV_Long!$A$2:$A$451,$A9&amp;"|A|"&amp;"ALL"&amp;"|lw")+SUMIFS(HLTV_Long!$B$2:$B$451,HLTV_Long!$A$2:$A$451,$A9&amp;"|B|"&amp;"ALL"&amp;"|wl"))/(COUNTIFS(HLTV_Long!$A$2:$A$451,$A9&amp;"|A|"&amp;"ALL"&amp;"|lw")+COUNTIFS(HLTV_Long!$A$2:$A$451,$A9&amp;"|B|"&amp;"ALL"&amp;"|wl")),"")))</f>
        <v>7.965</v>
      </c>
      <c r="AX9" s="17">
        <f>IF($Y9="","",IFERROR((SUMIFS(HLTV_Long!$B$2:$B$451,HLTV_Long!$A$2:$A$451,$A9&amp;"|B|"&amp;$Y9&amp;"|lw")+SUMIFS(HLTV_Long!$B$2:$B$451,HLTV_Long!$A$2:$A$451,$A9&amp;"|A|"&amp;$Y9&amp;"|wl"))/(COUNTIFS(HLTV_Long!$A$2:$A$451,$A9&amp;"|B|"&amp;$Y9&amp;"|lw")+COUNTIFS(HLTV_Long!$A$2:$A$451,$A9&amp;"|A|"&amp;$Y9&amp;"|wl")),IFERROR((SUMIFS(HLTV_Long!$B$2:$B$451,HLTV_Long!$A$2:$A$451,$A9&amp;"|B|"&amp;"ALL"&amp;"|lw")+SUMIFS(HLTV_Long!$B$2:$B$451,HLTV_Long!$A$2:$A$451,$A9&amp;"|A|"&amp;"ALL"&amp;"|wl"))/(COUNTIFS(HLTV_Long!$A$2:$A$451,$A9&amp;"|B|"&amp;"ALL"&amp;"|lw")+COUNTIFS(HLTV_Long!$A$2:$A$451,$A9&amp;"|A|"&amp;"ALL"&amp;"|wl")),"")))</f>
        <v>6.75</v>
      </c>
      <c r="AY9" s="4">
        <f>IF($Y9="","",COUNTIFS(HLTV_Long!$A$2:$A$451,$A9&amp;"|A|"&amp;$Y9&amp;"|lw")+COUNTIFS(HLTV_Long!$A$2:$A$451,$A9&amp;"|B|"&amp;$Y9&amp;"|wl")+COUNTIFS(HLTV_Long!$A$2:$A$451,$A9&amp;"|B|"&amp;$Y9&amp;"|lw")+COUNTIFS(HLTV_Long!$A$2:$A$451,$A9&amp;"|A|"&amp;$Y9&amp;"|wl"))</f>
        <v>4</v>
      </c>
      <c r="AZ9" s="17">
        <f t="shared" si="7"/>
        <v>20.25787</v>
      </c>
      <c r="BA9" s="17">
        <f t="shared" si="8"/>
        <v>-1.53287</v>
      </c>
      <c r="BB9" s="11">
        <f t="shared" si="9"/>
        <v>0.4621660619</v>
      </c>
    </row>
    <row r="10">
      <c r="A10" s="4" t="s">
        <v>1152</v>
      </c>
      <c r="B10" s="4" t="s">
        <v>86</v>
      </c>
      <c r="C10" s="4" t="s">
        <v>1091</v>
      </c>
      <c r="D10" s="4">
        <v>3.0</v>
      </c>
      <c r="E10" s="4" t="s">
        <v>700</v>
      </c>
      <c r="F10" s="4" t="s">
        <v>701</v>
      </c>
      <c r="G10" s="11">
        <v>0.582010582010582</v>
      </c>
      <c r="H10" s="11">
        <v>0.3052100998680988</v>
      </c>
      <c r="I10" s="11">
        <v>0.1942246090069719</v>
      </c>
      <c r="J10" s="11">
        <v>0.5005652911249293</v>
      </c>
      <c r="K10" s="4" t="s">
        <v>1153</v>
      </c>
      <c r="L10" s="4" t="s">
        <v>1154</v>
      </c>
      <c r="M10" s="4" t="s">
        <v>1155</v>
      </c>
      <c r="N10" s="4" t="s">
        <v>101</v>
      </c>
      <c r="O10" s="12">
        <v>21.5</v>
      </c>
      <c r="P10" s="12">
        <v>21.37816455696202</v>
      </c>
      <c r="Q10" s="12">
        <v>21.5</v>
      </c>
      <c r="R10" s="11">
        <v>0.1594202898550725</v>
      </c>
      <c r="S10" s="12">
        <v>0.7061186650185418</v>
      </c>
      <c r="T10" s="12"/>
      <c r="U10" s="12"/>
      <c r="V10" s="4">
        <v>227.0</v>
      </c>
      <c r="W10" s="13" t="s">
        <v>270</v>
      </c>
      <c r="X10" s="13" t="s">
        <v>110</v>
      </c>
      <c r="Y10" s="13" t="s">
        <v>276</v>
      </c>
      <c r="Z10" s="14">
        <v>21.5</v>
      </c>
      <c r="AA10" s="14">
        <v>21.38</v>
      </c>
      <c r="AB10" s="14">
        <v>21.5</v>
      </c>
      <c r="AC10" s="15">
        <v>0.5006</v>
      </c>
      <c r="AD10" s="4" t="s">
        <v>1156</v>
      </c>
      <c r="AE10" s="4" t="s">
        <v>1157</v>
      </c>
      <c r="AF10" s="11">
        <v>0.5189</v>
      </c>
      <c r="AG10" s="11">
        <v>0.5974</v>
      </c>
      <c r="AH10" s="11">
        <v>0.56</v>
      </c>
      <c r="AI10" s="11">
        <f t="array" ref="AI10">IFERROR(INDEX(HLTV_Teams!$N$2:$N$33,MATCH($A10&amp;"|A",HLTV_Teams!$A$2:$A$33,0)),"")</f>
        <v>0.5221270225</v>
      </c>
      <c r="AJ10" s="11">
        <f t="array" ref="AJ10">IFERROR(INDEX(HLTV_Teams!$N$2:$N$33,MATCH($A10&amp;"|B",HLTV_Teams!$A$2:$A$33,0)),"")</f>
        <v>0.51811275</v>
      </c>
      <c r="AK10" s="17">
        <f>IF($W10="","",IFERROR((SUMIFS(HLTV_Long!$B$2:$B$451,HLTV_Long!$A$2:$A$451,$A10&amp;"|A|"&amp;$W10&amp;"|lw")+SUMIFS(HLTV_Long!$B$2:$B$451,HLTV_Long!$A$2:$A$451,$A10&amp;"|B|"&amp;$W10&amp;"|wl"))/(COUNTIFS(HLTV_Long!$A$2:$A$451,$A10&amp;"|A|"&amp;$W10&amp;"|lw")+COUNTIFS(HLTV_Long!$A$2:$A$451,$A10&amp;"|B|"&amp;$W10&amp;"|wl")),IFERROR((SUMIFS(HLTV_Long!$B$2:$B$451,HLTV_Long!$A$2:$A$451,$A10&amp;"|A|"&amp;"ALL"&amp;"|lw")+SUMIFS(HLTV_Long!$B$2:$B$451,HLTV_Long!$A$2:$A$451,$A10&amp;"|B|"&amp;"ALL"&amp;"|wl"))/(COUNTIFS(HLTV_Long!$A$2:$A$451,$A10&amp;"|A|"&amp;"ALL"&amp;"|lw")+COUNTIFS(HLTV_Long!$A$2:$A$451,$A10&amp;"|B|"&amp;"ALL"&amp;"|wl")),"")))</f>
        <v>8</v>
      </c>
      <c r="AL10" s="17">
        <f>IF($W10="","",IFERROR((SUMIFS(HLTV_Long!$B$2:$B$451,HLTV_Long!$A$2:$A$451,$A10&amp;"|B|"&amp;$W10&amp;"|lw")+SUMIFS(HLTV_Long!$B$2:$B$451,HLTV_Long!$A$2:$A$451,$A10&amp;"|A|"&amp;$W10&amp;"|wl"))/(COUNTIFS(HLTV_Long!$A$2:$A$451,$A10&amp;"|B|"&amp;$W10&amp;"|lw")+COUNTIFS(HLTV_Long!$A$2:$A$451,$A10&amp;"|A|"&amp;$W10&amp;"|wl")),IFERROR((SUMIFS(HLTV_Long!$B$2:$B$451,HLTV_Long!$A$2:$A$451,$A10&amp;"|B|"&amp;"ALL"&amp;"|lw")+SUMIFS(HLTV_Long!$B$2:$B$451,HLTV_Long!$A$2:$A$451,$A10&amp;"|A|"&amp;"ALL"&amp;"|wl"))/(COUNTIFS(HLTV_Long!$A$2:$A$451,$A10&amp;"|B|"&amp;"ALL"&amp;"|lw")+COUNTIFS(HLTV_Long!$A$2:$A$451,$A10&amp;"|A|"&amp;"ALL"&amp;"|wl")),"")))</f>
        <v>8.18</v>
      </c>
      <c r="AM10" s="4">
        <f>IF($W10="","",COUNTIFS(HLTV_Long!$A$2:$A$451,$A10&amp;"|A|"&amp;$W10&amp;"|lw")+COUNTIFS(HLTV_Long!$A$2:$A$451,$A10&amp;"|B|"&amp;$W10&amp;"|wl")+COUNTIFS(HLTV_Long!$A$2:$A$451,$A10&amp;"|B|"&amp;$W10&amp;"|lw")+COUNTIFS(HLTV_Long!$A$2:$A$451,$A10&amp;"|A|"&amp;$W10&amp;"|wl"))</f>
        <v>4</v>
      </c>
      <c r="AN10" s="17">
        <f t="shared" si="1"/>
        <v>21.086598</v>
      </c>
      <c r="AO10" s="17">
        <f t="shared" si="2"/>
        <v>0.275598</v>
      </c>
      <c r="AP10" s="11">
        <f t="shared" si="3"/>
        <v>0.506534909</v>
      </c>
      <c r="AQ10" s="17">
        <f>IF($X10="","",IFERROR((SUMIFS(HLTV_Long!$B$2:$B$451,HLTV_Long!$A$2:$A$451,$A10&amp;"|A|"&amp;$X10&amp;"|lw")+SUMIFS(HLTV_Long!$B$2:$B$451,HLTV_Long!$A$2:$A$451,$A10&amp;"|B|"&amp;$X10&amp;"|wl"))/(COUNTIFS(HLTV_Long!$A$2:$A$451,$A10&amp;"|A|"&amp;$X10&amp;"|lw")+COUNTIFS(HLTV_Long!$A$2:$A$451,$A10&amp;"|B|"&amp;$X10&amp;"|wl")),IFERROR((SUMIFS(HLTV_Long!$B$2:$B$451,HLTV_Long!$A$2:$A$451,$A10&amp;"|A|"&amp;"ALL"&amp;"|lw")+SUMIFS(HLTV_Long!$B$2:$B$451,HLTV_Long!$A$2:$A$451,$A10&amp;"|B|"&amp;"ALL"&amp;"|wl"))/(COUNTIFS(HLTV_Long!$A$2:$A$451,$A10&amp;"|A|"&amp;"ALL"&amp;"|lw")+COUNTIFS(HLTV_Long!$A$2:$A$451,$A10&amp;"|B|"&amp;"ALL"&amp;"|wl")),"")))</f>
        <v>8.43</v>
      </c>
      <c r="AR10" s="17">
        <f>IF($X10="","",IFERROR((SUMIFS(HLTV_Long!$B$2:$B$451,HLTV_Long!$A$2:$A$451,$A10&amp;"|B|"&amp;$X10&amp;"|lw")+SUMIFS(HLTV_Long!$B$2:$B$451,HLTV_Long!$A$2:$A$451,$A10&amp;"|A|"&amp;$X10&amp;"|wl"))/(COUNTIFS(HLTV_Long!$A$2:$A$451,$A10&amp;"|B|"&amp;$X10&amp;"|lw")+COUNTIFS(HLTV_Long!$A$2:$A$451,$A10&amp;"|A|"&amp;$X10&amp;"|wl")),IFERROR((SUMIFS(HLTV_Long!$B$2:$B$451,HLTV_Long!$A$2:$A$451,$A10&amp;"|B|"&amp;"ALL"&amp;"|lw")+SUMIFS(HLTV_Long!$B$2:$B$451,HLTV_Long!$A$2:$A$451,$A10&amp;"|A|"&amp;"ALL"&amp;"|wl"))/(COUNTIFS(HLTV_Long!$A$2:$A$451,$A10&amp;"|B|"&amp;"ALL"&amp;"|lw")+COUNTIFS(HLTV_Long!$A$2:$A$451,$A10&amp;"|A|"&amp;"ALL"&amp;"|wl")),"")))</f>
        <v>8.175</v>
      </c>
      <c r="AS10" s="4">
        <f>IF($X10="","",COUNTIFS(HLTV_Long!$A$2:$A$451,$A10&amp;"|A|"&amp;$X10&amp;"|lw")+COUNTIFS(HLTV_Long!$A$2:$A$451,$A10&amp;"|B|"&amp;$X10&amp;"|wl")+COUNTIFS(HLTV_Long!$A$2:$A$451,$A10&amp;"|B|"&amp;$X10&amp;"|lw")+COUNTIFS(HLTV_Long!$A$2:$A$451,$A10&amp;"|A|"&amp;$X10&amp;"|wl"))</f>
        <v>4</v>
      </c>
      <c r="AT10" s="17">
        <f t="shared" si="4"/>
        <v>21.327337</v>
      </c>
      <c r="AU10" s="17">
        <f t="shared" si="5"/>
        <v>0.787573</v>
      </c>
      <c r="AV10" s="11">
        <f t="shared" si="6"/>
        <v>0.518463932</v>
      </c>
      <c r="AW10" s="17">
        <f>IF($Y10="","",IFERROR((SUMIFS(HLTV_Long!$B$2:$B$451,HLTV_Long!$A$2:$A$451,$A10&amp;"|A|"&amp;$Y10&amp;"|lw")+SUMIFS(HLTV_Long!$B$2:$B$451,HLTV_Long!$A$2:$A$451,$A10&amp;"|B|"&amp;$Y10&amp;"|wl"))/(COUNTIFS(HLTV_Long!$A$2:$A$451,$A10&amp;"|A|"&amp;$Y10&amp;"|lw")+COUNTIFS(HLTV_Long!$A$2:$A$451,$A10&amp;"|B|"&amp;$Y10&amp;"|wl")),IFERROR((SUMIFS(HLTV_Long!$B$2:$B$451,HLTV_Long!$A$2:$A$451,$A10&amp;"|A|"&amp;"ALL"&amp;"|lw")+SUMIFS(HLTV_Long!$B$2:$B$451,HLTV_Long!$A$2:$A$451,$A10&amp;"|B|"&amp;"ALL"&amp;"|wl"))/(COUNTIFS(HLTV_Long!$A$2:$A$451,$A10&amp;"|A|"&amp;"ALL"&amp;"|lw")+COUNTIFS(HLTV_Long!$A$2:$A$451,$A10&amp;"|B|"&amp;"ALL"&amp;"|wl")),"")))</f>
        <v>8.165</v>
      </c>
      <c r="AX10" s="17">
        <f>IF($Y10="","",IFERROR((SUMIFS(HLTV_Long!$B$2:$B$451,HLTV_Long!$A$2:$A$451,$A10&amp;"|B|"&amp;$Y10&amp;"|lw")+SUMIFS(HLTV_Long!$B$2:$B$451,HLTV_Long!$A$2:$A$451,$A10&amp;"|A|"&amp;$Y10&amp;"|wl"))/(COUNTIFS(HLTV_Long!$A$2:$A$451,$A10&amp;"|B|"&amp;$Y10&amp;"|lw")+COUNTIFS(HLTV_Long!$A$2:$A$451,$A10&amp;"|A|"&amp;$Y10&amp;"|wl")),IFERROR((SUMIFS(HLTV_Long!$B$2:$B$451,HLTV_Long!$A$2:$A$451,$A10&amp;"|B|"&amp;"ALL"&amp;"|lw")+SUMIFS(HLTV_Long!$B$2:$B$451,HLTV_Long!$A$2:$A$451,$A10&amp;"|A|"&amp;"ALL"&amp;"|wl"))/(COUNTIFS(HLTV_Long!$A$2:$A$451,$A10&amp;"|B|"&amp;"ALL"&amp;"|lw")+COUNTIFS(HLTV_Long!$A$2:$A$451,$A10&amp;"|A|"&amp;"ALL"&amp;"|wl")),"")))</f>
        <v>9.29</v>
      </c>
      <c r="AY10" s="4">
        <f>IF($Y10="","",COUNTIFS(HLTV_Long!$A$2:$A$451,$A10&amp;"|A|"&amp;$Y10&amp;"|lw")+COUNTIFS(HLTV_Long!$A$2:$A$451,$A10&amp;"|B|"&amp;$Y10&amp;"|wl")+COUNTIFS(HLTV_Long!$A$2:$A$451,$A10&amp;"|B|"&amp;$Y10&amp;"|lw")+COUNTIFS(HLTV_Long!$A$2:$A$451,$A10&amp;"|A|"&amp;$Y10&amp;"|wl"))</f>
        <v>4</v>
      </c>
      <c r="AZ10" s="17">
        <f t="shared" si="7"/>
        <v>21.66</v>
      </c>
      <c r="BA10" s="17">
        <f t="shared" si="8"/>
        <v>1.0752</v>
      </c>
      <c r="BB10" s="11">
        <f t="shared" si="9"/>
        <v>0.5248199446</v>
      </c>
    </row>
    <row r="11">
      <c r="A11" s="4" t="s">
        <v>1160</v>
      </c>
      <c r="B11" s="4" t="s">
        <v>86</v>
      </c>
      <c r="C11" s="4" t="s">
        <v>1161</v>
      </c>
      <c r="D11" s="4">
        <v>1.0</v>
      </c>
      <c r="E11" s="4" t="s">
        <v>408</v>
      </c>
      <c r="F11" s="4" t="s">
        <v>520</v>
      </c>
      <c r="G11" s="11">
        <v>0.6153846153846154</v>
      </c>
      <c r="H11" s="11"/>
      <c r="I11" s="11"/>
      <c r="J11" s="11">
        <v>0.0</v>
      </c>
      <c r="K11" s="4" t="s">
        <v>1162</v>
      </c>
      <c r="L11" s="4" t="s">
        <v>1163</v>
      </c>
      <c r="M11" s="4" t="s">
        <v>1164</v>
      </c>
      <c r="N11" s="4" t="s">
        <v>1000</v>
      </c>
      <c r="O11" s="12">
        <v>21.35853293413173</v>
      </c>
      <c r="P11" s="12"/>
      <c r="Q11" s="12"/>
      <c r="R11" s="11">
        <v>0.1463414634146341</v>
      </c>
      <c r="S11" s="12">
        <v>2.73972602739726</v>
      </c>
      <c r="T11" s="12"/>
      <c r="U11" s="12">
        <v>10.71412169919633</v>
      </c>
      <c r="V11" s="4">
        <v>67.0</v>
      </c>
      <c r="W11" s="13" t="s">
        <v>262</v>
      </c>
      <c r="X11" s="13" t="s">
        <v>276</v>
      </c>
      <c r="Y11" s="13"/>
      <c r="Z11" s="14">
        <v>21.36</v>
      </c>
      <c r="AA11" s="14">
        <f>Config!$B$7</f>
        <v>21.5</v>
      </c>
      <c r="AB11" s="14"/>
      <c r="AC11" s="15">
        <v>0.0</v>
      </c>
      <c r="AD11" s="4" t="s">
        <v>856</v>
      </c>
      <c r="AE11" s="4" t="s">
        <v>1013</v>
      </c>
      <c r="AF11" s="11">
        <v>0.6154</v>
      </c>
      <c r="AG11" s="11">
        <v>0.6154</v>
      </c>
      <c r="AH11" s="11">
        <v>0.6154</v>
      </c>
      <c r="AI11" s="11">
        <f t="array" ref="AI11">IFERROR(INDEX(HLTV_Teams!$N$2:$N$33,MATCH($A11&amp;"|A",HLTV_Teams!$A$2:$A$33,0)),"")</f>
        <v>0.5464339904</v>
      </c>
      <c r="AJ11" s="11">
        <f t="array" ref="AJ11">IFERROR(INDEX(HLTV_Teams!$N$2:$N$33,MATCH($A11&amp;"|B",HLTV_Teams!$A$2:$A$33,0)),"")</f>
        <v>0.5021995832</v>
      </c>
      <c r="AK11" s="17">
        <f>IF($W11="","",IFERROR((SUMIFS(HLTV_Long!$B$2:$B$451,HLTV_Long!$A$2:$A$451,$A11&amp;"|A|"&amp;$W11&amp;"|lw")+SUMIFS(HLTV_Long!$B$2:$B$451,HLTV_Long!$A$2:$A$451,$A11&amp;"|B|"&amp;$W11&amp;"|wl"))/(COUNTIFS(HLTV_Long!$A$2:$A$451,$A11&amp;"|A|"&amp;$W11&amp;"|lw")+COUNTIFS(HLTV_Long!$A$2:$A$451,$A11&amp;"|B|"&amp;$W11&amp;"|wl")),IFERROR((SUMIFS(HLTV_Long!$B$2:$B$451,HLTV_Long!$A$2:$A$451,$A11&amp;"|A|"&amp;"ALL"&amp;"|lw")+SUMIFS(HLTV_Long!$B$2:$B$451,HLTV_Long!$A$2:$A$451,$A11&amp;"|B|"&amp;"ALL"&amp;"|wl"))/(COUNTIFS(HLTV_Long!$A$2:$A$451,$A11&amp;"|A|"&amp;"ALL"&amp;"|lw")+COUNTIFS(HLTV_Long!$A$2:$A$451,$A11&amp;"|B|"&amp;"ALL"&amp;"|wl")),"")))</f>
        <v>8.665</v>
      </c>
      <c r="AL11" s="17">
        <f>IF($W11="","",IFERROR((SUMIFS(HLTV_Long!$B$2:$B$451,HLTV_Long!$A$2:$A$451,$A11&amp;"|B|"&amp;$W11&amp;"|lw")+SUMIFS(HLTV_Long!$B$2:$B$451,HLTV_Long!$A$2:$A$451,$A11&amp;"|A|"&amp;$W11&amp;"|wl"))/(COUNTIFS(HLTV_Long!$A$2:$A$451,$A11&amp;"|B|"&amp;$W11&amp;"|lw")+COUNTIFS(HLTV_Long!$A$2:$A$451,$A11&amp;"|A|"&amp;$W11&amp;"|wl")),IFERROR((SUMIFS(HLTV_Long!$B$2:$B$451,HLTV_Long!$A$2:$A$451,$A11&amp;"|B|"&amp;"ALL"&amp;"|lw")+SUMIFS(HLTV_Long!$B$2:$B$451,HLTV_Long!$A$2:$A$451,$A11&amp;"|A|"&amp;"ALL"&amp;"|wl"))/(COUNTIFS(HLTV_Long!$A$2:$A$451,$A11&amp;"|B|"&amp;"ALL"&amp;"|lw")+COUNTIFS(HLTV_Long!$A$2:$A$451,$A11&amp;"|A|"&amp;"ALL"&amp;"|wl")),"")))</f>
        <v>10.125</v>
      </c>
      <c r="AM11" s="4">
        <f>IF($W11="","",COUNTIFS(HLTV_Long!$A$2:$A$451,$A11&amp;"|A|"&amp;$W11&amp;"|lw")+COUNTIFS(HLTV_Long!$A$2:$A$451,$A11&amp;"|B|"&amp;$W11&amp;"|wl")+COUNTIFS(HLTV_Long!$A$2:$A$451,$A11&amp;"|B|"&amp;$W11&amp;"|lw")+COUNTIFS(HLTV_Long!$A$2:$A$451,$A11&amp;"|A|"&amp;$W11&amp;"|wl"))</f>
        <v>4</v>
      </c>
      <c r="AN11" s="17">
        <f t="shared" si="1"/>
        <v>22.226516</v>
      </c>
      <c r="AO11" s="17">
        <f t="shared" si="2"/>
        <v>1.562034</v>
      </c>
      <c r="AP11" s="11">
        <f t="shared" si="3"/>
        <v>0.5351389754</v>
      </c>
      <c r="AQ11" s="17">
        <f>IF($X11="","",IFERROR((SUMIFS(HLTV_Long!$B$2:$B$451,HLTV_Long!$A$2:$A$451,$A11&amp;"|A|"&amp;$X11&amp;"|lw")+SUMIFS(HLTV_Long!$B$2:$B$451,HLTV_Long!$A$2:$A$451,$A11&amp;"|B|"&amp;$X11&amp;"|wl"))/(COUNTIFS(HLTV_Long!$A$2:$A$451,$A11&amp;"|A|"&amp;$X11&amp;"|lw")+COUNTIFS(HLTV_Long!$A$2:$A$451,$A11&amp;"|B|"&amp;$X11&amp;"|wl")),IFERROR((SUMIFS(HLTV_Long!$B$2:$B$451,HLTV_Long!$A$2:$A$451,$A11&amp;"|A|"&amp;"ALL"&amp;"|lw")+SUMIFS(HLTV_Long!$B$2:$B$451,HLTV_Long!$A$2:$A$451,$A11&amp;"|B|"&amp;"ALL"&amp;"|wl"))/(COUNTIFS(HLTV_Long!$A$2:$A$451,$A11&amp;"|A|"&amp;"ALL"&amp;"|lw")+COUNTIFS(HLTV_Long!$A$2:$A$451,$A11&amp;"|B|"&amp;"ALL"&amp;"|wl")),"")))</f>
        <v>7</v>
      </c>
      <c r="AR11" s="17">
        <f>IF($X11="","",IFERROR((SUMIFS(HLTV_Long!$B$2:$B$451,HLTV_Long!$A$2:$A$451,$A11&amp;"|B|"&amp;$X11&amp;"|lw")+SUMIFS(HLTV_Long!$B$2:$B$451,HLTV_Long!$A$2:$A$451,$A11&amp;"|A|"&amp;$X11&amp;"|wl"))/(COUNTIFS(HLTV_Long!$A$2:$A$451,$A11&amp;"|B|"&amp;$X11&amp;"|lw")+COUNTIFS(HLTV_Long!$A$2:$A$451,$A11&amp;"|A|"&amp;$X11&amp;"|wl")),IFERROR((SUMIFS(HLTV_Long!$B$2:$B$451,HLTV_Long!$A$2:$A$451,$A11&amp;"|B|"&amp;"ALL"&amp;"|lw")+SUMIFS(HLTV_Long!$B$2:$B$451,HLTV_Long!$A$2:$A$451,$A11&amp;"|A|"&amp;"ALL"&amp;"|wl"))/(COUNTIFS(HLTV_Long!$A$2:$A$451,$A11&amp;"|B|"&amp;"ALL"&amp;"|lw")+COUNTIFS(HLTV_Long!$A$2:$A$451,$A11&amp;"|A|"&amp;"ALL"&amp;"|wl")),"")))</f>
        <v>6</v>
      </c>
      <c r="AS11" s="4">
        <f>IF($X11="","",COUNTIFS(HLTV_Long!$A$2:$A$451,$A11&amp;"|A|"&amp;$X11&amp;"|lw")+COUNTIFS(HLTV_Long!$A$2:$A$451,$A11&amp;"|B|"&amp;$X11&amp;"|wl")+COUNTIFS(HLTV_Long!$A$2:$A$451,$A11&amp;"|B|"&amp;$X11&amp;"|lw")+COUNTIFS(HLTV_Long!$A$2:$A$451,$A11&amp;"|A|"&amp;$X11&amp;"|wl"))</f>
        <v>4</v>
      </c>
      <c r="AT11" s="17">
        <f t="shared" si="4"/>
        <v>19.6154</v>
      </c>
      <c r="AU11" s="17">
        <f t="shared" si="5"/>
        <v>1.0002</v>
      </c>
      <c r="AV11" s="11">
        <f t="shared" si="6"/>
        <v>0.5254952741</v>
      </c>
      <c r="AW11" s="17" t="str">
        <f>IF($Y11="","",IFERROR((SUMIFS(HLTV_Long!$B$2:$B$451,HLTV_Long!$A$2:$A$451,$A11&amp;"|A|"&amp;$Y11&amp;"|lw")+SUMIFS(HLTV_Long!$B$2:$B$451,HLTV_Long!$A$2:$A$451,$A11&amp;"|B|"&amp;$Y11&amp;"|wl"))/(COUNTIFS(HLTV_Long!$A$2:$A$451,$A11&amp;"|A|"&amp;$Y11&amp;"|lw")+COUNTIFS(HLTV_Long!$A$2:$A$451,$A11&amp;"|B|"&amp;$Y11&amp;"|wl")),IFERROR((SUMIFS(HLTV_Long!$B$2:$B$451,HLTV_Long!$A$2:$A$451,$A11&amp;"|A|"&amp;"ALL"&amp;"|lw")+SUMIFS(HLTV_Long!$B$2:$B$451,HLTV_Long!$A$2:$A$451,$A11&amp;"|B|"&amp;"ALL"&amp;"|wl"))/(COUNTIFS(HLTV_Long!$A$2:$A$451,$A11&amp;"|A|"&amp;"ALL"&amp;"|lw")+COUNTIFS(HLTV_Long!$A$2:$A$451,$A11&amp;"|B|"&amp;"ALL"&amp;"|wl")),"")))</f>
        <v/>
      </c>
      <c r="AX11" s="17" t="str">
        <f>IF($Y11="","",IFERROR((SUMIFS(HLTV_Long!$B$2:$B$451,HLTV_Long!$A$2:$A$451,$A11&amp;"|B|"&amp;$Y11&amp;"|lw")+SUMIFS(HLTV_Long!$B$2:$B$451,HLTV_Long!$A$2:$A$451,$A11&amp;"|A|"&amp;$Y11&amp;"|wl"))/(COUNTIFS(HLTV_Long!$A$2:$A$451,$A11&amp;"|B|"&amp;$Y11&amp;"|lw")+COUNTIFS(HLTV_Long!$A$2:$A$451,$A11&amp;"|A|"&amp;$Y11&amp;"|wl")),IFERROR((SUMIFS(HLTV_Long!$B$2:$B$451,HLTV_Long!$A$2:$A$451,$A11&amp;"|B|"&amp;"ALL"&amp;"|lw")+SUMIFS(HLTV_Long!$B$2:$B$451,HLTV_Long!$A$2:$A$451,$A11&amp;"|A|"&amp;"ALL"&amp;"|wl"))/(COUNTIFS(HLTV_Long!$A$2:$A$451,$A11&amp;"|B|"&amp;"ALL"&amp;"|lw")+COUNTIFS(HLTV_Long!$A$2:$A$451,$A11&amp;"|A|"&amp;"ALL"&amp;"|wl")),"")))</f>
        <v/>
      </c>
      <c r="AY11" s="4" t="str">
        <f>IF($Y11="","",COUNTIFS(HLTV_Long!$A$2:$A$451,$A11&amp;"|A|"&amp;$Y11&amp;"|lw")+COUNTIFS(HLTV_Long!$A$2:$A$451,$A11&amp;"|B|"&amp;$Y11&amp;"|wl")+COUNTIFS(HLTV_Long!$A$2:$A$451,$A11&amp;"|B|"&amp;$Y11&amp;"|lw")+COUNTIFS(HLTV_Long!$A$2:$A$451,$A11&amp;"|A|"&amp;$Y11&amp;"|wl"))</f>
        <v/>
      </c>
      <c r="AZ11" s="17" t="str">
        <f t="shared" si="7"/>
        <v/>
      </c>
      <c r="BA11" s="17" t="str">
        <f t="shared" si="8"/>
        <v/>
      </c>
      <c r="BB11" s="11" t="str">
        <f t="shared" si="9"/>
        <v/>
      </c>
    </row>
    <row r="12">
      <c r="A12" s="4" t="s">
        <v>1168</v>
      </c>
      <c r="B12" s="4" t="s">
        <v>86</v>
      </c>
      <c r="C12" s="4" t="s">
        <v>1169</v>
      </c>
      <c r="D12" s="4">
        <v>3.0</v>
      </c>
      <c r="E12" s="4" t="s">
        <v>839</v>
      </c>
      <c r="F12" s="4" t="s">
        <v>840</v>
      </c>
      <c r="G12" s="11">
        <v>0.6585365853658537</v>
      </c>
      <c r="H12" s="11">
        <v>0.3538732025870189</v>
      </c>
      <c r="I12" s="11">
        <v>0.1602444690960085</v>
      </c>
      <c r="J12" s="11">
        <v>0.4858823283169726</v>
      </c>
      <c r="K12" s="4" t="s">
        <v>1170</v>
      </c>
      <c r="L12" s="4" t="s">
        <v>1171</v>
      </c>
      <c r="M12" s="4" t="s">
        <v>1172</v>
      </c>
      <c r="N12" s="4" t="s">
        <v>101</v>
      </c>
      <c r="O12" s="12">
        <v>21.31255313119864</v>
      </c>
      <c r="P12" s="12">
        <v>21.42315369261477</v>
      </c>
      <c r="Q12" s="12">
        <v>21.37816455696202</v>
      </c>
      <c r="R12" s="11">
        <v>0.1463414634146341</v>
      </c>
      <c r="S12" s="12">
        <v>3.068572372769331</v>
      </c>
      <c r="T12" s="12"/>
      <c r="U12" s="12">
        <v>10.38095238095238</v>
      </c>
      <c r="V12" s="4">
        <v>358.0</v>
      </c>
      <c r="W12" s="13" t="s">
        <v>262</v>
      </c>
      <c r="X12" s="13" t="s">
        <v>250</v>
      </c>
      <c r="Y12" s="13" t="s">
        <v>276</v>
      </c>
      <c r="Z12" s="14">
        <v>21.31</v>
      </c>
      <c r="AA12" s="14">
        <v>21.42</v>
      </c>
      <c r="AB12" s="14">
        <v>21.38</v>
      </c>
      <c r="AC12" s="15">
        <v>0.4859</v>
      </c>
      <c r="AD12" s="4" t="s">
        <v>1173</v>
      </c>
      <c r="AE12" s="4" t="s">
        <v>1174</v>
      </c>
      <c r="AF12" s="11">
        <v>0.6281</v>
      </c>
      <c r="AG12" s="11">
        <v>0.56</v>
      </c>
      <c r="AH12" s="11">
        <v>0.6072</v>
      </c>
      <c r="AI12" s="11">
        <f t="array" ref="AI12">IFERROR(INDEX(HLTV_Teams!$N$2:$N$33,MATCH($A12&amp;"|A",HLTV_Teams!$A$2:$A$33,0)),"")</f>
        <v>0.5472674899</v>
      </c>
      <c r="AJ12" s="11">
        <f t="array" ref="AJ12">IFERROR(INDEX(HLTV_Teams!$N$2:$N$33,MATCH($A12&amp;"|B",HLTV_Teams!$A$2:$A$33,0)),"")</f>
        <v>0.4607087827</v>
      </c>
      <c r="AK12" s="17">
        <f>IF($W12="","",IFERROR((SUMIFS(HLTV_Long!$B$2:$B$451,HLTV_Long!$A$2:$A$451,$A12&amp;"|A|"&amp;$W12&amp;"|lw")+SUMIFS(HLTV_Long!$B$2:$B$451,HLTV_Long!$A$2:$A$451,$A12&amp;"|B|"&amp;$W12&amp;"|wl"))/(COUNTIFS(HLTV_Long!$A$2:$A$451,$A12&amp;"|A|"&amp;$W12&amp;"|lw")+COUNTIFS(HLTV_Long!$A$2:$A$451,$A12&amp;"|B|"&amp;$W12&amp;"|wl")),IFERROR((SUMIFS(HLTV_Long!$B$2:$B$451,HLTV_Long!$A$2:$A$451,$A12&amp;"|A|"&amp;"ALL"&amp;"|lw")+SUMIFS(HLTV_Long!$B$2:$B$451,HLTV_Long!$A$2:$A$451,$A12&amp;"|B|"&amp;"ALL"&amp;"|wl"))/(COUNTIFS(HLTV_Long!$A$2:$A$451,$A12&amp;"|A|"&amp;"ALL"&amp;"|lw")+COUNTIFS(HLTV_Long!$A$2:$A$451,$A12&amp;"|B|"&amp;"ALL"&amp;"|wl")),"")))</f>
        <v>7.075</v>
      </c>
      <c r="AL12" s="17">
        <f>IF($W12="","",IFERROR((SUMIFS(HLTV_Long!$B$2:$B$451,HLTV_Long!$A$2:$A$451,$A12&amp;"|B|"&amp;$W12&amp;"|lw")+SUMIFS(HLTV_Long!$B$2:$B$451,HLTV_Long!$A$2:$A$451,$A12&amp;"|A|"&amp;$W12&amp;"|wl"))/(COUNTIFS(HLTV_Long!$A$2:$A$451,$A12&amp;"|B|"&amp;$W12&amp;"|lw")+COUNTIFS(HLTV_Long!$A$2:$A$451,$A12&amp;"|A|"&amp;$W12&amp;"|wl")),IFERROR((SUMIFS(HLTV_Long!$B$2:$B$451,HLTV_Long!$A$2:$A$451,$A12&amp;"|B|"&amp;"ALL"&amp;"|lw")+SUMIFS(HLTV_Long!$B$2:$B$451,HLTV_Long!$A$2:$A$451,$A12&amp;"|A|"&amp;"ALL"&amp;"|wl"))/(COUNTIFS(HLTV_Long!$A$2:$A$451,$A12&amp;"|B|"&amp;"ALL"&amp;"|lw")+COUNTIFS(HLTV_Long!$A$2:$A$451,$A12&amp;"|A|"&amp;"ALL"&amp;"|wl")),"")))</f>
        <v>4.5</v>
      </c>
      <c r="AM12" s="4">
        <f>IF($W12="","",COUNTIFS(HLTV_Long!$A$2:$A$451,$A12&amp;"|A|"&amp;$W12&amp;"|lw")+COUNTIFS(HLTV_Long!$A$2:$A$451,$A12&amp;"|B|"&amp;$W12&amp;"|wl")+COUNTIFS(HLTV_Long!$A$2:$A$451,$A12&amp;"|B|"&amp;$W12&amp;"|lw")+COUNTIFS(HLTV_Long!$A$2:$A$451,$A12&amp;"|A|"&amp;$W12&amp;"|wl"))</f>
        <v>4</v>
      </c>
      <c r="AN12" s="17">
        <f t="shared" si="1"/>
        <v>19.1173575</v>
      </c>
      <c r="AO12" s="17">
        <f t="shared" si="2"/>
        <v>0.5603425</v>
      </c>
      <c r="AP12" s="11">
        <f t="shared" si="3"/>
        <v>0.5146553335</v>
      </c>
      <c r="AQ12" s="17">
        <f>IF($X12="","",IFERROR((SUMIFS(HLTV_Long!$B$2:$B$451,HLTV_Long!$A$2:$A$451,$A12&amp;"|A|"&amp;$X12&amp;"|lw")+SUMIFS(HLTV_Long!$B$2:$B$451,HLTV_Long!$A$2:$A$451,$A12&amp;"|B|"&amp;$X12&amp;"|wl"))/(COUNTIFS(HLTV_Long!$A$2:$A$451,$A12&amp;"|A|"&amp;$X12&amp;"|lw")+COUNTIFS(HLTV_Long!$A$2:$A$451,$A12&amp;"|B|"&amp;$X12&amp;"|wl")),IFERROR((SUMIFS(HLTV_Long!$B$2:$B$451,HLTV_Long!$A$2:$A$451,$A12&amp;"|A|"&amp;"ALL"&amp;"|lw")+SUMIFS(HLTV_Long!$B$2:$B$451,HLTV_Long!$A$2:$A$451,$A12&amp;"|B|"&amp;"ALL"&amp;"|wl"))/(COUNTIFS(HLTV_Long!$A$2:$A$451,$A12&amp;"|A|"&amp;"ALL"&amp;"|lw")+COUNTIFS(HLTV_Long!$A$2:$A$451,$A12&amp;"|B|"&amp;"ALL"&amp;"|wl")),"")))</f>
        <v>8.75</v>
      </c>
      <c r="AR12" s="17">
        <f>IF($X12="","",IFERROR((SUMIFS(HLTV_Long!$B$2:$B$451,HLTV_Long!$A$2:$A$451,$A12&amp;"|B|"&amp;$X12&amp;"|lw")+SUMIFS(HLTV_Long!$B$2:$B$451,HLTV_Long!$A$2:$A$451,$A12&amp;"|A|"&amp;$X12&amp;"|wl"))/(COUNTIFS(HLTV_Long!$A$2:$A$451,$A12&amp;"|B|"&amp;$X12&amp;"|lw")+COUNTIFS(HLTV_Long!$A$2:$A$451,$A12&amp;"|A|"&amp;$X12&amp;"|wl")),IFERROR((SUMIFS(HLTV_Long!$B$2:$B$451,HLTV_Long!$A$2:$A$451,$A12&amp;"|B|"&amp;"ALL"&amp;"|lw")+SUMIFS(HLTV_Long!$B$2:$B$451,HLTV_Long!$A$2:$A$451,$A12&amp;"|A|"&amp;"ALL"&amp;"|wl"))/(COUNTIFS(HLTV_Long!$A$2:$A$451,$A12&amp;"|B|"&amp;"ALL"&amp;"|lw")+COUNTIFS(HLTV_Long!$A$2:$A$451,$A12&amp;"|A|"&amp;"ALL"&amp;"|wl")),"")))</f>
        <v>7.3</v>
      </c>
      <c r="AS12" s="4">
        <f>IF($X12="","",COUNTIFS(HLTV_Long!$A$2:$A$451,$A12&amp;"|A|"&amp;$X12&amp;"|lw")+COUNTIFS(HLTV_Long!$A$2:$A$451,$A12&amp;"|B|"&amp;$X12&amp;"|wl")+COUNTIFS(HLTV_Long!$A$2:$A$451,$A12&amp;"|B|"&amp;$X12&amp;"|lw")+COUNTIFS(HLTV_Long!$A$2:$A$451,$A12&amp;"|A|"&amp;$X12&amp;"|wl"))</f>
        <v>4</v>
      </c>
      <c r="AT12" s="17">
        <f t="shared" si="4"/>
        <v>21.112</v>
      </c>
      <c r="AU12" s="17">
        <f t="shared" si="5"/>
        <v>-0.128</v>
      </c>
      <c r="AV12" s="11">
        <f t="shared" si="6"/>
        <v>0.4969685487</v>
      </c>
      <c r="AW12" s="17">
        <f>IF($Y12="","",IFERROR((SUMIFS(HLTV_Long!$B$2:$B$451,HLTV_Long!$A$2:$A$451,$A12&amp;"|A|"&amp;$Y12&amp;"|lw")+SUMIFS(HLTV_Long!$B$2:$B$451,HLTV_Long!$A$2:$A$451,$A12&amp;"|B|"&amp;$Y12&amp;"|wl"))/(COUNTIFS(HLTV_Long!$A$2:$A$451,$A12&amp;"|A|"&amp;$Y12&amp;"|lw")+COUNTIFS(HLTV_Long!$A$2:$A$451,$A12&amp;"|B|"&amp;$Y12&amp;"|wl")),IFERROR((SUMIFS(HLTV_Long!$B$2:$B$451,HLTV_Long!$A$2:$A$451,$A12&amp;"|A|"&amp;"ALL"&amp;"|lw")+SUMIFS(HLTV_Long!$B$2:$B$451,HLTV_Long!$A$2:$A$451,$A12&amp;"|B|"&amp;"ALL"&amp;"|wl"))/(COUNTIFS(HLTV_Long!$A$2:$A$451,$A12&amp;"|A|"&amp;"ALL"&amp;"|lw")+COUNTIFS(HLTV_Long!$A$2:$A$451,$A12&amp;"|B|"&amp;"ALL"&amp;"|wl")),"")))</f>
        <v>5.6</v>
      </c>
      <c r="AX12" s="17">
        <f>IF($Y12="","",IFERROR((SUMIFS(HLTV_Long!$B$2:$B$451,HLTV_Long!$A$2:$A$451,$A12&amp;"|B|"&amp;$Y12&amp;"|lw")+SUMIFS(HLTV_Long!$B$2:$B$451,HLTV_Long!$A$2:$A$451,$A12&amp;"|A|"&amp;$Y12&amp;"|wl"))/(COUNTIFS(HLTV_Long!$A$2:$A$451,$A12&amp;"|B|"&amp;$Y12&amp;"|lw")+COUNTIFS(HLTV_Long!$A$2:$A$451,$A12&amp;"|A|"&amp;$Y12&amp;"|wl")),IFERROR((SUMIFS(HLTV_Long!$B$2:$B$451,HLTV_Long!$A$2:$A$451,$A12&amp;"|B|"&amp;"ALL"&amp;"|lw")+SUMIFS(HLTV_Long!$B$2:$B$451,HLTV_Long!$A$2:$A$451,$A12&amp;"|A|"&amp;"ALL"&amp;"|wl"))/(COUNTIFS(HLTV_Long!$A$2:$A$451,$A12&amp;"|B|"&amp;"ALL"&amp;"|lw")+COUNTIFS(HLTV_Long!$A$2:$A$451,$A12&amp;"|A|"&amp;"ALL"&amp;"|wl")),"")))</f>
        <v>9.335</v>
      </c>
      <c r="AY12" s="4">
        <f>IF($Y12="","",COUNTIFS(HLTV_Long!$A$2:$A$451,$A12&amp;"|A|"&amp;$Y12&amp;"|lw")+COUNTIFS(HLTV_Long!$A$2:$A$451,$A12&amp;"|B|"&amp;$Y12&amp;"|wl")+COUNTIFS(HLTV_Long!$A$2:$A$451,$A12&amp;"|B|"&amp;$Y12&amp;"|lw")+COUNTIFS(HLTV_Long!$A$2:$A$451,$A12&amp;"|A|"&amp;$Y12&amp;"|wl"))</f>
        <v>4</v>
      </c>
      <c r="AZ12" s="17">
        <f t="shared" si="7"/>
        <v>20.067108</v>
      </c>
      <c r="BA12" s="17">
        <f t="shared" si="8"/>
        <v>3.053668</v>
      </c>
      <c r="BB12" s="11">
        <f t="shared" si="9"/>
        <v>0.5760863997</v>
      </c>
    </row>
    <row r="13">
      <c r="A13" s="4" t="s">
        <v>1178</v>
      </c>
      <c r="B13" s="4" t="s">
        <v>86</v>
      </c>
      <c r="C13" s="4" t="s">
        <v>1169</v>
      </c>
      <c r="D13" s="4">
        <v>3.0</v>
      </c>
      <c r="E13" s="4" t="s">
        <v>774</v>
      </c>
      <c r="F13" s="4" t="s">
        <v>775</v>
      </c>
      <c r="G13" s="11">
        <v>0.527027027027027</v>
      </c>
      <c r="H13" s="11">
        <v>0.266212970376301</v>
      </c>
      <c r="I13" s="11">
        <v>0.2241793434747798</v>
      </c>
      <c r="J13" s="11">
        <v>0.5096076861489192</v>
      </c>
      <c r="K13" s="4" t="s">
        <v>1179</v>
      </c>
      <c r="L13" s="4" t="s">
        <v>1180</v>
      </c>
      <c r="M13" s="4" t="s">
        <v>845</v>
      </c>
      <c r="N13" s="4" t="s">
        <v>101</v>
      </c>
      <c r="O13" s="12">
        <v>21.5</v>
      </c>
      <c r="P13" s="12">
        <v>21.5</v>
      </c>
      <c r="Q13" s="12">
        <v>21.5</v>
      </c>
      <c r="R13" s="11">
        <v>0.1594202898550725</v>
      </c>
      <c r="S13" s="12">
        <v>-0.7061186650185407</v>
      </c>
      <c r="T13" s="12"/>
      <c r="U13" s="12"/>
      <c r="V13" s="4">
        <v>228.0</v>
      </c>
      <c r="W13" s="13" t="s">
        <v>110</v>
      </c>
      <c r="X13" s="13" t="s">
        <v>270</v>
      </c>
      <c r="Y13" s="13" t="s">
        <v>250</v>
      </c>
      <c r="Z13" s="14">
        <v>21.5</v>
      </c>
      <c r="AA13" s="14">
        <v>21.5</v>
      </c>
      <c r="AB13" s="14">
        <v>21.5</v>
      </c>
      <c r="AC13" s="15">
        <v>0.5096</v>
      </c>
      <c r="AD13" s="4" t="s">
        <v>1181</v>
      </c>
      <c r="AE13" s="4" t="s">
        <v>1182</v>
      </c>
      <c r="AF13" s="11">
        <v>0.4811</v>
      </c>
      <c r="AG13" s="11">
        <v>0.56</v>
      </c>
      <c r="AH13" s="11">
        <v>0.5189</v>
      </c>
      <c r="AI13" s="11">
        <f t="array" ref="AI13">IFERROR(INDEX(HLTV_Teams!$N$2:$N$33,MATCH($A13&amp;"|A",HLTV_Teams!$A$2:$A$33,0)),"")</f>
        <v>0.5441008504</v>
      </c>
      <c r="AJ13" s="11">
        <f t="array" ref="AJ13">IFERROR(INDEX(HLTV_Teams!$N$2:$N$33,MATCH($A13&amp;"|B",HLTV_Teams!$A$2:$A$33,0)),"")</f>
        <v>0.5371959436</v>
      </c>
      <c r="AK13" s="17">
        <f>IF($W13="","",IFERROR((SUMIFS(HLTV_Long!$B$2:$B$451,HLTV_Long!$A$2:$A$451,$A13&amp;"|A|"&amp;$W13&amp;"|lw")+SUMIFS(HLTV_Long!$B$2:$B$451,HLTV_Long!$A$2:$A$451,$A13&amp;"|B|"&amp;$W13&amp;"|wl"))/(COUNTIFS(HLTV_Long!$A$2:$A$451,$A13&amp;"|A|"&amp;$W13&amp;"|lw")+COUNTIFS(HLTV_Long!$A$2:$A$451,$A13&amp;"|B|"&amp;$W13&amp;"|wl")),IFERROR((SUMIFS(HLTV_Long!$B$2:$B$451,HLTV_Long!$A$2:$A$451,$A13&amp;"|A|"&amp;"ALL"&amp;"|lw")+SUMIFS(HLTV_Long!$B$2:$B$451,HLTV_Long!$A$2:$A$451,$A13&amp;"|B|"&amp;"ALL"&amp;"|wl"))/(COUNTIFS(HLTV_Long!$A$2:$A$451,$A13&amp;"|A|"&amp;"ALL"&amp;"|lw")+COUNTIFS(HLTV_Long!$A$2:$A$451,$A13&amp;"|B|"&amp;"ALL"&amp;"|wl")),"")))</f>
        <v>8.445</v>
      </c>
      <c r="AL13" s="17">
        <f>IF($W13="","",IFERROR((SUMIFS(HLTV_Long!$B$2:$B$451,HLTV_Long!$A$2:$A$451,$A13&amp;"|B|"&amp;$W13&amp;"|lw")+SUMIFS(HLTV_Long!$B$2:$B$451,HLTV_Long!$A$2:$A$451,$A13&amp;"|A|"&amp;$W13&amp;"|wl"))/(COUNTIFS(HLTV_Long!$A$2:$A$451,$A13&amp;"|B|"&amp;$W13&amp;"|lw")+COUNTIFS(HLTV_Long!$A$2:$A$451,$A13&amp;"|A|"&amp;$W13&amp;"|wl")),IFERROR((SUMIFS(HLTV_Long!$B$2:$B$451,HLTV_Long!$A$2:$A$451,$A13&amp;"|B|"&amp;"ALL"&amp;"|lw")+SUMIFS(HLTV_Long!$B$2:$B$451,HLTV_Long!$A$2:$A$451,$A13&amp;"|A|"&amp;"ALL"&amp;"|wl"))/(COUNTIFS(HLTV_Long!$A$2:$A$451,$A13&amp;"|B|"&amp;"ALL"&amp;"|lw")+COUNTIFS(HLTV_Long!$A$2:$A$451,$A13&amp;"|A|"&amp;"ALL"&amp;"|wl")),"")))</f>
        <v>10.3</v>
      </c>
      <c r="AM13" s="4">
        <f>IF($W13="","",COUNTIFS(HLTV_Long!$A$2:$A$451,$A13&amp;"|A|"&amp;$W13&amp;"|lw")+COUNTIFS(HLTV_Long!$A$2:$A$451,$A13&amp;"|B|"&amp;$W13&amp;"|wl")+COUNTIFS(HLTV_Long!$A$2:$A$451,$A13&amp;"|B|"&amp;$W13&amp;"|lw")+COUNTIFS(HLTV_Long!$A$2:$A$451,$A13&amp;"|A|"&amp;$W13&amp;"|wl"))</f>
        <v>4</v>
      </c>
      <c r="AN13" s="17">
        <f t="shared" si="1"/>
        <v>22.4075595</v>
      </c>
      <c r="AO13" s="17">
        <f t="shared" si="2"/>
        <v>0.7903805</v>
      </c>
      <c r="AP13" s="11">
        <f t="shared" si="3"/>
        <v>0.51763647</v>
      </c>
      <c r="AQ13" s="17">
        <f>IF($X13="","",IFERROR((SUMIFS(HLTV_Long!$B$2:$B$451,HLTV_Long!$A$2:$A$451,$A13&amp;"|A|"&amp;$X13&amp;"|lw")+SUMIFS(HLTV_Long!$B$2:$B$451,HLTV_Long!$A$2:$A$451,$A13&amp;"|B|"&amp;$X13&amp;"|wl"))/(COUNTIFS(HLTV_Long!$A$2:$A$451,$A13&amp;"|A|"&amp;$X13&amp;"|lw")+COUNTIFS(HLTV_Long!$A$2:$A$451,$A13&amp;"|B|"&amp;$X13&amp;"|wl")),IFERROR((SUMIFS(HLTV_Long!$B$2:$B$451,HLTV_Long!$A$2:$A$451,$A13&amp;"|A|"&amp;"ALL"&amp;"|lw")+SUMIFS(HLTV_Long!$B$2:$B$451,HLTV_Long!$A$2:$A$451,$A13&amp;"|B|"&amp;"ALL"&amp;"|wl"))/(COUNTIFS(HLTV_Long!$A$2:$A$451,$A13&amp;"|A|"&amp;"ALL"&amp;"|lw")+COUNTIFS(HLTV_Long!$A$2:$A$451,$A13&amp;"|B|"&amp;"ALL"&amp;"|wl")),"")))</f>
        <v>11</v>
      </c>
      <c r="AR13" s="17">
        <f>IF($X13="","",IFERROR((SUMIFS(HLTV_Long!$B$2:$B$451,HLTV_Long!$A$2:$A$451,$A13&amp;"|B|"&amp;$X13&amp;"|lw")+SUMIFS(HLTV_Long!$B$2:$B$451,HLTV_Long!$A$2:$A$451,$A13&amp;"|A|"&amp;$X13&amp;"|wl"))/(COUNTIFS(HLTV_Long!$A$2:$A$451,$A13&amp;"|B|"&amp;$X13&amp;"|lw")+COUNTIFS(HLTV_Long!$A$2:$A$451,$A13&amp;"|A|"&amp;$X13&amp;"|wl")),IFERROR((SUMIFS(HLTV_Long!$B$2:$B$451,HLTV_Long!$A$2:$A$451,$A13&amp;"|B|"&amp;"ALL"&amp;"|lw")+SUMIFS(HLTV_Long!$B$2:$B$451,HLTV_Long!$A$2:$A$451,$A13&amp;"|A|"&amp;"ALL"&amp;"|wl"))/(COUNTIFS(HLTV_Long!$A$2:$A$451,$A13&amp;"|B|"&amp;"ALL"&amp;"|lw")+COUNTIFS(HLTV_Long!$A$2:$A$451,$A13&amp;"|A|"&amp;"ALL"&amp;"|wl")),"")))</f>
        <v>8.965</v>
      </c>
      <c r="AS13" s="4">
        <f>IF($X13="","",COUNTIFS(HLTV_Long!$A$2:$A$451,$A13&amp;"|A|"&amp;$X13&amp;"|lw")+COUNTIFS(HLTV_Long!$A$2:$A$451,$A13&amp;"|B|"&amp;$X13&amp;"|wl")+COUNTIFS(HLTV_Long!$A$2:$A$451,$A13&amp;"|B|"&amp;$X13&amp;"|lw")+COUNTIFS(HLTV_Long!$A$2:$A$451,$A13&amp;"|A|"&amp;$X13&amp;"|wl"))</f>
        <v>4</v>
      </c>
      <c r="AT13" s="17">
        <f t="shared" si="4"/>
        <v>23.1046</v>
      </c>
      <c r="AU13" s="17">
        <f t="shared" si="5"/>
        <v>-0.6554</v>
      </c>
      <c r="AV13" s="11">
        <f t="shared" si="6"/>
        <v>0.4858166772</v>
      </c>
      <c r="AW13" s="17">
        <f>IF($Y13="","",IFERROR((SUMIFS(HLTV_Long!$B$2:$B$451,HLTV_Long!$A$2:$A$451,$A13&amp;"|A|"&amp;$Y13&amp;"|lw")+SUMIFS(HLTV_Long!$B$2:$B$451,HLTV_Long!$A$2:$A$451,$A13&amp;"|B|"&amp;$Y13&amp;"|wl"))/(COUNTIFS(HLTV_Long!$A$2:$A$451,$A13&amp;"|A|"&amp;$Y13&amp;"|lw")+COUNTIFS(HLTV_Long!$A$2:$A$451,$A13&amp;"|B|"&amp;$Y13&amp;"|wl")),IFERROR((SUMIFS(HLTV_Long!$B$2:$B$451,HLTV_Long!$A$2:$A$451,$A13&amp;"|A|"&amp;"ALL"&amp;"|lw")+SUMIFS(HLTV_Long!$B$2:$B$451,HLTV_Long!$A$2:$A$451,$A13&amp;"|B|"&amp;"ALL"&amp;"|wl"))/(COUNTIFS(HLTV_Long!$A$2:$A$451,$A13&amp;"|A|"&amp;"ALL"&amp;"|lw")+COUNTIFS(HLTV_Long!$A$2:$A$451,$A13&amp;"|B|"&amp;"ALL"&amp;"|wl")),"")))</f>
        <v>8.875</v>
      </c>
      <c r="AX13" s="17">
        <f>IF($Y13="","",IFERROR((SUMIFS(HLTV_Long!$B$2:$B$451,HLTV_Long!$A$2:$A$451,$A13&amp;"|B|"&amp;$Y13&amp;"|lw")+SUMIFS(HLTV_Long!$B$2:$B$451,HLTV_Long!$A$2:$A$451,$A13&amp;"|A|"&amp;$Y13&amp;"|wl"))/(COUNTIFS(HLTV_Long!$A$2:$A$451,$A13&amp;"|B|"&amp;$Y13&amp;"|lw")+COUNTIFS(HLTV_Long!$A$2:$A$451,$A13&amp;"|A|"&amp;$Y13&amp;"|wl")),IFERROR((SUMIFS(HLTV_Long!$B$2:$B$451,HLTV_Long!$A$2:$A$451,$A13&amp;"|B|"&amp;"ALL"&amp;"|lw")+SUMIFS(HLTV_Long!$B$2:$B$451,HLTV_Long!$A$2:$A$451,$A13&amp;"|A|"&amp;"ALL"&amp;"|wl"))/(COUNTIFS(HLTV_Long!$A$2:$A$451,$A13&amp;"|B|"&amp;"ALL"&amp;"|lw")+COUNTIFS(HLTV_Long!$A$2:$A$451,$A13&amp;"|A|"&amp;"ALL"&amp;"|wl")),"")))</f>
        <v>10.565</v>
      </c>
      <c r="AY13" s="4">
        <f>IF($Y13="","",COUNTIFS(HLTV_Long!$A$2:$A$451,$A13&amp;"|A|"&amp;$Y13&amp;"|lw")+COUNTIFS(HLTV_Long!$A$2:$A$451,$A13&amp;"|B|"&amp;$Y13&amp;"|wl")+COUNTIFS(HLTV_Long!$A$2:$A$451,$A13&amp;"|B|"&amp;$Y13&amp;"|lw")+COUNTIFS(HLTV_Long!$A$2:$A$451,$A13&amp;"|A|"&amp;$Y13&amp;"|wl"))</f>
        <v>4</v>
      </c>
      <c r="AZ13" s="17">
        <f t="shared" si="7"/>
        <v>22.688059</v>
      </c>
      <c r="BA13" s="17">
        <f t="shared" si="8"/>
        <v>0.968984</v>
      </c>
      <c r="BB13" s="11">
        <f t="shared" si="9"/>
        <v>0.5213544931</v>
      </c>
    </row>
    <row r="14">
      <c r="A14" s="4" t="s">
        <v>1234</v>
      </c>
      <c r="B14" s="4" t="s">
        <v>86</v>
      </c>
      <c r="C14" s="4" t="s">
        <v>1169</v>
      </c>
      <c r="D14" s="4">
        <v>3.0</v>
      </c>
      <c r="E14" s="4" t="s">
        <v>893</v>
      </c>
      <c r="F14" s="4" t="s">
        <v>894</v>
      </c>
      <c r="G14" s="11">
        <v>0.5376344086021505</v>
      </c>
      <c r="H14" s="11">
        <v>0.2724607249401432</v>
      </c>
      <c r="I14" s="11">
        <v>0.2222705913985378</v>
      </c>
      <c r="J14" s="11">
        <v>0.505268683661319</v>
      </c>
      <c r="K14" s="4" t="s">
        <v>1237</v>
      </c>
      <c r="L14" s="4" t="s">
        <v>577</v>
      </c>
      <c r="M14" s="4" t="s">
        <v>1238</v>
      </c>
      <c r="N14" s="4" t="s">
        <v>101</v>
      </c>
      <c r="O14" s="12">
        <v>21.5</v>
      </c>
      <c r="P14" s="12">
        <v>21.5</v>
      </c>
      <c r="Q14" s="12">
        <v>21.5</v>
      </c>
      <c r="R14" s="11">
        <v>0.1594202898550725</v>
      </c>
      <c r="S14" s="12">
        <v>-0.4041700903861956</v>
      </c>
      <c r="T14" s="12"/>
      <c r="U14" s="12"/>
      <c r="V14" s="4">
        <v>228.0</v>
      </c>
      <c r="W14" s="13" t="s">
        <v>110</v>
      </c>
      <c r="X14" s="13" t="s">
        <v>262</v>
      </c>
      <c r="Y14" s="13" t="s">
        <v>250</v>
      </c>
      <c r="Z14" s="14">
        <v>21.5</v>
      </c>
      <c r="AA14" s="14">
        <v>21.5</v>
      </c>
      <c r="AB14" s="14">
        <v>21.5</v>
      </c>
      <c r="AC14" s="15">
        <v>0.5053</v>
      </c>
      <c r="AD14" s="4" t="s">
        <v>1241</v>
      </c>
      <c r="AE14" s="4" t="s">
        <v>1242</v>
      </c>
      <c r="AF14" s="11">
        <v>0.5</v>
      </c>
      <c r="AG14" s="11">
        <v>0.56</v>
      </c>
      <c r="AH14" s="11">
        <v>0.5189</v>
      </c>
      <c r="AI14" s="11">
        <f t="array" ref="AI14">IFERROR(INDEX(HLTV_Teams!$N$2:$N$33,MATCH($A14&amp;"|A",HLTV_Teams!$A$2:$A$33,0)),"")</f>
        <v>0.5030856051</v>
      </c>
      <c r="AJ14" s="11">
        <f t="array" ref="AJ14">IFERROR(INDEX(HLTV_Teams!$N$2:$N$33,MATCH($A14&amp;"|B",HLTV_Teams!$A$2:$A$33,0)),"")</f>
        <v>0.4999295969</v>
      </c>
      <c r="AK14" s="17">
        <f>IF($W14="","",IFERROR((SUMIFS(HLTV_Long!$B$2:$B$451,HLTV_Long!$A$2:$A$451,$A14&amp;"|A|"&amp;$W14&amp;"|lw")+SUMIFS(HLTV_Long!$B$2:$B$451,HLTV_Long!$A$2:$A$451,$A14&amp;"|B|"&amp;$W14&amp;"|wl"))/(COUNTIFS(HLTV_Long!$A$2:$A$451,$A14&amp;"|A|"&amp;$W14&amp;"|lw")+COUNTIFS(HLTV_Long!$A$2:$A$451,$A14&amp;"|B|"&amp;$W14&amp;"|wl")),IFERROR((SUMIFS(HLTV_Long!$B$2:$B$451,HLTV_Long!$A$2:$A$451,$A14&amp;"|A|"&amp;"ALL"&amp;"|lw")+SUMIFS(HLTV_Long!$B$2:$B$451,HLTV_Long!$A$2:$A$451,$A14&amp;"|B|"&amp;"ALL"&amp;"|wl"))/(COUNTIFS(HLTV_Long!$A$2:$A$451,$A14&amp;"|A|"&amp;"ALL"&amp;"|lw")+COUNTIFS(HLTV_Long!$A$2:$A$451,$A14&amp;"|B|"&amp;"ALL"&amp;"|wl")),"")))</f>
        <v>8.25</v>
      </c>
      <c r="AL14" s="17">
        <f>IF($W14="","",IFERROR((SUMIFS(HLTV_Long!$B$2:$B$451,HLTV_Long!$A$2:$A$451,$A14&amp;"|B|"&amp;$W14&amp;"|lw")+SUMIFS(HLTV_Long!$B$2:$B$451,HLTV_Long!$A$2:$A$451,$A14&amp;"|A|"&amp;$W14&amp;"|wl"))/(COUNTIFS(HLTV_Long!$A$2:$A$451,$A14&amp;"|B|"&amp;$W14&amp;"|lw")+COUNTIFS(HLTV_Long!$A$2:$A$451,$A14&amp;"|A|"&amp;$W14&amp;"|wl")),IFERROR((SUMIFS(HLTV_Long!$B$2:$B$451,HLTV_Long!$A$2:$A$451,$A14&amp;"|B|"&amp;"ALL"&amp;"|lw")+SUMIFS(HLTV_Long!$B$2:$B$451,HLTV_Long!$A$2:$A$451,$A14&amp;"|A|"&amp;"ALL"&amp;"|wl"))/(COUNTIFS(HLTV_Long!$A$2:$A$451,$A14&amp;"|B|"&amp;"ALL"&amp;"|lw")+COUNTIFS(HLTV_Long!$A$2:$A$451,$A14&amp;"|A|"&amp;"ALL"&amp;"|wl")),"")))</f>
        <v>8.375</v>
      </c>
      <c r="AM14" s="4">
        <f>IF($W14="","",COUNTIFS(HLTV_Long!$A$2:$A$451,$A14&amp;"|A|"&amp;$W14&amp;"|lw")+COUNTIFS(HLTV_Long!$A$2:$A$451,$A14&amp;"|B|"&amp;$W14&amp;"|wl")+COUNTIFS(HLTV_Long!$A$2:$A$451,$A14&amp;"|B|"&amp;$W14&amp;"|lw")+COUNTIFS(HLTV_Long!$A$2:$A$451,$A14&amp;"|A|"&amp;$W14&amp;"|wl"))</f>
        <v>4</v>
      </c>
      <c r="AN14" s="17">
        <f t="shared" si="1"/>
        <v>21.3125</v>
      </c>
      <c r="AO14" s="17">
        <f t="shared" si="2"/>
        <v>0.0625</v>
      </c>
      <c r="AP14" s="11">
        <f t="shared" si="3"/>
        <v>0.5014662757</v>
      </c>
      <c r="AQ14" s="17">
        <f>IF($X14="","",IFERROR((SUMIFS(HLTV_Long!$B$2:$B$451,HLTV_Long!$A$2:$A$451,$A14&amp;"|A|"&amp;$X14&amp;"|lw")+SUMIFS(HLTV_Long!$B$2:$B$451,HLTV_Long!$A$2:$A$451,$A14&amp;"|B|"&amp;$X14&amp;"|wl"))/(COUNTIFS(HLTV_Long!$A$2:$A$451,$A14&amp;"|A|"&amp;$X14&amp;"|lw")+COUNTIFS(HLTV_Long!$A$2:$A$451,$A14&amp;"|B|"&amp;$X14&amp;"|wl")),IFERROR((SUMIFS(HLTV_Long!$B$2:$B$451,HLTV_Long!$A$2:$A$451,$A14&amp;"|A|"&amp;"ALL"&amp;"|lw")+SUMIFS(HLTV_Long!$B$2:$B$451,HLTV_Long!$A$2:$A$451,$A14&amp;"|B|"&amp;"ALL"&amp;"|wl"))/(COUNTIFS(HLTV_Long!$A$2:$A$451,$A14&amp;"|A|"&amp;"ALL"&amp;"|lw")+COUNTIFS(HLTV_Long!$A$2:$A$451,$A14&amp;"|B|"&amp;"ALL"&amp;"|wl")),"")))</f>
        <v>8.045</v>
      </c>
      <c r="AR14" s="17">
        <f>IF($X14="","",IFERROR((SUMIFS(HLTV_Long!$B$2:$B$451,HLTV_Long!$A$2:$A$451,$A14&amp;"|B|"&amp;$X14&amp;"|lw")+SUMIFS(HLTV_Long!$B$2:$B$451,HLTV_Long!$A$2:$A$451,$A14&amp;"|A|"&amp;$X14&amp;"|wl"))/(COUNTIFS(HLTV_Long!$A$2:$A$451,$A14&amp;"|B|"&amp;$X14&amp;"|lw")+COUNTIFS(HLTV_Long!$A$2:$A$451,$A14&amp;"|A|"&amp;$X14&amp;"|wl")),IFERROR((SUMIFS(HLTV_Long!$B$2:$B$451,HLTV_Long!$A$2:$A$451,$A14&amp;"|B|"&amp;"ALL"&amp;"|lw")+SUMIFS(HLTV_Long!$B$2:$B$451,HLTV_Long!$A$2:$A$451,$A14&amp;"|A|"&amp;"ALL"&amp;"|wl"))/(COUNTIFS(HLTV_Long!$A$2:$A$451,$A14&amp;"|B|"&amp;"ALL"&amp;"|lw")+COUNTIFS(HLTV_Long!$A$2:$A$451,$A14&amp;"|A|"&amp;"ALL"&amp;"|wl")),"")))</f>
        <v>6.5</v>
      </c>
      <c r="AS14" s="4">
        <f>IF($X14="","",COUNTIFS(HLTV_Long!$A$2:$A$451,$A14&amp;"|A|"&amp;$X14&amp;"|lw")+COUNTIFS(HLTV_Long!$A$2:$A$451,$A14&amp;"|B|"&amp;$X14&amp;"|wl")+COUNTIFS(HLTV_Long!$A$2:$A$451,$A14&amp;"|B|"&amp;$X14&amp;"|lw")+COUNTIFS(HLTV_Long!$A$2:$A$451,$A14&amp;"|A|"&amp;$X14&amp;"|wl"))</f>
        <v>4</v>
      </c>
      <c r="AT14" s="17">
        <f t="shared" si="4"/>
        <v>20.3652</v>
      </c>
      <c r="AU14" s="17">
        <f t="shared" si="5"/>
        <v>-0.0852</v>
      </c>
      <c r="AV14" s="11">
        <f t="shared" si="6"/>
        <v>0.4979081963</v>
      </c>
      <c r="AW14" s="17">
        <f>IF($Y14="","",IFERROR((SUMIFS(HLTV_Long!$B$2:$B$451,HLTV_Long!$A$2:$A$451,$A14&amp;"|A|"&amp;$Y14&amp;"|lw")+SUMIFS(HLTV_Long!$B$2:$B$451,HLTV_Long!$A$2:$A$451,$A14&amp;"|B|"&amp;$Y14&amp;"|wl"))/(COUNTIFS(HLTV_Long!$A$2:$A$451,$A14&amp;"|A|"&amp;$Y14&amp;"|lw")+COUNTIFS(HLTV_Long!$A$2:$A$451,$A14&amp;"|B|"&amp;$Y14&amp;"|wl")),IFERROR((SUMIFS(HLTV_Long!$B$2:$B$451,HLTV_Long!$A$2:$A$451,$A14&amp;"|A|"&amp;"ALL"&amp;"|lw")+SUMIFS(HLTV_Long!$B$2:$B$451,HLTV_Long!$A$2:$A$451,$A14&amp;"|B|"&amp;"ALL"&amp;"|wl"))/(COUNTIFS(HLTV_Long!$A$2:$A$451,$A14&amp;"|A|"&amp;"ALL"&amp;"|lw")+COUNTIFS(HLTV_Long!$A$2:$A$451,$A14&amp;"|B|"&amp;"ALL"&amp;"|wl")),"")))</f>
        <v>10.125</v>
      </c>
      <c r="AX14" s="17">
        <f>IF($Y14="","",IFERROR((SUMIFS(HLTV_Long!$B$2:$B$451,HLTV_Long!$A$2:$A$451,$A14&amp;"|B|"&amp;$Y14&amp;"|lw")+SUMIFS(HLTV_Long!$B$2:$B$451,HLTV_Long!$A$2:$A$451,$A14&amp;"|A|"&amp;$Y14&amp;"|wl"))/(COUNTIFS(HLTV_Long!$A$2:$A$451,$A14&amp;"|B|"&amp;$Y14&amp;"|lw")+COUNTIFS(HLTV_Long!$A$2:$A$451,$A14&amp;"|A|"&amp;$Y14&amp;"|wl")),IFERROR((SUMIFS(HLTV_Long!$B$2:$B$451,HLTV_Long!$A$2:$A$451,$A14&amp;"|B|"&amp;"ALL"&amp;"|lw")+SUMIFS(HLTV_Long!$B$2:$B$451,HLTV_Long!$A$2:$A$451,$A14&amp;"|A|"&amp;"ALL"&amp;"|wl"))/(COUNTIFS(HLTV_Long!$A$2:$A$451,$A14&amp;"|B|"&amp;"ALL"&amp;"|lw")+COUNTIFS(HLTV_Long!$A$2:$A$451,$A14&amp;"|A|"&amp;"ALL"&amp;"|wl")),"")))</f>
        <v>7.665</v>
      </c>
      <c r="AY14" s="4">
        <f>IF($Y14="","",COUNTIFS(HLTV_Long!$A$2:$A$451,$A14&amp;"|A|"&amp;$Y14&amp;"|lw")+COUNTIFS(HLTV_Long!$A$2:$A$451,$A14&amp;"|B|"&amp;$Y14&amp;"|wl")+COUNTIFS(HLTV_Long!$A$2:$A$451,$A14&amp;"|B|"&amp;$Y14&amp;"|lw")+COUNTIFS(HLTV_Long!$A$2:$A$451,$A14&amp;"|A|"&amp;$Y14&amp;"|wl"))</f>
        <v>4</v>
      </c>
      <c r="AZ14" s="17">
        <f t="shared" si="7"/>
        <v>21.941494</v>
      </c>
      <c r="BA14" s="17">
        <f t="shared" si="8"/>
        <v>-1.074831</v>
      </c>
      <c r="BB14" s="11">
        <f t="shared" si="9"/>
        <v>0.4755068866</v>
      </c>
    </row>
    <row r="15">
      <c r="A15" s="4" t="s">
        <v>1462</v>
      </c>
      <c r="B15" s="4" t="s">
        <v>86</v>
      </c>
      <c r="C15" s="4" t="s">
        <v>1169</v>
      </c>
      <c r="D15" s="4">
        <v>1.0</v>
      </c>
      <c r="E15" s="4" t="s">
        <v>409</v>
      </c>
      <c r="F15" s="4" t="s">
        <v>521</v>
      </c>
      <c r="G15" s="11">
        <v>0.8536585365853657</v>
      </c>
      <c r="H15" s="11"/>
      <c r="I15" s="11"/>
      <c r="J15" s="11">
        <v>0.0</v>
      </c>
      <c r="K15" s="4" t="s">
        <v>1154</v>
      </c>
      <c r="L15" s="4" t="s">
        <v>1463</v>
      </c>
      <c r="M15" s="4" t="s">
        <v>1464</v>
      </c>
      <c r="N15" s="4" t="s">
        <v>1000</v>
      </c>
      <c r="O15" s="12"/>
      <c r="P15" s="12"/>
      <c r="Q15" s="12"/>
      <c r="R15" s="11"/>
      <c r="S15" s="12"/>
      <c r="T15" s="12"/>
      <c r="U15" s="12"/>
      <c r="V15" s="4">
        <v>2.0</v>
      </c>
      <c r="W15" s="13" t="s">
        <v>110</v>
      </c>
      <c r="X15" s="13" t="s">
        <v>262</v>
      </c>
      <c r="Y15" s="13"/>
      <c r="Z15" s="14">
        <f>Config!$B$7</f>
        <v>21.5</v>
      </c>
      <c r="AA15" s="14">
        <f>Config!$B$7</f>
        <v>21.5</v>
      </c>
      <c r="AB15" s="14"/>
      <c r="AC15" s="15">
        <v>0.0</v>
      </c>
      <c r="AD15" s="4" t="s">
        <v>858</v>
      </c>
      <c r="AE15" s="4" t="s">
        <v>1014</v>
      </c>
      <c r="AF15" s="11">
        <v>0.8537</v>
      </c>
      <c r="AG15" s="11">
        <v>0.8537</v>
      </c>
      <c r="AH15" s="11">
        <v>0.8537</v>
      </c>
      <c r="AI15" s="11">
        <f t="array" ref="AI15">IFERROR(INDEX(HLTV_Teams!$N$2:$N$33,MATCH($A15&amp;"|A",HLTV_Teams!$A$2:$A$33,0)),"")</f>
        <v>0.4862840163</v>
      </c>
      <c r="AJ15" s="11">
        <f t="array" ref="AJ15">IFERROR(INDEX(HLTV_Teams!$N$2:$N$33,MATCH($A15&amp;"|B",HLTV_Teams!$A$2:$A$33,0)),"")</f>
        <v>0.4592301535</v>
      </c>
      <c r="AK15" s="17">
        <f>IF($W15="","",IFERROR((SUMIFS(HLTV_Long!$B$2:$B$451,HLTV_Long!$A$2:$A$451,$A15&amp;"|A|"&amp;$W15&amp;"|lw")+SUMIFS(HLTV_Long!$B$2:$B$451,HLTV_Long!$A$2:$A$451,$A15&amp;"|B|"&amp;$W15&amp;"|wl"))/(COUNTIFS(HLTV_Long!$A$2:$A$451,$A15&amp;"|A|"&amp;$W15&amp;"|lw")+COUNTIFS(HLTV_Long!$A$2:$A$451,$A15&amp;"|B|"&amp;$W15&amp;"|wl")),IFERROR((SUMIFS(HLTV_Long!$B$2:$B$451,HLTV_Long!$A$2:$A$451,$A15&amp;"|A|"&amp;"ALL"&amp;"|lw")+SUMIFS(HLTV_Long!$B$2:$B$451,HLTV_Long!$A$2:$A$451,$A15&amp;"|B|"&amp;"ALL"&amp;"|wl"))/(COUNTIFS(HLTV_Long!$A$2:$A$451,$A15&amp;"|A|"&amp;"ALL"&amp;"|lw")+COUNTIFS(HLTV_Long!$A$2:$A$451,$A15&amp;"|B|"&amp;"ALL"&amp;"|wl")),"")))</f>
        <v>5.695</v>
      </c>
      <c r="AL15" s="17">
        <f>IF($W15="","",IFERROR((SUMIFS(HLTV_Long!$B$2:$B$451,HLTV_Long!$A$2:$A$451,$A15&amp;"|B|"&amp;$W15&amp;"|lw")+SUMIFS(HLTV_Long!$B$2:$B$451,HLTV_Long!$A$2:$A$451,$A15&amp;"|A|"&amp;$W15&amp;"|wl"))/(COUNTIFS(HLTV_Long!$A$2:$A$451,$A15&amp;"|B|"&amp;$W15&amp;"|lw")+COUNTIFS(HLTV_Long!$A$2:$A$451,$A15&amp;"|A|"&amp;$W15&amp;"|wl")),IFERROR((SUMIFS(HLTV_Long!$B$2:$B$451,HLTV_Long!$A$2:$A$451,$A15&amp;"|B|"&amp;"ALL"&amp;"|lw")+SUMIFS(HLTV_Long!$B$2:$B$451,HLTV_Long!$A$2:$A$451,$A15&amp;"|A|"&amp;"ALL"&amp;"|wl"))/(COUNTIFS(HLTV_Long!$A$2:$A$451,$A15&amp;"|B|"&amp;"ALL"&amp;"|lw")+COUNTIFS(HLTV_Long!$A$2:$A$451,$A15&amp;"|A|"&amp;"ALL"&amp;"|wl")),"")))</f>
        <v>9</v>
      </c>
      <c r="AM15" s="4">
        <f>IF($W15="","",COUNTIFS(HLTV_Long!$A$2:$A$451,$A15&amp;"|A|"&amp;$W15&amp;"|lw")+COUNTIFS(HLTV_Long!$A$2:$A$451,$A15&amp;"|B|"&amp;$W15&amp;"|wl")+COUNTIFS(HLTV_Long!$A$2:$A$451,$A15&amp;"|B|"&amp;$W15&amp;"|lw")+COUNTIFS(HLTV_Long!$A$2:$A$451,$A15&amp;"|A|"&amp;$W15&amp;"|wl"))</f>
        <v>4</v>
      </c>
      <c r="AN15" s="17">
        <f t="shared" si="1"/>
        <v>19.1785215</v>
      </c>
      <c r="AO15" s="17">
        <f t="shared" si="2"/>
        <v>5.6510785</v>
      </c>
      <c r="AP15" s="11">
        <f t="shared" si="3"/>
        <v>0.6473283146</v>
      </c>
      <c r="AQ15" s="17">
        <f>IF($X15="","",IFERROR((SUMIFS(HLTV_Long!$B$2:$B$451,HLTV_Long!$A$2:$A$451,$A15&amp;"|A|"&amp;$X15&amp;"|lw")+SUMIFS(HLTV_Long!$B$2:$B$451,HLTV_Long!$A$2:$A$451,$A15&amp;"|B|"&amp;$X15&amp;"|wl"))/(COUNTIFS(HLTV_Long!$A$2:$A$451,$A15&amp;"|A|"&amp;$X15&amp;"|lw")+COUNTIFS(HLTV_Long!$A$2:$A$451,$A15&amp;"|B|"&amp;$X15&amp;"|wl")),IFERROR((SUMIFS(HLTV_Long!$B$2:$B$451,HLTV_Long!$A$2:$A$451,$A15&amp;"|A|"&amp;"ALL"&amp;"|lw")+SUMIFS(HLTV_Long!$B$2:$B$451,HLTV_Long!$A$2:$A$451,$A15&amp;"|B|"&amp;"ALL"&amp;"|wl"))/(COUNTIFS(HLTV_Long!$A$2:$A$451,$A15&amp;"|A|"&amp;"ALL"&amp;"|lw")+COUNTIFS(HLTV_Long!$A$2:$A$451,$A15&amp;"|B|"&amp;"ALL"&amp;"|wl")),"")))</f>
        <v>10.625</v>
      </c>
      <c r="AR15" s="17">
        <f>IF($X15="","",IFERROR((SUMIFS(HLTV_Long!$B$2:$B$451,HLTV_Long!$A$2:$A$451,$A15&amp;"|B|"&amp;$X15&amp;"|lw")+SUMIFS(HLTV_Long!$B$2:$B$451,HLTV_Long!$A$2:$A$451,$A15&amp;"|A|"&amp;$X15&amp;"|wl"))/(COUNTIFS(HLTV_Long!$A$2:$A$451,$A15&amp;"|B|"&amp;$X15&amp;"|lw")+COUNTIFS(HLTV_Long!$A$2:$A$451,$A15&amp;"|A|"&amp;$X15&amp;"|wl")),IFERROR((SUMIFS(HLTV_Long!$B$2:$B$451,HLTV_Long!$A$2:$A$451,$A15&amp;"|B|"&amp;"ALL"&amp;"|lw")+SUMIFS(HLTV_Long!$B$2:$B$451,HLTV_Long!$A$2:$A$451,$A15&amp;"|A|"&amp;"ALL"&amp;"|wl"))/(COUNTIFS(HLTV_Long!$A$2:$A$451,$A15&amp;"|B|"&amp;"ALL"&amp;"|lw")+COUNTIFS(HLTV_Long!$A$2:$A$451,$A15&amp;"|A|"&amp;"ALL"&amp;"|wl")),"")))</f>
        <v>6.83</v>
      </c>
      <c r="AS15" s="4">
        <f>IF($X15="","",COUNTIFS(HLTV_Long!$A$2:$A$451,$A15&amp;"|A|"&amp;$X15&amp;"|lw")+COUNTIFS(HLTV_Long!$A$2:$A$451,$A15&amp;"|B|"&amp;$X15&amp;"|wl")+COUNTIFS(HLTV_Long!$A$2:$A$451,$A15&amp;"|B|"&amp;$X15&amp;"|lw")+COUNTIFS(HLTV_Long!$A$2:$A$451,$A15&amp;"|A|"&amp;$X15&amp;"|wl"))</f>
        <v>4</v>
      </c>
      <c r="AT15" s="17">
        <f t="shared" si="4"/>
        <v>23.0697915</v>
      </c>
      <c r="AU15" s="17">
        <f t="shared" si="5"/>
        <v>1.1248665</v>
      </c>
      <c r="AV15" s="11">
        <f t="shared" si="6"/>
        <v>0.5243796417</v>
      </c>
      <c r="AW15" s="17" t="str">
        <f>IF($Y15="","",IFERROR((SUMIFS(HLTV_Long!$B$2:$B$451,HLTV_Long!$A$2:$A$451,$A15&amp;"|A|"&amp;$Y15&amp;"|lw")+SUMIFS(HLTV_Long!$B$2:$B$451,HLTV_Long!$A$2:$A$451,$A15&amp;"|B|"&amp;$Y15&amp;"|wl"))/(COUNTIFS(HLTV_Long!$A$2:$A$451,$A15&amp;"|A|"&amp;$Y15&amp;"|lw")+COUNTIFS(HLTV_Long!$A$2:$A$451,$A15&amp;"|B|"&amp;$Y15&amp;"|wl")),IFERROR((SUMIFS(HLTV_Long!$B$2:$B$451,HLTV_Long!$A$2:$A$451,$A15&amp;"|A|"&amp;"ALL"&amp;"|lw")+SUMIFS(HLTV_Long!$B$2:$B$451,HLTV_Long!$A$2:$A$451,$A15&amp;"|B|"&amp;"ALL"&amp;"|wl"))/(COUNTIFS(HLTV_Long!$A$2:$A$451,$A15&amp;"|A|"&amp;"ALL"&amp;"|lw")+COUNTIFS(HLTV_Long!$A$2:$A$451,$A15&amp;"|B|"&amp;"ALL"&amp;"|wl")),"")))</f>
        <v/>
      </c>
      <c r="AX15" s="17" t="str">
        <f>IF($Y15="","",IFERROR((SUMIFS(HLTV_Long!$B$2:$B$451,HLTV_Long!$A$2:$A$451,$A15&amp;"|B|"&amp;$Y15&amp;"|lw")+SUMIFS(HLTV_Long!$B$2:$B$451,HLTV_Long!$A$2:$A$451,$A15&amp;"|A|"&amp;$Y15&amp;"|wl"))/(COUNTIFS(HLTV_Long!$A$2:$A$451,$A15&amp;"|B|"&amp;$Y15&amp;"|lw")+COUNTIFS(HLTV_Long!$A$2:$A$451,$A15&amp;"|A|"&amp;$Y15&amp;"|wl")),IFERROR((SUMIFS(HLTV_Long!$B$2:$B$451,HLTV_Long!$A$2:$A$451,$A15&amp;"|B|"&amp;"ALL"&amp;"|lw")+SUMIFS(HLTV_Long!$B$2:$B$451,HLTV_Long!$A$2:$A$451,$A15&amp;"|A|"&amp;"ALL"&amp;"|wl"))/(COUNTIFS(HLTV_Long!$A$2:$A$451,$A15&amp;"|B|"&amp;"ALL"&amp;"|lw")+COUNTIFS(HLTV_Long!$A$2:$A$451,$A15&amp;"|A|"&amp;"ALL"&amp;"|wl")),"")))</f>
        <v/>
      </c>
      <c r="AY15" s="4" t="str">
        <f>IF($Y15="","",COUNTIFS(HLTV_Long!$A$2:$A$451,$A15&amp;"|A|"&amp;$Y15&amp;"|lw")+COUNTIFS(HLTV_Long!$A$2:$A$451,$A15&amp;"|B|"&amp;$Y15&amp;"|wl")+COUNTIFS(HLTV_Long!$A$2:$A$451,$A15&amp;"|B|"&amp;$Y15&amp;"|lw")+COUNTIFS(HLTV_Long!$A$2:$A$451,$A15&amp;"|A|"&amp;$Y15&amp;"|wl"))</f>
        <v/>
      </c>
      <c r="AZ15" s="17" t="str">
        <f t="shared" si="7"/>
        <v/>
      </c>
      <c r="BA15" s="17" t="str">
        <f t="shared" si="8"/>
        <v/>
      </c>
      <c r="BB15" s="11" t="str">
        <f t="shared" si="9"/>
        <v/>
      </c>
    </row>
    <row r="16">
      <c r="A16" s="4" t="s">
        <v>1648</v>
      </c>
      <c r="B16" s="4" t="s">
        <v>86</v>
      </c>
      <c r="C16" s="4" t="s">
        <v>1649</v>
      </c>
      <c r="D16" s="4">
        <v>1.0</v>
      </c>
      <c r="E16" s="4" t="s">
        <v>408</v>
      </c>
      <c r="F16" s="4" t="s">
        <v>521</v>
      </c>
      <c r="G16" s="11">
        <v>0.8405797101449275</v>
      </c>
      <c r="H16" s="11"/>
      <c r="I16" s="11"/>
      <c r="J16" s="11">
        <v>0.0</v>
      </c>
      <c r="K16" s="4" t="s">
        <v>1237</v>
      </c>
      <c r="L16" s="4" t="s">
        <v>1650</v>
      </c>
      <c r="M16" s="4" t="s">
        <v>1651</v>
      </c>
      <c r="N16" s="4" t="s">
        <v>1000</v>
      </c>
      <c r="O16" s="12"/>
      <c r="P16" s="12"/>
      <c r="Q16" s="12"/>
      <c r="R16" s="11"/>
      <c r="S16" s="12"/>
      <c r="T16" s="12"/>
      <c r="U16" s="12"/>
      <c r="V16" s="4">
        <v>2.0</v>
      </c>
      <c r="W16" s="13" t="s">
        <v>110</v>
      </c>
      <c r="X16" s="13" t="s">
        <v>262</v>
      </c>
      <c r="Y16" s="13"/>
      <c r="Z16" s="14">
        <f>Config!$B$7</f>
        <v>21.5</v>
      </c>
      <c r="AA16" s="14">
        <f>Config!$B$7</f>
        <v>21.5</v>
      </c>
      <c r="AB16" s="14"/>
      <c r="AC16" s="15">
        <v>0.0</v>
      </c>
      <c r="AD16" s="4" t="s">
        <v>856</v>
      </c>
      <c r="AE16" s="4" t="s">
        <v>1014</v>
      </c>
      <c r="AF16" s="11">
        <v>0.8406</v>
      </c>
      <c r="AG16" s="11">
        <v>0.8406</v>
      </c>
      <c r="AH16" s="11">
        <v>0.8406</v>
      </c>
      <c r="AI16" s="11">
        <f t="array" ref="AI16">IFERROR(INDEX(HLTV_Teams!$N$2:$N$33,MATCH($A16&amp;"|A",HLTV_Teams!$A$2:$A$33,0)),"")</f>
        <v>0.5464339904</v>
      </c>
      <c r="AJ16" s="11">
        <f t="array" ref="AJ16">IFERROR(INDEX(HLTV_Teams!$N$2:$N$33,MATCH($A16&amp;"|B",HLTV_Teams!$A$2:$A$33,0)),"")</f>
        <v>0.4592301535</v>
      </c>
      <c r="AK16" s="17">
        <f>IF($W16="","",IFERROR((SUMIFS(HLTV_Long!$B$2:$B$451,HLTV_Long!$A$2:$A$451,$A16&amp;"|A|"&amp;$W16&amp;"|lw")+SUMIFS(HLTV_Long!$B$2:$B$451,HLTV_Long!$A$2:$A$451,$A16&amp;"|B|"&amp;$W16&amp;"|wl"))/(COUNTIFS(HLTV_Long!$A$2:$A$451,$A16&amp;"|A|"&amp;$W16&amp;"|lw")+COUNTIFS(HLTV_Long!$A$2:$A$451,$A16&amp;"|B|"&amp;$W16&amp;"|wl")),IFERROR((SUMIFS(HLTV_Long!$B$2:$B$451,HLTV_Long!$A$2:$A$451,$A16&amp;"|A|"&amp;"ALL"&amp;"|lw")+SUMIFS(HLTV_Long!$B$2:$B$451,HLTV_Long!$A$2:$A$451,$A16&amp;"|B|"&amp;"ALL"&amp;"|wl"))/(COUNTIFS(HLTV_Long!$A$2:$A$451,$A16&amp;"|A|"&amp;"ALL"&amp;"|lw")+COUNTIFS(HLTV_Long!$A$2:$A$451,$A16&amp;"|B|"&amp;"ALL"&amp;"|wl")),"")))</f>
        <v>5.895</v>
      </c>
      <c r="AL16" s="17">
        <f>IF($W16="","",IFERROR((SUMIFS(HLTV_Long!$B$2:$B$451,HLTV_Long!$A$2:$A$451,$A16&amp;"|B|"&amp;$W16&amp;"|lw")+SUMIFS(HLTV_Long!$B$2:$B$451,HLTV_Long!$A$2:$A$451,$A16&amp;"|A|"&amp;$W16&amp;"|wl"))/(COUNTIFS(HLTV_Long!$A$2:$A$451,$A16&amp;"|B|"&amp;$W16&amp;"|lw")+COUNTIFS(HLTV_Long!$A$2:$A$451,$A16&amp;"|A|"&amp;$W16&amp;"|wl")),IFERROR((SUMIFS(HLTV_Long!$B$2:$B$451,HLTV_Long!$A$2:$A$451,$A16&amp;"|B|"&amp;"ALL"&amp;"|lw")+SUMIFS(HLTV_Long!$B$2:$B$451,HLTV_Long!$A$2:$A$451,$A16&amp;"|A|"&amp;"ALL"&amp;"|wl"))/(COUNTIFS(HLTV_Long!$A$2:$A$451,$A16&amp;"|B|"&amp;"ALL"&amp;"|lw")+COUNTIFS(HLTV_Long!$A$2:$A$451,$A16&amp;"|A|"&amp;"ALL"&amp;"|wl")),"")))</f>
        <v>10.125</v>
      </c>
      <c r="AM16" s="4">
        <f>IF($W16="","",COUNTIFS(HLTV_Long!$A$2:$A$451,$A16&amp;"|A|"&amp;$W16&amp;"|lw")+COUNTIFS(HLTV_Long!$A$2:$A$451,$A16&amp;"|B|"&amp;$W16&amp;"|wl")+COUNTIFS(HLTV_Long!$A$2:$A$451,$A16&amp;"|B|"&amp;$W16&amp;"|lw")+COUNTIFS(HLTV_Long!$A$2:$A$451,$A16&amp;"|A|"&amp;$W16&amp;"|wl"))</f>
        <v>4</v>
      </c>
      <c r="AN16" s="17">
        <f t="shared" si="1"/>
        <v>19.569262</v>
      </c>
      <c r="AO16" s="17">
        <f t="shared" si="2"/>
        <v>5.514188</v>
      </c>
      <c r="AP16" s="11">
        <f t="shared" si="3"/>
        <v>0.6408890126</v>
      </c>
      <c r="AQ16" s="17">
        <f>IF($X16="","",IFERROR((SUMIFS(HLTV_Long!$B$2:$B$451,HLTV_Long!$A$2:$A$451,$A16&amp;"|A|"&amp;$X16&amp;"|lw")+SUMIFS(HLTV_Long!$B$2:$B$451,HLTV_Long!$A$2:$A$451,$A16&amp;"|B|"&amp;$X16&amp;"|wl"))/(COUNTIFS(HLTV_Long!$A$2:$A$451,$A16&amp;"|A|"&amp;$X16&amp;"|lw")+COUNTIFS(HLTV_Long!$A$2:$A$451,$A16&amp;"|B|"&amp;$X16&amp;"|wl")),IFERROR((SUMIFS(HLTV_Long!$B$2:$B$451,HLTV_Long!$A$2:$A$451,$A16&amp;"|A|"&amp;"ALL"&amp;"|lw")+SUMIFS(HLTV_Long!$B$2:$B$451,HLTV_Long!$A$2:$A$451,$A16&amp;"|B|"&amp;"ALL"&amp;"|wl"))/(COUNTIFS(HLTV_Long!$A$2:$A$451,$A16&amp;"|A|"&amp;"ALL"&amp;"|lw")+COUNTIFS(HLTV_Long!$A$2:$A$451,$A16&amp;"|B|"&amp;"ALL"&amp;"|wl")),"")))</f>
        <v>10</v>
      </c>
      <c r="AR16" s="17">
        <f>IF($X16="","",IFERROR((SUMIFS(HLTV_Long!$B$2:$B$451,HLTV_Long!$A$2:$A$451,$A16&amp;"|B|"&amp;$X16&amp;"|lw")+SUMIFS(HLTV_Long!$B$2:$B$451,HLTV_Long!$A$2:$A$451,$A16&amp;"|A|"&amp;$X16&amp;"|wl"))/(COUNTIFS(HLTV_Long!$A$2:$A$451,$A16&amp;"|B|"&amp;$X16&amp;"|lw")+COUNTIFS(HLTV_Long!$A$2:$A$451,$A16&amp;"|A|"&amp;$X16&amp;"|wl")),IFERROR((SUMIFS(HLTV_Long!$B$2:$B$451,HLTV_Long!$A$2:$A$451,$A16&amp;"|B|"&amp;"ALL"&amp;"|lw")+SUMIFS(HLTV_Long!$B$2:$B$451,HLTV_Long!$A$2:$A$451,$A16&amp;"|A|"&amp;"ALL"&amp;"|wl"))/(COUNTIFS(HLTV_Long!$A$2:$A$451,$A16&amp;"|B|"&amp;"ALL"&amp;"|lw")+COUNTIFS(HLTV_Long!$A$2:$A$451,$A16&amp;"|A|"&amp;"ALL"&amp;"|wl")),"")))</f>
        <v>7.915</v>
      </c>
      <c r="AS16" s="4">
        <f>IF($X16="","",COUNTIFS(HLTV_Long!$A$2:$A$451,$A16&amp;"|A|"&amp;$X16&amp;"|lw")+COUNTIFS(HLTV_Long!$A$2:$A$451,$A16&amp;"|B|"&amp;$X16&amp;"|wl")+COUNTIFS(HLTV_Long!$A$2:$A$451,$A16&amp;"|B|"&amp;$X16&amp;"|lw")+COUNTIFS(HLTV_Long!$A$2:$A$451,$A16&amp;"|A|"&amp;$X16&amp;"|wl"))</f>
        <v>4</v>
      </c>
      <c r="AT16" s="17">
        <f t="shared" si="4"/>
        <v>22.667651</v>
      </c>
      <c r="AU16" s="17">
        <f t="shared" si="5"/>
        <v>1.711251</v>
      </c>
      <c r="AV16" s="11">
        <f t="shared" si="6"/>
        <v>0.5377465446</v>
      </c>
      <c r="AW16" s="17" t="str">
        <f>IF($Y16="","",IFERROR((SUMIFS(HLTV_Long!$B$2:$B$451,HLTV_Long!$A$2:$A$451,$A16&amp;"|A|"&amp;$Y16&amp;"|lw")+SUMIFS(HLTV_Long!$B$2:$B$451,HLTV_Long!$A$2:$A$451,$A16&amp;"|B|"&amp;$Y16&amp;"|wl"))/(COUNTIFS(HLTV_Long!$A$2:$A$451,$A16&amp;"|A|"&amp;$Y16&amp;"|lw")+COUNTIFS(HLTV_Long!$A$2:$A$451,$A16&amp;"|B|"&amp;$Y16&amp;"|wl")),IFERROR((SUMIFS(HLTV_Long!$B$2:$B$451,HLTV_Long!$A$2:$A$451,$A16&amp;"|A|"&amp;"ALL"&amp;"|lw")+SUMIFS(HLTV_Long!$B$2:$B$451,HLTV_Long!$A$2:$A$451,$A16&amp;"|B|"&amp;"ALL"&amp;"|wl"))/(COUNTIFS(HLTV_Long!$A$2:$A$451,$A16&amp;"|A|"&amp;"ALL"&amp;"|lw")+COUNTIFS(HLTV_Long!$A$2:$A$451,$A16&amp;"|B|"&amp;"ALL"&amp;"|wl")),"")))</f>
        <v/>
      </c>
      <c r="AX16" s="17" t="str">
        <f>IF($Y16="","",IFERROR((SUMIFS(HLTV_Long!$B$2:$B$451,HLTV_Long!$A$2:$A$451,$A16&amp;"|B|"&amp;$Y16&amp;"|lw")+SUMIFS(HLTV_Long!$B$2:$B$451,HLTV_Long!$A$2:$A$451,$A16&amp;"|A|"&amp;$Y16&amp;"|wl"))/(COUNTIFS(HLTV_Long!$A$2:$A$451,$A16&amp;"|B|"&amp;$Y16&amp;"|lw")+COUNTIFS(HLTV_Long!$A$2:$A$451,$A16&amp;"|A|"&amp;$Y16&amp;"|wl")),IFERROR((SUMIFS(HLTV_Long!$B$2:$B$451,HLTV_Long!$A$2:$A$451,$A16&amp;"|B|"&amp;"ALL"&amp;"|lw")+SUMIFS(HLTV_Long!$B$2:$B$451,HLTV_Long!$A$2:$A$451,$A16&amp;"|A|"&amp;"ALL"&amp;"|wl"))/(COUNTIFS(HLTV_Long!$A$2:$A$451,$A16&amp;"|B|"&amp;"ALL"&amp;"|lw")+COUNTIFS(HLTV_Long!$A$2:$A$451,$A16&amp;"|A|"&amp;"ALL"&amp;"|wl")),"")))</f>
        <v/>
      </c>
      <c r="AY16" s="4" t="str">
        <f>IF($Y16="","",COUNTIFS(HLTV_Long!$A$2:$A$451,$A16&amp;"|A|"&amp;$Y16&amp;"|lw")+COUNTIFS(HLTV_Long!$A$2:$A$451,$A16&amp;"|B|"&amp;$Y16&amp;"|wl")+COUNTIFS(HLTV_Long!$A$2:$A$451,$A16&amp;"|B|"&amp;$Y16&amp;"|lw")+COUNTIFS(HLTV_Long!$A$2:$A$451,$A16&amp;"|A|"&amp;$Y16&amp;"|wl"))</f>
        <v/>
      </c>
      <c r="AZ16" s="17" t="str">
        <f t="shared" si="7"/>
        <v/>
      </c>
      <c r="BA16" s="17" t="str">
        <f t="shared" si="8"/>
        <v/>
      </c>
      <c r="BB16" s="11" t="str">
        <f t="shared" si="9"/>
        <v/>
      </c>
    </row>
    <row r="17">
      <c r="A17" s="4" t="s">
        <v>364</v>
      </c>
      <c r="B17" s="4" t="s">
        <v>86</v>
      </c>
      <c r="C17" s="4" t="s">
        <v>1668</v>
      </c>
      <c r="D17" s="4">
        <v>3.0</v>
      </c>
      <c r="E17" s="4" t="s">
        <v>486</v>
      </c>
      <c r="F17" s="4" t="s">
        <v>948</v>
      </c>
      <c r="G17" s="11">
        <v>0.6585365853658537</v>
      </c>
      <c r="H17" s="11">
        <v>0.3655569798516878</v>
      </c>
      <c r="I17" s="11">
        <v>0.162086585405937</v>
      </c>
      <c r="J17" s="11">
        <v>0.4723564347423751</v>
      </c>
      <c r="K17" s="4" t="s">
        <v>1669</v>
      </c>
      <c r="L17" s="4" t="s">
        <v>1670</v>
      </c>
      <c r="M17" s="4" t="s">
        <v>1671</v>
      </c>
      <c r="N17" s="4" t="s">
        <v>101</v>
      </c>
      <c r="O17" s="12">
        <v>21.42315369261477</v>
      </c>
      <c r="P17" s="12">
        <v>21.22228360957643</v>
      </c>
      <c r="Q17" s="12">
        <v>21.37816455696202</v>
      </c>
      <c r="R17" s="11">
        <v>0.1594202898550725</v>
      </c>
      <c r="S17" s="12">
        <v>2.099844599844598</v>
      </c>
      <c r="T17" s="12"/>
      <c r="U17" s="12">
        <v>11.28587830080367</v>
      </c>
      <c r="V17" s="4">
        <v>224.0</v>
      </c>
      <c r="W17" s="13" t="s">
        <v>276</v>
      </c>
      <c r="X17" s="13" t="s">
        <v>262</v>
      </c>
      <c r="Y17" s="13" t="s">
        <v>250</v>
      </c>
      <c r="Z17" s="14">
        <v>21.42</v>
      </c>
      <c r="AA17" s="14">
        <v>21.22</v>
      </c>
      <c r="AB17" s="14">
        <v>21.38</v>
      </c>
      <c r="AC17" s="15">
        <v>0.4724</v>
      </c>
      <c r="AD17" s="4" t="s">
        <v>368</v>
      </c>
      <c r="AE17" s="4" t="s">
        <v>1673</v>
      </c>
      <c r="AF17" s="11">
        <v>0.5703</v>
      </c>
      <c r="AG17" s="11">
        <v>0.6553</v>
      </c>
      <c r="AH17" s="11">
        <v>0.6072</v>
      </c>
      <c r="AI17" s="11">
        <f t="array" ref="AI17">IFERROR(INDEX(HLTV_Teams!$N$2:$N$33,MATCH($A17&amp;"|A",HLTV_Teams!$A$2:$A$33,0)),"")</f>
        <v>0.5354899307</v>
      </c>
      <c r="AJ17" s="11">
        <f t="array" ref="AJ17">IFERROR(INDEX(HLTV_Teams!$N$2:$N$33,MATCH($A17&amp;"|B",HLTV_Teams!$A$2:$A$33,0)),"")</f>
        <v>0.5055959972</v>
      </c>
      <c r="AK17" s="17">
        <f>IF($W17="","",IFERROR((SUMIFS(HLTV_Long!$B$2:$B$451,HLTV_Long!$A$2:$A$451,$A17&amp;"|A|"&amp;$W17&amp;"|lw")+SUMIFS(HLTV_Long!$B$2:$B$451,HLTV_Long!$A$2:$A$451,$A17&amp;"|B|"&amp;$W17&amp;"|wl"))/(COUNTIFS(HLTV_Long!$A$2:$A$451,$A17&amp;"|A|"&amp;$W17&amp;"|lw")+COUNTIFS(HLTV_Long!$A$2:$A$451,$A17&amp;"|B|"&amp;$W17&amp;"|wl")),IFERROR((SUMIFS(HLTV_Long!$B$2:$B$451,HLTV_Long!$A$2:$A$451,$A17&amp;"|A|"&amp;"ALL"&amp;"|lw")+SUMIFS(HLTV_Long!$B$2:$B$451,HLTV_Long!$A$2:$A$451,$A17&amp;"|B|"&amp;"ALL"&amp;"|wl"))/(COUNTIFS(HLTV_Long!$A$2:$A$451,$A17&amp;"|A|"&amp;"ALL"&amp;"|lw")+COUNTIFS(HLTV_Long!$A$2:$A$451,$A17&amp;"|B|"&amp;"ALL"&amp;"|wl")),"")))</f>
        <v>5.385</v>
      </c>
      <c r="AL17" s="17">
        <f>IF($W17="","",IFERROR((SUMIFS(HLTV_Long!$B$2:$B$451,HLTV_Long!$A$2:$A$451,$A17&amp;"|B|"&amp;$W17&amp;"|lw")+SUMIFS(HLTV_Long!$B$2:$B$451,HLTV_Long!$A$2:$A$451,$A17&amp;"|A|"&amp;$W17&amp;"|wl"))/(COUNTIFS(HLTV_Long!$A$2:$A$451,$A17&amp;"|B|"&amp;$W17&amp;"|lw")+COUNTIFS(HLTV_Long!$A$2:$A$451,$A17&amp;"|A|"&amp;$W17&amp;"|wl")),IFERROR((SUMIFS(HLTV_Long!$B$2:$B$451,HLTV_Long!$A$2:$A$451,$A17&amp;"|B|"&amp;"ALL"&amp;"|lw")+SUMIFS(HLTV_Long!$B$2:$B$451,HLTV_Long!$A$2:$A$451,$A17&amp;"|A|"&amp;"ALL"&amp;"|wl"))/(COUNTIFS(HLTV_Long!$A$2:$A$451,$A17&amp;"|B|"&amp;"ALL"&amp;"|lw")+COUNTIFS(HLTV_Long!$A$2:$A$451,$A17&amp;"|A|"&amp;"ALL"&amp;"|wl")),"")))</f>
        <v>6.75</v>
      </c>
      <c r="AM17" s="4">
        <f>IF($W17="","",COUNTIFS(HLTV_Long!$A$2:$A$451,$A17&amp;"|A|"&amp;$W17&amp;"|lw")+COUNTIFS(HLTV_Long!$A$2:$A$451,$A17&amp;"|B|"&amp;$W17&amp;"|wl")+COUNTIFS(HLTV_Long!$A$2:$A$451,$A17&amp;"|B|"&amp;$W17&amp;"|lw")+COUNTIFS(HLTV_Long!$A$2:$A$451,$A17&amp;"|A|"&amp;$W17&amp;"|wl"))</f>
        <v>4</v>
      </c>
      <c r="AN17" s="17">
        <f t="shared" si="1"/>
        <v>18.9715405</v>
      </c>
      <c r="AO17" s="17">
        <f t="shared" si="2"/>
        <v>1.6572095</v>
      </c>
      <c r="AP17" s="11">
        <f t="shared" si="3"/>
        <v>0.5436761975</v>
      </c>
      <c r="AQ17" s="17">
        <f>IF($X17="","",IFERROR((SUMIFS(HLTV_Long!$B$2:$B$451,HLTV_Long!$A$2:$A$451,$A17&amp;"|A|"&amp;$X17&amp;"|lw")+SUMIFS(HLTV_Long!$B$2:$B$451,HLTV_Long!$A$2:$A$451,$A17&amp;"|B|"&amp;$X17&amp;"|wl"))/(COUNTIFS(HLTV_Long!$A$2:$A$451,$A17&amp;"|A|"&amp;$X17&amp;"|lw")+COUNTIFS(HLTV_Long!$A$2:$A$451,$A17&amp;"|B|"&amp;$X17&amp;"|wl")),IFERROR((SUMIFS(HLTV_Long!$B$2:$B$451,HLTV_Long!$A$2:$A$451,$A17&amp;"|A|"&amp;"ALL"&amp;"|lw")+SUMIFS(HLTV_Long!$B$2:$B$451,HLTV_Long!$A$2:$A$451,$A17&amp;"|B|"&amp;"ALL"&amp;"|wl"))/(COUNTIFS(HLTV_Long!$A$2:$A$451,$A17&amp;"|A|"&amp;"ALL"&amp;"|lw")+COUNTIFS(HLTV_Long!$A$2:$A$451,$A17&amp;"|B|"&amp;"ALL"&amp;"|wl")),"")))</f>
        <v>8.085</v>
      </c>
      <c r="AR17" s="17">
        <f>IF($X17="","",IFERROR((SUMIFS(HLTV_Long!$B$2:$B$451,HLTV_Long!$A$2:$A$451,$A17&amp;"|B|"&amp;$X17&amp;"|lw")+SUMIFS(HLTV_Long!$B$2:$B$451,HLTV_Long!$A$2:$A$451,$A17&amp;"|A|"&amp;$X17&amp;"|wl"))/(COUNTIFS(HLTV_Long!$A$2:$A$451,$A17&amp;"|B|"&amp;$X17&amp;"|lw")+COUNTIFS(HLTV_Long!$A$2:$A$451,$A17&amp;"|A|"&amp;$X17&amp;"|wl")),IFERROR((SUMIFS(HLTV_Long!$B$2:$B$451,HLTV_Long!$A$2:$A$451,$A17&amp;"|B|"&amp;"ALL"&amp;"|lw")+SUMIFS(HLTV_Long!$B$2:$B$451,HLTV_Long!$A$2:$A$451,$A17&amp;"|A|"&amp;"ALL"&amp;"|wl"))/(COUNTIFS(HLTV_Long!$A$2:$A$451,$A17&amp;"|B|"&amp;"ALL"&amp;"|lw")+COUNTIFS(HLTV_Long!$A$2:$A$451,$A17&amp;"|A|"&amp;"ALL"&amp;"|wl")),"")))</f>
        <v>7.985</v>
      </c>
      <c r="AS17" s="4">
        <f>IF($X17="","",COUNTIFS(HLTV_Long!$A$2:$A$451,$A17&amp;"|A|"&amp;$X17&amp;"|lw")+COUNTIFS(HLTV_Long!$A$2:$A$451,$A17&amp;"|B|"&amp;$X17&amp;"|wl")+COUNTIFS(HLTV_Long!$A$2:$A$451,$A17&amp;"|B|"&amp;$X17&amp;"|lw")+COUNTIFS(HLTV_Long!$A$2:$A$451,$A17&amp;"|A|"&amp;$X17&amp;"|wl"))</f>
        <v>4</v>
      </c>
      <c r="AT17" s="17">
        <f t="shared" si="4"/>
        <v>21.05053</v>
      </c>
      <c r="AU17" s="17">
        <f t="shared" si="5"/>
        <v>1.492129</v>
      </c>
      <c r="AV17" s="11">
        <f t="shared" si="6"/>
        <v>0.5354416017</v>
      </c>
      <c r="AW17" s="17">
        <f>IF($Y17="","",IFERROR((SUMIFS(HLTV_Long!$B$2:$B$451,HLTV_Long!$A$2:$A$451,$A17&amp;"|A|"&amp;$Y17&amp;"|lw")+SUMIFS(HLTV_Long!$B$2:$B$451,HLTV_Long!$A$2:$A$451,$A17&amp;"|B|"&amp;$Y17&amp;"|wl"))/(COUNTIFS(HLTV_Long!$A$2:$A$451,$A17&amp;"|A|"&amp;$Y17&amp;"|lw")+COUNTIFS(HLTV_Long!$A$2:$A$451,$A17&amp;"|B|"&amp;$Y17&amp;"|wl")),IFERROR((SUMIFS(HLTV_Long!$B$2:$B$451,HLTV_Long!$A$2:$A$451,$A17&amp;"|A|"&amp;"ALL"&amp;"|lw")+SUMIFS(HLTV_Long!$B$2:$B$451,HLTV_Long!$A$2:$A$451,$A17&amp;"|B|"&amp;"ALL"&amp;"|wl"))/(COUNTIFS(HLTV_Long!$A$2:$A$451,$A17&amp;"|A|"&amp;"ALL"&amp;"|lw")+COUNTIFS(HLTV_Long!$A$2:$A$451,$A17&amp;"|B|"&amp;"ALL"&amp;"|wl")),"")))</f>
        <v>6.52</v>
      </c>
      <c r="AX17" s="17">
        <f>IF($Y17="","",IFERROR((SUMIFS(HLTV_Long!$B$2:$B$451,HLTV_Long!$A$2:$A$451,$A17&amp;"|B|"&amp;$Y17&amp;"|lw")+SUMIFS(HLTV_Long!$B$2:$B$451,HLTV_Long!$A$2:$A$451,$A17&amp;"|A|"&amp;$Y17&amp;"|wl"))/(COUNTIFS(HLTV_Long!$A$2:$A$451,$A17&amp;"|B|"&amp;$Y17&amp;"|lw")+COUNTIFS(HLTV_Long!$A$2:$A$451,$A17&amp;"|A|"&amp;$Y17&amp;"|wl")),IFERROR((SUMIFS(HLTV_Long!$B$2:$B$451,HLTV_Long!$A$2:$A$451,$A17&amp;"|B|"&amp;"ALL"&amp;"|lw")+SUMIFS(HLTV_Long!$B$2:$B$451,HLTV_Long!$A$2:$A$451,$A17&amp;"|A|"&amp;"ALL"&amp;"|wl"))/(COUNTIFS(HLTV_Long!$A$2:$A$451,$A17&amp;"|B|"&amp;"ALL"&amp;"|lw")+COUNTIFS(HLTV_Long!$A$2:$A$451,$A17&amp;"|A|"&amp;"ALL"&amp;"|wl")),"")))</f>
        <v>8.125</v>
      </c>
      <c r="AY17" s="4">
        <f>IF($Y17="","",COUNTIFS(HLTV_Long!$A$2:$A$451,$A17&amp;"|A|"&amp;$Y17&amp;"|lw")+COUNTIFS(HLTV_Long!$A$2:$A$451,$A17&amp;"|B|"&amp;$Y17&amp;"|wl")+COUNTIFS(HLTV_Long!$A$2:$A$451,$A17&amp;"|B|"&amp;$Y17&amp;"|lw")+COUNTIFS(HLTV_Long!$A$2:$A$451,$A17&amp;"|A|"&amp;$Y17&amp;"|wl"))</f>
        <v>4</v>
      </c>
      <c r="AZ17" s="17">
        <f t="shared" si="7"/>
        <v>20.150444</v>
      </c>
      <c r="BA17" s="17">
        <f t="shared" si="8"/>
        <v>2.019756</v>
      </c>
      <c r="BB17" s="11">
        <f t="shared" si="9"/>
        <v>0.5501169106</v>
      </c>
    </row>
    <row r="18">
      <c r="A18" s="4" t="s">
        <v>1709</v>
      </c>
      <c r="B18" s="4" t="s">
        <v>86</v>
      </c>
      <c r="C18" s="4" t="s">
        <v>1668</v>
      </c>
      <c r="D18" s="4">
        <v>3.0</v>
      </c>
      <c r="E18" s="4" t="s">
        <v>997</v>
      </c>
      <c r="F18" s="4" t="s">
        <v>999</v>
      </c>
      <c r="G18" s="11">
        <v>0.3718592964824121</v>
      </c>
      <c r="H18" s="11">
        <v>0.1714501194117401</v>
      </c>
      <c r="I18" s="11">
        <v>0.3571877487744585</v>
      </c>
      <c r="J18" s="11">
        <v>0.4713621318138014</v>
      </c>
      <c r="K18" s="4" t="s">
        <v>1710</v>
      </c>
      <c r="L18" s="4" t="s">
        <v>1711</v>
      </c>
      <c r="M18" s="4" t="s">
        <v>1713</v>
      </c>
      <c r="N18" s="4" t="s">
        <v>101</v>
      </c>
      <c r="O18" s="12">
        <v>21.42315369261477</v>
      </c>
      <c r="P18" s="12">
        <v>21.31255313119864</v>
      </c>
      <c r="Q18" s="12">
        <v>21.42315369261477</v>
      </c>
      <c r="R18" s="11">
        <v>0.1594202898550725</v>
      </c>
      <c r="S18" s="12">
        <v>-2.099844599844601</v>
      </c>
      <c r="T18" s="12">
        <v>11.35949271722752</v>
      </c>
      <c r="U18" s="12"/>
      <c r="V18" s="4">
        <v>361.0</v>
      </c>
      <c r="W18" s="13" t="s">
        <v>250</v>
      </c>
      <c r="X18" s="13" t="s">
        <v>110</v>
      </c>
      <c r="Y18" s="13" t="s">
        <v>262</v>
      </c>
      <c r="Z18" s="14">
        <v>21.42</v>
      </c>
      <c r="AA18" s="14">
        <v>21.31</v>
      </c>
      <c r="AB18" s="14">
        <v>21.42</v>
      </c>
      <c r="AC18" s="15">
        <v>0.4714</v>
      </c>
      <c r="AD18" s="4" t="s">
        <v>1297</v>
      </c>
      <c r="AE18" s="4" t="s">
        <v>1438</v>
      </c>
      <c r="AF18" s="11">
        <v>0.44</v>
      </c>
      <c r="AG18" s="11">
        <v>0.3719</v>
      </c>
      <c r="AH18" s="11">
        <v>0.4297</v>
      </c>
      <c r="AI18" s="11">
        <f t="array" ref="AI18">IFERROR(INDEX(HLTV_Teams!$N$2:$N$33,MATCH($A18&amp;"|A",HLTV_Teams!$A$2:$A$33,0)),"")</f>
        <v>0.4872805577</v>
      </c>
      <c r="AJ18" s="11">
        <f t="array" ref="AJ18">IFERROR(INDEX(HLTV_Teams!$N$2:$N$33,MATCH($A18&amp;"|B",HLTV_Teams!$A$2:$A$33,0)),"")</f>
        <v>0.5024751275</v>
      </c>
      <c r="AK18" s="17">
        <f>IF($W18="","",IFERROR((SUMIFS(HLTV_Long!$B$2:$B$451,HLTV_Long!$A$2:$A$451,$A18&amp;"|A|"&amp;$W18&amp;"|lw")+SUMIFS(HLTV_Long!$B$2:$B$451,HLTV_Long!$A$2:$A$451,$A18&amp;"|B|"&amp;$W18&amp;"|wl"))/(COUNTIFS(HLTV_Long!$A$2:$A$451,$A18&amp;"|A|"&amp;$W18&amp;"|lw")+COUNTIFS(HLTV_Long!$A$2:$A$451,$A18&amp;"|B|"&amp;$W18&amp;"|wl")),IFERROR((SUMIFS(HLTV_Long!$B$2:$B$451,HLTV_Long!$A$2:$A$451,$A18&amp;"|A|"&amp;"ALL"&amp;"|lw")+SUMIFS(HLTV_Long!$B$2:$B$451,HLTV_Long!$A$2:$A$451,$A18&amp;"|B|"&amp;"ALL"&amp;"|wl"))/(COUNTIFS(HLTV_Long!$A$2:$A$451,$A18&amp;"|A|"&amp;"ALL"&amp;"|lw")+COUNTIFS(HLTV_Long!$A$2:$A$451,$A18&amp;"|B|"&amp;"ALL"&amp;"|wl")),"")))</f>
        <v>7.5</v>
      </c>
      <c r="AL18" s="17">
        <f>IF($W18="","",IFERROR((SUMIFS(HLTV_Long!$B$2:$B$451,HLTV_Long!$A$2:$A$451,$A18&amp;"|B|"&amp;$W18&amp;"|lw")+SUMIFS(HLTV_Long!$B$2:$B$451,HLTV_Long!$A$2:$A$451,$A18&amp;"|A|"&amp;$W18&amp;"|wl"))/(COUNTIFS(HLTV_Long!$A$2:$A$451,$A18&amp;"|B|"&amp;$W18&amp;"|lw")+COUNTIFS(HLTV_Long!$A$2:$A$451,$A18&amp;"|A|"&amp;$W18&amp;"|wl")),IFERROR((SUMIFS(HLTV_Long!$B$2:$B$451,HLTV_Long!$A$2:$A$451,$A18&amp;"|B|"&amp;"ALL"&amp;"|lw")+SUMIFS(HLTV_Long!$B$2:$B$451,HLTV_Long!$A$2:$A$451,$A18&amp;"|A|"&amp;"ALL"&amp;"|wl"))/(COUNTIFS(HLTV_Long!$A$2:$A$451,$A18&amp;"|B|"&amp;"ALL"&amp;"|lw")+COUNTIFS(HLTV_Long!$A$2:$A$451,$A18&amp;"|A|"&amp;"ALL"&amp;"|wl")),"")))</f>
        <v>8.445</v>
      </c>
      <c r="AM18" s="4">
        <f>IF($W18="","",COUNTIFS(HLTV_Long!$A$2:$A$451,$A18&amp;"|A|"&amp;$W18&amp;"|lw")+COUNTIFS(HLTV_Long!$A$2:$A$451,$A18&amp;"|B|"&amp;$W18&amp;"|wl")+COUNTIFS(HLTV_Long!$A$2:$A$451,$A18&amp;"|B|"&amp;$W18&amp;"|lw")+COUNTIFS(HLTV_Long!$A$2:$A$451,$A18&amp;"|A|"&amp;$W18&amp;"|wl"))</f>
        <v>4</v>
      </c>
      <c r="AN18" s="17">
        <f t="shared" si="1"/>
        <v>21.0292</v>
      </c>
      <c r="AO18" s="17">
        <f t="shared" si="2"/>
        <v>-0.1308</v>
      </c>
      <c r="AP18" s="11">
        <f t="shared" si="3"/>
        <v>0.4968900386</v>
      </c>
      <c r="AQ18" s="17">
        <f>IF($X18="","",IFERROR((SUMIFS(HLTV_Long!$B$2:$B$451,HLTV_Long!$A$2:$A$451,$A18&amp;"|A|"&amp;$X18&amp;"|lw")+SUMIFS(HLTV_Long!$B$2:$B$451,HLTV_Long!$A$2:$A$451,$A18&amp;"|B|"&amp;$X18&amp;"|wl"))/(COUNTIFS(HLTV_Long!$A$2:$A$451,$A18&amp;"|A|"&amp;$X18&amp;"|lw")+COUNTIFS(HLTV_Long!$A$2:$A$451,$A18&amp;"|B|"&amp;$X18&amp;"|wl")),IFERROR((SUMIFS(HLTV_Long!$B$2:$B$451,HLTV_Long!$A$2:$A$451,$A18&amp;"|A|"&amp;"ALL"&amp;"|lw")+SUMIFS(HLTV_Long!$B$2:$B$451,HLTV_Long!$A$2:$A$451,$A18&amp;"|B|"&amp;"ALL"&amp;"|wl"))/(COUNTIFS(HLTV_Long!$A$2:$A$451,$A18&amp;"|A|"&amp;"ALL"&amp;"|lw")+COUNTIFS(HLTV_Long!$A$2:$A$451,$A18&amp;"|B|"&amp;"ALL"&amp;"|wl")),"")))</f>
        <v>11.9</v>
      </c>
      <c r="AR18" s="17">
        <f>IF($X18="","",IFERROR((SUMIFS(HLTV_Long!$B$2:$B$451,HLTV_Long!$A$2:$A$451,$A18&amp;"|B|"&amp;$X18&amp;"|lw")+SUMIFS(HLTV_Long!$B$2:$B$451,HLTV_Long!$A$2:$A$451,$A18&amp;"|A|"&amp;$X18&amp;"|wl"))/(COUNTIFS(HLTV_Long!$A$2:$A$451,$A18&amp;"|B|"&amp;$X18&amp;"|lw")+COUNTIFS(HLTV_Long!$A$2:$A$451,$A18&amp;"|A|"&amp;$X18&amp;"|wl")),IFERROR((SUMIFS(HLTV_Long!$B$2:$B$451,HLTV_Long!$A$2:$A$451,$A18&amp;"|B|"&amp;"ALL"&amp;"|lw")+SUMIFS(HLTV_Long!$B$2:$B$451,HLTV_Long!$A$2:$A$451,$A18&amp;"|A|"&amp;"ALL"&amp;"|wl"))/(COUNTIFS(HLTV_Long!$A$2:$A$451,$A18&amp;"|B|"&amp;"ALL"&amp;"|lw")+COUNTIFS(HLTV_Long!$A$2:$A$451,$A18&amp;"|A|"&amp;"ALL"&amp;"|wl")),"")))</f>
        <v>8.3</v>
      </c>
      <c r="AS18" s="4">
        <f>IF($X18="","",COUNTIFS(HLTV_Long!$A$2:$A$451,$A18&amp;"|A|"&amp;$X18&amp;"|lw")+COUNTIFS(HLTV_Long!$A$2:$A$451,$A18&amp;"|B|"&amp;$X18&amp;"|wl")+COUNTIFS(HLTV_Long!$A$2:$A$451,$A18&amp;"|B|"&amp;$X18&amp;"|lw")+COUNTIFS(HLTV_Long!$A$2:$A$451,$A18&amp;"|A|"&amp;$X18&amp;"|wl"))</f>
        <v>4</v>
      </c>
      <c r="AT18" s="17">
        <f t="shared" si="4"/>
        <v>22.63884</v>
      </c>
      <c r="AU18" s="17">
        <f t="shared" si="5"/>
        <v>-2.54298</v>
      </c>
      <c r="AV18" s="11">
        <f t="shared" si="6"/>
        <v>0.4438359033</v>
      </c>
      <c r="AW18" s="17">
        <f>IF($Y18="","",IFERROR((SUMIFS(HLTV_Long!$B$2:$B$451,HLTV_Long!$A$2:$A$451,$A18&amp;"|A|"&amp;$Y18&amp;"|lw")+SUMIFS(HLTV_Long!$B$2:$B$451,HLTV_Long!$A$2:$A$451,$A18&amp;"|B|"&amp;$Y18&amp;"|wl"))/(COUNTIFS(HLTV_Long!$A$2:$A$451,$A18&amp;"|A|"&amp;$Y18&amp;"|lw")+COUNTIFS(HLTV_Long!$A$2:$A$451,$A18&amp;"|B|"&amp;$Y18&amp;"|wl")),IFERROR((SUMIFS(HLTV_Long!$B$2:$B$451,HLTV_Long!$A$2:$A$451,$A18&amp;"|A|"&amp;"ALL"&amp;"|lw")+SUMIFS(HLTV_Long!$B$2:$B$451,HLTV_Long!$A$2:$A$451,$A18&amp;"|B|"&amp;"ALL"&amp;"|wl"))/(COUNTIFS(HLTV_Long!$A$2:$A$451,$A18&amp;"|A|"&amp;"ALL"&amp;"|lw")+COUNTIFS(HLTV_Long!$A$2:$A$451,$A18&amp;"|B|"&amp;"ALL"&amp;"|wl")),"")))</f>
        <v>11</v>
      </c>
      <c r="AX18" s="17">
        <f>IF($Y18="","",IFERROR((SUMIFS(HLTV_Long!$B$2:$B$451,HLTV_Long!$A$2:$A$451,$A18&amp;"|B|"&amp;$Y18&amp;"|lw")+SUMIFS(HLTV_Long!$B$2:$B$451,HLTV_Long!$A$2:$A$451,$A18&amp;"|A|"&amp;$Y18&amp;"|wl"))/(COUNTIFS(HLTV_Long!$A$2:$A$451,$A18&amp;"|B|"&amp;$Y18&amp;"|lw")+COUNTIFS(HLTV_Long!$A$2:$A$451,$A18&amp;"|A|"&amp;$Y18&amp;"|wl")),IFERROR((SUMIFS(HLTV_Long!$B$2:$B$451,HLTV_Long!$A$2:$A$451,$A18&amp;"|B|"&amp;"ALL"&amp;"|lw")+SUMIFS(HLTV_Long!$B$2:$B$451,HLTV_Long!$A$2:$A$451,$A18&amp;"|A|"&amp;"ALL"&amp;"|wl"))/(COUNTIFS(HLTV_Long!$A$2:$A$451,$A18&amp;"|B|"&amp;"ALL"&amp;"|lw")+COUNTIFS(HLTV_Long!$A$2:$A$451,$A18&amp;"|A|"&amp;"ALL"&amp;"|wl")),"")))</f>
        <v>6.25</v>
      </c>
      <c r="AY18" s="4">
        <f>IF($Y18="","",COUNTIFS(HLTV_Long!$A$2:$A$451,$A18&amp;"|A|"&amp;$Y18&amp;"|lw")+COUNTIFS(HLTV_Long!$A$2:$A$451,$A18&amp;"|B|"&amp;$Y18&amp;"|wl")+COUNTIFS(HLTV_Long!$A$2:$A$451,$A18&amp;"|B|"&amp;$Y18&amp;"|lw")+COUNTIFS(HLTV_Long!$A$2:$A$451,$A18&amp;"|A|"&amp;$Y18&amp;"|wl"))</f>
        <v>4</v>
      </c>
      <c r="AZ18" s="17">
        <f t="shared" si="7"/>
        <v>21.291075</v>
      </c>
      <c r="BA18" s="17">
        <f t="shared" si="8"/>
        <v>-2.990125</v>
      </c>
      <c r="BB18" s="11">
        <f t="shared" si="9"/>
        <v>0.4297798491</v>
      </c>
    </row>
    <row r="19">
      <c r="A19" s="4" t="s">
        <v>1755</v>
      </c>
      <c r="B19" s="4" t="s">
        <v>86</v>
      </c>
      <c r="C19" s="4" t="s">
        <v>1668</v>
      </c>
      <c r="D19" s="4">
        <v>3.0</v>
      </c>
      <c r="E19" s="4" t="s">
        <v>1039</v>
      </c>
      <c r="F19" s="4" t="s">
        <v>1040</v>
      </c>
      <c r="G19" s="11">
        <v>0.8067226890756303</v>
      </c>
      <c r="H19" s="11"/>
      <c r="I19" s="11"/>
      <c r="J19" s="11"/>
      <c r="K19" s="4" t="s">
        <v>1756</v>
      </c>
      <c r="L19" s="4" t="s">
        <v>1757</v>
      </c>
      <c r="M19" s="4" t="s">
        <v>1758</v>
      </c>
      <c r="N19" s="4" t="s">
        <v>101</v>
      </c>
      <c r="O19" s="12"/>
      <c r="P19" s="12"/>
      <c r="Q19" s="12"/>
      <c r="R19" s="11"/>
      <c r="S19" s="12"/>
      <c r="T19" s="12"/>
      <c r="U19" s="12"/>
      <c r="V19" s="4">
        <v>7.0</v>
      </c>
      <c r="W19" s="13" t="s">
        <v>262</v>
      </c>
      <c r="X19" s="13" t="s">
        <v>113</v>
      </c>
      <c r="Y19" s="13" t="s">
        <v>110</v>
      </c>
      <c r="Z19" s="14">
        <f>Config!$B$7</f>
        <v>21.5</v>
      </c>
      <c r="AA19" s="14">
        <f>Config!$B$7</f>
        <v>21.5</v>
      </c>
      <c r="AB19" s="14">
        <f>Config!$B$7</f>
        <v>21.5</v>
      </c>
      <c r="AC19" s="15">
        <v>0.0</v>
      </c>
      <c r="AD19" s="4" t="s">
        <v>1389</v>
      </c>
      <c r="AE19" s="4" t="s">
        <v>1565</v>
      </c>
      <c r="AF19" s="11">
        <v>0.7014</v>
      </c>
      <c r="AG19" s="11">
        <v>0.757</v>
      </c>
      <c r="AH19" s="11">
        <v>0.7111</v>
      </c>
      <c r="AI19" s="11">
        <f t="array" ref="AI19">IFERROR(INDEX(HLTV_Teams!$N$2:$N$33,MATCH($A19&amp;"|A",HLTV_Teams!$A$2:$A$33,0)),"")</f>
        <v>0.5105955134</v>
      </c>
      <c r="AJ19" s="11">
        <f t="array" ref="AJ19">IFERROR(INDEX(HLTV_Teams!$N$2:$N$33,MATCH($A19&amp;"|B",HLTV_Teams!$A$2:$A$33,0)),"")</f>
        <v>0.5227311331</v>
      </c>
      <c r="AK19" s="17">
        <f>IF($W19="","",IFERROR((SUMIFS(HLTV_Long!$B$2:$B$451,HLTV_Long!$A$2:$A$451,$A19&amp;"|A|"&amp;$W19&amp;"|lw")+SUMIFS(HLTV_Long!$B$2:$B$451,HLTV_Long!$A$2:$A$451,$A19&amp;"|B|"&amp;$W19&amp;"|wl"))/(COUNTIFS(HLTV_Long!$A$2:$A$451,$A19&amp;"|A|"&amp;$W19&amp;"|lw")+COUNTIFS(HLTV_Long!$A$2:$A$451,$A19&amp;"|B|"&amp;$W19&amp;"|wl")),IFERROR((SUMIFS(HLTV_Long!$B$2:$B$451,HLTV_Long!$A$2:$A$451,$A19&amp;"|A|"&amp;"ALL"&amp;"|lw")+SUMIFS(HLTV_Long!$B$2:$B$451,HLTV_Long!$A$2:$A$451,$A19&amp;"|B|"&amp;"ALL"&amp;"|wl"))/(COUNTIFS(HLTV_Long!$A$2:$A$451,$A19&amp;"|A|"&amp;"ALL"&amp;"|lw")+COUNTIFS(HLTV_Long!$A$2:$A$451,$A19&amp;"|B|"&amp;"ALL"&amp;"|wl")),"")))</f>
        <v>8.18</v>
      </c>
      <c r="AL19" s="17">
        <f>IF($W19="","",IFERROR((SUMIFS(HLTV_Long!$B$2:$B$451,HLTV_Long!$A$2:$A$451,$A19&amp;"|B|"&amp;$W19&amp;"|lw")+SUMIFS(HLTV_Long!$B$2:$B$451,HLTV_Long!$A$2:$A$451,$A19&amp;"|A|"&amp;$W19&amp;"|wl"))/(COUNTIFS(HLTV_Long!$A$2:$A$451,$A19&amp;"|B|"&amp;$W19&amp;"|lw")+COUNTIFS(HLTV_Long!$A$2:$A$451,$A19&amp;"|A|"&amp;$W19&amp;"|wl")),IFERROR((SUMIFS(HLTV_Long!$B$2:$B$451,HLTV_Long!$A$2:$A$451,$A19&amp;"|B|"&amp;"ALL"&amp;"|lw")+SUMIFS(HLTV_Long!$B$2:$B$451,HLTV_Long!$A$2:$A$451,$A19&amp;"|A|"&amp;"ALL"&amp;"|wl"))/(COUNTIFS(HLTV_Long!$A$2:$A$451,$A19&amp;"|B|"&amp;"ALL"&amp;"|lw")+COUNTIFS(HLTV_Long!$A$2:$A$451,$A19&amp;"|A|"&amp;"ALL"&amp;"|wl")),"")))</f>
        <v>9.09</v>
      </c>
      <c r="AM19" s="4">
        <f>IF($W19="","",COUNTIFS(HLTV_Long!$A$2:$A$451,$A19&amp;"|A|"&amp;$W19&amp;"|lw")+COUNTIFS(HLTV_Long!$A$2:$A$451,$A19&amp;"|B|"&amp;$W19&amp;"|wl")+COUNTIFS(HLTV_Long!$A$2:$A$451,$A19&amp;"|B|"&amp;$W19&amp;"|lw")+COUNTIFS(HLTV_Long!$A$2:$A$451,$A19&amp;"|A|"&amp;$W19&amp;"|wl"))</f>
        <v>4</v>
      </c>
      <c r="AN19" s="17">
        <f t="shared" si="1"/>
        <v>21.451726</v>
      </c>
      <c r="AO19" s="17">
        <f t="shared" si="2"/>
        <v>2.213222</v>
      </c>
      <c r="AP19" s="11">
        <f t="shared" si="3"/>
        <v>0.5515861055</v>
      </c>
      <c r="AQ19" s="17">
        <f>IF($X19="","",IFERROR((SUMIFS(HLTV_Long!$B$2:$B$451,HLTV_Long!$A$2:$A$451,$A19&amp;"|A|"&amp;$X19&amp;"|lw")+SUMIFS(HLTV_Long!$B$2:$B$451,HLTV_Long!$A$2:$A$451,$A19&amp;"|B|"&amp;$X19&amp;"|wl"))/(COUNTIFS(HLTV_Long!$A$2:$A$451,$A19&amp;"|A|"&amp;$X19&amp;"|lw")+COUNTIFS(HLTV_Long!$A$2:$A$451,$A19&amp;"|B|"&amp;$X19&amp;"|wl")),IFERROR((SUMIFS(HLTV_Long!$B$2:$B$451,HLTV_Long!$A$2:$A$451,$A19&amp;"|A|"&amp;"ALL"&amp;"|lw")+SUMIFS(HLTV_Long!$B$2:$B$451,HLTV_Long!$A$2:$A$451,$A19&amp;"|B|"&amp;"ALL"&amp;"|wl"))/(COUNTIFS(HLTV_Long!$A$2:$A$451,$A19&amp;"|A|"&amp;"ALL"&amp;"|lw")+COUNTIFS(HLTV_Long!$A$2:$A$451,$A19&amp;"|B|"&amp;"ALL"&amp;"|wl")),"")))</f>
        <v>9.75</v>
      </c>
      <c r="AR19" s="17">
        <f>IF($X19="","",IFERROR((SUMIFS(HLTV_Long!$B$2:$B$451,HLTV_Long!$A$2:$A$451,$A19&amp;"|B|"&amp;$X19&amp;"|lw")+SUMIFS(HLTV_Long!$B$2:$B$451,HLTV_Long!$A$2:$A$451,$A19&amp;"|A|"&amp;$X19&amp;"|wl"))/(COUNTIFS(HLTV_Long!$A$2:$A$451,$A19&amp;"|B|"&amp;$X19&amp;"|lw")+COUNTIFS(HLTV_Long!$A$2:$A$451,$A19&amp;"|A|"&amp;$X19&amp;"|wl")),IFERROR((SUMIFS(HLTV_Long!$B$2:$B$451,HLTV_Long!$A$2:$A$451,$A19&amp;"|B|"&amp;"ALL"&amp;"|lw")+SUMIFS(HLTV_Long!$B$2:$B$451,HLTV_Long!$A$2:$A$451,$A19&amp;"|A|"&amp;"ALL"&amp;"|wl"))/(COUNTIFS(HLTV_Long!$A$2:$A$451,$A19&amp;"|B|"&amp;"ALL"&amp;"|lw")+COUNTIFS(HLTV_Long!$A$2:$A$451,$A19&amp;"|A|"&amp;"ALL"&amp;"|wl")),"")))</f>
        <v>5</v>
      </c>
      <c r="AS19" s="4">
        <f>IF($X19="","",COUNTIFS(HLTV_Long!$A$2:$A$451,$A19&amp;"|A|"&amp;$X19&amp;"|lw")+COUNTIFS(HLTV_Long!$A$2:$A$451,$A19&amp;"|B|"&amp;$X19&amp;"|wl")+COUNTIFS(HLTV_Long!$A$2:$A$451,$A19&amp;"|B|"&amp;$X19&amp;"|lw")+COUNTIFS(HLTV_Long!$A$2:$A$451,$A19&amp;"|A|"&amp;$X19&amp;"|wl"))</f>
        <v>3</v>
      </c>
      <c r="AT19" s="17">
        <f t="shared" si="4"/>
        <v>21.59575</v>
      </c>
      <c r="AU19" s="17">
        <f t="shared" si="5"/>
        <v>0.51625</v>
      </c>
      <c r="AV19" s="11">
        <f t="shared" si="6"/>
        <v>0.5119525833</v>
      </c>
      <c r="AW19" s="17">
        <f>IF($Y19="","",IFERROR((SUMIFS(HLTV_Long!$B$2:$B$451,HLTV_Long!$A$2:$A$451,$A19&amp;"|A|"&amp;$Y19&amp;"|lw")+SUMIFS(HLTV_Long!$B$2:$B$451,HLTV_Long!$A$2:$A$451,$A19&amp;"|B|"&amp;$Y19&amp;"|wl"))/(COUNTIFS(HLTV_Long!$A$2:$A$451,$A19&amp;"|A|"&amp;$Y19&amp;"|lw")+COUNTIFS(HLTV_Long!$A$2:$A$451,$A19&amp;"|B|"&amp;$Y19&amp;"|wl")),IFERROR((SUMIFS(HLTV_Long!$B$2:$B$451,HLTV_Long!$A$2:$A$451,$A19&amp;"|A|"&amp;"ALL"&amp;"|lw")+SUMIFS(HLTV_Long!$B$2:$B$451,HLTV_Long!$A$2:$A$451,$A19&amp;"|B|"&amp;"ALL"&amp;"|wl"))/(COUNTIFS(HLTV_Long!$A$2:$A$451,$A19&amp;"|A|"&amp;"ALL"&amp;"|lw")+COUNTIFS(HLTV_Long!$A$2:$A$451,$A19&amp;"|B|"&amp;"ALL"&amp;"|wl")),"")))</f>
        <v>7.915</v>
      </c>
      <c r="AX19" s="17">
        <f>IF($Y19="","",IFERROR((SUMIFS(HLTV_Long!$B$2:$B$451,HLTV_Long!$A$2:$A$451,$A19&amp;"|B|"&amp;$Y19&amp;"|lw")+SUMIFS(HLTV_Long!$B$2:$B$451,HLTV_Long!$A$2:$A$451,$A19&amp;"|A|"&amp;$Y19&amp;"|wl"))/(COUNTIFS(HLTV_Long!$A$2:$A$451,$A19&amp;"|B|"&amp;$Y19&amp;"|lw")+COUNTIFS(HLTV_Long!$A$2:$A$451,$A19&amp;"|A|"&amp;$Y19&amp;"|wl")),IFERROR((SUMIFS(HLTV_Long!$B$2:$B$451,HLTV_Long!$A$2:$A$451,$A19&amp;"|B|"&amp;"ALL"&amp;"|lw")+SUMIFS(HLTV_Long!$B$2:$B$451,HLTV_Long!$A$2:$A$451,$A19&amp;"|A|"&amp;"ALL"&amp;"|wl"))/(COUNTIFS(HLTV_Long!$A$2:$A$451,$A19&amp;"|B|"&amp;"ALL"&amp;"|lw")+COUNTIFS(HLTV_Long!$A$2:$A$451,$A19&amp;"|A|"&amp;"ALL"&amp;"|wl")),"")))</f>
        <v>9.35</v>
      </c>
      <c r="AY19" s="4">
        <f>IF($Y19="","",COUNTIFS(HLTV_Long!$A$2:$A$451,$A19&amp;"|A|"&amp;$Y19&amp;"|lw")+COUNTIFS(HLTV_Long!$A$2:$A$451,$A19&amp;"|B|"&amp;$Y19&amp;"|wl")+COUNTIFS(HLTV_Long!$A$2:$A$451,$A19&amp;"|B|"&amp;$Y19&amp;"|lw")+COUNTIFS(HLTV_Long!$A$2:$A$451,$A19&amp;"|A|"&amp;$Y19&amp;"|wl"))</f>
        <v>4</v>
      </c>
      <c r="AZ19" s="17">
        <f t="shared" si="7"/>
        <v>21.3295715</v>
      </c>
      <c r="BA19" s="17">
        <f t="shared" si="8"/>
        <v>2.5614585</v>
      </c>
      <c r="BB19" s="11">
        <f t="shared" si="9"/>
        <v>0.5600447716</v>
      </c>
    </row>
    <row r="20">
      <c r="A20" s="4" t="s">
        <v>1794</v>
      </c>
      <c r="B20" s="4" t="s">
        <v>86</v>
      </c>
      <c r="C20" s="4" t="s">
        <v>1795</v>
      </c>
      <c r="D20" s="4">
        <v>1.0</v>
      </c>
      <c r="E20" s="4" t="s">
        <v>409</v>
      </c>
      <c r="F20" s="4" t="s">
        <v>520</v>
      </c>
      <c r="G20" s="11">
        <v>0.7013574660633485</v>
      </c>
      <c r="H20" s="11"/>
      <c r="I20" s="11"/>
      <c r="J20" s="11">
        <v>0.0</v>
      </c>
      <c r="K20" s="4" t="s">
        <v>1179</v>
      </c>
      <c r="L20" s="4" t="s">
        <v>1797</v>
      </c>
      <c r="M20" s="4" t="s">
        <v>1798</v>
      </c>
      <c r="N20" s="4" t="s">
        <v>101</v>
      </c>
      <c r="O20" s="12">
        <v>21.04745596868884</v>
      </c>
      <c r="P20" s="12"/>
      <c r="Q20" s="12"/>
      <c r="R20" s="11">
        <v>0.1463414634146341</v>
      </c>
      <c r="S20" s="12">
        <v>3.73972602739726</v>
      </c>
      <c r="T20" s="12"/>
      <c r="U20" s="12">
        <v>9.5</v>
      </c>
      <c r="V20" s="4">
        <v>63.0</v>
      </c>
      <c r="W20" s="13" t="s">
        <v>110</v>
      </c>
      <c r="X20" s="13" t="s">
        <v>250</v>
      </c>
      <c r="Y20" s="13"/>
      <c r="Z20" s="14">
        <v>21.05</v>
      </c>
      <c r="AA20" s="14">
        <f>Config!$B$7</f>
        <v>21.5</v>
      </c>
      <c r="AB20" s="14"/>
      <c r="AC20" s="15">
        <v>0.0</v>
      </c>
      <c r="AD20" s="4" t="s">
        <v>858</v>
      </c>
      <c r="AE20" s="4" t="s">
        <v>1013</v>
      </c>
      <c r="AF20" s="11">
        <v>0.7014</v>
      </c>
      <c r="AG20" s="11">
        <v>0.7014</v>
      </c>
      <c r="AH20" s="11">
        <v>0.7014</v>
      </c>
      <c r="AI20" s="11">
        <f t="array" ref="AI20">IFERROR(INDEX(HLTV_Teams!$N$2:$N$33,MATCH($A20&amp;"|A",HLTV_Teams!$A$2:$A$33,0)),"")</f>
        <v>0.4862840163</v>
      </c>
      <c r="AJ20" s="11">
        <f t="array" ref="AJ20">IFERROR(INDEX(HLTV_Teams!$N$2:$N$33,MATCH($A20&amp;"|B",HLTV_Teams!$A$2:$A$33,0)),"")</f>
        <v>0.5021995832</v>
      </c>
      <c r="AK20" s="17">
        <f>IF($W20="","",IFERROR((SUMIFS(HLTV_Long!$B$2:$B$451,HLTV_Long!$A$2:$A$451,$A20&amp;"|A|"&amp;$W20&amp;"|lw")+SUMIFS(HLTV_Long!$B$2:$B$451,HLTV_Long!$A$2:$A$451,$A20&amp;"|B|"&amp;$W20&amp;"|wl"))/(COUNTIFS(HLTV_Long!$A$2:$A$451,$A20&amp;"|A|"&amp;$W20&amp;"|lw")+COUNTIFS(HLTV_Long!$A$2:$A$451,$A20&amp;"|B|"&amp;$W20&amp;"|wl")),IFERROR((SUMIFS(HLTV_Long!$B$2:$B$451,HLTV_Long!$A$2:$A$451,$A20&amp;"|A|"&amp;"ALL"&amp;"|lw")+SUMIFS(HLTV_Long!$B$2:$B$451,HLTV_Long!$A$2:$A$451,$A20&amp;"|B|"&amp;"ALL"&amp;"|wl"))/(COUNTIFS(HLTV_Long!$A$2:$A$451,$A20&amp;"|A|"&amp;"ALL"&amp;"|lw")+COUNTIFS(HLTV_Long!$A$2:$A$451,$A20&amp;"|B|"&amp;"ALL"&amp;"|wl")),"")))</f>
        <v>8.445</v>
      </c>
      <c r="AL20" s="17">
        <f>IF($W20="","",IFERROR((SUMIFS(HLTV_Long!$B$2:$B$451,HLTV_Long!$A$2:$A$451,$A20&amp;"|B|"&amp;$W20&amp;"|lw")+SUMIFS(HLTV_Long!$B$2:$B$451,HLTV_Long!$A$2:$A$451,$A20&amp;"|A|"&amp;$W20&amp;"|wl"))/(COUNTIFS(HLTV_Long!$A$2:$A$451,$A20&amp;"|B|"&amp;$W20&amp;"|lw")+COUNTIFS(HLTV_Long!$A$2:$A$451,$A20&amp;"|A|"&amp;$W20&amp;"|wl")),IFERROR((SUMIFS(HLTV_Long!$B$2:$B$451,HLTV_Long!$A$2:$A$451,$A20&amp;"|B|"&amp;"ALL"&amp;"|lw")+SUMIFS(HLTV_Long!$B$2:$B$451,HLTV_Long!$A$2:$A$451,$A20&amp;"|A|"&amp;"ALL"&amp;"|wl"))/(COUNTIFS(HLTV_Long!$A$2:$A$451,$A20&amp;"|B|"&amp;"ALL"&amp;"|lw")+COUNTIFS(HLTV_Long!$A$2:$A$451,$A20&amp;"|A|"&amp;"ALL"&amp;"|wl")),"")))</f>
        <v>8.25</v>
      </c>
      <c r="AM20" s="4">
        <f>IF($W20="","",COUNTIFS(HLTV_Long!$A$2:$A$451,$A20&amp;"|A|"&amp;$W20&amp;"|lw")+COUNTIFS(HLTV_Long!$A$2:$A$451,$A20&amp;"|B|"&amp;$W20&amp;"|wl")+COUNTIFS(HLTV_Long!$A$2:$A$451,$A20&amp;"|B|"&amp;$W20&amp;"|lw")+COUNTIFS(HLTV_Long!$A$2:$A$451,$A20&amp;"|A|"&amp;$W20&amp;"|wl"))</f>
        <v>4</v>
      </c>
      <c r="AN20" s="17">
        <f t="shared" si="1"/>
        <v>21.386773</v>
      </c>
      <c r="AO20" s="17">
        <f t="shared" si="2"/>
        <v>1.776527</v>
      </c>
      <c r="AP20" s="11">
        <f t="shared" si="3"/>
        <v>0.5415333113</v>
      </c>
      <c r="AQ20" s="17">
        <f>IF($X20="","",IFERROR((SUMIFS(HLTV_Long!$B$2:$B$451,HLTV_Long!$A$2:$A$451,$A20&amp;"|A|"&amp;$X20&amp;"|lw")+SUMIFS(HLTV_Long!$B$2:$B$451,HLTV_Long!$A$2:$A$451,$A20&amp;"|B|"&amp;$X20&amp;"|wl"))/(COUNTIFS(HLTV_Long!$A$2:$A$451,$A20&amp;"|A|"&amp;$X20&amp;"|lw")+COUNTIFS(HLTV_Long!$A$2:$A$451,$A20&amp;"|B|"&amp;$X20&amp;"|wl")),IFERROR((SUMIFS(HLTV_Long!$B$2:$B$451,HLTV_Long!$A$2:$A$451,$A20&amp;"|A|"&amp;"ALL"&amp;"|lw")+SUMIFS(HLTV_Long!$B$2:$B$451,HLTV_Long!$A$2:$A$451,$A20&amp;"|B|"&amp;"ALL"&amp;"|wl"))/(COUNTIFS(HLTV_Long!$A$2:$A$451,$A20&amp;"|A|"&amp;"ALL"&amp;"|lw")+COUNTIFS(HLTV_Long!$A$2:$A$451,$A20&amp;"|B|"&amp;"ALL"&amp;"|wl")),"")))</f>
        <v>10</v>
      </c>
      <c r="AR20" s="17">
        <f>IF($X20="","",IFERROR((SUMIFS(HLTV_Long!$B$2:$B$451,HLTV_Long!$A$2:$A$451,$A20&amp;"|B|"&amp;$X20&amp;"|lw")+SUMIFS(HLTV_Long!$B$2:$B$451,HLTV_Long!$A$2:$A$451,$A20&amp;"|A|"&amp;$X20&amp;"|wl"))/(COUNTIFS(HLTV_Long!$A$2:$A$451,$A20&amp;"|B|"&amp;$X20&amp;"|lw")+COUNTIFS(HLTV_Long!$A$2:$A$451,$A20&amp;"|A|"&amp;$X20&amp;"|wl")),IFERROR((SUMIFS(HLTV_Long!$B$2:$B$451,HLTV_Long!$A$2:$A$451,$A20&amp;"|B|"&amp;"ALL"&amp;"|lw")+SUMIFS(HLTV_Long!$B$2:$B$451,HLTV_Long!$A$2:$A$451,$A20&amp;"|A|"&amp;"ALL"&amp;"|wl"))/(COUNTIFS(HLTV_Long!$A$2:$A$451,$A20&amp;"|B|"&amp;"ALL"&amp;"|lw")+COUNTIFS(HLTV_Long!$A$2:$A$451,$A20&amp;"|A|"&amp;"ALL"&amp;"|wl")),"")))</f>
        <v>7.775</v>
      </c>
      <c r="AS20" s="4">
        <f>IF($X20="","",COUNTIFS(HLTV_Long!$A$2:$A$451,$A20&amp;"|A|"&amp;$X20&amp;"|lw")+COUNTIFS(HLTV_Long!$A$2:$A$451,$A20&amp;"|B|"&amp;$X20&amp;"|wl")+COUNTIFS(HLTV_Long!$A$2:$A$451,$A20&amp;"|B|"&amp;$X20&amp;"|lw")+COUNTIFS(HLTV_Long!$A$2:$A$451,$A20&amp;"|A|"&amp;$X20&amp;"|wl"))</f>
        <v>4</v>
      </c>
      <c r="AT20" s="17">
        <f t="shared" si="4"/>
        <v>22.335615</v>
      </c>
      <c r="AU20" s="17">
        <f t="shared" si="5"/>
        <v>0.544015</v>
      </c>
      <c r="AV20" s="11">
        <f t="shared" si="6"/>
        <v>0.5121781961</v>
      </c>
      <c r="AW20" s="17" t="str">
        <f>IF($Y20="","",IFERROR((SUMIFS(HLTV_Long!$B$2:$B$451,HLTV_Long!$A$2:$A$451,$A20&amp;"|A|"&amp;$Y20&amp;"|lw")+SUMIFS(HLTV_Long!$B$2:$B$451,HLTV_Long!$A$2:$A$451,$A20&amp;"|B|"&amp;$Y20&amp;"|wl"))/(COUNTIFS(HLTV_Long!$A$2:$A$451,$A20&amp;"|A|"&amp;$Y20&amp;"|lw")+COUNTIFS(HLTV_Long!$A$2:$A$451,$A20&amp;"|B|"&amp;$Y20&amp;"|wl")),IFERROR((SUMIFS(HLTV_Long!$B$2:$B$451,HLTV_Long!$A$2:$A$451,$A20&amp;"|A|"&amp;"ALL"&amp;"|lw")+SUMIFS(HLTV_Long!$B$2:$B$451,HLTV_Long!$A$2:$A$451,$A20&amp;"|B|"&amp;"ALL"&amp;"|wl"))/(COUNTIFS(HLTV_Long!$A$2:$A$451,$A20&amp;"|A|"&amp;"ALL"&amp;"|lw")+COUNTIFS(HLTV_Long!$A$2:$A$451,$A20&amp;"|B|"&amp;"ALL"&amp;"|wl")),"")))</f>
        <v/>
      </c>
      <c r="AX20" s="17" t="str">
        <f>IF($Y20="","",IFERROR((SUMIFS(HLTV_Long!$B$2:$B$451,HLTV_Long!$A$2:$A$451,$A20&amp;"|B|"&amp;$Y20&amp;"|lw")+SUMIFS(HLTV_Long!$B$2:$B$451,HLTV_Long!$A$2:$A$451,$A20&amp;"|A|"&amp;$Y20&amp;"|wl"))/(COUNTIFS(HLTV_Long!$A$2:$A$451,$A20&amp;"|B|"&amp;$Y20&amp;"|lw")+COUNTIFS(HLTV_Long!$A$2:$A$451,$A20&amp;"|A|"&amp;$Y20&amp;"|wl")),IFERROR((SUMIFS(HLTV_Long!$B$2:$B$451,HLTV_Long!$A$2:$A$451,$A20&amp;"|B|"&amp;"ALL"&amp;"|lw")+SUMIFS(HLTV_Long!$B$2:$B$451,HLTV_Long!$A$2:$A$451,$A20&amp;"|A|"&amp;"ALL"&amp;"|wl"))/(COUNTIFS(HLTV_Long!$A$2:$A$451,$A20&amp;"|B|"&amp;"ALL"&amp;"|lw")+COUNTIFS(HLTV_Long!$A$2:$A$451,$A20&amp;"|A|"&amp;"ALL"&amp;"|wl")),"")))</f>
        <v/>
      </c>
      <c r="AY20" s="4" t="str">
        <f>IF($Y20="","",COUNTIFS(HLTV_Long!$A$2:$A$451,$A20&amp;"|A|"&amp;$Y20&amp;"|lw")+COUNTIFS(HLTV_Long!$A$2:$A$451,$A20&amp;"|B|"&amp;$Y20&amp;"|wl")+COUNTIFS(HLTV_Long!$A$2:$A$451,$A20&amp;"|B|"&amp;$Y20&amp;"|lw")+COUNTIFS(HLTV_Long!$A$2:$A$451,$A20&amp;"|A|"&amp;$Y20&amp;"|wl"))</f>
        <v/>
      </c>
      <c r="AZ20" s="17" t="str">
        <f t="shared" si="7"/>
        <v/>
      </c>
      <c r="BA20" s="17" t="str">
        <f t="shared" si="8"/>
        <v/>
      </c>
      <c r="BB20" s="11" t="str">
        <f t="shared" si="9"/>
        <v/>
      </c>
    </row>
    <row r="21" ht="15.75" customHeight="1">
      <c r="A21" s="4" t="s">
        <v>1825</v>
      </c>
      <c r="B21" s="4" t="s">
        <v>1582</v>
      </c>
      <c r="C21" s="4" t="s">
        <v>1826</v>
      </c>
      <c r="D21" s="4">
        <v>3.0</v>
      </c>
      <c r="E21" s="4" t="s">
        <v>74</v>
      </c>
      <c r="F21" s="4" t="s">
        <v>78</v>
      </c>
      <c r="G21" s="11">
        <v>0.4693333333333332</v>
      </c>
      <c r="H21" s="11">
        <v>0.2358989398866567</v>
      </c>
      <c r="I21" s="11">
        <v>0.2744736093020849</v>
      </c>
      <c r="J21" s="11">
        <v>0.4896274508112585</v>
      </c>
      <c r="K21" s="4" t="s">
        <v>1828</v>
      </c>
      <c r="L21" s="4" t="s">
        <v>1829</v>
      </c>
      <c r="M21" s="4" t="s">
        <v>1830</v>
      </c>
      <c r="N21" s="4" t="s">
        <v>1831</v>
      </c>
      <c r="O21" s="12">
        <v>21.61848341232227</v>
      </c>
      <c r="P21" s="12">
        <v>21.61848341232227</v>
      </c>
      <c r="Q21" s="12"/>
      <c r="R21" s="11">
        <v>0.1606367583212736</v>
      </c>
      <c r="S21" s="12">
        <v>-0.3927813163481955</v>
      </c>
      <c r="T21" s="12"/>
      <c r="U21" s="12"/>
      <c r="V21" s="4">
        <v>442.0</v>
      </c>
      <c r="W21" s="13" t="s">
        <v>141</v>
      </c>
      <c r="X21" s="13" t="s">
        <v>152</v>
      </c>
      <c r="Y21" s="13" t="s">
        <v>147</v>
      </c>
      <c r="Z21" s="14">
        <v>21.62</v>
      </c>
      <c r="AA21" s="14">
        <v>21.62</v>
      </c>
      <c r="AB21" s="14">
        <f>Config!$B$8</f>
        <v>22.5</v>
      </c>
      <c r="AC21" s="15">
        <v>0.4896</v>
      </c>
      <c r="AD21" s="4" t="s">
        <v>1633</v>
      </c>
      <c r="AE21" s="4" t="s">
        <v>1616</v>
      </c>
      <c r="AF21" s="11">
        <v>0.4786</v>
      </c>
      <c r="AG21" s="11">
        <v>0.4786</v>
      </c>
      <c r="AH21" s="11">
        <v>0.4693</v>
      </c>
      <c r="AI21" s="11"/>
      <c r="AJ21" s="11"/>
      <c r="AK21" s="17"/>
      <c r="AL21" s="17"/>
      <c r="AN21" s="17"/>
      <c r="AO21" s="17"/>
      <c r="AP21" s="11"/>
      <c r="AQ21" s="17"/>
      <c r="AR21" s="17"/>
      <c r="AT21" s="17"/>
      <c r="AU21" s="17"/>
      <c r="AV21" s="11"/>
      <c r="AW21" s="17"/>
      <c r="AX21" s="17"/>
      <c r="AZ21" s="17"/>
      <c r="BA21" s="17"/>
      <c r="BB21" s="11"/>
    </row>
    <row r="22" ht="15.75" customHeight="1">
      <c r="A22" s="4" t="s">
        <v>1833</v>
      </c>
      <c r="B22" s="4" t="s">
        <v>1582</v>
      </c>
      <c r="C22" s="4" t="s">
        <v>1834</v>
      </c>
      <c r="D22" s="4">
        <v>3.0</v>
      </c>
      <c r="E22" s="4" t="s">
        <v>486</v>
      </c>
      <c r="F22" s="4" t="s">
        <v>487</v>
      </c>
      <c r="G22" s="11">
        <v>0.6161616161616161</v>
      </c>
      <c r="H22" s="11">
        <v>0.3354448120949479</v>
      </c>
      <c r="I22" s="11">
        <v>0.1871580496667092</v>
      </c>
      <c r="J22" s="11">
        <v>0.4773971382383429</v>
      </c>
      <c r="K22" s="4" t="s">
        <v>1835</v>
      </c>
      <c r="L22" s="4" t="s">
        <v>1836</v>
      </c>
      <c r="M22" s="4" t="s">
        <v>1837</v>
      </c>
      <c r="N22" s="4" t="s">
        <v>1831</v>
      </c>
      <c r="O22" s="12">
        <v>21.57056672760512</v>
      </c>
      <c r="P22" s="12">
        <v>21.57056672760512</v>
      </c>
      <c r="Q22" s="12"/>
      <c r="R22" s="11">
        <v>0.1571428571428571</v>
      </c>
      <c r="S22" s="12">
        <v>1.767214535214318</v>
      </c>
      <c r="T22" s="12"/>
      <c r="U22" s="12">
        <v>11.00953320184089</v>
      </c>
      <c r="V22" s="4">
        <v>448.0</v>
      </c>
      <c r="W22" s="13" t="s">
        <v>172</v>
      </c>
      <c r="X22" s="13" t="s">
        <v>168</v>
      </c>
      <c r="Y22" s="13" t="s">
        <v>141</v>
      </c>
      <c r="Z22" s="14">
        <v>21.57</v>
      </c>
      <c r="AA22" s="14">
        <v>21.57</v>
      </c>
      <c r="AB22" s="14">
        <f>Config!$B$8</f>
        <v>22.5</v>
      </c>
      <c r="AC22" s="15">
        <v>0.4774</v>
      </c>
      <c r="AD22" s="4" t="s">
        <v>368</v>
      </c>
      <c r="AE22" s="4" t="s">
        <v>1599</v>
      </c>
      <c r="AF22" s="11">
        <v>0.5796</v>
      </c>
      <c r="AG22" s="11">
        <v>0.5796</v>
      </c>
      <c r="AH22" s="11">
        <v>0.6162</v>
      </c>
      <c r="AI22" s="11"/>
      <c r="AJ22" s="11"/>
      <c r="AK22" s="17"/>
      <c r="AL22" s="17"/>
      <c r="AN22" s="17"/>
      <c r="AO22" s="17"/>
      <c r="AP22" s="11"/>
      <c r="AQ22" s="17"/>
      <c r="AR22" s="17"/>
      <c r="AT22" s="17"/>
      <c r="AU22" s="17"/>
      <c r="AV22" s="11"/>
      <c r="AW22" s="17"/>
      <c r="AX22" s="17"/>
      <c r="AZ22" s="17"/>
      <c r="BA22" s="17"/>
      <c r="BB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3.0"/>
    <col customWidth="1" min="4" max="4" width="8.0"/>
    <col customWidth="1" min="5" max="5" width="14.0"/>
    <col customWidth="1" min="6" max="6" width="6.0"/>
    <col customWidth="1" min="7" max="7" width="7.0"/>
    <col customWidth="1" min="8" max="8" width="6.0"/>
    <col customWidth="1" min="9" max="10" width="8.0"/>
    <col customWidth="1" min="11" max="11" width="7.0"/>
    <col customWidth="1" min="12" max="12" width="10.0"/>
    <col customWidth="1" min="13" max="13" width="9.0"/>
    <col customWidth="1" min="14" max="14" width="8.0"/>
    <col customWidth="1" min="15" max="17" width="6.0"/>
    <col customWidth="1" min="18" max="18" width="9.0"/>
    <col customWidth="1" min="19" max="19" width="6.0"/>
    <col customWidth="1" min="20" max="20" width="22.0"/>
    <col customWidth="1" min="21" max="21" width="14.0"/>
    <col customWidth="1" min="22" max="22" width="34.0"/>
    <col customWidth="1" hidden="1" min="23" max="23" width="24.0"/>
    <col customWidth="1" hidden="1" min="24" max="24" width="5.0"/>
    <col customWidth="1" hidden="1" min="25" max="25" width="28.0"/>
    <col customWidth="1" min="26" max="26" width="8.0"/>
    <col customWidth="1" min="27" max="27" width="7.0"/>
    <col customWidth="1" min="28" max="29" width="9.0"/>
    <col customWidth="1" min="30" max="30" width="10.0"/>
    <col customWidth="1" min="31" max="31" width="8.0"/>
  </cols>
  <sheetData>
    <row r="1">
      <c r="A1" s="7" t="s">
        <v>15</v>
      </c>
      <c r="B1" s="7" t="s">
        <v>10</v>
      </c>
      <c r="C1" s="7" t="s">
        <v>308</v>
      </c>
      <c r="D1" s="7" t="s">
        <v>309</v>
      </c>
      <c r="E1" s="7" t="s">
        <v>310</v>
      </c>
      <c r="F1" s="7" t="s">
        <v>311</v>
      </c>
      <c r="G1" s="7" t="s">
        <v>312</v>
      </c>
      <c r="H1" s="7" t="s">
        <v>313</v>
      </c>
      <c r="I1" s="7" t="s">
        <v>314</v>
      </c>
      <c r="J1" s="7" t="s">
        <v>315</v>
      </c>
      <c r="K1" s="7" t="s">
        <v>316</v>
      </c>
      <c r="L1" s="7" t="s">
        <v>318</v>
      </c>
      <c r="M1" s="7" t="s">
        <v>321</v>
      </c>
      <c r="N1" s="7" t="s">
        <v>323</v>
      </c>
      <c r="O1" s="7" t="s">
        <v>326</v>
      </c>
      <c r="P1" s="7" t="s">
        <v>327</v>
      </c>
      <c r="Q1" s="7" t="s">
        <v>333</v>
      </c>
      <c r="R1" s="7" t="s">
        <v>334</v>
      </c>
      <c r="S1" s="7" t="s">
        <v>336</v>
      </c>
      <c r="T1" s="7" t="s">
        <v>338</v>
      </c>
      <c r="U1" s="7" t="s">
        <v>341</v>
      </c>
      <c r="V1" s="7" t="s">
        <v>343</v>
      </c>
      <c r="W1" s="7" t="s">
        <v>345</v>
      </c>
      <c r="X1" s="7" t="s">
        <v>347</v>
      </c>
      <c r="Y1" s="7" t="s">
        <v>350</v>
      </c>
      <c r="Z1" s="7" t="s">
        <v>352</v>
      </c>
      <c r="AA1" s="7" t="s">
        <v>353</v>
      </c>
      <c r="AB1" s="7" t="s">
        <v>355</v>
      </c>
      <c r="AC1" s="7" t="s">
        <v>356</v>
      </c>
      <c r="AD1" s="7" t="s">
        <v>358</v>
      </c>
      <c r="AE1" s="7" t="s">
        <v>360</v>
      </c>
    </row>
    <row r="2">
      <c r="A2" s="4" t="s">
        <v>86</v>
      </c>
      <c r="B2" s="4" t="s">
        <v>364</v>
      </c>
      <c r="C2" s="4" t="s">
        <v>366</v>
      </c>
      <c r="D2" s="4" t="s">
        <v>368</v>
      </c>
      <c r="E2" s="4" t="s">
        <v>370</v>
      </c>
      <c r="F2" s="4">
        <v>10.5</v>
      </c>
      <c r="G2" s="12">
        <f t="array" ref="G2">IFERROR(INDEX(CHOOSE(MATCH($X2,{"K1","K2","K3","K12","K13","H1","H2","H3","H12","H13"},0),Calc!$V$2:$V$157,Calc!$AC$2:$AC$157,Calc!$AJ$2:$AJ$157,Calc!$AL$2:$AL$157,Calc!$AM$2:$AM$157,Calc!$W$2:$W$157,Calc!$AD$2:$AD$157,Calc!$AK$2:$AK$157,Calc!$AN$2:$AN$157,Calc!$AO$2:$AO$157),MATCH($W2,Calc!$A$2:$A$157,0)),"")</f>
        <v>10.64002064</v>
      </c>
      <c r="H2" s="12">
        <f t="array" ref="H2">IF(G2="","",IF(LEFT($X2,1)="H",SQRT(G2*(IFERROR(INDEX(Calc!$AP$2:$AP$157,MATCH($W2,Calc!$A$2:$A$157,0)),0.5)*Config!$B$5+1-IFERROR(INDEX(Calc!$AP$2:$AP$157,MATCH($W2,Calc!$A$2:$A$157,0)),0.5))),SQRT(G2*Config!$B$5)))</f>
        <v>3.466940792</v>
      </c>
      <c r="I2" s="11">
        <f t="shared" ref="I2:I282" si="1">IF(OR(F2="",G2="",N(H2)&lt;=0),"",1-NORMDIST(FLOOR(F2,1)+0.5,G2,H2,TRUE))</f>
        <v>0.5161078527</v>
      </c>
      <c r="J2" s="11">
        <f t="shared" ref="J2:J282" si="2">IF(I2="","",NORMDIST(CEILING(F2,1)-0.5,G2,H2,TRUE))</f>
        <v>0.4838921473</v>
      </c>
      <c r="K2" s="11">
        <f t="shared" ref="K2:K282" si="3">IF(I2="","",MAX(0,1-I2-J2))</f>
        <v>0</v>
      </c>
      <c r="L2" s="4" t="str">
        <f>IF(I2="","",IF(I2&gt;=0.5+Config!$B$6,"OVER",IF(J2&gt;=0.5+Config!$B$6,"UNDER","—")))</f>
        <v>—</v>
      </c>
      <c r="N2" s="4">
        <v>9.1</v>
      </c>
      <c r="O2" s="11">
        <v>0.2</v>
      </c>
      <c r="P2" s="11">
        <v>0.2</v>
      </c>
      <c r="Q2" s="11">
        <v>0.27</v>
      </c>
      <c r="R2" s="4" t="s">
        <v>579</v>
      </c>
      <c r="S2" s="4">
        <v>-2.0</v>
      </c>
      <c r="T2" s="4" t="str">
        <f t="array" ref="T2">INDEX(Calc!$G$2:$G$157,MATCH($W2,Calc!$A$2:$A$157,0))&amp;" / "&amp;INDEX(Calc!$H$2:$H$157,MATCH($W2,Calc!$A$2:$A$157,0))</f>
        <v>Dust2 / Nuke</v>
      </c>
      <c r="U2" s="4" t="str">
        <f t="array" ref="U2">TEXT(INDEX(Calc!$J$2:$J$157,MATCH($W2,Calc!$A$2:$A$157,0)),"0.0")&amp;" / "&amp;TEXT(INDEX(Calc!$K$2:$K$157,MATCH($W2,Calc!$A$2:$A$157,0)),"0.0")</f>
        <v>21.4 / 21.2</v>
      </c>
      <c r="V2" s="4" t="str">
        <f t="array" ref="V2">IFERROR(INDEX(Calc!$AQ$2:$AQ$157,MATCH($W2,Calc!$A$2:$A$157,0)),"")</f>
        <v/>
      </c>
      <c r="W2" s="4" t="s">
        <v>633</v>
      </c>
      <c r="X2" s="4" t="s">
        <v>634</v>
      </c>
      <c r="Y2" s="4" t="str">
        <f t="shared" ref="Y2:Y282" si="4">W2&amp;"|"&amp;X2</f>
        <v>yoqtwbv6uc6leni|CS2 · 100T vs SNG|H12</v>
      </c>
      <c r="Z2" s="12">
        <f t="array" ref="Z2">IFERROR(INDEX(CHOOSE(MATCH($X2,{"K1","K2","K3","K12","K13","H1","H2","H3","H12","H13"},0),Calc!$BA$2:$BA$157,Calc!$BB$2:$BB$157,Calc!$BC$2:$BC$157,Calc!$BD$2:$BD$157,Calc!$BE$2:$BE$157,Calc!$BF$2:$BF$157,Calc!$BG$2:$BG$157,Calc!$BH$2:$BH$157,Calc!$BI$2:$BI$157,Calc!$BJ$2:$BJ$157),MATCH($W2,Calc!$A$2:$A$157,0)),"")</f>
        <v>10.67746968</v>
      </c>
      <c r="AA2" s="12">
        <f t="array" ref="AA2">IF(Z2="","",IF(LEFT($X2,1)="H",SQRT(Z2*(IFERROR(INDEX(Calc!$AP$2:$AP$157,MATCH($W2,Calc!$A$2:$A$157,0)),0.5)*Config!$B$5+1-IFERROR(INDEX(Calc!$AP$2:$AP$157,MATCH($W2,Calc!$A$2:$A$157,0)),0.5))),SQRT(Z2*Config!$B$5)))</f>
        <v>3.473036624</v>
      </c>
      <c r="AB2" s="11">
        <f t="shared" ref="AB2:AB282" si="5">IF(OR(F2="",Z2="",N(AA2)&lt;=0),"",1-NORMDIST(FLOOR(F2,1)+0.5,Z2,AA2,TRUE))</f>
        <v>0.5203767964</v>
      </c>
      <c r="AC2" s="11">
        <f t="shared" ref="AC2:AC282" si="6">IF(AB2="","",NORMDIST(CEILING(F2,1)-0.5,Z2,AA2,TRUE))</f>
        <v>0.4796232036</v>
      </c>
      <c r="AD2" s="4" t="str">
        <f>IF(AB2="","",IF(AB2&gt;=0.5+Config!$B$6,"OVER",IF(AC2&gt;=0.5+Config!$B$6,"UNDER","—")))</f>
        <v>—</v>
      </c>
      <c r="AE2" s="18">
        <f t="shared" ref="AE2:AE282" si="7">IFERROR(Z2/G2,"")</f>
        <v>1.00351964</v>
      </c>
    </row>
    <row r="3">
      <c r="A3" s="4" t="s">
        <v>86</v>
      </c>
      <c r="B3" s="4" t="s">
        <v>364</v>
      </c>
      <c r="C3" s="4" t="s">
        <v>366</v>
      </c>
      <c r="D3" s="4" t="s">
        <v>368</v>
      </c>
      <c r="E3" s="4" t="s">
        <v>772</v>
      </c>
      <c r="F3" s="4">
        <v>31.5</v>
      </c>
      <c r="G3" s="12">
        <f t="array" ref="G3">IFERROR(INDEX(CHOOSE(MATCH($X3,{"K1","K2","K3","K12","K13","H1","H2","H3","H12","H13"},0),Calc!$V$2:$V$157,Calc!$AC$2:$AC$157,Calc!$AJ$2:$AJ$157,Calc!$AL$2:$AL$157,Calc!$AM$2:$AM$157,Calc!$W$2:$W$157,Calc!$AD$2:$AD$157,Calc!$AK$2:$AK$157,Calc!$AN$2:$AN$157,Calc!$AO$2:$AO$157),MATCH($W3,Calc!$A$2:$A$157,0)),"")</f>
        <v>32.82264286</v>
      </c>
      <c r="H3" s="12">
        <f t="array" ref="H3">IF(G3="","",IF(LEFT($X3,1)="H",SQRT(G3*(IFERROR(INDEX(Calc!$AP$2:$AP$157,MATCH($W3,Calc!$A$2:$A$157,0)),0.5)*Config!$B$5+1-IFERROR(INDEX(Calc!$AP$2:$AP$157,MATCH($W3,Calc!$A$2:$A$157,0)),0.5))),SQRT(G3*Config!$B$5)))</f>
        <v>6.778768325</v>
      </c>
      <c r="I3" s="11">
        <f t="shared" si="1"/>
        <v>0.5773487407</v>
      </c>
      <c r="J3" s="11">
        <f t="shared" si="2"/>
        <v>0.4226512593</v>
      </c>
      <c r="K3" s="11">
        <f t="shared" si="3"/>
        <v>0</v>
      </c>
      <c r="L3" s="4" t="str">
        <f>IF(I3="","",IF(I3&gt;=0.5+Config!$B$6,"OVER",IF(J3&gt;=0.5+Config!$B$6,"UNDER","—")))</f>
        <v>OVER</v>
      </c>
      <c r="N3" s="4">
        <v>31.0</v>
      </c>
      <c r="O3" s="11">
        <v>0.6</v>
      </c>
      <c r="P3" s="11">
        <v>0.4</v>
      </c>
      <c r="Q3" s="11">
        <v>0.4</v>
      </c>
      <c r="R3" s="4" t="s">
        <v>579</v>
      </c>
      <c r="S3" s="4">
        <v>-2.0</v>
      </c>
      <c r="T3" s="4" t="str">
        <f t="array" ref="T3">INDEX(Calc!$G$2:$G$157,MATCH($W3,Calc!$A$2:$A$157,0))&amp;" / "&amp;INDEX(Calc!$H$2:$H$157,MATCH($W3,Calc!$A$2:$A$157,0))</f>
        <v>Dust2 / Nuke</v>
      </c>
      <c r="U3" s="4" t="str">
        <f t="array" ref="U3">TEXT(INDEX(Calc!$J$2:$J$157,MATCH($W3,Calc!$A$2:$A$157,0)),"0.0")&amp;" / "&amp;TEXT(INDEX(Calc!$K$2:$K$157,MATCH($W3,Calc!$A$2:$A$157,0)),"0.0")</f>
        <v>21.4 / 21.2</v>
      </c>
      <c r="V3" s="4" t="str">
        <f t="array" ref="V3">IFERROR(INDEX(Calc!$AQ$2:$AQ$157,MATCH($W3,Calc!$A$2:$A$157,0)),"")</f>
        <v/>
      </c>
      <c r="W3" s="4" t="s">
        <v>633</v>
      </c>
      <c r="X3" s="4" t="s">
        <v>926</v>
      </c>
      <c r="Y3" s="4" t="str">
        <f t="shared" si="4"/>
        <v>yoqtwbv6uc6leni|CS2 · 100T vs SNG|K12</v>
      </c>
      <c r="Z3" s="12">
        <f t="array" ref="Z3">IFERROR(INDEX(CHOOSE(MATCH($X3,{"K1","K2","K3","K12","K13","H1","H2","H3","H12","H13"},0),Calc!$BA$2:$BA$157,Calc!$BB$2:$BB$157,Calc!$BC$2:$BC$157,Calc!$BD$2:$BD$157,Calc!$BE$2:$BE$157,Calc!$BF$2:$BF$157,Calc!$BG$2:$BG$157,Calc!$BH$2:$BH$157,Calc!$BI$2:$BI$157,Calc!$BJ$2:$BJ$157),MATCH($W3,Calc!$A$2:$A$157,0)),"")</f>
        <v>32.94272541</v>
      </c>
      <c r="AA3" s="12">
        <f t="array" ref="AA3">IF(Z3="","",IF(LEFT($X3,1)="H",SQRT(Z3*(IFERROR(INDEX(Calc!$AP$2:$AP$157,MATCH($W3,Calc!$A$2:$A$157,0)),0.5)*Config!$B$5+1-IFERROR(INDEX(Calc!$AP$2:$AP$157,MATCH($W3,Calc!$A$2:$A$157,0)),0.5))),SQRT(Z3*Config!$B$5)))</f>
        <v>6.791157161</v>
      </c>
      <c r="AB3" s="11">
        <f t="shared" si="5"/>
        <v>0.5841187973</v>
      </c>
      <c r="AC3" s="11">
        <f t="shared" si="6"/>
        <v>0.4158812027</v>
      </c>
      <c r="AD3" s="4" t="str">
        <f>IF(AB3="","",IF(AB3&gt;=0.5+Config!$B$6,"OVER",IF(AC3&gt;=0.5+Config!$B$6,"UNDER","—")))</f>
        <v>OVER</v>
      </c>
      <c r="AE3" s="18">
        <f t="shared" si="7"/>
        <v>1.003658528</v>
      </c>
    </row>
    <row r="4">
      <c r="A4" s="4" t="s">
        <v>86</v>
      </c>
      <c r="B4" s="4" t="s">
        <v>364</v>
      </c>
      <c r="C4" s="4" t="s">
        <v>945</v>
      </c>
      <c r="D4" s="4" t="s">
        <v>368</v>
      </c>
      <c r="E4" s="4" t="s">
        <v>370</v>
      </c>
      <c r="F4" s="4">
        <v>13.5</v>
      </c>
      <c r="G4" s="12">
        <f t="array" ref="G4">IFERROR(INDEX(CHOOSE(MATCH($X4,{"K1","K2","K3","K12","K13","H1","H2","H3","H12","H13"},0),Calc!$V$2:$V$157,Calc!$AC$2:$AC$157,Calc!$AJ$2:$AJ$157,Calc!$AL$2:$AL$157,Calc!$AM$2:$AM$157,Calc!$W$2:$W$157,Calc!$AD$2:$AD$157,Calc!$AK$2:$AK$157,Calc!$AN$2:$AN$157,Calc!$AO$2:$AO$157),MATCH($W4,Calc!$A$2:$A$157,0)),"")</f>
        <v>11.69246691</v>
      </c>
      <c r="H4" s="12">
        <f t="array" ref="H4">IF(G4="","",IF(LEFT($X4,1)="H",SQRT(G4*(IFERROR(INDEX(Calc!$AP$2:$AP$157,MATCH($W4,Calc!$A$2:$A$157,0)),0.5)*Config!$B$5+1-IFERROR(INDEX(Calc!$AP$2:$AP$157,MATCH($W4,Calc!$A$2:$A$157,0)),0.5))),SQRT(G4*Config!$B$5)))</f>
        <v>3.747660198</v>
      </c>
      <c r="I4" s="11">
        <f t="shared" si="1"/>
        <v>0.3147929579</v>
      </c>
      <c r="J4" s="11">
        <f t="shared" si="2"/>
        <v>0.6852070421</v>
      </c>
      <c r="K4" s="11">
        <f t="shared" si="3"/>
        <v>0</v>
      </c>
      <c r="L4" s="4" t="str">
        <f>IF(I4="","",IF(I4&gt;=0.5+Config!$B$6,"OVER",IF(J4&gt;=0.5+Config!$B$6,"UNDER","—")))</f>
        <v>UNDER</v>
      </c>
      <c r="N4" s="4">
        <v>11.1</v>
      </c>
      <c r="O4" s="11">
        <v>0.0</v>
      </c>
      <c r="P4" s="11">
        <v>0.2</v>
      </c>
      <c r="Q4" s="11">
        <v>0.33</v>
      </c>
      <c r="R4" s="4" t="s">
        <v>1038</v>
      </c>
      <c r="S4" s="4">
        <v>-6.0</v>
      </c>
      <c r="T4" s="4" t="str">
        <f t="array" ref="T4">INDEX(Calc!$G$2:$G$157,MATCH($W4,Calc!$A$2:$A$157,0))&amp;" / "&amp;INDEX(Calc!$H$2:$H$157,MATCH($W4,Calc!$A$2:$A$157,0))</f>
        <v>Dust2 / Nuke</v>
      </c>
      <c r="U4" s="4" t="str">
        <f t="array" ref="U4">TEXT(INDEX(Calc!$J$2:$J$157,MATCH($W4,Calc!$A$2:$A$157,0)),"0.0")&amp;" / "&amp;TEXT(INDEX(Calc!$K$2:$K$157,MATCH($W4,Calc!$A$2:$A$157,0)),"0.0")</f>
        <v>21.4 / 21.2</v>
      </c>
      <c r="V4" s="4" t="str">
        <f t="array" ref="V4">IFERROR(INDEX(Calc!$AQ$2:$AQ$157,MATCH($W4,Calc!$A$2:$A$157,0)),"")</f>
        <v/>
      </c>
      <c r="W4" s="4" t="s">
        <v>1058</v>
      </c>
      <c r="X4" s="4" t="s">
        <v>634</v>
      </c>
      <c r="Y4" s="4" t="str">
        <f t="shared" si="4"/>
        <v>acphdzip9ah477u|CS2 · 100T vs SNG|H12</v>
      </c>
      <c r="Z4" s="12">
        <f t="array" ref="Z4">IFERROR(INDEX(CHOOSE(MATCH($X4,{"K1","K2","K3","K12","K13","H1","H2","H3","H12","H13"},0),Calc!$BA$2:$BA$157,Calc!$BB$2:$BB$157,Calc!$BC$2:$BC$157,Calc!$BD$2:$BD$157,Calc!$BE$2:$BE$157,Calc!$BF$2:$BF$157,Calc!$BG$2:$BG$157,Calc!$BH$2:$BH$157,Calc!$BI$2:$BI$157,Calc!$BJ$2:$BJ$157),MATCH($W4,Calc!$A$2:$A$157,0)),"")</f>
        <v>11.73380129</v>
      </c>
      <c r="AA4" s="12">
        <f t="array" ref="AA4">IF(Z4="","",IF(LEFT($X4,1)="H",SQRT(Z4*(IFERROR(INDEX(Calc!$AP$2:$AP$157,MATCH($W4,Calc!$A$2:$A$157,0)),0.5)*Config!$B$5+1-IFERROR(INDEX(Calc!$AP$2:$AP$157,MATCH($W4,Calc!$A$2:$A$157,0)),0.5))),SQRT(Z4*Config!$B$5)))</f>
        <v>3.754278583</v>
      </c>
      <c r="AB4" s="11">
        <f t="shared" si="5"/>
        <v>0.3190169309</v>
      </c>
      <c r="AC4" s="11">
        <f t="shared" si="6"/>
        <v>0.6809830691</v>
      </c>
      <c r="AD4" s="4" t="str">
        <f>IF(AB4="","",IF(AB4&gt;=0.5+Config!$B$6,"OVER",IF(AC4&gt;=0.5+Config!$B$6,"UNDER","—")))</f>
        <v>UNDER</v>
      </c>
      <c r="AE4" s="18">
        <f t="shared" si="7"/>
        <v>1.003535128</v>
      </c>
    </row>
    <row r="5">
      <c r="A5" s="4" t="s">
        <v>86</v>
      </c>
      <c r="B5" s="4" t="s">
        <v>364</v>
      </c>
      <c r="C5" s="4" t="s">
        <v>945</v>
      </c>
      <c r="D5" s="4" t="s">
        <v>368</v>
      </c>
      <c r="E5" s="4" t="s">
        <v>772</v>
      </c>
      <c r="F5" s="4">
        <v>25.5</v>
      </c>
      <c r="G5" s="12">
        <f t="array" ref="G5">IFERROR(INDEX(CHOOSE(MATCH($X5,{"K1","K2","K3","K12","K13","H1","H2","H3","H12","H13"},0),Calc!$V$2:$V$157,Calc!$AC$2:$AC$157,Calc!$AJ$2:$AJ$157,Calc!$AL$2:$AL$157,Calc!$AM$2:$AM$157,Calc!$W$2:$W$157,Calc!$AD$2:$AD$157,Calc!$AK$2:$AK$157,Calc!$AN$2:$AN$157,Calc!$AO$2:$AO$157),MATCH($W5,Calc!$A$2:$A$157,0)),"")</f>
        <v>23.2458</v>
      </c>
      <c r="H5" s="12">
        <f t="array" ref="H5">IF(G5="","",IF(LEFT($X5,1)="H",SQRT(G5*(IFERROR(INDEX(Calc!$AP$2:$AP$157,MATCH($W5,Calc!$A$2:$A$157,0)),0.5)*Config!$B$5+1-IFERROR(INDEX(Calc!$AP$2:$AP$157,MATCH($W5,Calc!$A$2:$A$157,0)),0.5))),SQRT(G5*Config!$B$5)))</f>
        <v>5.704745393</v>
      </c>
      <c r="I5" s="11">
        <f t="shared" si="1"/>
        <v>0.3463680448</v>
      </c>
      <c r="J5" s="11">
        <f t="shared" si="2"/>
        <v>0.6536319552</v>
      </c>
      <c r="K5" s="11">
        <f t="shared" si="3"/>
        <v>0</v>
      </c>
      <c r="L5" s="4" t="str">
        <f>IF(I5="","",IF(I5&gt;=0.5+Config!$B$6,"OVER",IF(J5&gt;=0.5+Config!$B$6,"UNDER","—")))</f>
        <v>UNDER</v>
      </c>
      <c r="N5" s="4">
        <v>22.2</v>
      </c>
      <c r="O5" s="11">
        <v>0.2</v>
      </c>
      <c r="P5" s="11">
        <v>0.3</v>
      </c>
      <c r="Q5" s="11">
        <v>0.4</v>
      </c>
      <c r="R5" s="4" t="s">
        <v>1097</v>
      </c>
      <c r="S5" s="4">
        <v>-4.0</v>
      </c>
      <c r="T5" s="4" t="str">
        <f t="array" ref="T5">INDEX(Calc!$G$2:$G$157,MATCH($W5,Calc!$A$2:$A$157,0))&amp;" / "&amp;INDEX(Calc!$H$2:$H$157,MATCH($W5,Calc!$A$2:$A$157,0))</f>
        <v>Dust2 / Nuke</v>
      </c>
      <c r="U5" s="4" t="str">
        <f t="array" ref="U5">TEXT(INDEX(Calc!$J$2:$J$157,MATCH($W5,Calc!$A$2:$A$157,0)),"0.0")&amp;" / "&amp;TEXT(INDEX(Calc!$K$2:$K$157,MATCH($W5,Calc!$A$2:$A$157,0)),"0.0")</f>
        <v>21.4 / 21.2</v>
      </c>
      <c r="V5" s="4" t="str">
        <f t="array" ref="V5">IFERROR(INDEX(Calc!$AQ$2:$AQ$157,MATCH($W5,Calc!$A$2:$A$157,0)),"")</f>
        <v/>
      </c>
      <c r="W5" s="4" t="s">
        <v>1058</v>
      </c>
      <c r="X5" s="4" t="s">
        <v>926</v>
      </c>
      <c r="Y5" s="4" t="str">
        <f t="shared" si="4"/>
        <v>acphdzip9ah477u|CS2 · 100T vs SNG|K12</v>
      </c>
      <c r="Z5" s="12">
        <f t="array" ref="Z5">IFERROR(INDEX(CHOOSE(MATCH($X5,{"K1","K2","K3","K12","K13","H1","H2","H3","H12","H13"},0),Calc!$BA$2:$BA$157,Calc!$BB$2:$BB$157,Calc!$BC$2:$BC$157,Calc!$BD$2:$BD$157,Calc!$BE$2:$BE$157,Calc!$BF$2:$BF$157,Calc!$BG$2:$BG$157,Calc!$BH$2:$BH$157,Calc!$BI$2:$BI$157,Calc!$BJ$2:$BJ$157),MATCH($W5,Calc!$A$2:$A$157,0)),"")</f>
        <v>23.33343671</v>
      </c>
      <c r="AA5" s="12">
        <f t="array" ref="AA5">IF(Z5="","",IF(LEFT($X5,1)="H",SQRT(Z5*(IFERROR(INDEX(Calc!$AP$2:$AP$157,MATCH($W5,Calc!$A$2:$A$157,0)),0.5)*Config!$B$5+1-IFERROR(INDEX(Calc!$AP$2:$AP$157,MATCH($W5,Calc!$A$2:$A$157,0)),0.5))),SQRT(Z5*Config!$B$5)))</f>
        <v>5.715488728</v>
      </c>
      <c r="AB5" s="11">
        <f t="shared" si="5"/>
        <v>0.3523183981</v>
      </c>
      <c r="AC5" s="11">
        <f t="shared" si="6"/>
        <v>0.6476816019</v>
      </c>
      <c r="AD5" s="4" t="str">
        <f>IF(AB5="","",IF(AB5&gt;=0.5+Config!$B$6,"OVER",IF(AC5&gt;=0.5+Config!$B$6,"UNDER","—")))</f>
        <v>UNDER</v>
      </c>
      <c r="AE5" s="18">
        <f t="shared" si="7"/>
        <v>1.003770002</v>
      </c>
    </row>
    <row r="6">
      <c r="A6" s="4" t="s">
        <v>86</v>
      </c>
      <c r="B6" s="4" t="s">
        <v>364</v>
      </c>
      <c r="C6" s="4" t="s">
        <v>1151</v>
      </c>
      <c r="D6" s="4" t="s">
        <v>368</v>
      </c>
      <c r="E6" s="4" t="s">
        <v>370</v>
      </c>
      <c r="F6" s="4">
        <v>18.5</v>
      </c>
      <c r="G6" s="12">
        <f t="array" ref="G6">IFERROR(INDEX(CHOOSE(MATCH($X6,{"K1","K2","K3","K12","K13","H1","H2","H3","H12","H13"},0),Calc!$V$2:$V$157,Calc!$AC$2:$AC$157,Calc!$AJ$2:$AJ$157,Calc!$AL$2:$AL$157,Calc!$AM$2:$AM$157,Calc!$W$2:$W$157,Calc!$AD$2:$AD$157,Calc!$AK$2:$AK$157,Calc!$AN$2:$AN$157,Calc!$AO$2:$AO$157),MATCH($W6,Calc!$A$2:$A$157,0)),"")</f>
        <v>17.95556249</v>
      </c>
      <c r="H6" s="12">
        <f t="array" ref="H6">IF(G6="","",IF(LEFT($X6,1)="H",SQRT(G6*(IFERROR(INDEX(Calc!$AP$2:$AP$157,MATCH($W6,Calc!$A$2:$A$157,0)),0.5)*Config!$B$5+1-IFERROR(INDEX(Calc!$AP$2:$AP$157,MATCH($W6,Calc!$A$2:$A$157,0)),0.5))),SQRT(G6*Config!$B$5)))</f>
        <v>4.6921306</v>
      </c>
      <c r="I6" s="11">
        <f t="shared" si="1"/>
        <v>0.4538135723</v>
      </c>
      <c r="J6" s="11">
        <f t="shared" si="2"/>
        <v>0.5461864277</v>
      </c>
      <c r="K6" s="11">
        <f t="shared" si="3"/>
        <v>0</v>
      </c>
      <c r="L6" s="4" t="str">
        <f>IF(I6="","",IF(I6&gt;=0.5+Config!$B$6,"OVER",IF(J6&gt;=0.5+Config!$B$6,"UNDER","—")))</f>
        <v>UNDER</v>
      </c>
      <c r="N6" s="4">
        <v>19.2</v>
      </c>
      <c r="O6" s="11">
        <v>0.8</v>
      </c>
      <c r="P6" s="11">
        <v>0.5</v>
      </c>
      <c r="Q6" s="11">
        <v>0.47</v>
      </c>
      <c r="R6" s="4" t="s">
        <v>1158</v>
      </c>
      <c r="S6" s="4">
        <v>-1.0</v>
      </c>
      <c r="T6" s="4" t="str">
        <f t="array" ref="T6">INDEX(Calc!$G$2:$G$157,MATCH($W6,Calc!$A$2:$A$157,0))&amp;" / "&amp;INDEX(Calc!$H$2:$H$157,MATCH($W6,Calc!$A$2:$A$157,0))</f>
        <v>Dust2 / Nuke</v>
      </c>
      <c r="U6" s="4" t="str">
        <f t="array" ref="U6">TEXT(INDEX(Calc!$J$2:$J$157,MATCH($W6,Calc!$A$2:$A$157,0)),"0.0")&amp;" / "&amp;TEXT(INDEX(Calc!$K$2:$K$157,MATCH($W6,Calc!$A$2:$A$157,0)),"0.0")</f>
        <v>21.4 / 21.2</v>
      </c>
      <c r="V6" s="4" t="str">
        <f t="array" ref="V6">IFERROR(INDEX(Calc!$AQ$2:$AQ$157,MATCH($W6,Calc!$A$2:$A$157,0)),"")</f>
        <v/>
      </c>
      <c r="W6" s="4" t="s">
        <v>1159</v>
      </c>
      <c r="X6" s="4" t="s">
        <v>634</v>
      </c>
      <c r="Y6" s="4" t="str">
        <f t="shared" si="4"/>
        <v>irrertmif0zjlof|CS2 · 100T vs SNG|H12</v>
      </c>
      <c r="Z6" s="12">
        <f t="array" ref="Z6">IFERROR(INDEX(CHOOSE(MATCH($X6,{"K1","K2","K3","K12","K13","H1","H2","H3","H12","H13"},0),Calc!$BA$2:$BA$157,Calc!$BB$2:$BB$157,Calc!$BC$2:$BC$157,Calc!$BD$2:$BD$157,Calc!$BE$2:$BE$157,Calc!$BF$2:$BF$157,Calc!$BG$2:$BG$157,Calc!$BH$2:$BH$157,Calc!$BI$2:$BI$157,Calc!$BJ$2:$BJ$157),MATCH($W6,Calc!$A$2:$A$157,0)),"")</f>
        <v>18.02418966</v>
      </c>
      <c r="AA6" s="12">
        <f t="array" ref="AA6">IF(Z6="","",IF(LEFT($X6,1)="H",SQRT(Z6*(IFERROR(INDEX(Calc!$AP$2:$AP$157,MATCH($W6,Calc!$A$2:$A$157,0)),0.5)*Config!$B$5+1-IFERROR(INDEX(Calc!$AP$2:$AP$157,MATCH($W6,Calc!$A$2:$A$157,0)),0.5))),SQRT(Z6*Config!$B$5)))</f>
        <v>4.701088841</v>
      </c>
      <c r="AB6" s="11">
        <f t="shared" si="5"/>
        <v>0.4596907697</v>
      </c>
      <c r="AC6" s="11">
        <f t="shared" si="6"/>
        <v>0.5403092303</v>
      </c>
      <c r="AD6" s="4" t="str">
        <f>IF(AB6="","",IF(AB6&gt;=0.5+Config!$B$6,"OVER",IF(AC6&gt;=0.5+Config!$B$6,"UNDER","—")))</f>
        <v>UNDER</v>
      </c>
      <c r="AE6" s="18">
        <f t="shared" si="7"/>
        <v>1.003822056</v>
      </c>
    </row>
    <row r="7">
      <c r="A7" s="4" t="s">
        <v>86</v>
      </c>
      <c r="B7" s="4" t="s">
        <v>364</v>
      </c>
      <c r="C7" s="4" t="s">
        <v>1151</v>
      </c>
      <c r="D7" s="4" t="s">
        <v>368</v>
      </c>
      <c r="E7" s="4" t="s">
        <v>772</v>
      </c>
      <c r="F7" s="4">
        <v>31.5</v>
      </c>
      <c r="G7" s="12">
        <f t="array" ref="G7">IFERROR(INDEX(CHOOSE(MATCH($X7,{"K1","K2","K3","K12","K13","H1","H2","H3","H12","H13"},0),Calc!$V$2:$V$157,Calc!$AC$2:$AC$157,Calc!$AJ$2:$AJ$157,Calc!$AL$2:$AL$157,Calc!$AM$2:$AM$157,Calc!$W$2:$W$157,Calc!$AD$2:$AD$157,Calc!$AK$2:$AK$157,Calc!$AN$2:$AN$157,Calc!$AO$2:$AO$157),MATCH($W7,Calc!$A$2:$A$157,0)),"")</f>
        <v>31.75964286</v>
      </c>
      <c r="H7" s="12">
        <f t="array" ref="H7">IF(G7="","",IF(LEFT($X7,1)="H",SQRT(G7*(IFERROR(INDEX(Calc!$AP$2:$AP$157,MATCH($W7,Calc!$A$2:$A$157,0)),0.5)*Config!$B$5+1-IFERROR(INDEX(Calc!$AP$2:$AP$157,MATCH($W7,Calc!$A$2:$A$157,0)),0.5))),SQRT(G7*Config!$B$5)))</f>
        <v>6.66809568</v>
      </c>
      <c r="I7" s="11">
        <f t="shared" si="1"/>
        <v>0.5155301228</v>
      </c>
      <c r="J7" s="11">
        <f t="shared" si="2"/>
        <v>0.4844698772</v>
      </c>
      <c r="K7" s="11">
        <f t="shared" si="3"/>
        <v>0</v>
      </c>
      <c r="L7" s="4" t="str">
        <f>IF(I7="","",IF(I7&gt;=0.5+Config!$B$6,"OVER",IF(J7&gt;=0.5+Config!$B$6,"UNDER","—")))</f>
        <v>—</v>
      </c>
      <c r="N7" s="4">
        <v>32.5</v>
      </c>
      <c r="O7" s="11">
        <v>0.4</v>
      </c>
      <c r="P7" s="11">
        <v>0.5</v>
      </c>
      <c r="Q7" s="11">
        <v>0.47</v>
      </c>
      <c r="R7" s="4" t="s">
        <v>1158</v>
      </c>
      <c r="S7" s="4">
        <v>-3.0</v>
      </c>
      <c r="T7" s="4" t="str">
        <f t="array" ref="T7">INDEX(Calc!$G$2:$G$157,MATCH($W7,Calc!$A$2:$A$157,0))&amp;" / "&amp;INDEX(Calc!$H$2:$H$157,MATCH($W7,Calc!$A$2:$A$157,0))</f>
        <v>Dust2 / Nuke</v>
      </c>
      <c r="U7" s="4" t="str">
        <f t="array" ref="U7">TEXT(INDEX(Calc!$J$2:$J$157,MATCH($W7,Calc!$A$2:$A$157,0)),"0.0")&amp;" / "&amp;TEXT(INDEX(Calc!$K$2:$K$157,MATCH($W7,Calc!$A$2:$A$157,0)),"0.0")</f>
        <v>21.4 / 21.2</v>
      </c>
      <c r="V7" s="4" t="str">
        <f t="array" ref="V7">IFERROR(INDEX(Calc!$AQ$2:$AQ$157,MATCH($W7,Calc!$A$2:$A$157,0)),"")</f>
        <v/>
      </c>
      <c r="W7" s="4" t="s">
        <v>1159</v>
      </c>
      <c r="X7" s="4" t="s">
        <v>926</v>
      </c>
      <c r="Y7" s="4" t="str">
        <f t="shared" si="4"/>
        <v>irrertmif0zjlof|CS2 · 100T vs SNG|K12</v>
      </c>
      <c r="Z7" s="12">
        <f t="array" ref="Z7">IFERROR(INDEX(CHOOSE(MATCH($X7,{"K1","K2","K3","K12","K13","H1","H2","H3","H12","H13"},0),Calc!$BA$2:$BA$157,Calc!$BB$2:$BB$157,Calc!$BC$2:$BC$157,Calc!$BD$2:$BD$157,Calc!$BE$2:$BE$157,Calc!$BF$2:$BF$157,Calc!$BG$2:$BG$157,Calc!$BH$2:$BH$157,Calc!$BI$2:$BI$157,Calc!$BJ$2:$BJ$157),MATCH($W7,Calc!$A$2:$A$157,0)),"")</f>
        <v>31.87824216</v>
      </c>
      <c r="AA7" s="12">
        <f t="array" ref="AA7">IF(Z7="","",IF(LEFT($X7,1)="H",SQRT(Z7*(IFERROR(INDEX(Calc!$AP$2:$AP$157,MATCH($W7,Calc!$A$2:$A$157,0)),0.5)*Config!$B$5+1-IFERROR(INDEX(Calc!$AP$2:$AP$157,MATCH($W7,Calc!$A$2:$A$157,0)),0.5))),SQRT(Z7*Config!$B$5)))</f>
        <v>6.680534336</v>
      </c>
      <c r="AB7" s="11">
        <f t="shared" si="5"/>
        <v>0.5225754707</v>
      </c>
      <c r="AC7" s="11">
        <f t="shared" si="6"/>
        <v>0.4774245293</v>
      </c>
      <c r="AD7" s="4" t="str">
        <f>IF(AB7="","",IF(AB7&gt;=0.5+Config!$B$6,"OVER",IF(AC7&gt;=0.5+Config!$B$6,"UNDER","—")))</f>
        <v>—</v>
      </c>
      <c r="AE7" s="18">
        <f t="shared" si="7"/>
        <v>1.003734277</v>
      </c>
    </row>
    <row r="8">
      <c r="A8" s="4" t="s">
        <v>86</v>
      </c>
      <c r="B8" s="4" t="s">
        <v>364</v>
      </c>
      <c r="C8" s="4" t="s">
        <v>1167</v>
      </c>
      <c r="D8" s="4" t="s">
        <v>368</v>
      </c>
      <c r="E8" s="4" t="s">
        <v>370</v>
      </c>
      <c r="F8" s="4">
        <v>16.5</v>
      </c>
      <c r="G8" s="12">
        <f t="array" ref="G8">IFERROR(INDEX(CHOOSE(MATCH($X8,{"K1","K2","K3","K12","K13","H1","H2","H3","H12","H13"},0),Calc!$V$2:$V$157,Calc!$AC$2:$AC$157,Calc!$AJ$2:$AJ$157,Calc!$AL$2:$AL$157,Calc!$AM$2:$AM$157,Calc!$W$2:$W$157,Calc!$AD$2:$AD$157,Calc!$AK$2:$AK$157,Calc!$AN$2:$AN$157,Calc!$AO$2:$AO$157),MATCH($W8,Calc!$A$2:$A$157,0)),"")</f>
        <v>18.42754847</v>
      </c>
      <c r="H8" s="12">
        <f t="array" ref="H8">IF(G8="","",IF(LEFT($X8,1)="H",SQRT(G8*(IFERROR(INDEX(Calc!$AP$2:$AP$157,MATCH($W8,Calc!$A$2:$A$157,0)),0.5)*Config!$B$5+1-IFERROR(INDEX(Calc!$AP$2:$AP$157,MATCH($W8,Calc!$A$2:$A$157,0)),0.5))),SQRT(G8*Config!$B$5)))</f>
        <v>4.761140303</v>
      </c>
      <c r="I8" s="11">
        <f t="shared" si="1"/>
        <v>0.6572061767</v>
      </c>
      <c r="J8" s="11">
        <f t="shared" si="2"/>
        <v>0.3427938233</v>
      </c>
      <c r="K8" s="11">
        <f t="shared" si="3"/>
        <v>0</v>
      </c>
      <c r="L8" s="4" t="str">
        <f>IF(I8="","",IF(I8&gt;=0.5+Config!$B$6,"OVER",IF(J8&gt;=0.5+Config!$B$6,"UNDER","—")))</f>
        <v>OVER</v>
      </c>
      <c r="N8" s="4">
        <v>18.4</v>
      </c>
      <c r="O8" s="11">
        <v>0.6</v>
      </c>
      <c r="P8" s="11">
        <v>0.6</v>
      </c>
      <c r="Q8" s="11">
        <v>0.47</v>
      </c>
      <c r="R8" s="4" t="s">
        <v>1176</v>
      </c>
      <c r="S8" s="4">
        <v>2.0</v>
      </c>
      <c r="T8" s="4" t="str">
        <f t="array" ref="T8">INDEX(Calc!$G$2:$G$157,MATCH($W8,Calc!$A$2:$A$157,0))&amp;" / "&amp;INDEX(Calc!$H$2:$H$157,MATCH($W8,Calc!$A$2:$A$157,0))</f>
        <v>Dust2 / Nuke</v>
      </c>
      <c r="U8" s="4" t="str">
        <f t="array" ref="U8">TEXT(INDEX(Calc!$J$2:$J$157,MATCH($W8,Calc!$A$2:$A$157,0)),"0.0")&amp;" / "&amp;TEXT(INDEX(Calc!$K$2:$K$157,MATCH($W8,Calc!$A$2:$A$157,0)),"0.0")</f>
        <v>21.4 / 21.2</v>
      </c>
      <c r="V8" s="4" t="str">
        <f t="array" ref="V8">IFERROR(INDEX(Calc!$AQ$2:$AQ$157,MATCH($W8,Calc!$A$2:$A$157,0)),"")</f>
        <v/>
      </c>
      <c r="W8" s="4" t="s">
        <v>1177</v>
      </c>
      <c r="X8" s="4" t="s">
        <v>634</v>
      </c>
      <c r="Y8" s="4" t="str">
        <f t="shared" si="4"/>
        <v>cy7qneakzvjx5w7|CS2 · 100T vs SNG|H12</v>
      </c>
      <c r="Z8" s="12">
        <f t="array" ref="Z8">IFERROR(INDEX(CHOOSE(MATCH($X8,{"K1","K2","K3","K12","K13","H1","H2","H3","H12","H13"},0),Calc!$BA$2:$BA$157,Calc!$BB$2:$BB$157,Calc!$BC$2:$BC$157,Calc!$BD$2:$BD$157,Calc!$BE$2:$BE$157,Calc!$BF$2:$BF$157,Calc!$BG$2:$BG$157,Calc!$BH$2:$BH$157,Calc!$BI$2:$BI$157,Calc!$BJ$2:$BJ$157),MATCH($W8,Calc!$A$2:$A$157,0)),"")</f>
        <v>18.49327797</v>
      </c>
      <c r="AA8" s="12">
        <f t="array" ref="AA8">IF(Z8="","",IF(LEFT($X8,1)="H",SQRT(Z8*(IFERROR(INDEX(Calc!$AP$2:$AP$157,MATCH($W8,Calc!$A$2:$A$157,0)),0.5)*Config!$B$5+1-IFERROR(INDEX(Calc!$AP$2:$AP$157,MATCH($W8,Calc!$A$2:$A$157,0)),0.5))),SQRT(Z8*Config!$B$5)))</f>
        <v>4.769624036</v>
      </c>
      <c r="AB8" s="11">
        <f t="shared" si="5"/>
        <v>0.6619938762</v>
      </c>
      <c r="AC8" s="11">
        <f t="shared" si="6"/>
        <v>0.3380061238</v>
      </c>
      <c r="AD8" s="4" t="str">
        <f>IF(AB8="","",IF(AB8&gt;=0.5+Config!$B$6,"OVER",IF(AC8&gt;=0.5+Config!$B$6,"UNDER","—")))</f>
        <v>OVER</v>
      </c>
      <c r="AE8" s="18">
        <f t="shared" si="7"/>
        <v>1.003566915</v>
      </c>
    </row>
    <row r="9">
      <c r="A9" s="4" t="s">
        <v>86</v>
      </c>
      <c r="B9" s="4" t="s">
        <v>364</v>
      </c>
      <c r="C9" s="4" t="s">
        <v>1167</v>
      </c>
      <c r="D9" s="4" t="s">
        <v>368</v>
      </c>
      <c r="E9" s="4" t="s">
        <v>772</v>
      </c>
      <c r="F9" s="4">
        <v>29.5</v>
      </c>
      <c r="G9" s="12">
        <f t="array" ref="G9">IFERROR(INDEX(CHOOSE(MATCH($X9,{"K1","K2","K3","K12","K13","H1","H2","H3","H12","H13"},0),Calc!$V$2:$V$157,Calc!$AC$2:$AC$157,Calc!$AJ$2:$AJ$157,Calc!$AL$2:$AL$157,Calc!$AM$2:$AM$157,Calc!$W$2:$W$157,Calc!$AD$2:$AD$157,Calc!$AK$2:$AK$157,Calc!$AN$2:$AN$157,Calc!$AO$2:$AO$157),MATCH($W9,Calc!$A$2:$A$157,0)),"")</f>
        <v>32.02847143</v>
      </c>
      <c r="H9" s="12">
        <f t="array" ref="H9">IF(G9="","",IF(LEFT($X9,1)="H",SQRT(G9*(IFERROR(INDEX(Calc!$AP$2:$AP$157,MATCH($W9,Calc!$A$2:$A$157,0)),0.5)*Config!$B$5+1-IFERROR(INDEX(Calc!$AP$2:$AP$157,MATCH($W9,Calc!$A$2:$A$157,0)),0.5))),SQRT(G9*Config!$B$5)))</f>
        <v>6.696257164</v>
      </c>
      <c r="I9" s="11">
        <f t="shared" si="1"/>
        <v>0.6471341606</v>
      </c>
      <c r="J9" s="11">
        <f t="shared" si="2"/>
        <v>0.3528658394</v>
      </c>
      <c r="K9" s="11">
        <f t="shared" si="3"/>
        <v>0</v>
      </c>
      <c r="L9" s="4" t="str">
        <f>IF(I9="","",IF(I9&gt;=0.5+Config!$B$6,"OVER",IF(J9&gt;=0.5+Config!$B$6,"UNDER","—")))</f>
        <v>OVER</v>
      </c>
      <c r="N9" s="4">
        <v>31.9</v>
      </c>
      <c r="O9" s="11">
        <v>0.6</v>
      </c>
      <c r="P9" s="11">
        <v>0.6</v>
      </c>
      <c r="Q9" s="11">
        <v>0.53</v>
      </c>
      <c r="R9" s="4" t="s">
        <v>1176</v>
      </c>
      <c r="S9" s="4">
        <v>2.0</v>
      </c>
      <c r="T9" s="4" t="str">
        <f t="array" ref="T9">INDEX(Calc!$G$2:$G$157,MATCH($W9,Calc!$A$2:$A$157,0))&amp;" / "&amp;INDEX(Calc!$H$2:$H$157,MATCH($W9,Calc!$A$2:$A$157,0))</f>
        <v>Dust2 / Nuke</v>
      </c>
      <c r="U9" s="4" t="str">
        <f t="array" ref="U9">TEXT(INDEX(Calc!$J$2:$J$157,MATCH($W9,Calc!$A$2:$A$157,0)),"0.0")&amp;" / "&amp;TEXT(INDEX(Calc!$K$2:$K$157,MATCH($W9,Calc!$A$2:$A$157,0)),"0.0")</f>
        <v>21.4 / 21.2</v>
      </c>
      <c r="V9" s="4" t="str">
        <f t="array" ref="V9">IFERROR(INDEX(Calc!$AQ$2:$AQ$157,MATCH($W9,Calc!$A$2:$A$157,0)),"")</f>
        <v/>
      </c>
      <c r="W9" s="4" t="s">
        <v>1177</v>
      </c>
      <c r="X9" s="4" t="s">
        <v>926</v>
      </c>
      <c r="Y9" s="4" t="str">
        <f t="shared" si="4"/>
        <v>cy7qneakzvjx5w7|CS2 · 100T vs SNG|K12</v>
      </c>
      <c r="Z9" s="12">
        <f t="array" ref="Z9">IFERROR(INDEX(CHOOSE(MATCH($X9,{"K1","K2","K3","K12","K13","H1","H2","H3","H12","H13"},0),Calc!$BA$2:$BA$157,Calc!$BB$2:$BB$157,Calc!$BC$2:$BC$157,Calc!$BD$2:$BD$157,Calc!$BE$2:$BE$157,Calc!$BF$2:$BF$157,Calc!$BG$2:$BG$157,Calc!$BH$2:$BH$157,Calc!$BI$2:$BI$157,Calc!$BJ$2:$BJ$157),MATCH($W9,Calc!$A$2:$A$157,0)),"")</f>
        <v>32.14400397</v>
      </c>
      <c r="AA9" s="12">
        <f t="array" ref="AA9">IF(Z9="","",IF(LEFT($X9,1)="H",SQRT(Z9*(IFERROR(INDEX(Calc!$AP$2:$AP$157,MATCH($W9,Calc!$A$2:$A$157,0)),0.5)*Config!$B$5+1-IFERROR(INDEX(Calc!$AP$2:$AP$157,MATCH($W9,Calc!$A$2:$A$157,0)),0.5))),SQRT(Z9*Config!$B$5)))</f>
        <v>6.708323602</v>
      </c>
      <c r="AB9" s="11">
        <f t="shared" si="5"/>
        <v>0.6532603509</v>
      </c>
      <c r="AC9" s="11">
        <f t="shared" si="6"/>
        <v>0.3467396491</v>
      </c>
      <c r="AD9" s="4" t="str">
        <f>IF(AB9="","",IF(AB9&gt;=0.5+Config!$B$6,"OVER",IF(AC9&gt;=0.5+Config!$B$6,"UNDER","—")))</f>
        <v>OVER</v>
      </c>
      <c r="AE9" s="18">
        <f t="shared" si="7"/>
        <v>1.003607182</v>
      </c>
    </row>
    <row r="10">
      <c r="A10" s="4" t="s">
        <v>86</v>
      </c>
      <c r="B10" s="4" t="s">
        <v>364</v>
      </c>
      <c r="C10" s="4" t="s">
        <v>1219</v>
      </c>
      <c r="D10" s="4" t="s">
        <v>368</v>
      </c>
      <c r="E10" s="4" t="s">
        <v>370</v>
      </c>
      <c r="F10" s="4">
        <v>17.5</v>
      </c>
      <c r="G10" s="12">
        <f t="array" ref="G10">IFERROR(INDEX(CHOOSE(MATCH($X10,{"K1","K2","K3","K12","K13","H1","H2","H3","H12","H13"},0),Calc!$V$2:$V$157,Calc!$AC$2:$AC$157,Calc!$AJ$2:$AJ$157,Calc!$AL$2:$AL$157,Calc!$AM$2:$AM$157,Calc!$W$2:$W$157,Calc!$AD$2:$AD$157,Calc!$AK$2:$AK$157,Calc!$AN$2:$AN$157,Calc!$AO$2:$AO$157),MATCH($W10,Calc!$A$2:$A$157,0)),"")</f>
        <v>18.82754913</v>
      </c>
      <c r="H10" s="12">
        <f t="array" ref="H10">IF(G10="","",IF(LEFT($X10,1)="H",SQRT(G10*(IFERROR(INDEX(Calc!$AP$2:$AP$157,MATCH($W10,Calc!$A$2:$A$157,0)),0.5)*Config!$B$5+1-IFERROR(INDEX(Calc!$AP$2:$AP$157,MATCH($W10,Calc!$A$2:$A$157,0)),0.5))),SQRT(G10*Config!$B$5)))</f>
        <v>4.855647347</v>
      </c>
      <c r="I10" s="11">
        <f t="shared" si="1"/>
        <v>0.6077283224</v>
      </c>
      <c r="J10" s="11">
        <f t="shared" si="2"/>
        <v>0.3922716776</v>
      </c>
      <c r="K10" s="11">
        <f t="shared" si="3"/>
        <v>0</v>
      </c>
      <c r="L10" s="4" t="str">
        <f>IF(I10="","",IF(I10&gt;=0.5+Config!$B$6,"OVER",IF(J10&gt;=0.5+Config!$B$6,"UNDER","—")))</f>
        <v>OVER</v>
      </c>
      <c r="N10" s="4">
        <v>17.9</v>
      </c>
      <c r="O10" s="11">
        <v>0.8</v>
      </c>
      <c r="P10" s="11">
        <v>0.7</v>
      </c>
      <c r="Q10" s="11">
        <v>0.47</v>
      </c>
      <c r="R10" s="4" t="s">
        <v>1296</v>
      </c>
      <c r="S10" s="4">
        <v>-1.0</v>
      </c>
      <c r="T10" s="4" t="str">
        <f t="array" ref="T10">INDEX(Calc!$G$2:$G$157,MATCH($W10,Calc!$A$2:$A$157,0))&amp;" / "&amp;INDEX(Calc!$H$2:$H$157,MATCH($W10,Calc!$A$2:$A$157,0))</f>
        <v>Dust2 / Nuke</v>
      </c>
      <c r="U10" s="4" t="str">
        <f t="array" ref="U10">TEXT(INDEX(Calc!$J$2:$J$157,MATCH($W10,Calc!$A$2:$A$157,0)),"0.0")&amp;" / "&amp;TEXT(INDEX(Calc!$K$2:$K$157,MATCH($W10,Calc!$A$2:$A$157,0)),"0.0")</f>
        <v>21.4 / 21.2</v>
      </c>
      <c r="V10" s="4" t="str">
        <f t="array" ref="V10">IFERROR(INDEX(Calc!$AQ$2:$AQ$157,MATCH($W10,Calc!$A$2:$A$157,0)),"")</f>
        <v/>
      </c>
      <c r="W10" s="4" t="s">
        <v>1328</v>
      </c>
      <c r="X10" s="4" t="s">
        <v>634</v>
      </c>
      <c r="Y10" s="4" t="str">
        <f t="shared" si="4"/>
        <v>v1kk02jq1q269h8|CS2 · 100T vs SNG|H12</v>
      </c>
      <c r="Z10" s="12">
        <f t="array" ref="Z10">IFERROR(INDEX(CHOOSE(MATCH($X10,{"K1","K2","K3","K12","K13","H1","H2","H3","H12","H13"},0),Calc!$BA$2:$BA$157,Calc!$BB$2:$BB$157,Calc!$BC$2:$BC$157,Calc!$BD$2:$BD$157,Calc!$BE$2:$BE$157,Calc!$BF$2:$BF$157,Calc!$BG$2:$BG$157,Calc!$BH$2:$BH$157,Calc!$BI$2:$BI$157,Calc!$BJ$2:$BJ$157),MATCH($W10,Calc!$A$2:$A$157,0)),"")</f>
        <v>18.89214243</v>
      </c>
      <c r="AA10" s="12">
        <f t="array" ref="AA10">IF(Z10="","",IF(LEFT($X10,1)="H",SQRT(Z10*(IFERROR(INDEX(Calc!$AP$2:$AP$157,MATCH($W10,Calc!$A$2:$A$157,0)),0.5)*Config!$B$5+1-IFERROR(INDEX(Calc!$AP$2:$AP$157,MATCH($W10,Calc!$A$2:$A$157,0)),0.5))),SQRT(Z10*Config!$B$5)))</f>
        <v>4.863969559</v>
      </c>
      <c r="AB10" s="11">
        <f t="shared" si="5"/>
        <v>0.6126433807</v>
      </c>
      <c r="AC10" s="11">
        <f t="shared" si="6"/>
        <v>0.3873566193</v>
      </c>
      <c r="AD10" s="4" t="str">
        <f>IF(AB10="","",IF(AB10&gt;=0.5+Config!$B$6,"OVER",IF(AC10&gt;=0.5+Config!$B$6,"UNDER","—")))</f>
        <v>OVER</v>
      </c>
      <c r="AE10" s="18">
        <f t="shared" si="7"/>
        <v>1.003430786</v>
      </c>
    </row>
    <row r="11">
      <c r="A11" s="4" t="s">
        <v>86</v>
      </c>
      <c r="B11" s="4" t="s">
        <v>364</v>
      </c>
      <c r="C11" s="4" t="s">
        <v>1219</v>
      </c>
      <c r="D11" s="4" t="s">
        <v>368</v>
      </c>
      <c r="E11" s="4" t="s">
        <v>772</v>
      </c>
      <c r="F11" s="4">
        <v>29.5</v>
      </c>
      <c r="G11" s="12">
        <f t="array" ref="G11">IFERROR(INDEX(CHOOSE(MATCH($X11,{"K1","K2","K3","K12","K13","H1","H2","H3","H12","H13"},0),Calc!$V$2:$V$157,Calc!$AC$2:$AC$157,Calc!$AJ$2:$AJ$157,Calc!$AL$2:$AL$157,Calc!$AM$2:$AM$157,Calc!$W$2:$W$157,Calc!$AD$2:$AD$157,Calc!$AK$2:$AK$157,Calc!$AN$2:$AN$157,Calc!$AO$2:$AO$157),MATCH($W11,Calc!$A$2:$A$157,0)),"")</f>
        <v>29.85215714</v>
      </c>
      <c r="H11" s="12">
        <f t="array" ref="H11">IF(G11="","",IF(LEFT($X11,1)="H",SQRT(G11*(IFERROR(INDEX(Calc!$AP$2:$AP$157,MATCH($W11,Calc!$A$2:$A$157,0)),0.5)*Config!$B$5+1-IFERROR(INDEX(Calc!$AP$2:$AP$157,MATCH($W11,Calc!$A$2:$A$157,0)),0.5))),SQRT(G11*Config!$B$5)))</f>
        <v>6.464752122</v>
      </c>
      <c r="I11" s="11">
        <f t="shared" si="1"/>
        <v>0.5217210066</v>
      </c>
      <c r="J11" s="11">
        <f t="shared" si="2"/>
        <v>0.4782789934</v>
      </c>
      <c r="K11" s="11">
        <f t="shared" si="3"/>
        <v>0</v>
      </c>
      <c r="L11" s="4" t="str">
        <f>IF(I11="","",IF(I11&gt;=0.5+Config!$B$6,"OVER",IF(J11&gt;=0.5+Config!$B$6,"UNDER","—")))</f>
        <v>—</v>
      </c>
      <c r="N11" s="4">
        <v>29.9</v>
      </c>
      <c r="O11" s="11">
        <v>0.2</v>
      </c>
      <c r="P11" s="11">
        <v>0.4</v>
      </c>
      <c r="Q11" s="11">
        <v>0.27</v>
      </c>
      <c r="R11" s="4" t="s">
        <v>1296</v>
      </c>
      <c r="S11" s="4">
        <v>-4.0</v>
      </c>
      <c r="T11" s="4" t="str">
        <f t="array" ref="T11">INDEX(Calc!$G$2:$G$157,MATCH($W11,Calc!$A$2:$A$157,0))&amp;" / "&amp;INDEX(Calc!$H$2:$H$157,MATCH($W11,Calc!$A$2:$A$157,0))</f>
        <v>Dust2 / Nuke</v>
      </c>
      <c r="U11" s="4" t="str">
        <f t="array" ref="U11">TEXT(INDEX(Calc!$J$2:$J$157,MATCH($W11,Calc!$A$2:$A$157,0)),"0.0")&amp;" / "&amp;TEXT(INDEX(Calc!$K$2:$K$157,MATCH($W11,Calc!$A$2:$A$157,0)),"0.0")</f>
        <v>21.4 / 21.2</v>
      </c>
      <c r="V11" s="4" t="str">
        <f t="array" ref="V11">IFERROR(INDEX(Calc!$AQ$2:$AQ$157,MATCH($W11,Calc!$A$2:$A$157,0)),"")</f>
        <v/>
      </c>
      <c r="W11" s="4" t="s">
        <v>1328</v>
      </c>
      <c r="X11" s="4" t="s">
        <v>926</v>
      </c>
      <c r="Y11" s="4" t="str">
        <f t="shared" si="4"/>
        <v>v1kk02jq1q269h8|CS2 · 100T vs SNG|K12</v>
      </c>
      <c r="Z11" s="12">
        <f t="array" ref="Z11">IFERROR(INDEX(CHOOSE(MATCH($X11,{"K1","K2","K3","K12","K13","H1","H2","H3","H12","H13"},0),Calc!$BA$2:$BA$157,Calc!$BB$2:$BB$157,Calc!$BC$2:$BC$157,Calc!$BD$2:$BD$157,Calc!$BE$2:$BE$157,Calc!$BF$2:$BF$157,Calc!$BG$2:$BG$157,Calc!$BH$2:$BH$157,Calc!$BI$2:$BI$157,Calc!$BJ$2:$BJ$157),MATCH($W11,Calc!$A$2:$A$157,0)),"")</f>
        <v>29.94944772</v>
      </c>
      <c r="AA11" s="12">
        <f t="array" ref="AA11">IF(Z11="","",IF(LEFT($X11,1)="H",SQRT(Z11*(IFERROR(INDEX(Calc!$AP$2:$AP$157,MATCH($W11,Calc!$A$2:$A$157,0)),0.5)*Config!$B$5+1-IFERROR(INDEX(Calc!$AP$2:$AP$157,MATCH($W11,Calc!$A$2:$A$157,0)),0.5))),SQRT(Z11*Config!$B$5)))</f>
        <v>6.475278126</v>
      </c>
      <c r="AB11" s="11">
        <f t="shared" si="5"/>
        <v>0.5276682834</v>
      </c>
      <c r="AC11" s="11">
        <f t="shared" si="6"/>
        <v>0.4723317166</v>
      </c>
      <c r="AD11" s="4" t="str">
        <f>IF(AB11="","",IF(AB11&gt;=0.5+Config!$B$6,"OVER",IF(AC11&gt;=0.5+Config!$B$6,"UNDER","—")))</f>
        <v>—</v>
      </c>
      <c r="AE11" s="18">
        <f t="shared" si="7"/>
        <v>1.00325908</v>
      </c>
    </row>
    <row r="12">
      <c r="A12" s="4" t="s">
        <v>86</v>
      </c>
      <c r="B12" s="4" t="s">
        <v>1178</v>
      </c>
      <c r="C12" s="4" t="s">
        <v>1263</v>
      </c>
      <c r="D12" s="4" t="s">
        <v>1181</v>
      </c>
      <c r="E12" s="4" t="s">
        <v>772</v>
      </c>
      <c r="F12" s="4">
        <v>28.5</v>
      </c>
      <c r="G12" s="12">
        <f t="array" ref="G12">IFERROR(INDEX(CHOOSE(MATCH($X12,{"K1","K2","K3","K12","K13","H1","H2","H3","H12","H13"},0),Calc!$V$2:$V$157,Calc!$AC$2:$AC$157,Calc!$AJ$2:$AJ$157,Calc!$AL$2:$AL$157,Calc!$AM$2:$AM$157,Calc!$W$2:$W$157,Calc!$AD$2:$AD$157,Calc!$AK$2:$AK$157,Calc!$AN$2:$AN$157,Calc!$AO$2:$AO$157),MATCH($W12,Calc!$A$2:$A$157,0)),"")</f>
        <v>27.23333333</v>
      </c>
      <c r="H12" s="12">
        <f t="array" ref="H12">IF(G12="","",IF(LEFT($X12,1)="H",SQRT(G12*(IFERROR(INDEX(Calc!$AP$2:$AP$157,MATCH($W12,Calc!$A$2:$A$157,0)),0.5)*Config!$B$5+1-IFERROR(INDEX(Calc!$AP$2:$AP$157,MATCH($W12,Calc!$A$2:$A$157,0)),0.5))),SQRT(G12*Config!$B$5)))</f>
        <v>6.174679479</v>
      </c>
      <c r="I12" s="11">
        <f t="shared" si="1"/>
        <v>0.4187318207</v>
      </c>
      <c r="J12" s="11">
        <f t="shared" si="2"/>
        <v>0.5812681793</v>
      </c>
      <c r="K12" s="11">
        <f t="shared" si="3"/>
        <v>0</v>
      </c>
      <c r="L12" s="4" t="str">
        <f>IF(I12="","",IF(I12&gt;=0.5+Config!$B$6,"OVER",IF(J12&gt;=0.5+Config!$B$6,"UNDER","—")))</f>
        <v>UNDER</v>
      </c>
      <c r="N12" s="4">
        <v>28.2</v>
      </c>
      <c r="O12" s="11">
        <v>0.4</v>
      </c>
      <c r="P12" s="11">
        <v>0.6</v>
      </c>
      <c r="Q12" s="11">
        <v>0.53</v>
      </c>
      <c r="R12" s="4" t="s">
        <v>579</v>
      </c>
      <c r="S12" s="4">
        <v>2.0</v>
      </c>
      <c r="T12" s="4" t="str">
        <f t="array" ref="T12">INDEX(Calc!$G$2:$G$157,MATCH($W12,Calc!$A$2:$A$157,0))&amp;" / "&amp;INDEX(Calc!$H$2:$H$157,MATCH($W12,Calc!$A$2:$A$157,0))</f>
        <v>Ancient / Inferno</v>
      </c>
      <c r="U12" s="4" t="str">
        <f t="array" ref="U12">TEXT(INDEX(Calc!$J$2:$J$157,MATCH($W12,Calc!$A$2:$A$157,0)),"0.0")&amp;" / "&amp;TEXT(INDEX(Calc!$K$2:$K$157,MATCH($W12,Calc!$A$2:$A$157,0)),"0.0")</f>
        <v>21.5 / 21.5</v>
      </c>
      <c r="V12" s="4" t="str">
        <f t="array" ref="V12">IFERROR(INDEX(Calc!$AQ$2:$AQ$157,MATCH($W12,Calc!$A$2:$A$157,0)),"")</f>
        <v>M2 unplayed→overall KPR ·</v>
      </c>
      <c r="W12" s="4" t="s">
        <v>1659</v>
      </c>
      <c r="X12" s="4" t="s">
        <v>926</v>
      </c>
      <c r="Y12" s="4" t="str">
        <f t="shared" si="4"/>
        <v>rlpdvqxm9kegl7b|CS2 · AST vs MIBR|K12</v>
      </c>
      <c r="Z12" s="12">
        <f t="array" ref="Z12">IFERROR(INDEX(CHOOSE(MATCH($X12,{"K1","K2","K3","K12","K13","H1","H2","H3","H12","H13"},0),Calc!$BA$2:$BA$157,Calc!$BB$2:$BB$157,Calc!$BC$2:$BC$157,Calc!$BD$2:$BD$157,Calc!$BE$2:$BE$157,Calc!$BF$2:$BF$157,Calc!$BG$2:$BG$157,Calc!$BH$2:$BH$157,Calc!$BI$2:$BI$157,Calc!$BJ$2:$BJ$157),MATCH($W12,Calc!$A$2:$A$157,0)),"")</f>
        <v>26.25492868</v>
      </c>
      <c r="AA12" s="12">
        <f t="array" ref="AA12">IF(Z12="","",IF(LEFT($X12,1)="H",SQRT(Z12*(IFERROR(INDEX(Calc!$AP$2:$AP$157,MATCH($W12,Calc!$A$2:$A$157,0)),0.5)*Config!$B$5+1-IFERROR(INDEX(Calc!$AP$2:$AP$157,MATCH($W12,Calc!$A$2:$A$157,0)),0.5))),SQRT(Z12*Config!$B$5)))</f>
        <v>6.062746915</v>
      </c>
      <c r="AB12" s="11">
        <f t="shared" si="5"/>
        <v>0.3555772665</v>
      </c>
      <c r="AC12" s="11">
        <f t="shared" si="6"/>
        <v>0.6444227335</v>
      </c>
      <c r="AD12" s="4" t="str">
        <f>IF(AB12="","",IF(AB12&gt;=0.5+Config!$B$6,"OVER",IF(AC12&gt;=0.5+Config!$B$6,"UNDER","—")))</f>
        <v>UNDER</v>
      </c>
      <c r="AE12" s="18">
        <f t="shared" si="7"/>
        <v>0.9640732685</v>
      </c>
    </row>
    <row r="13">
      <c r="A13" s="4" t="s">
        <v>86</v>
      </c>
      <c r="B13" s="4" t="s">
        <v>1178</v>
      </c>
      <c r="C13" s="4" t="s">
        <v>1267</v>
      </c>
      <c r="D13" s="4" t="s">
        <v>1181</v>
      </c>
      <c r="E13" s="4" t="s">
        <v>772</v>
      </c>
      <c r="F13" s="4">
        <v>30.5</v>
      </c>
      <c r="G13" s="12">
        <f t="array" ref="G13">IFERROR(INDEX(CHOOSE(MATCH($X13,{"K1","K2","K3","K12","K13","H1","H2","H3","H12","H13"},0),Calc!$V$2:$V$157,Calc!$AC$2:$AC$157,Calc!$AJ$2:$AJ$157,Calc!$AL$2:$AL$157,Calc!$AM$2:$AM$157,Calc!$W$2:$W$157,Calc!$AD$2:$AD$157,Calc!$AK$2:$AK$157,Calc!$AN$2:$AN$157,Calc!$AO$2:$AO$157),MATCH($W13,Calc!$A$2:$A$157,0)),"")</f>
        <v>29.4146875</v>
      </c>
      <c r="H13" s="12">
        <f t="array" ref="H13">IF(G13="","",IF(LEFT($X13,1)="H",SQRT(G13*(IFERROR(INDEX(Calc!$AP$2:$AP$157,MATCH($W13,Calc!$A$2:$A$157,0)),0.5)*Config!$B$5+1-IFERROR(INDEX(Calc!$AP$2:$AP$157,MATCH($W13,Calc!$A$2:$A$157,0)),0.5))),SQRT(G13*Config!$B$5)))</f>
        <v>6.41720831</v>
      </c>
      <c r="I13" s="11">
        <f t="shared" si="1"/>
        <v>0.4328490291</v>
      </c>
      <c r="J13" s="11">
        <f t="shared" si="2"/>
        <v>0.5671509709</v>
      </c>
      <c r="K13" s="11">
        <f t="shared" si="3"/>
        <v>0</v>
      </c>
      <c r="L13" s="4" t="str">
        <f>IF(I13="","",IF(I13&gt;=0.5+Config!$B$6,"OVER",IF(J13&gt;=0.5+Config!$B$6,"UNDER","—")))</f>
        <v>UNDER</v>
      </c>
      <c r="N13" s="4">
        <v>33.2</v>
      </c>
      <c r="O13" s="11">
        <v>0.4</v>
      </c>
      <c r="P13" s="11">
        <v>0.5</v>
      </c>
      <c r="Q13" s="11">
        <v>0.53</v>
      </c>
      <c r="R13" s="4" t="s">
        <v>1158</v>
      </c>
      <c r="S13" s="4">
        <v>-1.0</v>
      </c>
      <c r="T13" s="4" t="str">
        <f t="array" ref="T13">INDEX(Calc!$G$2:$G$157,MATCH($W13,Calc!$A$2:$A$157,0))&amp;" / "&amp;INDEX(Calc!$H$2:$H$157,MATCH($W13,Calc!$A$2:$A$157,0))</f>
        <v>Ancient / Inferno</v>
      </c>
      <c r="U13" s="4" t="str">
        <f t="array" ref="U13">TEXT(INDEX(Calc!$J$2:$J$157,MATCH($W13,Calc!$A$2:$A$157,0)),"0.0")&amp;" / "&amp;TEXT(INDEX(Calc!$K$2:$K$157,MATCH($W13,Calc!$A$2:$A$157,0)),"0.0")</f>
        <v>21.5 / 21.5</v>
      </c>
      <c r="V13" s="4" t="str">
        <f t="array" ref="V13">IFERROR(INDEX(Calc!$AQ$2:$AQ$157,MATCH($W13,Calc!$A$2:$A$157,0)),"")</f>
        <v/>
      </c>
      <c r="W13" s="4" t="s">
        <v>1697</v>
      </c>
      <c r="X13" s="4" t="s">
        <v>926</v>
      </c>
      <c r="Y13" s="4" t="str">
        <f t="shared" si="4"/>
        <v>u4e5uoowjf17ffu|CS2 · AST vs MIBR|K12</v>
      </c>
      <c r="Z13" s="12">
        <f t="array" ref="Z13">IFERROR(INDEX(CHOOSE(MATCH($X13,{"K1","K2","K3","K12","K13","H1","H2","H3","H12","H13"},0),Calc!$BA$2:$BA$157,Calc!$BB$2:$BB$157,Calc!$BC$2:$BC$157,Calc!$BD$2:$BD$157,Calc!$BE$2:$BE$157,Calc!$BF$2:$BF$157,Calc!$BG$2:$BG$157,Calc!$BH$2:$BH$157,Calc!$BI$2:$BI$157,Calc!$BJ$2:$BJ$157),MATCH($W13,Calc!$A$2:$A$157,0)),"")</f>
        <v>28.33959852</v>
      </c>
      <c r="AA13" s="12">
        <f t="array" ref="AA13">IF(Z13="","",IF(LEFT($X13,1)="H",SQRT(Z13*(IFERROR(INDEX(Calc!$AP$2:$AP$157,MATCH($W13,Calc!$A$2:$A$157,0)),0.5)*Config!$B$5+1-IFERROR(INDEX(Calc!$AP$2:$AP$157,MATCH($W13,Calc!$A$2:$A$157,0)),0.5))),SQRT(Z13*Config!$B$5)))</f>
        <v>6.298844174</v>
      </c>
      <c r="AB13" s="11">
        <f t="shared" si="5"/>
        <v>0.3658053253</v>
      </c>
      <c r="AC13" s="11">
        <f t="shared" si="6"/>
        <v>0.6341946747</v>
      </c>
      <c r="AD13" s="4" t="str">
        <f>IF(AB13="","",IF(AB13&gt;=0.5+Config!$B$6,"OVER",IF(AC13&gt;=0.5+Config!$B$6,"UNDER","—")))</f>
        <v>UNDER</v>
      </c>
      <c r="AE13" s="18">
        <f t="shared" si="7"/>
        <v>0.9634506066</v>
      </c>
    </row>
    <row r="14">
      <c r="A14" s="4" t="s">
        <v>86</v>
      </c>
      <c r="B14" s="4" t="s">
        <v>1178</v>
      </c>
      <c r="C14" s="4" t="s">
        <v>1270</v>
      </c>
      <c r="D14" s="4" t="s">
        <v>1181</v>
      </c>
      <c r="E14" s="4" t="s">
        <v>370</v>
      </c>
      <c r="F14" s="4">
        <v>16.0</v>
      </c>
      <c r="G14" s="12">
        <f t="array" ref="G14">IFERROR(INDEX(CHOOSE(MATCH($X14,{"K1","K2","K3","K12","K13","H1","H2","H3","H12","H13"},0),Calc!$V$2:$V$157,Calc!$AC$2:$AC$157,Calc!$AJ$2:$AJ$157,Calc!$AL$2:$AL$157,Calc!$AM$2:$AM$157,Calc!$W$2:$W$157,Calc!$AD$2:$AD$157,Calc!$AK$2:$AK$157,Calc!$AN$2:$AN$157,Calc!$AO$2:$AO$157),MATCH($W14,Calc!$A$2:$A$157,0)),"")</f>
        <v>16.49508555</v>
      </c>
      <c r="H14" s="12">
        <f t="array" ref="H14">IF(G14="","",IF(LEFT($X14,1)="H",SQRT(G14*(IFERROR(INDEX(Calc!$AP$2:$AP$157,MATCH($W14,Calc!$A$2:$A$157,0)),0.5)*Config!$B$5+1-IFERROR(INDEX(Calc!$AP$2:$AP$157,MATCH($W14,Calc!$A$2:$A$157,0)),0.5))),SQRT(G14*Config!$B$5)))</f>
        <v>4.452113103</v>
      </c>
      <c r="I14" s="11">
        <f t="shared" si="1"/>
        <v>0.4995596287</v>
      </c>
      <c r="J14" s="11">
        <f t="shared" si="2"/>
        <v>0.411569847</v>
      </c>
      <c r="K14" s="11">
        <f t="shared" si="3"/>
        <v>0.08887052426</v>
      </c>
      <c r="L14" s="4" t="str">
        <f>IF(I14="","",IF(I14&gt;=0.5+Config!$B$6,"OVER",IF(J14&gt;=0.5+Config!$B$6,"UNDER","—")))</f>
        <v>—</v>
      </c>
      <c r="N14" s="4">
        <v>16.3</v>
      </c>
      <c r="O14" s="11">
        <v>0.8</v>
      </c>
      <c r="P14" s="11">
        <v>0.6</v>
      </c>
      <c r="Q14" s="11">
        <v>0.67</v>
      </c>
      <c r="R14" s="4" t="s">
        <v>1729</v>
      </c>
      <c r="S14" s="4">
        <v>4.0</v>
      </c>
      <c r="T14" s="4" t="str">
        <f t="array" ref="T14">INDEX(Calc!$G$2:$G$157,MATCH($W14,Calc!$A$2:$A$157,0))&amp;" / "&amp;INDEX(Calc!$H$2:$H$157,MATCH($W14,Calc!$A$2:$A$157,0))</f>
        <v>Ancient / Inferno</v>
      </c>
      <c r="U14" s="4" t="str">
        <f t="array" ref="U14">TEXT(INDEX(Calc!$J$2:$J$157,MATCH($W14,Calc!$A$2:$A$157,0)),"0.0")&amp;" / "&amp;TEXT(INDEX(Calc!$K$2:$K$157,MATCH($W14,Calc!$A$2:$A$157,0)),"0.0")</f>
        <v>21.5 / 21.5</v>
      </c>
      <c r="V14" s="4" t="str">
        <f t="array" ref="V14">IFERROR(INDEX(Calc!$AQ$2:$AQ$157,MATCH($W14,Calc!$A$2:$A$157,0)),"")</f>
        <v/>
      </c>
      <c r="W14" s="4" t="s">
        <v>1734</v>
      </c>
      <c r="X14" s="4" t="s">
        <v>634</v>
      </c>
      <c r="Y14" s="4" t="str">
        <f t="shared" si="4"/>
        <v>bfampq2da0guhkz|CS2 · AST vs MIBR|H12</v>
      </c>
      <c r="Z14" s="12">
        <f t="array" ref="Z14">IFERROR(INDEX(CHOOSE(MATCH($X14,{"K1","K2","K3","K12","K13","H1","H2","H3","H12","H13"},0),Calc!$BA$2:$BA$157,Calc!$BB$2:$BB$157,Calc!$BC$2:$BC$157,Calc!$BD$2:$BD$157,Calc!$BE$2:$BE$157,Calc!$BF$2:$BF$157,Calc!$BG$2:$BG$157,Calc!$BH$2:$BH$157,Calc!$BI$2:$BI$157,Calc!$BJ$2:$BJ$157),MATCH($W14,Calc!$A$2:$A$157,0)),"")</f>
        <v>15.90527881</v>
      </c>
      <c r="AA14" s="12">
        <f t="array" ref="AA14">IF(Z14="","",IF(LEFT($X14,1)="H",SQRT(Z14*(IFERROR(INDEX(Calc!$AP$2:$AP$157,MATCH($W14,Calc!$A$2:$A$157,0)),0.5)*Config!$B$5+1-IFERROR(INDEX(Calc!$AP$2:$AP$157,MATCH($W14,Calc!$A$2:$A$157,0)),0.5))),SQRT(Z14*Config!$B$5)))</f>
        <v>4.371792552</v>
      </c>
      <c r="AB14" s="11">
        <f t="shared" si="5"/>
        <v>0.445896409</v>
      </c>
      <c r="AC14" s="11">
        <f t="shared" si="6"/>
        <v>0.4630697093</v>
      </c>
      <c r="AD14" s="4" t="str">
        <f>IF(AB14="","",IF(AB14&gt;=0.5+Config!$B$6,"OVER",IF(AC14&gt;=0.5+Config!$B$6,"UNDER","—")))</f>
        <v>—</v>
      </c>
      <c r="AE14" s="18">
        <f t="shared" si="7"/>
        <v>0.9642434871</v>
      </c>
    </row>
    <row r="15">
      <c r="A15" s="4" t="s">
        <v>86</v>
      </c>
      <c r="B15" s="4" t="s">
        <v>1178</v>
      </c>
      <c r="C15" s="4" t="s">
        <v>1270</v>
      </c>
      <c r="D15" s="4" t="s">
        <v>1181</v>
      </c>
      <c r="E15" s="4" t="s">
        <v>772</v>
      </c>
      <c r="F15" s="4">
        <v>31.5</v>
      </c>
      <c r="G15" s="12">
        <f t="array" ref="G15">IFERROR(INDEX(CHOOSE(MATCH($X15,{"K1","K2","K3","K12","K13","H1","H2","H3","H12","H13"},0),Calc!$V$2:$V$157,Calc!$AC$2:$AC$157,Calc!$AJ$2:$AJ$157,Calc!$AL$2:$AL$157,Calc!$AM$2:$AM$157,Calc!$W$2:$W$157,Calc!$AD$2:$AD$157,Calc!$AK$2:$AK$157,Calc!$AN$2:$AN$157,Calc!$AO$2:$AO$157),MATCH($W15,Calc!$A$2:$A$157,0)),"")</f>
        <v>32.7203125</v>
      </c>
      <c r="H15" s="12">
        <f t="array" ref="H15">IF(G15="","",IF(LEFT($X15,1)="H",SQRT(G15*(IFERROR(INDEX(Calc!$AP$2:$AP$157,MATCH($W15,Calc!$A$2:$A$157,0)),0.5)*Config!$B$5+1-IFERROR(INDEX(Calc!$AP$2:$AP$157,MATCH($W15,Calc!$A$2:$A$157,0)),0.5))),SQRT(G15*Config!$B$5)))</f>
        <v>6.768193075</v>
      </c>
      <c r="I15" s="11">
        <f t="shared" si="1"/>
        <v>0.5715418949</v>
      </c>
      <c r="J15" s="11">
        <f t="shared" si="2"/>
        <v>0.4284581051</v>
      </c>
      <c r="K15" s="11">
        <f t="shared" si="3"/>
        <v>0</v>
      </c>
      <c r="L15" s="4" t="str">
        <f>IF(I15="","",IF(I15&gt;=0.5+Config!$B$6,"OVER",IF(J15&gt;=0.5+Config!$B$6,"UNDER","—")))</f>
        <v>OVER</v>
      </c>
      <c r="N15" s="4">
        <v>32.3</v>
      </c>
      <c r="O15" s="11">
        <v>0.8</v>
      </c>
      <c r="P15" s="11">
        <v>0.5</v>
      </c>
      <c r="Q15" s="11">
        <v>0.53</v>
      </c>
      <c r="R15" s="4" t="s">
        <v>1729</v>
      </c>
      <c r="S15" s="4">
        <v>4.0</v>
      </c>
      <c r="T15" s="4" t="str">
        <f t="array" ref="T15">INDEX(Calc!$G$2:$G$157,MATCH($W15,Calc!$A$2:$A$157,0))&amp;" / "&amp;INDEX(Calc!$H$2:$H$157,MATCH($W15,Calc!$A$2:$A$157,0))</f>
        <v>Ancient / Inferno</v>
      </c>
      <c r="U15" s="4" t="str">
        <f t="array" ref="U15">TEXT(INDEX(Calc!$J$2:$J$157,MATCH($W15,Calc!$A$2:$A$157,0)),"0.0")&amp;" / "&amp;TEXT(INDEX(Calc!$K$2:$K$157,MATCH($W15,Calc!$A$2:$A$157,0)),"0.0")</f>
        <v>21.5 / 21.5</v>
      </c>
      <c r="V15" s="4" t="str">
        <f t="array" ref="V15">IFERROR(INDEX(Calc!$AQ$2:$AQ$157,MATCH($W15,Calc!$A$2:$A$157,0)),"")</f>
        <v/>
      </c>
      <c r="W15" s="4" t="s">
        <v>1734</v>
      </c>
      <c r="X15" s="4" t="s">
        <v>926</v>
      </c>
      <c r="Y15" s="4" t="str">
        <f t="shared" si="4"/>
        <v>bfampq2da0guhkz|CS2 · AST vs MIBR|K12</v>
      </c>
      <c r="Z15" s="12">
        <f t="array" ref="Z15">IFERROR(INDEX(CHOOSE(MATCH($X15,{"K1","K2","K3","K12","K13","H1","H2","H3","H12","H13"},0),Calc!$BA$2:$BA$157,Calc!$BB$2:$BB$157,Calc!$BC$2:$BC$157,Calc!$BD$2:$BD$157,Calc!$BE$2:$BE$157,Calc!$BF$2:$BF$157,Calc!$BG$2:$BG$157,Calc!$BH$2:$BH$157,Calc!$BI$2:$BI$157,Calc!$BJ$2:$BJ$157),MATCH($W15,Calc!$A$2:$A$157,0)),"")</f>
        <v>31.56413105</v>
      </c>
      <c r="AA15" s="12">
        <f t="array" ref="AA15">IF(Z15="","",IF(LEFT($X15,1)="H",SQRT(Z15*(IFERROR(INDEX(Calc!$AP$2:$AP$157,MATCH($W15,Calc!$A$2:$A$157,0)),0.5)*Config!$B$5+1-IFERROR(INDEX(Calc!$AP$2:$AP$157,MATCH($W15,Calc!$A$2:$A$157,0)),0.5))),SQRT(Z15*Config!$B$5)))</f>
        <v>6.647539656</v>
      </c>
      <c r="AB15" s="11">
        <f t="shared" si="5"/>
        <v>0.5038486708</v>
      </c>
      <c r="AC15" s="11">
        <f t="shared" si="6"/>
        <v>0.4961513292</v>
      </c>
      <c r="AD15" s="4" t="str">
        <f>IF(AB15="","",IF(AB15&gt;=0.5+Config!$B$6,"OVER",IF(AC15&gt;=0.5+Config!$B$6,"UNDER","—")))</f>
        <v>—</v>
      </c>
      <c r="AE15" s="18">
        <f t="shared" si="7"/>
        <v>0.9646647187</v>
      </c>
    </row>
    <row r="16">
      <c r="A16" s="4" t="s">
        <v>86</v>
      </c>
      <c r="B16" s="4" t="s">
        <v>1178</v>
      </c>
      <c r="C16" s="4" t="s">
        <v>1273</v>
      </c>
      <c r="D16" s="4" t="s">
        <v>1181</v>
      </c>
      <c r="E16" s="4" t="s">
        <v>370</v>
      </c>
      <c r="F16" s="4">
        <v>13.5</v>
      </c>
      <c r="G16" s="12">
        <f t="array" ref="G16">IFERROR(INDEX(CHOOSE(MATCH($X16,{"K1","K2","K3","K12","K13","H1","H2","H3","H12","H13"},0),Calc!$V$2:$V$157,Calc!$AC$2:$AC$157,Calc!$AJ$2:$AJ$157,Calc!$AL$2:$AL$157,Calc!$AM$2:$AM$157,Calc!$W$2:$W$157,Calc!$AD$2:$AD$157,Calc!$AK$2:$AK$157,Calc!$AN$2:$AN$157,Calc!$AO$2:$AO$157),MATCH($W16,Calc!$A$2:$A$157,0)),"")</f>
        <v>11.38849625</v>
      </c>
      <c r="H16" s="12">
        <f t="array" ref="H16">IF(G16="","",IF(LEFT($X16,1)="H",SQRT(G16*(IFERROR(INDEX(Calc!$AP$2:$AP$157,MATCH($W16,Calc!$A$2:$A$157,0)),0.5)*Config!$B$5+1-IFERROR(INDEX(Calc!$AP$2:$AP$157,MATCH($W16,Calc!$A$2:$A$157,0)),0.5))),SQRT(G16*Config!$B$5)))</f>
        <v>3.713418177</v>
      </c>
      <c r="I16" s="11">
        <f t="shared" si="1"/>
        <v>0.284808861</v>
      </c>
      <c r="J16" s="11">
        <f t="shared" si="2"/>
        <v>0.715191139</v>
      </c>
      <c r="K16" s="11">
        <f t="shared" si="3"/>
        <v>0</v>
      </c>
      <c r="L16" s="4" t="str">
        <f>IF(I16="","",IF(I16&gt;=0.5+Config!$B$6,"OVER",IF(J16&gt;=0.5+Config!$B$6,"UNDER","—")))</f>
        <v>UNDER</v>
      </c>
      <c r="N16" s="4">
        <v>12.5</v>
      </c>
      <c r="O16" s="11">
        <v>0.2</v>
      </c>
      <c r="P16" s="11">
        <v>0.3</v>
      </c>
      <c r="Q16" s="11">
        <v>0.33</v>
      </c>
      <c r="R16" s="4" t="s">
        <v>1787</v>
      </c>
      <c r="S16" s="4">
        <v>-1.0</v>
      </c>
      <c r="T16" s="4" t="str">
        <f t="array" ref="T16">INDEX(Calc!$G$2:$G$157,MATCH($W16,Calc!$A$2:$A$157,0))&amp;" / "&amp;INDEX(Calc!$H$2:$H$157,MATCH($W16,Calc!$A$2:$A$157,0))</f>
        <v>Ancient / Inferno</v>
      </c>
      <c r="U16" s="4" t="str">
        <f t="array" ref="U16">TEXT(INDEX(Calc!$J$2:$J$157,MATCH($W16,Calc!$A$2:$A$157,0)),"0.0")&amp;" / "&amp;TEXT(INDEX(Calc!$K$2:$K$157,MATCH($W16,Calc!$A$2:$A$157,0)),"0.0")</f>
        <v>21.5 / 21.5</v>
      </c>
      <c r="V16" s="4" t="str">
        <f t="array" ref="V16">IFERROR(INDEX(Calc!$AQ$2:$AQ$157,MATCH($W16,Calc!$A$2:$A$157,0)),"")</f>
        <v/>
      </c>
      <c r="W16" s="4" t="s">
        <v>1791</v>
      </c>
      <c r="X16" s="4" t="s">
        <v>634</v>
      </c>
      <c r="Y16" s="4" t="str">
        <f t="shared" si="4"/>
        <v>gffaqp23gkmuw6v|CS2 · AST vs MIBR|H12</v>
      </c>
      <c r="Z16" s="12">
        <f t="array" ref="Z16">IFERROR(INDEX(CHOOSE(MATCH($X16,{"K1","K2","K3","K12","K13","H1","H2","H3","H12","H13"},0),Calc!$BA$2:$BA$157,Calc!$BB$2:$BB$157,Calc!$BC$2:$BC$157,Calc!$BD$2:$BD$157,Calc!$BE$2:$BE$157,Calc!$BF$2:$BF$157,Calc!$BG$2:$BG$157,Calc!$BH$2:$BH$157,Calc!$BI$2:$BI$157,Calc!$BJ$2:$BJ$157),MATCH($W16,Calc!$A$2:$A$157,0)),"")</f>
        <v>10.96913638</v>
      </c>
      <c r="AA16" s="12">
        <f t="array" ref="AA16">IF(Z16="","",IF(LEFT($X16,1)="H",SQRT(Z16*(IFERROR(INDEX(Calc!$AP$2:$AP$157,MATCH($W16,Calc!$A$2:$A$157,0)),0.5)*Config!$B$5+1-IFERROR(INDEX(Calc!$AP$2:$AP$157,MATCH($W16,Calc!$A$2:$A$157,0)),0.5))),SQRT(Z16*Config!$B$5)))</f>
        <v>3.644407111</v>
      </c>
      <c r="AB16" s="11">
        <f t="shared" si="5"/>
        <v>0.2436995845</v>
      </c>
      <c r="AC16" s="11">
        <f t="shared" si="6"/>
        <v>0.7563004155</v>
      </c>
      <c r="AD16" s="4" t="str">
        <f>IF(AB16="","",IF(AB16&gt;=0.5+Config!$B$6,"OVER",IF(AC16&gt;=0.5+Config!$B$6,"UNDER","—")))</f>
        <v>UNDER</v>
      </c>
      <c r="AE16" s="18">
        <f t="shared" si="7"/>
        <v>0.9631768882</v>
      </c>
    </row>
    <row r="17">
      <c r="A17" s="4" t="s">
        <v>86</v>
      </c>
      <c r="B17" s="4" t="s">
        <v>1178</v>
      </c>
      <c r="C17" s="4" t="s">
        <v>1273</v>
      </c>
      <c r="D17" s="4" t="s">
        <v>1181</v>
      </c>
      <c r="E17" s="4" t="s">
        <v>772</v>
      </c>
      <c r="F17" s="4">
        <v>24.5</v>
      </c>
      <c r="G17" s="12">
        <f t="array" ref="G17">IFERROR(INDEX(CHOOSE(MATCH($X17,{"K1","K2","K3","K12","K13","H1","H2","H3","H12","H13"},0),Calc!$V$2:$V$157,Calc!$AC$2:$AC$157,Calc!$AJ$2:$AJ$157,Calc!$AL$2:$AL$157,Calc!$AM$2:$AM$157,Calc!$W$2:$W$157,Calc!$AD$2:$AD$157,Calc!$AK$2:$AK$157,Calc!$AN$2:$AN$157,Calc!$AO$2:$AO$157),MATCH($W17,Calc!$A$2:$A$157,0)),"")</f>
        <v>21.6075</v>
      </c>
      <c r="H17" s="12">
        <f t="array" ref="H17">IF(G17="","",IF(LEFT($X17,1)="H",SQRT(G17*(IFERROR(INDEX(Calc!$AP$2:$AP$157,MATCH($W17,Calc!$A$2:$A$157,0)),0.5)*Config!$B$5+1-IFERROR(INDEX(Calc!$AP$2:$AP$157,MATCH($W17,Calc!$A$2:$A$157,0)),0.5))),SQRT(G17*Config!$B$5)))</f>
        <v>5.500045454</v>
      </c>
      <c r="I17" s="11">
        <f t="shared" si="1"/>
        <v>0.2994771961</v>
      </c>
      <c r="J17" s="11">
        <f t="shared" si="2"/>
        <v>0.7005228039</v>
      </c>
      <c r="K17" s="11">
        <f t="shared" si="3"/>
        <v>0</v>
      </c>
      <c r="L17" s="4" t="str">
        <f>IF(I17="","",IF(I17&gt;=0.5+Config!$B$6,"OVER",IF(J17&gt;=0.5+Config!$B$6,"UNDER","—")))</f>
        <v>UNDER</v>
      </c>
      <c r="N17" s="4">
        <v>22.6</v>
      </c>
      <c r="O17" s="11">
        <v>0.2</v>
      </c>
      <c r="P17" s="11">
        <v>0.4</v>
      </c>
      <c r="Q17" s="11">
        <v>0.4</v>
      </c>
      <c r="R17" s="4" t="s">
        <v>1787</v>
      </c>
      <c r="S17" s="4">
        <v>-1.0</v>
      </c>
      <c r="T17" s="4" t="str">
        <f t="array" ref="T17">INDEX(Calc!$G$2:$G$157,MATCH($W17,Calc!$A$2:$A$157,0))&amp;" / "&amp;INDEX(Calc!$H$2:$H$157,MATCH($W17,Calc!$A$2:$A$157,0))</f>
        <v>Ancient / Inferno</v>
      </c>
      <c r="U17" s="4" t="str">
        <f t="array" ref="U17">TEXT(INDEX(Calc!$J$2:$J$157,MATCH($W17,Calc!$A$2:$A$157,0)),"0.0")&amp;" / "&amp;TEXT(INDEX(Calc!$K$2:$K$157,MATCH($W17,Calc!$A$2:$A$157,0)),"0.0")</f>
        <v>21.5 / 21.5</v>
      </c>
      <c r="V17" s="4" t="str">
        <f t="array" ref="V17">IFERROR(INDEX(Calc!$AQ$2:$AQ$157,MATCH($W17,Calc!$A$2:$A$157,0)),"")</f>
        <v/>
      </c>
      <c r="W17" s="4" t="s">
        <v>1791</v>
      </c>
      <c r="X17" s="4" t="s">
        <v>926</v>
      </c>
      <c r="Y17" s="4" t="str">
        <f t="shared" si="4"/>
        <v>gffaqp23gkmuw6v|CS2 · AST vs MIBR|K12</v>
      </c>
      <c r="Z17" s="12">
        <f t="array" ref="Z17">IFERROR(INDEX(CHOOSE(MATCH($X17,{"K1","K2","K3","K12","K13","H1","H2","H3","H12","H13"},0),Calc!$BA$2:$BA$157,Calc!$BB$2:$BB$157,Calc!$BC$2:$BC$157,Calc!$BD$2:$BD$157,Calc!$BE$2:$BE$157,Calc!$BF$2:$BF$157,Calc!$BG$2:$BG$157,Calc!$BH$2:$BH$157,Calc!$BI$2:$BI$157,Calc!$BJ$2:$BJ$157),MATCH($W17,Calc!$A$2:$A$157,0)),"")</f>
        <v>20.8188539</v>
      </c>
      <c r="AA17" s="12">
        <f t="array" ref="AA17">IF(Z17="","",IF(LEFT($X17,1)="H",SQRT(Z17*(IFERROR(INDEX(Calc!$AP$2:$AP$157,MATCH($W17,Calc!$A$2:$A$157,0)),0.5)*Config!$B$5+1-IFERROR(INDEX(Calc!$AP$2:$AP$157,MATCH($W17,Calc!$A$2:$A$157,0)),0.5))),SQRT(Z17*Config!$B$5)))</f>
        <v>5.398740174</v>
      </c>
      <c r="AB17" s="11">
        <f t="shared" si="5"/>
        <v>0.2476660172</v>
      </c>
      <c r="AC17" s="11">
        <f t="shared" si="6"/>
        <v>0.7523339828</v>
      </c>
      <c r="AD17" s="4" t="str">
        <f>IF(AB17="","",IF(AB17&gt;=0.5+Config!$B$6,"OVER",IF(AC17&gt;=0.5+Config!$B$6,"UNDER","—")))</f>
        <v>UNDER</v>
      </c>
      <c r="AE17" s="18">
        <f t="shared" si="7"/>
        <v>0.9635012798</v>
      </c>
    </row>
    <row r="18">
      <c r="A18" s="4" t="s">
        <v>86</v>
      </c>
      <c r="B18" s="4" t="s">
        <v>1178</v>
      </c>
      <c r="C18" s="4" t="s">
        <v>1276</v>
      </c>
      <c r="D18" s="4" t="s">
        <v>1181</v>
      </c>
      <c r="E18" s="4" t="s">
        <v>370</v>
      </c>
      <c r="F18" s="4">
        <v>17.5</v>
      </c>
      <c r="G18" s="12">
        <f t="array" ref="G18">IFERROR(INDEX(CHOOSE(MATCH($X18,{"K1","K2","K3","K12","K13","H1","H2","H3","H12","H13"},0),Calc!$V$2:$V$157,Calc!$AC$2:$AC$157,Calc!$AJ$2:$AJ$157,Calc!$AL$2:$AL$157,Calc!$AM$2:$AM$157,Calc!$W$2:$W$157,Calc!$AD$2:$AD$157,Calc!$AK$2:$AK$157,Calc!$AN$2:$AN$157,Calc!$AO$2:$AO$157),MATCH($W18,Calc!$A$2:$A$157,0)),"")</f>
        <v>17.88203039</v>
      </c>
      <c r="H18" s="12">
        <f t="array" ref="H18">IF(G18="","",IF(LEFT($X18,1)="H",SQRT(G18*(IFERROR(INDEX(Calc!$AP$2:$AP$157,MATCH($W18,Calc!$A$2:$A$157,0)),0.5)*Config!$B$5+1-IFERROR(INDEX(Calc!$AP$2:$AP$157,MATCH($W18,Calc!$A$2:$A$157,0)),0.5))),SQRT(G18*Config!$B$5)))</f>
        <v>4.672087435</v>
      </c>
      <c r="I18" s="11">
        <f t="shared" si="1"/>
        <v>0.5325846661</v>
      </c>
      <c r="J18" s="11">
        <f t="shared" si="2"/>
        <v>0.4674153339</v>
      </c>
      <c r="K18" s="11">
        <f t="shared" si="3"/>
        <v>0</v>
      </c>
      <c r="L18" s="4" t="str">
        <f>IF(I18="","",IF(I18&gt;=0.5+Config!$B$6,"OVER",IF(J18&gt;=0.5+Config!$B$6,"UNDER","—")))</f>
        <v>—</v>
      </c>
      <c r="N18" s="4">
        <v>17.3</v>
      </c>
      <c r="O18" s="11">
        <v>0.4</v>
      </c>
      <c r="P18" s="11">
        <v>0.4</v>
      </c>
      <c r="Q18" s="11">
        <v>0.53</v>
      </c>
      <c r="R18" s="4" t="s">
        <v>1843</v>
      </c>
      <c r="S18" s="4">
        <v>1.0</v>
      </c>
      <c r="T18" s="4" t="str">
        <f t="array" ref="T18">INDEX(Calc!$G$2:$G$157,MATCH($W18,Calc!$A$2:$A$157,0))&amp;" / "&amp;INDEX(Calc!$H$2:$H$157,MATCH($W18,Calc!$A$2:$A$157,0))</f>
        <v>Ancient / Inferno</v>
      </c>
      <c r="U18" s="4" t="str">
        <f t="array" ref="U18">TEXT(INDEX(Calc!$J$2:$J$157,MATCH($W18,Calc!$A$2:$A$157,0)),"0.0")&amp;" / "&amp;TEXT(INDEX(Calc!$K$2:$K$157,MATCH($W18,Calc!$A$2:$A$157,0)),"0.0")</f>
        <v>21.5 / 21.5</v>
      </c>
      <c r="V18" s="4" t="str">
        <f t="array" ref="V18">IFERROR(INDEX(Calc!$AQ$2:$AQ$157,MATCH($W18,Calc!$A$2:$A$157,0)),"")</f>
        <v/>
      </c>
      <c r="W18" s="4" t="s">
        <v>1846</v>
      </c>
      <c r="X18" s="4" t="s">
        <v>634</v>
      </c>
      <c r="Y18" s="4" t="str">
        <f t="shared" si="4"/>
        <v>t0obepfwbzppr9o|CS2 · AST vs MIBR|H12</v>
      </c>
      <c r="Z18" s="12">
        <f t="array" ref="Z18">IFERROR(INDEX(CHOOSE(MATCH($X18,{"K1","K2","K3","K12","K13","H1","H2","H3","H12","H13"},0),Calc!$BA$2:$BA$157,Calc!$BB$2:$BB$157,Calc!$BC$2:$BC$157,Calc!$BD$2:$BD$157,Calc!$BE$2:$BE$157,Calc!$BF$2:$BF$157,Calc!$BG$2:$BG$157,Calc!$BH$2:$BH$157,Calc!$BI$2:$BI$157,Calc!$BJ$2:$BJ$157),MATCH($W18,Calc!$A$2:$A$157,0)),"")</f>
        <v>17.2366584</v>
      </c>
      <c r="AA18" s="12">
        <f t="array" ref="AA18">IF(Z18="","",IF(LEFT($X18,1)="H",SQRT(Z18*(IFERROR(INDEX(Calc!$AP$2:$AP$157,MATCH($W18,Calc!$A$2:$A$157,0)),0.5)*Config!$B$5+1-IFERROR(INDEX(Calc!$AP$2:$AP$157,MATCH($W18,Calc!$A$2:$A$157,0)),0.5))),SQRT(Z18*Config!$B$5)))</f>
        <v>4.58700364</v>
      </c>
      <c r="AB18" s="11">
        <f t="shared" si="5"/>
        <v>0.477109149</v>
      </c>
      <c r="AC18" s="11">
        <f t="shared" si="6"/>
        <v>0.522890851</v>
      </c>
      <c r="AD18" s="4" t="str">
        <f>IF(AB18="","",IF(AB18&gt;=0.5+Config!$B$6,"OVER",IF(AC18&gt;=0.5+Config!$B$6,"UNDER","—")))</f>
        <v>—</v>
      </c>
      <c r="AE18" s="18">
        <f t="shared" si="7"/>
        <v>0.9639094678</v>
      </c>
    </row>
    <row r="19">
      <c r="A19" s="4" t="s">
        <v>86</v>
      </c>
      <c r="B19" s="4" t="s">
        <v>1178</v>
      </c>
      <c r="C19" s="4" t="s">
        <v>1276</v>
      </c>
      <c r="D19" s="4" t="s">
        <v>1181</v>
      </c>
      <c r="E19" s="4" t="s">
        <v>772</v>
      </c>
      <c r="F19" s="4">
        <v>32.5</v>
      </c>
      <c r="G19" s="12">
        <f t="array" ref="G19">IFERROR(INDEX(CHOOSE(MATCH($X19,{"K1","K2","K3","K12","K13","H1","H2","H3","H12","H13"},0),Calc!$V$2:$V$157,Calc!$AC$2:$AC$157,Calc!$AJ$2:$AJ$157,Calc!$AL$2:$AL$157,Calc!$AM$2:$AM$157,Calc!$W$2:$W$157,Calc!$AD$2:$AD$157,Calc!$AK$2:$AK$157,Calc!$AN$2:$AN$157,Calc!$AO$2:$AO$157),MATCH($W19,Calc!$A$2:$A$157,0)),"")</f>
        <v>32.41125</v>
      </c>
      <c r="H19" s="12">
        <f t="array" ref="H19">IF(G19="","",IF(LEFT($X19,1)="H",SQRT(G19*(IFERROR(INDEX(Calc!$AP$2:$AP$157,MATCH($W19,Calc!$A$2:$A$157,0)),0.5)*Config!$B$5+1-IFERROR(INDEX(Calc!$AP$2:$AP$157,MATCH($W19,Calc!$A$2:$A$157,0)),0.5))),SQRT(G19*Config!$B$5)))</f>
        <v>6.736152463</v>
      </c>
      <c r="I19" s="11">
        <f t="shared" si="1"/>
        <v>0.494744017</v>
      </c>
      <c r="J19" s="11">
        <f t="shared" si="2"/>
        <v>0.505255983</v>
      </c>
      <c r="K19" s="11">
        <f t="shared" si="3"/>
        <v>0</v>
      </c>
      <c r="L19" s="4" t="str">
        <f>IF(I19="","",IF(I19&gt;=0.5+Config!$B$6,"OVER",IF(J19&gt;=0.5+Config!$B$6,"UNDER","—")))</f>
        <v>—</v>
      </c>
      <c r="N19" s="4">
        <v>32.1</v>
      </c>
      <c r="O19" s="11">
        <v>0.4</v>
      </c>
      <c r="P19" s="11">
        <v>0.4</v>
      </c>
      <c r="Q19" s="11">
        <v>0.53</v>
      </c>
      <c r="R19" s="4" t="s">
        <v>1843</v>
      </c>
      <c r="S19" s="4">
        <v>1.0</v>
      </c>
      <c r="T19" s="4" t="str">
        <f t="array" ref="T19">INDEX(Calc!$G$2:$G$157,MATCH($W19,Calc!$A$2:$A$157,0))&amp;" / "&amp;INDEX(Calc!$H$2:$H$157,MATCH($W19,Calc!$A$2:$A$157,0))</f>
        <v>Ancient / Inferno</v>
      </c>
      <c r="U19" s="4" t="str">
        <f t="array" ref="U19">TEXT(INDEX(Calc!$J$2:$J$157,MATCH($W19,Calc!$A$2:$A$157,0)),"0.0")&amp;" / "&amp;TEXT(INDEX(Calc!$K$2:$K$157,MATCH($W19,Calc!$A$2:$A$157,0)),"0.0")</f>
        <v>21.5 / 21.5</v>
      </c>
      <c r="V19" s="4" t="str">
        <f t="array" ref="V19">IFERROR(INDEX(Calc!$AQ$2:$AQ$157,MATCH($W19,Calc!$A$2:$A$157,0)),"")</f>
        <v/>
      </c>
      <c r="W19" s="4" t="s">
        <v>1846</v>
      </c>
      <c r="X19" s="4" t="s">
        <v>926</v>
      </c>
      <c r="Y19" s="4" t="str">
        <f t="shared" si="4"/>
        <v>t0obepfwbzppr9o|CS2 · AST vs MIBR|K12</v>
      </c>
      <c r="Z19" s="12">
        <f t="array" ref="Z19">IFERROR(INDEX(CHOOSE(MATCH($X19,{"K1","K2","K3","K12","K13","H1","H2","H3","H12","H13"},0),Calc!$BA$2:$BA$157,Calc!$BB$2:$BB$157,Calc!$BC$2:$BC$157,Calc!$BD$2:$BD$157,Calc!$BE$2:$BE$157,Calc!$BF$2:$BF$157,Calc!$BG$2:$BG$157,Calc!$BH$2:$BH$157,Calc!$BI$2:$BI$157,Calc!$BJ$2:$BJ$157),MATCH($W19,Calc!$A$2:$A$157,0)),"")</f>
        <v>31.23857378</v>
      </c>
      <c r="AA19" s="12">
        <f t="array" ref="AA19">IF(Z19="","",IF(LEFT($X19,1)="H",SQRT(Z19*(IFERROR(INDEX(Calc!$AP$2:$AP$157,MATCH($W19,Calc!$A$2:$A$157,0)),0.5)*Config!$B$5+1-IFERROR(INDEX(Calc!$AP$2:$AP$157,MATCH($W19,Calc!$A$2:$A$157,0)),0.5))),SQRT(Z19*Config!$B$5)))</f>
        <v>6.613168929</v>
      </c>
      <c r="AB19" s="11">
        <f t="shared" si="5"/>
        <v>0.4243628495</v>
      </c>
      <c r="AC19" s="11">
        <f t="shared" si="6"/>
        <v>0.5756371505</v>
      </c>
      <c r="AD19" s="4" t="str">
        <f>IF(AB19="","",IF(AB19&gt;=0.5+Config!$B$6,"OVER",IF(AC19&gt;=0.5+Config!$B$6,"UNDER","—")))</f>
        <v>UNDER</v>
      </c>
      <c r="AE19" s="18">
        <f t="shared" si="7"/>
        <v>0.9638188523</v>
      </c>
    </row>
    <row r="20">
      <c r="A20" s="4" t="s">
        <v>86</v>
      </c>
      <c r="B20" s="4" t="s">
        <v>1178</v>
      </c>
      <c r="C20" s="4" t="s">
        <v>1454</v>
      </c>
      <c r="D20" s="4" t="s">
        <v>1182</v>
      </c>
      <c r="E20" s="4" t="s">
        <v>370</v>
      </c>
      <c r="F20" s="4">
        <v>17.5</v>
      </c>
      <c r="G20" s="12">
        <f t="array" ref="G20">IFERROR(INDEX(CHOOSE(MATCH($X20,{"K1","K2","K3","K12","K13","H1","H2","H3","H12","H13"},0),Calc!$V$2:$V$157,Calc!$AC$2:$AC$157,Calc!$AJ$2:$AJ$157,Calc!$AL$2:$AL$157,Calc!$AM$2:$AM$157,Calc!$W$2:$W$157,Calc!$AD$2:$AD$157,Calc!$AK$2:$AK$157,Calc!$AN$2:$AN$157,Calc!$AO$2:$AO$157),MATCH($W20,Calc!$A$2:$A$157,0)),"")</f>
        <v>18.55085235</v>
      </c>
      <c r="H20" s="12">
        <f t="array" ref="H20">IF(G20="","",IF(LEFT($X20,1)="H",SQRT(G20*(IFERROR(INDEX(Calc!$AP$2:$AP$157,MATCH($W20,Calc!$A$2:$A$157,0)),0.5)*Config!$B$5+1-IFERROR(INDEX(Calc!$AP$2:$AP$157,MATCH($W20,Calc!$A$2:$A$157,0)),0.5))),SQRT(G20*Config!$B$5)))</f>
        <v>4.73205553</v>
      </c>
      <c r="I20" s="11">
        <f t="shared" si="1"/>
        <v>0.5878706974</v>
      </c>
      <c r="J20" s="11">
        <f t="shared" si="2"/>
        <v>0.4121293026</v>
      </c>
      <c r="K20" s="11">
        <f t="shared" si="3"/>
        <v>0</v>
      </c>
      <c r="L20" s="4" t="str">
        <f>IF(I20="","",IF(I20&gt;=0.5+Config!$B$6,"OVER",IF(J20&gt;=0.5+Config!$B$6,"UNDER","—")))</f>
        <v>OVER</v>
      </c>
      <c r="N20" s="4">
        <v>16.5</v>
      </c>
      <c r="O20" s="11">
        <v>0.4</v>
      </c>
      <c r="P20" s="11">
        <v>0.4</v>
      </c>
      <c r="Q20" s="11">
        <v>0.53</v>
      </c>
      <c r="R20" s="4" t="s">
        <v>1843</v>
      </c>
      <c r="S20" s="4">
        <v>-2.0</v>
      </c>
      <c r="T20" s="4" t="str">
        <f t="array" ref="T20">INDEX(Calc!$G$2:$G$157,MATCH($W20,Calc!$A$2:$A$157,0))&amp;" / "&amp;INDEX(Calc!$H$2:$H$157,MATCH($W20,Calc!$A$2:$A$157,0))</f>
        <v>Ancient / Inferno</v>
      </c>
      <c r="U20" s="4" t="str">
        <f t="array" ref="U20">TEXT(INDEX(Calc!$J$2:$J$157,MATCH($W20,Calc!$A$2:$A$157,0)),"0.0")&amp;" / "&amp;TEXT(INDEX(Calc!$K$2:$K$157,MATCH($W20,Calc!$A$2:$A$157,0)),"0.0")</f>
        <v>21.5 / 21.5</v>
      </c>
      <c r="V20" s="4" t="str">
        <f t="array" ref="V20">IFERROR(INDEX(Calc!$AQ$2:$AQ$157,MATCH($W20,Calc!$A$2:$A$157,0)),"")</f>
        <v/>
      </c>
      <c r="W20" s="4" t="s">
        <v>1894</v>
      </c>
      <c r="X20" s="4" t="s">
        <v>634</v>
      </c>
      <c r="Y20" s="4" t="str">
        <f t="shared" si="4"/>
        <v>at33ffmykh60t4i|CS2 · AST vs MIBR|H12</v>
      </c>
      <c r="Z20" s="12">
        <f t="array" ref="Z20">IFERROR(INDEX(CHOOSE(MATCH($X20,{"K1","K2","K3","K12","K13","H1","H2","H3","H12","H13"},0),Calc!$BA$2:$BA$157,Calc!$BB$2:$BB$157,Calc!$BC$2:$BC$157,Calc!$BD$2:$BD$157,Calc!$BE$2:$BE$157,Calc!$BF$2:$BF$157,Calc!$BG$2:$BG$157,Calc!$BH$2:$BH$157,Calc!$BI$2:$BI$157,Calc!$BJ$2:$BJ$157),MATCH($W20,Calc!$A$2:$A$157,0)),"")</f>
        <v>17.92431421</v>
      </c>
      <c r="AA20" s="12">
        <f t="array" ref="AA20">IF(Z20="","",IF(LEFT($X20,1)="H",SQRT(Z20*(IFERROR(INDEX(Calc!$AP$2:$AP$157,MATCH($W20,Calc!$A$2:$A$157,0)),0.5)*Config!$B$5+1-IFERROR(INDEX(Calc!$AP$2:$AP$157,MATCH($W20,Calc!$A$2:$A$157,0)),0.5))),SQRT(Z20*Config!$B$5)))</f>
        <v>4.651458731</v>
      </c>
      <c r="AB20" s="11">
        <f t="shared" si="5"/>
        <v>0.5363418041</v>
      </c>
      <c r="AC20" s="11">
        <f t="shared" si="6"/>
        <v>0.4636581959</v>
      </c>
      <c r="AD20" s="4" t="str">
        <f>IF(AB20="","",IF(AB20&gt;=0.5+Config!$B$6,"OVER",IF(AC20&gt;=0.5+Config!$B$6,"UNDER","—")))</f>
        <v>—</v>
      </c>
      <c r="AE20" s="18">
        <f t="shared" si="7"/>
        <v>0.966225911</v>
      </c>
    </row>
    <row r="21" ht="15.75" customHeight="1">
      <c r="A21" s="4" t="s">
        <v>86</v>
      </c>
      <c r="B21" s="4" t="s">
        <v>1178</v>
      </c>
      <c r="C21" s="4" t="s">
        <v>1454</v>
      </c>
      <c r="D21" s="4" t="s">
        <v>1182</v>
      </c>
      <c r="E21" s="4" t="s">
        <v>772</v>
      </c>
      <c r="F21" s="4">
        <v>32.5</v>
      </c>
      <c r="G21" s="12">
        <f t="array" ref="G21">IFERROR(INDEX(CHOOSE(MATCH($X21,{"K1","K2","K3","K12","K13","H1","H2","H3","H12","H13"},0),Calc!$V$2:$V$157,Calc!$AC$2:$AC$157,Calc!$AJ$2:$AJ$157,Calc!$AL$2:$AL$157,Calc!$AM$2:$AM$157,Calc!$W$2:$W$157,Calc!$AD$2:$AD$157,Calc!$AK$2:$AK$157,Calc!$AN$2:$AN$157,Calc!$AO$2:$AO$157),MATCH($W21,Calc!$A$2:$A$157,0)),"")</f>
        <v>35.83333333</v>
      </c>
      <c r="H21" s="12">
        <f t="array" ref="H21">IF(G21="","",IF(LEFT($X21,1)="H",SQRT(G21*(IFERROR(INDEX(Calc!$AP$2:$AP$157,MATCH($W21,Calc!$A$2:$A$157,0)),0.5)*Config!$B$5+1-IFERROR(INDEX(Calc!$AP$2:$AP$157,MATCH($W21,Calc!$A$2:$A$157,0)),0.5))),SQRT(G21*Config!$B$5)))</f>
        <v>7.08284312</v>
      </c>
      <c r="I21" s="11">
        <f t="shared" si="1"/>
        <v>0.6810442262</v>
      </c>
      <c r="J21" s="11">
        <f t="shared" si="2"/>
        <v>0.3189557738</v>
      </c>
      <c r="K21" s="11">
        <f t="shared" si="3"/>
        <v>0</v>
      </c>
      <c r="L21" s="4" t="str">
        <f>IF(I21="","",IF(I21&gt;=0.5+Config!$B$6,"OVER",IF(J21&gt;=0.5+Config!$B$6,"UNDER","—")))</f>
        <v>OVER</v>
      </c>
      <c r="N21" s="4">
        <v>34.4</v>
      </c>
      <c r="O21" s="11">
        <v>0.6</v>
      </c>
      <c r="P21" s="11">
        <v>0.8</v>
      </c>
      <c r="Q21" s="11">
        <v>0.73</v>
      </c>
      <c r="R21" s="4" t="s">
        <v>1928</v>
      </c>
      <c r="S21" s="4">
        <v>1.0</v>
      </c>
      <c r="T21" s="4" t="str">
        <f t="array" ref="T21">INDEX(Calc!$G$2:$G$157,MATCH($W21,Calc!$A$2:$A$157,0))&amp;" / "&amp;INDEX(Calc!$H$2:$H$157,MATCH($W21,Calc!$A$2:$A$157,0))</f>
        <v>Ancient / Inferno</v>
      </c>
      <c r="U21" s="4" t="str">
        <f t="array" ref="U21">TEXT(INDEX(Calc!$J$2:$J$157,MATCH($W21,Calc!$A$2:$A$157,0)),"0.0")&amp;" / "&amp;TEXT(INDEX(Calc!$K$2:$K$157,MATCH($W21,Calc!$A$2:$A$157,0)),"0.0")</f>
        <v>21.5 / 21.5</v>
      </c>
      <c r="V21" s="4" t="str">
        <f t="array" ref="V21">IFERROR(INDEX(Calc!$AQ$2:$AQ$157,MATCH($W21,Calc!$A$2:$A$157,0)),"")</f>
        <v/>
      </c>
      <c r="W21" s="4" t="s">
        <v>1894</v>
      </c>
      <c r="X21" s="4" t="s">
        <v>926</v>
      </c>
      <c r="Y21" s="4" t="str">
        <f t="shared" si="4"/>
        <v>at33ffmykh60t4i|CS2 · AST vs MIBR|K12</v>
      </c>
      <c r="Z21" s="12">
        <f t="array" ref="Z21">IFERROR(INDEX(CHOOSE(MATCH($X21,{"K1","K2","K3","K12","K13","H1","H2","H3","H12","H13"},0),Calc!$BA$2:$BA$157,Calc!$BB$2:$BB$157,Calc!$BC$2:$BC$157,Calc!$BD$2:$BD$157,Calc!$BE$2:$BE$157,Calc!$BF$2:$BF$157,Calc!$BG$2:$BG$157,Calc!$BH$2:$BH$157,Calc!$BI$2:$BI$157,Calc!$BJ$2:$BJ$157),MATCH($W21,Calc!$A$2:$A$157,0)),"")</f>
        <v>34.61327339</v>
      </c>
      <c r="AA21" s="12">
        <f t="array" ref="AA21">IF(Z21="","",IF(LEFT($X21,1)="H",SQRT(Z21*(IFERROR(INDEX(Calc!$AP$2:$AP$157,MATCH($W21,Calc!$A$2:$A$157,0)),0.5)*Config!$B$5+1-IFERROR(INDEX(Calc!$AP$2:$AP$157,MATCH($W21,Calc!$A$2:$A$157,0)),0.5))),SQRT(Z21*Config!$B$5)))</f>
        <v>6.961219918</v>
      </c>
      <c r="AB21" s="11">
        <f t="shared" si="5"/>
        <v>0.6192753019</v>
      </c>
      <c r="AC21" s="11">
        <f t="shared" si="6"/>
        <v>0.3807246981</v>
      </c>
      <c r="AD21" s="4" t="str">
        <f>IF(AB21="","",IF(AB21&gt;=0.5+Config!$B$6,"OVER",IF(AC21&gt;=0.5+Config!$B$6,"UNDER","—")))</f>
        <v>OVER</v>
      </c>
      <c r="AE21" s="18">
        <f t="shared" si="7"/>
        <v>0.9659518154</v>
      </c>
    </row>
    <row r="22" ht="15.75" customHeight="1">
      <c r="A22" s="4" t="s">
        <v>86</v>
      </c>
      <c r="B22" s="4" t="s">
        <v>1178</v>
      </c>
      <c r="C22" s="4" t="s">
        <v>1458</v>
      </c>
      <c r="D22" s="4" t="s">
        <v>1182</v>
      </c>
      <c r="E22" s="4" t="s">
        <v>370</v>
      </c>
      <c r="F22" s="4">
        <v>13.5</v>
      </c>
      <c r="G22" s="12">
        <f t="array" ref="G22">IFERROR(INDEX(CHOOSE(MATCH($X22,{"K1","K2","K3","K12","K13","H1","H2","H3","H12","H13"},0),Calc!$V$2:$V$157,Calc!$AC$2:$AC$157,Calc!$AJ$2:$AJ$157,Calc!$AL$2:$AL$157,Calc!$AM$2:$AM$157,Calc!$W$2:$W$157,Calc!$AD$2:$AD$157,Calc!$AK$2:$AK$157,Calc!$AN$2:$AN$157,Calc!$AO$2:$AO$157),MATCH($W22,Calc!$A$2:$A$157,0)),"")</f>
        <v>13.49185404</v>
      </c>
      <c r="H22" s="12">
        <f t="array" ref="H22">IF(G22="","",IF(LEFT($X22,1)="H",SQRT(G22*(IFERROR(INDEX(Calc!$AP$2:$AP$157,MATCH($W22,Calc!$A$2:$A$157,0)),0.5)*Config!$B$5+1-IFERROR(INDEX(Calc!$AP$2:$AP$157,MATCH($W22,Calc!$A$2:$A$157,0)),0.5))),SQRT(G22*Config!$B$5)))</f>
        <v>4.079368472</v>
      </c>
      <c r="I22" s="11">
        <f t="shared" si="1"/>
        <v>0.4992033657</v>
      </c>
      <c r="J22" s="11">
        <f t="shared" si="2"/>
        <v>0.5007966343</v>
      </c>
      <c r="K22" s="11">
        <f t="shared" si="3"/>
        <v>0</v>
      </c>
      <c r="L22" s="4" t="str">
        <f>IF(I22="","",IF(I22&gt;=0.5+Config!$B$6,"OVER",IF(J22&gt;=0.5+Config!$B$6,"UNDER","—")))</f>
        <v>—</v>
      </c>
      <c r="N22" s="4">
        <v>15.3</v>
      </c>
      <c r="O22" s="11">
        <v>0.6</v>
      </c>
      <c r="P22" s="11">
        <v>0.6</v>
      </c>
      <c r="Q22" s="11">
        <v>0.53</v>
      </c>
      <c r="R22" s="4" t="s">
        <v>1296</v>
      </c>
      <c r="S22" s="4">
        <v>1.0</v>
      </c>
      <c r="T22" s="4" t="str">
        <f t="array" ref="T22">INDEX(Calc!$G$2:$G$157,MATCH($W22,Calc!$A$2:$A$157,0))&amp;" / "&amp;INDEX(Calc!$H$2:$H$157,MATCH($W22,Calc!$A$2:$A$157,0))</f>
        <v>Ancient / Inferno</v>
      </c>
      <c r="U22" s="4" t="str">
        <f t="array" ref="U22">TEXT(INDEX(Calc!$J$2:$J$157,MATCH($W22,Calc!$A$2:$A$157,0)),"0.0")&amp;" / "&amp;TEXT(INDEX(Calc!$K$2:$K$157,MATCH($W22,Calc!$A$2:$A$157,0)),"0.0")</f>
        <v>21.5 / 21.5</v>
      </c>
      <c r="V22" s="4" t="str">
        <f t="array" ref="V22">IFERROR(INDEX(Calc!$AQ$2:$AQ$157,MATCH($W22,Calc!$A$2:$A$157,0)),"")</f>
        <v/>
      </c>
      <c r="W22" s="4" t="s">
        <v>1986</v>
      </c>
      <c r="X22" s="4" t="s">
        <v>634</v>
      </c>
      <c r="Y22" s="4" t="str">
        <f t="shared" si="4"/>
        <v>dg034axrrrb2wu5|CS2 · AST vs MIBR|H12</v>
      </c>
      <c r="Z22" s="12">
        <f t="array" ref="Z22">IFERROR(INDEX(CHOOSE(MATCH($X22,{"K1","K2","K3","K12","K13","H1","H2","H3","H12","H13"},0),Calc!$BA$2:$BA$157,Calc!$BB$2:$BB$157,Calc!$BC$2:$BC$157,Calc!$BD$2:$BD$157,Calc!$BE$2:$BE$157,Calc!$BF$2:$BF$157,Calc!$BG$2:$BG$157,Calc!$BH$2:$BH$157,Calc!$BI$2:$BI$157,Calc!$BJ$2:$BJ$157),MATCH($W22,Calc!$A$2:$A$157,0)),"")</f>
        <v>13.02172105</v>
      </c>
      <c r="AA22" s="12">
        <f t="array" ref="AA22">IF(Z22="","",IF(LEFT($X22,1)="H",SQRT(Z22*(IFERROR(INDEX(Calc!$AP$2:$AP$157,MATCH($W22,Calc!$A$2:$A$157,0)),0.5)*Config!$B$5+1-IFERROR(INDEX(Calc!$AP$2:$AP$157,MATCH($W22,Calc!$A$2:$A$157,0)),0.5))),SQRT(Z22*Config!$B$5)))</f>
        <v>4.007664077</v>
      </c>
      <c r="AB22" s="11">
        <f t="shared" si="5"/>
        <v>0.4525025702</v>
      </c>
      <c r="AC22" s="11">
        <f t="shared" si="6"/>
        <v>0.5474974298</v>
      </c>
      <c r="AD22" s="4" t="str">
        <f>IF(AB22="","",IF(AB22&gt;=0.5+Config!$B$6,"OVER",IF(AC22&gt;=0.5+Config!$B$6,"UNDER","—")))</f>
        <v>UNDER</v>
      </c>
      <c r="AE22" s="18">
        <f t="shared" si="7"/>
        <v>0.9651543078</v>
      </c>
    </row>
    <row r="23" ht="15.75" customHeight="1">
      <c r="A23" s="4" t="s">
        <v>86</v>
      </c>
      <c r="B23" s="4" t="s">
        <v>1178</v>
      </c>
      <c r="C23" s="4" t="s">
        <v>1458</v>
      </c>
      <c r="D23" s="4" t="s">
        <v>1182</v>
      </c>
      <c r="E23" s="4" t="s">
        <v>772</v>
      </c>
      <c r="F23" s="4">
        <v>24.5</v>
      </c>
      <c r="G23" s="12">
        <f t="array" ref="G23">IFERROR(INDEX(CHOOSE(MATCH($X23,{"K1","K2","K3","K12","K13","H1","H2","H3","H12","H13"},0),Calc!$V$2:$V$157,Calc!$AC$2:$AC$157,Calc!$AJ$2:$AJ$157,Calc!$AL$2:$AL$157,Calc!$AM$2:$AM$157,Calc!$W$2:$W$157,Calc!$AD$2:$AD$157,Calc!$AK$2:$AK$157,Calc!$AN$2:$AN$157,Calc!$AO$2:$AO$157),MATCH($W23,Calc!$A$2:$A$157,0)),"")</f>
        <v>23.11939103</v>
      </c>
      <c r="H23" s="12">
        <f t="array" ref="H23">IF(G23="","",IF(LEFT($X23,1)="H",SQRT(G23*(IFERROR(INDEX(Calc!$AP$2:$AP$157,MATCH($W23,Calc!$A$2:$A$157,0)),0.5)*Config!$B$5+1-IFERROR(INDEX(Calc!$AP$2:$AP$157,MATCH($W23,Calc!$A$2:$A$157,0)),0.5))),SQRT(G23*Config!$B$5)))</f>
        <v>5.689213253</v>
      </c>
      <c r="I23" s="11">
        <f t="shared" si="1"/>
        <v>0.4041300076</v>
      </c>
      <c r="J23" s="11">
        <f t="shared" si="2"/>
        <v>0.5958699924</v>
      </c>
      <c r="K23" s="11">
        <f t="shared" si="3"/>
        <v>0</v>
      </c>
      <c r="L23" s="4" t="str">
        <f>IF(I23="","",IF(I23&gt;=0.5+Config!$B$6,"OVER",IF(J23&gt;=0.5+Config!$B$6,"UNDER","—")))</f>
        <v>UNDER</v>
      </c>
      <c r="N23" s="4">
        <v>27.2</v>
      </c>
      <c r="O23" s="11">
        <v>0.8</v>
      </c>
      <c r="P23" s="11">
        <v>0.8</v>
      </c>
      <c r="Q23" s="11">
        <v>0.6</v>
      </c>
      <c r="R23" s="4" t="s">
        <v>1296</v>
      </c>
      <c r="S23" s="4">
        <v>1.0</v>
      </c>
      <c r="T23" s="4" t="str">
        <f t="array" ref="T23">INDEX(Calc!$G$2:$G$157,MATCH($W23,Calc!$A$2:$A$157,0))&amp;" / "&amp;INDEX(Calc!$H$2:$H$157,MATCH($W23,Calc!$A$2:$A$157,0))</f>
        <v>Ancient / Inferno</v>
      </c>
      <c r="U23" s="4" t="str">
        <f t="array" ref="U23">TEXT(INDEX(Calc!$J$2:$J$157,MATCH($W23,Calc!$A$2:$A$157,0)),"0.0")&amp;" / "&amp;TEXT(INDEX(Calc!$K$2:$K$157,MATCH($W23,Calc!$A$2:$A$157,0)),"0.0")</f>
        <v>21.5 / 21.5</v>
      </c>
      <c r="V23" s="4" t="str">
        <f t="array" ref="V23">IFERROR(INDEX(Calc!$AQ$2:$AQ$157,MATCH($W23,Calc!$A$2:$A$157,0)),"")</f>
        <v/>
      </c>
      <c r="W23" s="4" t="s">
        <v>1986</v>
      </c>
      <c r="X23" s="4" t="s">
        <v>926</v>
      </c>
      <c r="Y23" s="4" t="str">
        <f t="shared" si="4"/>
        <v>dg034axrrrb2wu5|CS2 · AST vs MIBR|K12</v>
      </c>
      <c r="Z23" s="12">
        <f t="array" ref="Z23">IFERROR(INDEX(CHOOSE(MATCH($X23,{"K1","K2","K3","K12","K13","H1","H2","H3","H12","H13"},0),Calc!$BA$2:$BA$157,Calc!$BB$2:$BB$157,Calc!$BC$2:$BC$157,Calc!$BD$2:$BD$157,Calc!$BE$2:$BE$157,Calc!$BF$2:$BF$157,Calc!$BG$2:$BG$157,Calc!$BH$2:$BH$157,Calc!$BI$2:$BI$157,Calc!$BJ$2:$BJ$157),MATCH($W23,Calc!$A$2:$A$157,0)),"")</f>
        <v>22.31064988</v>
      </c>
      <c r="AA23" s="12">
        <f t="array" ref="AA23">IF(Z23="","",IF(LEFT($X23,1)="H",SQRT(Z23*(IFERROR(INDEX(Calc!$AP$2:$AP$157,MATCH($W23,Calc!$A$2:$A$157,0)),0.5)*Config!$B$5+1-IFERROR(INDEX(Calc!$AP$2:$AP$157,MATCH($W23,Calc!$A$2:$A$157,0)),0.5))),SQRT(Z23*Config!$B$5)))</f>
        <v>5.588820075</v>
      </c>
      <c r="AB23" s="11">
        <f t="shared" si="5"/>
        <v>0.3476261083</v>
      </c>
      <c r="AC23" s="11">
        <f t="shared" si="6"/>
        <v>0.6523738917</v>
      </c>
      <c r="AD23" s="4" t="str">
        <f>IF(AB23="","",IF(AB23&gt;=0.5+Config!$B$6,"OVER",IF(AC23&gt;=0.5+Config!$B$6,"UNDER","—")))</f>
        <v>UNDER</v>
      </c>
      <c r="AE23" s="18">
        <f t="shared" si="7"/>
        <v>0.9650189252</v>
      </c>
    </row>
    <row r="24" ht="15.75" customHeight="1">
      <c r="A24" s="4" t="s">
        <v>86</v>
      </c>
      <c r="B24" s="4" t="s">
        <v>1178</v>
      </c>
      <c r="C24" s="4" t="s">
        <v>1461</v>
      </c>
      <c r="D24" s="4" t="s">
        <v>1182</v>
      </c>
      <c r="E24" s="4" t="s">
        <v>370</v>
      </c>
      <c r="F24" s="4">
        <v>10.0</v>
      </c>
      <c r="G24" s="12">
        <f t="array" ref="G24">IFERROR(INDEX(CHOOSE(MATCH($X24,{"K1","K2","K3","K12","K13","H1","H2","H3","H12","H13"},0),Calc!$V$2:$V$157,Calc!$AC$2:$AC$157,Calc!$AJ$2:$AJ$157,Calc!$AL$2:$AL$157,Calc!$AM$2:$AM$157,Calc!$W$2:$W$157,Calc!$AD$2:$AD$157,Calc!$AK$2:$AK$157,Calc!$AN$2:$AN$157,Calc!$AO$2:$AO$157),MATCH($W24,Calc!$A$2:$A$157,0)),"")</f>
        <v>11.02895778</v>
      </c>
      <c r="H24" s="12">
        <f t="array" ref="H24">IF(G24="","",IF(LEFT($X24,1)="H",SQRT(G24*(IFERROR(INDEX(Calc!$AP$2:$AP$157,MATCH($W24,Calc!$A$2:$A$157,0)),0.5)*Config!$B$5+1-IFERROR(INDEX(Calc!$AP$2:$AP$157,MATCH($W24,Calc!$A$2:$A$157,0)),0.5))),SQRT(G24*Config!$B$5)))</f>
        <v>3.546054184</v>
      </c>
      <c r="I24" s="11">
        <f t="shared" si="1"/>
        <v>0.559289462</v>
      </c>
      <c r="J24" s="11">
        <f t="shared" si="2"/>
        <v>0.3331718088</v>
      </c>
      <c r="K24" s="11">
        <f t="shared" si="3"/>
        <v>0.1075387293</v>
      </c>
      <c r="L24" s="4" t="str">
        <f>IF(I24="","",IF(I24&gt;=0.5+Config!$B$6,"OVER",IF(J24&gt;=0.5+Config!$B$6,"UNDER","—")))</f>
        <v>OVER</v>
      </c>
      <c r="N24" s="4">
        <v>10.7</v>
      </c>
      <c r="O24" s="11">
        <v>0.6</v>
      </c>
      <c r="P24" s="11">
        <v>0.6</v>
      </c>
      <c r="Q24" s="11">
        <v>0.67</v>
      </c>
      <c r="R24" s="4" t="s">
        <v>2039</v>
      </c>
      <c r="S24" s="4">
        <v>1.0</v>
      </c>
      <c r="T24" s="4" t="str">
        <f t="array" ref="T24">INDEX(Calc!$G$2:$G$157,MATCH($W24,Calc!$A$2:$A$157,0))&amp;" / "&amp;INDEX(Calc!$H$2:$H$157,MATCH($W24,Calc!$A$2:$A$157,0))</f>
        <v>Ancient / Inferno</v>
      </c>
      <c r="U24" s="4" t="str">
        <f t="array" ref="U24">TEXT(INDEX(Calc!$J$2:$J$157,MATCH($W24,Calc!$A$2:$A$157,0)),"0.0")&amp;" / "&amp;TEXT(INDEX(Calc!$K$2:$K$157,MATCH($W24,Calc!$A$2:$A$157,0)),"0.0")</f>
        <v>21.5 / 21.5</v>
      </c>
      <c r="V24" s="4" t="str">
        <f t="array" ref="V24">IFERROR(INDEX(Calc!$AQ$2:$AQ$157,MATCH($W24,Calc!$A$2:$A$157,0)),"")</f>
        <v/>
      </c>
      <c r="W24" s="4" t="s">
        <v>2042</v>
      </c>
      <c r="X24" s="4" t="s">
        <v>634</v>
      </c>
      <c r="Y24" s="4" t="str">
        <f t="shared" si="4"/>
        <v>ohuy083j17pze9o|CS2 · AST vs MIBR|H12</v>
      </c>
      <c r="Z24" s="12">
        <f t="array" ref="Z24">IFERROR(INDEX(CHOOSE(MATCH($X24,{"K1","K2","K3","K12","K13","H1","H2","H3","H12","H13"},0),Calc!$BA$2:$BA$157,Calc!$BB$2:$BB$157,Calc!$BC$2:$BC$157,Calc!$BD$2:$BD$157,Calc!$BE$2:$BE$157,Calc!$BF$2:$BF$157,Calc!$BG$2:$BG$157,Calc!$BH$2:$BH$157,Calc!$BI$2:$BI$157,Calc!$BJ$2:$BJ$157),MATCH($W24,Calc!$A$2:$A$157,0)),"")</f>
        <v>10.65948942</v>
      </c>
      <c r="AA24" s="12">
        <f t="array" ref="AA24">IF(Z24="","",IF(LEFT($X24,1)="H",SQRT(Z24*(IFERROR(INDEX(Calc!$AP$2:$AP$157,MATCH($W24,Calc!$A$2:$A$157,0)),0.5)*Config!$B$5+1-IFERROR(INDEX(Calc!$AP$2:$AP$157,MATCH($W24,Calc!$A$2:$A$157,0)),0.5))),SQRT(Z24*Config!$B$5)))</f>
        <v>3.486152103</v>
      </c>
      <c r="AB24" s="11">
        <f t="shared" si="5"/>
        <v>0.5182450112</v>
      </c>
      <c r="AC24" s="11">
        <f t="shared" si="6"/>
        <v>0.3697186382</v>
      </c>
      <c r="AD24" s="4" t="str">
        <f>IF(AB24="","",IF(AB24&gt;=0.5+Config!$B$6,"OVER",IF(AC24&gt;=0.5+Config!$B$6,"UNDER","—")))</f>
        <v>—</v>
      </c>
      <c r="AE24" s="18">
        <f t="shared" si="7"/>
        <v>0.9665001562</v>
      </c>
    </row>
    <row r="25" ht="15.75" customHeight="1">
      <c r="A25" s="4" t="s">
        <v>86</v>
      </c>
      <c r="B25" s="4" t="s">
        <v>1178</v>
      </c>
      <c r="C25" s="4" t="s">
        <v>1461</v>
      </c>
      <c r="D25" s="4" t="s">
        <v>1182</v>
      </c>
      <c r="E25" s="4" t="s">
        <v>772</v>
      </c>
      <c r="F25" s="4">
        <v>28.0</v>
      </c>
      <c r="G25" s="12">
        <f t="array" ref="G25">IFERROR(INDEX(CHOOSE(MATCH($X25,{"K1","K2","K3","K12","K13","H1","H2","H3","H12","H13"},0),Calc!$V$2:$V$157,Calc!$AC$2:$AC$157,Calc!$AJ$2:$AJ$157,Calc!$AL$2:$AL$157,Calc!$AM$2:$AM$157,Calc!$W$2:$W$157,Calc!$AD$2:$AD$157,Calc!$AK$2:$AK$157,Calc!$AN$2:$AN$157,Calc!$AO$2:$AO$157),MATCH($W25,Calc!$A$2:$A$157,0)),"")</f>
        <v>31.48096154</v>
      </c>
      <c r="H25" s="12">
        <f t="array" ref="H25">IF(G25="","",IF(LEFT($X25,1)="H",SQRT(G25*(IFERROR(INDEX(Calc!$AP$2:$AP$157,MATCH($W25,Calc!$A$2:$A$157,0)),0.5)*Config!$B$5+1-IFERROR(INDEX(Calc!$AP$2:$AP$157,MATCH($W25,Calc!$A$2:$A$157,0)),0.5))),SQRT(G25*Config!$B$5)))</f>
        <v>6.638775953</v>
      </c>
      <c r="I25" s="11">
        <f t="shared" si="1"/>
        <v>0.6732923829</v>
      </c>
      <c r="J25" s="11">
        <f t="shared" si="2"/>
        <v>0.2743687777</v>
      </c>
      <c r="K25" s="11">
        <f t="shared" si="3"/>
        <v>0.05233883936</v>
      </c>
      <c r="L25" s="4" t="str">
        <f>IF(I25="","",IF(I25&gt;=0.5+Config!$B$6,"OVER",IF(J25&gt;=0.5+Config!$B$6,"UNDER","—")))</f>
        <v>OVER</v>
      </c>
      <c r="N25" s="4">
        <v>30.2</v>
      </c>
      <c r="O25" s="11">
        <v>0.6</v>
      </c>
      <c r="P25" s="11">
        <v>0.7</v>
      </c>
      <c r="Q25" s="11">
        <v>0.6</v>
      </c>
      <c r="R25" s="4" t="s">
        <v>2039</v>
      </c>
      <c r="S25" s="4">
        <v>-1.0</v>
      </c>
      <c r="T25" s="4" t="str">
        <f t="array" ref="T25">INDEX(Calc!$G$2:$G$157,MATCH($W25,Calc!$A$2:$A$157,0))&amp;" / "&amp;INDEX(Calc!$H$2:$H$157,MATCH($W25,Calc!$A$2:$A$157,0))</f>
        <v>Ancient / Inferno</v>
      </c>
      <c r="U25" s="4" t="str">
        <f t="array" ref="U25">TEXT(INDEX(Calc!$J$2:$J$157,MATCH($W25,Calc!$A$2:$A$157,0)),"0.0")&amp;" / "&amp;TEXT(INDEX(Calc!$K$2:$K$157,MATCH($W25,Calc!$A$2:$A$157,0)),"0.0")</f>
        <v>21.5 / 21.5</v>
      </c>
      <c r="V25" s="4" t="str">
        <f t="array" ref="V25">IFERROR(INDEX(Calc!$AQ$2:$AQ$157,MATCH($W25,Calc!$A$2:$A$157,0)),"")</f>
        <v/>
      </c>
      <c r="W25" s="4" t="s">
        <v>2042</v>
      </c>
      <c r="X25" s="4" t="s">
        <v>926</v>
      </c>
      <c r="Y25" s="4" t="str">
        <f t="shared" si="4"/>
        <v>ohuy083j17pze9o|CS2 · AST vs MIBR|K12</v>
      </c>
      <c r="Z25" s="12">
        <f t="array" ref="Z25">IFERROR(INDEX(CHOOSE(MATCH($X25,{"K1","K2","K3","K12","K13","H1","H2","H3","H12","H13"},0),Calc!$BA$2:$BA$157,Calc!$BB$2:$BB$157,Calc!$BC$2:$BC$157,Calc!$BD$2:$BD$157,Calc!$BE$2:$BE$157,Calc!$BF$2:$BF$157,Calc!$BG$2:$BG$157,Calc!$BH$2:$BH$157,Calc!$BI$2:$BI$157,Calc!$BJ$2:$BJ$157),MATCH($W25,Calc!$A$2:$A$157,0)),"")</f>
        <v>30.42543095</v>
      </c>
      <c r="AA25" s="12">
        <f t="array" ref="AA25">IF(Z25="","",IF(LEFT($X25,1)="H",SQRT(Z25*(IFERROR(INDEX(Calc!$AP$2:$AP$157,MATCH($W25,Calc!$A$2:$A$157,0)),0.5)*Config!$B$5+1-IFERROR(INDEX(Calc!$AP$2:$AP$157,MATCH($W25,Calc!$A$2:$A$157,0)),0.5))),SQRT(Z25*Config!$B$5)))</f>
        <v>6.526530727</v>
      </c>
      <c r="AB25" s="11">
        <f t="shared" si="5"/>
        <v>0.6160091691</v>
      </c>
      <c r="AC25" s="11">
        <f t="shared" si="6"/>
        <v>0.3269911699</v>
      </c>
      <c r="AD25" s="4" t="str">
        <f>IF(AB25="","",IF(AB25&gt;=0.5+Config!$B$6,"OVER",IF(AC25&gt;=0.5+Config!$B$6,"UNDER","—")))</f>
        <v>OVER</v>
      </c>
      <c r="AE25" s="18">
        <f t="shared" si="7"/>
        <v>0.9664708275</v>
      </c>
    </row>
    <row r="26" ht="15.75" customHeight="1">
      <c r="A26" s="4" t="s">
        <v>86</v>
      </c>
      <c r="B26" s="4" t="s">
        <v>1178</v>
      </c>
      <c r="C26" s="4" t="s">
        <v>1467</v>
      </c>
      <c r="D26" s="4" t="s">
        <v>1182</v>
      </c>
      <c r="E26" s="4" t="s">
        <v>370</v>
      </c>
      <c r="F26" s="4">
        <v>14.5</v>
      </c>
      <c r="G26" s="12">
        <f t="array" ref="G26">IFERROR(INDEX(CHOOSE(MATCH($X26,{"K1","K2","K3","K12","K13","H1","H2","H3","H12","H13"},0),Calc!$V$2:$V$157,Calc!$AC$2:$AC$157,Calc!$AJ$2:$AJ$157,Calc!$AL$2:$AL$157,Calc!$AM$2:$AM$157,Calc!$W$2:$W$157,Calc!$AD$2:$AD$157,Calc!$AK$2:$AK$157,Calc!$AN$2:$AN$157,Calc!$AO$2:$AO$157),MATCH($W26,Calc!$A$2:$A$157,0)),"")</f>
        <v>14.20766652</v>
      </c>
      <c r="H26" s="12">
        <f t="array" ref="H26">IF(G26="","",IF(LEFT($X26,1)="H",SQRT(G26*(IFERROR(INDEX(Calc!$AP$2:$AP$157,MATCH($W26,Calc!$A$2:$A$157,0)),0.5)*Config!$B$5+1-IFERROR(INDEX(Calc!$AP$2:$AP$157,MATCH($W26,Calc!$A$2:$A$157,0)),0.5))),SQRT(G26*Config!$B$5)))</f>
        <v>4.112505808</v>
      </c>
      <c r="I26" s="11">
        <f t="shared" si="1"/>
        <v>0.47166544</v>
      </c>
      <c r="J26" s="11">
        <f t="shared" si="2"/>
        <v>0.52833456</v>
      </c>
      <c r="K26" s="11">
        <f t="shared" si="3"/>
        <v>0</v>
      </c>
      <c r="L26" s="4" t="str">
        <f>IF(I26="","",IF(I26&gt;=0.5+Config!$B$6,"OVER",IF(J26&gt;=0.5+Config!$B$6,"UNDER","—")))</f>
        <v>—</v>
      </c>
      <c r="N26" s="4">
        <v>14.4</v>
      </c>
      <c r="O26" s="11">
        <v>0.6</v>
      </c>
      <c r="P26" s="11">
        <v>0.5</v>
      </c>
      <c r="Q26" s="11">
        <v>0.47</v>
      </c>
      <c r="R26" s="4" t="s">
        <v>579</v>
      </c>
      <c r="S26" s="4">
        <v>-1.0</v>
      </c>
      <c r="T26" s="4" t="str">
        <f t="array" ref="T26">INDEX(Calc!$G$2:$G$157,MATCH($W26,Calc!$A$2:$A$157,0))&amp;" / "&amp;INDEX(Calc!$H$2:$H$157,MATCH($W26,Calc!$A$2:$A$157,0))</f>
        <v>Ancient / Inferno</v>
      </c>
      <c r="U26" s="4" t="str">
        <f t="array" ref="U26">TEXT(INDEX(Calc!$J$2:$J$157,MATCH($W26,Calc!$A$2:$A$157,0)),"0.0")&amp;" / "&amp;TEXT(INDEX(Calc!$K$2:$K$157,MATCH($W26,Calc!$A$2:$A$157,0)),"0.0")</f>
        <v>21.5 / 21.5</v>
      </c>
      <c r="V26" s="4" t="str">
        <f t="array" ref="V26">IFERROR(INDEX(Calc!$AQ$2:$AQ$157,MATCH($W26,Calc!$A$2:$A$157,0)),"")</f>
        <v/>
      </c>
      <c r="W26" s="4" t="s">
        <v>2084</v>
      </c>
      <c r="X26" s="4" t="s">
        <v>634</v>
      </c>
      <c r="Y26" s="4" t="str">
        <f t="shared" si="4"/>
        <v>m5jimj86u7hpg0e|CS2 · AST vs MIBR|H12</v>
      </c>
      <c r="Z26" s="12">
        <f t="array" ref="Z26">IFERROR(INDEX(CHOOSE(MATCH($X26,{"K1","K2","K3","K12","K13","H1","H2","H3","H12","H13"},0),Calc!$BA$2:$BA$157,Calc!$BB$2:$BB$157,Calc!$BC$2:$BC$157,Calc!$BD$2:$BD$157,Calc!$BE$2:$BE$157,Calc!$BF$2:$BF$157,Calc!$BG$2:$BG$157,Calc!$BH$2:$BH$157,Calc!$BI$2:$BI$157,Calc!$BJ$2:$BJ$157),MATCH($W26,Calc!$A$2:$A$157,0)),"")</f>
        <v>13.74642004</v>
      </c>
      <c r="AA26" s="12">
        <f t="array" ref="AA26">IF(Z26="","",IF(LEFT($X26,1)="H",SQRT(Z26*(IFERROR(INDEX(Calc!$AP$2:$AP$157,MATCH($W26,Calc!$A$2:$A$157,0)),0.5)*Config!$B$5+1-IFERROR(INDEX(Calc!$AP$2:$AP$157,MATCH($W26,Calc!$A$2:$A$157,0)),0.5))),SQRT(Z26*Config!$B$5)))</f>
        <v>4.045199566</v>
      </c>
      <c r="AB26" s="11">
        <f t="shared" si="5"/>
        <v>0.4261087005</v>
      </c>
      <c r="AC26" s="11">
        <f t="shared" si="6"/>
        <v>0.5738912995</v>
      </c>
      <c r="AD26" s="4" t="str">
        <f>IF(AB26="","",IF(AB26&gt;=0.5+Config!$B$6,"OVER",IF(AC26&gt;=0.5+Config!$B$6,"UNDER","—")))</f>
        <v>UNDER</v>
      </c>
      <c r="AE26" s="18">
        <f t="shared" si="7"/>
        <v>0.9675353809</v>
      </c>
    </row>
    <row r="27" ht="15.75" customHeight="1">
      <c r="A27" s="4" t="s">
        <v>86</v>
      </c>
      <c r="B27" s="4" t="s">
        <v>1178</v>
      </c>
      <c r="C27" s="4" t="s">
        <v>1467</v>
      </c>
      <c r="D27" s="4" t="s">
        <v>1182</v>
      </c>
      <c r="E27" s="4" t="s">
        <v>772</v>
      </c>
      <c r="F27" s="4">
        <v>28.5</v>
      </c>
      <c r="G27" s="12">
        <f t="array" ref="G27">IFERROR(INDEX(CHOOSE(MATCH($X27,{"K1","K2","K3","K12","K13","H1","H2","H3","H12","H13"},0),Calc!$V$2:$V$157,Calc!$AC$2:$AC$157,Calc!$AJ$2:$AJ$157,Calc!$AL$2:$AL$157,Calc!$AM$2:$AM$157,Calc!$W$2:$W$157,Calc!$AD$2:$AD$157,Calc!$AK$2:$AK$157,Calc!$AN$2:$AN$157,Calc!$AO$2:$AO$157),MATCH($W27,Calc!$A$2:$A$157,0)),"")</f>
        <v>29.84916667</v>
      </c>
      <c r="H27" s="12">
        <f t="array" ref="H27">IF(G27="","",IF(LEFT($X27,1)="H",SQRT(G27*(IFERROR(INDEX(Calc!$AP$2:$AP$157,MATCH($W27,Calc!$A$2:$A$157,0)),0.5)*Config!$B$5+1-IFERROR(INDEX(Calc!$AP$2:$AP$157,MATCH($W27,Calc!$A$2:$A$157,0)),0.5))),SQRT(G27*Config!$B$5)))</f>
        <v>6.464428307</v>
      </c>
      <c r="I27" s="11">
        <f t="shared" si="1"/>
        <v>0.5826612242</v>
      </c>
      <c r="J27" s="11">
        <f t="shared" si="2"/>
        <v>0.4173387758</v>
      </c>
      <c r="K27" s="11">
        <f t="shared" si="3"/>
        <v>0</v>
      </c>
      <c r="L27" s="4" t="str">
        <f>IF(I27="","",IF(I27&gt;=0.5+Config!$B$6,"OVER",IF(J27&gt;=0.5+Config!$B$6,"UNDER","—")))</f>
        <v>OVER</v>
      </c>
      <c r="N27" s="4">
        <v>28.0</v>
      </c>
      <c r="O27" s="11">
        <v>0.8</v>
      </c>
      <c r="P27" s="11">
        <v>0.5</v>
      </c>
      <c r="Q27" s="11">
        <v>0.4</v>
      </c>
      <c r="R27" s="4" t="s">
        <v>579</v>
      </c>
      <c r="S27" s="4">
        <v>-1.0</v>
      </c>
      <c r="T27" s="4" t="str">
        <f t="array" ref="T27">INDEX(Calc!$G$2:$G$157,MATCH($W27,Calc!$A$2:$A$157,0))&amp;" / "&amp;INDEX(Calc!$H$2:$H$157,MATCH($W27,Calc!$A$2:$A$157,0))</f>
        <v>Ancient / Inferno</v>
      </c>
      <c r="U27" s="4" t="str">
        <f t="array" ref="U27">TEXT(INDEX(Calc!$J$2:$J$157,MATCH($W27,Calc!$A$2:$A$157,0)),"0.0")&amp;" / "&amp;TEXT(INDEX(Calc!$K$2:$K$157,MATCH($W27,Calc!$A$2:$A$157,0)),"0.0")</f>
        <v>21.5 / 21.5</v>
      </c>
      <c r="V27" s="4" t="str">
        <f t="array" ref="V27">IFERROR(INDEX(Calc!$AQ$2:$AQ$157,MATCH($W27,Calc!$A$2:$A$157,0)),"")</f>
        <v/>
      </c>
      <c r="W27" s="4" t="s">
        <v>2084</v>
      </c>
      <c r="X27" s="4" t="s">
        <v>926</v>
      </c>
      <c r="Y27" s="4" t="str">
        <f t="shared" si="4"/>
        <v>m5jimj86u7hpg0e|CS2 · AST vs MIBR|K12</v>
      </c>
      <c r="Z27" s="12">
        <f t="array" ref="Z27">IFERROR(INDEX(CHOOSE(MATCH($X27,{"K1","K2","K3","K12","K13","H1","H2","H3","H12","H13"},0),Calc!$BA$2:$BA$157,Calc!$BB$2:$BB$157,Calc!$BC$2:$BC$157,Calc!$BD$2:$BD$157,Calc!$BE$2:$BE$157,Calc!$BF$2:$BF$157,Calc!$BG$2:$BG$157,Calc!$BH$2:$BH$157,Calc!$BI$2:$BI$157,Calc!$BJ$2:$BJ$157),MATCH($W27,Calc!$A$2:$A$157,0)),"")</f>
        <v>28.87147565</v>
      </c>
      <c r="AA27" s="12">
        <f t="array" ref="AA27">IF(Z27="","",IF(LEFT($X27,1)="H",SQRT(Z27*(IFERROR(INDEX(Calc!$AP$2:$AP$157,MATCH($W27,Calc!$A$2:$A$157,0)),0.5)*Config!$B$5+1-IFERROR(INDEX(Calc!$AP$2:$AP$157,MATCH($W27,Calc!$A$2:$A$157,0)),0.5))),SQRT(Z27*Config!$B$5)))</f>
        <v>6.357677713</v>
      </c>
      <c r="AB27" s="11">
        <f t="shared" si="5"/>
        <v>0.5232967237</v>
      </c>
      <c r="AC27" s="11">
        <f t="shared" si="6"/>
        <v>0.4767032763</v>
      </c>
      <c r="AD27" s="4" t="str">
        <f>IF(AB27="","",IF(AB27&gt;=0.5+Config!$B$6,"OVER",IF(AC27&gt;=0.5+Config!$B$6,"UNDER","—")))</f>
        <v>—</v>
      </c>
      <c r="AE27" s="18">
        <f t="shared" si="7"/>
        <v>0.9672456176</v>
      </c>
    </row>
    <row r="28" ht="15.75" customHeight="1">
      <c r="A28" s="4" t="s">
        <v>86</v>
      </c>
      <c r="B28" s="4" t="s">
        <v>1178</v>
      </c>
      <c r="C28" s="4" t="s">
        <v>1470</v>
      </c>
      <c r="D28" s="4" t="s">
        <v>1182</v>
      </c>
      <c r="E28" s="4" t="s">
        <v>370</v>
      </c>
      <c r="F28" s="4">
        <v>16.5</v>
      </c>
      <c r="G28" s="12">
        <f t="array" ref="G28">IFERROR(INDEX(CHOOSE(MATCH($X28,{"K1","K2","K3","K12","K13","H1","H2","H3","H12","H13"},0),Calc!$V$2:$V$157,Calc!$AC$2:$AC$157,Calc!$AJ$2:$AJ$157,Calc!$AL$2:$AL$157,Calc!$AM$2:$AM$157,Calc!$W$2:$W$157,Calc!$AD$2:$AD$157,Calc!$AK$2:$AK$157,Calc!$AN$2:$AN$157,Calc!$AO$2:$AO$157),MATCH($W28,Calc!$A$2:$A$157,0)),"")</f>
        <v>16.36232628</v>
      </c>
      <c r="H28" s="12">
        <f t="array" ref="H28">IF(G28="","",IF(LEFT($X28,1)="H",SQRT(G28*(IFERROR(INDEX(Calc!$AP$2:$AP$157,MATCH($W28,Calc!$A$2:$A$157,0)),0.5)*Config!$B$5+1-IFERROR(INDEX(Calc!$AP$2:$AP$157,MATCH($W28,Calc!$A$2:$A$157,0)),0.5))),SQRT(G28*Config!$B$5)))</f>
        <v>4.513530935</v>
      </c>
      <c r="I28" s="11">
        <f t="shared" si="1"/>
        <v>0.4878331724</v>
      </c>
      <c r="J28" s="11">
        <f t="shared" si="2"/>
        <v>0.5121668276</v>
      </c>
      <c r="K28" s="11">
        <f t="shared" si="3"/>
        <v>0</v>
      </c>
      <c r="L28" s="4" t="str">
        <f>IF(I28="","",IF(I28&gt;=0.5+Config!$B$6,"OVER",IF(J28&gt;=0.5+Config!$B$6,"UNDER","—")))</f>
        <v>—</v>
      </c>
      <c r="N28" s="4">
        <v>15.4</v>
      </c>
      <c r="O28" s="11">
        <v>0.4</v>
      </c>
      <c r="P28" s="11">
        <v>0.5</v>
      </c>
      <c r="Q28" s="11">
        <v>0.53</v>
      </c>
      <c r="R28" s="4" t="s">
        <v>1729</v>
      </c>
      <c r="S28" s="4">
        <v>-1.0</v>
      </c>
      <c r="T28" s="4" t="str">
        <f t="array" ref="T28">INDEX(Calc!$G$2:$G$157,MATCH($W28,Calc!$A$2:$A$157,0))&amp;" / "&amp;INDEX(Calc!$H$2:$H$157,MATCH($W28,Calc!$A$2:$A$157,0))</f>
        <v>Ancient / Inferno</v>
      </c>
      <c r="U28" s="4" t="str">
        <f t="array" ref="U28">TEXT(INDEX(Calc!$J$2:$J$157,MATCH($W28,Calc!$A$2:$A$157,0)),"0.0")&amp;" / "&amp;TEXT(INDEX(Calc!$K$2:$K$157,MATCH($W28,Calc!$A$2:$A$157,0)),"0.0")</f>
        <v>21.5 / 21.5</v>
      </c>
      <c r="V28" s="4" t="str">
        <f t="array" ref="V28">IFERROR(INDEX(Calc!$AQ$2:$AQ$157,MATCH($W28,Calc!$A$2:$A$157,0)),"")</f>
        <v/>
      </c>
      <c r="W28" s="4" t="s">
        <v>2130</v>
      </c>
      <c r="X28" s="4" t="s">
        <v>634</v>
      </c>
      <c r="Y28" s="4" t="str">
        <f t="shared" si="4"/>
        <v>n597dm4mdfvgas1|CS2 · AST vs MIBR|H12</v>
      </c>
      <c r="Z28" s="12">
        <f t="array" ref="Z28">IFERROR(INDEX(CHOOSE(MATCH($X28,{"K1","K2","K3","K12","K13","H1","H2","H3","H12","H13"},0),Calc!$BA$2:$BA$157,Calc!$BB$2:$BB$157,Calc!$BC$2:$BC$157,Calc!$BD$2:$BD$157,Calc!$BE$2:$BE$157,Calc!$BF$2:$BF$157,Calc!$BG$2:$BG$157,Calc!$BH$2:$BH$157,Calc!$BI$2:$BI$157,Calc!$BJ$2:$BJ$157),MATCH($W28,Calc!$A$2:$A$157,0)),"")</f>
        <v>15.83034572</v>
      </c>
      <c r="AA28" s="12">
        <f t="array" ref="AA28">IF(Z28="","",IF(LEFT($X28,1)="H",SQRT(Z28*(IFERROR(INDEX(Calc!$AP$2:$AP$157,MATCH($W28,Calc!$A$2:$A$157,0)),0.5)*Config!$B$5+1-IFERROR(INDEX(Calc!$AP$2:$AP$157,MATCH($W28,Calc!$A$2:$A$157,0)),0.5))),SQRT(Z28*Config!$B$5)))</f>
        <v>4.439551505</v>
      </c>
      <c r="AB28" s="11">
        <f t="shared" si="5"/>
        <v>0.4400516469</v>
      </c>
      <c r="AC28" s="11">
        <f t="shared" si="6"/>
        <v>0.5599483531</v>
      </c>
      <c r="AD28" s="4" t="str">
        <f>IF(AB28="","",IF(AB28&gt;=0.5+Config!$B$6,"OVER",IF(AC28&gt;=0.5+Config!$B$6,"UNDER","—")))</f>
        <v>UNDER</v>
      </c>
      <c r="AE28" s="18">
        <f t="shared" si="7"/>
        <v>0.9674874738</v>
      </c>
    </row>
    <row r="29" ht="15.75" customHeight="1">
      <c r="A29" s="4" t="s">
        <v>86</v>
      </c>
      <c r="B29" s="4" t="s">
        <v>1178</v>
      </c>
      <c r="C29" s="4" t="s">
        <v>1470</v>
      </c>
      <c r="D29" s="4" t="s">
        <v>1182</v>
      </c>
      <c r="E29" s="4" t="s">
        <v>772</v>
      </c>
      <c r="F29" s="4">
        <v>27.5</v>
      </c>
      <c r="G29" s="12">
        <f t="array" ref="G29">IFERROR(INDEX(CHOOSE(MATCH($X29,{"K1","K2","K3","K12","K13","H1","H2","H3","H12","H13"},0),Calc!$V$2:$V$157,Calc!$AC$2:$AC$157,Calc!$AJ$2:$AJ$157,Calc!$AL$2:$AL$157,Calc!$AM$2:$AM$157,Calc!$W$2:$W$157,Calc!$AD$2:$AD$157,Calc!$AK$2:$AK$157,Calc!$AN$2:$AN$157,Calc!$AO$2:$AO$157),MATCH($W29,Calc!$A$2:$A$157,0)),"")</f>
        <v>26.70823718</v>
      </c>
      <c r="H29" s="12">
        <f t="array" ref="H29">IF(G29="","",IF(LEFT($X29,1)="H",SQRT(G29*(IFERROR(INDEX(Calc!$AP$2:$AP$157,MATCH($W29,Calc!$A$2:$A$157,0)),0.5)*Config!$B$5+1-IFERROR(INDEX(Calc!$AP$2:$AP$157,MATCH($W29,Calc!$A$2:$A$157,0)),0.5))),SQRT(G29*Config!$B$5)))</f>
        <v>6.114861573</v>
      </c>
      <c r="I29" s="11">
        <f t="shared" si="1"/>
        <v>0.4484882425</v>
      </c>
      <c r="J29" s="11">
        <f t="shared" si="2"/>
        <v>0.5515117575</v>
      </c>
      <c r="K29" s="11">
        <f t="shared" si="3"/>
        <v>0</v>
      </c>
      <c r="L29" s="4" t="str">
        <f>IF(I29="","",IF(I29&gt;=0.5+Config!$B$6,"OVER",IF(J29&gt;=0.5+Config!$B$6,"UNDER","—")))</f>
        <v>UNDER</v>
      </c>
      <c r="N29" s="4">
        <v>25.7</v>
      </c>
      <c r="O29" s="11">
        <v>0.2</v>
      </c>
      <c r="P29" s="11">
        <v>0.3</v>
      </c>
      <c r="Q29" s="11">
        <v>0.4</v>
      </c>
      <c r="R29" s="4" t="s">
        <v>2203</v>
      </c>
      <c r="S29" s="4">
        <v>-1.0</v>
      </c>
      <c r="T29" s="4" t="str">
        <f t="array" ref="T29">INDEX(Calc!$G$2:$G$157,MATCH($W29,Calc!$A$2:$A$157,0))&amp;" / "&amp;INDEX(Calc!$H$2:$H$157,MATCH($W29,Calc!$A$2:$A$157,0))</f>
        <v>Ancient / Inferno</v>
      </c>
      <c r="U29" s="4" t="str">
        <f t="array" ref="U29">TEXT(INDEX(Calc!$J$2:$J$157,MATCH($W29,Calc!$A$2:$A$157,0)),"0.0")&amp;" / "&amp;TEXT(INDEX(Calc!$K$2:$K$157,MATCH($W29,Calc!$A$2:$A$157,0)),"0.0")</f>
        <v>21.5 / 21.5</v>
      </c>
      <c r="V29" s="4" t="str">
        <f t="array" ref="V29">IFERROR(INDEX(Calc!$AQ$2:$AQ$157,MATCH($W29,Calc!$A$2:$A$157,0)),"")</f>
        <v/>
      </c>
      <c r="W29" s="4" t="s">
        <v>2130</v>
      </c>
      <c r="X29" s="4" t="s">
        <v>926</v>
      </c>
      <c r="Y29" s="4" t="str">
        <f t="shared" si="4"/>
        <v>n597dm4mdfvgas1|CS2 · AST vs MIBR|K12</v>
      </c>
      <c r="Z29" s="12">
        <f t="array" ref="Z29">IFERROR(INDEX(CHOOSE(MATCH($X29,{"K1","K2","K3","K12","K13","H1","H2","H3","H12","H13"},0),Calc!$BA$2:$BA$157,Calc!$BB$2:$BB$157,Calc!$BC$2:$BC$157,Calc!$BD$2:$BD$157,Calc!$BE$2:$BE$157,Calc!$BF$2:$BF$157,Calc!$BG$2:$BG$157,Calc!$BH$2:$BH$157,Calc!$BI$2:$BI$157,Calc!$BJ$2:$BJ$157),MATCH($W29,Calc!$A$2:$A$157,0)),"")</f>
        <v>25.83398432</v>
      </c>
      <c r="AA29" s="12">
        <f t="array" ref="AA29">IF(Z29="","",IF(LEFT($X29,1)="H",SQRT(Z29*(IFERROR(INDEX(Calc!$AP$2:$AP$157,MATCH($W29,Calc!$A$2:$A$157,0)),0.5)*Config!$B$5+1-IFERROR(INDEX(Calc!$AP$2:$AP$157,MATCH($W29,Calc!$A$2:$A$157,0)),0.5))),SQRT(Z29*Config!$B$5)))</f>
        <v>6.013948623</v>
      </c>
      <c r="AB29" s="11">
        <f t="shared" si="5"/>
        <v>0.390880355</v>
      </c>
      <c r="AC29" s="11">
        <f t="shared" si="6"/>
        <v>0.609119645</v>
      </c>
      <c r="AD29" s="4" t="str">
        <f>IF(AB29="","",IF(AB29&gt;=0.5+Config!$B$6,"OVER",IF(AC29&gt;=0.5+Config!$B$6,"UNDER","—")))</f>
        <v>UNDER</v>
      </c>
      <c r="AE29" s="18">
        <f t="shared" si="7"/>
        <v>0.9672665457</v>
      </c>
    </row>
    <row r="30" ht="15.75" customHeight="1">
      <c r="A30" s="4" t="s">
        <v>86</v>
      </c>
      <c r="B30" s="4" t="s">
        <v>1168</v>
      </c>
      <c r="C30" s="4" t="s">
        <v>1247</v>
      </c>
      <c r="D30" s="4" t="s">
        <v>1174</v>
      </c>
      <c r="E30" s="4" t="s">
        <v>370</v>
      </c>
      <c r="F30" s="4">
        <v>16.5</v>
      </c>
      <c r="G30" s="12">
        <f t="array" ref="G30">IFERROR(INDEX(CHOOSE(MATCH($X30,{"K1","K2","K3","K12","K13","H1","H2","H3","H12","H13"},0),Calc!$V$2:$V$157,Calc!$AC$2:$AC$157,Calc!$AJ$2:$AJ$157,Calc!$AL$2:$AL$157,Calc!$AM$2:$AM$157,Calc!$W$2:$W$157,Calc!$AD$2:$AD$157,Calc!$AK$2:$AK$157,Calc!$AN$2:$AN$157,Calc!$AO$2:$AO$157),MATCH($W30,Calc!$A$2:$A$157,0)),"")</f>
        <v>17.62230635</v>
      </c>
      <c r="H30" s="12">
        <f t="array" ref="H30">IF(G30="","",IF(LEFT($X30,1)="H",SQRT(G30*(IFERROR(INDEX(Calc!$AP$2:$AP$157,MATCH($W30,Calc!$A$2:$A$157,0)),0.5)*Config!$B$5+1-IFERROR(INDEX(Calc!$AP$2:$AP$157,MATCH($W30,Calc!$A$2:$A$157,0)),0.5))),SQRT(G30*Config!$B$5)))</f>
        <v>4.651831399</v>
      </c>
      <c r="I30" s="11">
        <f t="shared" si="1"/>
        <v>0.5953236531</v>
      </c>
      <c r="J30" s="11">
        <f t="shared" si="2"/>
        <v>0.4046763469</v>
      </c>
      <c r="K30" s="11">
        <f t="shared" si="3"/>
        <v>0</v>
      </c>
      <c r="L30" s="4" t="str">
        <f>IF(I30="","",IF(I30&gt;=0.5+Config!$B$6,"OVER",IF(J30&gt;=0.5+Config!$B$6,"UNDER","—")))</f>
        <v>OVER</v>
      </c>
      <c r="N30" s="4">
        <v>16.3</v>
      </c>
      <c r="O30" s="11">
        <v>0.2</v>
      </c>
      <c r="P30" s="11">
        <v>0.5</v>
      </c>
      <c r="Q30" s="11">
        <v>0.4</v>
      </c>
      <c r="R30" s="4" t="s">
        <v>1296</v>
      </c>
      <c r="S30" s="4">
        <v>-3.0</v>
      </c>
      <c r="T30" s="4" t="str">
        <f t="array" ref="T30">INDEX(Calc!$G$2:$G$157,MATCH($W30,Calc!$A$2:$A$157,0))&amp;" / "&amp;INDEX(Calc!$H$2:$H$157,MATCH($W30,Calc!$A$2:$A$157,0))</f>
        <v>Nuke / Mirage</v>
      </c>
      <c r="U30" s="4" t="str">
        <f t="array" ref="U30">TEXT(INDEX(Calc!$J$2:$J$157,MATCH($W30,Calc!$A$2:$A$157,0)),"0.0")&amp;" / "&amp;TEXT(INDEX(Calc!$K$2:$K$157,MATCH($W30,Calc!$A$2:$A$157,0)),"0.0")</f>
        <v>21.3 / 21.4</v>
      </c>
      <c r="V30" s="4" t="str">
        <f t="array" ref="V30">IFERROR(INDEX(Calc!$AQ$2:$AQ$157,MATCH($W30,Calc!$A$2:$A$157,0)),"")</f>
        <v/>
      </c>
      <c r="W30" s="4" t="s">
        <v>2253</v>
      </c>
      <c r="X30" s="4" t="s">
        <v>634</v>
      </c>
      <c r="Y30" s="4" t="str">
        <f t="shared" si="4"/>
        <v>id2uf5ot80ms5oo|CS2 · AUR vs 9z|H12</v>
      </c>
      <c r="Z30" s="12">
        <f t="array" ref="Z30">IFERROR(INDEX(CHOOSE(MATCH($X30,{"K1","K2","K3","K12","K13","H1","H2","H3","H12","H13"},0),Calc!$BA$2:$BA$157,Calc!$BB$2:$BB$157,Calc!$BC$2:$BC$157,Calc!$BD$2:$BD$157,Calc!$BE$2:$BE$157,Calc!$BF$2:$BF$157,Calc!$BG$2:$BG$157,Calc!$BH$2:$BH$157,Calc!$BI$2:$BI$157,Calc!$BJ$2:$BJ$157),MATCH($W30,Calc!$A$2:$A$157,0)),"")</f>
        <v>18.16266174</v>
      </c>
      <c r="AA30" s="12">
        <f t="array" ref="AA30">IF(Z30="","",IF(LEFT($X30,1)="H",SQRT(Z30*(IFERROR(INDEX(Calc!$AP$2:$AP$157,MATCH($W30,Calc!$A$2:$A$157,0)),0.5)*Config!$B$5+1-IFERROR(INDEX(Calc!$AP$2:$AP$157,MATCH($W30,Calc!$A$2:$A$157,0)),0.5))),SQRT(Z30*Config!$B$5)))</f>
        <v>4.722612799</v>
      </c>
      <c r="AB30" s="11">
        <f t="shared" si="5"/>
        <v>0.6376048499</v>
      </c>
      <c r="AC30" s="11">
        <f t="shared" si="6"/>
        <v>0.3623951501</v>
      </c>
      <c r="AD30" s="4" t="str">
        <f>IF(AB30="","",IF(AB30&gt;=0.5+Config!$B$6,"OVER",IF(AC30&gt;=0.5+Config!$B$6,"UNDER","—")))</f>
        <v>OVER</v>
      </c>
      <c r="AE30" s="18">
        <f t="shared" si="7"/>
        <v>1.030663148</v>
      </c>
    </row>
    <row r="31" ht="15.75" customHeight="1">
      <c r="A31" s="4" t="s">
        <v>86</v>
      </c>
      <c r="B31" s="4" t="s">
        <v>1168</v>
      </c>
      <c r="C31" s="4" t="s">
        <v>1247</v>
      </c>
      <c r="D31" s="4" t="s">
        <v>1174</v>
      </c>
      <c r="E31" s="4" t="s">
        <v>772</v>
      </c>
      <c r="F31" s="4">
        <v>28.5</v>
      </c>
      <c r="G31" s="12">
        <f t="array" ref="G31">IFERROR(INDEX(CHOOSE(MATCH($X31,{"K1","K2","K3","K12","K13","H1","H2","H3","H12","H13"},0),Calc!$V$2:$V$157,Calc!$AC$2:$AC$157,Calc!$AJ$2:$AJ$157,Calc!$AL$2:$AL$157,Calc!$AM$2:$AM$157,Calc!$W$2:$W$157,Calc!$AD$2:$AD$157,Calc!$AK$2:$AK$157,Calc!$AN$2:$AN$157,Calc!$AO$2:$AO$157),MATCH($W31,Calc!$A$2:$A$157,0)),"")</f>
        <v>30.92138182</v>
      </c>
      <c r="H31" s="12">
        <f t="array" ref="H31">IF(G31="","",IF(LEFT($X31,1)="H",SQRT(G31*(IFERROR(INDEX(Calc!$AP$2:$AP$157,MATCH($W31,Calc!$A$2:$A$157,0)),0.5)*Config!$B$5+1-IFERROR(INDEX(Calc!$AP$2:$AP$157,MATCH($W31,Calc!$A$2:$A$157,0)),0.5))),SQRT(G31*Config!$B$5)))</f>
        <v>6.579508686</v>
      </c>
      <c r="I31" s="11">
        <f t="shared" si="1"/>
        <v>0.6435703312</v>
      </c>
      <c r="J31" s="11">
        <f t="shared" si="2"/>
        <v>0.3564296688</v>
      </c>
      <c r="K31" s="11">
        <f t="shared" si="3"/>
        <v>0</v>
      </c>
      <c r="L31" s="4" t="str">
        <f>IF(I31="","",IF(I31&gt;=0.5+Config!$B$6,"OVER",IF(J31&gt;=0.5+Config!$B$6,"UNDER","—")))</f>
        <v>OVER</v>
      </c>
      <c r="M31" s="4">
        <v>28.82</v>
      </c>
      <c r="N31" s="4">
        <v>30.3</v>
      </c>
      <c r="O31" s="11">
        <v>0.4</v>
      </c>
      <c r="P31" s="11">
        <v>0.6</v>
      </c>
      <c r="Q31" s="11">
        <v>0.53</v>
      </c>
      <c r="R31" s="4" t="s">
        <v>2488</v>
      </c>
      <c r="S31" s="4">
        <v>-1.0</v>
      </c>
      <c r="T31" s="4" t="str">
        <f t="array" ref="T31">INDEX(Calc!$G$2:$G$157,MATCH($W31,Calc!$A$2:$A$157,0))&amp;" / "&amp;INDEX(Calc!$H$2:$H$157,MATCH($W31,Calc!$A$2:$A$157,0))</f>
        <v>Nuke / Mirage</v>
      </c>
      <c r="U31" s="4" t="str">
        <f t="array" ref="U31">TEXT(INDEX(Calc!$J$2:$J$157,MATCH($W31,Calc!$A$2:$A$157,0)),"0.0")&amp;" / "&amp;TEXT(INDEX(Calc!$K$2:$K$157,MATCH($W31,Calc!$A$2:$A$157,0)),"0.0")</f>
        <v>21.3 / 21.4</v>
      </c>
      <c r="V31" s="4" t="str">
        <f t="array" ref="V31">IFERROR(INDEX(Calc!$AQ$2:$AQ$157,MATCH($W31,Calc!$A$2:$A$157,0)),"")</f>
        <v/>
      </c>
      <c r="W31" s="4" t="s">
        <v>2253</v>
      </c>
      <c r="X31" s="4" t="s">
        <v>926</v>
      </c>
      <c r="Y31" s="4" t="str">
        <f t="shared" si="4"/>
        <v>id2uf5ot80ms5oo|CS2 · AUR vs 9z|K12</v>
      </c>
      <c r="Z31" s="12">
        <f t="array" ref="Z31">IFERROR(INDEX(CHOOSE(MATCH($X31,{"K1","K2","K3","K12","K13","H1","H2","H3","H12","H13"},0),Calc!$BA$2:$BA$157,Calc!$BB$2:$BB$157,Calc!$BC$2:$BC$157,Calc!$BD$2:$BD$157,Calc!$BE$2:$BE$157,Calc!$BF$2:$BF$157,Calc!$BG$2:$BG$157,Calc!$BH$2:$BH$157,Calc!$BI$2:$BI$157,Calc!$BJ$2:$BJ$157),MATCH($W31,Calc!$A$2:$A$157,0)),"")</f>
        <v>31.88206472</v>
      </c>
      <c r="AA31" s="12">
        <f t="array" ref="AA31">IF(Z31="","",IF(LEFT($X31,1)="H",SQRT(Z31*(IFERROR(INDEX(Calc!$AP$2:$AP$157,MATCH($W31,Calc!$A$2:$A$157,0)),0.5)*Config!$B$5+1-IFERROR(INDEX(Calc!$AP$2:$AP$157,MATCH($W31,Calc!$A$2:$A$157,0)),0.5))),SQRT(Z31*Config!$B$5)))</f>
        <v>6.680934861</v>
      </c>
      <c r="AB31" s="11">
        <f t="shared" si="5"/>
        <v>0.6936510918</v>
      </c>
      <c r="AC31" s="11">
        <f t="shared" si="6"/>
        <v>0.3063489082</v>
      </c>
      <c r="AD31" s="4" t="str">
        <f>IF(AB31="","",IF(AB31&gt;=0.5+Config!$B$6,"OVER",IF(AC31&gt;=0.5+Config!$B$6,"UNDER","—")))</f>
        <v>OVER</v>
      </c>
      <c r="AE31" s="18">
        <f t="shared" si="7"/>
        <v>1.031068563</v>
      </c>
    </row>
    <row r="32" ht="15.75" customHeight="1">
      <c r="A32" s="4" t="s">
        <v>86</v>
      </c>
      <c r="B32" s="4" t="s">
        <v>1168</v>
      </c>
      <c r="C32" s="4" t="s">
        <v>1251</v>
      </c>
      <c r="D32" s="4" t="s">
        <v>1174</v>
      </c>
      <c r="E32" s="4" t="s">
        <v>370</v>
      </c>
      <c r="F32" s="4">
        <v>17.0</v>
      </c>
      <c r="G32" s="12">
        <f t="array" ref="G32">IFERROR(INDEX(CHOOSE(MATCH($X32,{"K1","K2","K3","K12","K13","H1","H2","H3","H12","H13"},0),Calc!$V$2:$V$157,Calc!$AC$2:$AC$157,Calc!$AJ$2:$AJ$157,Calc!$AL$2:$AL$157,Calc!$AM$2:$AM$157,Calc!$W$2:$W$157,Calc!$AD$2:$AD$157,Calc!$AK$2:$AK$157,Calc!$AN$2:$AN$157,Calc!$AO$2:$AO$157),MATCH($W32,Calc!$A$2:$A$157,0)),"")</f>
        <v>17.82627252</v>
      </c>
      <c r="H32" s="12">
        <f t="array" ref="H32">IF(G32="","",IF(LEFT($X32,1)="H",SQRT(G32*(IFERROR(INDEX(Calc!$AP$2:$AP$157,MATCH($W32,Calc!$A$2:$A$157,0)),0.5)*Config!$B$5+1-IFERROR(INDEX(Calc!$AP$2:$AP$157,MATCH($W32,Calc!$A$2:$A$157,0)),0.5))),SQRT(G32*Config!$B$5)))</f>
        <v>4.716104306</v>
      </c>
      <c r="I32" s="11">
        <f t="shared" si="1"/>
        <v>0.5275778771</v>
      </c>
      <c r="J32" s="11">
        <f t="shared" si="2"/>
        <v>0.3892700468</v>
      </c>
      <c r="K32" s="11">
        <f t="shared" si="3"/>
        <v>0.0831520761</v>
      </c>
      <c r="L32" s="4" t="str">
        <f>IF(I32="","",IF(I32&gt;=0.5+Config!$B$6,"OVER",IF(J32&gt;=0.5+Config!$B$6,"UNDER","—")))</f>
        <v>—</v>
      </c>
      <c r="N32" s="4">
        <v>15.9</v>
      </c>
      <c r="O32" s="11">
        <v>0.4</v>
      </c>
      <c r="P32" s="11">
        <v>0.4</v>
      </c>
      <c r="Q32" s="11">
        <v>0.47</v>
      </c>
      <c r="R32" s="4" t="s">
        <v>1296</v>
      </c>
      <c r="S32" s="4">
        <v>-1.0</v>
      </c>
      <c r="T32" s="4" t="str">
        <f t="array" ref="T32">INDEX(Calc!$G$2:$G$157,MATCH($W32,Calc!$A$2:$A$157,0))&amp;" / "&amp;INDEX(Calc!$H$2:$H$157,MATCH($W32,Calc!$A$2:$A$157,0))</f>
        <v>Nuke / Mirage</v>
      </c>
      <c r="U32" s="4" t="str">
        <f t="array" ref="U32">TEXT(INDEX(Calc!$J$2:$J$157,MATCH($W32,Calc!$A$2:$A$157,0)),"0.0")&amp;" / "&amp;TEXT(INDEX(Calc!$K$2:$K$157,MATCH($W32,Calc!$A$2:$A$157,0)),"0.0")</f>
        <v>21.3 / 21.4</v>
      </c>
      <c r="V32" s="4" t="str">
        <f t="array" ref="V32">IFERROR(INDEX(Calc!$AQ$2:$AQ$157,MATCH($W32,Calc!$A$2:$A$157,0)),"")</f>
        <v/>
      </c>
      <c r="W32" s="4" t="s">
        <v>2749</v>
      </c>
      <c r="X32" s="4" t="s">
        <v>634</v>
      </c>
      <c r="Y32" s="4" t="str">
        <f t="shared" si="4"/>
        <v>fg52qcdy7yej5d9|CS2 · AUR vs 9z|H12</v>
      </c>
      <c r="Z32" s="12">
        <f t="array" ref="Z32">IFERROR(INDEX(CHOOSE(MATCH($X32,{"K1","K2","K3","K12","K13","H1","H2","H3","H12","H13"},0),Calc!$BA$2:$BA$157,Calc!$BB$2:$BB$157,Calc!$BC$2:$BC$157,Calc!$BD$2:$BD$157,Calc!$BE$2:$BE$157,Calc!$BF$2:$BF$157,Calc!$BG$2:$BG$157,Calc!$BH$2:$BH$157,Calc!$BI$2:$BI$157,Calc!$BJ$2:$BJ$157),MATCH($W32,Calc!$A$2:$A$157,0)),"")</f>
        <v>18.39200146</v>
      </c>
      <c r="AA32" s="12">
        <f t="array" ref="AA32">IF(Z32="","",IF(LEFT($X32,1)="H",SQRT(Z32*(IFERROR(INDEX(Calc!$AP$2:$AP$157,MATCH($W32,Calc!$A$2:$A$157,0)),0.5)*Config!$B$5+1-IFERROR(INDEX(Calc!$AP$2:$AP$157,MATCH($W32,Calc!$A$2:$A$157,0)),0.5))),SQRT(Z32*Config!$B$5)))</f>
        <v>4.790354211</v>
      </c>
      <c r="AB32" s="11">
        <f t="shared" si="5"/>
        <v>0.573859108</v>
      </c>
      <c r="AC32" s="11">
        <f t="shared" si="6"/>
        <v>0.3464359606</v>
      </c>
      <c r="AD32" s="4" t="str">
        <f>IF(AB32="","",IF(AB32&gt;=0.5+Config!$B$6,"OVER",IF(AC32&gt;=0.5+Config!$B$6,"UNDER","—")))</f>
        <v>OVER</v>
      </c>
      <c r="AE32" s="18">
        <f t="shared" si="7"/>
        <v>1.031735683</v>
      </c>
    </row>
    <row r="33" ht="15.75" customHeight="1">
      <c r="A33" s="4" t="s">
        <v>86</v>
      </c>
      <c r="B33" s="4" t="s">
        <v>1168</v>
      </c>
      <c r="C33" s="4" t="s">
        <v>1251</v>
      </c>
      <c r="D33" s="4" t="s">
        <v>1174</v>
      </c>
      <c r="E33" s="4" t="s">
        <v>772</v>
      </c>
      <c r="F33" s="4">
        <v>28.5</v>
      </c>
      <c r="G33" s="12">
        <f t="array" ref="G33">IFERROR(INDEX(CHOOSE(MATCH($X33,{"K1","K2","K3","K12","K13","H1","H2","H3","H12","H13"},0),Calc!$V$2:$V$157,Calc!$AC$2:$AC$157,Calc!$AJ$2:$AJ$157,Calc!$AL$2:$AL$157,Calc!$AM$2:$AM$157,Calc!$W$2:$W$157,Calc!$AD$2:$AD$157,Calc!$AK$2:$AK$157,Calc!$AN$2:$AN$157,Calc!$AO$2:$AO$157),MATCH($W33,Calc!$A$2:$A$157,0)),"")</f>
        <v>28.78818182</v>
      </c>
      <c r="H33" s="12">
        <f t="array" ref="H33">IF(G33="","",IF(LEFT($X33,1)="H",SQRT(G33*(IFERROR(INDEX(Calc!$AP$2:$AP$157,MATCH($W33,Calc!$A$2:$A$157,0)),0.5)*Config!$B$5+1-IFERROR(INDEX(Calc!$AP$2:$AP$157,MATCH($W33,Calc!$A$2:$A$157,0)),0.5))),SQRT(G33*Config!$B$5)))</f>
        <v>6.348500181</v>
      </c>
      <c r="I33" s="11">
        <f t="shared" si="1"/>
        <v>0.5181032428</v>
      </c>
      <c r="J33" s="11">
        <f t="shared" si="2"/>
        <v>0.4818967572</v>
      </c>
      <c r="K33" s="11">
        <f t="shared" si="3"/>
        <v>0</v>
      </c>
      <c r="L33" s="4" t="str">
        <f>IF(I33="","",IF(I33&gt;=0.5+Config!$B$6,"OVER",IF(J33&gt;=0.5+Config!$B$6,"UNDER","—")))</f>
        <v>—</v>
      </c>
      <c r="M33" s="4">
        <v>28.08</v>
      </c>
      <c r="N33" s="4">
        <v>26.3</v>
      </c>
      <c r="O33" s="11">
        <v>0.4</v>
      </c>
      <c r="P33" s="11">
        <v>0.4</v>
      </c>
      <c r="Q33" s="11">
        <v>0.47</v>
      </c>
      <c r="R33" s="4" t="s">
        <v>1296</v>
      </c>
      <c r="S33" s="4">
        <v>-1.0</v>
      </c>
      <c r="T33" s="4" t="str">
        <f t="array" ref="T33">INDEX(Calc!$G$2:$G$157,MATCH($W33,Calc!$A$2:$A$157,0))&amp;" / "&amp;INDEX(Calc!$H$2:$H$157,MATCH($W33,Calc!$A$2:$A$157,0))</f>
        <v>Nuke / Mirage</v>
      </c>
      <c r="U33" s="4" t="str">
        <f t="array" ref="U33">TEXT(INDEX(Calc!$J$2:$J$157,MATCH($W33,Calc!$A$2:$A$157,0)),"0.0")&amp;" / "&amp;TEXT(INDEX(Calc!$K$2:$K$157,MATCH($W33,Calc!$A$2:$A$157,0)),"0.0")</f>
        <v>21.3 / 21.4</v>
      </c>
      <c r="V33" s="4" t="str">
        <f t="array" ref="V33">IFERROR(INDEX(Calc!$AQ$2:$AQ$157,MATCH($W33,Calc!$A$2:$A$157,0)),"")</f>
        <v/>
      </c>
      <c r="W33" s="4" t="s">
        <v>2749</v>
      </c>
      <c r="X33" s="4" t="s">
        <v>926</v>
      </c>
      <c r="Y33" s="4" t="str">
        <f t="shared" si="4"/>
        <v>fg52qcdy7yej5d9|CS2 · AUR vs 9z|K12</v>
      </c>
      <c r="Z33" s="12">
        <f t="array" ref="Z33">IFERROR(INDEX(CHOOSE(MATCH($X33,{"K1","K2","K3","K12","K13","H1","H2","H3","H12","H13"},0),Calc!$BA$2:$BA$157,Calc!$BB$2:$BB$157,Calc!$BC$2:$BC$157,Calc!$BD$2:$BD$157,Calc!$BE$2:$BE$157,Calc!$BF$2:$BF$157,Calc!$BG$2:$BG$157,Calc!$BH$2:$BH$157,Calc!$BI$2:$BI$157,Calc!$BJ$2:$BJ$157),MATCH($W33,Calc!$A$2:$A$157,0)),"")</f>
        <v>29.69317597</v>
      </c>
      <c r="AA33" s="12">
        <f t="array" ref="AA33">IF(Z33="","",IF(LEFT($X33,1)="H",SQRT(Z33*(IFERROR(INDEX(Calc!$AP$2:$AP$157,MATCH($W33,Calc!$A$2:$A$157,0)),0.5)*Config!$B$5+1-IFERROR(INDEX(Calc!$AP$2:$AP$157,MATCH($W33,Calc!$A$2:$A$157,0)),0.5))),SQRT(Z33*Config!$B$5)))</f>
        <v>6.447514743</v>
      </c>
      <c r="AB33" s="11">
        <f t="shared" si="5"/>
        <v>0.5734089452</v>
      </c>
      <c r="AC33" s="11">
        <f t="shared" si="6"/>
        <v>0.4265910548</v>
      </c>
      <c r="AD33" s="4" t="str">
        <f>IF(AB33="","",IF(AB33&gt;=0.5+Config!$B$6,"OVER",IF(AC33&gt;=0.5+Config!$B$6,"UNDER","—")))</f>
        <v>OVER</v>
      </c>
      <c r="AE33" s="18">
        <f t="shared" si="7"/>
        <v>1.031436308</v>
      </c>
    </row>
    <row r="34" ht="15.75" customHeight="1">
      <c r="A34" s="4" t="s">
        <v>86</v>
      </c>
      <c r="B34" s="4" t="s">
        <v>1168</v>
      </c>
      <c r="C34" s="4" t="s">
        <v>1254</v>
      </c>
      <c r="D34" s="4" t="s">
        <v>1174</v>
      </c>
      <c r="E34" s="4" t="s">
        <v>370</v>
      </c>
      <c r="F34" s="4">
        <v>17.0</v>
      </c>
      <c r="G34" s="12">
        <f t="array" ref="G34">IFERROR(INDEX(CHOOSE(MATCH($X34,{"K1","K2","K3","K12","K13","H1","H2","H3","H12","H13"},0),Calc!$V$2:$V$157,Calc!$AC$2:$AC$157,Calc!$AJ$2:$AJ$157,Calc!$AL$2:$AL$157,Calc!$AM$2:$AM$157,Calc!$W$2:$W$157,Calc!$AD$2:$AD$157,Calc!$AK$2:$AK$157,Calc!$AN$2:$AN$157,Calc!$AO$2:$AO$157),MATCH($W34,Calc!$A$2:$A$157,0)),"")</f>
        <v>17.97969378</v>
      </c>
      <c r="H34" s="12">
        <f t="array" ref="H34">IF(G34="","",IF(LEFT($X34,1)="H",SQRT(G34*(IFERROR(INDEX(Calc!$AP$2:$AP$157,MATCH($W34,Calc!$A$2:$A$157,0)),0.5)*Config!$B$5+1-IFERROR(INDEX(Calc!$AP$2:$AP$157,MATCH($W34,Calc!$A$2:$A$157,0)),0.5))),SQRT(G34*Config!$B$5)))</f>
        <v>4.718619119</v>
      </c>
      <c r="I34" s="11">
        <f t="shared" si="1"/>
        <v>0.5404866363</v>
      </c>
      <c r="J34" s="11">
        <f t="shared" si="2"/>
        <v>0.3769176755</v>
      </c>
      <c r="K34" s="11">
        <f t="shared" si="3"/>
        <v>0.08259568818</v>
      </c>
      <c r="L34" s="4" t="str">
        <f>IF(I34="","",IF(I34&gt;=0.5+Config!$B$6,"OVER",IF(J34&gt;=0.5+Config!$B$6,"UNDER","—")))</f>
        <v>OVER</v>
      </c>
      <c r="N34" s="4">
        <v>16.8</v>
      </c>
      <c r="O34" s="11">
        <v>0.8</v>
      </c>
      <c r="P34" s="11">
        <v>0.5</v>
      </c>
      <c r="Q34" s="11">
        <v>0.47</v>
      </c>
      <c r="R34" s="4" t="s">
        <v>1296</v>
      </c>
      <c r="S34" s="4">
        <v>2.0</v>
      </c>
      <c r="T34" s="4" t="str">
        <f t="array" ref="T34">INDEX(Calc!$G$2:$G$157,MATCH($W34,Calc!$A$2:$A$157,0))&amp;" / "&amp;INDEX(Calc!$H$2:$H$157,MATCH($W34,Calc!$A$2:$A$157,0))</f>
        <v>Nuke / Mirage</v>
      </c>
      <c r="U34" s="4" t="str">
        <f t="array" ref="U34">TEXT(INDEX(Calc!$J$2:$J$157,MATCH($W34,Calc!$A$2:$A$157,0)),"0.0")&amp;" / "&amp;TEXT(INDEX(Calc!$K$2:$K$157,MATCH($W34,Calc!$A$2:$A$157,0)),"0.0")</f>
        <v>21.3 / 21.4</v>
      </c>
      <c r="V34" s="4" t="str">
        <f t="array" ref="V34">IFERROR(INDEX(Calc!$AQ$2:$AQ$157,MATCH($W34,Calc!$A$2:$A$157,0)),"")</f>
        <v/>
      </c>
      <c r="W34" s="4" t="s">
        <v>2792</v>
      </c>
      <c r="X34" s="4" t="s">
        <v>634</v>
      </c>
      <c r="Y34" s="4" t="str">
        <f t="shared" si="4"/>
        <v>uf3pcvx03g3k6xm|CS2 · AUR vs 9z|H12</v>
      </c>
      <c r="Z34" s="12">
        <f t="array" ref="Z34">IFERROR(INDEX(CHOOSE(MATCH($X34,{"K1","K2","K3","K12","K13","H1","H2","H3","H12","H13"},0),Calc!$BA$2:$BA$157,Calc!$BB$2:$BB$157,Calc!$BC$2:$BC$157,Calc!$BD$2:$BD$157,Calc!$BE$2:$BE$157,Calc!$BF$2:$BF$157,Calc!$BG$2:$BG$157,Calc!$BH$2:$BH$157,Calc!$BI$2:$BI$157,Calc!$BJ$2:$BJ$157),MATCH($W34,Calc!$A$2:$A$157,0)),"")</f>
        <v>18.53982096</v>
      </c>
      <c r="AA34" s="12">
        <f t="array" ref="AA34">IF(Z34="","",IF(LEFT($X34,1)="H",SQRT(Z34*(IFERROR(INDEX(Calc!$AP$2:$AP$157,MATCH($W34,Calc!$A$2:$A$157,0)),0.5)*Config!$B$5+1-IFERROR(INDEX(Calc!$AP$2:$AP$157,MATCH($W34,Calc!$A$2:$A$157,0)),0.5))),SQRT(Z34*Config!$B$5)))</f>
        <v>4.79155575</v>
      </c>
      <c r="AB34" s="11">
        <f t="shared" si="5"/>
        <v>0.5859001672</v>
      </c>
      <c r="AC34" s="11">
        <f t="shared" si="6"/>
        <v>0.3351589968</v>
      </c>
      <c r="AD34" s="4" t="str">
        <f>IF(AB34="","",IF(AB34&gt;=0.5+Config!$B$6,"OVER",IF(AC34&gt;=0.5+Config!$B$6,"UNDER","—")))</f>
        <v>OVER</v>
      </c>
      <c r="AE34" s="18">
        <f t="shared" si="7"/>
        <v>1.031153321</v>
      </c>
    </row>
    <row r="35" ht="15.75" customHeight="1">
      <c r="A35" s="4" t="s">
        <v>86</v>
      </c>
      <c r="B35" s="4" t="s">
        <v>1168</v>
      </c>
      <c r="C35" s="4" t="s">
        <v>1254</v>
      </c>
      <c r="D35" s="4" t="s">
        <v>1174</v>
      </c>
      <c r="E35" s="4" t="s">
        <v>772</v>
      </c>
      <c r="F35" s="4">
        <v>29.0</v>
      </c>
      <c r="G35" s="12">
        <f t="array" ref="G35">IFERROR(INDEX(CHOOSE(MATCH($X35,{"K1","K2","K3","K12","K13","H1","H2","H3","H12","H13"},0),Calc!$V$2:$V$157,Calc!$AC$2:$AC$157,Calc!$AJ$2:$AJ$157,Calc!$AL$2:$AL$157,Calc!$AM$2:$AM$157,Calc!$W$2:$W$157,Calc!$AD$2:$AD$157,Calc!$AK$2:$AK$157,Calc!$AN$2:$AN$157,Calc!$AO$2:$AO$157),MATCH($W35,Calc!$A$2:$A$157,0)),"")</f>
        <v>30.17210303</v>
      </c>
      <c r="H35" s="12">
        <f t="array" ref="H35">IF(G35="","",IF(LEFT($X35,1)="H",SQRT(G35*(IFERROR(INDEX(Calc!$AP$2:$AP$157,MATCH($W35,Calc!$A$2:$A$157,0)),0.5)*Config!$B$5+1-IFERROR(INDEX(Calc!$AP$2:$AP$157,MATCH($W35,Calc!$A$2:$A$157,0)),0.5))),SQRT(G35*Config!$B$5)))</f>
        <v>6.499303366</v>
      </c>
      <c r="I35" s="11">
        <f t="shared" si="1"/>
        <v>0.5411818269</v>
      </c>
      <c r="J35" s="11">
        <f t="shared" si="2"/>
        <v>0.3984835564</v>
      </c>
      <c r="K35" s="11">
        <f t="shared" si="3"/>
        <v>0.06033461671</v>
      </c>
      <c r="L35" s="4" t="str">
        <f>IF(I35="","",IF(I35&gt;=0.5+Config!$B$6,"OVER",IF(J35&gt;=0.5+Config!$B$6,"UNDER","—")))</f>
        <v>OVER</v>
      </c>
      <c r="M35" s="4">
        <v>28.82</v>
      </c>
      <c r="N35" s="4">
        <v>27.4</v>
      </c>
      <c r="O35" s="11">
        <v>0.6</v>
      </c>
      <c r="P35" s="11">
        <v>0.4</v>
      </c>
      <c r="Q35" s="11">
        <v>0.47</v>
      </c>
      <c r="R35" s="4" t="s">
        <v>1296</v>
      </c>
      <c r="S35" s="4">
        <v>2.0</v>
      </c>
      <c r="T35" s="4" t="str">
        <f t="array" ref="T35">INDEX(Calc!$G$2:$G$157,MATCH($W35,Calc!$A$2:$A$157,0))&amp;" / "&amp;INDEX(Calc!$H$2:$H$157,MATCH($W35,Calc!$A$2:$A$157,0))</f>
        <v>Nuke / Mirage</v>
      </c>
      <c r="U35" s="4" t="str">
        <f t="array" ref="U35">TEXT(INDEX(Calc!$J$2:$J$157,MATCH($W35,Calc!$A$2:$A$157,0)),"0.0")&amp;" / "&amp;TEXT(INDEX(Calc!$K$2:$K$157,MATCH($W35,Calc!$A$2:$A$157,0)),"0.0")</f>
        <v>21.3 / 21.4</v>
      </c>
      <c r="V35" s="4" t="str">
        <f t="array" ref="V35">IFERROR(INDEX(Calc!$AQ$2:$AQ$157,MATCH($W35,Calc!$A$2:$A$157,0)),"")</f>
        <v/>
      </c>
      <c r="W35" s="4" t="s">
        <v>2792</v>
      </c>
      <c r="X35" s="4" t="s">
        <v>926</v>
      </c>
      <c r="Y35" s="4" t="str">
        <f t="shared" si="4"/>
        <v>uf3pcvx03g3k6xm|CS2 · AUR vs 9z|K12</v>
      </c>
      <c r="Z35" s="12">
        <f t="array" ref="Z35">IFERROR(INDEX(CHOOSE(MATCH($X35,{"K1","K2","K3","K12","K13","H1","H2","H3","H12","H13"},0),Calc!$BA$2:$BA$157,Calc!$BB$2:$BB$157,Calc!$BC$2:$BC$157,Calc!$BD$2:$BD$157,Calc!$BE$2:$BE$157,Calc!$BF$2:$BF$157,Calc!$BG$2:$BG$157,Calc!$BH$2:$BH$157,Calc!$BI$2:$BI$157,Calc!$BJ$2:$BJ$157),MATCH($W35,Calc!$A$2:$A$157,0)),"")</f>
        <v>31.11505234</v>
      </c>
      <c r="AA35" s="12">
        <f t="array" ref="AA35">IF(Z35="","",IF(LEFT($X35,1)="H",SQRT(Z35*(IFERROR(INDEX(Calc!$AP$2:$AP$157,MATCH($W35,Calc!$A$2:$A$157,0)),0.5)*Config!$B$5+1-IFERROR(INDEX(Calc!$AP$2:$AP$157,MATCH($W35,Calc!$A$2:$A$157,0)),0.5))),SQRT(Z35*Config!$B$5)))</f>
        <v>6.600081308</v>
      </c>
      <c r="AB35" s="11">
        <f t="shared" si="5"/>
        <v>0.5966563659</v>
      </c>
      <c r="AC35" s="11">
        <f t="shared" si="6"/>
        <v>0.3459731505</v>
      </c>
      <c r="AD35" s="4" t="str">
        <f>IF(AB35="","",IF(AB35&gt;=0.5+Config!$B$6,"OVER",IF(AC35&gt;=0.5+Config!$B$6,"UNDER","—")))</f>
        <v>OVER</v>
      </c>
      <c r="AE35" s="18">
        <f t="shared" si="7"/>
        <v>1.031252356</v>
      </c>
    </row>
    <row r="36" ht="15.75" customHeight="1">
      <c r="A36" s="4" t="s">
        <v>86</v>
      </c>
      <c r="B36" s="4" t="s">
        <v>1168</v>
      </c>
      <c r="C36" s="4" t="s">
        <v>1257</v>
      </c>
      <c r="D36" s="4" t="s">
        <v>1174</v>
      </c>
      <c r="E36" s="4" t="s">
        <v>370</v>
      </c>
      <c r="F36" s="4">
        <v>11.5</v>
      </c>
      <c r="G36" s="12">
        <f t="array" ref="G36">IFERROR(INDEX(CHOOSE(MATCH($X36,{"K1","K2","K3","K12","K13","H1","H2","H3","H12","H13"},0),Calc!$V$2:$V$157,Calc!$AC$2:$AC$157,Calc!$AJ$2:$AJ$157,Calc!$AL$2:$AL$157,Calc!$AM$2:$AM$157,Calc!$W$2:$W$157,Calc!$AD$2:$AD$157,Calc!$AK$2:$AK$157,Calc!$AN$2:$AN$157,Calc!$AO$2:$AO$157),MATCH($W36,Calc!$A$2:$A$157,0)),"")</f>
        <v>11.17472337</v>
      </c>
      <c r="H36" s="12">
        <f t="array" ref="H36">IF(G36="","",IF(LEFT($X36,1)="H",SQRT(G36*(IFERROR(INDEX(Calc!$AP$2:$AP$157,MATCH($W36,Calc!$A$2:$A$157,0)),0.5)*Config!$B$5+1-IFERROR(INDEX(Calc!$AP$2:$AP$157,MATCH($W36,Calc!$A$2:$A$157,0)),0.5))),SQRT(G36*Config!$B$5)))</f>
        <v>3.653398552</v>
      </c>
      <c r="I36" s="11">
        <f t="shared" si="1"/>
        <v>0.4645274508</v>
      </c>
      <c r="J36" s="11">
        <f t="shared" si="2"/>
        <v>0.5354725492</v>
      </c>
      <c r="K36" s="11">
        <f t="shared" si="3"/>
        <v>0</v>
      </c>
      <c r="L36" s="4" t="str">
        <f>IF(I36="","",IF(I36&gt;=0.5+Config!$B$6,"OVER",IF(J36&gt;=0.5+Config!$B$6,"UNDER","—")))</f>
        <v>—</v>
      </c>
      <c r="N36" s="4">
        <v>11.0</v>
      </c>
      <c r="O36" s="11">
        <v>0.4</v>
      </c>
      <c r="P36" s="11">
        <v>0.5</v>
      </c>
      <c r="Q36" s="11">
        <v>0.47</v>
      </c>
      <c r="R36" s="4" t="s">
        <v>1296</v>
      </c>
      <c r="S36" s="4">
        <v>-1.0</v>
      </c>
      <c r="T36" s="4" t="str">
        <f t="array" ref="T36">INDEX(Calc!$G$2:$G$157,MATCH($W36,Calc!$A$2:$A$157,0))&amp;" / "&amp;INDEX(Calc!$H$2:$H$157,MATCH($W36,Calc!$A$2:$A$157,0))</f>
        <v>Nuke / Mirage</v>
      </c>
      <c r="U36" s="4" t="str">
        <f t="array" ref="U36">TEXT(INDEX(Calc!$J$2:$J$157,MATCH($W36,Calc!$A$2:$A$157,0)),"0.0")&amp;" / "&amp;TEXT(INDEX(Calc!$K$2:$K$157,MATCH($W36,Calc!$A$2:$A$157,0)),"0.0")</f>
        <v>21.3 / 21.4</v>
      </c>
      <c r="V36" s="4" t="str">
        <f t="array" ref="V36">IFERROR(INDEX(Calc!$AQ$2:$AQ$157,MATCH($W36,Calc!$A$2:$A$157,0)),"")</f>
        <v/>
      </c>
      <c r="W36" s="4" t="s">
        <v>2847</v>
      </c>
      <c r="X36" s="4" t="s">
        <v>634</v>
      </c>
      <c r="Y36" s="4" t="str">
        <f t="shared" si="4"/>
        <v>2l8hxj94mm620bg|CS2 · AUR vs 9z|H12</v>
      </c>
      <c r="Z36" s="12">
        <f t="array" ref="Z36">IFERROR(INDEX(CHOOSE(MATCH($X36,{"K1","K2","K3","K12","K13","H1","H2","H3","H12","H13"},0),Calc!$BA$2:$BA$157,Calc!$BB$2:$BB$157,Calc!$BC$2:$BC$157,Calc!$BD$2:$BD$157,Calc!$BE$2:$BE$157,Calc!$BF$2:$BF$157,Calc!$BG$2:$BG$157,Calc!$BH$2:$BH$157,Calc!$BI$2:$BI$157,Calc!$BJ$2:$BJ$157),MATCH($W36,Calc!$A$2:$A$157,0)),"")</f>
        <v>11.50920995</v>
      </c>
      <c r="AA36" s="12">
        <f t="array" ref="AA36">IF(Z36="","",IF(LEFT($X36,1)="H",SQRT(Z36*(IFERROR(INDEX(Calc!$AP$2:$AP$157,MATCH($W36,Calc!$A$2:$A$157,0)),0.5)*Config!$B$5+1-IFERROR(INDEX(Calc!$AP$2:$AP$157,MATCH($W36,Calc!$A$2:$A$157,0)),0.5))),SQRT(Z36*Config!$B$5)))</f>
        <v>3.707672947</v>
      </c>
      <c r="AB36" s="11">
        <f t="shared" si="5"/>
        <v>0.5009909814</v>
      </c>
      <c r="AC36" s="11">
        <f t="shared" si="6"/>
        <v>0.4990090186</v>
      </c>
      <c r="AD36" s="4" t="str">
        <f>IF(AB36="","",IF(AB36&gt;=0.5+Config!$B$6,"OVER",IF(AC36&gt;=0.5+Config!$B$6,"UNDER","—")))</f>
        <v>—</v>
      </c>
      <c r="AE36" s="18">
        <f t="shared" si="7"/>
        <v>1.029932426</v>
      </c>
    </row>
    <row r="37" ht="15.75" customHeight="1">
      <c r="A37" s="4" t="s">
        <v>86</v>
      </c>
      <c r="B37" s="4" t="s">
        <v>1168</v>
      </c>
      <c r="C37" s="4" t="s">
        <v>1257</v>
      </c>
      <c r="D37" s="4" t="s">
        <v>1174</v>
      </c>
      <c r="E37" s="4" t="s">
        <v>772</v>
      </c>
      <c r="F37" s="4">
        <v>22.5</v>
      </c>
      <c r="G37" s="12">
        <f t="array" ref="G37">IFERROR(INDEX(CHOOSE(MATCH($X37,{"K1","K2","K3","K12","K13","H1","H2","H3","H12","H13"},0),Calc!$V$2:$V$157,Calc!$AC$2:$AC$157,Calc!$AJ$2:$AJ$157,Calc!$AL$2:$AL$157,Calc!$AM$2:$AM$157,Calc!$W$2:$W$157,Calc!$AD$2:$AD$157,Calc!$AK$2:$AK$157,Calc!$AN$2:$AN$157,Calc!$AO$2:$AO$157),MATCH($W37,Calc!$A$2:$A$157,0)),"")</f>
        <v>22.99080909</v>
      </c>
      <c r="H37" s="12">
        <f t="array" ref="H37">IF(G37="","",IF(LEFT($X37,1)="H",SQRT(G37*(IFERROR(INDEX(Calc!$AP$2:$AP$157,MATCH($W37,Calc!$A$2:$A$157,0)),0.5)*Config!$B$5+1-IFERROR(INDEX(Calc!$AP$2:$AP$157,MATCH($W37,Calc!$A$2:$A$157,0)),0.5))),SQRT(G37*Config!$B$5)))</f>
        <v>5.673370491</v>
      </c>
      <c r="I37" s="11">
        <f t="shared" si="1"/>
        <v>0.5344699035</v>
      </c>
      <c r="J37" s="11">
        <f t="shared" si="2"/>
        <v>0.4655300965</v>
      </c>
      <c r="K37" s="11">
        <f t="shared" si="3"/>
        <v>0</v>
      </c>
      <c r="L37" s="4" t="str">
        <f>IF(I37="","",IF(I37&gt;=0.5+Config!$B$6,"OVER",IF(J37&gt;=0.5+Config!$B$6,"UNDER","—")))</f>
        <v>—</v>
      </c>
      <c r="M37" s="4">
        <v>21.68</v>
      </c>
      <c r="N37" s="4">
        <v>21.8</v>
      </c>
      <c r="O37" s="11">
        <v>0.4</v>
      </c>
      <c r="P37" s="11">
        <v>0.5</v>
      </c>
      <c r="Q37" s="11">
        <v>0.53</v>
      </c>
      <c r="R37" s="4" t="s">
        <v>1296</v>
      </c>
      <c r="S37" s="4">
        <v>-1.0</v>
      </c>
      <c r="T37" s="4" t="str">
        <f t="array" ref="T37">INDEX(Calc!$G$2:$G$157,MATCH($W37,Calc!$A$2:$A$157,0))&amp;" / "&amp;INDEX(Calc!$H$2:$H$157,MATCH($W37,Calc!$A$2:$A$157,0))</f>
        <v>Nuke / Mirage</v>
      </c>
      <c r="U37" s="4" t="str">
        <f t="array" ref="U37">TEXT(INDEX(Calc!$J$2:$J$157,MATCH($W37,Calc!$A$2:$A$157,0)),"0.0")&amp;" / "&amp;TEXT(INDEX(Calc!$K$2:$K$157,MATCH($W37,Calc!$A$2:$A$157,0)),"0.0")</f>
        <v>21.3 / 21.4</v>
      </c>
      <c r="V37" s="4" t="str">
        <f t="array" ref="V37">IFERROR(INDEX(Calc!$AQ$2:$AQ$157,MATCH($W37,Calc!$A$2:$A$157,0)),"")</f>
        <v/>
      </c>
      <c r="W37" s="4" t="s">
        <v>2847</v>
      </c>
      <c r="X37" s="4" t="s">
        <v>926</v>
      </c>
      <c r="Y37" s="4" t="str">
        <f t="shared" si="4"/>
        <v>2l8hxj94mm620bg|CS2 · AUR vs 9z|K12</v>
      </c>
      <c r="Z37" s="12">
        <f t="array" ref="Z37">IFERROR(INDEX(CHOOSE(MATCH($X37,{"K1","K2","K3","K12","K13","H1","H2","H3","H12","H13"},0),Calc!$BA$2:$BA$157,Calc!$BB$2:$BB$157,Calc!$BC$2:$BC$157,Calc!$BD$2:$BD$157,Calc!$BE$2:$BE$157,Calc!$BF$2:$BF$157,Calc!$BG$2:$BG$157,Calc!$BH$2:$BH$157,Calc!$BI$2:$BI$157,Calc!$BJ$2:$BJ$157),MATCH($W37,Calc!$A$2:$A$157,0)),"")</f>
        <v>23.6860198</v>
      </c>
      <c r="AA37" s="12">
        <f t="array" ref="AA37">IF(Z37="","",IF(LEFT($X37,1)="H",SQRT(Z37*(IFERROR(INDEX(Calc!$AP$2:$AP$157,MATCH($W37,Calc!$A$2:$A$157,0)),0.5)*Config!$B$5+1-IFERROR(INDEX(Calc!$AP$2:$AP$157,MATCH($W37,Calc!$A$2:$A$157,0)),0.5))),SQRT(Z37*Config!$B$5)))</f>
        <v>5.758509158</v>
      </c>
      <c r="AB37" s="11">
        <f t="shared" si="5"/>
        <v>0.5815887355</v>
      </c>
      <c r="AC37" s="11">
        <f t="shared" si="6"/>
        <v>0.4184112645</v>
      </c>
      <c r="AD37" s="4" t="str">
        <f>IF(AB37="","",IF(AB37&gt;=0.5+Config!$B$6,"OVER",IF(AC37&gt;=0.5+Config!$B$6,"UNDER","—")))</f>
        <v>OVER</v>
      </c>
      <c r="AE37" s="18">
        <f t="shared" si="7"/>
        <v>1.030238636</v>
      </c>
    </row>
    <row r="38" ht="15.75" customHeight="1">
      <c r="A38" s="4" t="s">
        <v>86</v>
      </c>
      <c r="B38" s="4" t="s">
        <v>1168</v>
      </c>
      <c r="C38" s="4" t="s">
        <v>1260</v>
      </c>
      <c r="D38" s="4" t="s">
        <v>1174</v>
      </c>
      <c r="E38" s="4" t="s">
        <v>370</v>
      </c>
      <c r="F38" s="4">
        <v>10.5</v>
      </c>
      <c r="G38" s="12">
        <f t="array" ref="G38">IFERROR(INDEX(CHOOSE(MATCH($X38,{"K1","K2","K3","K12","K13","H1","H2","H3","H12","H13"},0),Calc!$V$2:$V$157,Calc!$AC$2:$AC$157,Calc!$AJ$2:$AJ$157,Calc!$AL$2:$AL$157,Calc!$AM$2:$AM$157,Calc!$W$2:$W$157,Calc!$AD$2:$AD$157,Calc!$AK$2:$AK$157,Calc!$AN$2:$AN$157,Calc!$AO$2:$AO$157),MATCH($W38,Calc!$A$2:$A$157,0)),"")</f>
        <v>10.07461803</v>
      </c>
      <c r="H38" s="12">
        <f t="array" ref="H38">IF(G38="","",IF(LEFT($X38,1)="H",SQRT(G38*(IFERROR(INDEX(Calc!$AP$2:$AP$157,MATCH($W38,Calc!$A$2:$A$157,0)),0.5)*Config!$B$5+1-IFERROR(INDEX(Calc!$AP$2:$AP$157,MATCH($W38,Calc!$A$2:$A$157,0)),0.5))),SQRT(G38*Config!$B$5)))</f>
        <v>3.414119064</v>
      </c>
      <c r="I38" s="11">
        <f t="shared" si="1"/>
        <v>0.4504221162</v>
      </c>
      <c r="J38" s="11">
        <f t="shared" si="2"/>
        <v>0.5495778838</v>
      </c>
      <c r="K38" s="11">
        <f t="shared" si="3"/>
        <v>0</v>
      </c>
      <c r="L38" s="4" t="str">
        <f>IF(I38="","",IF(I38&gt;=0.5+Config!$B$6,"OVER",IF(J38&gt;=0.5+Config!$B$6,"UNDER","—")))</f>
        <v>UNDER</v>
      </c>
      <c r="N38" s="4">
        <v>9.0</v>
      </c>
      <c r="O38" s="11">
        <v>0.6</v>
      </c>
      <c r="P38" s="11">
        <v>0.4</v>
      </c>
      <c r="Q38" s="11">
        <v>0.27</v>
      </c>
      <c r="R38" s="4" t="s">
        <v>1296</v>
      </c>
      <c r="S38" s="4">
        <v>2.0</v>
      </c>
      <c r="T38" s="4" t="str">
        <f t="array" ref="T38">INDEX(Calc!$G$2:$G$157,MATCH($W38,Calc!$A$2:$A$157,0))&amp;" / "&amp;INDEX(Calc!$H$2:$H$157,MATCH($W38,Calc!$A$2:$A$157,0))</f>
        <v>Nuke / Mirage</v>
      </c>
      <c r="U38" s="4" t="str">
        <f t="array" ref="U38">TEXT(INDEX(Calc!$J$2:$J$157,MATCH($W38,Calc!$A$2:$A$157,0)),"0.0")&amp;" / "&amp;TEXT(INDEX(Calc!$K$2:$K$157,MATCH($W38,Calc!$A$2:$A$157,0)),"0.0")</f>
        <v>21.3 / 21.4</v>
      </c>
      <c r="V38" s="4" t="str">
        <f t="array" ref="V38">IFERROR(INDEX(Calc!$AQ$2:$AQ$157,MATCH($W38,Calc!$A$2:$A$157,0)),"")</f>
        <v/>
      </c>
      <c r="W38" s="4" t="s">
        <v>2899</v>
      </c>
      <c r="X38" s="4" t="s">
        <v>634</v>
      </c>
      <c r="Y38" s="4" t="str">
        <f t="shared" si="4"/>
        <v>pumzitjp9bsniic|CS2 · AUR vs 9z|H12</v>
      </c>
      <c r="Z38" s="12">
        <f t="array" ref="Z38">IFERROR(INDEX(CHOOSE(MATCH($X38,{"K1","K2","K3","K12","K13","H1","H2","H3","H12","H13"},0),Calc!$BA$2:$BA$157,Calc!$BB$2:$BB$157,Calc!$BC$2:$BC$157,Calc!$BD$2:$BD$157,Calc!$BE$2:$BE$157,Calc!$BF$2:$BF$157,Calc!$BG$2:$BG$157,Calc!$BH$2:$BH$157,Calc!$BI$2:$BI$157,Calc!$BJ$2:$BJ$157),MATCH($W38,Calc!$A$2:$A$157,0)),"")</f>
        <v>10.38999847</v>
      </c>
      <c r="AA38" s="12">
        <f t="array" ref="AA38">IF(Z38="","",IF(LEFT($X38,1)="H",SQRT(Z38*(IFERROR(INDEX(Calc!$AP$2:$AP$157,MATCH($W38,Calc!$A$2:$A$157,0)),0.5)*Config!$B$5+1-IFERROR(INDEX(Calc!$AP$2:$AP$157,MATCH($W38,Calc!$A$2:$A$157,0)),0.5))),SQRT(Z38*Config!$B$5)))</f>
        <v>3.467145839</v>
      </c>
      <c r="AB38" s="11">
        <f t="shared" si="5"/>
        <v>0.4873449512</v>
      </c>
      <c r="AC38" s="11">
        <f t="shared" si="6"/>
        <v>0.5126550488</v>
      </c>
      <c r="AD38" s="4" t="str">
        <f>IF(AB38="","",IF(AB38&gt;=0.5+Config!$B$6,"OVER",IF(AC38&gt;=0.5+Config!$B$6,"UNDER","—")))</f>
        <v>—</v>
      </c>
      <c r="AE38" s="18">
        <f t="shared" si="7"/>
        <v>1.031304456</v>
      </c>
    </row>
    <row r="39" ht="15.75" customHeight="1">
      <c r="A39" s="4" t="s">
        <v>86</v>
      </c>
      <c r="B39" s="4" t="s">
        <v>1168</v>
      </c>
      <c r="C39" s="4" t="s">
        <v>1260</v>
      </c>
      <c r="D39" s="4" t="s">
        <v>1174</v>
      </c>
      <c r="E39" s="4" t="s">
        <v>772</v>
      </c>
      <c r="F39" s="4">
        <v>25.5</v>
      </c>
      <c r="G39" s="12">
        <f t="array" ref="G39">IFERROR(INDEX(CHOOSE(MATCH($X39,{"K1","K2","K3","K12","K13","H1","H2","H3","H12","H13"},0),Calc!$V$2:$V$157,Calc!$AC$2:$AC$157,Calc!$AJ$2:$AJ$157,Calc!$AL$2:$AL$157,Calc!$AM$2:$AM$157,Calc!$W$2:$W$157,Calc!$AD$2:$AD$157,Calc!$AK$2:$AK$157,Calc!$AN$2:$AN$157,Calc!$AO$2:$AO$157),MATCH($W39,Calc!$A$2:$A$157,0)),"")</f>
        <v>25.6698303</v>
      </c>
      <c r="H39" s="12">
        <f t="array" ref="H39">IF(G39="","",IF(LEFT($X39,1)="H",SQRT(G39*(IFERROR(INDEX(Calc!$AP$2:$AP$157,MATCH($W39,Calc!$A$2:$A$157,0)),0.5)*Config!$B$5+1-IFERROR(INDEX(Calc!$AP$2:$AP$157,MATCH($W39,Calc!$A$2:$A$157,0)),0.5))),SQRT(G39*Config!$B$5)))</f>
        <v>5.994811292</v>
      </c>
      <c r="I39" s="11">
        <f t="shared" si="1"/>
        <v>0.5113003435</v>
      </c>
      <c r="J39" s="11">
        <f t="shared" si="2"/>
        <v>0.4886996565</v>
      </c>
      <c r="K39" s="11">
        <f t="shared" si="3"/>
        <v>0</v>
      </c>
      <c r="L39" s="4" t="str">
        <f>IF(I39="","",IF(I39&gt;=0.5+Config!$B$6,"OVER",IF(J39&gt;=0.5+Config!$B$6,"UNDER","—")))</f>
        <v>—</v>
      </c>
      <c r="M39" s="4">
        <v>23.93</v>
      </c>
      <c r="N39" s="4">
        <v>22.5</v>
      </c>
      <c r="O39" s="11">
        <v>0.4</v>
      </c>
      <c r="P39" s="11">
        <v>0.4</v>
      </c>
      <c r="Q39" s="11">
        <v>0.4</v>
      </c>
      <c r="R39" s="4" t="s">
        <v>2929</v>
      </c>
      <c r="S39" s="4">
        <v>1.0</v>
      </c>
      <c r="T39" s="4" t="str">
        <f t="array" ref="T39">INDEX(Calc!$G$2:$G$157,MATCH($W39,Calc!$A$2:$A$157,0))&amp;" / "&amp;INDEX(Calc!$H$2:$H$157,MATCH($W39,Calc!$A$2:$A$157,0))</f>
        <v>Nuke / Mirage</v>
      </c>
      <c r="U39" s="4" t="str">
        <f t="array" ref="U39">TEXT(INDEX(Calc!$J$2:$J$157,MATCH($W39,Calc!$A$2:$A$157,0)),"0.0")&amp;" / "&amp;TEXT(INDEX(Calc!$K$2:$K$157,MATCH($W39,Calc!$A$2:$A$157,0)),"0.0")</f>
        <v>21.3 / 21.4</v>
      </c>
      <c r="V39" s="4" t="str">
        <f t="array" ref="V39">IFERROR(INDEX(Calc!$AQ$2:$AQ$157,MATCH($W39,Calc!$A$2:$A$157,0)),"")</f>
        <v/>
      </c>
      <c r="W39" s="4" t="s">
        <v>2899</v>
      </c>
      <c r="X39" s="4" t="s">
        <v>926</v>
      </c>
      <c r="Y39" s="4" t="str">
        <f t="shared" si="4"/>
        <v>pumzitjp9bsniic|CS2 · AUR vs 9z|K12</v>
      </c>
      <c r="Z39" s="12">
        <f t="array" ref="Z39">IFERROR(INDEX(CHOOSE(MATCH($X39,{"K1","K2","K3","K12","K13","H1","H2","H3","H12","H13"},0),Calc!$BA$2:$BA$157,Calc!$BB$2:$BB$157,Calc!$BC$2:$BC$157,Calc!$BD$2:$BD$157,Calc!$BE$2:$BE$157,Calc!$BF$2:$BF$157,Calc!$BG$2:$BG$157,Calc!$BH$2:$BH$157,Calc!$BI$2:$BI$157,Calc!$BJ$2:$BJ$157),MATCH($W39,Calc!$A$2:$A$157,0)),"")</f>
        <v>26.48517542</v>
      </c>
      <c r="AA39" s="12">
        <f t="array" ref="AA39">IF(Z39="","",IF(LEFT($X39,1)="H",SQRT(Z39*(IFERROR(INDEX(Calc!$AP$2:$AP$157,MATCH($W39,Calc!$A$2:$A$157,0)),0.5)*Config!$B$5+1-IFERROR(INDEX(Calc!$AP$2:$AP$157,MATCH($W39,Calc!$A$2:$A$157,0)),0.5))),SQRT(Z39*Config!$B$5)))</f>
        <v>6.089272993</v>
      </c>
      <c r="AB39" s="11">
        <f t="shared" si="5"/>
        <v>0.5642638649</v>
      </c>
      <c r="AC39" s="11">
        <f t="shared" si="6"/>
        <v>0.4357361351</v>
      </c>
      <c r="AD39" s="4" t="str">
        <f>IF(AB39="","",IF(AB39&gt;=0.5+Config!$B$6,"OVER",IF(AC39&gt;=0.5+Config!$B$6,"UNDER","—")))</f>
        <v>OVER</v>
      </c>
      <c r="AE39" s="18">
        <f t="shared" si="7"/>
        <v>1.031762778</v>
      </c>
    </row>
    <row r="40" ht="15.75" customHeight="1">
      <c r="A40" s="4" t="s">
        <v>86</v>
      </c>
      <c r="B40" s="4" t="s">
        <v>1168</v>
      </c>
      <c r="C40" s="4" t="s">
        <v>1279</v>
      </c>
      <c r="D40" s="4" t="s">
        <v>1173</v>
      </c>
      <c r="E40" s="4" t="s">
        <v>370</v>
      </c>
      <c r="F40" s="4">
        <v>16.5</v>
      </c>
      <c r="G40" s="12">
        <f t="array" ref="G40">IFERROR(INDEX(CHOOSE(MATCH($X40,{"K1","K2","K3","K12","K13","H1","H2","H3","H12","H13"},0),Calc!$V$2:$V$157,Calc!$AC$2:$AC$157,Calc!$AJ$2:$AJ$157,Calc!$AL$2:$AL$157,Calc!$AM$2:$AM$157,Calc!$W$2:$W$157,Calc!$AD$2:$AD$157,Calc!$AK$2:$AK$157,Calc!$AN$2:$AN$157,Calc!$AO$2:$AO$157),MATCH($W40,Calc!$A$2:$A$157,0)),"")</f>
        <v>17.19251565</v>
      </c>
      <c r="H40" s="12">
        <f t="array" ref="H40">IF(G40="","",IF(LEFT($X40,1)="H",SQRT(G40*(IFERROR(INDEX(Calc!$AP$2:$AP$157,MATCH($W40,Calc!$A$2:$A$157,0)),0.5)*Config!$B$5+1-IFERROR(INDEX(Calc!$AP$2:$AP$157,MATCH($W40,Calc!$A$2:$A$157,0)),0.5))),SQRT(G40*Config!$B$5)))</f>
        <v>4.605786362</v>
      </c>
      <c r="I40" s="11">
        <f t="shared" si="1"/>
        <v>0.5597588115</v>
      </c>
      <c r="J40" s="11">
        <f t="shared" si="2"/>
        <v>0.4402411885</v>
      </c>
      <c r="K40" s="11">
        <f t="shared" si="3"/>
        <v>0</v>
      </c>
      <c r="L40" s="4" t="str">
        <f>IF(I40="","",IF(I40&gt;=0.5+Config!$B$6,"OVER",IF(J40&gt;=0.5+Config!$B$6,"UNDER","—")))</f>
        <v>OVER</v>
      </c>
      <c r="N40" s="4">
        <v>15.4</v>
      </c>
      <c r="O40" s="11">
        <v>0.2</v>
      </c>
      <c r="P40" s="11">
        <v>0.2</v>
      </c>
      <c r="Q40" s="11">
        <v>0.33</v>
      </c>
      <c r="R40" s="4" t="s">
        <v>1296</v>
      </c>
      <c r="S40" s="4">
        <v>-4.0</v>
      </c>
      <c r="T40" s="4" t="str">
        <f t="array" ref="T40">INDEX(Calc!$G$2:$G$157,MATCH($W40,Calc!$A$2:$A$157,0))&amp;" / "&amp;INDEX(Calc!$H$2:$H$157,MATCH($W40,Calc!$A$2:$A$157,0))</f>
        <v>Nuke / Mirage</v>
      </c>
      <c r="U40" s="4" t="str">
        <f t="array" ref="U40">TEXT(INDEX(Calc!$J$2:$J$157,MATCH($W40,Calc!$A$2:$A$157,0)),"0.0")&amp;" / "&amp;TEXT(INDEX(Calc!$K$2:$K$157,MATCH($W40,Calc!$A$2:$A$157,0)),"0.0")</f>
        <v>21.3 / 21.4</v>
      </c>
      <c r="V40" s="4" t="str">
        <f t="array" ref="V40">IFERROR(INDEX(Calc!$AQ$2:$AQ$157,MATCH($W40,Calc!$A$2:$A$157,0)),"")</f>
        <v/>
      </c>
      <c r="W40" s="4" t="s">
        <v>2963</v>
      </c>
      <c r="X40" s="4" t="s">
        <v>634</v>
      </c>
      <c r="Y40" s="4" t="str">
        <f t="shared" si="4"/>
        <v>66ajrvmetqiufsf|CS2 · AUR vs 9z|H12</v>
      </c>
      <c r="Z40" s="12">
        <f t="array" ref="Z40">IFERROR(INDEX(CHOOSE(MATCH($X40,{"K1","K2","K3","K12","K13","H1","H2","H3","H12","H13"},0),Calc!$BA$2:$BA$157,Calc!$BB$2:$BB$157,Calc!$BC$2:$BC$157,Calc!$BD$2:$BD$157,Calc!$BE$2:$BE$157,Calc!$BF$2:$BF$157,Calc!$BG$2:$BG$157,Calc!$BH$2:$BH$157,Calc!$BI$2:$BI$157,Calc!$BJ$2:$BJ$157),MATCH($W40,Calc!$A$2:$A$157,0)),"")</f>
        <v>16.60145498</v>
      </c>
      <c r="AA40" s="12">
        <f t="array" ref="AA40">IF(Z40="","",IF(LEFT($X40,1)="H",SQRT(Z40*(IFERROR(INDEX(Calc!$AP$2:$AP$157,MATCH($W40,Calc!$A$2:$A$157,0)),0.5)*Config!$B$5+1-IFERROR(INDEX(Calc!$AP$2:$AP$157,MATCH($W40,Calc!$A$2:$A$157,0)),0.5))),SQRT(Z40*Config!$B$5)))</f>
        <v>4.525922899</v>
      </c>
      <c r="AB40" s="11">
        <f t="shared" si="5"/>
        <v>0.5089421079</v>
      </c>
      <c r="AC40" s="11">
        <f t="shared" si="6"/>
        <v>0.4910578921</v>
      </c>
      <c r="AD40" s="4" t="str">
        <f>IF(AB40="","",IF(AB40&gt;=0.5+Config!$B$6,"OVER",IF(AC40&gt;=0.5+Config!$B$6,"UNDER","—")))</f>
        <v>—</v>
      </c>
      <c r="AE40" s="18">
        <f t="shared" si="7"/>
        <v>0.9656210479</v>
      </c>
    </row>
    <row r="41" ht="15.75" customHeight="1">
      <c r="A41" s="4" t="s">
        <v>86</v>
      </c>
      <c r="B41" s="4" t="s">
        <v>1168</v>
      </c>
      <c r="C41" s="4" t="s">
        <v>1279</v>
      </c>
      <c r="D41" s="4" t="s">
        <v>1173</v>
      </c>
      <c r="E41" s="4" t="s">
        <v>772</v>
      </c>
      <c r="F41" s="4">
        <v>30.5</v>
      </c>
      <c r="G41" s="12">
        <f t="array" ref="G41">IFERROR(INDEX(CHOOSE(MATCH($X41,{"K1","K2","K3","K12","K13","H1","H2","H3","H12","H13"},0),Calc!$V$2:$V$157,Calc!$AC$2:$AC$157,Calc!$AJ$2:$AJ$157,Calc!$AL$2:$AL$157,Calc!$AM$2:$AM$157,Calc!$W$2:$W$157,Calc!$AD$2:$AD$157,Calc!$AK$2:$AK$157,Calc!$AN$2:$AN$157,Calc!$AO$2:$AO$157),MATCH($W41,Calc!$A$2:$A$157,0)),"")</f>
        <v>29.4057</v>
      </c>
      <c r="H41" s="12">
        <f t="array" ref="H41">IF(G41="","",IF(LEFT($X41,1)="H",SQRT(G41*(IFERROR(INDEX(Calc!$AP$2:$AP$157,MATCH($W41,Calc!$A$2:$A$157,0)),0.5)*Config!$B$5+1-IFERROR(INDEX(Calc!$AP$2:$AP$157,MATCH($W41,Calc!$A$2:$A$157,0)),0.5))),SQRT(G41*Config!$B$5)))</f>
        <v>6.416227864</v>
      </c>
      <c r="I41" s="11">
        <f t="shared" si="1"/>
        <v>0.4322880519</v>
      </c>
      <c r="J41" s="11">
        <f t="shared" si="2"/>
        <v>0.5677119481</v>
      </c>
      <c r="K41" s="11">
        <f t="shared" si="3"/>
        <v>0</v>
      </c>
      <c r="L41" s="4" t="str">
        <f>IF(I41="","",IF(I41&gt;=0.5+Config!$B$6,"OVER",IF(J41&gt;=0.5+Config!$B$6,"UNDER","—")))</f>
        <v>UNDER</v>
      </c>
      <c r="M41" s="4">
        <v>31.18</v>
      </c>
      <c r="N41" s="4">
        <v>27.6</v>
      </c>
      <c r="O41" s="11">
        <v>0.4</v>
      </c>
      <c r="P41" s="11">
        <v>0.2</v>
      </c>
      <c r="Q41" s="11">
        <v>0.4</v>
      </c>
      <c r="R41" s="4" t="s">
        <v>1296</v>
      </c>
      <c r="S41" s="4">
        <v>-1.0</v>
      </c>
      <c r="T41" s="4" t="str">
        <f t="array" ref="T41">INDEX(Calc!$G$2:$G$157,MATCH($W41,Calc!$A$2:$A$157,0))&amp;" / "&amp;INDEX(Calc!$H$2:$H$157,MATCH($W41,Calc!$A$2:$A$157,0))</f>
        <v>Nuke / Mirage</v>
      </c>
      <c r="U41" s="4" t="str">
        <f t="array" ref="U41">TEXT(INDEX(Calc!$J$2:$J$157,MATCH($W41,Calc!$A$2:$A$157,0)),"0.0")&amp;" / "&amp;TEXT(INDEX(Calc!$K$2:$K$157,MATCH($W41,Calc!$A$2:$A$157,0)),"0.0")</f>
        <v>21.3 / 21.4</v>
      </c>
      <c r="V41" s="4" t="str">
        <f t="array" ref="V41">IFERROR(INDEX(Calc!$AQ$2:$AQ$157,MATCH($W41,Calc!$A$2:$A$157,0)),"")</f>
        <v/>
      </c>
      <c r="W41" s="4" t="s">
        <v>2963</v>
      </c>
      <c r="X41" s="4" t="s">
        <v>926</v>
      </c>
      <c r="Y41" s="4" t="str">
        <f t="shared" si="4"/>
        <v>66ajrvmetqiufsf|CS2 · AUR vs 9z|K12</v>
      </c>
      <c r="Z41" s="12">
        <f t="array" ref="Z41">IFERROR(INDEX(CHOOSE(MATCH($X41,{"K1","K2","K3","K12","K13","H1","H2","H3","H12","H13"},0),Calc!$BA$2:$BA$157,Calc!$BB$2:$BB$157,Calc!$BC$2:$BC$157,Calc!$BD$2:$BD$157,Calc!$BE$2:$BE$157,Calc!$BF$2:$BF$157,Calc!$BG$2:$BG$157,Calc!$BH$2:$BH$157,Calc!$BI$2:$BI$157,Calc!$BJ$2:$BJ$157),MATCH($W41,Calc!$A$2:$A$157,0)),"")</f>
        <v>28.37990815</v>
      </c>
      <c r="AA41" s="12">
        <f t="array" ref="AA41">IF(Z41="","",IF(LEFT($X41,1)="H",SQRT(Z41*(IFERROR(INDEX(Calc!$AP$2:$AP$157,MATCH($W41,Calc!$A$2:$A$157,0)),0.5)*Config!$B$5+1-IFERROR(INDEX(Calc!$AP$2:$AP$157,MATCH($W41,Calc!$A$2:$A$157,0)),0.5))),SQRT(Z41*Config!$B$5)))</f>
        <v>6.303322251</v>
      </c>
      <c r="AB41" s="11">
        <f t="shared" si="5"/>
        <v>0.368305304</v>
      </c>
      <c r="AC41" s="11">
        <f t="shared" si="6"/>
        <v>0.631694696</v>
      </c>
      <c r="AD41" s="4" t="str">
        <f>IF(AB41="","",IF(AB41&gt;=0.5+Config!$B$6,"OVER",IF(AC41&gt;=0.5+Config!$B$6,"UNDER","—")))</f>
        <v>UNDER</v>
      </c>
      <c r="AE41" s="18">
        <f t="shared" si="7"/>
        <v>0.9651158838</v>
      </c>
    </row>
    <row r="42" ht="15.75" customHeight="1">
      <c r="A42" s="4" t="s">
        <v>86</v>
      </c>
      <c r="B42" s="4" t="s">
        <v>1168</v>
      </c>
      <c r="C42" s="4" t="s">
        <v>1283</v>
      </c>
      <c r="D42" s="4" t="s">
        <v>1173</v>
      </c>
      <c r="E42" s="4" t="s">
        <v>370</v>
      </c>
      <c r="F42" s="4">
        <v>13.5</v>
      </c>
      <c r="G42" s="12">
        <f t="array" ref="G42">IFERROR(INDEX(CHOOSE(MATCH($X42,{"K1","K2","K3","K12","K13","H1","H2","H3","H12","H13"},0),Calc!$V$2:$V$157,Calc!$AC$2:$AC$157,Calc!$AJ$2:$AJ$157,Calc!$AL$2:$AL$157,Calc!$AM$2:$AM$157,Calc!$W$2:$W$157,Calc!$AD$2:$AD$157,Calc!$AK$2:$AK$157,Calc!$AN$2:$AN$157,Calc!$AO$2:$AO$157),MATCH($W42,Calc!$A$2:$A$157,0)),"")</f>
        <v>12.81039845</v>
      </c>
      <c r="H42" s="12">
        <f t="array" ref="H42">IF(G42="","",IF(LEFT($X42,1)="H",SQRT(G42*(IFERROR(INDEX(Calc!$AP$2:$AP$157,MATCH($W42,Calc!$A$2:$A$157,0)),0.5)*Config!$B$5+1-IFERROR(INDEX(Calc!$AP$2:$AP$157,MATCH($W42,Calc!$A$2:$A$157,0)),0.5))),SQRT(G42*Config!$B$5)))</f>
        <v>3.954408171</v>
      </c>
      <c r="I42" s="11">
        <f t="shared" si="1"/>
        <v>0.4307802506</v>
      </c>
      <c r="J42" s="11">
        <f t="shared" si="2"/>
        <v>0.5692197494</v>
      </c>
      <c r="K42" s="11">
        <f t="shared" si="3"/>
        <v>0</v>
      </c>
      <c r="L42" s="4" t="str">
        <f>IF(I42="","",IF(I42&gt;=0.5+Config!$B$6,"OVER",IF(J42&gt;=0.5+Config!$B$6,"UNDER","—")))</f>
        <v>UNDER</v>
      </c>
      <c r="N42" s="4">
        <v>10.6</v>
      </c>
      <c r="O42" s="11">
        <v>0.2</v>
      </c>
      <c r="P42" s="11">
        <v>0.2</v>
      </c>
      <c r="Q42" s="11">
        <v>0.47</v>
      </c>
      <c r="R42" s="4" t="s">
        <v>2929</v>
      </c>
      <c r="S42" s="4">
        <v>1.0</v>
      </c>
      <c r="T42" s="4" t="str">
        <f t="array" ref="T42">INDEX(Calc!$G$2:$G$157,MATCH($W42,Calc!$A$2:$A$157,0))&amp;" / "&amp;INDEX(Calc!$H$2:$H$157,MATCH($W42,Calc!$A$2:$A$157,0))</f>
        <v>Nuke / Mirage</v>
      </c>
      <c r="U42" s="4" t="str">
        <f t="array" ref="U42">TEXT(INDEX(Calc!$J$2:$J$157,MATCH($W42,Calc!$A$2:$A$157,0)),"0.0")&amp;" / "&amp;TEXT(INDEX(Calc!$K$2:$K$157,MATCH($W42,Calc!$A$2:$A$157,0)),"0.0")</f>
        <v>21.3 / 21.4</v>
      </c>
      <c r="V42" s="4" t="str">
        <f t="array" ref="V42">IFERROR(INDEX(Calc!$AQ$2:$AQ$157,MATCH($W42,Calc!$A$2:$A$157,0)),"")</f>
        <v/>
      </c>
      <c r="W42" s="4" t="s">
        <v>3054</v>
      </c>
      <c r="X42" s="4" t="s">
        <v>634</v>
      </c>
      <c r="Y42" s="4" t="str">
        <f t="shared" si="4"/>
        <v>gzghvr1quamb0xn|CS2 · AUR vs 9z|H12</v>
      </c>
      <c r="Z42" s="12">
        <f t="array" ref="Z42">IFERROR(INDEX(CHOOSE(MATCH($X42,{"K1","K2","K3","K12","K13","H1","H2","H3","H12","H13"},0),Calc!$BA$2:$BA$157,Calc!$BB$2:$BB$157,Calc!$BC$2:$BC$157,Calc!$BD$2:$BD$157,Calc!$BE$2:$BE$157,Calc!$BF$2:$BF$157,Calc!$BG$2:$BG$157,Calc!$BH$2:$BH$157,Calc!$BI$2:$BI$157,Calc!$BJ$2:$BJ$157),MATCH($W42,Calc!$A$2:$A$157,0)),"")</f>
        <v>12.34536474</v>
      </c>
      <c r="AA42" s="12">
        <f t="array" ref="AA42">IF(Z42="","",IF(LEFT($X42,1)="H",SQRT(Z42*(IFERROR(INDEX(Calc!$AP$2:$AP$157,MATCH($W42,Calc!$A$2:$A$157,0)),0.5)*Config!$B$5+1-IFERROR(INDEX(Calc!$AP$2:$AP$157,MATCH($W42,Calc!$A$2:$A$157,0)),0.5))),SQRT(Z42*Config!$B$5)))</f>
        <v>3.881969676</v>
      </c>
      <c r="AB42" s="11">
        <f t="shared" si="5"/>
        <v>0.3830670547</v>
      </c>
      <c r="AC42" s="11">
        <f t="shared" si="6"/>
        <v>0.6169329453</v>
      </c>
      <c r="AD42" s="4" t="str">
        <f>IF(AB42="","",IF(AB42&gt;=0.5+Config!$B$6,"OVER",IF(AC42&gt;=0.5+Config!$B$6,"UNDER","—")))</f>
        <v>UNDER</v>
      </c>
      <c r="AE42" s="18">
        <f t="shared" si="7"/>
        <v>0.9636987318</v>
      </c>
    </row>
    <row r="43" ht="15.75" customHeight="1">
      <c r="A43" s="4" t="s">
        <v>86</v>
      </c>
      <c r="B43" s="4" t="s">
        <v>1168</v>
      </c>
      <c r="C43" s="4" t="s">
        <v>1283</v>
      </c>
      <c r="D43" s="4" t="s">
        <v>1173</v>
      </c>
      <c r="E43" s="4" t="s">
        <v>772</v>
      </c>
      <c r="F43" s="4">
        <v>24.5</v>
      </c>
      <c r="G43" s="12">
        <f t="array" ref="G43">IFERROR(INDEX(CHOOSE(MATCH($X43,{"K1","K2","K3","K12","K13","H1","H2","H3","H12","H13"},0),Calc!$V$2:$V$157,Calc!$AC$2:$AC$157,Calc!$AJ$2:$AJ$157,Calc!$AL$2:$AL$157,Calc!$AM$2:$AM$157,Calc!$W$2:$W$157,Calc!$AD$2:$AD$157,Calc!$AK$2:$AK$157,Calc!$AN$2:$AN$157,Calc!$AO$2:$AO$157),MATCH($W43,Calc!$A$2:$A$157,0)),"")</f>
        <v>23.2203</v>
      </c>
      <c r="H43" s="12">
        <f t="array" ref="H43">IF(G43="","",IF(LEFT($X43,1)="H",SQRT(G43*(IFERROR(INDEX(Calc!$AP$2:$AP$157,MATCH($W43,Calc!$A$2:$A$157,0)),0.5)*Config!$B$5+1-IFERROR(INDEX(Calc!$AP$2:$AP$157,MATCH($W43,Calc!$A$2:$A$157,0)),0.5))),SQRT(G43*Config!$B$5)))</f>
        <v>5.701615561</v>
      </c>
      <c r="I43" s="11">
        <f t="shared" si="1"/>
        <v>0.4112054683</v>
      </c>
      <c r="J43" s="11">
        <f t="shared" si="2"/>
        <v>0.5887945317</v>
      </c>
      <c r="K43" s="11">
        <f t="shared" si="3"/>
        <v>0</v>
      </c>
      <c r="L43" s="4" t="str">
        <f>IF(I43="","",IF(I43&gt;=0.5+Config!$B$6,"OVER",IF(J43&gt;=0.5+Config!$B$6,"UNDER","—")))</f>
        <v>UNDER</v>
      </c>
      <c r="M43" s="4">
        <v>23.4</v>
      </c>
      <c r="N43" s="4">
        <v>19.8</v>
      </c>
      <c r="O43" s="11">
        <v>0.0</v>
      </c>
      <c r="P43" s="11">
        <v>0.1</v>
      </c>
      <c r="Q43" s="11">
        <v>0.33</v>
      </c>
      <c r="R43" s="4" t="s">
        <v>1296</v>
      </c>
      <c r="S43" s="4">
        <v>-5.0</v>
      </c>
      <c r="T43" s="4" t="str">
        <f t="array" ref="T43">INDEX(Calc!$G$2:$G$157,MATCH($W43,Calc!$A$2:$A$157,0))&amp;" / "&amp;INDEX(Calc!$H$2:$H$157,MATCH($W43,Calc!$A$2:$A$157,0))</f>
        <v>Nuke / Mirage</v>
      </c>
      <c r="U43" s="4" t="str">
        <f t="array" ref="U43">TEXT(INDEX(Calc!$J$2:$J$157,MATCH($W43,Calc!$A$2:$A$157,0)),"0.0")&amp;" / "&amp;TEXT(INDEX(Calc!$K$2:$K$157,MATCH($W43,Calc!$A$2:$A$157,0)),"0.0")</f>
        <v>21.3 / 21.4</v>
      </c>
      <c r="V43" s="4" t="str">
        <f t="array" ref="V43">IFERROR(INDEX(Calc!$AQ$2:$AQ$157,MATCH($W43,Calc!$A$2:$A$157,0)),"")</f>
        <v/>
      </c>
      <c r="W43" s="4" t="s">
        <v>3054</v>
      </c>
      <c r="X43" s="4" t="s">
        <v>926</v>
      </c>
      <c r="Y43" s="4" t="str">
        <f t="shared" si="4"/>
        <v>gzghvr1quamb0xn|CS2 · AUR vs 9z|K12</v>
      </c>
      <c r="Z43" s="12">
        <f t="array" ref="Z43">IFERROR(INDEX(CHOOSE(MATCH($X43,{"K1","K2","K3","K12","K13","H1","H2","H3","H12","H13"},0),Calc!$BA$2:$BA$157,Calc!$BB$2:$BB$157,Calc!$BC$2:$BC$157,Calc!$BD$2:$BD$157,Calc!$BE$2:$BE$157,Calc!$BF$2:$BF$157,Calc!$BG$2:$BG$157,Calc!$BH$2:$BH$157,Calc!$BI$2:$BI$157,Calc!$BJ$2:$BJ$157),MATCH($W43,Calc!$A$2:$A$157,0)),"")</f>
        <v>22.38370382</v>
      </c>
      <c r="AA43" s="12">
        <f t="array" ref="AA43">IF(Z43="","",IF(LEFT($X43,1)="H",SQRT(Z43*(IFERROR(INDEX(Calc!$AP$2:$AP$157,MATCH($W43,Calc!$A$2:$A$157,0)),0.5)*Config!$B$5+1-IFERROR(INDEX(Calc!$AP$2:$AP$157,MATCH($W43,Calc!$A$2:$A$157,0)),0.5))),SQRT(Z43*Config!$B$5)))</f>
        <v>5.597962607</v>
      </c>
      <c r="AB43" s="11">
        <f t="shared" si="5"/>
        <v>0.352697627</v>
      </c>
      <c r="AC43" s="11">
        <f t="shared" si="6"/>
        <v>0.647302373</v>
      </c>
      <c r="AD43" s="4" t="str">
        <f>IF(AB43="","",IF(AB43&gt;=0.5+Config!$B$6,"OVER",IF(AC43&gt;=0.5+Config!$B$6,"UNDER","—")))</f>
        <v>UNDER</v>
      </c>
      <c r="AE43" s="18">
        <f t="shared" si="7"/>
        <v>0.9639713451</v>
      </c>
    </row>
    <row r="44" ht="15.75" customHeight="1">
      <c r="A44" s="4" t="s">
        <v>86</v>
      </c>
      <c r="B44" s="4" t="s">
        <v>1168</v>
      </c>
      <c r="C44" s="4" t="s">
        <v>1286</v>
      </c>
      <c r="D44" s="4" t="s">
        <v>1173</v>
      </c>
      <c r="E44" s="4" t="s">
        <v>370</v>
      </c>
      <c r="F44" s="4">
        <v>17.5</v>
      </c>
      <c r="G44" s="12">
        <f t="array" ref="G44">IFERROR(INDEX(CHOOSE(MATCH($X44,{"K1","K2","K3","K12","K13","H1","H2","H3","H12","H13"},0),Calc!$V$2:$V$157,Calc!$AC$2:$AC$157,Calc!$AJ$2:$AJ$157,Calc!$AL$2:$AL$157,Calc!$AM$2:$AM$157,Calc!$W$2:$W$157,Calc!$AD$2:$AD$157,Calc!$AK$2:$AK$157,Calc!$AN$2:$AN$157,Calc!$AO$2:$AO$157),MATCH($W44,Calc!$A$2:$A$157,0)),"")</f>
        <v>16.99378123</v>
      </c>
      <c r="H44" s="12">
        <f t="array" ref="H44">IF(G44="","",IF(LEFT($X44,1)="H",SQRT(G44*(IFERROR(INDEX(Calc!$AP$2:$AP$157,MATCH($W44,Calc!$A$2:$A$157,0)),0.5)*Config!$B$5+1-IFERROR(INDEX(Calc!$AP$2:$AP$157,MATCH($W44,Calc!$A$2:$A$157,0)),0.5))),SQRT(G44*Config!$B$5)))</f>
        <v>4.53371747</v>
      </c>
      <c r="I44" s="11">
        <f t="shared" si="1"/>
        <v>0.4555479076</v>
      </c>
      <c r="J44" s="11">
        <f t="shared" si="2"/>
        <v>0.5444520924</v>
      </c>
      <c r="K44" s="11">
        <f t="shared" si="3"/>
        <v>0</v>
      </c>
      <c r="L44" s="4" t="str">
        <f>IF(I44="","",IF(I44&gt;=0.5+Config!$B$6,"OVER",IF(J44&gt;=0.5+Config!$B$6,"UNDER","—")))</f>
        <v>UNDER</v>
      </c>
      <c r="N44" s="4">
        <v>17.9</v>
      </c>
      <c r="O44" s="11">
        <v>0.4</v>
      </c>
      <c r="P44" s="11">
        <v>0.4</v>
      </c>
      <c r="Q44" s="11">
        <v>0.47</v>
      </c>
      <c r="R44" s="4" t="s">
        <v>1296</v>
      </c>
      <c r="S44" s="4">
        <v>1.0</v>
      </c>
      <c r="T44" s="4" t="str">
        <f t="array" ref="T44">INDEX(Calc!$G$2:$G$157,MATCH($W44,Calc!$A$2:$A$157,0))&amp;" / "&amp;INDEX(Calc!$H$2:$H$157,MATCH($W44,Calc!$A$2:$A$157,0))</f>
        <v>Nuke / Mirage</v>
      </c>
      <c r="U44" s="4" t="str">
        <f t="array" ref="U44">TEXT(INDEX(Calc!$J$2:$J$157,MATCH($W44,Calc!$A$2:$A$157,0)),"0.0")&amp;" / "&amp;TEXT(INDEX(Calc!$K$2:$K$157,MATCH($W44,Calc!$A$2:$A$157,0)),"0.0")</f>
        <v>21.3 / 21.4</v>
      </c>
      <c r="V44" s="4" t="str">
        <f t="array" ref="V44">IFERROR(INDEX(Calc!$AQ$2:$AQ$157,MATCH($W44,Calc!$A$2:$A$157,0)),"")</f>
        <v/>
      </c>
      <c r="W44" s="4" t="s">
        <v>3107</v>
      </c>
      <c r="X44" s="4" t="s">
        <v>634</v>
      </c>
      <c r="Y44" s="4" t="str">
        <f t="shared" si="4"/>
        <v>9clq2dpvqugkf0i|CS2 · AUR vs 9z|H12</v>
      </c>
      <c r="Z44" s="12">
        <f t="array" ref="Z44">IFERROR(INDEX(CHOOSE(MATCH($X44,{"K1","K2","K3","K12","K13","H1","H2","H3","H12","H13"},0),Calc!$BA$2:$BA$157,Calc!$BB$2:$BB$157,Calc!$BC$2:$BC$157,Calc!$BD$2:$BD$157,Calc!$BE$2:$BE$157,Calc!$BF$2:$BF$157,Calc!$BG$2:$BG$157,Calc!$BH$2:$BH$157,Calc!$BI$2:$BI$157,Calc!$BJ$2:$BJ$157),MATCH($W44,Calc!$A$2:$A$157,0)),"")</f>
        <v>16.38789857</v>
      </c>
      <c r="AA44" s="12">
        <f t="array" ref="AA44">IF(Z44="","",IF(LEFT($X44,1)="H",SQRT(Z44*(IFERROR(INDEX(Calc!$AP$2:$AP$157,MATCH($W44,Calc!$A$2:$A$157,0)),0.5)*Config!$B$5+1-IFERROR(INDEX(Calc!$AP$2:$AP$157,MATCH($W44,Calc!$A$2:$A$157,0)),0.5))),SQRT(Z44*Config!$B$5)))</f>
        <v>4.45216319</v>
      </c>
      <c r="AB44" s="11">
        <f t="shared" si="5"/>
        <v>0.4013752598</v>
      </c>
      <c r="AC44" s="11">
        <f t="shared" si="6"/>
        <v>0.5986247402</v>
      </c>
      <c r="AD44" s="4" t="str">
        <f>IF(AB44="","",IF(AB44&gt;=0.5+Config!$B$6,"OVER",IF(AC44&gt;=0.5+Config!$B$6,"UNDER","—")))</f>
        <v>UNDER</v>
      </c>
      <c r="AE44" s="18">
        <f t="shared" si="7"/>
        <v>0.9643468013</v>
      </c>
    </row>
    <row r="45" ht="15.75" customHeight="1">
      <c r="A45" s="4" t="s">
        <v>86</v>
      </c>
      <c r="B45" s="4" t="s">
        <v>1168</v>
      </c>
      <c r="C45" s="4" t="s">
        <v>1286</v>
      </c>
      <c r="D45" s="4" t="s">
        <v>1173</v>
      </c>
      <c r="E45" s="4" t="s">
        <v>772</v>
      </c>
      <c r="F45" s="4">
        <v>32.5</v>
      </c>
      <c r="G45" s="12">
        <f t="array" ref="G45">IFERROR(INDEX(CHOOSE(MATCH($X45,{"K1","K2","K3","K12","K13","H1","H2","H3","H12","H13"},0),Calc!$V$2:$V$157,Calc!$AC$2:$AC$157,Calc!$AJ$2:$AJ$157,Calc!$AL$2:$AL$157,Calc!$AM$2:$AM$157,Calc!$W$2:$W$157,Calc!$AD$2:$AD$157,Calc!$AK$2:$AK$157,Calc!$AN$2:$AN$157,Calc!$AO$2:$AO$157),MATCH($W45,Calc!$A$2:$A$157,0)),"")</f>
        <v>32.44075</v>
      </c>
      <c r="H45" s="12">
        <f t="array" ref="H45">IF(G45="","",IF(LEFT($X45,1)="H",SQRT(G45*(IFERROR(INDEX(Calc!$AP$2:$AP$157,MATCH($W45,Calc!$A$2:$A$157,0)),0.5)*Config!$B$5+1-IFERROR(INDEX(Calc!$AP$2:$AP$157,MATCH($W45,Calc!$A$2:$A$157,0)),0.5))),SQRT(G45*Config!$B$5)))</f>
        <v>6.739217314</v>
      </c>
      <c r="I45" s="11">
        <f t="shared" si="1"/>
        <v>0.4964926156</v>
      </c>
      <c r="J45" s="11">
        <f t="shared" si="2"/>
        <v>0.5035073844</v>
      </c>
      <c r="K45" s="11">
        <f t="shared" si="3"/>
        <v>0</v>
      </c>
      <c r="L45" s="4" t="str">
        <f>IF(I45="","",IF(I45&gt;=0.5+Config!$B$6,"OVER",IF(J45&gt;=0.5+Config!$B$6,"UNDER","—")))</f>
        <v>—</v>
      </c>
      <c r="M45" s="4">
        <v>33.28</v>
      </c>
      <c r="N45" s="4">
        <v>32.8</v>
      </c>
      <c r="O45" s="11">
        <v>0.6</v>
      </c>
      <c r="P45" s="11">
        <v>0.5</v>
      </c>
      <c r="Q45" s="11">
        <v>0.47</v>
      </c>
      <c r="R45" s="4" t="s">
        <v>1296</v>
      </c>
      <c r="S45" s="4">
        <v>1.0</v>
      </c>
      <c r="T45" s="4" t="str">
        <f t="array" ref="T45">INDEX(Calc!$G$2:$G$157,MATCH($W45,Calc!$A$2:$A$157,0))&amp;" / "&amp;INDEX(Calc!$H$2:$H$157,MATCH($W45,Calc!$A$2:$A$157,0))</f>
        <v>Nuke / Mirage</v>
      </c>
      <c r="U45" s="4" t="str">
        <f t="array" ref="U45">TEXT(INDEX(Calc!$J$2:$J$157,MATCH($W45,Calc!$A$2:$A$157,0)),"0.0")&amp;" / "&amp;TEXT(INDEX(Calc!$K$2:$K$157,MATCH($W45,Calc!$A$2:$A$157,0)),"0.0")</f>
        <v>21.3 / 21.4</v>
      </c>
      <c r="V45" s="4" t="str">
        <f t="array" ref="V45">IFERROR(INDEX(Calc!$AQ$2:$AQ$157,MATCH($W45,Calc!$A$2:$A$157,0)),"")</f>
        <v/>
      </c>
      <c r="W45" s="4" t="s">
        <v>3107</v>
      </c>
      <c r="X45" s="4" t="s">
        <v>926</v>
      </c>
      <c r="Y45" s="4" t="str">
        <f t="shared" si="4"/>
        <v>9clq2dpvqugkf0i|CS2 · AUR vs 9z|K12</v>
      </c>
      <c r="Z45" s="12">
        <f t="array" ref="Z45">IFERROR(INDEX(CHOOSE(MATCH($X45,{"K1","K2","K3","K12","K13","H1","H2","H3","H12","H13"},0),Calc!$BA$2:$BA$157,Calc!$BB$2:$BB$157,Calc!$BC$2:$BC$157,Calc!$BD$2:$BD$157,Calc!$BE$2:$BE$157,Calc!$BF$2:$BF$157,Calc!$BG$2:$BG$157,Calc!$BH$2:$BH$157,Calc!$BI$2:$BI$157,Calc!$BJ$2:$BJ$157),MATCH($W45,Calc!$A$2:$A$157,0)),"")</f>
        <v>31.28245165</v>
      </c>
      <c r="AA45" s="12">
        <f t="array" ref="AA45">IF(Z45="","",IF(LEFT($X45,1)="H",SQRT(Z45*(IFERROR(INDEX(Calc!$AP$2:$AP$157,MATCH($W45,Calc!$A$2:$A$157,0)),0.5)*Config!$B$5+1-IFERROR(INDEX(Calc!$AP$2:$AP$157,MATCH($W45,Calc!$A$2:$A$157,0)),0.5))),SQRT(Z45*Config!$B$5)))</f>
        <v>6.617811746</v>
      </c>
      <c r="AB45" s="11">
        <f t="shared" si="5"/>
        <v>0.4270143741</v>
      </c>
      <c r="AC45" s="11">
        <f t="shared" si="6"/>
        <v>0.5729856259</v>
      </c>
      <c r="AD45" s="4" t="str">
        <f>IF(AB45="","",IF(AB45&gt;=0.5+Config!$B$6,"OVER",IF(AC45&gt;=0.5+Config!$B$6,"UNDER","—")))</f>
        <v>UNDER</v>
      </c>
      <c r="AE45" s="18">
        <f t="shared" si="7"/>
        <v>0.9642949577</v>
      </c>
    </row>
    <row r="46" ht="15.75" customHeight="1">
      <c r="A46" s="4" t="s">
        <v>86</v>
      </c>
      <c r="B46" s="4" t="s">
        <v>1168</v>
      </c>
      <c r="C46" s="4" t="s">
        <v>1289</v>
      </c>
      <c r="D46" s="4" t="s">
        <v>1173</v>
      </c>
      <c r="E46" s="4" t="s">
        <v>370</v>
      </c>
      <c r="F46" s="4">
        <v>9.0</v>
      </c>
      <c r="G46" s="12">
        <f t="array" ref="G46">IFERROR(INDEX(CHOOSE(MATCH($X46,{"K1","K2","K3","K12","K13","H1","H2","H3","H12","H13"},0),Calc!$V$2:$V$157,Calc!$AC$2:$AC$157,Calc!$AJ$2:$AJ$157,Calc!$AL$2:$AL$157,Calc!$AM$2:$AM$157,Calc!$W$2:$W$157,Calc!$AD$2:$AD$157,Calc!$AK$2:$AK$157,Calc!$AN$2:$AN$157,Calc!$AO$2:$AO$157),MATCH($W46,Calc!$A$2:$A$157,0)),"")</f>
        <v>8.2666389</v>
      </c>
      <c r="H46" s="12">
        <f t="array" ref="H46">IF(G46="","",IF(LEFT($X46,1)="H",SQRT(G46*(IFERROR(INDEX(Calc!$AP$2:$AP$157,MATCH($W46,Calc!$A$2:$A$157,0)),0.5)*Config!$B$5+1-IFERROR(INDEX(Calc!$AP$2:$AP$157,MATCH($W46,Calc!$A$2:$A$157,0)),0.5))),SQRT(G46*Config!$B$5)))</f>
        <v>3.03825281</v>
      </c>
      <c r="I46" s="11">
        <f t="shared" si="1"/>
        <v>0.3423918011</v>
      </c>
      <c r="J46" s="11">
        <f t="shared" si="2"/>
        <v>0.530611723</v>
      </c>
      <c r="K46" s="11">
        <f t="shared" si="3"/>
        <v>0.1269964759</v>
      </c>
      <c r="L46" s="4" t="str">
        <f>IF(I46="","",IF(I46&gt;=0.5+Config!$B$6,"OVER",IF(J46&gt;=0.5+Config!$B$6,"UNDER","—")))</f>
        <v>—</v>
      </c>
      <c r="N46" s="4">
        <v>9.7</v>
      </c>
      <c r="O46" s="11">
        <v>0.8</v>
      </c>
      <c r="P46" s="11">
        <v>0.8</v>
      </c>
      <c r="Q46" s="11">
        <v>0.8</v>
      </c>
      <c r="R46" s="4" t="s">
        <v>2488</v>
      </c>
      <c r="S46" s="4">
        <v>2.0</v>
      </c>
      <c r="T46" s="4" t="str">
        <f t="array" ref="T46">INDEX(Calc!$G$2:$G$157,MATCH($W46,Calc!$A$2:$A$157,0))&amp;" / "&amp;INDEX(Calc!$H$2:$H$157,MATCH($W46,Calc!$A$2:$A$157,0))</f>
        <v>Nuke / Mirage</v>
      </c>
      <c r="U46" s="4" t="str">
        <f t="array" ref="U46">TEXT(INDEX(Calc!$J$2:$J$157,MATCH($W46,Calc!$A$2:$A$157,0)),"0.0")&amp;" / "&amp;TEXT(INDEX(Calc!$K$2:$K$157,MATCH($W46,Calc!$A$2:$A$157,0)),"0.0")</f>
        <v>21.3 / 21.4</v>
      </c>
      <c r="V46" s="4" t="str">
        <f t="array" ref="V46">IFERROR(INDEX(Calc!$AQ$2:$AQ$157,MATCH($W46,Calc!$A$2:$A$157,0)),"")</f>
        <v/>
      </c>
      <c r="W46" s="4" t="s">
        <v>3142</v>
      </c>
      <c r="X46" s="4" t="s">
        <v>634</v>
      </c>
      <c r="Y46" s="4" t="str">
        <f t="shared" si="4"/>
        <v>lpkyyhtoofj8ova|CS2 · AUR vs 9z|H12</v>
      </c>
      <c r="Z46" s="12">
        <f t="array" ref="Z46">IFERROR(INDEX(CHOOSE(MATCH($X46,{"K1","K2","K3","K12","K13","H1","H2","H3","H12","H13"},0),Calc!$BA$2:$BA$157,Calc!$BB$2:$BB$157,Calc!$BC$2:$BC$157,Calc!$BD$2:$BD$157,Calc!$BE$2:$BE$157,Calc!$BF$2:$BF$157,Calc!$BG$2:$BG$157,Calc!$BH$2:$BH$157,Calc!$BI$2:$BI$157,Calc!$BJ$2:$BJ$157),MATCH($W46,Calc!$A$2:$A$157,0)),"")</f>
        <v>7.971674399</v>
      </c>
      <c r="AA46" s="12">
        <f t="array" ref="AA46">IF(Z46="","",IF(LEFT($X46,1)="H",SQRT(Z46*(IFERROR(INDEX(Calc!$AP$2:$AP$157,MATCH($W46,Calc!$A$2:$A$157,0)),0.5)*Config!$B$5+1-IFERROR(INDEX(Calc!$AP$2:$AP$157,MATCH($W46,Calc!$A$2:$A$157,0)),0.5))),SQRT(Z46*Config!$B$5)))</f>
        <v>2.983556046</v>
      </c>
      <c r="AB46" s="11">
        <f t="shared" si="5"/>
        <v>0.3042381422</v>
      </c>
      <c r="AC46" s="11">
        <f t="shared" si="6"/>
        <v>0.5702768947</v>
      </c>
      <c r="AD46" s="4" t="str">
        <f>IF(AB46="","",IF(AB46&gt;=0.5+Config!$B$6,"OVER",IF(AC46&gt;=0.5+Config!$B$6,"UNDER","—")))</f>
        <v>UNDER</v>
      </c>
      <c r="AE46" s="18">
        <f t="shared" si="7"/>
        <v>0.9643186905</v>
      </c>
    </row>
    <row r="47" ht="15.75" customHeight="1">
      <c r="A47" s="4" t="s">
        <v>86</v>
      </c>
      <c r="B47" s="4" t="s">
        <v>1168</v>
      </c>
      <c r="C47" s="4" t="s">
        <v>1289</v>
      </c>
      <c r="D47" s="4" t="s">
        <v>1173</v>
      </c>
      <c r="E47" s="4" t="s">
        <v>772</v>
      </c>
      <c r="F47" s="4">
        <v>30.5</v>
      </c>
      <c r="G47" s="12">
        <f t="array" ref="G47">IFERROR(INDEX(CHOOSE(MATCH($X47,{"K1","K2","K3","K12","K13","H1","H2","H3","H12","H13"},0),Calc!$V$2:$V$157,Calc!$AC$2:$AC$157,Calc!$AJ$2:$AJ$157,Calc!$AL$2:$AL$157,Calc!$AM$2:$AM$157,Calc!$W$2:$W$157,Calc!$AD$2:$AD$157,Calc!$AK$2:$AK$157,Calc!$AN$2:$AN$157,Calc!$AO$2:$AO$157),MATCH($W47,Calc!$A$2:$A$157,0)),"")</f>
        <v>28.3457</v>
      </c>
      <c r="H47" s="12">
        <f t="array" ref="H47">IF(G47="","",IF(LEFT($X47,1)="H",SQRT(G47*(IFERROR(INDEX(Calc!$AP$2:$AP$157,MATCH($W47,Calc!$A$2:$A$157,0)),0.5)*Config!$B$5+1-IFERROR(INDEX(Calc!$AP$2:$AP$157,MATCH($W47,Calc!$A$2:$A$157,0)),0.5))),SQRT(G47*Config!$B$5)))</f>
        <v>6.299522204</v>
      </c>
      <c r="I47" s="11">
        <f t="shared" si="1"/>
        <v>0.3661836051</v>
      </c>
      <c r="J47" s="11">
        <f t="shared" si="2"/>
        <v>0.6338163949</v>
      </c>
      <c r="K47" s="11">
        <f t="shared" si="3"/>
        <v>0</v>
      </c>
      <c r="L47" s="4" t="str">
        <f>IF(I47="","",IF(I47&gt;=0.5+Config!$B$6,"OVER",IF(J47&gt;=0.5+Config!$B$6,"UNDER","—")))</f>
        <v>UNDER</v>
      </c>
      <c r="M47" s="4">
        <v>29.85</v>
      </c>
      <c r="N47" s="4">
        <v>28.4</v>
      </c>
      <c r="O47" s="11">
        <v>0.6</v>
      </c>
      <c r="P47" s="11">
        <v>0.4</v>
      </c>
      <c r="Q47" s="11">
        <v>0.53</v>
      </c>
      <c r="R47" s="4" t="s">
        <v>2929</v>
      </c>
      <c r="S47" s="4">
        <v>1.0</v>
      </c>
      <c r="T47" s="4" t="str">
        <f t="array" ref="T47">INDEX(Calc!$G$2:$G$157,MATCH($W47,Calc!$A$2:$A$157,0))&amp;" / "&amp;INDEX(Calc!$H$2:$H$157,MATCH($W47,Calc!$A$2:$A$157,0))</f>
        <v>Nuke / Mirage</v>
      </c>
      <c r="U47" s="4" t="str">
        <f t="array" ref="U47">TEXT(INDEX(Calc!$J$2:$J$157,MATCH($W47,Calc!$A$2:$A$157,0)),"0.0")&amp;" / "&amp;TEXT(INDEX(Calc!$K$2:$K$157,MATCH($W47,Calc!$A$2:$A$157,0)),"0.0")</f>
        <v>21.3 / 21.4</v>
      </c>
      <c r="V47" s="4" t="str">
        <f t="array" ref="V47">IFERROR(INDEX(Calc!$AQ$2:$AQ$157,MATCH($W47,Calc!$A$2:$A$157,0)),"")</f>
        <v/>
      </c>
      <c r="W47" s="4" t="s">
        <v>3142</v>
      </c>
      <c r="X47" s="4" t="s">
        <v>926</v>
      </c>
      <c r="Y47" s="4" t="str">
        <f t="shared" si="4"/>
        <v>lpkyyhtoofj8ova|CS2 · AUR vs 9z|K12</v>
      </c>
      <c r="Z47" s="12">
        <f t="array" ref="Z47">IFERROR(INDEX(CHOOSE(MATCH($X47,{"K1","K2","K3","K12","K13","H1","H2","H3","H12","H13"},0),Calc!$BA$2:$BA$157,Calc!$BB$2:$BB$157,Calc!$BC$2:$BC$157,Calc!$BD$2:$BD$157,Calc!$BE$2:$BE$157,Calc!$BF$2:$BF$157,Calc!$BG$2:$BG$157,Calc!$BH$2:$BH$157,Calc!$BI$2:$BI$157,Calc!$BJ$2:$BJ$157),MATCH($W47,Calc!$A$2:$A$157,0)),"")</f>
        <v>27.33330619</v>
      </c>
      <c r="AA47" s="12">
        <f t="array" ref="AA47">IF(Z47="","",IF(LEFT($X47,1)="H",SQRT(Z47*(IFERROR(INDEX(Calc!$AP$2:$AP$157,MATCH($W47,Calc!$A$2:$A$157,0)),0.5)*Config!$B$5+1-IFERROR(INDEX(Calc!$AP$2:$AP$157,MATCH($W47,Calc!$A$2:$A$157,0)),0.5))),SQRT(Z47*Config!$B$5)))</f>
        <v>6.18600264</v>
      </c>
      <c r="AB47" s="11">
        <f t="shared" si="5"/>
        <v>0.3043560265</v>
      </c>
      <c r="AC47" s="11">
        <f t="shared" si="6"/>
        <v>0.6956439735</v>
      </c>
      <c r="AD47" s="4" t="str">
        <f>IF(AB47="","",IF(AB47&gt;=0.5+Config!$B$6,"OVER",IF(AC47&gt;=0.5+Config!$B$6,"UNDER","—")))</f>
        <v>UNDER</v>
      </c>
      <c r="AE47" s="18">
        <f t="shared" si="7"/>
        <v>0.9642840427</v>
      </c>
    </row>
    <row r="48" ht="15.75" customHeight="1">
      <c r="A48" s="4" t="s">
        <v>86</v>
      </c>
      <c r="B48" s="4" t="s">
        <v>1168</v>
      </c>
      <c r="C48" s="4" t="s">
        <v>1292</v>
      </c>
      <c r="D48" s="4" t="s">
        <v>1173</v>
      </c>
      <c r="E48" s="4" t="s">
        <v>370</v>
      </c>
      <c r="F48" s="4">
        <v>16.0</v>
      </c>
      <c r="G48" s="12">
        <f t="array" ref="G48">IFERROR(INDEX(CHOOSE(MATCH($X48,{"K1","K2","K3","K12","K13","H1","H2","H3","H12","H13"},0),Calc!$V$2:$V$157,Calc!$AC$2:$AC$157,Calc!$AJ$2:$AJ$157,Calc!$AL$2:$AL$157,Calc!$AM$2:$AM$157,Calc!$W$2:$W$157,Calc!$AD$2:$AD$157,Calc!$AK$2:$AK$157,Calc!$AN$2:$AN$157,Calc!$AO$2:$AO$157),MATCH($W48,Calc!$A$2:$A$157,0)),"")</f>
        <v>14.1883622</v>
      </c>
      <c r="H48" s="12">
        <f t="array" ref="H48">IF(G48="","",IF(LEFT($X48,1)="H",SQRT(G48*(IFERROR(INDEX(Calc!$AP$2:$AP$157,MATCH($W48,Calc!$A$2:$A$157,0)),0.5)*Config!$B$5+1-IFERROR(INDEX(Calc!$AP$2:$AP$157,MATCH($W48,Calc!$A$2:$A$157,0)),0.5))),SQRT(G48*Config!$B$5)))</f>
        <v>4.153104025</v>
      </c>
      <c r="I48" s="11">
        <f t="shared" si="1"/>
        <v>0.2888987232</v>
      </c>
      <c r="J48" s="11">
        <f t="shared" si="2"/>
        <v>0.6239308417</v>
      </c>
      <c r="K48" s="11">
        <f t="shared" si="3"/>
        <v>0.0871704351</v>
      </c>
      <c r="L48" s="4" t="str">
        <f>IF(I48="","",IF(I48&gt;=0.5+Config!$B$6,"OVER",IF(J48&gt;=0.5+Config!$B$6,"UNDER","—")))</f>
        <v>UNDER</v>
      </c>
      <c r="N48" s="4">
        <v>14.4</v>
      </c>
      <c r="O48" s="11">
        <v>0.6</v>
      </c>
      <c r="P48" s="11">
        <v>0.4</v>
      </c>
      <c r="Q48" s="11">
        <v>0.4</v>
      </c>
      <c r="R48" s="4" t="s">
        <v>1296</v>
      </c>
      <c r="S48" s="4">
        <v>1.0</v>
      </c>
      <c r="T48" s="4" t="str">
        <f t="array" ref="T48">INDEX(Calc!$G$2:$G$157,MATCH($W48,Calc!$A$2:$A$157,0))&amp;" / "&amp;INDEX(Calc!$H$2:$H$157,MATCH($W48,Calc!$A$2:$A$157,0))</f>
        <v>Nuke / Mirage</v>
      </c>
      <c r="U48" s="4" t="str">
        <f t="array" ref="U48">TEXT(INDEX(Calc!$J$2:$J$157,MATCH($W48,Calc!$A$2:$A$157,0)),"0.0")&amp;" / "&amp;TEXT(INDEX(Calc!$K$2:$K$157,MATCH($W48,Calc!$A$2:$A$157,0)),"0.0")</f>
        <v>21.3 / 21.4</v>
      </c>
      <c r="V48" s="4" t="str">
        <f t="array" ref="V48">IFERROR(INDEX(Calc!$AQ$2:$AQ$157,MATCH($W48,Calc!$A$2:$A$157,0)),"")</f>
        <v/>
      </c>
      <c r="W48" s="4" t="s">
        <v>3143</v>
      </c>
      <c r="X48" s="4" t="s">
        <v>634</v>
      </c>
      <c r="Y48" s="4" t="str">
        <f t="shared" si="4"/>
        <v>zauqna21klkp1rt|CS2 · AUR vs 9z|H12</v>
      </c>
      <c r="Z48" s="12">
        <f t="array" ref="Z48">IFERROR(INDEX(CHOOSE(MATCH($X48,{"K1","K2","K3","K12","K13","H1","H2","H3","H12","H13"},0),Calc!$BA$2:$BA$157,Calc!$BB$2:$BB$157,Calc!$BC$2:$BC$157,Calc!$BD$2:$BD$157,Calc!$BE$2:$BE$157,Calc!$BF$2:$BF$157,Calc!$BG$2:$BG$157,Calc!$BH$2:$BH$157,Calc!$BI$2:$BI$157,Calc!$BJ$2:$BJ$157),MATCH($W48,Calc!$A$2:$A$157,0)),"")</f>
        <v>13.68360977</v>
      </c>
      <c r="AA48" s="12">
        <f t="array" ref="AA48">IF(Z48="","",IF(LEFT($X48,1)="H",SQRT(Z48*(IFERROR(INDEX(Calc!$AP$2:$AP$157,MATCH($W48,Calc!$A$2:$A$157,0)),0.5)*Config!$B$5+1-IFERROR(INDEX(Calc!$AP$2:$AP$157,MATCH($W48,Calc!$A$2:$A$157,0)),0.5))),SQRT(Z48*Config!$B$5)))</f>
        <v>4.078561508</v>
      </c>
      <c r="AB48" s="11">
        <f t="shared" si="5"/>
        <v>0.2449288453</v>
      </c>
      <c r="AC48" s="11">
        <f t="shared" si="6"/>
        <v>0.6719668337</v>
      </c>
      <c r="AD48" s="4" t="str">
        <f>IF(AB48="","",IF(AB48&gt;=0.5+Config!$B$6,"OVER",IF(AC48&gt;=0.5+Config!$B$6,"UNDER","—")))</f>
        <v>UNDER</v>
      </c>
      <c r="AE48" s="18">
        <f t="shared" si="7"/>
        <v>0.9644248982</v>
      </c>
    </row>
    <row r="49" ht="15.75" customHeight="1">
      <c r="A49" s="4" t="s">
        <v>86</v>
      </c>
      <c r="B49" s="4" t="s">
        <v>1168</v>
      </c>
      <c r="C49" s="4" t="s">
        <v>1292</v>
      </c>
      <c r="D49" s="4" t="s">
        <v>1173</v>
      </c>
      <c r="E49" s="4" t="s">
        <v>772</v>
      </c>
      <c r="F49" s="4">
        <v>30.0</v>
      </c>
      <c r="G49" s="12">
        <f t="array" ref="G49">IFERROR(INDEX(CHOOSE(MATCH($X49,{"K1","K2","K3","K12","K13","H1","H2","H3","H12","H13"},0),Calc!$V$2:$V$157,Calc!$AC$2:$AC$157,Calc!$AJ$2:$AJ$157,Calc!$AL$2:$AL$157,Calc!$AM$2:$AM$157,Calc!$W$2:$W$157,Calc!$AD$2:$AD$157,Calc!$AK$2:$AK$157,Calc!$AN$2:$AN$157,Calc!$AO$2:$AO$157),MATCH($W49,Calc!$A$2:$A$157,0)),"")</f>
        <v>26.31575</v>
      </c>
      <c r="H49" s="12">
        <f t="array" ref="H49">IF(G49="","",IF(LEFT($X49,1)="H",SQRT(G49*(IFERROR(INDEX(Calc!$AP$2:$AP$157,MATCH($W49,Calc!$A$2:$A$157,0)),0.5)*Config!$B$5+1-IFERROR(INDEX(Calc!$AP$2:$AP$157,MATCH($W49,Calc!$A$2:$A$157,0)),0.5))),SQRT(G49*Config!$B$5)))</f>
        <v>6.069765234</v>
      </c>
      <c r="I49" s="11">
        <f t="shared" si="1"/>
        <v>0.2452985486</v>
      </c>
      <c r="J49" s="11">
        <f t="shared" si="2"/>
        <v>0.7000722868</v>
      </c>
      <c r="K49" s="11">
        <f t="shared" si="3"/>
        <v>0.05462916461</v>
      </c>
      <c r="L49" s="4" t="str">
        <f>IF(I49="","",IF(I49&gt;=0.5+Config!$B$6,"OVER",IF(J49&gt;=0.5+Config!$B$6,"UNDER","—")))</f>
        <v>UNDER</v>
      </c>
      <c r="M49" s="4">
        <v>29.74</v>
      </c>
      <c r="N49" s="4">
        <v>27.7</v>
      </c>
      <c r="O49" s="11">
        <v>0.8</v>
      </c>
      <c r="P49" s="11">
        <v>0.5</v>
      </c>
      <c r="Q49" s="11">
        <v>0.47</v>
      </c>
      <c r="R49" s="4" t="s">
        <v>1296</v>
      </c>
      <c r="S49" s="4">
        <v>1.0</v>
      </c>
      <c r="T49" s="4" t="str">
        <f t="array" ref="T49">INDEX(Calc!$G$2:$G$157,MATCH($W49,Calc!$A$2:$A$157,0))&amp;" / "&amp;INDEX(Calc!$H$2:$H$157,MATCH($W49,Calc!$A$2:$A$157,0))</f>
        <v>Nuke / Mirage</v>
      </c>
      <c r="U49" s="4" t="str">
        <f t="array" ref="U49">TEXT(INDEX(Calc!$J$2:$J$157,MATCH($W49,Calc!$A$2:$A$157,0)),"0.0")&amp;" / "&amp;TEXT(INDEX(Calc!$K$2:$K$157,MATCH($W49,Calc!$A$2:$A$157,0)),"0.0")</f>
        <v>21.3 / 21.4</v>
      </c>
      <c r="V49" s="4" t="str">
        <f t="array" ref="V49">IFERROR(INDEX(Calc!$AQ$2:$AQ$157,MATCH($W49,Calc!$A$2:$A$157,0)),"")</f>
        <v/>
      </c>
      <c r="W49" s="4" t="s">
        <v>3143</v>
      </c>
      <c r="X49" s="4" t="s">
        <v>926</v>
      </c>
      <c r="Y49" s="4" t="str">
        <f t="shared" si="4"/>
        <v>zauqna21klkp1rt|CS2 · AUR vs 9z|K12</v>
      </c>
      <c r="Z49" s="12">
        <f t="array" ref="Z49">IFERROR(INDEX(CHOOSE(MATCH($X49,{"K1","K2","K3","K12","K13","H1","H2","H3","H12","H13"},0),Calc!$BA$2:$BA$157,Calc!$BB$2:$BB$157,Calc!$BC$2:$BC$157,Calc!$BD$2:$BD$157,Calc!$BE$2:$BE$157,Calc!$BF$2:$BF$157,Calc!$BG$2:$BG$157,Calc!$BH$2:$BH$157,Calc!$BI$2:$BI$157,Calc!$BJ$2:$BJ$157),MATCH($W49,Calc!$A$2:$A$157,0)),"")</f>
        <v>25.37635841</v>
      </c>
      <c r="AA49" s="12">
        <f t="array" ref="AA49">IF(Z49="","",IF(LEFT($X49,1)="H",SQRT(Z49*(IFERROR(INDEX(Calc!$AP$2:$AP$157,MATCH($W49,Calc!$A$2:$A$157,0)),0.5)*Config!$B$5+1-IFERROR(INDEX(Calc!$AP$2:$AP$157,MATCH($W49,Calc!$A$2:$A$157,0)),0.5))),SQRT(Z49*Config!$B$5)))</f>
        <v>5.960444763</v>
      </c>
      <c r="AB49" s="11">
        <f t="shared" si="5"/>
        <v>0.1950027859</v>
      </c>
      <c r="AC49" s="11">
        <f t="shared" si="6"/>
        <v>0.7554793801</v>
      </c>
      <c r="AD49" s="4" t="str">
        <f>IF(AB49="","",IF(AB49&gt;=0.5+Config!$B$6,"OVER",IF(AC49&gt;=0.5+Config!$B$6,"UNDER","—")))</f>
        <v>UNDER</v>
      </c>
      <c r="AE49" s="18">
        <f t="shared" si="7"/>
        <v>0.964303066</v>
      </c>
    </row>
    <row r="50" ht="15.75" customHeight="1">
      <c r="A50" s="4" t="s">
        <v>86</v>
      </c>
      <c r="B50" s="4" t="s">
        <v>1709</v>
      </c>
      <c r="C50" s="4" t="s">
        <v>1295</v>
      </c>
      <c r="D50" s="4" t="s">
        <v>1297</v>
      </c>
      <c r="E50" s="4" t="s">
        <v>370</v>
      </c>
      <c r="F50" s="4">
        <v>10.5</v>
      </c>
      <c r="G50" s="12">
        <f t="array" ref="G50">IFERROR(INDEX(CHOOSE(MATCH($X50,{"K1","K2","K3","K12","K13","H1","H2","H3","H12","H13"},0),Calc!$V$2:$V$157,Calc!$AC$2:$AC$157,Calc!$AJ$2:$AJ$157,Calc!$AL$2:$AL$157,Calc!$AM$2:$AM$157,Calc!$W$2:$W$157,Calc!$AD$2:$AD$157,Calc!$AK$2:$AK$157,Calc!$AN$2:$AN$157,Calc!$AO$2:$AO$157),MATCH($W50,Calc!$A$2:$A$157,0)),"")</f>
        <v>10.51596996</v>
      </c>
      <c r="H50" s="12">
        <f t="array" ref="H50">IF(G50="","",IF(LEFT($X50,1)="H",SQRT(G50*(IFERROR(INDEX(Calc!$AP$2:$AP$157,MATCH($W50,Calc!$A$2:$A$157,0)),0.5)*Config!$B$5+1-IFERROR(INDEX(Calc!$AP$2:$AP$157,MATCH($W50,Calc!$A$2:$A$157,0)),0.5))),SQRT(G50*Config!$B$5)))</f>
        <v>3.534757948</v>
      </c>
      <c r="I50" s="11">
        <f t="shared" si="1"/>
        <v>0.501802406</v>
      </c>
      <c r="J50" s="11">
        <f t="shared" si="2"/>
        <v>0.498197594</v>
      </c>
      <c r="K50" s="11">
        <f t="shared" si="3"/>
        <v>0</v>
      </c>
      <c r="L50" s="4" t="str">
        <f>IF(I50="","",IF(I50&gt;=0.5+Config!$B$6,"OVER",IF(J50&gt;=0.5+Config!$B$6,"UNDER","—")))</f>
        <v>—</v>
      </c>
      <c r="N50" s="4">
        <v>12.7</v>
      </c>
      <c r="O50" s="11">
        <v>0.4</v>
      </c>
      <c r="P50" s="11">
        <v>0.6</v>
      </c>
      <c r="Q50" s="11">
        <v>0.53</v>
      </c>
      <c r="R50" s="4" t="s">
        <v>1729</v>
      </c>
      <c r="S50" s="4">
        <v>-1.0</v>
      </c>
      <c r="T50" s="4" t="str">
        <f t="array" ref="T50">INDEX(Calc!$G$2:$G$157,MATCH($W50,Calc!$A$2:$A$157,0))&amp;" / "&amp;INDEX(Calc!$H$2:$H$157,MATCH($W50,Calc!$A$2:$A$157,0))</f>
        <v>Mirage / Ancient</v>
      </c>
      <c r="U50" s="4" t="str">
        <f t="array" ref="U50">TEXT(INDEX(Calc!$J$2:$J$157,MATCH($W50,Calc!$A$2:$A$157,0)),"0.0")&amp;" / "&amp;TEXT(INDEX(Calc!$K$2:$K$157,MATCH($W50,Calc!$A$2:$A$157,0)),"0.0")</f>
        <v>21.4 / 21.3</v>
      </c>
      <c r="V50" s="4" t="str">
        <f t="array" ref="V50">IFERROR(INDEX(Calc!$AQ$2:$AQ$157,MATCH($W50,Calc!$A$2:$A$157,0)),"")</f>
        <v/>
      </c>
      <c r="W50" s="4" t="s">
        <v>3144</v>
      </c>
      <c r="X50" s="4" t="s">
        <v>634</v>
      </c>
      <c r="Y50" s="4" t="str">
        <f t="shared" si="4"/>
        <v>75r40osa6cjt3o0|CS2 · BB vs LGC|H12</v>
      </c>
      <c r="Z50" s="12">
        <f t="array" ref="Z50">IFERROR(INDEX(CHOOSE(MATCH($X50,{"K1","K2","K3","K12","K13","H1","H2","H3","H12","H13"},0),Calc!$BA$2:$BA$157,Calc!$BB$2:$BB$157,Calc!$BC$2:$BC$157,Calc!$BD$2:$BD$157,Calc!$BE$2:$BE$157,Calc!$BF$2:$BF$157,Calc!$BG$2:$BG$157,Calc!$BH$2:$BH$157,Calc!$BI$2:$BI$157,Calc!$BJ$2:$BJ$157),MATCH($W50,Calc!$A$2:$A$157,0)),"")</f>
        <v>10.32414679</v>
      </c>
      <c r="AA50" s="12">
        <f t="array" ref="AA50">IF(Z50="","",IF(LEFT($X50,1)="H",SQRT(Z50*(IFERROR(INDEX(Calc!$AP$2:$AP$157,MATCH($W50,Calc!$A$2:$A$157,0)),0.5)*Config!$B$5+1-IFERROR(INDEX(Calc!$AP$2:$AP$157,MATCH($W50,Calc!$A$2:$A$157,0)),0.5))),SQRT(Z50*Config!$B$5)))</f>
        <v>3.502370584</v>
      </c>
      <c r="AB50" s="11">
        <f t="shared" si="5"/>
        <v>0.4799776141</v>
      </c>
      <c r="AC50" s="11">
        <f t="shared" si="6"/>
        <v>0.5200223859</v>
      </c>
      <c r="AD50" s="4" t="str">
        <f>IF(AB50="","",IF(AB50&gt;=0.5+Config!$B$6,"OVER",IF(AC50&gt;=0.5+Config!$B$6,"UNDER","—")))</f>
        <v>—</v>
      </c>
      <c r="AE50" s="18">
        <f t="shared" si="7"/>
        <v>0.9817588706</v>
      </c>
    </row>
    <row r="51" ht="15.75" customHeight="1">
      <c r="A51" s="4" t="s">
        <v>86</v>
      </c>
      <c r="B51" s="4" t="s">
        <v>1709</v>
      </c>
      <c r="C51" s="4" t="s">
        <v>1295</v>
      </c>
      <c r="D51" s="4" t="s">
        <v>1297</v>
      </c>
      <c r="E51" s="4" t="s">
        <v>772</v>
      </c>
      <c r="F51" s="4">
        <v>24.0</v>
      </c>
      <c r="G51" s="12">
        <f t="array" ref="G51">IFERROR(INDEX(CHOOSE(MATCH($X51,{"K1","K2","K3","K12","K13","H1","H2","H3","H12","H13"},0),Calc!$V$2:$V$157,Calc!$AC$2:$AC$157,Calc!$AJ$2:$AJ$157,Calc!$AL$2:$AL$157,Calc!$AM$2:$AM$157,Calc!$W$2:$W$157,Calc!$AD$2:$AD$157,Calc!$AK$2:$AK$157,Calc!$AN$2:$AN$157,Calc!$AO$2:$AO$157),MATCH($W51,Calc!$A$2:$A$157,0)),"")</f>
        <v>22.35697273</v>
      </c>
      <c r="H51" s="12">
        <f t="array" ref="H51">IF(G51="","",IF(LEFT($X51,1)="H",SQRT(G51*(IFERROR(INDEX(Calc!$AP$2:$AP$157,MATCH($W51,Calc!$A$2:$A$157,0)),0.5)*Config!$B$5+1-IFERROR(INDEX(Calc!$AP$2:$AP$157,MATCH($W51,Calc!$A$2:$A$157,0)),0.5))),SQRT(G51*Config!$B$5)))</f>
        <v>5.594619006</v>
      </c>
      <c r="I51" s="11">
        <f t="shared" si="1"/>
        <v>0.350840785</v>
      </c>
      <c r="J51" s="11">
        <f t="shared" si="2"/>
        <v>0.58094372</v>
      </c>
      <c r="K51" s="11">
        <f t="shared" si="3"/>
        <v>0.06821549498</v>
      </c>
      <c r="L51" s="4" t="str">
        <f>IF(I51="","",IF(I51&gt;=0.5+Config!$B$6,"OVER",IF(J51&gt;=0.5+Config!$B$6,"UNDER","—")))</f>
        <v>UNDER</v>
      </c>
      <c r="M51" s="4">
        <v>23.54</v>
      </c>
      <c r="N51" s="4">
        <v>27.4</v>
      </c>
      <c r="O51" s="11">
        <v>0.6</v>
      </c>
      <c r="P51" s="11">
        <v>0.6</v>
      </c>
      <c r="Q51" s="11">
        <v>0.53</v>
      </c>
      <c r="R51" s="4" t="s">
        <v>1729</v>
      </c>
      <c r="S51" s="4">
        <v>2.0</v>
      </c>
      <c r="T51" s="4" t="str">
        <f t="array" ref="T51">INDEX(Calc!$G$2:$G$157,MATCH($W51,Calc!$A$2:$A$157,0))&amp;" / "&amp;INDEX(Calc!$H$2:$H$157,MATCH($W51,Calc!$A$2:$A$157,0))</f>
        <v>Mirage / Ancient</v>
      </c>
      <c r="U51" s="4" t="str">
        <f t="array" ref="U51">TEXT(INDEX(Calc!$J$2:$J$157,MATCH($W51,Calc!$A$2:$A$157,0)),"0.0")&amp;" / "&amp;TEXT(INDEX(Calc!$K$2:$K$157,MATCH($W51,Calc!$A$2:$A$157,0)),"0.0")</f>
        <v>21.4 / 21.3</v>
      </c>
      <c r="V51" s="4" t="str">
        <f t="array" ref="V51">IFERROR(INDEX(Calc!$AQ$2:$AQ$157,MATCH($W51,Calc!$A$2:$A$157,0)),"")</f>
        <v/>
      </c>
      <c r="W51" s="4" t="s">
        <v>3144</v>
      </c>
      <c r="X51" s="4" t="s">
        <v>926</v>
      </c>
      <c r="Y51" s="4" t="str">
        <f t="shared" si="4"/>
        <v>75r40osa6cjt3o0|CS2 · BB vs LGC|K12</v>
      </c>
      <c r="Z51" s="12">
        <f t="array" ref="Z51">IFERROR(INDEX(CHOOSE(MATCH($X51,{"K1","K2","K3","K12","K13","H1","H2","H3","H12","H13"},0),Calc!$BA$2:$BA$157,Calc!$BB$2:$BB$157,Calc!$BC$2:$BC$157,Calc!$BD$2:$BD$157,Calc!$BE$2:$BE$157,Calc!$BF$2:$BF$157,Calc!$BG$2:$BG$157,Calc!$BH$2:$BH$157,Calc!$BI$2:$BI$157,Calc!$BJ$2:$BJ$157),MATCH($W51,Calc!$A$2:$A$157,0)),"")</f>
        <v>21.97795704</v>
      </c>
      <c r="AA51" s="12">
        <f t="array" ref="AA51">IF(Z51="","",IF(LEFT($X51,1)="H",SQRT(Z51*(IFERROR(INDEX(Calc!$AP$2:$AP$157,MATCH($W51,Calc!$A$2:$A$157,0)),0.5)*Config!$B$5+1-IFERROR(INDEX(Calc!$AP$2:$AP$157,MATCH($W51,Calc!$A$2:$A$157,0)),0.5))),SQRT(Z51*Config!$B$5)))</f>
        <v>5.546993768</v>
      </c>
      <c r="AB51" s="11">
        <f t="shared" si="5"/>
        <v>0.3246738976</v>
      </c>
      <c r="AC51" s="11">
        <f t="shared" si="6"/>
        <v>0.6081077675</v>
      </c>
      <c r="AD51" s="4" t="str">
        <f>IF(AB51="","",IF(AB51&gt;=0.5+Config!$B$6,"OVER",IF(AC51&gt;=0.5+Config!$B$6,"UNDER","—")))</f>
        <v>UNDER</v>
      </c>
      <c r="AE51" s="18">
        <f t="shared" si="7"/>
        <v>0.9830470928</v>
      </c>
    </row>
    <row r="52" ht="15.75" customHeight="1">
      <c r="A52" s="4" t="s">
        <v>86</v>
      </c>
      <c r="B52" s="4" t="s">
        <v>1709</v>
      </c>
      <c r="C52" s="4" t="s">
        <v>1301</v>
      </c>
      <c r="D52" s="4" t="s">
        <v>1297</v>
      </c>
      <c r="E52" s="4" t="s">
        <v>370</v>
      </c>
      <c r="F52" s="4">
        <v>17.5</v>
      </c>
      <c r="G52" s="12">
        <f t="array" ref="G52">IFERROR(INDEX(CHOOSE(MATCH($X52,{"K1","K2","K3","K12","K13","H1","H2","H3","H12","H13"},0),Calc!$V$2:$V$157,Calc!$AC$2:$AC$157,Calc!$AJ$2:$AJ$157,Calc!$AL$2:$AL$157,Calc!$AM$2:$AM$157,Calc!$W$2:$W$157,Calc!$AD$2:$AD$157,Calc!$AK$2:$AK$157,Calc!$AN$2:$AN$157,Calc!$AO$2:$AO$157),MATCH($W52,Calc!$A$2:$A$157,0)),"")</f>
        <v>16.80406049</v>
      </c>
      <c r="H52" s="12">
        <f t="array" ref="H52">IF(G52="","",IF(LEFT($X52,1)="H",SQRT(G52*(IFERROR(INDEX(Calc!$AP$2:$AP$157,MATCH($W52,Calc!$A$2:$A$157,0)),0.5)*Config!$B$5+1-IFERROR(INDEX(Calc!$AP$2:$AP$157,MATCH($W52,Calc!$A$2:$A$157,0)),0.5))),SQRT(G52*Config!$B$5)))</f>
        <v>4.555987991</v>
      </c>
      <c r="I52" s="11">
        <f t="shared" si="1"/>
        <v>0.4392966459</v>
      </c>
      <c r="J52" s="11">
        <f t="shared" si="2"/>
        <v>0.5607033541</v>
      </c>
      <c r="K52" s="11">
        <f t="shared" si="3"/>
        <v>0</v>
      </c>
      <c r="L52" s="4" t="str">
        <f>IF(I52="","",IF(I52&gt;=0.5+Config!$B$6,"OVER",IF(J52&gt;=0.5+Config!$B$6,"UNDER","—")))</f>
        <v>UNDER</v>
      </c>
      <c r="N52" s="4">
        <v>19.1</v>
      </c>
      <c r="O52" s="11">
        <v>0.4</v>
      </c>
      <c r="P52" s="11">
        <v>0.6</v>
      </c>
      <c r="Q52" s="11">
        <v>0.4</v>
      </c>
      <c r="R52" s="4" t="s">
        <v>579</v>
      </c>
      <c r="S52" s="4">
        <v>1.0</v>
      </c>
      <c r="T52" s="4" t="str">
        <f t="array" ref="T52">INDEX(Calc!$G$2:$G$157,MATCH($W52,Calc!$A$2:$A$157,0))&amp;" / "&amp;INDEX(Calc!$H$2:$H$157,MATCH($W52,Calc!$A$2:$A$157,0))</f>
        <v>Mirage / Ancient</v>
      </c>
      <c r="U52" s="4" t="str">
        <f t="array" ref="U52">TEXT(INDEX(Calc!$J$2:$J$157,MATCH($W52,Calc!$A$2:$A$157,0)),"0.0")&amp;" / "&amp;TEXT(INDEX(Calc!$K$2:$K$157,MATCH($W52,Calc!$A$2:$A$157,0)),"0.0")</f>
        <v>21.4 / 21.3</v>
      </c>
      <c r="V52" s="4" t="str">
        <f t="array" ref="V52">IFERROR(INDEX(Calc!$AQ$2:$AQ$157,MATCH($W52,Calc!$A$2:$A$157,0)),"")</f>
        <v/>
      </c>
      <c r="W52" s="4" t="s">
        <v>3145</v>
      </c>
      <c r="X52" s="4" t="s">
        <v>634</v>
      </c>
      <c r="Y52" s="4" t="str">
        <f t="shared" si="4"/>
        <v>kgpnwz42wxtq29r|CS2 · BB vs LGC|H12</v>
      </c>
      <c r="Z52" s="12">
        <f t="array" ref="Z52">IFERROR(INDEX(CHOOSE(MATCH($X52,{"K1","K2","K3","K12","K13","H1","H2","H3","H12","H13"},0),Calc!$BA$2:$BA$157,Calc!$BB$2:$BB$157,Calc!$BC$2:$BC$157,Calc!$BD$2:$BD$157,Calc!$BE$2:$BE$157,Calc!$BF$2:$BF$157,Calc!$BG$2:$BG$157,Calc!$BH$2:$BH$157,Calc!$BI$2:$BI$157,Calc!$BJ$2:$BJ$157),MATCH($W52,Calc!$A$2:$A$157,0)),"")</f>
        <v>16.51298008</v>
      </c>
      <c r="AA52" s="12">
        <f t="array" ref="AA52">IF(Z52="","",IF(LEFT($X52,1)="H",SQRT(Z52*(IFERROR(INDEX(Calc!$AP$2:$AP$157,MATCH($W52,Calc!$A$2:$A$157,0)),0.5)*Config!$B$5+1-IFERROR(INDEX(Calc!$AP$2:$AP$157,MATCH($W52,Calc!$A$2:$A$157,0)),0.5))),SQRT(Z52*Config!$B$5)))</f>
        <v>4.516356139</v>
      </c>
      <c r="AB52" s="11">
        <f t="shared" si="5"/>
        <v>0.4135028654</v>
      </c>
      <c r="AC52" s="11">
        <f t="shared" si="6"/>
        <v>0.5864971346</v>
      </c>
      <c r="AD52" s="4" t="str">
        <f>IF(AB52="","",IF(AB52&gt;=0.5+Config!$B$6,"OVER",IF(AC52&gt;=0.5+Config!$B$6,"UNDER","—")))</f>
        <v>UNDER</v>
      </c>
      <c r="AE52" s="18">
        <f t="shared" si="7"/>
        <v>0.9826779719</v>
      </c>
    </row>
    <row r="53" ht="15.75" customHeight="1">
      <c r="A53" s="4" t="s">
        <v>86</v>
      </c>
      <c r="B53" s="4" t="s">
        <v>1709</v>
      </c>
      <c r="C53" s="4" t="s">
        <v>1301</v>
      </c>
      <c r="D53" s="4" t="s">
        <v>1297</v>
      </c>
      <c r="E53" s="4" t="s">
        <v>772</v>
      </c>
      <c r="F53" s="4">
        <v>28.5</v>
      </c>
      <c r="G53" s="12">
        <f t="array" ref="G53">IFERROR(INDEX(CHOOSE(MATCH($X53,{"K1","K2","K3","K12","K13","H1","H2","H3","H12","H13"},0),Calc!$V$2:$V$157,Calc!$AC$2:$AC$157,Calc!$AJ$2:$AJ$157,Calc!$AL$2:$AL$157,Calc!$AM$2:$AM$157,Calc!$W$2:$W$157,Calc!$AD$2:$AD$157,Calc!$AK$2:$AK$157,Calc!$AN$2:$AN$157,Calc!$AO$2:$AO$157),MATCH($W53,Calc!$A$2:$A$157,0)),"")</f>
        <v>28.57362727</v>
      </c>
      <c r="H53" s="12">
        <f t="array" ref="H53">IF(G53="","",IF(LEFT($X53,1)="H",SQRT(G53*(IFERROR(INDEX(Calc!$AP$2:$AP$157,MATCH($W53,Calc!$A$2:$A$157,0)),0.5)*Config!$B$5+1-IFERROR(INDEX(Calc!$AP$2:$AP$157,MATCH($W53,Calc!$A$2:$A$157,0)),0.5))),SQRT(G53*Config!$B$5)))</f>
        <v>6.324798667</v>
      </c>
      <c r="I53" s="11">
        <f t="shared" si="1"/>
        <v>0.5046440006</v>
      </c>
      <c r="J53" s="11">
        <f t="shared" si="2"/>
        <v>0.4953559994</v>
      </c>
      <c r="K53" s="11">
        <f t="shared" si="3"/>
        <v>0</v>
      </c>
      <c r="L53" s="4" t="str">
        <f>IF(I53="","",IF(I53&gt;=0.5+Config!$B$6,"OVER",IF(J53&gt;=0.5+Config!$B$6,"UNDER","—")))</f>
        <v>—</v>
      </c>
      <c r="M53" s="4">
        <v>29.18</v>
      </c>
      <c r="N53" s="4">
        <v>32.3</v>
      </c>
      <c r="O53" s="11">
        <v>0.8</v>
      </c>
      <c r="P53" s="11">
        <v>0.8</v>
      </c>
      <c r="Q53" s="11">
        <v>0.53</v>
      </c>
      <c r="R53" s="4" t="s">
        <v>579</v>
      </c>
      <c r="S53" s="4">
        <v>3.0</v>
      </c>
      <c r="T53" s="4" t="str">
        <f t="array" ref="T53">INDEX(Calc!$G$2:$G$157,MATCH($W53,Calc!$A$2:$A$157,0))&amp;" / "&amp;INDEX(Calc!$H$2:$H$157,MATCH($W53,Calc!$A$2:$A$157,0))</f>
        <v>Mirage / Ancient</v>
      </c>
      <c r="U53" s="4" t="str">
        <f t="array" ref="U53">TEXT(INDEX(Calc!$J$2:$J$157,MATCH($W53,Calc!$A$2:$A$157,0)),"0.0")&amp;" / "&amp;TEXT(INDEX(Calc!$K$2:$K$157,MATCH($W53,Calc!$A$2:$A$157,0)),"0.0")</f>
        <v>21.4 / 21.3</v>
      </c>
      <c r="V53" s="4" t="str">
        <f t="array" ref="V53">IFERROR(INDEX(Calc!$AQ$2:$AQ$157,MATCH($W53,Calc!$A$2:$A$157,0)),"")</f>
        <v/>
      </c>
      <c r="W53" s="4" t="s">
        <v>3145</v>
      </c>
      <c r="X53" s="4" t="s">
        <v>926</v>
      </c>
      <c r="Y53" s="4" t="str">
        <f t="shared" si="4"/>
        <v>kgpnwz42wxtq29r|CS2 · BB vs LGC|K12</v>
      </c>
      <c r="Z53" s="12">
        <f t="array" ref="Z53">IFERROR(INDEX(CHOOSE(MATCH($X53,{"K1","K2","K3","K12","K13","H1","H2","H3","H12","H13"},0),Calc!$BA$2:$BA$157,Calc!$BB$2:$BB$157,Calc!$BC$2:$BC$157,Calc!$BD$2:$BD$157,Calc!$BE$2:$BE$157,Calc!$BF$2:$BF$157,Calc!$BG$2:$BG$157,Calc!$BH$2:$BH$157,Calc!$BI$2:$BI$157,Calc!$BJ$2:$BJ$157),MATCH($W53,Calc!$A$2:$A$157,0)),"")</f>
        <v>28.08695913</v>
      </c>
      <c r="AA53" s="12">
        <f t="array" ref="AA53">IF(Z53="","",IF(LEFT($X53,1)="H",SQRT(Z53*(IFERROR(INDEX(Calc!$AP$2:$AP$157,MATCH($W53,Calc!$A$2:$A$157,0)),0.5)*Config!$B$5+1-IFERROR(INDEX(Calc!$AP$2:$AP$157,MATCH($W53,Calc!$A$2:$A$157,0)),0.5))),SQRT(Z53*Config!$B$5)))</f>
        <v>6.270705126</v>
      </c>
      <c r="AB53" s="11">
        <f t="shared" si="5"/>
        <v>0.4737413276</v>
      </c>
      <c r="AC53" s="11">
        <f t="shared" si="6"/>
        <v>0.5262586724</v>
      </c>
      <c r="AD53" s="4" t="str">
        <f>IF(AB53="","",IF(AB53&gt;=0.5+Config!$B$6,"OVER",IF(AC53&gt;=0.5+Config!$B$6,"UNDER","—")))</f>
        <v>—</v>
      </c>
      <c r="AE53" s="18">
        <f t="shared" si="7"/>
        <v>0.9829679257</v>
      </c>
    </row>
    <row r="54" ht="15.75" customHeight="1">
      <c r="A54" s="4" t="s">
        <v>86</v>
      </c>
      <c r="B54" s="4" t="s">
        <v>1709</v>
      </c>
      <c r="C54" s="4" t="s">
        <v>1304</v>
      </c>
      <c r="D54" s="4" t="s">
        <v>1297</v>
      </c>
      <c r="E54" s="4" t="s">
        <v>370</v>
      </c>
      <c r="F54" s="4">
        <v>15.5</v>
      </c>
      <c r="G54" s="12">
        <f t="array" ref="G54">IFERROR(INDEX(CHOOSE(MATCH($X54,{"K1","K2","K3","K12","K13","H1","H2","H3","H12","H13"},0),Calc!$V$2:$V$157,Calc!$AC$2:$AC$157,Calc!$AJ$2:$AJ$157,Calc!$AL$2:$AL$157,Calc!$AM$2:$AM$157,Calc!$W$2:$W$157,Calc!$AD$2:$AD$157,Calc!$AK$2:$AK$157,Calc!$AN$2:$AN$157,Calc!$AO$2:$AO$157),MATCH($W54,Calc!$A$2:$A$157,0)),"")</f>
        <v>17.8127932</v>
      </c>
      <c r="H54" s="12">
        <f t="array" ref="H54">IF(G54="","",IF(LEFT($X54,1)="H",SQRT(G54*(IFERROR(INDEX(Calc!$AP$2:$AP$157,MATCH($W54,Calc!$A$2:$A$157,0)),0.5)*Config!$B$5+1-IFERROR(INDEX(Calc!$AP$2:$AP$157,MATCH($W54,Calc!$A$2:$A$157,0)),0.5))),SQRT(G54*Config!$B$5)))</f>
        <v>4.653486449</v>
      </c>
      <c r="I54" s="11">
        <f t="shared" si="1"/>
        <v>0.6904062653</v>
      </c>
      <c r="J54" s="11">
        <f t="shared" si="2"/>
        <v>0.3095937347</v>
      </c>
      <c r="K54" s="11">
        <f t="shared" si="3"/>
        <v>0</v>
      </c>
      <c r="L54" s="4" t="str">
        <f>IF(I54="","",IF(I54&gt;=0.5+Config!$B$6,"OVER",IF(J54&gt;=0.5+Config!$B$6,"UNDER","—")))</f>
        <v>OVER</v>
      </c>
      <c r="N54" s="4">
        <v>16.8</v>
      </c>
      <c r="O54" s="11">
        <v>0.4</v>
      </c>
      <c r="P54" s="11">
        <v>0.6</v>
      </c>
      <c r="Q54" s="11">
        <v>0.6</v>
      </c>
      <c r="R54" s="4" t="s">
        <v>1729</v>
      </c>
      <c r="S54" s="4">
        <v>-1.0</v>
      </c>
      <c r="T54" s="4" t="str">
        <f t="array" ref="T54">INDEX(Calc!$G$2:$G$157,MATCH($W54,Calc!$A$2:$A$157,0))&amp;" / "&amp;INDEX(Calc!$H$2:$H$157,MATCH($W54,Calc!$A$2:$A$157,0))</f>
        <v>Mirage / Ancient</v>
      </c>
      <c r="U54" s="4" t="str">
        <f t="array" ref="U54">TEXT(INDEX(Calc!$J$2:$J$157,MATCH($W54,Calc!$A$2:$A$157,0)),"0.0")&amp;" / "&amp;TEXT(INDEX(Calc!$K$2:$K$157,MATCH($W54,Calc!$A$2:$A$157,0)),"0.0")</f>
        <v>21.4 / 21.3</v>
      </c>
      <c r="V54" s="4" t="str">
        <f t="array" ref="V54">IFERROR(INDEX(Calc!$AQ$2:$AQ$157,MATCH($W54,Calc!$A$2:$A$157,0)),"")</f>
        <v/>
      </c>
      <c r="W54" s="4" t="s">
        <v>3146</v>
      </c>
      <c r="X54" s="4" t="s">
        <v>634</v>
      </c>
      <c r="Y54" s="4" t="str">
        <f t="shared" si="4"/>
        <v>w2jejpg0j9hthoo|CS2 · BB vs LGC|H12</v>
      </c>
      <c r="Z54" s="12">
        <f t="array" ref="Z54">IFERROR(INDEX(CHOOSE(MATCH($X54,{"K1","K2","K3","K12","K13","H1","H2","H3","H12","H13"},0),Calc!$BA$2:$BA$157,Calc!$BB$2:$BB$157,Calc!$BC$2:$BC$157,Calc!$BD$2:$BD$157,Calc!$BE$2:$BE$157,Calc!$BF$2:$BF$157,Calc!$BG$2:$BG$157,Calc!$BH$2:$BH$157,Calc!$BI$2:$BI$157,Calc!$BJ$2:$BJ$157),MATCH($W54,Calc!$A$2:$A$157,0)),"")</f>
        <v>17.55496765</v>
      </c>
      <c r="AA54" s="12">
        <f t="array" ref="AA54">IF(Z54="","",IF(LEFT($X54,1)="H",SQRT(Z54*(IFERROR(INDEX(Calc!$AP$2:$AP$157,MATCH($W54,Calc!$A$2:$A$157,0)),0.5)*Config!$B$5+1-IFERROR(INDEX(Calc!$AP$2:$AP$157,MATCH($W54,Calc!$A$2:$A$157,0)),0.5))),SQRT(Z54*Config!$B$5)))</f>
        <v>4.619685996</v>
      </c>
      <c r="AB54" s="11">
        <f t="shared" si="5"/>
        <v>0.6717781246</v>
      </c>
      <c r="AC54" s="11">
        <f t="shared" si="6"/>
        <v>0.3282218754</v>
      </c>
      <c r="AD54" s="4" t="str">
        <f>IF(AB54="","",IF(AB54&gt;=0.5+Config!$B$6,"OVER",IF(AC54&gt;=0.5+Config!$B$6,"UNDER","—")))</f>
        <v>OVER</v>
      </c>
      <c r="AE54" s="18">
        <f t="shared" si="7"/>
        <v>0.9855258209</v>
      </c>
    </row>
    <row r="55" ht="15.75" customHeight="1">
      <c r="A55" s="4" t="s">
        <v>86</v>
      </c>
      <c r="B55" s="4" t="s">
        <v>1709</v>
      </c>
      <c r="C55" s="4" t="s">
        <v>1304</v>
      </c>
      <c r="D55" s="4" t="s">
        <v>1297</v>
      </c>
      <c r="E55" s="4" t="s">
        <v>772</v>
      </c>
      <c r="F55" s="4">
        <v>29.0</v>
      </c>
      <c r="G55" s="12">
        <f t="array" ref="G55">IFERROR(INDEX(CHOOSE(MATCH($X55,{"K1","K2","K3","K12","K13","H1","H2","H3","H12","H13"},0),Calc!$V$2:$V$157,Calc!$AC$2:$AC$157,Calc!$AJ$2:$AJ$157,Calc!$AL$2:$AL$157,Calc!$AM$2:$AM$157,Calc!$W$2:$W$157,Calc!$AD$2:$AD$157,Calc!$AK$2:$AK$157,Calc!$AN$2:$AN$157,Calc!$AO$2:$AO$157),MATCH($W55,Calc!$A$2:$A$157,0)),"")</f>
        <v>33.03319091</v>
      </c>
      <c r="H55" s="12">
        <f t="array" ref="H55">IF(G55="","",IF(LEFT($X55,1)="H",SQRT(G55*(IFERROR(INDEX(Calc!$AP$2:$AP$157,MATCH($W55,Calc!$A$2:$A$157,0)),0.5)*Config!$B$5+1-IFERROR(INDEX(Calc!$AP$2:$AP$157,MATCH($W55,Calc!$A$2:$A$157,0)),0.5))),SQRT(G55*Config!$B$5)))</f>
        <v>6.800475518</v>
      </c>
      <c r="I55" s="11">
        <f t="shared" si="1"/>
        <v>0.69831157</v>
      </c>
      <c r="J55" s="11">
        <f t="shared" si="2"/>
        <v>0.2525141198</v>
      </c>
      <c r="K55" s="11">
        <f t="shared" si="3"/>
        <v>0.04917431023</v>
      </c>
      <c r="L55" s="4" t="str">
        <f>IF(I55="","",IF(I55&gt;=0.5+Config!$B$6,"OVER",IF(J55&gt;=0.5+Config!$B$6,"UNDER","—")))</f>
        <v>OVER</v>
      </c>
      <c r="M55" s="4">
        <v>30.4</v>
      </c>
      <c r="N55" s="4">
        <v>32.9</v>
      </c>
      <c r="O55" s="11">
        <v>0.6</v>
      </c>
      <c r="P55" s="11">
        <v>0.7</v>
      </c>
      <c r="Q55" s="11">
        <v>0.6</v>
      </c>
      <c r="R55" s="4" t="s">
        <v>1729</v>
      </c>
      <c r="S55" s="4">
        <v>-1.0</v>
      </c>
      <c r="T55" s="4" t="str">
        <f t="array" ref="T55">INDEX(Calc!$G$2:$G$157,MATCH($W55,Calc!$A$2:$A$157,0))&amp;" / "&amp;INDEX(Calc!$H$2:$H$157,MATCH($W55,Calc!$A$2:$A$157,0))</f>
        <v>Mirage / Ancient</v>
      </c>
      <c r="U55" s="4" t="str">
        <f t="array" ref="U55">TEXT(INDEX(Calc!$J$2:$J$157,MATCH($W55,Calc!$A$2:$A$157,0)),"0.0")&amp;" / "&amp;TEXT(INDEX(Calc!$K$2:$K$157,MATCH($W55,Calc!$A$2:$A$157,0)),"0.0")</f>
        <v>21.4 / 21.3</v>
      </c>
      <c r="V55" s="4" t="str">
        <f t="array" ref="V55">IFERROR(INDEX(Calc!$AQ$2:$AQ$157,MATCH($W55,Calc!$A$2:$A$157,0)),"")</f>
        <v/>
      </c>
      <c r="W55" s="4" t="s">
        <v>3146</v>
      </c>
      <c r="X55" s="4" t="s">
        <v>926</v>
      </c>
      <c r="Y55" s="4" t="str">
        <f t="shared" si="4"/>
        <v>w2jejpg0j9hthoo|CS2 · BB vs LGC|K12</v>
      </c>
      <c r="Z55" s="12">
        <f t="array" ref="Z55">IFERROR(INDEX(CHOOSE(MATCH($X55,{"K1","K2","K3","K12","K13","H1","H2","H3","H12","H13"},0),Calc!$BA$2:$BA$157,Calc!$BB$2:$BB$157,Calc!$BC$2:$BC$157,Calc!$BD$2:$BD$157,Calc!$BE$2:$BE$157,Calc!$BF$2:$BF$157,Calc!$BG$2:$BG$157,Calc!$BH$2:$BH$157,Calc!$BI$2:$BI$157,Calc!$BJ$2:$BJ$157),MATCH($W55,Calc!$A$2:$A$157,0)),"")</f>
        <v>32.60105157</v>
      </c>
      <c r="AA55" s="12">
        <f t="array" ref="AA55">IF(Z55="","",IF(LEFT($X55,1)="H",SQRT(Z55*(IFERROR(INDEX(Calc!$AP$2:$AP$157,MATCH($W55,Calc!$A$2:$A$157,0)),0.5)*Config!$B$5+1-IFERROR(INDEX(Calc!$AP$2:$AP$157,MATCH($W55,Calc!$A$2:$A$157,0)),0.5))),SQRT(Z55*Config!$B$5)))</f>
        <v>6.755847259</v>
      </c>
      <c r="AB55" s="11">
        <f t="shared" si="5"/>
        <v>0.676889171</v>
      </c>
      <c r="AC55" s="11">
        <f t="shared" si="6"/>
        <v>0.2719130653</v>
      </c>
      <c r="AD55" s="4" t="str">
        <f>IF(AB55="","",IF(AB55&gt;=0.5+Config!$B$6,"OVER",IF(AC55&gt;=0.5+Config!$B$6,"UNDER","—")))</f>
        <v>OVER</v>
      </c>
      <c r="AE55" s="18">
        <f t="shared" si="7"/>
        <v>0.986918026</v>
      </c>
    </row>
    <row r="56" ht="15.75" customHeight="1">
      <c r="A56" s="4" t="s">
        <v>86</v>
      </c>
      <c r="B56" s="4" t="s">
        <v>1709</v>
      </c>
      <c r="C56" s="4" t="s">
        <v>1307</v>
      </c>
      <c r="D56" s="4" t="s">
        <v>1297</v>
      </c>
      <c r="E56" s="4" t="s">
        <v>370</v>
      </c>
      <c r="F56" s="4">
        <v>15.5</v>
      </c>
      <c r="G56" s="12">
        <f t="array" ref="G56">IFERROR(INDEX(CHOOSE(MATCH($X56,{"K1","K2","K3","K12","K13","H1","H2","H3","H12","H13"},0),Calc!$V$2:$V$157,Calc!$AC$2:$AC$157,Calc!$AJ$2:$AJ$157,Calc!$AL$2:$AL$157,Calc!$AM$2:$AM$157,Calc!$W$2:$W$157,Calc!$AD$2:$AD$157,Calc!$AK$2:$AK$157,Calc!$AN$2:$AN$157,Calc!$AO$2:$AO$157),MATCH($W56,Calc!$A$2:$A$157,0)),"")</f>
        <v>14.80329575</v>
      </c>
      <c r="H56" s="12">
        <f t="array" ref="H56">IF(G56="","",IF(LEFT($X56,1)="H",SQRT(G56*(IFERROR(INDEX(Calc!$AP$2:$AP$157,MATCH($W56,Calc!$A$2:$A$157,0)),0.5)*Config!$B$5+1-IFERROR(INDEX(Calc!$AP$2:$AP$157,MATCH($W56,Calc!$A$2:$A$157,0)),0.5))),SQRT(G56*Config!$B$5)))</f>
        <v>4.261752775</v>
      </c>
      <c r="I56" s="11">
        <f t="shared" si="1"/>
        <v>0.4350709148</v>
      </c>
      <c r="J56" s="11">
        <f t="shared" si="2"/>
        <v>0.5649290852</v>
      </c>
      <c r="K56" s="11">
        <f t="shared" si="3"/>
        <v>0</v>
      </c>
      <c r="L56" s="4" t="str">
        <f>IF(I56="","",IF(I56&gt;=0.5+Config!$B$6,"OVER",IF(J56&gt;=0.5+Config!$B$6,"UNDER","—")))</f>
        <v>UNDER</v>
      </c>
      <c r="N56" s="4">
        <v>16.1</v>
      </c>
      <c r="O56" s="11">
        <v>0.4</v>
      </c>
      <c r="P56" s="11">
        <v>0.5</v>
      </c>
      <c r="Q56" s="11">
        <v>0.47</v>
      </c>
      <c r="R56" s="4" t="s">
        <v>1729</v>
      </c>
      <c r="S56" s="4">
        <v>1.0</v>
      </c>
      <c r="T56" s="4" t="str">
        <f t="array" ref="T56">INDEX(Calc!$G$2:$G$157,MATCH($W56,Calc!$A$2:$A$157,0))&amp;" / "&amp;INDEX(Calc!$H$2:$H$157,MATCH($W56,Calc!$A$2:$A$157,0))</f>
        <v>Mirage / Ancient</v>
      </c>
      <c r="U56" s="4" t="str">
        <f t="array" ref="U56">TEXT(INDEX(Calc!$J$2:$J$157,MATCH($W56,Calc!$A$2:$A$157,0)),"0.0")&amp;" / "&amp;TEXT(INDEX(Calc!$K$2:$K$157,MATCH($W56,Calc!$A$2:$A$157,0)),"0.0")</f>
        <v>21.4 / 21.3</v>
      </c>
      <c r="V56" s="4" t="str">
        <f t="array" ref="V56">IFERROR(INDEX(Calc!$AQ$2:$AQ$157,MATCH($W56,Calc!$A$2:$A$157,0)),"")</f>
        <v/>
      </c>
      <c r="W56" s="4" t="s">
        <v>3147</v>
      </c>
      <c r="X56" s="4" t="s">
        <v>634</v>
      </c>
      <c r="Y56" s="4" t="str">
        <f t="shared" si="4"/>
        <v>bn3mlvy0cst11z3|CS2 · BB vs LGC|H12</v>
      </c>
      <c r="Z56" s="12">
        <f t="array" ref="Z56">IFERROR(INDEX(CHOOSE(MATCH($X56,{"K1","K2","K3","K12","K13","H1","H2","H3","H12","H13"},0),Calc!$BA$2:$BA$157,Calc!$BB$2:$BB$157,Calc!$BC$2:$BC$157,Calc!$BD$2:$BD$157,Calc!$BE$2:$BE$157,Calc!$BF$2:$BF$157,Calc!$BG$2:$BG$157,Calc!$BH$2:$BH$157,Calc!$BI$2:$BI$157,Calc!$BJ$2:$BJ$157),MATCH($W56,Calc!$A$2:$A$157,0)),"")</f>
        <v>14.58948495</v>
      </c>
      <c r="AA56" s="12">
        <f t="array" ref="AA56">IF(Z56="","",IF(LEFT($X56,1)="H",SQRT(Z56*(IFERROR(INDEX(Calc!$AP$2:$AP$157,MATCH($W56,Calc!$A$2:$A$157,0)),0.5)*Config!$B$5+1-IFERROR(INDEX(Calc!$AP$2:$AP$157,MATCH($W56,Calc!$A$2:$A$157,0)),0.5))),SQRT(Z56*Config!$B$5)))</f>
        <v>4.230863606</v>
      </c>
      <c r="AB56" s="11">
        <f t="shared" si="5"/>
        <v>0.4148026362</v>
      </c>
      <c r="AC56" s="11">
        <f t="shared" si="6"/>
        <v>0.5851973638</v>
      </c>
      <c r="AD56" s="4" t="str">
        <f>IF(AB56="","",IF(AB56&gt;=0.5+Config!$B$6,"OVER",IF(AC56&gt;=0.5+Config!$B$6,"UNDER","—")))</f>
        <v>UNDER</v>
      </c>
      <c r="AE56" s="18">
        <f t="shared" si="7"/>
        <v>0.9855565405</v>
      </c>
    </row>
    <row r="57" ht="15.75" customHeight="1">
      <c r="A57" s="4" t="s">
        <v>86</v>
      </c>
      <c r="B57" s="4" t="s">
        <v>1709</v>
      </c>
      <c r="C57" s="4" t="s">
        <v>1307</v>
      </c>
      <c r="D57" s="4" t="s">
        <v>1297</v>
      </c>
      <c r="E57" s="4" t="s">
        <v>772</v>
      </c>
      <c r="F57" s="4">
        <v>27.0</v>
      </c>
      <c r="G57" s="12">
        <f t="array" ref="G57">IFERROR(INDEX(CHOOSE(MATCH($X57,{"K1","K2","K3","K12","K13","H1","H2","H3","H12","H13"},0),Calc!$V$2:$V$157,Calc!$AC$2:$AC$157,Calc!$AJ$2:$AJ$157,Calc!$AL$2:$AL$157,Calc!$AM$2:$AM$157,Calc!$W$2:$W$157,Calc!$AD$2:$AD$157,Calc!$AK$2:$AK$157,Calc!$AN$2:$AN$157,Calc!$AO$2:$AO$157),MATCH($W57,Calc!$A$2:$A$157,0)),"")</f>
        <v>26.0937</v>
      </c>
      <c r="H57" s="12">
        <f t="array" ref="H57">IF(G57="","",IF(LEFT($X57,1)="H",SQRT(G57*(IFERROR(INDEX(Calc!$AP$2:$AP$157,MATCH($W57,Calc!$A$2:$A$157,0)),0.5)*Config!$B$5+1-IFERROR(INDEX(Calc!$AP$2:$AP$157,MATCH($W57,Calc!$A$2:$A$157,0)),0.5))),SQRT(G57*Config!$B$5)))</f>
        <v>6.044102911</v>
      </c>
      <c r="I57" s="11">
        <f t="shared" si="1"/>
        <v>0.4080076399</v>
      </c>
      <c r="J57" s="11">
        <f t="shared" si="2"/>
        <v>0.5267977326</v>
      </c>
      <c r="K57" s="11">
        <f t="shared" si="3"/>
        <v>0.0651946275</v>
      </c>
      <c r="L57" s="4" t="str">
        <f>IF(I57="","",IF(I57&gt;=0.5+Config!$B$6,"OVER",IF(J57&gt;=0.5+Config!$B$6,"UNDER","—")))</f>
        <v>—</v>
      </c>
      <c r="M57" s="4">
        <v>26.29</v>
      </c>
      <c r="N57" s="4">
        <v>29.1</v>
      </c>
      <c r="O57" s="11">
        <v>0.4</v>
      </c>
      <c r="P57" s="11">
        <v>0.6</v>
      </c>
      <c r="Q57" s="11">
        <v>0.47</v>
      </c>
      <c r="R57" s="4" t="s">
        <v>1729</v>
      </c>
      <c r="S57" s="4">
        <v>1.0</v>
      </c>
      <c r="T57" s="4" t="str">
        <f t="array" ref="T57">INDEX(Calc!$G$2:$G$157,MATCH($W57,Calc!$A$2:$A$157,0))&amp;" / "&amp;INDEX(Calc!$H$2:$H$157,MATCH($W57,Calc!$A$2:$A$157,0))</f>
        <v>Mirage / Ancient</v>
      </c>
      <c r="U57" s="4" t="str">
        <f t="array" ref="U57">TEXT(INDEX(Calc!$J$2:$J$157,MATCH($W57,Calc!$A$2:$A$157,0)),"0.0")&amp;" / "&amp;TEXT(INDEX(Calc!$K$2:$K$157,MATCH($W57,Calc!$A$2:$A$157,0)),"0.0")</f>
        <v>21.4 / 21.3</v>
      </c>
      <c r="V57" s="4" t="str">
        <f t="array" ref="V57">IFERROR(INDEX(Calc!$AQ$2:$AQ$157,MATCH($W57,Calc!$A$2:$A$157,0)),"")</f>
        <v/>
      </c>
      <c r="W57" s="4" t="s">
        <v>3147</v>
      </c>
      <c r="X57" s="4" t="s">
        <v>926</v>
      </c>
      <c r="Y57" s="4" t="str">
        <f t="shared" si="4"/>
        <v>bn3mlvy0cst11z3|CS2 · BB vs LGC|K12</v>
      </c>
      <c r="Z57" s="12">
        <f t="array" ref="Z57">IFERROR(INDEX(CHOOSE(MATCH($X57,{"K1","K2","K3","K12","K13","H1","H2","H3","H12","H13"},0),Calc!$BA$2:$BA$157,Calc!$BB$2:$BB$157,Calc!$BC$2:$BC$157,Calc!$BD$2:$BD$157,Calc!$BE$2:$BE$157,Calc!$BF$2:$BF$157,Calc!$BG$2:$BG$157,Calc!$BH$2:$BH$157,Calc!$BI$2:$BI$157,Calc!$BJ$2:$BJ$157),MATCH($W57,Calc!$A$2:$A$157,0)),"")</f>
        <v>25.67653556</v>
      </c>
      <c r="AA57" s="12">
        <f t="array" ref="AA57">IF(Z57="","",IF(LEFT($X57,1)="H",SQRT(Z57*(IFERROR(INDEX(Calc!$AP$2:$AP$157,MATCH($W57,Calc!$A$2:$A$157,0)),0.5)*Config!$B$5+1-IFERROR(INDEX(Calc!$AP$2:$AP$157,MATCH($W57,Calc!$A$2:$A$157,0)),0.5))),SQRT(Z57*Config!$B$5)))</f>
        <v>5.995594198</v>
      </c>
      <c r="AB57" s="11">
        <f t="shared" si="5"/>
        <v>0.3805128775</v>
      </c>
      <c r="AC57" s="11">
        <f t="shared" si="6"/>
        <v>0.5546209192</v>
      </c>
      <c r="AD57" s="4" t="str">
        <f>IF(AB57="","",IF(AB57&gt;=0.5+Config!$B$6,"OVER",IF(AC57&gt;=0.5+Config!$B$6,"UNDER","—")))</f>
        <v>UNDER</v>
      </c>
      <c r="AE57" s="18">
        <f t="shared" si="7"/>
        <v>0.9840128293</v>
      </c>
    </row>
    <row r="58" ht="15.75" customHeight="1">
      <c r="A58" s="4" t="s">
        <v>86</v>
      </c>
      <c r="B58" s="4" t="s">
        <v>1709</v>
      </c>
      <c r="C58" s="4" t="s">
        <v>1310</v>
      </c>
      <c r="D58" s="4" t="s">
        <v>1297</v>
      </c>
      <c r="E58" s="4" t="s">
        <v>370</v>
      </c>
      <c r="F58" s="4">
        <v>9.0</v>
      </c>
      <c r="G58" s="12">
        <f t="array" ref="G58">IFERROR(INDEX(CHOOSE(MATCH($X58,{"K1","K2","K3","K12","K13","H1","H2","H3","H12","H13"},0),Calc!$V$2:$V$157,Calc!$AC$2:$AC$157,Calc!$AJ$2:$AJ$157,Calc!$AL$2:$AL$157,Calc!$AM$2:$AM$157,Calc!$W$2:$W$157,Calc!$AD$2:$AD$157,Calc!$AK$2:$AK$157,Calc!$AN$2:$AN$157,Calc!$AO$2:$AO$157),MATCH($W58,Calc!$A$2:$A$157,0)),"")</f>
        <v>9.560462419</v>
      </c>
      <c r="H58" s="12">
        <f t="array" ref="H58">IF(G58="","",IF(LEFT($X58,1)="H",SQRT(G58*(IFERROR(INDEX(Calc!$AP$2:$AP$157,MATCH($W58,Calc!$A$2:$A$157,0)),0.5)*Config!$B$5+1-IFERROR(INDEX(Calc!$AP$2:$AP$157,MATCH($W58,Calc!$A$2:$A$157,0)),0.5))),SQRT(G58*Config!$B$5)))</f>
        <v>3.297501947</v>
      </c>
      <c r="I58" s="11">
        <f t="shared" si="1"/>
        <v>0.5073145261</v>
      </c>
      <c r="J58" s="11">
        <f t="shared" si="2"/>
        <v>0.373879504</v>
      </c>
      <c r="K58" s="11">
        <f t="shared" si="3"/>
        <v>0.1188059699</v>
      </c>
      <c r="L58" s="4" t="str">
        <f>IF(I58="","",IF(I58&gt;=0.5+Config!$B$6,"OVER",IF(J58&gt;=0.5+Config!$B$6,"UNDER","—")))</f>
        <v>—</v>
      </c>
      <c r="N58" s="4">
        <v>9.6</v>
      </c>
      <c r="O58" s="11">
        <v>0.4</v>
      </c>
      <c r="P58" s="11">
        <v>0.5</v>
      </c>
      <c r="Q58" s="11">
        <v>0.53</v>
      </c>
      <c r="R58" s="4" t="s">
        <v>2203</v>
      </c>
      <c r="S58" s="4">
        <v>1.0</v>
      </c>
      <c r="T58" s="4" t="str">
        <f t="array" ref="T58">INDEX(Calc!$G$2:$G$157,MATCH($W58,Calc!$A$2:$A$157,0))&amp;" / "&amp;INDEX(Calc!$H$2:$H$157,MATCH($W58,Calc!$A$2:$A$157,0))</f>
        <v>Mirage / Ancient</v>
      </c>
      <c r="U58" s="4" t="str">
        <f t="array" ref="U58">TEXT(INDEX(Calc!$J$2:$J$157,MATCH($W58,Calc!$A$2:$A$157,0)),"0.0")&amp;" / "&amp;TEXT(INDEX(Calc!$K$2:$K$157,MATCH($W58,Calc!$A$2:$A$157,0)),"0.0")</f>
        <v>21.4 / 21.3</v>
      </c>
      <c r="V58" s="4" t="str">
        <f t="array" ref="V58">IFERROR(INDEX(Calc!$AQ$2:$AQ$157,MATCH($W58,Calc!$A$2:$A$157,0)),"")</f>
        <v/>
      </c>
      <c r="W58" s="4" t="s">
        <v>3148</v>
      </c>
      <c r="X58" s="4" t="s">
        <v>634</v>
      </c>
      <c r="Y58" s="4" t="str">
        <f t="shared" si="4"/>
        <v>c4m3zncm4mxvzoh|CS2 · BB vs LGC|H12</v>
      </c>
      <c r="Z58" s="12">
        <f t="array" ref="Z58">IFERROR(INDEX(CHOOSE(MATCH($X58,{"K1","K2","K3","K12","K13","H1","H2","H3","H12","H13"},0),Calc!$BA$2:$BA$157,Calc!$BB$2:$BB$157,Calc!$BC$2:$BC$157,Calc!$BD$2:$BD$157,Calc!$BE$2:$BE$157,Calc!$BF$2:$BF$157,Calc!$BG$2:$BG$157,Calc!$BH$2:$BH$157,Calc!$BI$2:$BI$157,Calc!$BJ$2:$BJ$157),MATCH($W58,Calc!$A$2:$A$157,0)),"")</f>
        <v>9.43498671</v>
      </c>
      <c r="AA58" s="12">
        <f t="array" ref="AA58">IF(Z58="","",IF(LEFT($X58,1)="H",SQRT(Z58*(IFERROR(INDEX(Calc!$AP$2:$AP$157,MATCH($W58,Calc!$A$2:$A$157,0)),0.5)*Config!$B$5+1-IFERROR(INDEX(Calc!$AP$2:$AP$157,MATCH($W58,Calc!$A$2:$A$157,0)),0.5))),SQRT(Z58*Config!$B$5)))</f>
        <v>3.275791545</v>
      </c>
      <c r="AB58" s="11">
        <f t="shared" si="5"/>
        <v>0.4920828761</v>
      </c>
      <c r="AC58" s="11">
        <f t="shared" si="6"/>
        <v>0.3876599905</v>
      </c>
      <c r="AD58" s="4" t="str">
        <f>IF(AB58="","",IF(AB58&gt;=0.5+Config!$B$6,"OVER",IF(AC58&gt;=0.5+Config!$B$6,"UNDER","—")))</f>
        <v>—</v>
      </c>
      <c r="AE58" s="18">
        <f t="shared" si="7"/>
        <v>0.9868755606</v>
      </c>
    </row>
    <row r="59" ht="15.75" customHeight="1">
      <c r="A59" s="4" t="s">
        <v>86</v>
      </c>
      <c r="B59" s="4" t="s">
        <v>1709</v>
      </c>
      <c r="C59" s="4" t="s">
        <v>1310</v>
      </c>
      <c r="D59" s="4" t="s">
        <v>1297</v>
      </c>
      <c r="E59" s="4" t="s">
        <v>772</v>
      </c>
      <c r="F59" s="4">
        <v>27.5</v>
      </c>
      <c r="G59" s="12">
        <f t="array" ref="G59">IFERROR(INDEX(CHOOSE(MATCH($X59,{"K1","K2","K3","K12","K13","H1","H2","H3","H12","H13"},0),Calc!$V$2:$V$157,Calc!$AC$2:$AC$157,Calc!$AJ$2:$AJ$157,Calc!$AL$2:$AL$157,Calc!$AM$2:$AM$157,Calc!$W$2:$W$157,Calc!$AD$2:$AD$157,Calc!$AK$2:$AK$157,Calc!$AN$2:$AN$157,Calc!$AO$2:$AO$157),MATCH($W59,Calc!$A$2:$A$157,0)),"")</f>
        <v>27.84417273</v>
      </c>
      <c r="H59" s="12">
        <f t="array" ref="H59">IF(G59="","",IF(LEFT($X59,1)="H",SQRT(G59*(IFERROR(INDEX(Calc!$AP$2:$AP$157,MATCH($W59,Calc!$A$2:$A$157,0)),0.5)*Config!$B$5+1-IFERROR(INDEX(Calc!$AP$2:$AP$157,MATCH($W59,Calc!$A$2:$A$157,0)),0.5))),SQRT(G59*Config!$B$5)))</f>
        <v>6.243544011</v>
      </c>
      <c r="I59" s="11">
        <f t="shared" si="1"/>
        <v>0.5219803922</v>
      </c>
      <c r="J59" s="11">
        <f t="shared" si="2"/>
        <v>0.4780196078</v>
      </c>
      <c r="K59" s="11">
        <f t="shared" si="3"/>
        <v>0</v>
      </c>
      <c r="L59" s="4" t="str">
        <f>IF(I59="","",IF(I59&gt;=0.5+Config!$B$6,"OVER",IF(J59&gt;=0.5+Config!$B$6,"UNDER","—")))</f>
        <v>—</v>
      </c>
      <c r="M59" s="4">
        <v>27.54</v>
      </c>
      <c r="N59" s="4">
        <v>29.8</v>
      </c>
      <c r="O59" s="11">
        <v>0.6</v>
      </c>
      <c r="P59" s="11">
        <v>0.6</v>
      </c>
      <c r="Q59" s="11">
        <v>0.53</v>
      </c>
      <c r="R59" s="4" t="s">
        <v>1729</v>
      </c>
      <c r="S59" s="4">
        <v>1.0</v>
      </c>
      <c r="T59" s="4" t="str">
        <f t="array" ref="T59">INDEX(Calc!$G$2:$G$157,MATCH($W59,Calc!$A$2:$A$157,0))&amp;" / "&amp;INDEX(Calc!$H$2:$H$157,MATCH($W59,Calc!$A$2:$A$157,0))</f>
        <v>Mirage / Ancient</v>
      </c>
      <c r="U59" s="4" t="str">
        <f t="array" ref="U59">TEXT(INDEX(Calc!$J$2:$J$157,MATCH($W59,Calc!$A$2:$A$157,0)),"0.0")&amp;" / "&amp;TEXT(INDEX(Calc!$K$2:$K$157,MATCH($W59,Calc!$A$2:$A$157,0)),"0.0")</f>
        <v>21.4 / 21.3</v>
      </c>
      <c r="V59" s="4" t="str">
        <f t="array" ref="V59">IFERROR(INDEX(Calc!$AQ$2:$AQ$157,MATCH($W59,Calc!$A$2:$A$157,0)),"")</f>
        <v/>
      </c>
      <c r="W59" s="4" t="s">
        <v>3148</v>
      </c>
      <c r="X59" s="4" t="s">
        <v>926</v>
      </c>
      <c r="Y59" s="4" t="str">
        <f t="shared" si="4"/>
        <v>c4m3zncm4mxvzoh|CS2 · BB vs LGC|K12</v>
      </c>
      <c r="Z59" s="12">
        <f t="array" ref="Z59">IFERROR(INDEX(CHOOSE(MATCH($X59,{"K1","K2","K3","K12","K13","H1","H2","H3","H12","H13"},0),Calc!$BA$2:$BA$157,Calc!$BB$2:$BB$157,Calc!$BC$2:$BC$157,Calc!$BD$2:$BD$157,Calc!$BE$2:$BE$157,Calc!$BF$2:$BF$157,Calc!$BG$2:$BG$157,Calc!$BH$2:$BH$157,Calc!$BI$2:$BI$157,Calc!$BJ$2:$BJ$157),MATCH($W59,Calc!$A$2:$A$157,0)),"")</f>
        <v>27.46172222</v>
      </c>
      <c r="AA59" s="12">
        <f t="array" ref="AA59">IF(Z59="","",IF(LEFT($X59,1)="H",SQRT(Z59*(IFERROR(INDEX(Calc!$AP$2:$AP$157,MATCH($W59,Calc!$A$2:$A$157,0)),0.5)*Config!$B$5+1-IFERROR(INDEX(Calc!$AP$2:$AP$157,MATCH($W59,Calc!$A$2:$A$157,0)),0.5))),SQRT(Z59*Config!$B$5)))</f>
        <v>6.200517004</v>
      </c>
      <c r="AB59" s="11">
        <f t="shared" si="5"/>
        <v>0.4975372173</v>
      </c>
      <c r="AC59" s="11">
        <f t="shared" si="6"/>
        <v>0.5024627827</v>
      </c>
      <c r="AD59" s="4" t="str">
        <f>IF(AB59="","",IF(AB59&gt;=0.5+Config!$B$6,"OVER",IF(AC59&gt;=0.5+Config!$B$6,"UNDER","—")))</f>
        <v>—</v>
      </c>
      <c r="AE59" s="18">
        <f t="shared" si="7"/>
        <v>0.9862646125</v>
      </c>
    </row>
    <row r="60" ht="15.75" customHeight="1">
      <c r="A60" s="4" t="s">
        <v>86</v>
      </c>
      <c r="B60" s="4" t="s">
        <v>1709</v>
      </c>
      <c r="C60" s="4" t="s">
        <v>1437</v>
      </c>
      <c r="D60" s="4" t="s">
        <v>1438</v>
      </c>
      <c r="E60" s="4" t="s">
        <v>370</v>
      </c>
      <c r="F60" s="4">
        <v>12.0</v>
      </c>
      <c r="G60" s="12">
        <f t="array" ref="G60">IFERROR(INDEX(CHOOSE(MATCH($X60,{"K1","K2","K3","K12","K13","H1","H2","H3","H12","H13"},0),Calc!$V$2:$V$157,Calc!$AC$2:$AC$157,Calc!$AJ$2:$AJ$157,Calc!$AL$2:$AL$157,Calc!$AM$2:$AM$157,Calc!$W$2:$W$157,Calc!$AD$2:$AD$157,Calc!$AK$2:$AK$157,Calc!$AN$2:$AN$157,Calc!$AO$2:$AO$157),MATCH($W60,Calc!$A$2:$A$157,0)),"")</f>
        <v>10.87419584</v>
      </c>
      <c r="H60" s="12">
        <f t="array" ref="H60">IF(G60="","",IF(LEFT($X60,1)="H",SQRT(G60*(IFERROR(INDEX(Calc!$AP$2:$AP$157,MATCH($W60,Calc!$A$2:$A$157,0)),0.5)*Config!$B$5+1-IFERROR(INDEX(Calc!$AP$2:$AP$157,MATCH($W60,Calc!$A$2:$A$157,0)),0.5))),SQRT(G60*Config!$B$5)))</f>
        <v>3.586095791</v>
      </c>
      <c r="I60" s="11">
        <f t="shared" si="1"/>
        <v>0.3251435859</v>
      </c>
      <c r="J60" s="11">
        <f t="shared" si="2"/>
        <v>0.56926707</v>
      </c>
      <c r="K60" s="11">
        <f t="shared" si="3"/>
        <v>0.1055893442</v>
      </c>
      <c r="L60" s="4" t="str">
        <f>IF(I60="","",IF(I60&gt;=0.5+Config!$B$6,"OVER",IF(J60&gt;=0.5+Config!$B$6,"UNDER","—")))</f>
        <v>UNDER</v>
      </c>
      <c r="N60" s="4">
        <v>11.9</v>
      </c>
      <c r="O60" s="11">
        <v>0.4</v>
      </c>
      <c r="P60" s="11">
        <v>0.6</v>
      </c>
      <c r="Q60" s="11">
        <v>0.6</v>
      </c>
      <c r="R60" s="4" t="s">
        <v>2203</v>
      </c>
      <c r="S60" s="4">
        <v>-1.0</v>
      </c>
      <c r="T60" s="4" t="str">
        <f t="array" ref="T60">INDEX(Calc!$G$2:$G$157,MATCH($W60,Calc!$A$2:$A$157,0))&amp;" / "&amp;INDEX(Calc!$H$2:$H$157,MATCH($W60,Calc!$A$2:$A$157,0))</f>
        <v>Mirage / Ancient</v>
      </c>
      <c r="U60" s="4" t="str">
        <f t="array" ref="U60">TEXT(INDEX(Calc!$J$2:$J$157,MATCH($W60,Calc!$A$2:$A$157,0)),"0.0")&amp;" / "&amp;TEXT(INDEX(Calc!$K$2:$K$157,MATCH($W60,Calc!$A$2:$A$157,0)),"0.0")</f>
        <v>21.4 / 21.3</v>
      </c>
      <c r="V60" s="4" t="str">
        <f t="array" ref="V60">IFERROR(INDEX(Calc!$AQ$2:$AQ$157,MATCH($W60,Calc!$A$2:$A$157,0)),"")</f>
        <v/>
      </c>
      <c r="W60" s="4" t="s">
        <v>3149</v>
      </c>
      <c r="X60" s="4" t="s">
        <v>634</v>
      </c>
      <c r="Y60" s="4" t="str">
        <f t="shared" si="4"/>
        <v>6ihem6avn05n11t|CS2 · BB vs LGC|H12</v>
      </c>
      <c r="Z60" s="12">
        <f t="array" ref="Z60">IFERROR(INDEX(CHOOSE(MATCH($X60,{"K1","K2","K3","K12","K13","H1","H2","H3","H12","H13"},0),Calc!$BA$2:$BA$157,Calc!$BB$2:$BB$157,Calc!$BC$2:$BC$157,Calc!$BD$2:$BD$157,Calc!$BE$2:$BE$157,Calc!$BF$2:$BF$157,Calc!$BG$2:$BG$157,Calc!$BH$2:$BH$157,Calc!$BI$2:$BI$157,Calc!$BJ$2:$BJ$157),MATCH($W60,Calc!$A$2:$A$157,0)),"")</f>
        <v>11.14824507</v>
      </c>
      <c r="AA60" s="12">
        <f t="array" ref="AA60">IF(Z60="","",IF(LEFT($X60,1)="H",SQRT(Z60*(IFERROR(INDEX(Calc!$AP$2:$AP$157,MATCH($W60,Calc!$A$2:$A$157,0)),0.5)*Config!$B$5+1-IFERROR(INDEX(Calc!$AP$2:$AP$157,MATCH($W60,Calc!$A$2:$A$157,0)),0.5))),SQRT(Z60*Config!$B$5)))</f>
        <v>3.631002639</v>
      </c>
      <c r="AB60" s="11">
        <f t="shared" si="5"/>
        <v>0.3548416543</v>
      </c>
      <c r="AC60" s="11">
        <f t="shared" si="6"/>
        <v>0.5385873378</v>
      </c>
      <c r="AD60" s="4" t="str">
        <f>IF(AB60="","",IF(AB60&gt;=0.5+Config!$B$6,"OVER",IF(AC60&gt;=0.5+Config!$B$6,"UNDER","—")))</f>
        <v>—</v>
      </c>
      <c r="AE60" s="18">
        <f t="shared" si="7"/>
        <v>1.025201793</v>
      </c>
    </row>
    <row r="61" ht="15.75" customHeight="1">
      <c r="A61" s="4" t="s">
        <v>86</v>
      </c>
      <c r="B61" s="4" t="s">
        <v>1709</v>
      </c>
      <c r="C61" s="4" t="s">
        <v>1437</v>
      </c>
      <c r="D61" s="4" t="s">
        <v>1438</v>
      </c>
      <c r="E61" s="4" t="s">
        <v>772</v>
      </c>
      <c r="F61" s="4">
        <v>24.5</v>
      </c>
      <c r="G61" s="12">
        <f t="array" ref="G61">IFERROR(INDEX(CHOOSE(MATCH($X61,{"K1","K2","K3","K12","K13","H1","H2","H3","H12","H13"},0),Calc!$V$2:$V$157,Calc!$AC$2:$AC$157,Calc!$AJ$2:$AJ$157,Calc!$AL$2:$AL$157,Calc!$AM$2:$AM$157,Calc!$W$2:$W$157,Calc!$AD$2:$AD$157,Calc!$AK$2:$AK$157,Calc!$AN$2:$AN$157,Calc!$AO$2:$AO$157),MATCH($W61,Calc!$A$2:$A$157,0)),"")</f>
        <v>23.81769451</v>
      </c>
      <c r="H61" s="12">
        <f t="array" ref="H61">IF(G61="","",IF(LEFT($X61,1)="H",SQRT(G61*(IFERROR(INDEX(Calc!$AP$2:$AP$157,MATCH($W61,Calc!$A$2:$A$157,0)),0.5)*Config!$B$5+1-IFERROR(INDEX(Calc!$AP$2:$AP$157,MATCH($W61,Calc!$A$2:$A$157,0)),0.5))),SQRT(G61*Config!$B$5)))</f>
        <v>5.774493251</v>
      </c>
      <c r="I61" s="11">
        <f t="shared" si="1"/>
        <v>0.4529710336</v>
      </c>
      <c r="J61" s="11">
        <f t="shared" si="2"/>
        <v>0.5470289664</v>
      </c>
      <c r="K61" s="11">
        <f t="shared" si="3"/>
        <v>0</v>
      </c>
      <c r="L61" s="4" t="str">
        <f>IF(I61="","",IF(I61&gt;=0.5+Config!$B$6,"OVER",IF(J61&gt;=0.5+Config!$B$6,"UNDER","—")))</f>
        <v>UNDER</v>
      </c>
      <c r="M61" s="4">
        <v>24.84</v>
      </c>
      <c r="N61" s="4">
        <v>26.0</v>
      </c>
      <c r="O61" s="11">
        <v>0.8</v>
      </c>
      <c r="P61" s="11">
        <v>0.7</v>
      </c>
      <c r="Q61" s="11">
        <v>0.6</v>
      </c>
      <c r="R61" s="4" t="s">
        <v>2203</v>
      </c>
      <c r="S61" s="4">
        <v>1.0</v>
      </c>
      <c r="T61" s="4" t="str">
        <f t="array" ref="T61">INDEX(Calc!$G$2:$G$157,MATCH($W61,Calc!$A$2:$A$157,0))&amp;" / "&amp;INDEX(Calc!$H$2:$H$157,MATCH($W61,Calc!$A$2:$A$157,0))</f>
        <v>Mirage / Ancient</v>
      </c>
      <c r="U61" s="4" t="str">
        <f t="array" ref="U61">TEXT(INDEX(Calc!$J$2:$J$157,MATCH($W61,Calc!$A$2:$A$157,0)),"0.0")&amp;" / "&amp;TEXT(INDEX(Calc!$K$2:$K$157,MATCH($W61,Calc!$A$2:$A$157,0)),"0.0")</f>
        <v>21.4 / 21.3</v>
      </c>
      <c r="V61" s="4" t="str">
        <f t="array" ref="V61">IFERROR(INDEX(Calc!$AQ$2:$AQ$157,MATCH($W61,Calc!$A$2:$A$157,0)),"")</f>
        <v/>
      </c>
      <c r="W61" s="4" t="s">
        <v>3149</v>
      </c>
      <c r="X61" s="4" t="s">
        <v>926</v>
      </c>
      <c r="Y61" s="4" t="str">
        <f t="shared" si="4"/>
        <v>6ihem6avn05n11t|CS2 · BB vs LGC|K12</v>
      </c>
      <c r="Z61" s="12">
        <f t="array" ref="Z61">IFERROR(INDEX(CHOOSE(MATCH($X61,{"K1","K2","K3","K12","K13","H1","H2","H3","H12","H13"},0),Calc!$BA$2:$BA$157,Calc!$BB$2:$BB$157,Calc!$BC$2:$BC$157,Calc!$BD$2:$BD$157,Calc!$BE$2:$BE$157,Calc!$BF$2:$BF$157,Calc!$BG$2:$BG$157,Calc!$BH$2:$BH$157,Calc!$BI$2:$BI$157,Calc!$BJ$2:$BJ$157),MATCH($W61,Calc!$A$2:$A$157,0)),"")</f>
        <v>24.42162275</v>
      </c>
      <c r="AA61" s="12">
        <f t="array" ref="AA61">IF(Z61="","",IF(LEFT($X61,1)="H",SQRT(Z61*(IFERROR(INDEX(Calc!$AP$2:$AP$157,MATCH($W61,Calc!$A$2:$A$157,0)),0.5)*Config!$B$5+1-IFERROR(INDEX(Calc!$AP$2:$AP$157,MATCH($W61,Calc!$A$2:$A$157,0)),0.5))),SQRT(Z61*Config!$B$5)))</f>
        <v>5.847244808</v>
      </c>
      <c r="AB61" s="11">
        <f t="shared" si="5"/>
        <v>0.4946526844</v>
      </c>
      <c r="AC61" s="11">
        <f t="shared" si="6"/>
        <v>0.5053473156</v>
      </c>
      <c r="AD61" s="4" t="str">
        <f>IF(AB61="","",IF(AB61&gt;=0.5+Config!$B$6,"OVER",IF(AC61&gt;=0.5+Config!$B$6,"UNDER","—")))</f>
        <v>—</v>
      </c>
      <c r="AE61" s="18">
        <f t="shared" si="7"/>
        <v>1.025356285</v>
      </c>
    </row>
    <row r="62" ht="15.75" customHeight="1">
      <c r="A62" s="4" t="s">
        <v>86</v>
      </c>
      <c r="B62" s="4" t="s">
        <v>1709</v>
      </c>
      <c r="C62" s="4" t="s">
        <v>1442</v>
      </c>
      <c r="D62" s="4" t="s">
        <v>1438</v>
      </c>
      <c r="E62" s="4" t="s">
        <v>370</v>
      </c>
      <c r="F62" s="4">
        <v>14.0</v>
      </c>
      <c r="G62" s="12">
        <f t="array" ref="G62">IFERROR(INDEX(CHOOSE(MATCH($X62,{"K1","K2","K3","K12","K13","H1","H2","H3","H12","H13"},0),Calc!$V$2:$V$157,Calc!$AC$2:$AC$157,Calc!$AJ$2:$AJ$157,Calc!$AL$2:$AL$157,Calc!$AM$2:$AM$157,Calc!$W$2:$W$157,Calc!$AD$2:$AD$157,Calc!$AK$2:$AK$157,Calc!$AN$2:$AN$157,Calc!$AO$2:$AO$157),MATCH($W62,Calc!$A$2:$A$157,0)),"")</f>
        <v>14.74033709</v>
      </c>
      <c r="H62" s="12">
        <f t="array" ref="H62">IF(G62="","",IF(LEFT($X62,1)="H",SQRT(G62*(IFERROR(INDEX(Calc!$AP$2:$AP$157,MATCH($W62,Calc!$A$2:$A$157,0)),0.5)*Config!$B$5+1-IFERROR(INDEX(Calc!$AP$2:$AP$157,MATCH($W62,Calc!$A$2:$A$157,0)),0.5))),SQRT(G62*Config!$B$5)))</f>
        <v>4.186574623</v>
      </c>
      <c r="I62" s="11">
        <f t="shared" si="1"/>
        <v>0.5228893543</v>
      </c>
      <c r="J62" s="11">
        <f t="shared" si="2"/>
        <v>0.3835137142</v>
      </c>
      <c r="K62" s="11">
        <f t="shared" si="3"/>
        <v>0.09359693151</v>
      </c>
      <c r="L62" s="4" t="str">
        <f>IF(I62="","",IF(I62&gt;=0.5+Config!$B$6,"OVER",IF(J62&gt;=0.5+Config!$B$6,"UNDER","—")))</f>
        <v>—</v>
      </c>
      <c r="N62" s="4">
        <v>15.3</v>
      </c>
      <c r="O62" s="11">
        <v>0.8</v>
      </c>
      <c r="P62" s="11">
        <v>0.8</v>
      </c>
      <c r="Q62" s="11">
        <v>0.73</v>
      </c>
      <c r="R62" s="4" t="s">
        <v>2203</v>
      </c>
      <c r="S62" s="4">
        <v>3.0</v>
      </c>
      <c r="T62" s="4" t="str">
        <f t="array" ref="T62">INDEX(Calc!$G$2:$G$157,MATCH($W62,Calc!$A$2:$A$157,0))&amp;" / "&amp;INDEX(Calc!$H$2:$H$157,MATCH($W62,Calc!$A$2:$A$157,0))</f>
        <v>Mirage / Ancient</v>
      </c>
      <c r="U62" s="4" t="str">
        <f t="array" ref="U62">TEXT(INDEX(Calc!$J$2:$J$157,MATCH($W62,Calc!$A$2:$A$157,0)),"0.0")&amp;" / "&amp;TEXT(INDEX(Calc!$K$2:$K$157,MATCH($W62,Calc!$A$2:$A$157,0)),"0.0")</f>
        <v>21.4 / 21.3</v>
      </c>
      <c r="V62" s="4" t="str">
        <f t="array" ref="V62">IFERROR(INDEX(Calc!$AQ$2:$AQ$157,MATCH($W62,Calc!$A$2:$A$157,0)),"")</f>
        <v/>
      </c>
      <c r="W62" s="4" t="s">
        <v>3150</v>
      </c>
      <c r="X62" s="4" t="s">
        <v>634</v>
      </c>
      <c r="Y62" s="4" t="str">
        <f t="shared" si="4"/>
        <v>fegzpn598j6etni|CS2 · BB vs LGC|H12</v>
      </c>
      <c r="Z62" s="12">
        <f t="array" ref="Z62">IFERROR(INDEX(CHOOSE(MATCH($X62,{"K1","K2","K3","K12","K13","H1","H2","H3","H12","H13"},0),Calc!$BA$2:$BA$157,Calc!$BB$2:$BB$157,Calc!$BC$2:$BC$157,Calc!$BD$2:$BD$157,Calc!$BE$2:$BE$157,Calc!$BF$2:$BF$157,Calc!$BG$2:$BG$157,Calc!$BH$2:$BH$157,Calc!$BI$2:$BI$157,Calc!$BJ$2:$BJ$157),MATCH($W62,Calc!$A$2:$A$157,0)),"")</f>
        <v>15.10567581</v>
      </c>
      <c r="AA62" s="12">
        <f t="array" ref="AA62">IF(Z62="","",IF(LEFT($X62,1)="H",SQRT(Z62*(IFERROR(INDEX(Calc!$AP$2:$AP$157,MATCH($W62,Calc!$A$2:$A$157,0)),0.5)*Config!$B$5+1-IFERROR(INDEX(Calc!$AP$2:$AP$157,MATCH($W62,Calc!$A$2:$A$157,0)),0.5))),SQRT(Z62*Config!$B$5)))</f>
        <v>4.238139123</v>
      </c>
      <c r="AB62" s="11">
        <f t="shared" si="5"/>
        <v>0.5568196817</v>
      </c>
      <c r="AC62" s="11">
        <f t="shared" si="6"/>
        <v>0.3523946509</v>
      </c>
      <c r="AD62" s="4" t="str">
        <f>IF(AB62="","",IF(AB62&gt;=0.5+Config!$B$6,"OVER",IF(AC62&gt;=0.5+Config!$B$6,"UNDER","—")))</f>
        <v>OVER</v>
      </c>
      <c r="AE62" s="18">
        <f t="shared" si="7"/>
        <v>1.024784964</v>
      </c>
    </row>
    <row r="63" ht="15.75" customHeight="1">
      <c r="A63" s="4" t="s">
        <v>86</v>
      </c>
      <c r="B63" s="4" t="s">
        <v>1709</v>
      </c>
      <c r="C63" s="4" t="s">
        <v>1442</v>
      </c>
      <c r="D63" s="4" t="s">
        <v>1438</v>
      </c>
      <c r="E63" s="4" t="s">
        <v>772</v>
      </c>
      <c r="F63" s="4">
        <v>31.5</v>
      </c>
      <c r="G63" s="12">
        <f t="array" ref="G63">IFERROR(INDEX(CHOOSE(MATCH($X63,{"K1","K2","K3","K12","K13","H1","H2","H3","H12","H13"},0),Calc!$V$2:$V$157,Calc!$AC$2:$AC$157,Calc!$AJ$2:$AJ$157,Calc!$AL$2:$AL$157,Calc!$AM$2:$AM$157,Calc!$W$2:$W$157,Calc!$AD$2:$AD$157,Calc!$AK$2:$AK$157,Calc!$AN$2:$AN$157,Calc!$AO$2:$AO$157),MATCH($W63,Calc!$A$2:$A$157,0)),"")</f>
        <v>31.18365</v>
      </c>
      <c r="H63" s="12">
        <f t="array" ref="H63">IF(G63="","",IF(LEFT($X63,1)="H",SQRT(G63*(IFERROR(INDEX(Calc!$AP$2:$AP$157,MATCH($W63,Calc!$A$2:$A$157,0)),0.5)*Config!$B$5+1-IFERROR(INDEX(Calc!$AP$2:$AP$157,MATCH($W63,Calc!$A$2:$A$157,0)),0.5))),SQRT(G63*Config!$B$5)))</f>
        <v>6.607352723</v>
      </c>
      <c r="I63" s="11">
        <f t="shared" si="1"/>
        <v>0.4809065454</v>
      </c>
      <c r="J63" s="11">
        <f t="shared" si="2"/>
        <v>0.5190934546</v>
      </c>
      <c r="K63" s="11">
        <f t="shared" si="3"/>
        <v>0</v>
      </c>
      <c r="L63" s="4" t="str">
        <f>IF(I63="","",IF(I63&gt;=0.5+Config!$B$6,"OVER",IF(J63&gt;=0.5+Config!$B$6,"UNDER","—")))</f>
        <v>—</v>
      </c>
      <c r="M63" s="4">
        <v>30.82</v>
      </c>
      <c r="N63" s="4">
        <v>30.9</v>
      </c>
      <c r="O63" s="11">
        <v>0.4</v>
      </c>
      <c r="P63" s="11">
        <v>0.4</v>
      </c>
      <c r="Q63" s="11">
        <v>0.4</v>
      </c>
      <c r="R63" s="4" t="s">
        <v>2203</v>
      </c>
      <c r="S63" s="4">
        <v>-1.0</v>
      </c>
      <c r="T63" s="4" t="str">
        <f t="array" ref="T63">INDEX(Calc!$G$2:$G$157,MATCH($W63,Calc!$A$2:$A$157,0))&amp;" / "&amp;INDEX(Calc!$H$2:$H$157,MATCH($W63,Calc!$A$2:$A$157,0))</f>
        <v>Mirage / Ancient</v>
      </c>
      <c r="U63" s="4" t="str">
        <f t="array" ref="U63">TEXT(INDEX(Calc!$J$2:$J$157,MATCH($W63,Calc!$A$2:$A$157,0)),"0.0")&amp;" / "&amp;TEXT(INDEX(Calc!$K$2:$K$157,MATCH($W63,Calc!$A$2:$A$157,0)),"0.0")</f>
        <v>21.4 / 21.3</v>
      </c>
      <c r="V63" s="4" t="str">
        <f t="array" ref="V63">IFERROR(INDEX(Calc!$AQ$2:$AQ$157,MATCH($W63,Calc!$A$2:$A$157,0)),"")</f>
        <v/>
      </c>
      <c r="W63" s="4" t="s">
        <v>3150</v>
      </c>
      <c r="X63" s="4" t="s">
        <v>926</v>
      </c>
      <c r="Y63" s="4" t="str">
        <f t="shared" si="4"/>
        <v>fegzpn598j6etni|CS2 · BB vs LGC|K12</v>
      </c>
      <c r="Z63" s="12">
        <f t="array" ref="Z63">IFERROR(INDEX(CHOOSE(MATCH($X63,{"K1","K2","K3","K12","K13","H1","H2","H3","H12","H13"},0),Calc!$BA$2:$BA$157,Calc!$BB$2:$BB$157,Calc!$BC$2:$BC$157,Calc!$BD$2:$BD$157,Calc!$BE$2:$BE$157,Calc!$BF$2:$BF$157,Calc!$BG$2:$BG$157,Calc!$BH$2:$BH$157,Calc!$BI$2:$BI$157,Calc!$BJ$2:$BJ$157),MATCH($W63,Calc!$A$2:$A$157,0)),"")</f>
        <v>31.88175478</v>
      </c>
      <c r="AA63" s="12">
        <f t="array" ref="AA63">IF(Z63="","",IF(LEFT($X63,1)="H",SQRT(Z63*(IFERROR(INDEX(Calc!$AP$2:$AP$157,MATCH($W63,Calc!$A$2:$A$157,0)),0.5)*Config!$B$5+1-IFERROR(INDEX(Calc!$AP$2:$AP$157,MATCH($W63,Calc!$A$2:$A$157,0)),0.5))),SQRT(Z63*Config!$B$5)))</f>
        <v>6.680902386</v>
      </c>
      <c r="AB63" s="11">
        <f t="shared" si="5"/>
        <v>0.5227836412</v>
      </c>
      <c r="AC63" s="11">
        <f t="shared" si="6"/>
        <v>0.4772163588</v>
      </c>
      <c r="AD63" s="4" t="str">
        <f>IF(AB63="","",IF(AB63&gt;=0.5+Config!$B$6,"OVER",IF(AC63&gt;=0.5+Config!$B$6,"UNDER","—")))</f>
        <v>—</v>
      </c>
      <c r="AE63" s="18">
        <f t="shared" si="7"/>
        <v>1.022386885</v>
      </c>
    </row>
    <row r="64" ht="15.75" customHeight="1">
      <c r="A64" s="4" t="s">
        <v>86</v>
      </c>
      <c r="B64" s="4" t="s">
        <v>1709</v>
      </c>
      <c r="C64" s="4" t="s">
        <v>1445</v>
      </c>
      <c r="D64" s="4" t="s">
        <v>1438</v>
      </c>
      <c r="E64" s="4" t="s">
        <v>370</v>
      </c>
      <c r="F64" s="4">
        <v>17.5</v>
      </c>
      <c r="G64" s="12">
        <f t="array" ref="G64">IFERROR(INDEX(CHOOSE(MATCH($X64,{"K1","K2","K3","K12","K13","H1","H2","H3","H12","H13"},0),Calc!$V$2:$V$157,Calc!$AC$2:$AC$157,Calc!$AJ$2:$AJ$157,Calc!$AL$2:$AL$157,Calc!$AM$2:$AM$157,Calc!$W$2:$W$157,Calc!$AD$2:$AD$157,Calc!$AK$2:$AK$157,Calc!$AN$2:$AN$157,Calc!$AO$2:$AO$157),MATCH($W64,Calc!$A$2:$A$157,0)),"")</f>
        <v>17.43910562</v>
      </c>
      <c r="H64" s="12">
        <f t="array" ref="H64">IF(G64="","",IF(LEFT($X64,1)="H",SQRT(G64*(IFERROR(INDEX(Calc!$AP$2:$AP$157,MATCH($W64,Calc!$A$2:$A$157,0)),0.5)*Config!$B$5+1-IFERROR(INDEX(Calc!$AP$2:$AP$157,MATCH($W64,Calc!$A$2:$A$157,0)),0.5))),SQRT(G64*Config!$B$5)))</f>
        <v>4.615558959</v>
      </c>
      <c r="I64" s="11">
        <f t="shared" si="1"/>
        <v>0.4947367941</v>
      </c>
      <c r="J64" s="11">
        <f t="shared" si="2"/>
        <v>0.5052632059</v>
      </c>
      <c r="K64" s="11">
        <f t="shared" si="3"/>
        <v>0</v>
      </c>
      <c r="L64" s="4" t="str">
        <f>IF(I64="","",IF(I64&gt;=0.5+Config!$B$6,"OVER",IF(J64&gt;=0.5+Config!$B$6,"UNDER","—")))</f>
        <v>—</v>
      </c>
      <c r="N64" s="4">
        <v>17.3</v>
      </c>
      <c r="O64" s="11">
        <v>0.4</v>
      </c>
      <c r="P64" s="11">
        <v>0.5</v>
      </c>
      <c r="Q64" s="11">
        <v>0.47</v>
      </c>
      <c r="R64" s="4" t="s">
        <v>2203</v>
      </c>
      <c r="S64" s="4">
        <v>-3.0</v>
      </c>
      <c r="T64" s="4" t="str">
        <f t="array" ref="T64">INDEX(Calc!$G$2:$G$157,MATCH($W64,Calc!$A$2:$A$157,0))&amp;" / "&amp;INDEX(Calc!$H$2:$H$157,MATCH($W64,Calc!$A$2:$A$157,0))</f>
        <v>Mirage / Ancient</v>
      </c>
      <c r="U64" s="4" t="str">
        <f t="array" ref="U64">TEXT(INDEX(Calc!$J$2:$J$157,MATCH($W64,Calc!$A$2:$A$157,0)),"0.0")&amp;" / "&amp;TEXT(INDEX(Calc!$K$2:$K$157,MATCH($W64,Calc!$A$2:$A$157,0)),"0.0")</f>
        <v>21.4 / 21.3</v>
      </c>
      <c r="V64" s="4" t="str">
        <f t="array" ref="V64">IFERROR(INDEX(Calc!$AQ$2:$AQ$157,MATCH($W64,Calc!$A$2:$A$157,0)),"")</f>
        <v/>
      </c>
      <c r="W64" s="4" t="s">
        <v>3151</v>
      </c>
      <c r="X64" s="4" t="s">
        <v>634</v>
      </c>
      <c r="Y64" s="4" t="str">
        <f t="shared" si="4"/>
        <v>1wpbb1hb0wgcwoh|CS2 · BB vs LGC|H12</v>
      </c>
      <c r="Z64" s="12">
        <f t="array" ref="Z64">IFERROR(INDEX(CHOOSE(MATCH($X64,{"K1","K2","K3","K12","K13","H1","H2","H3","H12","H13"},0),Calc!$BA$2:$BA$157,Calc!$BB$2:$BB$157,Calc!$BC$2:$BC$157,Calc!$BD$2:$BD$157,Calc!$BE$2:$BE$157,Calc!$BF$2:$BF$157,Calc!$BG$2:$BG$157,Calc!$BH$2:$BH$157,Calc!$BI$2:$BI$157,Calc!$BJ$2:$BJ$157),MATCH($W64,Calc!$A$2:$A$157,0)),"")</f>
        <v>17.85027576</v>
      </c>
      <c r="AA64" s="12">
        <f t="array" ref="AA64">IF(Z64="","",IF(LEFT($X64,1)="H",SQRT(Z64*(IFERROR(INDEX(Calc!$AP$2:$AP$157,MATCH($W64,Calc!$A$2:$A$157,0)),0.5)*Config!$B$5+1-IFERROR(INDEX(Calc!$AP$2:$AP$157,MATCH($W64,Calc!$A$2:$A$157,0)),0.5))),SQRT(Z64*Config!$B$5)))</f>
        <v>4.669653584</v>
      </c>
      <c r="AB64" s="11">
        <f t="shared" si="5"/>
        <v>0.5298970523</v>
      </c>
      <c r="AC64" s="11">
        <f t="shared" si="6"/>
        <v>0.4701029477</v>
      </c>
      <c r="AD64" s="4" t="str">
        <f>IF(AB64="","",IF(AB64&gt;=0.5+Config!$B$6,"OVER",IF(AC64&gt;=0.5+Config!$B$6,"UNDER","—")))</f>
        <v>—</v>
      </c>
      <c r="AE64" s="18">
        <f t="shared" si="7"/>
        <v>1.023577479</v>
      </c>
    </row>
    <row r="65" ht="15.75" customHeight="1">
      <c r="A65" s="4" t="s">
        <v>86</v>
      </c>
      <c r="B65" s="4" t="s">
        <v>1709</v>
      </c>
      <c r="C65" s="4" t="s">
        <v>1445</v>
      </c>
      <c r="D65" s="4" t="s">
        <v>1438</v>
      </c>
      <c r="E65" s="4" t="s">
        <v>772</v>
      </c>
      <c r="F65" s="4">
        <v>32.0</v>
      </c>
      <c r="G65" s="12">
        <f t="array" ref="G65">IFERROR(INDEX(CHOOSE(MATCH($X65,{"K1","K2","K3","K12","K13","H1","H2","H3","H12","H13"},0),Calc!$V$2:$V$157,Calc!$AC$2:$AC$157,Calc!$AJ$2:$AJ$157,Calc!$AL$2:$AL$157,Calc!$AM$2:$AM$157,Calc!$W$2:$W$157,Calc!$AD$2:$AD$157,Calc!$AK$2:$AK$157,Calc!$AN$2:$AN$157,Calc!$AO$2:$AO$157),MATCH($W65,Calc!$A$2:$A$157,0)),"")</f>
        <v>31.48037857</v>
      </c>
      <c r="H65" s="12">
        <f t="array" ref="H65">IF(G65="","",IF(LEFT($X65,1)="H",SQRT(G65*(IFERROR(INDEX(Calc!$AP$2:$AP$157,MATCH($W65,Calc!$A$2:$A$157,0)),0.5)*Config!$B$5+1-IFERROR(INDEX(Calc!$AP$2:$AP$157,MATCH($W65,Calc!$A$2:$A$157,0)),0.5))),SQRT(G65*Config!$B$5)))</f>
        <v>6.638714484</v>
      </c>
      <c r="I65" s="11">
        <f t="shared" si="1"/>
        <v>0.4389676234</v>
      </c>
      <c r="J65" s="11">
        <f t="shared" si="2"/>
        <v>0.5011791147</v>
      </c>
      <c r="K65" s="11">
        <f t="shared" si="3"/>
        <v>0.05985326186</v>
      </c>
      <c r="L65" s="4" t="str">
        <f>IF(I65="","",IF(I65&gt;=0.5+Config!$B$6,"OVER",IF(J65&gt;=0.5+Config!$B$6,"UNDER","—")))</f>
        <v>—</v>
      </c>
      <c r="M65" s="4">
        <v>32.4</v>
      </c>
      <c r="N65" s="4">
        <v>32.2</v>
      </c>
      <c r="O65" s="11">
        <v>0.4</v>
      </c>
      <c r="P65" s="11">
        <v>0.6</v>
      </c>
      <c r="Q65" s="11">
        <v>0.6</v>
      </c>
      <c r="R65" s="4" t="s">
        <v>2203</v>
      </c>
      <c r="S65" s="4">
        <v>-1.0</v>
      </c>
      <c r="T65" s="4" t="str">
        <f t="array" ref="T65">INDEX(Calc!$G$2:$G$157,MATCH($W65,Calc!$A$2:$A$157,0))&amp;" / "&amp;INDEX(Calc!$H$2:$H$157,MATCH($W65,Calc!$A$2:$A$157,0))</f>
        <v>Mirage / Ancient</v>
      </c>
      <c r="U65" s="4" t="str">
        <f t="array" ref="U65">TEXT(INDEX(Calc!$J$2:$J$157,MATCH($W65,Calc!$A$2:$A$157,0)),"0.0")&amp;" / "&amp;TEXT(INDEX(Calc!$K$2:$K$157,MATCH($W65,Calc!$A$2:$A$157,0)),"0.0")</f>
        <v>21.4 / 21.3</v>
      </c>
      <c r="V65" s="4" t="str">
        <f t="array" ref="V65">IFERROR(INDEX(Calc!$AQ$2:$AQ$157,MATCH($W65,Calc!$A$2:$A$157,0)),"")</f>
        <v/>
      </c>
      <c r="W65" s="4" t="s">
        <v>3151</v>
      </c>
      <c r="X65" s="4" t="s">
        <v>926</v>
      </c>
      <c r="Y65" s="4" t="str">
        <f t="shared" si="4"/>
        <v>1wpbb1hb0wgcwoh|CS2 · BB vs LGC|K12</v>
      </c>
      <c r="Z65" s="12">
        <f t="array" ref="Z65">IFERROR(INDEX(CHOOSE(MATCH($X65,{"K1","K2","K3","K12","K13","H1","H2","H3","H12","H13"},0),Calc!$BA$2:$BA$157,Calc!$BB$2:$BB$157,Calc!$BC$2:$BC$157,Calc!$BD$2:$BD$157,Calc!$BE$2:$BE$157,Calc!$BF$2:$BF$157,Calc!$BG$2:$BG$157,Calc!$BH$2:$BH$157,Calc!$BI$2:$BI$157,Calc!$BJ$2:$BJ$157),MATCH($W65,Calc!$A$2:$A$157,0)),"")</f>
        <v>32.26361798</v>
      </c>
      <c r="AA65" s="12">
        <f t="array" ref="AA65">IF(Z65="","",IF(LEFT($X65,1)="H",SQRT(Z65*(IFERROR(INDEX(Calc!$AP$2:$AP$157,MATCH($W65,Calc!$A$2:$A$157,0)),0.5)*Config!$B$5+1-IFERROR(INDEX(Calc!$AP$2:$AP$157,MATCH($W65,Calc!$A$2:$A$157,0)),0.5))),SQRT(Z65*Config!$B$5)))</f>
        <v>6.720793492</v>
      </c>
      <c r="AB65" s="11">
        <f t="shared" si="5"/>
        <v>0.4859713969</v>
      </c>
      <c r="AC65" s="11">
        <f t="shared" si="6"/>
        <v>0.4547694325</v>
      </c>
      <c r="AD65" s="4" t="str">
        <f>IF(AB65="","",IF(AB65&gt;=0.5+Config!$B$6,"OVER",IF(AC65&gt;=0.5+Config!$B$6,"UNDER","—")))</f>
        <v>—</v>
      </c>
      <c r="AE65" s="18">
        <f t="shared" si="7"/>
        <v>1.024880241</v>
      </c>
    </row>
    <row r="66" ht="15.75" customHeight="1">
      <c r="A66" s="4" t="s">
        <v>86</v>
      </c>
      <c r="B66" s="4" t="s">
        <v>1709</v>
      </c>
      <c r="C66" s="4" t="s">
        <v>1448</v>
      </c>
      <c r="D66" s="4" t="s">
        <v>1438</v>
      </c>
      <c r="E66" s="4" t="s">
        <v>370</v>
      </c>
      <c r="F66" s="4">
        <v>15.5</v>
      </c>
      <c r="G66" s="12">
        <f t="array" ref="G66">IFERROR(INDEX(CHOOSE(MATCH($X66,{"K1","K2","K3","K12","K13","H1","H2","H3","H12","H13"},0),Calc!$V$2:$V$157,Calc!$AC$2:$AC$157,Calc!$AJ$2:$AJ$157,Calc!$AL$2:$AL$157,Calc!$AM$2:$AM$157,Calc!$W$2:$W$157,Calc!$AD$2:$AD$157,Calc!$AK$2:$AK$157,Calc!$AN$2:$AN$157,Calc!$AO$2:$AO$157),MATCH($W66,Calc!$A$2:$A$157,0)),"")</f>
        <v>13.93712113</v>
      </c>
      <c r="H66" s="12">
        <f t="array" ref="H66">IF(G66="","",IF(LEFT($X66,1)="H",SQRT(G66*(IFERROR(INDEX(Calc!$AP$2:$AP$157,MATCH($W66,Calc!$A$2:$A$157,0)),0.5)*Config!$B$5+1-IFERROR(INDEX(Calc!$AP$2:$AP$157,MATCH($W66,Calc!$A$2:$A$157,0)),0.5))),SQRT(G66*Config!$B$5)))</f>
        <v>4.094559753</v>
      </c>
      <c r="I66" s="11">
        <f t="shared" si="1"/>
        <v>0.3513432714</v>
      </c>
      <c r="J66" s="11">
        <f t="shared" si="2"/>
        <v>0.6486567286</v>
      </c>
      <c r="K66" s="11">
        <f t="shared" si="3"/>
        <v>0</v>
      </c>
      <c r="L66" s="4" t="str">
        <f>IF(I66="","",IF(I66&gt;=0.5+Config!$B$6,"OVER",IF(J66&gt;=0.5+Config!$B$6,"UNDER","—")))</f>
        <v>UNDER</v>
      </c>
      <c r="N66" s="4">
        <v>13.6</v>
      </c>
      <c r="O66" s="11">
        <v>0.2</v>
      </c>
      <c r="P66" s="11">
        <v>0.4</v>
      </c>
      <c r="Q66" s="11">
        <v>0.47</v>
      </c>
      <c r="R66" s="4" t="s">
        <v>1729</v>
      </c>
      <c r="S66" s="4">
        <v>-4.0</v>
      </c>
      <c r="T66" s="4" t="str">
        <f t="array" ref="T66">INDEX(Calc!$G$2:$G$157,MATCH($W66,Calc!$A$2:$A$157,0))&amp;" / "&amp;INDEX(Calc!$H$2:$H$157,MATCH($W66,Calc!$A$2:$A$157,0))</f>
        <v>Mirage / Ancient</v>
      </c>
      <c r="U66" s="4" t="str">
        <f t="array" ref="U66">TEXT(INDEX(Calc!$J$2:$J$157,MATCH($W66,Calc!$A$2:$A$157,0)),"0.0")&amp;" / "&amp;TEXT(INDEX(Calc!$K$2:$K$157,MATCH($W66,Calc!$A$2:$A$157,0)),"0.0")</f>
        <v>21.4 / 21.3</v>
      </c>
      <c r="V66" s="4" t="str">
        <f t="array" ref="V66">IFERROR(INDEX(Calc!$AQ$2:$AQ$157,MATCH($W66,Calc!$A$2:$A$157,0)),"")</f>
        <v/>
      </c>
      <c r="W66" s="4" t="s">
        <v>3152</v>
      </c>
      <c r="X66" s="4" t="s">
        <v>634</v>
      </c>
      <c r="Y66" s="4" t="str">
        <f t="shared" si="4"/>
        <v>wgxwl9snnyzsfwq|CS2 · BB vs LGC|H12</v>
      </c>
      <c r="Z66" s="12">
        <f t="array" ref="Z66">IFERROR(INDEX(CHOOSE(MATCH($X66,{"K1","K2","K3","K12","K13","H1","H2","H3","H12","H13"},0),Calc!$BA$2:$BA$157,Calc!$BB$2:$BB$157,Calc!$BC$2:$BC$157,Calc!$BD$2:$BD$157,Calc!$BE$2:$BE$157,Calc!$BF$2:$BF$157,Calc!$BG$2:$BG$157,Calc!$BH$2:$BH$157,Calc!$BI$2:$BI$157,Calc!$BJ$2:$BJ$157),MATCH($W66,Calc!$A$2:$A$157,0)),"")</f>
        <v>14.26371511</v>
      </c>
      <c r="AA66" s="12">
        <f t="array" ref="AA66">IF(Z66="","",IF(LEFT($X66,1)="H",SQRT(Z66*(IFERROR(INDEX(Calc!$AP$2:$AP$157,MATCH($W66,Calc!$A$2:$A$157,0)),0.5)*Config!$B$5+1-IFERROR(INDEX(Calc!$AP$2:$AP$157,MATCH($W66,Calc!$A$2:$A$157,0)),0.5))),SQRT(Z66*Config!$B$5)))</f>
        <v>4.142256652</v>
      </c>
      <c r="AB66" s="11">
        <f t="shared" si="5"/>
        <v>0.3826772507</v>
      </c>
      <c r="AC66" s="11">
        <f t="shared" si="6"/>
        <v>0.6173227493</v>
      </c>
      <c r="AD66" s="4" t="str">
        <f>IF(AB66="","",IF(AB66&gt;=0.5+Config!$B$6,"OVER",IF(AC66&gt;=0.5+Config!$B$6,"UNDER","—")))</f>
        <v>UNDER</v>
      </c>
      <c r="AE66" s="18">
        <f t="shared" si="7"/>
        <v>1.023433389</v>
      </c>
    </row>
    <row r="67" ht="15.75" customHeight="1">
      <c r="A67" s="4" t="s">
        <v>86</v>
      </c>
      <c r="B67" s="4" t="s">
        <v>1709</v>
      </c>
      <c r="C67" s="4" t="s">
        <v>1448</v>
      </c>
      <c r="D67" s="4" t="s">
        <v>1438</v>
      </c>
      <c r="E67" s="4" t="s">
        <v>772</v>
      </c>
      <c r="F67" s="4">
        <v>28.0</v>
      </c>
      <c r="G67" s="12">
        <f t="array" ref="G67">IFERROR(INDEX(CHOOSE(MATCH($X67,{"K1","K2","K3","K12","K13","H1","H2","H3","H12","H13"},0),Calc!$V$2:$V$157,Calc!$AC$2:$AC$157,Calc!$AJ$2:$AJ$157,Calc!$AL$2:$AL$157,Calc!$AM$2:$AM$157,Calc!$W$2:$W$157,Calc!$AD$2:$AD$157,Calc!$AK$2:$AK$157,Calc!$AN$2:$AN$157,Calc!$AO$2:$AO$157),MATCH($W67,Calc!$A$2:$A$157,0)),"")</f>
        <v>27.47140714</v>
      </c>
      <c r="H67" s="12">
        <f t="array" ref="H67">IF(G67="","",IF(LEFT($X67,1)="H",SQRT(G67*(IFERROR(INDEX(Calc!$AP$2:$AP$157,MATCH($W67,Calc!$A$2:$A$157,0)),0.5)*Config!$B$5+1-IFERROR(INDEX(Calc!$AP$2:$AP$157,MATCH($W67,Calc!$A$2:$A$157,0)),0.5))),SQRT(G67*Config!$B$5)))</f>
        <v>6.201610275</v>
      </c>
      <c r="I67" s="11">
        <f t="shared" si="1"/>
        <v>0.4341339582</v>
      </c>
      <c r="J67" s="11">
        <f t="shared" si="2"/>
        <v>0.5018393383</v>
      </c>
      <c r="K67" s="11">
        <f t="shared" si="3"/>
        <v>0.06402670347</v>
      </c>
      <c r="L67" s="4" t="str">
        <f>IF(I67="","",IF(I67&gt;=0.5+Config!$B$6,"OVER",IF(J67&gt;=0.5+Config!$B$6,"UNDER","—")))</f>
        <v>—</v>
      </c>
      <c r="M67" s="4">
        <v>28.0</v>
      </c>
      <c r="N67" s="4">
        <v>26.9</v>
      </c>
      <c r="O67" s="11">
        <v>0.6</v>
      </c>
      <c r="P67" s="11">
        <v>0.6</v>
      </c>
      <c r="Q67" s="11">
        <v>0.6</v>
      </c>
      <c r="R67" s="4" t="s">
        <v>1729</v>
      </c>
      <c r="S67" s="4">
        <v>-1.0</v>
      </c>
      <c r="T67" s="4" t="str">
        <f t="array" ref="T67">INDEX(Calc!$G$2:$G$157,MATCH($W67,Calc!$A$2:$A$157,0))&amp;" / "&amp;INDEX(Calc!$H$2:$H$157,MATCH($W67,Calc!$A$2:$A$157,0))</f>
        <v>Mirage / Ancient</v>
      </c>
      <c r="U67" s="4" t="str">
        <f t="array" ref="U67">TEXT(INDEX(Calc!$J$2:$J$157,MATCH($W67,Calc!$A$2:$A$157,0)),"0.0")&amp;" / "&amp;TEXT(INDEX(Calc!$K$2:$K$157,MATCH($W67,Calc!$A$2:$A$157,0)),"0.0")</f>
        <v>21.4 / 21.3</v>
      </c>
      <c r="V67" s="4" t="str">
        <f t="array" ref="V67">IFERROR(INDEX(Calc!$AQ$2:$AQ$157,MATCH($W67,Calc!$A$2:$A$157,0)),"")</f>
        <v/>
      </c>
      <c r="W67" s="4" t="s">
        <v>3152</v>
      </c>
      <c r="X67" s="4" t="s">
        <v>926</v>
      </c>
      <c r="Y67" s="4" t="str">
        <f t="shared" si="4"/>
        <v>wgxwl9snnyzsfwq|CS2 · BB vs LGC|K12</v>
      </c>
      <c r="Z67" s="12">
        <f t="array" ref="Z67">IFERROR(INDEX(CHOOSE(MATCH($X67,{"K1","K2","K3","K12","K13","H1","H2","H3","H12","H13"},0),Calc!$BA$2:$BA$157,Calc!$BB$2:$BB$157,Calc!$BC$2:$BC$157,Calc!$BD$2:$BD$157,Calc!$BE$2:$BE$157,Calc!$BF$2:$BF$157,Calc!$BG$2:$BG$157,Calc!$BH$2:$BH$157,Calc!$BI$2:$BI$157,Calc!$BJ$2:$BJ$157),MATCH($W67,Calc!$A$2:$A$157,0)),"")</f>
        <v>28.11556655</v>
      </c>
      <c r="AA67" s="12">
        <f t="array" ref="AA67">IF(Z67="","",IF(LEFT($X67,1)="H",SQRT(Z67*(IFERROR(INDEX(Calc!$AP$2:$AP$157,MATCH($W67,Calc!$A$2:$A$157,0)),0.5)*Config!$B$5+1-IFERROR(INDEX(Calc!$AP$2:$AP$157,MATCH($W67,Calc!$A$2:$A$157,0)),0.5))),SQRT(Z67*Config!$B$5)))</f>
        <v>6.273897765</v>
      </c>
      <c r="AB67" s="11">
        <f t="shared" si="5"/>
        <v>0.4755700771</v>
      </c>
      <c r="AC67" s="11">
        <f t="shared" si="6"/>
        <v>0.460920294</v>
      </c>
      <c r="AD67" s="4" t="str">
        <f>IF(AB67="","",IF(AB67&gt;=0.5+Config!$B$6,"OVER",IF(AC67&gt;=0.5+Config!$B$6,"UNDER","—")))</f>
        <v>—</v>
      </c>
      <c r="AE67" s="18">
        <f t="shared" si="7"/>
        <v>1.023448359</v>
      </c>
    </row>
    <row r="68" ht="15.75" customHeight="1">
      <c r="A68" s="4" t="s">
        <v>86</v>
      </c>
      <c r="B68" s="4" t="s">
        <v>1709</v>
      </c>
      <c r="C68" s="4" t="s">
        <v>1451</v>
      </c>
      <c r="D68" s="4" t="s">
        <v>1438</v>
      </c>
      <c r="E68" s="4" t="s">
        <v>370</v>
      </c>
      <c r="F68" s="4">
        <v>10.5</v>
      </c>
      <c r="G68" s="12">
        <f t="array" ref="G68">IFERROR(INDEX(CHOOSE(MATCH($X68,{"K1","K2","K3","K12","K13","H1","H2","H3","H12","H13"},0),Calc!$V$2:$V$157,Calc!$AC$2:$AC$157,Calc!$AJ$2:$AJ$157,Calc!$AL$2:$AL$157,Calc!$AM$2:$AM$157,Calc!$W$2:$W$157,Calc!$AD$2:$AD$157,Calc!$AK$2:$AK$157,Calc!$AN$2:$AN$157,Calc!$AO$2:$AO$157),MATCH($W68,Calc!$A$2:$A$157,0)),"")</f>
        <v>10.35513527</v>
      </c>
      <c r="H68" s="12">
        <f t="array" ref="H68">IF(G68="","",IF(LEFT($X68,1)="H",SQRT(G68*(IFERROR(INDEX(Calc!$AP$2:$AP$157,MATCH($W68,Calc!$A$2:$A$157,0)),0.5)*Config!$B$5+1-IFERROR(INDEX(Calc!$AP$2:$AP$157,MATCH($W68,Calc!$A$2:$A$157,0)),0.5))),SQRT(G68*Config!$B$5)))</f>
        <v>3.429768102</v>
      </c>
      <c r="I68" s="11">
        <f t="shared" si="1"/>
        <v>0.4831546958</v>
      </c>
      <c r="J68" s="11">
        <f t="shared" si="2"/>
        <v>0.5168453042</v>
      </c>
      <c r="K68" s="11">
        <f t="shared" si="3"/>
        <v>0</v>
      </c>
      <c r="L68" s="4" t="str">
        <f>IF(I68="","",IF(I68&gt;=0.5+Config!$B$6,"OVER",IF(J68&gt;=0.5+Config!$B$6,"UNDER","—")))</f>
        <v>—</v>
      </c>
      <c r="N68" s="4">
        <v>10.1</v>
      </c>
      <c r="O68" s="11">
        <v>0.6</v>
      </c>
      <c r="P68" s="11">
        <v>0.5</v>
      </c>
      <c r="Q68" s="11">
        <v>0.53</v>
      </c>
      <c r="R68" s="4" t="s">
        <v>2203</v>
      </c>
      <c r="S68" s="4">
        <v>-1.0</v>
      </c>
      <c r="T68" s="4" t="str">
        <f t="array" ref="T68">INDEX(Calc!$G$2:$G$157,MATCH($W68,Calc!$A$2:$A$157,0))&amp;" / "&amp;INDEX(Calc!$H$2:$H$157,MATCH($W68,Calc!$A$2:$A$157,0))</f>
        <v>Mirage / Ancient</v>
      </c>
      <c r="U68" s="4" t="str">
        <f t="array" ref="U68">TEXT(INDEX(Calc!$J$2:$J$157,MATCH($W68,Calc!$A$2:$A$157,0)),"0.0")&amp;" / "&amp;TEXT(INDEX(Calc!$K$2:$K$157,MATCH($W68,Calc!$A$2:$A$157,0)),"0.0")</f>
        <v>21.4 / 21.3</v>
      </c>
      <c r="V68" s="4" t="str">
        <f t="array" ref="V68">IFERROR(INDEX(Calc!$AQ$2:$AQ$157,MATCH($W68,Calc!$A$2:$A$157,0)),"")</f>
        <v/>
      </c>
      <c r="W68" s="4" t="s">
        <v>3153</v>
      </c>
      <c r="X68" s="4" t="s">
        <v>634</v>
      </c>
      <c r="Y68" s="4" t="str">
        <f t="shared" si="4"/>
        <v>qtomd625i03qfpk|CS2 · BB vs LGC|H12</v>
      </c>
      <c r="Z68" s="12">
        <f t="array" ref="Z68">IFERROR(INDEX(CHOOSE(MATCH($X68,{"K1","K2","K3","K12","K13","H1","H2","H3","H12","H13"},0),Calc!$BA$2:$BA$157,Calc!$BB$2:$BB$157,Calc!$BC$2:$BC$157,Calc!$BD$2:$BD$157,Calc!$BE$2:$BE$157,Calc!$BF$2:$BF$157,Calc!$BG$2:$BG$157,Calc!$BH$2:$BH$157,Calc!$BI$2:$BI$157,Calc!$BJ$2:$BJ$157),MATCH($W68,Calc!$A$2:$A$157,0)),"")</f>
        <v>10.62661161</v>
      </c>
      <c r="AA68" s="12">
        <f t="array" ref="AA68">IF(Z68="","",IF(LEFT($X68,1)="H",SQRT(Z68*(IFERROR(INDEX(Calc!$AP$2:$AP$157,MATCH($W68,Calc!$A$2:$A$157,0)),0.5)*Config!$B$5+1-IFERROR(INDEX(Calc!$AP$2:$AP$157,MATCH($W68,Calc!$A$2:$A$157,0)),0.5))),SQRT(Z68*Config!$B$5)))</f>
        <v>3.474435651</v>
      </c>
      <c r="AB68" s="11">
        <f t="shared" si="5"/>
        <v>0.5145346039</v>
      </c>
      <c r="AC68" s="11">
        <f t="shared" si="6"/>
        <v>0.4854653961</v>
      </c>
      <c r="AD68" s="4" t="str">
        <f>IF(AB68="","",IF(AB68&gt;=0.5+Config!$B$6,"OVER",IF(AC68&gt;=0.5+Config!$B$6,"UNDER","—")))</f>
        <v>—</v>
      </c>
      <c r="AE68" s="18">
        <f t="shared" si="7"/>
        <v>1.02621659</v>
      </c>
    </row>
    <row r="69" ht="15.75" customHeight="1">
      <c r="A69" s="4" t="s">
        <v>86</v>
      </c>
      <c r="B69" s="4" t="s">
        <v>1709</v>
      </c>
      <c r="C69" s="4" t="s">
        <v>1451</v>
      </c>
      <c r="D69" s="4" t="s">
        <v>1438</v>
      </c>
      <c r="E69" s="4" t="s">
        <v>772</v>
      </c>
      <c r="F69" s="4">
        <v>31.5</v>
      </c>
      <c r="G69" s="12">
        <f t="array" ref="G69">IFERROR(INDEX(CHOOSE(MATCH($X69,{"K1","K2","K3","K12","K13","H1","H2","H3","H12","H13"},0),Calc!$V$2:$V$157,Calc!$AC$2:$AC$157,Calc!$AJ$2:$AJ$157,Calc!$AL$2:$AL$157,Calc!$AM$2:$AM$157,Calc!$W$2:$W$157,Calc!$AD$2:$AD$157,Calc!$AK$2:$AK$157,Calc!$AN$2:$AN$157,Calc!$AO$2:$AO$157),MATCH($W69,Calc!$A$2:$A$157,0)),"")</f>
        <v>30.45897143</v>
      </c>
      <c r="H69" s="12">
        <f t="array" ref="H69">IF(G69="","",IF(LEFT($X69,1)="H",SQRT(G69*(IFERROR(INDEX(Calc!$AP$2:$AP$157,MATCH($W69,Calc!$A$2:$A$157,0)),0.5)*Config!$B$5+1-IFERROR(INDEX(Calc!$AP$2:$AP$157,MATCH($W69,Calc!$A$2:$A$157,0)),0.5))),SQRT(G69*Config!$B$5)))</f>
        <v>6.530127104</v>
      </c>
      <c r="I69" s="11">
        <f t="shared" si="1"/>
        <v>0.4366692502</v>
      </c>
      <c r="J69" s="11">
        <f t="shared" si="2"/>
        <v>0.5633307498</v>
      </c>
      <c r="K69" s="11">
        <f t="shared" si="3"/>
        <v>0</v>
      </c>
      <c r="L69" s="4" t="str">
        <f>IF(I69="","",IF(I69&gt;=0.5+Config!$B$6,"OVER",IF(J69&gt;=0.5+Config!$B$6,"UNDER","—")))</f>
        <v>UNDER</v>
      </c>
      <c r="M69" s="4">
        <v>31.28</v>
      </c>
      <c r="N69" s="4">
        <v>28.8</v>
      </c>
      <c r="O69" s="11">
        <v>0.4</v>
      </c>
      <c r="P69" s="11">
        <v>0.3</v>
      </c>
      <c r="Q69" s="11">
        <v>0.47</v>
      </c>
      <c r="R69" s="4" t="s">
        <v>2203</v>
      </c>
      <c r="S69" s="4">
        <v>-1.0</v>
      </c>
      <c r="T69" s="4" t="str">
        <f t="array" ref="T69">INDEX(Calc!$G$2:$G$157,MATCH($W69,Calc!$A$2:$A$157,0))&amp;" / "&amp;INDEX(Calc!$H$2:$H$157,MATCH($W69,Calc!$A$2:$A$157,0))</f>
        <v>Mirage / Ancient</v>
      </c>
      <c r="U69" s="4" t="str">
        <f t="array" ref="U69">TEXT(INDEX(Calc!$J$2:$J$157,MATCH($W69,Calc!$A$2:$A$157,0)),"0.0")&amp;" / "&amp;TEXT(INDEX(Calc!$K$2:$K$157,MATCH($W69,Calc!$A$2:$A$157,0)),"0.0")</f>
        <v>21.4 / 21.3</v>
      </c>
      <c r="V69" s="4" t="str">
        <f t="array" ref="V69">IFERROR(INDEX(Calc!$AQ$2:$AQ$157,MATCH($W69,Calc!$A$2:$A$157,0)),"")</f>
        <v/>
      </c>
      <c r="W69" s="4" t="s">
        <v>3153</v>
      </c>
      <c r="X69" s="4" t="s">
        <v>926</v>
      </c>
      <c r="Y69" s="4" t="str">
        <f t="shared" si="4"/>
        <v>qtomd625i03qfpk|CS2 · BB vs LGC|K12</v>
      </c>
      <c r="Z69" s="12">
        <f t="array" ref="Z69">IFERROR(INDEX(CHOOSE(MATCH($X69,{"K1","K2","K3","K12","K13","H1","H2","H3","H12","H13"},0),Calc!$BA$2:$BA$157,Calc!$BB$2:$BB$157,Calc!$BC$2:$BC$157,Calc!$BD$2:$BD$157,Calc!$BE$2:$BE$157,Calc!$BF$2:$BF$157,Calc!$BG$2:$BG$157,Calc!$BH$2:$BH$157,Calc!$BI$2:$BI$157,Calc!$BJ$2:$BJ$157),MATCH($W69,Calc!$A$2:$A$157,0)),"")</f>
        <v>31.20779001</v>
      </c>
      <c r="AA69" s="12">
        <f t="array" ref="AA69">IF(Z69="","",IF(LEFT($X69,1)="H",SQRT(Z69*(IFERROR(INDEX(Calc!$AP$2:$AP$157,MATCH($W69,Calc!$A$2:$A$157,0)),0.5)*Config!$B$5+1-IFERROR(INDEX(Calc!$AP$2:$AP$157,MATCH($W69,Calc!$A$2:$A$157,0)),0.5))),SQRT(Z69*Config!$B$5)))</f>
        <v>6.609909683</v>
      </c>
      <c r="AB69" s="11">
        <f t="shared" si="5"/>
        <v>0.4823693569</v>
      </c>
      <c r="AC69" s="11">
        <f t="shared" si="6"/>
        <v>0.5176306431</v>
      </c>
      <c r="AD69" s="4" t="str">
        <f>IF(AB69="","",IF(AB69&gt;=0.5+Config!$B$6,"OVER",IF(AC69&gt;=0.5+Config!$B$6,"UNDER","—")))</f>
        <v>—</v>
      </c>
      <c r="AE69" s="18">
        <f t="shared" si="7"/>
        <v>1.0245845</v>
      </c>
    </row>
    <row r="70" ht="15.75" customHeight="1">
      <c r="A70" s="4" t="s">
        <v>86</v>
      </c>
      <c r="B70" s="4" t="s">
        <v>1234</v>
      </c>
      <c r="C70" s="4" t="s">
        <v>1313</v>
      </c>
      <c r="D70" s="4" t="s">
        <v>1241</v>
      </c>
      <c r="E70" s="4" t="s">
        <v>370</v>
      </c>
      <c r="F70" s="4">
        <v>18.5</v>
      </c>
      <c r="G70" s="12">
        <f t="array" ref="G70">IFERROR(INDEX(CHOOSE(MATCH($X70,{"K1","K2","K3","K12","K13","H1","H2","H3","H12","H13"},0),Calc!$V$2:$V$157,Calc!$AC$2:$AC$157,Calc!$AJ$2:$AJ$157,Calc!$AL$2:$AL$157,Calc!$AM$2:$AM$157,Calc!$W$2:$W$157,Calc!$AD$2:$AD$157,Calc!$AK$2:$AK$157,Calc!$AN$2:$AN$157,Calc!$AO$2:$AO$157),MATCH($W70,Calc!$A$2:$A$157,0)),"")</f>
        <v>19.26792765</v>
      </c>
      <c r="H70" s="12">
        <f t="array" ref="H70">IF(G70="","",IF(LEFT($X70,1)="H",SQRT(G70*(IFERROR(INDEX(Calc!$AP$2:$AP$157,MATCH($W70,Calc!$A$2:$A$157,0)),0.5)*Config!$B$5+1-IFERROR(INDEX(Calc!$AP$2:$AP$157,MATCH($W70,Calc!$A$2:$A$157,0)),0.5))),SQRT(G70*Config!$B$5)))</f>
        <v>4.868334359</v>
      </c>
      <c r="I70" s="11">
        <f t="shared" si="1"/>
        <v>0.562668884</v>
      </c>
      <c r="J70" s="11">
        <f t="shared" si="2"/>
        <v>0.437331116</v>
      </c>
      <c r="K70" s="11">
        <f t="shared" si="3"/>
        <v>0</v>
      </c>
      <c r="L70" s="4" t="str">
        <f>IF(I70="","",IF(I70&gt;=0.5+Config!$B$6,"OVER",IF(J70&gt;=0.5+Config!$B$6,"UNDER","—")))</f>
        <v>OVER</v>
      </c>
      <c r="N70" s="4">
        <v>15.9</v>
      </c>
      <c r="O70" s="11">
        <v>0.2</v>
      </c>
      <c r="P70" s="11">
        <v>0.2</v>
      </c>
      <c r="Q70" s="11">
        <v>0.27</v>
      </c>
      <c r="R70" s="4" t="s">
        <v>2488</v>
      </c>
      <c r="S70" s="4">
        <v>1.0</v>
      </c>
      <c r="T70" s="4" t="str">
        <f t="array" ref="T70">INDEX(Calc!$G$2:$G$157,MATCH($W70,Calc!$A$2:$A$157,0))&amp;" / "&amp;INDEX(Calc!$H$2:$H$157,MATCH($W70,Calc!$A$2:$A$157,0))</f>
        <v>Ancient / Nuke</v>
      </c>
      <c r="U70" s="4" t="str">
        <f t="array" ref="U70">TEXT(INDEX(Calc!$J$2:$J$157,MATCH($W70,Calc!$A$2:$A$157,0)),"0.0")&amp;" / "&amp;TEXT(INDEX(Calc!$K$2:$K$157,MATCH($W70,Calc!$A$2:$A$157,0)),"0.0")</f>
        <v>21.5 / 21.5</v>
      </c>
      <c r="V70" s="4" t="str">
        <f t="array" ref="V70">IFERROR(INDEX(Calc!$AQ$2:$AQ$157,MATCH($W70,Calc!$A$2:$A$157,0)),"")</f>
        <v/>
      </c>
      <c r="W70" s="4" t="s">
        <v>3154</v>
      </c>
      <c r="X70" s="4" t="s">
        <v>634</v>
      </c>
      <c r="Y70" s="4" t="str">
        <f t="shared" si="4"/>
        <v>aulcxwhkh0pxo6k|CS2 · BBL vs EYE|H12</v>
      </c>
      <c r="Z70" s="12">
        <f t="array" ref="Z70">IFERROR(INDEX(CHOOSE(MATCH($X70,{"K1","K2","K3","K12","K13","H1","H2","H3","H12","H13"},0),Calc!$BA$2:$BA$157,Calc!$BB$2:$BB$157,Calc!$BC$2:$BC$157,Calc!$BD$2:$BD$157,Calc!$BE$2:$BE$157,Calc!$BF$2:$BF$157,Calc!$BG$2:$BG$157,Calc!$BH$2:$BH$157,Calc!$BI$2:$BI$157,Calc!$BJ$2:$BJ$157),MATCH($W70,Calc!$A$2:$A$157,0)),"")</f>
        <v>19.20787469</v>
      </c>
      <c r="AA70" s="12">
        <f t="array" ref="AA70">IF(Z70="","",IF(LEFT($X70,1)="H",SQRT(Z70*(IFERROR(INDEX(Calc!$AP$2:$AP$157,MATCH($W70,Calc!$A$2:$A$157,0)),0.5)*Config!$B$5+1-IFERROR(INDEX(Calc!$AP$2:$AP$157,MATCH($W70,Calc!$A$2:$A$157,0)),0.5))),SQRT(Z70*Config!$B$5)))</f>
        <v>4.860741792</v>
      </c>
      <c r="AB70" s="11">
        <f t="shared" si="5"/>
        <v>0.5578936526</v>
      </c>
      <c r="AC70" s="11">
        <f t="shared" si="6"/>
        <v>0.4421063474</v>
      </c>
      <c r="AD70" s="4" t="str">
        <f>IF(AB70="","",IF(AB70&gt;=0.5+Config!$B$6,"OVER",IF(AC70&gt;=0.5+Config!$B$6,"UNDER","—")))</f>
        <v>OVER</v>
      </c>
      <c r="AE70" s="18">
        <f t="shared" si="7"/>
        <v>0.9968832682</v>
      </c>
    </row>
    <row r="71" ht="15.75" customHeight="1">
      <c r="A71" s="4" t="s">
        <v>86</v>
      </c>
      <c r="B71" s="4" t="s">
        <v>1234</v>
      </c>
      <c r="C71" s="4" t="s">
        <v>1313</v>
      </c>
      <c r="D71" s="4" t="s">
        <v>1241</v>
      </c>
      <c r="E71" s="4" t="s">
        <v>772</v>
      </c>
      <c r="F71" s="4">
        <v>34.5</v>
      </c>
      <c r="G71" s="12">
        <f t="array" ref="G71">IFERROR(INDEX(CHOOSE(MATCH($X71,{"K1","K2","K3","K12","K13","H1","H2","H3","H12","H13"},0),Calc!$V$2:$V$157,Calc!$AC$2:$AC$157,Calc!$AJ$2:$AJ$157,Calc!$AL$2:$AL$157,Calc!$AM$2:$AM$157,Calc!$W$2:$W$157,Calc!$AD$2:$AD$157,Calc!$AK$2:$AK$157,Calc!$AN$2:$AN$157,Calc!$AO$2:$AO$157),MATCH($W71,Calc!$A$2:$A$157,0)),"")</f>
        <v>33.50090909</v>
      </c>
      <c r="H71" s="12">
        <f t="array" ref="H71">IF(G71="","",IF(LEFT($X71,1)="H",SQRT(G71*(IFERROR(INDEX(Calc!$AP$2:$AP$157,MATCH($W71,Calc!$A$2:$A$157,0)),0.5)*Config!$B$5+1-IFERROR(INDEX(Calc!$AP$2:$AP$157,MATCH($W71,Calc!$A$2:$A$157,0)),0.5))),SQRT(G71*Config!$B$5)))</f>
        <v>6.848450389</v>
      </c>
      <c r="I71" s="11">
        <f t="shared" si="1"/>
        <v>0.4420058143</v>
      </c>
      <c r="J71" s="11">
        <f t="shared" si="2"/>
        <v>0.5579941857</v>
      </c>
      <c r="K71" s="11">
        <f t="shared" si="3"/>
        <v>0</v>
      </c>
      <c r="L71" s="4" t="str">
        <f>IF(I71="","",IF(I71&gt;=0.5+Config!$B$6,"OVER",IF(J71&gt;=0.5+Config!$B$6,"UNDER","—")))</f>
        <v>UNDER</v>
      </c>
      <c r="N71" s="4">
        <v>29.0</v>
      </c>
      <c r="O71" s="11">
        <v>0.2</v>
      </c>
      <c r="P71" s="11">
        <v>0.2</v>
      </c>
      <c r="Q71" s="11">
        <v>0.27</v>
      </c>
      <c r="R71" s="4" t="s">
        <v>2488</v>
      </c>
      <c r="S71" s="4">
        <v>-1.0</v>
      </c>
      <c r="T71" s="4" t="str">
        <f t="array" ref="T71">INDEX(Calc!$G$2:$G$157,MATCH($W71,Calc!$A$2:$A$157,0))&amp;" / "&amp;INDEX(Calc!$H$2:$H$157,MATCH($W71,Calc!$A$2:$A$157,0))</f>
        <v>Ancient / Nuke</v>
      </c>
      <c r="U71" s="4" t="str">
        <f t="array" ref="U71">TEXT(INDEX(Calc!$J$2:$J$157,MATCH($W71,Calc!$A$2:$A$157,0)),"0.0")&amp;" / "&amp;TEXT(INDEX(Calc!$K$2:$K$157,MATCH($W71,Calc!$A$2:$A$157,0)),"0.0")</f>
        <v>21.5 / 21.5</v>
      </c>
      <c r="V71" s="4" t="str">
        <f t="array" ref="V71">IFERROR(INDEX(Calc!$AQ$2:$AQ$157,MATCH($W71,Calc!$A$2:$A$157,0)),"")</f>
        <v/>
      </c>
      <c r="W71" s="4" t="s">
        <v>3154</v>
      </c>
      <c r="X71" s="4" t="s">
        <v>926</v>
      </c>
      <c r="Y71" s="4" t="str">
        <f t="shared" si="4"/>
        <v>aulcxwhkh0pxo6k|CS2 · BBL vs EYE|K12</v>
      </c>
      <c r="Z71" s="12">
        <f t="array" ref="Z71">IFERROR(INDEX(CHOOSE(MATCH($X71,{"K1","K2","K3","K12","K13","H1","H2","H3","H12","H13"},0),Calc!$BA$2:$BA$157,Calc!$BB$2:$BB$157,Calc!$BC$2:$BC$157,Calc!$BD$2:$BD$157,Calc!$BE$2:$BE$157,Calc!$BF$2:$BF$157,Calc!$BG$2:$BG$157,Calc!$BH$2:$BH$157,Calc!$BI$2:$BI$157,Calc!$BJ$2:$BJ$157),MATCH($W71,Calc!$A$2:$A$157,0)),"")</f>
        <v>33.39815045</v>
      </c>
      <c r="AA71" s="12">
        <f t="array" ref="AA71">IF(Z71="","",IF(LEFT($X71,1)="H",SQRT(Z71*(IFERROR(INDEX(Calc!$AP$2:$AP$157,MATCH($W71,Calc!$A$2:$A$157,0)),0.5)*Config!$B$5+1-IFERROR(INDEX(Calc!$AP$2:$AP$157,MATCH($W71,Calc!$A$2:$A$157,0)),0.5))),SQRT(Z71*Config!$B$5)))</f>
        <v>6.837939063</v>
      </c>
      <c r="AB71" s="11">
        <f t="shared" si="5"/>
        <v>0.4359924869</v>
      </c>
      <c r="AC71" s="11">
        <f t="shared" si="6"/>
        <v>0.5640075131</v>
      </c>
      <c r="AD71" s="4" t="str">
        <f>IF(AB71="","",IF(AB71&gt;=0.5+Config!$B$6,"OVER",IF(AC71&gt;=0.5+Config!$B$6,"UNDER","—")))</f>
        <v>UNDER</v>
      </c>
      <c r="AE71" s="18">
        <f t="shared" si="7"/>
        <v>0.9969326611</v>
      </c>
    </row>
    <row r="72" ht="15.75" customHeight="1">
      <c r="A72" s="4" t="s">
        <v>86</v>
      </c>
      <c r="B72" s="4" t="s">
        <v>1234</v>
      </c>
      <c r="C72" s="4" t="s">
        <v>1317</v>
      </c>
      <c r="D72" s="4" t="s">
        <v>1241</v>
      </c>
      <c r="E72" s="4" t="s">
        <v>370</v>
      </c>
      <c r="F72" s="4">
        <v>15.0</v>
      </c>
      <c r="G72" s="12">
        <f t="array" ref="G72">IFERROR(INDEX(CHOOSE(MATCH($X72,{"K1","K2","K3","K12","K13","H1","H2","H3","H12","H13"},0),Calc!$V$2:$V$157,Calc!$AC$2:$AC$157,Calc!$AJ$2:$AJ$157,Calc!$AL$2:$AL$157,Calc!$AM$2:$AM$157,Calc!$W$2:$W$157,Calc!$AD$2:$AD$157,Calc!$AK$2:$AK$157,Calc!$AN$2:$AN$157,Calc!$AO$2:$AO$157),MATCH($W72,Calc!$A$2:$A$157,0)),"")</f>
        <v>14.50605237</v>
      </c>
      <c r="H72" s="12">
        <f t="array" ref="H72">IF(G72="","",IF(LEFT($X72,1)="H",SQRT(G72*(IFERROR(INDEX(Calc!$AP$2:$AP$157,MATCH($W72,Calc!$A$2:$A$157,0)),0.5)*Config!$B$5+1-IFERROR(INDEX(Calc!$AP$2:$AP$157,MATCH($W72,Calc!$A$2:$A$157,0)),0.5))),SQRT(G72*Config!$B$5)))</f>
        <v>4.172750193</v>
      </c>
      <c r="I72" s="11">
        <f t="shared" si="1"/>
        <v>0.4058631247</v>
      </c>
      <c r="J72" s="11">
        <f t="shared" si="2"/>
        <v>0.499421354</v>
      </c>
      <c r="K72" s="11">
        <f t="shared" si="3"/>
        <v>0.09471552125</v>
      </c>
      <c r="L72" s="4" t="str">
        <f>IF(I72="","",IF(I72&gt;=0.5+Config!$B$6,"OVER",IF(J72&gt;=0.5+Config!$B$6,"UNDER","—")))</f>
        <v>—</v>
      </c>
      <c r="N72" s="4">
        <v>13.4</v>
      </c>
      <c r="O72" s="11">
        <v>0.4</v>
      </c>
      <c r="P72" s="11">
        <v>0.4</v>
      </c>
      <c r="Q72" s="11">
        <v>0.47</v>
      </c>
      <c r="R72" s="4" t="s">
        <v>2488</v>
      </c>
      <c r="S72" s="4">
        <v>-2.0</v>
      </c>
      <c r="T72" s="4" t="str">
        <f t="array" ref="T72">INDEX(Calc!$G$2:$G$157,MATCH($W72,Calc!$A$2:$A$157,0))&amp;" / "&amp;INDEX(Calc!$H$2:$H$157,MATCH($W72,Calc!$A$2:$A$157,0))</f>
        <v>Ancient / Nuke</v>
      </c>
      <c r="U72" s="4" t="str">
        <f t="array" ref="U72">TEXT(INDEX(Calc!$J$2:$J$157,MATCH($W72,Calc!$A$2:$A$157,0)),"0.0")&amp;" / "&amp;TEXT(INDEX(Calc!$K$2:$K$157,MATCH($W72,Calc!$A$2:$A$157,0)),"0.0")</f>
        <v>21.5 / 21.5</v>
      </c>
      <c r="V72" s="4" t="str">
        <f t="array" ref="V72">IFERROR(INDEX(Calc!$AQ$2:$AQ$157,MATCH($W72,Calc!$A$2:$A$157,0)),"")</f>
        <v/>
      </c>
      <c r="W72" s="4" t="s">
        <v>3155</v>
      </c>
      <c r="X72" s="4" t="s">
        <v>634</v>
      </c>
      <c r="Y72" s="4" t="str">
        <f t="shared" si="4"/>
        <v>4u8b77givp2ury3|CS2 · BBL vs EYE|H12</v>
      </c>
      <c r="Z72" s="12">
        <f t="array" ref="Z72">IFERROR(INDEX(CHOOSE(MATCH($X72,{"K1","K2","K3","K12","K13","H1","H2","H3","H12","H13"},0),Calc!$BA$2:$BA$157,Calc!$BB$2:$BB$157,Calc!$BC$2:$BC$157,Calc!$BD$2:$BD$157,Calc!$BE$2:$BE$157,Calc!$BF$2:$BF$157,Calc!$BG$2:$BG$157,Calc!$BH$2:$BH$157,Calc!$BI$2:$BI$157,Calc!$BJ$2:$BJ$157),MATCH($W72,Calc!$A$2:$A$157,0)),"")</f>
        <v>14.46282402</v>
      </c>
      <c r="AA72" s="12">
        <f t="array" ref="AA72">IF(Z72="","",IF(LEFT($X72,1)="H",SQRT(Z72*(IFERROR(INDEX(Calc!$AP$2:$AP$157,MATCH($W72,Calc!$A$2:$A$157,0)),0.5)*Config!$B$5+1-IFERROR(INDEX(Calc!$AP$2:$AP$157,MATCH($W72,Calc!$A$2:$A$157,0)),0.5))),SQRT(Z72*Config!$B$5)))</f>
        <v>4.166528111</v>
      </c>
      <c r="AB72" s="11">
        <f t="shared" si="5"/>
        <v>0.401707266</v>
      </c>
      <c r="AC72" s="11">
        <f t="shared" si="6"/>
        <v>0.5035595281</v>
      </c>
      <c r="AD72" s="4" t="str">
        <f>IF(AB72="","",IF(AB72&gt;=0.5+Config!$B$6,"OVER",IF(AC72&gt;=0.5+Config!$B$6,"UNDER","—")))</f>
        <v>—</v>
      </c>
      <c r="AE72" s="18">
        <f t="shared" si="7"/>
        <v>0.9970199784</v>
      </c>
    </row>
    <row r="73" ht="15.75" customHeight="1">
      <c r="A73" s="4" t="s">
        <v>86</v>
      </c>
      <c r="B73" s="4" t="s">
        <v>1234</v>
      </c>
      <c r="C73" s="4" t="s">
        <v>1317</v>
      </c>
      <c r="D73" s="4" t="s">
        <v>1241</v>
      </c>
      <c r="E73" s="4" t="s">
        <v>772</v>
      </c>
      <c r="F73" s="4">
        <v>30.5</v>
      </c>
      <c r="G73" s="12">
        <f t="array" ref="G73">IFERROR(INDEX(CHOOSE(MATCH($X73,{"K1","K2","K3","K12","K13","H1","H2","H3","H12","H13"},0),Calc!$V$2:$V$157,Calc!$AC$2:$AC$157,Calc!$AJ$2:$AJ$157,Calc!$AL$2:$AL$157,Calc!$AM$2:$AM$157,Calc!$W$2:$W$157,Calc!$AD$2:$AD$157,Calc!$AK$2:$AK$157,Calc!$AN$2:$AN$157,Calc!$AO$2:$AO$157),MATCH($W73,Calc!$A$2:$A$157,0)),"")</f>
        <v>28.96636364</v>
      </c>
      <c r="H73" s="12">
        <f t="array" ref="H73">IF(G73="","",IF(LEFT($X73,1)="H",SQRT(G73*(IFERROR(INDEX(Calc!$AP$2:$AP$157,MATCH($W73,Calc!$A$2:$A$157,0)),0.5)*Config!$B$5+1-IFERROR(INDEX(Calc!$AP$2:$AP$157,MATCH($W73,Calc!$A$2:$A$157,0)),0.5))),SQRT(G73*Config!$B$5)))</f>
        <v>6.368116605</v>
      </c>
      <c r="I73" s="11">
        <f t="shared" si="1"/>
        <v>0.4048432657</v>
      </c>
      <c r="J73" s="11">
        <f t="shared" si="2"/>
        <v>0.5951567343</v>
      </c>
      <c r="K73" s="11">
        <f t="shared" si="3"/>
        <v>0</v>
      </c>
      <c r="L73" s="4" t="str">
        <f>IF(I73="","",IF(I73&gt;=0.5+Config!$B$6,"OVER",IF(J73&gt;=0.5+Config!$B$6,"UNDER","—")))</f>
        <v>UNDER</v>
      </c>
      <c r="N73" s="4">
        <v>25.3</v>
      </c>
      <c r="O73" s="11">
        <v>0.0</v>
      </c>
      <c r="P73" s="11">
        <v>0.0</v>
      </c>
      <c r="Q73" s="11">
        <v>0.13</v>
      </c>
      <c r="R73" s="4" t="s">
        <v>2488</v>
      </c>
      <c r="S73" s="4">
        <v>-11.0</v>
      </c>
      <c r="T73" s="4" t="str">
        <f t="array" ref="T73">INDEX(Calc!$G$2:$G$157,MATCH($W73,Calc!$A$2:$A$157,0))&amp;" / "&amp;INDEX(Calc!$H$2:$H$157,MATCH($W73,Calc!$A$2:$A$157,0))</f>
        <v>Ancient / Nuke</v>
      </c>
      <c r="U73" s="4" t="str">
        <f t="array" ref="U73">TEXT(INDEX(Calc!$J$2:$J$157,MATCH($W73,Calc!$A$2:$A$157,0)),"0.0")&amp;" / "&amp;TEXT(INDEX(Calc!$K$2:$K$157,MATCH($W73,Calc!$A$2:$A$157,0)),"0.0")</f>
        <v>21.5 / 21.5</v>
      </c>
      <c r="V73" s="4" t="str">
        <f t="array" ref="V73">IFERROR(INDEX(Calc!$AQ$2:$AQ$157,MATCH($W73,Calc!$A$2:$A$157,0)),"")</f>
        <v/>
      </c>
      <c r="W73" s="4" t="s">
        <v>3155</v>
      </c>
      <c r="X73" s="4" t="s">
        <v>926</v>
      </c>
      <c r="Y73" s="4" t="str">
        <f t="shared" si="4"/>
        <v>4u8b77givp2ury3|CS2 · BBL vs EYE|K12</v>
      </c>
      <c r="Z73" s="12">
        <f t="array" ref="Z73">IFERROR(INDEX(CHOOSE(MATCH($X73,{"K1","K2","K3","K12","K13","H1","H2","H3","H12","H13"},0),Calc!$BA$2:$BA$157,Calc!$BB$2:$BB$157,Calc!$BC$2:$BC$157,Calc!$BD$2:$BD$157,Calc!$BE$2:$BE$157,Calc!$BF$2:$BF$157,Calc!$BG$2:$BG$157,Calc!$BH$2:$BH$157,Calc!$BI$2:$BI$157,Calc!$BJ$2:$BJ$157),MATCH($W73,Calc!$A$2:$A$157,0)),"")</f>
        <v>28.8811183</v>
      </c>
      <c r="AA73" s="12">
        <f t="array" ref="AA73">IF(Z73="","",IF(LEFT($X73,1)="H",SQRT(Z73*(IFERROR(INDEX(Calc!$AP$2:$AP$157,MATCH($W73,Calc!$A$2:$A$157,0)),0.5)*Config!$B$5+1-IFERROR(INDEX(Calc!$AP$2:$AP$157,MATCH($W73,Calc!$A$2:$A$157,0)),0.5))),SQRT(Z73*Config!$B$5)))</f>
        <v>6.358739311</v>
      </c>
      <c r="AB73" s="11">
        <f t="shared" si="5"/>
        <v>0.3995192687</v>
      </c>
      <c r="AC73" s="11">
        <f t="shared" si="6"/>
        <v>0.6004807313</v>
      </c>
      <c r="AD73" s="4" t="str">
        <f>IF(AB73="","",IF(AB73&gt;=0.5+Config!$B$6,"OVER",IF(AC73&gt;=0.5+Config!$B$6,"UNDER","—")))</f>
        <v>UNDER</v>
      </c>
      <c r="AE73" s="18">
        <f t="shared" si="7"/>
        <v>0.9970570922</v>
      </c>
    </row>
    <row r="74" ht="15.75" customHeight="1">
      <c r="A74" s="4" t="s">
        <v>86</v>
      </c>
      <c r="B74" s="4" t="s">
        <v>1234</v>
      </c>
      <c r="C74" s="4" t="s">
        <v>1320</v>
      </c>
      <c r="D74" s="4" t="s">
        <v>1241</v>
      </c>
      <c r="E74" s="4" t="s">
        <v>370</v>
      </c>
      <c r="F74" s="4">
        <v>10.0</v>
      </c>
      <c r="G74" s="12">
        <f t="array" ref="G74">IFERROR(INDEX(CHOOSE(MATCH($X74,{"K1","K2","K3","K12","K13","H1","H2","H3","H12","H13"},0),Calc!$V$2:$V$157,Calc!$AC$2:$AC$157,Calc!$AJ$2:$AJ$157,Calc!$AL$2:$AL$157,Calc!$AM$2:$AM$157,Calc!$W$2:$W$157,Calc!$AD$2:$AD$157,Calc!$AK$2:$AK$157,Calc!$AN$2:$AN$157,Calc!$AO$2:$AO$157),MATCH($W74,Calc!$A$2:$A$157,0)),"")</f>
        <v>11.20108689</v>
      </c>
      <c r="H74" s="12">
        <f t="array" ref="H74">IF(G74="","",IF(LEFT($X74,1)="H",SQRT(G74*(IFERROR(INDEX(Calc!$AP$2:$AP$157,MATCH($W74,Calc!$A$2:$A$157,0)),0.5)*Config!$B$5+1-IFERROR(INDEX(Calc!$AP$2:$AP$157,MATCH($W74,Calc!$A$2:$A$157,0)),0.5))),SQRT(G74*Config!$B$5)))</f>
        <v>3.614803565</v>
      </c>
      <c r="I74" s="11">
        <f t="shared" si="1"/>
        <v>0.5768920223</v>
      </c>
      <c r="J74" s="11">
        <f t="shared" si="2"/>
        <v>0.3189671227</v>
      </c>
      <c r="K74" s="11">
        <f t="shared" si="3"/>
        <v>0.104140855</v>
      </c>
      <c r="L74" s="4" t="str">
        <f>IF(I74="","",IF(I74&gt;=0.5+Config!$B$6,"OVER",IF(J74&gt;=0.5+Config!$B$6,"UNDER","—")))</f>
        <v>OVER</v>
      </c>
      <c r="N74" s="4">
        <v>8.7</v>
      </c>
      <c r="O74" s="11">
        <v>0.6</v>
      </c>
      <c r="P74" s="11">
        <v>0.4</v>
      </c>
      <c r="Q74" s="11">
        <v>0.53</v>
      </c>
      <c r="R74" s="4" t="s">
        <v>2488</v>
      </c>
      <c r="S74" s="4">
        <v>1.0</v>
      </c>
      <c r="T74" s="4" t="str">
        <f t="array" ref="T74">INDEX(Calc!$G$2:$G$157,MATCH($W74,Calc!$A$2:$A$157,0))&amp;" / "&amp;INDEX(Calc!$H$2:$H$157,MATCH($W74,Calc!$A$2:$A$157,0))</f>
        <v>Ancient / Nuke</v>
      </c>
      <c r="U74" s="4" t="str">
        <f t="array" ref="U74">TEXT(INDEX(Calc!$J$2:$J$157,MATCH($W74,Calc!$A$2:$A$157,0)),"0.0")&amp;" / "&amp;TEXT(INDEX(Calc!$K$2:$K$157,MATCH($W74,Calc!$A$2:$A$157,0)),"0.0")</f>
        <v>21.5 / 21.5</v>
      </c>
      <c r="V74" s="4" t="str">
        <f t="array" ref="V74">IFERROR(INDEX(Calc!$AQ$2:$AQ$157,MATCH($W74,Calc!$A$2:$A$157,0)),"")</f>
        <v/>
      </c>
      <c r="W74" s="4" t="s">
        <v>3156</v>
      </c>
      <c r="X74" s="4" t="s">
        <v>634</v>
      </c>
      <c r="Y74" s="4" t="str">
        <f t="shared" si="4"/>
        <v>n7dezrlm3ggjepw|CS2 · BBL vs EYE|H12</v>
      </c>
      <c r="Z74" s="12">
        <f t="array" ref="Z74">IFERROR(INDEX(CHOOSE(MATCH($X74,{"K1","K2","K3","K12","K13","H1","H2","H3","H12","H13"},0),Calc!$BA$2:$BA$157,Calc!$BB$2:$BB$157,Calc!$BC$2:$BC$157,Calc!$BD$2:$BD$157,Calc!$BE$2:$BE$157,Calc!$BF$2:$BF$157,Calc!$BG$2:$BG$157,Calc!$BH$2:$BH$157,Calc!$BI$2:$BI$157,Calc!$BJ$2:$BJ$157),MATCH($W74,Calc!$A$2:$A$157,0)),"")</f>
        <v>11.16911285</v>
      </c>
      <c r="AA74" s="12">
        <f t="array" ref="AA74">IF(Z74="","",IF(LEFT($X74,1)="H",SQRT(Z74*(IFERROR(INDEX(Calc!$AP$2:$AP$157,MATCH($W74,Calc!$A$2:$A$157,0)),0.5)*Config!$B$5+1-IFERROR(INDEX(Calc!$AP$2:$AP$157,MATCH($W74,Calc!$A$2:$A$157,0)),0.5))),SQRT(Z74*Config!$B$5)))</f>
        <v>3.609640562</v>
      </c>
      <c r="AB74" s="11">
        <f t="shared" si="5"/>
        <v>0.5735299056</v>
      </c>
      <c r="AC74" s="11">
        <f t="shared" si="6"/>
        <v>0.3218957546</v>
      </c>
      <c r="AD74" s="4" t="str">
        <f>IF(AB74="","",IF(AB74&gt;=0.5+Config!$B$6,"OVER",IF(AC74&gt;=0.5+Config!$B$6,"UNDER","—")))</f>
        <v>OVER</v>
      </c>
      <c r="AE74" s="18">
        <f t="shared" si="7"/>
        <v>0.9971454519</v>
      </c>
    </row>
    <row r="75" ht="15.75" customHeight="1">
      <c r="A75" s="4" t="s">
        <v>86</v>
      </c>
      <c r="B75" s="4" t="s">
        <v>1234</v>
      </c>
      <c r="C75" s="4" t="s">
        <v>1320</v>
      </c>
      <c r="D75" s="4" t="s">
        <v>1241</v>
      </c>
      <c r="E75" s="4" t="s">
        <v>772</v>
      </c>
      <c r="F75" s="4">
        <v>27.5</v>
      </c>
      <c r="G75" s="12">
        <f t="array" ref="G75">IFERROR(INDEX(CHOOSE(MATCH($X75,{"K1","K2","K3","K12","K13","H1","H2","H3","H12","H13"},0),Calc!$V$2:$V$157,Calc!$AC$2:$AC$157,Calc!$AJ$2:$AJ$157,Calc!$AL$2:$AL$157,Calc!$AM$2:$AM$157,Calc!$W$2:$W$157,Calc!$AD$2:$AD$157,Calc!$AK$2:$AK$157,Calc!$AN$2:$AN$157,Calc!$AO$2:$AO$157),MATCH($W75,Calc!$A$2:$A$157,0)),"")</f>
        <v>26.89888889</v>
      </c>
      <c r="H75" s="12">
        <f t="array" ref="H75">IF(G75="","",IF(LEFT($X75,1)="H",SQRT(G75*(IFERROR(INDEX(Calc!$AP$2:$AP$157,MATCH($W75,Calc!$A$2:$A$157,0)),0.5)*Config!$B$5+1-IFERROR(INDEX(Calc!$AP$2:$AP$157,MATCH($W75,Calc!$A$2:$A$157,0)),0.5))),SQRT(G75*Config!$B$5)))</f>
        <v>6.136647655</v>
      </c>
      <c r="I75" s="11">
        <f t="shared" si="1"/>
        <v>0.4609842855</v>
      </c>
      <c r="J75" s="11">
        <f t="shared" si="2"/>
        <v>0.5390157145</v>
      </c>
      <c r="K75" s="11">
        <f t="shared" si="3"/>
        <v>0</v>
      </c>
      <c r="L75" s="4" t="str">
        <f>IF(I75="","",IF(I75&gt;=0.5+Config!$B$6,"OVER",IF(J75&gt;=0.5+Config!$B$6,"UNDER","—")))</f>
        <v>—</v>
      </c>
      <c r="N75" s="4">
        <v>23.7</v>
      </c>
      <c r="O75" s="11">
        <v>0.6</v>
      </c>
      <c r="P75" s="11">
        <v>0.5</v>
      </c>
      <c r="Q75" s="11">
        <v>0.47</v>
      </c>
      <c r="R75" s="4" t="s">
        <v>3157</v>
      </c>
      <c r="S75" s="4">
        <v>3.0</v>
      </c>
      <c r="T75" s="4" t="str">
        <f t="array" ref="T75">INDEX(Calc!$G$2:$G$157,MATCH($W75,Calc!$A$2:$A$157,0))&amp;" / "&amp;INDEX(Calc!$H$2:$H$157,MATCH($W75,Calc!$A$2:$A$157,0))</f>
        <v>Ancient / Nuke</v>
      </c>
      <c r="U75" s="4" t="str">
        <f t="array" ref="U75">TEXT(INDEX(Calc!$J$2:$J$157,MATCH($W75,Calc!$A$2:$A$157,0)),"0.0")&amp;" / "&amp;TEXT(INDEX(Calc!$K$2:$K$157,MATCH($W75,Calc!$A$2:$A$157,0)),"0.0")</f>
        <v>21.5 / 21.5</v>
      </c>
      <c r="V75" s="4" t="str">
        <f t="array" ref="V75">IFERROR(INDEX(Calc!$AQ$2:$AQ$157,MATCH($W75,Calc!$A$2:$A$157,0)),"")</f>
        <v/>
      </c>
      <c r="W75" s="4" t="s">
        <v>3156</v>
      </c>
      <c r="X75" s="4" t="s">
        <v>926</v>
      </c>
      <c r="Y75" s="4" t="str">
        <f t="shared" si="4"/>
        <v>n7dezrlm3ggjepw|CS2 · BBL vs EYE|K12</v>
      </c>
      <c r="Z75" s="12">
        <f t="array" ref="Z75">IFERROR(INDEX(CHOOSE(MATCH($X75,{"K1","K2","K3","K12","K13","H1","H2","H3","H12","H13"},0),Calc!$BA$2:$BA$157,Calc!$BB$2:$BB$157,Calc!$BC$2:$BC$157,Calc!$BD$2:$BD$157,Calc!$BE$2:$BE$157,Calc!$BF$2:$BF$157,Calc!$BG$2:$BG$157,Calc!$BH$2:$BH$157,Calc!$BI$2:$BI$157,Calc!$BJ$2:$BJ$157),MATCH($W75,Calc!$A$2:$A$157,0)),"")</f>
        <v>26.81848634</v>
      </c>
      <c r="AA75" s="12">
        <f t="array" ref="AA75">IF(Z75="","",IF(LEFT($X75,1)="H",SQRT(Z75*(IFERROR(INDEX(Calc!$AP$2:$AP$157,MATCH($W75,Calc!$A$2:$A$157,0)),0.5)*Config!$B$5+1-IFERROR(INDEX(Calc!$AP$2:$AP$157,MATCH($W75,Calc!$A$2:$A$157,0)),0.5))),SQRT(Z75*Config!$B$5)))</f>
        <v>6.127469369</v>
      </c>
      <c r="AB75" s="11">
        <f t="shared" si="5"/>
        <v>0.4557198773</v>
      </c>
      <c r="AC75" s="11">
        <f t="shared" si="6"/>
        <v>0.5442801227</v>
      </c>
      <c r="AD75" s="4" t="str">
        <f>IF(AB75="","",IF(AB75&gt;=0.5+Config!$B$6,"OVER",IF(AC75&gt;=0.5+Config!$B$6,"UNDER","—")))</f>
        <v>UNDER</v>
      </c>
      <c r="AE75" s="18">
        <f t="shared" si="7"/>
        <v>0.9970109341</v>
      </c>
    </row>
    <row r="76" ht="15.75" customHeight="1">
      <c r="A76" s="4" t="s">
        <v>86</v>
      </c>
      <c r="B76" s="4" t="s">
        <v>1234</v>
      </c>
      <c r="C76" s="4" t="s">
        <v>1356</v>
      </c>
      <c r="D76" s="4" t="s">
        <v>1242</v>
      </c>
      <c r="E76" s="4" t="s">
        <v>370</v>
      </c>
      <c r="F76" s="4">
        <v>16.5</v>
      </c>
      <c r="G76" s="12">
        <f t="array" ref="G76">IFERROR(INDEX(CHOOSE(MATCH($X76,{"K1","K2","K3","K12","K13","H1","H2","H3","H12","H13"},0),Calc!$V$2:$V$157,Calc!$AC$2:$AC$157,Calc!$AJ$2:$AJ$157,Calc!$AL$2:$AL$157,Calc!$AM$2:$AM$157,Calc!$W$2:$W$157,Calc!$AD$2:$AD$157,Calc!$AK$2:$AK$157,Calc!$AN$2:$AN$157,Calc!$AO$2:$AO$157),MATCH($W76,Calc!$A$2:$A$157,0)),"")</f>
        <v>18.2698833</v>
      </c>
      <c r="H76" s="12">
        <f t="array" ref="H76">IF(G76="","",IF(LEFT($X76,1)="H",SQRT(G76*(IFERROR(INDEX(Calc!$AP$2:$AP$157,MATCH($W76,Calc!$A$2:$A$157,0)),0.5)*Config!$B$5+1-IFERROR(INDEX(Calc!$AP$2:$AP$157,MATCH($W76,Calc!$A$2:$A$157,0)),0.5))),SQRT(G76*Config!$B$5)))</f>
        <v>4.734761145</v>
      </c>
      <c r="I76" s="11">
        <f t="shared" si="1"/>
        <v>0.6457257646</v>
      </c>
      <c r="J76" s="11">
        <f t="shared" si="2"/>
        <v>0.3542742354</v>
      </c>
      <c r="K76" s="11">
        <f t="shared" si="3"/>
        <v>0</v>
      </c>
      <c r="L76" s="4" t="str">
        <f>IF(I76="","",IF(I76&gt;=0.5+Config!$B$6,"OVER",IF(J76&gt;=0.5+Config!$B$6,"UNDER","—")))</f>
        <v>OVER</v>
      </c>
      <c r="N76" s="4">
        <v>20.3</v>
      </c>
      <c r="O76" s="11">
        <v>0.4</v>
      </c>
      <c r="P76" s="11">
        <v>0.6</v>
      </c>
      <c r="Q76" s="11">
        <v>0.47</v>
      </c>
      <c r="R76" s="4" t="s">
        <v>579</v>
      </c>
      <c r="S76" s="4">
        <v>1.0</v>
      </c>
      <c r="T76" s="4" t="str">
        <f t="array" ref="T76">INDEX(Calc!$G$2:$G$157,MATCH($W76,Calc!$A$2:$A$157,0))&amp;" / "&amp;INDEX(Calc!$H$2:$H$157,MATCH($W76,Calc!$A$2:$A$157,0))</f>
        <v>Ancient / Nuke</v>
      </c>
      <c r="U76" s="4" t="str">
        <f t="array" ref="U76">TEXT(INDEX(Calc!$J$2:$J$157,MATCH($W76,Calc!$A$2:$A$157,0)),"0.0")&amp;" / "&amp;TEXT(INDEX(Calc!$K$2:$K$157,MATCH($W76,Calc!$A$2:$A$157,0)),"0.0")</f>
        <v>21.5 / 21.5</v>
      </c>
      <c r="V76" s="4" t="str">
        <f t="array" ref="V76">IFERROR(INDEX(Calc!$AQ$2:$AQ$157,MATCH($W76,Calc!$A$2:$A$157,0)),"")</f>
        <v/>
      </c>
      <c r="W76" s="4" t="s">
        <v>3158</v>
      </c>
      <c r="X76" s="4" t="s">
        <v>634</v>
      </c>
      <c r="Y76" s="4" t="str">
        <f t="shared" si="4"/>
        <v>0tpom07myrdplgs|CS2 · BBL vs EYE|H12</v>
      </c>
      <c r="Z76" s="12">
        <f t="array" ref="Z76">IFERROR(INDEX(CHOOSE(MATCH($X76,{"K1","K2","K3","K12","K13","H1","H2","H3","H12","H13"},0),Calc!$BA$2:$BA$157,Calc!$BB$2:$BB$157,Calc!$BC$2:$BC$157,Calc!$BD$2:$BD$157,Calc!$BE$2:$BE$157,Calc!$BF$2:$BF$157,Calc!$BG$2:$BG$157,Calc!$BH$2:$BH$157,Calc!$BI$2:$BI$157,Calc!$BJ$2:$BJ$157),MATCH($W76,Calc!$A$2:$A$157,0)),"")</f>
        <v>18.2774694</v>
      </c>
      <c r="AA76" s="12">
        <f t="array" ref="AA76">IF(Z76="","",IF(LEFT($X76,1)="H",SQRT(Z76*(IFERROR(INDEX(Calc!$AP$2:$AP$157,MATCH($W76,Calc!$A$2:$A$157,0)),0.5)*Config!$B$5+1-IFERROR(INDEX(Calc!$AP$2:$AP$157,MATCH($W76,Calc!$A$2:$A$157,0)),0.5))),SQRT(Z76*Config!$B$5)))</f>
        <v>4.735744036</v>
      </c>
      <c r="AB76" s="11">
        <f t="shared" si="5"/>
        <v>0.6462926745</v>
      </c>
      <c r="AC76" s="11">
        <f t="shared" si="6"/>
        <v>0.3537073255</v>
      </c>
      <c r="AD76" s="4" t="str">
        <f>IF(AB76="","",IF(AB76&gt;=0.5+Config!$B$6,"OVER",IF(AC76&gt;=0.5+Config!$B$6,"UNDER","—")))</f>
        <v>OVER</v>
      </c>
      <c r="AE76" s="18">
        <f t="shared" si="7"/>
        <v>1.000415224</v>
      </c>
    </row>
    <row r="77" ht="15.75" customHeight="1">
      <c r="A77" s="4" t="s">
        <v>86</v>
      </c>
      <c r="B77" s="4" t="s">
        <v>1234</v>
      </c>
      <c r="C77" s="4" t="s">
        <v>1356</v>
      </c>
      <c r="D77" s="4" t="s">
        <v>1242</v>
      </c>
      <c r="E77" s="4" t="s">
        <v>772</v>
      </c>
      <c r="F77" s="4">
        <v>29.5</v>
      </c>
      <c r="G77" s="12">
        <f t="array" ref="G77">IFERROR(INDEX(CHOOSE(MATCH($X77,{"K1","K2","K3","K12","K13","H1","H2","H3","H12","H13"},0),Calc!$V$2:$V$157,Calc!$AC$2:$AC$157,Calc!$AJ$2:$AJ$157,Calc!$AL$2:$AL$157,Calc!$AM$2:$AM$157,Calc!$W$2:$W$157,Calc!$AD$2:$AD$157,Calc!$AK$2:$AK$157,Calc!$AN$2:$AN$157,Calc!$AO$2:$AO$157),MATCH($W77,Calc!$A$2:$A$157,0)),"")</f>
        <v>32.18729167</v>
      </c>
      <c r="H77" s="12">
        <f t="array" ref="H77">IF(G77="","",IF(LEFT($X77,1)="H",SQRT(G77*(IFERROR(INDEX(Calc!$AP$2:$AP$157,MATCH($W77,Calc!$A$2:$A$157,0)),0.5)*Config!$B$5+1-IFERROR(INDEX(Calc!$AP$2:$AP$157,MATCH($W77,Calc!$A$2:$A$157,0)),0.5))),SQRT(G77*Config!$B$5)))</f>
        <v>6.712839067</v>
      </c>
      <c r="I77" s="11">
        <f t="shared" si="1"/>
        <v>0.6555400156</v>
      </c>
      <c r="J77" s="11">
        <f t="shared" si="2"/>
        <v>0.3444599844</v>
      </c>
      <c r="K77" s="11">
        <f t="shared" si="3"/>
        <v>0</v>
      </c>
      <c r="L77" s="4" t="str">
        <f>IF(I77="","",IF(I77&gt;=0.5+Config!$B$6,"OVER",IF(J77&gt;=0.5+Config!$B$6,"UNDER","—")))</f>
        <v>OVER</v>
      </c>
      <c r="N77" s="4">
        <v>34.5</v>
      </c>
      <c r="O77" s="11">
        <v>0.6</v>
      </c>
      <c r="P77" s="11">
        <v>0.7</v>
      </c>
      <c r="Q77" s="11">
        <v>0.53</v>
      </c>
      <c r="R77" s="4" t="s">
        <v>579</v>
      </c>
      <c r="S77" s="4">
        <v>1.0</v>
      </c>
      <c r="T77" s="4" t="str">
        <f t="array" ref="T77">INDEX(Calc!$G$2:$G$157,MATCH($W77,Calc!$A$2:$A$157,0))&amp;" / "&amp;INDEX(Calc!$H$2:$H$157,MATCH($W77,Calc!$A$2:$A$157,0))</f>
        <v>Ancient / Nuke</v>
      </c>
      <c r="U77" s="4" t="str">
        <f t="array" ref="U77">TEXT(INDEX(Calc!$J$2:$J$157,MATCH($W77,Calc!$A$2:$A$157,0)),"0.0")&amp;" / "&amp;TEXT(INDEX(Calc!$K$2:$K$157,MATCH($W77,Calc!$A$2:$A$157,0)),"0.0")</f>
        <v>21.5 / 21.5</v>
      </c>
      <c r="V77" s="4" t="str">
        <f t="array" ref="V77">IFERROR(INDEX(Calc!$AQ$2:$AQ$157,MATCH($W77,Calc!$A$2:$A$157,0)),"")</f>
        <v/>
      </c>
      <c r="W77" s="4" t="s">
        <v>3158</v>
      </c>
      <c r="X77" s="4" t="s">
        <v>926</v>
      </c>
      <c r="Y77" s="4" t="str">
        <f t="shared" si="4"/>
        <v>0tpom07myrdplgs|CS2 · BBL vs EYE|K12</v>
      </c>
      <c r="Z77" s="12">
        <f t="array" ref="Z77">IFERROR(INDEX(CHOOSE(MATCH($X77,{"K1","K2","K3","K12","K13","H1","H2","H3","H12","H13"},0),Calc!$BA$2:$BA$157,Calc!$BB$2:$BB$157,Calc!$BC$2:$BC$157,Calc!$BD$2:$BD$157,Calc!$BE$2:$BE$157,Calc!$BF$2:$BF$157,Calc!$BG$2:$BG$157,Calc!$BH$2:$BH$157,Calc!$BI$2:$BI$157,Calc!$BJ$2:$BJ$157),MATCH($W77,Calc!$A$2:$A$157,0)),"")</f>
        <v>32.19866951</v>
      </c>
      <c r="AA77" s="12">
        <f t="array" ref="AA77">IF(Z77="","",IF(LEFT($X77,1)="H",SQRT(Z77*(IFERROR(INDEX(Calc!$AP$2:$AP$157,MATCH($W77,Calc!$A$2:$A$157,0)),0.5)*Config!$B$5+1-IFERROR(INDEX(Calc!$AP$2:$AP$157,MATCH($W77,Calc!$A$2:$A$157,0)),0.5))),SQRT(Z77*Config!$B$5)))</f>
        <v>6.714025418</v>
      </c>
      <c r="AB77" s="11">
        <f t="shared" si="5"/>
        <v>0.6561377787</v>
      </c>
      <c r="AC77" s="11">
        <f t="shared" si="6"/>
        <v>0.3438622213</v>
      </c>
      <c r="AD77" s="4" t="str">
        <f>IF(AB77="","",IF(AB77&gt;=0.5+Config!$B$6,"OVER",IF(AC77&gt;=0.5+Config!$B$6,"UNDER","—")))</f>
        <v>OVER</v>
      </c>
      <c r="AE77" s="18">
        <f t="shared" si="7"/>
        <v>1.000353489</v>
      </c>
    </row>
    <row r="78" ht="15.75" customHeight="1">
      <c r="A78" s="4" t="s">
        <v>86</v>
      </c>
      <c r="B78" s="4" t="s">
        <v>1234</v>
      </c>
      <c r="C78" s="4" t="s">
        <v>1360</v>
      </c>
      <c r="D78" s="4" t="s">
        <v>1242</v>
      </c>
      <c r="E78" s="4" t="s">
        <v>370</v>
      </c>
      <c r="F78" s="4">
        <v>9.5</v>
      </c>
      <c r="G78" s="12">
        <f t="array" ref="G78">IFERROR(INDEX(CHOOSE(MATCH($X78,{"K1","K2","K3","K12","K13","H1","H2","H3","H12","H13"},0),Calc!$V$2:$V$157,Calc!$AC$2:$AC$157,Calc!$AJ$2:$AJ$157,Calc!$AL$2:$AL$157,Calc!$AM$2:$AM$157,Calc!$W$2:$W$157,Calc!$AD$2:$AD$157,Calc!$AK$2:$AK$157,Calc!$AN$2:$AN$157,Calc!$AO$2:$AO$157),MATCH($W78,Calc!$A$2:$A$157,0)),"")</f>
        <v>9.820182109</v>
      </c>
      <c r="H78" s="12">
        <f t="array" ref="H78">IF(G78="","",IF(LEFT($X78,1)="H",SQRT(G78*(IFERROR(INDEX(Calc!$AP$2:$AP$157,MATCH($W78,Calc!$A$2:$A$157,0)),0.5)*Config!$B$5+1-IFERROR(INDEX(Calc!$AP$2:$AP$157,MATCH($W78,Calc!$A$2:$A$157,0)),0.5))),SQRT(G78*Config!$B$5)))</f>
        <v>3.350110146</v>
      </c>
      <c r="I78" s="11">
        <f t="shared" si="1"/>
        <v>0.538070386</v>
      </c>
      <c r="J78" s="11">
        <f t="shared" si="2"/>
        <v>0.461929614</v>
      </c>
      <c r="K78" s="11">
        <f t="shared" si="3"/>
        <v>0</v>
      </c>
      <c r="L78" s="4" t="str">
        <f>IF(I78="","",IF(I78&gt;=0.5+Config!$B$6,"OVER",IF(J78&gt;=0.5+Config!$B$6,"UNDER","—")))</f>
        <v>—</v>
      </c>
      <c r="N78" s="4">
        <v>9.9</v>
      </c>
      <c r="O78" s="11">
        <v>0.6</v>
      </c>
      <c r="P78" s="11">
        <v>0.6</v>
      </c>
      <c r="Q78" s="11">
        <v>0.53</v>
      </c>
      <c r="R78" s="4" t="s">
        <v>579</v>
      </c>
      <c r="S78" s="4">
        <v>-2.0</v>
      </c>
      <c r="T78" s="4" t="str">
        <f t="array" ref="T78">INDEX(Calc!$G$2:$G$157,MATCH($W78,Calc!$A$2:$A$157,0))&amp;" / "&amp;INDEX(Calc!$H$2:$H$157,MATCH($W78,Calc!$A$2:$A$157,0))</f>
        <v>Ancient / Nuke</v>
      </c>
      <c r="U78" s="4" t="str">
        <f t="array" ref="U78">TEXT(INDEX(Calc!$J$2:$J$157,MATCH($W78,Calc!$A$2:$A$157,0)),"0.0")&amp;" / "&amp;TEXT(INDEX(Calc!$K$2:$K$157,MATCH($W78,Calc!$A$2:$A$157,0)),"0.0")</f>
        <v>21.5 / 21.5</v>
      </c>
      <c r="V78" s="4" t="str">
        <f t="array" ref="V78">IFERROR(INDEX(Calc!$AQ$2:$AQ$157,MATCH($W78,Calc!$A$2:$A$157,0)),"")</f>
        <v/>
      </c>
      <c r="W78" s="4" t="s">
        <v>3159</v>
      </c>
      <c r="X78" s="4" t="s">
        <v>634</v>
      </c>
      <c r="Y78" s="4" t="str">
        <f t="shared" si="4"/>
        <v>e3qct411urjbnrw|CS2 · BBL vs EYE|H12</v>
      </c>
      <c r="Z78" s="12">
        <f t="array" ref="Z78">IFERROR(INDEX(CHOOSE(MATCH($X78,{"K1","K2","K3","K12","K13","H1","H2","H3","H12","H13"},0),Calc!$BA$2:$BA$157,Calc!$BB$2:$BB$157,Calc!$BC$2:$BC$157,Calc!$BD$2:$BD$157,Calc!$BE$2:$BE$157,Calc!$BF$2:$BF$157,Calc!$BG$2:$BG$157,Calc!$BH$2:$BH$157,Calc!$BI$2:$BI$157,Calc!$BJ$2:$BJ$157),MATCH($W78,Calc!$A$2:$A$157,0)),"")</f>
        <v>9.82448499</v>
      </c>
      <c r="AA78" s="12">
        <f t="array" ref="AA78">IF(Z78="","",IF(LEFT($X78,1)="H",SQRT(Z78*(IFERROR(INDEX(Calc!$AP$2:$AP$157,MATCH($W78,Calc!$A$2:$A$157,0)),0.5)*Config!$B$5+1-IFERROR(INDEX(Calc!$AP$2:$AP$157,MATCH($W78,Calc!$A$2:$A$157,0)),0.5))),SQRT(Z78*Config!$B$5)))</f>
        <v>3.350844019</v>
      </c>
      <c r="AB78" s="11">
        <f t="shared" si="5"/>
        <v>0.5385719978</v>
      </c>
      <c r="AC78" s="11">
        <f t="shared" si="6"/>
        <v>0.4614280022</v>
      </c>
      <c r="AD78" s="4" t="str">
        <f>IF(AB78="","",IF(AB78&gt;=0.5+Config!$B$6,"OVER",IF(AC78&gt;=0.5+Config!$B$6,"UNDER","—")))</f>
        <v>—</v>
      </c>
      <c r="AE78" s="18">
        <f t="shared" si="7"/>
        <v>1.000438167</v>
      </c>
    </row>
    <row r="79" ht="15.75" customHeight="1">
      <c r="A79" s="4" t="s">
        <v>86</v>
      </c>
      <c r="B79" s="4" t="s">
        <v>1234</v>
      </c>
      <c r="C79" s="4" t="s">
        <v>1360</v>
      </c>
      <c r="D79" s="4" t="s">
        <v>1242</v>
      </c>
      <c r="E79" s="4" t="s">
        <v>772</v>
      </c>
      <c r="F79" s="4">
        <v>28.5</v>
      </c>
      <c r="G79" s="12">
        <f t="array" ref="G79">IFERROR(INDEX(CHOOSE(MATCH($X79,{"K1","K2","K3","K12","K13","H1","H2","H3","H12","H13"},0),Calc!$V$2:$V$157,Calc!$AC$2:$AC$157,Calc!$AJ$2:$AJ$157,Calc!$AL$2:$AL$157,Calc!$AM$2:$AM$157,Calc!$W$2:$W$157,Calc!$AD$2:$AD$157,Calc!$AK$2:$AK$157,Calc!$AN$2:$AN$157,Calc!$AO$2:$AO$157),MATCH($W79,Calc!$A$2:$A$157,0)),"")</f>
        <v>27.493125</v>
      </c>
      <c r="H79" s="12">
        <f t="array" ref="H79">IF(G79="","",IF(LEFT($X79,1)="H",SQRT(G79*(IFERROR(INDEX(Calc!$AP$2:$AP$157,MATCH($W79,Calc!$A$2:$A$157,0)),0.5)*Config!$B$5+1-IFERROR(INDEX(Calc!$AP$2:$AP$157,MATCH($W79,Calc!$A$2:$A$157,0)),0.5))),SQRT(G79*Config!$B$5)))</f>
        <v>6.20406117</v>
      </c>
      <c r="I79" s="11">
        <f t="shared" si="1"/>
        <v>0.4355376078</v>
      </c>
      <c r="J79" s="11">
        <f t="shared" si="2"/>
        <v>0.5644623922</v>
      </c>
      <c r="K79" s="11">
        <f t="shared" si="3"/>
        <v>0</v>
      </c>
      <c r="L79" s="4" t="str">
        <f>IF(I79="","",IF(I79&gt;=0.5+Config!$B$6,"OVER",IF(J79&gt;=0.5+Config!$B$6,"UNDER","—")))</f>
        <v>UNDER</v>
      </c>
      <c r="N79" s="4">
        <v>29.9</v>
      </c>
      <c r="O79" s="11">
        <v>0.6</v>
      </c>
      <c r="P79" s="11">
        <v>0.6</v>
      </c>
      <c r="Q79" s="11">
        <v>0.47</v>
      </c>
      <c r="R79" s="4" t="s">
        <v>579</v>
      </c>
      <c r="S79" s="4">
        <v>-1.0</v>
      </c>
      <c r="T79" s="4" t="str">
        <f t="array" ref="T79">INDEX(Calc!$G$2:$G$157,MATCH($W79,Calc!$A$2:$A$157,0))&amp;" / "&amp;INDEX(Calc!$H$2:$H$157,MATCH($W79,Calc!$A$2:$A$157,0))</f>
        <v>Ancient / Nuke</v>
      </c>
      <c r="U79" s="4" t="str">
        <f t="array" ref="U79">TEXT(INDEX(Calc!$J$2:$J$157,MATCH($W79,Calc!$A$2:$A$157,0)),"0.0")&amp;" / "&amp;TEXT(INDEX(Calc!$K$2:$K$157,MATCH($W79,Calc!$A$2:$A$157,0)),"0.0")</f>
        <v>21.5 / 21.5</v>
      </c>
      <c r="V79" s="4" t="str">
        <f t="array" ref="V79">IFERROR(INDEX(Calc!$AQ$2:$AQ$157,MATCH($W79,Calc!$A$2:$A$157,0)),"")</f>
        <v/>
      </c>
      <c r="W79" s="4" t="s">
        <v>3159</v>
      </c>
      <c r="X79" s="4" t="s">
        <v>926</v>
      </c>
      <c r="Y79" s="4" t="str">
        <f t="shared" si="4"/>
        <v>e3qct411urjbnrw|CS2 · BBL vs EYE|K12</v>
      </c>
      <c r="Z79" s="12">
        <f t="array" ref="Z79">IFERROR(INDEX(CHOOSE(MATCH($X79,{"K1","K2","K3","K12","K13","H1","H2","H3","H12","H13"},0),Calc!$BA$2:$BA$157,Calc!$BB$2:$BB$157,Calc!$BC$2:$BC$157,Calc!$BD$2:$BD$157,Calc!$BE$2:$BE$157,Calc!$BF$2:$BF$157,Calc!$BG$2:$BG$157,Calc!$BH$2:$BH$157,Calc!$BI$2:$BI$157,Calc!$BJ$2:$BJ$157),MATCH($W79,Calc!$A$2:$A$157,0)),"")</f>
        <v>27.50488941</v>
      </c>
      <c r="AA79" s="12">
        <f t="array" ref="AA79">IF(Z79="","",IF(LEFT($X79,1)="H",SQRT(Z79*(IFERROR(INDEX(Calc!$AP$2:$AP$157,MATCH($W79,Calc!$A$2:$A$157,0)),0.5)*Config!$B$5+1-IFERROR(INDEX(Calc!$AP$2:$AP$157,MATCH($W79,Calc!$A$2:$A$157,0)),0.5))),SQRT(Z79*Config!$B$5)))</f>
        <v>6.205388398</v>
      </c>
      <c r="AB79" s="11">
        <f t="shared" si="5"/>
        <v>0.4362978278</v>
      </c>
      <c r="AC79" s="11">
        <f t="shared" si="6"/>
        <v>0.5637021722</v>
      </c>
      <c r="AD79" s="4" t="str">
        <f>IF(AB79="","",IF(AB79&gt;=0.5+Config!$B$6,"OVER",IF(AC79&gt;=0.5+Config!$B$6,"UNDER","—")))</f>
        <v>UNDER</v>
      </c>
      <c r="AE79" s="18">
        <f t="shared" si="7"/>
        <v>1.000427904</v>
      </c>
    </row>
    <row r="80" ht="15.75" customHeight="1">
      <c r="A80" s="4" t="s">
        <v>86</v>
      </c>
      <c r="B80" s="4" t="s">
        <v>1234</v>
      </c>
      <c r="C80" s="4" t="s">
        <v>1363</v>
      </c>
      <c r="D80" s="4" t="s">
        <v>1242</v>
      </c>
      <c r="E80" s="4" t="s">
        <v>370</v>
      </c>
      <c r="F80" s="4">
        <v>13.5</v>
      </c>
      <c r="G80" s="12">
        <f t="array" ref="G80">IFERROR(INDEX(CHOOSE(MATCH($X80,{"K1","K2","K3","K12","K13","H1","H2","H3","H12","H13"},0),Calc!$V$2:$V$157,Calc!$AC$2:$AC$157,Calc!$AJ$2:$AJ$157,Calc!$AL$2:$AL$157,Calc!$AM$2:$AM$157,Calc!$W$2:$W$157,Calc!$AD$2:$AD$157,Calc!$AK$2:$AK$157,Calc!$AN$2:$AN$157,Calc!$AO$2:$AO$157),MATCH($W80,Calc!$A$2:$A$157,0)),"")</f>
        <v>13.53905951</v>
      </c>
      <c r="H80" s="12">
        <f t="array" ref="H80">IF(G80="","",IF(LEFT($X80,1)="H",SQRT(G80*(IFERROR(INDEX(Calc!$AP$2:$AP$157,MATCH($W80,Calc!$A$2:$A$157,0)),0.5)*Config!$B$5+1-IFERROR(INDEX(Calc!$AP$2:$AP$157,MATCH($W80,Calc!$A$2:$A$157,0)),0.5))),SQRT(G80*Config!$B$5)))</f>
        <v>4.022883699</v>
      </c>
      <c r="I80" s="11">
        <f t="shared" si="1"/>
        <v>0.5038734014</v>
      </c>
      <c r="J80" s="11">
        <f t="shared" si="2"/>
        <v>0.4961265986</v>
      </c>
      <c r="K80" s="11">
        <f t="shared" si="3"/>
        <v>0</v>
      </c>
      <c r="L80" s="4" t="str">
        <f>IF(I80="","",IF(I80&gt;=0.5+Config!$B$6,"OVER",IF(J80&gt;=0.5+Config!$B$6,"UNDER","—")))</f>
        <v>—</v>
      </c>
      <c r="N80" s="4">
        <v>12.9</v>
      </c>
      <c r="O80" s="11">
        <v>0.2</v>
      </c>
      <c r="P80" s="11">
        <v>0.3</v>
      </c>
      <c r="Q80" s="11">
        <v>0.47</v>
      </c>
      <c r="R80" s="4" t="s">
        <v>579</v>
      </c>
      <c r="S80" s="4">
        <v>-4.0</v>
      </c>
      <c r="T80" s="4" t="str">
        <f t="array" ref="T80">INDEX(Calc!$G$2:$G$157,MATCH($W80,Calc!$A$2:$A$157,0))&amp;" / "&amp;INDEX(Calc!$H$2:$H$157,MATCH($W80,Calc!$A$2:$A$157,0))</f>
        <v>Ancient / Nuke</v>
      </c>
      <c r="U80" s="4" t="str">
        <f t="array" ref="U80">TEXT(INDEX(Calc!$J$2:$J$157,MATCH($W80,Calc!$A$2:$A$157,0)),"0.0")&amp;" / "&amp;TEXT(INDEX(Calc!$K$2:$K$157,MATCH($W80,Calc!$A$2:$A$157,0)),"0.0")</f>
        <v>21.5 / 21.5</v>
      </c>
      <c r="V80" s="4" t="str">
        <f t="array" ref="V80">IFERROR(INDEX(Calc!$AQ$2:$AQ$157,MATCH($W80,Calc!$A$2:$A$157,0)),"")</f>
        <v/>
      </c>
      <c r="W80" s="4" t="s">
        <v>3160</v>
      </c>
      <c r="X80" s="4" t="s">
        <v>634</v>
      </c>
      <c r="Y80" s="4" t="str">
        <f t="shared" si="4"/>
        <v>92clx6foe6b0ep2|CS2 · BBL vs EYE|H12</v>
      </c>
      <c r="Z80" s="12">
        <f t="array" ref="Z80">IFERROR(INDEX(CHOOSE(MATCH($X80,{"K1","K2","K3","K12","K13","H1","H2","H3","H12","H13"},0),Calc!$BA$2:$BA$157,Calc!$BB$2:$BB$157,Calc!$BC$2:$BC$157,Calc!$BD$2:$BD$157,Calc!$BE$2:$BE$157,Calc!$BF$2:$BF$157,Calc!$BG$2:$BG$157,Calc!$BH$2:$BH$157,Calc!$BI$2:$BI$157,Calc!$BJ$2:$BJ$157),MATCH($W80,Calc!$A$2:$A$157,0)),"")</f>
        <v>13.54357545</v>
      </c>
      <c r="AA80" s="12">
        <f t="array" ref="AA80">IF(Z80="","",IF(LEFT($X80,1)="H",SQRT(Z80*(IFERROR(INDEX(Calc!$AP$2:$AP$157,MATCH($W80,Calc!$A$2:$A$157,0)),0.5)*Config!$B$5+1-IFERROR(INDEX(Calc!$AP$2:$AP$157,MATCH($W80,Calc!$A$2:$A$157,0)),0.5))),SQRT(Z80*Config!$B$5)))</f>
        <v>4.023554558</v>
      </c>
      <c r="AB80" s="11">
        <f t="shared" si="5"/>
        <v>0.5043204958</v>
      </c>
      <c r="AC80" s="11">
        <f t="shared" si="6"/>
        <v>0.4956795042</v>
      </c>
      <c r="AD80" s="4" t="str">
        <f>IF(AB80="","",IF(AB80&gt;=0.5+Config!$B$6,"OVER",IF(AC80&gt;=0.5+Config!$B$6,"UNDER","—")))</f>
        <v>—</v>
      </c>
      <c r="AE80" s="18">
        <f t="shared" si="7"/>
        <v>1.00033355</v>
      </c>
    </row>
    <row r="81" ht="15.75" customHeight="1">
      <c r="A81" s="4" t="s">
        <v>86</v>
      </c>
      <c r="B81" s="4" t="s">
        <v>1234</v>
      </c>
      <c r="C81" s="4" t="s">
        <v>1363</v>
      </c>
      <c r="D81" s="4" t="s">
        <v>1242</v>
      </c>
      <c r="E81" s="4" t="s">
        <v>772</v>
      </c>
      <c r="F81" s="4">
        <v>29.0</v>
      </c>
      <c r="G81" s="12">
        <f t="array" ref="G81">IFERROR(INDEX(CHOOSE(MATCH($X81,{"K1","K2","K3","K12","K13","H1","H2","H3","H12","H13"},0),Calc!$V$2:$V$157,Calc!$AC$2:$AC$157,Calc!$AJ$2:$AJ$157,Calc!$AL$2:$AL$157,Calc!$AM$2:$AM$157,Calc!$W$2:$W$157,Calc!$AD$2:$AD$157,Calc!$AK$2:$AK$157,Calc!$AN$2:$AN$157,Calc!$AO$2:$AO$157),MATCH($W81,Calc!$A$2:$A$157,0)),"")</f>
        <v>27.72604167</v>
      </c>
      <c r="H81" s="12">
        <f t="array" ref="H81">IF(G81="","",IF(LEFT($X81,1)="H",SQRT(G81*(IFERROR(INDEX(Calc!$AP$2:$AP$157,MATCH($W81,Calc!$A$2:$A$157,0)),0.5)*Config!$B$5+1-IFERROR(INDEX(Calc!$AP$2:$AP$157,MATCH($W81,Calc!$A$2:$A$157,0)),0.5))),SQRT(G81*Config!$B$5)))</f>
        <v>6.230285574</v>
      </c>
      <c r="I81" s="11">
        <f t="shared" si="1"/>
        <v>0.3879249416</v>
      </c>
      <c r="J81" s="11">
        <f t="shared" si="2"/>
        <v>0.5494315062</v>
      </c>
      <c r="K81" s="11">
        <f t="shared" si="3"/>
        <v>0.06264355226</v>
      </c>
      <c r="L81" s="4" t="str">
        <f>IF(I81="","",IF(I81&gt;=0.5+Config!$B$6,"OVER",IF(J81&gt;=0.5+Config!$B$6,"UNDER","—")))</f>
        <v>UNDER</v>
      </c>
      <c r="N81" s="4">
        <v>27.7</v>
      </c>
      <c r="O81" s="11">
        <v>0.2</v>
      </c>
      <c r="P81" s="11">
        <v>0.4</v>
      </c>
      <c r="Q81" s="11">
        <v>0.53</v>
      </c>
      <c r="R81" s="4" t="s">
        <v>579</v>
      </c>
      <c r="S81" s="4">
        <v>-4.0</v>
      </c>
      <c r="T81" s="4" t="str">
        <f t="array" ref="T81">INDEX(Calc!$G$2:$G$157,MATCH($W81,Calc!$A$2:$A$157,0))&amp;" / "&amp;INDEX(Calc!$H$2:$H$157,MATCH($W81,Calc!$A$2:$A$157,0))</f>
        <v>Ancient / Nuke</v>
      </c>
      <c r="U81" s="4" t="str">
        <f t="array" ref="U81">TEXT(INDEX(Calc!$J$2:$J$157,MATCH($W81,Calc!$A$2:$A$157,0)),"0.0")&amp;" / "&amp;TEXT(INDEX(Calc!$K$2:$K$157,MATCH($W81,Calc!$A$2:$A$157,0)),"0.0")</f>
        <v>21.5 / 21.5</v>
      </c>
      <c r="V81" s="4" t="str">
        <f t="array" ref="V81">IFERROR(INDEX(Calc!$AQ$2:$AQ$157,MATCH($W81,Calc!$A$2:$A$157,0)),"")</f>
        <v/>
      </c>
      <c r="W81" s="4" t="s">
        <v>3160</v>
      </c>
      <c r="X81" s="4" t="s">
        <v>926</v>
      </c>
      <c r="Y81" s="4" t="str">
        <f t="shared" si="4"/>
        <v>92clx6foe6b0ep2|CS2 · BBL vs EYE|K12</v>
      </c>
      <c r="Z81" s="12">
        <f t="array" ref="Z81">IFERROR(INDEX(CHOOSE(MATCH($X81,{"K1","K2","K3","K12","K13","H1","H2","H3","H12","H13"},0),Calc!$BA$2:$BA$157,Calc!$BB$2:$BB$157,Calc!$BC$2:$BC$157,Calc!$BD$2:$BD$157,Calc!$BE$2:$BE$157,Calc!$BF$2:$BF$157,Calc!$BG$2:$BG$157,Calc!$BH$2:$BH$157,Calc!$BI$2:$BI$157,Calc!$BJ$2:$BJ$157),MATCH($W81,Calc!$A$2:$A$157,0)),"")</f>
        <v>27.73546458</v>
      </c>
      <c r="AA81" s="12">
        <f t="array" ref="AA81">IF(Z81="","",IF(LEFT($X81,1)="H",SQRT(Z81*(IFERROR(INDEX(Calc!$AP$2:$AP$157,MATCH($W81,Calc!$A$2:$A$157,0)),0.5)*Config!$B$5+1-IFERROR(INDEX(Calc!$AP$2:$AP$157,MATCH($W81,Calc!$A$2:$A$157,0)),0.5))),SQRT(Z81*Config!$B$5)))</f>
        <v>6.231344189</v>
      </c>
      <c r="AB81" s="11">
        <f t="shared" si="5"/>
        <v>0.3885229121</v>
      </c>
      <c r="AC81" s="11">
        <f t="shared" si="6"/>
        <v>0.5488244586</v>
      </c>
      <c r="AD81" s="4" t="str">
        <f>IF(AB81="","",IF(AB81&gt;=0.5+Config!$B$6,"OVER",IF(AC81&gt;=0.5+Config!$B$6,"UNDER","—")))</f>
        <v>UNDER</v>
      </c>
      <c r="AE81" s="18">
        <f t="shared" si="7"/>
        <v>1.000339858</v>
      </c>
    </row>
    <row r="82" ht="15.75" customHeight="1">
      <c r="A82" s="4" t="s">
        <v>86</v>
      </c>
      <c r="B82" s="4" t="s">
        <v>1234</v>
      </c>
      <c r="C82" s="4" t="s">
        <v>1366</v>
      </c>
      <c r="D82" s="4" t="s">
        <v>1242</v>
      </c>
      <c r="E82" s="4" t="s">
        <v>370</v>
      </c>
      <c r="F82" s="4">
        <v>18.0</v>
      </c>
      <c r="G82" s="12">
        <f t="array" ref="G82">IFERROR(INDEX(CHOOSE(MATCH($X82,{"K1","K2","K3","K12","K13","H1","H2","H3","H12","H13"},0),Calc!$V$2:$V$157,Calc!$AC$2:$AC$157,Calc!$AJ$2:$AJ$157,Calc!$AL$2:$AL$157,Calc!$AM$2:$AM$157,Calc!$W$2:$W$157,Calc!$AD$2:$AD$157,Calc!$AK$2:$AK$157,Calc!$AN$2:$AN$157,Calc!$AO$2:$AO$157),MATCH($W82,Calc!$A$2:$A$157,0)),"")</f>
        <v>17.86142884</v>
      </c>
      <c r="H82" s="12">
        <f t="array" ref="H82">IF(G82="","",IF(LEFT($X82,1)="H",SQRT(G82*(IFERROR(INDEX(Calc!$AP$2:$AP$157,MATCH($W82,Calc!$A$2:$A$157,0)),0.5)*Config!$B$5+1-IFERROR(INDEX(Calc!$AP$2:$AP$157,MATCH($W82,Calc!$A$2:$A$157,0)),0.5))),SQRT(G82*Config!$B$5)))</f>
        <v>4.695473069</v>
      </c>
      <c r="I82" s="11">
        <f t="shared" si="1"/>
        <v>0.4459117495</v>
      </c>
      <c r="J82" s="11">
        <f t="shared" si="2"/>
        <v>0.4693221573</v>
      </c>
      <c r="K82" s="11">
        <f t="shared" si="3"/>
        <v>0.08476609324</v>
      </c>
      <c r="L82" s="4" t="str">
        <f>IF(I82="","",IF(I82&gt;=0.5+Config!$B$6,"OVER",IF(J82&gt;=0.5+Config!$B$6,"UNDER","—")))</f>
        <v>—</v>
      </c>
      <c r="N82" s="4">
        <v>20.1</v>
      </c>
      <c r="O82" s="11">
        <v>0.6</v>
      </c>
      <c r="P82" s="11">
        <v>0.6</v>
      </c>
      <c r="Q82" s="11">
        <v>0.73</v>
      </c>
      <c r="R82" s="4" t="s">
        <v>579</v>
      </c>
      <c r="S82" s="4">
        <v>-1.0</v>
      </c>
      <c r="T82" s="4" t="str">
        <f t="array" ref="T82">INDEX(Calc!$G$2:$G$157,MATCH($W82,Calc!$A$2:$A$157,0))&amp;" / "&amp;INDEX(Calc!$H$2:$H$157,MATCH($W82,Calc!$A$2:$A$157,0))</f>
        <v>Ancient / Nuke</v>
      </c>
      <c r="U82" s="4" t="str">
        <f t="array" ref="U82">TEXT(INDEX(Calc!$J$2:$J$157,MATCH($W82,Calc!$A$2:$A$157,0)),"0.0")&amp;" / "&amp;TEXT(INDEX(Calc!$K$2:$K$157,MATCH($W82,Calc!$A$2:$A$157,0)),"0.0")</f>
        <v>21.5 / 21.5</v>
      </c>
      <c r="V82" s="4" t="str">
        <f t="array" ref="V82">IFERROR(INDEX(Calc!$AQ$2:$AQ$157,MATCH($W82,Calc!$A$2:$A$157,0)),"")</f>
        <v/>
      </c>
      <c r="W82" s="4" t="s">
        <v>3161</v>
      </c>
      <c r="X82" s="4" t="s">
        <v>634</v>
      </c>
      <c r="Y82" s="4" t="str">
        <f t="shared" si="4"/>
        <v>by1g6gafo5oyqad|CS2 · BBL vs EYE|H12</v>
      </c>
      <c r="Z82" s="12">
        <f t="array" ref="Z82">IFERROR(INDEX(CHOOSE(MATCH($X82,{"K1","K2","K3","K12","K13","H1","H2","H3","H12","H13"},0),Calc!$BA$2:$BA$157,Calc!$BB$2:$BB$157,Calc!$BC$2:$BC$157,Calc!$BD$2:$BD$157,Calc!$BE$2:$BE$157,Calc!$BF$2:$BF$157,Calc!$BG$2:$BG$157,Calc!$BH$2:$BH$157,Calc!$BI$2:$BI$157,Calc!$BJ$2:$BJ$157),MATCH($W82,Calc!$A$2:$A$157,0)),"")</f>
        <v>17.86758472</v>
      </c>
      <c r="AA82" s="12">
        <f t="array" ref="AA82">IF(Z82="","",IF(LEFT($X82,1)="H",SQRT(Z82*(IFERROR(INDEX(Calc!$AP$2:$AP$157,MATCH($W82,Calc!$A$2:$A$157,0)),0.5)*Config!$B$5+1-IFERROR(INDEX(Calc!$AP$2:$AP$157,MATCH($W82,Calc!$A$2:$A$157,0)),0.5))),SQRT(Z82*Config!$B$5)))</f>
        <v>4.696282139</v>
      </c>
      <c r="AB82" s="11">
        <f t="shared" si="5"/>
        <v>0.4464391777</v>
      </c>
      <c r="AC82" s="11">
        <f t="shared" si="6"/>
        <v>0.4688060717</v>
      </c>
      <c r="AD82" s="4" t="str">
        <f>IF(AB82="","",IF(AB82&gt;=0.5+Config!$B$6,"OVER",IF(AC82&gt;=0.5+Config!$B$6,"UNDER","—")))</f>
        <v>—</v>
      </c>
      <c r="AE82" s="18">
        <f t="shared" si="7"/>
        <v>1.000344647</v>
      </c>
    </row>
    <row r="83" ht="15.75" customHeight="1">
      <c r="A83" s="4" t="s">
        <v>86</v>
      </c>
      <c r="B83" s="4" t="s">
        <v>1234</v>
      </c>
      <c r="C83" s="4" t="s">
        <v>1366</v>
      </c>
      <c r="D83" s="4" t="s">
        <v>1242</v>
      </c>
      <c r="E83" s="4" t="s">
        <v>772</v>
      </c>
      <c r="F83" s="4">
        <v>30.5</v>
      </c>
      <c r="G83" s="12">
        <f t="array" ref="G83">IFERROR(INDEX(CHOOSE(MATCH($X83,{"K1","K2","K3","K12","K13","H1","H2","H3","H12","H13"},0),Calc!$V$2:$V$157,Calc!$AC$2:$AC$157,Calc!$AJ$2:$AJ$157,Calc!$AL$2:$AL$157,Calc!$AM$2:$AM$157,Calc!$W$2:$W$157,Calc!$AD$2:$AD$157,Calc!$AK$2:$AK$157,Calc!$AN$2:$AN$157,Calc!$AO$2:$AO$157),MATCH($W83,Calc!$A$2:$A$157,0)),"")</f>
        <v>30.48520833</v>
      </c>
      <c r="H83" s="12">
        <f t="array" ref="H83">IF(G83="","",IF(LEFT($X83,1)="H",SQRT(G83*(IFERROR(INDEX(Calc!$AP$2:$AP$157,MATCH($W83,Calc!$A$2:$A$157,0)),0.5)*Config!$B$5+1-IFERROR(INDEX(Calc!$AP$2:$AP$157,MATCH($W83,Calc!$A$2:$A$157,0)),0.5))),SQRT(G83*Config!$B$5)))</f>
        <v>6.532938976</v>
      </c>
      <c r="I83" s="11">
        <f t="shared" si="1"/>
        <v>0.4990967287</v>
      </c>
      <c r="J83" s="11">
        <f t="shared" si="2"/>
        <v>0.5009032713</v>
      </c>
      <c r="K83" s="11">
        <f t="shared" si="3"/>
        <v>0</v>
      </c>
      <c r="L83" s="4" t="str">
        <f>IF(I83="","",IF(I83&gt;=0.5+Config!$B$6,"OVER",IF(J83&gt;=0.5+Config!$B$6,"UNDER","—")))</f>
        <v>—</v>
      </c>
      <c r="N83" s="4">
        <v>32.5</v>
      </c>
      <c r="O83" s="11">
        <v>0.6</v>
      </c>
      <c r="P83" s="11">
        <v>0.6</v>
      </c>
      <c r="Q83" s="11">
        <v>0.53</v>
      </c>
      <c r="R83" s="4" t="s">
        <v>579</v>
      </c>
      <c r="S83" s="4">
        <v>-1.0</v>
      </c>
      <c r="T83" s="4" t="str">
        <f t="array" ref="T83">INDEX(Calc!$G$2:$G$157,MATCH($W83,Calc!$A$2:$A$157,0))&amp;" / "&amp;INDEX(Calc!$H$2:$H$157,MATCH($W83,Calc!$A$2:$A$157,0))</f>
        <v>Ancient / Nuke</v>
      </c>
      <c r="U83" s="4" t="str">
        <f t="array" ref="U83">TEXT(INDEX(Calc!$J$2:$J$157,MATCH($W83,Calc!$A$2:$A$157,0)),"0.0")&amp;" / "&amp;TEXT(INDEX(Calc!$K$2:$K$157,MATCH($W83,Calc!$A$2:$A$157,0)),"0.0")</f>
        <v>21.5 / 21.5</v>
      </c>
      <c r="V83" s="4" t="str">
        <f t="array" ref="V83">IFERROR(INDEX(Calc!$AQ$2:$AQ$157,MATCH($W83,Calc!$A$2:$A$157,0)),"")</f>
        <v/>
      </c>
      <c r="W83" s="4" t="s">
        <v>3161</v>
      </c>
      <c r="X83" s="4" t="s">
        <v>926</v>
      </c>
      <c r="Y83" s="4" t="str">
        <f t="shared" si="4"/>
        <v>by1g6gafo5oyqad|CS2 · BBL vs EYE|K12</v>
      </c>
      <c r="Z83" s="12">
        <f t="array" ref="Z83">IFERROR(INDEX(CHOOSE(MATCH($X83,{"K1","K2","K3","K12","K13","H1","H2","H3","H12","H13"},0),Calc!$BA$2:$BA$157,Calc!$BB$2:$BB$157,Calc!$BC$2:$BC$157,Calc!$BD$2:$BD$157,Calc!$BE$2:$BE$157,Calc!$BF$2:$BF$157,Calc!$BG$2:$BG$157,Calc!$BH$2:$BH$157,Calc!$BI$2:$BI$157,Calc!$BJ$2:$BJ$157),MATCH($W83,Calc!$A$2:$A$157,0)),"")</f>
        <v>30.49614576</v>
      </c>
      <c r="AA83" s="12">
        <f t="array" ref="AA83">IF(Z83="","",IF(LEFT($X83,1)="H",SQRT(Z83*(IFERROR(INDEX(Calc!$AP$2:$AP$157,MATCH($W83,Calc!$A$2:$A$157,0)),0.5)*Config!$B$5+1-IFERROR(INDEX(Calc!$AP$2:$AP$157,MATCH($W83,Calc!$A$2:$A$157,0)),0.5))),SQRT(Z83*Config!$B$5)))</f>
        <v>6.534110809</v>
      </c>
      <c r="AB83" s="11">
        <f t="shared" si="5"/>
        <v>0.4997646782</v>
      </c>
      <c r="AC83" s="11">
        <f t="shared" si="6"/>
        <v>0.5002353218</v>
      </c>
      <c r="AD83" s="4" t="str">
        <f>IF(AB83="","",IF(AB83&gt;=0.5+Config!$B$6,"OVER",IF(AC83&gt;=0.5+Config!$B$6,"UNDER","—")))</f>
        <v>—</v>
      </c>
      <c r="AE83" s="18">
        <f t="shared" si="7"/>
        <v>1.000358778</v>
      </c>
    </row>
    <row r="84" ht="15.75" customHeight="1">
      <c r="A84" s="4" t="s">
        <v>86</v>
      </c>
      <c r="B84" s="4" t="s">
        <v>1234</v>
      </c>
      <c r="C84" s="4" t="s">
        <v>1369</v>
      </c>
      <c r="D84" s="4" t="s">
        <v>1242</v>
      </c>
      <c r="E84" s="4" t="s">
        <v>370</v>
      </c>
      <c r="F84" s="4">
        <v>13.5</v>
      </c>
      <c r="G84" s="12">
        <f t="array" ref="G84">IFERROR(INDEX(CHOOSE(MATCH($X84,{"K1","K2","K3","K12","K13","H1","H2","H3","H12","H13"},0),Calc!$V$2:$V$157,Calc!$AC$2:$AC$157,Calc!$AJ$2:$AJ$157,Calc!$AL$2:$AL$157,Calc!$AM$2:$AM$157,Calc!$W$2:$W$157,Calc!$AD$2:$AD$157,Calc!$AK$2:$AK$157,Calc!$AN$2:$AN$157,Calc!$AO$2:$AO$157),MATCH($W84,Calc!$A$2:$A$157,0)),"")</f>
        <v>13.67992295</v>
      </c>
      <c r="H84" s="12">
        <f t="array" ref="H84">IF(G84="","",IF(LEFT($X84,1)="H",SQRT(G84*(IFERROR(INDEX(Calc!$AP$2:$AP$157,MATCH($W84,Calc!$A$2:$A$157,0)),0.5)*Config!$B$5+1-IFERROR(INDEX(Calc!$AP$2:$AP$157,MATCH($W84,Calc!$A$2:$A$157,0)),0.5))),SQRT(G84*Config!$B$5)))</f>
        <v>4.071522896</v>
      </c>
      <c r="I84" s="11">
        <f t="shared" si="1"/>
        <v>0.5176237539</v>
      </c>
      <c r="J84" s="11">
        <f t="shared" si="2"/>
        <v>0.4823762461</v>
      </c>
      <c r="K84" s="11">
        <f t="shared" si="3"/>
        <v>0</v>
      </c>
      <c r="L84" s="4" t="str">
        <f>IF(I84="","",IF(I84&gt;=0.5+Config!$B$6,"OVER",IF(J84&gt;=0.5+Config!$B$6,"UNDER","—")))</f>
        <v>—</v>
      </c>
      <c r="N84" s="4">
        <v>13.9</v>
      </c>
      <c r="O84" s="11">
        <v>0.4</v>
      </c>
      <c r="P84" s="11">
        <v>0.7</v>
      </c>
      <c r="Q84" s="11">
        <v>0.67</v>
      </c>
      <c r="R84" s="4" t="s">
        <v>579</v>
      </c>
      <c r="S84" s="4">
        <v>-1.0</v>
      </c>
      <c r="T84" s="4" t="str">
        <f t="array" ref="T84">INDEX(Calc!$G$2:$G$157,MATCH($W84,Calc!$A$2:$A$157,0))&amp;" / "&amp;INDEX(Calc!$H$2:$H$157,MATCH($W84,Calc!$A$2:$A$157,0))</f>
        <v>Ancient / Nuke</v>
      </c>
      <c r="U84" s="4" t="str">
        <f t="array" ref="U84">TEXT(INDEX(Calc!$J$2:$J$157,MATCH($W84,Calc!$A$2:$A$157,0)),"0.0")&amp;" / "&amp;TEXT(INDEX(Calc!$K$2:$K$157,MATCH($W84,Calc!$A$2:$A$157,0)),"0.0")</f>
        <v>21.5 / 21.5</v>
      </c>
      <c r="V84" s="4" t="str">
        <f t="array" ref="V84">IFERROR(INDEX(Calc!$AQ$2:$AQ$157,MATCH($W84,Calc!$A$2:$A$157,0)),"")</f>
        <v/>
      </c>
      <c r="W84" s="4" t="s">
        <v>3162</v>
      </c>
      <c r="X84" s="4" t="s">
        <v>634</v>
      </c>
      <c r="Y84" s="4" t="str">
        <f t="shared" si="4"/>
        <v>e1p0xlwtwfrt8qa|CS2 · BBL vs EYE|H12</v>
      </c>
      <c r="Z84" s="12">
        <f t="array" ref="Z84">IFERROR(INDEX(CHOOSE(MATCH($X84,{"K1","K2","K3","K12","K13","H1","H2","H3","H12","H13"},0),Calc!$BA$2:$BA$157,Calc!$BB$2:$BB$157,Calc!$BC$2:$BC$157,Calc!$BD$2:$BD$157,Calc!$BE$2:$BE$157,Calc!$BF$2:$BF$157,Calc!$BG$2:$BG$157,Calc!$BH$2:$BH$157,Calc!$BI$2:$BI$157,Calc!$BJ$2:$BJ$157),MATCH($W84,Calc!$A$2:$A$157,0)),"")</f>
        <v>13.6859149</v>
      </c>
      <c r="AA84" s="12">
        <f t="array" ref="AA84">IF(Z84="","",IF(LEFT($X84,1)="H",SQRT(Z84*(IFERROR(INDEX(Calc!$AP$2:$AP$157,MATCH($W84,Calc!$A$2:$A$157,0)),0.5)*Config!$B$5+1-IFERROR(INDEX(Calc!$AP$2:$AP$157,MATCH($W84,Calc!$A$2:$A$157,0)),0.5))),SQRT(Z84*Config!$B$5)))</f>
        <v>4.072414484</v>
      </c>
      <c r="AB84" s="11">
        <f t="shared" si="5"/>
        <v>0.5182062905</v>
      </c>
      <c r="AC84" s="11">
        <f t="shared" si="6"/>
        <v>0.4817937095</v>
      </c>
      <c r="AD84" s="4" t="str">
        <f>IF(AB84="","",IF(AB84&gt;=0.5+Config!$B$6,"OVER",IF(AC84&gt;=0.5+Config!$B$6,"UNDER","—")))</f>
        <v>—</v>
      </c>
      <c r="AE84" s="18">
        <f t="shared" si="7"/>
        <v>1.000438011</v>
      </c>
    </row>
    <row r="85" ht="15.75" customHeight="1">
      <c r="A85" s="4" t="s">
        <v>86</v>
      </c>
      <c r="B85" s="4" t="s">
        <v>1234</v>
      </c>
      <c r="C85" s="4" t="s">
        <v>1369</v>
      </c>
      <c r="D85" s="4" t="s">
        <v>1242</v>
      </c>
      <c r="E85" s="4" t="s">
        <v>772</v>
      </c>
      <c r="F85" s="4">
        <v>26.5</v>
      </c>
      <c r="G85" s="12">
        <f t="array" ref="G85">IFERROR(INDEX(CHOOSE(MATCH($X85,{"K1","K2","K3","K12","K13","H1","H2","H3","H12","H13"},0),Calc!$V$2:$V$157,Calc!$AC$2:$AC$157,Calc!$AJ$2:$AJ$157,Calc!$AL$2:$AL$157,Calc!$AM$2:$AM$157,Calc!$W$2:$W$157,Calc!$AD$2:$AD$157,Calc!$AK$2:$AK$157,Calc!$AN$2:$AN$157,Calc!$AO$2:$AO$157),MATCH($W85,Calc!$A$2:$A$157,0)),"")</f>
        <v>25.83583333</v>
      </c>
      <c r="H85" s="12">
        <f t="array" ref="H85">IF(G85="","",IF(LEFT($X85,1)="H",SQRT(G85*(IFERROR(INDEX(Calc!$AP$2:$AP$157,MATCH($W85,Calc!$A$2:$A$157,0)),0.5)*Config!$B$5+1-IFERROR(INDEX(Calc!$AP$2:$AP$157,MATCH($W85,Calc!$A$2:$A$157,0)),0.5))),SQRT(G85*Config!$B$5)))</f>
        <v>6.014163838</v>
      </c>
      <c r="I85" s="11">
        <f t="shared" si="1"/>
        <v>0.456032694</v>
      </c>
      <c r="J85" s="11">
        <f t="shared" si="2"/>
        <v>0.543967306</v>
      </c>
      <c r="K85" s="11">
        <f t="shared" si="3"/>
        <v>0</v>
      </c>
      <c r="L85" s="4" t="str">
        <f>IF(I85="","",IF(I85&gt;=0.5+Config!$B$6,"OVER",IF(J85&gt;=0.5+Config!$B$6,"UNDER","—")))</f>
        <v>UNDER</v>
      </c>
      <c r="N85" s="4">
        <v>27.8</v>
      </c>
      <c r="O85" s="11">
        <v>0.4</v>
      </c>
      <c r="P85" s="11">
        <v>0.7</v>
      </c>
      <c r="Q85" s="11">
        <v>0.6</v>
      </c>
      <c r="R85" s="4" t="s">
        <v>579</v>
      </c>
      <c r="S85" s="4">
        <v>-1.0</v>
      </c>
      <c r="T85" s="4" t="str">
        <f t="array" ref="T85">INDEX(Calc!$G$2:$G$157,MATCH($W85,Calc!$A$2:$A$157,0))&amp;" / "&amp;INDEX(Calc!$H$2:$H$157,MATCH($W85,Calc!$A$2:$A$157,0))</f>
        <v>Ancient / Nuke</v>
      </c>
      <c r="U85" s="4" t="str">
        <f t="array" ref="U85">TEXT(INDEX(Calc!$J$2:$J$157,MATCH($W85,Calc!$A$2:$A$157,0)),"0.0")&amp;" / "&amp;TEXT(INDEX(Calc!$K$2:$K$157,MATCH($W85,Calc!$A$2:$A$157,0)),"0.0")</f>
        <v>21.5 / 21.5</v>
      </c>
      <c r="V85" s="4" t="str">
        <f t="array" ref="V85">IFERROR(INDEX(Calc!$AQ$2:$AQ$157,MATCH($W85,Calc!$A$2:$A$157,0)),"")</f>
        <v/>
      </c>
      <c r="W85" s="4" t="s">
        <v>3162</v>
      </c>
      <c r="X85" s="4" t="s">
        <v>926</v>
      </c>
      <c r="Y85" s="4" t="str">
        <f t="shared" si="4"/>
        <v>e1p0xlwtwfrt8qa|CS2 · BBL vs EYE|K12</v>
      </c>
      <c r="Z85" s="12">
        <f t="array" ref="Z85">IFERROR(INDEX(CHOOSE(MATCH($X85,{"K1","K2","K3","K12","K13","H1","H2","H3","H12","H13"},0),Calc!$BA$2:$BA$157,Calc!$BB$2:$BB$157,Calc!$BC$2:$BC$157,Calc!$BD$2:$BD$157,Calc!$BE$2:$BE$157,Calc!$BF$2:$BF$157,Calc!$BG$2:$BG$157,Calc!$BH$2:$BH$157,Calc!$BI$2:$BI$157,Calc!$BJ$2:$BJ$157),MATCH($W85,Calc!$A$2:$A$157,0)),"")</f>
        <v>25.847016</v>
      </c>
      <c r="AA85" s="12">
        <f t="array" ref="AA85">IF(Z85="","",IF(LEFT($X85,1)="H",SQRT(Z85*(IFERROR(INDEX(Calc!$AP$2:$AP$157,MATCH($W85,Calc!$A$2:$A$157,0)),0.5)*Config!$B$5+1-IFERROR(INDEX(Calc!$AP$2:$AP$157,MATCH($W85,Calc!$A$2:$A$157,0)),0.5))),SQRT(Z85*Config!$B$5)))</f>
        <v>6.015465269</v>
      </c>
      <c r="AB85" s="11">
        <f t="shared" si="5"/>
        <v>0.4567793644</v>
      </c>
      <c r="AC85" s="11">
        <f t="shared" si="6"/>
        <v>0.5432206356</v>
      </c>
      <c r="AD85" s="4" t="str">
        <f>IF(AB85="","",IF(AB85&gt;=0.5+Config!$B$6,"OVER",IF(AC85&gt;=0.5+Config!$B$6,"UNDER","—")))</f>
        <v>UNDER</v>
      </c>
      <c r="AE85" s="18">
        <f t="shared" si="7"/>
        <v>1.000432835</v>
      </c>
    </row>
    <row r="86" ht="15.75" customHeight="1">
      <c r="A86" s="4" t="s">
        <v>86</v>
      </c>
      <c r="B86" s="4" t="s">
        <v>7</v>
      </c>
      <c r="C86" s="4" t="s">
        <v>1323</v>
      </c>
      <c r="D86" s="4" t="s">
        <v>122</v>
      </c>
      <c r="E86" s="4" t="s">
        <v>370</v>
      </c>
      <c r="F86" s="4">
        <v>11.5</v>
      </c>
      <c r="G86" s="12">
        <f t="array" ref="G86">IFERROR(INDEX(CHOOSE(MATCH($X86,{"K1","K2","K3","K12","K13","H1","H2","H3","H12","H13"},0),Calc!$V$2:$V$157,Calc!$AC$2:$AC$157,Calc!$AJ$2:$AJ$157,Calc!$AL$2:$AL$157,Calc!$AM$2:$AM$157,Calc!$W$2:$W$157,Calc!$AD$2:$AD$157,Calc!$AK$2:$AK$157,Calc!$AN$2:$AN$157,Calc!$AO$2:$AO$157),MATCH($W86,Calc!$A$2:$A$157,0)),"")</f>
        <v>10.76906591</v>
      </c>
      <c r="H86" s="12">
        <f t="array" ref="H86">IF(G86="","",IF(LEFT($X86,1)="H",SQRT(G86*(IFERROR(INDEX(Calc!$AP$2:$AP$157,MATCH($W86,Calc!$A$2:$A$157,0)),0.5)*Config!$B$5+1-IFERROR(INDEX(Calc!$AP$2:$AP$157,MATCH($W86,Calc!$A$2:$A$157,0)),0.5))),SQRT(G86*Config!$B$5)))</f>
        <v>3.547349356</v>
      </c>
      <c r="I86" s="11">
        <f t="shared" si="1"/>
        <v>0.4183756236</v>
      </c>
      <c r="J86" s="11">
        <f t="shared" si="2"/>
        <v>0.5816243764</v>
      </c>
      <c r="K86" s="11">
        <f t="shared" si="3"/>
        <v>0</v>
      </c>
      <c r="L86" s="4" t="str">
        <f>IF(I86="","",IF(I86&gt;=0.5+Config!$B$6,"OVER",IF(J86&gt;=0.5+Config!$B$6,"UNDER","—")))</f>
        <v>UNDER</v>
      </c>
      <c r="N86" s="4">
        <v>13.0</v>
      </c>
      <c r="O86" s="11">
        <v>0.4</v>
      </c>
      <c r="P86" s="11">
        <v>0.5</v>
      </c>
      <c r="Q86" s="11">
        <v>0.47</v>
      </c>
      <c r="R86" s="4" t="s">
        <v>3163</v>
      </c>
      <c r="S86" s="4">
        <v>-2.0</v>
      </c>
      <c r="T86" s="4" t="str">
        <f t="array" ref="T86">INDEX(Calc!$G$2:$G$157,MATCH($W86,Calc!$A$2:$A$157,0))&amp;" / "&amp;INDEX(Calc!$H$2:$H$157,MATCH($W86,Calc!$A$2:$A$157,0))</f>
        <v>Ancient / Anubis</v>
      </c>
      <c r="U86" s="4" t="str">
        <f t="array" ref="U86">TEXT(INDEX(Calc!$J$2:$J$157,MATCH($W86,Calc!$A$2:$A$157,0)),"0.0")&amp;" / "&amp;TEXT(INDEX(Calc!$K$2:$K$157,MATCH($W86,Calc!$A$2:$A$157,0)),"0.0")</f>
        <v>21.4 / 21.3</v>
      </c>
      <c r="V86" s="4" t="str">
        <f t="array" ref="V86">IFERROR(INDEX(Calc!$AQ$2:$AQ$157,MATCH($W86,Calc!$A$2:$A$157,0)),"")</f>
        <v/>
      </c>
      <c r="W86" s="4" t="s">
        <v>3164</v>
      </c>
      <c r="X86" s="4" t="s">
        <v>634</v>
      </c>
      <c r="Y86" s="4" t="str">
        <f t="shared" si="4"/>
        <v>ipodft09sqdlaqf|CS2 · EF vs BCA|H12</v>
      </c>
      <c r="Z86" s="12">
        <f t="array" ref="Z86">IFERROR(INDEX(CHOOSE(MATCH($X86,{"K1","K2","K3","K12","K13","H1","H2","H3","H12","H13"},0),Calc!$BA$2:$BA$157,Calc!$BB$2:$BB$157,Calc!$BC$2:$BC$157,Calc!$BD$2:$BD$157,Calc!$BE$2:$BE$157,Calc!$BF$2:$BF$157,Calc!$BG$2:$BG$157,Calc!$BH$2:$BH$157,Calc!$BI$2:$BI$157,Calc!$BJ$2:$BJ$157),MATCH($W86,Calc!$A$2:$A$157,0)),"")</f>
        <v>10.56193659</v>
      </c>
      <c r="AA86" s="12">
        <f t="array" ref="AA86">IF(Z86="","",IF(LEFT($X86,1)="H",SQRT(Z86*(IFERROR(INDEX(Calc!$AP$2:$AP$157,MATCH($W86,Calc!$A$2:$A$157,0)),0.5)*Config!$B$5+1-IFERROR(INDEX(Calc!$AP$2:$AP$157,MATCH($W86,Calc!$A$2:$A$157,0)),0.5))),SQRT(Z86*Config!$B$5)))</f>
        <v>3.513069342</v>
      </c>
      <c r="AB86" s="11">
        <f t="shared" si="5"/>
        <v>0.3947264831</v>
      </c>
      <c r="AC86" s="11">
        <f t="shared" si="6"/>
        <v>0.6052735169</v>
      </c>
      <c r="AD86" s="4" t="str">
        <f>IF(AB86="","",IF(AB86&gt;=0.5+Config!$B$6,"OVER",IF(AC86&gt;=0.5+Config!$B$6,"UNDER","—")))</f>
        <v>UNDER</v>
      </c>
      <c r="AE86" s="18">
        <f t="shared" si="7"/>
        <v>0.9807662693</v>
      </c>
    </row>
    <row r="87" ht="15.75" customHeight="1">
      <c r="A87" s="4" t="s">
        <v>86</v>
      </c>
      <c r="B87" s="4" t="s">
        <v>7</v>
      </c>
      <c r="C87" s="4" t="s">
        <v>1323</v>
      </c>
      <c r="D87" s="4" t="s">
        <v>122</v>
      </c>
      <c r="E87" s="4" t="s">
        <v>772</v>
      </c>
      <c r="F87" s="4">
        <v>25.5</v>
      </c>
      <c r="G87" s="12">
        <f t="array" ref="G87">IFERROR(INDEX(CHOOSE(MATCH($X87,{"K1","K2","K3","K12","K13","H1","H2","H3","H12","H13"},0),Calc!$V$2:$V$157,Calc!$AC$2:$AC$157,Calc!$AJ$2:$AJ$157,Calc!$AL$2:$AL$157,Calc!$AM$2:$AM$157,Calc!$W$2:$W$157,Calc!$AD$2:$AD$157,Calc!$AK$2:$AK$157,Calc!$AN$2:$AN$157,Calc!$AO$2:$AO$157),MATCH($W87,Calc!$A$2:$A$157,0)),"")</f>
        <v>25.56406993</v>
      </c>
      <c r="H87" s="12">
        <f t="array" ref="H87">IF(G87="","",IF(LEFT($X87,1)="H",SQRT(G87*(IFERROR(INDEX(Calc!$AP$2:$AP$157,MATCH($W87,Calc!$A$2:$A$157,0)),0.5)*Config!$B$5+1-IFERROR(INDEX(Calc!$AP$2:$AP$157,MATCH($W87,Calc!$A$2:$A$157,0)),0.5))),SQRT(G87*Config!$B$5)))</f>
        <v>5.982449156</v>
      </c>
      <c r="I87" s="11">
        <f t="shared" si="1"/>
        <v>0.5042724501</v>
      </c>
      <c r="J87" s="11">
        <f t="shared" si="2"/>
        <v>0.4957275499</v>
      </c>
      <c r="K87" s="11">
        <f t="shared" si="3"/>
        <v>0</v>
      </c>
      <c r="L87" s="4" t="str">
        <f>IF(I87="","",IF(I87&gt;=0.5+Config!$B$6,"OVER",IF(J87&gt;=0.5+Config!$B$6,"UNDER","—")))</f>
        <v>—</v>
      </c>
      <c r="N87" s="4">
        <v>27.7</v>
      </c>
      <c r="O87" s="11">
        <v>0.6</v>
      </c>
      <c r="P87" s="11">
        <v>0.6</v>
      </c>
      <c r="Q87" s="11">
        <v>0.67</v>
      </c>
      <c r="R87" s="4" t="s">
        <v>3163</v>
      </c>
      <c r="S87" s="4">
        <v>1.0</v>
      </c>
      <c r="T87" s="4" t="str">
        <f t="array" ref="T87">INDEX(Calc!$G$2:$G$157,MATCH($W87,Calc!$A$2:$A$157,0))&amp;" / "&amp;INDEX(Calc!$H$2:$H$157,MATCH($W87,Calc!$A$2:$A$157,0))</f>
        <v>Ancient / Anubis</v>
      </c>
      <c r="U87" s="4" t="str">
        <f t="array" ref="U87">TEXT(INDEX(Calc!$J$2:$J$157,MATCH($W87,Calc!$A$2:$A$157,0)),"0.0")&amp;" / "&amp;TEXT(INDEX(Calc!$K$2:$K$157,MATCH($W87,Calc!$A$2:$A$157,0)),"0.0")</f>
        <v>21.4 / 21.3</v>
      </c>
      <c r="V87" s="4" t="str">
        <f t="array" ref="V87">IFERROR(INDEX(Calc!$AQ$2:$AQ$157,MATCH($W87,Calc!$A$2:$A$157,0)),"")</f>
        <v/>
      </c>
      <c r="W87" s="4" t="s">
        <v>3164</v>
      </c>
      <c r="X87" s="4" t="s">
        <v>926</v>
      </c>
      <c r="Y87" s="4" t="str">
        <f t="shared" si="4"/>
        <v>ipodft09sqdlaqf|CS2 · EF vs BCA|K12</v>
      </c>
      <c r="Z87" s="12">
        <f t="array" ref="Z87">IFERROR(INDEX(CHOOSE(MATCH($X87,{"K1","K2","K3","K12","K13","H1","H2","H3","H12","H13"},0),Calc!$BA$2:$BA$157,Calc!$BB$2:$BB$157,Calc!$BC$2:$BC$157,Calc!$BD$2:$BD$157,Calc!$BE$2:$BE$157,Calc!$BF$2:$BF$157,Calc!$BG$2:$BG$157,Calc!$BH$2:$BH$157,Calc!$BI$2:$BI$157,Calc!$BJ$2:$BJ$157),MATCH($W87,Calc!$A$2:$A$157,0)),"")</f>
        <v>25.06353234</v>
      </c>
      <c r="AA87" s="12">
        <f t="array" ref="AA87">IF(Z87="","",IF(LEFT($X87,1)="H",SQRT(Z87*(IFERROR(INDEX(Calc!$AP$2:$AP$157,MATCH($W87,Calc!$A$2:$A$157,0)),0.5)*Config!$B$5+1-IFERROR(INDEX(Calc!$AP$2:$AP$157,MATCH($W87,Calc!$A$2:$A$157,0)),0.5))),SQRT(Z87*Config!$B$5)))</f>
        <v>5.923592261</v>
      </c>
      <c r="AB87" s="11">
        <f t="shared" si="5"/>
        <v>0.4706313391</v>
      </c>
      <c r="AC87" s="11">
        <f t="shared" si="6"/>
        <v>0.5293686609</v>
      </c>
      <c r="AD87" s="4" t="str">
        <f>IF(AB87="","",IF(AB87&gt;=0.5+Config!$B$6,"OVER",IF(AC87&gt;=0.5+Config!$B$6,"UNDER","—")))</f>
        <v>—</v>
      </c>
      <c r="AE87" s="18">
        <f t="shared" si="7"/>
        <v>0.9804202699</v>
      </c>
    </row>
    <row r="88" ht="15.75" customHeight="1">
      <c r="A88" s="4" t="s">
        <v>86</v>
      </c>
      <c r="B88" s="4" t="s">
        <v>7</v>
      </c>
      <c r="C88" s="4" t="s">
        <v>1327</v>
      </c>
      <c r="D88" s="4" t="s">
        <v>122</v>
      </c>
      <c r="E88" s="4" t="s">
        <v>370</v>
      </c>
      <c r="F88" s="4">
        <v>15.5</v>
      </c>
      <c r="G88" s="12">
        <f t="array" ref="G88">IFERROR(INDEX(CHOOSE(MATCH($X88,{"K1","K2","K3","K12","K13","H1","H2","H3","H12","H13"},0),Calc!$V$2:$V$157,Calc!$AC$2:$AC$157,Calc!$AJ$2:$AJ$157,Calc!$AL$2:$AL$157,Calc!$AM$2:$AM$157,Calc!$W$2:$W$157,Calc!$AD$2:$AD$157,Calc!$AK$2:$AK$157,Calc!$AN$2:$AN$157,Calc!$AO$2:$AO$157),MATCH($W88,Calc!$A$2:$A$157,0)),"")</f>
        <v>16.45992417</v>
      </c>
      <c r="H88" s="12">
        <f t="array" ref="H88">IF(G88="","",IF(LEFT($X88,1)="H",SQRT(G88*(IFERROR(INDEX(Calc!$AP$2:$AP$157,MATCH($W88,Calc!$A$2:$A$157,0)),0.5)*Config!$B$5+1-IFERROR(INDEX(Calc!$AP$2:$AP$157,MATCH($W88,Calc!$A$2:$A$157,0)),0.5))),SQRT(G88*Config!$B$5)))</f>
        <v>4.450306603</v>
      </c>
      <c r="I88" s="11">
        <f t="shared" si="1"/>
        <v>0.5853885892</v>
      </c>
      <c r="J88" s="11">
        <f t="shared" si="2"/>
        <v>0.4146114108</v>
      </c>
      <c r="K88" s="11">
        <f t="shared" si="3"/>
        <v>0</v>
      </c>
      <c r="L88" s="4" t="str">
        <f>IF(I88="","",IF(I88&gt;=0.5+Config!$B$6,"OVER",IF(J88&gt;=0.5+Config!$B$6,"UNDER","—")))</f>
        <v>OVER</v>
      </c>
      <c r="N88" s="4">
        <v>18.1</v>
      </c>
      <c r="O88" s="11">
        <v>0.6</v>
      </c>
      <c r="P88" s="11">
        <v>0.8</v>
      </c>
      <c r="Q88" s="11">
        <v>0.73</v>
      </c>
      <c r="R88" s="4" t="s">
        <v>3157</v>
      </c>
      <c r="S88" s="4">
        <v>-2.0</v>
      </c>
      <c r="T88" s="4" t="str">
        <f t="array" ref="T88">INDEX(Calc!$G$2:$G$157,MATCH($W88,Calc!$A$2:$A$157,0))&amp;" / "&amp;INDEX(Calc!$H$2:$H$157,MATCH($W88,Calc!$A$2:$A$157,0))</f>
        <v>Ancient / Anubis</v>
      </c>
      <c r="U88" s="4" t="str">
        <f t="array" ref="U88">TEXT(INDEX(Calc!$J$2:$J$157,MATCH($W88,Calc!$A$2:$A$157,0)),"0.0")&amp;" / "&amp;TEXT(INDEX(Calc!$K$2:$K$157,MATCH($W88,Calc!$A$2:$A$157,0)),"0.0")</f>
        <v>21.4 / 21.3</v>
      </c>
      <c r="V88" s="4" t="str">
        <f t="array" ref="V88">IFERROR(INDEX(Calc!$AQ$2:$AQ$157,MATCH($W88,Calc!$A$2:$A$157,0)),"")</f>
        <v/>
      </c>
      <c r="W88" s="4" t="s">
        <v>3165</v>
      </c>
      <c r="X88" s="4" t="s">
        <v>634</v>
      </c>
      <c r="Y88" s="4" t="str">
        <f t="shared" si="4"/>
        <v>ynmieq7eicmbcow|CS2 · EF vs BCA|H12</v>
      </c>
      <c r="Z88" s="12">
        <f t="array" ref="Z88">IFERROR(INDEX(CHOOSE(MATCH($X88,{"K1","K2","K3","K12","K13","H1","H2","H3","H12","H13"},0),Calc!$BA$2:$BA$157,Calc!$BB$2:$BB$157,Calc!$BC$2:$BC$157,Calc!$BD$2:$BD$157,Calc!$BE$2:$BE$157,Calc!$BF$2:$BF$157,Calc!$BG$2:$BG$157,Calc!$BH$2:$BH$157,Calc!$BI$2:$BI$157,Calc!$BJ$2:$BJ$157),MATCH($W88,Calc!$A$2:$A$157,0)),"")</f>
        <v>16.12512947</v>
      </c>
      <c r="AA88" s="12">
        <f t="array" ref="AA88">IF(Z88="","",IF(LEFT($X88,1)="H",SQRT(Z88*(IFERROR(INDEX(Calc!$AP$2:$AP$157,MATCH($W88,Calc!$A$2:$A$157,0)),0.5)*Config!$B$5+1-IFERROR(INDEX(Calc!$AP$2:$AP$157,MATCH($W88,Calc!$A$2:$A$157,0)),0.5))),SQRT(Z88*Config!$B$5)))</f>
        <v>4.404814491</v>
      </c>
      <c r="AB88" s="11">
        <f t="shared" si="5"/>
        <v>0.5564282401</v>
      </c>
      <c r="AC88" s="11">
        <f t="shared" si="6"/>
        <v>0.4435717599</v>
      </c>
      <c r="AD88" s="4" t="str">
        <f>IF(AB88="","",IF(AB88&gt;=0.5+Config!$B$6,"OVER",IF(AC88&gt;=0.5+Config!$B$6,"UNDER","—")))</f>
        <v>OVER</v>
      </c>
      <c r="AE88" s="18">
        <f t="shared" si="7"/>
        <v>0.9796600097</v>
      </c>
    </row>
    <row r="89" ht="15.75" customHeight="1">
      <c r="A89" s="4" t="s">
        <v>86</v>
      </c>
      <c r="B89" s="4" t="s">
        <v>7</v>
      </c>
      <c r="C89" s="4" t="s">
        <v>1327</v>
      </c>
      <c r="D89" s="4" t="s">
        <v>122</v>
      </c>
      <c r="E89" s="4" t="s">
        <v>772</v>
      </c>
      <c r="F89" s="4">
        <v>29.5</v>
      </c>
      <c r="G89" s="12">
        <f t="array" ref="G89">IFERROR(INDEX(CHOOSE(MATCH($X89,{"K1","K2","K3","K12","K13","H1","H2","H3","H12","H13"},0),Calc!$V$2:$V$157,Calc!$AC$2:$AC$157,Calc!$AJ$2:$AJ$157,Calc!$AL$2:$AL$157,Calc!$AM$2:$AM$157,Calc!$W$2:$W$157,Calc!$AD$2:$AD$157,Calc!$AK$2:$AK$157,Calc!$AN$2:$AN$157,Calc!$AO$2:$AO$157),MATCH($W89,Calc!$A$2:$A$157,0)),"")</f>
        <v>32.39514825</v>
      </c>
      <c r="H89" s="12">
        <f t="array" ref="H89">IF(G89="","",IF(LEFT($X89,1)="H",SQRT(G89*(IFERROR(INDEX(Calc!$AP$2:$AP$157,MATCH($W89,Calc!$A$2:$A$157,0)),0.5)*Config!$B$5+1-IFERROR(INDEX(Calc!$AP$2:$AP$157,MATCH($W89,Calc!$A$2:$A$157,0)),0.5))),SQRT(G89*Config!$B$5)))</f>
        <v>6.734479011</v>
      </c>
      <c r="I89" s="11">
        <f t="shared" si="1"/>
        <v>0.6663655764</v>
      </c>
      <c r="J89" s="11">
        <f t="shared" si="2"/>
        <v>0.3336344236</v>
      </c>
      <c r="K89" s="11">
        <f t="shared" si="3"/>
        <v>0</v>
      </c>
      <c r="L89" s="4" t="str">
        <f>IF(I89="","",IF(I89&gt;=0.5+Config!$B$6,"OVER",IF(J89&gt;=0.5+Config!$B$6,"UNDER","—")))</f>
        <v>OVER</v>
      </c>
      <c r="N89" s="4">
        <v>33.5</v>
      </c>
      <c r="O89" s="11">
        <v>0.4</v>
      </c>
      <c r="P89" s="11">
        <v>0.6</v>
      </c>
      <c r="Q89" s="11">
        <v>0.67</v>
      </c>
      <c r="R89" s="4" t="s">
        <v>2488</v>
      </c>
      <c r="S89" s="4">
        <v>-3.0</v>
      </c>
      <c r="T89" s="4" t="str">
        <f t="array" ref="T89">INDEX(Calc!$G$2:$G$157,MATCH($W89,Calc!$A$2:$A$157,0))&amp;" / "&amp;INDEX(Calc!$H$2:$H$157,MATCH($W89,Calc!$A$2:$A$157,0))</f>
        <v>Ancient / Anubis</v>
      </c>
      <c r="U89" s="4" t="str">
        <f t="array" ref="U89">TEXT(INDEX(Calc!$J$2:$J$157,MATCH($W89,Calc!$A$2:$A$157,0)),"0.0")&amp;" / "&amp;TEXT(INDEX(Calc!$K$2:$K$157,MATCH($W89,Calc!$A$2:$A$157,0)),"0.0")</f>
        <v>21.4 / 21.3</v>
      </c>
      <c r="V89" s="4" t="str">
        <f t="array" ref="V89">IFERROR(INDEX(Calc!$AQ$2:$AQ$157,MATCH($W89,Calc!$A$2:$A$157,0)),"")</f>
        <v/>
      </c>
      <c r="W89" s="4" t="s">
        <v>3165</v>
      </c>
      <c r="X89" s="4" t="s">
        <v>926</v>
      </c>
      <c r="Y89" s="4" t="str">
        <f t="shared" si="4"/>
        <v>ynmieq7eicmbcow|CS2 · EF vs BCA|K12</v>
      </c>
      <c r="Z89" s="12">
        <f t="array" ref="Z89">IFERROR(INDEX(CHOOSE(MATCH($X89,{"K1","K2","K3","K12","K13","H1","H2","H3","H12","H13"},0),Calc!$BA$2:$BA$157,Calc!$BB$2:$BB$157,Calc!$BC$2:$BC$157,Calc!$BD$2:$BD$157,Calc!$BE$2:$BE$157,Calc!$BF$2:$BF$157,Calc!$BG$2:$BG$157,Calc!$BH$2:$BH$157,Calc!$BI$2:$BI$157,Calc!$BJ$2:$BJ$157),MATCH($W89,Calc!$A$2:$A$157,0)),"")</f>
        <v>31.71981041</v>
      </c>
      <c r="AA89" s="12">
        <f t="array" ref="AA89">IF(Z89="","",IF(LEFT($X89,1)="H",SQRT(Z89*(IFERROR(INDEX(Calc!$AP$2:$AP$157,MATCH($W89,Calc!$A$2:$A$157,0)),0.5)*Config!$B$5+1-IFERROR(INDEX(Calc!$AP$2:$AP$157,MATCH($W89,Calc!$A$2:$A$157,0)),0.5))),SQRT(Z89*Config!$B$5)))</f>
        <v>6.663912858</v>
      </c>
      <c r="AB89" s="11">
        <f t="shared" si="5"/>
        <v>0.6304740572</v>
      </c>
      <c r="AC89" s="11">
        <f t="shared" si="6"/>
        <v>0.3695259428</v>
      </c>
      <c r="AD89" s="4" t="str">
        <f>IF(AB89="","",IF(AB89&gt;=0.5+Config!$B$6,"OVER",IF(AC89&gt;=0.5+Config!$B$6,"UNDER","—")))</f>
        <v>OVER</v>
      </c>
      <c r="AE89" s="18">
        <f t="shared" si="7"/>
        <v>0.9791531178</v>
      </c>
    </row>
    <row r="90" ht="15.75" customHeight="1">
      <c r="A90" s="4" t="s">
        <v>86</v>
      </c>
      <c r="B90" s="4" t="s">
        <v>7</v>
      </c>
      <c r="C90" s="4" t="s">
        <v>1331</v>
      </c>
      <c r="D90" s="4" t="s">
        <v>122</v>
      </c>
      <c r="E90" s="4" t="s">
        <v>370</v>
      </c>
      <c r="F90" s="4">
        <v>13.5</v>
      </c>
      <c r="G90" s="12">
        <f t="array" ref="G90">IFERROR(INDEX(CHOOSE(MATCH($X90,{"K1","K2","K3","K12","K13","H1","H2","H3","H12","H13"},0),Calc!$V$2:$V$157,Calc!$AC$2:$AC$157,Calc!$AJ$2:$AJ$157,Calc!$AL$2:$AL$157,Calc!$AM$2:$AM$157,Calc!$W$2:$W$157,Calc!$AD$2:$AD$157,Calc!$AK$2:$AK$157,Calc!$AN$2:$AN$157,Calc!$AO$2:$AO$157),MATCH($W90,Calc!$A$2:$A$157,0)),"")</f>
        <v>12.78782358</v>
      </c>
      <c r="H90" s="12">
        <f t="array" ref="H90">IF(G90="","",IF(LEFT($X90,1)="H",SQRT(G90*(IFERROR(INDEX(Calc!$AP$2:$AP$157,MATCH($W90,Calc!$A$2:$A$157,0)),0.5)*Config!$B$5+1-IFERROR(INDEX(Calc!$AP$2:$AP$157,MATCH($W90,Calc!$A$2:$A$157,0)),0.5))),SQRT(G90*Config!$B$5)))</f>
        <v>3.907242314</v>
      </c>
      <c r="I90" s="11">
        <f t="shared" si="1"/>
        <v>0.4276850831</v>
      </c>
      <c r="J90" s="11">
        <f t="shared" si="2"/>
        <v>0.5723149169</v>
      </c>
      <c r="K90" s="11">
        <f t="shared" si="3"/>
        <v>0</v>
      </c>
      <c r="L90" s="4" t="str">
        <f>IF(I90="","",IF(I90&gt;=0.5+Config!$B$6,"OVER",IF(J90&gt;=0.5+Config!$B$6,"UNDER","—")))</f>
        <v>UNDER</v>
      </c>
      <c r="N90" s="4">
        <v>12.5</v>
      </c>
      <c r="O90" s="11">
        <v>0.6</v>
      </c>
      <c r="P90" s="11">
        <v>0.4</v>
      </c>
      <c r="Q90" s="11">
        <v>0.6</v>
      </c>
      <c r="R90" s="4" t="s">
        <v>3166</v>
      </c>
      <c r="S90" s="4">
        <v>-2.0</v>
      </c>
      <c r="T90" s="4" t="str">
        <f t="array" ref="T90">INDEX(Calc!$G$2:$G$157,MATCH($W90,Calc!$A$2:$A$157,0))&amp;" / "&amp;INDEX(Calc!$H$2:$H$157,MATCH($W90,Calc!$A$2:$A$157,0))</f>
        <v>Ancient / Anubis</v>
      </c>
      <c r="U90" s="4" t="str">
        <f t="array" ref="U90">TEXT(INDEX(Calc!$J$2:$J$157,MATCH($W90,Calc!$A$2:$A$157,0)),"0.0")&amp;" / "&amp;TEXT(INDEX(Calc!$K$2:$K$157,MATCH($W90,Calc!$A$2:$A$157,0)),"0.0")</f>
        <v>21.4 / 21.3</v>
      </c>
      <c r="V90" s="4" t="str">
        <f t="array" ref="V90">IFERROR(INDEX(Calc!$AQ$2:$AQ$157,MATCH($W90,Calc!$A$2:$A$157,0)),"")</f>
        <v/>
      </c>
      <c r="W90" s="4" t="s">
        <v>3167</v>
      </c>
      <c r="X90" s="4" t="s">
        <v>634</v>
      </c>
      <c r="Y90" s="4" t="str">
        <f t="shared" si="4"/>
        <v>0me0g5v8fk4yzec|CS2 · EF vs BCA|H12</v>
      </c>
      <c r="Z90" s="12">
        <f t="array" ref="Z90">IFERROR(INDEX(CHOOSE(MATCH($X90,{"K1","K2","K3","K12","K13","H1","H2","H3","H12","H13"},0),Calc!$BA$2:$BA$157,Calc!$BB$2:$BB$157,Calc!$BC$2:$BC$157,Calc!$BD$2:$BD$157,Calc!$BE$2:$BE$157,Calc!$BF$2:$BF$157,Calc!$BG$2:$BG$157,Calc!$BH$2:$BH$157,Calc!$BI$2:$BI$157,Calc!$BJ$2:$BJ$157),MATCH($W90,Calc!$A$2:$A$157,0)),"")</f>
        <v>12.53461926</v>
      </c>
      <c r="AA90" s="12">
        <f t="array" ref="AA90">IF(Z90="","",IF(LEFT($X90,1)="H",SQRT(Z90*(IFERROR(INDEX(Calc!$AP$2:$AP$157,MATCH($W90,Calc!$A$2:$A$157,0)),0.5)*Config!$B$5+1-IFERROR(INDEX(Calc!$AP$2:$AP$157,MATCH($W90,Calc!$A$2:$A$157,0)),0.5))),SQRT(Z90*Config!$B$5)))</f>
        <v>3.868366385</v>
      </c>
      <c r="AB90" s="11">
        <f t="shared" si="5"/>
        <v>0.4014646945</v>
      </c>
      <c r="AC90" s="11">
        <f t="shared" si="6"/>
        <v>0.5985353055</v>
      </c>
      <c r="AD90" s="4" t="str">
        <f>IF(AB90="","",IF(AB90&gt;=0.5+Config!$B$6,"OVER",IF(AC90&gt;=0.5+Config!$B$6,"UNDER","—")))</f>
        <v>UNDER</v>
      </c>
      <c r="AE90" s="18">
        <f t="shared" si="7"/>
        <v>0.9801995761</v>
      </c>
    </row>
    <row r="91" ht="15.75" customHeight="1">
      <c r="A91" s="4" t="s">
        <v>86</v>
      </c>
      <c r="B91" s="4" t="s">
        <v>7</v>
      </c>
      <c r="C91" s="4" t="s">
        <v>1331</v>
      </c>
      <c r="D91" s="4" t="s">
        <v>122</v>
      </c>
      <c r="E91" s="4" t="s">
        <v>772</v>
      </c>
      <c r="F91" s="4">
        <v>26.5</v>
      </c>
      <c r="G91" s="12">
        <f t="array" ref="G91">IFERROR(INDEX(CHOOSE(MATCH($X91,{"K1","K2","K3","K12","K13","H1","H2","H3","H12","H13"},0),Calc!$V$2:$V$157,Calc!$AC$2:$AC$157,Calc!$AJ$2:$AJ$157,Calc!$AL$2:$AL$157,Calc!$AM$2:$AM$157,Calc!$W$2:$W$157,Calc!$AD$2:$AD$157,Calc!$AK$2:$AK$157,Calc!$AN$2:$AN$157,Calc!$AO$2:$AO$157),MATCH($W91,Calc!$A$2:$A$157,0)),"")</f>
        <v>26.38918531</v>
      </c>
      <c r="H91" s="12">
        <f t="array" ref="H91">IF(G91="","",IF(LEFT($X91,1)="H",SQRT(G91*(IFERROR(INDEX(Calc!$AP$2:$AP$157,MATCH($W91,Calc!$A$2:$A$157,0)),0.5)*Config!$B$5+1-IFERROR(INDEX(Calc!$AP$2:$AP$157,MATCH($W91,Calc!$A$2:$A$157,0)),0.5))),SQRT(G91*Config!$B$5)))</f>
        <v>6.078228314</v>
      </c>
      <c r="I91" s="11">
        <f t="shared" si="1"/>
        <v>0.4927271218</v>
      </c>
      <c r="J91" s="11">
        <f t="shared" si="2"/>
        <v>0.5072728782</v>
      </c>
      <c r="K91" s="11">
        <f t="shared" si="3"/>
        <v>0</v>
      </c>
      <c r="L91" s="4" t="str">
        <f>IF(I91="","",IF(I91&gt;=0.5+Config!$B$6,"OVER",IF(J91&gt;=0.5+Config!$B$6,"UNDER","—")))</f>
        <v>—</v>
      </c>
      <c r="N91" s="4">
        <v>26.1</v>
      </c>
      <c r="O91" s="11">
        <v>0.4</v>
      </c>
      <c r="P91" s="11">
        <v>0.5</v>
      </c>
      <c r="Q91" s="11">
        <v>0.67</v>
      </c>
      <c r="R91" s="4" t="s">
        <v>3166</v>
      </c>
      <c r="S91" s="4">
        <v>-3.0</v>
      </c>
      <c r="T91" s="4" t="str">
        <f t="array" ref="T91">INDEX(Calc!$G$2:$G$157,MATCH($W91,Calc!$A$2:$A$157,0))&amp;" / "&amp;INDEX(Calc!$H$2:$H$157,MATCH($W91,Calc!$A$2:$A$157,0))</f>
        <v>Ancient / Anubis</v>
      </c>
      <c r="U91" s="4" t="str">
        <f t="array" ref="U91">TEXT(INDEX(Calc!$J$2:$J$157,MATCH($W91,Calc!$A$2:$A$157,0)),"0.0")&amp;" / "&amp;TEXT(INDEX(Calc!$K$2:$K$157,MATCH($W91,Calc!$A$2:$A$157,0)),"0.0")</f>
        <v>21.4 / 21.3</v>
      </c>
      <c r="V91" s="4" t="str">
        <f t="array" ref="V91">IFERROR(INDEX(Calc!$AQ$2:$AQ$157,MATCH($W91,Calc!$A$2:$A$157,0)),"")</f>
        <v/>
      </c>
      <c r="W91" s="4" t="s">
        <v>3167</v>
      </c>
      <c r="X91" s="4" t="s">
        <v>926</v>
      </c>
      <c r="Y91" s="4" t="str">
        <f t="shared" si="4"/>
        <v>0me0g5v8fk4yzec|CS2 · EF vs BCA|K12</v>
      </c>
      <c r="Z91" s="12">
        <f t="array" ref="Z91">IFERROR(INDEX(CHOOSE(MATCH($X91,{"K1","K2","K3","K12","K13","H1","H2","H3","H12","H13"},0),Calc!$BA$2:$BA$157,Calc!$BB$2:$BB$157,Calc!$BC$2:$BC$157,Calc!$BD$2:$BD$157,Calc!$BE$2:$BE$157,Calc!$BF$2:$BF$157,Calc!$BG$2:$BG$157,Calc!$BH$2:$BH$157,Calc!$BI$2:$BI$157,Calc!$BJ$2:$BJ$157),MATCH($W91,Calc!$A$2:$A$157,0)),"")</f>
        <v>25.85169819</v>
      </c>
      <c r="AA91" s="12">
        <f t="array" ref="AA91">IF(Z91="","",IF(LEFT($X91,1)="H",SQRT(Z91*(IFERROR(INDEX(Calc!$AP$2:$AP$157,MATCH($W91,Calc!$A$2:$A$157,0)),0.5)*Config!$B$5+1-IFERROR(INDEX(Calc!$AP$2:$AP$157,MATCH($W91,Calc!$A$2:$A$157,0)),0.5))),SQRT(Z91*Config!$B$5)))</f>
        <v>6.016010095</v>
      </c>
      <c r="AB91" s="11">
        <f t="shared" si="5"/>
        <v>0.4570919448</v>
      </c>
      <c r="AC91" s="11">
        <f t="shared" si="6"/>
        <v>0.5429080552</v>
      </c>
      <c r="AD91" s="4" t="str">
        <f>IF(AB91="","",IF(AB91&gt;=0.5+Config!$B$6,"OVER",IF(AC91&gt;=0.5+Config!$B$6,"UNDER","—")))</f>
        <v>UNDER</v>
      </c>
      <c r="AE91" s="18">
        <f t="shared" si="7"/>
        <v>0.9796322956</v>
      </c>
    </row>
    <row r="92" ht="15.75" customHeight="1">
      <c r="A92" s="4" t="s">
        <v>86</v>
      </c>
      <c r="B92" s="4" t="s">
        <v>7</v>
      </c>
      <c r="C92" s="4" t="s">
        <v>1334</v>
      </c>
      <c r="D92" s="4" t="s">
        <v>122</v>
      </c>
      <c r="E92" s="4" t="s">
        <v>370</v>
      </c>
      <c r="F92" s="4">
        <v>14.5</v>
      </c>
      <c r="G92" s="12">
        <f t="array" ref="G92">IFERROR(INDEX(CHOOSE(MATCH($X92,{"K1","K2","K3","K12","K13","H1","H2","H3","H12","H13"},0),Calc!$V$2:$V$157,Calc!$AC$2:$AC$157,Calc!$AJ$2:$AJ$157,Calc!$AL$2:$AL$157,Calc!$AM$2:$AM$157,Calc!$W$2:$W$157,Calc!$AD$2:$AD$157,Calc!$AK$2:$AK$157,Calc!$AN$2:$AN$157,Calc!$AO$2:$AO$157),MATCH($W92,Calc!$A$2:$A$157,0)),"")</f>
        <v>15.35559065</v>
      </c>
      <c r="H92" s="12">
        <f t="array" ref="H92">IF(G92="","",IF(LEFT($X92,1)="H",SQRT(G92*(IFERROR(INDEX(Calc!$AP$2:$AP$157,MATCH($W92,Calc!$A$2:$A$157,0)),0.5)*Config!$B$5+1-IFERROR(INDEX(Calc!$AP$2:$AP$157,MATCH($W92,Calc!$A$2:$A$157,0)),0.5))),SQRT(G92*Config!$B$5)))</f>
        <v>4.304038056</v>
      </c>
      <c r="I92" s="11">
        <f t="shared" si="1"/>
        <v>0.5787856663</v>
      </c>
      <c r="J92" s="11">
        <f t="shared" si="2"/>
        <v>0.4212143337</v>
      </c>
      <c r="K92" s="11">
        <f t="shared" si="3"/>
        <v>0</v>
      </c>
      <c r="L92" s="4" t="str">
        <f>IF(I92="","",IF(I92&gt;=0.5+Config!$B$6,"OVER",IF(J92&gt;=0.5+Config!$B$6,"UNDER","—")))</f>
        <v>OVER</v>
      </c>
      <c r="N92" s="4">
        <v>14.6</v>
      </c>
      <c r="O92" s="11">
        <v>0.6</v>
      </c>
      <c r="P92" s="11">
        <v>0.6</v>
      </c>
      <c r="Q92" s="11">
        <v>0.6</v>
      </c>
      <c r="R92" s="4" t="s">
        <v>1158</v>
      </c>
      <c r="S92" s="4">
        <v>1.0</v>
      </c>
      <c r="T92" s="4" t="str">
        <f t="array" ref="T92">INDEX(Calc!$G$2:$G$157,MATCH($W92,Calc!$A$2:$A$157,0))&amp;" / "&amp;INDEX(Calc!$H$2:$H$157,MATCH($W92,Calc!$A$2:$A$157,0))</f>
        <v>Ancient / Anubis</v>
      </c>
      <c r="U92" s="4" t="str">
        <f t="array" ref="U92">TEXT(INDEX(Calc!$J$2:$J$157,MATCH($W92,Calc!$A$2:$A$157,0)),"0.0")&amp;" / "&amp;TEXT(INDEX(Calc!$K$2:$K$157,MATCH($W92,Calc!$A$2:$A$157,0)),"0.0")</f>
        <v>21.4 / 21.3</v>
      </c>
      <c r="V92" s="4" t="str">
        <f t="array" ref="V92">IFERROR(INDEX(Calc!$AQ$2:$AQ$157,MATCH($W92,Calc!$A$2:$A$157,0)),"")</f>
        <v/>
      </c>
      <c r="W92" s="4" t="s">
        <v>3168</v>
      </c>
      <c r="X92" s="4" t="s">
        <v>634</v>
      </c>
      <c r="Y92" s="4" t="str">
        <f t="shared" si="4"/>
        <v>zhf73thl2zdwjk1|CS2 · EF vs BCA|H12</v>
      </c>
      <c r="Z92" s="12">
        <f t="array" ref="Z92">IFERROR(INDEX(CHOOSE(MATCH($X92,{"K1","K2","K3","K12","K13","H1","H2","H3","H12","H13"},0),Calc!$BA$2:$BA$157,Calc!$BB$2:$BB$157,Calc!$BC$2:$BC$157,Calc!$BD$2:$BD$157,Calc!$BE$2:$BE$157,Calc!$BF$2:$BF$157,Calc!$BG$2:$BG$157,Calc!$BH$2:$BH$157,Calc!$BI$2:$BI$157,Calc!$BJ$2:$BJ$157),MATCH($W92,Calc!$A$2:$A$157,0)),"")</f>
        <v>15.05613003</v>
      </c>
      <c r="AA92" s="12">
        <f t="array" ref="AA92">IF(Z92="","",IF(LEFT($X92,1)="H",SQRT(Z92*(IFERROR(INDEX(Calc!$AP$2:$AP$157,MATCH($W92,Calc!$A$2:$A$157,0)),0.5)*Config!$B$5+1-IFERROR(INDEX(Calc!$AP$2:$AP$157,MATCH($W92,Calc!$A$2:$A$157,0)),0.5))),SQRT(Z92*Config!$B$5)))</f>
        <v>4.261863324</v>
      </c>
      <c r="AB92" s="11">
        <f t="shared" si="5"/>
        <v>0.5519105699</v>
      </c>
      <c r="AC92" s="11">
        <f t="shared" si="6"/>
        <v>0.4480894301</v>
      </c>
      <c r="AD92" s="4" t="str">
        <f>IF(AB92="","",IF(AB92&gt;=0.5+Config!$B$6,"OVER",IF(AC92&gt;=0.5+Config!$B$6,"UNDER","—")))</f>
        <v>OVER</v>
      </c>
      <c r="AE92" s="18">
        <f t="shared" si="7"/>
        <v>0.9804982676</v>
      </c>
    </row>
    <row r="93" ht="15.75" customHeight="1">
      <c r="A93" s="4" t="s">
        <v>86</v>
      </c>
      <c r="B93" s="4" t="s">
        <v>7</v>
      </c>
      <c r="C93" s="4" t="s">
        <v>1334</v>
      </c>
      <c r="D93" s="4" t="s">
        <v>122</v>
      </c>
      <c r="E93" s="4" t="s">
        <v>772</v>
      </c>
      <c r="F93" s="4">
        <v>27.5</v>
      </c>
      <c r="G93" s="12">
        <f t="array" ref="G93">IFERROR(INDEX(CHOOSE(MATCH($X93,{"K1","K2","K3","K12","K13","H1","H2","H3","H12","H13"},0),Calc!$V$2:$V$157,Calc!$AC$2:$AC$157,Calc!$AJ$2:$AJ$157,Calc!$AL$2:$AL$157,Calc!$AM$2:$AM$157,Calc!$W$2:$W$157,Calc!$AD$2:$AD$157,Calc!$AK$2:$AK$157,Calc!$AN$2:$AN$157,Calc!$AO$2:$AO$157),MATCH($W93,Calc!$A$2:$A$157,0)),"")</f>
        <v>29.76115944</v>
      </c>
      <c r="H93" s="12">
        <f t="array" ref="H93">IF(G93="","",IF(LEFT($X93,1)="H",SQRT(G93*(IFERROR(INDEX(Calc!$AP$2:$AP$157,MATCH($W93,Calc!$A$2:$A$157,0)),0.5)*Config!$B$5+1-IFERROR(INDEX(Calc!$AP$2:$AP$157,MATCH($W93,Calc!$A$2:$A$157,0)),0.5))),SQRT(G93*Config!$B$5)))</f>
        <v>6.454891418</v>
      </c>
      <c r="I93" s="11">
        <f t="shared" si="1"/>
        <v>0.6369438554</v>
      </c>
      <c r="J93" s="11">
        <f t="shared" si="2"/>
        <v>0.3630561446</v>
      </c>
      <c r="K93" s="11">
        <f t="shared" si="3"/>
        <v>0</v>
      </c>
      <c r="L93" s="4" t="str">
        <f>IF(I93="","",IF(I93&gt;=0.5+Config!$B$6,"OVER",IF(J93&gt;=0.5+Config!$B$6,"UNDER","—")))</f>
        <v>OVER</v>
      </c>
      <c r="N93" s="4">
        <v>29.3</v>
      </c>
      <c r="O93" s="11">
        <v>0.6</v>
      </c>
      <c r="P93" s="11">
        <v>0.7</v>
      </c>
      <c r="Q93" s="11">
        <v>0.67</v>
      </c>
      <c r="R93" s="4" t="s">
        <v>1158</v>
      </c>
      <c r="S93" s="4">
        <v>1.0</v>
      </c>
      <c r="T93" s="4" t="str">
        <f t="array" ref="T93">INDEX(Calc!$G$2:$G$157,MATCH($W93,Calc!$A$2:$A$157,0))&amp;" / "&amp;INDEX(Calc!$H$2:$H$157,MATCH($W93,Calc!$A$2:$A$157,0))</f>
        <v>Ancient / Anubis</v>
      </c>
      <c r="U93" s="4" t="str">
        <f t="array" ref="U93">TEXT(INDEX(Calc!$J$2:$J$157,MATCH($W93,Calc!$A$2:$A$157,0)),"0.0")&amp;" / "&amp;TEXT(INDEX(Calc!$K$2:$K$157,MATCH($W93,Calc!$A$2:$A$157,0)),"0.0")</f>
        <v>21.4 / 21.3</v>
      </c>
      <c r="V93" s="4" t="str">
        <f t="array" ref="V93">IFERROR(INDEX(Calc!$AQ$2:$AQ$157,MATCH($W93,Calc!$A$2:$A$157,0)),"")</f>
        <v/>
      </c>
      <c r="W93" s="4" t="s">
        <v>3168</v>
      </c>
      <c r="X93" s="4" t="s">
        <v>926</v>
      </c>
      <c r="Y93" s="4" t="str">
        <f t="shared" si="4"/>
        <v>zhf73thl2zdwjk1|CS2 · EF vs BCA|K12</v>
      </c>
      <c r="Z93" s="12">
        <f t="array" ref="Z93">IFERROR(INDEX(CHOOSE(MATCH($X93,{"K1","K2","K3","K12","K13","H1","H2","H3","H12","H13"},0),Calc!$BA$2:$BA$157,Calc!$BB$2:$BB$157,Calc!$BC$2:$BC$157,Calc!$BD$2:$BD$157,Calc!$BE$2:$BE$157,Calc!$BF$2:$BF$157,Calc!$BG$2:$BG$157,Calc!$BH$2:$BH$157,Calc!$BI$2:$BI$157,Calc!$BJ$2:$BJ$157),MATCH($W93,Calc!$A$2:$A$157,0)),"")</f>
        <v>29.18352179</v>
      </c>
      <c r="AA93" s="12">
        <f t="array" ref="AA93">IF(Z93="","",IF(LEFT($X93,1)="H",SQRT(Z93*(IFERROR(INDEX(Calc!$AP$2:$AP$157,MATCH($W93,Calc!$A$2:$A$157,0)),0.5)*Config!$B$5+1-IFERROR(INDEX(Calc!$AP$2:$AP$157,MATCH($W93,Calc!$A$2:$A$157,0)),0.5))),SQRT(Z93*Config!$B$5)))</f>
        <v>6.391942624</v>
      </c>
      <c r="AB93" s="11">
        <f t="shared" si="5"/>
        <v>0.6038718678</v>
      </c>
      <c r="AC93" s="11">
        <f t="shared" si="6"/>
        <v>0.3961281322</v>
      </c>
      <c r="AD93" s="4" t="str">
        <f>IF(AB93="","",IF(AB93&gt;=0.5+Config!$B$6,"OVER",IF(AC93&gt;=0.5+Config!$B$6,"UNDER","—")))</f>
        <v>OVER</v>
      </c>
      <c r="AE93" s="18">
        <f t="shared" si="7"/>
        <v>0.9805908889</v>
      </c>
    </row>
    <row r="94" ht="15.75" customHeight="1">
      <c r="A94" s="4" t="s">
        <v>86</v>
      </c>
      <c r="B94" s="4" t="s">
        <v>7</v>
      </c>
      <c r="C94" s="4" t="s">
        <v>1337</v>
      </c>
      <c r="D94" s="4" t="s">
        <v>122</v>
      </c>
      <c r="E94" s="4" t="s">
        <v>370</v>
      </c>
      <c r="F94" s="4">
        <v>11.5</v>
      </c>
      <c r="G94" s="12">
        <f t="array" ref="G94">IFERROR(INDEX(CHOOSE(MATCH($X94,{"K1","K2","K3","K12","K13","H1","H2","H3","H12","H13"},0),Calc!$V$2:$V$157,Calc!$AC$2:$AC$157,Calc!$AJ$2:$AJ$157,Calc!$AL$2:$AL$157,Calc!$AM$2:$AM$157,Calc!$W$2:$W$157,Calc!$AD$2:$AD$157,Calc!$AK$2:$AK$157,Calc!$AN$2:$AN$157,Calc!$AO$2:$AO$157),MATCH($W94,Calc!$A$2:$A$157,0)),"")</f>
        <v>9.494974993</v>
      </c>
      <c r="H94" s="12">
        <f t="array" ref="H94">IF(G94="","",IF(LEFT($X94,1)="H",SQRT(G94*(IFERROR(INDEX(Calc!$AP$2:$AP$157,MATCH($W94,Calc!$A$2:$A$157,0)),0.5)*Config!$B$5+1-IFERROR(INDEX(Calc!$AP$2:$AP$157,MATCH($W94,Calc!$A$2:$A$157,0)),0.5))),SQRT(G94*Config!$B$5)))</f>
        <v>3.292457437</v>
      </c>
      <c r="I94" s="11">
        <f t="shared" si="1"/>
        <v>0.2712704305</v>
      </c>
      <c r="J94" s="11">
        <f t="shared" si="2"/>
        <v>0.7287295695</v>
      </c>
      <c r="K94" s="11">
        <f t="shared" si="3"/>
        <v>0</v>
      </c>
      <c r="L94" s="4" t="str">
        <f>IF(I94="","",IF(I94&gt;=0.5+Config!$B$6,"OVER",IF(J94&gt;=0.5+Config!$B$6,"UNDER","—")))</f>
        <v>UNDER</v>
      </c>
      <c r="N94" s="4">
        <v>12.5</v>
      </c>
      <c r="O94" s="11">
        <v>0.8</v>
      </c>
      <c r="P94" s="11">
        <v>0.6</v>
      </c>
      <c r="Q94" s="11">
        <v>0.53</v>
      </c>
      <c r="R94" s="4" t="s">
        <v>2488</v>
      </c>
      <c r="S94" s="4">
        <v>2.0</v>
      </c>
      <c r="T94" s="4" t="str">
        <f t="array" ref="T94">INDEX(Calc!$G$2:$G$157,MATCH($W94,Calc!$A$2:$A$157,0))&amp;" / "&amp;INDEX(Calc!$H$2:$H$157,MATCH($W94,Calc!$A$2:$A$157,0))</f>
        <v>Ancient / Anubis</v>
      </c>
      <c r="U94" s="4" t="str">
        <f t="array" ref="U94">TEXT(INDEX(Calc!$J$2:$J$157,MATCH($W94,Calc!$A$2:$A$157,0)),"0.0")&amp;" / "&amp;TEXT(INDEX(Calc!$K$2:$K$157,MATCH($W94,Calc!$A$2:$A$157,0)),"0.0")</f>
        <v>21.4 / 21.3</v>
      </c>
      <c r="V94" s="4" t="str">
        <f t="array" ref="V94">IFERROR(INDEX(Calc!$AQ$2:$AQ$157,MATCH($W94,Calc!$A$2:$A$157,0)),"")</f>
        <v/>
      </c>
      <c r="W94" s="4" t="s">
        <v>3169</v>
      </c>
      <c r="X94" s="4" t="s">
        <v>634</v>
      </c>
      <c r="Y94" s="4" t="str">
        <f t="shared" si="4"/>
        <v>2ybhd3dwxogp0wn|CS2 · EF vs BCA|H12</v>
      </c>
      <c r="Z94" s="12">
        <f t="array" ref="Z94">IFERROR(INDEX(CHOOSE(MATCH($X94,{"K1","K2","K3","K12","K13","H1","H2","H3","H12","H13"},0),Calc!$BA$2:$BA$157,Calc!$BB$2:$BB$157,Calc!$BC$2:$BC$157,Calc!$BD$2:$BD$157,Calc!$BE$2:$BE$157,Calc!$BF$2:$BF$157,Calc!$BG$2:$BG$157,Calc!$BH$2:$BH$157,Calc!$BI$2:$BI$157,Calc!$BJ$2:$BJ$157),MATCH($W94,Calc!$A$2:$A$157,0)),"")</f>
        <v>9.296625976</v>
      </c>
      <c r="AA94" s="12">
        <f t="array" ref="AA94">IF(Z94="","",IF(LEFT($X94,1)="H",SQRT(Z94*(IFERROR(INDEX(Calc!$AP$2:$AP$157,MATCH($W94,Calc!$A$2:$A$157,0)),0.5)*Config!$B$5+1-IFERROR(INDEX(Calc!$AP$2:$AP$157,MATCH($W94,Calc!$A$2:$A$157,0)),0.5))),SQRT(Z94*Config!$B$5)))</f>
        <v>3.257886395</v>
      </c>
      <c r="AB94" s="11">
        <f t="shared" si="5"/>
        <v>0.2494187196</v>
      </c>
      <c r="AC94" s="11">
        <f t="shared" si="6"/>
        <v>0.7505812804</v>
      </c>
      <c r="AD94" s="4" t="str">
        <f>IF(AB94="","",IF(AB94&gt;=0.5+Config!$B$6,"OVER",IF(AC94&gt;=0.5+Config!$B$6,"UNDER","—")))</f>
        <v>UNDER</v>
      </c>
      <c r="AE94" s="18">
        <f t="shared" si="7"/>
        <v>0.9791101064</v>
      </c>
    </row>
    <row r="95" ht="15.75" customHeight="1">
      <c r="A95" s="4" t="s">
        <v>86</v>
      </c>
      <c r="B95" s="4" t="s">
        <v>7</v>
      </c>
      <c r="C95" s="4" t="s">
        <v>1337</v>
      </c>
      <c r="D95" s="4" t="s">
        <v>122</v>
      </c>
      <c r="E95" s="4" t="s">
        <v>772</v>
      </c>
      <c r="F95" s="4">
        <v>28.5</v>
      </c>
      <c r="G95" s="12">
        <f t="array" ref="G95">IFERROR(INDEX(CHOOSE(MATCH($X95,{"K1","K2","K3","K12","K13","H1","H2","H3","H12","H13"},0),Calc!$V$2:$V$157,Calc!$AC$2:$AC$157,Calc!$AJ$2:$AJ$157,Calc!$AL$2:$AL$157,Calc!$AM$2:$AM$157,Calc!$W$2:$W$157,Calc!$AD$2:$AD$157,Calc!$AK$2:$AK$157,Calc!$AN$2:$AN$157,Calc!$AO$2:$AO$157),MATCH($W95,Calc!$A$2:$A$157,0)),"")</f>
        <v>26.80576364</v>
      </c>
      <c r="H95" s="12">
        <f t="array" ref="H95">IF(G95="","",IF(LEFT($X95,1)="H",SQRT(G95*(IFERROR(INDEX(Calc!$AP$2:$AP$157,MATCH($W95,Calc!$A$2:$A$157,0)),0.5)*Config!$B$5+1-IFERROR(INDEX(Calc!$AP$2:$AP$157,MATCH($W95,Calc!$A$2:$A$157,0)),0.5))),SQRT(G95*Config!$B$5)))</f>
        <v>6.12601576</v>
      </c>
      <c r="I95" s="11">
        <f t="shared" si="1"/>
        <v>0.3910573963</v>
      </c>
      <c r="J95" s="11">
        <f t="shared" si="2"/>
        <v>0.6089426037</v>
      </c>
      <c r="K95" s="11">
        <f t="shared" si="3"/>
        <v>0</v>
      </c>
      <c r="L95" s="4" t="str">
        <f>IF(I95="","",IF(I95&gt;=0.5+Config!$B$6,"OVER",IF(J95&gt;=0.5+Config!$B$6,"UNDER","—")))</f>
        <v>UNDER</v>
      </c>
      <c r="N95" s="4">
        <v>29.9</v>
      </c>
      <c r="O95" s="11">
        <v>0.6</v>
      </c>
      <c r="P95" s="11">
        <v>0.6</v>
      </c>
      <c r="Q95" s="11">
        <v>0.6</v>
      </c>
      <c r="R95" s="4" t="s">
        <v>2488</v>
      </c>
      <c r="S95" s="4">
        <v>2.0</v>
      </c>
      <c r="T95" s="4" t="str">
        <f t="array" ref="T95">INDEX(Calc!$G$2:$G$157,MATCH($W95,Calc!$A$2:$A$157,0))&amp;" / "&amp;INDEX(Calc!$H$2:$H$157,MATCH($W95,Calc!$A$2:$A$157,0))</f>
        <v>Ancient / Anubis</v>
      </c>
      <c r="U95" s="4" t="str">
        <f t="array" ref="U95">TEXT(INDEX(Calc!$J$2:$J$157,MATCH($W95,Calc!$A$2:$A$157,0)),"0.0")&amp;" / "&amp;TEXT(INDEX(Calc!$K$2:$K$157,MATCH($W95,Calc!$A$2:$A$157,0)),"0.0")</f>
        <v>21.4 / 21.3</v>
      </c>
      <c r="V95" s="4" t="str">
        <f t="array" ref="V95">IFERROR(INDEX(Calc!$AQ$2:$AQ$157,MATCH($W95,Calc!$A$2:$A$157,0)),"")</f>
        <v/>
      </c>
      <c r="W95" s="4" t="s">
        <v>3169</v>
      </c>
      <c r="X95" s="4" t="s">
        <v>926</v>
      </c>
      <c r="Y95" s="4" t="str">
        <f t="shared" si="4"/>
        <v>2ybhd3dwxogp0wn|CS2 · EF vs BCA|K12</v>
      </c>
      <c r="Z95" s="12">
        <f t="array" ref="Z95">IFERROR(INDEX(CHOOSE(MATCH($X95,{"K1","K2","K3","K12","K13","H1","H2","H3","H12","H13"},0),Calc!$BA$2:$BA$157,Calc!$BB$2:$BB$157,Calc!$BC$2:$BC$157,Calc!$BD$2:$BD$157,Calc!$BE$2:$BE$157,Calc!$BF$2:$BF$157,Calc!$BG$2:$BG$157,Calc!$BH$2:$BH$157,Calc!$BI$2:$BI$157,Calc!$BJ$2:$BJ$157),MATCH($W95,Calc!$A$2:$A$157,0)),"")</f>
        <v>26.25249781</v>
      </c>
      <c r="AA95" s="12">
        <f t="array" ref="AA95">IF(Z95="","",IF(LEFT($X95,1)="H",SQRT(Z95*(IFERROR(INDEX(Calc!$AP$2:$AP$157,MATCH($W95,Calc!$A$2:$A$157,0)),0.5)*Config!$B$5+1-IFERROR(INDEX(Calc!$AP$2:$AP$157,MATCH($W95,Calc!$A$2:$A$157,0)),0.5))),SQRT(Z95*Config!$B$5)))</f>
        <v>6.062466241</v>
      </c>
      <c r="AB95" s="11">
        <f t="shared" si="5"/>
        <v>0.3554215281</v>
      </c>
      <c r="AC95" s="11">
        <f t="shared" si="6"/>
        <v>0.6445784719</v>
      </c>
      <c r="AD95" s="4" t="str">
        <f>IF(AB95="","",IF(AB95&gt;=0.5+Config!$B$6,"OVER",IF(AC95&gt;=0.5+Config!$B$6,"UNDER","—")))</f>
        <v>UNDER</v>
      </c>
      <c r="AE95" s="18">
        <f t="shared" si="7"/>
        <v>0.9793601914</v>
      </c>
    </row>
    <row r="96" ht="15.75" customHeight="1">
      <c r="A96" s="4" t="s">
        <v>86</v>
      </c>
      <c r="B96" s="4" t="s">
        <v>7</v>
      </c>
      <c r="C96" s="4" t="s">
        <v>1340</v>
      </c>
      <c r="D96" s="4" t="s">
        <v>120</v>
      </c>
      <c r="E96" s="4" t="s">
        <v>370</v>
      </c>
      <c r="F96" s="4">
        <v>19.0</v>
      </c>
      <c r="G96" s="12">
        <f t="array" ref="G96">IFERROR(INDEX(CHOOSE(MATCH($X96,{"K1","K2","K3","K12","K13","H1","H2","H3","H12","H13"},0),Calc!$V$2:$V$157,Calc!$AC$2:$AC$157,Calc!$AJ$2:$AJ$157,Calc!$AL$2:$AL$157,Calc!$AM$2:$AM$157,Calc!$W$2:$W$157,Calc!$AD$2:$AD$157,Calc!$AK$2:$AK$157,Calc!$AN$2:$AN$157,Calc!$AO$2:$AO$157),MATCH($W96,Calc!$A$2:$A$157,0)),"")</f>
        <v>20.01755837</v>
      </c>
      <c r="H96" s="12">
        <f t="array" ref="H96">IF(G96="","",IF(LEFT($X96,1)="H",SQRT(G96*(IFERROR(INDEX(Calc!$AP$2:$AP$157,MATCH($W96,Calc!$A$2:$A$157,0)),0.5)*Config!$B$5+1-IFERROR(INDEX(Calc!$AP$2:$AP$157,MATCH($W96,Calc!$A$2:$A$157,0)),0.5))),SQRT(G96*Config!$B$5)))</f>
        <v>4.964828492</v>
      </c>
      <c r="I96" s="11">
        <f t="shared" si="1"/>
        <v>0.5415125239</v>
      </c>
      <c r="J96" s="11">
        <f t="shared" si="2"/>
        <v>0.3799310842</v>
      </c>
      <c r="K96" s="11">
        <f t="shared" si="3"/>
        <v>0.07855639194</v>
      </c>
      <c r="L96" s="4" t="str">
        <f>IF(I96="","",IF(I96&gt;=0.5+Config!$B$6,"OVER",IF(J96&gt;=0.5+Config!$B$6,"UNDER","—")))</f>
        <v>OVER</v>
      </c>
      <c r="N96" s="4">
        <v>20.5</v>
      </c>
      <c r="O96" s="11">
        <v>0.6</v>
      </c>
      <c r="P96" s="11">
        <v>0.7</v>
      </c>
      <c r="Q96" s="11">
        <v>0.67</v>
      </c>
      <c r="R96" s="4" t="s">
        <v>3157</v>
      </c>
      <c r="S96" s="4">
        <v>3.0</v>
      </c>
      <c r="T96" s="4" t="str">
        <f t="array" ref="T96">INDEX(Calc!$G$2:$G$157,MATCH($W96,Calc!$A$2:$A$157,0))&amp;" / "&amp;INDEX(Calc!$H$2:$H$157,MATCH($W96,Calc!$A$2:$A$157,0))</f>
        <v>Ancient / Anubis</v>
      </c>
      <c r="U96" s="4" t="str">
        <f t="array" ref="U96">TEXT(INDEX(Calc!$J$2:$J$157,MATCH($W96,Calc!$A$2:$A$157,0)),"0.0")&amp;" / "&amp;TEXT(INDEX(Calc!$K$2:$K$157,MATCH($W96,Calc!$A$2:$A$157,0)),"0.0")</f>
        <v>21.4 / 21.3</v>
      </c>
      <c r="V96" s="4" t="str">
        <f t="array" ref="V96">IFERROR(INDEX(Calc!$AQ$2:$AQ$157,MATCH($W96,Calc!$A$2:$A$157,0)),"")</f>
        <v/>
      </c>
      <c r="W96" s="4" t="s">
        <v>3170</v>
      </c>
      <c r="X96" s="4" t="s">
        <v>634</v>
      </c>
      <c r="Y96" s="4" t="str">
        <f t="shared" si="4"/>
        <v>rfuts2r0t85cd95|CS2 · EF vs BCA|H12</v>
      </c>
      <c r="Z96" s="12">
        <f t="array" ref="Z96">IFERROR(INDEX(CHOOSE(MATCH($X96,{"K1","K2","K3","K12","K13","H1","H2","H3","H12","H13"},0),Calc!$BA$2:$BA$157,Calc!$BB$2:$BB$157,Calc!$BC$2:$BC$157,Calc!$BD$2:$BD$157,Calc!$BE$2:$BE$157,Calc!$BF$2:$BF$157,Calc!$BG$2:$BG$157,Calc!$BH$2:$BH$157,Calc!$BI$2:$BI$157,Calc!$BJ$2:$BJ$157),MATCH($W96,Calc!$A$2:$A$157,0)),"")</f>
        <v>19.34207807</v>
      </c>
      <c r="AA96" s="12">
        <f t="array" ref="AA96">IF(Z96="","",IF(LEFT($X96,1)="H",SQRT(Z96*(IFERROR(INDEX(Calc!$AP$2:$AP$157,MATCH($W96,Calc!$A$2:$A$157,0)),0.5)*Config!$B$5+1-IFERROR(INDEX(Calc!$AP$2:$AP$157,MATCH($W96,Calc!$A$2:$A$157,0)),0.5))),SQRT(Z96*Config!$B$5)))</f>
        <v>4.880342086</v>
      </c>
      <c r="AB96" s="11">
        <f t="shared" si="5"/>
        <v>0.487092966</v>
      </c>
      <c r="AC96" s="11">
        <f t="shared" si="6"/>
        <v>0.431504588</v>
      </c>
      <c r="AD96" s="4" t="str">
        <f>IF(AB96="","",IF(AB96&gt;=0.5+Config!$B$6,"OVER",IF(AC96&gt;=0.5+Config!$B$6,"UNDER","—")))</f>
        <v>—</v>
      </c>
      <c r="AE96" s="18">
        <f t="shared" si="7"/>
        <v>0.9662556101</v>
      </c>
    </row>
    <row r="97" ht="15.75" customHeight="1">
      <c r="A97" s="4" t="s">
        <v>86</v>
      </c>
      <c r="B97" s="4" t="s">
        <v>7</v>
      </c>
      <c r="C97" s="4" t="s">
        <v>1340</v>
      </c>
      <c r="D97" s="4" t="s">
        <v>120</v>
      </c>
      <c r="E97" s="4" t="s">
        <v>772</v>
      </c>
      <c r="F97" s="4">
        <v>33.5</v>
      </c>
      <c r="G97" s="12">
        <f t="array" ref="G97">IFERROR(INDEX(CHOOSE(MATCH($X97,{"K1","K2","K3","K12","K13","H1","H2","H3","H12","H13"},0),Calc!$V$2:$V$157,Calc!$AC$2:$AC$157,Calc!$AJ$2:$AJ$157,Calc!$AL$2:$AL$157,Calc!$AM$2:$AM$157,Calc!$W$2:$W$157,Calc!$AD$2:$AD$157,Calc!$AK$2:$AK$157,Calc!$AN$2:$AN$157,Calc!$AO$2:$AO$157),MATCH($W97,Calc!$A$2:$A$157,0)),"")</f>
        <v>34.60326364</v>
      </c>
      <c r="H97" s="12">
        <f t="array" ref="H97">IF(G97="","",IF(LEFT($X97,1)="H",SQRT(G97*(IFERROR(INDEX(Calc!$AP$2:$AP$157,MATCH($W97,Calc!$A$2:$A$157,0)),0.5)*Config!$B$5+1-IFERROR(INDEX(Calc!$AP$2:$AP$157,MATCH($W97,Calc!$A$2:$A$157,0)),0.5))),SQRT(G97*Config!$B$5)))</f>
        <v>6.960213293</v>
      </c>
      <c r="I97" s="11">
        <f t="shared" si="1"/>
        <v>0.5629725422</v>
      </c>
      <c r="J97" s="11">
        <f t="shared" si="2"/>
        <v>0.4370274578</v>
      </c>
      <c r="K97" s="11">
        <f t="shared" si="3"/>
        <v>0</v>
      </c>
      <c r="L97" s="4" t="str">
        <f>IF(I97="","",IF(I97&gt;=0.5+Config!$B$6,"OVER",IF(J97&gt;=0.5+Config!$B$6,"UNDER","—")))</f>
        <v>OVER</v>
      </c>
      <c r="N97" s="4">
        <v>34.3</v>
      </c>
      <c r="O97" s="11">
        <v>0.2</v>
      </c>
      <c r="P97" s="11">
        <v>0.5</v>
      </c>
      <c r="Q97" s="11">
        <v>0.47</v>
      </c>
      <c r="R97" s="4" t="s">
        <v>1296</v>
      </c>
      <c r="S97" s="4">
        <v>-1.0</v>
      </c>
      <c r="T97" s="4" t="str">
        <f t="array" ref="T97">INDEX(Calc!$G$2:$G$157,MATCH($W97,Calc!$A$2:$A$157,0))&amp;" / "&amp;INDEX(Calc!$H$2:$H$157,MATCH($W97,Calc!$A$2:$A$157,0))</f>
        <v>Ancient / Anubis</v>
      </c>
      <c r="U97" s="4" t="str">
        <f t="array" ref="U97">TEXT(INDEX(Calc!$J$2:$J$157,MATCH($W97,Calc!$A$2:$A$157,0)),"0.0")&amp;" / "&amp;TEXT(INDEX(Calc!$K$2:$K$157,MATCH($W97,Calc!$A$2:$A$157,0)),"0.0")</f>
        <v>21.4 / 21.3</v>
      </c>
      <c r="V97" s="4" t="str">
        <f t="array" ref="V97">IFERROR(INDEX(Calc!$AQ$2:$AQ$157,MATCH($W97,Calc!$A$2:$A$157,0)),"")</f>
        <v/>
      </c>
      <c r="W97" s="4" t="s">
        <v>3170</v>
      </c>
      <c r="X97" s="4" t="s">
        <v>926</v>
      </c>
      <c r="Y97" s="4" t="str">
        <f t="shared" si="4"/>
        <v>rfuts2r0t85cd95|CS2 · EF vs BCA|K12</v>
      </c>
      <c r="Z97" s="12">
        <f t="array" ref="Z97">IFERROR(INDEX(CHOOSE(MATCH($X97,{"K1","K2","K3","K12","K13","H1","H2","H3","H12","H13"},0),Calc!$BA$2:$BA$157,Calc!$BB$2:$BB$157,Calc!$BC$2:$BC$157,Calc!$BD$2:$BD$157,Calc!$BE$2:$BE$157,Calc!$BF$2:$BF$157,Calc!$BG$2:$BG$157,Calc!$BH$2:$BH$157,Calc!$BI$2:$BI$157,Calc!$BJ$2:$BJ$157),MATCH($W97,Calc!$A$2:$A$157,0)),"")</f>
        <v>33.43416629</v>
      </c>
      <c r="AA97" s="12">
        <f t="array" ref="AA97">IF(Z97="","",IF(LEFT($X97,1)="H",SQRT(Z97*(IFERROR(INDEX(Calc!$AP$2:$AP$157,MATCH($W97,Calc!$A$2:$A$157,0)),0.5)*Config!$B$5+1-IFERROR(INDEX(Calc!$AP$2:$AP$157,MATCH($W97,Calc!$A$2:$A$157,0)),0.5))),SQRT(Z97*Config!$B$5)))</f>
        <v>6.841625012</v>
      </c>
      <c r="AB97" s="11">
        <f t="shared" si="5"/>
        <v>0.4961612269</v>
      </c>
      <c r="AC97" s="11">
        <f t="shared" si="6"/>
        <v>0.5038387731</v>
      </c>
      <c r="AD97" s="4" t="str">
        <f>IF(AB97="","",IF(AB97&gt;=0.5+Config!$B$6,"OVER",IF(AC97&gt;=0.5+Config!$B$6,"UNDER","—")))</f>
        <v>—</v>
      </c>
      <c r="AE97" s="18">
        <f t="shared" si="7"/>
        <v>0.9662142461</v>
      </c>
    </row>
    <row r="98" ht="15.75" customHeight="1">
      <c r="A98" s="4" t="s">
        <v>86</v>
      </c>
      <c r="B98" s="4" t="s">
        <v>7</v>
      </c>
      <c r="C98" s="4" t="s">
        <v>1344</v>
      </c>
      <c r="D98" s="4" t="s">
        <v>120</v>
      </c>
      <c r="E98" s="4" t="s">
        <v>370</v>
      </c>
      <c r="F98" s="4">
        <v>18.5</v>
      </c>
      <c r="G98" s="12">
        <f t="array" ref="G98">IFERROR(INDEX(CHOOSE(MATCH($X98,{"K1","K2","K3","K12","K13","H1","H2","H3","H12","H13"},0),Calc!$V$2:$V$157,Calc!$AC$2:$AC$157,Calc!$AJ$2:$AJ$157,Calc!$AL$2:$AL$157,Calc!$AM$2:$AM$157,Calc!$W$2:$W$157,Calc!$AD$2:$AD$157,Calc!$AK$2:$AK$157,Calc!$AN$2:$AN$157,Calc!$AO$2:$AO$157),MATCH($W98,Calc!$A$2:$A$157,0)),"")</f>
        <v>17.8275886</v>
      </c>
      <c r="H98" s="12">
        <f t="array" ref="H98">IF(G98="","",IF(LEFT($X98,1)="H",SQRT(G98*(IFERROR(INDEX(Calc!$AP$2:$AP$157,MATCH($W98,Calc!$A$2:$A$157,0)),0.5)*Config!$B$5+1-IFERROR(INDEX(Calc!$AP$2:$AP$157,MATCH($W98,Calc!$A$2:$A$157,0)),0.5))),SQRT(G98*Config!$B$5)))</f>
        <v>4.674398153</v>
      </c>
      <c r="I98" s="11">
        <f t="shared" si="1"/>
        <v>0.4428095249</v>
      </c>
      <c r="J98" s="11">
        <f t="shared" si="2"/>
        <v>0.5571904751</v>
      </c>
      <c r="K98" s="11">
        <f t="shared" si="3"/>
        <v>0</v>
      </c>
      <c r="L98" s="4" t="str">
        <f>IF(I98="","",IF(I98&gt;=0.5+Config!$B$6,"OVER",IF(J98&gt;=0.5+Config!$B$6,"UNDER","—")))</f>
        <v>UNDER</v>
      </c>
      <c r="N98" s="4">
        <v>17.7</v>
      </c>
      <c r="O98" s="11">
        <v>0.6</v>
      </c>
      <c r="P98" s="11">
        <v>0.4</v>
      </c>
      <c r="Q98" s="11">
        <v>0.47</v>
      </c>
      <c r="R98" s="4" t="s">
        <v>1296</v>
      </c>
      <c r="S98" s="4">
        <v>-1.0</v>
      </c>
      <c r="T98" s="4" t="str">
        <f t="array" ref="T98">INDEX(Calc!$G$2:$G$157,MATCH($W98,Calc!$A$2:$A$157,0))&amp;" / "&amp;INDEX(Calc!$H$2:$H$157,MATCH($W98,Calc!$A$2:$A$157,0))</f>
        <v>Ancient / Anubis</v>
      </c>
      <c r="U98" s="4" t="str">
        <f t="array" ref="U98">TEXT(INDEX(Calc!$J$2:$J$157,MATCH($W98,Calc!$A$2:$A$157,0)),"0.0")&amp;" / "&amp;TEXT(INDEX(Calc!$K$2:$K$157,MATCH($W98,Calc!$A$2:$A$157,0)),"0.0")</f>
        <v>21.4 / 21.3</v>
      </c>
      <c r="V98" s="4" t="str">
        <f t="array" ref="V98">IFERROR(INDEX(Calc!$AQ$2:$AQ$157,MATCH($W98,Calc!$A$2:$A$157,0)),"")</f>
        <v/>
      </c>
      <c r="W98" s="4" t="s">
        <v>3171</v>
      </c>
      <c r="X98" s="4" t="s">
        <v>634</v>
      </c>
      <c r="Y98" s="4" t="str">
        <f t="shared" si="4"/>
        <v>t2lttsuygcwlbxl|CS2 · EF vs BCA|H12</v>
      </c>
      <c r="Z98" s="12">
        <f t="array" ref="Z98">IFERROR(INDEX(CHOOSE(MATCH($X98,{"K1","K2","K3","K12","K13","H1","H2","H3","H12","H13"},0),Calc!$BA$2:$BA$157,Calc!$BB$2:$BB$157,Calc!$BC$2:$BC$157,Calc!$BD$2:$BD$157,Calc!$BE$2:$BE$157,Calc!$BF$2:$BF$157,Calc!$BG$2:$BG$157,Calc!$BH$2:$BH$157,Calc!$BI$2:$BI$157,Calc!$BJ$2:$BJ$157),MATCH($W98,Calc!$A$2:$A$157,0)),"")</f>
        <v>17.23307424</v>
      </c>
      <c r="AA98" s="12">
        <f t="array" ref="AA98">IF(Z98="","",IF(LEFT($X98,1)="H",SQRT(Z98*(IFERROR(INDEX(Calc!$AP$2:$AP$157,MATCH($W98,Calc!$A$2:$A$157,0)),0.5)*Config!$B$5+1-IFERROR(INDEX(Calc!$AP$2:$AP$157,MATCH($W98,Calc!$A$2:$A$157,0)),0.5))),SQRT(Z98*Config!$B$5)))</f>
        <v>4.595796388</v>
      </c>
      <c r="AB98" s="11">
        <f t="shared" si="5"/>
        <v>0.3914005553</v>
      </c>
      <c r="AC98" s="11">
        <f t="shared" si="6"/>
        <v>0.6085994447</v>
      </c>
      <c r="AD98" s="4" t="str">
        <f>IF(AB98="","",IF(AB98&gt;=0.5+Config!$B$6,"OVER",IF(AC98&gt;=0.5+Config!$B$6,"UNDER","—")))</f>
        <v>UNDER</v>
      </c>
      <c r="AE98" s="18">
        <f t="shared" si="7"/>
        <v>0.9666520038</v>
      </c>
    </row>
    <row r="99" ht="15.75" customHeight="1">
      <c r="A99" s="4" t="s">
        <v>86</v>
      </c>
      <c r="B99" s="4" t="s">
        <v>7</v>
      </c>
      <c r="C99" s="4" t="s">
        <v>1344</v>
      </c>
      <c r="D99" s="4" t="s">
        <v>120</v>
      </c>
      <c r="E99" s="4" t="s">
        <v>772</v>
      </c>
      <c r="F99" s="4">
        <v>31.5</v>
      </c>
      <c r="G99" s="12">
        <f t="array" ref="G99">IFERROR(INDEX(CHOOSE(MATCH($X99,{"K1","K2","K3","K12","K13","H1","H2","H3","H12","H13"},0),Calc!$V$2:$V$157,Calc!$AC$2:$AC$157,Calc!$AJ$2:$AJ$157,Calc!$AL$2:$AL$157,Calc!$AM$2:$AM$157,Calc!$W$2:$W$157,Calc!$AD$2:$AD$157,Calc!$AK$2:$AK$157,Calc!$AN$2:$AN$157,Calc!$AO$2:$AO$157),MATCH($W99,Calc!$A$2:$A$157,0)),"")</f>
        <v>31.60522727</v>
      </c>
      <c r="H99" s="12">
        <f t="array" ref="H99">IF(G99="","",IF(LEFT($X99,1)="H",SQRT(G99*(IFERROR(INDEX(Calc!$AP$2:$AP$157,MATCH($W99,Calc!$A$2:$A$157,0)),0.5)*Config!$B$5+1-IFERROR(INDEX(Calc!$AP$2:$AP$157,MATCH($W99,Calc!$A$2:$A$157,0)),0.5))),SQRT(G99*Config!$B$5)))</f>
        <v>6.651865767</v>
      </c>
      <c r="I99" s="11">
        <f t="shared" si="1"/>
        <v>0.5063106892</v>
      </c>
      <c r="J99" s="11">
        <f t="shared" si="2"/>
        <v>0.4936893108</v>
      </c>
      <c r="K99" s="11">
        <f t="shared" si="3"/>
        <v>0</v>
      </c>
      <c r="L99" s="4" t="str">
        <f>IF(I99="","",IF(I99&gt;=0.5+Config!$B$6,"OVER",IF(J99&gt;=0.5+Config!$B$6,"UNDER","—")))</f>
        <v>—</v>
      </c>
      <c r="N99" s="4">
        <v>30.8</v>
      </c>
      <c r="O99" s="11">
        <v>0.6</v>
      </c>
      <c r="P99" s="11">
        <v>0.6</v>
      </c>
      <c r="Q99" s="11">
        <v>0.6</v>
      </c>
      <c r="R99" s="4" t="s">
        <v>2488</v>
      </c>
      <c r="S99" s="4">
        <v>-1.0</v>
      </c>
      <c r="T99" s="4" t="str">
        <f t="array" ref="T99">INDEX(Calc!$G$2:$G$157,MATCH($W99,Calc!$A$2:$A$157,0))&amp;" / "&amp;INDEX(Calc!$H$2:$H$157,MATCH($W99,Calc!$A$2:$A$157,0))</f>
        <v>Ancient / Anubis</v>
      </c>
      <c r="U99" s="4" t="str">
        <f t="array" ref="U99">TEXT(INDEX(Calc!$J$2:$J$157,MATCH($W99,Calc!$A$2:$A$157,0)),"0.0")&amp;" / "&amp;TEXT(INDEX(Calc!$K$2:$K$157,MATCH($W99,Calc!$A$2:$A$157,0)),"0.0")</f>
        <v>21.4 / 21.3</v>
      </c>
      <c r="V99" s="4" t="str">
        <f t="array" ref="V99">IFERROR(INDEX(Calc!$AQ$2:$AQ$157,MATCH($W99,Calc!$A$2:$A$157,0)),"")</f>
        <v/>
      </c>
      <c r="W99" s="4" t="s">
        <v>3171</v>
      </c>
      <c r="X99" s="4" t="s">
        <v>926</v>
      </c>
      <c r="Y99" s="4" t="str">
        <f t="shared" si="4"/>
        <v>t2lttsuygcwlbxl|CS2 · EF vs BCA|K12</v>
      </c>
      <c r="Z99" s="12">
        <f t="array" ref="Z99">IFERROR(INDEX(CHOOSE(MATCH($X99,{"K1","K2","K3","K12","K13","H1","H2","H3","H12","H13"},0),Calc!$BA$2:$BA$157,Calc!$BB$2:$BB$157,Calc!$BC$2:$BC$157,Calc!$BD$2:$BD$157,Calc!$BE$2:$BE$157,Calc!$BF$2:$BF$157,Calc!$BG$2:$BG$157,Calc!$BH$2:$BH$157,Calc!$BI$2:$BI$157,Calc!$BJ$2:$BJ$157),MATCH($W99,Calc!$A$2:$A$157,0)),"")</f>
        <v>30.55499185</v>
      </c>
      <c r="AA99" s="12">
        <f t="array" ref="AA99">IF(Z99="","",IF(LEFT($X99,1)="H",SQRT(Z99*(IFERROR(INDEX(Calc!$AP$2:$AP$157,MATCH($W99,Calc!$A$2:$A$157,0)),0.5)*Config!$B$5+1-IFERROR(INDEX(Calc!$AP$2:$AP$157,MATCH($W99,Calc!$A$2:$A$157,0)),0.5))),SQRT(Z99*Config!$B$5)))</f>
        <v>6.540411959</v>
      </c>
      <c r="AB99" s="11">
        <f t="shared" si="5"/>
        <v>0.4425577406</v>
      </c>
      <c r="AC99" s="11">
        <f t="shared" si="6"/>
        <v>0.5574422594</v>
      </c>
      <c r="AD99" s="4" t="str">
        <f>IF(AB99="","",IF(AB99&gt;=0.5+Config!$B$6,"OVER",IF(AC99&gt;=0.5+Config!$B$6,"UNDER","—")))</f>
        <v>UNDER</v>
      </c>
      <c r="AE99" s="18">
        <f t="shared" si="7"/>
        <v>0.9667701988</v>
      </c>
    </row>
    <row r="100" ht="15.75" customHeight="1">
      <c r="A100" s="4" t="s">
        <v>86</v>
      </c>
      <c r="B100" s="4" t="s">
        <v>7</v>
      </c>
      <c r="C100" s="4" t="s">
        <v>1347</v>
      </c>
      <c r="D100" s="4" t="s">
        <v>120</v>
      </c>
      <c r="E100" s="4" t="s">
        <v>370</v>
      </c>
      <c r="F100" s="4">
        <v>13.5</v>
      </c>
      <c r="G100" s="12">
        <f t="array" ref="G100">IFERROR(INDEX(CHOOSE(MATCH($X100,{"K1","K2","K3","K12","K13","H1","H2","H3","H12","H13"},0),Calc!$V$2:$V$157,Calc!$AC$2:$AC$157,Calc!$AJ$2:$AJ$157,Calc!$AL$2:$AL$157,Calc!$AM$2:$AM$157,Calc!$W$2:$W$157,Calc!$AD$2:$AD$157,Calc!$AK$2:$AK$157,Calc!$AN$2:$AN$157,Calc!$AO$2:$AO$157),MATCH($W100,Calc!$A$2:$A$157,0)),"")</f>
        <v>13.12159619</v>
      </c>
      <c r="H100" s="12">
        <f t="array" ref="H100">IF(G100="","",IF(LEFT($X100,1)="H",SQRT(G100*(IFERROR(INDEX(Calc!$AP$2:$AP$157,MATCH($W100,Calc!$A$2:$A$157,0)),0.5)*Config!$B$5+1-IFERROR(INDEX(Calc!$AP$2:$AP$157,MATCH($W100,Calc!$A$2:$A$157,0)),0.5))),SQRT(G100*Config!$B$5)))</f>
        <v>4.002000699</v>
      </c>
      <c r="I100" s="11">
        <f t="shared" si="1"/>
        <v>0.4623346795</v>
      </c>
      <c r="J100" s="11">
        <f t="shared" si="2"/>
        <v>0.5376653205</v>
      </c>
      <c r="K100" s="11">
        <f t="shared" si="3"/>
        <v>0</v>
      </c>
      <c r="L100" s="4" t="str">
        <f>IF(I100="","",IF(I100&gt;=0.5+Config!$B$6,"OVER",IF(J100&gt;=0.5+Config!$B$6,"UNDER","—")))</f>
        <v>—</v>
      </c>
      <c r="N100" s="4">
        <v>14.1</v>
      </c>
      <c r="O100" s="11">
        <v>0.6</v>
      </c>
      <c r="P100" s="11">
        <v>0.5</v>
      </c>
      <c r="Q100" s="11">
        <v>0.47</v>
      </c>
      <c r="R100" s="4" t="s">
        <v>3172</v>
      </c>
      <c r="S100" s="4">
        <v>-1.0</v>
      </c>
      <c r="T100" s="4" t="str">
        <f t="array" ref="T100">INDEX(Calc!$G$2:$G$157,MATCH($W100,Calc!$A$2:$A$157,0))&amp;" / "&amp;INDEX(Calc!$H$2:$H$157,MATCH($W100,Calc!$A$2:$A$157,0))</f>
        <v>Ancient / Anubis</v>
      </c>
      <c r="U100" s="4" t="str">
        <f t="array" ref="U100">TEXT(INDEX(Calc!$J$2:$J$157,MATCH($W100,Calc!$A$2:$A$157,0)),"0.0")&amp;" / "&amp;TEXT(INDEX(Calc!$K$2:$K$157,MATCH($W100,Calc!$A$2:$A$157,0)),"0.0")</f>
        <v>21.4 / 21.3</v>
      </c>
      <c r="V100" s="4" t="str">
        <f t="array" ref="V100">IFERROR(INDEX(Calc!$AQ$2:$AQ$157,MATCH($W100,Calc!$A$2:$A$157,0)),"")</f>
        <v/>
      </c>
      <c r="W100" s="4" t="s">
        <v>3173</v>
      </c>
      <c r="X100" s="4" t="s">
        <v>634</v>
      </c>
      <c r="Y100" s="4" t="str">
        <f t="shared" si="4"/>
        <v>mp3vrg2adugpxjt|CS2 · EF vs BCA|H12</v>
      </c>
      <c r="Z100" s="12">
        <f t="array" ref="Z100">IFERROR(INDEX(CHOOSE(MATCH($X100,{"K1","K2","K3","K12","K13","H1","H2","H3","H12","H13"},0),Calc!$BA$2:$BA$157,Calc!$BB$2:$BB$157,Calc!$BC$2:$BC$157,Calc!$BD$2:$BD$157,Calc!$BE$2:$BE$157,Calc!$BF$2:$BF$157,Calc!$BG$2:$BG$157,Calc!$BH$2:$BH$157,Calc!$BI$2:$BI$157,Calc!$BJ$2:$BJ$157),MATCH($W100,Calc!$A$2:$A$157,0)),"")</f>
        <v>12.67965617</v>
      </c>
      <c r="AA100" s="12">
        <f t="array" ref="AA100">IF(Z100="","",IF(LEFT($X100,1)="H",SQRT(Z100*(IFERROR(INDEX(Calc!$AP$2:$AP$157,MATCH($W100,Calc!$A$2:$A$157,0)),0.5)*Config!$B$5+1-IFERROR(INDEX(Calc!$AP$2:$AP$157,MATCH($W100,Calc!$A$2:$A$157,0)),0.5))),SQRT(Z100*Config!$B$5)))</f>
        <v>3.934029067</v>
      </c>
      <c r="AB100" s="11">
        <f t="shared" si="5"/>
        <v>0.4174094905</v>
      </c>
      <c r="AC100" s="11">
        <f t="shared" si="6"/>
        <v>0.5825905095</v>
      </c>
      <c r="AD100" s="4" t="str">
        <f>IF(AB100="","",IF(AB100&gt;=0.5+Config!$B$6,"OVER",IF(AC100&gt;=0.5+Config!$B$6,"UNDER","—")))</f>
        <v>UNDER</v>
      </c>
      <c r="AE100" s="18">
        <f t="shared" si="7"/>
        <v>0.9663196448</v>
      </c>
    </row>
    <row r="101" ht="15.75" customHeight="1">
      <c r="A101" s="4" t="s">
        <v>86</v>
      </c>
      <c r="B101" s="4" t="s">
        <v>7</v>
      </c>
      <c r="C101" s="4" t="s">
        <v>1347</v>
      </c>
      <c r="D101" s="4" t="s">
        <v>120</v>
      </c>
      <c r="E101" s="4" t="s">
        <v>772</v>
      </c>
      <c r="F101" s="4">
        <v>25.5</v>
      </c>
      <c r="G101" s="12">
        <f t="array" ref="G101">IFERROR(INDEX(CHOOSE(MATCH($X101,{"K1","K2","K3","K12","K13","H1","H2","H3","H12","H13"},0),Calc!$V$2:$V$157,Calc!$AC$2:$AC$157,Calc!$AJ$2:$AJ$157,Calc!$AL$2:$AL$157,Calc!$AM$2:$AM$157,Calc!$W$2:$W$157,Calc!$AD$2:$AD$157,Calc!$AK$2:$AK$157,Calc!$AN$2:$AN$157,Calc!$AO$2:$AO$157),MATCH($W101,Calc!$A$2:$A$157,0)),"")</f>
        <v>23.79429091</v>
      </c>
      <c r="H101" s="12">
        <f t="array" ref="H101">IF(G101="","",IF(LEFT($X101,1)="H",SQRT(G101*(IFERROR(INDEX(Calc!$AP$2:$AP$157,MATCH($W101,Calc!$A$2:$A$157,0)),0.5)*Config!$B$5+1-IFERROR(INDEX(Calc!$AP$2:$AP$157,MATCH($W101,Calc!$A$2:$A$157,0)),0.5))),SQRT(G101*Config!$B$5)))</f>
        <v>5.771655505</v>
      </c>
      <c r="I101" s="11">
        <f t="shared" si="1"/>
        <v>0.3837937425</v>
      </c>
      <c r="J101" s="11">
        <f t="shared" si="2"/>
        <v>0.6162062575</v>
      </c>
      <c r="K101" s="11">
        <f t="shared" si="3"/>
        <v>0</v>
      </c>
      <c r="L101" s="4" t="str">
        <f>IF(I101="","",IF(I101&gt;=0.5+Config!$B$6,"OVER",IF(J101&gt;=0.5+Config!$B$6,"UNDER","—")))</f>
        <v>UNDER</v>
      </c>
      <c r="N101" s="4">
        <v>25.3</v>
      </c>
      <c r="O101" s="11">
        <v>0.8</v>
      </c>
      <c r="P101" s="11">
        <v>0.6</v>
      </c>
      <c r="Q101" s="11">
        <v>0.53</v>
      </c>
      <c r="R101" s="4" t="s">
        <v>3172</v>
      </c>
      <c r="S101" s="4">
        <v>-1.0</v>
      </c>
      <c r="T101" s="4" t="str">
        <f t="array" ref="T101">INDEX(Calc!$G$2:$G$157,MATCH($W101,Calc!$A$2:$A$157,0))&amp;" / "&amp;INDEX(Calc!$H$2:$H$157,MATCH($W101,Calc!$A$2:$A$157,0))</f>
        <v>Ancient / Anubis</v>
      </c>
      <c r="U101" s="4" t="str">
        <f t="array" ref="U101">TEXT(INDEX(Calc!$J$2:$J$157,MATCH($W101,Calc!$A$2:$A$157,0)),"0.0")&amp;" / "&amp;TEXT(INDEX(Calc!$K$2:$K$157,MATCH($W101,Calc!$A$2:$A$157,0)),"0.0")</f>
        <v>21.4 / 21.3</v>
      </c>
      <c r="V101" s="4" t="str">
        <f t="array" ref="V101">IFERROR(INDEX(Calc!$AQ$2:$AQ$157,MATCH($W101,Calc!$A$2:$A$157,0)),"")</f>
        <v/>
      </c>
      <c r="W101" s="4" t="s">
        <v>3173</v>
      </c>
      <c r="X101" s="4" t="s">
        <v>926</v>
      </c>
      <c r="Y101" s="4" t="str">
        <f t="shared" si="4"/>
        <v>mp3vrg2adugpxjt|CS2 · EF vs BCA|K12</v>
      </c>
      <c r="Z101" s="12">
        <f t="array" ref="Z101">IFERROR(INDEX(CHOOSE(MATCH($X101,{"K1","K2","K3","K12","K13","H1","H2","H3","H12","H13"},0),Calc!$BA$2:$BA$157,Calc!$BB$2:$BB$157,Calc!$BC$2:$BC$157,Calc!$BD$2:$BD$157,Calc!$BE$2:$BE$157,Calc!$BF$2:$BF$157,Calc!$BG$2:$BG$157,Calc!$BH$2:$BH$157,Calc!$BI$2:$BI$157,Calc!$BJ$2:$BJ$157),MATCH($W101,Calc!$A$2:$A$157,0)),"")</f>
        <v>22.99217729</v>
      </c>
      <c r="AA101" s="12">
        <f t="array" ref="AA101">IF(Z101="","",IF(LEFT($X101,1)="H",SQRT(Z101*(IFERROR(INDEX(Calc!$AP$2:$AP$157,MATCH($W101,Calc!$A$2:$A$157,0)),0.5)*Config!$B$5+1-IFERROR(INDEX(Calc!$AP$2:$AP$157,MATCH($W101,Calc!$A$2:$A$157,0)),0.5))),SQRT(Z101*Config!$B$5)))</f>
        <v>5.673539302</v>
      </c>
      <c r="AB101" s="11">
        <f t="shared" si="5"/>
        <v>0.3292370563</v>
      </c>
      <c r="AC101" s="11">
        <f t="shared" si="6"/>
        <v>0.6707629437</v>
      </c>
      <c r="AD101" s="4" t="str">
        <f>IF(AB101="","",IF(AB101&gt;=0.5+Config!$B$6,"OVER",IF(AC101&gt;=0.5+Config!$B$6,"UNDER","—")))</f>
        <v>UNDER</v>
      </c>
      <c r="AE101" s="18">
        <f t="shared" si="7"/>
        <v>0.9662896608</v>
      </c>
    </row>
    <row r="102" ht="15.75" customHeight="1">
      <c r="A102" s="4" t="s">
        <v>86</v>
      </c>
      <c r="B102" s="4" t="s">
        <v>7</v>
      </c>
      <c r="C102" s="4" t="s">
        <v>1350</v>
      </c>
      <c r="D102" s="4" t="s">
        <v>120</v>
      </c>
      <c r="E102" s="4" t="s">
        <v>370</v>
      </c>
      <c r="F102" s="4">
        <v>11.5</v>
      </c>
      <c r="G102" s="12">
        <f t="array" ref="G102">IFERROR(INDEX(CHOOSE(MATCH($X102,{"K1","K2","K3","K12","K13","H1","H2","H3","H12","H13"},0),Calc!$V$2:$V$157,Calc!$AC$2:$AC$157,Calc!$AJ$2:$AJ$157,Calc!$AL$2:$AL$157,Calc!$AM$2:$AM$157,Calc!$W$2:$W$157,Calc!$AD$2:$AD$157,Calc!$AK$2:$AK$157,Calc!$AN$2:$AN$157,Calc!$AO$2:$AO$157),MATCH($W102,Calc!$A$2:$A$157,0)),"")</f>
        <v>8.912883731</v>
      </c>
      <c r="H102" s="12">
        <f t="array" ref="H102">IF(G102="","",IF(LEFT($X102,1)="H",SQRT(G102*(IFERROR(INDEX(Calc!$AP$2:$AP$157,MATCH($W102,Calc!$A$2:$A$157,0)),0.5)*Config!$B$5+1-IFERROR(INDEX(Calc!$AP$2:$AP$157,MATCH($W102,Calc!$A$2:$A$157,0)),0.5))),SQRT(G102*Config!$B$5)))</f>
        <v>3.185003177</v>
      </c>
      <c r="I102" s="11">
        <f t="shared" si="1"/>
        <v>0.2083153219</v>
      </c>
      <c r="J102" s="11">
        <f t="shared" si="2"/>
        <v>0.7916846781</v>
      </c>
      <c r="K102" s="11">
        <f t="shared" si="3"/>
        <v>0</v>
      </c>
      <c r="L102" s="4" t="str">
        <f>IF(I102="","",IF(I102&gt;=0.5+Config!$B$6,"OVER",IF(J102&gt;=0.5+Config!$B$6,"UNDER","—")))</f>
        <v>UNDER</v>
      </c>
      <c r="N102" s="4">
        <v>11.0</v>
      </c>
      <c r="O102" s="11">
        <v>0.6</v>
      </c>
      <c r="P102" s="11">
        <v>0.4</v>
      </c>
      <c r="Q102" s="11">
        <v>0.53</v>
      </c>
      <c r="R102" s="4" t="s">
        <v>3172</v>
      </c>
      <c r="S102" s="4">
        <v>-2.0</v>
      </c>
      <c r="T102" s="4" t="str">
        <f t="array" ref="T102">INDEX(Calc!$G$2:$G$157,MATCH($W102,Calc!$A$2:$A$157,0))&amp;" / "&amp;INDEX(Calc!$H$2:$H$157,MATCH($W102,Calc!$A$2:$A$157,0))</f>
        <v>Ancient / Anubis</v>
      </c>
      <c r="U102" s="4" t="str">
        <f t="array" ref="U102">TEXT(INDEX(Calc!$J$2:$J$157,MATCH($W102,Calc!$A$2:$A$157,0)),"0.0")&amp;" / "&amp;TEXT(INDEX(Calc!$K$2:$K$157,MATCH($W102,Calc!$A$2:$A$157,0)),"0.0")</f>
        <v>21.4 / 21.3</v>
      </c>
      <c r="V102" s="4" t="str">
        <f t="array" ref="V102">IFERROR(INDEX(Calc!$AQ$2:$AQ$157,MATCH($W102,Calc!$A$2:$A$157,0)),"")</f>
        <v/>
      </c>
      <c r="W102" s="4" t="s">
        <v>3174</v>
      </c>
      <c r="X102" s="4" t="s">
        <v>634</v>
      </c>
      <c r="Y102" s="4" t="str">
        <f t="shared" si="4"/>
        <v>v15ff2btfwe796g|CS2 · EF vs BCA|H12</v>
      </c>
      <c r="Z102" s="12">
        <f t="array" ref="Z102">IFERROR(INDEX(CHOOSE(MATCH($X102,{"K1","K2","K3","K12","K13","H1","H2","H3","H12","H13"},0),Calc!$BA$2:$BA$157,Calc!$BB$2:$BB$157,Calc!$BC$2:$BC$157,Calc!$BD$2:$BD$157,Calc!$BE$2:$BE$157,Calc!$BF$2:$BF$157,Calc!$BG$2:$BG$157,Calc!$BH$2:$BH$157,Calc!$BI$2:$BI$157,Calc!$BJ$2:$BJ$157),MATCH($W102,Calc!$A$2:$A$157,0)),"")</f>
        <v>8.617148238</v>
      </c>
      <c r="AA102" s="12">
        <f t="array" ref="AA102">IF(Z102="","",IF(LEFT($X102,1)="H",SQRT(Z102*(IFERROR(INDEX(Calc!$AP$2:$AP$157,MATCH($W102,Calc!$A$2:$A$157,0)),0.5)*Config!$B$5+1-IFERROR(INDEX(Calc!$AP$2:$AP$157,MATCH($W102,Calc!$A$2:$A$157,0)),0.5))),SQRT(Z102*Config!$B$5)))</f>
        <v>3.131717155</v>
      </c>
      <c r="AB102" s="11">
        <f t="shared" si="5"/>
        <v>0.1786469168</v>
      </c>
      <c r="AC102" s="11">
        <f t="shared" si="6"/>
        <v>0.8213530832</v>
      </c>
      <c r="AD102" s="4" t="str">
        <f>IF(AB102="","",IF(AB102&gt;=0.5+Config!$B$6,"OVER",IF(AC102&gt;=0.5+Config!$B$6,"UNDER","—")))</f>
        <v>UNDER</v>
      </c>
      <c r="AE102" s="18">
        <f t="shared" si="7"/>
        <v>0.9668193257</v>
      </c>
    </row>
    <row r="103" ht="15.75" customHeight="1">
      <c r="A103" s="4" t="s">
        <v>86</v>
      </c>
      <c r="B103" s="4" t="s">
        <v>7</v>
      </c>
      <c r="C103" s="4" t="s">
        <v>1350</v>
      </c>
      <c r="D103" s="4" t="s">
        <v>120</v>
      </c>
      <c r="E103" s="4" t="s">
        <v>772</v>
      </c>
      <c r="F103" s="4">
        <v>29.5</v>
      </c>
      <c r="G103" s="12">
        <f t="array" ref="G103">IFERROR(INDEX(CHOOSE(MATCH($X103,{"K1","K2","K3","K12","K13","H1","H2","H3","H12","H13"},0),Calc!$V$2:$V$157,Calc!$AC$2:$AC$157,Calc!$AJ$2:$AJ$157,Calc!$AL$2:$AL$157,Calc!$AM$2:$AM$157,Calc!$W$2:$W$157,Calc!$AD$2:$AD$157,Calc!$AK$2:$AK$157,Calc!$AN$2:$AN$157,Calc!$AO$2:$AO$157),MATCH($W103,Calc!$A$2:$A$157,0)),"")</f>
        <v>25.80541818</v>
      </c>
      <c r="H103" s="12">
        <f t="array" ref="H103">IF(G103="","",IF(LEFT($X103,1)="H",SQRT(G103*(IFERROR(INDEX(Calc!$AP$2:$AP$157,MATCH($W103,Calc!$A$2:$A$157,0)),0.5)*Config!$B$5+1-IFERROR(INDEX(Calc!$AP$2:$AP$157,MATCH($W103,Calc!$A$2:$A$157,0)),0.5))),SQRT(G103*Config!$B$5)))</f>
        <v>6.010622718</v>
      </c>
      <c r="I103" s="11">
        <f t="shared" si="1"/>
        <v>0.2693845602</v>
      </c>
      <c r="J103" s="11">
        <f t="shared" si="2"/>
        <v>0.7306154398</v>
      </c>
      <c r="K103" s="11">
        <f t="shared" si="3"/>
        <v>0</v>
      </c>
      <c r="L103" s="4" t="str">
        <f>IF(I103="","",IF(I103&gt;=0.5+Config!$B$6,"OVER",IF(J103&gt;=0.5+Config!$B$6,"UNDER","—")))</f>
        <v>UNDER</v>
      </c>
      <c r="N103" s="4">
        <v>27.7</v>
      </c>
      <c r="O103" s="11">
        <v>0.4</v>
      </c>
      <c r="P103" s="11">
        <v>0.4</v>
      </c>
      <c r="Q103" s="11">
        <v>0.4</v>
      </c>
      <c r="R103" s="4" t="s">
        <v>1176</v>
      </c>
      <c r="S103" s="4">
        <v>-2.0</v>
      </c>
      <c r="T103" s="4" t="str">
        <f t="array" ref="T103">INDEX(Calc!$G$2:$G$157,MATCH($W103,Calc!$A$2:$A$157,0))&amp;" / "&amp;INDEX(Calc!$H$2:$H$157,MATCH($W103,Calc!$A$2:$A$157,0))</f>
        <v>Ancient / Anubis</v>
      </c>
      <c r="U103" s="4" t="str">
        <f t="array" ref="U103">TEXT(INDEX(Calc!$J$2:$J$157,MATCH($W103,Calc!$A$2:$A$157,0)),"0.0")&amp;" / "&amp;TEXT(INDEX(Calc!$K$2:$K$157,MATCH($W103,Calc!$A$2:$A$157,0)),"0.0")</f>
        <v>21.4 / 21.3</v>
      </c>
      <c r="V103" s="4" t="str">
        <f t="array" ref="V103">IFERROR(INDEX(Calc!$AQ$2:$AQ$157,MATCH($W103,Calc!$A$2:$A$157,0)),"")</f>
        <v/>
      </c>
      <c r="W103" s="4" t="s">
        <v>3174</v>
      </c>
      <c r="X103" s="4" t="s">
        <v>926</v>
      </c>
      <c r="Y103" s="4" t="str">
        <f t="shared" si="4"/>
        <v>v15ff2btfwe796g|CS2 · EF vs BCA|K12</v>
      </c>
      <c r="Z103" s="12">
        <f t="array" ref="Z103">IFERROR(INDEX(CHOOSE(MATCH($X103,{"K1","K2","K3","K12","K13","H1","H2","H3","H12","H13"},0),Calc!$BA$2:$BA$157,Calc!$BB$2:$BB$157,Calc!$BC$2:$BC$157,Calc!$BD$2:$BD$157,Calc!$BE$2:$BE$157,Calc!$BF$2:$BF$157,Calc!$BG$2:$BG$157,Calc!$BH$2:$BH$157,Calc!$BI$2:$BI$157,Calc!$BJ$2:$BJ$157),MATCH($W103,Calc!$A$2:$A$157,0)),"")</f>
        <v>24.9400364</v>
      </c>
      <c r="AA103" s="12">
        <f t="array" ref="AA103">IF(Z103="","",IF(LEFT($X103,1)="H",SQRT(Z103*(IFERROR(INDEX(Calc!$AP$2:$AP$157,MATCH($W103,Calc!$A$2:$A$157,0)),0.5)*Config!$B$5+1-IFERROR(INDEX(Calc!$AP$2:$AP$157,MATCH($W103,Calc!$A$2:$A$157,0)),0.5))),SQRT(Z103*Config!$B$5)))</f>
        <v>5.908980535</v>
      </c>
      <c r="AB103" s="11">
        <f t="shared" si="5"/>
        <v>0.2201458989</v>
      </c>
      <c r="AC103" s="11">
        <f t="shared" si="6"/>
        <v>0.7798541011</v>
      </c>
      <c r="AD103" s="4" t="str">
        <f>IF(AB103="","",IF(AB103&gt;=0.5+Config!$B$6,"OVER",IF(AC103&gt;=0.5+Config!$B$6,"UNDER","—")))</f>
        <v>UNDER</v>
      </c>
      <c r="AE103" s="18">
        <f t="shared" si="7"/>
        <v>0.966465113</v>
      </c>
    </row>
    <row r="104" ht="15.75" customHeight="1">
      <c r="A104" s="4" t="s">
        <v>86</v>
      </c>
      <c r="B104" s="4" t="s">
        <v>7</v>
      </c>
      <c r="C104" s="4" t="s">
        <v>1353</v>
      </c>
      <c r="D104" s="4" t="s">
        <v>120</v>
      </c>
      <c r="E104" s="4" t="s">
        <v>370</v>
      </c>
      <c r="F104" s="4">
        <v>16.5</v>
      </c>
      <c r="G104" s="12">
        <f t="array" ref="G104">IFERROR(INDEX(CHOOSE(MATCH($X104,{"K1","K2","K3","K12","K13","H1","H2","H3","H12","H13"},0),Calc!$V$2:$V$157,Calc!$AC$2:$AC$157,Calc!$AJ$2:$AJ$157,Calc!$AL$2:$AL$157,Calc!$AM$2:$AM$157,Calc!$W$2:$W$157,Calc!$AD$2:$AD$157,Calc!$AK$2:$AK$157,Calc!$AN$2:$AN$157,Calc!$AO$2:$AO$157),MATCH($W104,Calc!$A$2:$A$157,0)),"")</f>
        <v>17.7439313</v>
      </c>
      <c r="H104" s="12">
        <f t="array" ref="H104">IF(G104="","",IF(LEFT($X104,1)="H",SQRT(G104*(IFERROR(INDEX(Calc!$AP$2:$AP$157,MATCH($W104,Calc!$A$2:$A$157,0)),0.5)*Config!$B$5+1-IFERROR(INDEX(Calc!$AP$2:$AP$157,MATCH($W104,Calc!$A$2:$A$157,0)),0.5))),SQRT(G104*Config!$B$5)))</f>
        <v>4.643643481</v>
      </c>
      <c r="I104" s="11">
        <f t="shared" si="1"/>
        <v>0.605603499</v>
      </c>
      <c r="J104" s="11">
        <f t="shared" si="2"/>
        <v>0.394396501</v>
      </c>
      <c r="K104" s="11">
        <f t="shared" si="3"/>
        <v>0</v>
      </c>
      <c r="L104" s="4" t="str">
        <f>IF(I104="","",IF(I104&gt;=0.5+Config!$B$6,"OVER",IF(J104&gt;=0.5+Config!$B$6,"UNDER","—")))</f>
        <v>OVER</v>
      </c>
      <c r="N104" s="4">
        <v>18.0</v>
      </c>
      <c r="O104" s="11">
        <v>0.6</v>
      </c>
      <c r="P104" s="11">
        <v>0.5</v>
      </c>
      <c r="Q104" s="11">
        <v>0.47</v>
      </c>
      <c r="R104" s="4" t="s">
        <v>1296</v>
      </c>
      <c r="S104" s="4">
        <v>-1.0</v>
      </c>
      <c r="T104" s="4" t="str">
        <f t="array" ref="T104">INDEX(Calc!$G$2:$G$157,MATCH($W104,Calc!$A$2:$A$157,0))&amp;" / "&amp;INDEX(Calc!$H$2:$H$157,MATCH($W104,Calc!$A$2:$A$157,0))</f>
        <v>Ancient / Anubis</v>
      </c>
      <c r="U104" s="4" t="str">
        <f t="array" ref="U104">TEXT(INDEX(Calc!$J$2:$J$157,MATCH($W104,Calc!$A$2:$A$157,0)),"0.0")&amp;" / "&amp;TEXT(INDEX(Calc!$K$2:$K$157,MATCH($W104,Calc!$A$2:$A$157,0)),"0.0")</f>
        <v>21.4 / 21.3</v>
      </c>
      <c r="V104" s="4" t="str">
        <f t="array" ref="V104">IFERROR(INDEX(Calc!$AQ$2:$AQ$157,MATCH($W104,Calc!$A$2:$A$157,0)),"")</f>
        <v/>
      </c>
      <c r="W104" s="4" t="s">
        <v>3175</v>
      </c>
      <c r="X104" s="4" t="s">
        <v>634</v>
      </c>
      <c r="Y104" s="4" t="str">
        <f t="shared" si="4"/>
        <v>agwfljw0nydsug9|CS2 · EF vs BCA|H12</v>
      </c>
      <c r="Z104" s="12">
        <f t="array" ref="Z104">IFERROR(INDEX(CHOOSE(MATCH($X104,{"K1","K2","K3","K12","K13","H1","H2","H3","H12","H13"},0),Calc!$BA$2:$BA$157,Calc!$BB$2:$BB$157,Calc!$BC$2:$BC$157,Calc!$BD$2:$BD$157,Calc!$BE$2:$BE$157,Calc!$BF$2:$BF$157,Calc!$BG$2:$BG$157,Calc!$BH$2:$BH$157,Calc!$BI$2:$BI$157,Calc!$BJ$2:$BJ$157),MATCH($W104,Calc!$A$2:$A$157,0)),"")</f>
        <v>17.16599953</v>
      </c>
      <c r="AA104" s="12">
        <f t="array" ref="AA104">IF(Z104="","",IF(LEFT($X104,1)="H",SQRT(Z104*(IFERROR(INDEX(Calc!$AP$2:$AP$157,MATCH($W104,Calc!$A$2:$A$157,0)),0.5)*Config!$B$5+1-IFERROR(INDEX(Calc!$AP$2:$AP$157,MATCH($W104,Calc!$A$2:$A$157,0)),0.5))),SQRT(Z104*Config!$B$5)))</f>
        <v>4.567394174</v>
      </c>
      <c r="AB104" s="11">
        <f t="shared" si="5"/>
        <v>0.5579667102</v>
      </c>
      <c r="AC104" s="11">
        <f t="shared" si="6"/>
        <v>0.4420332898</v>
      </c>
      <c r="AD104" s="4" t="str">
        <f>IF(AB104="","",IF(AB104&gt;=0.5+Config!$B$6,"OVER",IF(AC104&gt;=0.5+Config!$B$6,"UNDER","—")))</f>
        <v>OVER</v>
      </c>
      <c r="AE104" s="18">
        <f t="shared" si="7"/>
        <v>0.9674293278</v>
      </c>
    </row>
    <row r="105" ht="15.75" customHeight="1">
      <c r="A105" s="4" t="s">
        <v>86</v>
      </c>
      <c r="B105" s="4" t="s">
        <v>7</v>
      </c>
      <c r="C105" s="4" t="s">
        <v>1353</v>
      </c>
      <c r="D105" s="4" t="s">
        <v>120</v>
      </c>
      <c r="E105" s="4" t="s">
        <v>772</v>
      </c>
      <c r="F105" s="4">
        <v>30.5</v>
      </c>
      <c r="G105" s="12">
        <f t="array" ref="G105">IFERROR(INDEX(CHOOSE(MATCH($X105,{"K1","K2","K3","K12","K13","H1","H2","H3","H12","H13"},0),Calc!$V$2:$V$157,Calc!$AC$2:$AC$157,Calc!$AJ$2:$AJ$157,Calc!$AL$2:$AL$157,Calc!$AM$2:$AM$157,Calc!$W$2:$W$157,Calc!$AD$2:$AD$157,Calc!$AK$2:$AK$157,Calc!$AN$2:$AN$157,Calc!$AO$2:$AO$157),MATCH($W105,Calc!$A$2:$A$157,0)),"")</f>
        <v>32.97265455</v>
      </c>
      <c r="H105" s="12">
        <f t="array" ref="H105">IF(G105="","",IF(LEFT($X105,1)="H",SQRT(G105*(IFERROR(INDEX(Calc!$AP$2:$AP$157,MATCH($W105,Calc!$A$2:$A$157,0)),0.5)*Config!$B$5+1-IFERROR(INDEX(Calc!$AP$2:$AP$157,MATCH($W105,Calc!$A$2:$A$157,0)),0.5))),SQRT(G105*Config!$B$5)))</f>
        <v>6.794241412</v>
      </c>
      <c r="I105" s="11">
        <f t="shared" si="1"/>
        <v>0.6420463027</v>
      </c>
      <c r="J105" s="11">
        <f t="shared" si="2"/>
        <v>0.3579536973</v>
      </c>
      <c r="K105" s="11">
        <f t="shared" si="3"/>
        <v>0</v>
      </c>
      <c r="L105" s="4" t="str">
        <f>IF(I105="","",IF(I105&gt;=0.5+Config!$B$6,"OVER",IF(J105&gt;=0.5+Config!$B$6,"UNDER","—")))</f>
        <v>OVER</v>
      </c>
      <c r="N105" s="4">
        <v>34.4</v>
      </c>
      <c r="O105" s="11">
        <v>0.8</v>
      </c>
      <c r="P105" s="11">
        <v>0.8</v>
      </c>
      <c r="Q105" s="11">
        <v>0.73</v>
      </c>
      <c r="R105" s="4" t="s">
        <v>2488</v>
      </c>
      <c r="S105" s="4">
        <v>-1.0</v>
      </c>
      <c r="T105" s="4" t="str">
        <f t="array" ref="T105">INDEX(Calc!$G$2:$G$157,MATCH($W105,Calc!$A$2:$A$157,0))&amp;" / "&amp;INDEX(Calc!$H$2:$H$157,MATCH($W105,Calc!$A$2:$A$157,0))</f>
        <v>Ancient / Anubis</v>
      </c>
      <c r="U105" s="4" t="str">
        <f t="array" ref="U105">TEXT(INDEX(Calc!$J$2:$J$157,MATCH($W105,Calc!$A$2:$A$157,0)),"0.0")&amp;" / "&amp;TEXT(INDEX(Calc!$K$2:$K$157,MATCH($W105,Calc!$A$2:$A$157,0)),"0.0")</f>
        <v>21.4 / 21.3</v>
      </c>
      <c r="V105" s="4" t="str">
        <f t="array" ref="V105">IFERROR(INDEX(Calc!$AQ$2:$AQ$157,MATCH($W105,Calc!$A$2:$A$157,0)),"")</f>
        <v/>
      </c>
      <c r="W105" s="4" t="s">
        <v>3175</v>
      </c>
      <c r="X105" s="4" t="s">
        <v>926</v>
      </c>
      <c r="Y105" s="4" t="str">
        <f t="shared" si="4"/>
        <v>agwfljw0nydsug9|CS2 · EF vs BCA|K12</v>
      </c>
      <c r="Z105" s="12">
        <f t="array" ref="Z105">IFERROR(INDEX(CHOOSE(MATCH($X105,{"K1","K2","K3","K12","K13","H1","H2","H3","H12","H13"},0),Calc!$BA$2:$BA$157,Calc!$BB$2:$BB$157,Calc!$BC$2:$BC$157,Calc!$BD$2:$BD$157,Calc!$BE$2:$BE$157,Calc!$BF$2:$BF$157,Calc!$BG$2:$BG$157,Calc!$BH$2:$BH$157,Calc!$BI$2:$BI$157,Calc!$BJ$2:$BJ$157),MATCH($W105,Calc!$A$2:$A$157,0)),"")</f>
        <v>31.86453899</v>
      </c>
      <c r="AA105" s="12">
        <f t="array" ref="AA105">IF(Z105="","",IF(LEFT($X105,1)="H",SQRT(Z105*(IFERROR(INDEX(Calc!$AP$2:$AP$157,MATCH($W105,Calc!$A$2:$A$157,0)),0.5)*Config!$B$5+1-IFERROR(INDEX(Calc!$AP$2:$AP$157,MATCH($W105,Calc!$A$2:$A$157,0)),0.5))),SQRT(Z105*Config!$B$5)))</f>
        <v>6.679098337</v>
      </c>
      <c r="AB105" s="11">
        <f t="shared" si="5"/>
        <v>0.5809404185</v>
      </c>
      <c r="AC105" s="11">
        <f t="shared" si="6"/>
        <v>0.4190595815</v>
      </c>
      <c r="AD105" s="4" t="str">
        <f>IF(AB105="","",IF(AB105&gt;=0.5+Config!$B$6,"OVER",IF(AC105&gt;=0.5+Config!$B$6,"UNDER","—")))</f>
        <v>OVER</v>
      </c>
      <c r="AE105" s="18">
        <f t="shared" si="7"/>
        <v>0.9663928923</v>
      </c>
    </row>
    <row r="106" ht="15.75" customHeight="1">
      <c r="A106" s="4" t="s">
        <v>86</v>
      </c>
      <c r="B106" s="4" t="s">
        <v>1090</v>
      </c>
      <c r="C106" s="4" t="s">
        <v>1372</v>
      </c>
      <c r="D106" s="4" t="s">
        <v>1095</v>
      </c>
      <c r="E106" s="4" t="s">
        <v>370</v>
      </c>
      <c r="F106" s="4">
        <v>14.5</v>
      </c>
      <c r="G106" s="12">
        <f t="array" ref="G106">IFERROR(INDEX(CHOOSE(MATCH($X106,{"K1","K2","K3","K12","K13","H1","H2","H3","H12","H13"},0),Calc!$V$2:$V$157,Calc!$AC$2:$AC$157,Calc!$AJ$2:$AJ$157,Calc!$AL$2:$AL$157,Calc!$AM$2:$AM$157,Calc!$W$2:$W$157,Calc!$AD$2:$AD$157,Calc!$AK$2:$AK$157,Calc!$AN$2:$AN$157,Calc!$AO$2:$AO$157),MATCH($W106,Calc!$A$2:$A$157,0)),"")</f>
        <v>16.45873527</v>
      </c>
      <c r="H106" s="12">
        <f t="array" ref="H106">IF(G106="","",IF(LEFT($X106,1)="H",SQRT(G106*(IFERROR(INDEX(Calc!$AP$2:$AP$157,MATCH($W106,Calc!$A$2:$A$157,0)),0.5)*Config!$B$5+1-IFERROR(INDEX(Calc!$AP$2:$AP$157,MATCH($W106,Calc!$A$2:$A$157,0)),0.5))),SQRT(G106*Config!$B$5)))</f>
        <v>4.458514662</v>
      </c>
      <c r="I106" s="11">
        <f t="shared" si="1"/>
        <v>0.6697868321</v>
      </c>
      <c r="J106" s="11">
        <f t="shared" si="2"/>
        <v>0.3302131679</v>
      </c>
      <c r="K106" s="11">
        <f t="shared" si="3"/>
        <v>0</v>
      </c>
      <c r="L106" s="4" t="str">
        <f>IF(I106="","",IF(I106&gt;=0.5+Config!$B$6,"OVER",IF(J106&gt;=0.5+Config!$B$6,"UNDER","—")))</f>
        <v>OVER</v>
      </c>
      <c r="N106" s="4">
        <v>16.7</v>
      </c>
      <c r="O106" s="11">
        <v>0.4</v>
      </c>
      <c r="P106" s="11">
        <v>0.6</v>
      </c>
      <c r="Q106" s="11">
        <v>0.6</v>
      </c>
      <c r="R106" s="4" t="s">
        <v>3176</v>
      </c>
      <c r="S106" s="4">
        <v>2.0</v>
      </c>
      <c r="T106" s="4" t="str">
        <f t="array" ref="T106">INDEX(Calc!$G$2:$G$157,MATCH($W106,Calc!$A$2:$A$157,0))&amp;" / "&amp;INDEX(Calc!$H$2:$H$157,MATCH($W106,Calc!$A$2:$A$157,0))</f>
        <v>Cache / Inferno</v>
      </c>
      <c r="U106" s="4" t="str">
        <f t="array" ref="U106">TEXT(INDEX(Calc!$J$2:$J$157,MATCH($W106,Calc!$A$2:$A$157,0)),"0.0")&amp;" / "&amp;TEXT(INDEX(Calc!$K$2:$K$157,MATCH($W106,Calc!$A$2:$A$157,0)),"0.0")</f>
        <v>21.5 / 21.3</v>
      </c>
      <c r="V106" s="4" t="str">
        <f t="array" ref="V106">IFERROR(INDEX(Calc!$AQ$2:$AQ$157,MATCH($W106,Calc!$A$2:$A$157,0)),"")</f>
        <v/>
      </c>
      <c r="W106" s="4" t="s">
        <v>3177</v>
      </c>
      <c r="X106" s="4" t="s">
        <v>634</v>
      </c>
      <c r="Y106" s="4" t="str">
        <f t="shared" si="4"/>
        <v>h6qqf27cvpf4wi5|CS2 · FNC vs HERO|H12</v>
      </c>
      <c r="Z106" s="12">
        <f t="array" ref="Z106">IFERROR(INDEX(CHOOSE(MATCH($X106,{"K1","K2","K3","K12","K13","H1","H2","H3","H12","H13"},0),Calc!$BA$2:$BA$157,Calc!$BB$2:$BB$157,Calc!$BC$2:$BC$157,Calc!$BD$2:$BD$157,Calc!$BE$2:$BE$157,Calc!$BF$2:$BF$157,Calc!$BG$2:$BG$157,Calc!$BH$2:$BH$157,Calc!$BI$2:$BI$157,Calc!$BJ$2:$BJ$157),MATCH($W106,Calc!$A$2:$A$157,0)),"")</f>
        <v>15.37139205</v>
      </c>
      <c r="AA106" s="12">
        <f t="array" ref="AA106">IF(Z106="","",IF(LEFT($X106,1)="H",SQRT(Z106*(IFERROR(INDEX(Calc!$AP$2:$AP$157,MATCH($W106,Calc!$A$2:$A$157,0)),0.5)*Config!$B$5+1-IFERROR(INDEX(Calc!$AP$2:$AP$157,MATCH($W106,Calc!$A$2:$A$157,0)),0.5))),SQRT(Z106*Config!$B$5)))</f>
        <v>4.308722941</v>
      </c>
      <c r="AB106" s="11">
        <f t="shared" si="5"/>
        <v>0.5801350782</v>
      </c>
      <c r="AC106" s="11">
        <f t="shared" si="6"/>
        <v>0.4198649218</v>
      </c>
      <c r="AD106" s="4" t="str">
        <f>IF(AB106="","",IF(AB106&gt;=0.5+Config!$B$6,"OVER",IF(AC106&gt;=0.5+Config!$B$6,"UNDER","—")))</f>
        <v>OVER</v>
      </c>
      <c r="AE106" s="18">
        <f t="shared" si="7"/>
        <v>0.93393519</v>
      </c>
    </row>
    <row r="107" ht="15.75" customHeight="1">
      <c r="A107" s="4" t="s">
        <v>86</v>
      </c>
      <c r="B107" s="4" t="s">
        <v>1090</v>
      </c>
      <c r="C107" s="4" t="s">
        <v>1372</v>
      </c>
      <c r="D107" s="4" t="s">
        <v>1095</v>
      </c>
      <c r="E107" s="4" t="s">
        <v>772</v>
      </c>
      <c r="F107" s="4">
        <v>29.5</v>
      </c>
      <c r="G107" s="12">
        <f t="array" ref="G107">IFERROR(INDEX(CHOOSE(MATCH($X107,{"K1","K2","K3","K12","K13","H1","H2","H3","H12","H13"},0),Calc!$V$2:$V$157,Calc!$AC$2:$AC$157,Calc!$AJ$2:$AJ$157,Calc!$AL$2:$AL$157,Calc!$AM$2:$AM$157,Calc!$W$2:$W$157,Calc!$AD$2:$AD$157,Calc!$AK$2:$AK$157,Calc!$AN$2:$AN$157,Calc!$AO$2:$AO$157),MATCH($W107,Calc!$A$2:$A$157,0)),"")</f>
        <v>31.68657885</v>
      </c>
      <c r="H107" s="12">
        <f t="array" ref="H107">IF(G107="","",IF(LEFT($X107,1)="H",SQRT(G107*(IFERROR(INDEX(Calc!$AP$2:$AP$157,MATCH($W107,Calc!$A$2:$A$157,0)),0.5)*Config!$B$5+1-IFERROR(INDEX(Calc!$AP$2:$AP$157,MATCH($W107,Calc!$A$2:$A$157,0)),0.5))),SQRT(G107*Config!$B$5)))</f>
        <v>6.660421187</v>
      </c>
      <c r="I107" s="11">
        <f t="shared" si="1"/>
        <v>0.6286554536</v>
      </c>
      <c r="J107" s="11">
        <f t="shared" si="2"/>
        <v>0.3713445464</v>
      </c>
      <c r="K107" s="11">
        <f t="shared" si="3"/>
        <v>0</v>
      </c>
      <c r="L107" s="4" t="str">
        <f>IF(I107="","",IF(I107&gt;=0.5+Config!$B$6,"OVER",IF(J107&gt;=0.5+Config!$B$6,"UNDER","—")))</f>
        <v>OVER</v>
      </c>
      <c r="N107" s="4">
        <v>32.7</v>
      </c>
      <c r="O107" s="11">
        <v>0.6</v>
      </c>
      <c r="P107" s="11">
        <v>0.7</v>
      </c>
      <c r="Q107" s="11">
        <v>0.73</v>
      </c>
      <c r="R107" s="4" t="s">
        <v>1787</v>
      </c>
      <c r="S107" s="4">
        <v>2.0</v>
      </c>
      <c r="T107" s="4" t="str">
        <f t="array" ref="T107">INDEX(Calc!$G$2:$G$157,MATCH($W107,Calc!$A$2:$A$157,0))&amp;" / "&amp;INDEX(Calc!$H$2:$H$157,MATCH($W107,Calc!$A$2:$A$157,0))</f>
        <v>Cache / Inferno</v>
      </c>
      <c r="U107" s="4" t="str">
        <f t="array" ref="U107">TEXT(INDEX(Calc!$J$2:$J$157,MATCH($W107,Calc!$A$2:$A$157,0)),"0.0")&amp;" / "&amp;TEXT(INDEX(Calc!$K$2:$K$157,MATCH($W107,Calc!$A$2:$A$157,0)),"0.0")</f>
        <v>21.5 / 21.3</v>
      </c>
      <c r="V107" s="4" t="str">
        <f t="array" ref="V107">IFERROR(INDEX(Calc!$AQ$2:$AQ$157,MATCH($W107,Calc!$A$2:$A$157,0)),"")</f>
        <v/>
      </c>
      <c r="W107" s="4" t="s">
        <v>3177</v>
      </c>
      <c r="X107" s="4" t="s">
        <v>926</v>
      </c>
      <c r="Y107" s="4" t="str">
        <f t="shared" si="4"/>
        <v>h6qqf27cvpf4wi5|CS2 · FNC vs HERO|K12</v>
      </c>
      <c r="Z107" s="12">
        <f t="array" ref="Z107">IFERROR(INDEX(CHOOSE(MATCH($X107,{"K1","K2","K3","K12","K13","H1","H2","H3","H12","H13"},0),Calc!$BA$2:$BA$157,Calc!$BB$2:$BB$157,Calc!$BC$2:$BC$157,Calc!$BD$2:$BD$157,Calc!$BE$2:$BE$157,Calc!$BF$2:$BF$157,Calc!$BG$2:$BG$157,Calc!$BH$2:$BH$157,Calc!$BI$2:$BI$157,Calc!$BJ$2:$BJ$157),MATCH($W107,Calc!$A$2:$A$157,0)),"")</f>
        <v>29.58786901</v>
      </c>
      <c r="AA107" s="12">
        <f t="array" ref="AA107">IF(Z107="","",IF(LEFT($X107,1)="H",SQRT(Z107*(IFERROR(INDEX(Calc!$AP$2:$AP$157,MATCH($W107,Calc!$A$2:$A$157,0)),0.5)*Config!$B$5+1-IFERROR(INDEX(Calc!$AP$2:$AP$157,MATCH($W107,Calc!$A$2:$A$157,0)),0.5))),SQRT(Z107*Config!$B$5)))</f>
        <v>6.436071521</v>
      </c>
      <c r="AB107" s="11">
        <f t="shared" si="5"/>
        <v>0.5054464241</v>
      </c>
      <c r="AC107" s="11">
        <f t="shared" si="6"/>
        <v>0.4945535759</v>
      </c>
      <c r="AD107" s="4" t="str">
        <f>IF(AB107="","",IF(AB107&gt;=0.5+Config!$B$6,"OVER",IF(AC107&gt;=0.5+Config!$B$6,"UNDER","—")))</f>
        <v>—</v>
      </c>
      <c r="AE107" s="18">
        <f t="shared" si="7"/>
        <v>0.9337666006</v>
      </c>
    </row>
    <row r="108" ht="15.75" customHeight="1">
      <c r="A108" s="4" t="s">
        <v>86</v>
      </c>
      <c r="B108" s="4" t="s">
        <v>1090</v>
      </c>
      <c r="C108" s="4" t="s">
        <v>1376</v>
      </c>
      <c r="D108" s="4" t="s">
        <v>1095</v>
      </c>
      <c r="E108" s="4" t="s">
        <v>370</v>
      </c>
      <c r="F108" s="4">
        <v>10.5</v>
      </c>
      <c r="G108" s="12">
        <f t="array" ref="G108">IFERROR(INDEX(CHOOSE(MATCH($X108,{"K1","K2","K3","K12","K13","H1","H2","H3","H12","H13"},0),Calc!$V$2:$V$157,Calc!$AC$2:$AC$157,Calc!$AJ$2:$AJ$157,Calc!$AL$2:$AL$157,Calc!$AM$2:$AM$157,Calc!$W$2:$W$157,Calc!$AD$2:$AD$157,Calc!$AK$2:$AK$157,Calc!$AN$2:$AN$157,Calc!$AO$2:$AO$157),MATCH($W108,Calc!$A$2:$A$157,0)),"")</f>
        <v>10.18333271</v>
      </c>
      <c r="H108" s="12">
        <f t="array" ref="H108">IF(G108="","",IF(LEFT($X108,1)="H",SQRT(G108*(IFERROR(INDEX(Calc!$AP$2:$AP$157,MATCH($W108,Calc!$A$2:$A$157,0)),0.5)*Config!$B$5+1-IFERROR(INDEX(Calc!$AP$2:$AP$157,MATCH($W108,Calc!$A$2:$A$157,0)),0.5))),SQRT(G108*Config!$B$5)))</f>
        <v>3.458943261</v>
      </c>
      <c r="I108" s="11">
        <f t="shared" si="1"/>
        <v>0.4635276709</v>
      </c>
      <c r="J108" s="11">
        <f t="shared" si="2"/>
        <v>0.5364723291</v>
      </c>
      <c r="K108" s="11">
        <f t="shared" si="3"/>
        <v>0</v>
      </c>
      <c r="L108" s="4" t="str">
        <f>IF(I108="","",IF(I108&gt;=0.5+Config!$B$6,"OVER",IF(J108&gt;=0.5+Config!$B$6,"UNDER","—")))</f>
        <v>—</v>
      </c>
      <c r="N108" s="4">
        <v>10.3</v>
      </c>
      <c r="O108" s="11">
        <v>0.6</v>
      </c>
      <c r="P108" s="11">
        <v>0.4</v>
      </c>
      <c r="Q108" s="11">
        <v>0.4</v>
      </c>
      <c r="R108" s="4" t="s">
        <v>1787</v>
      </c>
      <c r="S108" s="4">
        <v>1.0</v>
      </c>
      <c r="T108" s="4" t="str">
        <f t="array" ref="T108">INDEX(Calc!$G$2:$G$157,MATCH($W108,Calc!$A$2:$A$157,0))&amp;" / "&amp;INDEX(Calc!$H$2:$H$157,MATCH($W108,Calc!$A$2:$A$157,0))</f>
        <v>Cache / Inferno</v>
      </c>
      <c r="U108" s="4" t="str">
        <f t="array" ref="U108">TEXT(INDEX(Calc!$J$2:$J$157,MATCH($W108,Calc!$A$2:$A$157,0)),"0.0")&amp;" / "&amp;TEXT(INDEX(Calc!$K$2:$K$157,MATCH($W108,Calc!$A$2:$A$157,0)),"0.0")</f>
        <v>21.5 / 21.3</v>
      </c>
      <c r="V108" s="4" t="str">
        <f t="array" ref="V108">IFERROR(INDEX(Calc!$AQ$2:$AQ$157,MATCH($W108,Calc!$A$2:$A$157,0)),"")</f>
        <v/>
      </c>
      <c r="W108" s="4" t="s">
        <v>3178</v>
      </c>
      <c r="X108" s="4" t="s">
        <v>634</v>
      </c>
      <c r="Y108" s="4" t="str">
        <f t="shared" si="4"/>
        <v>f9t8og97ml0t6z0|CS2 · FNC vs HERO|H12</v>
      </c>
      <c r="Z108" s="12">
        <f t="array" ref="Z108">IFERROR(INDEX(CHOOSE(MATCH($X108,{"K1","K2","K3","K12","K13","H1","H2","H3","H12","H13"},0),Calc!$BA$2:$BA$157,Calc!$BB$2:$BB$157,Calc!$BC$2:$BC$157,Calc!$BD$2:$BD$157,Calc!$BE$2:$BE$157,Calc!$BF$2:$BF$157,Calc!$BG$2:$BG$157,Calc!$BH$2:$BH$157,Calc!$BI$2:$BI$157,Calc!$BJ$2:$BJ$157),MATCH($W108,Calc!$A$2:$A$157,0)),"")</f>
        <v>9.511092461</v>
      </c>
      <c r="AA108" s="12">
        <f t="array" ref="AA108">IF(Z108="","",IF(LEFT($X108,1)="H",SQRT(Z108*(IFERROR(INDEX(Calc!$AP$2:$AP$157,MATCH($W108,Calc!$A$2:$A$157,0)),0.5)*Config!$B$5+1-IFERROR(INDEX(Calc!$AP$2:$AP$157,MATCH($W108,Calc!$A$2:$A$157,0)),0.5))),SQRT(Z108*Config!$B$5)))</f>
        <v>3.342825244</v>
      </c>
      <c r="AB108" s="11">
        <f t="shared" si="5"/>
        <v>0.3836800073</v>
      </c>
      <c r="AC108" s="11">
        <f t="shared" si="6"/>
        <v>0.6163199927</v>
      </c>
      <c r="AD108" s="4" t="str">
        <f>IF(AB108="","",IF(AB108&gt;=0.5+Config!$B$6,"OVER",IF(AC108&gt;=0.5+Config!$B$6,"UNDER","—")))</f>
        <v>UNDER</v>
      </c>
      <c r="AE108" s="18">
        <f t="shared" si="7"/>
        <v>0.9339862233</v>
      </c>
    </row>
    <row r="109" ht="15.75" customHeight="1">
      <c r="A109" s="4" t="s">
        <v>86</v>
      </c>
      <c r="B109" s="4" t="s">
        <v>1090</v>
      </c>
      <c r="C109" s="4" t="s">
        <v>1376</v>
      </c>
      <c r="D109" s="4" t="s">
        <v>1095</v>
      </c>
      <c r="E109" s="4" t="s">
        <v>772</v>
      </c>
      <c r="F109" s="4">
        <v>23.5</v>
      </c>
      <c r="G109" s="12">
        <f t="array" ref="G109">IFERROR(INDEX(CHOOSE(MATCH($X109,{"K1","K2","K3","K12","K13","H1","H2","H3","H12","H13"},0),Calc!$V$2:$V$157,Calc!$AC$2:$AC$157,Calc!$AJ$2:$AJ$157,Calc!$AL$2:$AL$157,Calc!$AM$2:$AM$157,Calc!$W$2:$W$157,Calc!$AD$2:$AD$157,Calc!$AK$2:$AK$157,Calc!$AN$2:$AN$157,Calc!$AO$2:$AO$157),MATCH($W109,Calc!$A$2:$A$157,0)),"")</f>
        <v>23.29092436</v>
      </c>
      <c r="H109" s="12">
        <f t="array" ref="H109">IF(G109="","",IF(LEFT($X109,1)="H",SQRT(G109*(IFERROR(INDEX(Calc!$AP$2:$AP$157,MATCH($W109,Calc!$A$2:$A$157,0)),0.5)*Config!$B$5+1-IFERROR(INDEX(Calc!$AP$2:$AP$157,MATCH($W109,Calc!$A$2:$A$157,0)),0.5))),SQRT(G109*Config!$B$5)))</f>
        <v>5.710279687</v>
      </c>
      <c r="I109" s="11">
        <f t="shared" si="1"/>
        <v>0.485396428</v>
      </c>
      <c r="J109" s="11">
        <f t="shared" si="2"/>
        <v>0.514603572</v>
      </c>
      <c r="K109" s="11">
        <f t="shared" si="3"/>
        <v>0</v>
      </c>
      <c r="L109" s="4" t="str">
        <f>IF(I109="","",IF(I109&gt;=0.5+Config!$B$6,"OVER",IF(J109&gt;=0.5+Config!$B$6,"UNDER","—")))</f>
        <v>—</v>
      </c>
      <c r="N109" s="4">
        <v>23.4</v>
      </c>
      <c r="O109" s="11">
        <v>0.8</v>
      </c>
      <c r="P109" s="11">
        <v>0.7</v>
      </c>
      <c r="Q109" s="11">
        <v>0.6</v>
      </c>
      <c r="R109" s="4" t="s">
        <v>3176</v>
      </c>
      <c r="S109" s="4">
        <v>1.0</v>
      </c>
      <c r="T109" s="4" t="str">
        <f t="array" ref="T109">INDEX(Calc!$G$2:$G$157,MATCH($W109,Calc!$A$2:$A$157,0))&amp;" / "&amp;INDEX(Calc!$H$2:$H$157,MATCH($W109,Calc!$A$2:$A$157,0))</f>
        <v>Cache / Inferno</v>
      </c>
      <c r="U109" s="4" t="str">
        <f t="array" ref="U109">TEXT(INDEX(Calc!$J$2:$J$157,MATCH($W109,Calc!$A$2:$A$157,0)),"0.0")&amp;" / "&amp;TEXT(INDEX(Calc!$K$2:$K$157,MATCH($W109,Calc!$A$2:$A$157,0)),"0.0")</f>
        <v>21.5 / 21.3</v>
      </c>
      <c r="V109" s="4" t="str">
        <f t="array" ref="V109">IFERROR(INDEX(Calc!$AQ$2:$AQ$157,MATCH($W109,Calc!$A$2:$A$157,0)),"")</f>
        <v/>
      </c>
      <c r="W109" s="4" t="s">
        <v>3178</v>
      </c>
      <c r="X109" s="4" t="s">
        <v>926</v>
      </c>
      <c r="Y109" s="4" t="str">
        <f t="shared" si="4"/>
        <v>f9t8og97ml0t6z0|CS2 · FNC vs HERO|K12</v>
      </c>
      <c r="Z109" s="12">
        <f t="array" ref="Z109">IFERROR(INDEX(CHOOSE(MATCH($X109,{"K1","K2","K3","K12","K13","H1","H2","H3","H12","H13"},0),Calc!$BA$2:$BA$157,Calc!$BB$2:$BB$157,Calc!$BC$2:$BC$157,Calc!$BD$2:$BD$157,Calc!$BE$2:$BE$157,Calc!$BF$2:$BF$157,Calc!$BG$2:$BG$157,Calc!$BH$2:$BH$157,Calc!$BI$2:$BI$157,Calc!$BJ$2:$BJ$157),MATCH($W109,Calc!$A$2:$A$157,0)),"")</f>
        <v>21.77126646</v>
      </c>
      <c r="AA109" s="12">
        <f t="array" ref="AA109">IF(Z109="","",IF(LEFT($X109,1)="H",SQRT(Z109*(IFERROR(INDEX(Calc!$AP$2:$AP$157,MATCH($W109,Calc!$A$2:$A$157,0)),0.5)*Config!$B$5+1-IFERROR(INDEX(Calc!$AP$2:$AP$157,MATCH($W109,Calc!$A$2:$A$157,0)),0.5))),SQRT(Z109*Config!$B$5)))</f>
        <v>5.520848942</v>
      </c>
      <c r="AB109" s="11">
        <f t="shared" si="5"/>
        <v>0.3770916292</v>
      </c>
      <c r="AC109" s="11">
        <f t="shared" si="6"/>
        <v>0.6229083708</v>
      </c>
      <c r="AD109" s="4" t="str">
        <f>IF(AB109="","",IF(AB109&gt;=0.5+Config!$B$6,"OVER",IF(AC109&gt;=0.5+Config!$B$6,"UNDER","—")))</f>
        <v>UNDER</v>
      </c>
      <c r="AE109" s="18">
        <f t="shared" si="7"/>
        <v>0.9347532165</v>
      </c>
    </row>
    <row r="110" ht="15.75" customHeight="1">
      <c r="A110" s="4" t="s">
        <v>86</v>
      </c>
      <c r="B110" s="4" t="s">
        <v>1090</v>
      </c>
      <c r="C110" s="4" t="s">
        <v>1379</v>
      </c>
      <c r="D110" s="4" t="s">
        <v>1095</v>
      </c>
      <c r="E110" s="4" t="s">
        <v>370</v>
      </c>
      <c r="F110" s="4">
        <v>16.5</v>
      </c>
      <c r="G110" s="12">
        <f t="array" ref="G110">IFERROR(INDEX(CHOOSE(MATCH($X110,{"K1","K2","K3","K12","K13","H1","H2","H3","H12","H13"},0),Calc!$V$2:$V$157,Calc!$AC$2:$AC$157,Calc!$AJ$2:$AJ$157,Calc!$AL$2:$AL$157,Calc!$AM$2:$AM$157,Calc!$W$2:$W$157,Calc!$AD$2:$AD$157,Calc!$AK$2:$AK$157,Calc!$AN$2:$AN$157,Calc!$AO$2:$AO$157),MATCH($W110,Calc!$A$2:$A$157,0)),"")</f>
        <v>17.05662437</v>
      </c>
      <c r="H110" s="12">
        <f t="array" ref="H110">IF(G110="","",IF(LEFT($X110,1)="H",SQRT(G110*(IFERROR(INDEX(Calc!$AP$2:$AP$157,MATCH($W110,Calc!$A$2:$A$157,0)),0.5)*Config!$B$5+1-IFERROR(INDEX(Calc!$AP$2:$AP$157,MATCH($W110,Calc!$A$2:$A$157,0)),0.5))),SQRT(G110*Config!$B$5)))</f>
        <v>4.579554628</v>
      </c>
      <c r="I110" s="11">
        <f t="shared" si="1"/>
        <v>0.5483705211</v>
      </c>
      <c r="J110" s="11">
        <f t="shared" si="2"/>
        <v>0.4516294789</v>
      </c>
      <c r="K110" s="11">
        <f t="shared" si="3"/>
        <v>0</v>
      </c>
      <c r="L110" s="4" t="str">
        <f>IF(I110="","",IF(I110&gt;=0.5+Config!$B$6,"OVER",IF(J110&gt;=0.5+Config!$B$6,"UNDER","—")))</f>
        <v>OVER</v>
      </c>
      <c r="N110" s="4">
        <v>17.2</v>
      </c>
      <c r="O110" s="11">
        <v>0.6</v>
      </c>
      <c r="P110" s="11">
        <v>0.7</v>
      </c>
      <c r="Q110" s="11">
        <v>0.6</v>
      </c>
      <c r="R110" s="4" t="s">
        <v>2039</v>
      </c>
      <c r="S110" s="4">
        <v>1.0</v>
      </c>
      <c r="T110" s="4" t="str">
        <f t="array" ref="T110">INDEX(Calc!$G$2:$G$157,MATCH($W110,Calc!$A$2:$A$157,0))&amp;" / "&amp;INDEX(Calc!$H$2:$H$157,MATCH($W110,Calc!$A$2:$A$157,0))</f>
        <v>Cache / Inferno</v>
      </c>
      <c r="U110" s="4" t="str">
        <f t="array" ref="U110">TEXT(INDEX(Calc!$J$2:$J$157,MATCH($W110,Calc!$A$2:$A$157,0)),"0.0")&amp;" / "&amp;TEXT(INDEX(Calc!$K$2:$K$157,MATCH($W110,Calc!$A$2:$A$157,0)),"0.0")</f>
        <v>21.5 / 21.3</v>
      </c>
      <c r="V110" s="4" t="str">
        <f t="array" ref="V110">IFERROR(INDEX(Calc!$AQ$2:$AQ$157,MATCH($W110,Calc!$A$2:$A$157,0)),"")</f>
        <v/>
      </c>
      <c r="W110" s="4" t="s">
        <v>3179</v>
      </c>
      <c r="X110" s="4" t="s">
        <v>634</v>
      </c>
      <c r="Y110" s="4" t="str">
        <f t="shared" si="4"/>
        <v>82nefkkz4qxb3gq|CS2 · FNC vs HERO|H12</v>
      </c>
      <c r="Z110" s="12">
        <f t="array" ref="Z110">IFERROR(INDEX(CHOOSE(MATCH($X110,{"K1","K2","K3","K12","K13","H1","H2","H3","H12","H13"},0),Calc!$BA$2:$BA$157,Calc!$BB$2:$BB$157,Calc!$BC$2:$BC$157,Calc!$BD$2:$BD$157,Calc!$BE$2:$BE$157,Calc!$BF$2:$BF$157,Calc!$BG$2:$BG$157,Calc!$BH$2:$BH$157,Calc!$BI$2:$BI$157,Calc!$BJ$2:$BJ$157),MATCH($W110,Calc!$A$2:$A$157,0)),"")</f>
        <v>15.94741264</v>
      </c>
      <c r="AA110" s="12">
        <f t="array" ref="AA110">IF(Z110="","",IF(LEFT($X110,1)="H",SQRT(Z110*(IFERROR(INDEX(Calc!$AP$2:$AP$157,MATCH($W110,Calc!$A$2:$A$157,0)),0.5)*Config!$B$5+1-IFERROR(INDEX(Calc!$AP$2:$AP$157,MATCH($W110,Calc!$A$2:$A$157,0)),0.5))),SQRT(Z110*Config!$B$5)))</f>
        <v>4.428144834</v>
      </c>
      <c r="AB110" s="11">
        <f t="shared" si="5"/>
        <v>0.450344977</v>
      </c>
      <c r="AC110" s="11">
        <f t="shared" si="6"/>
        <v>0.549655023</v>
      </c>
      <c r="AD110" s="4" t="str">
        <f>IF(AB110="","",IF(AB110&gt;=0.5+Config!$B$6,"OVER",IF(AC110&gt;=0.5+Config!$B$6,"UNDER","—")))</f>
        <v>UNDER</v>
      </c>
      <c r="AE110" s="18">
        <f t="shared" si="7"/>
        <v>0.9349688598</v>
      </c>
    </row>
    <row r="111" ht="15.75" customHeight="1">
      <c r="A111" s="4" t="s">
        <v>86</v>
      </c>
      <c r="B111" s="4" t="s">
        <v>1090</v>
      </c>
      <c r="C111" s="4" t="s">
        <v>1379</v>
      </c>
      <c r="D111" s="4" t="s">
        <v>1095</v>
      </c>
      <c r="E111" s="4" t="s">
        <v>772</v>
      </c>
      <c r="F111" s="4">
        <v>27.5</v>
      </c>
      <c r="G111" s="12">
        <f t="array" ref="G111">IFERROR(INDEX(CHOOSE(MATCH($X111,{"K1","K2","K3","K12","K13","H1","H2","H3","H12","H13"},0),Calc!$V$2:$V$157,Calc!$AC$2:$AC$157,Calc!$AJ$2:$AJ$157,Calc!$AL$2:$AL$157,Calc!$AM$2:$AM$157,Calc!$W$2:$W$157,Calc!$AD$2:$AD$157,Calc!$AK$2:$AK$157,Calc!$AN$2:$AN$157,Calc!$AO$2:$AO$157),MATCH($W111,Calc!$A$2:$A$157,0)),"")</f>
        <v>29.71920385</v>
      </c>
      <c r="H111" s="12">
        <f t="array" ref="H111">IF(G111="","",IF(LEFT($X111,1)="H",SQRT(G111*(IFERROR(INDEX(Calc!$AP$2:$AP$157,MATCH($W111,Calc!$A$2:$A$157,0)),0.5)*Config!$B$5+1-IFERROR(INDEX(Calc!$AP$2:$AP$157,MATCH($W111,Calc!$A$2:$A$157,0)),0.5))),SQRT(G111*Config!$B$5)))</f>
        <v>6.450339943</v>
      </c>
      <c r="I111" s="11">
        <f t="shared" si="1"/>
        <v>0.634593582</v>
      </c>
      <c r="J111" s="11">
        <f t="shared" si="2"/>
        <v>0.365406418</v>
      </c>
      <c r="K111" s="11">
        <f t="shared" si="3"/>
        <v>0</v>
      </c>
      <c r="L111" s="4" t="str">
        <f>IF(I111="","",IF(I111&gt;=0.5+Config!$B$6,"OVER",IF(J111&gt;=0.5+Config!$B$6,"UNDER","—")))</f>
        <v>OVER</v>
      </c>
      <c r="N111" s="4">
        <v>29.8</v>
      </c>
      <c r="O111" s="11">
        <v>0.6</v>
      </c>
      <c r="P111" s="11">
        <v>0.7</v>
      </c>
      <c r="Q111" s="11">
        <v>0.73</v>
      </c>
      <c r="R111" s="4" t="s">
        <v>1843</v>
      </c>
      <c r="S111" s="4">
        <v>1.0</v>
      </c>
      <c r="T111" s="4" t="str">
        <f t="array" ref="T111">INDEX(Calc!$G$2:$G$157,MATCH($W111,Calc!$A$2:$A$157,0))&amp;" / "&amp;INDEX(Calc!$H$2:$H$157,MATCH($W111,Calc!$A$2:$A$157,0))</f>
        <v>Cache / Inferno</v>
      </c>
      <c r="U111" s="4" t="str">
        <f t="array" ref="U111">TEXT(INDEX(Calc!$J$2:$J$157,MATCH($W111,Calc!$A$2:$A$157,0)),"0.0")&amp;" / "&amp;TEXT(INDEX(Calc!$K$2:$K$157,MATCH($W111,Calc!$A$2:$A$157,0)),"0.0")</f>
        <v>21.5 / 21.3</v>
      </c>
      <c r="V111" s="4" t="str">
        <f t="array" ref="V111">IFERROR(INDEX(Calc!$AQ$2:$AQ$157,MATCH($W111,Calc!$A$2:$A$157,0)),"")</f>
        <v/>
      </c>
      <c r="W111" s="4" t="s">
        <v>3179</v>
      </c>
      <c r="X111" s="4" t="s">
        <v>926</v>
      </c>
      <c r="Y111" s="4" t="str">
        <f t="shared" si="4"/>
        <v>82nefkkz4qxb3gq|CS2 · FNC vs HERO|K12</v>
      </c>
      <c r="Z111" s="12">
        <f t="array" ref="Z111">IFERROR(INDEX(CHOOSE(MATCH($X111,{"K1","K2","K3","K12","K13","H1","H2","H3","H12","H13"},0),Calc!$BA$2:$BA$157,Calc!$BB$2:$BB$157,Calc!$BC$2:$BC$157,Calc!$BD$2:$BD$157,Calc!$BE$2:$BE$157,Calc!$BF$2:$BF$157,Calc!$BG$2:$BG$157,Calc!$BH$2:$BH$157,Calc!$BI$2:$BI$157,Calc!$BJ$2:$BJ$157),MATCH($W111,Calc!$A$2:$A$157,0)),"")</f>
        <v>27.77919583</v>
      </c>
      <c r="AA111" s="12">
        <f t="array" ref="AA111">IF(Z111="","",IF(LEFT($X111,1)="H",SQRT(Z111*(IFERROR(INDEX(Calc!$AP$2:$AP$157,MATCH($W111,Calc!$A$2:$A$157,0)),0.5)*Config!$B$5+1-IFERROR(INDEX(Calc!$AP$2:$AP$157,MATCH($W111,Calc!$A$2:$A$157,0)),0.5))),SQRT(Z111*Config!$B$5)))</f>
        <v>6.236254818</v>
      </c>
      <c r="AB111" s="11">
        <f t="shared" si="5"/>
        <v>0.5178545981</v>
      </c>
      <c r="AC111" s="11">
        <f t="shared" si="6"/>
        <v>0.4821454019</v>
      </c>
      <c r="AD111" s="4" t="str">
        <f>IF(AB111="","",IF(AB111&gt;=0.5+Config!$B$6,"OVER",IF(AC111&gt;=0.5+Config!$B$6,"UNDER","—")))</f>
        <v>—</v>
      </c>
      <c r="AE111" s="18">
        <f t="shared" si="7"/>
        <v>0.934722073</v>
      </c>
    </row>
    <row r="112" ht="15.75" customHeight="1">
      <c r="A112" s="4" t="s">
        <v>86</v>
      </c>
      <c r="B112" s="4" t="s">
        <v>1090</v>
      </c>
      <c r="C112" s="4" t="s">
        <v>1382</v>
      </c>
      <c r="D112" s="4" t="s">
        <v>1095</v>
      </c>
      <c r="E112" s="4" t="s">
        <v>370</v>
      </c>
      <c r="F112" s="4">
        <v>11.0</v>
      </c>
      <c r="G112" s="12">
        <f t="array" ref="G112">IFERROR(INDEX(CHOOSE(MATCH($X112,{"K1","K2","K3","K12","K13","H1","H2","H3","H12","H13"},0),Calc!$V$2:$V$157,Calc!$AC$2:$AC$157,Calc!$AJ$2:$AJ$157,Calc!$AL$2:$AL$157,Calc!$AM$2:$AM$157,Calc!$W$2:$W$157,Calc!$AD$2:$AD$157,Calc!$AK$2:$AK$157,Calc!$AN$2:$AN$157,Calc!$AO$2:$AO$157),MATCH($W112,Calc!$A$2:$A$157,0)),"")</f>
        <v>11.50026208</v>
      </c>
      <c r="H112" s="12">
        <f t="array" ref="H112">IF(G112="","",IF(LEFT($X112,1)="H",SQRT(G112*(IFERROR(INDEX(Calc!$AP$2:$AP$157,MATCH($W112,Calc!$A$2:$A$157,0)),0.5)*Config!$B$5+1-IFERROR(INDEX(Calc!$AP$2:$AP$157,MATCH($W112,Calc!$A$2:$A$157,0)),0.5))),SQRT(G112*Config!$B$5)))</f>
        <v>3.62852312</v>
      </c>
      <c r="I112" s="11">
        <f t="shared" si="1"/>
        <v>0.5000288143</v>
      </c>
      <c r="J112" s="11">
        <f t="shared" si="2"/>
        <v>0.3914021344</v>
      </c>
      <c r="K112" s="11">
        <f t="shared" si="3"/>
        <v>0.1085690513</v>
      </c>
      <c r="L112" s="4" t="str">
        <f>IF(I112="","",IF(I112&gt;=0.5+Config!$B$6,"OVER",IF(J112&gt;=0.5+Config!$B$6,"UNDER","—")))</f>
        <v>—</v>
      </c>
      <c r="N112" s="4">
        <v>11.2</v>
      </c>
      <c r="O112" s="11">
        <v>1.0</v>
      </c>
      <c r="P112" s="11">
        <v>0.7</v>
      </c>
      <c r="Q112" s="11">
        <v>0.67</v>
      </c>
      <c r="R112" s="4" t="s">
        <v>3180</v>
      </c>
      <c r="S112" s="4">
        <v>5.0</v>
      </c>
      <c r="T112" s="4" t="str">
        <f t="array" ref="T112">INDEX(Calc!$G$2:$G$157,MATCH($W112,Calc!$A$2:$A$157,0))&amp;" / "&amp;INDEX(Calc!$H$2:$H$157,MATCH($W112,Calc!$A$2:$A$157,0))</f>
        <v>Cache / Inferno</v>
      </c>
      <c r="U112" s="4" t="str">
        <f t="array" ref="U112">TEXT(INDEX(Calc!$J$2:$J$157,MATCH($W112,Calc!$A$2:$A$157,0)),"0.0")&amp;" / "&amp;TEXT(INDEX(Calc!$K$2:$K$157,MATCH($W112,Calc!$A$2:$A$157,0)),"0.0")</f>
        <v>21.5 / 21.3</v>
      </c>
      <c r="V112" s="4" t="str">
        <f t="array" ref="V112">IFERROR(INDEX(Calc!$AQ$2:$AQ$157,MATCH($W112,Calc!$A$2:$A$157,0)),"")</f>
        <v/>
      </c>
      <c r="W112" s="4" t="s">
        <v>3181</v>
      </c>
      <c r="X112" s="4" t="s">
        <v>634</v>
      </c>
      <c r="Y112" s="4" t="str">
        <f t="shared" si="4"/>
        <v>vri96qu30akszzt|CS2 · FNC vs HERO|H12</v>
      </c>
      <c r="Z112" s="12">
        <f t="array" ref="Z112">IFERROR(INDEX(CHOOSE(MATCH($X112,{"K1","K2","K3","K12","K13","H1","H2","H3","H12","H13"},0),Calc!$BA$2:$BA$157,Calc!$BB$2:$BB$157,Calc!$BC$2:$BC$157,Calc!$BD$2:$BD$157,Calc!$BE$2:$BE$157,Calc!$BF$2:$BF$157,Calc!$BG$2:$BG$157,Calc!$BH$2:$BH$157,Calc!$BI$2:$BI$157,Calc!$BJ$2:$BJ$157),MATCH($W112,Calc!$A$2:$A$157,0)),"")</f>
        <v>10.73157652</v>
      </c>
      <c r="AA112" s="12">
        <f t="array" ref="AA112">IF(Z112="","",IF(LEFT($X112,1)="H",SQRT(Z112*(IFERROR(INDEX(Calc!$AP$2:$AP$157,MATCH($W112,Calc!$A$2:$A$157,0)),0.5)*Config!$B$5+1-IFERROR(INDEX(Calc!$AP$2:$AP$157,MATCH($W112,Calc!$A$2:$A$157,0)),0.5))),SQRT(Z112*Config!$B$5)))</f>
        <v>3.505159534</v>
      </c>
      <c r="AB112" s="11">
        <f t="shared" si="5"/>
        <v>0.4132368491</v>
      </c>
      <c r="AC112" s="11">
        <f t="shared" si="6"/>
        <v>0.4736621112</v>
      </c>
      <c r="AD112" s="4" t="str">
        <f>IF(AB112="","",IF(AB112&gt;=0.5+Config!$B$6,"OVER",IF(AC112&gt;=0.5+Config!$B$6,"UNDER","—")))</f>
        <v>—</v>
      </c>
      <c r="AE112" s="18">
        <f t="shared" si="7"/>
        <v>0.9331593013</v>
      </c>
    </row>
    <row r="113" ht="15.75" customHeight="1">
      <c r="A113" s="4" t="s">
        <v>86</v>
      </c>
      <c r="B113" s="4" t="s">
        <v>1090</v>
      </c>
      <c r="C113" s="4" t="s">
        <v>1382</v>
      </c>
      <c r="D113" s="4" t="s">
        <v>1095</v>
      </c>
      <c r="E113" s="4" t="s">
        <v>772</v>
      </c>
      <c r="F113" s="4">
        <v>30.5</v>
      </c>
      <c r="G113" s="12">
        <f t="array" ref="G113">IFERROR(INDEX(CHOOSE(MATCH($X113,{"K1","K2","K3","K12","K13","H1","H2","H3","H12","H13"},0),Calc!$V$2:$V$157,Calc!$AC$2:$AC$157,Calc!$AJ$2:$AJ$157,Calc!$AL$2:$AL$157,Calc!$AM$2:$AM$157,Calc!$W$2:$W$157,Calc!$AD$2:$AD$157,Calc!$AK$2:$AK$157,Calc!$AN$2:$AN$157,Calc!$AO$2:$AO$157),MATCH($W113,Calc!$A$2:$A$157,0)),"")</f>
        <v>31.75571218</v>
      </c>
      <c r="H113" s="12">
        <f t="array" ref="H113">IF(G113="","",IF(LEFT($X113,1)="H",SQRT(G113*(IFERROR(INDEX(Calc!$AP$2:$AP$157,MATCH($W113,Calc!$A$2:$A$157,0)),0.5)*Config!$B$5+1-IFERROR(INDEX(Calc!$AP$2:$AP$157,MATCH($W113,Calc!$A$2:$A$157,0)),0.5))),SQRT(G113*Config!$B$5)))</f>
        <v>6.667683035</v>
      </c>
      <c r="I113" s="11">
        <f t="shared" si="1"/>
        <v>0.5746902766</v>
      </c>
      <c r="J113" s="11">
        <f t="shared" si="2"/>
        <v>0.4253097234</v>
      </c>
      <c r="K113" s="11">
        <f t="shared" si="3"/>
        <v>0</v>
      </c>
      <c r="L113" s="4" t="str">
        <f>IF(I113="","",IF(I113&gt;=0.5+Config!$B$6,"OVER",IF(J113&gt;=0.5+Config!$B$6,"UNDER","—")))</f>
        <v>OVER</v>
      </c>
      <c r="N113" s="4">
        <v>33.3</v>
      </c>
      <c r="O113" s="11">
        <v>0.6</v>
      </c>
      <c r="P113" s="11">
        <v>0.7</v>
      </c>
      <c r="Q113" s="11">
        <v>0.67</v>
      </c>
      <c r="R113" s="4" t="s">
        <v>3180</v>
      </c>
      <c r="S113" s="4">
        <v>-1.0</v>
      </c>
      <c r="T113" s="4" t="str">
        <f t="array" ref="T113">INDEX(Calc!$G$2:$G$157,MATCH($W113,Calc!$A$2:$A$157,0))&amp;" / "&amp;INDEX(Calc!$H$2:$H$157,MATCH($W113,Calc!$A$2:$A$157,0))</f>
        <v>Cache / Inferno</v>
      </c>
      <c r="U113" s="4" t="str">
        <f t="array" ref="U113">TEXT(INDEX(Calc!$J$2:$J$157,MATCH($W113,Calc!$A$2:$A$157,0)),"0.0")&amp;" / "&amp;TEXT(INDEX(Calc!$K$2:$K$157,MATCH($W113,Calc!$A$2:$A$157,0)),"0.0")</f>
        <v>21.5 / 21.3</v>
      </c>
      <c r="V113" s="4" t="str">
        <f t="array" ref="V113">IFERROR(INDEX(Calc!$AQ$2:$AQ$157,MATCH($W113,Calc!$A$2:$A$157,0)),"")</f>
        <v/>
      </c>
      <c r="W113" s="4" t="s">
        <v>3181</v>
      </c>
      <c r="X113" s="4" t="s">
        <v>926</v>
      </c>
      <c r="Y113" s="4" t="str">
        <f t="shared" si="4"/>
        <v>vri96qu30akszzt|CS2 · FNC vs HERO|K12</v>
      </c>
      <c r="Z113" s="12">
        <f t="array" ref="Z113">IFERROR(INDEX(CHOOSE(MATCH($X113,{"K1","K2","K3","K12","K13","H1","H2","H3","H12","H13"},0),Calc!$BA$2:$BA$157,Calc!$BB$2:$BB$157,Calc!$BC$2:$BC$157,Calc!$BD$2:$BD$157,Calc!$BE$2:$BE$157,Calc!$BF$2:$BF$157,Calc!$BG$2:$BG$157,Calc!$BH$2:$BH$157,Calc!$BI$2:$BI$157,Calc!$BJ$2:$BJ$157),MATCH($W113,Calc!$A$2:$A$157,0)),"")</f>
        <v>29.64731813</v>
      </c>
      <c r="AA113" s="12">
        <f t="array" ref="AA113">IF(Z113="","",IF(LEFT($X113,1)="H",SQRT(Z113*(IFERROR(INDEX(Calc!$AP$2:$AP$157,MATCH($W113,Calc!$A$2:$A$157,0)),0.5)*Config!$B$5+1-IFERROR(INDEX(Calc!$AP$2:$AP$157,MATCH($W113,Calc!$A$2:$A$157,0)),0.5))),SQRT(Z113*Config!$B$5)))</f>
        <v>6.442534081</v>
      </c>
      <c r="AB113" s="11">
        <f t="shared" si="5"/>
        <v>0.447352964</v>
      </c>
      <c r="AC113" s="11">
        <f t="shared" si="6"/>
        <v>0.552647036</v>
      </c>
      <c r="AD113" s="4" t="str">
        <f>IF(AB113="","",IF(AB113&gt;=0.5+Config!$B$6,"OVER",IF(AC113&gt;=0.5+Config!$B$6,"UNDER","—")))</f>
        <v>UNDER</v>
      </c>
      <c r="AE113" s="18">
        <f t="shared" si="7"/>
        <v>0.9336058332</v>
      </c>
    </row>
    <row r="114" ht="15.75" customHeight="1">
      <c r="A114" s="4" t="s">
        <v>86</v>
      </c>
      <c r="B114" s="4" t="s">
        <v>1090</v>
      </c>
      <c r="C114" s="4" t="s">
        <v>1385</v>
      </c>
      <c r="D114" s="4" t="s">
        <v>1095</v>
      </c>
      <c r="E114" s="4" t="s">
        <v>370</v>
      </c>
      <c r="F114" s="4">
        <v>16.0</v>
      </c>
      <c r="G114" s="12">
        <f t="array" ref="G114">IFERROR(INDEX(CHOOSE(MATCH($X114,{"K1","K2","K3","K12","K13","H1","H2","H3","H12","H13"},0),Calc!$V$2:$V$157,Calc!$AC$2:$AC$157,Calc!$AJ$2:$AJ$157,Calc!$AL$2:$AL$157,Calc!$AM$2:$AM$157,Calc!$W$2:$W$157,Calc!$AD$2:$AD$157,Calc!$AK$2:$AK$157,Calc!$AN$2:$AN$157,Calc!$AO$2:$AO$157),MATCH($W114,Calc!$A$2:$A$157,0)),"")</f>
        <v>16.73600313</v>
      </c>
      <c r="H114" s="12">
        <f t="array" ref="H114">IF(G114="","",IF(LEFT($X114,1)="H",SQRT(G114*(IFERROR(INDEX(Calc!$AP$2:$AP$157,MATCH($W114,Calc!$A$2:$A$157,0)),0.5)*Config!$B$5+1-IFERROR(INDEX(Calc!$AP$2:$AP$157,MATCH($W114,Calc!$A$2:$A$157,0)),0.5))),SQRT(G114*Config!$B$5)))</f>
        <v>4.525858462</v>
      </c>
      <c r="I114" s="11">
        <f t="shared" si="1"/>
        <v>0.5207936191</v>
      </c>
      <c r="J114" s="11">
        <f t="shared" si="2"/>
        <v>0.3923889217</v>
      </c>
      <c r="K114" s="11">
        <f t="shared" si="3"/>
        <v>0.08681745919</v>
      </c>
      <c r="L114" s="4" t="str">
        <f>IF(I114="","",IF(I114&gt;=0.5+Config!$B$6,"OVER",IF(J114&gt;=0.5+Config!$B$6,"UNDER","—")))</f>
        <v>—</v>
      </c>
      <c r="N114" s="4">
        <v>15.8</v>
      </c>
      <c r="O114" s="11">
        <v>0.8</v>
      </c>
      <c r="P114" s="11">
        <v>0.7</v>
      </c>
      <c r="Q114" s="11">
        <v>0.67</v>
      </c>
      <c r="R114" s="4" t="s">
        <v>1158</v>
      </c>
      <c r="S114" s="4">
        <v>3.0</v>
      </c>
      <c r="T114" s="4" t="str">
        <f t="array" ref="T114">INDEX(Calc!$G$2:$G$157,MATCH($W114,Calc!$A$2:$A$157,0))&amp;" / "&amp;INDEX(Calc!$H$2:$H$157,MATCH($W114,Calc!$A$2:$A$157,0))</f>
        <v>Cache / Inferno</v>
      </c>
      <c r="U114" s="4" t="str">
        <f t="array" ref="U114">TEXT(INDEX(Calc!$J$2:$J$157,MATCH($W114,Calc!$A$2:$A$157,0)),"0.0")&amp;" / "&amp;TEXT(INDEX(Calc!$K$2:$K$157,MATCH($W114,Calc!$A$2:$A$157,0)),"0.0")</f>
        <v>21.5 / 21.3</v>
      </c>
      <c r="V114" s="4" t="str">
        <f t="array" ref="V114">IFERROR(INDEX(Calc!$AQ$2:$AQ$157,MATCH($W114,Calc!$A$2:$A$157,0)),"")</f>
        <v/>
      </c>
      <c r="W114" s="4" t="s">
        <v>3182</v>
      </c>
      <c r="X114" s="4" t="s">
        <v>634</v>
      </c>
      <c r="Y114" s="4" t="str">
        <f t="shared" si="4"/>
        <v>nm2jvu2w8c75yhk|CS2 · FNC vs HERO|H12</v>
      </c>
      <c r="Z114" s="12">
        <f t="array" ref="Z114">IFERROR(INDEX(CHOOSE(MATCH($X114,{"K1","K2","K3","K12","K13","H1","H2","H3","H12","H13"},0),Calc!$BA$2:$BA$157,Calc!$BB$2:$BB$157,Calc!$BC$2:$BC$157,Calc!$BD$2:$BD$157,Calc!$BE$2:$BE$157,Calc!$BF$2:$BF$157,Calc!$BG$2:$BG$157,Calc!$BH$2:$BH$157,Calc!$BI$2:$BI$157,Calc!$BJ$2:$BJ$157),MATCH($W114,Calc!$A$2:$A$157,0)),"")</f>
        <v>15.6370957</v>
      </c>
      <c r="AA114" s="12">
        <f t="array" ref="AA114">IF(Z114="","",IF(LEFT($X114,1)="H",SQRT(Z114*(IFERROR(INDEX(Calc!$AP$2:$AP$157,MATCH($W114,Calc!$A$2:$A$157,0)),0.5)*Config!$B$5+1-IFERROR(INDEX(Calc!$AP$2:$AP$157,MATCH($W114,Calc!$A$2:$A$157,0)),0.5))),SQRT(Z114*Config!$B$5)))</f>
        <v>4.374749003</v>
      </c>
      <c r="AB114" s="11">
        <f t="shared" si="5"/>
        <v>0.4218172889</v>
      </c>
      <c r="AC114" s="11">
        <f t="shared" si="6"/>
        <v>0.4875000093</v>
      </c>
      <c r="AD114" s="4" t="str">
        <f>IF(AB114="","",IF(AB114&gt;=0.5+Config!$B$6,"OVER",IF(AC114&gt;=0.5+Config!$B$6,"UNDER","—")))</f>
        <v>—</v>
      </c>
      <c r="AE114" s="18">
        <f t="shared" si="7"/>
        <v>0.9343387175</v>
      </c>
    </row>
    <row r="115" ht="15.75" customHeight="1">
      <c r="A115" s="4" t="s">
        <v>86</v>
      </c>
      <c r="B115" s="4" t="s">
        <v>1090</v>
      </c>
      <c r="C115" s="4" t="s">
        <v>1385</v>
      </c>
      <c r="D115" s="4" t="s">
        <v>1095</v>
      </c>
      <c r="E115" s="4" t="s">
        <v>772</v>
      </c>
      <c r="F115" s="4">
        <v>27.5</v>
      </c>
      <c r="G115" s="12">
        <f t="array" ref="G115">IFERROR(INDEX(CHOOSE(MATCH($X115,{"K1","K2","K3","K12","K13","H1","H2","H3","H12","H13"},0),Calc!$V$2:$V$157,Calc!$AC$2:$AC$157,Calc!$AJ$2:$AJ$157,Calc!$AL$2:$AL$157,Calc!$AM$2:$AM$157,Calc!$W$2:$W$157,Calc!$AD$2:$AD$157,Calc!$AK$2:$AK$157,Calc!$AN$2:$AN$157,Calc!$AO$2:$AO$157),MATCH($W115,Calc!$A$2:$A$157,0)),"")</f>
        <v>29.89746731</v>
      </c>
      <c r="H115" s="12">
        <f t="array" ref="H115">IF(G115="","",IF(LEFT($X115,1)="H",SQRT(G115*(IFERROR(INDEX(Calc!$AP$2:$AP$157,MATCH($W115,Calc!$A$2:$A$157,0)),0.5)*Config!$B$5+1-IFERROR(INDEX(Calc!$AP$2:$AP$157,MATCH($W115,Calc!$A$2:$A$157,0)),0.5))),SQRT(G115*Config!$B$5)))</f>
        <v>6.469656423</v>
      </c>
      <c r="I115" s="11">
        <f t="shared" si="1"/>
        <v>0.6445214722</v>
      </c>
      <c r="J115" s="11">
        <f t="shared" si="2"/>
        <v>0.3554785278</v>
      </c>
      <c r="K115" s="11">
        <f t="shared" si="3"/>
        <v>0</v>
      </c>
      <c r="L115" s="4" t="str">
        <f>IF(I115="","",IF(I115&gt;=0.5+Config!$B$6,"OVER",IF(J115&gt;=0.5+Config!$B$6,"UNDER","—")))</f>
        <v>OVER</v>
      </c>
      <c r="N115" s="4">
        <v>26.8</v>
      </c>
      <c r="O115" s="11">
        <v>0.2</v>
      </c>
      <c r="P115" s="11">
        <v>0.5</v>
      </c>
      <c r="Q115" s="11">
        <v>0.53</v>
      </c>
      <c r="R115" s="4" t="s">
        <v>1158</v>
      </c>
      <c r="S115" s="4">
        <v>-4.0</v>
      </c>
      <c r="T115" s="4" t="str">
        <f t="array" ref="T115">INDEX(Calc!$G$2:$G$157,MATCH($W115,Calc!$A$2:$A$157,0))&amp;" / "&amp;INDEX(Calc!$H$2:$H$157,MATCH($W115,Calc!$A$2:$A$157,0))</f>
        <v>Cache / Inferno</v>
      </c>
      <c r="U115" s="4" t="str">
        <f t="array" ref="U115">TEXT(INDEX(Calc!$J$2:$J$157,MATCH($W115,Calc!$A$2:$A$157,0)),"0.0")&amp;" / "&amp;TEXT(INDEX(Calc!$K$2:$K$157,MATCH($W115,Calc!$A$2:$A$157,0)),"0.0")</f>
        <v>21.5 / 21.3</v>
      </c>
      <c r="V115" s="4" t="str">
        <f t="array" ref="V115">IFERROR(INDEX(Calc!$AQ$2:$AQ$157,MATCH($W115,Calc!$A$2:$A$157,0)),"")</f>
        <v/>
      </c>
      <c r="W115" s="4" t="s">
        <v>3182</v>
      </c>
      <c r="X115" s="4" t="s">
        <v>926</v>
      </c>
      <c r="Y115" s="4" t="str">
        <f t="shared" si="4"/>
        <v>nm2jvu2w8c75yhk|CS2 · FNC vs HERO|K12</v>
      </c>
      <c r="Z115" s="12">
        <f t="array" ref="Z115">IFERROR(INDEX(CHOOSE(MATCH($X115,{"K1","K2","K3","K12","K13","H1","H2","H3","H12","H13"},0),Calc!$BA$2:$BA$157,Calc!$BB$2:$BB$157,Calc!$BC$2:$BC$157,Calc!$BD$2:$BD$157,Calc!$BE$2:$BE$157,Calc!$BF$2:$BF$157,Calc!$BG$2:$BG$157,Calc!$BH$2:$BH$157,Calc!$BI$2:$BI$157,Calc!$BJ$2:$BJ$157),MATCH($W115,Calc!$A$2:$A$157,0)),"")</f>
        <v>27.94863776</v>
      </c>
      <c r="AA115" s="12">
        <f t="array" ref="AA115">IF(Z115="","",IF(LEFT($X115,1)="H",SQRT(Z115*(IFERROR(INDEX(Calc!$AP$2:$AP$157,MATCH($W115,Calc!$A$2:$A$157,0)),0.5)*Config!$B$5+1-IFERROR(INDEX(Calc!$AP$2:$AP$157,MATCH($W115,Calc!$A$2:$A$157,0)),0.5))),SQRT(Z115*Config!$B$5)))</f>
        <v>6.255245228</v>
      </c>
      <c r="AB115" s="11">
        <f t="shared" si="5"/>
        <v>0.5285883661</v>
      </c>
      <c r="AC115" s="11">
        <f t="shared" si="6"/>
        <v>0.4714116339</v>
      </c>
      <c r="AD115" s="4" t="str">
        <f>IF(AB115="","",IF(AB115&gt;=0.5+Config!$B$6,"OVER",IF(AC115&gt;=0.5+Config!$B$6,"UNDER","—")))</f>
        <v>—</v>
      </c>
      <c r="AE115" s="18">
        <f t="shared" si="7"/>
        <v>0.9348162327</v>
      </c>
    </row>
    <row r="116" ht="15.75" customHeight="1">
      <c r="A116" s="4" t="s">
        <v>86</v>
      </c>
      <c r="B116" s="4" t="s">
        <v>1090</v>
      </c>
      <c r="C116" s="4" t="s">
        <v>1421</v>
      </c>
      <c r="D116" s="4" t="s">
        <v>1096</v>
      </c>
      <c r="E116" s="4" t="s">
        <v>370</v>
      </c>
      <c r="F116" s="4">
        <v>17.0</v>
      </c>
      <c r="G116" s="12">
        <f t="array" ref="G116">IFERROR(INDEX(CHOOSE(MATCH($X116,{"K1","K2","K3","K12","K13","H1","H2","H3","H12","H13"},0),Calc!$V$2:$V$157,Calc!$AC$2:$AC$157,Calc!$AJ$2:$AJ$157,Calc!$AL$2:$AL$157,Calc!$AM$2:$AM$157,Calc!$W$2:$W$157,Calc!$AD$2:$AD$157,Calc!$AK$2:$AK$157,Calc!$AN$2:$AN$157,Calc!$AO$2:$AO$157),MATCH($W116,Calc!$A$2:$A$157,0)),"")</f>
        <v>19.10542638</v>
      </c>
      <c r="H116" s="12">
        <f t="array" ref="H116">IF(G116="","",IF(LEFT($X116,1)="H",SQRT(G116*(IFERROR(INDEX(Calc!$AP$2:$AP$157,MATCH($W116,Calc!$A$2:$A$157,0)),0.5)*Config!$B$5+1-IFERROR(INDEX(Calc!$AP$2:$AP$157,MATCH($W116,Calc!$A$2:$A$157,0)),0.5))),SQRT(G116*Config!$B$5)))</f>
        <v>4.822248763</v>
      </c>
      <c r="I116" s="11">
        <f t="shared" si="1"/>
        <v>0.6304029239</v>
      </c>
      <c r="J116" s="11">
        <f t="shared" si="2"/>
        <v>0.2944975549</v>
      </c>
      <c r="K116" s="11">
        <f t="shared" si="3"/>
        <v>0.0750995212</v>
      </c>
      <c r="L116" s="4" t="str">
        <f>IF(I116="","",IF(I116&gt;=0.5+Config!$B$6,"OVER",IF(J116&gt;=0.5+Config!$B$6,"UNDER","—")))</f>
        <v>OVER</v>
      </c>
      <c r="N116" s="4">
        <v>16.6</v>
      </c>
      <c r="O116" s="11">
        <v>0.8</v>
      </c>
      <c r="P116" s="11">
        <v>0.4</v>
      </c>
      <c r="Q116" s="11">
        <v>0.53</v>
      </c>
      <c r="R116" s="4" t="s">
        <v>1296</v>
      </c>
      <c r="S116" s="4">
        <v>4.0</v>
      </c>
      <c r="T116" s="4" t="str">
        <f t="array" ref="T116">INDEX(Calc!$G$2:$G$157,MATCH($W116,Calc!$A$2:$A$157,0))&amp;" / "&amp;INDEX(Calc!$H$2:$H$157,MATCH($W116,Calc!$A$2:$A$157,0))</f>
        <v>Cache / Inferno</v>
      </c>
      <c r="U116" s="4" t="str">
        <f t="array" ref="U116">TEXT(INDEX(Calc!$J$2:$J$157,MATCH($W116,Calc!$A$2:$A$157,0)),"0.0")&amp;" / "&amp;TEXT(INDEX(Calc!$K$2:$K$157,MATCH($W116,Calc!$A$2:$A$157,0)),"0.0")</f>
        <v>21.5 / 21.3</v>
      </c>
      <c r="V116" s="4" t="str">
        <f t="array" ref="V116">IFERROR(INDEX(Calc!$AQ$2:$AQ$157,MATCH($W116,Calc!$A$2:$A$157,0)),"")</f>
        <v/>
      </c>
      <c r="W116" s="4" t="s">
        <v>3183</v>
      </c>
      <c r="X116" s="4" t="s">
        <v>634</v>
      </c>
      <c r="Y116" s="4" t="str">
        <f t="shared" si="4"/>
        <v>wtlsowfl6o5b5pg|CS2 · FNC vs HERO|H12</v>
      </c>
      <c r="Z116" s="12">
        <f t="array" ref="Z116">IFERROR(INDEX(CHOOSE(MATCH($X116,{"K1","K2","K3","K12","K13","H1","H2","H3","H12","H13"},0),Calc!$BA$2:$BA$157,Calc!$BB$2:$BB$157,Calc!$BC$2:$BC$157,Calc!$BD$2:$BD$157,Calc!$BE$2:$BE$157,Calc!$BF$2:$BF$157,Calc!$BG$2:$BG$157,Calc!$BH$2:$BH$157,Calc!$BI$2:$BI$157,Calc!$BJ$2:$BJ$157),MATCH($W116,Calc!$A$2:$A$157,0)),"")</f>
        <v>18.53248276</v>
      </c>
      <c r="AA116" s="12">
        <f t="array" ref="AA116">IF(Z116="","",IF(LEFT($X116,1)="H",SQRT(Z116*(IFERROR(INDEX(Calc!$AP$2:$AP$157,MATCH($W116,Calc!$A$2:$A$157,0)),0.5)*Config!$B$5+1-IFERROR(INDEX(Calc!$AP$2:$AP$157,MATCH($W116,Calc!$A$2:$A$157,0)),0.5))),SQRT(Z116*Config!$B$5)))</f>
        <v>4.749392319</v>
      </c>
      <c r="AB116" s="11">
        <f t="shared" si="5"/>
        <v>0.5860488022</v>
      </c>
      <c r="AC116" s="11">
        <f t="shared" si="6"/>
        <v>0.3343452706</v>
      </c>
      <c r="AD116" s="4" t="str">
        <f>IF(AB116="","",IF(AB116&gt;=0.5+Config!$B$6,"OVER",IF(AC116&gt;=0.5+Config!$B$6,"UNDER","—")))</f>
        <v>OVER</v>
      </c>
      <c r="AE116" s="18">
        <f t="shared" si="7"/>
        <v>0.9700114715</v>
      </c>
    </row>
    <row r="117" ht="15.75" customHeight="1">
      <c r="A117" s="4" t="s">
        <v>86</v>
      </c>
      <c r="B117" s="4" t="s">
        <v>1090</v>
      </c>
      <c r="C117" s="4" t="s">
        <v>1421</v>
      </c>
      <c r="D117" s="4" t="s">
        <v>1096</v>
      </c>
      <c r="E117" s="4" t="s">
        <v>772</v>
      </c>
      <c r="F117" s="4">
        <v>30.5</v>
      </c>
      <c r="G117" s="12">
        <f t="array" ref="G117">IFERROR(INDEX(CHOOSE(MATCH($X117,{"K1","K2","K3","K12","K13","H1","H2","H3","H12","H13"},0),Calc!$V$2:$V$157,Calc!$AC$2:$AC$157,Calc!$AJ$2:$AJ$157,Calc!$AL$2:$AL$157,Calc!$AM$2:$AM$157,Calc!$W$2:$W$157,Calc!$AD$2:$AD$157,Calc!$AK$2:$AK$157,Calc!$AN$2:$AN$157,Calc!$AO$2:$AO$157),MATCH($W117,Calc!$A$2:$A$157,0)),"")</f>
        <v>35.19378333</v>
      </c>
      <c r="H117" s="12">
        <f t="array" ref="H117">IF(G117="","",IF(LEFT($X117,1)="H",SQRT(G117*(IFERROR(INDEX(Calc!$AP$2:$AP$157,MATCH($W117,Calc!$A$2:$A$157,0)),0.5)*Config!$B$5+1-IFERROR(INDEX(Calc!$AP$2:$AP$157,MATCH($W117,Calc!$A$2:$A$157,0)),0.5))),SQRT(G117*Config!$B$5)))</f>
        <v>7.019351584</v>
      </c>
      <c r="I117" s="11">
        <f t="shared" si="1"/>
        <v>0.7481539725</v>
      </c>
      <c r="J117" s="11">
        <f t="shared" si="2"/>
        <v>0.2518460275</v>
      </c>
      <c r="K117" s="11">
        <f t="shared" si="3"/>
        <v>0</v>
      </c>
      <c r="L117" s="4" t="str">
        <f>IF(I117="","",IF(I117&gt;=0.5+Config!$B$6,"OVER",IF(J117&gt;=0.5+Config!$B$6,"UNDER","—")))</f>
        <v>OVER</v>
      </c>
      <c r="N117" s="4">
        <v>30.7</v>
      </c>
      <c r="O117" s="11">
        <v>0.8</v>
      </c>
      <c r="P117" s="11">
        <v>0.5</v>
      </c>
      <c r="Q117" s="11">
        <v>0.53</v>
      </c>
      <c r="R117" s="4" t="s">
        <v>1296</v>
      </c>
      <c r="S117" s="4">
        <v>4.0</v>
      </c>
      <c r="T117" s="4" t="str">
        <f t="array" ref="T117">INDEX(Calc!$G$2:$G$157,MATCH($W117,Calc!$A$2:$A$157,0))&amp;" / "&amp;INDEX(Calc!$H$2:$H$157,MATCH($W117,Calc!$A$2:$A$157,0))</f>
        <v>Cache / Inferno</v>
      </c>
      <c r="U117" s="4" t="str">
        <f t="array" ref="U117">TEXT(INDEX(Calc!$J$2:$J$157,MATCH($W117,Calc!$A$2:$A$157,0)),"0.0")&amp;" / "&amp;TEXT(INDEX(Calc!$K$2:$K$157,MATCH($W117,Calc!$A$2:$A$157,0)),"0.0")</f>
        <v>21.5 / 21.3</v>
      </c>
      <c r="V117" s="4" t="str">
        <f t="array" ref="V117">IFERROR(INDEX(Calc!$AQ$2:$AQ$157,MATCH($W117,Calc!$A$2:$A$157,0)),"")</f>
        <v/>
      </c>
      <c r="W117" s="4" t="s">
        <v>3183</v>
      </c>
      <c r="X117" s="4" t="s">
        <v>926</v>
      </c>
      <c r="Y117" s="4" t="str">
        <f t="shared" si="4"/>
        <v>wtlsowfl6o5b5pg|CS2 · FNC vs HERO|K12</v>
      </c>
      <c r="Z117" s="12">
        <f t="array" ref="Z117">IFERROR(INDEX(CHOOSE(MATCH($X117,{"K1","K2","K3","K12","K13","H1","H2","H3","H12","H13"},0),Calc!$BA$2:$BA$157,Calc!$BB$2:$BB$157,Calc!$BC$2:$BC$157,Calc!$BD$2:$BD$157,Calc!$BE$2:$BE$157,Calc!$BF$2:$BF$157,Calc!$BG$2:$BG$157,Calc!$BH$2:$BH$157,Calc!$BI$2:$BI$157,Calc!$BJ$2:$BJ$157),MATCH($W117,Calc!$A$2:$A$157,0)),"")</f>
        <v>34.13730288</v>
      </c>
      <c r="AA117" s="12">
        <f t="array" ref="AA117">IF(Z117="","",IF(LEFT($X117,1)="H",SQRT(Z117*(IFERROR(INDEX(Calc!$AP$2:$AP$157,MATCH($W117,Calc!$A$2:$A$157,0)),0.5)*Config!$B$5+1-IFERROR(INDEX(Calc!$AP$2:$AP$157,MATCH($W117,Calc!$A$2:$A$157,0)),0.5))),SQRT(Z117*Config!$B$5)))</f>
        <v>6.913192029</v>
      </c>
      <c r="AB117" s="11">
        <f t="shared" si="5"/>
        <v>0.7006043312</v>
      </c>
      <c r="AC117" s="11">
        <f t="shared" si="6"/>
        <v>0.2993956688</v>
      </c>
      <c r="AD117" s="4" t="str">
        <f>IF(AB117="","",IF(AB117&gt;=0.5+Config!$B$6,"OVER",IF(AC117&gt;=0.5+Config!$B$6,"UNDER","—")))</f>
        <v>OVER</v>
      </c>
      <c r="AE117" s="18">
        <f t="shared" si="7"/>
        <v>0.9699810492</v>
      </c>
    </row>
    <row r="118" ht="15.75" customHeight="1">
      <c r="A118" s="4" t="s">
        <v>86</v>
      </c>
      <c r="B118" s="4" t="s">
        <v>1090</v>
      </c>
      <c r="C118" s="4" t="s">
        <v>1425</v>
      </c>
      <c r="D118" s="4" t="s">
        <v>1096</v>
      </c>
      <c r="E118" s="4" t="s">
        <v>370</v>
      </c>
      <c r="F118" s="4">
        <v>15.5</v>
      </c>
      <c r="G118" s="12">
        <f t="array" ref="G118">IFERROR(INDEX(CHOOSE(MATCH($X118,{"K1","K2","K3","K12","K13","H1","H2","H3","H12","H13"},0),Calc!$V$2:$V$157,Calc!$AC$2:$AC$157,Calc!$AJ$2:$AJ$157,Calc!$AL$2:$AL$157,Calc!$AM$2:$AM$157,Calc!$W$2:$W$157,Calc!$AD$2:$AD$157,Calc!$AK$2:$AK$157,Calc!$AN$2:$AN$157,Calc!$AO$2:$AO$157),MATCH($W118,Calc!$A$2:$A$157,0)),"")</f>
        <v>16.00818484</v>
      </c>
      <c r="H118" s="12">
        <f t="array" ref="H118">IF(G118="","",IF(LEFT($X118,1)="H",SQRT(G118*(IFERROR(INDEX(Calc!$AP$2:$AP$157,MATCH($W118,Calc!$A$2:$A$157,0)),0.5)*Config!$B$5+1-IFERROR(INDEX(Calc!$AP$2:$AP$157,MATCH($W118,Calc!$A$2:$A$157,0)),0.5))),SQRT(G118*Config!$B$5)))</f>
        <v>4.410834201</v>
      </c>
      <c r="I118" s="11">
        <f t="shared" si="1"/>
        <v>0.5458617984</v>
      </c>
      <c r="J118" s="11">
        <f t="shared" si="2"/>
        <v>0.4541382016</v>
      </c>
      <c r="K118" s="11">
        <f t="shared" si="3"/>
        <v>0</v>
      </c>
      <c r="L118" s="4" t="str">
        <f>IF(I118="","",IF(I118&gt;=0.5+Config!$B$6,"OVER",IF(J118&gt;=0.5+Config!$B$6,"UNDER","—")))</f>
        <v>OVER</v>
      </c>
      <c r="N118" s="4">
        <v>15.4</v>
      </c>
      <c r="O118" s="11">
        <v>0.4</v>
      </c>
      <c r="P118" s="11">
        <v>0.5</v>
      </c>
      <c r="Q118" s="11">
        <v>0.47</v>
      </c>
      <c r="R118" s="4" t="s">
        <v>3184</v>
      </c>
      <c r="S118" s="4">
        <v>1.0</v>
      </c>
      <c r="T118" s="4" t="str">
        <f t="array" ref="T118">INDEX(Calc!$G$2:$G$157,MATCH($W118,Calc!$A$2:$A$157,0))&amp;" / "&amp;INDEX(Calc!$H$2:$H$157,MATCH($W118,Calc!$A$2:$A$157,0))</f>
        <v>Cache / Inferno</v>
      </c>
      <c r="U118" s="4" t="str">
        <f t="array" ref="U118">TEXT(INDEX(Calc!$J$2:$J$157,MATCH($W118,Calc!$A$2:$A$157,0)),"0.0")&amp;" / "&amp;TEXT(INDEX(Calc!$K$2:$K$157,MATCH($W118,Calc!$A$2:$A$157,0)),"0.0")</f>
        <v>21.5 / 21.3</v>
      </c>
      <c r="V118" s="4" t="str">
        <f t="array" ref="V118">IFERROR(INDEX(Calc!$AQ$2:$AQ$157,MATCH($W118,Calc!$A$2:$A$157,0)),"")</f>
        <v/>
      </c>
      <c r="W118" s="4" t="s">
        <v>3185</v>
      </c>
      <c r="X118" s="4" t="s">
        <v>634</v>
      </c>
      <c r="Y118" s="4" t="str">
        <f t="shared" si="4"/>
        <v>4neyyyoi8995r0v|CS2 · FNC vs HERO|H12</v>
      </c>
      <c r="Z118" s="12">
        <f t="array" ref="Z118">IFERROR(INDEX(CHOOSE(MATCH($X118,{"K1","K2","K3","K12","K13","H1","H2","H3","H12","H13"},0),Calc!$BA$2:$BA$157,Calc!$BB$2:$BB$157,Calc!$BC$2:$BC$157,Calc!$BD$2:$BD$157,Calc!$BE$2:$BE$157,Calc!$BF$2:$BF$157,Calc!$BG$2:$BG$157,Calc!$BH$2:$BH$157,Calc!$BI$2:$BI$157,Calc!$BJ$2:$BJ$157),MATCH($W118,Calc!$A$2:$A$157,0)),"")</f>
        <v>15.52924136</v>
      </c>
      <c r="AA118" s="12">
        <f t="array" ref="AA118">IF(Z118="","",IF(LEFT($X118,1)="H",SQRT(Z118*(IFERROR(INDEX(Calc!$AP$2:$AP$157,MATCH($W118,Calc!$A$2:$A$157,0)),0.5)*Config!$B$5+1-IFERROR(INDEX(Calc!$AP$2:$AP$157,MATCH($W118,Calc!$A$2:$A$157,0)),0.5))),SQRT(Z118*Config!$B$5)))</f>
        <v>4.344350015</v>
      </c>
      <c r="AB118" s="11">
        <f t="shared" si="5"/>
        <v>0.5026852176</v>
      </c>
      <c r="AC118" s="11">
        <f t="shared" si="6"/>
        <v>0.4973147824</v>
      </c>
      <c r="AD118" s="4" t="str">
        <f>IF(AB118="","",IF(AB118&gt;=0.5+Config!$B$6,"OVER",IF(AC118&gt;=0.5+Config!$B$6,"UNDER","—")))</f>
        <v>—</v>
      </c>
      <c r="AE118" s="18">
        <f t="shared" si="7"/>
        <v>0.9700813374</v>
      </c>
    </row>
    <row r="119" ht="15.75" customHeight="1">
      <c r="A119" s="4" t="s">
        <v>86</v>
      </c>
      <c r="B119" s="4" t="s">
        <v>1090</v>
      </c>
      <c r="C119" s="4" t="s">
        <v>1425</v>
      </c>
      <c r="D119" s="4" t="s">
        <v>1096</v>
      </c>
      <c r="E119" s="4" t="s">
        <v>772</v>
      </c>
      <c r="F119" s="4">
        <v>28.5</v>
      </c>
      <c r="G119" s="12">
        <f t="array" ref="G119">IFERROR(INDEX(CHOOSE(MATCH($X119,{"K1","K2","K3","K12","K13","H1","H2","H3","H12","H13"},0),Calc!$V$2:$V$157,Calc!$AC$2:$AC$157,Calc!$AJ$2:$AJ$157,Calc!$AL$2:$AL$157,Calc!$AM$2:$AM$157,Calc!$W$2:$W$157,Calc!$AD$2:$AD$157,Calc!$AK$2:$AK$157,Calc!$AN$2:$AN$157,Calc!$AO$2:$AO$157),MATCH($W119,Calc!$A$2:$A$157,0)),"")</f>
        <v>29.73503333</v>
      </c>
      <c r="H119" s="12">
        <f t="array" ref="H119">IF(G119="","",IF(LEFT($X119,1)="H",SQRT(G119*(IFERROR(INDEX(Calc!$AP$2:$AP$157,MATCH($W119,Calc!$A$2:$A$157,0)),0.5)*Config!$B$5+1-IFERROR(INDEX(Calc!$AP$2:$AP$157,MATCH($W119,Calc!$A$2:$A$157,0)),0.5))),SQRT(G119*Config!$B$5)))</f>
        <v>6.452057553</v>
      </c>
      <c r="I119" s="11">
        <f t="shared" si="1"/>
        <v>0.5759005387</v>
      </c>
      <c r="J119" s="11">
        <f t="shared" si="2"/>
        <v>0.4240994613</v>
      </c>
      <c r="K119" s="11">
        <f t="shared" si="3"/>
        <v>0</v>
      </c>
      <c r="L119" s="4" t="str">
        <f>IF(I119="","",IF(I119&gt;=0.5+Config!$B$6,"OVER",IF(J119&gt;=0.5+Config!$B$6,"UNDER","—")))</f>
        <v>OVER</v>
      </c>
      <c r="N119" s="4">
        <v>28.0</v>
      </c>
      <c r="O119" s="11">
        <v>0.4</v>
      </c>
      <c r="P119" s="11">
        <v>0.4</v>
      </c>
      <c r="Q119" s="11">
        <v>0.47</v>
      </c>
      <c r="R119" s="4" t="s">
        <v>3186</v>
      </c>
      <c r="S119" s="4">
        <v>1.0</v>
      </c>
      <c r="T119" s="4" t="str">
        <f t="array" ref="T119">INDEX(Calc!$G$2:$G$157,MATCH($W119,Calc!$A$2:$A$157,0))&amp;" / "&amp;INDEX(Calc!$H$2:$H$157,MATCH($W119,Calc!$A$2:$A$157,0))</f>
        <v>Cache / Inferno</v>
      </c>
      <c r="U119" s="4" t="str">
        <f t="array" ref="U119">TEXT(INDEX(Calc!$J$2:$J$157,MATCH($W119,Calc!$A$2:$A$157,0)),"0.0")&amp;" / "&amp;TEXT(INDEX(Calc!$K$2:$K$157,MATCH($W119,Calc!$A$2:$A$157,0)),"0.0")</f>
        <v>21.5 / 21.3</v>
      </c>
      <c r="V119" s="4" t="str">
        <f t="array" ref="V119">IFERROR(INDEX(Calc!$AQ$2:$AQ$157,MATCH($W119,Calc!$A$2:$A$157,0)),"")</f>
        <v/>
      </c>
      <c r="W119" s="4" t="s">
        <v>3185</v>
      </c>
      <c r="X119" s="4" t="s">
        <v>926</v>
      </c>
      <c r="Y119" s="4" t="str">
        <f t="shared" si="4"/>
        <v>4neyyyoi8995r0v|CS2 · FNC vs HERO|K12</v>
      </c>
      <c r="Z119" s="12">
        <f t="array" ref="Z119">IFERROR(INDEX(CHOOSE(MATCH($X119,{"K1","K2","K3","K12","K13","H1","H2","H3","H12","H13"},0),Calc!$BA$2:$BA$157,Calc!$BB$2:$BB$157,Calc!$BC$2:$BC$157,Calc!$BD$2:$BD$157,Calc!$BE$2:$BE$157,Calc!$BF$2:$BF$157,Calc!$BG$2:$BG$157,Calc!$BH$2:$BH$157,Calc!$BI$2:$BI$157,Calc!$BJ$2:$BJ$157),MATCH($W119,Calc!$A$2:$A$157,0)),"")</f>
        <v>28.84336598</v>
      </c>
      <c r="AA119" s="12">
        <f t="array" ref="AA119">IF(Z119="","",IF(LEFT($X119,1)="H",SQRT(Z119*(IFERROR(INDEX(Calc!$AP$2:$AP$157,MATCH($W119,Calc!$A$2:$A$157,0)),0.5)*Config!$B$5+1-IFERROR(INDEX(Calc!$AP$2:$AP$157,MATCH($W119,Calc!$A$2:$A$157,0)),0.5))),SQRT(Z119*Config!$B$5)))</f>
        <v>6.354581998</v>
      </c>
      <c r="AB119" s="11">
        <f t="shared" si="5"/>
        <v>0.5215461187</v>
      </c>
      <c r="AC119" s="11">
        <f t="shared" si="6"/>
        <v>0.4784538813</v>
      </c>
      <c r="AD119" s="4" t="str">
        <f>IF(AB119="","",IF(AB119&gt;=0.5+Config!$B$6,"OVER",IF(AC119&gt;=0.5+Config!$B$6,"UNDER","—")))</f>
        <v>—</v>
      </c>
      <c r="AE119" s="18">
        <f t="shared" si="7"/>
        <v>0.9700129022</v>
      </c>
    </row>
    <row r="120" ht="15.75" customHeight="1">
      <c r="A120" s="4" t="s">
        <v>86</v>
      </c>
      <c r="B120" s="4" t="s">
        <v>1090</v>
      </c>
      <c r="C120" s="4" t="s">
        <v>1428</v>
      </c>
      <c r="D120" s="4" t="s">
        <v>1096</v>
      </c>
      <c r="E120" s="4" t="s">
        <v>370</v>
      </c>
      <c r="F120" s="4">
        <v>11.5</v>
      </c>
      <c r="G120" s="12">
        <f t="array" ref="G120">IFERROR(INDEX(CHOOSE(MATCH($X120,{"K1","K2","K3","K12","K13","H1","H2","H3","H12","H13"},0),Calc!$V$2:$V$157,Calc!$AC$2:$AC$157,Calc!$AJ$2:$AJ$157,Calc!$AL$2:$AL$157,Calc!$AM$2:$AM$157,Calc!$W$2:$W$157,Calc!$AD$2:$AD$157,Calc!$AK$2:$AK$157,Calc!$AN$2:$AN$157,Calc!$AO$2:$AO$157),MATCH($W120,Calc!$A$2:$A$157,0)),"")</f>
        <v>11.55745374</v>
      </c>
      <c r="H120" s="12">
        <f t="array" ref="H120">IF(G120="","",IF(LEFT($X120,1)="H",SQRT(G120*(IFERROR(INDEX(Calc!$AP$2:$AP$157,MATCH($W120,Calc!$A$2:$A$157,0)),0.5)*Config!$B$5+1-IFERROR(INDEX(Calc!$AP$2:$AP$157,MATCH($W120,Calc!$A$2:$A$157,0)),0.5))),SQRT(G120*Config!$B$5)))</f>
        <v>3.675291369</v>
      </c>
      <c r="I120" s="11">
        <f t="shared" si="1"/>
        <v>0.506236184</v>
      </c>
      <c r="J120" s="11">
        <f t="shared" si="2"/>
        <v>0.493763816</v>
      </c>
      <c r="K120" s="11">
        <f t="shared" si="3"/>
        <v>0</v>
      </c>
      <c r="L120" s="4" t="str">
        <f>IF(I120="","",IF(I120&gt;=0.5+Config!$B$6,"OVER",IF(J120&gt;=0.5+Config!$B$6,"UNDER","—")))</f>
        <v>—</v>
      </c>
      <c r="N120" s="4">
        <v>11.0</v>
      </c>
      <c r="O120" s="11">
        <v>0.2</v>
      </c>
      <c r="P120" s="11">
        <v>0.4</v>
      </c>
      <c r="Q120" s="11">
        <v>0.4</v>
      </c>
      <c r="R120" s="4" t="s">
        <v>3163</v>
      </c>
      <c r="S120" s="4">
        <v>-2.0</v>
      </c>
      <c r="T120" s="4" t="str">
        <f t="array" ref="T120">INDEX(Calc!$G$2:$G$157,MATCH($W120,Calc!$A$2:$A$157,0))&amp;" / "&amp;INDEX(Calc!$H$2:$H$157,MATCH($W120,Calc!$A$2:$A$157,0))</f>
        <v>Cache / Inferno</v>
      </c>
      <c r="U120" s="4" t="str">
        <f t="array" ref="U120">TEXT(INDEX(Calc!$J$2:$J$157,MATCH($W120,Calc!$A$2:$A$157,0)),"0.0")&amp;" / "&amp;TEXT(INDEX(Calc!$K$2:$K$157,MATCH($W120,Calc!$A$2:$A$157,0)),"0.0")</f>
        <v>21.5 / 21.3</v>
      </c>
      <c r="V120" s="4" t="str">
        <f t="array" ref="V120">IFERROR(INDEX(Calc!$AQ$2:$AQ$157,MATCH($W120,Calc!$A$2:$A$157,0)),"")</f>
        <v/>
      </c>
      <c r="W120" s="4" t="s">
        <v>3187</v>
      </c>
      <c r="X120" s="4" t="s">
        <v>634</v>
      </c>
      <c r="Y120" s="4" t="str">
        <f t="shared" si="4"/>
        <v>6abl2drrh6zq9lw|CS2 · FNC vs HERO|H12</v>
      </c>
      <c r="Z120" s="12">
        <f t="array" ref="Z120">IFERROR(INDEX(CHOOSE(MATCH($X120,{"K1","K2","K3","K12","K13","H1","H2","H3","H12","H13"},0),Calc!$BA$2:$BA$157,Calc!$BB$2:$BB$157,Calc!$BC$2:$BC$157,Calc!$BD$2:$BD$157,Calc!$BE$2:$BE$157,Calc!$BF$2:$BF$157,Calc!$BG$2:$BG$157,Calc!$BH$2:$BH$157,Calc!$BI$2:$BI$157,Calc!$BJ$2:$BJ$157),MATCH($W120,Calc!$A$2:$A$157,0)),"")</f>
        <v>11.21842147</v>
      </c>
      <c r="AA120" s="12">
        <f t="array" ref="AA120">IF(Z120="","",IF(LEFT($X120,1)="H",SQRT(Z120*(IFERROR(INDEX(Calc!$AP$2:$AP$157,MATCH($W120,Calc!$A$2:$A$157,0)),0.5)*Config!$B$5+1-IFERROR(INDEX(Calc!$AP$2:$AP$157,MATCH($W120,Calc!$A$2:$A$157,0)),0.5))),SQRT(Z120*Config!$B$5)))</f>
        <v>3.620983693</v>
      </c>
      <c r="AB120" s="11">
        <f t="shared" si="5"/>
        <v>0.4690082924</v>
      </c>
      <c r="AC120" s="11">
        <f t="shared" si="6"/>
        <v>0.5309917076</v>
      </c>
      <c r="AD120" s="4" t="str">
        <f>IF(AB120="","",IF(AB120&gt;=0.5+Config!$B$6,"OVER",IF(AC120&gt;=0.5+Config!$B$6,"UNDER","—")))</f>
        <v>—</v>
      </c>
      <c r="AE120" s="18">
        <f t="shared" si="7"/>
        <v>0.9706654876</v>
      </c>
    </row>
    <row r="121" ht="15.75" customHeight="1">
      <c r="A121" s="4" t="s">
        <v>86</v>
      </c>
      <c r="B121" s="4" t="s">
        <v>1090</v>
      </c>
      <c r="C121" s="4" t="s">
        <v>1428</v>
      </c>
      <c r="D121" s="4" t="s">
        <v>1096</v>
      </c>
      <c r="E121" s="4" t="s">
        <v>772</v>
      </c>
      <c r="F121" s="4">
        <v>29.5</v>
      </c>
      <c r="G121" s="12">
        <f t="array" ref="G121">IFERROR(INDEX(CHOOSE(MATCH($X121,{"K1","K2","K3","K12","K13","H1","H2","H3","H12","H13"},0),Calc!$V$2:$V$157,Calc!$AC$2:$AC$157,Calc!$AJ$2:$AJ$157,Calc!$AL$2:$AL$157,Calc!$AM$2:$AM$157,Calc!$W$2:$W$157,Calc!$AD$2:$AD$157,Calc!$AK$2:$AK$157,Calc!$AN$2:$AN$157,Calc!$AO$2:$AO$157),MATCH($W121,Calc!$A$2:$A$157,0)),"")</f>
        <v>27.39555</v>
      </c>
      <c r="H121" s="12">
        <f t="array" ref="H121">IF(G121="","",IF(LEFT($X121,1)="H",SQRT(G121*(IFERROR(INDEX(Calc!$AP$2:$AP$157,MATCH($W121,Calc!$A$2:$A$157,0)),0.5)*Config!$B$5+1-IFERROR(INDEX(Calc!$AP$2:$AP$157,MATCH($W121,Calc!$A$2:$A$157,0)),0.5))),SQRT(G121*Config!$B$5)))</f>
        <v>6.193042063</v>
      </c>
      <c r="I121" s="11">
        <f t="shared" si="1"/>
        <v>0.3670002719</v>
      </c>
      <c r="J121" s="11">
        <f t="shared" si="2"/>
        <v>0.6329997281</v>
      </c>
      <c r="K121" s="11">
        <f t="shared" si="3"/>
        <v>0</v>
      </c>
      <c r="L121" s="4" t="str">
        <f>IF(I121="","",IF(I121&gt;=0.5+Config!$B$6,"OVER",IF(J121&gt;=0.5+Config!$B$6,"UNDER","—")))</f>
        <v>UNDER</v>
      </c>
      <c r="N121" s="4">
        <v>28.3</v>
      </c>
      <c r="O121" s="11">
        <v>0.2</v>
      </c>
      <c r="P121" s="11">
        <v>0.4</v>
      </c>
      <c r="Q121" s="11">
        <v>0.4</v>
      </c>
      <c r="R121" s="4" t="s">
        <v>3180</v>
      </c>
      <c r="S121" s="4">
        <v>-2.0</v>
      </c>
      <c r="T121" s="4" t="str">
        <f t="array" ref="T121">INDEX(Calc!$G$2:$G$157,MATCH($W121,Calc!$A$2:$A$157,0))&amp;" / "&amp;INDEX(Calc!$H$2:$H$157,MATCH($W121,Calc!$A$2:$A$157,0))</f>
        <v>Cache / Inferno</v>
      </c>
      <c r="U121" s="4" t="str">
        <f t="array" ref="U121">TEXT(INDEX(Calc!$J$2:$J$157,MATCH($W121,Calc!$A$2:$A$157,0)),"0.0")&amp;" / "&amp;TEXT(INDEX(Calc!$K$2:$K$157,MATCH($W121,Calc!$A$2:$A$157,0)),"0.0")</f>
        <v>21.5 / 21.3</v>
      </c>
      <c r="V121" s="4" t="str">
        <f t="array" ref="V121">IFERROR(INDEX(Calc!$AQ$2:$AQ$157,MATCH($W121,Calc!$A$2:$A$157,0)),"")</f>
        <v/>
      </c>
      <c r="W121" s="4" t="s">
        <v>3187</v>
      </c>
      <c r="X121" s="4" t="s">
        <v>926</v>
      </c>
      <c r="Y121" s="4" t="str">
        <f t="shared" si="4"/>
        <v>6abl2drrh6zq9lw|CS2 · FNC vs HERO|K12</v>
      </c>
      <c r="Z121" s="12">
        <f t="array" ref="Z121">IFERROR(INDEX(CHOOSE(MATCH($X121,{"K1","K2","K3","K12","K13","H1","H2","H3","H12","H13"},0),Calc!$BA$2:$BA$157,Calc!$BB$2:$BB$157,Calc!$BC$2:$BC$157,Calc!$BD$2:$BD$157,Calc!$BE$2:$BE$157,Calc!$BF$2:$BF$157,Calc!$BG$2:$BG$157,Calc!$BH$2:$BH$157,Calc!$BI$2:$BI$157,Calc!$BJ$2:$BJ$157),MATCH($W121,Calc!$A$2:$A$157,0)),"")</f>
        <v>26.58039642</v>
      </c>
      <c r="AA121" s="12">
        <f t="array" ref="AA121">IF(Z121="","",IF(LEFT($X121,1)="H",SQRT(Z121*(IFERROR(INDEX(Calc!$AP$2:$AP$157,MATCH($W121,Calc!$A$2:$A$157,0)),0.5)*Config!$B$5+1-IFERROR(INDEX(Calc!$AP$2:$AP$157,MATCH($W121,Calc!$A$2:$A$157,0)),0.5))),SQRT(Z121*Config!$B$5)))</f>
        <v>6.100209422</v>
      </c>
      <c r="AB121" s="11">
        <f t="shared" si="5"/>
        <v>0.3161090809</v>
      </c>
      <c r="AC121" s="11">
        <f t="shared" si="6"/>
        <v>0.6838909191</v>
      </c>
      <c r="AD121" s="4" t="str">
        <f>IF(AB121="","",IF(AB121&gt;=0.5+Config!$B$6,"OVER",IF(AC121&gt;=0.5+Config!$B$6,"UNDER","—")))</f>
        <v>UNDER</v>
      </c>
      <c r="AE121" s="18">
        <f t="shared" si="7"/>
        <v>0.9702450369</v>
      </c>
    </row>
    <row r="122" ht="15.75" customHeight="1">
      <c r="A122" s="4" t="s">
        <v>86</v>
      </c>
      <c r="B122" s="4" t="s">
        <v>1090</v>
      </c>
      <c r="C122" s="4" t="s">
        <v>1431</v>
      </c>
      <c r="D122" s="4" t="s">
        <v>1096</v>
      </c>
      <c r="E122" s="4" t="s">
        <v>370</v>
      </c>
      <c r="F122" s="4">
        <v>18.5</v>
      </c>
      <c r="G122" s="12">
        <f t="array" ref="G122">IFERROR(INDEX(CHOOSE(MATCH($X122,{"K1","K2","K3","K12","K13","H1","H2","H3","H12","H13"},0),Calc!$V$2:$V$157,Calc!$AC$2:$AC$157,Calc!$AJ$2:$AJ$157,Calc!$AL$2:$AL$157,Calc!$AM$2:$AM$157,Calc!$W$2:$W$157,Calc!$AD$2:$AD$157,Calc!$AK$2:$AK$157,Calc!$AN$2:$AN$157,Calc!$AO$2:$AO$157),MATCH($W122,Calc!$A$2:$A$157,0)),"")</f>
        <v>19.6135342</v>
      </c>
      <c r="H122" s="12">
        <f t="array" ref="H122">IF(G122="","",IF(LEFT($X122,1)="H",SQRT(G122*(IFERROR(INDEX(Calc!$AP$2:$AP$157,MATCH($W122,Calc!$A$2:$A$157,0)),0.5)*Config!$B$5+1-IFERROR(INDEX(Calc!$AP$2:$AP$157,MATCH($W122,Calc!$A$2:$A$157,0)),0.5))),SQRT(G122*Config!$B$5)))</f>
        <v>4.923828049</v>
      </c>
      <c r="I122" s="11">
        <f t="shared" si="1"/>
        <v>0.5894584495</v>
      </c>
      <c r="J122" s="11">
        <f t="shared" si="2"/>
        <v>0.4105415505</v>
      </c>
      <c r="K122" s="11">
        <f t="shared" si="3"/>
        <v>0</v>
      </c>
      <c r="L122" s="4" t="str">
        <f>IF(I122="","",IF(I122&gt;=0.5+Config!$B$6,"OVER",IF(J122&gt;=0.5+Config!$B$6,"UNDER","—")))</f>
        <v>OVER</v>
      </c>
      <c r="N122" s="4">
        <v>18.6</v>
      </c>
      <c r="O122" s="11">
        <v>0.8</v>
      </c>
      <c r="P122" s="11">
        <v>0.5</v>
      </c>
      <c r="Q122" s="11">
        <v>0.53</v>
      </c>
      <c r="R122" s="4" t="s">
        <v>1787</v>
      </c>
      <c r="S122" s="4">
        <v>-1.0</v>
      </c>
      <c r="T122" s="4" t="str">
        <f t="array" ref="T122">INDEX(Calc!$G$2:$G$157,MATCH($W122,Calc!$A$2:$A$157,0))&amp;" / "&amp;INDEX(Calc!$H$2:$H$157,MATCH($W122,Calc!$A$2:$A$157,0))</f>
        <v>Cache / Inferno</v>
      </c>
      <c r="U122" s="4" t="str">
        <f t="array" ref="U122">TEXT(INDEX(Calc!$J$2:$J$157,MATCH($W122,Calc!$A$2:$A$157,0)),"0.0")&amp;" / "&amp;TEXT(INDEX(Calc!$K$2:$K$157,MATCH($W122,Calc!$A$2:$A$157,0)),"0.0")</f>
        <v>21.5 / 21.3</v>
      </c>
      <c r="V122" s="4" t="str">
        <f t="array" ref="V122">IFERROR(INDEX(Calc!$AQ$2:$AQ$157,MATCH($W122,Calc!$A$2:$A$157,0)),"")</f>
        <v/>
      </c>
      <c r="W122" s="4" t="s">
        <v>3188</v>
      </c>
      <c r="X122" s="4" t="s">
        <v>634</v>
      </c>
      <c r="Y122" s="4" t="str">
        <f t="shared" si="4"/>
        <v>zk657eunk3op4kx|CS2 · FNC vs HERO|H12</v>
      </c>
      <c r="Z122" s="12">
        <f t="array" ref="Z122">IFERROR(INDEX(CHOOSE(MATCH($X122,{"K1","K2","K3","K12","K13","H1","H2","H3","H12","H13"},0),Calc!$BA$2:$BA$157,Calc!$BB$2:$BB$157,Calc!$BC$2:$BC$157,Calc!$BD$2:$BD$157,Calc!$BE$2:$BE$157,Calc!$BF$2:$BF$157,Calc!$BG$2:$BG$157,Calc!$BH$2:$BH$157,Calc!$BI$2:$BI$157,Calc!$BJ$2:$BJ$157),MATCH($W122,Calc!$A$2:$A$157,0)),"")</f>
        <v>18.99652772</v>
      </c>
      <c r="AA122" s="12">
        <f t="array" ref="AA122">IF(Z122="","",IF(LEFT($X122,1)="H",SQRT(Z122*(IFERROR(INDEX(Calc!$AP$2:$AP$157,MATCH($W122,Calc!$A$2:$A$157,0)),0.5)*Config!$B$5+1-IFERROR(INDEX(Calc!$AP$2:$AP$157,MATCH($W122,Calc!$A$2:$A$157,0)),0.5))),SQRT(Z122*Config!$B$5)))</f>
        <v>4.845761804</v>
      </c>
      <c r="AB122" s="11">
        <f t="shared" si="5"/>
        <v>0.5408067554</v>
      </c>
      <c r="AC122" s="11">
        <f t="shared" si="6"/>
        <v>0.4591932446</v>
      </c>
      <c r="AD122" s="4" t="str">
        <f>IF(AB122="","",IF(AB122&gt;=0.5+Config!$B$6,"OVER",IF(AC122&gt;=0.5+Config!$B$6,"UNDER","—")))</f>
        <v>OVER</v>
      </c>
      <c r="AE122" s="18">
        <f t="shared" si="7"/>
        <v>0.9685418001</v>
      </c>
    </row>
    <row r="123" ht="15.75" customHeight="1">
      <c r="A123" s="4" t="s">
        <v>86</v>
      </c>
      <c r="B123" s="4" t="s">
        <v>1090</v>
      </c>
      <c r="C123" s="4" t="s">
        <v>1431</v>
      </c>
      <c r="D123" s="4" t="s">
        <v>1096</v>
      </c>
      <c r="E123" s="4" t="s">
        <v>772</v>
      </c>
      <c r="F123" s="4">
        <v>32.5</v>
      </c>
      <c r="G123" s="12">
        <f t="array" ref="G123">IFERROR(INDEX(CHOOSE(MATCH($X123,{"K1","K2","K3","K12","K13","H1","H2","H3","H12","H13"},0),Calc!$V$2:$V$157,Calc!$AC$2:$AC$157,Calc!$AJ$2:$AJ$157,Calc!$AL$2:$AL$157,Calc!$AM$2:$AM$157,Calc!$W$2:$W$157,Calc!$AD$2:$AD$157,Calc!$AK$2:$AK$157,Calc!$AN$2:$AN$157,Calc!$AO$2:$AO$157),MATCH($W123,Calc!$A$2:$A$157,0)),"")</f>
        <v>33.23068333</v>
      </c>
      <c r="H123" s="12">
        <f t="array" ref="H123">IF(G123="","",IF(LEFT($X123,1)="H",SQRT(G123*(IFERROR(INDEX(Calc!$AP$2:$AP$157,MATCH($W123,Calc!$A$2:$A$157,0)),0.5)*Config!$B$5+1-IFERROR(INDEX(Calc!$AP$2:$AP$157,MATCH($W123,Calc!$A$2:$A$157,0)),0.5))),SQRT(G123*Config!$B$5)))</f>
        <v>6.820773905</v>
      </c>
      <c r="I123" s="11">
        <f t="shared" si="1"/>
        <v>0.542655554</v>
      </c>
      <c r="J123" s="11">
        <f t="shared" si="2"/>
        <v>0.457344446</v>
      </c>
      <c r="K123" s="11">
        <f t="shared" si="3"/>
        <v>0</v>
      </c>
      <c r="L123" s="4" t="str">
        <f>IF(I123="","",IF(I123&gt;=0.5+Config!$B$6,"OVER",IF(J123&gt;=0.5+Config!$B$6,"UNDER","—")))</f>
        <v>OVER</v>
      </c>
      <c r="N123" s="4">
        <v>32.3</v>
      </c>
      <c r="O123" s="11">
        <v>0.8</v>
      </c>
      <c r="P123" s="11">
        <v>0.5</v>
      </c>
      <c r="Q123" s="11">
        <v>0.47</v>
      </c>
      <c r="R123" s="4" t="s">
        <v>1787</v>
      </c>
      <c r="S123" s="4">
        <v>2.0</v>
      </c>
      <c r="T123" s="4" t="str">
        <f t="array" ref="T123">INDEX(Calc!$G$2:$G$157,MATCH($W123,Calc!$A$2:$A$157,0))&amp;" / "&amp;INDEX(Calc!$H$2:$H$157,MATCH($W123,Calc!$A$2:$A$157,0))</f>
        <v>Cache / Inferno</v>
      </c>
      <c r="U123" s="4" t="str">
        <f t="array" ref="U123">TEXT(INDEX(Calc!$J$2:$J$157,MATCH($W123,Calc!$A$2:$A$157,0)),"0.0")&amp;" / "&amp;TEXT(INDEX(Calc!$K$2:$K$157,MATCH($W123,Calc!$A$2:$A$157,0)),"0.0")</f>
        <v>21.5 / 21.3</v>
      </c>
      <c r="V123" s="4" t="str">
        <f t="array" ref="V123">IFERROR(INDEX(Calc!$AQ$2:$AQ$157,MATCH($W123,Calc!$A$2:$A$157,0)),"")</f>
        <v/>
      </c>
      <c r="W123" s="4" t="s">
        <v>3188</v>
      </c>
      <c r="X123" s="4" t="s">
        <v>926</v>
      </c>
      <c r="Y123" s="4" t="str">
        <f t="shared" si="4"/>
        <v>zk657eunk3op4kx|CS2 · FNC vs HERO|K12</v>
      </c>
      <c r="Z123" s="12">
        <f t="array" ref="Z123">IFERROR(INDEX(CHOOSE(MATCH($X123,{"K1","K2","K3","K12","K13","H1","H2","H3","H12","H13"},0),Calc!$BA$2:$BA$157,Calc!$BB$2:$BB$157,Calc!$BC$2:$BC$157,Calc!$BD$2:$BD$157,Calc!$BE$2:$BE$157,Calc!$BF$2:$BF$157,Calc!$BG$2:$BG$157,Calc!$BH$2:$BH$157,Calc!$BI$2:$BI$157,Calc!$BJ$2:$BJ$157),MATCH($W123,Calc!$A$2:$A$157,0)),"")</f>
        <v>32.1944675</v>
      </c>
      <c r="AA123" s="12">
        <f t="array" ref="AA123">IF(Z123="","",IF(LEFT($X123,1)="H",SQRT(Z123*(IFERROR(INDEX(Calc!$AP$2:$AP$157,MATCH($W123,Calc!$A$2:$A$157,0)),0.5)*Config!$B$5+1-IFERROR(INDEX(Calc!$AP$2:$AP$157,MATCH($W123,Calc!$A$2:$A$157,0)),0.5))),SQRT(Z123*Config!$B$5)))</f>
        <v>6.713587304</v>
      </c>
      <c r="AB123" s="11">
        <f t="shared" si="5"/>
        <v>0.4818505716</v>
      </c>
      <c r="AC123" s="11">
        <f t="shared" si="6"/>
        <v>0.5181494284</v>
      </c>
      <c r="AD123" s="4" t="str">
        <f>IF(AB123="","",IF(AB123&gt;=0.5+Config!$B$6,"OVER",IF(AC123&gt;=0.5+Config!$B$6,"UNDER","—")))</f>
        <v>—</v>
      </c>
      <c r="AE123" s="18">
        <f t="shared" si="7"/>
        <v>0.9688174984</v>
      </c>
    </row>
    <row r="124" ht="15.75" customHeight="1">
      <c r="A124" s="4" t="s">
        <v>86</v>
      </c>
      <c r="B124" s="4" t="s">
        <v>1090</v>
      </c>
      <c r="C124" s="4" t="s">
        <v>1434</v>
      </c>
      <c r="D124" s="4" t="s">
        <v>1096</v>
      </c>
      <c r="E124" s="4" t="s">
        <v>370</v>
      </c>
      <c r="F124" s="4">
        <v>15.5</v>
      </c>
      <c r="G124" s="12">
        <f t="array" ref="G124">IFERROR(INDEX(CHOOSE(MATCH($X124,{"K1","K2","K3","K12","K13","H1","H2","H3","H12","H13"},0),Calc!$V$2:$V$157,Calc!$AC$2:$AC$157,Calc!$AJ$2:$AJ$157,Calc!$AL$2:$AL$157,Calc!$AM$2:$AM$157,Calc!$W$2:$W$157,Calc!$AD$2:$AD$157,Calc!$AK$2:$AK$157,Calc!$AN$2:$AN$157,Calc!$AO$2:$AO$157),MATCH($W124,Calc!$A$2:$A$157,0)),"")</f>
        <v>17.09492167</v>
      </c>
      <c r="H124" s="12">
        <f t="array" ref="H124">IF(G124="","",IF(LEFT($X124,1)="H",SQRT(G124*(IFERROR(INDEX(Calc!$AP$2:$AP$157,MATCH($W124,Calc!$A$2:$A$157,0)),0.5)*Config!$B$5+1-IFERROR(INDEX(Calc!$AP$2:$AP$157,MATCH($W124,Calc!$A$2:$A$157,0)),0.5))),SQRT(G124*Config!$B$5)))</f>
        <v>4.582656328</v>
      </c>
      <c r="I124" s="11">
        <f t="shared" si="1"/>
        <v>0.6360927944</v>
      </c>
      <c r="J124" s="11">
        <f t="shared" si="2"/>
        <v>0.3639072056</v>
      </c>
      <c r="K124" s="11">
        <f t="shared" si="3"/>
        <v>0</v>
      </c>
      <c r="L124" s="4" t="str">
        <f>IF(I124="","",IF(I124&gt;=0.5+Config!$B$6,"OVER",IF(J124&gt;=0.5+Config!$B$6,"UNDER","—")))</f>
        <v>OVER</v>
      </c>
      <c r="N124" s="4">
        <v>15.9</v>
      </c>
      <c r="O124" s="11">
        <v>0.4</v>
      </c>
      <c r="P124" s="11">
        <v>0.4</v>
      </c>
      <c r="Q124" s="11">
        <v>0.53</v>
      </c>
      <c r="R124" s="4" t="s">
        <v>1176</v>
      </c>
      <c r="S124" s="4">
        <v>-1.0</v>
      </c>
      <c r="T124" s="4" t="str">
        <f t="array" ref="T124">INDEX(Calc!$G$2:$G$157,MATCH($W124,Calc!$A$2:$A$157,0))&amp;" / "&amp;INDEX(Calc!$H$2:$H$157,MATCH($W124,Calc!$A$2:$A$157,0))</f>
        <v>Cache / Inferno</v>
      </c>
      <c r="U124" s="4" t="str">
        <f t="array" ref="U124">TEXT(INDEX(Calc!$J$2:$J$157,MATCH($W124,Calc!$A$2:$A$157,0)),"0.0")&amp;" / "&amp;TEXT(INDEX(Calc!$K$2:$K$157,MATCH($W124,Calc!$A$2:$A$157,0)),"0.0")</f>
        <v>21.5 / 21.3</v>
      </c>
      <c r="V124" s="4" t="str">
        <f t="array" ref="V124">IFERROR(INDEX(Calc!$AQ$2:$AQ$157,MATCH($W124,Calc!$A$2:$A$157,0)),"")</f>
        <v/>
      </c>
      <c r="W124" s="4" t="s">
        <v>3189</v>
      </c>
      <c r="X124" s="4" t="s">
        <v>634</v>
      </c>
      <c r="Y124" s="4" t="str">
        <f t="shared" si="4"/>
        <v>u12f792swgv1x5z|CS2 · FNC vs HERO|H12</v>
      </c>
      <c r="Z124" s="12">
        <f t="array" ref="Z124">IFERROR(INDEX(CHOOSE(MATCH($X124,{"K1","K2","K3","K12","K13","H1","H2","H3","H12","H13"},0),Calc!$BA$2:$BA$157,Calc!$BB$2:$BB$157,Calc!$BC$2:$BC$157,Calc!$BD$2:$BD$157,Calc!$BE$2:$BE$157,Calc!$BF$2:$BF$157,Calc!$BG$2:$BG$157,Calc!$BH$2:$BH$157,Calc!$BI$2:$BI$157,Calc!$BJ$2:$BJ$157),MATCH($W124,Calc!$A$2:$A$157,0)),"")</f>
        <v>16.58730367</v>
      </c>
      <c r="AA124" s="12">
        <f t="array" ref="AA124">IF(Z124="","",IF(LEFT($X124,1)="H",SQRT(Z124*(IFERROR(INDEX(Calc!$AP$2:$AP$157,MATCH($W124,Calc!$A$2:$A$157,0)),0.5)*Config!$B$5+1-IFERROR(INDEX(Calc!$AP$2:$AP$157,MATCH($W124,Calc!$A$2:$A$157,0)),0.5))),SQRT(Z124*Config!$B$5)))</f>
        <v>4.514104714</v>
      </c>
      <c r="AB124" s="11">
        <f t="shared" si="5"/>
        <v>0.5951713134</v>
      </c>
      <c r="AC124" s="11">
        <f t="shared" si="6"/>
        <v>0.4048286866</v>
      </c>
      <c r="AD124" s="4" t="str">
        <f>IF(AB124="","",IF(AB124&gt;=0.5+Config!$B$6,"OVER",IF(AC124&gt;=0.5+Config!$B$6,"UNDER","—")))</f>
        <v>OVER</v>
      </c>
      <c r="AE124" s="18">
        <f t="shared" si="7"/>
        <v>0.9703059186</v>
      </c>
    </row>
    <row r="125" ht="15.75" customHeight="1">
      <c r="A125" s="4" t="s">
        <v>86</v>
      </c>
      <c r="B125" s="4" t="s">
        <v>1090</v>
      </c>
      <c r="C125" s="4" t="s">
        <v>1434</v>
      </c>
      <c r="D125" s="4" t="s">
        <v>1096</v>
      </c>
      <c r="E125" s="4" t="s">
        <v>772</v>
      </c>
      <c r="F125" s="4">
        <v>27.5</v>
      </c>
      <c r="G125" s="12">
        <f t="array" ref="G125">IFERROR(INDEX(CHOOSE(MATCH($X125,{"K1","K2","K3","K12","K13","H1","H2","H3","H12","H13"},0),Calc!$V$2:$V$157,Calc!$AC$2:$AC$157,Calc!$AJ$2:$AJ$157,Calc!$AL$2:$AL$157,Calc!$AM$2:$AM$157,Calc!$W$2:$W$157,Calc!$AD$2:$AD$157,Calc!$AK$2:$AK$157,Calc!$AN$2:$AN$157,Calc!$AO$2:$AO$157),MATCH($W125,Calc!$A$2:$A$157,0)),"")</f>
        <v>29.92831667</v>
      </c>
      <c r="H125" s="12">
        <f t="array" ref="H125">IF(G125="","",IF(LEFT($X125,1)="H",SQRT(G125*(IFERROR(INDEX(Calc!$AP$2:$AP$157,MATCH($W125,Calc!$A$2:$A$157,0)),0.5)*Config!$B$5+1-IFERROR(INDEX(Calc!$AP$2:$AP$157,MATCH($W125,Calc!$A$2:$A$157,0)),0.5))),SQRT(G125*Config!$B$5)))</f>
        <v>6.472993383</v>
      </c>
      <c r="I125" s="11">
        <f t="shared" si="1"/>
        <v>0.6462240038</v>
      </c>
      <c r="J125" s="11">
        <f t="shared" si="2"/>
        <v>0.3537759962</v>
      </c>
      <c r="K125" s="11">
        <f t="shared" si="3"/>
        <v>0</v>
      </c>
      <c r="L125" s="4" t="str">
        <f>IF(I125="","",IF(I125&gt;=0.5+Config!$B$6,"OVER",IF(J125&gt;=0.5+Config!$B$6,"UNDER","—")))</f>
        <v>OVER</v>
      </c>
      <c r="N125" s="4">
        <v>26.7</v>
      </c>
      <c r="O125" s="11">
        <v>0.4</v>
      </c>
      <c r="P125" s="11">
        <v>0.3</v>
      </c>
      <c r="Q125" s="11">
        <v>0.4</v>
      </c>
      <c r="R125" s="4" t="s">
        <v>3172</v>
      </c>
      <c r="S125" s="4">
        <v>-1.0</v>
      </c>
      <c r="T125" s="4" t="str">
        <f t="array" ref="T125">INDEX(Calc!$G$2:$G$157,MATCH($W125,Calc!$A$2:$A$157,0))&amp;" / "&amp;INDEX(Calc!$H$2:$H$157,MATCH($W125,Calc!$A$2:$A$157,0))</f>
        <v>Cache / Inferno</v>
      </c>
      <c r="U125" s="4" t="str">
        <f t="array" ref="U125">TEXT(INDEX(Calc!$J$2:$J$157,MATCH($W125,Calc!$A$2:$A$157,0)),"0.0")&amp;" / "&amp;TEXT(INDEX(Calc!$K$2:$K$157,MATCH($W125,Calc!$A$2:$A$157,0)),"0.0")</f>
        <v>21.5 / 21.3</v>
      </c>
      <c r="V125" s="4" t="str">
        <f t="array" ref="V125">IFERROR(INDEX(Calc!$AQ$2:$AQ$157,MATCH($W125,Calc!$A$2:$A$157,0)),"")</f>
        <v/>
      </c>
      <c r="W125" s="4" t="s">
        <v>3189</v>
      </c>
      <c r="X125" s="4" t="s">
        <v>926</v>
      </c>
      <c r="Y125" s="4" t="str">
        <f t="shared" si="4"/>
        <v>u12f792swgv1x5z|CS2 · FNC vs HERO|K12</v>
      </c>
      <c r="Z125" s="12">
        <f t="array" ref="Z125">IFERROR(INDEX(CHOOSE(MATCH($X125,{"K1","K2","K3","K12","K13","H1","H2","H3","H12","H13"},0),Calc!$BA$2:$BA$157,Calc!$BB$2:$BB$157,Calc!$BC$2:$BC$157,Calc!$BD$2:$BD$157,Calc!$BE$2:$BE$157,Calc!$BF$2:$BF$157,Calc!$BG$2:$BG$157,Calc!$BH$2:$BH$157,Calc!$BI$2:$BI$157,Calc!$BJ$2:$BJ$157),MATCH($W125,Calc!$A$2:$A$157,0)),"")</f>
        <v>29.0375599</v>
      </c>
      <c r="AA125" s="12">
        <f t="array" ref="AA125">IF(Z125="","",IF(LEFT($X125,1)="H",SQRT(Z125*(IFERROR(INDEX(Calc!$AP$2:$AP$157,MATCH($W125,Calc!$A$2:$A$157,0)),0.5)*Config!$B$5+1-IFERROR(INDEX(Calc!$AP$2:$AP$157,MATCH($W125,Calc!$A$2:$A$157,0)),0.5))),SQRT(Z125*Config!$B$5)))</f>
        <v>6.375937881</v>
      </c>
      <c r="AB125" s="11">
        <f t="shared" si="5"/>
        <v>0.5952807202</v>
      </c>
      <c r="AC125" s="11">
        <f t="shared" si="6"/>
        <v>0.4047192798</v>
      </c>
      <c r="AD125" s="4" t="str">
        <f>IF(AB125="","",IF(AB125&gt;=0.5+Config!$B$6,"OVER",IF(AC125&gt;=0.5+Config!$B$6,"UNDER","—")))</f>
        <v>OVER</v>
      </c>
      <c r="AE125" s="18">
        <f t="shared" si="7"/>
        <v>0.9702369909</v>
      </c>
    </row>
    <row r="126" ht="15.75" customHeight="1">
      <c r="A126" s="4" t="s">
        <v>86</v>
      </c>
      <c r="B126" s="4" t="s">
        <v>1755</v>
      </c>
      <c r="C126" s="4" t="s">
        <v>1388</v>
      </c>
      <c r="D126" s="4" t="s">
        <v>1389</v>
      </c>
      <c r="E126" s="4" t="s">
        <v>370</v>
      </c>
      <c r="F126" s="4">
        <v>20.0</v>
      </c>
      <c r="G126" s="12">
        <f t="array" ref="G126">IFERROR(INDEX(CHOOSE(MATCH($X126,{"K1","K2","K3","K12","K13","H1","H2","H3","H12","H13"},0),Calc!$V$2:$V$157,Calc!$AC$2:$AC$157,Calc!$AJ$2:$AJ$157,Calc!$AL$2:$AL$157,Calc!$AM$2:$AM$157,Calc!$W$2:$W$157,Calc!$AD$2:$AD$157,Calc!$AK$2:$AK$157,Calc!$AN$2:$AN$157,Calc!$AO$2:$AO$157),MATCH($W126,Calc!$A$2:$A$157,0)),"")</f>
        <v>20.51412115</v>
      </c>
      <c r="H126" s="12">
        <f t="array" ref="H126">IF(G126="","",IF(LEFT($X126,1)="H",SQRT(G126*(IFERROR(INDEX(Calc!$AP$2:$AP$157,MATCH($W126,Calc!$A$2:$A$157,0)),0.5)*Config!$B$5+1-IFERROR(INDEX(Calc!$AP$2:$AP$157,MATCH($W126,Calc!$A$2:$A$157,0)),0.5))),SQRT(G126*Config!$B$5)))</f>
        <v>5.064861377</v>
      </c>
      <c r="I126" s="11">
        <f t="shared" si="1"/>
        <v>0.5011122745</v>
      </c>
      <c r="J126" s="11">
        <f t="shared" si="2"/>
        <v>0.4206515915</v>
      </c>
      <c r="K126" s="11">
        <f t="shared" si="3"/>
        <v>0.078236134</v>
      </c>
      <c r="L126" s="4" t="str">
        <f>IF(I126="","",IF(I126&gt;=0.5+Config!$B$6,"OVER",IF(J126&gt;=0.5+Config!$B$6,"UNDER","—")))</f>
        <v>—</v>
      </c>
      <c r="N126" s="4">
        <v>23.7</v>
      </c>
      <c r="O126" s="11">
        <v>1.0</v>
      </c>
      <c r="P126" s="11">
        <v>0.8</v>
      </c>
      <c r="Q126" s="11">
        <v>0.73</v>
      </c>
      <c r="R126" s="4" t="s">
        <v>579</v>
      </c>
      <c r="S126" s="4">
        <v>7.0</v>
      </c>
      <c r="T126" s="4" t="str">
        <f t="array" ref="T126">INDEX(Calc!$G$2:$G$157,MATCH($W126,Calc!$A$2:$A$157,0))&amp;" / "&amp;INDEX(Calc!$H$2:$H$157,MATCH($W126,Calc!$A$2:$A$157,0))</f>
        <v>Nuke / Cache</v>
      </c>
      <c r="U126" s="4" t="str">
        <f t="array" ref="U126">TEXT(INDEX(Calc!$J$2:$J$157,MATCH($W126,Calc!$A$2:$A$157,0)),"0.0")&amp;" / "&amp;TEXT(INDEX(Calc!$K$2:$K$157,MATCH($W126,Calc!$A$2:$A$157,0)),"0.0")</f>
        <v>21.5 / 21.5</v>
      </c>
      <c r="V126" s="4" t="str">
        <f t="array" ref="V126">IFERROR(INDEX(Calc!$AQ$2:$AQ$157,MATCH($W126,Calc!$A$2:$A$157,0)),"")</f>
        <v/>
      </c>
      <c r="W126" s="4" t="s">
        <v>3190</v>
      </c>
      <c r="X126" s="4" t="s">
        <v>634</v>
      </c>
      <c r="Y126" s="4" t="str">
        <f t="shared" si="4"/>
        <v>cuos9kbfem9flgg|CS2 · GL vs ex-RUSTEC|H12</v>
      </c>
      <c r="Z126" s="12">
        <f t="array" ref="Z126">IFERROR(INDEX(CHOOSE(MATCH($X126,{"K1","K2","K3","K12","K13","H1","H2","H3","H12","H13"},0),Calc!$BA$2:$BA$157,Calc!$BB$2:$BB$157,Calc!$BC$2:$BC$157,Calc!$BD$2:$BD$157,Calc!$BE$2:$BE$157,Calc!$BF$2:$BF$157,Calc!$BG$2:$BG$157,Calc!$BH$2:$BH$157,Calc!$BI$2:$BI$157,Calc!$BJ$2:$BJ$157),MATCH($W126,Calc!$A$2:$A$157,0)),"")</f>
        <v>20.90615774</v>
      </c>
      <c r="AA126" s="12">
        <f t="array" ref="AA126">IF(Z126="","",IF(LEFT($X126,1)="H",SQRT(Z126*(IFERROR(INDEX(Calc!$AP$2:$AP$157,MATCH($W126,Calc!$A$2:$A$157,0)),0.5)*Config!$B$5+1-IFERROR(INDEX(Calc!$AP$2:$AP$157,MATCH($W126,Calc!$A$2:$A$157,0)),0.5))),SQRT(Z126*Config!$B$5)))</f>
        <v>5.113028541</v>
      </c>
      <c r="AB126" s="11">
        <f t="shared" si="5"/>
        <v>0.5316570208</v>
      </c>
      <c r="AC126" s="11">
        <f t="shared" si="6"/>
        <v>0.3916524924</v>
      </c>
      <c r="AD126" s="4" t="str">
        <f>IF(AB126="","",IF(AB126&gt;=0.5+Config!$B$6,"OVER",IF(AC126&gt;=0.5+Config!$B$6,"UNDER","—")))</f>
        <v>—</v>
      </c>
      <c r="AE126" s="18">
        <f t="shared" si="7"/>
        <v>1.019110572</v>
      </c>
    </row>
    <row r="127" ht="15.75" customHeight="1">
      <c r="A127" s="4" t="s">
        <v>86</v>
      </c>
      <c r="B127" s="4" t="s">
        <v>1755</v>
      </c>
      <c r="C127" s="4" t="s">
        <v>1388</v>
      </c>
      <c r="D127" s="4" t="s">
        <v>1389</v>
      </c>
      <c r="E127" s="4" t="s">
        <v>772</v>
      </c>
      <c r="F127" s="4">
        <v>33.5</v>
      </c>
      <c r="G127" s="12">
        <f t="array" ref="G127">IFERROR(INDEX(CHOOSE(MATCH($X127,{"K1","K2","K3","K12","K13","H1","H2","H3","H12","H13"},0),Calc!$V$2:$V$157,Calc!$AC$2:$AC$157,Calc!$AJ$2:$AJ$157,Calc!$AL$2:$AL$157,Calc!$AM$2:$AM$157,Calc!$W$2:$W$157,Calc!$AD$2:$AD$157,Calc!$AK$2:$AK$157,Calc!$AN$2:$AN$157,Calc!$AO$2:$AO$157),MATCH($W127,Calc!$A$2:$A$157,0)),"")</f>
        <v>32.75763889</v>
      </c>
      <c r="H127" s="12">
        <f t="array" ref="H127">IF(G127="","",IF(LEFT($X127,1)="H",SQRT(G127*(IFERROR(INDEX(Calc!$AP$2:$AP$157,MATCH($W127,Calc!$A$2:$A$157,0)),0.5)*Config!$B$5+1-IFERROR(INDEX(Calc!$AP$2:$AP$157,MATCH($W127,Calc!$A$2:$A$157,0)),0.5))),SQRT(G127*Config!$B$5)))</f>
        <v>6.772052454</v>
      </c>
      <c r="I127" s="11">
        <f t="shared" si="1"/>
        <v>0.4563548636</v>
      </c>
      <c r="J127" s="11">
        <f t="shared" si="2"/>
        <v>0.5436451364</v>
      </c>
      <c r="K127" s="11">
        <f t="shared" si="3"/>
        <v>0</v>
      </c>
      <c r="L127" s="4" t="str">
        <f>IF(I127="","",IF(I127&gt;=0.5+Config!$B$6,"OVER",IF(J127&gt;=0.5+Config!$B$6,"UNDER","—")))</f>
        <v>UNDER</v>
      </c>
      <c r="N127" s="4">
        <v>36.7</v>
      </c>
      <c r="O127" s="11">
        <v>1.0</v>
      </c>
      <c r="P127" s="11">
        <v>0.7</v>
      </c>
      <c r="Q127" s="11">
        <v>0.67</v>
      </c>
      <c r="R127" s="4" t="s">
        <v>579</v>
      </c>
      <c r="S127" s="4">
        <v>7.0</v>
      </c>
      <c r="T127" s="4" t="str">
        <f t="array" ref="T127">INDEX(Calc!$G$2:$G$157,MATCH($W127,Calc!$A$2:$A$157,0))&amp;" / "&amp;INDEX(Calc!$H$2:$H$157,MATCH($W127,Calc!$A$2:$A$157,0))</f>
        <v>Nuke / Cache</v>
      </c>
      <c r="U127" s="4" t="str">
        <f t="array" ref="U127">TEXT(INDEX(Calc!$J$2:$J$157,MATCH($W127,Calc!$A$2:$A$157,0)),"0.0")&amp;" / "&amp;TEXT(INDEX(Calc!$K$2:$K$157,MATCH($W127,Calc!$A$2:$A$157,0)),"0.0")</f>
        <v>21.5 / 21.5</v>
      </c>
      <c r="V127" s="4" t="str">
        <f t="array" ref="V127">IFERROR(INDEX(Calc!$AQ$2:$AQ$157,MATCH($W127,Calc!$A$2:$A$157,0)),"")</f>
        <v/>
      </c>
      <c r="W127" s="4" t="s">
        <v>3190</v>
      </c>
      <c r="X127" s="4" t="s">
        <v>926</v>
      </c>
      <c r="Y127" s="4" t="str">
        <f t="shared" si="4"/>
        <v>cuos9kbfem9flgg|CS2 · GL vs ex-RUSTEC|K12</v>
      </c>
      <c r="Z127" s="12">
        <f t="array" ref="Z127">IFERROR(INDEX(CHOOSE(MATCH($X127,{"K1","K2","K3","K12","K13","H1","H2","H3","H12","H13"},0),Calc!$BA$2:$BA$157,Calc!$BB$2:$BB$157,Calc!$BC$2:$BC$157,Calc!$BD$2:$BD$157,Calc!$BE$2:$BE$157,Calc!$BF$2:$BF$157,Calc!$BG$2:$BG$157,Calc!$BH$2:$BH$157,Calc!$BI$2:$BI$157,Calc!$BJ$2:$BJ$157),MATCH($W127,Calc!$A$2:$A$157,0)),"")</f>
        <v>33.40380596</v>
      </c>
      <c r="AA127" s="12">
        <f t="array" ref="AA127">IF(Z127="","",IF(LEFT($X127,1)="H",SQRT(Z127*(IFERROR(INDEX(Calc!$AP$2:$AP$157,MATCH($W127,Calc!$A$2:$A$157,0)),0.5)*Config!$B$5+1-IFERROR(INDEX(Calc!$AP$2:$AP$157,MATCH($W127,Calc!$A$2:$A$157,0)),0.5))),SQRT(Z127*Config!$B$5)))</f>
        <v>6.838517993</v>
      </c>
      <c r="AB127" s="11">
        <f t="shared" si="5"/>
        <v>0.4943884617</v>
      </c>
      <c r="AC127" s="11">
        <f t="shared" si="6"/>
        <v>0.5056115383</v>
      </c>
      <c r="AD127" s="4" t="str">
        <f>IF(AB127="","",IF(AB127&gt;=0.5+Config!$B$6,"OVER",IF(AC127&gt;=0.5+Config!$B$6,"UNDER","—")))</f>
        <v>—</v>
      </c>
      <c r="AE127" s="18">
        <f t="shared" si="7"/>
        <v>1.019725691</v>
      </c>
    </row>
    <row r="128" ht="15.75" customHeight="1">
      <c r="A128" s="4" t="s">
        <v>86</v>
      </c>
      <c r="B128" s="4" t="s">
        <v>1755</v>
      </c>
      <c r="C128" s="4" t="s">
        <v>1393</v>
      </c>
      <c r="D128" s="4" t="s">
        <v>1389</v>
      </c>
      <c r="E128" s="4" t="s">
        <v>370</v>
      </c>
      <c r="F128" s="4">
        <v>9.5</v>
      </c>
      <c r="G128" s="12">
        <f t="array" ref="G128">IFERROR(INDEX(CHOOSE(MATCH($X128,{"K1","K2","K3","K12","K13","H1","H2","H3","H12","H13"},0),Calc!$V$2:$V$157,Calc!$AC$2:$AC$157,Calc!$AJ$2:$AJ$157,Calc!$AL$2:$AL$157,Calc!$AM$2:$AM$157,Calc!$W$2:$W$157,Calc!$AD$2:$AD$157,Calc!$AK$2:$AK$157,Calc!$AN$2:$AN$157,Calc!$AO$2:$AO$157),MATCH($W128,Calc!$A$2:$A$157,0)),"")</f>
        <v>9.5903401</v>
      </c>
      <c r="H128" s="12">
        <f t="array" ref="H128">IF(G128="","",IF(LEFT($X128,1)="H",SQRT(G128*(IFERROR(INDEX(Calc!$AP$2:$AP$157,MATCH($W128,Calc!$A$2:$A$157,0)),0.5)*Config!$B$5+1-IFERROR(INDEX(Calc!$AP$2:$AP$157,MATCH($W128,Calc!$A$2:$A$157,0)),0.5))),SQRT(G128*Config!$B$5)))</f>
        <v>3.316089335</v>
      </c>
      <c r="I128" s="11">
        <f t="shared" si="1"/>
        <v>0.5108670257</v>
      </c>
      <c r="J128" s="11">
        <f t="shared" si="2"/>
        <v>0.4891329743</v>
      </c>
      <c r="K128" s="11">
        <f t="shared" si="3"/>
        <v>0</v>
      </c>
      <c r="L128" s="4" t="str">
        <f>IF(I128="","",IF(I128&gt;=0.5+Config!$B$6,"OVER",IF(J128&gt;=0.5+Config!$B$6,"UNDER","—")))</f>
        <v>—</v>
      </c>
      <c r="N128" s="4">
        <v>10.3</v>
      </c>
      <c r="O128" s="11">
        <v>0.6</v>
      </c>
      <c r="P128" s="11">
        <v>0.5</v>
      </c>
      <c r="Q128" s="11">
        <v>0.47</v>
      </c>
      <c r="R128" s="4" t="s">
        <v>579</v>
      </c>
      <c r="S128" s="4">
        <v>1.0</v>
      </c>
      <c r="T128" s="4" t="str">
        <f t="array" ref="T128">INDEX(Calc!$G$2:$G$157,MATCH($W128,Calc!$A$2:$A$157,0))&amp;" / "&amp;INDEX(Calc!$H$2:$H$157,MATCH($W128,Calc!$A$2:$A$157,0))</f>
        <v>Nuke / Cache</v>
      </c>
      <c r="U128" s="4" t="str">
        <f t="array" ref="U128">TEXT(INDEX(Calc!$J$2:$J$157,MATCH($W128,Calc!$A$2:$A$157,0)),"0.0")&amp;" / "&amp;TEXT(INDEX(Calc!$K$2:$K$157,MATCH($W128,Calc!$A$2:$A$157,0)),"0.0")</f>
        <v>21.5 / 21.5</v>
      </c>
      <c r="V128" s="4" t="str">
        <f t="array" ref="V128">IFERROR(INDEX(Calc!$AQ$2:$AQ$157,MATCH($W128,Calc!$A$2:$A$157,0)),"")</f>
        <v/>
      </c>
      <c r="W128" s="4" t="s">
        <v>3191</v>
      </c>
      <c r="X128" s="4" t="s">
        <v>634</v>
      </c>
      <c r="Y128" s="4" t="str">
        <f t="shared" si="4"/>
        <v>9ewlsq1d531bbzm|CS2 · GL vs ex-RUSTEC|H12</v>
      </c>
      <c r="Z128" s="12">
        <f t="array" ref="Z128">IFERROR(INDEX(CHOOSE(MATCH($X128,{"K1","K2","K3","K12","K13","H1","H2","H3","H12","H13"},0),Calc!$BA$2:$BA$157,Calc!$BB$2:$BB$157,Calc!$BC$2:$BC$157,Calc!$BD$2:$BD$157,Calc!$BE$2:$BE$157,Calc!$BF$2:$BF$157,Calc!$BG$2:$BG$157,Calc!$BH$2:$BH$157,Calc!$BI$2:$BI$157,Calc!$BJ$2:$BJ$157),MATCH($W128,Calc!$A$2:$A$157,0)),"")</f>
        <v>9.773813689</v>
      </c>
      <c r="AA128" s="12">
        <f t="array" ref="AA128">IF(Z128="","",IF(LEFT($X128,1)="H",SQRT(Z128*(IFERROR(INDEX(Calc!$AP$2:$AP$157,MATCH($W128,Calc!$A$2:$A$157,0)),0.5)*Config!$B$5+1-IFERROR(INDEX(Calc!$AP$2:$AP$157,MATCH($W128,Calc!$A$2:$A$157,0)),0.5))),SQRT(Z128*Config!$B$5)))</f>
        <v>3.347659249</v>
      </c>
      <c r="AB128" s="11">
        <f t="shared" si="5"/>
        <v>0.5325941719</v>
      </c>
      <c r="AC128" s="11">
        <f t="shared" si="6"/>
        <v>0.4674058281</v>
      </c>
      <c r="AD128" s="4" t="str">
        <f>IF(AB128="","",IF(AB128&gt;=0.5+Config!$B$6,"OVER",IF(AC128&gt;=0.5+Config!$B$6,"UNDER","—")))</f>
        <v>—</v>
      </c>
      <c r="AE128" s="18">
        <f t="shared" si="7"/>
        <v>1.019131083</v>
      </c>
    </row>
    <row r="129" ht="15.75" customHeight="1">
      <c r="A129" s="4" t="s">
        <v>86</v>
      </c>
      <c r="B129" s="4" t="s">
        <v>1755</v>
      </c>
      <c r="C129" s="4" t="s">
        <v>1393</v>
      </c>
      <c r="D129" s="4" t="s">
        <v>1389</v>
      </c>
      <c r="E129" s="4" t="s">
        <v>772</v>
      </c>
      <c r="F129" s="4">
        <v>27.5</v>
      </c>
      <c r="G129" s="12">
        <f t="array" ref="G129">IFERROR(INDEX(CHOOSE(MATCH($X129,{"K1","K2","K3","K12","K13","H1","H2","H3","H12","H13"},0),Calc!$V$2:$V$157,Calc!$AC$2:$AC$157,Calc!$AJ$2:$AJ$157,Calc!$AL$2:$AL$157,Calc!$AM$2:$AM$157,Calc!$W$2:$W$157,Calc!$AD$2:$AD$157,Calc!$AK$2:$AK$157,Calc!$AN$2:$AN$157,Calc!$AO$2:$AO$157),MATCH($W129,Calc!$A$2:$A$157,0)),"")</f>
        <v>26.16430556</v>
      </c>
      <c r="H129" s="12">
        <f t="array" ref="H129">IF(G129="","",IF(LEFT($X129,1)="H",SQRT(G129*(IFERROR(INDEX(Calc!$AP$2:$AP$157,MATCH($W129,Calc!$A$2:$A$157,0)),0.5)*Config!$B$5+1-IFERROR(INDEX(Calc!$AP$2:$AP$157,MATCH($W129,Calc!$A$2:$A$157,0)),0.5))),SQRT(G129*Config!$B$5)))</f>
        <v>6.052274595</v>
      </c>
      <c r="I129" s="11">
        <f t="shared" si="1"/>
        <v>0.4126657535</v>
      </c>
      <c r="J129" s="11">
        <f t="shared" si="2"/>
        <v>0.5873342465</v>
      </c>
      <c r="K129" s="11">
        <f t="shared" si="3"/>
        <v>0</v>
      </c>
      <c r="L129" s="4" t="str">
        <f>IF(I129="","",IF(I129&gt;=0.5+Config!$B$6,"OVER",IF(J129&gt;=0.5+Config!$B$6,"UNDER","—")))</f>
        <v>UNDER</v>
      </c>
      <c r="N129" s="4">
        <v>29.2</v>
      </c>
      <c r="O129" s="11">
        <v>0.8</v>
      </c>
      <c r="P129" s="11">
        <v>0.6</v>
      </c>
      <c r="Q129" s="11">
        <v>0.73</v>
      </c>
      <c r="R129" s="4" t="s">
        <v>579</v>
      </c>
      <c r="S129" s="4">
        <v>1.0</v>
      </c>
      <c r="T129" s="4" t="str">
        <f t="array" ref="T129">INDEX(Calc!$G$2:$G$157,MATCH($W129,Calc!$A$2:$A$157,0))&amp;" / "&amp;INDEX(Calc!$H$2:$H$157,MATCH($W129,Calc!$A$2:$A$157,0))</f>
        <v>Nuke / Cache</v>
      </c>
      <c r="U129" s="4" t="str">
        <f t="array" ref="U129">TEXT(INDEX(Calc!$J$2:$J$157,MATCH($W129,Calc!$A$2:$A$157,0)),"0.0")&amp;" / "&amp;TEXT(INDEX(Calc!$K$2:$K$157,MATCH($W129,Calc!$A$2:$A$157,0)),"0.0")</f>
        <v>21.5 / 21.5</v>
      </c>
      <c r="V129" s="4" t="str">
        <f t="array" ref="V129">IFERROR(INDEX(Calc!$AQ$2:$AQ$157,MATCH($W129,Calc!$A$2:$A$157,0)),"")</f>
        <v/>
      </c>
      <c r="W129" s="4" t="s">
        <v>3191</v>
      </c>
      <c r="X129" s="4" t="s">
        <v>926</v>
      </c>
      <c r="Y129" s="4" t="str">
        <f t="shared" si="4"/>
        <v>9ewlsq1d531bbzm|CS2 · GL vs ex-RUSTEC|K12</v>
      </c>
      <c r="Z129" s="12">
        <f t="array" ref="Z129">IFERROR(INDEX(CHOOSE(MATCH($X129,{"K1","K2","K3","K12","K13","H1","H2","H3","H12","H13"},0),Calc!$BA$2:$BA$157,Calc!$BB$2:$BB$157,Calc!$BC$2:$BC$157,Calc!$BD$2:$BD$157,Calc!$BE$2:$BE$157,Calc!$BF$2:$BF$157,Calc!$BG$2:$BG$157,Calc!$BH$2:$BH$157,Calc!$BI$2:$BI$157,Calc!$BJ$2:$BJ$157),MATCH($W129,Calc!$A$2:$A$157,0)),"")</f>
        <v>26.64917198</v>
      </c>
      <c r="AA129" s="12">
        <f t="array" ref="AA129">IF(Z129="","",IF(LEFT($X129,1)="H",SQRT(Z129*(IFERROR(INDEX(Calc!$AP$2:$AP$157,MATCH($W129,Calc!$A$2:$A$157,0)),0.5)*Config!$B$5+1-IFERROR(INDEX(Calc!$AP$2:$AP$157,MATCH($W129,Calc!$A$2:$A$157,0)),0.5))),SQRT(Z129*Config!$B$5)))</f>
        <v>6.10809633</v>
      </c>
      <c r="AB129" s="11">
        <f t="shared" si="5"/>
        <v>0.4446084725</v>
      </c>
      <c r="AC129" s="11">
        <f t="shared" si="6"/>
        <v>0.5553915275</v>
      </c>
      <c r="AD129" s="4" t="str">
        <f>IF(AB129="","",IF(AB129&gt;=0.5+Config!$B$6,"OVER",IF(AC129&gt;=0.5+Config!$B$6,"UNDER","—")))</f>
        <v>UNDER</v>
      </c>
      <c r="AE129" s="18">
        <f t="shared" si="7"/>
        <v>1.018531599</v>
      </c>
    </row>
    <row r="130" ht="15.75" customHeight="1">
      <c r="A130" s="4" t="s">
        <v>86</v>
      </c>
      <c r="B130" s="4" t="s">
        <v>1755</v>
      </c>
      <c r="C130" s="4" t="s">
        <v>1396</v>
      </c>
      <c r="D130" s="4" t="s">
        <v>1389</v>
      </c>
      <c r="E130" s="4" t="s">
        <v>370</v>
      </c>
      <c r="F130" s="4">
        <v>16.5</v>
      </c>
      <c r="G130" s="12">
        <f t="array" ref="G130">IFERROR(INDEX(CHOOSE(MATCH($X130,{"K1","K2","K3","K12","K13","H1","H2","H3","H12","H13"},0),Calc!$V$2:$V$157,Calc!$AC$2:$AC$157,Calc!$AJ$2:$AJ$157,Calc!$AL$2:$AL$157,Calc!$AM$2:$AM$157,Calc!$W$2:$W$157,Calc!$AD$2:$AD$157,Calc!$AK$2:$AK$157,Calc!$AN$2:$AN$157,Calc!$AO$2:$AO$157),MATCH($W130,Calc!$A$2:$A$157,0)),"")</f>
        <v>15.52138178</v>
      </c>
      <c r="H130" s="12">
        <f t="array" ref="H130">IF(G130="","",IF(LEFT($X130,1)="H",SQRT(G130*(IFERROR(INDEX(Calc!$AP$2:$AP$157,MATCH($W130,Calc!$A$2:$A$157,0)),0.5)*Config!$B$5+1-IFERROR(INDEX(Calc!$AP$2:$AP$157,MATCH($W130,Calc!$A$2:$A$157,0)),0.5))),SQRT(G130*Config!$B$5)))</f>
        <v>4.333086063</v>
      </c>
      <c r="I130" s="11">
        <f t="shared" si="1"/>
        <v>0.4106598749</v>
      </c>
      <c r="J130" s="11">
        <f t="shared" si="2"/>
        <v>0.5893401251</v>
      </c>
      <c r="K130" s="11">
        <f t="shared" si="3"/>
        <v>0</v>
      </c>
      <c r="L130" s="4" t="str">
        <f>IF(I130="","",IF(I130&gt;=0.5+Config!$B$6,"OVER",IF(J130&gt;=0.5+Config!$B$6,"UNDER","—")))</f>
        <v>UNDER</v>
      </c>
      <c r="N130" s="4">
        <v>15.9</v>
      </c>
      <c r="O130" s="11">
        <v>0.4</v>
      </c>
      <c r="P130" s="11">
        <v>0.6</v>
      </c>
      <c r="Q130" s="11">
        <v>0.53</v>
      </c>
      <c r="R130" s="4" t="s">
        <v>579</v>
      </c>
      <c r="S130" s="4">
        <v>-2.0</v>
      </c>
      <c r="T130" s="4" t="str">
        <f t="array" ref="T130">INDEX(Calc!$G$2:$G$157,MATCH($W130,Calc!$A$2:$A$157,0))&amp;" / "&amp;INDEX(Calc!$H$2:$H$157,MATCH($W130,Calc!$A$2:$A$157,0))</f>
        <v>Nuke / Cache</v>
      </c>
      <c r="U130" s="4" t="str">
        <f t="array" ref="U130">TEXT(INDEX(Calc!$J$2:$J$157,MATCH($W130,Calc!$A$2:$A$157,0)),"0.0")&amp;" / "&amp;TEXT(INDEX(Calc!$K$2:$K$157,MATCH($W130,Calc!$A$2:$A$157,0)),"0.0")</f>
        <v>21.5 / 21.5</v>
      </c>
      <c r="V130" s="4" t="str">
        <f t="array" ref="V130">IFERROR(INDEX(Calc!$AQ$2:$AQ$157,MATCH($W130,Calc!$A$2:$A$157,0)),"")</f>
        <v/>
      </c>
      <c r="W130" s="4" t="s">
        <v>3192</v>
      </c>
      <c r="X130" s="4" t="s">
        <v>634</v>
      </c>
      <c r="Y130" s="4" t="str">
        <f t="shared" si="4"/>
        <v>wt4hradl1cp0pr9|CS2 · GL vs ex-RUSTEC|H12</v>
      </c>
      <c r="Z130" s="12">
        <f t="array" ref="Z130">IFERROR(INDEX(CHOOSE(MATCH($X130,{"K1","K2","K3","K12","K13","H1","H2","H3","H12","H13"},0),Calc!$BA$2:$BA$157,Calc!$BB$2:$BB$157,Calc!$BC$2:$BC$157,Calc!$BD$2:$BD$157,Calc!$BE$2:$BE$157,Calc!$BF$2:$BF$157,Calc!$BG$2:$BG$157,Calc!$BH$2:$BH$157,Calc!$BI$2:$BI$157,Calc!$BJ$2:$BJ$157),MATCH($W130,Calc!$A$2:$A$157,0)),"")</f>
        <v>15.80785195</v>
      </c>
      <c r="AA130" s="12">
        <f t="array" ref="AA130">IF(Z130="","",IF(LEFT($X130,1)="H",SQRT(Z130*(IFERROR(INDEX(Calc!$AP$2:$AP$157,MATCH($W130,Calc!$A$2:$A$157,0)),0.5)*Config!$B$5+1-IFERROR(INDEX(Calc!$AP$2:$AP$157,MATCH($W130,Calc!$A$2:$A$157,0)),0.5))),SQRT(Z130*Config!$B$5)))</f>
        <v>4.372890014</v>
      </c>
      <c r="AB130" s="11">
        <f t="shared" si="5"/>
        <v>0.4371174511</v>
      </c>
      <c r="AC130" s="11">
        <f t="shared" si="6"/>
        <v>0.5628825489</v>
      </c>
      <c r="AD130" s="4" t="str">
        <f>IF(AB130="","",IF(AB130&gt;=0.5+Config!$B$6,"OVER",IF(AC130&gt;=0.5+Config!$B$6,"UNDER","—")))</f>
        <v>UNDER</v>
      </c>
      <c r="AE130" s="18">
        <f t="shared" si="7"/>
        <v>1.018456487</v>
      </c>
    </row>
    <row r="131" ht="15.75" customHeight="1">
      <c r="A131" s="4" t="s">
        <v>86</v>
      </c>
      <c r="B131" s="4" t="s">
        <v>1755</v>
      </c>
      <c r="C131" s="4" t="s">
        <v>1396</v>
      </c>
      <c r="D131" s="4" t="s">
        <v>1389</v>
      </c>
      <c r="E131" s="4" t="s">
        <v>772</v>
      </c>
      <c r="F131" s="4">
        <v>31.0</v>
      </c>
      <c r="G131" s="12">
        <f t="array" ref="G131">IFERROR(INDEX(CHOOSE(MATCH($X131,{"K1","K2","K3","K12","K13","H1","H2","H3","H12","H13"},0),Calc!$V$2:$V$157,Calc!$AC$2:$AC$157,Calc!$AJ$2:$AJ$157,Calc!$AL$2:$AL$157,Calc!$AM$2:$AM$157,Calc!$W$2:$W$157,Calc!$AD$2:$AD$157,Calc!$AK$2:$AK$157,Calc!$AN$2:$AN$157,Calc!$AO$2:$AO$157),MATCH($W131,Calc!$A$2:$A$157,0)),"")</f>
        <v>29.61211538</v>
      </c>
      <c r="H131" s="12">
        <f t="array" ref="H131">IF(G131="","",IF(LEFT($X131,1)="H",SQRT(G131*(IFERROR(INDEX(Calc!$AP$2:$AP$157,MATCH($W131,Calc!$A$2:$A$157,0)),0.5)*Config!$B$5+1-IFERROR(INDEX(Calc!$AP$2:$AP$157,MATCH($W131,Calc!$A$2:$A$157,0)),0.5))),SQRT(G131*Config!$B$5)))</f>
        <v>6.438708064</v>
      </c>
      <c r="I131" s="11">
        <f t="shared" si="1"/>
        <v>0.3846813532</v>
      </c>
      <c r="J131" s="11">
        <f t="shared" si="2"/>
        <v>0.554839463</v>
      </c>
      <c r="K131" s="11">
        <f t="shared" si="3"/>
        <v>0.06047918374</v>
      </c>
      <c r="L131" s="4" t="str">
        <f>IF(I131="","",IF(I131&gt;=0.5+Config!$B$6,"OVER",IF(J131&gt;=0.5+Config!$B$6,"UNDER","—")))</f>
        <v>UNDER</v>
      </c>
      <c r="N131" s="4">
        <v>31.2</v>
      </c>
      <c r="O131" s="11">
        <v>0.6</v>
      </c>
      <c r="P131" s="11">
        <v>0.7</v>
      </c>
      <c r="Q131" s="11">
        <v>0.6</v>
      </c>
      <c r="R131" s="4" t="s">
        <v>579</v>
      </c>
      <c r="S131" s="4">
        <v>1.0</v>
      </c>
      <c r="T131" s="4" t="str">
        <f t="array" ref="T131">INDEX(Calc!$G$2:$G$157,MATCH($W131,Calc!$A$2:$A$157,0))&amp;" / "&amp;INDEX(Calc!$H$2:$H$157,MATCH($W131,Calc!$A$2:$A$157,0))</f>
        <v>Nuke / Cache</v>
      </c>
      <c r="U131" s="4" t="str">
        <f t="array" ref="U131">TEXT(INDEX(Calc!$J$2:$J$157,MATCH($W131,Calc!$A$2:$A$157,0)),"0.0")&amp;" / "&amp;TEXT(INDEX(Calc!$K$2:$K$157,MATCH($W131,Calc!$A$2:$A$157,0)),"0.0")</f>
        <v>21.5 / 21.5</v>
      </c>
      <c r="V131" s="4" t="str">
        <f t="array" ref="V131">IFERROR(INDEX(Calc!$AQ$2:$AQ$157,MATCH($W131,Calc!$A$2:$A$157,0)),"")</f>
        <v/>
      </c>
      <c r="W131" s="4" t="s">
        <v>3192</v>
      </c>
      <c r="X131" s="4" t="s">
        <v>926</v>
      </c>
      <c r="Y131" s="4" t="str">
        <f t="shared" si="4"/>
        <v>wt4hradl1cp0pr9|CS2 · GL vs ex-RUSTEC|K12</v>
      </c>
      <c r="Z131" s="12">
        <f t="array" ref="Z131">IFERROR(INDEX(CHOOSE(MATCH($X131,{"K1","K2","K3","K12","K13","H1","H2","H3","H12","H13"},0),Calc!$BA$2:$BA$157,Calc!$BB$2:$BB$157,Calc!$BC$2:$BC$157,Calc!$BD$2:$BD$157,Calc!$BE$2:$BE$157,Calc!$BF$2:$BF$157,Calc!$BG$2:$BG$157,Calc!$BH$2:$BH$157,Calc!$BI$2:$BI$157,Calc!$BJ$2:$BJ$157),MATCH($W131,Calc!$A$2:$A$157,0)),"")</f>
        <v>30.15686017</v>
      </c>
      <c r="AA131" s="12">
        <f t="array" ref="AA131">IF(Z131="","",IF(LEFT($X131,1)="H",SQRT(Z131*(IFERROR(INDEX(Calc!$AP$2:$AP$157,MATCH($W131,Calc!$A$2:$A$157,0)),0.5)*Config!$B$5+1-IFERROR(INDEX(Calc!$AP$2:$AP$157,MATCH($W131,Calc!$A$2:$A$157,0)),0.5))),SQRT(Z131*Config!$B$5)))</f>
        <v>6.497661443</v>
      </c>
      <c r="AB131" s="11">
        <f t="shared" si="5"/>
        <v>0.4181176785</v>
      </c>
      <c r="AC131" s="11">
        <f t="shared" si="6"/>
        <v>0.5210582509</v>
      </c>
      <c r="AD131" s="4" t="str">
        <f>IF(AB131="","",IF(AB131&gt;=0.5+Config!$B$6,"OVER",IF(AC131&gt;=0.5+Config!$B$6,"UNDER","—")))</f>
        <v>—</v>
      </c>
      <c r="AE131" s="18">
        <f t="shared" si="7"/>
        <v>1.01839601</v>
      </c>
    </row>
    <row r="132" ht="15.75" customHeight="1">
      <c r="A132" s="4" t="s">
        <v>86</v>
      </c>
      <c r="B132" s="4" t="s">
        <v>1755</v>
      </c>
      <c r="C132" s="4" t="s">
        <v>1399</v>
      </c>
      <c r="D132" s="4" t="s">
        <v>1389</v>
      </c>
      <c r="E132" s="4" t="s">
        <v>370</v>
      </c>
      <c r="F132" s="4">
        <v>12.0</v>
      </c>
      <c r="G132" s="12">
        <f t="array" ref="G132">IFERROR(INDEX(CHOOSE(MATCH($X132,{"K1","K2","K3","K12","K13","H1","H2","H3","H12","H13"},0),Calc!$V$2:$V$157,Calc!$AC$2:$AC$157,Calc!$AJ$2:$AJ$157,Calc!$AL$2:$AL$157,Calc!$AM$2:$AM$157,Calc!$W$2:$W$157,Calc!$AD$2:$AD$157,Calc!$AK$2:$AK$157,Calc!$AN$2:$AN$157,Calc!$AO$2:$AO$157),MATCH($W132,Calc!$A$2:$A$157,0)),"")</f>
        <v>11.74306891</v>
      </c>
      <c r="H132" s="12">
        <f t="array" ref="H132">IF(G132="","",IF(LEFT($X132,1)="H",SQRT(G132*(IFERROR(INDEX(Calc!$AP$2:$AP$157,MATCH($W132,Calc!$A$2:$A$157,0)),0.5)*Config!$B$5+1-IFERROR(INDEX(Calc!$AP$2:$AP$157,MATCH($W132,Calc!$A$2:$A$157,0)),0.5))),SQRT(G132*Config!$B$5)))</f>
        <v>3.718171522</v>
      </c>
      <c r="I132" s="11">
        <f t="shared" si="1"/>
        <v>0.4193423613</v>
      </c>
      <c r="J132" s="11">
        <f t="shared" si="2"/>
        <v>0.473938416</v>
      </c>
      <c r="K132" s="11">
        <f t="shared" si="3"/>
        <v>0.1067192228</v>
      </c>
      <c r="L132" s="4" t="str">
        <f>IF(I132="","",IF(I132&gt;=0.5+Config!$B$6,"OVER",IF(J132&gt;=0.5+Config!$B$6,"UNDER","—")))</f>
        <v>—</v>
      </c>
      <c r="N132" s="4">
        <v>13.8</v>
      </c>
      <c r="O132" s="11">
        <v>1.0</v>
      </c>
      <c r="P132" s="11">
        <v>0.7</v>
      </c>
      <c r="Q132" s="11">
        <v>0.53</v>
      </c>
      <c r="R132" s="4" t="s">
        <v>579</v>
      </c>
      <c r="S132" s="4">
        <v>6.0</v>
      </c>
      <c r="T132" s="4" t="str">
        <f t="array" ref="T132">INDEX(Calc!$G$2:$G$157,MATCH($W132,Calc!$A$2:$A$157,0))&amp;" / "&amp;INDEX(Calc!$H$2:$H$157,MATCH($W132,Calc!$A$2:$A$157,0))</f>
        <v>Nuke / Cache</v>
      </c>
      <c r="U132" s="4" t="str">
        <f t="array" ref="U132">TEXT(INDEX(Calc!$J$2:$J$157,MATCH($W132,Calc!$A$2:$A$157,0)),"0.0")&amp;" / "&amp;TEXT(INDEX(Calc!$K$2:$K$157,MATCH($W132,Calc!$A$2:$A$157,0)),"0.0")</f>
        <v>21.5 / 21.5</v>
      </c>
      <c r="V132" s="4" t="str">
        <f t="array" ref="V132">IFERROR(INDEX(Calc!$AQ$2:$AQ$157,MATCH($W132,Calc!$A$2:$A$157,0)),"")</f>
        <v/>
      </c>
      <c r="W132" s="4" t="s">
        <v>3193</v>
      </c>
      <c r="X132" s="4" t="s">
        <v>634</v>
      </c>
      <c r="Y132" s="4" t="str">
        <f t="shared" si="4"/>
        <v>7d2ry1m3iuhwjqn|CS2 · GL vs ex-RUSTEC|H12</v>
      </c>
      <c r="Z132" s="12">
        <f t="array" ref="Z132">IFERROR(INDEX(CHOOSE(MATCH($X132,{"K1","K2","K3","K12","K13","H1","H2","H3","H12","H13"},0),Calc!$BA$2:$BA$157,Calc!$BB$2:$BB$157,Calc!$BC$2:$BC$157,Calc!$BD$2:$BD$157,Calc!$BE$2:$BE$157,Calc!$BF$2:$BF$157,Calc!$BG$2:$BG$157,Calc!$BH$2:$BH$157,Calc!$BI$2:$BI$157,Calc!$BJ$2:$BJ$157),MATCH($W132,Calc!$A$2:$A$157,0)),"")</f>
        <v>11.96801303</v>
      </c>
      <c r="AA132" s="12">
        <f t="array" ref="AA132">IF(Z132="","",IF(LEFT($X132,1)="H",SQRT(Z132*(IFERROR(INDEX(Calc!$AP$2:$AP$157,MATCH($W132,Calc!$A$2:$A$157,0)),0.5)*Config!$B$5+1-IFERROR(INDEX(Calc!$AP$2:$AP$157,MATCH($W132,Calc!$A$2:$A$157,0)),0.5))),SQRT(Z132*Config!$B$5)))</f>
        <v>3.753614277</v>
      </c>
      <c r="AB132" s="11">
        <f t="shared" si="5"/>
        <v>0.443647984</v>
      </c>
      <c r="AC132" s="11">
        <f t="shared" si="6"/>
        <v>0.4503871375</v>
      </c>
      <c r="AD132" s="4" t="str">
        <f>IF(AB132="","",IF(AB132&gt;=0.5+Config!$B$6,"OVER",IF(AC132&gt;=0.5+Config!$B$6,"UNDER","—")))</f>
        <v>—</v>
      </c>
      <c r="AE132" s="18">
        <f t="shared" si="7"/>
        <v>1.01915548</v>
      </c>
    </row>
    <row r="133" ht="15.75" customHeight="1">
      <c r="A133" s="4" t="s">
        <v>86</v>
      </c>
      <c r="B133" s="4" t="s">
        <v>1755</v>
      </c>
      <c r="C133" s="4" t="s">
        <v>1399</v>
      </c>
      <c r="D133" s="4" t="s">
        <v>1389</v>
      </c>
      <c r="E133" s="4" t="s">
        <v>772</v>
      </c>
      <c r="F133" s="4">
        <v>26.5</v>
      </c>
      <c r="G133" s="12">
        <f t="array" ref="G133">IFERROR(INDEX(CHOOSE(MATCH($X133,{"K1","K2","K3","K12","K13","H1","H2","H3","H12","H13"},0),Calc!$V$2:$V$157,Calc!$AC$2:$AC$157,Calc!$AJ$2:$AJ$157,Calc!$AL$2:$AL$157,Calc!$AM$2:$AM$157,Calc!$W$2:$W$157,Calc!$AD$2:$AD$157,Calc!$AK$2:$AK$157,Calc!$AN$2:$AN$157,Calc!$AO$2:$AO$157),MATCH($W133,Calc!$A$2:$A$157,0)),"")</f>
        <v>26.49712121</v>
      </c>
      <c r="H133" s="12">
        <f t="array" ref="H133">IF(G133="","",IF(LEFT($X133,1)="H",SQRT(G133*(IFERROR(INDEX(Calc!$AP$2:$AP$157,MATCH($W133,Calc!$A$2:$A$157,0)),0.5)*Config!$B$5+1-IFERROR(INDEX(Calc!$AP$2:$AP$157,MATCH($W133,Calc!$A$2:$A$157,0)),0.5))),SQRT(G133*Config!$B$5)))</f>
        <v>6.090646082</v>
      </c>
      <c r="I133" s="11">
        <f t="shared" si="1"/>
        <v>0.4998114371</v>
      </c>
      <c r="J133" s="11">
        <f t="shared" si="2"/>
        <v>0.5001885629</v>
      </c>
      <c r="K133" s="11">
        <f t="shared" si="3"/>
        <v>0</v>
      </c>
      <c r="L133" s="4" t="str">
        <f>IF(I133="","",IF(I133&gt;=0.5+Config!$B$6,"OVER",IF(J133&gt;=0.5+Config!$B$6,"UNDER","—")))</f>
        <v>—</v>
      </c>
      <c r="N133" s="4">
        <v>30.9</v>
      </c>
      <c r="O133" s="11">
        <v>1.0</v>
      </c>
      <c r="P133" s="11">
        <v>0.9</v>
      </c>
      <c r="Q133" s="11">
        <v>0.73</v>
      </c>
      <c r="R133" s="4" t="s">
        <v>579</v>
      </c>
      <c r="S133" s="4">
        <v>8.0</v>
      </c>
      <c r="T133" s="4" t="str">
        <f t="array" ref="T133">INDEX(Calc!$G$2:$G$157,MATCH($W133,Calc!$A$2:$A$157,0))&amp;" / "&amp;INDEX(Calc!$H$2:$H$157,MATCH($W133,Calc!$A$2:$A$157,0))</f>
        <v>Nuke / Cache</v>
      </c>
      <c r="U133" s="4" t="str">
        <f t="array" ref="U133">TEXT(INDEX(Calc!$J$2:$J$157,MATCH($W133,Calc!$A$2:$A$157,0)),"0.0")&amp;" / "&amp;TEXT(INDEX(Calc!$K$2:$K$157,MATCH($W133,Calc!$A$2:$A$157,0)),"0.0")</f>
        <v>21.5 / 21.5</v>
      </c>
      <c r="V133" s="4" t="str">
        <f t="array" ref="V133">IFERROR(INDEX(Calc!$AQ$2:$AQ$157,MATCH($W133,Calc!$A$2:$A$157,0)),"")</f>
        <v/>
      </c>
      <c r="W133" s="4" t="s">
        <v>3193</v>
      </c>
      <c r="X133" s="4" t="s">
        <v>926</v>
      </c>
      <c r="Y133" s="4" t="str">
        <f t="shared" si="4"/>
        <v>7d2ry1m3iuhwjqn|CS2 · GL vs ex-RUSTEC|K12</v>
      </c>
      <c r="Z133" s="12">
        <f t="array" ref="Z133">IFERROR(INDEX(CHOOSE(MATCH($X133,{"K1","K2","K3","K12","K13","H1","H2","H3","H12","H13"},0),Calc!$BA$2:$BA$157,Calc!$BB$2:$BB$157,Calc!$BC$2:$BC$157,Calc!$BD$2:$BD$157,Calc!$BE$2:$BE$157,Calc!$BF$2:$BF$157,Calc!$BG$2:$BG$157,Calc!$BH$2:$BH$157,Calc!$BI$2:$BI$157,Calc!$BJ$2:$BJ$157),MATCH($W133,Calc!$A$2:$A$157,0)),"")</f>
        <v>26.98086356</v>
      </c>
      <c r="AA133" s="12">
        <f t="array" ref="AA133">IF(Z133="","",IF(LEFT($X133,1)="H",SQRT(Z133*(IFERROR(INDEX(Calc!$AP$2:$AP$157,MATCH($W133,Calc!$A$2:$A$157,0)),0.5)*Config!$B$5+1-IFERROR(INDEX(Calc!$AP$2:$AP$157,MATCH($W133,Calc!$A$2:$A$157,0)),0.5))),SQRT(Z133*Config!$B$5)))</f>
        <v>6.145991294</v>
      </c>
      <c r="AB133" s="11">
        <f t="shared" si="5"/>
        <v>0.531181506</v>
      </c>
      <c r="AC133" s="11">
        <f t="shared" si="6"/>
        <v>0.468818494</v>
      </c>
      <c r="AD133" s="4" t="str">
        <f>IF(AB133="","",IF(AB133&gt;=0.5+Config!$B$6,"OVER",IF(AC133&gt;=0.5+Config!$B$6,"UNDER","—")))</f>
        <v>—</v>
      </c>
      <c r="AE133" s="18">
        <f t="shared" si="7"/>
        <v>1.018256412</v>
      </c>
    </row>
    <row r="134" ht="15.75" customHeight="1">
      <c r="A134" s="4" t="s">
        <v>86</v>
      </c>
      <c r="B134" s="4" t="s">
        <v>1755</v>
      </c>
      <c r="C134" s="4" t="s">
        <v>1402</v>
      </c>
      <c r="D134" s="4" t="s">
        <v>1389</v>
      </c>
      <c r="E134" s="4" t="s">
        <v>370</v>
      </c>
      <c r="F134" s="4">
        <v>15.5</v>
      </c>
      <c r="G134" s="12">
        <f t="array" ref="G134">IFERROR(INDEX(CHOOSE(MATCH($X134,{"K1","K2","K3","K12","K13","H1","H2","H3","H12","H13"},0),Calc!$V$2:$V$157,Calc!$AC$2:$AC$157,Calc!$AJ$2:$AJ$157,Calc!$AL$2:$AL$157,Calc!$AM$2:$AM$157,Calc!$W$2:$W$157,Calc!$AD$2:$AD$157,Calc!$AK$2:$AK$157,Calc!$AN$2:$AN$157,Calc!$AO$2:$AO$157),MATCH($W134,Calc!$A$2:$A$157,0)),"")</f>
        <v>14.43885918</v>
      </c>
      <c r="H134" s="12">
        <f t="array" ref="H134">IF(G134="","",IF(LEFT($X134,1)="H",SQRT(G134*(IFERROR(INDEX(Calc!$AP$2:$AP$157,MATCH($W134,Calc!$A$2:$A$157,0)),0.5)*Config!$B$5+1-IFERROR(INDEX(Calc!$AP$2:$AP$157,MATCH($W134,Calc!$A$2:$A$157,0)),0.5))),SQRT(G134*Config!$B$5)))</f>
        <v>4.201226307</v>
      </c>
      <c r="I134" s="11">
        <f t="shared" si="1"/>
        <v>0.4002968461</v>
      </c>
      <c r="J134" s="11">
        <f t="shared" si="2"/>
        <v>0.5997031539</v>
      </c>
      <c r="K134" s="11">
        <f t="shared" si="3"/>
        <v>0</v>
      </c>
      <c r="L134" s="4" t="str">
        <f>IF(I134="","",IF(I134&gt;=0.5+Config!$B$6,"OVER",IF(J134&gt;=0.5+Config!$B$6,"UNDER","—")))</f>
        <v>UNDER</v>
      </c>
      <c r="N134" s="4">
        <v>15.0</v>
      </c>
      <c r="O134" s="11">
        <v>0.6</v>
      </c>
      <c r="P134" s="11">
        <v>0.4</v>
      </c>
      <c r="Q134" s="11">
        <v>0.6</v>
      </c>
      <c r="R134" s="4" t="s">
        <v>579</v>
      </c>
      <c r="S134" s="4">
        <v>2.0</v>
      </c>
      <c r="T134" s="4" t="str">
        <f t="array" ref="T134">INDEX(Calc!$G$2:$G$157,MATCH($W134,Calc!$A$2:$A$157,0))&amp;" / "&amp;INDEX(Calc!$H$2:$H$157,MATCH($W134,Calc!$A$2:$A$157,0))</f>
        <v>Nuke / Cache</v>
      </c>
      <c r="U134" s="4" t="str">
        <f t="array" ref="U134">TEXT(INDEX(Calc!$J$2:$J$157,MATCH($W134,Calc!$A$2:$A$157,0)),"0.0")&amp;" / "&amp;TEXT(INDEX(Calc!$K$2:$K$157,MATCH($W134,Calc!$A$2:$A$157,0)),"0.0")</f>
        <v>21.5 / 21.5</v>
      </c>
      <c r="V134" s="4" t="str">
        <f t="array" ref="V134">IFERROR(INDEX(Calc!$AQ$2:$AQ$157,MATCH($W134,Calc!$A$2:$A$157,0)),"")</f>
        <v/>
      </c>
      <c r="W134" s="4" t="s">
        <v>3194</v>
      </c>
      <c r="X134" s="4" t="s">
        <v>634</v>
      </c>
      <c r="Y134" s="4" t="str">
        <f t="shared" si="4"/>
        <v>b8ta8wsdzmggqly|CS2 · GL vs ex-RUSTEC|H12</v>
      </c>
      <c r="Z134" s="12">
        <f t="array" ref="Z134">IFERROR(INDEX(CHOOSE(MATCH($X134,{"K1","K2","K3","K12","K13","H1","H2","H3","H12","H13"},0),Calc!$BA$2:$BA$157,Calc!$BB$2:$BB$157,Calc!$BC$2:$BC$157,Calc!$BD$2:$BD$157,Calc!$BE$2:$BE$157,Calc!$BF$2:$BF$157,Calc!$BG$2:$BG$157,Calc!$BH$2:$BH$157,Calc!$BI$2:$BI$157,Calc!$BJ$2:$BJ$157),MATCH($W134,Calc!$A$2:$A$157,0)),"")</f>
        <v>14.7199355</v>
      </c>
      <c r="AA134" s="12">
        <f t="array" ref="AA134">IF(Z134="","",IF(LEFT($X134,1)="H",SQRT(Z134*(IFERROR(INDEX(Calc!$AP$2:$AP$157,MATCH($W134,Calc!$A$2:$A$157,0)),0.5)*Config!$B$5+1-IFERROR(INDEX(Calc!$AP$2:$AP$157,MATCH($W134,Calc!$A$2:$A$157,0)),0.5))),SQRT(Z134*Config!$B$5)))</f>
        <v>4.241921129</v>
      </c>
      <c r="AB134" s="11">
        <f t="shared" si="5"/>
        <v>0.4270482455</v>
      </c>
      <c r="AC134" s="11">
        <f t="shared" si="6"/>
        <v>0.5729517545</v>
      </c>
      <c r="AD134" s="4" t="str">
        <f>IF(AB134="","",IF(AB134&gt;=0.5+Config!$B$6,"OVER",IF(AC134&gt;=0.5+Config!$B$6,"UNDER","—")))</f>
        <v>UNDER</v>
      </c>
      <c r="AE134" s="18">
        <f t="shared" si="7"/>
        <v>1.019466657</v>
      </c>
    </row>
    <row r="135" ht="15.75" customHeight="1">
      <c r="A135" s="4" t="s">
        <v>86</v>
      </c>
      <c r="B135" s="4" t="s">
        <v>1755</v>
      </c>
      <c r="C135" s="4" t="s">
        <v>1402</v>
      </c>
      <c r="D135" s="4" t="s">
        <v>1389</v>
      </c>
      <c r="E135" s="4" t="s">
        <v>772</v>
      </c>
      <c r="F135" s="4">
        <v>28.5</v>
      </c>
      <c r="G135" s="12">
        <f t="array" ref="G135">IFERROR(INDEX(CHOOSE(MATCH($X135,{"K1","K2","K3","K12","K13","H1","H2","H3","H12","H13"},0),Calc!$V$2:$V$157,Calc!$AC$2:$AC$157,Calc!$AJ$2:$AJ$157,Calc!$AL$2:$AL$157,Calc!$AM$2:$AM$157,Calc!$W$2:$W$157,Calc!$AD$2:$AD$157,Calc!$AK$2:$AK$157,Calc!$AN$2:$AN$157,Calc!$AO$2:$AO$157),MATCH($W135,Calc!$A$2:$A$157,0)),"")</f>
        <v>25.96722222</v>
      </c>
      <c r="H135" s="12">
        <f t="array" ref="H135">IF(G135="","",IF(LEFT($X135,1)="H",SQRT(G135*(IFERROR(INDEX(Calc!$AP$2:$AP$157,MATCH($W135,Calc!$A$2:$A$157,0)),0.5)*Config!$B$5+1-IFERROR(INDEX(Calc!$AP$2:$AP$157,MATCH($W135,Calc!$A$2:$A$157,0)),0.5))),SQRT(G135*Config!$B$5)))</f>
        <v>6.029437048</v>
      </c>
      <c r="I135" s="11">
        <f t="shared" si="1"/>
        <v>0.3372176339</v>
      </c>
      <c r="J135" s="11">
        <f t="shared" si="2"/>
        <v>0.6627823661</v>
      </c>
      <c r="K135" s="11">
        <f t="shared" si="3"/>
        <v>0</v>
      </c>
      <c r="L135" s="4" t="str">
        <f>IF(I135="","",IF(I135&gt;=0.5+Config!$B$6,"OVER",IF(J135&gt;=0.5+Config!$B$6,"UNDER","—")))</f>
        <v>UNDER</v>
      </c>
      <c r="N135" s="4">
        <v>28.7</v>
      </c>
      <c r="O135" s="11">
        <v>0.8</v>
      </c>
      <c r="P135" s="11">
        <v>0.4</v>
      </c>
      <c r="Q135" s="11">
        <v>0.53</v>
      </c>
      <c r="R135" s="4" t="s">
        <v>579</v>
      </c>
      <c r="S135" s="4">
        <v>4.0</v>
      </c>
      <c r="T135" s="4" t="str">
        <f t="array" ref="T135">INDEX(Calc!$G$2:$G$157,MATCH($W135,Calc!$A$2:$A$157,0))&amp;" / "&amp;INDEX(Calc!$H$2:$H$157,MATCH($W135,Calc!$A$2:$A$157,0))</f>
        <v>Nuke / Cache</v>
      </c>
      <c r="U135" s="4" t="str">
        <f t="array" ref="U135">TEXT(INDEX(Calc!$J$2:$J$157,MATCH($W135,Calc!$A$2:$A$157,0)),"0.0")&amp;" / "&amp;TEXT(INDEX(Calc!$K$2:$K$157,MATCH($W135,Calc!$A$2:$A$157,0)),"0.0")</f>
        <v>21.5 / 21.5</v>
      </c>
      <c r="V135" s="4" t="str">
        <f t="array" ref="V135">IFERROR(INDEX(Calc!$AQ$2:$AQ$157,MATCH($W135,Calc!$A$2:$A$157,0)),"")</f>
        <v/>
      </c>
      <c r="W135" s="4" t="s">
        <v>3194</v>
      </c>
      <c r="X135" s="4" t="s">
        <v>926</v>
      </c>
      <c r="Y135" s="4" t="str">
        <f t="shared" si="4"/>
        <v>b8ta8wsdzmggqly|CS2 · GL vs ex-RUSTEC|K12</v>
      </c>
      <c r="Z135" s="12">
        <f t="array" ref="Z135">IFERROR(INDEX(CHOOSE(MATCH($X135,{"K1","K2","K3","K12","K13","H1","H2","H3","H12","H13"},0),Calc!$BA$2:$BA$157,Calc!$BB$2:$BB$157,Calc!$BC$2:$BC$157,Calc!$BD$2:$BD$157,Calc!$BE$2:$BE$157,Calc!$BF$2:$BF$157,Calc!$BG$2:$BG$157,Calc!$BH$2:$BH$157,Calc!$BI$2:$BI$157,Calc!$BJ$2:$BJ$157),MATCH($W135,Calc!$A$2:$A$157,0)),"")</f>
        <v>26.45939516</v>
      </c>
      <c r="AA135" s="12">
        <f t="array" ref="AA135">IF(Z135="","",IF(LEFT($X135,1)="H",SQRT(Z135*(IFERROR(INDEX(Calc!$AP$2:$AP$157,MATCH($W135,Calc!$A$2:$A$157,0)),0.5)*Config!$B$5+1-IFERROR(INDEX(Calc!$AP$2:$AP$157,MATCH($W135,Calc!$A$2:$A$157,0)),0.5))),SQRT(Z135*Config!$B$5)))</f>
        <v>6.08630867</v>
      </c>
      <c r="AB135" s="11">
        <f t="shared" si="5"/>
        <v>0.3687077285</v>
      </c>
      <c r="AC135" s="11">
        <f t="shared" si="6"/>
        <v>0.6312922715</v>
      </c>
      <c r="AD135" s="4" t="str">
        <f>IF(AB135="","",IF(AB135&gt;=0.5+Config!$B$6,"OVER",IF(AC135&gt;=0.5+Config!$B$6,"UNDER","—")))</f>
        <v>UNDER</v>
      </c>
      <c r="AE135" s="18">
        <f t="shared" si="7"/>
        <v>1.018953623</v>
      </c>
    </row>
    <row r="136" ht="15.75" customHeight="1">
      <c r="A136" s="4" t="s">
        <v>86</v>
      </c>
      <c r="B136" s="4" t="s">
        <v>1755</v>
      </c>
      <c r="C136" s="4" t="s">
        <v>1564</v>
      </c>
      <c r="D136" s="4" t="s">
        <v>1565</v>
      </c>
      <c r="E136" s="4" t="s">
        <v>370</v>
      </c>
      <c r="F136" s="4">
        <v>16.5</v>
      </c>
      <c r="G136" s="12">
        <f t="array" ref="G136">IFERROR(INDEX(CHOOSE(MATCH($X136,{"K1","K2","K3","K12","K13","H1","H2","H3","H12","H13"},0),Calc!$V$2:$V$157,Calc!$AC$2:$AC$157,Calc!$AJ$2:$AJ$157,Calc!$AL$2:$AL$157,Calc!$AM$2:$AM$157,Calc!$W$2:$W$157,Calc!$AD$2:$AD$157,Calc!$AK$2:$AK$157,Calc!$AN$2:$AN$157,Calc!$AO$2:$AO$157),MATCH($W136,Calc!$A$2:$A$157,0)),"")</f>
        <v>19.95107829</v>
      </c>
      <c r="H136" s="12">
        <f t="array" ref="H136">IF(G136="","",IF(LEFT($X136,1)="H",SQRT(G136*(IFERROR(INDEX(Calc!$AP$2:$AP$157,MATCH($W136,Calc!$A$2:$A$157,0)),0.5)*Config!$B$5+1-IFERROR(INDEX(Calc!$AP$2:$AP$157,MATCH($W136,Calc!$A$2:$A$157,0)),0.5))),SQRT(G136*Config!$B$5)))</f>
        <v>5.014568158</v>
      </c>
      <c r="I136" s="11">
        <f t="shared" si="1"/>
        <v>0.7543398728</v>
      </c>
      <c r="J136" s="11">
        <f t="shared" si="2"/>
        <v>0.2456601272</v>
      </c>
      <c r="K136" s="11">
        <f t="shared" si="3"/>
        <v>0</v>
      </c>
      <c r="L136" s="4" t="str">
        <f>IF(I136="","",IF(I136&gt;=0.5+Config!$B$6,"OVER",IF(J136&gt;=0.5+Config!$B$6,"UNDER","—")))</f>
        <v>OVER</v>
      </c>
      <c r="N136" s="4">
        <v>20.1</v>
      </c>
      <c r="O136" s="11">
        <v>0.8</v>
      </c>
      <c r="P136" s="11">
        <v>0.6</v>
      </c>
      <c r="Q136" s="11">
        <v>0.73</v>
      </c>
      <c r="R136" s="4" t="s">
        <v>1729</v>
      </c>
      <c r="S136" s="4">
        <v>2.0</v>
      </c>
      <c r="T136" s="4" t="str">
        <f t="array" ref="T136">INDEX(Calc!$G$2:$G$157,MATCH($W136,Calc!$A$2:$A$157,0))&amp;" / "&amp;INDEX(Calc!$H$2:$H$157,MATCH($W136,Calc!$A$2:$A$157,0))</f>
        <v>Nuke / Cache</v>
      </c>
      <c r="U136" s="4" t="str">
        <f t="array" ref="U136">TEXT(INDEX(Calc!$J$2:$J$157,MATCH($W136,Calc!$A$2:$A$157,0)),"0.0")&amp;" / "&amp;TEXT(INDEX(Calc!$K$2:$K$157,MATCH($W136,Calc!$A$2:$A$157,0)),"0.0")</f>
        <v>21.5 / 21.5</v>
      </c>
      <c r="V136" s="4" t="str">
        <f t="array" ref="V136">IFERROR(INDEX(Calc!$AQ$2:$AQ$157,MATCH($W136,Calc!$A$2:$A$157,0)),"")</f>
        <v/>
      </c>
      <c r="W136" s="4" t="s">
        <v>3195</v>
      </c>
      <c r="X136" s="4" t="s">
        <v>634</v>
      </c>
      <c r="Y136" s="4" t="str">
        <f t="shared" si="4"/>
        <v>u2qbkafgxd78s8o|CS2 · GL vs ex-RUSTEC|H12</v>
      </c>
      <c r="Z136" s="12">
        <f t="array" ref="Z136">IFERROR(INDEX(CHOOSE(MATCH($X136,{"K1","K2","K3","K12","K13","H1","H2","H3","H12","H13"},0),Calc!$BA$2:$BA$157,Calc!$BB$2:$BB$157,Calc!$BC$2:$BC$157,Calc!$BD$2:$BD$157,Calc!$BE$2:$BE$157,Calc!$BF$2:$BF$157,Calc!$BG$2:$BG$157,Calc!$BH$2:$BH$157,Calc!$BI$2:$BI$157,Calc!$BJ$2:$BJ$157),MATCH($W136,Calc!$A$2:$A$157,0)),"")</f>
        <v>19.00624888</v>
      </c>
      <c r="AA136" s="12">
        <f t="array" ref="AA136">IF(Z136="","",IF(LEFT($X136,1)="H",SQRT(Z136*(IFERROR(INDEX(Calc!$AP$2:$AP$157,MATCH($W136,Calc!$A$2:$A$157,0)),0.5)*Config!$B$5+1-IFERROR(INDEX(Calc!$AP$2:$AP$157,MATCH($W136,Calc!$A$2:$A$157,0)),0.5))),SQRT(Z136*Config!$B$5)))</f>
        <v>4.89438984</v>
      </c>
      <c r="AB136" s="11">
        <f t="shared" si="5"/>
        <v>0.6956974652</v>
      </c>
      <c r="AC136" s="11">
        <f t="shared" si="6"/>
        <v>0.3043025348</v>
      </c>
      <c r="AD136" s="4" t="str">
        <f>IF(AB136="","",IF(AB136&gt;=0.5+Config!$B$6,"OVER",IF(AC136&gt;=0.5+Config!$B$6,"UNDER","—")))</f>
        <v>OVER</v>
      </c>
      <c r="AE136" s="18">
        <f t="shared" si="7"/>
        <v>0.9526426894</v>
      </c>
    </row>
    <row r="137" ht="15.75" customHeight="1">
      <c r="A137" s="4" t="s">
        <v>86</v>
      </c>
      <c r="B137" s="4" t="s">
        <v>1755</v>
      </c>
      <c r="C137" s="4" t="s">
        <v>1564</v>
      </c>
      <c r="D137" s="4" t="s">
        <v>1565</v>
      </c>
      <c r="E137" s="4" t="s">
        <v>772</v>
      </c>
      <c r="F137" s="4">
        <v>25.5</v>
      </c>
      <c r="G137" s="12">
        <f t="array" ref="G137">IFERROR(INDEX(CHOOSE(MATCH($X137,{"K1","K2","K3","K12","K13","H1","H2","H3","H12","H13"},0),Calc!$V$2:$V$157,Calc!$AC$2:$AC$157,Calc!$AJ$2:$AJ$157,Calc!$AL$2:$AL$157,Calc!$AM$2:$AM$157,Calc!$W$2:$W$157,Calc!$AD$2:$AD$157,Calc!$AK$2:$AK$157,Calc!$AN$2:$AN$157,Calc!$AO$2:$AO$157),MATCH($W137,Calc!$A$2:$A$157,0)),"")</f>
        <v>30.64944444</v>
      </c>
      <c r="H137" s="12">
        <f t="array" ref="H137">IF(G137="","",IF(LEFT($X137,1)="H",SQRT(G137*(IFERROR(INDEX(Calc!$AP$2:$AP$157,MATCH($W137,Calc!$A$2:$A$157,0)),0.5)*Config!$B$5+1-IFERROR(INDEX(Calc!$AP$2:$AP$157,MATCH($W137,Calc!$A$2:$A$157,0)),0.5))),SQRT(G137*Config!$B$5)))</f>
        <v>6.550513127</v>
      </c>
      <c r="I137" s="11">
        <f t="shared" si="1"/>
        <v>0.7840993966</v>
      </c>
      <c r="J137" s="11">
        <f t="shared" si="2"/>
        <v>0.2159006034</v>
      </c>
      <c r="K137" s="11">
        <f t="shared" si="3"/>
        <v>0</v>
      </c>
      <c r="L137" s="4" t="str">
        <f>IF(I137="","",IF(I137&gt;=0.5+Config!$B$6,"OVER",IF(J137&gt;=0.5+Config!$B$6,"UNDER","—")))</f>
        <v>OVER</v>
      </c>
      <c r="N137" s="4">
        <v>30.6</v>
      </c>
      <c r="O137" s="11">
        <v>0.8</v>
      </c>
      <c r="P137" s="11">
        <v>0.7</v>
      </c>
      <c r="Q137" s="11">
        <v>0.8</v>
      </c>
      <c r="R137" s="4" t="s">
        <v>2203</v>
      </c>
      <c r="S137" s="4">
        <v>-1.0</v>
      </c>
      <c r="T137" s="4" t="str">
        <f t="array" ref="T137">INDEX(Calc!$G$2:$G$157,MATCH($W137,Calc!$A$2:$A$157,0))&amp;" / "&amp;INDEX(Calc!$H$2:$H$157,MATCH($W137,Calc!$A$2:$A$157,0))</f>
        <v>Nuke / Cache</v>
      </c>
      <c r="U137" s="4" t="str">
        <f t="array" ref="U137">TEXT(INDEX(Calc!$J$2:$J$157,MATCH($W137,Calc!$A$2:$A$157,0)),"0.0")&amp;" / "&amp;TEXT(INDEX(Calc!$K$2:$K$157,MATCH($W137,Calc!$A$2:$A$157,0)),"0.0")</f>
        <v>21.5 / 21.5</v>
      </c>
      <c r="V137" s="4" t="str">
        <f t="array" ref="V137">IFERROR(INDEX(Calc!$AQ$2:$AQ$157,MATCH($W137,Calc!$A$2:$A$157,0)),"")</f>
        <v/>
      </c>
      <c r="W137" s="4" t="s">
        <v>3195</v>
      </c>
      <c r="X137" s="4" t="s">
        <v>926</v>
      </c>
      <c r="Y137" s="4" t="str">
        <f t="shared" si="4"/>
        <v>u2qbkafgxd78s8o|CS2 · GL vs ex-RUSTEC|K12</v>
      </c>
      <c r="Z137" s="12">
        <f t="array" ref="Z137">IFERROR(INDEX(CHOOSE(MATCH($X137,{"K1","K2","K3","K12","K13","H1","H2","H3","H12","H13"},0),Calc!$BA$2:$BA$157,Calc!$BB$2:$BB$157,Calc!$BC$2:$BC$157,Calc!$BD$2:$BD$157,Calc!$BE$2:$BE$157,Calc!$BF$2:$BF$157,Calc!$BG$2:$BG$157,Calc!$BH$2:$BH$157,Calc!$BI$2:$BI$157,Calc!$BJ$2:$BJ$157),MATCH($W137,Calc!$A$2:$A$157,0)),"")</f>
        <v>29.19847967</v>
      </c>
      <c r="AA137" s="12">
        <f t="array" ref="AA137">IF(Z137="","",IF(LEFT($X137,1)="H",SQRT(Z137*(IFERROR(INDEX(Calc!$AP$2:$AP$157,MATCH($W137,Calc!$A$2:$A$157,0)),0.5)*Config!$B$5+1-IFERROR(INDEX(Calc!$AP$2:$AP$157,MATCH($W137,Calc!$A$2:$A$157,0)),0.5))),SQRT(Z137*Config!$B$5)))</f>
        <v>6.393580495</v>
      </c>
      <c r="AB137" s="11">
        <f t="shared" si="5"/>
        <v>0.718525794</v>
      </c>
      <c r="AC137" s="11">
        <f t="shared" si="6"/>
        <v>0.281474206</v>
      </c>
      <c r="AD137" s="4" t="str">
        <f>IF(AB137="","",IF(AB137&gt;=0.5+Config!$B$6,"OVER",IF(AC137&gt;=0.5+Config!$B$6,"UNDER","—")))</f>
        <v>OVER</v>
      </c>
      <c r="AE137" s="18">
        <f t="shared" si="7"/>
        <v>0.9526593452</v>
      </c>
    </row>
    <row r="138" ht="15.75" customHeight="1">
      <c r="A138" s="4" t="s">
        <v>86</v>
      </c>
      <c r="B138" s="4" t="s">
        <v>1755</v>
      </c>
      <c r="C138" s="4" t="s">
        <v>1569</v>
      </c>
      <c r="D138" s="4" t="s">
        <v>1565</v>
      </c>
      <c r="E138" s="4" t="s">
        <v>370</v>
      </c>
      <c r="F138" s="4">
        <v>12.5</v>
      </c>
      <c r="G138" s="12">
        <f t="array" ref="G138">IFERROR(INDEX(CHOOSE(MATCH($X138,{"K1","K2","K3","K12","K13","H1","H2","H3","H12","H13"},0),Calc!$V$2:$V$157,Calc!$AC$2:$AC$157,Calc!$AJ$2:$AJ$157,Calc!$AL$2:$AL$157,Calc!$AM$2:$AM$157,Calc!$W$2:$W$157,Calc!$AD$2:$AD$157,Calc!$AK$2:$AK$157,Calc!$AN$2:$AN$157,Calc!$AO$2:$AO$157),MATCH($W138,Calc!$A$2:$A$157,0)),"")</f>
        <v>15.30637161</v>
      </c>
      <c r="H138" s="12">
        <f t="array" ref="H138">IF(G138="","",IF(LEFT($X138,1)="H",SQRT(G138*(IFERROR(INDEX(Calc!$AP$2:$AP$157,MATCH($W138,Calc!$A$2:$A$157,0)),0.5)*Config!$B$5+1-IFERROR(INDEX(Calc!$AP$2:$AP$157,MATCH($W138,Calc!$A$2:$A$157,0)),0.5))),SQRT(G138*Config!$B$5)))</f>
        <v>4.336800043</v>
      </c>
      <c r="I138" s="11">
        <f t="shared" si="1"/>
        <v>0.7412184988</v>
      </c>
      <c r="J138" s="11">
        <f t="shared" si="2"/>
        <v>0.2587815012</v>
      </c>
      <c r="K138" s="11">
        <f t="shared" si="3"/>
        <v>0</v>
      </c>
      <c r="L138" s="4" t="str">
        <f>IF(I138="","",IF(I138&gt;=0.5+Config!$B$6,"OVER",IF(J138&gt;=0.5+Config!$B$6,"UNDER","—")))</f>
        <v>OVER</v>
      </c>
      <c r="N138" s="4">
        <v>13.6</v>
      </c>
      <c r="O138" s="11">
        <v>0.4</v>
      </c>
      <c r="P138" s="11">
        <v>0.5</v>
      </c>
      <c r="Q138" s="11">
        <v>0.6</v>
      </c>
      <c r="R138" s="4" t="s">
        <v>579</v>
      </c>
      <c r="S138" s="4">
        <v>-2.0</v>
      </c>
      <c r="T138" s="4" t="str">
        <f t="array" ref="T138">INDEX(Calc!$G$2:$G$157,MATCH($W138,Calc!$A$2:$A$157,0))&amp;" / "&amp;INDEX(Calc!$H$2:$H$157,MATCH($W138,Calc!$A$2:$A$157,0))</f>
        <v>Nuke / Cache</v>
      </c>
      <c r="U138" s="4" t="str">
        <f t="array" ref="U138">TEXT(INDEX(Calc!$J$2:$J$157,MATCH($W138,Calc!$A$2:$A$157,0)),"0.0")&amp;" / "&amp;TEXT(INDEX(Calc!$K$2:$K$157,MATCH($W138,Calc!$A$2:$A$157,0)),"0.0")</f>
        <v>21.5 / 21.5</v>
      </c>
      <c r="V138" s="4" t="str">
        <f t="array" ref="V138">IFERROR(INDEX(Calc!$AQ$2:$AQ$157,MATCH($W138,Calc!$A$2:$A$157,0)),"")</f>
        <v/>
      </c>
      <c r="W138" s="4" t="s">
        <v>3196</v>
      </c>
      <c r="X138" s="4" t="s">
        <v>634</v>
      </c>
      <c r="Y138" s="4" t="str">
        <f t="shared" si="4"/>
        <v>ib0ui40iou8m5h8|CS2 · GL vs ex-RUSTEC|H12</v>
      </c>
      <c r="Z138" s="12">
        <f t="array" ref="Z138">IFERROR(INDEX(CHOOSE(MATCH($X138,{"K1","K2","K3","K12","K13","H1","H2","H3","H12","H13"},0),Calc!$BA$2:$BA$157,Calc!$BB$2:$BB$157,Calc!$BC$2:$BC$157,Calc!$BD$2:$BD$157,Calc!$BE$2:$BE$157,Calc!$BF$2:$BF$157,Calc!$BG$2:$BG$157,Calc!$BH$2:$BH$157,Calc!$BI$2:$BI$157,Calc!$BJ$2:$BJ$157),MATCH($W138,Calc!$A$2:$A$157,0)),"")</f>
        <v>14.5943563</v>
      </c>
      <c r="AA138" s="12">
        <f t="array" ref="AA138">IF(Z138="","",IF(LEFT($X138,1)="H",SQRT(Z138*(IFERROR(INDEX(Calc!$AP$2:$AP$157,MATCH($W138,Calc!$A$2:$A$157,0)),0.5)*Config!$B$5+1-IFERROR(INDEX(Calc!$AP$2:$AP$157,MATCH($W138,Calc!$A$2:$A$157,0)),0.5))),SQRT(Z138*Config!$B$5)))</f>
        <v>4.234730184</v>
      </c>
      <c r="AB138" s="11">
        <f t="shared" si="5"/>
        <v>0.6895469738</v>
      </c>
      <c r="AC138" s="11">
        <f t="shared" si="6"/>
        <v>0.3104530262</v>
      </c>
      <c r="AD138" s="4" t="str">
        <f>IF(AB138="","",IF(AB138&gt;=0.5+Config!$B$6,"OVER",IF(AC138&gt;=0.5+Config!$B$6,"UNDER","—")))</f>
        <v>OVER</v>
      </c>
      <c r="AE138" s="18">
        <f t="shared" si="7"/>
        <v>0.9534824236</v>
      </c>
    </row>
    <row r="139" ht="15.75" customHeight="1">
      <c r="A139" s="4" t="s">
        <v>86</v>
      </c>
      <c r="B139" s="4" t="s">
        <v>1755</v>
      </c>
      <c r="C139" s="4" t="s">
        <v>1569</v>
      </c>
      <c r="D139" s="4" t="s">
        <v>1565</v>
      </c>
      <c r="E139" s="4" t="s">
        <v>772</v>
      </c>
      <c r="F139" s="4">
        <v>22.5</v>
      </c>
      <c r="G139" s="12">
        <f t="array" ref="G139">IFERROR(INDEX(CHOOSE(MATCH($X139,{"K1","K2","K3","K12","K13","H1","H2","H3","H12","H13"},0),Calc!$V$2:$V$157,Calc!$AC$2:$AC$157,Calc!$AJ$2:$AJ$157,Calc!$AL$2:$AL$157,Calc!$AM$2:$AM$157,Calc!$W$2:$W$157,Calc!$AD$2:$AD$157,Calc!$AK$2:$AK$157,Calc!$AN$2:$AN$157,Calc!$AO$2:$AO$157),MATCH($W139,Calc!$A$2:$A$157,0)),"")</f>
        <v>26.76424242</v>
      </c>
      <c r="H139" s="12">
        <f t="array" ref="H139">IF(G139="","",IF(LEFT($X139,1)="H",SQRT(G139*(IFERROR(INDEX(Calc!$AP$2:$AP$157,MATCH($W139,Calc!$A$2:$A$157,0)),0.5)*Config!$B$5+1-IFERROR(INDEX(Calc!$AP$2:$AP$157,MATCH($W139,Calc!$A$2:$A$157,0)),0.5))),SQRT(G139*Config!$B$5)))</f>
        <v>6.121269427</v>
      </c>
      <c r="I139" s="11">
        <f t="shared" si="1"/>
        <v>0.7569819172</v>
      </c>
      <c r="J139" s="11">
        <f t="shared" si="2"/>
        <v>0.2430180828</v>
      </c>
      <c r="K139" s="11">
        <f t="shared" si="3"/>
        <v>0</v>
      </c>
      <c r="L139" s="4" t="str">
        <f>IF(I139="","",IF(I139&gt;=0.5+Config!$B$6,"OVER",IF(J139&gt;=0.5+Config!$B$6,"UNDER","—")))</f>
        <v>OVER</v>
      </c>
      <c r="N139" s="4">
        <v>25.8</v>
      </c>
      <c r="O139" s="11">
        <v>0.8</v>
      </c>
      <c r="P139" s="11">
        <v>0.6</v>
      </c>
      <c r="Q139" s="11">
        <v>0.67</v>
      </c>
      <c r="R139" s="4" t="s">
        <v>579</v>
      </c>
      <c r="S139" s="4">
        <v>-1.0</v>
      </c>
      <c r="T139" s="4" t="str">
        <f t="array" ref="T139">INDEX(Calc!$G$2:$G$157,MATCH($W139,Calc!$A$2:$A$157,0))&amp;" / "&amp;INDEX(Calc!$H$2:$H$157,MATCH($W139,Calc!$A$2:$A$157,0))</f>
        <v>Nuke / Cache</v>
      </c>
      <c r="U139" s="4" t="str">
        <f t="array" ref="U139">TEXT(INDEX(Calc!$J$2:$J$157,MATCH($W139,Calc!$A$2:$A$157,0)),"0.0")&amp;" / "&amp;TEXT(INDEX(Calc!$K$2:$K$157,MATCH($W139,Calc!$A$2:$A$157,0)),"0.0")</f>
        <v>21.5 / 21.5</v>
      </c>
      <c r="V139" s="4" t="str">
        <f t="array" ref="V139">IFERROR(INDEX(Calc!$AQ$2:$AQ$157,MATCH($W139,Calc!$A$2:$A$157,0)),"")</f>
        <v/>
      </c>
      <c r="W139" s="4" t="s">
        <v>3196</v>
      </c>
      <c r="X139" s="4" t="s">
        <v>926</v>
      </c>
      <c r="Y139" s="4" t="str">
        <f t="shared" si="4"/>
        <v>ib0ui40iou8m5h8|CS2 · GL vs ex-RUSTEC|K12</v>
      </c>
      <c r="Z139" s="12">
        <f t="array" ref="Z139">IFERROR(INDEX(CHOOSE(MATCH($X139,{"K1","K2","K3","K12","K13","H1","H2","H3","H12","H13"},0),Calc!$BA$2:$BA$157,Calc!$BB$2:$BB$157,Calc!$BC$2:$BC$157,Calc!$BD$2:$BD$157,Calc!$BE$2:$BE$157,Calc!$BF$2:$BF$157,Calc!$BG$2:$BG$157,Calc!$BH$2:$BH$157,Calc!$BI$2:$BI$157,Calc!$BJ$2:$BJ$157),MATCH($W139,Calc!$A$2:$A$157,0)),"")</f>
        <v>25.51972452</v>
      </c>
      <c r="AA139" s="12">
        <f t="array" ref="AA139">IF(Z139="","",IF(LEFT($X139,1)="H",SQRT(Z139*(IFERROR(INDEX(Calc!$AP$2:$AP$157,MATCH($W139,Calc!$A$2:$A$157,0)),0.5)*Config!$B$5+1-IFERROR(INDEX(Calc!$AP$2:$AP$157,MATCH($W139,Calc!$A$2:$A$157,0)),0.5))),SQRT(Z139*Config!$B$5)))</f>
        <v>5.977258094</v>
      </c>
      <c r="AB139" s="11">
        <f t="shared" si="5"/>
        <v>0.6932916212</v>
      </c>
      <c r="AC139" s="11">
        <f t="shared" si="6"/>
        <v>0.3067083788</v>
      </c>
      <c r="AD139" s="4" t="str">
        <f>IF(AB139="","",IF(AB139&gt;=0.5+Config!$B$6,"OVER",IF(AC139&gt;=0.5+Config!$B$6,"UNDER","—")))</f>
        <v>OVER</v>
      </c>
      <c r="AE139" s="18">
        <f t="shared" si="7"/>
        <v>0.9535007235</v>
      </c>
    </row>
    <row r="140" ht="15.75" customHeight="1">
      <c r="A140" s="4" t="s">
        <v>86</v>
      </c>
      <c r="B140" s="4" t="s">
        <v>1755</v>
      </c>
      <c r="C140" s="4" t="s">
        <v>1572</v>
      </c>
      <c r="D140" s="4" t="s">
        <v>1565</v>
      </c>
      <c r="E140" s="4" t="s">
        <v>370</v>
      </c>
      <c r="F140" s="4">
        <v>14.5</v>
      </c>
      <c r="G140" s="12">
        <f t="array" ref="G140">IFERROR(INDEX(CHOOSE(MATCH($X140,{"K1","K2","K3","K12","K13","H1","H2","H3","H12","H13"},0),Calc!$V$2:$V$157,Calc!$AC$2:$AC$157,Calc!$AJ$2:$AJ$157,Calc!$AL$2:$AL$157,Calc!$AM$2:$AM$157,Calc!$W$2:$W$157,Calc!$AD$2:$AD$157,Calc!$AK$2:$AK$157,Calc!$AN$2:$AN$157,Calc!$AO$2:$AO$157),MATCH($W140,Calc!$A$2:$A$157,0)),"")</f>
        <v>16.41308806</v>
      </c>
      <c r="H140" s="12">
        <f t="array" ref="H140">IF(G140="","",IF(LEFT($X140,1)="H",SQRT(G140*(IFERROR(INDEX(Calc!$AP$2:$AP$157,MATCH($W140,Calc!$A$2:$A$157,0)),0.5)*Config!$B$5+1-IFERROR(INDEX(Calc!$AP$2:$AP$157,MATCH($W140,Calc!$A$2:$A$157,0)),0.5))),SQRT(G140*Config!$B$5)))</f>
        <v>4.420847544</v>
      </c>
      <c r="I140" s="11">
        <f t="shared" si="1"/>
        <v>0.6673990286</v>
      </c>
      <c r="J140" s="11">
        <f t="shared" si="2"/>
        <v>0.3326009714</v>
      </c>
      <c r="K140" s="11">
        <f t="shared" si="3"/>
        <v>0</v>
      </c>
      <c r="L140" s="4" t="str">
        <f>IF(I140="","",IF(I140&gt;=0.5+Config!$B$6,"OVER",IF(J140&gt;=0.5+Config!$B$6,"UNDER","—")))</f>
        <v>OVER</v>
      </c>
      <c r="N140" s="4">
        <v>17.1</v>
      </c>
      <c r="O140" s="11">
        <v>0.8</v>
      </c>
      <c r="P140" s="11">
        <v>0.8</v>
      </c>
      <c r="Q140" s="11">
        <v>0.73</v>
      </c>
      <c r="R140" s="4" t="s">
        <v>1158</v>
      </c>
      <c r="S140" s="4">
        <v>4.0</v>
      </c>
      <c r="T140" s="4" t="str">
        <f t="array" ref="T140">INDEX(Calc!$G$2:$G$157,MATCH($W140,Calc!$A$2:$A$157,0))&amp;" / "&amp;INDEX(Calc!$H$2:$H$157,MATCH($W140,Calc!$A$2:$A$157,0))</f>
        <v>Nuke / Cache</v>
      </c>
      <c r="U140" s="4" t="str">
        <f t="array" ref="U140">TEXT(INDEX(Calc!$J$2:$J$157,MATCH($W140,Calc!$A$2:$A$157,0)),"0.0")&amp;" / "&amp;TEXT(INDEX(Calc!$K$2:$K$157,MATCH($W140,Calc!$A$2:$A$157,0)),"0.0")</f>
        <v>21.5 / 21.5</v>
      </c>
      <c r="V140" s="4" t="str">
        <f t="array" ref="V140">IFERROR(INDEX(Calc!$AQ$2:$AQ$157,MATCH($W140,Calc!$A$2:$A$157,0)),"")</f>
        <v/>
      </c>
      <c r="W140" s="4" t="s">
        <v>3197</v>
      </c>
      <c r="X140" s="4" t="s">
        <v>634</v>
      </c>
      <c r="Y140" s="4" t="str">
        <f t="shared" si="4"/>
        <v>l9cxp8x8mgmbhaf|CS2 · GL vs ex-RUSTEC|H12</v>
      </c>
      <c r="Z140" s="12">
        <f t="array" ref="Z140">IFERROR(INDEX(CHOOSE(MATCH($X140,{"K1","K2","K3","K12","K13","H1","H2","H3","H12","H13"},0),Calc!$BA$2:$BA$157,Calc!$BB$2:$BB$157,Calc!$BC$2:$BC$157,Calc!$BD$2:$BD$157,Calc!$BE$2:$BE$157,Calc!$BF$2:$BF$157,Calc!$BG$2:$BG$157,Calc!$BH$2:$BH$157,Calc!$BI$2:$BI$157,Calc!$BJ$2:$BJ$157),MATCH($W140,Calc!$A$2:$A$157,0)),"")</f>
        <v>15.63575405</v>
      </c>
      <c r="AA140" s="12">
        <f t="array" ref="AA140">IF(Z140="","",IF(LEFT($X140,1)="H",SQRT(Z140*(IFERROR(INDEX(Calc!$AP$2:$AP$157,MATCH($W140,Calc!$A$2:$A$157,0)),0.5)*Config!$B$5+1-IFERROR(INDEX(Calc!$AP$2:$AP$157,MATCH($W140,Calc!$A$2:$A$157,0)),0.5))),SQRT(Z140*Config!$B$5)))</f>
        <v>4.314890745</v>
      </c>
      <c r="AB140" s="11">
        <f t="shared" si="5"/>
        <v>0.6038084655</v>
      </c>
      <c r="AC140" s="11">
        <f t="shared" si="6"/>
        <v>0.3961915345</v>
      </c>
      <c r="AD140" s="4" t="str">
        <f>IF(AB140="","",IF(AB140&gt;=0.5+Config!$B$6,"OVER",IF(AC140&gt;=0.5+Config!$B$6,"UNDER","—")))</f>
        <v>OVER</v>
      </c>
      <c r="AE140" s="18">
        <f t="shared" si="7"/>
        <v>0.9526393813</v>
      </c>
    </row>
    <row r="141" ht="15.75" customHeight="1">
      <c r="A141" s="4" t="s">
        <v>86</v>
      </c>
      <c r="B141" s="4" t="s">
        <v>1755</v>
      </c>
      <c r="C141" s="4" t="s">
        <v>1572</v>
      </c>
      <c r="D141" s="4" t="s">
        <v>1565</v>
      </c>
      <c r="E141" s="4" t="s">
        <v>772</v>
      </c>
      <c r="F141" s="4">
        <v>28.5</v>
      </c>
      <c r="G141" s="12">
        <f t="array" ref="G141">IFERROR(INDEX(CHOOSE(MATCH($X141,{"K1","K2","K3","K12","K13","H1","H2","H3","H12","H13"},0),Calc!$V$2:$V$157,Calc!$AC$2:$AC$157,Calc!$AJ$2:$AJ$157,Calc!$AL$2:$AL$157,Calc!$AM$2:$AM$157,Calc!$W$2:$W$157,Calc!$AD$2:$AD$157,Calc!$AK$2:$AK$157,Calc!$AN$2:$AN$157,Calc!$AO$2:$AO$157),MATCH($W141,Calc!$A$2:$A$157,0)),"")</f>
        <v>34.41791667</v>
      </c>
      <c r="H141" s="12">
        <f t="array" ref="H141">IF(G141="","",IF(LEFT($X141,1)="H",SQRT(G141*(IFERROR(INDEX(Calc!$AP$2:$AP$157,MATCH($W141,Calc!$A$2:$A$157,0)),0.5)*Config!$B$5+1-IFERROR(INDEX(Calc!$AP$2:$AP$157,MATCH($W141,Calc!$A$2:$A$157,0)),0.5))),SQRT(G141*Config!$B$5)))</f>
        <v>6.941547618</v>
      </c>
      <c r="I141" s="11">
        <f t="shared" si="1"/>
        <v>0.8030415637</v>
      </c>
      <c r="J141" s="11">
        <f t="shared" si="2"/>
        <v>0.1969584363</v>
      </c>
      <c r="K141" s="11">
        <f t="shared" si="3"/>
        <v>0</v>
      </c>
      <c r="L141" s="4" t="str">
        <f>IF(I141="","",IF(I141&gt;=0.5+Config!$B$6,"OVER",IF(J141&gt;=0.5+Config!$B$6,"UNDER","—")))</f>
        <v>OVER</v>
      </c>
      <c r="N141" s="4">
        <v>37.3</v>
      </c>
      <c r="O141" s="11">
        <v>1.0</v>
      </c>
      <c r="P141" s="11">
        <v>0.9</v>
      </c>
      <c r="Q141" s="11">
        <v>0.87</v>
      </c>
      <c r="R141" s="4" t="s">
        <v>1176</v>
      </c>
      <c r="S141" s="4">
        <v>8.0</v>
      </c>
      <c r="T141" s="4" t="str">
        <f t="array" ref="T141">INDEX(Calc!$G$2:$G$157,MATCH($W141,Calc!$A$2:$A$157,0))&amp;" / "&amp;INDEX(Calc!$H$2:$H$157,MATCH($W141,Calc!$A$2:$A$157,0))</f>
        <v>Nuke / Cache</v>
      </c>
      <c r="U141" s="4" t="str">
        <f t="array" ref="U141">TEXT(INDEX(Calc!$J$2:$J$157,MATCH($W141,Calc!$A$2:$A$157,0)),"0.0")&amp;" / "&amp;TEXT(INDEX(Calc!$K$2:$K$157,MATCH($W141,Calc!$A$2:$A$157,0)),"0.0")</f>
        <v>21.5 / 21.5</v>
      </c>
      <c r="V141" s="4" t="str">
        <f t="array" ref="V141">IFERROR(INDEX(Calc!$AQ$2:$AQ$157,MATCH($W141,Calc!$A$2:$A$157,0)),"")</f>
        <v/>
      </c>
      <c r="W141" s="4" t="s">
        <v>3197</v>
      </c>
      <c r="X141" s="4" t="s">
        <v>926</v>
      </c>
      <c r="Y141" s="4" t="str">
        <f t="shared" si="4"/>
        <v>l9cxp8x8mgmbhaf|CS2 · GL vs ex-RUSTEC|K12</v>
      </c>
      <c r="Z141" s="12">
        <f t="array" ref="Z141">IFERROR(INDEX(CHOOSE(MATCH($X141,{"K1","K2","K3","K12","K13","H1","H2","H3","H12","H13"},0),Calc!$BA$2:$BA$157,Calc!$BB$2:$BB$157,Calc!$BC$2:$BC$157,Calc!$BD$2:$BD$157,Calc!$BE$2:$BE$157,Calc!$BF$2:$BF$157,Calc!$BG$2:$BG$157,Calc!$BH$2:$BH$157,Calc!$BI$2:$BI$157,Calc!$BJ$2:$BJ$157),MATCH($W141,Calc!$A$2:$A$157,0)),"")</f>
        <v>32.77846827</v>
      </c>
      <c r="AA141" s="12">
        <f t="array" ref="AA141">IF(Z141="","",IF(LEFT($X141,1)="H",SQRT(Z141*(IFERROR(INDEX(Calc!$AP$2:$AP$157,MATCH($W141,Calc!$A$2:$A$157,0)),0.5)*Config!$B$5+1-IFERROR(INDEX(Calc!$AP$2:$AP$157,MATCH($W141,Calc!$A$2:$A$157,0)),0.5))),SQRT(Z141*Config!$B$5)))</f>
        <v>6.774205163</v>
      </c>
      <c r="AB141" s="11">
        <f t="shared" si="5"/>
        <v>0.7361700818</v>
      </c>
      <c r="AC141" s="11">
        <f t="shared" si="6"/>
        <v>0.2638299182</v>
      </c>
      <c r="AD141" s="4" t="str">
        <f>IF(AB141="","",IF(AB141&gt;=0.5+Config!$B$6,"OVER",IF(AC141&gt;=0.5+Config!$B$6,"UNDER","—")))</f>
        <v>OVER</v>
      </c>
      <c r="AE141" s="18">
        <f t="shared" si="7"/>
        <v>0.9523664257</v>
      </c>
    </row>
    <row r="142" ht="15.75" customHeight="1">
      <c r="A142" s="4" t="s">
        <v>86</v>
      </c>
      <c r="B142" s="4" t="s">
        <v>1755</v>
      </c>
      <c r="C142" s="4" t="s">
        <v>1575</v>
      </c>
      <c r="D142" s="4" t="s">
        <v>1565</v>
      </c>
      <c r="E142" s="4" t="s">
        <v>370</v>
      </c>
      <c r="F142" s="4">
        <v>17.0</v>
      </c>
      <c r="G142" s="12">
        <f t="array" ref="G142">IFERROR(INDEX(CHOOSE(MATCH($X142,{"K1","K2","K3","K12","K13","H1","H2","H3","H12","H13"},0),Calc!$V$2:$V$157,Calc!$AC$2:$AC$157,Calc!$AJ$2:$AJ$157,Calc!$AL$2:$AL$157,Calc!$AM$2:$AM$157,Calc!$W$2:$W$157,Calc!$AD$2:$AD$157,Calc!$AK$2:$AK$157,Calc!$AN$2:$AN$157,Calc!$AO$2:$AO$157),MATCH($W142,Calc!$A$2:$A$157,0)),"")</f>
        <v>18.88000476</v>
      </c>
      <c r="H142" s="12">
        <f t="array" ref="H142">IF(G142="","",IF(LEFT($X142,1)="H",SQRT(G142*(IFERROR(INDEX(Calc!$AP$2:$AP$157,MATCH($W142,Calc!$A$2:$A$157,0)),0.5)*Config!$B$5+1-IFERROR(INDEX(Calc!$AP$2:$AP$157,MATCH($W142,Calc!$A$2:$A$157,0)),0.5))),SQRT(G142*Config!$B$5)))</f>
        <v>4.879704854</v>
      </c>
      <c r="I142" s="11">
        <f t="shared" si="1"/>
        <v>0.6113368258</v>
      </c>
      <c r="J142" s="11">
        <f t="shared" si="2"/>
        <v>0.3128686398</v>
      </c>
      <c r="K142" s="11">
        <f t="shared" si="3"/>
        <v>0.07579453433</v>
      </c>
      <c r="L142" s="4" t="str">
        <f>IF(I142="","",IF(I142&gt;=0.5+Config!$B$6,"OVER",IF(J142&gt;=0.5+Config!$B$6,"UNDER","—")))</f>
        <v>OVER</v>
      </c>
      <c r="N142" s="4">
        <v>17.9</v>
      </c>
      <c r="O142" s="11">
        <v>0.6</v>
      </c>
      <c r="P142" s="11">
        <v>0.6</v>
      </c>
      <c r="Q142" s="11">
        <v>0.73</v>
      </c>
      <c r="R142" s="4" t="s">
        <v>579</v>
      </c>
      <c r="S142" s="4">
        <v>-1.0</v>
      </c>
      <c r="T142" s="4" t="str">
        <f t="array" ref="T142">INDEX(Calc!$G$2:$G$157,MATCH($W142,Calc!$A$2:$A$157,0))&amp;" / "&amp;INDEX(Calc!$H$2:$H$157,MATCH($W142,Calc!$A$2:$A$157,0))</f>
        <v>Nuke / Cache</v>
      </c>
      <c r="U142" s="4" t="str">
        <f t="array" ref="U142">TEXT(INDEX(Calc!$J$2:$J$157,MATCH($W142,Calc!$A$2:$A$157,0)),"0.0")&amp;" / "&amp;TEXT(INDEX(Calc!$K$2:$K$157,MATCH($W142,Calc!$A$2:$A$157,0)),"0.0")</f>
        <v>21.5 / 21.5</v>
      </c>
      <c r="V142" s="4" t="str">
        <f t="array" ref="V142">IFERROR(INDEX(Calc!$AQ$2:$AQ$157,MATCH($W142,Calc!$A$2:$A$157,0)),"")</f>
        <v/>
      </c>
      <c r="W142" s="4" t="s">
        <v>3198</v>
      </c>
      <c r="X142" s="4" t="s">
        <v>634</v>
      </c>
      <c r="Y142" s="4" t="str">
        <f t="shared" si="4"/>
        <v>dvwiagwt3fsxpwe|CS2 · GL vs ex-RUSTEC|H12</v>
      </c>
      <c r="Z142" s="12">
        <f t="array" ref="Z142">IFERROR(INDEX(CHOOSE(MATCH($X142,{"K1","K2","K3","K12","K13","H1","H2","H3","H12","H13"},0),Calc!$BA$2:$BA$157,Calc!$BB$2:$BB$157,Calc!$BC$2:$BC$157,Calc!$BD$2:$BD$157,Calc!$BE$2:$BE$157,Calc!$BF$2:$BF$157,Calc!$BG$2:$BG$157,Calc!$BH$2:$BH$157,Calc!$BI$2:$BI$157,Calc!$BJ$2:$BJ$157),MATCH($W142,Calc!$A$2:$A$157,0)),"")</f>
        <v>17.98771609</v>
      </c>
      <c r="AA142" s="12">
        <f t="array" ref="AA142">IF(Z142="","",IF(LEFT($X142,1)="H",SQRT(Z142*(IFERROR(INDEX(Calc!$AP$2:$AP$157,MATCH($W142,Calc!$A$2:$A$157,0)),0.5)*Config!$B$5+1-IFERROR(INDEX(Calc!$AP$2:$AP$157,MATCH($W142,Calc!$A$2:$A$157,0)),0.5))),SQRT(Z142*Config!$B$5)))</f>
        <v>4.762999295</v>
      </c>
      <c r="AB142" s="11">
        <f t="shared" si="5"/>
        <v>0.5407791554</v>
      </c>
      <c r="AC142" s="11">
        <f t="shared" si="6"/>
        <v>0.3773878099</v>
      </c>
      <c r="AD142" s="4" t="str">
        <f>IF(AB142="","",IF(AB142&gt;=0.5+Config!$B$6,"OVER",IF(AC142&gt;=0.5+Config!$B$6,"UNDER","—")))</f>
        <v>OVER</v>
      </c>
      <c r="AE142" s="18">
        <f t="shared" si="7"/>
        <v>0.9527389597</v>
      </c>
    </row>
    <row r="143" ht="15.75" customHeight="1">
      <c r="A143" s="4" t="s">
        <v>86</v>
      </c>
      <c r="B143" s="4" t="s">
        <v>1755</v>
      </c>
      <c r="C143" s="4" t="s">
        <v>1575</v>
      </c>
      <c r="D143" s="4" t="s">
        <v>1565</v>
      </c>
      <c r="E143" s="4" t="s">
        <v>772</v>
      </c>
      <c r="F143" s="4">
        <v>26.5</v>
      </c>
      <c r="G143" s="12">
        <f t="array" ref="G143">IFERROR(INDEX(CHOOSE(MATCH($X143,{"K1","K2","K3","K12","K13","H1","H2","H3","H12","H13"},0),Calc!$V$2:$V$157,Calc!$AC$2:$AC$157,Calc!$AJ$2:$AJ$157,Calc!$AL$2:$AL$157,Calc!$AM$2:$AM$157,Calc!$W$2:$W$157,Calc!$AD$2:$AD$157,Calc!$AK$2:$AK$157,Calc!$AN$2:$AN$157,Calc!$AO$2:$AO$157),MATCH($W143,Calc!$A$2:$A$157,0)),"")</f>
        <v>28.91238095</v>
      </c>
      <c r="H143" s="12">
        <f t="array" ref="H143">IF(G143="","",IF(LEFT($X143,1)="H",SQRT(G143*(IFERROR(INDEX(Calc!$AP$2:$AP$157,MATCH($W143,Calc!$A$2:$A$157,0)),0.5)*Config!$B$5+1-IFERROR(INDEX(Calc!$AP$2:$AP$157,MATCH($W143,Calc!$A$2:$A$157,0)),0.5))),SQRT(G143*Config!$B$5)))</f>
        <v>6.36217992</v>
      </c>
      <c r="I143" s="11">
        <f t="shared" si="1"/>
        <v>0.6477211231</v>
      </c>
      <c r="J143" s="11">
        <f t="shared" si="2"/>
        <v>0.3522788769</v>
      </c>
      <c r="K143" s="11">
        <f t="shared" si="3"/>
        <v>0</v>
      </c>
      <c r="L143" s="4" t="str">
        <f>IF(I143="","",IF(I143&gt;=0.5+Config!$B$6,"OVER",IF(J143&gt;=0.5+Config!$B$6,"UNDER","—")))</f>
        <v>OVER</v>
      </c>
      <c r="N143" s="4">
        <v>27.9</v>
      </c>
      <c r="O143" s="11">
        <v>0.8</v>
      </c>
      <c r="P143" s="11">
        <v>0.7</v>
      </c>
      <c r="Q143" s="11">
        <v>0.8</v>
      </c>
      <c r="R143" s="4" t="s">
        <v>579</v>
      </c>
      <c r="S143" s="4">
        <v>3.0</v>
      </c>
      <c r="T143" s="4" t="str">
        <f t="array" ref="T143">INDEX(Calc!$G$2:$G$157,MATCH($W143,Calc!$A$2:$A$157,0))&amp;" / "&amp;INDEX(Calc!$H$2:$H$157,MATCH($W143,Calc!$A$2:$A$157,0))</f>
        <v>Nuke / Cache</v>
      </c>
      <c r="U143" s="4" t="str">
        <f t="array" ref="U143">TEXT(INDEX(Calc!$J$2:$J$157,MATCH($W143,Calc!$A$2:$A$157,0)),"0.0")&amp;" / "&amp;TEXT(INDEX(Calc!$K$2:$K$157,MATCH($W143,Calc!$A$2:$A$157,0)),"0.0")</f>
        <v>21.5 / 21.5</v>
      </c>
      <c r="V143" s="4" t="str">
        <f t="array" ref="V143">IFERROR(INDEX(Calc!$AQ$2:$AQ$157,MATCH($W143,Calc!$A$2:$A$157,0)),"")</f>
        <v/>
      </c>
      <c r="W143" s="4" t="s">
        <v>3198</v>
      </c>
      <c r="X143" s="4" t="s">
        <v>926</v>
      </c>
      <c r="Y143" s="4" t="str">
        <f t="shared" si="4"/>
        <v>dvwiagwt3fsxpwe|CS2 · GL vs ex-RUSTEC|K12</v>
      </c>
      <c r="Z143" s="12">
        <f t="array" ref="Z143">IFERROR(INDEX(CHOOSE(MATCH($X143,{"K1","K2","K3","K12","K13","H1","H2","H3","H12","H13"},0),Calc!$BA$2:$BA$157,Calc!$BB$2:$BB$157,Calc!$BC$2:$BC$157,Calc!$BD$2:$BD$157,Calc!$BE$2:$BE$157,Calc!$BF$2:$BF$157,Calc!$BG$2:$BG$157,Calc!$BH$2:$BH$157,Calc!$BI$2:$BI$157,Calc!$BJ$2:$BJ$157),MATCH($W143,Calc!$A$2:$A$157,0)),"")</f>
        <v>27.53905981</v>
      </c>
      <c r="AA143" s="12">
        <f t="array" ref="AA143">IF(Z143="","",IF(LEFT($X143,1)="H",SQRT(Z143*(IFERROR(INDEX(Calc!$AP$2:$AP$157,MATCH($W143,Calc!$A$2:$A$157,0)),0.5)*Config!$B$5+1-IFERROR(INDEX(Calc!$AP$2:$AP$157,MATCH($W143,Calc!$A$2:$A$157,0)),0.5))),SQRT(Z143*Config!$B$5)))</f>
        <v>6.2092418</v>
      </c>
      <c r="AB143" s="11">
        <f t="shared" si="5"/>
        <v>0.5664490686</v>
      </c>
      <c r="AC143" s="11">
        <f t="shared" si="6"/>
        <v>0.4335509314</v>
      </c>
      <c r="AD143" s="4" t="str">
        <f>IF(AB143="","",IF(AB143&gt;=0.5+Config!$B$6,"OVER",IF(AC143&gt;=0.5+Config!$B$6,"UNDER","—")))</f>
        <v>OVER</v>
      </c>
      <c r="AE143" s="18">
        <f t="shared" si="7"/>
        <v>0.9525005863</v>
      </c>
    </row>
    <row r="144" ht="15.75" customHeight="1">
      <c r="A144" s="4" t="s">
        <v>86</v>
      </c>
      <c r="B144" s="4" t="s">
        <v>1755</v>
      </c>
      <c r="C144" s="4" t="s">
        <v>1578</v>
      </c>
      <c r="D144" s="4" t="s">
        <v>1565</v>
      </c>
      <c r="E144" s="4" t="s">
        <v>370</v>
      </c>
      <c r="F144" s="4">
        <v>10.0</v>
      </c>
      <c r="G144" s="12">
        <f t="array" ref="G144">IFERROR(INDEX(CHOOSE(MATCH($X144,{"K1","K2","K3","K12","K13","H1","H2","H3","H12","H13"},0),Calc!$V$2:$V$157,Calc!$AC$2:$AC$157,Calc!$AJ$2:$AJ$157,Calc!$AL$2:$AL$157,Calc!$AM$2:$AM$157,Calc!$W$2:$W$157,Calc!$AD$2:$AD$157,Calc!$AK$2:$AK$157,Calc!$AN$2:$AN$157,Calc!$AO$2:$AO$157),MATCH($W144,Calc!$A$2:$A$157,0)),"")</f>
        <v>11.93880045</v>
      </c>
      <c r="H144" s="12">
        <f t="array" ref="H144">IF(G144="","",IF(LEFT($X144,1)="H",SQRT(G144*(IFERROR(INDEX(Calc!$AP$2:$AP$157,MATCH($W144,Calc!$A$2:$A$157,0)),0.5)*Config!$B$5+1-IFERROR(INDEX(Calc!$AP$2:$AP$157,MATCH($W144,Calc!$A$2:$A$157,0)),0.5))),SQRT(G144*Config!$B$5)))</f>
        <v>3.704270882</v>
      </c>
      <c r="I144" s="11">
        <f t="shared" si="1"/>
        <v>0.6511461338</v>
      </c>
      <c r="J144" s="11">
        <f t="shared" si="2"/>
        <v>0.2551485019</v>
      </c>
      <c r="K144" s="11">
        <f t="shared" si="3"/>
        <v>0.09370536428</v>
      </c>
      <c r="L144" s="4" t="str">
        <f>IF(I144="","",IF(I144&gt;=0.5+Config!$B$6,"OVER",IF(J144&gt;=0.5+Config!$B$6,"UNDER","—")))</f>
        <v>OVER</v>
      </c>
      <c r="N144" s="4">
        <v>12.9</v>
      </c>
      <c r="O144" s="11">
        <v>0.8</v>
      </c>
      <c r="P144" s="11">
        <v>0.8</v>
      </c>
      <c r="Q144" s="11">
        <v>0.8</v>
      </c>
      <c r="R144" s="4" t="s">
        <v>2203</v>
      </c>
      <c r="S144" s="4">
        <v>-1.0</v>
      </c>
      <c r="T144" s="4" t="str">
        <f t="array" ref="T144">INDEX(Calc!$G$2:$G$157,MATCH($W144,Calc!$A$2:$A$157,0))&amp;" / "&amp;INDEX(Calc!$H$2:$H$157,MATCH($W144,Calc!$A$2:$A$157,0))</f>
        <v>Nuke / Cache</v>
      </c>
      <c r="U144" s="4" t="str">
        <f t="array" ref="U144">TEXT(INDEX(Calc!$J$2:$J$157,MATCH($W144,Calc!$A$2:$A$157,0)),"0.0")&amp;" / "&amp;TEXT(INDEX(Calc!$K$2:$K$157,MATCH($W144,Calc!$A$2:$A$157,0)),"0.0")</f>
        <v>21.5 / 21.5</v>
      </c>
      <c r="V144" s="4" t="str">
        <f t="array" ref="V144">IFERROR(INDEX(Calc!$AQ$2:$AQ$157,MATCH($W144,Calc!$A$2:$A$157,0)),"")</f>
        <v/>
      </c>
      <c r="W144" s="4" t="s">
        <v>3199</v>
      </c>
      <c r="X144" s="4" t="s">
        <v>634</v>
      </c>
      <c r="Y144" s="4" t="str">
        <f t="shared" si="4"/>
        <v>41ry45brll61gbm|CS2 · GL vs ex-RUSTEC|H12</v>
      </c>
      <c r="Z144" s="12">
        <f t="array" ref="Z144">IFERROR(INDEX(CHOOSE(MATCH($X144,{"K1","K2","K3","K12","K13","H1","H2","H3","H12","H13"},0),Calc!$BA$2:$BA$157,Calc!$BB$2:$BB$157,Calc!$BC$2:$BC$157,Calc!$BD$2:$BD$157,Calc!$BE$2:$BE$157,Calc!$BF$2:$BF$157,Calc!$BG$2:$BG$157,Calc!$BH$2:$BH$157,Calc!$BI$2:$BI$157,Calc!$BJ$2:$BJ$157),MATCH($W144,Calc!$A$2:$A$157,0)),"")</f>
        <v>11.37386064</v>
      </c>
      <c r="AA144" s="12">
        <f t="array" ref="AA144">IF(Z144="","",IF(LEFT($X144,1)="H",SQRT(Z144*(IFERROR(INDEX(Calc!$AP$2:$AP$157,MATCH($W144,Calc!$A$2:$A$157,0)),0.5)*Config!$B$5+1-IFERROR(INDEX(Calc!$AP$2:$AP$157,MATCH($W144,Calc!$A$2:$A$157,0)),0.5))),SQRT(Z144*Config!$B$5)))</f>
        <v>3.615566407</v>
      </c>
      <c r="AB144" s="11">
        <f t="shared" si="5"/>
        <v>0.5954913537</v>
      </c>
      <c r="AC144" s="11">
        <f t="shared" si="6"/>
        <v>0.3021329205</v>
      </c>
      <c r="AD144" s="4" t="str">
        <f>IF(AB144="","",IF(AB144&gt;=0.5+Config!$B$6,"OVER",IF(AC144&gt;=0.5+Config!$B$6,"UNDER","—")))</f>
        <v>OVER</v>
      </c>
      <c r="AE144" s="18">
        <f t="shared" si="7"/>
        <v>0.9526803546</v>
      </c>
    </row>
    <row r="145" ht="15.75" customHeight="1">
      <c r="A145" s="4" t="s">
        <v>86</v>
      </c>
      <c r="B145" s="4" t="s">
        <v>1755</v>
      </c>
      <c r="C145" s="4" t="s">
        <v>1578</v>
      </c>
      <c r="D145" s="4" t="s">
        <v>1565</v>
      </c>
      <c r="E145" s="4" t="s">
        <v>772</v>
      </c>
      <c r="F145" s="4">
        <v>27.5</v>
      </c>
      <c r="G145" s="12">
        <f t="array" ref="G145">IFERROR(INDEX(CHOOSE(MATCH($X145,{"K1","K2","K3","K12","K13","H1","H2","H3","H12","H13"},0),Calc!$V$2:$V$157,Calc!$AC$2:$AC$157,Calc!$AJ$2:$AJ$157,Calc!$AL$2:$AL$157,Calc!$AM$2:$AM$157,Calc!$W$2:$W$157,Calc!$AD$2:$AD$157,Calc!$AK$2:$AK$157,Calc!$AN$2:$AN$157,Calc!$AO$2:$AO$157),MATCH($W145,Calc!$A$2:$A$157,0)),"")</f>
        <v>31.97962121</v>
      </c>
      <c r="H145" s="12">
        <f t="array" ref="H145">IF(G145="","",IF(LEFT($X145,1)="H",SQRT(G145*(IFERROR(INDEX(Calc!$AP$2:$AP$157,MATCH($W145,Calc!$A$2:$A$157,0)),0.5)*Config!$B$5+1-IFERROR(INDEX(Calc!$AP$2:$AP$157,MATCH($W145,Calc!$A$2:$A$157,0)),0.5))),SQRT(G145*Config!$B$5)))</f>
        <v>6.691148608</v>
      </c>
      <c r="I145" s="11">
        <f t="shared" si="1"/>
        <v>0.7484068119</v>
      </c>
      <c r="J145" s="11">
        <f t="shared" si="2"/>
        <v>0.2515931881</v>
      </c>
      <c r="K145" s="11">
        <f t="shared" si="3"/>
        <v>0</v>
      </c>
      <c r="L145" s="4" t="str">
        <f>IF(I145="","",IF(I145&gt;=0.5+Config!$B$6,"OVER",IF(J145&gt;=0.5+Config!$B$6,"UNDER","—")))</f>
        <v>OVER</v>
      </c>
      <c r="N145" s="4">
        <v>33.4</v>
      </c>
      <c r="O145" s="11">
        <v>0.8</v>
      </c>
      <c r="P145" s="11">
        <v>0.7</v>
      </c>
      <c r="Q145" s="11">
        <v>0.8</v>
      </c>
      <c r="R145" s="4" t="s">
        <v>1729</v>
      </c>
      <c r="S145" s="4">
        <v>-1.0</v>
      </c>
      <c r="T145" s="4" t="str">
        <f t="array" ref="T145">INDEX(Calc!$G$2:$G$157,MATCH($W145,Calc!$A$2:$A$157,0))&amp;" / "&amp;INDEX(Calc!$H$2:$H$157,MATCH($W145,Calc!$A$2:$A$157,0))</f>
        <v>Nuke / Cache</v>
      </c>
      <c r="U145" s="4" t="str">
        <f t="array" ref="U145">TEXT(INDEX(Calc!$J$2:$J$157,MATCH($W145,Calc!$A$2:$A$157,0)),"0.0")&amp;" / "&amp;TEXT(INDEX(Calc!$K$2:$K$157,MATCH($W145,Calc!$A$2:$A$157,0)),"0.0")</f>
        <v>21.5 / 21.5</v>
      </c>
      <c r="V145" s="4" t="str">
        <f t="array" ref="V145">IFERROR(INDEX(Calc!$AQ$2:$AQ$157,MATCH($W145,Calc!$A$2:$A$157,0)),"")</f>
        <v/>
      </c>
      <c r="W145" s="4" t="s">
        <v>3199</v>
      </c>
      <c r="X145" s="4" t="s">
        <v>926</v>
      </c>
      <c r="Y145" s="4" t="str">
        <f t="shared" si="4"/>
        <v>41ry45brll61gbm|CS2 · GL vs ex-RUSTEC|K12</v>
      </c>
      <c r="Z145" s="12">
        <f t="array" ref="Z145">IFERROR(INDEX(CHOOSE(MATCH($X145,{"K1","K2","K3","K12","K13","H1","H2","H3","H12","H13"},0),Calc!$BA$2:$BA$157,Calc!$BB$2:$BB$157,Calc!$BC$2:$BC$157,Calc!$BD$2:$BD$157,Calc!$BE$2:$BE$157,Calc!$BF$2:$BF$157,Calc!$BG$2:$BG$157,Calc!$BH$2:$BH$157,Calc!$BI$2:$BI$157,Calc!$BJ$2:$BJ$157),MATCH($W145,Calc!$A$2:$A$157,0)),"")</f>
        <v>30.44912505</v>
      </c>
      <c r="AA145" s="12">
        <f t="array" ref="AA145">IF(Z145="","",IF(LEFT($X145,1)="H",SQRT(Z145*(IFERROR(INDEX(Calc!$AP$2:$AP$157,MATCH($W145,Calc!$A$2:$A$157,0)),0.5)*Config!$B$5+1-IFERROR(INDEX(Calc!$AP$2:$AP$157,MATCH($W145,Calc!$A$2:$A$157,0)),0.5))),SQRT(Z145*Config!$B$5)))</f>
        <v>6.529071532</v>
      </c>
      <c r="AB145" s="11">
        <f t="shared" si="5"/>
        <v>0.6742543198</v>
      </c>
      <c r="AC145" s="11">
        <f t="shared" si="6"/>
        <v>0.3257456802</v>
      </c>
      <c r="AD145" s="4" t="str">
        <f>IF(AB145="","",IF(AB145&gt;=0.5+Config!$B$6,"OVER",IF(AC145&gt;=0.5+Config!$B$6,"UNDER","—")))</f>
        <v>OVER</v>
      </c>
      <c r="AE145" s="18">
        <f t="shared" si="7"/>
        <v>0.9521415167</v>
      </c>
    </row>
    <row r="146" ht="15.75" customHeight="1">
      <c r="A146" s="4" t="s">
        <v>86</v>
      </c>
      <c r="B146" s="4" t="s">
        <v>993</v>
      </c>
      <c r="C146" s="4" t="s">
        <v>1405</v>
      </c>
      <c r="D146" s="4" t="s">
        <v>1013</v>
      </c>
      <c r="E146" s="4" t="s">
        <v>2880</v>
      </c>
      <c r="F146" s="4">
        <v>8.0</v>
      </c>
      <c r="G146" s="12">
        <f t="array" ref="G146">IFERROR(INDEX(CHOOSE(MATCH($X146,{"K1","K2","K3","K12","K13","H1","H2","H3","H12","H13"},0),Calc!$V$2:$V$157,Calc!$AC$2:$AC$157,Calc!$AJ$2:$AJ$157,Calc!$AL$2:$AL$157,Calc!$AM$2:$AM$157,Calc!$W$2:$W$157,Calc!$AD$2:$AD$157,Calc!$AK$2:$AK$157,Calc!$AN$2:$AN$157,Calc!$AO$2:$AO$157),MATCH($W146,Calc!$A$2:$A$157,0)),"")</f>
        <v>7.208224375</v>
      </c>
      <c r="H146" s="12">
        <f t="array" ref="H146">IF(G146="","",IF(LEFT($X146,1)="H",SQRT(G146*(IFERROR(INDEX(Calc!$AP$2:$AP$157,MATCH($W146,Calc!$A$2:$A$157,0)),0.5)*Config!$B$5+1-IFERROR(INDEX(Calc!$AP$2:$AP$157,MATCH($W146,Calc!$A$2:$A$157,0)),0.5))),SQRT(G146*Config!$B$5)))</f>
        <v>2.944706357</v>
      </c>
      <c r="I146" s="11">
        <f t="shared" si="1"/>
        <v>0.3304477145</v>
      </c>
      <c r="J146" s="11">
        <f t="shared" si="2"/>
        <v>0.5394645276</v>
      </c>
      <c r="K146" s="11">
        <f t="shared" si="3"/>
        <v>0.1300877579</v>
      </c>
      <c r="L146" s="4" t="str">
        <f>IF(I146="","",IF(I146&gt;=0.5+Config!$B$6,"OVER",IF(J146&gt;=0.5+Config!$B$6,"UNDER","—")))</f>
        <v>—</v>
      </c>
      <c r="N146" s="4">
        <v>8.2</v>
      </c>
      <c r="O146" s="11">
        <v>0.6</v>
      </c>
      <c r="P146" s="11">
        <v>0.5</v>
      </c>
      <c r="Q146" s="11">
        <v>0.6</v>
      </c>
      <c r="R146" s="4" t="s">
        <v>1729</v>
      </c>
      <c r="S146" s="4">
        <v>1.0</v>
      </c>
      <c r="T146" s="4" t="str">
        <f t="array" ref="T146">INDEX(Calc!$G$2:$G$157,MATCH($W146,Calc!$A$2:$A$157,0))</f>
        <v>Nuke</v>
      </c>
      <c r="U146" s="4" t="str">
        <f t="array" ref="U146">TEXT(INDEX(Calc!$J$2:$J$157,MATCH($W146,Calc!$A$2:$A$157,0)),"0.0")</f>
        <v>21.5</v>
      </c>
      <c r="V146" s="4" t="str">
        <f t="array" ref="V146">IFERROR(INDEX(Calc!$AQ$2:$AQ$157,MATCH($W146,Calc!$A$2:$A$157,0)),"")</f>
        <v/>
      </c>
      <c r="W146" s="4" t="s">
        <v>3200</v>
      </c>
      <c r="X146" s="4" t="s">
        <v>3201</v>
      </c>
      <c r="Y146" s="4" t="str">
        <f t="shared" si="4"/>
        <v>ngzwc6mqcf8eqdc|CS2 · HAVU vs RGG|H1</v>
      </c>
      <c r="Z146" s="12">
        <f t="array" ref="Z146">IFERROR(INDEX(CHOOSE(MATCH($X146,{"K1","K2","K3","K12","K13","H1","H2","H3","H12","H13"},0),Calc!$BA$2:$BA$157,Calc!$BB$2:$BB$157,Calc!$BC$2:$BC$157,Calc!$BD$2:$BD$157,Calc!$BE$2:$BE$157,Calc!$BF$2:$BF$157,Calc!$BG$2:$BG$157,Calc!$BH$2:$BH$157,Calc!$BI$2:$BI$157,Calc!$BJ$2:$BJ$157),MATCH($W146,Calc!$A$2:$A$157,0)),"")</f>
        <v>7.23951985</v>
      </c>
      <c r="AA146" s="12">
        <f t="array" ref="AA146">IF(Z146="","",IF(LEFT($X146,1)="H",SQRT(Z146*(IFERROR(INDEX(Calc!$AP$2:$AP$157,MATCH($W146,Calc!$A$2:$A$157,0)),0.5)*Config!$B$5+1-IFERROR(INDEX(Calc!$AP$2:$AP$157,MATCH($W146,Calc!$A$2:$A$157,0)),0.5))),SQRT(Z146*Config!$B$5)))</f>
        <v>2.951091853</v>
      </c>
      <c r="AB146" s="11">
        <f t="shared" si="5"/>
        <v>0.3346447542</v>
      </c>
      <c r="AC146" s="11">
        <f t="shared" si="6"/>
        <v>0.5351672449</v>
      </c>
      <c r="AD146" s="4" t="str">
        <f>IF(AB146="","",IF(AB146&gt;=0.5+Config!$B$6,"OVER",IF(AC146&gt;=0.5+Config!$B$6,"UNDER","—")))</f>
        <v>—</v>
      </c>
      <c r="AE146" s="18">
        <f t="shared" si="7"/>
        <v>1.004341634</v>
      </c>
    </row>
    <row r="147" ht="15.75" customHeight="1">
      <c r="A147" s="4" t="s">
        <v>86</v>
      </c>
      <c r="B147" s="4" t="s">
        <v>993</v>
      </c>
      <c r="C147" s="4" t="s">
        <v>1405</v>
      </c>
      <c r="D147" s="4" t="s">
        <v>1013</v>
      </c>
      <c r="E147" s="4" t="s">
        <v>2882</v>
      </c>
      <c r="F147" s="4">
        <v>15.0</v>
      </c>
      <c r="G147" s="12">
        <f t="array" ref="G147">IFERROR(INDEX(CHOOSE(MATCH($X147,{"K1","K2","K3","K12","K13","H1","H2","H3","H12","H13"},0),Calc!$V$2:$V$157,Calc!$AC$2:$AC$157,Calc!$AJ$2:$AJ$157,Calc!$AL$2:$AL$157,Calc!$AM$2:$AM$157,Calc!$W$2:$W$157,Calc!$AD$2:$AD$157,Calc!$AK$2:$AK$157,Calc!$AN$2:$AN$157,Calc!$AO$2:$AO$157),MATCH($W147,Calc!$A$2:$A$157,0)),"")</f>
        <v>14.58416667</v>
      </c>
      <c r="H147" s="12">
        <f t="array" ref="H147">IF(G147="","",IF(LEFT($X147,1)="H",SQRT(G147*(IFERROR(INDEX(Calc!$AP$2:$AP$157,MATCH($W147,Calc!$A$2:$A$157,0)),0.5)*Config!$B$5+1-IFERROR(INDEX(Calc!$AP$2:$AP$157,MATCH($W147,Calc!$A$2:$A$157,0)),0.5))),SQRT(G147*Config!$B$5)))</f>
        <v>4.518609668</v>
      </c>
      <c r="I147" s="11">
        <f t="shared" si="1"/>
        <v>0.4196924462</v>
      </c>
      <c r="J147" s="11">
        <f t="shared" si="2"/>
        <v>0.4925694621</v>
      </c>
      <c r="K147" s="11">
        <f t="shared" si="3"/>
        <v>0.08773809166</v>
      </c>
      <c r="L147" s="4" t="str">
        <f>IF(I147="","",IF(I147&gt;=0.5+Config!$B$6,"OVER",IF(J147&gt;=0.5+Config!$B$6,"UNDER","—")))</f>
        <v>—</v>
      </c>
      <c r="N147" s="4">
        <v>16.5</v>
      </c>
      <c r="O147" s="11">
        <v>0.6</v>
      </c>
      <c r="P147" s="11">
        <v>0.5</v>
      </c>
      <c r="Q147" s="11">
        <v>0.47</v>
      </c>
      <c r="R147" s="4" t="s">
        <v>1729</v>
      </c>
      <c r="S147" s="4">
        <v>1.0</v>
      </c>
      <c r="T147" s="4" t="str">
        <f t="array" ref="T147">INDEX(Calc!$G$2:$G$157,MATCH($W147,Calc!$A$2:$A$157,0))</f>
        <v>Nuke</v>
      </c>
      <c r="U147" s="4" t="str">
        <f t="array" ref="U147">TEXT(INDEX(Calc!$J$2:$J$157,MATCH($W147,Calc!$A$2:$A$157,0)),"0.0")</f>
        <v>21.5</v>
      </c>
      <c r="V147" s="4" t="str">
        <f t="array" ref="V147">IFERROR(INDEX(Calc!$AQ$2:$AQ$157,MATCH($W147,Calc!$A$2:$A$157,0)),"")</f>
        <v/>
      </c>
      <c r="W147" s="4" t="s">
        <v>3200</v>
      </c>
      <c r="X147" s="4" t="s">
        <v>3202</v>
      </c>
      <c r="Y147" s="4" t="str">
        <f t="shared" si="4"/>
        <v>ngzwc6mqcf8eqdc|CS2 · HAVU vs RGG|K1</v>
      </c>
      <c r="Z147" s="12">
        <f t="array" ref="Z147">IFERROR(INDEX(CHOOSE(MATCH($X147,{"K1","K2","K3","K12","K13","H1","H2","H3","H12","H13"},0),Calc!$BA$2:$BA$157,Calc!$BB$2:$BB$157,Calc!$BC$2:$BC$157,Calc!$BD$2:$BD$157,Calc!$BE$2:$BE$157,Calc!$BF$2:$BF$157,Calc!$BG$2:$BG$157,Calc!$BH$2:$BH$157,Calc!$BI$2:$BI$157,Calc!$BJ$2:$BJ$157),MATCH($W147,Calc!$A$2:$A$157,0)),"")</f>
        <v>14.64748579</v>
      </c>
      <c r="AA147" s="12">
        <f t="array" ref="AA147">IF(Z147="","",IF(LEFT($X147,1)="H",SQRT(Z147*(IFERROR(INDEX(Calc!$AP$2:$AP$157,MATCH($W147,Calc!$A$2:$A$157,0)),0.5)*Config!$B$5+1-IFERROR(INDEX(Calc!$AP$2:$AP$157,MATCH($W147,Calc!$A$2:$A$157,0)),0.5))),SQRT(Z147*Config!$B$5)))</f>
        <v>4.52840812</v>
      </c>
      <c r="AB147" s="11">
        <f t="shared" si="5"/>
        <v>0.4253367575</v>
      </c>
      <c r="AC147" s="11">
        <f t="shared" si="6"/>
        <v>0.4870091401</v>
      </c>
      <c r="AD147" s="4" t="str">
        <f>IF(AB147="","",IF(AB147&gt;=0.5+Config!$B$6,"OVER",IF(AC147&gt;=0.5+Config!$B$6,"UNDER","—")))</f>
        <v>—</v>
      </c>
      <c r="AE147" s="18">
        <f t="shared" si="7"/>
        <v>1.004341634</v>
      </c>
    </row>
    <row r="148" ht="15.75" customHeight="1">
      <c r="A148" s="4" t="s">
        <v>86</v>
      </c>
      <c r="B148" s="4" t="s">
        <v>993</v>
      </c>
      <c r="C148" s="4" t="s">
        <v>1409</v>
      </c>
      <c r="D148" s="4" t="s">
        <v>1013</v>
      </c>
      <c r="E148" s="4" t="s">
        <v>2880</v>
      </c>
      <c r="F148" s="4">
        <v>9.5</v>
      </c>
      <c r="G148" s="12">
        <f t="array" ref="G148">IFERROR(INDEX(CHOOSE(MATCH($X148,{"K1","K2","K3","K12","K13","H1","H2","H3","H12","H13"},0),Calc!$V$2:$V$157,Calc!$AC$2:$AC$157,Calc!$AJ$2:$AJ$157,Calc!$AL$2:$AL$157,Calc!$AM$2:$AM$157,Calc!$W$2:$W$157,Calc!$AD$2:$AD$157,Calc!$AK$2:$AK$157,Calc!$AN$2:$AN$157,Calc!$AO$2:$AO$157),MATCH($W148,Calc!$A$2:$A$157,0)),"")</f>
        <v>11.77808073</v>
      </c>
      <c r="H148" s="12">
        <f t="array" ref="H148">IF(G148="","",IF(LEFT($X148,1)="H",SQRT(G148*(IFERROR(INDEX(Calc!$AP$2:$AP$157,MATCH($W148,Calc!$A$2:$A$157,0)),0.5)*Config!$B$5+1-IFERROR(INDEX(Calc!$AP$2:$AP$157,MATCH($W148,Calc!$A$2:$A$157,0)),0.5))),SQRT(G148*Config!$B$5)))</f>
        <v>3.860630221</v>
      </c>
      <c r="I148" s="11">
        <f t="shared" si="1"/>
        <v>0.7224314959</v>
      </c>
      <c r="J148" s="11">
        <f t="shared" si="2"/>
        <v>0.2775685041</v>
      </c>
      <c r="K148" s="11">
        <f t="shared" si="3"/>
        <v>0</v>
      </c>
      <c r="L148" s="4" t="str">
        <f>IF(I148="","",IF(I148&gt;=0.5+Config!$B$6,"OVER",IF(J148&gt;=0.5+Config!$B$6,"UNDER","—")))</f>
        <v>OVER</v>
      </c>
      <c r="N148" s="4">
        <v>10.2</v>
      </c>
      <c r="O148" s="11">
        <v>0.4</v>
      </c>
      <c r="P148" s="11">
        <v>0.7</v>
      </c>
      <c r="Q148" s="11">
        <v>0.67</v>
      </c>
      <c r="R148" s="4" t="s">
        <v>2203</v>
      </c>
      <c r="S148" s="4">
        <v>1.0</v>
      </c>
      <c r="T148" s="4" t="str">
        <f t="array" ref="T148">INDEX(Calc!$G$2:$G$157,MATCH($W148,Calc!$A$2:$A$157,0))</f>
        <v>Nuke</v>
      </c>
      <c r="U148" s="4" t="str">
        <f t="array" ref="U148">TEXT(INDEX(Calc!$J$2:$J$157,MATCH($W148,Calc!$A$2:$A$157,0)),"0.0")</f>
        <v>21.5</v>
      </c>
      <c r="V148" s="4" t="str">
        <f t="array" ref="V148">IFERROR(INDEX(Calc!$AQ$2:$AQ$157,MATCH($W148,Calc!$A$2:$A$157,0)),"")</f>
        <v/>
      </c>
      <c r="W148" s="4" t="s">
        <v>3203</v>
      </c>
      <c r="X148" s="4" t="s">
        <v>3201</v>
      </c>
      <c r="Y148" s="4" t="str">
        <f t="shared" si="4"/>
        <v>ydze2q2v3qoecsb|CS2 · HAVU vs RGG|H1</v>
      </c>
      <c r="Z148" s="12">
        <f t="array" ref="Z148">IFERROR(INDEX(CHOOSE(MATCH($X148,{"K1","K2","K3","K12","K13","H1","H2","H3","H12","H13"},0),Calc!$BA$2:$BA$157,Calc!$BB$2:$BB$157,Calc!$BC$2:$BC$157,Calc!$BD$2:$BD$157,Calc!$BE$2:$BE$157,Calc!$BF$2:$BF$157,Calc!$BG$2:$BG$157,Calc!$BH$2:$BH$157,Calc!$BI$2:$BI$157,Calc!$BJ$2:$BJ$157),MATCH($W148,Calc!$A$2:$A$157,0)),"")</f>
        <v>11.82921685</v>
      </c>
      <c r="AA148" s="12">
        <f t="array" ref="AA148">IF(Z148="","",IF(LEFT($X148,1)="H",SQRT(Z148*(IFERROR(INDEX(Calc!$AP$2:$AP$157,MATCH($W148,Calc!$A$2:$A$157,0)),0.5)*Config!$B$5+1-IFERROR(INDEX(Calc!$AP$2:$AP$157,MATCH($W148,Calc!$A$2:$A$157,0)),0.5))),SQRT(Z148*Config!$B$5)))</f>
        <v>3.869001866</v>
      </c>
      <c r="AB148" s="11">
        <f t="shared" si="5"/>
        <v>0.7264196175</v>
      </c>
      <c r="AC148" s="11">
        <f t="shared" si="6"/>
        <v>0.2735803825</v>
      </c>
      <c r="AD148" s="4" t="str">
        <f>IF(AB148="","",IF(AB148&gt;=0.5+Config!$B$6,"OVER",IF(AC148&gt;=0.5+Config!$B$6,"UNDER","—")))</f>
        <v>OVER</v>
      </c>
      <c r="AE148" s="18">
        <f t="shared" si="7"/>
        <v>1.004341634</v>
      </c>
    </row>
    <row r="149" ht="15.75" customHeight="1">
      <c r="A149" s="4" t="s">
        <v>86</v>
      </c>
      <c r="B149" s="4" t="s">
        <v>993</v>
      </c>
      <c r="C149" s="4" t="s">
        <v>1409</v>
      </c>
      <c r="D149" s="4" t="s">
        <v>1013</v>
      </c>
      <c r="E149" s="4" t="s">
        <v>2882</v>
      </c>
      <c r="F149" s="4">
        <v>15.0</v>
      </c>
      <c r="G149" s="12">
        <f t="array" ref="G149">IFERROR(INDEX(CHOOSE(MATCH($X149,{"K1","K2","K3","K12","K13","H1","H2","H3","H12","H13"},0),Calc!$V$2:$V$157,Calc!$AC$2:$AC$157,Calc!$AJ$2:$AJ$157,Calc!$AL$2:$AL$157,Calc!$AM$2:$AM$157,Calc!$W$2:$W$157,Calc!$AD$2:$AD$157,Calc!$AK$2:$AK$157,Calc!$AN$2:$AN$157,Calc!$AO$2:$AO$157),MATCH($W149,Calc!$A$2:$A$157,0)),"")</f>
        <v>17.61208333</v>
      </c>
      <c r="H149" s="12">
        <f t="array" ref="H149">IF(G149="","",IF(LEFT($X149,1)="H",SQRT(G149*(IFERROR(INDEX(Calc!$AP$2:$AP$157,MATCH($W149,Calc!$A$2:$A$157,0)),0.5)*Config!$B$5+1-IFERROR(INDEX(Calc!$AP$2:$AP$157,MATCH($W149,Calc!$A$2:$A$157,0)),0.5))),SQRT(G149*Config!$B$5)))</f>
        <v>4.965573146</v>
      </c>
      <c r="I149" s="11">
        <f t="shared" si="1"/>
        <v>0.6647075223</v>
      </c>
      <c r="J149" s="11">
        <f t="shared" si="2"/>
        <v>0.2654174789</v>
      </c>
      <c r="K149" s="11">
        <f t="shared" si="3"/>
        <v>0.06987499881</v>
      </c>
      <c r="L149" s="4" t="str">
        <f>IF(I149="","",IF(I149&gt;=0.5+Config!$B$6,"OVER",IF(J149&gt;=0.5+Config!$B$6,"UNDER","—")))</f>
        <v>OVER</v>
      </c>
      <c r="N149" s="4">
        <v>15.1</v>
      </c>
      <c r="O149" s="11">
        <v>0.4</v>
      </c>
      <c r="P149" s="11">
        <v>0.6</v>
      </c>
      <c r="Q149" s="11">
        <v>0.53</v>
      </c>
      <c r="R149" s="4" t="s">
        <v>1729</v>
      </c>
      <c r="S149" s="4">
        <v>1.0</v>
      </c>
      <c r="T149" s="4" t="str">
        <f t="array" ref="T149">INDEX(Calc!$G$2:$G$157,MATCH($W149,Calc!$A$2:$A$157,0))</f>
        <v>Nuke</v>
      </c>
      <c r="U149" s="4" t="str">
        <f t="array" ref="U149">TEXT(INDEX(Calc!$J$2:$J$157,MATCH($W149,Calc!$A$2:$A$157,0)),"0.0")</f>
        <v>21.5</v>
      </c>
      <c r="V149" s="4" t="str">
        <f t="array" ref="V149">IFERROR(INDEX(Calc!$AQ$2:$AQ$157,MATCH($W149,Calc!$A$2:$A$157,0)),"")</f>
        <v/>
      </c>
      <c r="W149" s="4" t="s">
        <v>3203</v>
      </c>
      <c r="X149" s="4" t="s">
        <v>3202</v>
      </c>
      <c r="Y149" s="4" t="str">
        <f t="shared" si="4"/>
        <v>ydze2q2v3qoecsb|CS2 · HAVU vs RGG|K1</v>
      </c>
      <c r="Z149" s="12">
        <f t="array" ref="Z149">IFERROR(INDEX(CHOOSE(MATCH($X149,{"K1","K2","K3","K12","K13","H1","H2","H3","H12","H13"},0),Calc!$BA$2:$BA$157,Calc!$BB$2:$BB$157,Calc!$BC$2:$BC$157,Calc!$BD$2:$BD$157,Calc!$BE$2:$BE$157,Calc!$BF$2:$BF$157,Calc!$BG$2:$BG$157,Calc!$BH$2:$BH$157,Calc!$BI$2:$BI$157,Calc!$BJ$2:$BJ$157),MATCH($W149,Calc!$A$2:$A$157,0)),"")</f>
        <v>17.68854856</v>
      </c>
      <c r="AA149" s="12">
        <f t="array" ref="AA149">IF(Z149="","",IF(LEFT($X149,1)="H",SQRT(Z149*(IFERROR(INDEX(Calc!$AP$2:$AP$157,MATCH($W149,Calc!$A$2:$A$157,0)),0.5)*Config!$B$5+1-IFERROR(INDEX(Calc!$AP$2:$AP$157,MATCH($W149,Calc!$A$2:$A$157,0)),0.5))),SQRT(Z149*Config!$B$5)))</f>
        <v>4.976340823</v>
      </c>
      <c r="AB149" s="11">
        <f t="shared" si="5"/>
        <v>0.6699556587</v>
      </c>
      <c r="AC149" s="11">
        <f t="shared" si="6"/>
        <v>0.2608452921</v>
      </c>
      <c r="AD149" s="4" t="str">
        <f>IF(AB149="","",IF(AB149&gt;=0.5+Config!$B$6,"OVER",IF(AC149&gt;=0.5+Config!$B$6,"UNDER","—")))</f>
        <v>OVER</v>
      </c>
      <c r="AE149" s="18">
        <f t="shared" si="7"/>
        <v>1.004341634</v>
      </c>
    </row>
    <row r="150" ht="15.75" customHeight="1">
      <c r="A150" s="4" t="s">
        <v>86</v>
      </c>
      <c r="B150" s="4" t="s">
        <v>993</v>
      </c>
      <c r="C150" s="4" t="s">
        <v>1412</v>
      </c>
      <c r="D150" s="4" t="s">
        <v>1013</v>
      </c>
      <c r="E150" s="4" t="s">
        <v>2882</v>
      </c>
      <c r="F150" s="4">
        <v>16.5</v>
      </c>
      <c r="G150" s="12">
        <f t="array" ref="G150">IFERROR(INDEX(CHOOSE(MATCH($X150,{"K1","K2","K3","K12","K13","H1","H2","H3","H12","H13"},0),Calc!$V$2:$V$157,Calc!$AC$2:$AC$157,Calc!$AJ$2:$AJ$157,Calc!$AL$2:$AL$157,Calc!$AM$2:$AM$157,Calc!$W$2:$W$157,Calc!$AD$2:$AD$157,Calc!$AK$2:$AK$157,Calc!$AN$2:$AN$157,Calc!$AO$2:$AO$157),MATCH($W150,Calc!$A$2:$A$157,0)),"")</f>
        <v>16.80583333</v>
      </c>
      <c r="H150" s="12">
        <f t="array" ref="H150">IF(G150="","",IF(LEFT($X150,1)="H",SQRT(G150*(IFERROR(INDEX(Calc!$AP$2:$AP$157,MATCH($W150,Calc!$A$2:$A$157,0)),0.5)*Config!$B$5+1-IFERROR(INDEX(Calc!$AP$2:$AP$157,MATCH($W150,Calc!$A$2:$A$157,0)),0.5))),SQRT(G150*Config!$B$5)))</f>
        <v>4.850584157</v>
      </c>
      <c r="I150" s="11">
        <f t="shared" si="1"/>
        <v>0.5251369839</v>
      </c>
      <c r="J150" s="11">
        <f t="shared" si="2"/>
        <v>0.4748630161</v>
      </c>
      <c r="K150" s="11">
        <f t="shared" si="3"/>
        <v>0</v>
      </c>
      <c r="L150" s="4" t="str">
        <f>IF(I150="","",IF(I150&gt;=0.5+Config!$B$6,"OVER",IF(J150&gt;=0.5+Config!$B$6,"UNDER","—")))</f>
        <v>—</v>
      </c>
      <c r="N150" s="4">
        <v>18.1</v>
      </c>
      <c r="O150" s="11">
        <v>0.4</v>
      </c>
      <c r="P150" s="11">
        <v>0.5</v>
      </c>
      <c r="Q150" s="11">
        <v>0.47</v>
      </c>
      <c r="R150" s="4" t="s">
        <v>2203</v>
      </c>
      <c r="S150" s="4">
        <v>2.0</v>
      </c>
      <c r="T150" s="4" t="str">
        <f t="array" ref="T150">INDEX(Calc!$G$2:$G$157,MATCH($W150,Calc!$A$2:$A$157,0))</f>
        <v>Nuke</v>
      </c>
      <c r="U150" s="4" t="str">
        <f t="array" ref="U150">TEXT(INDEX(Calc!$J$2:$J$157,MATCH($W150,Calc!$A$2:$A$157,0)),"0.0")</f>
        <v>21.5</v>
      </c>
      <c r="V150" s="4" t="str">
        <f t="array" ref="V150">IFERROR(INDEX(Calc!$AQ$2:$AQ$157,MATCH($W150,Calc!$A$2:$A$157,0)),"")</f>
        <v/>
      </c>
      <c r="W150" s="4" t="s">
        <v>3204</v>
      </c>
      <c r="X150" s="4" t="s">
        <v>3202</v>
      </c>
      <c r="Y150" s="4" t="str">
        <f t="shared" si="4"/>
        <v>r5k3gcz96b2x9h8|CS2 · HAVU vs RGG|K1</v>
      </c>
      <c r="Z150" s="12">
        <f t="array" ref="Z150">IFERROR(INDEX(CHOOSE(MATCH($X150,{"K1","K2","K3","K12","K13","H1","H2","H3","H12","H13"},0),Calc!$BA$2:$BA$157,Calc!$BB$2:$BB$157,Calc!$BC$2:$BC$157,Calc!$BD$2:$BD$157,Calc!$BE$2:$BE$157,Calc!$BF$2:$BF$157,Calc!$BG$2:$BG$157,Calc!$BH$2:$BH$157,Calc!$BI$2:$BI$157,Calc!$BJ$2:$BJ$157),MATCH($W150,Calc!$A$2:$A$157,0)),"")</f>
        <v>16.87879812</v>
      </c>
      <c r="AA150" s="12">
        <f t="array" ref="AA150">IF(Z150="","",IF(LEFT($X150,1)="H",SQRT(Z150*(IFERROR(INDEX(Calc!$AP$2:$AP$157,MATCH($W150,Calc!$A$2:$A$157,0)),0.5)*Config!$B$5+1-IFERROR(INDEX(Calc!$AP$2:$AP$157,MATCH($W150,Calc!$A$2:$A$157,0)),0.5))),SQRT(Z150*Config!$B$5)))</f>
        <v>4.861102485</v>
      </c>
      <c r="AB150" s="11">
        <f t="shared" si="5"/>
        <v>0.5310558742</v>
      </c>
      <c r="AC150" s="11">
        <f t="shared" si="6"/>
        <v>0.4689441258</v>
      </c>
      <c r="AD150" s="4" t="str">
        <f>IF(AB150="","",IF(AB150&gt;=0.5+Config!$B$6,"OVER",IF(AC150&gt;=0.5+Config!$B$6,"UNDER","—")))</f>
        <v>—</v>
      </c>
      <c r="AE150" s="18">
        <f t="shared" si="7"/>
        <v>1.004341634</v>
      </c>
    </row>
    <row r="151" ht="15.75" customHeight="1">
      <c r="A151" s="4" t="s">
        <v>86</v>
      </c>
      <c r="B151" s="4" t="s">
        <v>993</v>
      </c>
      <c r="C151" s="4" t="s">
        <v>1415</v>
      </c>
      <c r="D151" s="4" t="s">
        <v>1013</v>
      </c>
      <c r="E151" s="4" t="s">
        <v>2880</v>
      </c>
      <c r="F151" s="4">
        <v>8.5</v>
      </c>
      <c r="G151" s="12">
        <f t="array" ref="G151">IFERROR(INDEX(CHOOSE(MATCH($X151,{"K1","K2","K3","K12","K13","H1","H2","H3","H12","H13"},0),Calc!$V$2:$V$157,Calc!$AC$2:$AC$157,Calc!$AJ$2:$AJ$157,Calc!$AL$2:$AL$157,Calc!$AM$2:$AM$157,Calc!$W$2:$W$157,Calc!$AD$2:$AD$157,Calc!$AK$2:$AK$157,Calc!$AN$2:$AN$157,Calc!$AO$2:$AO$157),MATCH($W151,Calc!$A$2:$A$157,0)),"")</f>
        <v>9.181924375</v>
      </c>
      <c r="H151" s="12">
        <f t="array" ref="H151">IF(G151="","",IF(LEFT($X151,1)="H",SQRT(G151*(IFERROR(INDEX(Calc!$AP$2:$AP$157,MATCH($W151,Calc!$A$2:$A$157,0)),0.5)*Config!$B$5+1-IFERROR(INDEX(Calc!$AP$2:$AP$157,MATCH($W151,Calc!$A$2:$A$157,0)),0.5))),SQRT(G151*Config!$B$5)))</f>
        <v>3.415716315</v>
      </c>
      <c r="I151" s="11">
        <f t="shared" si="1"/>
        <v>0.5791201621</v>
      </c>
      <c r="J151" s="11">
        <f t="shared" si="2"/>
        <v>0.4208798379</v>
      </c>
      <c r="K151" s="11">
        <f t="shared" si="3"/>
        <v>0</v>
      </c>
      <c r="L151" s="4" t="str">
        <f>IF(I151="","",IF(I151&gt;=0.5+Config!$B$6,"OVER",IF(J151&gt;=0.5+Config!$B$6,"UNDER","—")))</f>
        <v>OVER</v>
      </c>
      <c r="N151" s="4">
        <v>6.8</v>
      </c>
      <c r="O151" s="11">
        <v>0.2</v>
      </c>
      <c r="P151" s="11">
        <v>0.3</v>
      </c>
      <c r="Q151" s="11">
        <v>0.4</v>
      </c>
      <c r="R151" s="4" t="s">
        <v>2203</v>
      </c>
      <c r="S151" s="4">
        <v>-1.0</v>
      </c>
      <c r="T151" s="4" t="str">
        <f t="array" ref="T151">INDEX(Calc!$G$2:$G$157,MATCH($W151,Calc!$A$2:$A$157,0))</f>
        <v>Nuke</v>
      </c>
      <c r="U151" s="4" t="str">
        <f t="array" ref="U151">TEXT(INDEX(Calc!$J$2:$J$157,MATCH($W151,Calc!$A$2:$A$157,0)),"0.0")</f>
        <v>21.5</v>
      </c>
      <c r="V151" s="4" t="str">
        <f t="array" ref="V151">IFERROR(INDEX(Calc!$AQ$2:$AQ$157,MATCH($W151,Calc!$A$2:$A$157,0)),"")</f>
        <v/>
      </c>
      <c r="W151" s="4" t="s">
        <v>3205</v>
      </c>
      <c r="X151" s="4" t="s">
        <v>3201</v>
      </c>
      <c r="Y151" s="4" t="str">
        <f t="shared" si="4"/>
        <v>r4mf7kxzysimlpj|CS2 · HAVU vs RGG|H1</v>
      </c>
      <c r="Z151" s="12">
        <f t="array" ref="Z151">IFERROR(INDEX(CHOOSE(MATCH($X151,{"K1","K2","K3","K12","K13","H1","H2","H3","H12","H13"},0),Calc!$BA$2:$BA$157,Calc!$BB$2:$BB$157,Calc!$BC$2:$BC$157,Calc!$BD$2:$BD$157,Calc!$BE$2:$BE$157,Calc!$BF$2:$BF$157,Calc!$BG$2:$BG$157,Calc!$BH$2:$BH$157,Calc!$BI$2:$BI$157,Calc!$BJ$2:$BJ$157),MATCH($W151,Calc!$A$2:$A$157,0)),"")</f>
        <v>9.221788934</v>
      </c>
      <c r="AA151" s="12">
        <f t="array" ref="AA151">IF(Z151="","",IF(LEFT($X151,1)="H",SQRT(Z151*(IFERROR(INDEX(Calc!$AP$2:$AP$157,MATCH($W151,Calc!$A$2:$A$157,0)),0.5)*Config!$B$5+1-IFERROR(INDEX(Calc!$AP$2:$AP$157,MATCH($W151,Calc!$A$2:$A$157,0)),0.5))),SQRT(Z151*Config!$B$5)))</f>
        <v>3.42312318</v>
      </c>
      <c r="AB151" s="11">
        <f t="shared" si="5"/>
        <v>0.5835005079</v>
      </c>
      <c r="AC151" s="11">
        <f t="shared" si="6"/>
        <v>0.4164994921</v>
      </c>
      <c r="AD151" s="4" t="str">
        <f>IF(AB151="","",IF(AB151&gt;=0.5+Config!$B$6,"OVER",IF(AC151&gt;=0.5+Config!$B$6,"UNDER","—")))</f>
        <v>OVER</v>
      </c>
      <c r="AE151" s="18">
        <f t="shared" si="7"/>
        <v>1.004341634</v>
      </c>
    </row>
    <row r="152" ht="15.75" customHeight="1">
      <c r="A152" s="4" t="s">
        <v>86</v>
      </c>
      <c r="B152" s="4" t="s">
        <v>993</v>
      </c>
      <c r="C152" s="4" t="s">
        <v>1415</v>
      </c>
      <c r="D152" s="4" t="s">
        <v>1013</v>
      </c>
      <c r="E152" s="4" t="s">
        <v>2882</v>
      </c>
      <c r="F152" s="4">
        <v>13.5</v>
      </c>
      <c r="G152" s="12">
        <f t="array" ref="G152">IFERROR(INDEX(CHOOSE(MATCH($X152,{"K1","K2","K3","K12","K13","H1","H2","H3","H12","H13"},0),Calc!$V$2:$V$157,Calc!$AC$2:$AC$157,Calc!$AJ$2:$AJ$157,Calc!$AL$2:$AL$157,Calc!$AM$2:$AM$157,Calc!$W$2:$W$157,Calc!$AD$2:$AD$157,Calc!$AK$2:$AK$157,Calc!$AN$2:$AN$157,Calc!$AO$2:$AO$157),MATCH($W152,Calc!$A$2:$A$157,0)),"")</f>
        <v>13.2225</v>
      </c>
      <c r="H152" s="12">
        <f t="array" ref="H152">IF(G152="","",IF(LEFT($X152,1)="H",SQRT(G152*(IFERROR(INDEX(Calc!$AP$2:$AP$157,MATCH($W152,Calc!$A$2:$A$157,0)),0.5)*Config!$B$5+1-IFERROR(INDEX(Calc!$AP$2:$AP$157,MATCH($W152,Calc!$A$2:$A$157,0)),0.5))),SQRT(G152*Config!$B$5)))</f>
        <v>4.302499274</v>
      </c>
      <c r="I152" s="11">
        <f t="shared" si="1"/>
        <v>0.4742870902</v>
      </c>
      <c r="J152" s="11">
        <f t="shared" si="2"/>
        <v>0.5257129098</v>
      </c>
      <c r="K152" s="11">
        <f t="shared" si="3"/>
        <v>0</v>
      </c>
      <c r="L152" s="4" t="str">
        <f>IF(I152="","",IF(I152&gt;=0.5+Config!$B$6,"OVER",IF(J152&gt;=0.5+Config!$B$6,"UNDER","—")))</f>
        <v>—</v>
      </c>
      <c r="N152" s="4">
        <v>9.8</v>
      </c>
      <c r="O152" s="11">
        <v>0.2</v>
      </c>
      <c r="P152" s="11">
        <v>0.1</v>
      </c>
      <c r="Q152" s="11">
        <v>0.27</v>
      </c>
      <c r="R152" s="4" t="s">
        <v>2203</v>
      </c>
      <c r="S152" s="4">
        <v>-1.0</v>
      </c>
      <c r="T152" s="4" t="str">
        <f t="array" ref="T152">INDEX(Calc!$G$2:$G$157,MATCH($W152,Calc!$A$2:$A$157,0))</f>
        <v>Nuke</v>
      </c>
      <c r="U152" s="4" t="str">
        <f t="array" ref="U152">TEXT(INDEX(Calc!$J$2:$J$157,MATCH($W152,Calc!$A$2:$A$157,0)),"0.0")</f>
        <v>21.5</v>
      </c>
      <c r="V152" s="4" t="str">
        <f t="array" ref="V152">IFERROR(INDEX(Calc!$AQ$2:$AQ$157,MATCH($W152,Calc!$A$2:$A$157,0)),"")</f>
        <v/>
      </c>
      <c r="W152" s="4" t="s">
        <v>3205</v>
      </c>
      <c r="X152" s="4" t="s">
        <v>3202</v>
      </c>
      <c r="Y152" s="4" t="str">
        <f t="shared" si="4"/>
        <v>r4mf7kxzysimlpj|CS2 · HAVU vs RGG|K1</v>
      </c>
      <c r="Z152" s="12">
        <f t="array" ref="Z152">IFERROR(INDEX(CHOOSE(MATCH($X152,{"K1","K2","K3","K12","K13","H1","H2","H3","H12","H13"},0),Calc!$BA$2:$BA$157,Calc!$BB$2:$BB$157,Calc!$BC$2:$BC$157,Calc!$BD$2:$BD$157,Calc!$BE$2:$BE$157,Calc!$BF$2:$BF$157,Calc!$BG$2:$BG$157,Calc!$BH$2:$BH$157,Calc!$BI$2:$BI$157,Calc!$BJ$2:$BJ$157),MATCH($W152,Calc!$A$2:$A$157,0)),"")</f>
        <v>13.27990726</v>
      </c>
      <c r="AA152" s="12">
        <f t="array" ref="AA152">IF(Z152="","",IF(LEFT($X152,1)="H",SQRT(Z152*(IFERROR(INDEX(Calc!$AP$2:$AP$157,MATCH($W152,Calc!$A$2:$A$157,0)),0.5)*Config!$B$5+1-IFERROR(INDEX(Calc!$AP$2:$AP$157,MATCH($W152,Calc!$A$2:$A$157,0)),0.5))),SQRT(Z152*Config!$B$5)))</f>
        <v>4.311829097</v>
      </c>
      <c r="AB152" s="11">
        <f t="shared" si="5"/>
        <v>0.4796452542</v>
      </c>
      <c r="AC152" s="11">
        <f t="shared" si="6"/>
        <v>0.5203547458</v>
      </c>
      <c r="AD152" s="4" t="str">
        <f>IF(AB152="","",IF(AB152&gt;=0.5+Config!$B$6,"OVER",IF(AC152&gt;=0.5+Config!$B$6,"UNDER","—")))</f>
        <v>—</v>
      </c>
      <c r="AE152" s="18">
        <f t="shared" si="7"/>
        <v>1.004341634</v>
      </c>
    </row>
    <row r="153" ht="15.75" customHeight="1">
      <c r="A153" s="4" t="s">
        <v>86</v>
      </c>
      <c r="B153" s="4" t="s">
        <v>993</v>
      </c>
      <c r="C153" s="4" t="s">
        <v>1418</v>
      </c>
      <c r="D153" s="4" t="s">
        <v>1013</v>
      </c>
      <c r="E153" s="4" t="s">
        <v>2880</v>
      </c>
      <c r="F153" s="4">
        <v>8.0</v>
      </c>
      <c r="G153" s="12">
        <f t="array" ref="G153">IFERROR(INDEX(CHOOSE(MATCH($X153,{"K1","K2","K3","K12","K13","H1","H2","H3","H12","H13"},0),Calc!$V$2:$V$157,Calc!$AC$2:$AC$157,Calc!$AJ$2:$AJ$157,Calc!$AL$2:$AL$157,Calc!$AM$2:$AM$157,Calc!$W$2:$W$157,Calc!$AD$2:$AD$157,Calc!$AK$2:$AK$157,Calc!$AN$2:$AN$157,Calc!$AO$2:$AO$157),MATCH($W153,Calc!$A$2:$A$157,0)),"")</f>
        <v>9.152264826</v>
      </c>
      <c r="H153" s="12">
        <f t="array" ref="H153">IF(G153="","",IF(LEFT($X153,1)="H",SQRT(G153*(IFERROR(INDEX(Calc!$AP$2:$AP$157,MATCH($W153,Calc!$A$2:$A$157,0)),0.5)*Config!$B$5+1-IFERROR(INDEX(Calc!$AP$2:$AP$157,MATCH($W153,Calc!$A$2:$A$157,0)),0.5))),SQRT(G153*Config!$B$5)))</f>
        <v>3.337771947</v>
      </c>
      <c r="I153" s="11">
        <f t="shared" si="1"/>
        <v>0.5774676186</v>
      </c>
      <c r="J153" s="11">
        <f t="shared" si="2"/>
        <v>0.3102929002</v>
      </c>
      <c r="K153" s="11">
        <f t="shared" si="3"/>
        <v>0.1122394812</v>
      </c>
      <c r="L153" s="4" t="str">
        <f>IF(I153="","",IF(I153&gt;=0.5+Config!$B$6,"OVER",IF(J153&gt;=0.5+Config!$B$6,"UNDER","—")))</f>
        <v>OVER</v>
      </c>
      <c r="N153" s="4">
        <v>9.1</v>
      </c>
      <c r="O153" s="11">
        <v>0.8</v>
      </c>
      <c r="P153" s="11">
        <v>0.8</v>
      </c>
      <c r="Q153" s="11">
        <v>0.73</v>
      </c>
      <c r="R153" s="4" t="s">
        <v>1158</v>
      </c>
      <c r="S153" s="4">
        <v>2.0</v>
      </c>
      <c r="T153" s="4" t="str">
        <f t="array" ref="T153">INDEX(Calc!$G$2:$G$157,MATCH($W153,Calc!$A$2:$A$157,0))</f>
        <v>Nuke</v>
      </c>
      <c r="U153" s="4" t="str">
        <f t="array" ref="U153">TEXT(INDEX(Calc!$J$2:$J$157,MATCH($W153,Calc!$A$2:$A$157,0)),"0.0")</f>
        <v>21.5</v>
      </c>
      <c r="V153" s="4" t="str">
        <f t="array" ref="V153">IFERROR(INDEX(Calc!$AQ$2:$AQ$157,MATCH($W153,Calc!$A$2:$A$157,0)),"")</f>
        <v/>
      </c>
      <c r="W153" s="4" t="s">
        <v>3206</v>
      </c>
      <c r="X153" s="4" t="s">
        <v>3201</v>
      </c>
      <c r="Y153" s="4" t="str">
        <f t="shared" si="4"/>
        <v>rw16g75bm7idm2e|CS2 · HAVU vs RGG|H1</v>
      </c>
      <c r="Z153" s="12">
        <f t="array" ref="Z153">IFERROR(INDEX(CHOOSE(MATCH($X153,{"K1","K2","K3","K12","K13","H1","H2","H3","H12","H13"},0),Calc!$BA$2:$BA$157,Calc!$BB$2:$BB$157,Calc!$BC$2:$BC$157,Calc!$BD$2:$BD$157,Calc!$BE$2:$BE$157,Calc!$BF$2:$BF$157,Calc!$BG$2:$BG$157,Calc!$BH$2:$BH$157,Calc!$BI$2:$BI$157,Calc!$BJ$2:$BJ$157),MATCH($W153,Calc!$A$2:$A$157,0)),"")</f>
        <v>9.192000614</v>
      </c>
      <c r="AA153" s="12">
        <f t="array" ref="AA153">IF(Z153="","",IF(LEFT($X153,1)="H",SQRT(Z153*(IFERROR(INDEX(Calc!$AP$2:$AP$157,MATCH($W153,Calc!$A$2:$A$157,0)),0.5)*Config!$B$5+1-IFERROR(INDEX(Calc!$AP$2:$AP$157,MATCH($W153,Calc!$A$2:$A$157,0)),0.5))),SQRT(Z153*Config!$B$5)))</f>
        <v>3.345009793</v>
      </c>
      <c r="AB153" s="11">
        <f t="shared" si="5"/>
        <v>0.5819464594</v>
      </c>
      <c r="AC153" s="11">
        <f t="shared" si="6"/>
        <v>0.3064885952</v>
      </c>
      <c r="AD153" s="4" t="str">
        <f>IF(AB153="","",IF(AB153&gt;=0.5+Config!$B$6,"OVER",IF(AC153&gt;=0.5+Config!$B$6,"UNDER","—")))</f>
        <v>OVER</v>
      </c>
      <c r="AE153" s="18">
        <f t="shared" si="7"/>
        <v>1.004341634</v>
      </c>
    </row>
    <row r="154" ht="15.75" customHeight="1">
      <c r="A154" s="4" t="s">
        <v>86</v>
      </c>
      <c r="B154" s="4" t="s">
        <v>993</v>
      </c>
      <c r="C154" s="4" t="s">
        <v>1418</v>
      </c>
      <c r="D154" s="4" t="s">
        <v>1013</v>
      </c>
      <c r="E154" s="4" t="s">
        <v>2882</v>
      </c>
      <c r="F154" s="4">
        <v>14.5</v>
      </c>
      <c r="G154" s="12">
        <f t="array" ref="G154">IFERROR(INDEX(CHOOSE(MATCH($X154,{"K1","K2","K3","K12","K13","H1","H2","H3","H12","H13"},0),Calc!$V$2:$V$157,Calc!$AC$2:$AC$157,Calc!$AJ$2:$AJ$157,Calc!$AL$2:$AL$157,Calc!$AM$2:$AM$157,Calc!$W$2:$W$157,Calc!$AD$2:$AD$157,Calc!$AK$2:$AK$157,Calc!$AN$2:$AN$157,Calc!$AO$2:$AO$157),MATCH($W154,Calc!$A$2:$A$157,0)),"")</f>
        <v>15.46208333</v>
      </c>
      <c r="H154" s="12">
        <f t="array" ref="H154">IF(G154="","",IF(LEFT($X154,1)="H",SQRT(G154*(IFERROR(INDEX(Calc!$AP$2:$AP$157,MATCH($W154,Calc!$A$2:$A$157,0)),0.5)*Config!$B$5+1-IFERROR(INDEX(Calc!$AP$2:$AP$157,MATCH($W154,Calc!$A$2:$A$157,0)),0.5))),SQRT(G154*Config!$B$5)))</f>
        <v>4.652624707</v>
      </c>
      <c r="I154" s="11">
        <f t="shared" si="1"/>
        <v>0.581910303</v>
      </c>
      <c r="J154" s="11">
        <f t="shared" si="2"/>
        <v>0.418089697</v>
      </c>
      <c r="K154" s="11">
        <f t="shared" si="3"/>
        <v>0</v>
      </c>
      <c r="L154" s="4" t="str">
        <f>IF(I154="","",IF(I154&gt;=0.5+Config!$B$6,"OVER",IF(J154&gt;=0.5+Config!$B$6,"UNDER","—")))</f>
        <v>OVER</v>
      </c>
      <c r="N154" s="4">
        <v>16.0</v>
      </c>
      <c r="O154" s="11">
        <v>0.8</v>
      </c>
      <c r="P154" s="11">
        <v>0.7</v>
      </c>
      <c r="Q154" s="11">
        <v>0.67</v>
      </c>
      <c r="R154" s="4" t="s">
        <v>1158</v>
      </c>
      <c r="S154" s="4">
        <v>1.0</v>
      </c>
      <c r="T154" s="4" t="str">
        <f t="array" ref="T154">INDEX(Calc!$G$2:$G$157,MATCH($W154,Calc!$A$2:$A$157,0))</f>
        <v>Nuke</v>
      </c>
      <c r="U154" s="4" t="str">
        <f t="array" ref="U154">TEXT(INDEX(Calc!$J$2:$J$157,MATCH($W154,Calc!$A$2:$A$157,0)),"0.0")</f>
        <v>21.5</v>
      </c>
      <c r="V154" s="4" t="str">
        <f t="array" ref="V154">IFERROR(INDEX(Calc!$AQ$2:$AQ$157,MATCH($W154,Calc!$A$2:$A$157,0)),"")</f>
        <v/>
      </c>
      <c r="W154" s="4" t="s">
        <v>3206</v>
      </c>
      <c r="X154" s="4" t="s">
        <v>3202</v>
      </c>
      <c r="Y154" s="4" t="str">
        <f t="shared" si="4"/>
        <v>rw16g75bm7idm2e|CS2 · HAVU vs RGG|K1</v>
      </c>
      <c r="Z154" s="12">
        <f t="array" ref="Z154">IFERROR(INDEX(CHOOSE(MATCH($X154,{"K1","K2","K3","K12","K13","H1","H2","H3","H12","H13"},0),Calc!$BA$2:$BA$157,Calc!$BB$2:$BB$157,Calc!$BC$2:$BC$157,Calc!$BD$2:$BD$157,Calc!$BE$2:$BE$157,Calc!$BF$2:$BF$157,Calc!$BG$2:$BG$157,Calc!$BH$2:$BH$157,Calc!$BI$2:$BI$157,Calc!$BJ$2:$BJ$157),MATCH($W154,Calc!$A$2:$A$157,0)),"")</f>
        <v>15.52921405</v>
      </c>
      <c r="AA154" s="12">
        <f t="array" ref="AA154">IF(Z154="","",IF(LEFT($X154,1)="H",SQRT(Z154*(IFERROR(INDEX(Calc!$AP$2:$AP$157,MATCH($W154,Calc!$A$2:$A$157,0)),0.5)*Config!$B$5+1-IFERROR(INDEX(Calc!$AP$2:$AP$157,MATCH($W154,Calc!$A$2:$A$157,0)),0.5))),SQRT(Z154*Config!$B$5)))</f>
        <v>4.662713766</v>
      </c>
      <c r="AB154" s="11">
        <f t="shared" si="5"/>
        <v>0.5873497698</v>
      </c>
      <c r="AC154" s="11">
        <f t="shared" si="6"/>
        <v>0.4126502302</v>
      </c>
      <c r="AD154" s="4" t="str">
        <f>IF(AB154="","",IF(AB154&gt;=0.5+Config!$B$6,"OVER",IF(AC154&gt;=0.5+Config!$B$6,"UNDER","—")))</f>
        <v>OVER</v>
      </c>
      <c r="AE154" s="18">
        <f t="shared" si="7"/>
        <v>1.004341634</v>
      </c>
    </row>
    <row r="155" ht="15.75" customHeight="1">
      <c r="A155" s="4" t="s">
        <v>86</v>
      </c>
      <c r="B155" s="4" t="s">
        <v>1152</v>
      </c>
      <c r="C155" s="4" t="s">
        <v>1473</v>
      </c>
      <c r="D155" s="4" t="s">
        <v>1156</v>
      </c>
      <c r="E155" s="4" t="s">
        <v>370</v>
      </c>
      <c r="F155" s="4">
        <v>10.5</v>
      </c>
      <c r="G155" s="12">
        <f t="array" ref="G155">IFERROR(INDEX(CHOOSE(MATCH($X155,{"K1","K2","K3","K12","K13","H1","H2","H3","H12","H13"},0),Calc!$V$2:$V$157,Calc!$AC$2:$AC$157,Calc!$AJ$2:$AJ$157,Calc!$AL$2:$AL$157,Calc!$AM$2:$AM$157,Calc!$W$2:$W$157,Calc!$AD$2:$AD$157,Calc!$AK$2:$AK$157,Calc!$AN$2:$AN$157,Calc!$AO$2:$AO$157),MATCH($W155,Calc!$A$2:$A$157,0)),"")</f>
        <v>9.706036161</v>
      </c>
      <c r="H155" s="12">
        <f t="array" ref="H155">IF(G155="","",IF(LEFT($X155,1)="H",SQRT(G155*(IFERROR(INDEX(Calc!$AP$2:$AP$157,MATCH($W155,Calc!$A$2:$A$157,0)),0.5)*Config!$B$5+1-IFERROR(INDEX(Calc!$AP$2:$AP$157,MATCH($W155,Calc!$A$2:$A$157,0)),0.5))),SQRT(G155*Config!$B$5)))</f>
        <v>3.304066732</v>
      </c>
      <c r="I155" s="11">
        <f t="shared" si="1"/>
        <v>0.405049246</v>
      </c>
      <c r="J155" s="11">
        <f t="shared" si="2"/>
        <v>0.594950754</v>
      </c>
      <c r="K155" s="11">
        <f t="shared" si="3"/>
        <v>0</v>
      </c>
      <c r="L155" s="4" t="str">
        <f>IF(I155="","",IF(I155&gt;=0.5+Config!$B$6,"OVER",IF(J155&gt;=0.5+Config!$B$6,"UNDER","—")))</f>
        <v>UNDER</v>
      </c>
      <c r="N155" s="4">
        <v>9.3</v>
      </c>
      <c r="O155" s="11">
        <v>0.4</v>
      </c>
      <c r="P155" s="11">
        <v>0.4</v>
      </c>
      <c r="Q155" s="11">
        <v>0.33</v>
      </c>
      <c r="R155" s="4" t="s">
        <v>3207</v>
      </c>
      <c r="S155" s="4">
        <v>-1.0</v>
      </c>
      <c r="T155" s="4" t="str">
        <f t="array" ref="T155">INDEX(Calc!$G$2:$G$157,MATCH($W155,Calc!$A$2:$A$157,0))&amp;" / "&amp;INDEX(Calc!$H$2:$H$157,MATCH($W155,Calc!$A$2:$A$157,0))</f>
        <v>Inferno / Ancient</v>
      </c>
      <c r="U155" s="4" t="str">
        <f t="array" ref="U155">TEXT(INDEX(Calc!$J$2:$J$157,MATCH($W155,Calc!$A$2:$A$157,0)),"0.0")&amp;" / "&amp;TEXT(INDEX(Calc!$K$2:$K$157,MATCH($W155,Calc!$A$2:$A$157,0)),"0.0")</f>
        <v>21.5 / 21.4</v>
      </c>
      <c r="V155" s="4" t="str">
        <f t="array" ref="V155">IFERROR(INDEX(Calc!$AQ$2:$AQ$157,MATCH($W155,Calc!$A$2:$A$157,0)),"")</f>
        <v/>
      </c>
      <c r="W155" s="4" t="s">
        <v>3208</v>
      </c>
      <c r="X155" s="4" t="s">
        <v>634</v>
      </c>
      <c r="Y155" s="4" t="str">
        <f t="shared" si="4"/>
        <v>kqp0u5nsn54l8f7|CS2 · NEM vs NTR|H12</v>
      </c>
      <c r="Z155" s="12">
        <f t="array" ref="Z155">IFERROR(INDEX(CHOOSE(MATCH($X155,{"K1","K2","K3","K12","K13","H1","H2","H3","H12","H13"},0),Calc!$BA$2:$BA$157,Calc!$BB$2:$BB$157,Calc!$BC$2:$BC$157,Calc!$BD$2:$BD$157,Calc!$BE$2:$BE$157,Calc!$BF$2:$BF$157,Calc!$BG$2:$BG$157,Calc!$BH$2:$BH$157,Calc!$BI$2:$BI$157,Calc!$BJ$2:$BJ$157),MATCH($W155,Calc!$A$2:$A$157,0)),"")</f>
        <v>9.622433617</v>
      </c>
      <c r="AA155" s="12">
        <f t="array" ref="AA155">IF(Z155="","",IF(LEFT($X155,1)="H",SQRT(Z155*(IFERROR(INDEX(Calc!$AP$2:$AP$157,MATCH($W155,Calc!$A$2:$A$157,0)),0.5)*Config!$B$5+1-IFERROR(INDEX(Calc!$AP$2:$AP$157,MATCH($W155,Calc!$A$2:$A$157,0)),0.5))),SQRT(Z155*Config!$B$5)))</f>
        <v>3.289806236</v>
      </c>
      <c r="AB155" s="11">
        <f t="shared" si="5"/>
        <v>0.39482959</v>
      </c>
      <c r="AC155" s="11">
        <f t="shared" si="6"/>
        <v>0.60517041</v>
      </c>
      <c r="AD155" s="4" t="str">
        <f>IF(AB155="","",IF(AB155&gt;=0.5+Config!$B$6,"OVER",IF(AC155&gt;=0.5+Config!$B$6,"UNDER","—")))</f>
        <v>UNDER</v>
      </c>
      <c r="AE155" s="18">
        <f t="shared" si="7"/>
        <v>0.9913865411</v>
      </c>
    </row>
    <row r="156" ht="15.75" customHeight="1">
      <c r="A156" s="4" t="s">
        <v>86</v>
      </c>
      <c r="B156" s="4" t="s">
        <v>1152</v>
      </c>
      <c r="C156" s="4" t="s">
        <v>1473</v>
      </c>
      <c r="D156" s="4" t="s">
        <v>1156</v>
      </c>
      <c r="E156" s="4" t="s">
        <v>772</v>
      </c>
      <c r="F156" s="4">
        <v>30.5</v>
      </c>
      <c r="G156" s="12">
        <f t="array" ref="G156">IFERROR(INDEX(CHOOSE(MATCH($X156,{"K1","K2","K3","K12","K13","H1","H2","H3","H12","H13"},0),Calc!$V$2:$V$157,Calc!$AC$2:$AC$157,Calc!$AJ$2:$AJ$157,Calc!$AL$2:$AL$157,Calc!$AM$2:$AM$157,Calc!$W$2:$W$157,Calc!$AD$2:$AD$157,Calc!$AK$2:$AK$157,Calc!$AN$2:$AN$157,Calc!$AO$2:$AO$157),MATCH($W156,Calc!$A$2:$A$157,0)),"")</f>
        <v>31.12174396</v>
      </c>
      <c r="H156" s="12">
        <f t="array" ref="H156">IF(G156="","",IF(LEFT($X156,1)="H",SQRT(G156*(IFERROR(INDEX(Calc!$AP$2:$AP$157,MATCH($W156,Calc!$A$2:$A$157,0)),0.5)*Config!$B$5+1-IFERROR(INDEX(Calc!$AP$2:$AP$157,MATCH($W156,Calc!$A$2:$A$157,0)),0.5))),SQRT(G156*Config!$B$5)))</f>
        <v>6.600790978</v>
      </c>
      <c r="I156" s="11">
        <f t="shared" si="1"/>
        <v>0.5375218157</v>
      </c>
      <c r="J156" s="11">
        <f t="shared" si="2"/>
        <v>0.4624781843</v>
      </c>
      <c r="K156" s="11">
        <f t="shared" si="3"/>
        <v>0</v>
      </c>
      <c r="L156" s="4" t="str">
        <f>IF(I156="","",IF(I156&gt;=0.5+Config!$B$6,"OVER",IF(J156&gt;=0.5+Config!$B$6,"UNDER","—")))</f>
        <v>—</v>
      </c>
      <c r="N156" s="4">
        <v>28.8</v>
      </c>
      <c r="O156" s="11">
        <v>0.2</v>
      </c>
      <c r="P156" s="11">
        <v>0.2</v>
      </c>
      <c r="Q156" s="11">
        <v>0.33</v>
      </c>
      <c r="R156" s="4" t="s">
        <v>1843</v>
      </c>
      <c r="S156" s="4">
        <v>-4.0</v>
      </c>
      <c r="T156" s="4" t="str">
        <f t="array" ref="T156">INDEX(Calc!$G$2:$G$157,MATCH($W156,Calc!$A$2:$A$157,0))&amp;" / "&amp;INDEX(Calc!$H$2:$H$157,MATCH($W156,Calc!$A$2:$A$157,0))</f>
        <v>Inferno / Ancient</v>
      </c>
      <c r="U156" s="4" t="str">
        <f t="array" ref="U156">TEXT(INDEX(Calc!$J$2:$J$157,MATCH($W156,Calc!$A$2:$A$157,0)),"0.0")&amp;" / "&amp;TEXT(INDEX(Calc!$K$2:$K$157,MATCH($W156,Calc!$A$2:$A$157,0)),"0.0")</f>
        <v>21.5 / 21.4</v>
      </c>
      <c r="V156" s="4" t="str">
        <f t="array" ref="V156">IFERROR(INDEX(Calc!$AQ$2:$AQ$157,MATCH($W156,Calc!$A$2:$A$157,0)),"")</f>
        <v/>
      </c>
      <c r="W156" s="4" t="s">
        <v>3208</v>
      </c>
      <c r="X156" s="4" t="s">
        <v>926</v>
      </c>
      <c r="Y156" s="4" t="str">
        <f t="shared" si="4"/>
        <v>kqp0u5nsn54l8f7|CS2 · NEM vs NTR|K12</v>
      </c>
      <c r="Z156" s="12">
        <f t="array" ref="Z156">IFERROR(INDEX(CHOOSE(MATCH($X156,{"K1","K2","K3","K12","K13","H1","H2","H3","H12","H13"},0),Calc!$BA$2:$BA$157,Calc!$BB$2:$BB$157,Calc!$BC$2:$BC$157,Calc!$BD$2:$BD$157,Calc!$BE$2:$BE$157,Calc!$BF$2:$BF$157,Calc!$BG$2:$BG$157,Calc!$BH$2:$BH$157,Calc!$BI$2:$BI$157,Calc!$BJ$2:$BJ$157),MATCH($W156,Calc!$A$2:$A$157,0)),"")</f>
        <v>30.85950986</v>
      </c>
      <c r="AA156" s="12">
        <f t="array" ref="AA156">IF(Z156="","",IF(LEFT($X156,1)="H",SQRT(Z156*(IFERROR(INDEX(Calc!$AP$2:$AP$157,MATCH($W156,Calc!$A$2:$A$157,0)),0.5)*Config!$B$5+1-IFERROR(INDEX(Calc!$AP$2:$AP$157,MATCH($W156,Calc!$A$2:$A$157,0)),0.5))),SQRT(Z156*Config!$B$5)))</f>
        <v>6.572922775</v>
      </c>
      <c r="AB156" s="11">
        <f t="shared" si="5"/>
        <v>0.5218095067</v>
      </c>
      <c r="AC156" s="11">
        <f t="shared" si="6"/>
        <v>0.4781904933</v>
      </c>
      <c r="AD156" s="4" t="str">
        <f>IF(AB156="","",IF(AB156&gt;=0.5+Config!$B$6,"OVER",IF(AC156&gt;=0.5+Config!$B$6,"UNDER","—")))</f>
        <v>—</v>
      </c>
      <c r="AE156" s="18">
        <f t="shared" si="7"/>
        <v>0.9915739266</v>
      </c>
    </row>
    <row r="157" ht="15.75" customHeight="1">
      <c r="A157" s="4" t="s">
        <v>86</v>
      </c>
      <c r="B157" s="4" t="s">
        <v>1152</v>
      </c>
      <c r="C157" s="4" t="s">
        <v>1477</v>
      </c>
      <c r="D157" s="4" t="s">
        <v>1156</v>
      </c>
      <c r="E157" s="4" t="s">
        <v>370</v>
      </c>
      <c r="F157" s="4">
        <v>16.0</v>
      </c>
      <c r="G157" s="12">
        <f t="array" ref="G157">IFERROR(INDEX(CHOOSE(MATCH($X157,{"K1","K2","K3","K12","K13","H1","H2","H3","H12","H13"},0),Calc!$V$2:$V$157,Calc!$AC$2:$AC$157,Calc!$AJ$2:$AJ$157,Calc!$AL$2:$AL$157,Calc!$AM$2:$AM$157,Calc!$W$2:$W$157,Calc!$AD$2:$AD$157,Calc!$AK$2:$AK$157,Calc!$AN$2:$AN$157,Calc!$AO$2:$AO$157),MATCH($W157,Calc!$A$2:$A$157,0)),"")</f>
        <v>16.24958572</v>
      </c>
      <c r="H157" s="12">
        <f t="array" ref="H157">IF(G157="","",IF(LEFT($X157,1)="H",SQRT(G157*(IFERROR(INDEX(Calc!$AP$2:$AP$157,MATCH($W157,Calc!$A$2:$A$157,0)),0.5)*Config!$B$5+1-IFERROR(INDEX(Calc!$AP$2:$AP$157,MATCH($W157,Calc!$A$2:$A$157,0)),0.5))),SQRT(G157*Config!$B$5)))</f>
        <v>4.436493619</v>
      </c>
      <c r="I157" s="11">
        <f t="shared" si="1"/>
        <v>0.477493978</v>
      </c>
      <c r="J157" s="11">
        <f t="shared" si="2"/>
        <v>0.4329144282</v>
      </c>
      <c r="K157" s="11">
        <f t="shared" si="3"/>
        <v>0.08959159375</v>
      </c>
      <c r="L157" s="4" t="str">
        <f>IF(I157="","",IF(I157&gt;=0.5+Config!$B$6,"OVER",IF(J157&gt;=0.5+Config!$B$6,"UNDER","—")))</f>
        <v>—</v>
      </c>
      <c r="N157" s="4">
        <v>14.2</v>
      </c>
      <c r="O157" s="11">
        <v>0.4</v>
      </c>
      <c r="P157" s="11">
        <v>0.3</v>
      </c>
      <c r="Q157" s="11">
        <v>0.53</v>
      </c>
      <c r="R157" s="4" t="s">
        <v>2488</v>
      </c>
      <c r="S157" s="4">
        <v>-3.0</v>
      </c>
      <c r="T157" s="4" t="str">
        <f t="array" ref="T157">INDEX(Calc!$G$2:$G$157,MATCH($W157,Calc!$A$2:$A$157,0))&amp;" / "&amp;INDEX(Calc!$H$2:$H$157,MATCH($W157,Calc!$A$2:$A$157,0))</f>
        <v>Inferno / Ancient</v>
      </c>
      <c r="U157" s="4" t="str">
        <f t="array" ref="U157">TEXT(INDEX(Calc!$J$2:$J$157,MATCH($W157,Calc!$A$2:$A$157,0)),"0.0")&amp;" / "&amp;TEXT(INDEX(Calc!$K$2:$K$157,MATCH($W157,Calc!$A$2:$A$157,0)),"0.0")</f>
        <v>21.5 / 21.4</v>
      </c>
      <c r="V157" s="4" t="str">
        <f t="array" ref="V157">IFERROR(INDEX(Calc!$AQ$2:$AQ$157,MATCH($W157,Calc!$A$2:$A$157,0)),"")</f>
        <v/>
      </c>
      <c r="W157" s="4" t="s">
        <v>3209</v>
      </c>
      <c r="X157" s="4" t="s">
        <v>634</v>
      </c>
      <c r="Y157" s="4" t="str">
        <f t="shared" si="4"/>
        <v>1fsggyr6b6hmnv1|CS2 · NEM vs NTR|H12</v>
      </c>
      <c r="Z157" s="12">
        <f t="array" ref="Z157">IFERROR(INDEX(CHOOSE(MATCH($X157,{"K1","K2","K3","K12","K13","H1","H2","H3","H12","H13"},0),Calc!$BA$2:$BA$157,Calc!$BB$2:$BB$157,Calc!$BC$2:$BC$157,Calc!$BD$2:$BD$157,Calc!$BE$2:$BE$157,Calc!$BF$2:$BF$157,Calc!$BG$2:$BG$157,Calc!$BH$2:$BH$157,Calc!$BI$2:$BI$157,Calc!$BJ$2:$BJ$157),MATCH($W157,Calc!$A$2:$A$157,0)),"")</f>
        <v>16.11567116</v>
      </c>
      <c r="AA157" s="12">
        <f t="array" ref="AA157">IF(Z157="","",IF(LEFT($X157,1)="H",SQRT(Z157*(IFERROR(INDEX(Calc!$AP$2:$AP$157,MATCH($W157,Calc!$A$2:$A$157,0)),0.5)*Config!$B$5+1-IFERROR(INDEX(Calc!$AP$2:$AP$157,MATCH($W157,Calc!$A$2:$A$157,0)),0.5))),SQRT(Z157*Config!$B$5)))</f>
        <v>4.418174992</v>
      </c>
      <c r="AB157" s="11">
        <f t="shared" si="5"/>
        <v>0.4653404685</v>
      </c>
      <c r="AC157" s="11">
        <f t="shared" si="6"/>
        <v>0.4445869266</v>
      </c>
      <c r="AD157" s="4" t="str">
        <f>IF(AB157="","",IF(AB157&gt;=0.5+Config!$B$6,"OVER",IF(AC157&gt;=0.5+Config!$B$6,"UNDER","—")))</f>
        <v>—</v>
      </c>
      <c r="AE157" s="18">
        <f t="shared" si="7"/>
        <v>0.9917588941</v>
      </c>
    </row>
    <row r="158" ht="15.75" customHeight="1">
      <c r="A158" s="4" t="s">
        <v>86</v>
      </c>
      <c r="B158" s="4" t="s">
        <v>1152</v>
      </c>
      <c r="C158" s="4" t="s">
        <v>1477</v>
      </c>
      <c r="D158" s="4" t="s">
        <v>1156</v>
      </c>
      <c r="E158" s="4" t="s">
        <v>772</v>
      </c>
      <c r="F158" s="4">
        <v>30.0</v>
      </c>
      <c r="G158" s="12">
        <f t="array" ref="G158">IFERROR(INDEX(CHOOSE(MATCH($X158,{"K1","K2","K3","K12","K13","H1","H2","H3","H12","H13"},0),Calc!$V$2:$V$157,Calc!$AC$2:$AC$157,Calc!$AJ$2:$AJ$157,Calc!$AL$2:$AL$157,Calc!$AM$2:$AM$157,Calc!$W$2:$W$157,Calc!$AD$2:$AD$157,Calc!$AK$2:$AK$157,Calc!$AN$2:$AN$157,Calc!$AO$2:$AO$157),MATCH($W158,Calc!$A$2:$A$157,0)),"")</f>
        <v>30.76696813</v>
      </c>
      <c r="H158" s="12">
        <f t="array" ref="H158">IF(G158="","",IF(LEFT($X158,1)="H",SQRT(G158*(IFERROR(INDEX(Calc!$AP$2:$AP$157,MATCH($W158,Calc!$A$2:$A$157,0)),0.5)*Config!$B$5+1-IFERROR(INDEX(Calc!$AP$2:$AP$157,MATCH($W158,Calc!$A$2:$A$157,0)),0.5))),SQRT(G158*Config!$B$5)))</f>
        <v>6.56305991</v>
      </c>
      <c r="I158" s="11">
        <f t="shared" si="1"/>
        <v>0.5162234556</v>
      </c>
      <c r="J158" s="11">
        <f t="shared" si="2"/>
        <v>0.4234617298</v>
      </c>
      <c r="K158" s="11">
        <f t="shared" si="3"/>
        <v>0.06031481453</v>
      </c>
      <c r="L158" s="4" t="str">
        <f>IF(I158="","",IF(I158&gt;=0.5+Config!$B$6,"OVER",IF(J158&gt;=0.5+Config!$B$6,"UNDER","—")))</f>
        <v>—</v>
      </c>
      <c r="N158" s="4">
        <v>30.1</v>
      </c>
      <c r="O158" s="11">
        <v>0.4</v>
      </c>
      <c r="P158" s="11">
        <v>0.2</v>
      </c>
      <c r="Q158" s="11">
        <v>0.4</v>
      </c>
      <c r="R158" s="4" t="s">
        <v>2488</v>
      </c>
      <c r="S158" s="4">
        <v>-3.0</v>
      </c>
      <c r="T158" s="4" t="str">
        <f t="array" ref="T158">INDEX(Calc!$G$2:$G$157,MATCH($W158,Calc!$A$2:$A$157,0))&amp;" / "&amp;INDEX(Calc!$H$2:$H$157,MATCH($W158,Calc!$A$2:$A$157,0))</f>
        <v>Inferno / Ancient</v>
      </c>
      <c r="U158" s="4" t="str">
        <f t="array" ref="U158">TEXT(INDEX(Calc!$J$2:$J$157,MATCH($W158,Calc!$A$2:$A$157,0)),"0.0")&amp;" / "&amp;TEXT(INDEX(Calc!$K$2:$K$157,MATCH($W158,Calc!$A$2:$A$157,0)),"0.0")</f>
        <v>21.5 / 21.4</v>
      </c>
      <c r="V158" s="4" t="str">
        <f t="array" ref="V158">IFERROR(INDEX(Calc!$AQ$2:$AQ$157,MATCH($W158,Calc!$A$2:$A$157,0)),"")</f>
        <v/>
      </c>
      <c r="W158" s="4" t="s">
        <v>3209</v>
      </c>
      <c r="X158" s="4" t="s">
        <v>926</v>
      </c>
      <c r="Y158" s="4" t="str">
        <f t="shared" si="4"/>
        <v>1fsggyr6b6hmnv1|CS2 · NEM vs NTR|K12</v>
      </c>
      <c r="Z158" s="12">
        <f t="array" ref="Z158">IFERROR(INDEX(CHOOSE(MATCH($X158,{"K1","K2","K3","K12","K13","H1","H2","H3","H12","H13"},0),Calc!$BA$2:$BA$157,Calc!$BB$2:$BB$157,Calc!$BC$2:$BC$157,Calc!$BD$2:$BD$157,Calc!$BE$2:$BE$157,Calc!$BF$2:$BF$157,Calc!$BG$2:$BG$157,Calc!$BH$2:$BH$157,Calc!$BI$2:$BI$157,Calc!$BJ$2:$BJ$157),MATCH($W158,Calc!$A$2:$A$157,0)),"")</f>
        <v>30.51468978</v>
      </c>
      <c r="AA158" s="12">
        <f t="array" ref="AA158">IF(Z158="","",IF(LEFT($X158,1)="H",SQRT(Z158*(IFERROR(INDEX(Calc!$AP$2:$AP$157,MATCH($W158,Calc!$A$2:$A$157,0)),0.5)*Config!$B$5+1-IFERROR(INDEX(Calc!$AP$2:$AP$157,MATCH($W158,Calc!$A$2:$A$157,0)),0.5))),SQRT(Z158*Config!$B$5)))</f>
        <v>6.53609713</v>
      </c>
      <c r="AB158" s="11">
        <f t="shared" si="5"/>
        <v>0.5008966162</v>
      </c>
      <c r="AC158" s="11">
        <f t="shared" si="6"/>
        <v>0.4383144857</v>
      </c>
      <c r="AD158" s="4" t="str">
        <f>IF(AB158="","",IF(AB158&gt;=0.5+Config!$B$6,"OVER",IF(AC158&gt;=0.5+Config!$B$6,"UNDER","—")))</f>
        <v>—</v>
      </c>
      <c r="AE158" s="18">
        <f t="shared" si="7"/>
        <v>0.9918003507</v>
      </c>
    </row>
    <row r="159" ht="15.75" customHeight="1">
      <c r="A159" s="4" t="s">
        <v>86</v>
      </c>
      <c r="B159" s="4" t="s">
        <v>1152</v>
      </c>
      <c r="C159" s="4" t="s">
        <v>1480</v>
      </c>
      <c r="D159" s="4" t="s">
        <v>1156</v>
      </c>
      <c r="E159" s="4" t="s">
        <v>370</v>
      </c>
      <c r="F159" s="4">
        <v>16.5</v>
      </c>
      <c r="G159" s="12">
        <f t="array" ref="G159">IFERROR(INDEX(CHOOSE(MATCH($X159,{"K1","K2","K3","K12","K13","H1","H2","H3","H12","H13"},0),Calc!$V$2:$V$157,Calc!$AC$2:$AC$157,Calc!$AJ$2:$AJ$157,Calc!$AL$2:$AL$157,Calc!$AM$2:$AM$157,Calc!$W$2:$W$157,Calc!$AD$2:$AD$157,Calc!$AK$2:$AK$157,Calc!$AN$2:$AN$157,Calc!$AO$2:$AO$157),MATCH($W159,Calc!$A$2:$A$157,0)),"")</f>
        <v>14.81040102</v>
      </c>
      <c r="H159" s="12">
        <f t="array" ref="H159">IF(G159="","",IF(LEFT($X159,1)="H",SQRT(G159*(IFERROR(INDEX(Calc!$AP$2:$AP$157,MATCH($W159,Calc!$A$2:$A$157,0)),0.5)*Config!$B$5+1-IFERROR(INDEX(Calc!$AP$2:$AP$157,MATCH($W159,Calc!$A$2:$A$157,0)),0.5))),SQRT(G159*Config!$B$5)))</f>
        <v>4.231259109</v>
      </c>
      <c r="I159" s="11">
        <f t="shared" si="1"/>
        <v>0.3448311022</v>
      </c>
      <c r="J159" s="11">
        <f t="shared" si="2"/>
        <v>0.6551688978</v>
      </c>
      <c r="K159" s="11">
        <f t="shared" si="3"/>
        <v>0</v>
      </c>
      <c r="L159" s="4" t="str">
        <f>IF(I159="","",IF(I159&gt;=0.5+Config!$B$6,"OVER",IF(J159&gt;=0.5+Config!$B$6,"UNDER","—")))</f>
        <v>UNDER</v>
      </c>
      <c r="N159" s="4">
        <v>15.1</v>
      </c>
      <c r="O159" s="11">
        <v>0.2</v>
      </c>
      <c r="P159" s="11">
        <v>0.2</v>
      </c>
      <c r="Q159" s="11">
        <v>0.27</v>
      </c>
      <c r="R159" s="4" t="s">
        <v>3176</v>
      </c>
      <c r="S159" s="4">
        <v>-2.0</v>
      </c>
      <c r="T159" s="4" t="str">
        <f t="array" ref="T159">INDEX(Calc!$G$2:$G$157,MATCH($W159,Calc!$A$2:$A$157,0))&amp;" / "&amp;INDEX(Calc!$H$2:$H$157,MATCH($W159,Calc!$A$2:$A$157,0))</f>
        <v>Inferno / Ancient</v>
      </c>
      <c r="U159" s="4" t="str">
        <f t="array" ref="U159">TEXT(INDEX(Calc!$J$2:$J$157,MATCH($W159,Calc!$A$2:$A$157,0)),"0.0")&amp;" / "&amp;TEXT(INDEX(Calc!$K$2:$K$157,MATCH($W159,Calc!$A$2:$A$157,0)),"0.0")</f>
        <v>21.5 / 21.4</v>
      </c>
      <c r="V159" s="4" t="str">
        <f t="array" ref="V159">IFERROR(INDEX(Calc!$AQ$2:$AQ$157,MATCH($W159,Calc!$A$2:$A$157,0)),"")</f>
        <v/>
      </c>
      <c r="W159" s="4" t="s">
        <v>3210</v>
      </c>
      <c r="X159" s="4" t="s">
        <v>634</v>
      </c>
      <c r="Y159" s="4" t="str">
        <f t="shared" si="4"/>
        <v>3299qh2j667nhco|CS2 · NEM vs NTR|H12</v>
      </c>
      <c r="Z159" s="12">
        <f t="array" ref="Z159">IFERROR(INDEX(CHOOSE(MATCH($X159,{"K1","K2","K3","K12","K13","H1","H2","H3","H12","H13"},0),Calc!$BA$2:$BA$157,Calc!$BB$2:$BB$157,Calc!$BC$2:$BC$157,Calc!$BD$2:$BD$157,Calc!$BE$2:$BE$157,Calc!$BF$2:$BF$157,Calc!$BG$2:$BG$157,Calc!$BH$2:$BH$157,Calc!$BI$2:$BI$157,Calc!$BJ$2:$BJ$157),MATCH($W159,Calc!$A$2:$A$157,0)),"")</f>
        <v>14.68332303</v>
      </c>
      <c r="AA159" s="12">
        <f t="array" ref="AA159">IF(Z159="","",IF(LEFT($X159,1)="H",SQRT(Z159*(IFERROR(INDEX(Calc!$AP$2:$AP$157,MATCH($W159,Calc!$A$2:$A$157,0)),0.5)*Config!$B$5+1-IFERROR(INDEX(Calc!$AP$2:$AP$157,MATCH($W159,Calc!$A$2:$A$157,0)),0.5))),SQRT(Z159*Config!$B$5)))</f>
        <v>4.213067221</v>
      </c>
      <c r="AB159" s="11">
        <f t="shared" si="5"/>
        <v>0.333161271</v>
      </c>
      <c r="AC159" s="11">
        <f t="shared" si="6"/>
        <v>0.666838729</v>
      </c>
      <c r="AD159" s="4" t="str">
        <f>IF(AB159="","",IF(AB159&gt;=0.5+Config!$B$6,"OVER",IF(AC159&gt;=0.5+Config!$B$6,"UNDER","—")))</f>
        <v>UNDER</v>
      </c>
      <c r="AE159" s="18">
        <f t="shared" si="7"/>
        <v>0.9914196791</v>
      </c>
    </row>
    <row r="160" ht="15.75" customHeight="1">
      <c r="A160" s="4" t="s">
        <v>86</v>
      </c>
      <c r="B160" s="4" t="s">
        <v>1152</v>
      </c>
      <c r="C160" s="4" t="s">
        <v>1480</v>
      </c>
      <c r="D160" s="4" t="s">
        <v>1156</v>
      </c>
      <c r="E160" s="4" t="s">
        <v>772</v>
      </c>
      <c r="F160" s="4">
        <v>30.0</v>
      </c>
      <c r="G160" s="12">
        <f t="array" ref="G160">IFERROR(INDEX(CHOOSE(MATCH($X160,{"K1","K2","K3","K12","K13","H1","H2","H3","H12","H13"},0),Calc!$V$2:$V$157,Calc!$AC$2:$AC$157,Calc!$AJ$2:$AJ$157,Calc!$AL$2:$AL$157,Calc!$AM$2:$AM$157,Calc!$W$2:$W$157,Calc!$AD$2:$AD$157,Calc!$AK$2:$AK$157,Calc!$AN$2:$AN$157,Calc!$AO$2:$AO$157),MATCH($W160,Calc!$A$2:$A$157,0)),"")</f>
        <v>28.36561978</v>
      </c>
      <c r="H160" s="12">
        <f t="array" ref="H160">IF(G160="","",IF(LEFT($X160,1)="H",SQRT(G160*(IFERROR(INDEX(Calc!$AP$2:$AP$157,MATCH($W160,Calc!$A$2:$A$157,0)),0.5)*Config!$B$5+1-IFERROR(INDEX(Calc!$AP$2:$AP$157,MATCH($W160,Calc!$A$2:$A$157,0)),0.5))),SQRT(G160*Config!$B$5)))</f>
        <v>6.301735292</v>
      </c>
      <c r="I160" s="11">
        <f t="shared" si="1"/>
        <v>0.3674189179</v>
      </c>
      <c r="J160" s="11">
        <f t="shared" si="2"/>
        <v>0.5714279433</v>
      </c>
      <c r="K160" s="11">
        <f t="shared" si="3"/>
        <v>0.06115313884</v>
      </c>
      <c r="L160" s="4" t="str">
        <f>IF(I160="","",IF(I160&gt;=0.5+Config!$B$6,"OVER",IF(J160&gt;=0.5+Config!$B$6,"UNDER","—")))</f>
        <v>UNDER</v>
      </c>
      <c r="N160" s="4">
        <v>28.3</v>
      </c>
      <c r="O160" s="11">
        <v>0.4</v>
      </c>
      <c r="P160" s="11">
        <v>0.3</v>
      </c>
      <c r="Q160" s="11">
        <v>0.4</v>
      </c>
      <c r="R160" s="4" t="s">
        <v>3176</v>
      </c>
      <c r="S160" s="4">
        <v>-1.0</v>
      </c>
      <c r="T160" s="4" t="str">
        <f t="array" ref="T160">INDEX(Calc!$G$2:$G$157,MATCH($W160,Calc!$A$2:$A$157,0))&amp;" / "&amp;INDEX(Calc!$H$2:$H$157,MATCH($W160,Calc!$A$2:$A$157,0))</f>
        <v>Inferno / Ancient</v>
      </c>
      <c r="U160" s="4" t="str">
        <f t="array" ref="U160">TEXT(INDEX(Calc!$J$2:$J$157,MATCH($W160,Calc!$A$2:$A$157,0)),"0.0")&amp;" / "&amp;TEXT(INDEX(Calc!$K$2:$K$157,MATCH($W160,Calc!$A$2:$A$157,0)),"0.0")</f>
        <v>21.5 / 21.4</v>
      </c>
      <c r="V160" s="4" t="str">
        <f t="array" ref="V160">IFERROR(INDEX(Calc!$AQ$2:$AQ$157,MATCH($W160,Calc!$A$2:$A$157,0)),"")</f>
        <v/>
      </c>
      <c r="W160" s="4" t="s">
        <v>3210</v>
      </c>
      <c r="X160" s="4" t="s">
        <v>926</v>
      </c>
      <c r="Y160" s="4" t="str">
        <f t="shared" si="4"/>
        <v>3299qh2j667nhco|CS2 · NEM vs NTR|K12</v>
      </c>
      <c r="Z160" s="12">
        <f t="array" ref="Z160">IFERROR(INDEX(CHOOSE(MATCH($X160,{"K1","K2","K3","K12","K13","H1","H2","H3","H12","H13"},0),Calc!$BA$2:$BA$157,Calc!$BB$2:$BB$157,Calc!$BC$2:$BC$157,Calc!$BD$2:$BD$157,Calc!$BE$2:$BE$157,Calc!$BF$2:$BF$157,Calc!$BG$2:$BG$157,Calc!$BH$2:$BH$157,Calc!$BI$2:$BI$157,Calc!$BJ$2:$BJ$157),MATCH($W160,Calc!$A$2:$A$157,0)),"")</f>
        <v>28.12364281</v>
      </c>
      <c r="AA160" s="12">
        <f t="array" ref="AA160">IF(Z160="","",IF(LEFT($X160,1)="H",SQRT(Z160*(IFERROR(INDEX(Calc!$AP$2:$AP$157,MATCH($W160,Calc!$A$2:$A$157,0)),0.5)*Config!$B$5+1-IFERROR(INDEX(Calc!$AP$2:$AP$157,MATCH($W160,Calc!$A$2:$A$157,0)),0.5))),SQRT(Z160*Config!$B$5)))</f>
        <v>6.274798796</v>
      </c>
      <c r="AB160" s="11">
        <f t="shared" si="5"/>
        <v>0.3524499481</v>
      </c>
      <c r="AC160" s="11">
        <f t="shared" si="6"/>
        <v>0.5868100554</v>
      </c>
      <c r="AD160" s="4" t="str">
        <f>IF(AB160="","",IF(AB160&gt;=0.5+Config!$B$6,"OVER",IF(AC160&gt;=0.5+Config!$B$6,"UNDER","—")))</f>
        <v>UNDER</v>
      </c>
      <c r="AE160" s="18">
        <f t="shared" si="7"/>
        <v>0.9914693572</v>
      </c>
    </row>
    <row r="161" ht="15.75" customHeight="1">
      <c r="A161" s="4" t="s">
        <v>86</v>
      </c>
      <c r="B161" s="4" t="s">
        <v>1152</v>
      </c>
      <c r="C161" s="4" t="s">
        <v>1483</v>
      </c>
      <c r="D161" s="4" t="s">
        <v>1156</v>
      </c>
      <c r="E161" s="4" t="s">
        <v>370</v>
      </c>
      <c r="F161" s="4">
        <v>14.0</v>
      </c>
      <c r="G161" s="12">
        <f t="array" ref="G161">IFERROR(INDEX(CHOOSE(MATCH($X161,{"K1","K2","K3","K12","K13","H1","H2","H3","H12","H13"},0),Calc!$V$2:$V$157,Calc!$AC$2:$AC$157,Calc!$AJ$2:$AJ$157,Calc!$AL$2:$AL$157,Calc!$AM$2:$AM$157,Calc!$W$2:$W$157,Calc!$AD$2:$AD$157,Calc!$AK$2:$AK$157,Calc!$AN$2:$AN$157,Calc!$AO$2:$AO$157),MATCH($W161,Calc!$A$2:$A$157,0)),"")</f>
        <v>15.95619592</v>
      </c>
      <c r="H161" s="12">
        <f t="array" ref="H161">IF(G161="","",IF(LEFT($X161,1)="H",SQRT(G161*(IFERROR(INDEX(Calc!$AP$2:$AP$157,MATCH($W161,Calc!$A$2:$A$157,0)),0.5)*Config!$B$5+1-IFERROR(INDEX(Calc!$AP$2:$AP$157,MATCH($W161,Calc!$A$2:$A$157,0)),0.5))),SQRT(G161*Config!$B$5)))</f>
        <v>4.414464729</v>
      </c>
      <c r="I161" s="11">
        <f t="shared" si="1"/>
        <v>0.6292505993</v>
      </c>
      <c r="J161" s="11">
        <f t="shared" si="2"/>
        <v>0.288969668</v>
      </c>
      <c r="K161" s="11">
        <f t="shared" si="3"/>
        <v>0.08177973273</v>
      </c>
      <c r="L161" s="4" t="str">
        <f>IF(I161="","",IF(I161&gt;=0.5+Config!$B$6,"OVER",IF(J161&gt;=0.5+Config!$B$6,"UNDER","—")))</f>
        <v>OVER</v>
      </c>
      <c r="N161" s="4">
        <v>13.7</v>
      </c>
      <c r="O161" s="11">
        <v>0.6</v>
      </c>
      <c r="P161" s="11">
        <v>0.6</v>
      </c>
      <c r="Q161" s="11">
        <v>0.6</v>
      </c>
      <c r="R161" s="4" t="s">
        <v>3176</v>
      </c>
      <c r="S161" s="4">
        <v>2.0</v>
      </c>
      <c r="T161" s="4" t="str">
        <f t="array" ref="T161">INDEX(Calc!$G$2:$G$157,MATCH($W161,Calc!$A$2:$A$157,0))&amp;" / "&amp;INDEX(Calc!$H$2:$H$157,MATCH($W161,Calc!$A$2:$A$157,0))</f>
        <v>Inferno / Ancient</v>
      </c>
      <c r="U161" s="4" t="str">
        <f t="array" ref="U161">TEXT(INDEX(Calc!$J$2:$J$157,MATCH($W161,Calc!$A$2:$A$157,0)),"0.0")&amp;" / "&amp;TEXT(INDEX(Calc!$K$2:$K$157,MATCH($W161,Calc!$A$2:$A$157,0)),"0.0")</f>
        <v>21.5 / 21.4</v>
      </c>
      <c r="V161" s="4" t="str">
        <f t="array" ref="V161">IFERROR(INDEX(Calc!$AQ$2:$AQ$157,MATCH($W161,Calc!$A$2:$A$157,0)),"")</f>
        <v/>
      </c>
      <c r="W161" s="4" t="s">
        <v>3211</v>
      </c>
      <c r="X161" s="4" t="s">
        <v>634</v>
      </c>
      <c r="Y161" s="4" t="str">
        <f t="shared" si="4"/>
        <v>dk19ar0a6eahpe5|CS2 · NEM vs NTR|H12</v>
      </c>
      <c r="Z161" s="12">
        <f t="array" ref="Z161">IFERROR(INDEX(CHOOSE(MATCH($X161,{"K1","K2","K3","K12","K13","H1","H2","H3","H12","H13"},0),Calc!$BA$2:$BA$157,Calc!$BB$2:$BB$157,Calc!$BC$2:$BC$157,Calc!$BD$2:$BD$157,Calc!$BE$2:$BE$157,Calc!$BF$2:$BF$157,Calc!$BG$2:$BG$157,Calc!$BH$2:$BH$157,Calc!$BI$2:$BI$157,Calc!$BJ$2:$BJ$157),MATCH($W161,Calc!$A$2:$A$157,0)),"")</f>
        <v>15.82413398</v>
      </c>
      <c r="AA161" s="12">
        <f t="array" ref="AA161">IF(Z161="","",IF(LEFT($X161,1)="H",SQRT(Z161*(IFERROR(INDEX(Calc!$AP$2:$AP$157,MATCH($W161,Calc!$A$2:$A$157,0)),0.5)*Config!$B$5+1-IFERROR(INDEX(Calc!$AP$2:$AP$157,MATCH($W161,Calc!$A$2:$A$157,0)),0.5))),SQRT(Z161*Config!$B$5)))</f>
        <v>4.396158547</v>
      </c>
      <c r="AB161" s="11">
        <f t="shared" si="5"/>
        <v>0.6183699616</v>
      </c>
      <c r="AC161" s="11">
        <f t="shared" si="6"/>
        <v>0.2985158666</v>
      </c>
      <c r="AD161" s="4" t="str">
        <f>IF(AB161="","",IF(AB161&gt;=0.5+Config!$B$6,"OVER",IF(AC161&gt;=0.5+Config!$B$6,"UNDER","—")))</f>
        <v>OVER</v>
      </c>
      <c r="AE161" s="18">
        <f t="shared" si="7"/>
        <v>0.9917234697</v>
      </c>
    </row>
    <row r="162" ht="15.75" customHeight="1">
      <c r="A162" s="4" t="s">
        <v>86</v>
      </c>
      <c r="B162" s="4" t="s">
        <v>1152</v>
      </c>
      <c r="C162" s="4" t="s">
        <v>1483</v>
      </c>
      <c r="D162" s="4" t="s">
        <v>1156</v>
      </c>
      <c r="E162" s="4" t="s">
        <v>772</v>
      </c>
      <c r="F162" s="4">
        <v>26.5</v>
      </c>
      <c r="G162" s="12">
        <f t="array" ref="G162">IFERROR(INDEX(CHOOSE(MATCH($X162,{"K1","K2","K3","K12","K13","H1","H2","H3","H12","H13"},0),Calc!$V$2:$V$157,Calc!$AC$2:$AC$157,Calc!$AJ$2:$AJ$157,Calc!$AL$2:$AL$157,Calc!$AM$2:$AM$157,Calc!$W$2:$W$157,Calc!$AD$2:$AD$157,Calc!$AK$2:$AK$157,Calc!$AN$2:$AN$157,Calc!$AO$2:$AO$157),MATCH($W162,Calc!$A$2:$A$157,0)),"")</f>
        <v>28.83923516</v>
      </c>
      <c r="H162" s="12">
        <f t="array" ref="H162">IF(G162="","",IF(LEFT($X162,1)="H",SQRT(G162*(IFERROR(INDEX(Calc!$AP$2:$AP$157,MATCH($W162,Calc!$A$2:$A$157,0)),0.5)*Config!$B$5+1-IFERROR(INDEX(Calc!$AP$2:$AP$157,MATCH($W162,Calc!$A$2:$A$157,0)),0.5))),SQRT(G162*Config!$B$5)))</f>
        <v>6.354126945</v>
      </c>
      <c r="I162" s="11">
        <f t="shared" si="1"/>
        <v>0.6436171534</v>
      </c>
      <c r="J162" s="11">
        <f t="shared" si="2"/>
        <v>0.3563828466</v>
      </c>
      <c r="K162" s="11">
        <f t="shared" si="3"/>
        <v>0</v>
      </c>
      <c r="L162" s="4" t="str">
        <f>IF(I162="","",IF(I162&gt;=0.5+Config!$B$6,"OVER",IF(J162&gt;=0.5+Config!$B$6,"UNDER","—")))</f>
        <v>OVER</v>
      </c>
      <c r="N162" s="4">
        <v>27.9</v>
      </c>
      <c r="O162" s="11">
        <v>0.8</v>
      </c>
      <c r="P162" s="11">
        <v>0.8</v>
      </c>
      <c r="Q162" s="11">
        <v>0.73</v>
      </c>
      <c r="R162" s="4" t="s">
        <v>1787</v>
      </c>
      <c r="S162" s="4">
        <v>3.0</v>
      </c>
      <c r="T162" s="4" t="str">
        <f t="array" ref="T162">INDEX(Calc!$G$2:$G$157,MATCH($W162,Calc!$A$2:$A$157,0))&amp;" / "&amp;INDEX(Calc!$H$2:$H$157,MATCH($W162,Calc!$A$2:$A$157,0))</f>
        <v>Inferno / Ancient</v>
      </c>
      <c r="U162" s="4" t="str">
        <f t="array" ref="U162">TEXT(INDEX(Calc!$J$2:$J$157,MATCH($W162,Calc!$A$2:$A$157,0)),"0.0")&amp;" / "&amp;TEXT(INDEX(Calc!$K$2:$K$157,MATCH($W162,Calc!$A$2:$A$157,0)),"0.0")</f>
        <v>21.5 / 21.4</v>
      </c>
      <c r="V162" s="4" t="str">
        <f t="array" ref="V162">IFERROR(INDEX(Calc!$AQ$2:$AQ$157,MATCH($W162,Calc!$A$2:$A$157,0)),"")</f>
        <v/>
      </c>
      <c r="W162" s="4" t="s">
        <v>3211</v>
      </c>
      <c r="X162" s="4" t="s">
        <v>926</v>
      </c>
      <c r="Y162" s="4" t="str">
        <f t="shared" si="4"/>
        <v>dk19ar0a6eahpe5|CS2 · NEM vs NTR|K12</v>
      </c>
      <c r="Z162" s="12">
        <f t="array" ref="Z162">IFERROR(INDEX(CHOOSE(MATCH($X162,{"K1","K2","K3","K12","K13","H1","H2","H3","H12","H13"},0),Calc!$BA$2:$BA$157,Calc!$BB$2:$BB$157,Calc!$BC$2:$BC$157,Calc!$BD$2:$BD$157,Calc!$BE$2:$BE$157,Calc!$BF$2:$BF$157,Calc!$BG$2:$BG$157,Calc!$BH$2:$BH$157,Calc!$BI$2:$BI$157,Calc!$BJ$2:$BJ$157),MATCH($W162,Calc!$A$2:$A$157,0)),"")</f>
        <v>28.60196165</v>
      </c>
      <c r="AA162" s="12">
        <f t="array" ref="AA162">IF(Z162="","",IF(LEFT($X162,1)="H",SQRT(Z162*(IFERROR(INDEX(Calc!$AP$2:$AP$157,MATCH($W162,Calc!$A$2:$A$157,0)),0.5)*Config!$B$5+1-IFERROR(INDEX(Calc!$AP$2:$AP$157,MATCH($W162,Calc!$A$2:$A$157,0)),0.5))),SQRT(Z162*Config!$B$5)))</f>
        <v>6.32793381</v>
      </c>
      <c r="AB162" s="11">
        <f t="shared" si="5"/>
        <v>0.6301202606</v>
      </c>
      <c r="AC162" s="11">
        <f t="shared" si="6"/>
        <v>0.3698797394</v>
      </c>
      <c r="AD162" s="4" t="str">
        <f>IF(AB162="","",IF(AB162&gt;=0.5+Config!$B$6,"OVER",IF(AC162&gt;=0.5+Config!$B$6,"UNDER","—")))</f>
        <v>OVER</v>
      </c>
      <c r="AE162" s="18">
        <f t="shared" si="7"/>
        <v>0.9917725447</v>
      </c>
    </row>
    <row r="163" ht="15.75" customHeight="1">
      <c r="A163" s="4" t="s">
        <v>86</v>
      </c>
      <c r="B163" s="4" t="s">
        <v>1152</v>
      </c>
      <c r="C163" s="4" t="s">
        <v>1486</v>
      </c>
      <c r="D163" s="4" t="s">
        <v>1156</v>
      </c>
      <c r="E163" s="4" t="s">
        <v>370</v>
      </c>
      <c r="F163" s="4">
        <v>17.0</v>
      </c>
      <c r="G163" s="12">
        <f t="array" ref="G163">IFERROR(INDEX(CHOOSE(MATCH($X163,{"K1","K2","K3","K12","K13","H1","H2","H3","H12","H13"},0),Calc!$V$2:$V$157,Calc!$AC$2:$AC$157,Calc!$AJ$2:$AJ$157,Calc!$AL$2:$AL$157,Calc!$AM$2:$AM$157,Calc!$W$2:$W$157,Calc!$AD$2:$AD$157,Calc!$AK$2:$AK$157,Calc!$AN$2:$AN$157,Calc!$AO$2:$AO$157),MATCH($W163,Calc!$A$2:$A$157,0)),"")</f>
        <v>17.0809298</v>
      </c>
      <c r="H163" s="12">
        <f t="array" ref="H163">IF(G163="","",IF(LEFT($X163,1)="H",SQRT(G163*(IFERROR(INDEX(Calc!$AP$2:$AP$157,MATCH($W163,Calc!$A$2:$A$157,0)),0.5)*Config!$B$5+1-IFERROR(INDEX(Calc!$AP$2:$AP$157,MATCH($W163,Calc!$A$2:$A$157,0)),0.5))),SQRT(G163*Config!$B$5)))</f>
        <v>4.567301827</v>
      </c>
      <c r="I163" s="11">
        <f t="shared" si="1"/>
        <v>0.4634465734</v>
      </c>
      <c r="J163" s="11">
        <f t="shared" si="2"/>
        <v>0.4493937379</v>
      </c>
      <c r="K163" s="11">
        <f t="shared" si="3"/>
        <v>0.08715968869</v>
      </c>
      <c r="L163" s="4" t="str">
        <f>IF(I163="","",IF(I163&gt;=0.5+Config!$B$6,"OVER",IF(J163&gt;=0.5+Config!$B$6,"UNDER","—")))</f>
        <v>—</v>
      </c>
      <c r="N163" s="4">
        <v>15.9</v>
      </c>
      <c r="O163" s="11">
        <v>0.4</v>
      </c>
      <c r="P163" s="11">
        <v>0.4</v>
      </c>
      <c r="Q163" s="11">
        <v>0.47</v>
      </c>
      <c r="R163" s="4" t="s">
        <v>3163</v>
      </c>
      <c r="S163" s="4">
        <v>-3.0</v>
      </c>
      <c r="T163" s="4" t="str">
        <f t="array" ref="T163">INDEX(Calc!$G$2:$G$157,MATCH($W163,Calc!$A$2:$A$157,0))&amp;" / "&amp;INDEX(Calc!$H$2:$H$157,MATCH($W163,Calc!$A$2:$A$157,0))</f>
        <v>Inferno / Ancient</v>
      </c>
      <c r="U163" s="4" t="str">
        <f t="array" ref="U163">TEXT(INDEX(Calc!$J$2:$J$157,MATCH($W163,Calc!$A$2:$A$157,0)),"0.0")&amp;" / "&amp;TEXT(INDEX(Calc!$K$2:$K$157,MATCH($W163,Calc!$A$2:$A$157,0)),"0.0")</f>
        <v>21.5 / 21.4</v>
      </c>
      <c r="V163" s="4" t="str">
        <f t="array" ref="V163">IFERROR(INDEX(Calc!$AQ$2:$AQ$157,MATCH($W163,Calc!$A$2:$A$157,0)),"")</f>
        <v/>
      </c>
      <c r="W163" s="4" t="s">
        <v>3212</v>
      </c>
      <c r="X163" s="4" t="s">
        <v>634</v>
      </c>
      <c r="Y163" s="4" t="str">
        <f t="shared" si="4"/>
        <v>6qaa2ur392xj7at|CS2 · NEM vs NTR|H12</v>
      </c>
      <c r="Z163" s="12">
        <f t="array" ref="Z163">IFERROR(INDEX(CHOOSE(MATCH($X163,{"K1","K2","K3","K12","K13","H1","H2","H3","H12","H13"},0),Calc!$BA$2:$BA$157,Calc!$BB$2:$BB$157,Calc!$BC$2:$BC$157,Calc!$BD$2:$BD$157,Calc!$BE$2:$BE$157,Calc!$BF$2:$BF$157,Calc!$BG$2:$BG$157,Calc!$BH$2:$BH$157,Calc!$BI$2:$BI$157,Calc!$BJ$2:$BJ$157),MATCH($W163,Calc!$A$2:$A$157,0)),"")</f>
        <v>16.92847584</v>
      </c>
      <c r="AA163" s="12">
        <f t="array" ref="AA163">IF(Z163="","",IF(LEFT($X163,1)="H",SQRT(Z163*(IFERROR(INDEX(Calc!$AP$2:$AP$157,MATCH($W163,Calc!$A$2:$A$157,0)),0.5)*Config!$B$5+1-IFERROR(INDEX(Calc!$AP$2:$AP$157,MATCH($W163,Calc!$A$2:$A$157,0)),0.5))),SQRT(Z163*Config!$B$5)))</f>
        <v>4.546873668</v>
      </c>
      <c r="AB163" s="11">
        <f t="shared" si="5"/>
        <v>0.449986256</v>
      </c>
      <c r="AC163" s="11">
        <f t="shared" si="6"/>
        <v>0.4624611361</v>
      </c>
      <c r="AD163" s="4" t="str">
        <f>IF(AB163="","",IF(AB163&gt;=0.5+Config!$B$6,"OVER",IF(AC163&gt;=0.5+Config!$B$6,"UNDER","—")))</f>
        <v>—</v>
      </c>
      <c r="AE163" s="18">
        <f t="shared" si="7"/>
        <v>0.9910746102</v>
      </c>
    </row>
    <row r="164" ht="15.75" customHeight="1">
      <c r="A164" s="4" t="s">
        <v>86</v>
      </c>
      <c r="B164" s="4" t="s">
        <v>1152</v>
      </c>
      <c r="C164" s="4" t="s">
        <v>1486</v>
      </c>
      <c r="D164" s="4" t="s">
        <v>1156</v>
      </c>
      <c r="E164" s="4" t="s">
        <v>772</v>
      </c>
      <c r="F164" s="4">
        <v>29.5</v>
      </c>
      <c r="G164" s="12">
        <f t="array" ref="G164">IFERROR(INDEX(CHOOSE(MATCH($X164,{"K1","K2","K3","K12","K13","H1","H2","H3","H12","H13"},0),Calc!$V$2:$V$157,Calc!$AC$2:$AC$157,Calc!$AJ$2:$AJ$157,Calc!$AL$2:$AL$157,Calc!$AM$2:$AM$157,Calc!$W$2:$W$157,Calc!$AD$2:$AD$157,Calc!$AK$2:$AK$157,Calc!$AN$2:$AN$157,Calc!$AO$2:$AO$157),MATCH($W164,Calc!$A$2:$A$157,0)),"")</f>
        <v>30.87946593</v>
      </c>
      <c r="H164" s="12">
        <f t="array" ref="H164">IF(G164="","",IF(LEFT($X164,1)="H",SQRT(G164*(IFERROR(INDEX(Calc!$AP$2:$AP$157,MATCH($W164,Calc!$A$2:$A$157,0)),0.5)*Config!$B$5+1-IFERROR(INDEX(Calc!$AP$2:$AP$157,MATCH($W164,Calc!$A$2:$A$157,0)),0.5))),SQRT(G164*Config!$B$5)))</f>
        <v>6.575047704</v>
      </c>
      <c r="I164" s="11">
        <f t="shared" si="1"/>
        <v>0.5830893555</v>
      </c>
      <c r="J164" s="11">
        <f t="shared" si="2"/>
        <v>0.4169106445</v>
      </c>
      <c r="K164" s="11">
        <f t="shared" si="3"/>
        <v>0</v>
      </c>
      <c r="L164" s="4" t="str">
        <f>IF(I164="","",IF(I164&gt;=0.5+Config!$B$6,"OVER",IF(J164&gt;=0.5+Config!$B$6,"UNDER","—")))</f>
        <v>OVER</v>
      </c>
      <c r="N164" s="4">
        <v>28.3</v>
      </c>
      <c r="O164" s="11">
        <v>0.2</v>
      </c>
      <c r="P164" s="11">
        <v>0.2</v>
      </c>
      <c r="Q164" s="11">
        <v>0.33</v>
      </c>
      <c r="R164" s="4" t="s">
        <v>3163</v>
      </c>
      <c r="S164" s="4">
        <v>-4.0</v>
      </c>
      <c r="T164" s="4" t="str">
        <f t="array" ref="T164">INDEX(Calc!$G$2:$G$157,MATCH($W164,Calc!$A$2:$A$157,0))&amp;" / "&amp;INDEX(Calc!$H$2:$H$157,MATCH($W164,Calc!$A$2:$A$157,0))</f>
        <v>Inferno / Ancient</v>
      </c>
      <c r="U164" s="4" t="str">
        <f t="array" ref="U164">TEXT(INDEX(Calc!$J$2:$J$157,MATCH($W164,Calc!$A$2:$A$157,0)),"0.0")&amp;" / "&amp;TEXT(INDEX(Calc!$K$2:$K$157,MATCH($W164,Calc!$A$2:$A$157,0)),"0.0")</f>
        <v>21.5 / 21.4</v>
      </c>
      <c r="V164" s="4" t="str">
        <f t="array" ref="V164">IFERROR(INDEX(Calc!$AQ$2:$AQ$157,MATCH($W164,Calc!$A$2:$A$157,0)),"")</f>
        <v/>
      </c>
      <c r="W164" s="4" t="s">
        <v>3212</v>
      </c>
      <c r="X164" s="4" t="s">
        <v>926</v>
      </c>
      <c r="Y164" s="4" t="str">
        <f t="shared" si="4"/>
        <v>6qaa2ur392xj7at|CS2 · NEM vs NTR|K12</v>
      </c>
      <c r="Z164" s="12">
        <f t="array" ref="Z164">IFERROR(INDEX(CHOOSE(MATCH($X164,{"K1","K2","K3","K12","K13","H1","H2","H3","H12","H13"},0),Calc!$BA$2:$BA$157,Calc!$BB$2:$BB$157,Calc!$BC$2:$BC$157,Calc!$BD$2:$BD$157,Calc!$BE$2:$BE$157,Calc!$BF$2:$BF$157,Calc!$BG$2:$BG$157,Calc!$BH$2:$BH$157,Calc!$BI$2:$BI$157,Calc!$BJ$2:$BJ$157),MATCH($W164,Calc!$A$2:$A$157,0)),"")</f>
        <v>30.60314174</v>
      </c>
      <c r="AA164" s="12">
        <f t="array" ref="AA164">IF(Z164="","",IF(LEFT($X164,1)="H",SQRT(Z164*(IFERROR(INDEX(Calc!$AP$2:$AP$157,MATCH($W164,Calc!$A$2:$A$157,0)),0.5)*Config!$B$5+1-IFERROR(INDEX(Calc!$AP$2:$AP$157,MATCH($W164,Calc!$A$2:$A$157,0)),0.5))),SQRT(Z164*Config!$B$5)))</f>
        <v>6.545563264</v>
      </c>
      <c r="AB164" s="11">
        <f t="shared" si="5"/>
        <v>0.5669179074</v>
      </c>
      <c r="AC164" s="11">
        <f t="shared" si="6"/>
        <v>0.4330820926</v>
      </c>
      <c r="AD164" s="4" t="str">
        <f>IF(AB164="","",IF(AB164&gt;=0.5+Config!$B$6,"OVER",IF(AC164&gt;=0.5+Config!$B$6,"UNDER","—")))</f>
        <v>OVER</v>
      </c>
      <c r="AE164" s="18">
        <f t="shared" si="7"/>
        <v>0.991051523</v>
      </c>
    </row>
    <row r="165" ht="15.75" customHeight="1">
      <c r="A165" s="4" t="s">
        <v>86</v>
      </c>
      <c r="B165" s="4" t="s">
        <v>1152</v>
      </c>
      <c r="C165" s="4" t="s">
        <v>1505</v>
      </c>
      <c r="D165" s="4" t="s">
        <v>1157</v>
      </c>
      <c r="E165" s="4" t="s">
        <v>370</v>
      </c>
      <c r="F165" s="4">
        <v>16.5</v>
      </c>
      <c r="G165" s="12">
        <f t="array" ref="G165">IFERROR(INDEX(CHOOSE(MATCH($X165,{"K1","K2","K3","K12","K13","H1","H2","H3","H12","H13"},0),Calc!$V$2:$V$157,Calc!$AC$2:$AC$157,Calc!$AJ$2:$AJ$157,Calc!$AL$2:$AL$157,Calc!$AM$2:$AM$157,Calc!$W$2:$W$157,Calc!$AD$2:$AD$157,Calc!$AK$2:$AK$157,Calc!$AN$2:$AN$157,Calc!$AO$2:$AO$157),MATCH($W165,Calc!$A$2:$A$157,0)),"")</f>
        <v>18.04451314</v>
      </c>
      <c r="H165" s="12">
        <f t="array" ref="H165">IF(G165="","",IF(LEFT($X165,1)="H",SQRT(G165*(IFERROR(INDEX(Calc!$AP$2:$AP$157,MATCH($W165,Calc!$A$2:$A$157,0)),0.5)*Config!$B$5+1-IFERROR(INDEX(Calc!$AP$2:$AP$157,MATCH($W165,Calc!$A$2:$A$157,0)),0.5))),SQRT(G165*Config!$B$5)))</f>
        <v>4.709563648</v>
      </c>
      <c r="I165" s="11">
        <f t="shared" si="1"/>
        <v>0.6285262083</v>
      </c>
      <c r="J165" s="11">
        <f t="shared" si="2"/>
        <v>0.3714737917</v>
      </c>
      <c r="K165" s="11">
        <f t="shared" si="3"/>
        <v>0</v>
      </c>
      <c r="L165" s="4" t="str">
        <f>IF(I165="","",IF(I165&gt;=0.5+Config!$B$6,"OVER",IF(J165&gt;=0.5+Config!$B$6,"UNDER","—")))</f>
        <v>OVER</v>
      </c>
      <c r="N165" s="4">
        <v>16.0</v>
      </c>
      <c r="O165" s="11">
        <v>0.2</v>
      </c>
      <c r="P165" s="11">
        <v>0.4</v>
      </c>
      <c r="Q165" s="11">
        <v>0.4</v>
      </c>
      <c r="R165" s="4" t="s">
        <v>3176</v>
      </c>
      <c r="S165" s="4">
        <v>1.0</v>
      </c>
      <c r="T165" s="4" t="str">
        <f t="array" ref="T165">INDEX(Calc!$G$2:$G$157,MATCH($W165,Calc!$A$2:$A$157,0))&amp;" / "&amp;INDEX(Calc!$H$2:$H$157,MATCH($W165,Calc!$A$2:$A$157,0))</f>
        <v>Inferno / Ancient</v>
      </c>
      <c r="U165" s="4" t="str">
        <f t="array" ref="U165">TEXT(INDEX(Calc!$J$2:$J$157,MATCH($W165,Calc!$A$2:$A$157,0)),"0.0")&amp;" / "&amp;TEXT(INDEX(Calc!$K$2:$K$157,MATCH($W165,Calc!$A$2:$A$157,0)),"0.0")</f>
        <v>21.5 / 21.4</v>
      </c>
      <c r="V165" s="4" t="str">
        <f t="array" ref="V165">IFERROR(INDEX(Calc!$AQ$2:$AQ$157,MATCH($W165,Calc!$A$2:$A$157,0)),"")</f>
        <v/>
      </c>
      <c r="W165" s="4" t="s">
        <v>3213</v>
      </c>
      <c r="X165" s="4" t="s">
        <v>634</v>
      </c>
      <c r="Y165" s="4" t="str">
        <f t="shared" si="4"/>
        <v>6wz925o5ae22g8t|CS2 · NEM vs NTR|H12</v>
      </c>
      <c r="Z165" s="12">
        <f t="array" ref="Z165">IFERROR(INDEX(CHOOSE(MATCH($X165,{"K1","K2","K3","K12","K13","H1","H2","H3","H12","H13"},0),Calc!$BA$2:$BA$157,Calc!$BB$2:$BB$157,Calc!$BC$2:$BC$157,Calc!$BD$2:$BD$157,Calc!$BE$2:$BE$157,Calc!$BF$2:$BF$157,Calc!$BG$2:$BG$157,Calc!$BH$2:$BH$157,Calc!$BI$2:$BI$157,Calc!$BJ$2:$BJ$157),MATCH($W165,Calc!$A$2:$A$157,0)),"")</f>
        <v>17.56079933</v>
      </c>
      <c r="AA165" s="12">
        <f t="array" ref="AA165">IF(Z165="","",IF(LEFT($X165,1)="H",SQRT(Z165*(IFERROR(INDEX(Calc!$AP$2:$AP$157,MATCH($W165,Calc!$A$2:$A$157,0)),0.5)*Config!$B$5+1-IFERROR(INDEX(Calc!$AP$2:$AP$157,MATCH($W165,Calc!$A$2:$A$157,0)),0.5))),SQRT(Z165*Config!$B$5)))</f>
        <v>4.646010921</v>
      </c>
      <c r="AB165" s="11">
        <f t="shared" si="5"/>
        <v>0.5903031114</v>
      </c>
      <c r="AC165" s="11">
        <f t="shared" si="6"/>
        <v>0.4096968886</v>
      </c>
      <c r="AD165" s="4" t="str">
        <f>IF(AB165="","",IF(AB165&gt;=0.5+Config!$B$6,"OVER",IF(AC165&gt;=0.5+Config!$B$6,"UNDER","—")))</f>
        <v>OVER</v>
      </c>
      <c r="AE165" s="18">
        <f t="shared" si="7"/>
        <v>0.9731933024</v>
      </c>
    </row>
    <row r="166" ht="15.75" customHeight="1">
      <c r="A166" s="4" t="s">
        <v>86</v>
      </c>
      <c r="B166" s="4" t="s">
        <v>1152</v>
      </c>
      <c r="C166" s="4" t="s">
        <v>1505</v>
      </c>
      <c r="D166" s="4" t="s">
        <v>1157</v>
      </c>
      <c r="E166" s="4" t="s">
        <v>772</v>
      </c>
      <c r="F166" s="4">
        <v>28.5</v>
      </c>
      <c r="G166" s="12">
        <f t="array" ref="G166">IFERROR(INDEX(CHOOSE(MATCH($X166,{"K1","K2","K3","K12","K13","H1","H2","H3","H12","H13"},0),Calc!$V$2:$V$157,Calc!$AC$2:$AC$157,Calc!$AJ$2:$AJ$157,Calc!$AL$2:$AL$157,Calc!$AM$2:$AM$157,Calc!$W$2:$W$157,Calc!$AD$2:$AD$157,Calc!$AK$2:$AK$157,Calc!$AN$2:$AN$157,Calc!$AO$2:$AO$157),MATCH($W166,Calc!$A$2:$A$157,0)),"")</f>
        <v>31.49377778</v>
      </c>
      <c r="H166" s="12">
        <f t="array" ref="H166">IF(G166="","",IF(LEFT($X166,1)="H",SQRT(G166*(IFERROR(INDEX(Calc!$AP$2:$AP$157,MATCH($W166,Calc!$A$2:$A$157,0)),0.5)*Config!$B$5+1-IFERROR(INDEX(Calc!$AP$2:$AP$157,MATCH($W166,Calc!$A$2:$A$157,0)),0.5))),SQRT(G166*Config!$B$5)))</f>
        <v>6.640127174</v>
      </c>
      <c r="I166" s="11">
        <f t="shared" si="1"/>
        <v>0.6739553178</v>
      </c>
      <c r="J166" s="11">
        <f t="shared" si="2"/>
        <v>0.3260446822</v>
      </c>
      <c r="K166" s="11">
        <f t="shared" si="3"/>
        <v>0</v>
      </c>
      <c r="L166" s="4" t="str">
        <f>IF(I166="","",IF(I166&gt;=0.5+Config!$B$6,"OVER",IF(J166&gt;=0.5+Config!$B$6,"UNDER","—")))</f>
        <v>OVER</v>
      </c>
      <c r="N166" s="4">
        <v>28.1</v>
      </c>
      <c r="O166" s="11">
        <v>0.4</v>
      </c>
      <c r="P166" s="11">
        <v>0.4</v>
      </c>
      <c r="Q166" s="11">
        <v>0.47</v>
      </c>
      <c r="R166" s="4" t="s">
        <v>3214</v>
      </c>
      <c r="S166" s="4">
        <v>-1.0</v>
      </c>
      <c r="T166" s="4" t="str">
        <f t="array" ref="T166">INDEX(Calc!$G$2:$G$157,MATCH($W166,Calc!$A$2:$A$157,0))&amp;" / "&amp;INDEX(Calc!$H$2:$H$157,MATCH($W166,Calc!$A$2:$A$157,0))</f>
        <v>Inferno / Ancient</v>
      </c>
      <c r="U166" s="4" t="str">
        <f t="array" ref="U166">TEXT(INDEX(Calc!$J$2:$J$157,MATCH($W166,Calc!$A$2:$A$157,0)),"0.0")&amp;" / "&amp;TEXT(INDEX(Calc!$K$2:$K$157,MATCH($W166,Calc!$A$2:$A$157,0)),"0.0")</f>
        <v>21.5 / 21.4</v>
      </c>
      <c r="V166" s="4" t="str">
        <f t="array" ref="V166">IFERROR(INDEX(Calc!$AQ$2:$AQ$157,MATCH($W166,Calc!$A$2:$A$157,0)),"")</f>
        <v/>
      </c>
      <c r="W166" s="4" t="s">
        <v>3213</v>
      </c>
      <c r="X166" s="4" t="s">
        <v>926</v>
      </c>
      <c r="Y166" s="4" t="str">
        <f t="shared" si="4"/>
        <v>6wz925o5ae22g8t|CS2 · NEM vs NTR|K12</v>
      </c>
      <c r="Z166" s="12">
        <f t="array" ref="Z166">IFERROR(INDEX(CHOOSE(MATCH($X166,{"K1","K2","K3","K12","K13","H1","H2","H3","H12","H13"},0),Calc!$BA$2:$BA$157,Calc!$BB$2:$BB$157,Calc!$BC$2:$BC$157,Calc!$BD$2:$BD$157,Calc!$BE$2:$BE$157,Calc!$BF$2:$BF$157,Calc!$BG$2:$BG$157,Calc!$BH$2:$BH$157,Calc!$BI$2:$BI$157,Calc!$BJ$2:$BJ$157),MATCH($W166,Calc!$A$2:$A$157,0)),"")</f>
        <v>30.64793211</v>
      </c>
      <c r="AA166" s="12">
        <f t="array" ref="AA166">IF(Z166="","",IF(LEFT($X166,1)="H",SQRT(Z166*(IFERROR(INDEX(Calc!$AP$2:$AP$157,MATCH($W166,Calc!$A$2:$A$157,0)),0.5)*Config!$B$5+1-IFERROR(INDEX(Calc!$AP$2:$AP$157,MATCH($W166,Calc!$A$2:$A$157,0)),0.5))),SQRT(Z166*Config!$B$5)))</f>
        <v>6.550351514</v>
      </c>
      <c r="AB166" s="11">
        <f t="shared" si="5"/>
        <v>0.6285105101</v>
      </c>
      <c r="AC166" s="11">
        <f t="shared" si="6"/>
        <v>0.3714894899</v>
      </c>
      <c r="AD166" s="4" t="str">
        <f>IF(AB166="","",IF(AB166&gt;=0.5+Config!$B$6,"OVER",IF(AC166&gt;=0.5+Config!$B$6,"UNDER","—")))</f>
        <v>OVER</v>
      </c>
      <c r="AE166" s="18">
        <f t="shared" si="7"/>
        <v>0.9731424515</v>
      </c>
    </row>
    <row r="167" ht="15.75" customHeight="1">
      <c r="A167" s="4" t="s">
        <v>86</v>
      </c>
      <c r="B167" s="4" t="s">
        <v>1152</v>
      </c>
      <c r="C167" s="4" t="s">
        <v>1509</v>
      </c>
      <c r="D167" s="4" t="s">
        <v>1157</v>
      </c>
      <c r="E167" s="4" t="s">
        <v>370</v>
      </c>
      <c r="F167" s="4">
        <v>16.5</v>
      </c>
      <c r="G167" s="12">
        <f t="array" ref="G167">IFERROR(INDEX(CHOOSE(MATCH($X167,{"K1","K2","K3","K12","K13","H1","H2","H3","H12","H13"},0),Calc!$V$2:$V$157,Calc!$AC$2:$AC$157,Calc!$AJ$2:$AJ$157,Calc!$AL$2:$AL$157,Calc!$AM$2:$AM$157,Calc!$W$2:$W$157,Calc!$AD$2:$AD$157,Calc!$AK$2:$AK$157,Calc!$AN$2:$AN$157,Calc!$AO$2:$AO$157),MATCH($W167,Calc!$A$2:$A$157,0)),"")</f>
        <v>16.8362446</v>
      </c>
      <c r="H167" s="12">
        <f t="array" ref="H167">IF(G167="","",IF(LEFT($X167,1)="H",SQRT(G167*(IFERROR(INDEX(Calc!$AP$2:$AP$157,MATCH($W167,Calc!$A$2:$A$157,0)),0.5)*Config!$B$5+1-IFERROR(INDEX(Calc!$AP$2:$AP$157,MATCH($W167,Calc!$A$2:$A$157,0)),0.5))),SQRT(G167*Config!$B$5)))</f>
        <v>4.52797002</v>
      </c>
      <c r="I167" s="11">
        <f t="shared" si="1"/>
        <v>0.529598032</v>
      </c>
      <c r="J167" s="11">
        <f t="shared" si="2"/>
        <v>0.470401968</v>
      </c>
      <c r="K167" s="11">
        <f t="shared" si="3"/>
        <v>0</v>
      </c>
      <c r="L167" s="4" t="str">
        <f>IF(I167="","",IF(I167&gt;=0.5+Config!$B$6,"OVER",IF(J167&gt;=0.5+Config!$B$6,"UNDER","—")))</f>
        <v>—</v>
      </c>
      <c r="N167" s="4">
        <v>15.5</v>
      </c>
      <c r="O167" s="11">
        <v>0.4</v>
      </c>
      <c r="P167" s="11">
        <v>0.4</v>
      </c>
      <c r="Q167" s="11">
        <v>0.47</v>
      </c>
      <c r="R167" s="4" t="s">
        <v>3215</v>
      </c>
      <c r="S167" s="4">
        <v>-1.0</v>
      </c>
      <c r="T167" s="4" t="str">
        <f t="array" ref="T167">INDEX(Calc!$G$2:$G$157,MATCH($W167,Calc!$A$2:$A$157,0))&amp;" / "&amp;INDEX(Calc!$H$2:$H$157,MATCH($W167,Calc!$A$2:$A$157,0))</f>
        <v>Inferno / Ancient</v>
      </c>
      <c r="U167" s="4" t="str">
        <f t="array" ref="U167">TEXT(INDEX(Calc!$J$2:$J$157,MATCH($W167,Calc!$A$2:$A$157,0)),"0.0")&amp;" / "&amp;TEXT(INDEX(Calc!$K$2:$K$157,MATCH($W167,Calc!$A$2:$A$157,0)),"0.0")</f>
        <v>21.5 / 21.4</v>
      </c>
      <c r="V167" s="4" t="str">
        <f t="array" ref="V167">IFERROR(INDEX(Calc!$AQ$2:$AQ$157,MATCH($W167,Calc!$A$2:$A$157,0)),"")</f>
        <v/>
      </c>
      <c r="W167" s="4" t="s">
        <v>3216</v>
      </c>
      <c r="X167" s="4" t="s">
        <v>634</v>
      </c>
      <c r="Y167" s="4" t="str">
        <f t="shared" si="4"/>
        <v>34ncnmnh403jz5x|CS2 · NEM vs NTR|H12</v>
      </c>
      <c r="Z167" s="12">
        <f t="array" ref="Z167">IFERROR(INDEX(CHOOSE(MATCH($X167,{"K1","K2","K3","K12","K13","H1","H2","H3","H12","H13"},0),Calc!$BA$2:$BA$157,Calc!$BB$2:$BB$157,Calc!$BC$2:$BC$157,Calc!$BD$2:$BD$157,Calc!$BE$2:$BE$157,Calc!$BF$2:$BF$157,Calc!$BG$2:$BG$157,Calc!$BH$2:$BH$157,Calc!$BI$2:$BI$157,Calc!$BJ$2:$BJ$157),MATCH($W167,Calc!$A$2:$A$157,0)),"")</f>
        <v>16.38652747</v>
      </c>
      <c r="AA167" s="12">
        <f t="array" ref="AA167">IF(Z167="","",IF(LEFT($X167,1)="H",SQRT(Z167*(IFERROR(INDEX(Calc!$AP$2:$AP$157,MATCH($W167,Calc!$A$2:$A$157,0)),0.5)*Config!$B$5+1-IFERROR(INDEX(Calc!$AP$2:$AP$157,MATCH($W167,Calc!$A$2:$A$157,0)),0.5))),SQRT(Z167*Config!$B$5)))</f>
        <v>4.467086834</v>
      </c>
      <c r="AB167" s="11">
        <f t="shared" si="5"/>
        <v>0.4898671949</v>
      </c>
      <c r="AC167" s="11">
        <f t="shared" si="6"/>
        <v>0.5101328051</v>
      </c>
      <c r="AD167" s="4" t="str">
        <f>IF(AB167="","",IF(AB167&gt;=0.5+Config!$B$6,"OVER",IF(AC167&gt;=0.5+Config!$B$6,"UNDER","—")))</f>
        <v>—</v>
      </c>
      <c r="AE167" s="18">
        <f t="shared" si="7"/>
        <v>0.9732887509</v>
      </c>
    </row>
    <row r="168" ht="15.75" customHeight="1">
      <c r="A168" s="4" t="s">
        <v>86</v>
      </c>
      <c r="B168" s="4" t="s">
        <v>1152</v>
      </c>
      <c r="C168" s="4" t="s">
        <v>1509</v>
      </c>
      <c r="D168" s="4" t="s">
        <v>1157</v>
      </c>
      <c r="E168" s="4" t="s">
        <v>772</v>
      </c>
      <c r="F168" s="4">
        <v>29.5</v>
      </c>
      <c r="G168" s="12">
        <f t="array" ref="G168">IFERROR(INDEX(CHOOSE(MATCH($X168,{"K1","K2","K3","K12","K13","H1","H2","H3","H12","H13"},0),Calc!$V$2:$V$157,Calc!$AC$2:$AC$157,Calc!$AJ$2:$AJ$157,Calc!$AL$2:$AL$157,Calc!$AM$2:$AM$157,Calc!$W$2:$W$157,Calc!$AD$2:$AD$157,Calc!$AK$2:$AK$157,Calc!$AN$2:$AN$157,Calc!$AO$2:$AO$157),MATCH($W168,Calc!$A$2:$A$157,0)),"")</f>
        <v>30.92617778</v>
      </c>
      <c r="H168" s="12">
        <f t="array" ref="H168">IF(G168="","",IF(LEFT($X168,1)="H",SQRT(G168*(IFERROR(INDEX(Calc!$AP$2:$AP$157,MATCH($W168,Calc!$A$2:$A$157,0)),0.5)*Config!$B$5+1-IFERROR(INDEX(Calc!$AP$2:$AP$157,MATCH($W168,Calc!$A$2:$A$157,0)),0.5))),SQRT(G168*Config!$B$5)))</f>
        <v>6.580018913</v>
      </c>
      <c r="I168" s="11">
        <f t="shared" si="1"/>
        <v>0.585795963</v>
      </c>
      <c r="J168" s="11">
        <f t="shared" si="2"/>
        <v>0.414204037</v>
      </c>
      <c r="K168" s="11">
        <f t="shared" si="3"/>
        <v>0</v>
      </c>
      <c r="L168" s="4" t="str">
        <f>IF(I168="","",IF(I168&gt;=0.5+Config!$B$6,"OVER",IF(J168&gt;=0.5+Config!$B$6,"UNDER","—")))</f>
        <v>OVER</v>
      </c>
      <c r="N168" s="4">
        <v>31.8</v>
      </c>
      <c r="O168" s="11">
        <v>0.4</v>
      </c>
      <c r="P168" s="11">
        <v>0.5</v>
      </c>
      <c r="Q168" s="11">
        <v>0.47</v>
      </c>
      <c r="R168" s="4" t="s">
        <v>3217</v>
      </c>
      <c r="S168" s="4">
        <v>-1.0</v>
      </c>
      <c r="T168" s="4" t="str">
        <f t="array" ref="T168">INDEX(Calc!$G$2:$G$157,MATCH($W168,Calc!$A$2:$A$157,0))&amp;" / "&amp;INDEX(Calc!$H$2:$H$157,MATCH($W168,Calc!$A$2:$A$157,0))</f>
        <v>Inferno / Ancient</v>
      </c>
      <c r="U168" s="4" t="str">
        <f t="array" ref="U168">TEXT(INDEX(Calc!$J$2:$J$157,MATCH($W168,Calc!$A$2:$A$157,0)),"0.0")&amp;" / "&amp;TEXT(INDEX(Calc!$K$2:$K$157,MATCH($W168,Calc!$A$2:$A$157,0)),"0.0")</f>
        <v>21.5 / 21.4</v>
      </c>
      <c r="V168" s="4" t="str">
        <f t="array" ref="V168">IFERROR(INDEX(Calc!$AQ$2:$AQ$157,MATCH($W168,Calc!$A$2:$A$157,0)),"")</f>
        <v/>
      </c>
      <c r="W168" s="4" t="s">
        <v>3216</v>
      </c>
      <c r="X168" s="4" t="s">
        <v>926</v>
      </c>
      <c r="Y168" s="4" t="str">
        <f t="shared" si="4"/>
        <v>34ncnmnh403jz5x|CS2 · NEM vs NTR|K12</v>
      </c>
      <c r="Z168" s="12">
        <f t="array" ref="Z168">IFERROR(INDEX(CHOOSE(MATCH($X168,{"K1","K2","K3","K12","K13","H1","H2","H3","H12","H13"},0),Calc!$BA$2:$BA$157,Calc!$BB$2:$BB$157,Calc!$BC$2:$BC$157,Calc!$BD$2:$BD$157,Calc!$BE$2:$BE$157,Calc!$BF$2:$BF$157,Calc!$BG$2:$BG$157,Calc!$BH$2:$BH$157,Calc!$BI$2:$BI$157,Calc!$BJ$2:$BJ$157),MATCH($W168,Calc!$A$2:$A$157,0)),"")</f>
        <v>30.1033503</v>
      </c>
      <c r="AA168" s="12">
        <f t="array" ref="AA168">IF(Z168="","",IF(LEFT($X168,1)="H",SQRT(Z168*(IFERROR(INDEX(Calc!$AP$2:$AP$157,MATCH($W168,Calc!$A$2:$A$157,0)),0.5)*Config!$B$5+1-IFERROR(INDEX(Calc!$AP$2:$AP$157,MATCH($W168,Calc!$A$2:$A$157,0)),0.5))),SQRT(Z168*Config!$B$5)))</f>
        <v>6.491894209</v>
      </c>
      <c r="AB168" s="11">
        <f t="shared" si="5"/>
        <v>0.5370239979</v>
      </c>
      <c r="AC168" s="11">
        <f t="shared" si="6"/>
        <v>0.4629760021</v>
      </c>
      <c r="AD168" s="4" t="str">
        <f>IF(AB168="","",IF(AB168&gt;=0.5+Config!$B$6,"OVER",IF(AC168&gt;=0.5+Config!$B$6,"UNDER","—")))</f>
        <v>—</v>
      </c>
      <c r="AE168" s="18">
        <f t="shared" si="7"/>
        <v>0.9733938193</v>
      </c>
    </row>
    <row r="169" ht="15.75" customHeight="1">
      <c r="A169" s="4" t="s">
        <v>86</v>
      </c>
      <c r="B169" s="4" t="s">
        <v>1152</v>
      </c>
      <c r="C169" s="4" t="s">
        <v>1512</v>
      </c>
      <c r="D169" s="4" t="s">
        <v>1157</v>
      </c>
      <c r="E169" s="4" t="s">
        <v>370</v>
      </c>
      <c r="F169" s="4">
        <v>12.5</v>
      </c>
      <c r="G169" s="12">
        <f t="array" ref="G169">IFERROR(INDEX(CHOOSE(MATCH($X169,{"K1","K2","K3","K12","K13","H1","H2","H3","H12","H13"},0),Calc!$V$2:$V$157,Calc!$AC$2:$AC$157,Calc!$AJ$2:$AJ$157,Calc!$AL$2:$AL$157,Calc!$AM$2:$AM$157,Calc!$W$2:$W$157,Calc!$AD$2:$AD$157,Calc!$AK$2:$AK$157,Calc!$AN$2:$AN$157,Calc!$AO$2:$AO$157),MATCH($W169,Calc!$A$2:$A$157,0)),"")</f>
        <v>13.69748624</v>
      </c>
      <c r="H169" s="12">
        <f t="array" ref="H169">IF(G169="","",IF(LEFT($X169,1)="H",SQRT(G169*(IFERROR(INDEX(Calc!$AP$2:$AP$157,MATCH($W169,Calc!$A$2:$A$157,0)),0.5)*Config!$B$5+1-IFERROR(INDEX(Calc!$AP$2:$AP$157,MATCH($W169,Calc!$A$2:$A$157,0)),0.5))),SQRT(G169*Config!$B$5)))</f>
        <v>4.068336004</v>
      </c>
      <c r="I169" s="11">
        <f t="shared" si="1"/>
        <v>0.6157520927</v>
      </c>
      <c r="J169" s="11">
        <f t="shared" si="2"/>
        <v>0.3842479073</v>
      </c>
      <c r="K169" s="11">
        <f t="shared" si="3"/>
        <v>0</v>
      </c>
      <c r="L169" s="4" t="str">
        <f>IF(I169="","",IF(I169&gt;=0.5+Config!$B$6,"OVER",IF(J169&gt;=0.5+Config!$B$6,"UNDER","—")))</f>
        <v>OVER</v>
      </c>
      <c r="N169" s="4">
        <v>13.2</v>
      </c>
      <c r="O169" s="11">
        <v>0.4</v>
      </c>
      <c r="P169" s="11">
        <v>0.5</v>
      </c>
      <c r="Q169" s="11">
        <v>0.47</v>
      </c>
      <c r="R169" s="4" t="s">
        <v>3215</v>
      </c>
      <c r="S169" s="4">
        <v>-3.0</v>
      </c>
      <c r="T169" s="4" t="str">
        <f t="array" ref="T169">INDEX(Calc!$G$2:$G$157,MATCH($W169,Calc!$A$2:$A$157,0))&amp;" / "&amp;INDEX(Calc!$H$2:$H$157,MATCH($W169,Calc!$A$2:$A$157,0))</f>
        <v>Inferno / Ancient</v>
      </c>
      <c r="U169" s="4" t="str">
        <f t="array" ref="U169">TEXT(INDEX(Calc!$J$2:$J$157,MATCH($W169,Calc!$A$2:$A$157,0)),"0.0")&amp;" / "&amp;TEXT(INDEX(Calc!$K$2:$K$157,MATCH($W169,Calc!$A$2:$A$157,0)),"0.0")</f>
        <v>21.5 / 21.4</v>
      </c>
      <c r="V169" s="4" t="str">
        <f t="array" ref="V169">IFERROR(INDEX(Calc!$AQ$2:$AQ$157,MATCH($W169,Calc!$A$2:$A$157,0)),"")</f>
        <v/>
      </c>
      <c r="W169" s="4" t="s">
        <v>3218</v>
      </c>
      <c r="X169" s="4" t="s">
        <v>634</v>
      </c>
      <c r="Y169" s="4" t="str">
        <f t="shared" si="4"/>
        <v>1yjjd4cv2r5113x|CS2 · NEM vs NTR|H12</v>
      </c>
      <c r="Z169" s="12">
        <f t="array" ref="Z169">IFERROR(INDEX(CHOOSE(MATCH($X169,{"K1","K2","K3","K12","K13","H1","H2","H3","H12","H13"},0),Calc!$BA$2:$BA$157,Calc!$BB$2:$BB$157,Calc!$BC$2:$BC$157,Calc!$BD$2:$BD$157,Calc!$BE$2:$BE$157,Calc!$BF$2:$BF$157,Calc!$BG$2:$BG$157,Calc!$BH$2:$BH$157,Calc!$BI$2:$BI$157,Calc!$BJ$2:$BJ$157),MATCH($W169,Calc!$A$2:$A$157,0)),"")</f>
        <v>13.32503338</v>
      </c>
      <c r="AA169" s="12">
        <f t="array" ref="AA169">IF(Z169="","",IF(LEFT($X169,1)="H",SQRT(Z169*(IFERROR(INDEX(Calc!$AP$2:$AP$157,MATCH($W169,Calc!$A$2:$A$157,0)),0.5)*Config!$B$5+1-IFERROR(INDEX(Calc!$AP$2:$AP$157,MATCH($W169,Calc!$A$2:$A$157,0)),0.5))),SQRT(Z169*Config!$B$5)))</f>
        <v>4.012643071</v>
      </c>
      <c r="AB169" s="11">
        <f t="shared" si="5"/>
        <v>0.5814516174</v>
      </c>
      <c r="AC169" s="11">
        <f t="shared" si="6"/>
        <v>0.4185483826</v>
      </c>
      <c r="AD169" s="4" t="str">
        <f>IF(AB169="","",IF(AB169&gt;=0.5+Config!$B$6,"OVER",IF(AC169&gt;=0.5+Config!$B$6,"UNDER","—")))</f>
        <v>OVER</v>
      </c>
      <c r="AE169" s="18">
        <f t="shared" si="7"/>
        <v>0.9728086705</v>
      </c>
    </row>
    <row r="170" ht="15.75" customHeight="1">
      <c r="A170" s="4" t="s">
        <v>86</v>
      </c>
      <c r="B170" s="4" t="s">
        <v>1152</v>
      </c>
      <c r="C170" s="4" t="s">
        <v>1512</v>
      </c>
      <c r="D170" s="4" t="s">
        <v>1157</v>
      </c>
      <c r="E170" s="4" t="s">
        <v>772</v>
      </c>
      <c r="F170" s="4">
        <v>24.5</v>
      </c>
      <c r="G170" s="12">
        <f t="array" ref="G170">IFERROR(INDEX(CHOOSE(MATCH($X170,{"K1","K2","K3","K12","K13","H1","H2","H3","H12","H13"},0),Calc!$V$2:$V$157,Calc!$AC$2:$AC$157,Calc!$AJ$2:$AJ$157,Calc!$AL$2:$AL$157,Calc!$AM$2:$AM$157,Calc!$W$2:$W$157,Calc!$AD$2:$AD$157,Calc!$AK$2:$AK$157,Calc!$AN$2:$AN$157,Calc!$AO$2:$AO$157),MATCH($W170,Calc!$A$2:$A$157,0)),"")</f>
        <v>26.29706667</v>
      </c>
      <c r="H170" s="12">
        <f t="array" ref="H170">IF(G170="","",IF(LEFT($X170,1)="H",SQRT(G170*(IFERROR(INDEX(Calc!$AP$2:$AP$157,MATCH($W170,Calc!$A$2:$A$157,0)),0.5)*Config!$B$5+1-IFERROR(INDEX(Calc!$AP$2:$AP$157,MATCH($W170,Calc!$A$2:$A$157,0)),0.5))),SQRT(G170*Config!$B$5)))</f>
        <v>6.067610183</v>
      </c>
      <c r="I170" s="11">
        <f t="shared" si="1"/>
        <v>0.6164512905</v>
      </c>
      <c r="J170" s="11">
        <f t="shared" si="2"/>
        <v>0.3835487095</v>
      </c>
      <c r="K170" s="11">
        <f t="shared" si="3"/>
        <v>0</v>
      </c>
      <c r="L170" s="4" t="str">
        <f>IF(I170="","",IF(I170&gt;=0.5+Config!$B$6,"OVER",IF(J170&gt;=0.5+Config!$B$6,"UNDER","—")))</f>
        <v>OVER</v>
      </c>
      <c r="N170" s="4">
        <v>26.5</v>
      </c>
      <c r="O170" s="11">
        <v>0.6</v>
      </c>
      <c r="P170" s="11">
        <v>0.5</v>
      </c>
      <c r="Q170" s="11">
        <v>0.4</v>
      </c>
      <c r="R170" s="4" t="s">
        <v>1787</v>
      </c>
      <c r="S170" s="4">
        <v>1.0</v>
      </c>
      <c r="T170" s="4" t="str">
        <f t="array" ref="T170">INDEX(Calc!$G$2:$G$157,MATCH($W170,Calc!$A$2:$A$157,0))&amp;" / "&amp;INDEX(Calc!$H$2:$H$157,MATCH($W170,Calc!$A$2:$A$157,0))</f>
        <v>Inferno / Ancient</v>
      </c>
      <c r="U170" s="4" t="str">
        <f t="array" ref="U170">TEXT(INDEX(Calc!$J$2:$J$157,MATCH($W170,Calc!$A$2:$A$157,0)),"0.0")&amp;" / "&amp;TEXT(INDEX(Calc!$K$2:$K$157,MATCH($W170,Calc!$A$2:$A$157,0)),"0.0")</f>
        <v>21.5 / 21.4</v>
      </c>
      <c r="V170" s="4" t="str">
        <f t="array" ref="V170">IFERROR(INDEX(Calc!$AQ$2:$AQ$157,MATCH($W170,Calc!$A$2:$A$157,0)),"")</f>
        <v/>
      </c>
      <c r="W170" s="4" t="s">
        <v>3218</v>
      </c>
      <c r="X170" s="4" t="s">
        <v>926</v>
      </c>
      <c r="Y170" s="4" t="str">
        <f t="shared" si="4"/>
        <v>1yjjd4cv2r5113x|CS2 · NEM vs NTR|K12</v>
      </c>
      <c r="Z170" s="12">
        <f t="array" ref="Z170">IFERROR(INDEX(CHOOSE(MATCH($X170,{"K1","K2","K3","K12","K13","H1","H2","H3","H12","H13"},0),Calc!$BA$2:$BA$157,Calc!$BB$2:$BB$157,Calc!$BC$2:$BC$157,Calc!$BD$2:$BD$157,Calc!$BE$2:$BE$157,Calc!$BF$2:$BF$157,Calc!$BG$2:$BG$157,Calc!$BH$2:$BH$157,Calc!$BI$2:$BI$157,Calc!$BJ$2:$BJ$157),MATCH($W170,Calc!$A$2:$A$157,0)),"")</f>
        <v>25.584542</v>
      </c>
      <c r="AA170" s="12">
        <f t="array" ref="AA170">IF(Z170="","",IF(LEFT($X170,1)="H",SQRT(Z170*(IFERROR(INDEX(Calc!$AP$2:$AP$157,MATCH($W170,Calc!$A$2:$A$157,0)),0.5)*Config!$B$5+1-IFERROR(INDEX(Calc!$AP$2:$AP$157,MATCH($W170,Calc!$A$2:$A$157,0)),0.5))),SQRT(Z170*Config!$B$5)))</f>
        <v>5.984844091</v>
      </c>
      <c r="AB170" s="11">
        <f t="shared" si="5"/>
        <v>0.5719004893</v>
      </c>
      <c r="AC170" s="11">
        <f t="shared" si="6"/>
        <v>0.4280995107</v>
      </c>
      <c r="AD170" s="4" t="str">
        <f>IF(AB170="","",IF(AB170&gt;=0.5+Config!$B$6,"OVER",IF(AC170&gt;=0.5+Config!$B$6,"UNDER","—")))</f>
        <v>OVER</v>
      </c>
      <c r="AE170" s="18">
        <f t="shared" si="7"/>
        <v>0.9729047852</v>
      </c>
    </row>
    <row r="171" ht="15.75" customHeight="1">
      <c r="A171" s="4" t="s">
        <v>86</v>
      </c>
      <c r="B171" s="4" t="s">
        <v>566</v>
      </c>
      <c r="C171" s="4" t="s">
        <v>1489</v>
      </c>
      <c r="D171" s="4" t="s">
        <v>578</v>
      </c>
      <c r="E171" s="4" t="s">
        <v>370</v>
      </c>
      <c r="F171" s="4">
        <v>15.5</v>
      </c>
      <c r="G171" s="12">
        <f t="array" ref="G171">IFERROR(INDEX(CHOOSE(MATCH($X171,{"K1","K2","K3","K12","K13","H1","H2","H3","H12","H13"},0),Calc!$V$2:$V$157,Calc!$AC$2:$AC$157,Calc!$AJ$2:$AJ$157,Calc!$AL$2:$AL$157,Calc!$AM$2:$AM$157,Calc!$W$2:$W$157,Calc!$AD$2:$AD$157,Calc!$AK$2:$AK$157,Calc!$AN$2:$AN$157,Calc!$AO$2:$AO$157),MATCH($W171,Calc!$A$2:$A$157,0)),"")</f>
        <v>17.43862313</v>
      </c>
      <c r="H171" s="12">
        <f t="array" ref="H171">IF(G171="","",IF(LEFT($X171,1)="H",SQRT(G171*(IFERROR(INDEX(Calc!$AP$2:$AP$157,MATCH($W171,Calc!$A$2:$A$157,0)),0.5)*Config!$B$5+1-IFERROR(INDEX(Calc!$AP$2:$AP$157,MATCH($W171,Calc!$A$2:$A$157,0)),0.5))),SQRT(G171*Config!$B$5)))</f>
        <v>4.598765225</v>
      </c>
      <c r="I171" s="11">
        <f t="shared" si="1"/>
        <v>0.6633243288</v>
      </c>
      <c r="J171" s="11">
        <f t="shared" si="2"/>
        <v>0.3366756712</v>
      </c>
      <c r="K171" s="11">
        <f t="shared" si="3"/>
        <v>0</v>
      </c>
      <c r="L171" s="4" t="str">
        <f>IF(I171="","",IF(I171&gt;=0.5+Config!$B$6,"OVER",IF(J171&gt;=0.5+Config!$B$6,"UNDER","—")))</f>
        <v>OVER</v>
      </c>
      <c r="N171" s="4">
        <v>17.1</v>
      </c>
      <c r="O171" s="11">
        <v>0.4</v>
      </c>
      <c r="P171" s="11">
        <v>0.6</v>
      </c>
      <c r="Q171" s="11">
        <v>0.4</v>
      </c>
      <c r="R171" s="4" t="s">
        <v>2203</v>
      </c>
      <c r="S171" s="4">
        <v>1.0</v>
      </c>
      <c r="T171" s="4" t="str">
        <f t="array" ref="T171">INDEX(Calc!$G$2:$G$157,MATCH($W171,Calc!$A$2:$A$157,0))&amp;" / "&amp;INDEX(Calc!$H$2:$H$157,MATCH($W171,Calc!$A$2:$A$157,0))</f>
        <v>Cache / Mirage</v>
      </c>
      <c r="U171" s="4" t="str">
        <f t="array" ref="U171">TEXT(INDEX(Calc!$J$2:$J$157,MATCH($W171,Calc!$A$2:$A$157,0)),"0.0")&amp;" / "&amp;TEXT(INDEX(Calc!$K$2:$K$157,MATCH($W171,Calc!$A$2:$A$157,0)),"0.0")</f>
        <v>21.5 / 21.5</v>
      </c>
      <c r="V171" s="4" t="str">
        <f t="array" ref="V171">IFERROR(INDEX(Calc!$AQ$2:$AQ$157,MATCH($W171,Calc!$A$2:$A$157,0)),"")</f>
        <v/>
      </c>
      <c r="W171" s="4" t="s">
        <v>3219</v>
      </c>
      <c r="X171" s="4" t="s">
        <v>634</v>
      </c>
      <c r="Y171" s="4" t="str">
        <f t="shared" si="4"/>
        <v>pw4dii7j6595atb|CS2 · NIP vs TL|H12</v>
      </c>
      <c r="Z171" s="12">
        <f t="array" ref="Z171">IFERROR(INDEX(CHOOSE(MATCH($X171,{"K1","K2","K3","K12","K13","H1","H2","H3","H12","H13"},0),Calc!$BA$2:$BA$157,Calc!$BB$2:$BB$157,Calc!$BC$2:$BC$157,Calc!$BD$2:$BD$157,Calc!$BE$2:$BE$157,Calc!$BF$2:$BF$157,Calc!$BG$2:$BG$157,Calc!$BH$2:$BH$157,Calc!$BI$2:$BI$157,Calc!$BJ$2:$BJ$157),MATCH($W171,Calc!$A$2:$A$157,0)),"")</f>
        <v>17.15796692</v>
      </c>
      <c r="AA171" s="12">
        <f t="array" ref="AA171">IF(Z171="","",IF(LEFT($X171,1)="H",SQRT(Z171*(IFERROR(INDEX(Calc!$AP$2:$AP$157,MATCH($W171,Calc!$A$2:$A$157,0)),0.5)*Config!$B$5+1-IFERROR(INDEX(Calc!$AP$2:$AP$157,MATCH($W171,Calc!$A$2:$A$157,0)),0.5))),SQRT(Z171*Config!$B$5)))</f>
        <v>4.561608988</v>
      </c>
      <c r="AB171" s="11">
        <f t="shared" si="5"/>
        <v>0.6418697255</v>
      </c>
      <c r="AC171" s="11">
        <f t="shared" si="6"/>
        <v>0.3581302745</v>
      </c>
      <c r="AD171" s="4" t="str">
        <f>IF(AB171="","",IF(AB171&gt;=0.5+Config!$B$6,"OVER",IF(AC171&gt;=0.5+Config!$B$6,"UNDER","—")))</f>
        <v>OVER</v>
      </c>
      <c r="AE171" s="18">
        <f t="shared" si="7"/>
        <v>0.9839060569</v>
      </c>
    </row>
    <row r="172" ht="15.75" customHeight="1">
      <c r="A172" s="4" t="s">
        <v>86</v>
      </c>
      <c r="B172" s="4" t="s">
        <v>566</v>
      </c>
      <c r="C172" s="4" t="s">
        <v>1489</v>
      </c>
      <c r="D172" s="4" t="s">
        <v>578</v>
      </c>
      <c r="E172" s="4" t="s">
        <v>772</v>
      </c>
      <c r="F172" s="4">
        <v>29.5</v>
      </c>
      <c r="G172" s="12">
        <f t="array" ref="G172">IFERROR(INDEX(CHOOSE(MATCH($X172,{"K1","K2","K3","K12","K13","H1","H2","H3","H12","H13"},0),Calc!$V$2:$V$157,Calc!$AC$2:$AC$157,Calc!$AJ$2:$AJ$157,Calc!$AL$2:$AL$157,Calc!$AM$2:$AM$157,Calc!$W$2:$W$157,Calc!$AD$2:$AD$157,Calc!$AK$2:$AK$157,Calc!$AN$2:$AN$157,Calc!$AO$2:$AO$157),MATCH($W172,Calc!$A$2:$A$157,0)),"")</f>
        <v>32.7875</v>
      </c>
      <c r="H172" s="12">
        <f t="array" ref="H172">IF(G172="","",IF(LEFT($X172,1)="H",SQRT(G172*(IFERROR(INDEX(Calc!$AP$2:$AP$157,MATCH($W172,Calc!$A$2:$A$157,0)),0.5)*Config!$B$5+1-IFERROR(INDEX(Calc!$AP$2:$AP$157,MATCH($W172,Calc!$A$2:$A$157,0)),0.5))),SQRT(G172*Config!$B$5)))</f>
        <v>6.775138375</v>
      </c>
      <c r="I172" s="11">
        <f t="shared" si="1"/>
        <v>0.6862433775</v>
      </c>
      <c r="J172" s="11">
        <f t="shared" si="2"/>
        <v>0.3137566225</v>
      </c>
      <c r="K172" s="11">
        <f t="shared" si="3"/>
        <v>0</v>
      </c>
      <c r="L172" s="4" t="str">
        <f>IF(I172="","",IF(I172&gt;=0.5+Config!$B$6,"OVER",IF(J172&gt;=0.5+Config!$B$6,"UNDER","—")))</f>
        <v>OVER</v>
      </c>
      <c r="N172" s="4">
        <v>31.6</v>
      </c>
      <c r="O172" s="11">
        <v>0.2</v>
      </c>
      <c r="P172" s="11">
        <v>0.5</v>
      </c>
      <c r="Q172" s="11">
        <v>0.4</v>
      </c>
      <c r="R172" s="4" t="s">
        <v>2203</v>
      </c>
      <c r="S172" s="4">
        <v>-2.0</v>
      </c>
      <c r="T172" s="4" t="str">
        <f t="array" ref="T172">INDEX(Calc!$G$2:$G$157,MATCH($W172,Calc!$A$2:$A$157,0))&amp;" / "&amp;INDEX(Calc!$H$2:$H$157,MATCH($W172,Calc!$A$2:$A$157,0))</f>
        <v>Cache / Mirage</v>
      </c>
      <c r="U172" s="4" t="str">
        <f t="array" ref="U172">TEXT(INDEX(Calc!$J$2:$J$157,MATCH($W172,Calc!$A$2:$A$157,0)),"0.0")&amp;" / "&amp;TEXT(INDEX(Calc!$K$2:$K$157,MATCH($W172,Calc!$A$2:$A$157,0)),"0.0")</f>
        <v>21.5 / 21.5</v>
      </c>
      <c r="V172" s="4" t="str">
        <f t="array" ref="V172">IFERROR(INDEX(Calc!$AQ$2:$AQ$157,MATCH($W172,Calc!$A$2:$A$157,0)),"")</f>
        <v/>
      </c>
      <c r="W172" s="4" t="s">
        <v>3219</v>
      </c>
      <c r="X172" s="4" t="s">
        <v>926</v>
      </c>
      <c r="Y172" s="4" t="str">
        <f t="shared" si="4"/>
        <v>pw4dii7j6595atb|CS2 · NIP vs TL|K12</v>
      </c>
      <c r="Z172" s="12">
        <f t="array" ref="Z172">IFERROR(INDEX(CHOOSE(MATCH($X172,{"K1","K2","K3","K12","K13","H1","H2","H3","H12","H13"},0),Calc!$BA$2:$BA$157,Calc!$BB$2:$BB$157,Calc!$BC$2:$BC$157,Calc!$BD$2:$BD$157,Calc!$BE$2:$BE$157,Calc!$BF$2:$BF$157,Calc!$BG$2:$BG$157,Calc!$BH$2:$BH$157,Calc!$BI$2:$BI$157,Calc!$BJ$2:$BJ$157),MATCH($W172,Calc!$A$2:$A$157,0)),"")</f>
        <v>32.25401478</v>
      </c>
      <c r="AA172" s="12">
        <f t="array" ref="AA172">IF(Z172="","",IF(LEFT($X172,1)="H",SQRT(Z172*(IFERROR(INDEX(Calc!$AP$2:$AP$157,MATCH($W172,Calc!$A$2:$A$157,0)),0.5)*Config!$B$5+1-IFERROR(INDEX(Calc!$AP$2:$AP$157,MATCH($W172,Calc!$A$2:$A$157,0)),0.5))),SQRT(Z172*Config!$B$5)))</f>
        <v>6.719793203</v>
      </c>
      <c r="AB172" s="11">
        <f t="shared" si="5"/>
        <v>0.6590369602</v>
      </c>
      <c r="AC172" s="11">
        <f t="shared" si="6"/>
        <v>0.3409630398</v>
      </c>
      <c r="AD172" s="4" t="str">
        <f>IF(AB172="","",IF(AB172&gt;=0.5+Config!$B$6,"OVER",IF(AC172&gt;=0.5+Config!$B$6,"UNDER","—")))</f>
        <v>OVER</v>
      </c>
      <c r="AE172" s="18">
        <f t="shared" si="7"/>
        <v>0.983729006</v>
      </c>
    </row>
    <row r="173" ht="15.75" customHeight="1">
      <c r="A173" s="4" t="s">
        <v>86</v>
      </c>
      <c r="B173" s="4" t="s">
        <v>566</v>
      </c>
      <c r="C173" s="4" t="s">
        <v>1493</v>
      </c>
      <c r="D173" s="4" t="s">
        <v>578</v>
      </c>
      <c r="E173" s="4" t="s">
        <v>370</v>
      </c>
      <c r="F173" s="4">
        <v>14.5</v>
      </c>
      <c r="G173" s="12">
        <f t="array" ref="G173">IFERROR(INDEX(CHOOSE(MATCH($X173,{"K1","K2","K3","K12","K13","H1","H2","H3","H12","H13"},0),Calc!$V$2:$V$157,Calc!$AC$2:$AC$157,Calc!$AJ$2:$AJ$157,Calc!$AL$2:$AL$157,Calc!$AM$2:$AM$157,Calc!$W$2:$W$157,Calc!$AD$2:$AD$157,Calc!$AK$2:$AK$157,Calc!$AN$2:$AN$157,Calc!$AO$2:$AO$157),MATCH($W173,Calc!$A$2:$A$157,0)),"")</f>
        <v>16.02563798</v>
      </c>
      <c r="H173" s="12">
        <f t="array" ref="H173">IF(G173="","",IF(LEFT($X173,1)="H",SQRT(G173*(IFERROR(INDEX(Calc!$AP$2:$AP$157,MATCH($W173,Calc!$A$2:$A$157,0)),0.5)*Config!$B$5+1-IFERROR(INDEX(Calc!$AP$2:$AP$157,MATCH($W173,Calc!$A$2:$A$157,0)),0.5))),SQRT(G173*Config!$B$5)))</f>
        <v>4.405791975</v>
      </c>
      <c r="I173" s="11">
        <f t="shared" si="1"/>
        <v>0.6354338799</v>
      </c>
      <c r="J173" s="11">
        <f t="shared" si="2"/>
        <v>0.3645661201</v>
      </c>
      <c r="K173" s="11">
        <f t="shared" si="3"/>
        <v>0</v>
      </c>
      <c r="L173" s="4" t="str">
        <f>IF(I173="","",IF(I173&gt;=0.5+Config!$B$6,"OVER",IF(J173&gt;=0.5+Config!$B$6,"UNDER","—")))</f>
        <v>OVER</v>
      </c>
      <c r="N173" s="4">
        <v>16.4</v>
      </c>
      <c r="O173" s="11">
        <v>0.4</v>
      </c>
      <c r="P173" s="11">
        <v>0.5</v>
      </c>
      <c r="Q173" s="11">
        <v>0.6</v>
      </c>
      <c r="R173" s="4" t="s">
        <v>579</v>
      </c>
      <c r="S173" s="4">
        <v>1.0</v>
      </c>
      <c r="T173" s="4" t="str">
        <f t="array" ref="T173">INDEX(Calc!$G$2:$G$157,MATCH($W173,Calc!$A$2:$A$157,0))&amp;" / "&amp;INDEX(Calc!$H$2:$H$157,MATCH($W173,Calc!$A$2:$A$157,0))</f>
        <v>Cache / Mirage</v>
      </c>
      <c r="U173" s="4" t="str">
        <f t="array" ref="U173">TEXT(INDEX(Calc!$J$2:$J$157,MATCH($W173,Calc!$A$2:$A$157,0)),"0.0")&amp;" / "&amp;TEXT(INDEX(Calc!$K$2:$K$157,MATCH($W173,Calc!$A$2:$A$157,0)),"0.0")</f>
        <v>21.5 / 21.5</v>
      </c>
      <c r="V173" s="4" t="str">
        <f t="array" ref="V173">IFERROR(INDEX(Calc!$AQ$2:$AQ$157,MATCH($W173,Calc!$A$2:$A$157,0)),"")</f>
        <v/>
      </c>
      <c r="W173" s="4" t="s">
        <v>3220</v>
      </c>
      <c r="X173" s="4" t="s">
        <v>634</v>
      </c>
      <c r="Y173" s="4" t="str">
        <f t="shared" si="4"/>
        <v>jlf7p69t2kz7r4d|CS2 · NIP vs TL|H12</v>
      </c>
      <c r="Z173" s="12">
        <f t="array" ref="Z173">IFERROR(INDEX(CHOOSE(MATCH($X173,{"K1","K2","K3","K12","K13","H1","H2","H3","H12","H13"},0),Calc!$BA$2:$BA$157,Calc!$BB$2:$BB$157,Calc!$BC$2:$BC$157,Calc!$BD$2:$BD$157,Calc!$BE$2:$BE$157,Calc!$BF$2:$BF$157,Calc!$BG$2:$BG$157,Calc!$BH$2:$BH$157,Calc!$BI$2:$BI$157,Calc!$BJ$2:$BJ$157),MATCH($W173,Calc!$A$2:$A$157,0)),"")</f>
        <v>15.76599995</v>
      </c>
      <c r="AA173" s="12">
        <f t="array" ref="AA173">IF(Z173="","",IF(LEFT($X173,1)="H",SQRT(Z173*(IFERROR(INDEX(Calc!$AP$2:$AP$157,MATCH($W173,Calc!$A$2:$A$157,0)),0.5)*Config!$B$5+1-IFERROR(INDEX(Calc!$AP$2:$AP$157,MATCH($W173,Calc!$A$2:$A$157,0)),0.5))),SQRT(Z173*Config!$B$5)))</f>
        <v>4.3699562</v>
      </c>
      <c r="AB173" s="11">
        <f t="shared" si="5"/>
        <v>0.6139791914</v>
      </c>
      <c r="AC173" s="11">
        <f t="shared" si="6"/>
        <v>0.3860208086</v>
      </c>
      <c r="AD173" s="4" t="str">
        <f>IF(AB173="","",IF(AB173&gt;=0.5+Config!$B$6,"OVER",IF(AC173&gt;=0.5+Config!$B$6,"UNDER","—")))</f>
        <v>OVER</v>
      </c>
      <c r="AE173" s="18">
        <f t="shared" si="7"/>
        <v>0.9837985839</v>
      </c>
    </row>
    <row r="174" ht="15.75" customHeight="1">
      <c r="A174" s="4" t="s">
        <v>86</v>
      </c>
      <c r="B174" s="4" t="s">
        <v>566</v>
      </c>
      <c r="C174" s="4" t="s">
        <v>1493</v>
      </c>
      <c r="D174" s="4" t="s">
        <v>578</v>
      </c>
      <c r="E174" s="4" t="s">
        <v>772</v>
      </c>
      <c r="F174" s="4">
        <v>27.5</v>
      </c>
      <c r="G174" s="12">
        <f t="array" ref="G174">IFERROR(INDEX(CHOOSE(MATCH($X174,{"K1","K2","K3","K12","K13","H1","H2","H3","H12","H13"},0),Calc!$V$2:$V$157,Calc!$AC$2:$AC$157,Calc!$AJ$2:$AJ$157,Calc!$AL$2:$AL$157,Calc!$AM$2:$AM$157,Calc!$W$2:$W$157,Calc!$AD$2:$AD$157,Calc!$AK$2:$AK$157,Calc!$AN$2:$AN$157,Calc!$AO$2:$AO$157),MATCH($W174,Calc!$A$2:$A$157,0)),"")</f>
        <v>30.34486111</v>
      </c>
      <c r="H174" s="12">
        <f t="array" ref="H174">IF(G174="","",IF(LEFT($X174,1)="H",SQRT(G174*(IFERROR(INDEX(Calc!$AP$2:$AP$157,MATCH($W174,Calc!$A$2:$A$157,0)),0.5)*Config!$B$5+1-IFERROR(INDEX(Calc!$AP$2:$AP$157,MATCH($W174,Calc!$A$2:$A$157,0)),0.5))),SQRT(G174*Config!$B$5)))</f>
        <v>6.517883518</v>
      </c>
      <c r="I174" s="11">
        <f t="shared" si="1"/>
        <v>0.668752147</v>
      </c>
      <c r="J174" s="11">
        <f t="shared" si="2"/>
        <v>0.331247853</v>
      </c>
      <c r="K174" s="11">
        <f t="shared" si="3"/>
        <v>0</v>
      </c>
      <c r="L174" s="4" t="str">
        <f>IF(I174="","",IF(I174&gt;=0.5+Config!$B$6,"OVER",IF(J174&gt;=0.5+Config!$B$6,"UNDER","—")))</f>
        <v>OVER</v>
      </c>
      <c r="N174" s="4">
        <v>31.5</v>
      </c>
      <c r="O174" s="11">
        <v>0.6</v>
      </c>
      <c r="P174" s="11">
        <v>0.6</v>
      </c>
      <c r="Q174" s="11">
        <v>0.67</v>
      </c>
      <c r="R174" s="4" t="s">
        <v>579</v>
      </c>
      <c r="S174" s="4">
        <v>1.0</v>
      </c>
      <c r="T174" s="4" t="str">
        <f t="array" ref="T174">INDEX(Calc!$G$2:$G$157,MATCH($W174,Calc!$A$2:$A$157,0))&amp;" / "&amp;INDEX(Calc!$H$2:$H$157,MATCH($W174,Calc!$A$2:$A$157,0))</f>
        <v>Cache / Mirage</v>
      </c>
      <c r="U174" s="4" t="str">
        <f t="array" ref="U174">TEXT(INDEX(Calc!$J$2:$J$157,MATCH($W174,Calc!$A$2:$A$157,0)),"0.0")&amp;" / "&amp;TEXT(INDEX(Calc!$K$2:$K$157,MATCH($W174,Calc!$A$2:$A$157,0)),"0.0")</f>
        <v>21.5 / 21.5</v>
      </c>
      <c r="V174" s="4" t="str">
        <f t="array" ref="V174">IFERROR(INDEX(Calc!$AQ$2:$AQ$157,MATCH($W174,Calc!$A$2:$A$157,0)),"")</f>
        <v/>
      </c>
      <c r="W174" s="4" t="s">
        <v>3220</v>
      </c>
      <c r="X174" s="4" t="s">
        <v>926</v>
      </c>
      <c r="Y174" s="4" t="str">
        <f t="shared" si="4"/>
        <v>jlf7p69t2kz7r4d|CS2 · NIP vs TL|K12</v>
      </c>
      <c r="Z174" s="12">
        <f t="array" ref="Z174">IFERROR(INDEX(CHOOSE(MATCH($X174,{"K1","K2","K3","K12","K13","H1","H2","H3","H12","H13"},0),Calc!$BA$2:$BA$157,Calc!$BB$2:$BB$157,Calc!$BC$2:$BC$157,Calc!$BD$2:$BD$157,Calc!$BE$2:$BE$157,Calc!$BF$2:$BF$157,Calc!$BG$2:$BG$157,Calc!$BH$2:$BH$157,Calc!$BI$2:$BI$157,Calc!$BJ$2:$BJ$157),MATCH($W174,Calc!$A$2:$A$157,0)),"")</f>
        <v>29.85957201</v>
      </c>
      <c r="AA174" s="12">
        <f t="array" ref="AA174">IF(Z174="","",IF(LEFT($X174,1)="H",SQRT(Z174*(IFERROR(INDEX(Calc!$AP$2:$AP$157,MATCH($W174,Calc!$A$2:$A$157,0)),0.5)*Config!$B$5+1-IFERROR(INDEX(Calc!$AP$2:$AP$157,MATCH($W174,Calc!$A$2:$A$157,0)),0.5))),SQRT(Z174*Config!$B$5)))</f>
        <v>6.46555495</v>
      </c>
      <c r="AB174" s="11">
        <f t="shared" si="5"/>
        <v>0.6424237722</v>
      </c>
      <c r="AC174" s="11">
        <f t="shared" si="6"/>
        <v>0.3575762278</v>
      </c>
      <c r="AD174" s="4" t="str">
        <f>IF(AB174="","",IF(AB174&gt;=0.5+Config!$B$6,"OVER",IF(AC174&gt;=0.5+Config!$B$6,"UNDER","—")))</f>
        <v>OVER</v>
      </c>
      <c r="AE174" s="18">
        <f t="shared" si="7"/>
        <v>0.9840075359</v>
      </c>
    </row>
    <row r="175" ht="15.75" customHeight="1">
      <c r="A175" s="4" t="s">
        <v>86</v>
      </c>
      <c r="B175" s="4" t="s">
        <v>566</v>
      </c>
      <c r="C175" s="4" t="s">
        <v>1496</v>
      </c>
      <c r="D175" s="4" t="s">
        <v>578</v>
      </c>
      <c r="E175" s="4" t="s">
        <v>370</v>
      </c>
      <c r="F175" s="4">
        <v>15.5</v>
      </c>
      <c r="G175" s="12">
        <f t="array" ref="G175">IFERROR(INDEX(CHOOSE(MATCH($X175,{"K1","K2","K3","K12","K13","H1","H2","H3","H12","H13"},0),Calc!$V$2:$V$157,Calc!$AC$2:$AC$157,Calc!$AJ$2:$AJ$157,Calc!$AL$2:$AL$157,Calc!$AM$2:$AM$157,Calc!$W$2:$W$157,Calc!$AD$2:$AD$157,Calc!$AK$2:$AK$157,Calc!$AN$2:$AN$157,Calc!$AO$2:$AO$157),MATCH($W175,Calc!$A$2:$A$157,0)),"")</f>
        <v>13.07567872</v>
      </c>
      <c r="H175" s="12">
        <f t="array" ref="H175">IF(G175="","",IF(LEFT($X175,1)="H",SQRT(G175*(IFERROR(INDEX(Calc!$AP$2:$AP$157,MATCH($W175,Calc!$A$2:$A$157,0)),0.5)*Config!$B$5+1-IFERROR(INDEX(Calc!$AP$2:$AP$157,MATCH($W175,Calc!$A$2:$A$157,0)),0.5))),SQRT(G175*Config!$B$5)))</f>
        <v>3.976094059</v>
      </c>
      <c r="I175" s="11">
        <f t="shared" si="1"/>
        <v>0.2710222182</v>
      </c>
      <c r="J175" s="11">
        <f t="shared" si="2"/>
        <v>0.7289777818</v>
      </c>
      <c r="K175" s="11">
        <f t="shared" si="3"/>
        <v>0</v>
      </c>
      <c r="L175" s="4" t="str">
        <f>IF(I175="","",IF(I175&gt;=0.5+Config!$B$6,"OVER",IF(J175&gt;=0.5+Config!$B$6,"UNDER","—")))</f>
        <v>UNDER</v>
      </c>
      <c r="N175" s="4">
        <v>14.8</v>
      </c>
      <c r="O175" s="11">
        <v>0.2</v>
      </c>
      <c r="P175" s="11">
        <v>0.3</v>
      </c>
      <c r="Q175" s="11">
        <v>0.47</v>
      </c>
      <c r="R175" s="4" t="s">
        <v>3157</v>
      </c>
      <c r="S175" s="4">
        <v>-4.0</v>
      </c>
      <c r="T175" s="4" t="str">
        <f t="array" ref="T175">INDEX(Calc!$G$2:$G$157,MATCH($W175,Calc!$A$2:$A$157,0))&amp;" / "&amp;INDEX(Calc!$H$2:$H$157,MATCH($W175,Calc!$A$2:$A$157,0))</f>
        <v>Cache / Mirage</v>
      </c>
      <c r="U175" s="4" t="str">
        <f t="array" ref="U175">TEXT(INDEX(Calc!$J$2:$J$157,MATCH($W175,Calc!$A$2:$A$157,0)),"0.0")&amp;" / "&amp;TEXT(INDEX(Calc!$K$2:$K$157,MATCH($W175,Calc!$A$2:$A$157,0)),"0.0")</f>
        <v>21.5 / 21.5</v>
      </c>
      <c r="V175" s="4" t="str">
        <f t="array" ref="V175">IFERROR(INDEX(Calc!$AQ$2:$AQ$157,MATCH($W175,Calc!$A$2:$A$157,0)),"")</f>
        <v/>
      </c>
      <c r="W175" s="4" t="s">
        <v>3221</v>
      </c>
      <c r="X175" s="4" t="s">
        <v>634</v>
      </c>
      <c r="Y175" s="4" t="str">
        <f t="shared" si="4"/>
        <v>sblclwh8nu1y7tp|CS2 · NIP vs TL|H12</v>
      </c>
      <c r="Z175" s="12">
        <f t="array" ref="Z175">IFERROR(INDEX(CHOOSE(MATCH($X175,{"K1","K2","K3","K12","K13","H1","H2","H3","H12","H13"},0),Calc!$BA$2:$BA$157,Calc!$BB$2:$BB$157,Calc!$BC$2:$BC$157,Calc!$BD$2:$BD$157,Calc!$BE$2:$BE$157,Calc!$BF$2:$BF$157,Calc!$BG$2:$BG$157,Calc!$BH$2:$BH$157,Calc!$BI$2:$BI$157,Calc!$BJ$2:$BJ$157),MATCH($W175,Calc!$A$2:$A$157,0)),"")</f>
        <v>12.8692436</v>
      </c>
      <c r="AA175" s="12">
        <f t="array" ref="AA175">IF(Z175="","",IF(LEFT($X175,1)="H",SQRT(Z175*(IFERROR(INDEX(Calc!$AP$2:$AP$157,MATCH($W175,Calc!$A$2:$A$157,0)),0.5)*Config!$B$5+1-IFERROR(INDEX(Calc!$AP$2:$AP$157,MATCH($W175,Calc!$A$2:$A$157,0)),0.5))),SQRT(Z175*Config!$B$5)))</f>
        <v>3.944582466</v>
      </c>
      <c r="AB175" s="11">
        <f t="shared" si="5"/>
        <v>0.2524087463</v>
      </c>
      <c r="AC175" s="11">
        <f t="shared" si="6"/>
        <v>0.7475912537</v>
      </c>
      <c r="AD175" s="4" t="str">
        <f>IF(AB175="","",IF(AB175&gt;=0.5+Config!$B$6,"OVER",IF(AC175&gt;=0.5+Config!$B$6,"UNDER","—")))</f>
        <v>UNDER</v>
      </c>
      <c r="AE175" s="18">
        <f t="shared" si="7"/>
        <v>0.9842122825</v>
      </c>
    </row>
    <row r="176" ht="15.75" customHeight="1">
      <c r="A176" s="4" t="s">
        <v>86</v>
      </c>
      <c r="B176" s="4" t="s">
        <v>566</v>
      </c>
      <c r="C176" s="4" t="s">
        <v>1496</v>
      </c>
      <c r="D176" s="4" t="s">
        <v>578</v>
      </c>
      <c r="E176" s="4" t="s">
        <v>772</v>
      </c>
      <c r="F176" s="4">
        <v>28.5</v>
      </c>
      <c r="G176" s="12">
        <f t="array" ref="G176">IFERROR(INDEX(CHOOSE(MATCH($X176,{"K1","K2","K3","K12","K13","H1","H2","H3","H12","H13"},0),Calc!$V$2:$V$157,Calc!$AC$2:$AC$157,Calc!$AJ$2:$AJ$157,Calc!$AL$2:$AL$157,Calc!$AM$2:$AM$157,Calc!$W$2:$W$157,Calc!$AD$2:$AD$157,Calc!$AK$2:$AK$157,Calc!$AN$2:$AN$157,Calc!$AO$2:$AO$157),MATCH($W176,Calc!$A$2:$A$157,0)),"")</f>
        <v>25.01763889</v>
      </c>
      <c r="H176" s="12">
        <f t="array" ref="H176">IF(G176="","",IF(LEFT($X176,1)="H",SQRT(G176*(IFERROR(INDEX(Calc!$AP$2:$AP$157,MATCH($W176,Calc!$A$2:$A$157,0)),0.5)*Config!$B$5+1-IFERROR(INDEX(Calc!$AP$2:$AP$157,MATCH($W176,Calc!$A$2:$A$157,0)),0.5))),SQRT(G176*Config!$B$5)))</f>
        <v>5.918166477</v>
      </c>
      <c r="I176" s="11">
        <f t="shared" si="1"/>
        <v>0.2781255716</v>
      </c>
      <c r="J176" s="11">
        <f t="shared" si="2"/>
        <v>0.7218744284</v>
      </c>
      <c r="K176" s="11">
        <f t="shared" si="3"/>
        <v>0</v>
      </c>
      <c r="L176" s="4" t="str">
        <f>IF(I176="","",IF(I176&gt;=0.5+Config!$B$6,"OVER",IF(J176&gt;=0.5+Config!$B$6,"UNDER","—")))</f>
        <v>UNDER</v>
      </c>
      <c r="N176" s="4">
        <v>27.2</v>
      </c>
      <c r="O176" s="11">
        <v>0.2</v>
      </c>
      <c r="P176" s="11">
        <v>0.3</v>
      </c>
      <c r="Q176" s="11">
        <v>0.4</v>
      </c>
      <c r="R176" s="4" t="s">
        <v>2488</v>
      </c>
      <c r="S176" s="4">
        <v>-2.0</v>
      </c>
      <c r="T176" s="4" t="str">
        <f t="array" ref="T176">INDEX(Calc!$G$2:$G$157,MATCH($W176,Calc!$A$2:$A$157,0))&amp;" / "&amp;INDEX(Calc!$H$2:$H$157,MATCH($W176,Calc!$A$2:$A$157,0))</f>
        <v>Cache / Mirage</v>
      </c>
      <c r="U176" s="4" t="str">
        <f t="array" ref="U176">TEXT(INDEX(Calc!$J$2:$J$157,MATCH($W176,Calc!$A$2:$A$157,0)),"0.0")&amp;" / "&amp;TEXT(INDEX(Calc!$K$2:$K$157,MATCH($W176,Calc!$A$2:$A$157,0)),"0.0")</f>
        <v>21.5 / 21.5</v>
      </c>
      <c r="V176" s="4" t="str">
        <f t="array" ref="V176">IFERROR(INDEX(Calc!$AQ$2:$AQ$157,MATCH($W176,Calc!$A$2:$A$157,0)),"")</f>
        <v/>
      </c>
      <c r="W176" s="4" t="s">
        <v>3221</v>
      </c>
      <c r="X176" s="4" t="s">
        <v>926</v>
      </c>
      <c r="Y176" s="4" t="str">
        <f t="shared" si="4"/>
        <v>sblclwh8nu1y7tp|CS2 · NIP vs TL|K12</v>
      </c>
      <c r="Z176" s="12">
        <f t="array" ref="Z176">IFERROR(INDEX(CHOOSE(MATCH($X176,{"K1","K2","K3","K12","K13","H1","H2","H3","H12","H13"},0),Calc!$BA$2:$BA$157,Calc!$BB$2:$BB$157,Calc!$BC$2:$BC$157,Calc!$BD$2:$BD$157,Calc!$BE$2:$BE$157,Calc!$BF$2:$BF$157,Calc!$BG$2:$BG$157,Calc!$BH$2:$BH$157,Calc!$BI$2:$BI$157,Calc!$BJ$2:$BJ$157),MATCH($W176,Calc!$A$2:$A$157,0)),"")</f>
        <v>24.62296929</v>
      </c>
      <c r="AA176" s="12">
        <f t="array" ref="AA176">IF(Z176="","",IF(LEFT($X176,1)="H",SQRT(Z176*(IFERROR(INDEX(Calc!$AP$2:$AP$157,MATCH($W176,Calc!$A$2:$A$157,0)),0.5)*Config!$B$5+1-IFERROR(INDEX(Calc!$AP$2:$AP$157,MATCH($W176,Calc!$A$2:$A$157,0)),0.5))),SQRT(Z176*Config!$B$5)))</f>
        <v>5.871299431</v>
      </c>
      <c r="AB176" s="11">
        <f t="shared" si="5"/>
        <v>0.2545190985</v>
      </c>
      <c r="AC176" s="11">
        <f t="shared" si="6"/>
        <v>0.7454809015</v>
      </c>
      <c r="AD176" s="4" t="str">
        <f>IF(AB176="","",IF(AB176&gt;=0.5+Config!$B$6,"OVER",IF(AC176&gt;=0.5+Config!$B$6,"UNDER","—")))</f>
        <v>UNDER</v>
      </c>
      <c r="AE176" s="18">
        <f t="shared" si="7"/>
        <v>0.9842243467</v>
      </c>
    </row>
    <row r="177" ht="15.75" customHeight="1">
      <c r="A177" s="4" t="s">
        <v>86</v>
      </c>
      <c r="B177" s="4" t="s">
        <v>566</v>
      </c>
      <c r="C177" s="4" t="s">
        <v>1499</v>
      </c>
      <c r="D177" s="4" t="s">
        <v>578</v>
      </c>
      <c r="E177" s="4" t="s">
        <v>370</v>
      </c>
      <c r="F177" s="4">
        <v>9.5</v>
      </c>
      <c r="G177" s="12">
        <f t="array" ref="G177">IFERROR(INDEX(CHOOSE(MATCH($X177,{"K1","K2","K3","K12","K13","H1","H2","H3","H12","H13"},0),Calc!$V$2:$V$157,Calc!$AC$2:$AC$157,Calc!$AJ$2:$AJ$157,Calc!$AL$2:$AL$157,Calc!$AM$2:$AM$157,Calc!$W$2:$W$157,Calc!$AD$2:$AD$157,Calc!$AK$2:$AK$157,Calc!$AN$2:$AN$157,Calc!$AO$2:$AO$157),MATCH($W177,Calc!$A$2:$A$157,0)),"")</f>
        <v>9.926729167</v>
      </c>
      <c r="H177" s="12">
        <f t="array" ref="H177">IF(G177="","",IF(LEFT($X177,1)="H",SQRT(G177*(IFERROR(INDEX(Calc!$AP$2:$AP$157,MATCH($W177,Calc!$A$2:$A$157,0)),0.5)*Config!$B$5+1-IFERROR(INDEX(Calc!$AP$2:$AP$157,MATCH($W177,Calc!$A$2:$A$157,0)),0.5))),SQRT(G177*Config!$B$5)))</f>
        <v>3.338460646</v>
      </c>
      <c r="I177" s="11">
        <f t="shared" si="1"/>
        <v>0.5508551336</v>
      </c>
      <c r="J177" s="11">
        <f t="shared" si="2"/>
        <v>0.4491448664</v>
      </c>
      <c r="K177" s="11">
        <f t="shared" si="3"/>
        <v>0</v>
      </c>
      <c r="L177" s="4" t="str">
        <f>IF(I177="","",IF(I177&gt;=0.5+Config!$B$6,"OVER",IF(J177&gt;=0.5+Config!$B$6,"UNDER","—")))</f>
        <v>OVER</v>
      </c>
      <c r="N177" s="4">
        <v>9.8</v>
      </c>
      <c r="O177" s="11">
        <v>0.4</v>
      </c>
      <c r="P177" s="11">
        <v>0.3</v>
      </c>
      <c r="Q177" s="11">
        <v>0.4</v>
      </c>
      <c r="R177" s="4" t="s">
        <v>1158</v>
      </c>
      <c r="S177" s="4">
        <v>-2.0</v>
      </c>
      <c r="T177" s="4" t="str">
        <f t="array" ref="T177">INDEX(Calc!$G$2:$G$157,MATCH($W177,Calc!$A$2:$A$157,0))&amp;" / "&amp;INDEX(Calc!$H$2:$H$157,MATCH($W177,Calc!$A$2:$A$157,0))</f>
        <v>Cache / Mirage</v>
      </c>
      <c r="U177" s="4" t="str">
        <f t="array" ref="U177">TEXT(INDEX(Calc!$J$2:$J$157,MATCH($W177,Calc!$A$2:$A$157,0)),"0.0")&amp;" / "&amp;TEXT(INDEX(Calc!$K$2:$K$157,MATCH($W177,Calc!$A$2:$A$157,0)),"0.0")</f>
        <v>21.5 / 21.5</v>
      </c>
      <c r="V177" s="4" t="str">
        <f t="array" ref="V177">IFERROR(INDEX(Calc!$AQ$2:$AQ$157,MATCH($W177,Calc!$A$2:$A$157,0)),"")</f>
        <v/>
      </c>
      <c r="W177" s="4" t="s">
        <v>3222</v>
      </c>
      <c r="X177" s="4" t="s">
        <v>634</v>
      </c>
      <c r="Y177" s="4" t="str">
        <f t="shared" si="4"/>
        <v>aoyem2d0er1hake|CS2 · NIP vs TL|H12</v>
      </c>
      <c r="Z177" s="12">
        <f t="array" ref="Z177">IFERROR(INDEX(CHOOSE(MATCH($X177,{"K1","K2","K3","K12","K13","H1","H2","H3","H12","H13"},0),Calc!$BA$2:$BA$157,Calc!$BB$2:$BB$157,Calc!$BC$2:$BC$157,Calc!$BD$2:$BD$157,Calc!$BE$2:$BE$157,Calc!$BF$2:$BF$157,Calc!$BG$2:$BG$157,Calc!$BH$2:$BH$157,Calc!$BI$2:$BI$157,Calc!$BJ$2:$BJ$157),MATCH($W177,Calc!$A$2:$A$157,0)),"")</f>
        <v>9.771349849</v>
      </c>
      <c r="AA177" s="12">
        <f t="array" ref="AA177">IF(Z177="","",IF(LEFT($X177,1)="H",SQRT(Z177*(IFERROR(INDEX(Calc!$AP$2:$AP$157,MATCH($W177,Calc!$A$2:$A$157,0)),0.5)*Config!$B$5+1-IFERROR(INDEX(Calc!$AP$2:$AP$157,MATCH($W177,Calc!$A$2:$A$157,0)),0.5))),SQRT(Z177*Config!$B$5)))</f>
        <v>3.312229768</v>
      </c>
      <c r="AB177" s="11">
        <f t="shared" si="5"/>
        <v>0.5326462738</v>
      </c>
      <c r="AC177" s="11">
        <f t="shared" si="6"/>
        <v>0.4673537262</v>
      </c>
      <c r="AD177" s="4" t="str">
        <f>IF(AB177="","",IF(AB177&gt;=0.5+Config!$B$6,"OVER",IF(AC177&gt;=0.5+Config!$B$6,"UNDER","—")))</f>
        <v>—</v>
      </c>
      <c r="AE177" s="18">
        <f t="shared" si="7"/>
        <v>0.9843473802</v>
      </c>
    </row>
    <row r="178" ht="15.75" customHeight="1">
      <c r="A178" s="4" t="s">
        <v>86</v>
      </c>
      <c r="B178" s="4" t="s">
        <v>566</v>
      </c>
      <c r="C178" s="4" t="s">
        <v>1499</v>
      </c>
      <c r="D178" s="4" t="s">
        <v>578</v>
      </c>
      <c r="E178" s="4" t="s">
        <v>772</v>
      </c>
      <c r="F178" s="4">
        <v>31.5</v>
      </c>
      <c r="G178" s="12">
        <f t="array" ref="G178">IFERROR(INDEX(CHOOSE(MATCH($X178,{"K1","K2","K3","K12","K13","H1","H2","H3","H12","H13"},0),Calc!$V$2:$V$157,Calc!$AC$2:$AC$157,Calc!$AJ$2:$AJ$157,Calc!$AL$2:$AL$157,Calc!$AM$2:$AM$157,Calc!$W$2:$W$157,Calc!$AD$2:$AD$157,Calc!$AK$2:$AK$157,Calc!$AN$2:$AN$157,Calc!$AO$2:$AO$157),MATCH($W178,Calc!$A$2:$A$157,0)),"")</f>
        <v>32.34555556</v>
      </c>
      <c r="H178" s="12">
        <f t="array" ref="H178">IF(G178="","",IF(LEFT($X178,1)="H",SQRT(G178*(IFERROR(INDEX(Calc!$AP$2:$AP$157,MATCH($W178,Calc!$A$2:$A$157,0)),0.5)*Config!$B$5+1-IFERROR(INDEX(Calc!$AP$2:$AP$157,MATCH($W178,Calc!$A$2:$A$157,0)),0.5))),SQRT(G178*Config!$B$5)))</f>
        <v>6.729322238</v>
      </c>
      <c r="I178" s="11">
        <f t="shared" si="1"/>
        <v>0.5499964627</v>
      </c>
      <c r="J178" s="11">
        <f t="shared" si="2"/>
        <v>0.4500035373</v>
      </c>
      <c r="K178" s="11">
        <f t="shared" si="3"/>
        <v>0</v>
      </c>
      <c r="L178" s="4" t="str">
        <f>IF(I178="","",IF(I178&gt;=0.5+Config!$B$6,"OVER",IF(J178&gt;=0.5+Config!$B$6,"UNDER","—")))</f>
        <v>OVER</v>
      </c>
      <c r="N178" s="4">
        <v>31.8</v>
      </c>
      <c r="O178" s="11">
        <v>0.6</v>
      </c>
      <c r="P178" s="11">
        <v>0.5</v>
      </c>
      <c r="Q178" s="11">
        <v>0.33</v>
      </c>
      <c r="R178" s="4" t="s">
        <v>1176</v>
      </c>
      <c r="S178" s="4">
        <v>-2.0</v>
      </c>
      <c r="T178" s="4" t="str">
        <f t="array" ref="T178">INDEX(Calc!$G$2:$G$157,MATCH($W178,Calc!$A$2:$A$157,0))&amp;" / "&amp;INDEX(Calc!$H$2:$H$157,MATCH($W178,Calc!$A$2:$A$157,0))</f>
        <v>Cache / Mirage</v>
      </c>
      <c r="U178" s="4" t="str">
        <f t="array" ref="U178">TEXT(INDEX(Calc!$J$2:$J$157,MATCH($W178,Calc!$A$2:$A$157,0)),"0.0")&amp;" / "&amp;TEXT(INDEX(Calc!$K$2:$K$157,MATCH($W178,Calc!$A$2:$A$157,0)),"0.0")</f>
        <v>21.5 / 21.5</v>
      </c>
      <c r="V178" s="4" t="str">
        <f t="array" ref="V178">IFERROR(INDEX(Calc!$AQ$2:$AQ$157,MATCH($W178,Calc!$A$2:$A$157,0)),"")</f>
        <v/>
      </c>
      <c r="W178" s="4" t="s">
        <v>3222</v>
      </c>
      <c r="X178" s="4" t="s">
        <v>926</v>
      </c>
      <c r="Y178" s="4" t="str">
        <f t="shared" si="4"/>
        <v>aoyem2d0er1hake|CS2 · NIP vs TL|K12</v>
      </c>
      <c r="Z178" s="12">
        <f t="array" ref="Z178">IFERROR(INDEX(CHOOSE(MATCH($X178,{"K1","K2","K3","K12","K13","H1","H2","H3","H12","H13"},0),Calc!$BA$2:$BA$157,Calc!$BB$2:$BB$157,Calc!$BC$2:$BC$157,Calc!$BD$2:$BD$157,Calc!$BE$2:$BE$157,Calc!$BF$2:$BF$157,Calc!$BG$2:$BG$157,Calc!$BH$2:$BH$157,Calc!$BI$2:$BI$157,Calc!$BJ$2:$BJ$157),MATCH($W178,Calc!$A$2:$A$157,0)),"")</f>
        <v>31.83554423</v>
      </c>
      <c r="AA178" s="12">
        <f t="array" ref="AA178">IF(Z178="","",IF(LEFT($X178,1)="H",SQRT(Z178*(IFERROR(INDEX(Calc!$AP$2:$AP$157,MATCH($W178,Calc!$A$2:$A$157,0)),0.5)*Config!$B$5+1-IFERROR(INDEX(Calc!$AP$2:$AP$157,MATCH($W178,Calc!$A$2:$A$157,0)),0.5))),SQRT(Z178*Config!$B$5)))</f>
        <v>6.676058861</v>
      </c>
      <c r="AB178" s="11">
        <f t="shared" si="5"/>
        <v>0.5200427295</v>
      </c>
      <c r="AC178" s="11">
        <f t="shared" si="6"/>
        <v>0.4799572705</v>
      </c>
      <c r="AD178" s="4" t="str">
        <f>IF(AB178="","",IF(AB178&gt;=0.5+Config!$B$6,"OVER",IF(AC178&gt;=0.5+Config!$B$6,"UNDER","—")))</f>
        <v>—</v>
      </c>
      <c r="AE178" s="18">
        <f t="shared" si="7"/>
        <v>0.9842324141</v>
      </c>
    </row>
    <row r="179" ht="15.75" customHeight="1">
      <c r="A179" s="4" t="s">
        <v>86</v>
      </c>
      <c r="B179" s="4" t="s">
        <v>566</v>
      </c>
      <c r="C179" s="4" t="s">
        <v>1502</v>
      </c>
      <c r="D179" s="4" t="s">
        <v>578</v>
      </c>
      <c r="E179" s="4" t="s">
        <v>370</v>
      </c>
      <c r="F179" s="4">
        <v>16.5</v>
      </c>
      <c r="G179" s="12">
        <f t="array" ref="G179">IFERROR(INDEX(CHOOSE(MATCH($X179,{"K1","K2","K3","K12","K13","H1","H2","H3","H12","H13"},0),Calc!$V$2:$V$157,Calc!$AC$2:$AC$157,Calc!$AJ$2:$AJ$157,Calc!$AL$2:$AL$157,Calc!$AM$2:$AM$157,Calc!$W$2:$W$157,Calc!$AD$2:$AD$157,Calc!$AK$2:$AK$157,Calc!$AN$2:$AN$157,Calc!$AO$2:$AO$157),MATCH($W179,Calc!$A$2:$A$157,0)),"")</f>
        <v>17.16549847</v>
      </c>
      <c r="H179" s="12">
        <f t="array" ref="H179">IF(G179="","",IF(LEFT($X179,1)="H",SQRT(G179*(IFERROR(INDEX(Calc!$AP$2:$AP$157,MATCH($W179,Calc!$A$2:$A$157,0)),0.5)*Config!$B$5+1-IFERROR(INDEX(Calc!$AP$2:$AP$157,MATCH($W179,Calc!$A$2:$A$157,0)),0.5))),SQRT(G179*Config!$B$5)))</f>
        <v>4.61325266</v>
      </c>
      <c r="I179" s="11">
        <f t="shared" si="1"/>
        <v>0.5573516176</v>
      </c>
      <c r="J179" s="11">
        <f t="shared" si="2"/>
        <v>0.4426483824</v>
      </c>
      <c r="K179" s="11">
        <f t="shared" si="3"/>
        <v>0</v>
      </c>
      <c r="L179" s="4" t="str">
        <f>IF(I179="","",IF(I179&gt;=0.5+Config!$B$6,"OVER",IF(J179&gt;=0.5+Config!$B$6,"UNDER","—")))</f>
        <v>OVER</v>
      </c>
      <c r="N179" s="4">
        <v>16.0</v>
      </c>
      <c r="O179" s="11">
        <v>0.2</v>
      </c>
      <c r="P179" s="11">
        <v>0.4</v>
      </c>
      <c r="Q179" s="11">
        <v>0.4</v>
      </c>
      <c r="R179" s="4" t="s">
        <v>1296</v>
      </c>
      <c r="S179" s="4">
        <v>-4.0</v>
      </c>
      <c r="T179" s="4" t="str">
        <f t="array" ref="T179">INDEX(Calc!$G$2:$G$157,MATCH($W179,Calc!$A$2:$A$157,0))&amp;" / "&amp;INDEX(Calc!$H$2:$H$157,MATCH($W179,Calc!$A$2:$A$157,0))</f>
        <v>Cache / Mirage</v>
      </c>
      <c r="U179" s="4" t="str">
        <f t="array" ref="U179">TEXT(INDEX(Calc!$J$2:$J$157,MATCH($W179,Calc!$A$2:$A$157,0)),"0.0")&amp;" / "&amp;TEXT(INDEX(Calc!$K$2:$K$157,MATCH($W179,Calc!$A$2:$A$157,0)),"0.0")</f>
        <v>21.5 / 21.5</v>
      </c>
      <c r="V179" s="4" t="str">
        <f t="array" ref="V179">IFERROR(INDEX(Calc!$AQ$2:$AQ$157,MATCH($W179,Calc!$A$2:$A$157,0)),"")</f>
        <v/>
      </c>
      <c r="W179" s="4" t="s">
        <v>3223</v>
      </c>
      <c r="X179" s="4" t="s">
        <v>634</v>
      </c>
      <c r="Y179" s="4" t="str">
        <f t="shared" si="4"/>
        <v>agoz9fkr6j2rnlx|CS2 · NIP vs TL|H12</v>
      </c>
      <c r="Z179" s="12">
        <f t="array" ref="Z179">IFERROR(INDEX(CHOOSE(MATCH($X179,{"K1","K2","K3","K12","K13","H1","H2","H3","H12","H13"},0),Calc!$BA$2:$BA$157,Calc!$BB$2:$BB$157,Calc!$BC$2:$BC$157,Calc!$BD$2:$BD$157,Calc!$BE$2:$BE$157,Calc!$BF$2:$BF$157,Calc!$BG$2:$BG$157,Calc!$BH$2:$BH$157,Calc!$BI$2:$BI$157,Calc!$BJ$2:$BJ$157),MATCH($W179,Calc!$A$2:$A$157,0)),"")</f>
        <v>16.8980199</v>
      </c>
      <c r="AA179" s="12">
        <f t="array" ref="AA179">IF(Z179="","",IF(LEFT($X179,1)="H",SQRT(Z179*(IFERROR(INDEX(Calc!$AP$2:$AP$157,MATCH($W179,Calc!$A$2:$A$157,0)),0.5)*Config!$B$5+1-IFERROR(INDEX(Calc!$AP$2:$AP$157,MATCH($W179,Calc!$A$2:$A$157,0)),0.5))),SQRT(Z179*Config!$B$5)))</f>
        <v>4.577168913</v>
      </c>
      <c r="AB179" s="11">
        <f t="shared" si="5"/>
        <v>0.5346474168</v>
      </c>
      <c r="AC179" s="11">
        <f t="shared" si="6"/>
        <v>0.4653525832</v>
      </c>
      <c r="AD179" s="4" t="str">
        <f>IF(AB179="","",IF(AB179&gt;=0.5+Config!$B$6,"OVER",IF(AC179&gt;=0.5+Config!$B$6,"UNDER","—")))</f>
        <v>—</v>
      </c>
      <c r="AE179" s="18">
        <f t="shared" si="7"/>
        <v>0.9844176637</v>
      </c>
    </row>
    <row r="180" ht="15.75" customHeight="1">
      <c r="A180" s="4" t="s">
        <v>86</v>
      </c>
      <c r="B180" s="4" t="s">
        <v>566</v>
      </c>
      <c r="C180" s="4" t="s">
        <v>1502</v>
      </c>
      <c r="D180" s="4" t="s">
        <v>578</v>
      </c>
      <c r="E180" s="4" t="s">
        <v>772</v>
      </c>
      <c r="F180" s="4">
        <v>29.5</v>
      </c>
      <c r="G180" s="12">
        <f t="array" ref="G180">IFERROR(INDEX(CHOOSE(MATCH($X180,{"K1","K2","K3","K12","K13","H1","H2","H3","H12","H13"},0),Calc!$V$2:$V$157,Calc!$AC$2:$AC$157,Calc!$AJ$2:$AJ$157,Calc!$AL$2:$AL$157,Calc!$AM$2:$AM$157,Calc!$W$2:$W$157,Calc!$AD$2:$AD$157,Calc!$AK$2:$AK$157,Calc!$AN$2:$AN$157,Calc!$AO$2:$AO$157),MATCH($W180,Calc!$A$2:$A$157,0)),"")</f>
        <v>28.63083333</v>
      </c>
      <c r="H180" s="12">
        <f t="array" ref="H180">IF(G180="","",IF(LEFT($X180,1)="H",SQRT(G180*(IFERROR(INDEX(Calc!$AP$2:$AP$157,MATCH($W180,Calc!$A$2:$A$157,0)),0.5)*Config!$B$5+1-IFERROR(INDEX(Calc!$AP$2:$AP$157,MATCH($W180,Calc!$A$2:$A$157,0)),0.5))),SQRT(G180*Config!$B$5)))</f>
        <v>6.331126809</v>
      </c>
      <c r="I180" s="11">
        <f t="shared" si="1"/>
        <v>0.4454028929</v>
      </c>
      <c r="J180" s="11">
        <f t="shared" si="2"/>
        <v>0.5545971071</v>
      </c>
      <c r="K180" s="11">
        <f t="shared" si="3"/>
        <v>0</v>
      </c>
      <c r="L180" s="4" t="str">
        <f>IF(I180="","",IF(I180&gt;=0.5+Config!$B$6,"OVER",IF(J180&gt;=0.5+Config!$B$6,"UNDER","—")))</f>
        <v>UNDER</v>
      </c>
      <c r="N180" s="4">
        <v>28.2</v>
      </c>
      <c r="O180" s="11">
        <v>0.0</v>
      </c>
      <c r="P180" s="11">
        <v>0.2</v>
      </c>
      <c r="Q180" s="11">
        <v>0.4</v>
      </c>
      <c r="R180" s="4" t="s">
        <v>2488</v>
      </c>
      <c r="S180" s="4">
        <v>-5.0</v>
      </c>
      <c r="T180" s="4" t="str">
        <f t="array" ref="T180">INDEX(Calc!$G$2:$G$157,MATCH($W180,Calc!$A$2:$A$157,0))&amp;" / "&amp;INDEX(Calc!$H$2:$H$157,MATCH($W180,Calc!$A$2:$A$157,0))</f>
        <v>Cache / Mirage</v>
      </c>
      <c r="U180" s="4" t="str">
        <f t="array" ref="U180">TEXT(INDEX(Calc!$J$2:$J$157,MATCH($W180,Calc!$A$2:$A$157,0)),"0.0")&amp;" / "&amp;TEXT(INDEX(Calc!$K$2:$K$157,MATCH($W180,Calc!$A$2:$A$157,0)),"0.0")</f>
        <v>21.5 / 21.5</v>
      </c>
      <c r="V180" s="4" t="str">
        <f t="array" ref="V180">IFERROR(INDEX(Calc!$AQ$2:$AQ$157,MATCH($W180,Calc!$A$2:$A$157,0)),"")</f>
        <v/>
      </c>
      <c r="W180" s="4" t="s">
        <v>3223</v>
      </c>
      <c r="X180" s="4" t="s">
        <v>926</v>
      </c>
      <c r="Y180" s="4" t="str">
        <f t="shared" si="4"/>
        <v>agoz9fkr6j2rnlx|CS2 · NIP vs TL|K12</v>
      </c>
      <c r="Z180" s="12">
        <f t="array" ref="Z180">IFERROR(INDEX(CHOOSE(MATCH($X180,{"K1","K2","K3","K12","K13","H1","H2","H3","H12","H13"},0),Calc!$BA$2:$BA$157,Calc!$BB$2:$BB$157,Calc!$BC$2:$BC$157,Calc!$BD$2:$BD$157,Calc!$BE$2:$BE$157,Calc!$BF$2:$BF$157,Calc!$BG$2:$BG$157,Calc!$BH$2:$BH$157,Calc!$BI$2:$BI$157,Calc!$BJ$2:$BJ$157),MATCH($W180,Calc!$A$2:$A$157,0)),"")</f>
        <v>28.18110521</v>
      </c>
      <c r="AA180" s="12">
        <f t="array" ref="AA180">IF(Z180="","",IF(LEFT($X180,1)="H",SQRT(Z180*(IFERROR(INDEX(Calc!$AP$2:$AP$157,MATCH($W180,Calc!$A$2:$A$157,0)),0.5)*Config!$B$5+1-IFERROR(INDEX(Calc!$AP$2:$AP$157,MATCH($W180,Calc!$A$2:$A$157,0)),0.5))),SQRT(Z180*Config!$B$5)))</f>
        <v>6.281205879</v>
      </c>
      <c r="AB180" s="11">
        <f t="shared" si="5"/>
        <v>0.4168436806</v>
      </c>
      <c r="AC180" s="11">
        <f t="shared" si="6"/>
        <v>0.5831563194</v>
      </c>
      <c r="AD180" s="4" t="str">
        <f>IF(AB180="","",IF(AB180&gt;=0.5+Config!$B$6,"OVER",IF(AC180&gt;=0.5+Config!$B$6,"UNDER","—")))</f>
        <v>UNDER</v>
      </c>
      <c r="AE180" s="18">
        <f t="shared" si="7"/>
        <v>0.9842921749</v>
      </c>
    </row>
    <row r="181" ht="15.75" customHeight="1">
      <c r="A181" s="4" t="s">
        <v>86</v>
      </c>
      <c r="B181" s="4" t="s">
        <v>566</v>
      </c>
      <c r="C181" s="4" t="s">
        <v>1532</v>
      </c>
      <c r="D181" s="4" t="s">
        <v>580</v>
      </c>
      <c r="E181" s="4" t="s">
        <v>370</v>
      </c>
      <c r="F181" s="4">
        <v>17.5</v>
      </c>
      <c r="G181" s="12">
        <f t="array" ref="G181">IFERROR(INDEX(CHOOSE(MATCH($X181,{"K1","K2","K3","K12","K13","H1","H2","H3","H12","H13"},0),Calc!$V$2:$V$157,Calc!$AC$2:$AC$157,Calc!$AJ$2:$AJ$157,Calc!$AL$2:$AL$157,Calc!$AM$2:$AM$157,Calc!$W$2:$W$157,Calc!$AD$2:$AD$157,Calc!$AK$2:$AK$157,Calc!$AN$2:$AN$157,Calc!$AO$2:$AO$157),MATCH($W181,Calc!$A$2:$A$157,0)),"")</f>
        <v>20.05382127</v>
      </c>
      <c r="H181" s="12">
        <f t="array" ref="H181">IF(G181="","",IF(LEFT($X181,1)="H",SQRT(G181*(IFERROR(INDEX(Calc!$AP$2:$AP$157,MATCH($W181,Calc!$A$2:$A$157,0)),0.5)*Config!$B$5+1-IFERROR(INDEX(Calc!$AP$2:$AP$157,MATCH($W181,Calc!$A$2:$A$157,0)),0.5))),SQRT(G181*Config!$B$5)))</f>
        <v>4.956886022</v>
      </c>
      <c r="I181" s="11">
        <f t="shared" si="1"/>
        <v>0.6967957329</v>
      </c>
      <c r="J181" s="11">
        <f t="shared" si="2"/>
        <v>0.3032042671</v>
      </c>
      <c r="K181" s="11">
        <f t="shared" si="3"/>
        <v>0</v>
      </c>
      <c r="L181" s="4" t="str">
        <f>IF(I181="","",IF(I181&gt;=0.5+Config!$B$6,"OVER",IF(J181&gt;=0.5+Config!$B$6,"UNDER","—")))</f>
        <v>OVER</v>
      </c>
      <c r="N181" s="4">
        <v>18.0</v>
      </c>
      <c r="O181" s="11">
        <v>0.2</v>
      </c>
      <c r="P181" s="11">
        <v>0.5</v>
      </c>
      <c r="Q181" s="11">
        <v>0.6</v>
      </c>
      <c r="R181" s="4" t="s">
        <v>3176</v>
      </c>
      <c r="S181" s="4">
        <v>-3.0</v>
      </c>
      <c r="T181" s="4" t="str">
        <f t="array" ref="T181">INDEX(Calc!$G$2:$G$157,MATCH($W181,Calc!$A$2:$A$157,0))&amp;" / "&amp;INDEX(Calc!$H$2:$H$157,MATCH($W181,Calc!$A$2:$A$157,0))</f>
        <v>Cache / Mirage</v>
      </c>
      <c r="U181" s="4" t="str">
        <f t="array" ref="U181">TEXT(INDEX(Calc!$J$2:$J$157,MATCH($W181,Calc!$A$2:$A$157,0)),"0.0")&amp;" / "&amp;TEXT(INDEX(Calc!$K$2:$K$157,MATCH($W181,Calc!$A$2:$A$157,0)),"0.0")</f>
        <v>21.5 / 21.5</v>
      </c>
      <c r="V181" s="4" t="str">
        <f t="array" ref="V181">IFERROR(INDEX(Calc!$AQ$2:$AQ$157,MATCH($W181,Calc!$A$2:$A$157,0)),"")</f>
        <v/>
      </c>
      <c r="W181" s="4" t="s">
        <v>3224</v>
      </c>
      <c r="X181" s="4" t="s">
        <v>634</v>
      </c>
      <c r="Y181" s="4" t="str">
        <f t="shared" si="4"/>
        <v>we8rbjpf65bc2tn|CS2 · NIP vs TL|H12</v>
      </c>
      <c r="Z181" s="12">
        <f t="array" ref="Z181">IFERROR(INDEX(CHOOSE(MATCH($X181,{"K1","K2","K3","K12","K13","H1","H2","H3","H12","H13"},0),Calc!$BA$2:$BA$157,Calc!$BB$2:$BB$157,Calc!$BC$2:$BC$157,Calc!$BD$2:$BD$157,Calc!$BE$2:$BE$157,Calc!$BF$2:$BF$157,Calc!$BG$2:$BG$157,Calc!$BH$2:$BH$157,Calc!$BI$2:$BI$157,Calc!$BJ$2:$BJ$157),MATCH($W181,Calc!$A$2:$A$157,0)),"")</f>
        <v>18.92141381</v>
      </c>
      <c r="AA181" s="12">
        <f t="array" ref="AA181">IF(Z181="","",IF(LEFT($X181,1)="H",SQRT(Z181*(IFERROR(INDEX(Calc!$AP$2:$AP$157,MATCH($W181,Calc!$A$2:$A$157,0)),0.5)*Config!$B$5+1-IFERROR(INDEX(Calc!$AP$2:$AP$157,MATCH($W181,Calc!$A$2:$A$157,0)),0.5))),SQRT(Z181*Config!$B$5)))</f>
        <v>4.814898704</v>
      </c>
      <c r="AB181" s="11">
        <f t="shared" si="5"/>
        <v>0.6160838685</v>
      </c>
      <c r="AC181" s="11">
        <f t="shared" si="6"/>
        <v>0.3839161315</v>
      </c>
      <c r="AD181" s="4" t="str">
        <f>IF(AB181="","",IF(AB181&gt;=0.5+Config!$B$6,"OVER",IF(AC181&gt;=0.5+Config!$B$6,"UNDER","—")))</f>
        <v>OVER</v>
      </c>
      <c r="AE181" s="18">
        <f t="shared" si="7"/>
        <v>0.9435315873</v>
      </c>
    </row>
    <row r="182" ht="15.75" customHeight="1">
      <c r="A182" s="4" t="s">
        <v>86</v>
      </c>
      <c r="B182" s="4" t="s">
        <v>566</v>
      </c>
      <c r="C182" s="4" t="s">
        <v>1532</v>
      </c>
      <c r="D182" s="4" t="s">
        <v>580</v>
      </c>
      <c r="E182" s="4" t="s">
        <v>772</v>
      </c>
      <c r="F182" s="4">
        <v>32.5</v>
      </c>
      <c r="G182" s="12">
        <f t="array" ref="G182">IFERROR(INDEX(CHOOSE(MATCH($X182,{"K1","K2","K3","K12","K13","H1","H2","H3","H12","H13"},0),Calc!$V$2:$V$157,Calc!$AC$2:$AC$157,Calc!$AJ$2:$AJ$157,Calc!$AL$2:$AL$157,Calc!$AM$2:$AM$157,Calc!$W$2:$W$157,Calc!$AD$2:$AD$157,Calc!$AK$2:$AK$157,Calc!$AN$2:$AN$157,Calc!$AO$2:$AO$157),MATCH($W182,Calc!$A$2:$A$157,0)),"")</f>
        <v>35.61344697</v>
      </c>
      <c r="H182" s="12">
        <f t="array" ref="H182">IF(G182="","",IF(LEFT($X182,1)="H",SQRT(G182*(IFERROR(INDEX(Calc!$AP$2:$AP$157,MATCH($W182,Calc!$A$2:$A$157,0)),0.5)*Config!$B$5+1-IFERROR(INDEX(Calc!$AP$2:$AP$157,MATCH($W182,Calc!$A$2:$A$157,0)),0.5))),SQRT(G182*Config!$B$5)))</f>
        <v>7.061078229</v>
      </c>
      <c r="I182" s="11">
        <f t="shared" si="1"/>
        <v>0.6703684574</v>
      </c>
      <c r="J182" s="11">
        <f t="shared" si="2"/>
        <v>0.3296315426</v>
      </c>
      <c r="K182" s="11">
        <f t="shared" si="3"/>
        <v>0</v>
      </c>
      <c r="L182" s="4" t="str">
        <f>IF(I182="","",IF(I182&gt;=0.5+Config!$B$6,"OVER",IF(J182&gt;=0.5+Config!$B$6,"UNDER","—")))</f>
        <v>OVER</v>
      </c>
      <c r="N182" s="4">
        <v>30.7</v>
      </c>
      <c r="O182" s="11">
        <v>0.2</v>
      </c>
      <c r="P182" s="11">
        <v>0.2</v>
      </c>
      <c r="Q182" s="11">
        <v>0.27</v>
      </c>
      <c r="R182" s="4" t="s">
        <v>3176</v>
      </c>
      <c r="S182" s="4">
        <v>-3.0</v>
      </c>
      <c r="T182" s="4" t="str">
        <f t="array" ref="T182">INDEX(Calc!$G$2:$G$157,MATCH($W182,Calc!$A$2:$A$157,0))&amp;" / "&amp;INDEX(Calc!$H$2:$H$157,MATCH($W182,Calc!$A$2:$A$157,0))</f>
        <v>Cache / Mirage</v>
      </c>
      <c r="U182" s="4" t="str">
        <f t="array" ref="U182">TEXT(INDEX(Calc!$J$2:$J$157,MATCH($W182,Calc!$A$2:$A$157,0)),"0.0")&amp;" / "&amp;TEXT(INDEX(Calc!$K$2:$K$157,MATCH($W182,Calc!$A$2:$A$157,0)),"0.0")</f>
        <v>21.5 / 21.5</v>
      </c>
      <c r="V182" s="4" t="str">
        <f t="array" ref="V182">IFERROR(INDEX(Calc!$AQ$2:$AQ$157,MATCH($W182,Calc!$A$2:$A$157,0)),"")</f>
        <v/>
      </c>
      <c r="W182" s="4" t="s">
        <v>3224</v>
      </c>
      <c r="X182" s="4" t="s">
        <v>926</v>
      </c>
      <c r="Y182" s="4" t="str">
        <f t="shared" si="4"/>
        <v>we8rbjpf65bc2tn|CS2 · NIP vs TL|K12</v>
      </c>
      <c r="Z182" s="12">
        <f t="array" ref="Z182">IFERROR(INDEX(CHOOSE(MATCH($X182,{"K1","K2","K3","K12","K13","H1","H2","H3","H12","H13"},0),Calc!$BA$2:$BA$157,Calc!$BB$2:$BB$157,Calc!$BC$2:$BC$157,Calc!$BD$2:$BD$157,Calc!$BE$2:$BE$157,Calc!$BF$2:$BF$157,Calc!$BG$2:$BG$157,Calc!$BH$2:$BH$157,Calc!$BI$2:$BI$157,Calc!$BJ$2:$BJ$157),MATCH($W182,Calc!$A$2:$A$157,0)),"")</f>
        <v>33.59765833</v>
      </c>
      <c r="AA182" s="12">
        <f t="array" ref="AA182">IF(Z182="","",IF(LEFT($X182,1)="H",SQRT(Z182*(IFERROR(INDEX(Calc!$AP$2:$AP$157,MATCH($W182,Calc!$A$2:$A$157,0)),0.5)*Config!$B$5+1-IFERROR(INDEX(Calc!$AP$2:$AP$157,MATCH($W182,Calc!$A$2:$A$157,0)),0.5))),SQRT(Z182*Config!$B$5)))</f>
        <v>6.85833228</v>
      </c>
      <c r="AB182" s="11">
        <f t="shared" si="5"/>
        <v>0.5635781368</v>
      </c>
      <c r="AC182" s="11">
        <f t="shared" si="6"/>
        <v>0.4364218632</v>
      </c>
      <c r="AD182" s="4" t="str">
        <f>IF(AB182="","",IF(AB182&gt;=0.5+Config!$B$6,"OVER",IF(AC182&gt;=0.5+Config!$B$6,"UNDER","—")))</f>
        <v>OVER</v>
      </c>
      <c r="AE182" s="18">
        <f t="shared" si="7"/>
        <v>0.9433981035</v>
      </c>
    </row>
    <row r="183" ht="15.75" customHeight="1">
      <c r="A183" s="4" t="s">
        <v>86</v>
      </c>
      <c r="B183" s="4" t="s">
        <v>566</v>
      </c>
      <c r="C183" s="4" t="s">
        <v>1536</v>
      </c>
      <c r="D183" s="4" t="s">
        <v>580</v>
      </c>
      <c r="E183" s="4" t="s">
        <v>370</v>
      </c>
      <c r="F183" s="4">
        <v>9.5</v>
      </c>
      <c r="G183" s="12">
        <f t="array" ref="G183">IFERROR(INDEX(CHOOSE(MATCH($X183,{"K1","K2","K3","K12","K13","H1","H2","H3","H12","H13"},0),Calc!$V$2:$V$157,Calc!$AC$2:$AC$157,Calc!$AJ$2:$AJ$157,Calc!$AL$2:$AL$157,Calc!$AM$2:$AM$157,Calc!$W$2:$W$157,Calc!$AD$2:$AD$157,Calc!$AK$2:$AK$157,Calc!$AN$2:$AN$157,Calc!$AO$2:$AO$157),MATCH($W183,Calc!$A$2:$A$157,0)),"")</f>
        <v>10.92335495</v>
      </c>
      <c r="H183" s="12">
        <f t="array" ref="H183">IF(G183="","",IF(LEFT($X183,1)="H",SQRT(G183*(IFERROR(INDEX(Calc!$AP$2:$AP$157,MATCH($W183,Calc!$A$2:$A$157,0)),0.5)*Config!$B$5+1-IFERROR(INDEX(Calc!$AP$2:$AP$157,MATCH($W183,Calc!$A$2:$A$157,0)),0.5))),SQRT(G183*Config!$B$5)))</f>
        <v>3.537988895</v>
      </c>
      <c r="I183" s="11">
        <f t="shared" si="1"/>
        <v>0.6562706628</v>
      </c>
      <c r="J183" s="11">
        <f t="shared" si="2"/>
        <v>0.3437293372</v>
      </c>
      <c r="K183" s="11">
        <f t="shared" si="3"/>
        <v>0</v>
      </c>
      <c r="L183" s="4" t="str">
        <f>IF(I183="","",IF(I183&gt;=0.5+Config!$B$6,"OVER",IF(J183&gt;=0.5+Config!$B$6,"UNDER","—")))</f>
        <v>OVER</v>
      </c>
      <c r="N183" s="4">
        <v>11.0</v>
      </c>
      <c r="O183" s="11">
        <v>0.6</v>
      </c>
      <c r="P183" s="11">
        <v>0.8</v>
      </c>
      <c r="Q183" s="11">
        <v>0.6</v>
      </c>
      <c r="R183" s="4" t="s">
        <v>579</v>
      </c>
      <c r="S183" s="4">
        <v>1.0</v>
      </c>
      <c r="T183" s="4" t="str">
        <f t="array" ref="T183">INDEX(Calc!$G$2:$G$157,MATCH($W183,Calc!$A$2:$A$157,0))&amp;" / "&amp;INDEX(Calc!$H$2:$H$157,MATCH($W183,Calc!$A$2:$A$157,0))</f>
        <v>Cache / Mirage</v>
      </c>
      <c r="U183" s="4" t="str">
        <f t="array" ref="U183">TEXT(INDEX(Calc!$J$2:$J$157,MATCH($W183,Calc!$A$2:$A$157,0)),"0.0")&amp;" / "&amp;TEXT(INDEX(Calc!$K$2:$K$157,MATCH($W183,Calc!$A$2:$A$157,0)),"0.0")</f>
        <v>21.5 / 21.5</v>
      </c>
      <c r="V183" s="4" t="str">
        <f t="array" ref="V183">IFERROR(INDEX(Calc!$AQ$2:$AQ$157,MATCH($W183,Calc!$A$2:$A$157,0)),"")</f>
        <v/>
      </c>
      <c r="W183" s="4" t="s">
        <v>3225</v>
      </c>
      <c r="X183" s="4" t="s">
        <v>634</v>
      </c>
      <c r="Y183" s="4" t="str">
        <f t="shared" si="4"/>
        <v>eb7cqiuc8bqx4zr|CS2 · NIP vs TL|H12</v>
      </c>
      <c r="Z183" s="12">
        <f t="array" ref="Z183">IFERROR(INDEX(CHOOSE(MATCH($X183,{"K1","K2","K3","K12","K13","H1","H2","H3","H12","H13"},0),Calc!$BA$2:$BA$157,Calc!$BB$2:$BB$157,Calc!$BC$2:$BC$157,Calc!$BD$2:$BD$157,Calc!$BE$2:$BE$157,Calc!$BF$2:$BF$157,Calc!$BG$2:$BG$157,Calc!$BH$2:$BH$157,Calc!$BI$2:$BI$157,Calc!$BJ$2:$BJ$157),MATCH($W183,Calc!$A$2:$A$157,0)),"")</f>
        <v>10.29757658</v>
      </c>
      <c r="AA183" s="12">
        <f t="array" ref="AA183">IF(Z183="","",IF(LEFT($X183,1)="H",SQRT(Z183*(IFERROR(INDEX(Calc!$AP$2:$AP$157,MATCH($W183,Calc!$A$2:$A$157,0)),0.5)*Config!$B$5+1-IFERROR(INDEX(Calc!$AP$2:$AP$157,MATCH($W183,Calc!$A$2:$A$157,0)),0.5))),SQRT(Z183*Config!$B$5)))</f>
        <v>3.43515199</v>
      </c>
      <c r="AB183" s="11">
        <f t="shared" si="5"/>
        <v>0.5918012328</v>
      </c>
      <c r="AC183" s="11">
        <f t="shared" si="6"/>
        <v>0.4081987672</v>
      </c>
      <c r="AD183" s="4" t="str">
        <f>IF(AB183="","",IF(AB183&gt;=0.5+Config!$B$6,"OVER",IF(AC183&gt;=0.5+Config!$B$6,"UNDER","—")))</f>
        <v>OVER</v>
      </c>
      <c r="AE183" s="18">
        <f t="shared" si="7"/>
        <v>0.9427118889</v>
      </c>
    </row>
    <row r="184" ht="15.75" customHeight="1">
      <c r="A184" s="4" t="s">
        <v>86</v>
      </c>
      <c r="B184" s="4" t="s">
        <v>566</v>
      </c>
      <c r="C184" s="4" t="s">
        <v>1536</v>
      </c>
      <c r="D184" s="4" t="s">
        <v>580</v>
      </c>
      <c r="E184" s="4" t="s">
        <v>772</v>
      </c>
      <c r="F184" s="4">
        <v>29.5</v>
      </c>
      <c r="G184" s="12">
        <f t="array" ref="G184">IFERROR(INDEX(CHOOSE(MATCH($X184,{"K1","K2","K3","K12","K13","H1","H2","H3","H12","H13"},0),Calc!$V$2:$V$157,Calc!$AC$2:$AC$157,Calc!$AJ$2:$AJ$157,Calc!$AL$2:$AL$157,Calc!$AM$2:$AM$157,Calc!$W$2:$W$157,Calc!$AD$2:$AD$157,Calc!$AK$2:$AK$157,Calc!$AN$2:$AN$157,Calc!$AO$2:$AO$157),MATCH($W184,Calc!$A$2:$A$157,0)),"")</f>
        <v>29.94200758</v>
      </c>
      <c r="H184" s="12">
        <f t="array" ref="H184">IF(G184="","",IF(LEFT($X184,1)="H",SQRT(G184*(IFERROR(INDEX(Calc!$AP$2:$AP$157,MATCH($W184,Calc!$A$2:$A$157,0)),0.5)*Config!$B$5+1-IFERROR(INDEX(Calc!$AP$2:$AP$157,MATCH($W184,Calc!$A$2:$A$157,0)),0.5))),SQRT(G184*Config!$B$5)))</f>
        <v>6.474473771</v>
      </c>
      <c r="I184" s="11">
        <f t="shared" si="1"/>
        <v>0.5272143556</v>
      </c>
      <c r="J184" s="11">
        <f t="shared" si="2"/>
        <v>0.4727856444</v>
      </c>
      <c r="K184" s="11">
        <f t="shared" si="3"/>
        <v>0</v>
      </c>
      <c r="L184" s="4" t="str">
        <f>IF(I184="","",IF(I184&gt;=0.5+Config!$B$6,"OVER",IF(J184&gt;=0.5+Config!$B$6,"UNDER","—")))</f>
        <v>—</v>
      </c>
      <c r="N184" s="4">
        <v>28.3</v>
      </c>
      <c r="O184" s="11">
        <v>0.6</v>
      </c>
      <c r="P184" s="11">
        <v>0.7</v>
      </c>
      <c r="Q184" s="11">
        <v>0.67</v>
      </c>
      <c r="R184" s="4" t="s">
        <v>579</v>
      </c>
      <c r="S184" s="4">
        <v>-2.0</v>
      </c>
      <c r="T184" s="4" t="str">
        <f t="array" ref="T184">INDEX(Calc!$G$2:$G$157,MATCH($W184,Calc!$A$2:$A$157,0))&amp;" / "&amp;INDEX(Calc!$H$2:$H$157,MATCH($W184,Calc!$A$2:$A$157,0))</f>
        <v>Cache / Mirage</v>
      </c>
      <c r="U184" s="4" t="str">
        <f t="array" ref="U184">TEXT(INDEX(Calc!$J$2:$J$157,MATCH($W184,Calc!$A$2:$A$157,0)),"0.0")&amp;" / "&amp;TEXT(INDEX(Calc!$K$2:$K$157,MATCH($W184,Calc!$A$2:$A$157,0)),"0.0")</f>
        <v>21.5 / 21.5</v>
      </c>
      <c r="V184" s="4" t="str">
        <f t="array" ref="V184">IFERROR(INDEX(Calc!$AQ$2:$AQ$157,MATCH($W184,Calc!$A$2:$A$157,0)),"")</f>
        <v/>
      </c>
      <c r="W184" s="4" t="s">
        <v>3225</v>
      </c>
      <c r="X184" s="4" t="s">
        <v>926</v>
      </c>
      <c r="Y184" s="4" t="str">
        <f t="shared" si="4"/>
        <v>eb7cqiuc8bqx4zr|CS2 · NIP vs TL|K12</v>
      </c>
      <c r="Z184" s="12">
        <f t="array" ref="Z184">IFERROR(INDEX(CHOOSE(MATCH($X184,{"K1","K2","K3","K12","K13","H1","H2","H3","H12","H13"},0),Calc!$BA$2:$BA$157,Calc!$BB$2:$BB$157,Calc!$BC$2:$BC$157,Calc!$BD$2:$BD$157,Calc!$BE$2:$BE$157,Calc!$BF$2:$BF$157,Calc!$BG$2:$BG$157,Calc!$BH$2:$BH$157,Calc!$BI$2:$BI$157,Calc!$BJ$2:$BJ$157),MATCH($W184,Calc!$A$2:$A$157,0)),"")</f>
        <v>28.24163237</v>
      </c>
      <c r="AA184" s="12">
        <f t="array" ref="AA184">IF(Z184="","",IF(LEFT($X184,1)="H",SQRT(Z184*(IFERROR(INDEX(Calc!$AP$2:$AP$157,MATCH($W184,Calc!$A$2:$A$157,0)),0.5)*Config!$B$5+1-IFERROR(INDEX(Calc!$AP$2:$AP$157,MATCH($W184,Calc!$A$2:$A$157,0)),0.5))),SQRT(Z184*Config!$B$5)))</f>
        <v>6.287947624</v>
      </c>
      <c r="AB184" s="11">
        <f t="shared" si="5"/>
        <v>0.4206919013</v>
      </c>
      <c r="AC184" s="11">
        <f t="shared" si="6"/>
        <v>0.5793080987</v>
      </c>
      <c r="AD184" s="4" t="str">
        <f>IF(AB184="","",IF(AB184&gt;=0.5+Config!$B$6,"OVER",IF(AC184&gt;=0.5+Config!$B$6,"UNDER","—")))</f>
        <v>UNDER</v>
      </c>
      <c r="AE184" s="18">
        <f t="shared" si="7"/>
        <v>0.9432110488</v>
      </c>
    </row>
    <row r="185" ht="15.75" customHeight="1">
      <c r="A185" s="4" t="s">
        <v>86</v>
      </c>
      <c r="B185" s="4" t="s">
        <v>566</v>
      </c>
      <c r="C185" s="4" t="s">
        <v>1539</v>
      </c>
      <c r="D185" s="4" t="s">
        <v>580</v>
      </c>
      <c r="E185" s="4" t="s">
        <v>370</v>
      </c>
      <c r="F185" s="4">
        <v>13.5</v>
      </c>
      <c r="G185" s="12">
        <f t="array" ref="G185">IFERROR(INDEX(CHOOSE(MATCH($X185,{"K1","K2","K3","K12","K13","H1","H2","H3","H12","H13"},0),Calc!$V$2:$V$157,Calc!$AC$2:$AC$157,Calc!$AJ$2:$AJ$157,Calc!$AL$2:$AL$157,Calc!$AM$2:$AM$157,Calc!$W$2:$W$157,Calc!$AD$2:$AD$157,Calc!$AK$2:$AK$157,Calc!$AN$2:$AN$157,Calc!$AO$2:$AO$157),MATCH($W185,Calc!$A$2:$A$157,0)),"")</f>
        <v>12.30008524</v>
      </c>
      <c r="H185" s="12">
        <f t="array" ref="H185">IF(G185="","",IF(LEFT($X185,1)="H",SQRT(G185*(IFERROR(INDEX(Calc!$AP$2:$AP$157,MATCH($W185,Calc!$A$2:$A$157,0)),0.5)*Config!$B$5+1-IFERROR(INDEX(Calc!$AP$2:$AP$157,MATCH($W185,Calc!$A$2:$A$157,0)),0.5))),SQRT(G185*Config!$B$5)))</f>
        <v>3.8539992</v>
      </c>
      <c r="I185" s="11">
        <f t="shared" si="1"/>
        <v>0.377770031</v>
      </c>
      <c r="J185" s="11">
        <f t="shared" si="2"/>
        <v>0.622229969</v>
      </c>
      <c r="K185" s="11">
        <f t="shared" si="3"/>
        <v>0</v>
      </c>
      <c r="L185" s="4" t="str">
        <f>IF(I185="","",IF(I185&gt;=0.5+Config!$B$6,"OVER",IF(J185&gt;=0.5+Config!$B$6,"UNDER","—")))</f>
        <v>UNDER</v>
      </c>
      <c r="N185" s="4">
        <v>13.5</v>
      </c>
      <c r="O185" s="11">
        <v>0.2</v>
      </c>
      <c r="P185" s="11">
        <v>0.4</v>
      </c>
      <c r="Q185" s="11">
        <v>0.4</v>
      </c>
      <c r="R185" s="4" t="s">
        <v>1176</v>
      </c>
      <c r="S185" s="4">
        <v>1.0</v>
      </c>
      <c r="T185" s="4" t="str">
        <f t="array" ref="T185">INDEX(Calc!$G$2:$G$157,MATCH($W185,Calc!$A$2:$A$157,0))&amp;" / "&amp;INDEX(Calc!$H$2:$H$157,MATCH($W185,Calc!$A$2:$A$157,0))</f>
        <v>Cache / Mirage</v>
      </c>
      <c r="U185" s="4" t="str">
        <f t="array" ref="U185">TEXT(INDEX(Calc!$J$2:$J$157,MATCH($W185,Calc!$A$2:$A$157,0)),"0.0")&amp;" / "&amp;TEXT(INDEX(Calc!$K$2:$K$157,MATCH($W185,Calc!$A$2:$A$157,0)),"0.0")</f>
        <v>21.5 / 21.5</v>
      </c>
      <c r="V185" s="4" t="str">
        <f t="array" ref="V185">IFERROR(INDEX(Calc!$AQ$2:$AQ$157,MATCH($W185,Calc!$A$2:$A$157,0)),"")</f>
        <v/>
      </c>
      <c r="W185" s="4" t="s">
        <v>3226</v>
      </c>
      <c r="X185" s="4" t="s">
        <v>634</v>
      </c>
      <c r="Y185" s="4" t="str">
        <f t="shared" si="4"/>
        <v>j4y4z5p4stvkatz|CS2 · NIP vs TL|H12</v>
      </c>
      <c r="Z185" s="12">
        <f t="array" ref="Z185">IFERROR(INDEX(CHOOSE(MATCH($X185,{"K1","K2","K3","K12","K13","H1","H2","H3","H12","H13"},0),Calc!$BA$2:$BA$157,Calc!$BB$2:$BB$157,Calc!$BC$2:$BC$157,Calc!$BD$2:$BD$157,Calc!$BE$2:$BE$157,Calc!$BF$2:$BF$157,Calc!$BG$2:$BG$157,Calc!$BH$2:$BH$157,Calc!$BI$2:$BI$157,Calc!$BJ$2:$BJ$157),MATCH($W185,Calc!$A$2:$A$157,0)),"")</f>
        <v>11.60023677</v>
      </c>
      <c r="AA185" s="12">
        <f t="array" ref="AA185">IF(Z185="","",IF(LEFT($X185,1)="H",SQRT(Z185*(IFERROR(INDEX(Calc!$AP$2:$AP$157,MATCH($W185,Calc!$A$2:$A$157,0)),0.5)*Config!$B$5+1-IFERROR(INDEX(Calc!$AP$2:$AP$157,MATCH($W185,Calc!$A$2:$A$157,0)),0.5))),SQRT(Z185*Config!$B$5)))</f>
        <v>3.742751443</v>
      </c>
      <c r="AB185" s="11">
        <f t="shared" si="5"/>
        <v>0.3058723244</v>
      </c>
      <c r="AC185" s="11">
        <f t="shared" si="6"/>
        <v>0.6941276756</v>
      </c>
      <c r="AD185" s="4" t="str">
        <f>IF(AB185="","",IF(AB185&gt;=0.5+Config!$B$6,"OVER",IF(AC185&gt;=0.5+Config!$B$6,"UNDER","—")))</f>
        <v>UNDER</v>
      </c>
      <c r="AE185" s="18">
        <f t="shared" si="7"/>
        <v>0.9431021446</v>
      </c>
    </row>
    <row r="186" ht="15.75" customHeight="1">
      <c r="A186" s="4" t="s">
        <v>86</v>
      </c>
      <c r="B186" s="4" t="s">
        <v>566</v>
      </c>
      <c r="C186" s="4" t="s">
        <v>1539</v>
      </c>
      <c r="D186" s="4" t="s">
        <v>580</v>
      </c>
      <c r="E186" s="4" t="s">
        <v>772</v>
      </c>
      <c r="F186" s="4">
        <v>25.5</v>
      </c>
      <c r="G186" s="12">
        <f t="array" ref="G186">IFERROR(INDEX(CHOOSE(MATCH($X186,{"K1","K2","K3","K12","K13","H1","H2","H3","H12","H13"},0),Calc!$V$2:$V$157,Calc!$AC$2:$AC$157,Calc!$AJ$2:$AJ$157,Calc!$AL$2:$AL$157,Calc!$AM$2:$AM$157,Calc!$W$2:$W$157,Calc!$AD$2:$AD$157,Calc!$AK$2:$AK$157,Calc!$AN$2:$AN$157,Calc!$AO$2:$AO$157),MATCH($W186,Calc!$A$2:$A$157,0)),"")</f>
        <v>23.70212121</v>
      </c>
      <c r="H186" s="12">
        <f t="array" ref="H186">IF(G186="","",IF(LEFT($X186,1)="H",SQRT(G186*(IFERROR(INDEX(Calc!$AP$2:$AP$157,MATCH($W186,Calc!$A$2:$A$157,0)),0.5)*Config!$B$5+1-IFERROR(INDEX(Calc!$AP$2:$AP$157,MATCH($W186,Calc!$A$2:$A$157,0)),0.5))),SQRT(G186*Config!$B$5)))</f>
        <v>5.760466101</v>
      </c>
      <c r="I186" s="11">
        <f t="shared" si="1"/>
        <v>0.3774798017</v>
      </c>
      <c r="J186" s="11">
        <f t="shared" si="2"/>
        <v>0.6225201983</v>
      </c>
      <c r="K186" s="11">
        <f t="shared" si="3"/>
        <v>0</v>
      </c>
      <c r="L186" s="4" t="str">
        <f>IF(I186="","",IF(I186&gt;=0.5+Config!$B$6,"OVER",IF(J186&gt;=0.5+Config!$B$6,"UNDER","—")))</f>
        <v>UNDER</v>
      </c>
      <c r="N186" s="4">
        <v>24.5</v>
      </c>
      <c r="O186" s="11">
        <v>0.4</v>
      </c>
      <c r="P186" s="11">
        <v>0.5</v>
      </c>
      <c r="Q186" s="11">
        <v>0.53</v>
      </c>
      <c r="R186" s="4" t="s">
        <v>1176</v>
      </c>
      <c r="S186" s="4">
        <v>1.0</v>
      </c>
      <c r="T186" s="4" t="str">
        <f t="array" ref="T186">INDEX(Calc!$G$2:$G$157,MATCH($W186,Calc!$A$2:$A$157,0))&amp;" / "&amp;INDEX(Calc!$H$2:$H$157,MATCH($W186,Calc!$A$2:$A$157,0))</f>
        <v>Cache / Mirage</v>
      </c>
      <c r="U186" s="4" t="str">
        <f t="array" ref="U186">TEXT(INDEX(Calc!$J$2:$J$157,MATCH($W186,Calc!$A$2:$A$157,0)),"0.0")&amp;" / "&amp;TEXT(INDEX(Calc!$K$2:$K$157,MATCH($W186,Calc!$A$2:$A$157,0)),"0.0")</f>
        <v>21.5 / 21.5</v>
      </c>
      <c r="V186" s="4" t="str">
        <f t="array" ref="V186">IFERROR(INDEX(Calc!$AQ$2:$AQ$157,MATCH($W186,Calc!$A$2:$A$157,0)),"")</f>
        <v/>
      </c>
      <c r="W186" s="4" t="s">
        <v>3226</v>
      </c>
      <c r="X186" s="4" t="s">
        <v>926</v>
      </c>
      <c r="Y186" s="4" t="str">
        <f t="shared" si="4"/>
        <v>j4y4z5p4stvkatz|CS2 · NIP vs TL|K12</v>
      </c>
      <c r="Z186" s="12">
        <f t="array" ref="Z186">IFERROR(INDEX(CHOOSE(MATCH($X186,{"K1","K2","K3","K12","K13","H1","H2","H3","H12","H13"},0),Calc!$BA$2:$BA$157,Calc!$BB$2:$BB$157,Calc!$BC$2:$BC$157,Calc!$BD$2:$BD$157,Calc!$BE$2:$BE$157,Calc!$BF$2:$BF$157,Calc!$BG$2:$BG$157,Calc!$BH$2:$BH$157,Calc!$BI$2:$BI$157,Calc!$BJ$2:$BJ$157),MATCH($W186,Calc!$A$2:$A$157,0)),"")</f>
        <v>22.35659284</v>
      </c>
      <c r="AA186" s="12">
        <f t="array" ref="AA186">IF(Z186="","",IF(LEFT($X186,1)="H",SQRT(Z186*(IFERROR(INDEX(Calc!$AP$2:$AP$157,MATCH($W186,Calc!$A$2:$A$157,0)),0.5)*Config!$B$5+1-IFERROR(INDEX(Calc!$AP$2:$AP$157,MATCH($W186,Calc!$A$2:$A$157,0)),0.5))),SQRT(Z186*Config!$B$5)))</f>
        <v>5.594571474</v>
      </c>
      <c r="AB186" s="11">
        <f t="shared" si="5"/>
        <v>0.2871031937</v>
      </c>
      <c r="AC186" s="11">
        <f t="shared" si="6"/>
        <v>0.7128968063</v>
      </c>
      <c r="AD186" s="4" t="str">
        <f>IF(AB186="","",IF(AB186&gt;=0.5+Config!$B$6,"OVER",IF(AC186&gt;=0.5+Config!$B$6,"UNDER","—")))</f>
        <v>UNDER</v>
      </c>
      <c r="AE186" s="18">
        <f t="shared" si="7"/>
        <v>0.9432317321</v>
      </c>
    </row>
    <row r="187" ht="15.75" customHeight="1">
      <c r="A187" s="4" t="s">
        <v>86</v>
      </c>
      <c r="B187" s="4" t="s">
        <v>566</v>
      </c>
      <c r="C187" s="4" t="s">
        <v>1542</v>
      </c>
      <c r="D187" s="4" t="s">
        <v>580</v>
      </c>
      <c r="E187" s="4" t="s">
        <v>370</v>
      </c>
      <c r="F187" s="4">
        <v>19.5</v>
      </c>
      <c r="G187" s="12">
        <f t="array" ref="G187">IFERROR(INDEX(CHOOSE(MATCH($X187,{"K1","K2","K3","K12","K13","H1","H2","H3","H12","H13"},0),Calc!$V$2:$V$157,Calc!$AC$2:$AC$157,Calc!$AJ$2:$AJ$157,Calc!$AL$2:$AL$157,Calc!$AM$2:$AM$157,Calc!$W$2:$W$157,Calc!$AD$2:$AD$157,Calc!$AK$2:$AK$157,Calc!$AN$2:$AN$157,Calc!$AO$2:$AO$157),MATCH($W187,Calc!$A$2:$A$157,0)),"")</f>
        <v>21.4551396</v>
      </c>
      <c r="H187" s="12">
        <f t="array" ref="H187">IF(G187="","",IF(LEFT($X187,1)="H",SQRT(G187*(IFERROR(INDEX(Calc!$AP$2:$AP$157,MATCH($W187,Calc!$A$2:$A$157,0)),0.5)*Config!$B$5+1-IFERROR(INDEX(Calc!$AP$2:$AP$157,MATCH($W187,Calc!$A$2:$A$157,0)),0.5))),SQRT(G187*Config!$B$5)))</f>
        <v>5.215611035</v>
      </c>
      <c r="I187" s="11">
        <f t="shared" si="1"/>
        <v>0.6461188215</v>
      </c>
      <c r="J187" s="11">
        <f t="shared" si="2"/>
        <v>0.3538811785</v>
      </c>
      <c r="K187" s="11">
        <f t="shared" si="3"/>
        <v>0</v>
      </c>
      <c r="L187" s="4" t="str">
        <f>IF(I187="","",IF(I187&gt;=0.5+Config!$B$6,"OVER",IF(J187&gt;=0.5+Config!$B$6,"UNDER","—")))</f>
        <v>OVER</v>
      </c>
      <c r="N187" s="4">
        <v>19.0</v>
      </c>
      <c r="O187" s="11">
        <v>0.6</v>
      </c>
      <c r="P187" s="11">
        <v>0.4</v>
      </c>
      <c r="Q187" s="11">
        <v>0.4</v>
      </c>
      <c r="R187" s="4" t="s">
        <v>3163</v>
      </c>
      <c r="S187" s="4">
        <v>-2.0</v>
      </c>
      <c r="T187" s="4" t="str">
        <f t="array" ref="T187">INDEX(Calc!$G$2:$G$157,MATCH($W187,Calc!$A$2:$A$157,0))&amp;" / "&amp;INDEX(Calc!$H$2:$H$157,MATCH($W187,Calc!$A$2:$A$157,0))</f>
        <v>Cache / Mirage</v>
      </c>
      <c r="U187" s="4" t="str">
        <f t="array" ref="U187">TEXT(INDEX(Calc!$J$2:$J$157,MATCH($W187,Calc!$A$2:$A$157,0)),"0.0")&amp;" / "&amp;TEXT(INDEX(Calc!$K$2:$K$157,MATCH($W187,Calc!$A$2:$A$157,0)),"0.0")</f>
        <v>21.5 / 21.5</v>
      </c>
      <c r="V187" s="4" t="str">
        <f t="array" ref="V187">IFERROR(INDEX(Calc!$AQ$2:$AQ$157,MATCH($W187,Calc!$A$2:$A$157,0)),"")</f>
        <v/>
      </c>
      <c r="W187" s="4" t="s">
        <v>3227</v>
      </c>
      <c r="X187" s="4" t="s">
        <v>634</v>
      </c>
      <c r="Y187" s="4" t="str">
        <f t="shared" si="4"/>
        <v>30ba4vwtbgb75sn|CS2 · NIP vs TL|H12</v>
      </c>
      <c r="Z187" s="12">
        <f t="array" ref="Z187">IFERROR(INDEX(CHOOSE(MATCH($X187,{"K1","K2","K3","K12","K13","H1","H2","H3","H12","H13"},0),Calc!$BA$2:$BA$157,Calc!$BB$2:$BB$157,Calc!$BC$2:$BC$157,Calc!$BD$2:$BD$157,Calc!$BE$2:$BE$157,Calc!$BF$2:$BF$157,Calc!$BG$2:$BG$157,Calc!$BH$2:$BH$157,Calc!$BI$2:$BI$157,Calc!$BJ$2:$BJ$157),MATCH($W187,Calc!$A$2:$A$157,0)),"")</f>
        <v>20.2502826</v>
      </c>
      <c r="AA187" s="12">
        <f t="array" ref="AA187">IF(Z187="","",IF(LEFT($X187,1)="H",SQRT(Z187*(IFERROR(INDEX(Calc!$AP$2:$AP$157,MATCH($W187,Calc!$A$2:$A$157,0)),0.5)*Config!$B$5+1-IFERROR(INDEX(Calc!$AP$2:$AP$157,MATCH($W187,Calc!$A$2:$A$157,0)),0.5))),SQRT(Z187*Config!$B$5)))</f>
        <v>5.067048572</v>
      </c>
      <c r="AB187" s="11">
        <f t="shared" si="5"/>
        <v>0.5588566053</v>
      </c>
      <c r="AC187" s="11">
        <f t="shared" si="6"/>
        <v>0.4411433947</v>
      </c>
      <c r="AD187" s="4" t="str">
        <f>IF(AB187="","",IF(AB187&gt;=0.5+Config!$B$6,"OVER",IF(AC187&gt;=0.5+Config!$B$6,"UNDER","—")))</f>
        <v>OVER</v>
      </c>
      <c r="AE187" s="18">
        <f t="shared" si="7"/>
        <v>0.9438429663</v>
      </c>
    </row>
    <row r="188" ht="15.75" customHeight="1">
      <c r="A188" s="4" t="s">
        <v>86</v>
      </c>
      <c r="B188" s="4" t="s">
        <v>566</v>
      </c>
      <c r="C188" s="4" t="s">
        <v>1542</v>
      </c>
      <c r="D188" s="4" t="s">
        <v>580</v>
      </c>
      <c r="E188" s="4" t="s">
        <v>772</v>
      </c>
      <c r="F188" s="4">
        <v>29.5</v>
      </c>
      <c r="G188" s="12">
        <f t="array" ref="G188">IFERROR(INDEX(CHOOSE(MATCH($X188,{"K1","K2","K3","K12","K13","H1","H2","H3","H12","H13"},0),Calc!$V$2:$V$157,Calc!$AC$2:$AC$157,Calc!$AJ$2:$AJ$157,Calc!$AL$2:$AL$157,Calc!$AM$2:$AM$157,Calc!$W$2:$W$157,Calc!$AD$2:$AD$157,Calc!$AK$2:$AK$157,Calc!$AN$2:$AN$157,Calc!$AO$2:$AO$157),MATCH($W188,Calc!$A$2:$A$157,0)),"")</f>
        <v>32.03662879</v>
      </c>
      <c r="H188" s="12">
        <f t="array" ref="H188">IF(G188="","",IF(LEFT($X188,1)="H",SQRT(G188*(IFERROR(INDEX(Calc!$AP$2:$AP$157,MATCH($W188,Calc!$A$2:$A$157,0)),0.5)*Config!$B$5+1-IFERROR(INDEX(Calc!$AP$2:$AP$157,MATCH($W188,Calc!$A$2:$A$157,0)),0.5))),SQRT(G188*Config!$B$5)))</f>
        <v>6.697109847</v>
      </c>
      <c r="I188" s="11">
        <f t="shared" si="1"/>
        <v>0.6475686977</v>
      </c>
      <c r="J188" s="11">
        <f t="shared" si="2"/>
        <v>0.3524313023</v>
      </c>
      <c r="K188" s="11">
        <f t="shared" si="3"/>
        <v>0</v>
      </c>
      <c r="L188" s="4" t="str">
        <f>IF(I188="","",IF(I188&gt;=0.5+Config!$B$6,"OVER",IF(J188&gt;=0.5+Config!$B$6,"UNDER","—")))</f>
        <v>OVER</v>
      </c>
      <c r="N188" s="4">
        <v>30.4</v>
      </c>
      <c r="O188" s="11">
        <v>0.6</v>
      </c>
      <c r="P188" s="11">
        <v>0.6</v>
      </c>
      <c r="Q188" s="11">
        <v>0.53</v>
      </c>
      <c r="R188" s="4" t="s">
        <v>3166</v>
      </c>
      <c r="S188" s="4">
        <v>-2.0</v>
      </c>
      <c r="T188" s="4" t="str">
        <f t="array" ref="T188">INDEX(Calc!$G$2:$G$157,MATCH($W188,Calc!$A$2:$A$157,0))&amp;" / "&amp;INDEX(Calc!$H$2:$H$157,MATCH($W188,Calc!$A$2:$A$157,0))</f>
        <v>Cache / Mirage</v>
      </c>
      <c r="U188" s="4" t="str">
        <f t="array" ref="U188">TEXT(INDEX(Calc!$J$2:$J$157,MATCH($W188,Calc!$A$2:$A$157,0)),"0.0")&amp;" / "&amp;TEXT(INDEX(Calc!$K$2:$K$157,MATCH($W188,Calc!$A$2:$A$157,0)),"0.0")</f>
        <v>21.5 / 21.5</v>
      </c>
      <c r="V188" s="4" t="str">
        <f t="array" ref="V188">IFERROR(INDEX(Calc!$AQ$2:$AQ$157,MATCH($W188,Calc!$A$2:$A$157,0)),"")</f>
        <v/>
      </c>
      <c r="W188" s="4" t="s">
        <v>3227</v>
      </c>
      <c r="X188" s="4" t="s">
        <v>926</v>
      </c>
      <c r="Y188" s="4" t="str">
        <f t="shared" si="4"/>
        <v>30ba4vwtbgb75sn|CS2 · NIP vs TL|K12</v>
      </c>
      <c r="Z188" s="12">
        <f t="array" ref="Z188">IFERROR(INDEX(CHOOSE(MATCH($X188,{"K1","K2","K3","K12","K13","H1","H2","H3","H12","H13"},0),Calc!$BA$2:$BA$157,Calc!$BB$2:$BB$157,Calc!$BC$2:$BC$157,Calc!$BD$2:$BD$157,Calc!$BE$2:$BE$157,Calc!$BF$2:$BF$157,Calc!$BG$2:$BG$157,Calc!$BH$2:$BH$157,Calc!$BI$2:$BI$157,Calc!$BJ$2:$BJ$157),MATCH($W188,Calc!$A$2:$A$157,0)),"")</f>
        <v>30.23501673</v>
      </c>
      <c r="AA188" s="12">
        <f t="array" ref="AA188">IF(Z188="","",IF(LEFT($X188,1)="H",SQRT(Z188*(IFERROR(INDEX(Calc!$AP$2:$AP$157,MATCH($W188,Calc!$A$2:$A$157,0)),0.5)*Config!$B$5+1-IFERROR(INDEX(Calc!$AP$2:$AP$157,MATCH($W188,Calc!$A$2:$A$157,0)),0.5))),SQRT(Z188*Config!$B$5)))</f>
        <v>6.506075885</v>
      </c>
      <c r="AB188" s="11">
        <f t="shared" si="5"/>
        <v>0.5449743741</v>
      </c>
      <c r="AC188" s="11">
        <f t="shared" si="6"/>
        <v>0.4550256259</v>
      </c>
      <c r="AD188" s="4" t="str">
        <f>IF(AB188="","",IF(AB188&gt;=0.5+Config!$B$6,"OVER",IF(AC188&gt;=0.5+Config!$B$6,"UNDER","—")))</f>
        <v>OVER</v>
      </c>
      <c r="AE188" s="18">
        <f t="shared" si="7"/>
        <v>0.9437639938</v>
      </c>
    </row>
    <row r="189" ht="15.75" customHeight="1">
      <c r="A189" s="4" t="s">
        <v>86</v>
      </c>
      <c r="B189" s="4" t="s">
        <v>566</v>
      </c>
      <c r="C189" s="4" t="s">
        <v>1545</v>
      </c>
      <c r="D189" s="4" t="s">
        <v>580</v>
      </c>
      <c r="E189" s="4" t="s">
        <v>370</v>
      </c>
      <c r="F189" s="4">
        <v>14.5</v>
      </c>
      <c r="G189" s="12">
        <f t="array" ref="G189">IFERROR(INDEX(CHOOSE(MATCH($X189,{"K1","K2","K3","K12","K13","H1","H2","H3","H12","H13"},0),Calc!$V$2:$V$157,Calc!$AC$2:$AC$157,Calc!$AJ$2:$AJ$157,Calc!$AL$2:$AL$157,Calc!$AM$2:$AM$157,Calc!$W$2:$W$157,Calc!$AD$2:$AD$157,Calc!$AK$2:$AK$157,Calc!$AN$2:$AN$157,Calc!$AO$2:$AO$157),MATCH($W189,Calc!$A$2:$A$157,0)),"")</f>
        <v>16.19474229</v>
      </c>
      <c r="H189" s="12">
        <f t="array" ref="H189">IF(G189="","",IF(LEFT($X189,1)="H",SQRT(G189*(IFERROR(INDEX(Calc!$AP$2:$AP$157,MATCH($W189,Calc!$A$2:$A$157,0)),0.5)*Config!$B$5+1-IFERROR(INDEX(Calc!$AP$2:$AP$157,MATCH($W189,Calc!$A$2:$A$157,0)),0.5))),SQRT(G189*Config!$B$5)))</f>
        <v>4.430374372</v>
      </c>
      <c r="I189" s="11">
        <f t="shared" si="1"/>
        <v>0.6489651215</v>
      </c>
      <c r="J189" s="11">
        <f t="shared" si="2"/>
        <v>0.3510348785</v>
      </c>
      <c r="K189" s="11">
        <f t="shared" si="3"/>
        <v>0</v>
      </c>
      <c r="L189" s="4" t="str">
        <f>IF(I189="","",IF(I189&gt;=0.5+Config!$B$6,"OVER",IF(J189&gt;=0.5+Config!$B$6,"UNDER","—")))</f>
        <v>OVER</v>
      </c>
      <c r="N189" s="4">
        <v>15.1</v>
      </c>
      <c r="O189" s="11">
        <v>0.8</v>
      </c>
      <c r="P189" s="11">
        <v>0.6</v>
      </c>
      <c r="Q189" s="11">
        <v>0.47</v>
      </c>
      <c r="R189" s="4" t="s">
        <v>1176</v>
      </c>
      <c r="S189" s="4">
        <v>2.0</v>
      </c>
      <c r="T189" s="4" t="str">
        <f t="array" ref="T189">INDEX(Calc!$G$2:$G$157,MATCH($W189,Calc!$A$2:$A$157,0))&amp;" / "&amp;INDEX(Calc!$H$2:$H$157,MATCH($W189,Calc!$A$2:$A$157,0))</f>
        <v>Cache / Mirage</v>
      </c>
      <c r="U189" s="4" t="str">
        <f t="array" ref="U189">TEXT(INDEX(Calc!$J$2:$J$157,MATCH($W189,Calc!$A$2:$A$157,0)),"0.0")&amp;" / "&amp;TEXT(INDEX(Calc!$K$2:$K$157,MATCH($W189,Calc!$A$2:$A$157,0)),"0.0")</f>
        <v>21.5 / 21.5</v>
      </c>
      <c r="V189" s="4" t="str">
        <f t="array" ref="V189">IFERROR(INDEX(Calc!$AQ$2:$AQ$157,MATCH($W189,Calc!$A$2:$A$157,0)),"")</f>
        <v/>
      </c>
      <c r="W189" s="4" t="s">
        <v>3228</v>
      </c>
      <c r="X189" s="4" t="s">
        <v>634</v>
      </c>
      <c r="Y189" s="4" t="str">
        <f t="shared" si="4"/>
        <v>as14gj4lvoykr11|CS2 · NIP vs TL|H12</v>
      </c>
      <c r="Z189" s="12">
        <f t="array" ref="Z189">IFERROR(INDEX(CHOOSE(MATCH($X189,{"K1","K2","K3","K12","K13","H1","H2","H3","H12","H13"},0),Calc!$BA$2:$BA$157,Calc!$BB$2:$BB$157,Calc!$BC$2:$BC$157,Calc!$BD$2:$BD$157,Calc!$BE$2:$BE$157,Calc!$BF$2:$BF$157,Calc!$BG$2:$BG$157,Calc!$BH$2:$BH$157,Calc!$BI$2:$BI$157,Calc!$BJ$2:$BJ$157),MATCH($W189,Calc!$A$2:$A$157,0)),"")</f>
        <v>15.27934948</v>
      </c>
      <c r="AA189" s="12">
        <f t="array" ref="AA189">IF(Z189="","",IF(LEFT($X189,1)="H",SQRT(Z189*(IFERROR(INDEX(Calc!$AP$2:$AP$157,MATCH($W189,Calc!$A$2:$A$157,0)),0.5)*Config!$B$5+1-IFERROR(INDEX(Calc!$AP$2:$AP$157,MATCH($W189,Calc!$A$2:$A$157,0)),0.5))),SQRT(Z189*Config!$B$5)))</f>
        <v>4.303341758</v>
      </c>
      <c r="AB189" s="11">
        <f t="shared" si="5"/>
        <v>0.5718567609</v>
      </c>
      <c r="AC189" s="11">
        <f t="shared" si="6"/>
        <v>0.4281432391</v>
      </c>
      <c r="AD189" s="4" t="str">
        <f>IF(AB189="","",IF(AB189&gt;=0.5+Config!$B$6,"OVER",IF(AC189&gt;=0.5+Config!$B$6,"UNDER","—")))</f>
        <v>OVER</v>
      </c>
      <c r="AE189" s="18">
        <f t="shared" si="7"/>
        <v>0.9434759262</v>
      </c>
    </row>
    <row r="190" ht="15.75" customHeight="1">
      <c r="A190" s="4" t="s">
        <v>86</v>
      </c>
      <c r="B190" s="4" t="s">
        <v>566</v>
      </c>
      <c r="C190" s="4" t="s">
        <v>1545</v>
      </c>
      <c r="D190" s="4" t="s">
        <v>580</v>
      </c>
      <c r="E190" s="4" t="s">
        <v>772</v>
      </c>
      <c r="F190" s="4">
        <v>29.5</v>
      </c>
      <c r="G190" s="12">
        <f t="array" ref="G190">IFERROR(INDEX(CHOOSE(MATCH($X190,{"K1","K2","K3","K12","K13","H1","H2","H3","H12","H13"},0),Calc!$V$2:$V$157,Calc!$AC$2:$AC$157,Calc!$AJ$2:$AJ$157,Calc!$AL$2:$AL$157,Calc!$AM$2:$AM$157,Calc!$W$2:$W$157,Calc!$AD$2:$AD$157,Calc!$AK$2:$AK$157,Calc!$AN$2:$AN$157,Calc!$AO$2:$AO$157),MATCH($W190,Calc!$A$2:$A$157,0)),"")</f>
        <v>30.55443182</v>
      </c>
      <c r="H190" s="12">
        <f t="array" ref="H190">IF(G190="","",IF(LEFT($X190,1)="H",SQRT(G190*(IFERROR(INDEX(Calc!$AP$2:$AP$157,MATCH($W190,Calc!$A$2:$A$157,0)),0.5)*Config!$B$5+1-IFERROR(INDEX(Calc!$AP$2:$AP$157,MATCH($W190,Calc!$A$2:$A$157,0)),0.5))),SQRT(G190*Config!$B$5)))</f>
        <v>6.54035202</v>
      </c>
      <c r="I190" s="11">
        <f t="shared" si="1"/>
        <v>0.5640397104</v>
      </c>
      <c r="J190" s="11">
        <f t="shared" si="2"/>
        <v>0.4359602896</v>
      </c>
      <c r="K190" s="11">
        <f t="shared" si="3"/>
        <v>0</v>
      </c>
      <c r="L190" s="4" t="str">
        <f>IF(I190="","",IF(I190&gt;=0.5+Config!$B$6,"OVER",IF(J190&gt;=0.5+Config!$B$6,"UNDER","—")))</f>
        <v>OVER</v>
      </c>
      <c r="N190" s="4">
        <v>29.9</v>
      </c>
      <c r="O190" s="11">
        <v>0.8</v>
      </c>
      <c r="P190" s="11">
        <v>0.7</v>
      </c>
      <c r="Q190" s="11">
        <v>0.6</v>
      </c>
      <c r="R190" s="4" t="s">
        <v>1158</v>
      </c>
      <c r="S190" s="4">
        <v>2.0</v>
      </c>
      <c r="T190" s="4" t="str">
        <f t="array" ref="T190">INDEX(Calc!$G$2:$G$157,MATCH($W190,Calc!$A$2:$A$157,0))&amp;" / "&amp;INDEX(Calc!$H$2:$H$157,MATCH($W190,Calc!$A$2:$A$157,0))</f>
        <v>Cache / Mirage</v>
      </c>
      <c r="U190" s="4" t="str">
        <f t="array" ref="U190">TEXT(INDEX(Calc!$J$2:$J$157,MATCH($W190,Calc!$A$2:$A$157,0)),"0.0")&amp;" / "&amp;TEXT(INDEX(Calc!$K$2:$K$157,MATCH($W190,Calc!$A$2:$A$157,0)),"0.0")</f>
        <v>21.5 / 21.5</v>
      </c>
      <c r="V190" s="4" t="str">
        <f t="array" ref="V190">IFERROR(INDEX(Calc!$AQ$2:$AQ$157,MATCH($W190,Calc!$A$2:$A$157,0)),"")</f>
        <v/>
      </c>
      <c r="W190" s="4" t="s">
        <v>3228</v>
      </c>
      <c r="X190" s="4" t="s">
        <v>926</v>
      </c>
      <c r="Y190" s="4" t="str">
        <f t="shared" si="4"/>
        <v>as14gj4lvoykr11|CS2 · NIP vs TL|K12</v>
      </c>
      <c r="Z190" s="12">
        <f t="array" ref="Z190">IFERROR(INDEX(CHOOSE(MATCH($X190,{"K1","K2","K3","K12","K13","H1","H2","H3","H12","H13"},0),Calc!$BA$2:$BA$157,Calc!$BB$2:$BB$157,Calc!$BC$2:$BC$157,Calc!$BD$2:$BD$157,Calc!$BE$2:$BE$157,Calc!$BF$2:$BF$157,Calc!$BG$2:$BG$157,Calc!$BH$2:$BH$157,Calc!$BI$2:$BI$157,Calc!$BJ$2:$BJ$157),MATCH($W190,Calc!$A$2:$A$157,0)),"")</f>
        <v>28.82842727</v>
      </c>
      <c r="AA190" s="12">
        <f t="array" ref="AA190">IF(Z190="","",IF(LEFT($X190,1)="H",SQRT(Z190*(IFERROR(INDEX(Calc!$AP$2:$AP$157,MATCH($W190,Calc!$A$2:$A$157,0)),0.5)*Config!$B$5+1-IFERROR(INDEX(Calc!$AP$2:$AP$157,MATCH($W190,Calc!$A$2:$A$157,0)),0.5))),SQRT(Z190*Config!$B$5)))</f>
        <v>6.352936185</v>
      </c>
      <c r="AB190" s="11">
        <f t="shared" si="5"/>
        <v>0.4579059827</v>
      </c>
      <c r="AC190" s="11">
        <f t="shared" si="6"/>
        <v>0.5420940173</v>
      </c>
      <c r="AD190" s="4" t="str">
        <f>IF(AB190="","",IF(AB190&gt;=0.5+Config!$B$6,"OVER",IF(AC190&gt;=0.5+Config!$B$6,"UNDER","—")))</f>
        <v>UNDER</v>
      </c>
      <c r="AE190" s="18">
        <f t="shared" si="7"/>
        <v>0.9435105008</v>
      </c>
    </row>
    <row r="191" ht="15.75" customHeight="1">
      <c r="A191" s="4" t="s">
        <v>86</v>
      </c>
      <c r="B191" s="4" t="s">
        <v>1794</v>
      </c>
      <c r="C191" s="4" t="s">
        <v>1405</v>
      </c>
      <c r="D191" s="4" t="s">
        <v>1013</v>
      </c>
      <c r="E191" s="4" t="s">
        <v>2880</v>
      </c>
      <c r="F191" s="4">
        <v>7.0</v>
      </c>
      <c r="G191" s="12">
        <f t="array" ref="G191">IFERROR(INDEX(CHOOSE(MATCH($X191,{"K1","K2","K3","K12","K13","H1","H2","H3","H12","H13"},0),Calc!$V$2:$V$157,Calc!$AC$2:$AC$157,Calc!$AJ$2:$AJ$157,Calc!$AL$2:$AL$157,Calc!$AM$2:$AM$157,Calc!$W$2:$W$157,Calc!$AD$2:$AD$157,Calc!$AK$2:$AK$157,Calc!$AN$2:$AN$157,Calc!$AO$2:$AO$157),MATCH($W191,Calc!$A$2:$A$157,0)),"")</f>
        <v>6.649695</v>
      </c>
      <c r="H191" s="12">
        <f t="array" ref="H191">IF(G191="","",IF(LEFT($X191,1)="H",SQRT(G191*(IFERROR(INDEX(Calc!$AP$2:$AP$157,MATCH($W191,Calc!$A$2:$A$157,0)),0.5)*Config!$B$5+1-IFERROR(INDEX(Calc!$AP$2:$AP$157,MATCH($W191,Calc!$A$2:$A$157,0)),0.5))),SQRT(G191*Config!$B$5)))</f>
        <v>2.826647912</v>
      </c>
      <c r="I191" s="11">
        <f t="shared" si="1"/>
        <v>0.3817768529</v>
      </c>
      <c r="J191" s="11">
        <f t="shared" si="2"/>
        <v>0.4788824915</v>
      </c>
      <c r="K191" s="11">
        <f t="shared" si="3"/>
        <v>0.1393406557</v>
      </c>
      <c r="L191" s="4" t="str">
        <f>IF(I191="","",IF(I191&gt;=0.5+Config!$B$6,"OVER",IF(J191&gt;=0.5+Config!$B$6,"UNDER","—")))</f>
        <v>—</v>
      </c>
      <c r="N191" s="4">
        <v>8.2</v>
      </c>
      <c r="O191" s="11">
        <v>0.6</v>
      </c>
      <c r="P191" s="11">
        <v>0.6</v>
      </c>
      <c r="Q191" s="11">
        <v>0.67</v>
      </c>
      <c r="R191" s="4" t="s">
        <v>579</v>
      </c>
      <c r="S191" s="4">
        <v>1.0</v>
      </c>
      <c r="T191" s="4" t="str">
        <f t="array" ref="T191">INDEX(Calc!$G$2:$G$157,MATCH($W191,Calc!$A$2:$A$157,0))</f>
        <v>Ancient</v>
      </c>
      <c r="U191" s="4" t="str">
        <f t="array" ref="U191">TEXT(INDEX(Calc!$J$2:$J$157,MATCH($W191,Calc!$A$2:$A$157,0)),"0.0")</f>
        <v>21.1</v>
      </c>
      <c r="V191" s="4" t="str">
        <f t="array" ref="V191">IFERROR(INDEX(Calc!$AQ$2:$AQ$157,MATCH($W191,Calc!$A$2:$A$157,0)),"")</f>
        <v/>
      </c>
      <c r="W191" s="4" t="s">
        <v>3229</v>
      </c>
      <c r="X191" s="4" t="s">
        <v>3201</v>
      </c>
      <c r="Y191" s="4" t="str">
        <f t="shared" si="4"/>
        <v>ngzwc6mqcf8eqdc|CS2 · PHA vs HAVU|H1</v>
      </c>
      <c r="Z191" s="12">
        <f t="array" ref="Z191">IFERROR(INDEX(CHOOSE(MATCH($X191,{"K1","K2","K3","K12","K13","H1","H2","H3","H12","H13"},0),Calc!$BA$2:$BA$157,Calc!$BB$2:$BB$157,Calc!$BC$2:$BC$157,Calc!$BD$2:$BD$157,Calc!$BE$2:$BE$157,Calc!$BF$2:$BF$157,Calc!$BG$2:$BG$157,Calc!$BH$2:$BH$157,Calc!$BI$2:$BI$157,Calc!$BJ$2:$BJ$157),MATCH($W191,Calc!$A$2:$A$157,0)),"")</f>
        <v>6.390331668</v>
      </c>
      <c r="AA191" s="12">
        <f t="array" ref="AA191">IF(Z191="","",IF(LEFT($X191,1)="H",SQRT(Z191*(IFERROR(INDEX(Calc!$AP$2:$AP$157,MATCH($W191,Calc!$A$2:$A$157,0)),0.5)*Config!$B$5+1-IFERROR(INDEX(Calc!$AP$2:$AP$157,MATCH($W191,Calc!$A$2:$A$157,0)),0.5))),SQRT(Z191*Config!$B$5)))</f>
        <v>2.770974649</v>
      </c>
      <c r="AB191" s="11">
        <f t="shared" si="5"/>
        <v>0.3444083617</v>
      </c>
      <c r="AC191" s="11">
        <f t="shared" si="6"/>
        <v>0.515785029</v>
      </c>
      <c r="AD191" s="4" t="str">
        <f>IF(AB191="","",IF(AB191&gt;=0.5+Config!$B$6,"OVER",IF(AC191&gt;=0.5+Config!$B$6,"UNDER","—")))</f>
        <v>—</v>
      </c>
      <c r="AE191" s="18">
        <f t="shared" si="7"/>
        <v>0.9609962064</v>
      </c>
    </row>
    <row r="192" ht="15.75" customHeight="1">
      <c r="A192" s="4" t="s">
        <v>86</v>
      </c>
      <c r="B192" s="4" t="s">
        <v>1794</v>
      </c>
      <c r="C192" s="4" t="s">
        <v>1405</v>
      </c>
      <c r="D192" s="4" t="s">
        <v>1013</v>
      </c>
      <c r="E192" s="4" t="s">
        <v>2882</v>
      </c>
      <c r="F192" s="4">
        <v>13.5</v>
      </c>
      <c r="G192" s="12">
        <f t="array" ref="G192">IFERROR(INDEX(CHOOSE(MATCH($X192,{"K1","K2","K3","K12","K13","H1","H2","H3","H12","H13"},0),Calc!$V$2:$V$157,Calc!$AC$2:$AC$157,Calc!$AJ$2:$AJ$157,Calc!$AL$2:$AL$157,Calc!$AM$2:$AM$157,Calc!$W$2:$W$157,Calc!$AD$2:$AD$157,Calc!$AK$2:$AK$157,Calc!$AN$2:$AN$157,Calc!$AO$2:$AO$157),MATCH($W192,Calc!$A$2:$A$157,0)),"")</f>
        <v>13.6825</v>
      </c>
      <c r="H192" s="12">
        <f t="array" ref="H192">IF(G192="","",IF(LEFT($X192,1)="H",SQRT(G192*(IFERROR(INDEX(Calc!$AP$2:$AP$157,MATCH($W192,Calc!$A$2:$A$157,0)),0.5)*Config!$B$5+1-IFERROR(INDEX(Calc!$AP$2:$AP$157,MATCH($W192,Calc!$A$2:$A$157,0)),0.5))),SQRT(G192*Config!$B$5)))</f>
        <v>4.37669967</v>
      </c>
      <c r="I192" s="11">
        <f t="shared" si="1"/>
        <v>0.5166303102</v>
      </c>
      <c r="J192" s="11">
        <f t="shared" si="2"/>
        <v>0.4833696898</v>
      </c>
      <c r="K192" s="11">
        <f t="shared" si="3"/>
        <v>0</v>
      </c>
      <c r="L192" s="4" t="str">
        <f>IF(I192="","",IF(I192&gt;=0.5+Config!$B$6,"OVER",IF(J192&gt;=0.5+Config!$B$6,"UNDER","—")))</f>
        <v>—</v>
      </c>
      <c r="N192" s="4">
        <v>16.5</v>
      </c>
      <c r="O192" s="11">
        <v>0.8</v>
      </c>
      <c r="P192" s="11">
        <v>0.6</v>
      </c>
      <c r="Q192" s="11">
        <v>0.6</v>
      </c>
      <c r="R192" s="4" t="s">
        <v>579</v>
      </c>
      <c r="S192" s="4">
        <v>1.0</v>
      </c>
      <c r="T192" s="4" t="str">
        <f t="array" ref="T192">INDEX(Calc!$G$2:$G$157,MATCH($W192,Calc!$A$2:$A$157,0))</f>
        <v>Ancient</v>
      </c>
      <c r="U192" s="4" t="str">
        <f t="array" ref="U192">TEXT(INDEX(Calc!$J$2:$J$157,MATCH($W192,Calc!$A$2:$A$157,0)),"0.0")</f>
        <v>21.1</v>
      </c>
      <c r="V192" s="4" t="str">
        <f t="array" ref="V192">IFERROR(INDEX(Calc!$AQ$2:$AQ$157,MATCH($W192,Calc!$A$2:$A$157,0)),"")</f>
        <v/>
      </c>
      <c r="W192" s="4" t="s">
        <v>3229</v>
      </c>
      <c r="X192" s="4" t="s">
        <v>3202</v>
      </c>
      <c r="Y192" s="4" t="str">
        <f t="shared" si="4"/>
        <v>ngzwc6mqcf8eqdc|CS2 · PHA vs HAVU|K1</v>
      </c>
      <c r="Z192" s="12">
        <f t="array" ref="Z192">IFERROR(INDEX(CHOOSE(MATCH($X192,{"K1","K2","K3","K12","K13","H1","H2","H3","H12","H13"},0),Calc!$BA$2:$BA$157,Calc!$BB$2:$BB$157,Calc!$BC$2:$BC$157,Calc!$BD$2:$BD$157,Calc!$BE$2:$BE$157,Calc!$BF$2:$BF$157,Calc!$BG$2:$BG$157,Calc!$BH$2:$BH$157,Calc!$BI$2:$BI$157,Calc!$BJ$2:$BJ$157),MATCH($W192,Calc!$A$2:$A$157,0)),"")</f>
        <v>13.14883059</v>
      </c>
      <c r="AA192" s="12">
        <f t="array" ref="AA192">IF(Z192="","",IF(LEFT($X192,1)="H",SQRT(Z192*(IFERROR(INDEX(Calc!$AP$2:$AP$157,MATCH($W192,Calc!$A$2:$A$157,0)),0.5)*Config!$B$5+1-IFERROR(INDEX(Calc!$AP$2:$AP$157,MATCH($W192,Calc!$A$2:$A$157,0)),0.5))),SQRT(Z192*Config!$B$5)))</f>
        <v>4.290496805</v>
      </c>
      <c r="AB192" s="11">
        <f t="shared" si="5"/>
        <v>0.4673837164</v>
      </c>
      <c r="AC192" s="11">
        <f t="shared" si="6"/>
        <v>0.5326162836</v>
      </c>
      <c r="AD192" s="4" t="str">
        <f>IF(AB192="","",IF(AB192&gt;=0.5+Config!$B$6,"OVER",IF(AC192&gt;=0.5+Config!$B$6,"UNDER","—")))</f>
        <v>—</v>
      </c>
      <c r="AE192" s="18">
        <f t="shared" si="7"/>
        <v>0.9609962064</v>
      </c>
    </row>
    <row r="193" ht="15.75" customHeight="1">
      <c r="A193" s="4" t="s">
        <v>86</v>
      </c>
      <c r="B193" s="4" t="s">
        <v>1794</v>
      </c>
      <c r="C193" s="4" t="s">
        <v>1409</v>
      </c>
      <c r="D193" s="4" t="s">
        <v>1013</v>
      </c>
      <c r="E193" s="4" t="s">
        <v>2880</v>
      </c>
      <c r="F193" s="4">
        <v>8.5</v>
      </c>
      <c r="G193" s="12">
        <f t="array" ref="G193">IFERROR(INDEX(CHOOSE(MATCH($X193,{"K1","K2","K3","K12","K13","H1","H2","H3","H12","H13"},0),Calc!$V$2:$V$157,Calc!$AC$2:$AC$157,Calc!$AJ$2:$AJ$157,Calc!$AL$2:$AL$157,Calc!$AM$2:$AM$157,Calc!$W$2:$W$157,Calc!$AD$2:$AD$157,Calc!$AK$2:$AK$157,Calc!$AN$2:$AN$157,Calc!$AO$2:$AO$157),MATCH($W193,Calc!$A$2:$A$157,0)),"")</f>
        <v>9.73908751</v>
      </c>
      <c r="H193" s="12">
        <f t="array" ref="H193">IF(G193="","",IF(LEFT($X193,1)="H",SQRT(G193*(IFERROR(INDEX(Calc!$AP$2:$AP$157,MATCH($W193,Calc!$A$2:$A$157,0)),0.5)*Config!$B$5+1-IFERROR(INDEX(Calc!$AP$2:$AP$157,MATCH($W193,Calc!$A$2:$A$157,0)),0.5))),SQRT(G193*Config!$B$5)))</f>
        <v>3.510401271</v>
      </c>
      <c r="I193" s="11">
        <f t="shared" si="1"/>
        <v>0.6379467953</v>
      </c>
      <c r="J193" s="11">
        <f t="shared" si="2"/>
        <v>0.3620532047</v>
      </c>
      <c r="K193" s="11">
        <f t="shared" si="3"/>
        <v>0</v>
      </c>
      <c r="L193" s="4" t="str">
        <f>IF(I193="","",IF(I193&gt;=0.5+Config!$B$6,"OVER",IF(J193&gt;=0.5+Config!$B$6,"UNDER","—")))</f>
        <v>OVER</v>
      </c>
      <c r="N193" s="4">
        <v>10.2</v>
      </c>
      <c r="O193" s="11">
        <v>0.6</v>
      </c>
      <c r="P193" s="11">
        <v>0.8</v>
      </c>
      <c r="Q193" s="11">
        <v>0.73</v>
      </c>
      <c r="R193" s="4" t="s">
        <v>579</v>
      </c>
      <c r="S193" s="4">
        <v>1.0</v>
      </c>
      <c r="T193" s="4" t="str">
        <f t="array" ref="T193">INDEX(Calc!$G$2:$G$157,MATCH($W193,Calc!$A$2:$A$157,0))</f>
        <v>Ancient</v>
      </c>
      <c r="U193" s="4" t="str">
        <f t="array" ref="U193">TEXT(INDEX(Calc!$J$2:$J$157,MATCH($W193,Calc!$A$2:$A$157,0)),"0.0")</f>
        <v>21.1</v>
      </c>
      <c r="V193" s="4" t="str">
        <f t="array" ref="V193">IFERROR(INDEX(Calc!$AQ$2:$AQ$157,MATCH($W193,Calc!$A$2:$A$157,0)),"")</f>
        <v/>
      </c>
      <c r="W193" s="4" t="s">
        <v>3230</v>
      </c>
      <c r="X193" s="4" t="s">
        <v>3201</v>
      </c>
      <c r="Y193" s="4" t="str">
        <f t="shared" si="4"/>
        <v>ydze2q2v3qoecsb|CS2 · PHA vs HAVU|H1</v>
      </c>
      <c r="Z193" s="12">
        <f t="array" ref="Z193">IFERROR(INDEX(CHOOSE(MATCH($X193,{"K1","K2","K3","K12","K13","H1","H2","H3","H12","H13"},0),Calc!$BA$2:$BA$157,Calc!$BB$2:$BB$157,Calc!$BC$2:$BC$157,Calc!$BD$2:$BD$157,Calc!$BE$2:$BE$157,Calc!$BF$2:$BF$157,Calc!$BG$2:$BG$157,Calc!$BH$2:$BH$157,Calc!$BI$2:$BI$157,Calc!$BJ$2:$BJ$157),MATCH($W193,Calc!$A$2:$A$157,0)),"")</f>
        <v>9.359226151</v>
      </c>
      <c r="AA193" s="12">
        <f t="array" ref="AA193">IF(Z193="","",IF(LEFT($X193,1)="H",SQRT(Z193*(IFERROR(INDEX(Calc!$AP$2:$AP$157,MATCH($W193,Calc!$A$2:$A$157,0)),0.5)*Config!$B$5+1-IFERROR(INDEX(Calc!$AP$2:$AP$157,MATCH($W193,Calc!$A$2:$A$157,0)),0.5))),SQRT(Z193*Config!$B$5)))</f>
        <v>3.441260898</v>
      </c>
      <c r="AB193" s="11">
        <f t="shared" si="5"/>
        <v>0.59858395</v>
      </c>
      <c r="AC193" s="11">
        <f t="shared" si="6"/>
        <v>0.40141605</v>
      </c>
      <c r="AD193" s="4" t="str">
        <f>IF(AB193="","",IF(AB193&gt;=0.5+Config!$B$6,"OVER",IF(AC193&gt;=0.5+Config!$B$6,"UNDER","—")))</f>
        <v>OVER</v>
      </c>
      <c r="AE193" s="18">
        <f t="shared" si="7"/>
        <v>0.9609962064</v>
      </c>
    </row>
    <row r="194" ht="15.75" customHeight="1">
      <c r="A194" s="4" t="s">
        <v>86</v>
      </c>
      <c r="B194" s="4" t="s">
        <v>1794</v>
      </c>
      <c r="C194" s="4" t="s">
        <v>1409</v>
      </c>
      <c r="D194" s="4" t="s">
        <v>1013</v>
      </c>
      <c r="E194" s="4" t="s">
        <v>2882</v>
      </c>
      <c r="F194" s="4">
        <v>13.5</v>
      </c>
      <c r="G194" s="12">
        <f t="array" ref="G194">IFERROR(INDEX(CHOOSE(MATCH($X194,{"K1","K2","K3","K12","K13","H1","H2","H3","H12","H13"},0),Calc!$V$2:$V$157,Calc!$AC$2:$AC$157,Calc!$AJ$2:$AJ$157,Calc!$AL$2:$AL$157,Calc!$AM$2:$AM$157,Calc!$W$2:$W$157,Calc!$AD$2:$AD$157,Calc!$AK$2:$AK$157,Calc!$AN$2:$AN$157,Calc!$AO$2:$AO$157),MATCH($W194,Calc!$A$2:$A$157,0)),"")</f>
        <v>14.55457143</v>
      </c>
      <c r="H194" s="12">
        <f t="array" ref="H194">IF(G194="","",IF(LEFT($X194,1)="H",SQRT(G194*(IFERROR(INDEX(Calc!$AP$2:$AP$157,MATCH($W194,Calc!$A$2:$A$157,0)),0.5)*Config!$B$5+1-IFERROR(INDEX(Calc!$AP$2:$AP$157,MATCH($W194,Calc!$A$2:$A$157,0)),0.5))),SQRT(G194*Config!$B$5)))</f>
        <v>4.514022596</v>
      </c>
      <c r="I194" s="11">
        <f t="shared" si="1"/>
        <v>0.5923604706</v>
      </c>
      <c r="J194" s="11">
        <f t="shared" si="2"/>
        <v>0.4076395294</v>
      </c>
      <c r="K194" s="11">
        <f t="shared" si="3"/>
        <v>0</v>
      </c>
      <c r="L194" s="4" t="str">
        <f>IF(I194="","",IF(I194&gt;=0.5+Config!$B$6,"OVER",IF(J194&gt;=0.5+Config!$B$6,"UNDER","—")))</f>
        <v>OVER</v>
      </c>
      <c r="N194" s="4">
        <v>15.1</v>
      </c>
      <c r="O194" s="11">
        <v>0.4</v>
      </c>
      <c r="P194" s="11">
        <v>0.7</v>
      </c>
      <c r="Q194" s="11">
        <v>0.67</v>
      </c>
      <c r="R194" s="4" t="s">
        <v>579</v>
      </c>
      <c r="S194" s="4">
        <v>1.0</v>
      </c>
      <c r="T194" s="4" t="str">
        <f t="array" ref="T194">INDEX(Calc!$G$2:$G$157,MATCH($W194,Calc!$A$2:$A$157,0))</f>
        <v>Ancient</v>
      </c>
      <c r="U194" s="4" t="str">
        <f t="array" ref="U194">TEXT(INDEX(Calc!$J$2:$J$157,MATCH($W194,Calc!$A$2:$A$157,0)),"0.0")</f>
        <v>21.1</v>
      </c>
      <c r="V194" s="4" t="str">
        <f t="array" ref="V194">IFERROR(INDEX(Calc!$AQ$2:$AQ$157,MATCH($W194,Calc!$A$2:$A$157,0)),"")</f>
        <v/>
      </c>
      <c r="W194" s="4" t="s">
        <v>3230</v>
      </c>
      <c r="X194" s="4" t="s">
        <v>3202</v>
      </c>
      <c r="Y194" s="4" t="str">
        <f t="shared" si="4"/>
        <v>ydze2q2v3qoecsb|CS2 · PHA vs HAVU|K1</v>
      </c>
      <c r="Z194" s="12">
        <f t="array" ref="Z194">IFERROR(INDEX(CHOOSE(MATCH($X194,{"K1","K2","K3","K12","K13","H1","H2","H3","H12","H13"},0),Calc!$BA$2:$BA$157,Calc!$BB$2:$BB$157,Calc!$BC$2:$BC$157,Calc!$BD$2:$BD$157,Calc!$BE$2:$BE$157,Calc!$BF$2:$BF$157,Calc!$BG$2:$BG$157,Calc!$BH$2:$BH$157,Calc!$BI$2:$BI$157,Calc!$BJ$2:$BJ$157),MATCH($W194,Calc!$A$2:$A$157,0)),"")</f>
        <v>13.98688793</v>
      </c>
      <c r="AA194" s="12">
        <f t="array" ref="AA194">IF(Z194="","",IF(LEFT($X194,1)="H",SQRT(Z194*(IFERROR(INDEX(Calc!$AP$2:$AP$157,MATCH($W194,Calc!$A$2:$A$157,0)),0.5)*Config!$B$5+1-IFERROR(INDEX(Calc!$AP$2:$AP$157,MATCH($W194,Calc!$A$2:$A$157,0)),0.5))),SQRT(Z194*Config!$B$5)))</f>
        <v>4.425115038</v>
      </c>
      <c r="AB194" s="11">
        <f t="shared" si="5"/>
        <v>0.5438065383</v>
      </c>
      <c r="AC194" s="11">
        <f t="shared" si="6"/>
        <v>0.4561934617</v>
      </c>
      <c r="AD194" s="4" t="str">
        <f>IF(AB194="","",IF(AB194&gt;=0.5+Config!$B$6,"OVER",IF(AC194&gt;=0.5+Config!$B$6,"UNDER","—")))</f>
        <v>OVER</v>
      </c>
      <c r="AE194" s="18">
        <f t="shared" si="7"/>
        <v>0.9609962064</v>
      </c>
    </row>
    <row r="195" ht="15.75" customHeight="1">
      <c r="A195" s="4" t="s">
        <v>86</v>
      </c>
      <c r="B195" s="4" t="s">
        <v>1794</v>
      </c>
      <c r="C195" s="4" t="s">
        <v>1412</v>
      </c>
      <c r="D195" s="4" t="s">
        <v>1013</v>
      </c>
      <c r="E195" s="4" t="s">
        <v>2882</v>
      </c>
      <c r="F195" s="4">
        <v>14.5</v>
      </c>
      <c r="G195" s="12">
        <f t="array" ref="G195">IFERROR(INDEX(CHOOSE(MATCH($X195,{"K1","K2","K3","K12","K13","H1","H2","H3","H12","H13"},0),Calc!$V$2:$V$157,Calc!$AC$2:$AC$157,Calc!$AJ$2:$AJ$157,Calc!$AL$2:$AL$157,Calc!$AM$2:$AM$157,Calc!$W$2:$W$157,Calc!$AD$2:$AD$157,Calc!$AK$2:$AK$157,Calc!$AN$2:$AN$157,Calc!$AO$2:$AO$157),MATCH($W195,Calc!$A$2:$A$157,0)),"")</f>
        <v>16.02807143</v>
      </c>
      <c r="H195" s="12">
        <f t="array" ref="H195">IF(G195="","",IF(LEFT($X195,1)="H",SQRT(G195*(IFERROR(INDEX(Calc!$AP$2:$AP$157,MATCH($W195,Calc!$A$2:$A$157,0)),0.5)*Config!$B$5+1-IFERROR(INDEX(Calc!$AP$2:$AP$157,MATCH($W195,Calc!$A$2:$A$157,0)),0.5))),SQRT(G195*Config!$B$5)))</f>
        <v>4.737013827</v>
      </c>
      <c r="I195" s="11">
        <f t="shared" si="1"/>
        <v>0.6264937692</v>
      </c>
      <c r="J195" s="11">
        <f t="shared" si="2"/>
        <v>0.3735062308</v>
      </c>
      <c r="K195" s="11">
        <f t="shared" si="3"/>
        <v>0</v>
      </c>
      <c r="L195" s="4" t="str">
        <f>IF(I195="","",IF(I195&gt;=0.5+Config!$B$6,"OVER",IF(J195&gt;=0.5+Config!$B$6,"UNDER","—")))</f>
        <v>OVER</v>
      </c>
      <c r="N195" s="4">
        <v>18.1</v>
      </c>
      <c r="O195" s="11">
        <v>0.6</v>
      </c>
      <c r="P195" s="11">
        <v>0.6</v>
      </c>
      <c r="Q195" s="11">
        <v>0.6</v>
      </c>
      <c r="R195" s="4" t="s">
        <v>579</v>
      </c>
      <c r="S195" s="4">
        <v>3.0</v>
      </c>
      <c r="T195" s="4" t="str">
        <f t="array" ref="T195">INDEX(Calc!$G$2:$G$157,MATCH($W195,Calc!$A$2:$A$157,0))</f>
        <v>Ancient</v>
      </c>
      <c r="U195" s="4" t="str">
        <f t="array" ref="U195">TEXT(INDEX(Calc!$J$2:$J$157,MATCH($W195,Calc!$A$2:$A$157,0)),"0.0")</f>
        <v>21.1</v>
      </c>
      <c r="V195" s="4" t="str">
        <f t="array" ref="V195">IFERROR(INDEX(Calc!$AQ$2:$AQ$157,MATCH($W195,Calc!$A$2:$A$157,0)),"")</f>
        <v/>
      </c>
      <c r="W195" s="4" t="s">
        <v>3231</v>
      </c>
      <c r="X195" s="4" t="s">
        <v>3202</v>
      </c>
      <c r="Y195" s="4" t="str">
        <f t="shared" si="4"/>
        <v>r5k3gcz96b2x9h8|CS2 · PHA vs HAVU|K1</v>
      </c>
      <c r="Z195" s="12">
        <f t="array" ref="Z195">IFERROR(INDEX(CHOOSE(MATCH($X195,{"K1","K2","K3","K12","K13","H1","H2","H3","H12","H13"},0),Calc!$BA$2:$BA$157,Calc!$BB$2:$BB$157,Calc!$BC$2:$BC$157,Calc!$BD$2:$BD$157,Calc!$BE$2:$BE$157,Calc!$BF$2:$BF$157,Calc!$BG$2:$BG$157,Calc!$BH$2:$BH$157,Calc!$BI$2:$BI$157,Calc!$BJ$2:$BJ$157),MATCH($W195,Calc!$A$2:$A$157,0)),"")</f>
        <v>15.40291584</v>
      </c>
      <c r="AA195" s="12">
        <f t="array" ref="AA195">IF(Z195="","",IF(LEFT($X195,1)="H",SQRT(Z195*(IFERROR(INDEX(Calc!$AP$2:$AP$157,MATCH($W195,Calc!$A$2:$A$157,0)),0.5)*Config!$B$5+1-IFERROR(INDEX(Calc!$AP$2:$AP$157,MATCH($W195,Calc!$A$2:$A$157,0)),0.5))),SQRT(Z195*Config!$B$5)))</f>
        <v>4.643714265</v>
      </c>
      <c r="AB195" s="11">
        <f t="shared" si="5"/>
        <v>0.5770836426</v>
      </c>
      <c r="AC195" s="11">
        <f t="shared" si="6"/>
        <v>0.4229163574</v>
      </c>
      <c r="AD195" s="4" t="str">
        <f>IF(AB195="","",IF(AB195&gt;=0.5+Config!$B$6,"OVER",IF(AC195&gt;=0.5+Config!$B$6,"UNDER","—")))</f>
        <v>OVER</v>
      </c>
      <c r="AE195" s="18">
        <f t="shared" si="7"/>
        <v>0.9609962064</v>
      </c>
    </row>
    <row r="196" ht="15.75" customHeight="1">
      <c r="A196" s="4" t="s">
        <v>86</v>
      </c>
      <c r="B196" s="4" t="s">
        <v>1794</v>
      </c>
      <c r="C196" s="4" t="s">
        <v>1415</v>
      </c>
      <c r="D196" s="4" t="s">
        <v>1013</v>
      </c>
      <c r="E196" s="4" t="s">
        <v>2880</v>
      </c>
      <c r="F196" s="4">
        <v>8.0</v>
      </c>
      <c r="G196" s="12">
        <f t="array" ref="G196">IFERROR(INDEX(CHOOSE(MATCH($X196,{"K1","K2","K3","K12","K13","H1","H2","H3","H12","H13"},0),Calc!$V$2:$V$157,Calc!$AC$2:$AC$157,Calc!$AJ$2:$AJ$157,Calc!$AL$2:$AL$157,Calc!$AM$2:$AM$157,Calc!$W$2:$W$157,Calc!$AD$2:$AD$157,Calc!$AK$2:$AK$157,Calc!$AN$2:$AN$157,Calc!$AO$2:$AO$157),MATCH($W196,Calc!$A$2:$A$157,0)),"")</f>
        <v>8.391389184</v>
      </c>
      <c r="H196" s="12">
        <f t="array" ref="H196">IF(G196="","",IF(LEFT($X196,1)="H",SQRT(G196*(IFERROR(INDEX(Calc!$AP$2:$AP$157,MATCH($W196,Calc!$A$2:$A$157,0)),0.5)*Config!$B$5+1-IFERROR(INDEX(Calc!$AP$2:$AP$157,MATCH($W196,Calc!$A$2:$A$157,0)),0.5))),SQRT(G196*Config!$B$5)))</f>
        <v>3.263984007</v>
      </c>
      <c r="I196" s="11">
        <f t="shared" si="1"/>
        <v>0.4867274313</v>
      </c>
      <c r="J196" s="11">
        <f t="shared" si="2"/>
        <v>0.3923887443</v>
      </c>
      <c r="K196" s="11">
        <f t="shared" si="3"/>
        <v>0.1208838244</v>
      </c>
      <c r="L196" s="4" t="str">
        <f>IF(I196="","",IF(I196&gt;=0.5+Config!$B$6,"OVER",IF(J196&gt;=0.5+Config!$B$6,"UNDER","—")))</f>
        <v>—</v>
      </c>
      <c r="N196" s="4">
        <v>6.8</v>
      </c>
      <c r="O196" s="11">
        <v>0.2</v>
      </c>
      <c r="P196" s="11">
        <v>0.3</v>
      </c>
      <c r="Q196" s="11">
        <v>0.47</v>
      </c>
      <c r="R196" s="4" t="s">
        <v>579</v>
      </c>
      <c r="S196" s="4">
        <v>-1.0</v>
      </c>
      <c r="T196" s="4" t="str">
        <f t="array" ref="T196">INDEX(Calc!$G$2:$G$157,MATCH($W196,Calc!$A$2:$A$157,0))</f>
        <v>Ancient</v>
      </c>
      <c r="U196" s="4" t="str">
        <f t="array" ref="U196">TEXT(INDEX(Calc!$J$2:$J$157,MATCH($W196,Calc!$A$2:$A$157,0)),"0.0")</f>
        <v>21.1</v>
      </c>
      <c r="V196" s="4" t="str">
        <f t="array" ref="V196">IFERROR(INDEX(Calc!$AQ$2:$AQ$157,MATCH($W196,Calc!$A$2:$A$157,0)),"")</f>
        <v/>
      </c>
      <c r="W196" s="4" t="s">
        <v>3232</v>
      </c>
      <c r="X196" s="4" t="s">
        <v>3201</v>
      </c>
      <c r="Y196" s="4" t="str">
        <f t="shared" si="4"/>
        <v>r4mf7kxzysimlpj|CS2 · PHA vs HAVU|H1</v>
      </c>
      <c r="Z196" s="12">
        <f t="array" ref="Z196">IFERROR(INDEX(CHOOSE(MATCH($X196,{"K1","K2","K3","K12","K13","H1","H2","H3","H12","H13"},0),Calc!$BA$2:$BA$157,Calc!$BB$2:$BB$157,Calc!$BC$2:$BC$157,Calc!$BD$2:$BD$157,Calc!$BE$2:$BE$157,Calc!$BF$2:$BF$157,Calc!$BG$2:$BG$157,Calc!$BH$2:$BH$157,Calc!$BI$2:$BI$157,Calc!$BJ$2:$BJ$157),MATCH($W196,Calc!$A$2:$A$157,0)),"")</f>
        <v>8.064093172</v>
      </c>
      <c r="AA196" s="12">
        <f t="array" ref="AA196">IF(Z196="","",IF(LEFT($X196,1)="H",SQRT(Z196*(IFERROR(INDEX(Calc!$AP$2:$AP$157,MATCH($W196,Calc!$A$2:$A$157,0)),0.5)*Config!$B$5+1-IFERROR(INDEX(Calc!$AP$2:$AP$157,MATCH($W196,Calc!$A$2:$A$157,0)),0.5))),SQRT(Z196*Config!$B$5)))</f>
        <v>3.199697034</v>
      </c>
      <c r="AB196" s="11">
        <f t="shared" si="5"/>
        <v>0.4458182349</v>
      </c>
      <c r="AC196" s="11">
        <f t="shared" si="6"/>
        <v>0.4300307779</v>
      </c>
      <c r="AD196" s="4" t="str">
        <f>IF(AB196="","",IF(AB196&gt;=0.5+Config!$B$6,"OVER",IF(AC196&gt;=0.5+Config!$B$6,"UNDER","—")))</f>
        <v>—</v>
      </c>
      <c r="AE196" s="18">
        <f t="shared" si="7"/>
        <v>0.9609962064</v>
      </c>
    </row>
    <row r="197" ht="15.75" customHeight="1">
      <c r="A197" s="4" t="s">
        <v>86</v>
      </c>
      <c r="B197" s="4" t="s">
        <v>1794</v>
      </c>
      <c r="C197" s="4" t="s">
        <v>1415</v>
      </c>
      <c r="D197" s="4" t="s">
        <v>1013</v>
      </c>
      <c r="E197" s="4" t="s">
        <v>2882</v>
      </c>
      <c r="F197" s="4">
        <v>12.0</v>
      </c>
      <c r="G197" s="12">
        <f t="array" ref="G197">IFERROR(INDEX(CHOOSE(MATCH($X197,{"K1","K2","K3","K12","K13","H1","H2","H3","H12","H13"},0),Calc!$V$2:$V$157,Calc!$AC$2:$AC$157,Calc!$AJ$2:$AJ$157,Calc!$AL$2:$AL$157,Calc!$AM$2:$AM$157,Calc!$W$2:$W$157,Calc!$AD$2:$AD$157,Calc!$AK$2:$AK$157,Calc!$AN$2:$AN$157,Calc!$AO$2:$AO$157),MATCH($W197,Calc!$A$2:$A$157,0)),"")</f>
        <v>12.14885714</v>
      </c>
      <c r="H197" s="12">
        <f t="array" ref="H197">IF(G197="","",IF(LEFT($X197,1)="H",SQRT(G197*(IFERROR(INDEX(Calc!$AP$2:$AP$157,MATCH($W197,Calc!$A$2:$A$157,0)),0.5)*Config!$B$5+1-IFERROR(INDEX(Calc!$AP$2:$AP$157,MATCH($W197,Calc!$A$2:$A$157,0)),0.5))),SQRT(G197*Config!$B$5)))</f>
        <v>4.124124149</v>
      </c>
      <c r="I197" s="11">
        <f t="shared" si="1"/>
        <v>0.4660736064</v>
      </c>
      <c r="J197" s="11">
        <f t="shared" si="2"/>
        <v>0.4374915587</v>
      </c>
      <c r="K197" s="11">
        <f t="shared" si="3"/>
        <v>0.09643483483</v>
      </c>
      <c r="L197" s="4" t="str">
        <f>IF(I197="","",IF(I197&gt;=0.5+Config!$B$6,"OVER",IF(J197&gt;=0.5+Config!$B$6,"UNDER","—")))</f>
        <v>—</v>
      </c>
      <c r="N197" s="4">
        <v>9.8</v>
      </c>
      <c r="O197" s="11">
        <v>0.2</v>
      </c>
      <c r="P197" s="11">
        <v>0.2</v>
      </c>
      <c r="Q197" s="11">
        <v>0.4</v>
      </c>
      <c r="R197" s="4" t="s">
        <v>579</v>
      </c>
      <c r="S197" s="4">
        <v>-1.0</v>
      </c>
      <c r="T197" s="4" t="str">
        <f t="array" ref="T197">INDEX(Calc!$G$2:$G$157,MATCH($W197,Calc!$A$2:$A$157,0))</f>
        <v>Ancient</v>
      </c>
      <c r="U197" s="4" t="str">
        <f t="array" ref="U197">TEXT(INDEX(Calc!$J$2:$J$157,MATCH($W197,Calc!$A$2:$A$157,0)),"0.0")</f>
        <v>21.1</v>
      </c>
      <c r="V197" s="4" t="str">
        <f t="array" ref="V197">IFERROR(INDEX(Calc!$AQ$2:$AQ$157,MATCH($W197,Calc!$A$2:$A$157,0)),"")</f>
        <v/>
      </c>
      <c r="W197" s="4" t="s">
        <v>3232</v>
      </c>
      <c r="X197" s="4" t="s">
        <v>3202</v>
      </c>
      <c r="Y197" s="4" t="str">
        <f t="shared" si="4"/>
        <v>r4mf7kxzysimlpj|CS2 · PHA vs HAVU|K1</v>
      </c>
      <c r="Z197" s="12">
        <f t="array" ref="Z197">IFERROR(INDEX(CHOOSE(MATCH($X197,{"K1","K2","K3","K12","K13","H1","H2","H3","H12","H13"},0),Calc!$BA$2:$BA$157,Calc!$BB$2:$BB$157,Calc!$BC$2:$BC$157,Calc!$BD$2:$BD$157,Calc!$BE$2:$BE$157,Calc!$BF$2:$BF$157,Calc!$BG$2:$BG$157,Calc!$BH$2:$BH$157,Calc!$BI$2:$BI$157,Calc!$BJ$2:$BJ$157),MATCH($W197,Calc!$A$2:$A$157,0)),"")</f>
        <v>11.67500563</v>
      </c>
      <c r="AA197" s="12">
        <f t="array" ref="AA197">IF(Z197="","",IF(LEFT($X197,1)="H",SQRT(Z197*(IFERROR(INDEX(Calc!$AP$2:$AP$157,MATCH($W197,Calc!$A$2:$A$157,0)),0.5)*Config!$B$5+1-IFERROR(INDEX(Calc!$AP$2:$AP$157,MATCH($W197,Calc!$A$2:$A$157,0)),0.5))),SQRT(Z197*Config!$B$5)))</f>
        <v>4.042895976</v>
      </c>
      <c r="AB197" s="11">
        <f t="shared" si="5"/>
        <v>0.4191532073</v>
      </c>
      <c r="AC197" s="11">
        <f t="shared" si="6"/>
        <v>0.4827362993</v>
      </c>
      <c r="AD197" s="4" t="str">
        <f>IF(AB197="","",IF(AB197&gt;=0.5+Config!$B$6,"OVER",IF(AC197&gt;=0.5+Config!$B$6,"UNDER","—")))</f>
        <v>—</v>
      </c>
      <c r="AE197" s="18">
        <f t="shared" si="7"/>
        <v>0.9609962064</v>
      </c>
    </row>
    <row r="198" ht="15.75" customHeight="1">
      <c r="A198" s="4" t="s">
        <v>86</v>
      </c>
      <c r="B198" s="4" t="s">
        <v>1794</v>
      </c>
      <c r="C198" s="4" t="s">
        <v>1418</v>
      </c>
      <c r="D198" s="4" t="s">
        <v>1013</v>
      </c>
      <c r="E198" s="4" t="s">
        <v>2880</v>
      </c>
      <c r="F198" s="4">
        <v>7.0</v>
      </c>
      <c r="G198" s="12">
        <f t="array" ref="G198">IFERROR(INDEX(CHOOSE(MATCH($X198,{"K1","K2","K3","K12","K13","H1","H2","H3","H12","H13"},0),Calc!$V$2:$V$157,Calc!$AC$2:$AC$157,Calc!$AJ$2:$AJ$157,Calc!$AL$2:$AL$157,Calc!$AM$2:$AM$157,Calc!$W$2:$W$157,Calc!$AD$2:$AD$157,Calc!$AK$2:$AK$157,Calc!$AN$2:$AN$157,Calc!$AO$2:$AO$157),MATCH($W198,Calc!$A$2:$A$157,0)),"")</f>
        <v>8.997766653</v>
      </c>
      <c r="H198" s="12">
        <f t="array" ref="H198">IF(G198="","",IF(LEFT($X198,1)="H",SQRT(G198*(IFERROR(INDEX(Calc!$AP$2:$AP$157,MATCH($W198,Calc!$A$2:$A$157,0)),0.5)*Config!$B$5+1-IFERROR(INDEX(Calc!$AP$2:$AP$157,MATCH($W198,Calc!$A$2:$A$157,0)),0.5))),SQRT(G198*Config!$B$5)))</f>
        <v>3.309976359</v>
      </c>
      <c r="I198" s="11">
        <f t="shared" si="1"/>
        <v>0.6745458451</v>
      </c>
      <c r="J198" s="11">
        <f t="shared" si="2"/>
        <v>0.2252392087</v>
      </c>
      <c r="K198" s="11">
        <f t="shared" si="3"/>
        <v>0.1002149462</v>
      </c>
      <c r="L198" s="4" t="str">
        <f>IF(I198="","",IF(I198&gt;=0.5+Config!$B$6,"OVER",IF(J198&gt;=0.5+Config!$B$6,"UNDER","—")))</f>
        <v>OVER</v>
      </c>
      <c r="N198" s="4">
        <v>9.1</v>
      </c>
      <c r="O198" s="11">
        <v>1.0</v>
      </c>
      <c r="P198" s="11">
        <v>0.9</v>
      </c>
      <c r="Q198" s="11">
        <v>0.87</v>
      </c>
      <c r="R198" s="4" t="s">
        <v>579</v>
      </c>
      <c r="S198" s="4">
        <v>7.0</v>
      </c>
      <c r="T198" s="4" t="str">
        <f t="array" ref="T198">INDEX(Calc!$G$2:$G$157,MATCH($W198,Calc!$A$2:$A$157,0))</f>
        <v>Ancient</v>
      </c>
      <c r="U198" s="4" t="str">
        <f t="array" ref="U198">TEXT(INDEX(Calc!$J$2:$J$157,MATCH($W198,Calc!$A$2:$A$157,0)),"0.0")</f>
        <v>21.1</v>
      </c>
      <c r="V198" s="4" t="str">
        <f t="array" ref="V198">IFERROR(INDEX(Calc!$AQ$2:$AQ$157,MATCH($W198,Calc!$A$2:$A$157,0)),"")</f>
        <v/>
      </c>
      <c r="W198" s="4" t="s">
        <v>3233</v>
      </c>
      <c r="X198" s="4" t="s">
        <v>3201</v>
      </c>
      <c r="Y198" s="4" t="str">
        <f t="shared" si="4"/>
        <v>rw16g75bm7idm2e|CS2 · PHA vs HAVU|H1</v>
      </c>
      <c r="Z198" s="12">
        <f t="array" ref="Z198">IFERROR(INDEX(CHOOSE(MATCH($X198,{"K1","K2","K3","K12","K13","H1","H2","H3","H12","H13"},0),Calc!$BA$2:$BA$157,Calc!$BB$2:$BB$157,Calc!$BC$2:$BC$157,Calc!$BD$2:$BD$157,Calc!$BE$2:$BE$157,Calc!$BF$2:$BF$157,Calc!$BG$2:$BG$157,Calc!$BH$2:$BH$157,Calc!$BI$2:$BI$157,Calc!$BJ$2:$BJ$157),MATCH($W198,Calc!$A$2:$A$157,0)),"")</f>
        <v>8.646819619</v>
      </c>
      <c r="AA198" s="12">
        <f t="array" ref="AA198">IF(Z198="","",IF(LEFT($X198,1)="H",SQRT(Z198*(IFERROR(INDEX(Calc!$AP$2:$AP$157,MATCH($W198,Calc!$A$2:$A$157,0)),0.5)*Config!$B$5+1-IFERROR(INDEX(Calc!$AP$2:$AP$157,MATCH($W198,Calc!$A$2:$A$157,0)),0.5))),SQRT(Z198*Config!$B$5)))</f>
        <v>3.244783527</v>
      </c>
      <c r="AB198" s="11">
        <f t="shared" si="5"/>
        <v>0.6381187731</v>
      </c>
      <c r="AC198" s="11">
        <f t="shared" si="6"/>
        <v>0.2541068064</v>
      </c>
      <c r="AD198" s="4" t="str">
        <f>IF(AB198="","",IF(AB198&gt;=0.5+Config!$B$6,"OVER",IF(AC198&gt;=0.5+Config!$B$6,"UNDER","—")))</f>
        <v>OVER</v>
      </c>
      <c r="AE198" s="18">
        <f t="shared" si="7"/>
        <v>0.9609962064</v>
      </c>
    </row>
    <row r="199" ht="15.75" customHeight="1">
      <c r="A199" s="4" t="s">
        <v>86</v>
      </c>
      <c r="B199" s="4" t="s">
        <v>1794</v>
      </c>
      <c r="C199" s="4" t="s">
        <v>1418</v>
      </c>
      <c r="D199" s="4" t="s">
        <v>1013</v>
      </c>
      <c r="E199" s="4" t="s">
        <v>2882</v>
      </c>
      <c r="F199" s="4">
        <v>12.5</v>
      </c>
      <c r="G199" s="12">
        <f t="array" ref="G199">IFERROR(INDEX(CHOOSE(MATCH($X199,{"K1","K2","K3","K12","K13","H1","H2","H3","H12","H13"},0),Calc!$V$2:$V$157,Calc!$AC$2:$AC$157,Calc!$AJ$2:$AJ$157,Calc!$AL$2:$AL$157,Calc!$AM$2:$AM$157,Calc!$W$2:$W$157,Calc!$AD$2:$AD$157,Calc!$AK$2:$AK$157,Calc!$AN$2:$AN$157,Calc!$AO$2:$AO$157),MATCH($W199,Calc!$A$2:$A$157,0)),"")</f>
        <v>15.12592857</v>
      </c>
      <c r="H199" s="12">
        <f t="array" ref="H199">IF(G199="","",IF(LEFT($X199,1)="H",SQRT(G199*(IFERROR(INDEX(Calc!$AP$2:$AP$157,MATCH($W199,Calc!$A$2:$A$157,0)),0.5)*Config!$B$5+1-IFERROR(INDEX(Calc!$AP$2:$AP$157,MATCH($W199,Calc!$A$2:$A$157,0)),0.5))),SQRT(G199*Config!$B$5)))</f>
        <v>4.601771398</v>
      </c>
      <c r="I199" s="11">
        <f t="shared" si="1"/>
        <v>0.7158762165</v>
      </c>
      <c r="J199" s="11">
        <f t="shared" si="2"/>
        <v>0.2841237835</v>
      </c>
      <c r="K199" s="11">
        <f t="shared" si="3"/>
        <v>0</v>
      </c>
      <c r="L199" s="4" t="str">
        <f>IF(I199="","",IF(I199&gt;=0.5+Config!$B$6,"OVER",IF(J199&gt;=0.5+Config!$B$6,"UNDER","—")))</f>
        <v>OVER</v>
      </c>
      <c r="N199" s="4">
        <v>16.0</v>
      </c>
      <c r="O199" s="11">
        <v>0.8</v>
      </c>
      <c r="P199" s="11">
        <v>0.7</v>
      </c>
      <c r="Q199" s="11">
        <v>0.73</v>
      </c>
      <c r="R199" s="4" t="s">
        <v>579</v>
      </c>
      <c r="S199" s="4">
        <v>1.0</v>
      </c>
      <c r="T199" s="4" t="str">
        <f t="array" ref="T199">INDEX(Calc!$G$2:$G$157,MATCH($W199,Calc!$A$2:$A$157,0))</f>
        <v>Ancient</v>
      </c>
      <c r="U199" s="4" t="str">
        <f t="array" ref="U199">TEXT(INDEX(Calc!$J$2:$J$157,MATCH($W199,Calc!$A$2:$A$157,0)),"0.0")</f>
        <v>21.1</v>
      </c>
      <c r="V199" s="4" t="str">
        <f t="array" ref="V199">IFERROR(INDEX(Calc!$AQ$2:$AQ$157,MATCH($W199,Calc!$A$2:$A$157,0)),"")</f>
        <v/>
      </c>
      <c r="W199" s="4" t="s">
        <v>3233</v>
      </c>
      <c r="X199" s="4" t="s">
        <v>3202</v>
      </c>
      <c r="Y199" s="4" t="str">
        <f t="shared" si="4"/>
        <v>rw16g75bm7idm2e|CS2 · PHA vs HAVU|K1</v>
      </c>
      <c r="Z199" s="12">
        <f t="array" ref="Z199">IFERROR(INDEX(CHOOSE(MATCH($X199,{"K1","K2","K3","K12","K13","H1","H2","H3","H12","H13"},0),Calc!$BA$2:$BA$157,Calc!$BB$2:$BB$157,Calc!$BC$2:$BC$157,Calc!$BD$2:$BD$157,Calc!$BE$2:$BE$157,Calc!$BF$2:$BF$157,Calc!$BG$2:$BG$157,Calc!$BH$2:$BH$157,Calc!$BI$2:$BI$157,Calc!$BJ$2:$BJ$157),MATCH($W199,Calc!$A$2:$A$157,0)),"")</f>
        <v>14.53595997</v>
      </c>
      <c r="AA199" s="12">
        <f t="array" ref="AA199">IF(Z199="","",IF(LEFT($X199,1)="H",SQRT(Z199*(IFERROR(INDEX(Calc!$AP$2:$AP$157,MATCH($W199,Calc!$A$2:$A$157,0)),0.5)*Config!$B$5+1-IFERROR(INDEX(Calc!$AP$2:$AP$157,MATCH($W199,Calc!$A$2:$A$157,0)),0.5))),SQRT(Z199*Config!$B$5)))</f>
        <v>4.511135552</v>
      </c>
      <c r="AB199" s="11">
        <f t="shared" si="5"/>
        <v>0.6741200768</v>
      </c>
      <c r="AC199" s="11">
        <f t="shared" si="6"/>
        <v>0.3258799232</v>
      </c>
      <c r="AD199" s="4" t="str">
        <f>IF(AB199="","",IF(AB199&gt;=0.5+Config!$B$6,"OVER",IF(AC199&gt;=0.5+Config!$B$6,"UNDER","—")))</f>
        <v>OVER</v>
      </c>
      <c r="AE199" s="18">
        <f t="shared" si="7"/>
        <v>0.9609962064</v>
      </c>
    </row>
    <row r="200" ht="15.75" customHeight="1">
      <c r="A200" s="4" t="s">
        <v>86</v>
      </c>
      <c r="B200" s="4" t="s">
        <v>1794</v>
      </c>
      <c r="C200" s="4" t="s">
        <v>1519</v>
      </c>
      <c r="D200" s="4" t="s">
        <v>858</v>
      </c>
      <c r="E200" s="4" t="s">
        <v>2880</v>
      </c>
      <c r="F200" s="4">
        <v>7.5</v>
      </c>
      <c r="G200" s="12">
        <f t="array" ref="G200">IFERROR(INDEX(CHOOSE(MATCH($X200,{"K1","K2","K3","K12","K13","H1","H2","H3","H12","H13"},0),Calc!$V$2:$V$157,Calc!$AC$2:$AC$157,Calc!$AJ$2:$AJ$157,Calc!$AL$2:$AL$157,Calc!$AM$2:$AM$157,Calc!$W$2:$W$157,Calc!$AD$2:$AD$157,Calc!$AK$2:$AK$157,Calc!$AN$2:$AN$157,Calc!$AO$2:$AO$157),MATCH($W200,Calc!$A$2:$A$157,0)),"")</f>
        <v>6.899538766</v>
      </c>
      <c r="H200" s="12">
        <f t="array" ref="H200">IF(G200="","",IF(LEFT($X200,1)="H",SQRT(G200*(IFERROR(INDEX(Calc!$AP$2:$AP$157,MATCH($W200,Calc!$A$2:$A$157,0)),0.5)*Config!$B$5+1-IFERROR(INDEX(Calc!$AP$2:$AP$157,MATCH($W200,Calc!$A$2:$A$157,0)),0.5))),SQRT(G200*Config!$B$5)))</f>
        <v>2.890456971</v>
      </c>
      <c r="I200" s="11">
        <f t="shared" si="1"/>
        <v>0.417716302</v>
      </c>
      <c r="J200" s="11">
        <f t="shared" si="2"/>
        <v>0.582283698</v>
      </c>
      <c r="K200" s="11">
        <f t="shared" si="3"/>
        <v>0</v>
      </c>
      <c r="L200" s="4" t="str">
        <f>IF(I200="","",IF(I200&gt;=0.5+Config!$B$6,"OVER",IF(J200&gt;=0.5+Config!$B$6,"UNDER","—")))</f>
        <v>UNDER</v>
      </c>
      <c r="N200" s="4">
        <v>7.7</v>
      </c>
      <c r="O200" s="11">
        <v>0.2</v>
      </c>
      <c r="P200" s="11">
        <v>0.4</v>
      </c>
      <c r="Q200" s="11">
        <v>0.33</v>
      </c>
      <c r="R200" s="4" t="s">
        <v>579</v>
      </c>
      <c r="S200" s="4">
        <v>-1.0</v>
      </c>
      <c r="T200" s="4" t="str">
        <f t="array" ref="T200">INDEX(Calc!$G$2:$G$157,MATCH($W200,Calc!$A$2:$A$157,0))</f>
        <v>Ancient</v>
      </c>
      <c r="U200" s="4" t="str">
        <f t="array" ref="U200">TEXT(INDEX(Calc!$J$2:$J$157,MATCH($W200,Calc!$A$2:$A$157,0)),"0.0")</f>
        <v>21.1</v>
      </c>
      <c r="V200" s="4" t="str">
        <f t="array" ref="V200">IFERROR(INDEX(Calc!$AQ$2:$AQ$157,MATCH($W200,Calc!$A$2:$A$157,0)),"")</f>
        <v/>
      </c>
      <c r="W200" s="4" t="s">
        <v>3234</v>
      </c>
      <c r="X200" s="4" t="s">
        <v>3201</v>
      </c>
      <c r="Y200" s="4" t="str">
        <f t="shared" si="4"/>
        <v>14nk53aue7wxi91|CS2 · PHA vs HAVU|H1</v>
      </c>
      <c r="Z200" s="12">
        <f t="array" ref="Z200">IFERROR(INDEX(CHOOSE(MATCH($X200,{"K1","K2","K3","K12","K13","H1","H2","H3","H12","H13"},0),Calc!$BA$2:$BA$157,Calc!$BB$2:$BB$157,Calc!$BC$2:$BC$157,Calc!$BD$2:$BD$157,Calc!$BE$2:$BE$157,Calc!$BF$2:$BF$157,Calc!$BG$2:$BG$157,Calc!$BH$2:$BH$157,Calc!$BI$2:$BI$157,Calc!$BJ$2:$BJ$157),MATCH($W200,Calc!$A$2:$A$157,0)),"")</f>
        <v>7.244407799</v>
      </c>
      <c r="AA200" s="12">
        <f t="array" ref="AA200">IF(Z200="","",IF(LEFT($X200,1)="H",SQRT(Z200*(IFERROR(INDEX(Calc!$AP$2:$AP$157,MATCH($W200,Calc!$A$2:$A$157,0)),0.5)*Config!$B$5+1-IFERROR(INDEX(Calc!$AP$2:$AP$157,MATCH($W200,Calc!$A$2:$A$157,0)),0.5))),SQRT(Z200*Config!$B$5)))</f>
        <v>2.961814969</v>
      </c>
      <c r="AB200" s="11">
        <f t="shared" si="5"/>
        <v>0.4656156374</v>
      </c>
      <c r="AC200" s="11">
        <f t="shared" si="6"/>
        <v>0.5343843626</v>
      </c>
      <c r="AD200" s="4" t="str">
        <f>IF(AB200="","",IF(AB200&gt;=0.5+Config!$B$6,"OVER",IF(AC200&gt;=0.5+Config!$B$6,"UNDER","—")))</f>
        <v>—</v>
      </c>
      <c r="AE200" s="18">
        <f t="shared" si="7"/>
        <v>1.049984361</v>
      </c>
    </row>
    <row r="201" ht="15.75" customHeight="1">
      <c r="A201" s="4" t="s">
        <v>86</v>
      </c>
      <c r="B201" s="4" t="s">
        <v>1794</v>
      </c>
      <c r="C201" s="4" t="s">
        <v>1519</v>
      </c>
      <c r="D201" s="4" t="s">
        <v>858</v>
      </c>
      <c r="E201" s="4" t="s">
        <v>2882</v>
      </c>
      <c r="F201" s="4">
        <v>14.5</v>
      </c>
      <c r="G201" s="12">
        <f t="array" ref="G201">IFERROR(INDEX(CHOOSE(MATCH($X201,{"K1","K2","K3","K12","K13","H1","H2","H3","H12","H13"},0),Calc!$V$2:$V$157,Calc!$AC$2:$AC$157,Calc!$AJ$2:$AJ$157,Calc!$AL$2:$AL$157,Calc!$AM$2:$AM$157,Calc!$W$2:$W$157,Calc!$AD$2:$AD$157,Calc!$AK$2:$AK$157,Calc!$AN$2:$AN$157,Calc!$AO$2:$AO$157),MATCH($W201,Calc!$A$2:$A$157,0)),"")</f>
        <v>14.03771875</v>
      </c>
      <c r="H201" s="12">
        <f t="array" ref="H201">IF(G201="","",IF(LEFT($X201,1)="H",SQRT(G201*(IFERROR(INDEX(Calc!$AP$2:$AP$157,MATCH($W201,Calc!$A$2:$A$157,0)),0.5)*Config!$B$5+1-IFERROR(INDEX(Calc!$AP$2:$AP$157,MATCH($W201,Calc!$A$2:$A$157,0)),0.5))),SQRT(G201*Config!$B$5)))</f>
        <v>4.433148571</v>
      </c>
      <c r="I201" s="11">
        <f t="shared" si="1"/>
        <v>0.4584742443</v>
      </c>
      <c r="J201" s="11">
        <f t="shared" si="2"/>
        <v>0.5415257557</v>
      </c>
      <c r="K201" s="11">
        <f t="shared" si="3"/>
        <v>0</v>
      </c>
      <c r="L201" s="4" t="str">
        <f>IF(I201="","",IF(I201&gt;=0.5+Config!$B$6,"OVER",IF(J201&gt;=0.5+Config!$B$6,"UNDER","—")))</f>
        <v>UNDER</v>
      </c>
      <c r="N201" s="4">
        <v>14.3</v>
      </c>
      <c r="O201" s="11">
        <v>0.2</v>
      </c>
      <c r="P201" s="11">
        <v>0.4</v>
      </c>
      <c r="Q201" s="11">
        <v>0.33</v>
      </c>
      <c r="R201" s="4" t="s">
        <v>579</v>
      </c>
      <c r="S201" s="4">
        <v>-4.0</v>
      </c>
      <c r="T201" s="4" t="str">
        <f t="array" ref="T201">INDEX(Calc!$G$2:$G$157,MATCH($W201,Calc!$A$2:$A$157,0))</f>
        <v>Ancient</v>
      </c>
      <c r="U201" s="4" t="str">
        <f t="array" ref="U201">TEXT(INDEX(Calc!$J$2:$J$157,MATCH($W201,Calc!$A$2:$A$157,0)),"0.0")</f>
        <v>21.1</v>
      </c>
      <c r="V201" s="4" t="str">
        <f t="array" ref="V201">IFERROR(INDEX(Calc!$AQ$2:$AQ$157,MATCH($W201,Calc!$A$2:$A$157,0)),"")</f>
        <v/>
      </c>
      <c r="W201" s="4" t="s">
        <v>3234</v>
      </c>
      <c r="X201" s="4" t="s">
        <v>3202</v>
      </c>
      <c r="Y201" s="4" t="str">
        <f t="shared" si="4"/>
        <v>14nk53aue7wxi91|CS2 · PHA vs HAVU|K1</v>
      </c>
      <c r="Z201" s="12">
        <f t="array" ref="Z201">IFERROR(INDEX(CHOOSE(MATCH($X201,{"K1","K2","K3","K12","K13","H1","H2","H3","H12","H13"},0),Calc!$BA$2:$BA$157,Calc!$BB$2:$BB$157,Calc!$BC$2:$BC$157,Calc!$BD$2:$BD$157,Calc!$BE$2:$BE$157,Calc!$BF$2:$BF$157,Calc!$BG$2:$BG$157,Calc!$BH$2:$BH$157,Calc!$BI$2:$BI$157,Calc!$BJ$2:$BJ$157),MATCH($W201,Calc!$A$2:$A$157,0)),"")</f>
        <v>14.73938515</v>
      </c>
      <c r="AA201" s="12">
        <f t="array" ref="AA201">IF(Z201="","",IF(LEFT($X201,1)="H",SQRT(Z201*(IFERROR(INDEX(Calc!$AP$2:$AP$157,MATCH($W201,Calc!$A$2:$A$157,0)),0.5)*Config!$B$5+1-IFERROR(INDEX(Calc!$AP$2:$AP$157,MATCH($W201,Calc!$A$2:$A$157,0)),0.5))),SQRT(Z201*Config!$B$5)))</f>
        <v>4.542591684</v>
      </c>
      <c r="AB201" s="11">
        <f t="shared" si="5"/>
        <v>0.5210137029</v>
      </c>
      <c r="AC201" s="11">
        <f t="shared" si="6"/>
        <v>0.4789862971</v>
      </c>
      <c r="AD201" s="4" t="str">
        <f>IF(AB201="","",IF(AB201&gt;=0.5+Config!$B$6,"OVER",IF(AC201&gt;=0.5+Config!$B$6,"UNDER","—")))</f>
        <v>—</v>
      </c>
      <c r="AE201" s="18">
        <f t="shared" si="7"/>
        <v>1.049984361</v>
      </c>
    </row>
    <row r="202" ht="15.75" customHeight="1">
      <c r="A202" s="4" t="s">
        <v>86</v>
      </c>
      <c r="B202" s="4" t="s">
        <v>1794</v>
      </c>
      <c r="C202" s="4" t="s">
        <v>1523</v>
      </c>
      <c r="D202" s="4" t="s">
        <v>858</v>
      </c>
      <c r="E202" s="4" t="s">
        <v>2880</v>
      </c>
      <c r="F202" s="4">
        <v>7.0</v>
      </c>
      <c r="G202" s="12">
        <f t="array" ref="G202">IFERROR(INDEX(CHOOSE(MATCH($X202,{"K1","K2","K3","K12","K13","H1","H2","H3","H12","H13"},0),Calc!$V$2:$V$157,Calc!$AC$2:$AC$157,Calc!$AJ$2:$AJ$157,Calc!$AL$2:$AL$157,Calc!$AM$2:$AM$157,Calc!$W$2:$W$157,Calc!$AD$2:$AD$157,Calc!$AK$2:$AK$157,Calc!$AN$2:$AN$157,Calc!$AO$2:$AO$157),MATCH($W202,Calc!$A$2:$A$157,0)),"")</f>
        <v>6.298840077</v>
      </c>
      <c r="H202" s="12">
        <f t="array" ref="H202">IF(G202="","",IF(LEFT($X202,1)="H",SQRT(G202*(IFERROR(INDEX(Calc!$AP$2:$AP$157,MATCH($W202,Calc!$A$2:$A$157,0)),0.5)*Config!$B$5+1-IFERROR(INDEX(Calc!$AP$2:$AP$157,MATCH($W202,Calc!$A$2:$A$157,0)),0.5))),SQRT(G202*Config!$B$5)))</f>
        <v>2.727147821</v>
      </c>
      <c r="I202" s="11">
        <f t="shared" si="1"/>
        <v>0.3298072467</v>
      </c>
      <c r="J202" s="11">
        <f t="shared" si="2"/>
        <v>0.5294001245</v>
      </c>
      <c r="K202" s="11">
        <f t="shared" si="3"/>
        <v>0.1407926288</v>
      </c>
      <c r="L202" s="4" t="str">
        <f>IF(I202="","",IF(I202&gt;=0.5+Config!$B$6,"OVER",IF(J202&gt;=0.5+Config!$B$6,"UNDER","—")))</f>
        <v>—</v>
      </c>
      <c r="N202" s="4">
        <v>6.1</v>
      </c>
      <c r="O202" s="11">
        <v>0.4</v>
      </c>
      <c r="P202" s="11">
        <v>0.3</v>
      </c>
      <c r="Q202" s="11">
        <v>0.47</v>
      </c>
      <c r="R202" s="4" t="s">
        <v>579</v>
      </c>
      <c r="S202" s="4">
        <v>-1.0</v>
      </c>
      <c r="T202" s="4" t="str">
        <f t="array" ref="T202">INDEX(Calc!$G$2:$G$157,MATCH($W202,Calc!$A$2:$A$157,0))</f>
        <v>Ancient</v>
      </c>
      <c r="U202" s="4" t="str">
        <f t="array" ref="U202">TEXT(INDEX(Calc!$J$2:$J$157,MATCH($W202,Calc!$A$2:$A$157,0)),"0.0")</f>
        <v>21.1</v>
      </c>
      <c r="V202" s="4" t="str">
        <f t="array" ref="V202">IFERROR(INDEX(Calc!$AQ$2:$AQ$157,MATCH($W202,Calc!$A$2:$A$157,0)),"")</f>
        <v/>
      </c>
      <c r="W202" s="4" t="s">
        <v>3235</v>
      </c>
      <c r="X202" s="4" t="s">
        <v>3201</v>
      </c>
      <c r="Y202" s="4" t="str">
        <f t="shared" si="4"/>
        <v>zf7bzibg1ekklis|CS2 · PHA vs HAVU|H1</v>
      </c>
      <c r="Z202" s="12">
        <f t="array" ref="Z202">IFERROR(INDEX(CHOOSE(MATCH($X202,{"K1","K2","K3","K12","K13","H1","H2","H3","H12","H13"},0),Calc!$BA$2:$BA$157,Calc!$BB$2:$BB$157,Calc!$BC$2:$BC$157,Calc!$BD$2:$BD$157,Calc!$BE$2:$BE$157,Calc!$BF$2:$BF$157,Calc!$BG$2:$BG$157,Calc!$BH$2:$BH$157,Calc!$BI$2:$BI$157,Calc!$BJ$2:$BJ$157),MATCH($W202,Calc!$A$2:$A$157,0)),"")</f>
        <v>6.61368357</v>
      </c>
      <c r="AA202" s="12">
        <f t="array" ref="AA202">IF(Z202="","",IF(LEFT($X202,1)="H",SQRT(Z202*(IFERROR(INDEX(Calc!$AP$2:$AP$157,MATCH($W202,Calc!$A$2:$A$157,0)),0.5)*Config!$B$5+1-IFERROR(INDEX(Calc!$AP$2:$AP$157,MATCH($W202,Calc!$A$2:$A$157,0)),0.5))),SQRT(Z202*Config!$B$5)))</f>
        <v>2.794474133</v>
      </c>
      <c r="AB202" s="11">
        <f t="shared" si="5"/>
        <v>0.3755582471</v>
      </c>
      <c r="AC202" s="11">
        <f t="shared" si="6"/>
        <v>0.4837748807</v>
      </c>
      <c r="AD202" s="4" t="str">
        <f>IF(AB202="","",IF(AB202&gt;=0.5+Config!$B$6,"OVER",IF(AC202&gt;=0.5+Config!$B$6,"UNDER","—")))</f>
        <v>—</v>
      </c>
      <c r="AE202" s="18">
        <f t="shared" si="7"/>
        <v>1.049984361</v>
      </c>
    </row>
    <row r="203" ht="15.75" customHeight="1">
      <c r="A203" s="4" t="s">
        <v>86</v>
      </c>
      <c r="B203" s="4" t="s">
        <v>1794</v>
      </c>
      <c r="C203" s="4" t="s">
        <v>1523</v>
      </c>
      <c r="D203" s="4" t="s">
        <v>858</v>
      </c>
      <c r="E203" s="4" t="s">
        <v>2882</v>
      </c>
      <c r="F203" s="4">
        <v>15.5</v>
      </c>
      <c r="G203" s="12">
        <f t="array" ref="G203">IFERROR(INDEX(CHOOSE(MATCH($X203,{"K1","K2","K3","K12","K13","H1","H2","H3","H12","H13"},0),Calc!$V$2:$V$157,Calc!$AC$2:$AC$157,Calc!$AJ$2:$AJ$157,Calc!$AL$2:$AL$157,Calc!$AM$2:$AM$157,Calc!$W$2:$W$157,Calc!$AD$2:$AD$157,Calc!$AK$2:$AK$157,Calc!$AN$2:$AN$157,Calc!$AO$2:$AO$157),MATCH($W203,Calc!$A$2:$A$157,0)),"")</f>
        <v>14.1035</v>
      </c>
      <c r="H203" s="12">
        <f t="array" ref="H203">IF(G203="","",IF(LEFT($X203,1)="H",SQRT(G203*(IFERROR(INDEX(Calc!$AP$2:$AP$157,MATCH($W203,Calc!$A$2:$A$157,0)),0.5)*Config!$B$5+1-IFERROR(INDEX(Calc!$AP$2:$AP$157,MATCH($W203,Calc!$A$2:$A$157,0)),0.5))),SQRT(G203*Config!$B$5)))</f>
        <v>4.443523377</v>
      </c>
      <c r="I203" s="11">
        <f t="shared" si="1"/>
        <v>0.376655093</v>
      </c>
      <c r="J203" s="11">
        <f t="shared" si="2"/>
        <v>0.623344907</v>
      </c>
      <c r="K203" s="11">
        <f t="shared" si="3"/>
        <v>0</v>
      </c>
      <c r="L203" s="4" t="str">
        <f>IF(I203="","",IF(I203&gt;=0.5+Config!$B$6,"OVER",IF(J203&gt;=0.5+Config!$B$6,"UNDER","—")))</f>
        <v>UNDER</v>
      </c>
      <c r="N203" s="4">
        <v>12.7</v>
      </c>
      <c r="O203" s="11">
        <v>0.2</v>
      </c>
      <c r="P203" s="11">
        <v>0.2</v>
      </c>
      <c r="Q203" s="11">
        <v>0.33</v>
      </c>
      <c r="R203" s="4" t="s">
        <v>579</v>
      </c>
      <c r="S203" s="4">
        <v>-1.0</v>
      </c>
      <c r="T203" s="4" t="str">
        <f t="array" ref="T203">INDEX(Calc!$G$2:$G$157,MATCH($W203,Calc!$A$2:$A$157,0))</f>
        <v>Ancient</v>
      </c>
      <c r="U203" s="4" t="str">
        <f t="array" ref="U203">TEXT(INDEX(Calc!$J$2:$J$157,MATCH($W203,Calc!$A$2:$A$157,0)),"0.0")</f>
        <v>21.1</v>
      </c>
      <c r="V203" s="4" t="str">
        <f t="array" ref="V203">IFERROR(INDEX(Calc!$AQ$2:$AQ$157,MATCH($W203,Calc!$A$2:$A$157,0)),"")</f>
        <v/>
      </c>
      <c r="W203" s="4" t="s">
        <v>3235</v>
      </c>
      <c r="X203" s="4" t="s">
        <v>3202</v>
      </c>
      <c r="Y203" s="4" t="str">
        <f t="shared" si="4"/>
        <v>zf7bzibg1ekklis|CS2 · PHA vs HAVU|K1</v>
      </c>
      <c r="Z203" s="12">
        <f t="array" ref="Z203">IFERROR(INDEX(CHOOSE(MATCH($X203,{"K1","K2","K3","K12","K13","H1","H2","H3","H12","H13"},0),Calc!$BA$2:$BA$157,Calc!$BB$2:$BB$157,Calc!$BC$2:$BC$157,Calc!$BD$2:$BD$157,Calc!$BE$2:$BE$157,Calc!$BF$2:$BF$157,Calc!$BG$2:$BG$157,Calc!$BH$2:$BH$157,Calc!$BI$2:$BI$157,Calc!$BJ$2:$BJ$157),MATCH($W203,Calc!$A$2:$A$157,0)),"")</f>
        <v>14.80845443</v>
      </c>
      <c r="AA203" s="12">
        <f t="array" ref="AA203">IF(Z203="","",IF(LEFT($X203,1)="H",SQRT(Z203*(IFERROR(INDEX(Calc!$AP$2:$AP$157,MATCH($W203,Calc!$A$2:$A$157,0)),0.5)*Config!$B$5+1-IFERROR(INDEX(Calc!$AP$2:$AP$157,MATCH($W203,Calc!$A$2:$A$157,0)),0.5))),SQRT(Z203*Config!$B$5)))</f>
        <v>4.553222617</v>
      </c>
      <c r="AB203" s="11">
        <f t="shared" si="5"/>
        <v>0.4396406079</v>
      </c>
      <c r="AC203" s="11">
        <f t="shared" si="6"/>
        <v>0.5603593921</v>
      </c>
      <c r="AD203" s="4" t="str">
        <f>IF(AB203="","",IF(AB203&gt;=0.5+Config!$B$6,"OVER",IF(AC203&gt;=0.5+Config!$B$6,"UNDER","—")))</f>
        <v>UNDER</v>
      </c>
      <c r="AE203" s="18">
        <f t="shared" si="7"/>
        <v>1.049984361</v>
      </c>
    </row>
    <row r="204" ht="15.75" customHeight="1">
      <c r="A204" s="4" t="s">
        <v>86</v>
      </c>
      <c r="B204" s="4" t="s">
        <v>1794</v>
      </c>
      <c r="C204" s="4" t="s">
        <v>1526</v>
      </c>
      <c r="D204" s="4" t="s">
        <v>858</v>
      </c>
      <c r="E204" s="4" t="s">
        <v>2880</v>
      </c>
      <c r="F204" s="4">
        <v>9.0</v>
      </c>
      <c r="G204" s="12">
        <f t="array" ref="G204">IFERROR(INDEX(CHOOSE(MATCH($X204,{"K1","K2","K3","K12","K13","H1","H2","H3","H12","H13"},0),Calc!$V$2:$V$157,Calc!$AC$2:$AC$157,Calc!$AJ$2:$AJ$157,Calc!$AL$2:$AL$157,Calc!$AM$2:$AM$157,Calc!$W$2:$W$157,Calc!$AD$2:$AD$157,Calc!$AK$2:$AK$157,Calc!$AN$2:$AN$157,Calc!$AO$2:$AO$157),MATCH($W204,Calc!$A$2:$A$157,0)),"")</f>
        <v>8.718586154</v>
      </c>
      <c r="H204" s="12">
        <f t="array" ref="H204">IF(G204="","",IF(LEFT($X204,1)="H",SQRT(G204*(IFERROR(INDEX(Calc!$AP$2:$AP$157,MATCH($W204,Calc!$A$2:$A$157,0)),0.5)*Config!$B$5+1-IFERROR(INDEX(Calc!$AP$2:$AP$157,MATCH($W204,Calc!$A$2:$A$157,0)),0.5))),SQRT(G204*Config!$B$5)))</f>
        <v>3.30542769</v>
      </c>
      <c r="I204" s="11">
        <f t="shared" si="1"/>
        <v>0.4065598875</v>
      </c>
      <c r="J204" s="11">
        <f t="shared" si="2"/>
        <v>0.4736373776</v>
      </c>
      <c r="K204" s="11">
        <f t="shared" si="3"/>
        <v>0.1198027349</v>
      </c>
      <c r="L204" s="4" t="str">
        <f>IF(I204="","",IF(I204&gt;=0.5+Config!$B$6,"OVER",IF(J204&gt;=0.5+Config!$B$6,"UNDER","—")))</f>
        <v>—</v>
      </c>
      <c r="N204" s="4">
        <v>8.7</v>
      </c>
      <c r="O204" s="11">
        <v>0.8</v>
      </c>
      <c r="P204" s="11">
        <v>0.6</v>
      </c>
      <c r="Q204" s="11">
        <v>0.6</v>
      </c>
      <c r="R204" s="4" t="s">
        <v>579</v>
      </c>
      <c r="S204" s="4">
        <v>-1.0</v>
      </c>
      <c r="T204" s="4" t="str">
        <f t="array" ref="T204">INDEX(Calc!$G$2:$G$157,MATCH($W204,Calc!$A$2:$A$157,0))</f>
        <v>Ancient</v>
      </c>
      <c r="U204" s="4" t="str">
        <f t="array" ref="U204">TEXT(INDEX(Calc!$J$2:$J$157,MATCH($W204,Calc!$A$2:$A$157,0)),"0.0")</f>
        <v>21.1</v>
      </c>
      <c r="V204" s="4" t="str">
        <f t="array" ref="V204">IFERROR(INDEX(Calc!$AQ$2:$AQ$157,MATCH($W204,Calc!$A$2:$A$157,0)),"")</f>
        <v/>
      </c>
      <c r="W204" s="4" t="s">
        <v>3236</v>
      </c>
      <c r="X204" s="4" t="s">
        <v>3201</v>
      </c>
      <c r="Y204" s="4" t="str">
        <f t="shared" si="4"/>
        <v>w56yzcex8uwfyhn|CS2 · PHA vs HAVU|H1</v>
      </c>
      <c r="Z204" s="12">
        <f t="array" ref="Z204">IFERROR(INDEX(CHOOSE(MATCH($X204,{"K1","K2","K3","K12","K13","H1","H2","H3","H12","H13"},0),Calc!$BA$2:$BA$157,Calc!$BB$2:$BB$157,Calc!$BC$2:$BC$157,Calc!$BD$2:$BD$157,Calc!$BE$2:$BE$157,Calc!$BF$2:$BF$157,Calc!$BG$2:$BG$157,Calc!$BH$2:$BH$157,Calc!$BI$2:$BI$157,Calc!$BJ$2:$BJ$157),MATCH($W204,Calc!$A$2:$A$157,0)),"")</f>
        <v>9.154379108</v>
      </c>
      <c r="AA204" s="12">
        <f t="array" ref="AA204">IF(Z204="","",IF(LEFT($X204,1)="H",SQRT(Z204*(IFERROR(INDEX(Calc!$AP$2:$AP$157,MATCH($W204,Calc!$A$2:$A$157,0)),0.5)*Config!$B$5+1-IFERROR(INDEX(Calc!$AP$2:$AP$157,MATCH($W204,Calc!$A$2:$A$157,0)),0.5))),SQRT(Z204*Config!$B$5)))</f>
        <v>3.387030255</v>
      </c>
      <c r="AB204" s="11">
        <f t="shared" si="5"/>
        <v>0.4593614872</v>
      </c>
      <c r="AC204" s="11">
        <f t="shared" si="6"/>
        <v>0.4234006072</v>
      </c>
      <c r="AD204" s="4" t="str">
        <f>IF(AB204="","",IF(AB204&gt;=0.5+Config!$B$6,"OVER",IF(AC204&gt;=0.5+Config!$B$6,"UNDER","—")))</f>
        <v>—</v>
      </c>
      <c r="AE204" s="18">
        <f t="shared" si="7"/>
        <v>1.049984361</v>
      </c>
    </row>
    <row r="205" ht="15.75" customHeight="1">
      <c r="A205" s="4" t="s">
        <v>86</v>
      </c>
      <c r="B205" s="4" t="s">
        <v>1794</v>
      </c>
      <c r="C205" s="4" t="s">
        <v>1526</v>
      </c>
      <c r="D205" s="4" t="s">
        <v>858</v>
      </c>
      <c r="E205" s="4" t="s">
        <v>2882</v>
      </c>
      <c r="F205" s="4">
        <v>15.0</v>
      </c>
      <c r="G205" s="12">
        <f t="array" ref="G205">IFERROR(INDEX(CHOOSE(MATCH($X205,{"K1","K2","K3","K12","K13","H1","H2","H3","H12","H13"},0),Calc!$V$2:$V$157,Calc!$AC$2:$AC$157,Calc!$AJ$2:$AJ$157,Calc!$AL$2:$AL$157,Calc!$AM$2:$AM$157,Calc!$W$2:$W$157,Calc!$AD$2:$AD$157,Calc!$AK$2:$AK$157,Calc!$AN$2:$AN$157,Calc!$AO$2:$AO$157),MATCH($W205,Calc!$A$2:$A$157,0)),"")</f>
        <v>13.60153846</v>
      </c>
      <c r="H205" s="12">
        <f t="array" ref="H205">IF(G205="","",IF(LEFT($X205,1)="H",SQRT(G205*(IFERROR(INDEX(Calc!$AP$2:$AP$157,MATCH($W205,Calc!$A$2:$A$157,0)),0.5)*Config!$B$5+1-IFERROR(INDEX(Calc!$AP$2:$AP$157,MATCH($W205,Calc!$A$2:$A$157,0)),0.5))),SQRT(G205*Config!$B$5)))</f>
        <v>4.363731642</v>
      </c>
      <c r="I205" s="11">
        <f t="shared" si="1"/>
        <v>0.3317613969</v>
      </c>
      <c r="J205" s="11">
        <f t="shared" si="2"/>
        <v>0.5815627299</v>
      </c>
      <c r="K205" s="11">
        <f t="shared" si="3"/>
        <v>0.08667587317</v>
      </c>
      <c r="L205" s="4" t="str">
        <f>IF(I205="","",IF(I205&gt;=0.5+Config!$B$6,"OVER",IF(J205&gt;=0.5+Config!$B$6,"UNDER","—")))</f>
        <v>UNDER</v>
      </c>
      <c r="N205" s="4">
        <v>13.4</v>
      </c>
      <c r="O205" s="11">
        <v>0.6</v>
      </c>
      <c r="P205" s="11">
        <v>0.5</v>
      </c>
      <c r="Q205" s="11">
        <v>0.53</v>
      </c>
      <c r="R205" s="4" t="s">
        <v>579</v>
      </c>
      <c r="S205" s="4">
        <v>-1.0</v>
      </c>
      <c r="T205" s="4" t="str">
        <f t="array" ref="T205">INDEX(Calc!$G$2:$G$157,MATCH($W205,Calc!$A$2:$A$157,0))</f>
        <v>Ancient</v>
      </c>
      <c r="U205" s="4" t="str">
        <f t="array" ref="U205">TEXT(INDEX(Calc!$J$2:$J$157,MATCH($W205,Calc!$A$2:$A$157,0)),"0.0")</f>
        <v>21.1</v>
      </c>
      <c r="V205" s="4" t="str">
        <f t="array" ref="V205">IFERROR(INDEX(Calc!$AQ$2:$AQ$157,MATCH($W205,Calc!$A$2:$A$157,0)),"")</f>
        <v/>
      </c>
      <c r="W205" s="4" t="s">
        <v>3236</v>
      </c>
      <c r="X205" s="4" t="s">
        <v>3202</v>
      </c>
      <c r="Y205" s="4" t="str">
        <f t="shared" si="4"/>
        <v>w56yzcex8uwfyhn|CS2 · PHA vs HAVU|K1</v>
      </c>
      <c r="Z205" s="12">
        <f t="array" ref="Z205">IFERROR(INDEX(CHOOSE(MATCH($X205,{"K1","K2","K3","K12","K13","H1","H2","H3","H12","H13"},0),Calc!$BA$2:$BA$157,Calc!$BB$2:$BB$157,Calc!$BC$2:$BC$157,Calc!$BD$2:$BD$157,Calc!$BE$2:$BE$157,Calc!$BF$2:$BF$157,Calc!$BG$2:$BG$157,Calc!$BH$2:$BH$157,Calc!$BI$2:$BI$157,Calc!$BJ$2:$BJ$157),MATCH($W205,Calc!$A$2:$A$157,0)),"")</f>
        <v>14.28140266</v>
      </c>
      <c r="AA205" s="12">
        <f t="array" ref="AA205">IF(Z205="","",IF(LEFT($X205,1)="H",SQRT(Z205*(IFERROR(INDEX(Calc!$AP$2:$AP$157,MATCH($W205,Calc!$A$2:$A$157,0)),0.5)*Config!$B$5+1-IFERROR(INDEX(Calc!$AP$2:$AP$157,MATCH($W205,Calc!$A$2:$A$157,0)),0.5))),SQRT(Z205*Config!$B$5)))</f>
        <v>4.471461029</v>
      </c>
      <c r="AB205" s="11">
        <f t="shared" si="5"/>
        <v>0.392608118</v>
      </c>
      <c r="AC205" s="11">
        <f t="shared" si="6"/>
        <v>0.5194954165</v>
      </c>
      <c r="AD205" s="4" t="str">
        <f>IF(AB205="","",IF(AB205&gt;=0.5+Config!$B$6,"OVER",IF(AC205&gt;=0.5+Config!$B$6,"UNDER","—")))</f>
        <v>—</v>
      </c>
      <c r="AE205" s="18">
        <f t="shared" si="7"/>
        <v>1.049984361</v>
      </c>
    </row>
    <row r="206" ht="15.75" customHeight="1">
      <c r="A206" s="4" t="s">
        <v>86</v>
      </c>
      <c r="B206" s="4" t="s">
        <v>1794</v>
      </c>
      <c r="C206" s="4" t="s">
        <v>1515</v>
      </c>
      <c r="D206" s="4" t="s">
        <v>858</v>
      </c>
      <c r="E206" s="4" t="s">
        <v>2882</v>
      </c>
      <c r="F206" s="4">
        <v>16.0</v>
      </c>
      <c r="G206" s="12">
        <f t="array" ref="G206">IFERROR(INDEX(CHOOSE(MATCH($X206,{"K1","K2","K3","K12","K13","H1","H2","H3","H12","H13"},0),Calc!$V$2:$V$157,Calc!$AC$2:$AC$157,Calc!$AJ$2:$AJ$157,Calc!$AL$2:$AL$157,Calc!$AM$2:$AM$157,Calc!$W$2:$W$157,Calc!$AD$2:$AD$157,Calc!$AK$2:$AK$157,Calc!$AN$2:$AN$157,Calc!$AO$2:$AO$157),MATCH($W206,Calc!$A$2:$A$157,0)),"")</f>
        <v>17.00192308</v>
      </c>
      <c r="H206" s="12">
        <f t="array" ref="H206">IF(G206="","",IF(LEFT($X206,1)="H",SQRT(G206*(IFERROR(INDEX(Calc!$AP$2:$AP$157,MATCH($W206,Calc!$A$2:$A$157,0)),0.5)*Config!$B$5+1-IFERROR(INDEX(Calc!$AP$2:$AP$157,MATCH($W206,Calc!$A$2:$A$157,0)),0.5))),SQRT(G206*Config!$B$5)))</f>
        <v>4.878800294</v>
      </c>
      <c r="I206" s="11">
        <f t="shared" si="1"/>
        <v>0.5409702521</v>
      </c>
      <c r="J206" s="11">
        <f t="shared" si="2"/>
        <v>0.3790994528</v>
      </c>
      <c r="K206" s="11">
        <f t="shared" si="3"/>
        <v>0.07993029515</v>
      </c>
      <c r="L206" s="4" t="str">
        <f>IF(I206="","",IF(I206&gt;=0.5+Config!$B$6,"OVER",IF(J206&gt;=0.5+Config!$B$6,"UNDER","—")))</f>
        <v>OVER</v>
      </c>
      <c r="N206" s="4">
        <v>16.4</v>
      </c>
      <c r="O206" s="11">
        <v>0.6</v>
      </c>
      <c r="P206" s="11">
        <v>0.5</v>
      </c>
      <c r="Q206" s="11">
        <v>0.6</v>
      </c>
      <c r="R206" s="4" t="s">
        <v>2203</v>
      </c>
      <c r="S206" s="4">
        <v>-1.0</v>
      </c>
      <c r="T206" s="4" t="str">
        <f t="array" ref="T206">INDEX(Calc!$G$2:$G$157,MATCH($W206,Calc!$A$2:$A$157,0))</f>
        <v>Ancient</v>
      </c>
      <c r="U206" s="4" t="str">
        <f t="array" ref="U206">TEXT(INDEX(Calc!$J$2:$J$157,MATCH($W206,Calc!$A$2:$A$157,0)),"0.0")</f>
        <v>21.1</v>
      </c>
      <c r="V206" s="4" t="str">
        <f t="array" ref="V206">IFERROR(INDEX(Calc!$AQ$2:$AQ$157,MATCH($W206,Calc!$A$2:$A$157,0)),"")</f>
        <v/>
      </c>
      <c r="W206" s="4" t="s">
        <v>3237</v>
      </c>
      <c r="X206" s="4" t="s">
        <v>3202</v>
      </c>
      <c r="Y206" s="4" t="str">
        <f t="shared" si="4"/>
        <v>mti1aemn002cu5c|CS2 · PHA vs HAVU|K1</v>
      </c>
      <c r="Z206" s="12">
        <f t="array" ref="Z206">IFERROR(INDEX(CHOOSE(MATCH($X206,{"K1","K2","K3","K12","K13","H1","H2","H3","H12","H13"},0),Calc!$BA$2:$BA$157,Calc!$BB$2:$BB$157,Calc!$BC$2:$BC$157,Calc!$BD$2:$BD$157,Calc!$BE$2:$BE$157,Calc!$BF$2:$BF$157,Calc!$BG$2:$BG$157,Calc!$BH$2:$BH$157,Calc!$BI$2:$BI$157,Calc!$BJ$2:$BJ$157),MATCH($W206,Calc!$A$2:$A$157,0)),"")</f>
        <v>17.85175333</v>
      </c>
      <c r="AA206" s="12">
        <f t="array" ref="AA206">IF(Z206="","",IF(LEFT($X206,1)="H",SQRT(Z206*(IFERROR(INDEX(Calc!$AP$2:$AP$157,MATCH($W206,Calc!$A$2:$A$157,0)),0.5)*Config!$B$5+1-IFERROR(INDEX(Calc!$AP$2:$AP$157,MATCH($W206,Calc!$A$2:$A$157,0)),0.5))),SQRT(Z206*Config!$B$5)))</f>
        <v>4.999245409</v>
      </c>
      <c r="AB206" s="11">
        <f t="shared" si="5"/>
        <v>0.6065704503</v>
      </c>
      <c r="AC206" s="11">
        <f t="shared" si="6"/>
        <v>0.3190268956</v>
      </c>
      <c r="AD206" s="4" t="str">
        <f>IF(AB206="","",IF(AB206&gt;=0.5+Config!$B$6,"OVER",IF(AC206&gt;=0.5+Config!$B$6,"UNDER","—")))</f>
        <v>OVER</v>
      </c>
      <c r="AE206" s="18">
        <f t="shared" si="7"/>
        <v>1.049984361</v>
      </c>
    </row>
    <row r="207" ht="15.75" customHeight="1">
      <c r="A207" s="4" t="s">
        <v>86</v>
      </c>
      <c r="B207" s="4" t="s">
        <v>1794</v>
      </c>
      <c r="C207" s="4" t="s">
        <v>1529</v>
      </c>
      <c r="D207" s="4" t="s">
        <v>858</v>
      </c>
      <c r="E207" s="4" t="s">
        <v>2880</v>
      </c>
      <c r="F207" s="4">
        <v>7.0</v>
      </c>
      <c r="G207" s="12">
        <f t="array" ref="G207">IFERROR(INDEX(CHOOSE(MATCH($X207,{"K1","K2","K3","K12","K13","H1","H2","H3","H12","H13"},0),Calc!$V$2:$V$157,Calc!$AC$2:$AC$157,Calc!$AJ$2:$AJ$157,Calc!$AL$2:$AL$157,Calc!$AM$2:$AM$157,Calc!$W$2:$W$157,Calc!$AD$2:$AD$157,Calc!$AK$2:$AK$157,Calc!$AN$2:$AN$157,Calc!$AO$2:$AO$157),MATCH($W207,Calc!$A$2:$A$157,0)),"")</f>
        <v>7.196331115</v>
      </c>
      <c r="H207" s="12">
        <f t="array" ref="H207">IF(G207="","",IF(LEFT($X207,1)="H",SQRT(G207*(IFERROR(INDEX(Calc!$AP$2:$AP$157,MATCH($W207,Calc!$A$2:$A$157,0)),0.5)*Config!$B$5+1-IFERROR(INDEX(Calc!$AP$2:$AP$157,MATCH($W207,Calc!$A$2:$A$157,0)),0.5))),SQRT(G207*Config!$B$5)))</f>
        <v>2.978445818</v>
      </c>
      <c r="I207" s="11">
        <f t="shared" si="1"/>
        <v>0.4593960048</v>
      </c>
      <c r="J207" s="11">
        <f t="shared" si="2"/>
        <v>0.4075739718</v>
      </c>
      <c r="K207" s="11">
        <f t="shared" si="3"/>
        <v>0.1330300234</v>
      </c>
      <c r="L207" s="4" t="str">
        <f>IF(I207="","",IF(I207&gt;=0.5+Config!$B$6,"OVER",IF(J207&gt;=0.5+Config!$B$6,"UNDER","—")))</f>
        <v>—</v>
      </c>
      <c r="N207" s="4">
        <v>6.3</v>
      </c>
      <c r="O207" s="11">
        <v>0.4</v>
      </c>
      <c r="P207" s="11">
        <v>0.4</v>
      </c>
      <c r="Q207" s="11">
        <v>0.6</v>
      </c>
      <c r="R207" s="4" t="s">
        <v>1729</v>
      </c>
      <c r="S207" s="4">
        <v>-1.0</v>
      </c>
      <c r="T207" s="4" t="str">
        <f t="array" ref="T207">INDEX(Calc!$G$2:$G$157,MATCH($W207,Calc!$A$2:$A$157,0))</f>
        <v>Ancient</v>
      </c>
      <c r="U207" s="4" t="str">
        <f t="array" ref="U207">TEXT(INDEX(Calc!$J$2:$J$157,MATCH($W207,Calc!$A$2:$A$157,0)),"0.0")</f>
        <v>21.1</v>
      </c>
      <c r="V207" s="4" t="str">
        <f t="array" ref="V207">IFERROR(INDEX(Calc!$AQ$2:$AQ$157,MATCH($W207,Calc!$A$2:$A$157,0)),"")</f>
        <v/>
      </c>
      <c r="W207" s="4" t="s">
        <v>3238</v>
      </c>
      <c r="X207" s="4" t="s">
        <v>3201</v>
      </c>
      <c r="Y207" s="4" t="str">
        <f t="shared" si="4"/>
        <v>994hwd2k6wyzjfl|CS2 · PHA vs HAVU|H1</v>
      </c>
      <c r="Z207" s="12">
        <f t="array" ref="Z207">IFERROR(INDEX(CHOOSE(MATCH($X207,{"K1","K2","K3","K12","K13","H1","H2","H3","H12","H13"},0),Calc!$BA$2:$BA$157,Calc!$BB$2:$BB$157,Calc!$BC$2:$BC$157,Calc!$BD$2:$BD$157,Calc!$BE$2:$BE$157,Calc!$BF$2:$BF$157,Calc!$BG$2:$BG$157,Calc!$BH$2:$BH$157,Calc!$BI$2:$BI$157,Calc!$BJ$2:$BJ$157),MATCH($W207,Calc!$A$2:$A$157,0)),"")</f>
        <v>7.556035125</v>
      </c>
      <c r="AA207" s="12">
        <f t="array" ref="AA207">IF(Z207="","",IF(LEFT($X207,1)="H",SQRT(Z207*(IFERROR(INDEX(Calc!$AP$2:$AP$157,MATCH($W207,Calc!$A$2:$A$157,0)),0.5)*Config!$B$5+1-IFERROR(INDEX(Calc!$AP$2:$AP$157,MATCH($W207,Calc!$A$2:$A$157,0)),0.5))),SQRT(Z207*Config!$B$5)))</f>
        <v>3.051976037</v>
      </c>
      <c r="AB207" s="11">
        <f t="shared" si="5"/>
        <v>0.5073242792</v>
      </c>
      <c r="AC207" s="11">
        <f t="shared" si="6"/>
        <v>0.364665027</v>
      </c>
      <c r="AD207" s="4" t="str">
        <f>IF(AB207="","",IF(AB207&gt;=0.5+Config!$B$6,"OVER",IF(AC207&gt;=0.5+Config!$B$6,"UNDER","—")))</f>
        <v>—</v>
      </c>
      <c r="AE207" s="18">
        <f t="shared" si="7"/>
        <v>1.049984361</v>
      </c>
    </row>
    <row r="208" ht="15.75" customHeight="1">
      <c r="A208" s="4" t="s">
        <v>86</v>
      </c>
      <c r="B208" s="4" t="s">
        <v>1794</v>
      </c>
      <c r="C208" s="4" t="s">
        <v>1529</v>
      </c>
      <c r="D208" s="4" t="s">
        <v>858</v>
      </c>
      <c r="E208" s="4" t="s">
        <v>2882</v>
      </c>
      <c r="F208" s="4">
        <v>13.0</v>
      </c>
      <c r="G208" s="12">
        <f t="array" ref="G208">IFERROR(INDEX(CHOOSE(MATCH($X208,{"K1","K2","K3","K12","K13","H1","H2","H3","H12","H13"},0),Calc!$V$2:$V$157,Calc!$AC$2:$AC$157,Calc!$AJ$2:$AJ$157,Calc!$AL$2:$AL$157,Calc!$AM$2:$AM$157,Calc!$W$2:$W$157,Calc!$AD$2:$AD$157,Calc!$AK$2:$AK$157,Calc!$AN$2:$AN$157,Calc!$AO$2:$AO$157),MATCH($W208,Calc!$A$2:$A$157,0)),"")</f>
        <v>11.9985</v>
      </c>
      <c r="H208" s="12">
        <f t="array" ref="H208">IF(G208="","",IF(LEFT($X208,1)="H",SQRT(G208*(IFERROR(INDEX(Calc!$AP$2:$AP$157,MATCH($W208,Calc!$A$2:$A$157,0)),0.5)*Config!$B$5+1-IFERROR(INDEX(Calc!$AP$2:$AP$157,MATCH($W208,Calc!$A$2:$A$157,0)),0.5))),SQRT(G208*Config!$B$5)))</f>
        <v>4.098524125</v>
      </c>
      <c r="I208" s="11">
        <f t="shared" si="1"/>
        <v>0.3570514445</v>
      </c>
      <c r="J208" s="11">
        <f t="shared" si="2"/>
        <v>0.5486934854</v>
      </c>
      <c r="K208" s="11">
        <f t="shared" si="3"/>
        <v>0.09425507009</v>
      </c>
      <c r="L208" s="4" t="str">
        <f>IF(I208="","",IF(I208&gt;=0.5+Config!$B$6,"OVER",IF(J208&gt;=0.5+Config!$B$6,"UNDER","—")))</f>
        <v>UNDER</v>
      </c>
      <c r="N208" s="4">
        <v>11.3</v>
      </c>
      <c r="O208" s="11">
        <v>0.2</v>
      </c>
      <c r="P208" s="11">
        <v>0.2</v>
      </c>
      <c r="Q208" s="11">
        <v>0.4</v>
      </c>
      <c r="R208" s="4" t="s">
        <v>1729</v>
      </c>
      <c r="S208" s="4">
        <v>-1.0</v>
      </c>
      <c r="T208" s="4" t="str">
        <f t="array" ref="T208">INDEX(Calc!$G$2:$G$157,MATCH($W208,Calc!$A$2:$A$157,0))</f>
        <v>Ancient</v>
      </c>
      <c r="U208" s="4" t="str">
        <f t="array" ref="U208">TEXT(INDEX(Calc!$J$2:$J$157,MATCH($W208,Calc!$A$2:$A$157,0)),"0.0")</f>
        <v>21.1</v>
      </c>
      <c r="V208" s="4" t="str">
        <f t="array" ref="V208">IFERROR(INDEX(Calc!$AQ$2:$AQ$157,MATCH($W208,Calc!$A$2:$A$157,0)),"")</f>
        <v/>
      </c>
      <c r="W208" s="4" t="s">
        <v>3238</v>
      </c>
      <c r="X208" s="4" t="s">
        <v>3202</v>
      </c>
      <c r="Y208" s="4" t="str">
        <f t="shared" si="4"/>
        <v>994hwd2k6wyzjfl|CS2 · PHA vs HAVU|K1</v>
      </c>
      <c r="Z208" s="12">
        <f t="array" ref="Z208">IFERROR(INDEX(CHOOSE(MATCH($X208,{"K1","K2","K3","K12","K13","H1","H2","H3","H12","H13"},0),Calc!$BA$2:$BA$157,Calc!$BB$2:$BB$157,Calc!$BC$2:$BC$157,Calc!$BD$2:$BD$157,Calc!$BE$2:$BE$157,Calc!$BF$2:$BF$157,Calc!$BG$2:$BG$157,Calc!$BH$2:$BH$157,Calc!$BI$2:$BI$157,Calc!$BJ$2:$BJ$157),MATCH($W208,Calc!$A$2:$A$157,0)),"")</f>
        <v>12.59823735</v>
      </c>
      <c r="AA208" s="12">
        <f t="array" ref="AA208">IF(Z208="","",IF(LEFT($X208,1)="H",SQRT(Z208*(IFERROR(INDEX(Calc!$AP$2:$AP$157,MATCH($W208,Calc!$A$2:$A$157,0)),0.5)*Config!$B$5+1-IFERROR(INDEX(Calc!$AP$2:$AP$157,MATCH($W208,Calc!$A$2:$A$157,0)),0.5))),SQRT(Z208*Config!$B$5)))</f>
        <v>4.199706215</v>
      </c>
      <c r="AB208" s="11">
        <f t="shared" si="5"/>
        <v>0.4149926535</v>
      </c>
      <c r="AC208" s="11">
        <f t="shared" si="6"/>
        <v>0.490669</v>
      </c>
      <c r="AD208" s="4" t="str">
        <f>IF(AB208="","",IF(AB208&gt;=0.5+Config!$B$6,"OVER",IF(AC208&gt;=0.5+Config!$B$6,"UNDER","—")))</f>
        <v>—</v>
      </c>
      <c r="AE208" s="18">
        <f t="shared" si="7"/>
        <v>1.049984361</v>
      </c>
    </row>
    <row r="209" ht="15.75" customHeight="1">
      <c r="A209" s="4" t="s">
        <v>86</v>
      </c>
      <c r="B209" s="4" t="s">
        <v>1462</v>
      </c>
      <c r="C209" s="4" t="s">
        <v>1519</v>
      </c>
      <c r="D209" s="4" t="s">
        <v>858</v>
      </c>
      <c r="E209" s="4" t="s">
        <v>2880</v>
      </c>
      <c r="F209" s="4">
        <v>7.5</v>
      </c>
      <c r="G209" s="12">
        <f t="array" ref="G209">IFERROR(INDEX(CHOOSE(MATCH($X209,{"K1","K2","K3","K12","K13","H1","H2","H3","H12","H13"},0),Calc!$V$2:$V$157,Calc!$AC$2:$AC$157,Calc!$AJ$2:$AJ$157,Calc!$AL$2:$AL$157,Calc!$AM$2:$AM$157,Calc!$W$2:$W$157,Calc!$AD$2:$AD$157,Calc!$AK$2:$AK$157,Calc!$AN$2:$AN$157,Calc!$AO$2:$AO$157),MATCH($W209,Calc!$A$2:$A$157,0)),"")</f>
        <v>7.047034844</v>
      </c>
      <c r="H209" s="12">
        <f t="array" ref="H209">IF(G209="","",IF(LEFT($X209,1)="H",SQRT(G209*(IFERROR(INDEX(Calc!$AP$2:$AP$157,MATCH($W209,Calc!$A$2:$A$157,0)),0.5)*Config!$B$5+1-IFERROR(INDEX(Calc!$AP$2:$AP$157,MATCH($W209,Calc!$A$2:$A$157,0)),0.5))),SQRT(G209*Config!$B$5)))</f>
        <v>2.914217288</v>
      </c>
      <c r="I209" s="11">
        <f t="shared" si="1"/>
        <v>0.4382400364</v>
      </c>
      <c r="J209" s="11">
        <f t="shared" si="2"/>
        <v>0.5617599636</v>
      </c>
      <c r="K209" s="11">
        <f t="shared" si="3"/>
        <v>0</v>
      </c>
      <c r="L209" s="4" t="str">
        <f>IF(I209="","",IF(I209&gt;=0.5+Config!$B$6,"OVER",IF(J209&gt;=0.5+Config!$B$6,"UNDER","—")))</f>
        <v>UNDER</v>
      </c>
      <c r="N209" s="4">
        <v>7.7</v>
      </c>
      <c r="O209" s="11">
        <v>0.2</v>
      </c>
      <c r="P209" s="11">
        <v>0.4</v>
      </c>
      <c r="Q209" s="11">
        <v>0.33</v>
      </c>
      <c r="R209" s="4" t="s">
        <v>579</v>
      </c>
      <c r="S209" s="4">
        <v>-1.0</v>
      </c>
      <c r="T209" s="4" t="str">
        <f t="array" ref="T209">INDEX(Calc!$G$2:$G$157,MATCH($W209,Calc!$A$2:$A$157,0))</f>
        <v>Ancient</v>
      </c>
      <c r="U209" s="4" t="str">
        <f t="array" ref="U209">TEXT(INDEX(Calc!$J$2:$J$157,MATCH($W209,Calc!$A$2:$A$157,0)),"0.0")</f>
        <v>21.5</v>
      </c>
      <c r="V209" s="4" t="str">
        <f t="array" ref="V209">IFERROR(INDEX(Calc!$AQ$2:$AQ$157,MATCH($W209,Calc!$A$2:$A$157,0)),"")</f>
        <v/>
      </c>
      <c r="W209" s="4" t="s">
        <v>3239</v>
      </c>
      <c r="X209" s="4" t="s">
        <v>3201</v>
      </c>
      <c r="Y209" s="4" t="str">
        <f t="shared" si="4"/>
        <v>14nk53aue7wxi91|CS2 · PHA vs RGG|H1</v>
      </c>
      <c r="Z209" s="12">
        <f t="array" ref="Z209">IFERROR(INDEX(CHOOSE(MATCH($X209,{"K1","K2","K3","K12","K13","H1","H2","H3","H12","H13"},0),Calc!$BA$2:$BA$157,Calc!$BB$2:$BB$157,Calc!$BC$2:$BC$157,Calc!$BD$2:$BD$157,Calc!$BE$2:$BE$157,Calc!$BF$2:$BF$157,Calc!$BG$2:$BG$157,Calc!$BH$2:$BH$157,Calc!$BI$2:$BI$157,Calc!$BJ$2:$BJ$157),MATCH($W209,Calc!$A$2:$A$157,0)),"")</f>
        <v>8.073771749</v>
      </c>
      <c r="AA209" s="12">
        <f t="array" ref="AA209">IF(Z209="","",IF(LEFT($X209,1)="H",SQRT(Z209*(IFERROR(INDEX(Calc!$AP$2:$AP$157,MATCH($W209,Calc!$A$2:$A$157,0)),0.5)*Config!$B$5+1-IFERROR(INDEX(Calc!$AP$2:$AP$157,MATCH($W209,Calc!$A$2:$A$157,0)),0.5))),SQRT(Z209*Config!$B$5)))</f>
        <v>3.119298631</v>
      </c>
      <c r="AB209" s="11">
        <f t="shared" si="5"/>
        <v>0.5729707384</v>
      </c>
      <c r="AC209" s="11">
        <f t="shared" si="6"/>
        <v>0.4270292616</v>
      </c>
      <c r="AD209" s="4" t="str">
        <f>IF(AB209="","",IF(AB209&gt;=0.5+Config!$B$6,"OVER",IF(AC209&gt;=0.5+Config!$B$6,"UNDER","—")))</f>
        <v>OVER</v>
      </c>
      <c r="AE209" s="18">
        <f t="shared" si="7"/>
        <v>1.145697719</v>
      </c>
    </row>
    <row r="210" ht="15.75" customHeight="1">
      <c r="A210" s="4" t="s">
        <v>86</v>
      </c>
      <c r="B210" s="4" t="s">
        <v>1462</v>
      </c>
      <c r="C210" s="4" t="s">
        <v>1519</v>
      </c>
      <c r="D210" s="4" t="s">
        <v>858</v>
      </c>
      <c r="E210" s="4" t="s">
        <v>2882</v>
      </c>
      <c r="F210" s="4">
        <v>14.5</v>
      </c>
      <c r="G210" s="12">
        <f t="array" ref="G210">IFERROR(INDEX(CHOOSE(MATCH($X210,{"K1","K2","K3","K12","K13","H1","H2","H3","H12","H13"},0),Calc!$V$2:$V$157,Calc!$AC$2:$AC$157,Calc!$AJ$2:$AJ$157,Calc!$AL$2:$AL$157,Calc!$AM$2:$AM$157,Calc!$W$2:$W$157,Calc!$AD$2:$AD$157,Calc!$AK$2:$AK$157,Calc!$AN$2:$AN$157,Calc!$AO$2:$AO$157),MATCH($W210,Calc!$A$2:$A$157,0)),"")</f>
        <v>14.3378125</v>
      </c>
      <c r="H210" s="12">
        <f t="array" ref="H210">IF(G210="","",IF(LEFT($X210,1)="H",SQRT(G210*(IFERROR(INDEX(Calc!$AP$2:$AP$157,MATCH($W210,Calc!$A$2:$A$157,0)),0.5)*Config!$B$5+1-IFERROR(INDEX(Calc!$AP$2:$AP$157,MATCH($W210,Calc!$A$2:$A$157,0)),0.5))),SQRT(G210*Config!$B$5)))</f>
        <v>4.480283194</v>
      </c>
      <c r="I210" s="11">
        <f t="shared" si="1"/>
        <v>0.4855613319</v>
      </c>
      <c r="J210" s="11">
        <f t="shared" si="2"/>
        <v>0.5144386681</v>
      </c>
      <c r="K210" s="11">
        <f t="shared" si="3"/>
        <v>0</v>
      </c>
      <c r="L210" s="4" t="str">
        <f>IF(I210="","",IF(I210&gt;=0.5+Config!$B$6,"OVER",IF(J210&gt;=0.5+Config!$B$6,"UNDER","—")))</f>
        <v>—</v>
      </c>
      <c r="N210" s="4">
        <v>14.3</v>
      </c>
      <c r="O210" s="11">
        <v>0.2</v>
      </c>
      <c r="P210" s="11">
        <v>0.4</v>
      </c>
      <c r="Q210" s="11">
        <v>0.33</v>
      </c>
      <c r="R210" s="4" t="s">
        <v>579</v>
      </c>
      <c r="S210" s="4">
        <v>-4.0</v>
      </c>
      <c r="T210" s="4" t="str">
        <f t="array" ref="T210">INDEX(Calc!$G$2:$G$157,MATCH($W210,Calc!$A$2:$A$157,0))</f>
        <v>Ancient</v>
      </c>
      <c r="U210" s="4" t="str">
        <f t="array" ref="U210">TEXT(INDEX(Calc!$J$2:$J$157,MATCH($W210,Calc!$A$2:$A$157,0)),"0.0")</f>
        <v>21.5</v>
      </c>
      <c r="V210" s="4" t="str">
        <f t="array" ref="V210">IFERROR(INDEX(Calc!$AQ$2:$AQ$157,MATCH($W210,Calc!$A$2:$A$157,0)),"")</f>
        <v/>
      </c>
      <c r="W210" s="4" t="s">
        <v>3239</v>
      </c>
      <c r="X210" s="4" t="s">
        <v>3202</v>
      </c>
      <c r="Y210" s="4" t="str">
        <f t="shared" si="4"/>
        <v>14nk53aue7wxi91|CS2 · PHA vs RGG|K1</v>
      </c>
      <c r="Z210" s="12">
        <f t="array" ref="Z210">IFERROR(INDEX(CHOOSE(MATCH($X210,{"K1","K2","K3","K12","K13","H1","H2","H3","H12","H13"},0),Calc!$BA$2:$BA$157,Calc!$BB$2:$BB$157,Calc!$BC$2:$BC$157,Calc!$BD$2:$BD$157,Calc!$BE$2:$BE$157,Calc!$BF$2:$BF$157,Calc!$BG$2:$BG$157,Calc!$BH$2:$BH$157,Calc!$BI$2:$BI$157,Calc!$BJ$2:$BJ$157),MATCH($W210,Calc!$A$2:$A$157,0)),"")</f>
        <v>16.42679908</v>
      </c>
      <c r="AA210" s="12">
        <f t="array" ref="AA210">IF(Z210="","",IF(LEFT($X210,1)="H",SQRT(Z210*(IFERROR(INDEX(Calc!$AP$2:$AP$157,MATCH($W210,Calc!$A$2:$A$157,0)),0.5)*Config!$B$5+1-IFERROR(INDEX(Calc!$AP$2:$AP$157,MATCH($W210,Calc!$A$2:$A$157,0)),0.5))),SQRT(Z210*Config!$B$5)))</f>
        <v>4.795572824</v>
      </c>
      <c r="AB210" s="11">
        <f t="shared" si="5"/>
        <v>0.656079625</v>
      </c>
      <c r="AC210" s="11">
        <f t="shared" si="6"/>
        <v>0.343920375</v>
      </c>
      <c r="AD210" s="4" t="str">
        <f>IF(AB210="","",IF(AB210&gt;=0.5+Config!$B$6,"OVER",IF(AC210&gt;=0.5+Config!$B$6,"UNDER","—")))</f>
        <v>OVER</v>
      </c>
      <c r="AE210" s="18">
        <f t="shared" si="7"/>
        <v>1.145697719</v>
      </c>
    </row>
    <row r="211" ht="15.75" customHeight="1">
      <c r="A211" s="4" t="s">
        <v>86</v>
      </c>
      <c r="B211" s="4" t="s">
        <v>1462</v>
      </c>
      <c r="C211" s="4" t="s">
        <v>1523</v>
      </c>
      <c r="D211" s="4" t="s">
        <v>858</v>
      </c>
      <c r="E211" s="4" t="s">
        <v>2880</v>
      </c>
      <c r="F211" s="4">
        <v>7.0</v>
      </c>
      <c r="G211" s="12">
        <f t="array" ref="G211">IFERROR(INDEX(CHOOSE(MATCH($X211,{"K1","K2","K3","K12","K13","H1","H2","H3","H12","H13"},0),Calc!$V$2:$V$157,Calc!$AC$2:$AC$157,Calc!$AJ$2:$AJ$157,Calc!$AL$2:$AL$157,Calc!$AM$2:$AM$157,Calc!$W$2:$W$157,Calc!$AD$2:$AD$157,Calc!$AK$2:$AK$157,Calc!$AN$2:$AN$157,Calc!$AO$2:$AO$157),MATCH($W211,Calc!$A$2:$A$157,0)),"")</f>
        <v>6.433494615</v>
      </c>
      <c r="H211" s="12">
        <f t="array" ref="H211">IF(G211="","",IF(LEFT($X211,1)="H",SQRT(G211*(IFERROR(INDEX(Calc!$AP$2:$AP$157,MATCH($W211,Calc!$A$2:$A$157,0)),0.5)*Config!$B$5+1-IFERROR(INDEX(Calc!$AP$2:$AP$157,MATCH($W211,Calc!$A$2:$A$157,0)),0.5))),SQRT(G211*Config!$B$5)))</f>
        <v>2.766811643</v>
      </c>
      <c r="I211" s="11">
        <f t="shared" si="1"/>
        <v>0.349946957</v>
      </c>
      <c r="J211" s="11">
        <f t="shared" si="2"/>
        <v>0.509588385</v>
      </c>
      <c r="K211" s="11">
        <f t="shared" si="3"/>
        <v>0.140464658</v>
      </c>
      <c r="L211" s="4" t="str">
        <f>IF(I211="","",IF(I211&gt;=0.5+Config!$B$6,"OVER",IF(J211&gt;=0.5+Config!$B$6,"UNDER","—")))</f>
        <v>—</v>
      </c>
      <c r="N211" s="4">
        <v>6.1</v>
      </c>
      <c r="O211" s="11">
        <v>0.4</v>
      </c>
      <c r="P211" s="11">
        <v>0.3</v>
      </c>
      <c r="Q211" s="11">
        <v>0.47</v>
      </c>
      <c r="R211" s="4" t="s">
        <v>579</v>
      </c>
      <c r="S211" s="4">
        <v>-1.0</v>
      </c>
      <c r="T211" s="4" t="str">
        <f t="array" ref="T211">INDEX(Calc!$G$2:$G$157,MATCH($W211,Calc!$A$2:$A$157,0))</f>
        <v>Ancient</v>
      </c>
      <c r="U211" s="4" t="str">
        <f t="array" ref="U211">TEXT(INDEX(Calc!$J$2:$J$157,MATCH($W211,Calc!$A$2:$A$157,0)),"0.0")</f>
        <v>21.5</v>
      </c>
      <c r="V211" s="4" t="str">
        <f t="array" ref="V211">IFERROR(INDEX(Calc!$AQ$2:$AQ$157,MATCH($W211,Calc!$A$2:$A$157,0)),"")</f>
        <v/>
      </c>
      <c r="W211" s="4" t="s">
        <v>3240</v>
      </c>
      <c r="X211" s="4" t="s">
        <v>3201</v>
      </c>
      <c r="Y211" s="4" t="str">
        <f t="shared" si="4"/>
        <v>zf7bzibg1ekklis|CS2 · PHA vs RGG|H1</v>
      </c>
      <c r="Z211" s="12">
        <f t="array" ref="Z211">IFERROR(INDEX(CHOOSE(MATCH($X211,{"K1","K2","K3","K12","K13","H1","H2","H3","H12","H13"},0),Calc!$BA$2:$BA$157,Calc!$BB$2:$BB$157,Calc!$BC$2:$BC$157,Calc!$BD$2:$BD$157,Calc!$BE$2:$BE$157,Calc!$BF$2:$BF$157,Calc!$BG$2:$BG$157,Calc!$BH$2:$BH$157,Calc!$BI$2:$BI$157,Calc!$BJ$2:$BJ$157),MATCH($W211,Calc!$A$2:$A$157,0)),"")</f>
        <v>7.370840108</v>
      </c>
      <c r="AA211" s="12">
        <f t="array" ref="AA211">IF(Z211="","",IF(LEFT($X211,1)="H",SQRT(Z211*(IFERROR(INDEX(Calc!$AP$2:$AP$157,MATCH($W211,Calc!$A$2:$A$157,0)),0.5)*Config!$B$5+1-IFERROR(INDEX(Calc!$AP$2:$AP$157,MATCH($W211,Calc!$A$2:$A$157,0)),0.5))),SQRT(Z211*Config!$B$5)))</f>
        <v>2.961519652</v>
      </c>
      <c r="AB211" s="11">
        <f t="shared" si="5"/>
        <v>0.4826065609</v>
      </c>
      <c r="AC211" s="11">
        <f t="shared" si="6"/>
        <v>0.3843591705</v>
      </c>
      <c r="AD211" s="4" t="str">
        <f>IF(AB211="","",IF(AB211&gt;=0.5+Config!$B$6,"OVER",IF(AC211&gt;=0.5+Config!$B$6,"UNDER","—")))</f>
        <v>—</v>
      </c>
      <c r="AE211" s="18">
        <f t="shared" si="7"/>
        <v>1.145697719</v>
      </c>
    </row>
    <row r="212" ht="15.75" customHeight="1">
      <c r="A212" s="4" t="s">
        <v>86</v>
      </c>
      <c r="B212" s="4" t="s">
        <v>1462</v>
      </c>
      <c r="C212" s="4" t="s">
        <v>1523</v>
      </c>
      <c r="D212" s="4" t="s">
        <v>858</v>
      </c>
      <c r="E212" s="4" t="s">
        <v>2882</v>
      </c>
      <c r="F212" s="4">
        <v>15.5</v>
      </c>
      <c r="G212" s="12">
        <f t="array" ref="G212">IFERROR(INDEX(CHOOSE(MATCH($X212,{"K1","K2","K3","K12","K13","H1","H2","H3","H12","H13"},0),Calc!$V$2:$V$157,Calc!$AC$2:$AC$157,Calc!$AJ$2:$AJ$157,Calc!$AL$2:$AL$157,Calc!$AM$2:$AM$157,Calc!$W$2:$W$157,Calc!$AD$2:$AD$157,Calc!$AK$2:$AK$157,Calc!$AN$2:$AN$157,Calc!$AO$2:$AO$157),MATCH($W212,Calc!$A$2:$A$157,0)),"")</f>
        <v>14.405</v>
      </c>
      <c r="H212" s="12">
        <f t="array" ref="H212">IF(G212="","",IF(LEFT($X212,1)="H",SQRT(G212*(IFERROR(INDEX(Calc!$AP$2:$AP$157,MATCH($W212,Calc!$A$2:$A$157,0)),0.5)*Config!$B$5+1-IFERROR(INDEX(Calc!$AP$2:$AP$157,MATCH($W212,Calc!$A$2:$A$157,0)),0.5))),SQRT(G212*Config!$B$5)))</f>
        <v>4.490768308</v>
      </c>
      <c r="I212" s="11">
        <f t="shared" si="1"/>
        <v>0.4036798658</v>
      </c>
      <c r="J212" s="11">
        <f t="shared" si="2"/>
        <v>0.5963201342</v>
      </c>
      <c r="K212" s="11">
        <f t="shared" si="3"/>
        <v>0</v>
      </c>
      <c r="L212" s="4" t="str">
        <f>IF(I212="","",IF(I212&gt;=0.5+Config!$B$6,"OVER",IF(J212&gt;=0.5+Config!$B$6,"UNDER","—")))</f>
        <v>UNDER</v>
      </c>
      <c r="N212" s="4">
        <v>12.7</v>
      </c>
      <c r="O212" s="11">
        <v>0.2</v>
      </c>
      <c r="P212" s="11">
        <v>0.2</v>
      </c>
      <c r="Q212" s="11">
        <v>0.33</v>
      </c>
      <c r="R212" s="4" t="s">
        <v>579</v>
      </c>
      <c r="S212" s="4">
        <v>-1.0</v>
      </c>
      <c r="T212" s="4" t="str">
        <f t="array" ref="T212">INDEX(Calc!$G$2:$G$157,MATCH($W212,Calc!$A$2:$A$157,0))</f>
        <v>Ancient</v>
      </c>
      <c r="U212" s="4" t="str">
        <f t="array" ref="U212">TEXT(INDEX(Calc!$J$2:$J$157,MATCH($W212,Calc!$A$2:$A$157,0)),"0.0")</f>
        <v>21.5</v>
      </c>
      <c r="V212" s="4" t="str">
        <f t="array" ref="V212">IFERROR(INDEX(Calc!$AQ$2:$AQ$157,MATCH($W212,Calc!$A$2:$A$157,0)),"")</f>
        <v/>
      </c>
      <c r="W212" s="4" t="s">
        <v>3240</v>
      </c>
      <c r="X212" s="4" t="s">
        <v>3202</v>
      </c>
      <c r="Y212" s="4" t="str">
        <f t="shared" si="4"/>
        <v>zf7bzibg1ekklis|CS2 · PHA vs RGG|K1</v>
      </c>
      <c r="Z212" s="12">
        <f t="array" ref="Z212">IFERROR(INDEX(CHOOSE(MATCH($X212,{"K1","K2","K3","K12","K13","H1","H2","H3","H12","H13"},0),Calc!$BA$2:$BA$157,Calc!$BB$2:$BB$157,Calc!$BC$2:$BC$157,Calc!$BD$2:$BD$157,Calc!$BE$2:$BE$157,Calc!$BF$2:$BF$157,Calc!$BG$2:$BG$157,Calc!$BH$2:$BH$157,Calc!$BI$2:$BI$157,Calc!$BJ$2:$BJ$157),MATCH($W212,Calc!$A$2:$A$157,0)),"")</f>
        <v>16.50377565</v>
      </c>
      <c r="AA212" s="12">
        <f t="array" ref="AA212">IF(Z212="","",IF(LEFT($X212,1)="H",SQRT(Z212*(IFERROR(INDEX(Calc!$AP$2:$AP$157,MATCH($W212,Calc!$A$2:$A$157,0)),0.5)*Config!$B$5+1-IFERROR(INDEX(Calc!$AP$2:$AP$157,MATCH($W212,Calc!$A$2:$A$157,0)),0.5))),SQRT(Z212*Config!$B$5)))</f>
        <v>4.806795804</v>
      </c>
      <c r="AB212" s="11">
        <f t="shared" si="5"/>
        <v>0.5827072897</v>
      </c>
      <c r="AC212" s="11">
        <f t="shared" si="6"/>
        <v>0.4172927103</v>
      </c>
      <c r="AD212" s="4" t="str">
        <f>IF(AB212="","",IF(AB212&gt;=0.5+Config!$B$6,"OVER",IF(AC212&gt;=0.5+Config!$B$6,"UNDER","—")))</f>
        <v>OVER</v>
      </c>
      <c r="AE212" s="18">
        <f t="shared" si="7"/>
        <v>1.145697719</v>
      </c>
    </row>
    <row r="213" ht="15.75" customHeight="1">
      <c r="A213" s="4" t="s">
        <v>86</v>
      </c>
      <c r="B213" s="4" t="s">
        <v>1462</v>
      </c>
      <c r="C213" s="4" t="s">
        <v>1526</v>
      </c>
      <c r="D213" s="4" t="s">
        <v>858</v>
      </c>
      <c r="E213" s="4" t="s">
        <v>2880</v>
      </c>
      <c r="F213" s="4">
        <v>9.0</v>
      </c>
      <c r="G213" s="12">
        <f t="array" ref="G213">IFERROR(INDEX(CHOOSE(MATCH($X213,{"K1","K2","K3","K12","K13","H1","H2","H3","H12","H13"},0),Calc!$V$2:$V$157,Calc!$AC$2:$AC$157,Calc!$AJ$2:$AJ$157,Calc!$AL$2:$AL$157,Calc!$AM$2:$AM$157,Calc!$W$2:$W$157,Calc!$AD$2:$AD$157,Calc!$AK$2:$AK$157,Calc!$AN$2:$AN$157,Calc!$AO$2:$AO$157),MATCH($W213,Calc!$A$2:$A$157,0)),"")</f>
        <v>8.904969231</v>
      </c>
      <c r="H213" s="12">
        <f t="array" ref="H213">IF(G213="","",IF(LEFT($X213,1)="H",SQRT(G213*(IFERROR(INDEX(Calc!$AP$2:$AP$157,MATCH($W213,Calc!$A$2:$A$157,0)),0.5)*Config!$B$5+1-IFERROR(INDEX(Calc!$AP$2:$AP$157,MATCH($W213,Calc!$A$2:$A$157,0)),0.5))),SQRT(G213*Config!$B$5)))</f>
        <v>3.338133778</v>
      </c>
      <c r="I213" s="11">
        <f t="shared" si="1"/>
        <v>0.4292623312</v>
      </c>
      <c r="J213" s="11">
        <f t="shared" si="2"/>
        <v>0.4517203508</v>
      </c>
      <c r="K213" s="11">
        <f t="shared" si="3"/>
        <v>0.119017318</v>
      </c>
      <c r="L213" s="4" t="str">
        <f>IF(I213="","",IF(I213&gt;=0.5+Config!$B$6,"OVER",IF(J213&gt;=0.5+Config!$B$6,"UNDER","—")))</f>
        <v>—</v>
      </c>
      <c r="N213" s="4">
        <v>8.7</v>
      </c>
      <c r="O213" s="11">
        <v>0.8</v>
      </c>
      <c r="P213" s="11">
        <v>0.6</v>
      </c>
      <c r="Q213" s="11">
        <v>0.6</v>
      </c>
      <c r="R213" s="4" t="s">
        <v>579</v>
      </c>
      <c r="S213" s="4">
        <v>-1.0</v>
      </c>
      <c r="T213" s="4" t="str">
        <f t="array" ref="T213">INDEX(Calc!$G$2:$G$157,MATCH($W213,Calc!$A$2:$A$157,0))</f>
        <v>Ancient</v>
      </c>
      <c r="U213" s="4" t="str">
        <f t="array" ref="U213">TEXT(INDEX(Calc!$J$2:$J$157,MATCH($W213,Calc!$A$2:$A$157,0)),"0.0")</f>
        <v>21.5</v>
      </c>
      <c r="V213" s="4" t="str">
        <f t="array" ref="V213">IFERROR(INDEX(Calc!$AQ$2:$AQ$157,MATCH($W213,Calc!$A$2:$A$157,0)),"")</f>
        <v/>
      </c>
      <c r="W213" s="4" t="s">
        <v>3241</v>
      </c>
      <c r="X213" s="4" t="s">
        <v>3201</v>
      </c>
      <c r="Y213" s="4" t="str">
        <f t="shared" si="4"/>
        <v>w56yzcex8uwfyhn|CS2 · PHA vs RGG|H1</v>
      </c>
      <c r="Z213" s="12">
        <f t="array" ref="Z213">IFERROR(INDEX(CHOOSE(MATCH($X213,{"K1","K2","K3","K12","K13","H1","H2","H3","H12","H13"},0),Calc!$BA$2:$BA$157,Calc!$BB$2:$BB$157,Calc!$BC$2:$BC$157,Calc!$BD$2:$BD$157,Calc!$BE$2:$BE$157,Calc!$BF$2:$BF$157,Calc!$BG$2:$BG$157,Calc!$BH$2:$BH$157,Calc!$BI$2:$BI$157,Calc!$BJ$2:$BJ$157),MATCH($W213,Calc!$A$2:$A$157,0)),"")</f>
        <v>10.20240294</v>
      </c>
      <c r="AA213" s="12">
        <f t="array" ref="AA213">IF(Z213="","",IF(LEFT($X213,1)="H",SQRT(Z213*(IFERROR(INDEX(Calc!$AP$2:$AP$157,MATCH($W213,Calc!$A$2:$A$157,0)),0.5)*Config!$B$5+1-IFERROR(INDEX(Calc!$AP$2:$AP$157,MATCH($W213,Calc!$A$2:$A$157,0)),0.5))),SQRT(Z213*Config!$B$5)))</f>
        <v>3.573047269</v>
      </c>
      <c r="AB213" s="11">
        <f t="shared" si="5"/>
        <v>0.5779233458</v>
      </c>
      <c r="AC213" s="11">
        <f t="shared" si="6"/>
        <v>0.3168744616</v>
      </c>
      <c r="AD213" s="4" t="str">
        <f>IF(AB213="","",IF(AB213&gt;=0.5+Config!$B$6,"OVER",IF(AC213&gt;=0.5+Config!$B$6,"UNDER","—")))</f>
        <v>OVER</v>
      </c>
      <c r="AE213" s="18">
        <f t="shared" si="7"/>
        <v>1.145697719</v>
      </c>
    </row>
    <row r="214" ht="15.75" customHeight="1">
      <c r="A214" s="4" t="s">
        <v>86</v>
      </c>
      <c r="B214" s="4" t="s">
        <v>1462</v>
      </c>
      <c r="C214" s="4" t="s">
        <v>1526</v>
      </c>
      <c r="D214" s="4" t="s">
        <v>858</v>
      </c>
      <c r="E214" s="4" t="s">
        <v>2882</v>
      </c>
      <c r="F214" s="4">
        <v>15.0</v>
      </c>
      <c r="G214" s="12">
        <f t="array" ref="G214">IFERROR(INDEX(CHOOSE(MATCH($X214,{"K1","K2","K3","K12","K13","H1","H2","H3","H12","H13"},0),Calc!$V$2:$V$157,Calc!$AC$2:$AC$157,Calc!$AJ$2:$AJ$157,Calc!$AL$2:$AL$157,Calc!$AM$2:$AM$157,Calc!$W$2:$W$157,Calc!$AD$2:$AD$157,Calc!$AK$2:$AK$157,Calc!$AN$2:$AN$157,Calc!$AO$2:$AO$157),MATCH($W214,Calc!$A$2:$A$157,0)),"")</f>
        <v>13.89230769</v>
      </c>
      <c r="H214" s="12">
        <f t="array" ref="H214">IF(G214="","",IF(LEFT($X214,1)="H",SQRT(G214*(IFERROR(INDEX(Calc!$AP$2:$AP$157,MATCH($W214,Calc!$A$2:$A$157,0)),0.5)*Config!$B$5+1-IFERROR(INDEX(Calc!$AP$2:$AP$157,MATCH($W214,Calc!$A$2:$A$157,0)),0.5))),SQRT(G214*Config!$B$5)))</f>
        <v>4.410128203</v>
      </c>
      <c r="I214" s="11">
        <f t="shared" si="1"/>
        <v>0.3577253589</v>
      </c>
      <c r="J214" s="11">
        <f t="shared" si="2"/>
        <v>0.5547986647</v>
      </c>
      <c r="K214" s="11">
        <f t="shared" si="3"/>
        <v>0.08747597639</v>
      </c>
      <c r="L214" s="4" t="str">
        <f>IF(I214="","",IF(I214&gt;=0.5+Config!$B$6,"OVER",IF(J214&gt;=0.5+Config!$B$6,"UNDER","—")))</f>
        <v>UNDER</v>
      </c>
      <c r="N214" s="4">
        <v>13.4</v>
      </c>
      <c r="O214" s="11">
        <v>0.6</v>
      </c>
      <c r="P214" s="11">
        <v>0.5</v>
      </c>
      <c r="Q214" s="11">
        <v>0.53</v>
      </c>
      <c r="R214" s="4" t="s">
        <v>579</v>
      </c>
      <c r="S214" s="4">
        <v>-1.0</v>
      </c>
      <c r="T214" s="4" t="str">
        <f t="array" ref="T214">INDEX(Calc!$G$2:$G$157,MATCH($W214,Calc!$A$2:$A$157,0))</f>
        <v>Ancient</v>
      </c>
      <c r="U214" s="4" t="str">
        <f t="array" ref="U214">TEXT(INDEX(Calc!$J$2:$J$157,MATCH($W214,Calc!$A$2:$A$157,0)),"0.0")</f>
        <v>21.5</v>
      </c>
      <c r="V214" s="4" t="str">
        <f t="array" ref="V214">IFERROR(INDEX(Calc!$AQ$2:$AQ$157,MATCH($W214,Calc!$A$2:$A$157,0)),"")</f>
        <v/>
      </c>
      <c r="W214" s="4" t="s">
        <v>3241</v>
      </c>
      <c r="X214" s="4" t="s">
        <v>3202</v>
      </c>
      <c r="Y214" s="4" t="str">
        <f t="shared" si="4"/>
        <v>w56yzcex8uwfyhn|CS2 · PHA vs RGG|K1</v>
      </c>
      <c r="Z214" s="12">
        <f t="array" ref="Z214">IFERROR(INDEX(CHOOSE(MATCH($X214,{"K1","K2","K3","K12","K13","H1","H2","H3","H12","H13"},0),Calc!$BA$2:$BA$157,Calc!$BB$2:$BB$157,Calc!$BC$2:$BC$157,Calc!$BD$2:$BD$157,Calc!$BE$2:$BE$157,Calc!$BF$2:$BF$157,Calc!$BG$2:$BG$157,Calc!$BH$2:$BH$157,Calc!$BI$2:$BI$157,Calc!$BJ$2:$BJ$157),MATCH($W214,Calc!$A$2:$A$157,0)),"")</f>
        <v>15.91638524</v>
      </c>
      <c r="AA214" s="12">
        <f t="array" ref="AA214">IF(Z214="","",IF(LEFT($X214,1)="H",SQRT(Z214*(IFERROR(INDEX(Calc!$AP$2:$AP$157,MATCH($W214,Calc!$A$2:$A$157,0)),0.5)*Config!$B$5+1-IFERROR(INDEX(Calc!$AP$2:$AP$157,MATCH($W214,Calc!$A$2:$A$157,0)),0.5))),SQRT(Z214*Config!$B$5)))</f>
        <v>4.720480837</v>
      </c>
      <c r="AB214" s="11">
        <f t="shared" si="5"/>
        <v>0.5351444102</v>
      </c>
      <c r="AC214" s="11">
        <f t="shared" si="6"/>
        <v>0.3820691075</v>
      </c>
      <c r="AD214" s="4" t="str">
        <f>IF(AB214="","",IF(AB214&gt;=0.5+Config!$B$6,"OVER",IF(AC214&gt;=0.5+Config!$B$6,"UNDER","—")))</f>
        <v>—</v>
      </c>
      <c r="AE214" s="18">
        <f t="shared" si="7"/>
        <v>1.145697719</v>
      </c>
    </row>
    <row r="215" ht="15.75" customHeight="1">
      <c r="A215" s="4" t="s">
        <v>86</v>
      </c>
      <c r="B215" s="4" t="s">
        <v>1462</v>
      </c>
      <c r="C215" s="4" t="s">
        <v>1515</v>
      </c>
      <c r="D215" s="4" t="s">
        <v>858</v>
      </c>
      <c r="E215" s="4" t="s">
        <v>2882</v>
      </c>
      <c r="F215" s="4">
        <v>16.0</v>
      </c>
      <c r="G215" s="12">
        <f t="array" ref="G215">IFERROR(INDEX(CHOOSE(MATCH($X215,{"K1","K2","K3","K12","K13","H1","H2","H3","H12","H13"},0),Calc!$V$2:$V$157,Calc!$AC$2:$AC$157,Calc!$AJ$2:$AJ$157,Calc!$AL$2:$AL$157,Calc!$AM$2:$AM$157,Calc!$W$2:$W$157,Calc!$AD$2:$AD$157,Calc!$AK$2:$AK$157,Calc!$AN$2:$AN$157,Calc!$AO$2:$AO$157),MATCH($W215,Calc!$A$2:$A$157,0)),"")</f>
        <v>17.36538462</v>
      </c>
      <c r="H215" s="12">
        <f t="array" ref="H215">IF(G215="","",IF(LEFT($X215,1)="H",SQRT(G215*(IFERROR(INDEX(Calc!$AP$2:$AP$157,MATCH($W215,Calc!$A$2:$A$157,0)),0.5)*Config!$B$5+1-IFERROR(INDEX(Calc!$AP$2:$AP$157,MATCH($W215,Calc!$A$2:$A$157,0)),0.5))),SQRT(G215*Config!$B$5)))</f>
        <v>4.930673226</v>
      </c>
      <c r="I215" s="11">
        <f t="shared" si="1"/>
        <v>0.569660715</v>
      </c>
      <c r="J215" s="11">
        <f t="shared" si="2"/>
        <v>0.3525955169</v>
      </c>
      <c r="K215" s="11">
        <f t="shared" si="3"/>
        <v>0.07774376818</v>
      </c>
      <c r="L215" s="4" t="str">
        <f>IF(I215="","",IF(I215&gt;=0.5+Config!$B$6,"OVER",IF(J215&gt;=0.5+Config!$B$6,"UNDER","—")))</f>
        <v>OVER</v>
      </c>
      <c r="N215" s="4">
        <v>16.4</v>
      </c>
      <c r="O215" s="11">
        <v>0.6</v>
      </c>
      <c r="P215" s="11">
        <v>0.5</v>
      </c>
      <c r="Q215" s="11">
        <v>0.6</v>
      </c>
      <c r="R215" s="4" t="s">
        <v>579</v>
      </c>
      <c r="S215" s="4">
        <v>-1.0</v>
      </c>
      <c r="T215" s="4" t="str">
        <f t="array" ref="T215">INDEX(Calc!$G$2:$G$157,MATCH($W215,Calc!$A$2:$A$157,0))</f>
        <v>Ancient</v>
      </c>
      <c r="U215" s="4" t="str">
        <f t="array" ref="U215">TEXT(INDEX(Calc!$J$2:$J$157,MATCH($W215,Calc!$A$2:$A$157,0)),"0.0")</f>
        <v>21.5</v>
      </c>
      <c r="V215" s="4" t="str">
        <f t="array" ref="V215">IFERROR(INDEX(Calc!$AQ$2:$AQ$157,MATCH($W215,Calc!$A$2:$A$157,0)),"")</f>
        <v/>
      </c>
      <c r="W215" s="4" t="s">
        <v>3242</v>
      </c>
      <c r="X215" s="4" t="s">
        <v>3202</v>
      </c>
      <c r="Y215" s="4" t="str">
        <f t="shared" si="4"/>
        <v>mti1aemn002cu5c|CS2 · PHA vs RGG|K1</v>
      </c>
      <c r="Z215" s="12">
        <f t="array" ref="Z215">IFERROR(INDEX(CHOOSE(MATCH($X215,{"K1","K2","K3","K12","K13","H1","H2","H3","H12","H13"},0),Calc!$BA$2:$BA$157,Calc!$BB$2:$BB$157,Calc!$BC$2:$BC$157,Calc!$BD$2:$BD$157,Calc!$BE$2:$BE$157,Calc!$BF$2:$BF$157,Calc!$BG$2:$BG$157,Calc!$BH$2:$BH$157,Calc!$BI$2:$BI$157,Calc!$BJ$2:$BJ$157),MATCH($W215,Calc!$A$2:$A$157,0)),"")</f>
        <v>19.89548155</v>
      </c>
      <c r="AA215" s="12">
        <f t="array" ref="AA215">IF(Z215="","",IF(LEFT($X215,1)="H",SQRT(Z215*(IFERROR(INDEX(Calc!$AP$2:$AP$157,MATCH($W215,Calc!$A$2:$A$157,0)),0.5)*Config!$B$5+1-IFERROR(INDEX(Calc!$AP$2:$AP$157,MATCH($W215,Calc!$A$2:$A$157,0)),0.5))),SQRT(Z215*Config!$B$5)))</f>
        <v>5.277658019</v>
      </c>
      <c r="AB215" s="11">
        <f t="shared" si="5"/>
        <v>0.7400076524</v>
      </c>
      <c r="AC215" s="11">
        <f t="shared" si="6"/>
        <v>0.2024655172</v>
      </c>
      <c r="AD215" s="4" t="str">
        <f>IF(AB215="","",IF(AB215&gt;=0.5+Config!$B$6,"OVER",IF(AC215&gt;=0.5+Config!$B$6,"UNDER","—")))</f>
        <v>OVER</v>
      </c>
      <c r="AE215" s="18">
        <f t="shared" si="7"/>
        <v>1.145697719</v>
      </c>
    </row>
    <row r="216" ht="15.75" customHeight="1">
      <c r="A216" s="4" t="s">
        <v>86</v>
      </c>
      <c r="B216" s="4" t="s">
        <v>1462</v>
      </c>
      <c r="C216" s="4" t="s">
        <v>1529</v>
      </c>
      <c r="D216" s="4" t="s">
        <v>858</v>
      </c>
      <c r="E216" s="4" t="s">
        <v>2880</v>
      </c>
      <c r="F216" s="4">
        <v>7.0</v>
      </c>
      <c r="G216" s="12">
        <f t="array" ref="G216">IFERROR(INDEX(CHOOSE(MATCH($X216,{"K1","K2","K3","K12","K13","H1","H2","H3","H12","H13"},0),Calc!$V$2:$V$157,Calc!$AC$2:$AC$157,Calc!$AJ$2:$AJ$157,Calc!$AL$2:$AL$157,Calc!$AM$2:$AM$157,Calc!$W$2:$W$157,Calc!$AD$2:$AD$157,Calc!$AK$2:$AK$157,Calc!$AN$2:$AN$157,Calc!$AO$2:$AO$157),MATCH($W216,Calc!$A$2:$A$157,0)),"")</f>
        <v>7.350171923</v>
      </c>
      <c r="H216" s="12">
        <f t="array" ref="H216">IF(G216="","",IF(LEFT($X216,1)="H",SQRT(G216*(IFERROR(INDEX(Calc!$AP$2:$AP$157,MATCH($W216,Calc!$A$2:$A$157,0)),0.5)*Config!$B$5+1-IFERROR(INDEX(Calc!$AP$2:$AP$157,MATCH($W216,Calc!$A$2:$A$157,0)),0.5))),SQRT(G216*Config!$B$5)))</f>
        <v>2.999869681</v>
      </c>
      <c r="I216" s="11">
        <f t="shared" si="1"/>
        <v>0.4800831636</v>
      </c>
      <c r="J216" s="11">
        <f t="shared" si="2"/>
        <v>0.3884339829</v>
      </c>
      <c r="K216" s="11">
        <f t="shared" si="3"/>
        <v>0.1314828535</v>
      </c>
      <c r="L216" s="4" t="str">
        <f>IF(I216="","",IF(I216&gt;=0.5+Config!$B$6,"OVER",IF(J216&gt;=0.5+Config!$B$6,"UNDER","—")))</f>
        <v>—</v>
      </c>
      <c r="N216" s="4">
        <v>6.3</v>
      </c>
      <c r="O216" s="11">
        <v>0.4</v>
      </c>
      <c r="P216" s="11">
        <v>0.4</v>
      </c>
      <c r="Q216" s="11">
        <v>0.6</v>
      </c>
      <c r="R216" s="4" t="s">
        <v>579</v>
      </c>
      <c r="S216" s="4">
        <v>-1.0</v>
      </c>
      <c r="T216" s="4" t="str">
        <f t="array" ref="T216">INDEX(Calc!$G$2:$G$157,MATCH($W216,Calc!$A$2:$A$157,0))</f>
        <v>Ancient</v>
      </c>
      <c r="U216" s="4" t="str">
        <f t="array" ref="U216">TEXT(INDEX(Calc!$J$2:$J$157,MATCH($W216,Calc!$A$2:$A$157,0)),"0.0")</f>
        <v>21.5</v>
      </c>
      <c r="V216" s="4" t="str">
        <f t="array" ref="V216">IFERROR(INDEX(Calc!$AQ$2:$AQ$157,MATCH($W216,Calc!$A$2:$A$157,0)),"")</f>
        <v/>
      </c>
      <c r="W216" s="4" t="s">
        <v>3243</v>
      </c>
      <c r="X216" s="4" t="s">
        <v>3201</v>
      </c>
      <c r="Y216" s="4" t="str">
        <f t="shared" si="4"/>
        <v>994hwd2k6wyzjfl|CS2 · PHA vs RGG|H1</v>
      </c>
      <c r="Z216" s="12">
        <f t="array" ref="Z216">IFERROR(INDEX(CHOOSE(MATCH($X216,{"K1","K2","K3","K12","K13","H1","H2","H3","H12","H13"},0),Calc!$BA$2:$BA$157,Calc!$BB$2:$BB$157,Calc!$BC$2:$BC$157,Calc!$BD$2:$BD$157,Calc!$BE$2:$BE$157,Calc!$BF$2:$BF$157,Calc!$BG$2:$BG$157,Calc!$BH$2:$BH$157,Calc!$BI$2:$BI$157,Calc!$BJ$2:$BJ$157),MATCH($W216,Calc!$A$2:$A$157,0)),"")</f>
        <v>8.421075209</v>
      </c>
      <c r="AA216" s="12">
        <f t="array" ref="AA216">IF(Z216="","",IF(LEFT($X216,1)="H",SQRT(Z216*(IFERROR(INDEX(Calc!$AP$2:$AP$157,MATCH($W216,Calc!$A$2:$A$157,0)),0.5)*Config!$B$5+1-IFERROR(INDEX(Calc!$AP$2:$AP$157,MATCH($W216,Calc!$A$2:$A$157,0)),0.5))),SQRT(Z216*Config!$B$5)))</f>
        <v>3.210978613</v>
      </c>
      <c r="AB216" s="11">
        <f t="shared" si="5"/>
        <v>0.6128871265</v>
      </c>
      <c r="AC216" s="11">
        <f t="shared" si="6"/>
        <v>0.2748254248</v>
      </c>
      <c r="AD216" s="4" t="str">
        <f>IF(AB216="","",IF(AB216&gt;=0.5+Config!$B$6,"OVER",IF(AC216&gt;=0.5+Config!$B$6,"UNDER","—")))</f>
        <v>OVER</v>
      </c>
      <c r="AE216" s="18">
        <f t="shared" si="7"/>
        <v>1.145697719</v>
      </c>
    </row>
    <row r="217" ht="15.75" customHeight="1">
      <c r="A217" s="4" t="s">
        <v>86</v>
      </c>
      <c r="B217" s="4" t="s">
        <v>1462</v>
      </c>
      <c r="C217" s="4" t="s">
        <v>1529</v>
      </c>
      <c r="D217" s="4" t="s">
        <v>858</v>
      </c>
      <c r="E217" s="4" t="s">
        <v>2882</v>
      </c>
      <c r="F217" s="4">
        <v>13.0</v>
      </c>
      <c r="G217" s="12">
        <f t="array" ref="G217">IFERROR(INDEX(CHOOSE(MATCH($X217,{"K1","K2","K3","K12","K13","H1","H2","H3","H12","H13"},0),Calc!$V$2:$V$157,Calc!$AC$2:$AC$157,Calc!$AJ$2:$AJ$157,Calc!$AL$2:$AL$157,Calc!$AM$2:$AM$157,Calc!$W$2:$W$157,Calc!$AD$2:$AD$157,Calc!$AK$2:$AK$157,Calc!$AN$2:$AN$157,Calc!$AO$2:$AO$157),MATCH($W217,Calc!$A$2:$A$157,0)),"")</f>
        <v>12.255</v>
      </c>
      <c r="H217" s="12">
        <f t="array" ref="H217">IF(G217="","",IF(LEFT($X217,1)="H",SQRT(G217*(IFERROR(INDEX(Calc!$AP$2:$AP$157,MATCH($W217,Calc!$A$2:$A$157,0)),0.5)*Config!$B$5+1-IFERROR(INDEX(Calc!$AP$2:$AP$157,MATCH($W217,Calc!$A$2:$A$157,0)),0.5))),SQRT(G217*Config!$B$5)))</f>
        <v>4.142100916</v>
      </c>
      <c r="I217" s="11">
        <f t="shared" si="1"/>
        <v>0.3818704019</v>
      </c>
      <c r="J217" s="11">
        <f t="shared" si="2"/>
        <v>0.5235831763</v>
      </c>
      <c r="K217" s="11">
        <f t="shared" si="3"/>
        <v>0.09454642176</v>
      </c>
      <c r="L217" s="4" t="str">
        <f>IF(I217="","",IF(I217&gt;=0.5+Config!$B$6,"OVER",IF(J217&gt;=0.5+Config!$B$6,"UNDER","—")))</f>
        <v>—</v>
      </c>
      <c r="N217" s="4">
        <v>11.3</v>
      </c>
      <c r="O217" s="11">
        <v>0.2</v>
      </c>
      <c r="P217" s="11">
        <v>0.2</v>
      </c>
      <c r="Q217" s="11">
        <v>0.4</v>
      </c>
      <c r="R217" s="4" t="s">
        <v>579</v>
      </c>
      <c r="S217" s="4">
        <v>-1.0</v>
      </c>
      <c r="T217" s="4" t="str">
        <f t="array" ref="T217">INDEX(Calc!$G$2:$G$157,MATCH($W217,Calc!$A$2:$A$157,0))</f>
        <v>Ancient</v>
      </c>
      <c r="U217" s="4" t="str">
        <f t="array" ref="U217">TEXT(INDEX(Calc!$J$2:$J$157,MATCH($W217,Calc!$A$2:$A$157,0)),"0.0")</f>
        <v>21.5</v>
      </c>
      <c r="V217" s="4" t="str">
        <f t="array" ref="V217">IFERROR(INDEX(Calc!$AQ$2:$AQ$157,MATCH($W217,Calc!$A$2:$A$157,0)),"")</f>
        <v/>
      </c>
      <c r="W217" s="4" t="s">
        <v>3243</v>
      </c>
      <c r="X217" s="4" t="s">
        <v>3202</v>
      </c>
      <c r="Y217" s="4" t="str">
        <f t="shared" si="4"/>
        <v>994hwd2k6wyzjfl|CS2 · PHA vs RGG|K1</v>
      </c>
      <c r="Z217" s="12">
        <f t="array" ref="Z217">IFERROR(INDEX(CHOOSE(MATCH($X217,{"K1","K2","K3","K12","K13","H1","H2","H3","H12","H13"},0),Calc!$BA$2:$BA$157,Calc!$BB$2:$BB$157,Calc!$BC$2:$BC$157,Calc!$BD$2:$BD$157,Calc!$BE$2:$BE$157,Calc!$BF$2:$BF$157,Calc!$BG$2:$BG$157,Calc!$BH$2:$BH$157,Calc!$BI$2:$BI$157,Calc!$BJ$2:$BJ$157),MATCH($W217,Calc!$A$2:$A$157,0)),"")</f>
        <v>14.04052555</v>
      </c>
      <c r="AA217" s="12">
        <f t="array" ref="AA217">IF(Z217="","",IF(LEFT($X217,1)="H",SQRT(Z217*(IFERROR(INDEX(Calc!$AP$2:$AP$157,MATCH($W217,Calc!$A$2:$A$157,0)),0.5)*Config!$B$5+1-IFERROR(INDEX(Calc!$AP$2:$AP$157,MATCH($W217,Calc!$A$2:$A$157,0)),0.5))),SQRT(Z217*Config!$B$5)))</f>
        <v>4.433591746</v>
      </c>
      <c r="AB217" s="11">
        <f t="shared" si="5"/>
        <v>0.5485172083</v>
      </c>
      <c r="AC217" s="11">
        <f t="shared" si="6"/>
        <v>0.3641203609</v>
      </c>
      <c r="AD217" s="4" t="str">
        <f>IF(AB217="","",IF(AB217&gt;=0.5+Config!$B$6,"OVER",IF(AC217&gt;=0.5+Config!$B$6,"UNDER","—")))</f>
        <v>OVER</v>
      </c>
      <c r="AE217" s="18">
        <f t="shared" si="7"/>
        <v>1.145697719</v>
      </c>
    </row>
    <row r="218" ht="15.75" customHeight="1">
      <c r="A218" s="4" t="s">
        <v>86</v>
      </c>
      <c r="B218" s="4" t="s">
        <v>1160</v>
      </c>
      <c r="C218" s="4" t="s">
        <v>1405</v>
      </c>
      <c r="D218" s="4" t="s">
        <v>1013</v>
      </c>
      <c r="E218" s="4" t="s">
        <v>2880</v>
      </c>
      <c r="F218" s="4">
        <v>7.5</v>
      </c>
      <c r="G218" s="12">
        <f t="array" ref="G218">IFERROR(INDEX(CHOOSE(MATCH($X218,{"K1","K2","K3","K12","K13","H1","H2","H3","H12","H13"},0),Calc!$V$2:$V$157,Calc!$AC$2:$AC$157,Calc!$AJ$2:$AJ$157,Calc!$AL$2:$AL$157,Calc!$AM$2:$AM$157,Calc!$W$2:$W$157,Calc!$AD$2:$AD$157,Calc!$AK$2:$AK$157,Calc!$AN$2:$AN$157,Calc!$AO$2:$AO$157),MATCH($W218,Calc!$A$2:$A$157,0)),"")</f>
        <v>7.1612871</v>
      </c>
      <c r="H218" s="12">
        <f t="array" ref="H218">IF(G218="","",IF(LEFT($X218,1)="H",SQRT(G218*(IFERROR(INDEX(Calc!$AP$2:$AP$157,MATCH($W218,Calc!$A$2:$A$157,0)),0.5)*Config!$B$5+1-IFERROR(INDEX(Calc!$AP$2:$AP$157,MATCH($W218,Calc!$A$2:$A$157,0)),0.5))),SQRT(G218*Config!$B$5)))</f>
        <v>2.93970964</v>
      </c>
      <c r="I218" s="11">
        <f t="shared" si="1"/>
        <v>0.4541354332</v>
      </c>
      <c r="J218" s="11">
        <f t="shared" si="2"/>
        <v>0.5458645668</v>
      </c>
      <c r="K218" s="11">
        <f t="shared" si="3"/>
        <v>0</v>
      </c>
      <c r="L218" s="4" t="str">
        <f>IF(I218="","",IF(I218&gt;=0.5+Config!$B$6,"OVER",IF(J218&gt;=0.5+Config!$B$6,"UNDER","—")))</f>
        <v>UNDER</v>
      </c>
      <c r="N218" s="4">
        <v>8.2</v>
      </c>
      <c r="O218" s="11">
        <v>0.6</v>
      </c>
      <c r="P218" s="11">
        <v>0.5</v>
      </c>
      <c r="Q218" s="11">
        <v>0.6</v>
      </c>
      <c r="R218" s="4" t="s">
        <v>579</v>
      </c>
      <c r="S218" s="4">
        <v>1.0</v>
      </c>
      <c r="T218" s="4" t="str">
        <f t="array" ref="T218">INDEX(Calc!$G$2:$G$157,MATCH($W218,Calc!$A$2:$A$157,0))</f>
        <v>Nuke</v>
      </c>
      <c r="U218" s="4" t="str">
        <f t="array" ref="U218">TEXT(INDEX(Calc!$J$2:$J$157,MATCH($W218,Calc!$A$2:$A$157,0)),"0.0")</f>
        <v>21.4</v>
      </c>
      <c r="V218" s="4" t="str">
        <f t="array" ref="V218">IFERROR(INDEX(Calc!$AQ$2:$AQ$157,MATCH($W218,Calc!$A$2:$A$157,0)),"")</f>
        <v/>
      </c>
      <c r="W218" s="4" t="s">
        <v>3244</v>
      </c>
      <c r="X218" s="4" t="s">
        <v>3201</v>
      </c>
      <c r="Y218" s="4" t="str">
        <f t="shared" si="4"/>
        <v>ngzwc6mqcf8eqdc|CS2 · VOCA vs HAVU|H1</v>
      </c>
      <c r="Z218" s="12">
        <f t="array" ref="Z218">IFERROR(INDEX(CHOOSE(MATCH($X218,{"K1","K2","K3","K12","K13","H1","H2","H3","H12","H13"},0),Calc!$BA$2:$BA$157,Calc!$BB$2:$BB$157,Calc!$BC$2:$BC$157,Calc!$BD$2:$BD$157,Calc!$BE$2:$BE$157,Calc!$BF$2:$BF$157,Calc!$BG$2:$BG$157,Calc!$BH$2:$BH$157,Calc!$BI$2:$BI$157,Calc!$BJ$2:$BJ$157),MATCH($W218,Calc!$A$2:$A$157,0)),"")</f>
        <v>6.922809681</v>
      </c>
      <c r="AA218" s="12">
        <f t="array" ref="AA218">IF(Z218="","",IF(LEFT($X218,1)="H",SQRT(Z218*(IFERROR(INDEX(Calc!$AP$2:$AP$157,MATCH($W218,Calc!$A$2:$A$157,0)),0.5)*Config!$B$5+1-IFERROR(INDEX(Calc!$AP$2:$AP$157,MATCH($W218,Calc!$A$2:$A$157,0)),0.5))),SQRT(Z218*Config!$B$5)))</f>
        <v>2.890347699</v>
      </c>
      <c r="AB218" s="11">
        <f t="shared" si="5"/>
        <v>0.4208592463</v>
      </c>
      <c r="AC218" s="11">
        <f t="shared" si="6"/>
        <v>0.5791407537</v>
      </c>
      <c r="AD218" s="4" t="str">
        <f>IF(AB218="","",IF(AB218&gt;=0.5+Config!$B$6,"OVER",IF(AC218&gt;=0.5+Config!$B$6,"UNDER","—")))</f>
        <v>UNDER</v>
      </c>
      <c r="AE218" s="18">
        <f t="shared" si="7"/>
        <v>0.9666990842</v>
      </c>
    </row>
    <row r="219" ht="15.75" customHeight="1">
      <c r="A219" s="4" t="s">
        <v>86</v>
      </c>
      <c r="B219" s="4" t="s">
        <v>1160</v>
      </c>
      <c r="C219" s="4" t="s">
        <v>1405</v>
      </c>
      <c r="D219" s="4" t="s">
        <v>1013</v>
      </c>
      <c r="E219" s="4" t="s">
        <v>2882</v>
      </c>
      <c r="F219" s="4">
        <v>14.0</v>
      </c>
      <c r="G219" s="12">
        <f t="array" ref="G219">IFERROR(INDEX(CHOOSE(MATCH($X219,{"K1","K2","K3","K12","K13","H1","H2","H3","H12","H13"},0),Calc!$V$2:$V$157,Calc!$AC$2:$AC$157,Calc!$AJ$2:$AJ$157,Calc!$AL$2:$AL$157,Calc!$AM$2:$AM$157,Calc!$W$2:$W$157,Calc!$AD$2:$AD$157,Calc!$AK$2:$AK$157,Calc!$AN$2:$AN$157,Calc!$AO$2:$AO$157),MATCH($W219,Calc!$A$2:$A$157,0)),"")</f>
        <v>14.4892</v>
      </c>
      <c r="H219" s="12">
        <f t="array" ref="H219">IF(G219="","",IF(LEFT($X219,1)="H",SQRT(G219*(IFERROR(INDEX(Calc!$AP$2:$AP$157,MATCH($W219,Calc!$A$2:$A$157,0)),0.5)*Config!$B$5+1-IFERROR(INDEX(Calc!$AP$2:$AP$157,MATCH($W219,Calc!$A$2:$A$157,0)),0.5))),SQRT(G219*Config!$B$5)))</f>
        <v>4.503873888</v>
      </c>
      <c r="I219" s="11">
        <f t="shared" si="1"/>
        <v>0.499043363</v>
      </c>
      <c r="J219" s="11">
        <f t="shared" si="2"/>
        <v>0.4130784367</v>
      </c>
      <c r="K219" s="11">
        <f t="shared" si="3"/>
        <v>0.08787820034</v>
      </c>
      <c r="L219" s="4" t="str">
        <f>IF(I219="","",IF(I219&gt;=0.5+Config!$B$6,"OVER",IF(J219&gt;=0.5+Config!$B$6,"UNDER","—")))</f>
        <v>—</v>
      </c>
      <c r="N219" s="4">
        <v>16.5</v>
      </c>
      <c r="O219" s="11">
        <v>0.8</v>
      </c>
      <c r="P219" s="11">
        <v>0.6</v>
      </c>
      <c r="Q219" s="11">
        <v>0.6</v>
      </c>
      <c r="R219" s="4" t="s">
        <v>579</v>
      </c>
      <c r="S219" s="4">
        <v>1.0</v>
      </c>
      <c r="T219" s="4" t="str">
        <f t="array" ref="T219">INDEX(Calc!$G$2:$G$157,MATCH($W219,Calc!$A$2:$A$157,0))</f>
        <v>Nuke</v>
      </c>
      <c r="U219" s="4" t="str">
        <f t="array" ref="U219">TEXT(INDEX(Calc!$J$2:$J$157,MATCH($W219,Calc!$A$2:$A$157,0)),"0.0")</f>
        <v>21.4</v>
      </c>
      <c r="V219" s="4" t="str">
        <f t="array" ref="V219">IFERROR(INDEX(Calc!$AQ$2:$AQ$157,MATCH($W219,Calc!$A$2:$A$157,0)),"")</f>
        <v/>
      </c>
      <c r="W219" s="4" t="s">
        <v>3244</v>
      </c>
      <c r="X219" s="4" t="s">
        <v>3202</v>
      </c>
      <c r="Y219" s="4" t="str">
        <f t="shared" si="4"/>
        <v>ngzwc6mqcf8eqdc|CS2 · VOCA vs HAVU|K1</v>
      </c>
      <c r="Z219" s="12">
        <f t="array" ref="Z219">IFERROR(INDEX(CHOOSE(MATCH($X219,{"K1","K2","K3","K12","K13","H1","H2","H3","H12","H13"},0),Calc!$BA$2:$BA$157,Calc!$BB$2:$BB$157,Calc!$BC$2:$BC$157,Calc!$BD$2:$BD$157,Calc!$BE$2:$BE$157,Calc!$BF$2:$BF$157,Calc!$BG$2:$BG$157,Calc!$BH$2:$BH$157,Calc!$BI$2:$BI$157,Calc!$BJ$2:$BJ$157),MATCH($W219,Calc!$A$2:$A$157,0)),"")</f>
        <v>14.00669637</v>
      </c>
      <c r="AA219" s="12">
        <f t="array" ref="AA219">IF(Z219="","",IF(LEFT($X219,1)="H",SQRT(Z219*(IFERROR(INDEX(Calc!$AP$2:$AP$157,MATCH($W219,Calc!$A$2:$A$157,0)),0.5)*Config!$B$5+1-IFERROR(INDEX(Calc!$AP$2:$AP$157,MATCH($W219,Calc!$A$2:$A$157,0)),0.5))),SQRT(Z219*Config!$B$5)))</f>
        <v>4.428247387</v>
      </c>
      <c r="AB219" s="11">
        <f t="shared" si="5"/>
        <v>0.4556498602</v>
      </c>
      <c r="AC219" s="11">
        <f t="shared" si="6"/>
        <v>0.4544509709</v>
      </c>
      <c r="AD219" s="4" t="str">
        <f>IF(AB219="","",IF(AB219&gt;=0.5+Config!$B$6,"OVER",IF(AC219&gt;=0.5+Config!$B$6,"UNDER","—")))</f>
        <v>—</v>
      </c>
      <c r="AE219" s="18">
        <f t="shared" si="7"/>
        <v>0.9666990842</v>
      </c>
    </row>
    <row r="220" ht="15.75" customHeight="1">
      <c r="A220" s="4" t="s">
        <v>86</v>
      </c>
      <c r="B220" s="4" t="s">
        <v>1160</v>
      </c>
      <c r="C220" s="4" t="s">
        <v>1409</v>
      </c>
      <c r="D220" s="4" t="s">
        <v>1013</v>
      </c>
      <c r="E220" s="4" t="s">
        <v>2880</v>
      </c>
      <c r="F220" s="4">
        <v>9.0</v>
      </c>
      <c r="G220" s="12">
        <f t="array" ref="G220">IFERROR(INDEX(CHOOSE(MATCH($X220,{"K1","K2","K3","K12","K13","H1","H2","H3","H12","H13"},0),Calc!$V$2:$V$157,Calc!$AC$2:$AC$157,Calc!$AJ$2:$AJ$157,Calc!$AL$2:$AL$157,Calc!$AM$2:$AM$157,Calc!$W$2:$W$157,Calc!$AD$2:$AD$157,Calc!$AK$2:$AK$157,Calc!$AN$2:$AN$157,Calc!$AO$2:$AO$157),MATCH($W220,Calc!$A$2:$A$157,0)),"")</f>
        <v>11.70138625</v>
      </c>
      <c r="H220" s="12">
        <f t="array" ref="H220">IF(G220="","",IF(LEFT($X220,1)="H",SQRT(G220*(IFERROR(INDEX(Calc!$AP$2:$AP$157,MATCH($W220,Calc!$A$2:$A$157,0)),0.5)*Config!$B$5+1-IFERROR(INDEX(Calc!$AP$2:$AP$157,MATCH($W220,Calc!$A$2:$A$157,0)),0.5))),SQRT(G220*Config!$B$5)))</f>
        <v>3.852081413</v>
      </c>
      <c r="I220" s="11">
        <f t="shared" si="1"/>
        <v>0.7161627344</v>
      </c>
      <c r="J220" s="11">
        <f t="shared" si="2"/>
        <v>0.2029643338</v>
      </c>
      <c r="K220" s="11">
        <f t="shared" si="3"/>
        <v>0.08087293179</v>
      </c>
      <c r="L220" s="4" t="str">
        <f>IF(I220="","",IF(I220&gt;=0.5+Config!$B$6,"OVER",IF(J220&gt;=0.5+Config!$B$6,"UNDER","—")))</f>
        <v>OVER</v>
      </c>
      <c r="N220" s="4">
        <v>10.2</v>
      </c>
      <c r="O220" s="11">
        <v>0.6</v>
      </c>
      <c r="P220" s="11">
        <v>0.8</v>
      </c>
      <c r="Q220" s="11">
        <v>0.73</v>
      </c>
      <c r="R220" s="4" t="s">
        <v>579</v>
      </c>
      <c r="S220" s="4">
        <v>1.0</v>
      </c>
      <c r="T220" s="4" t="str">
        <f t="array" ref="T220">INDEX(Calc!$G$2:$G$157,MATCH($W220,Calc!$A$2:$A$157,0))</f>
        <v>Nuke</v>
      </c>
      <c r="U220" s="4" t="str">
        <f t="array" ref="U220">TEXT(INDEX(Calc!$J$2:$J$157,MATCH($W220,Calc!$A$2:$A$157,0)),"0.0")</f>
        <v>21.4</v>
      </c>
      <c r="V220" s="4" t="str">
        <f t="array" ref="V220">IFERROR(INDEX(Calc!$AQ$2:$AQ$157,MATCH($W220,Calc!$A$2:$A$157,0)),"")</f>
        <v/>
      </c>
      <c r="W220" s="4" t="s">
        <v>3245</v>
      </c>
      <c r="X220" s="4" t="s">
        <v>3201</v>
      </c>
      <c r="Y220" s="4" t="str">
        <f t="shared" si="4"/>
        <v>ydze2q2v3qoecsb|CS2 · VOCA vs HAVU|H1</v>
      </c>
      <c r="Z220" s="12">
        <f t="array" ref="Z220">IFERROR(INDEX(CHOOSE(MATCH($X220,{"K1","K2","K3","K12","K13","H1","H2","H3","H12","H13"},0),Calc!$BA$2:$BA$157,Calc!$BB$2:$BB$157,Calc!$BC$2:$BC$157,Calc!$BD$2:$BD$157,Calc!$BE$2:$BE$157,Calc!$BF$2:$BF$157,Calc!$BG$2:$BG$157,Calc!$BH$2:$BH$157,Calc!$BI$2:$BI$157,Calc!$BJ$2:$BJ$157),MATCH($W220,Calc!$A$2:$A$157,0)),"")</f>
        <v>11.31171937</v>
      </c>
      <c r="AA220" s="12">
        <f t="array" ref="AA220">IF(Z220="","",IF(LEFT($X220,1)="H",SQRT(Z220*(IFERROR(INDEX(Calc!$AP$2:$AP$157,MATCH($W220,Calc!$A$2:$A$157,0)),0.5)*Config!$B$5+1-IFERROR(INDEX(Calc!$AP$2:$AP$157,MATCH($W220,Calc!$A$2:$A$157,0)),0.5))),SQRT(Z220*Config!$B$5)))</f>
        <v>3.787399442</v>
      </c>
      <c r="AB220" s="11">
        <f t="shared" si="5"/>
        <v>0.6838010256</v>
      </c>
      <c r="AC220" s="11">
        <f t="shared" si="6"/>
        <v>0.228926186</v>
      </c>
      <c r="AD220" s="4" t="str">
        <f>IF(AB220="","",IF(AB220&gt;=0.5+Config!$B$6,"OVER",IF(AC220&gt;=0.5+Config!$B$6,"UNDER","—")))</f>
        <v>OVER</v>
      </c>
      <c r="AE220" s="18">
        <f t="shared" si="7"/>
        <v>0.9666990842</v>
      </c>
    </row>
    <row r="221" ht="15.75" customHeight="1">
      <c r="A221" s="4" t="s">
        <v>86</v>
      </c>
      <c r="B221" s="4" t="s">
        <v>1160</v>
      </c>
      <c r="C221" s="4" t="s">
        <v>1409</v>
      </c>
      <c r="D221" s="4" t="s">
        <v>1013</v>
      </c>
      <c r="E221" s="4" t="s">
        <v>2882</v>
      </c>
      <c r="F221" s="4">
        <v>14.0</v>
      </c>
      <c r="G221" s="12">
        <f t="array" ref="G221">IFERROR(INDEX(CHOOSE(MATCH($X221,{"K1","K2","K3","K12","K13","H1","H2","H3","H12","H13"},0),Calc!$V$2:$V$157,Calc!$AC$2:$AC$157,Calc!$AJ$2:$AJ$157,Calc!$AL$2:$AL$157,Calc!$AM$2:$AM$157,Calc!$W$2:$W$157,Calc!$AD$2:$AD$157,Calc!$AK$2:$AK$157,Calc!$AN$2:$AN$157,Calc!$AO$2:$AO$157),MATCH($W221,Calc!$A$2:$A$157,0)),"")</f>
        <v>17.4974</v>
      </c>
      <c r="H221" s="12">
        <f t="array" ref="H221">IF(G221="","",IF(LEFT($X221,1)="H",SQRT(G221*(IFERROR(INDEX(Calc!$AP$2:$AP$157,MATCH($W221,Calc!$A$2:$A$157,0)),0.5)*Config!$B$5+1-IFERROR(INDEX(Calc!$AP$2:$AP$157,MATCH($W221,Calc!$A$2:$A$157,0)),0.5))),SQRT(G221*Config!$B$5)))</f>
        <v>4.949379759</v>
      </c>
      <c r="I221" s="11">
        <f t="shared" si="1"/>
        <v>0.7276135308</v>
      </c>
      <c r="J221" s="11">
        <f t="shared" si="2"/>
        <v>0.2096441022</v>
      </c>
      <c r="K221" s="11">
        <f t="shared" si="3"/>
        <v>0.06274236707</v>
      </c>
      <c r="L221" s="4" t="str">
        <f>IF(I221="","",IF(I221&gt;=0.5+Config!$B$6,"OVER",IF(J221&gt;=0.5+Config!$B$6,"UNDER","—")))</f>
        <v>OVER</v>
      </c>
      <c r="N221" s="4">
        <v>15.1</v>
      </c>
      <c r="O221" s="11">
        <v>0.4</v>
      </c>
      <c r="P221" s="11">
        <v>0.7</v>
      </c>
      <c r="Q221" s="11">
        <v>0.67</v>
      </c>
      <c r="R221" s="4" t="s">
        <v>579</v>
      </c>
      <c r="S221" s="4">
        <v>1.0</v>
      </c>
      <c r="T221" s="4" t="str">
        <f t="array" ref="T221">INDEX(Calc!$G$2:$G$157,MATCH($W221,Calc!$A$2:$A$157,0))</f>
        <v>Nuke</v>
      </c>
      <c r="U221" s="4" t="str">
        <f t="array" ref="U221">TEXT(INDEX(Calc!$J$2:$J$157,MATCH($W221,Calc!$A$2:$A$157,0)),"0.0")</f>
        <v>21.4</v>
      </c>
      <c r="V221" s="4" t="str">
        <f t="array" ref="V221">IFERROR(INDEX(Calc!$AQ$2:$AQ$157,MATCH($W221,Calc!$A$2:$A$157,0)),"")</f>
        <v/>
      </c>
      <c r="W221" s="4" t="s">
        <v>3245</v>
      </c>
      <c r="X221" s="4" t="s">
        <v>3202</v>
      </c>
      <c r="Y221" s="4" t="str">
        <f t="shared" si="4"/>
        <v>ydze2q2v3qoecsb|CS2 · VOCA vs HAVU|K1</v>
      </c>
      <c r="Z221" s="12">
        <f t="array" ref="Z221">IFERROR(INDEX(CHOOSE(MATCH($X221,{"K1","K2","K3","K12","K13","H1","H2","H3","H12","H13"},0),Calc!$BA$2:$BA$157,Calc!$BB$2:$BB$157,Calc!$BC$2:$BC$157,Calc!$BD$2:$BD$157,Calc!$BE$2:$BE$157,Calc!$BF$2:$BF$157,Calc!$BG$2:$BG$157,Calc!$BH$2:$BH$157,Calc!$BI$2:$BI$157,Calc!$BJ$2:$BJ$157),MATCH($W221,Calc!$A$2:$A$157,0)),"")</f>
        <v>16.91472056</v>
      </c>
      <c r="AA221" s="12">
        <f t="array" ref="AA221">IF(Z221="","",IF(LEFT($X221,1)="H",SQRT(Z221*(IFERROR(INDEX(Calc!$AP$2:$AP$157,MATCH($W221,Calc!$A$2:$A$157,0)),0.5)*Config!$B$5+1-IFERROR(INDEX(Calc!$AP$2:$AP$157,MATCH($W221,Calc!$A$2:$A$157,0)),0.5))),SQRT(Z221*Config!$B$5)))</f>
        <v>4.866272575</v>
      </c>
      <c r="AB221" s="11">
        <f t="shared" si="5"/>
        <v>0.6901288609</v>
      </c>
      <c r="AC221" s="11">
        <f t="shared" si="6"/>
        <v>0.2414294776</v>
      </c>
      <c r="AD221" s="4" t="str">
        <f>IF(AB221="","",IF(AB221&gt;=0.5+Config!$B$6,"OVER",IF(AC221&gt;=0.5+Config!$B$6,"UNDER","—")))</f>
        <v>OVER</v>
      </c>
      <c r="AE221" s="18">
        <f t="shared" si="7"/>
        <v>0.9666990842</v>
      </c>
    </row>
    <row r="222" ht="15.75" customHeight="1">
      <c r="A222" s="4" t="s">
        <v>86</v>
      </c>
      <c r="B222" s="4" t="s">
        <v>1160</v>
      </c>
      <c r="C222" s="4" t="s">
        <v>1412</v>
      </c>
      <c r="D222" s="4" t="s">
        <v>1013</v>
      </c>
      <c r="E222" s="4" t="s">
        <v>2882</v>
      </c>
      <c r="F222" s="4">
        <v>15.0</v>
      </c>
      <c r="G222" s="12">
        <f t="array" ref="G222">IFERROR(INDEX(CHOOSE(MATCH($X222,{"K1","K2","K3","K12","K13","H1","H2","H3","H12","H13"},0),Calc!$V$2:$V$157,Calc!$AC$2:$AC$157,Calc!$AJ$2:$AJ$157,Calc!$AL$2:$AL$157,Calc!$AM$2:$AM$157,Calc!$W$2:$W$157,Calc!$AD$2:$AD$157,Calc!$AK$2:$AK$157,Calc!$AN$2:$AN$157,Calc!$AO$2:$AO$157),MATCH($W222,Calc!$A$2:$A$157,0)),"")</f>
        <v>16.6964</v>
      </c>
      <c r="H222" s="12">
        <f t="array" ref="H222">IF(G222="","",IF(LEFT($X222,1)="H",SQRT(G222*(IFERROR(INDEX(Calc!$AP$2:$AP$157,MATCH($W222,Calc!$A$2:$A$157,0)),0.5)*Config!$B$5+1-IFERROR(INDEX(Calc!$AP$2:$AP$157,MATCH($W222,Calc!$A$2:$A$157,0)),0.5))),SQRT(G222*Config!$B$5)))</f>
        <v>4.834765765</v>
      </c>
      <c r="I222" s="11">
        <f t="shared" si="1"/>
        <v>0.5977229866</v>
      </c>
      <c r="J222" s="11">
        <f t="shared" si="2"/>
        <v>0.324808995</v>
      </c>
      <c r="K222" s="11">
        <f t="shared" si="3"/>
        <v>0.07746801841</v>
      </c>
      <c r="L222" s="4" t="str">
        <f>IF(I222="","",IF(I222&gt;=0.5+Config!$B$6,"OVER",IF(J222&gt;=0.5+Config!$B$6,"UNDER","—")))</f>
        <v>OVER</v>
      </c>
      <c r="N222" s="4">
        <v>18.1</v>
      </c>
      <c r="O222" s="11">
        <v>0.6</v>
      </c>
      <c r="P222" s="11">
        <v>0.6</v>
      </c>
      <c r="Q222" s="11">
        <v>0.6</v>
      </c>
      <c r="R222" s="4" t="s">
        <v>579</v>
      </c>
      <c r="S222" s="4">
        <v>3.0</v>
      </c>
      <c r="T222" s="4" t="str">
        <f t="array" ref="T222">INDEX(Calc!$G$2:$G$157,MATCH($W222,Calc!$A$2:$A$157,0))</f>
        <v>Nuke</v>
      </c>
      <c r="U222" s="4" t="str">
        <f t="array" ref="U222">TEXT(INDEX(Calc!$J$2:$J$157,MATCH($W222,Calc!$A$2:$A$157,0)),"0.0")</f>
        <v>21.4</v>
      </c>
      <c r="V222" s="4" t="str">
        <f t="array" ref="V222">IFERROR(INDEX(Calc!$AQ$2:$AQ$157,MATCH($W222,Calc!$A$2:$A$157,0)),"")</f>
        <v/>
      </c>
      <c r="W222" s="4" t="s">
        <v>3246</v>
      </c>
      <c r="X222" s="4" t="s">
        <v>3202</v>
      </c>
      <c r="Y222" s="4" t="str">
        <f t="shared" si="4"/>
        <v>r5k3gcz96b2x9h8|CS2 · VOCA vs HAVU|K1</v>
      </c>
      <c r="Z222" s="12">
        <f t="array" ref="Z222">IFERROR(INDEX(CHOOSE(MATCH($X222,{"K1","K2","K3","K12","K13","H1","H2","H3","H12","H13"},0),Calc!$BA$2:$BA$157,Calc!$BB$2:$BB$157,Calc!$BC$2:$BC$157,Calc!$BD$2:$BD$157,Calc!$BE$2:$BE$157,Calc!$BF$2:$BF$157,Calc!$BG$2:$BG$157,Calc!$BH$2:$BH$157,Calc!$BI$2:$BI$157,Calc!$BJ$2:$BJ$157),MATCH($W222,Calc!$A$2:$A$157,0)),"")</f>
        <v>16.14039459</v>
      </c>
      <c r="AA222" s="12">
        <f t="array" ref="AA222">IF(Z222="","",IF(LEFT($X222,1)="H",SQRT(Z222*(IFERROR(INDEX(Calc!$AP$2:$AP$157,MATCH($W222,Calc!$A$2:$A$157,0)),0.5)*Config!$B$5+1-IFERROR(INDEX(Calc!$AP$2:$AP$157,MATCH($W222,Calc!$A$2:$A$157,0)),0.5))),SQRT(Z222*Config!$B$5)))</f>
        <v>4.753583114</v>
      </c>
      <c r="AB222" s="11">
        <f t="shared" si="5"/>
        <v>0.5535826942</v>
      </c>
      <c r="AC222" s="11">
        <f t="shared" si="6"/>
        <v>0.3650148902</v>
      </c>
      <c r="AD222" s="4" t="str">
        <f>IF(AB222="","",IF(AB222&gt;=0.5+Config!$B$6,"OVER",IF(AC222&gt;=0.5+Config!$B$6,"UNDER","—")))</f>
        <v>OVER</v>
      </c>
      <c r="AE222" s="18">
        <f t="shared" si="7"/>
        <v>0.9666990842</v>
      </c>
    </row>
    <row r="223" ht="15.75" customHeight="1">
      <c r="A223" s="4" t="s">
        <v>86</v>
      </c>
      <c r="B223" s="4" t="s">
        <v>1160</v>
      </c>
      <c r="C223" s="4" t="s">
        <v>1415</v>
      </c>
      <c r="D223" s="4" t="s">
        <v>1013</v>
      </c>
      <c r="E223" s="4" t="s">
        <v>2880</v>
      </c>
      <c r="F223" s="4">
        <v>8.0</v>
      </c>
      <c r="G223" s="12">
        <f t="array" ref="G223">IFERROR(INDEX(CHOOSE(MATCH($X223,{"K1","K2","K3","K12","K13","H1","H2","H3","H12","H13"},0),Calc!$V$2:$V$157,Calc!$AC$2:$AC$157,Calc!$AJ$2:$AJ$157,Calc!$AL$2:$AL$157,Calc!$AM$2:$AM$157,Calc!$W$2:$W$157,Calc!$AD$2:$AD$157,Calc!$AK$2:$AK$157,Calc!$AN$2:$AN$157,Calc!$AO$2:$AO$157),MATCH($W223,Calc!$A$2:$A$157,0)),"")</f>
        <v>9.1221351</v>
      </c>
      <c r="H223" s="12">
        <f t="array" ref="H223">IF(G223="","",IF(LEFT($X223,1)="H",SQRT(G223*(IFERROR(INDEX(Calc!$AP$2:$AP$157,MATCH($W223,Calc!$A$2:$A$157,0)),0.5)*Config!$B$5+1-IFERROR(INDEX(Calc!$AP$2:$AP$157,MATCH($W223,Calc!$A$2:$A$157,0)),0.5))),SQRT(G223*Config!$B$5)))</f>
        <v>3.41418811</v>
      </c>
      <c r="I223" s="11">
        <f t="shared" si="1"/>
        <v>0.5722951613</v>
      </c>
      <c r="J223" s="11">
        <f t="shared" si="2"/>
        <v>0.3173521786</v>
      </c>
      <c r="K223" s="11">
        <f t="shared" si="3"/>
        <v>0.1103526602</v>
      </c>
      <c r="L223" s="4" t="str">
        <f>IF(I223="","",IF(I223&gt;=0.5+Config!$B$6,"OVER",IF(J223&gt;=0.5+Config!$B$6,"UNDER","—")))</f>
        <v>OVER</v>
      </c>
      <c r="N223" s="4">
        <v>6.8</v>
      </c>
      <c r="O223" s="11">
        <v>0.2</v>
      </c>
      <c r="P223" s="11">
        <v>0.3</v>
      </c>
      <c r="Q223" s="11">
        <v>0.47</v>
      </c>
      <c r="R223" s="4" t="s">
        <v>579</v>
      </c>
      <c r="S223" s="4">
        <v>-1.0</v>
      </c>
      <c r="T223" s="4" t="str">
        <f t="array" ref="T223">INDEX(Calc!$G$2:$G$157,MATCH($W223,Calc!$A$2:$A$157,0))</f>
        <v>Nuke</v>
      </c>
      <c r="U223" s="4" t="str">
        <f t="array" ref="U223">TEXT(INDEX(Calc!$J$2:$J$157,MATCH($W223,Calc!$A$2:$A$157,0)),"0.0")</f>
        <v>21.4</v>
      </c>
      <c r="V223" s="4" t="str">
        <f t="array" ref="V223">IFERROR(INDEX(Calc!$AQ$2:$AQ$157,MATCH($W223,Calc!$A$2:$A$157,0)),"")</f>
        <v/>
      </c>
      <c r="W223" s="4" t="s">
        <v>3247</v>
      </c>
      <c r="X223" s="4" t="s">
        <v>3201</v>
      </c>
      <c r="Y223" s="4" t="str">
        <f t="shared" si="4"/>
        <v>r4mf7kxzysimlpj|CS2 · VOCA vs HAVU|H1</v>
      </c>
      <c r="Z223" s="12">
        <f t="array" ref="Z223">IFERROR(INDEX(CHOOSE(MATCH($X223,{"K1","K2","K3","K12","K13","H1","H2","H3","H12","H13"},0),Calc!$BA$2:$BA$157,Calc!$BB$2:$BB$157,Calc!$BC$2:$BC$157,Calc!$BD$2:$BD$157,Calc!$BE$2:$BE$157,Calc!$BF$2:$BF$157,Calc!$BG$2:$BG$157,Calc!$BH$2:$BH$157,Calc!$BI$2:$BI$157,Calc!$BJ$2:$BJ$157),MATCH($W223,Calc!$A$2:$A$157,0)),"")</f>
        <v>8.818359647</v>
      </c>
      <c r="AA223" s="12">
        <f t="array" ref="AA223">IF(Z223="","",IF(LEFT($X223,1)="H",SQRT(Z223*(IFERROR(INDEX(Calc!$AP$2:$AP$157,MATCH($W223,Calc!$A$2:$A$157,0)),0.5)*Config!$B$5+1-IFERROR(INDEX(Calc!$AP$2:$AP$157,MATCH($W223,Calc!$A$2:$A$157,0)),0.5))),SQRT(Z223*Config!$B$5)))</f>
        <v>3.356858996</v>
      </c>
      <c r="AB223" s="11">
        <f t="shared" si="5"/>
        <v>0.5377784677</v>
      </c>
      <c r="AC223" s="11">
        <f t="shared" si="6"/>
        <v>0.3472572093</v>
      </c>
      <c r="AD223" s="4" t="str">
        <f>IF(AB223="","",IF(AB223&gt;=0.5+Config!$B$6,"OVER",IF(AC223&gt;=0.5+Config!$B$6,"UNDER","—")))</f>
        <v>—</v>
      </c>
      <c r="AE223" s="18">
        <f t="shared" si="7"/>
        <v>0.9666990842</v>
      </c>
    </row>
    <row r="224" ht="15.75" customHeight="1">
      <c r="A224" s="4" t="s">
        <v>86</v>
      </c>
      <c r="B224" s="4" t="s">
        <v>1160</v>
      </c>
      <c r="C224" s="4" t="s">
        <v>1415</v>
      </c>
      <c r="D224" s="4" t="s">
        <v>1013</v>
      </c>
      <c r="E224" s="4" t="s">
        <v>2882</v>
      </c>
      <c r="F224" s="4">
        <v>12.0</v>
      </c>
      <c r="G224" s="12">
        <f t="array" ref="G224">IFERROR(INDEX(CHOOSE(MATCH($X224,{"K1","K2","K3","K12","K13","H1","H2","H3","H12","H13"},0),Calc!$V$2:$V$157,Calc!$AC$2:$AC$157,Calc!$AJ$2:$AJ$157,Calc!$AL$2:$AL$157,Calc!$AM$2:$AM$157,Calc!$W$2:$W$157,Calc!$AD$2:$AD$157,Calc!$AK$2:$AK$157,Calc!$AN$2:$AN$157,Calc!$AO$2:$AO$157),MATCH($W224,Calc!$A$2:$A$157,0)),"")</f>
        <v>13.1364</v>
      </c>
      <c r="H224" s="12">
        <f t="array" ref="H224">IF(G224="","",IF(LEFT($X224,1)="H",SQRT(G224*(IFERROR(INDEX(Calc!$AP$2:$AP$157,MATCH($W224,Calc!$A$2:$A$157,0)),0.5)*Config!$B$5+1-IFERROR(INDEX(Calc!$AP$2:$AP$157,MATCH($W224,Calc!$A$2:$A$157,0)),0.5))),SQRT(G224*Config!$B$5)))</f>
        <v>4.288468258</v>
      </c>
      <c r="I224" s="11">
        <f t="shared" si="1"/>
        <v>0.5589856505</v>
      </c>
      <c r="J224" s="11">
        <f t="shared" si="2"/>
        <v>0.3513859173</v>
      </c>
      <c r="K224" s="11">
        <f t="shared" si="3"/>
        <v>0.08962843221</v>
      </c>
      <c r="L224" s="4" t="str">
        <f>IF(I224="","",IF(I224&gt;=0.5+Config!$B$6,"OVER",IF(J224&gt;=0.5+Config!$B$6,"UNDER","—")))</f>
        <v>OVER</v>
      </c>
      <c r="N224" s="4">
        <v>9.8</v>
      </c>
      <c r="O224" s="11">
        <v>0.2</v>
      </c>
      <c r="P224" s="11">
        <v>0.2</v>
      </c>
      <c r="Q224" s="11">
        <v>0.4</v>
      </c>
      <c r="R224" s="4" t="s">
        <v>579</v>
      </c>
      <c r="S224" s="4">
        <v>-1.0</v>
      </c>
      <c r="T224" s="4" t="str">
        <f t="array" ref="T224">INDEX(Calc!$G$2:$G$157,MATCH($W224,Calc!$A$2:$A$157,0))</f>
        <v>Nuke</v>
      </c>
      <c r="U224" s="4" t="str">
        <f t="array" ref="U224">TEXT(INDEX(Calc!$J$2:$J$157,MATCH($W224,Calc!$A$2:$A$157,0)),"0.0")</f>
        <v>21.4</v>
      </c>
      <c r="V224" s="4" t="str">
        <f t="array" ref="V224">IFERROR(INDEX(Calc!$AQ$2:$AQ$157,MATCH($W224,Calc!$A$2:$A$157,0)),"")</f>
        <v/>
      </c>
      <c r="W224" s="4" t="s">
        <v>3247</v>
      </c>
      <c r="X224" s="4" t="s">
        <v>3202</v>
      </c>
      <c r="Y224" s="4" t="str">
        <f t="shared" si="4"/>
        <v>r4mf7kxzysimlpj|CS2 · VOCA vs HAVU|K1</v>
      </c>
      <c r="Z224" s="12">
        <f t="array" ref="Z224">IFERROR(INDEX(CHOOSE(MATCH($X224,{"K1","K2","K3","K12","K13","H1","H2","H3","H12","H13"},0),Calc!$BA$2:$BA$157,Calc!$BB$2:$BB$157,Calc!$BC$2:$BC$157,Calc!$BD$2:$BD$157,Calc!$BE$2:$BE$157,Calc!$BF$2:$BF$157,Calc!$BG$2:$BG$157,Calc!$BH$2:$BH$157,Calc!$BI$2:$BI$157,Calc!$BJ$2:$BJ$157),MATCH($W224,Calc!$A$2:$A$157,0)),"")</f>
        <v>12.69894585</v>
      </c>
      <c r="AA224" s="12">
        <f t="array" ref="AA224">IF(Z224="","",IF(LEFT($X224,1)="H",SQRT(Z224*(IFERROR(INDEX(Calc!$AP$2:$AP$157,MATCH($W224,Calc!$A$2:$A$157,0)),0.5)*Config!$B$5+1-IFERROR(INDEX(Calc!$AP$2:$AP$157,MATCH($W224,Calc!$A$2:$A$157,0)),0.5))),SQRT(Z224*Config!$B$5)))</f>
        <v>4.216458726</v>
      </c>
      <c r="AB224" s="11">
        <f t="shared" si="5"/>
        <v>0.5188163758</v>
      </c>
      <c r="AC224" s="11">
        <f t="shared" si="6"/>
        <v>0.3880714668</v>
      </c>
      <c r="AD224" s="4" t="str">
        <f>IF(AB224="","",IF(AB224&gt;=0.5+Config!$B$6,"OVER",IF(AC224&gt;=0.5+Config!$B$6,"UNDER","—")))</f>
        <v>—</v>
      </c>
      <c r="AE224" s="18">
        <f t="shared" si="7"/>
        <v>0.9666990842</v>
      </c>
    </row>
    <row r="225" ht="15.75" customHeight="1">
      <c r="A225" s="4" t="s">
        <v>86</v>
      </c>
      <c r="B225" s="4" t="s">
        <v>1160</v>
      </c>
      <c r="C225" s="4" t="s">
        <v>1418</v>
      </c>
      <c r="D225" s="4" t="s">
        <v>1013</v>
      </c>
      <c r="E225" s="4" t="s">
        <v>2880</v>
      </c>
      <c r="F225" s="4">
        <v>7.5</v>
      </c>
      <c r="G225" s="12">
        <f t="array" ref="G225">IFERROR(INDEX(CHOOSE(MATCH($X225,{"K1","K2","K3","K12","K13","H1","H2","H3","H12","H13"},0),Calc!$V$2:$V$157,Calc!$AC$2:$AC$157,Calc!$AJ$2:$AJ$157,Calc!$AL$2:$AL$157,Calc!$AM$2:$AM$157,Calc!$W$2:$W$157,Calc!$AD$2:$AD$157,Calc!$AK$2:$AK$157,Calc!$AN$2:$AN$157,Calc!$AO$2:$AO$157),MATCH($W225,Calc!$A$2:$A$157,0)),"")</f>
        <v>9.092668683</v>
      </c>
      <c r="H225" s="12">
        <f t="array" ref="H225">IF(G225="","",IF(LEFT($X225,1)="H",SQRT(G225*(IFERROR(INDEX(Calc!$AP$2:$AP$157,MATCH($W225,Calc!$A$2:$A$157,0)),0.5)*Config!$B$5+1-IFERROR(INDEX(Calc!$AP$2:$AP$157,MATCH($W225,Calc!$A$2:$A$157,0)),0.5))),SQRT(G225*Config!$B$5)))</f>
        <v>3.361204197</v>
      </c>
      <c r="I225" s="11">
        <f t="shared" si="1"/>
        <v>0.6821925384</v>
      </c>
      <c r="J225" s="11">
        <f t="shared" si="2"/>
        <v>0.3178074616</v>
      </c>
      <c r="K225" s="11">
        <f t="shared" si="3"/>
        <v>0</v>
      </c>
      <c r="L225" s="4" t="str">
        <f>IF(I225="","",IF(I225&gt;=0.5+Config!$B$6,"OVER",IF(J225&gt;=0.5+Config!$B$6,"UNDER","—")))</f>
        <v>OVER</v>
      </c>
      <c r="N225" s="4">
        <v>9.1</v>
      </c>
      <c r="O225" s="11">
        <v>0.8</v>
      </c>
      <c r="P225" s="11">
        <v>0.8</v>
      </c>
      <c r="Q225" s="11">
        <v>0.73</v>
      </c>
      <c r="R225" s="4" t="s">
        <v>579</v>
      </c>
      <c r="S225" s="4">
        <v>2.0</v>
      </c>
      <c r="T225" s="4" t="str">
        <f t="array" ref="T225">INDEX(Calc!$G$2:$G$157,MATCH($W225,Calc!$A$2:$A$157,0))</f>
        <v>Nuke</v>
      </c>
      <c r="U225" s="4" t="str">
        <f t="array" ref="U225">TEXT(INDEX(Calc!$J$2:$J$157,MATCH($W225,Calc!$A$2:$A$157,0)),"0.0")</f>
        <v>21.4</v>
      </c>
      <c r="V225" s="4" t="str">
        <f t="array" ref="V225">IFERROR(INDEX(Calc!$AQ$2:$AQ$157,MATCH($W225,Calc!$A$2:$A$157,0)),"")</f>
        <v/>
      </c>
      <c r="W225" s="4" t="s">
        <v>3248</v>
      </c>
      <c r="X225" s="4" t="s">
        <v>3201</v>
      </c>
      <c r="Y225" s="4" t="str">
        <f t="shared" si="4"/>
        <v>rw16g75bm7idm2e|CS2 · VOCA vs HAVU|H1</v>
      </c>
      <c r="Z225" s="12">
        <f t="array" ref="Z225">IFERROR(INDEX(CHOOSE(MATCH($X225,{"K1","K2","K3","K12","K13","H1","H2","H3","H12","H13"},0),Calc!$BA$2:$BA$157,Calc!$BB$2:$BB$157,Calc!$BC$2:$BC$157,Calc!$BD$2:$BD$157,Calc!$BE$2:$BE$157,Calc!$BF$2:$BF$157,Calc!$BG$2:$BG$157,Calc!$BH$2:$BH$157,Calc!$BI$2:$BI$157,Calc!$BJ$2:$BJ$157),MATCH($W225,Calc!$A$2:$A$157,0)),"")</f>
        <v>8.789874489</v>
      </c>
      <c r="AA225" s="12">
        <f t="array" ref="AA225">IF(Z225="","",IF(LEFT($X225,1)="H",SQRT(Z225*(IFERROR(INDEX(Calc!$AP$2:$AP$157,MATCH($W225,Calc!$A$2:$A$157,0)),0.5)*Config!$B$5+1-IFERROR(INDEX(Calc!$AP$2:$AP$157,MATCH($W225,Calc!$A$2:$A$157,0)),0.5))),SQRT(Z225*Config!$B$5)))</f>
        <v>3.304764759</v>
      </c>
      <c r="AB225" s="11">
        <f t="shared" si="5"/>
        <v>0.651845413</v>
      </c>
      <c r="AC225" s="11">
        <f t="shared" si="6"/>
        <v>0.348154587</v>
      </c>
      <c r="AD225" s="4" t="str">
        <f>IF(AB225="","",IF(AB225&gt;=0.5+Config!$B$6,"OVER",IF(AC225&gt;=0.5+Config!$B$6,"UNDER","—")))</f>
        <v>OVER</v>
      </c>
      <c r="AE225" s="18">
        <f t="shared" si="7"/>
        <v>0.9666990842</v>
      </c>
    </row>
    <row r="226" ht="15.75" customHeight="1">
      <c r="A226" s="4" t="s">
        <v>86</v>
      </c>
      <c r="B226" s="4" t="s">
        <v>1160</v>
      </c>
      <c r="C226" s="4" t="s">
        <v>1418</v>
      </c>
      <c r="D226" s="4" t="s">
        <v>1013</v>
      </c>
      <c r="E226" s="4" t="s">
        <v>2882</v>
      </c>
      <c r="F226" s="4">
        <v>13.0</v>
      </c>
      <c r="G226" s="12">
        <f t="array" ref="G226">IFERROR(INDEX(CHOOSE(MATCH($X226,{"K1","K2","K3","K12","K13","H1","H2","H3","H12","H13"},0),Calc!$V$2:$V$157,Calc!$AC$2:$AC$157,Calc!$AJ$2:$AJ$157,Calc!$AL$2:$AL$157,Calc!$AM$2:$AM$157,Calc!$W$2:$W$157,Calc!$AD$2:$AD$157,Calc!$AK$2:$AK$157,Calc!$AN$2:$AN$157,Calc!$AO$2:$AO$157),MATCH($W226,Calc!$A$2:$A$157,0)),"")</f>
        <v>15.3614</v>
      </c>
      <c r="H226" s="12">
        <f t="array" ref="H226">IF(G226="","",IF(LEFT($X226,1)="H",SQRT(G226*(IFERROR(INDEX(Calc!$AP$2:$AP$157,MATCH($W226,Calc!$A$2:$A$157,0)),0.5)*Config!$B$5+1-IFERROR(INDEX(Calc!$AP$2:$AP$157,MATCH($W226,Calc!$A$2:$A$157,0)),0.5))),SQRT(G226*Config!$B$5)))</f>
        <v>4.637451887</v>
      </c>
      <c r="I226" s="11">
        <f t="shared" si="1"/>
        <v>0.6559313666</v>
      </c>
      <c r="J226" s="11">
        <f t="shared" si="2"/>
        <v>0.268610807</v>
      </c>
      <c r="K226" s="11">
        <f t="shared" si="3"/>
        <v>0.07545782638</v>
      </c>
      <c r="L226" s="4" t="str">
        <f>IF(I226="","",IF(I226&gt;=0.5+Config!$B$6,"OVER",IF(J226&gt;=0.5+Config!$B$6,"UNDER","—")))</f>
        <v>OVER</v>
      </c>
      <c r="N226" s="4">
        <v>16.0</v>
      </c>
      <c r="O226" s="11">
        <v>0.8</v>
      </c>
      <c r="P226" s="11">
        <v>0.7</v>
      </c>
      <c r="Q226" s="11">
        <v>0.73</v>
      </c>
      <c r="R226" s="4" t="s">
        <v>579</v>
      </c>
      <c r="S226" s="4">
        <v>1.0</v>
      </c>
      <c r="T226" s="4" t="str">
        <f t="array" ref="T226">INDEX(Calc!$G$2:$G$157,MATCH($W226,Calc!$A$2:$A$157,0))</f>
        <v>Nuke</v>
      </c>
      <c r="U226" s="4" t="str">
        <f t="array" ref="U226">TEXT(INDEX(Calc!$J$2:$J$157,MATCH($W226,Calc!$A$2:$A$157,0)),"0.0")</f>
        <v>21.4</v>
      </c>
      <c r="V226" s="4" t="str">
        <f t="array" ref="V226">IFERROR(INDEX(Calc!$AQ$2:$AQ$157,MATCH($W226,Calc!$A$2:$A$157,0)),"")</f>
        <v/>
      </c>
      <c r="W226" s="4" t="s">
        <v>3248</v>
      </c>
      <c r="X226" s="4" t="s">
        <v>3202</v>
      </c>
      <c r="Y226" s="4" t="str">
        <f t="shared" si="4"/>
        <v>rw16g75bm7idm2e|CS2 · VOCA vs HAVU|K1</v>
      </c>
      <c r="Z226" s="12">
        <f t="array" ref="Z226">IFERROR(INDEX(CHOOSE(MATCH($X226,{"K1","K2","K3","K12","K13","H1","H2","H3","H12","H13"},0),Calc!$BA$2:$BA$157,Calc!$BB$2:$BB$157,Calc!$BC$2:$BC$157,Calc!$BD$2:$BD$157,Calc!$BE$2:$BE$157,Calc!$BF$2:$BF$157,Calc!$BG$2:$BG$157,Calc!$BH$2:$BH$157,Calc!$BI$2:$BI$157,Calc!$BJ$2:$BJ$157),MATCH($W226,Calc!$A$2:$A$157,0)),"")</f>
        <v>14.84985131</v>
      </c>
      <c r="AA226" s="12">
        <f t="array" ref="AA226">IF(Z226="","",IF(LEFT($X226,1)="H",SQRT(Z226*(IFERROR(INDEX(Calc!$AP$2:$AP$157,MATCH($W226,Calc!$A$2:$A$157,0)),0.5)*Config!$B$5+1-IFERROR(INDEX(Calc!$AP$2:$AP$157,MATCH($W226,Calc!$A$2:$A$157,0)),0.5))),SQRT(Z226*Config!$B$5)))</f>
        <v>4.559582419</v>
      </c>
      <c r="AB226" s="11">
        <f t="shared" si="5"/>
        <v>0.6164029573</v>
      </c>
      <c r="AC226" s="11">
        <f t="shared" si="6"/>
        <v>0.3031488304</v>
      </c>
      <c r="AD226" s="4" t="str">
        <f>IF(AB226="","",IF(AB226&gt;=0.5+Config!$B$6,"OVER",IF(AC226&gt;=0.5+Config!$B$6,"UNDER","—")))</f>
        <v>OVER</v>
      </c>
      <c r="AE226" s="18">
        <f t="shared" si="7"/>
        <v>0.9666990842</v>
      </c>
    </row>
    <row r="227" ht="15.75" customHeight="1">
      <c r="A227" s="4" t="s">
        <v>86</v>
      </c>
      <c r="B227" s="4" t="s">
        <v>1160</v>
      </c>
      <c r="C227" s="4" t="s">
        <v>1548</v>
      </c>
      <c r="D227" s="4" t="s">
        <v>856</v>
      </c>
      <c r="E227" s="4" t="s">
        <v>2880</v>
      </c>
      <c r="F227" s="4">
        <v>8.0</v>
      </c>
      <c r="G227" s="12">
        <f t="array" ref="G227">IFERROR(INDEX(CHOOSE(MATCH($X227,{"K1","K2","K3","K12","K13","H1","H2","H3","H12","H13"},0),Calc!$V$2:$V$157,Calc!$AC$2:$AC$157,Calc!$AJ$2:$AJ$157,Calc!$AL$2:$AL$157,Calc!$AM$2:$AM$157,Calc!$W$2:$W$157,Calc!$AD$2:$AD$157,Calc!$AK$2:$AK$157,Calc!$AN$2:$AN$157,Calc!$AO$2:$AO$157),MATCH($W227,Calc!$A$2:$A$157,0)),"")</f>
        <v>8.370183</v>
      </c>
      <c r="H227" s="12">
        <f t="array" ref="H227">IF(G227="","",IF(LEFT($X227,1)="H",SQRT(G227*(IFERROR(INDEX(Calc!$AP$2:$AP$157,MATCH($W227,Calc!$A$2:$A$157,0)),0.5)*Config!$B$5+1-IFERROR(INDEX(Calc!$AP$2:$AP$157,MATCH($W227,Calc!$A$2:$A$157,0)),0.5))),SQRT(G227*Config!$B$5)))</f>
        <v>3.173929229</v>
      </c>
      <c r="I227" s="11">
        <f t="shared" si="1"/>
        <v>0.483687395</v>
      </c>
      <c r="J227" s="11">
        <f t="shared" si="2"/>
        <v>0.3919785859</v>
      </c>
      <c r="K227" s="11">
        <f t="shared" si="3"/>
        <v>0.1243340191</v>
      </c>
      <c r="L227" s="4" t="str">
        <f>IF(I227="","",IF(I227&gt;=0.5+Config!$B$6,"OVER",IF(J227&gt;=0.5+Config!$B$6,"UNDER","—")))</f>
        <v>—</v>
      </c>
      <c r="N227" s="4">
        <v>8.2</v>
      </c>
      <c r="O227" s="11">
        <v>0.6</v>
      </c>
      <c r="P227" s="11">
        <v>0.5</v>
      </c>
      <c r="Q227" s="11">
        <v>0.67</v>
      </c>
      <c r="R227" s="4" t="s">
        <v>579</v>
      </c>
      <c r="S227" s="4">
        <v>3.0</v>
      </c>
      <c r="T227" s="4" t="str">
        <f t="array" ref="T227">INDEX(Calc!$G$2:$G$157,MATCH($W227,Calc!$A$2:$A$157,0))</f>
        <v>Nuke</v>
      </c>
      <c r="U227" s="4" t="str">
        <f t="array" ref="U227">TEXT(INDEX(Calc!$J$2:$J$157,MATCH($W227,Calc!$A$2:$A$157,0)),"0.0")</f>
        <v>21.4</v>
      </c>
      <c r="V227" s="4" t="str">
        <f t="array" ref="V227">IFERROR(INDEX(Calc!$AQ$2:$AQ$157,MATCH($W227,Calc!$A$2:$A$157,0)),"")</f>
        <v/>
      </c>
      <c r="W227" s="4" t="s">
        <v>3249</v>
      </c>
      <c r="X227" s="4" t="s">
        <v>3201</v>
      </c>
      <c r="Y227" s="4" t="str">
        <f t="shared" si="4"/>
        <v>al57ba5j0f51eq6|CS2 · VOCA vs HAVU|H1</v>
      </c>
      <c r="Z227" s="12">
        <f t="array" ref="Z227">IFERROR(INDEX(CHOOSE(MATCH($X227,{"K1","K2","K3","K12","K13","H1","H2","H3","H12","H13"},0),Calc!$BA$2:$BA$157,Calc!$BB$2:$BB$157,Calc!$BC$2:$BC$157,Calc!$BD$2:$BD$157,Calc!$BE$2:$BE$157,Calc!$BF$2:$BF$157,Calc!$BG$2:$BG$157,Calc!$BH$2:$BH$157,Calc!$BI$2:$BI$157,Calc!$BJ$2:$BJ$157),MATCH($W227,Calc!$A$2:$A$157,0)),"")</f>
        <v>8.289065167</v>
      </c>
      <c r="AA227" s="12">
        <f t="array" ref="AA227">IF(Z227="","",IF(LEFT($X227,1)="H",SQRT(Z227*(IFERROR(INDEX(Calc!$AP$2:$AP$157,MATCH($W227,Calc!$A$2:$A$157,0)),0.5)*Config!$B$5+1-IFERROR(INDEX(Calc!$AP$2:$AP$157,MATCH($W227,Calc!$A$2:$A$157,0)),0.5))),SQRT(Z227*Config!$B$5)))</f>
        <v>3.158512058</v>
      </c>
      <c r="AB227" s="11">
        <f t="shared" si="5"/>
        <v>0.4733772384</v>
      </c>
      <c r="AC227" s="11">
        <f t="shared" si="6"/>
        <v>0.4013625802</v>
      </c>
      <c r="AD227" s="4" t="str">
        <f>IF(AB227="","",IF(AB227&gt;=0.5+Config!$B$6,"OVER",IF(AC227&gt;=0.5+Config!$B$6,"UNDER","—")))</f>
        <v>—</v>
      </c>
      <c r="AE227" s="18">
        <f t="shared" si="7"/>
        <v>0.9903087145</v>
      </c>
    </row>
    <row r="228" ht="15.75" customHeight="1">
      <c r="A228" s="4" t="s">
        <v>86</v>
      </c>
      <c r="B228" s="4" t="s">
        <v>1160</v>
      </c>
      <c r="C228" s="4" t="s">
        <v>1548</v>
      </c>
      <c r="D228" s="4" t="s">
        <v>856</v>
      </c>
      <c r="E228" s="4" t="s">
        <v>2882</v>
      </c>
      <c r="F228" s="4">
        <v>15.5</v>
      </c>
      <c r="G228" s="12">
        <f t="array" ref="G228">IFERROR(INDEX(CHOOSE(MATCH($X228,{"K1","K2","K3","K12","K13","H1","H2","H3","H12","H13"},0),Calc!$V$2:$V$157,Calc!$AC$2:$AC$157,Calc!$AJ$2:$AJ$157,Calc!$AL$2:$AL$157,Calc!$AM$2:$AM$157,Calc!$W$2:$W$157,Calc!$AD$2:$AD$157,Calc!$AK$2:$AK$157,Calc!$AN$2:$AN$157,Calc!$AO$2:$AO$157),MATCH($W228,Calc!$A$2:$A$157,0)),"")</f>
        <v>15.486</v>
      </c>
      <c r="H228" s="12">
        <f t="array" ref="H228">IF(G228="","",IF(LEFT($X228,1)="H",SQRT(G228*(IFERROR(INDEX(Calc!$AP$2:$AP$157,MATCH($W228,Calc!$A$2:$A$157,0)),0.5)*Config!$B$5+1-IFERROR(INDEX(Calc!$AP$2:$AP$157,MATCH($W228,Calc!$A$2:$A$157,0)),0.5))),SQRT(G228*Config!$B$5)))</f>
        <v>4.656221644</v>
      </c>
      <c r="I228" s="11">
        <f t="shared" si="1"/>
        <v>0.4988004902</v>
      </c>
      <c r="J228" s="11">
        <f t="shared" si="2"/>
        <v>0.5011995098</v>
      </c>
      <c r="K228" s="11">
        <f t="shared" si="3"/>
        <v>0</v>
      </c>
      <c r="L228" s="4" t="str">
        <f>IF(I228="","",IF(I228&gt;=0.5+Config!$B$6,"OVER",IF(J228&gt;=0.5+Config!$B$6,"UNDER","—")))</f>
        <v>—</v>
      </c>
      <c r="N228" s="4">
        <v>17.0</v>
      </c>
      <c r="O228" s="11">
        <v>0.4</v>
      </c>
      <c r="P228" s="11">
        <v>0.4</v>
      </c>
      <c r="Q228" s="11">
        <v>0.47</v>
      </c>
      <c r="R228" s="4" t="s">
        <v>579</v>
      </c>
      <c r="S228" s="4">
        <v>-1.0</v>
      </c>
      <c r="T228" s="4" t="str">
        <f t="array" ref="T228">INDEX(Calc!$G$2:$G$157,MATCH($W228,Calc!$A$2:$A$157,0))</f>
        <v>Nuke</v>
      </c>
      <c r="U228" s="4" t="str">
        <f t="array" ref="U228">TEXT(INDEX(Calc!$J$2:$J$157,MATCH($W228,Calc!$A$2:$A$157,0)),"0.0")</f>
        <v>21.4</v>
      </c>
      <c r="V228" s="4" t="str">
        <f t="array" ref="V228">IFERROR(INDEX(Calc!$AQ$2:$AQ$157,MATCH($W228,Calc!$A$2:$A$157,0)),"")</f>
        <v/>
      </c>
      <c r="W228" s="4" t="s">
        <v>3249</v>
      </c>
      <c r="X228" s="4" t="s">
        <v>3202</v>
      </c>
      <c r="Y228" s="4" t="str">
        <f t="shared" si="4"/>
        <v>al57ba5j0f51eq6|CS2 · VOCA vs HAVU|K1</v>
      </c>
      <c r="Z228" s="12">
        <f t="array" ref="Z228">IFERROR(INDEX(CHOOSE(MATCH($X228,{"K1","K2","K3","K12","K13","H1","H2","H3","H12","H13"},0),Calc!$BA$2:$BA$157,Calc!$BB$2:$BB$157,Calc!$BC$2:$BC$157,Calc!$BD$2:$BD$157,Calc!$BE$2:$BE$157,Calc!$BF$2:$BF$157,Calc!$BG$2:$BG$157,Calc!$BH$2:$BH$157,Calc!$BI$2:$BI$157,Calc!$BJ$2:$BJ$157),MATCH($W228,Calc!$A$2:$A$157,0)),"")</f>
        <v>15.33592075</v>
      </c>
      <c r="AA228" s="12">
        <f t="array" ref="AA228">IF(Z228="","",IF(LEFT($X228,1)="H",SQRT(Z228*(IFERROR(INDEX(Calc!$AP$2:$AP$157,MATCH($W228,Calc!$A$2:$A$157,0)),0.5)*Config!$B$5+1-IFERROR(INDEX(Calc!$AP$2:$AP$157,MATCH($W228,Calc!$A$2:$A$157,0)),0.5))),SQRT(Z228*Config!$B$5)))</f>
        <v>4.633604326</v>
      </c>
      <c r="AB228" s="11">
        <f t="shared" si="5"/>
        <v>0.48587612</v>
      </c>
      <c r="AC228" s="11">
        <f t="shared" si="6"/>
        <v>0.51412388</v>
      </c>
      <c r="AD228" s="4" t="str">
        <f>IF(AB228="","",IF(AB228&gt;=0.5+Config!$B$6,"OVER",IF(AC228&gt;=0.5+Config!$B$6,"UNDER","—")))</f>
        <v>—</v>
      </c>
      <c r="AE228" s="18">
        <f t="shared" si="7"/>
        <v>0.9903087145</v>
      </c>
    </row>
    <row r="229" ht="15.75" customHeight="1">
      <c r="A229" s="4" t="s">
        <v>86</v>
      </c>
      <c r="B229" s="4" t="s">
        <v>1160</v>
      </c>
      <c r="C229" s="4" t="s">
        <v>1552</v>
      </c>
      <c r="D229" s="4" t="s">
        <v>856</v>
      </c>
      <c r="E229" s="4" t="s">
        <v>2882</v>
      </c>
      <c r="F229" s="4">
        <v>15.5</v>
      </c>
      <c r="G229" s="12">
        <f t="array" ref="G229">IFERROR(INDEX(CHOOSE(MATCH($X229,{"K1","K2","K3","K12","K13","H1","H2","H3","H12","H13"},0),Calc!$V$2:$V$157,Calc!$AC$2:$AC$157,Calc!$AJ$2:$AJ$157,Calc!$AL$2:$AL$157,Calc!$AM$2:$AM$157,Calc!$W$2:$W$157,Calc!$AD$2:$AD$157,Calc!$AK$2:$AK$157,Calc!$AN$2:$AN$157,Calc!$AO$2:$AO$157),MATCH($W229,Calc!$A$2:$A$157,0)),"")</f>
        <v>16.1268</v>
      </c>
      <c r="H229" s="12">
        <f t="array" ref="H229">IF(G229="","",IF(LEFT($X229,1)="H",SQRT(G229*(IFERROR(INDEX(Calc!$AP$2:$AP$157,MATCH($W229,Calc!$A$2:$A$157,0)),0.5)*Config!$B$5+1-IFERROR(INDEX(Calc!$AP$2:$AP$157,MATCH($W229,Calc!$A$2:$A$157,0)),0.5))),SQRT(G229*Config!$B$5)))</f>
        <v>4.75158079</v>
      </c>
      <c r="I229" s="11">
        <f t="shared" si="1"/>
        <v>0.5524738401</v>
      </c>
      <c r="J229" s="11">
        <f t="shared" si="2"/>
        <v>0.4475261599</v>
      </c>
      <c r="K229" s="11">
        <f t="shared" si="3"/>
        <v>0</v>
      </c>
      <c r="L229" s="4" t="str">
        <f>IF(I229="","",IF(I229&gt;=0.5+Config!$B$6,"OVER",IF(J229&gt;=0.5+Config!$B$6,"UNDER","—")))</f>
        <v>OVER</v>
      </c>
      <c r="N229" s="4">
        <v>15.8</v>
      </c>
      <c r="O229" s="11">
        <v>0.4</v>
      </c>
      <c r="P229" s="11">
        <v>0.4</v>
      </c>
      <c r="Q229" s="11">
        <v>0.6</v>
      </c>
      <c r="R229" s="4" t="s">
        <v>579</v>
      </c>
      <c r="S229" s="4">
        <v>1.0</v>
      </c>
      <c r="T229" s="4" t="str">
        <f t="array" ref="T229">INDEX(Calc!$G$2:$G$157,MATCH($W229,Calc!$A$2:$A$157,0))</f>
        <v>Nuke</v>
      </c>
      <c r="U229" s="4" t="str">
        <f t="array" ref="U229">TEXT(INDEX(Calc!$J$2:$J$157,MATCH($W229,Calc!$A$2:$A$157,0)),"0.0")</f>
        <v>21.4</v>
      </c>
      <c r="V229" s="4" t="str">
        <f t="array" ref="V229">IFERROR(INDEX(Calc!$AQ$2:$AQ$157,MATCH($W229,Calc!$A$2:$A$157,0)),"")</f>
        <v/>
      </c>
      <c r="W229" s="4" t="s">
        <v>3250</v>
      </c>
      <c r="X229" s="4" t="s">
        <v>3202</v>
      </c>
      <c r="Y229" s="4" t="str">
        <f t="shared" si="4"/>
        <v>bf5itcax7wycz9n|CS2 · VOCA vs HAVU|K1</v>
      </c>
      <c r="Z229" s="12">
        <f t="array" ref="Z229">IFERROR(INDEX(CHOOSE(MATCH($X229,{"K1","K2","K3","K12","K13","H1","H2","H3","H12","H13"},0),Calc!$BA$2:$BA$157,Calc!$BB$2:$BB$157,Calc!$BC$2:$BC$157,Calc!$BD$2:$BD$157,Calc!$BE$2:$BE$157,Calc!$BF$2:$BF$157,Calc!$BG$2:$BG$157,Calc!$BH$2:$BH$157,Calc!$BI$2:$BI$157,Calc!$BJ$2:$BJ$157),MATCH($W229,Calc!$A$2:$A$157,0)),"")</f>
        <v>15.97051058</v>
      </c>
      <c r="AA229" s="12">
        <f t="array" ref="AA229">IF(Z229="","",IF(LEFT($X229,1)="H",SQRT(Z229*(IFERROR(INDEX(Calc!$AP$2:$AP$157,MATCH($W229,Calc!$A$2:$A$157,0)),0.5)*Config!$B$5+1-IFERROR(INDEX(Calc!$AP$2:$AP$157,MATCH($W229,Calc!$A$2:$A$157,0)),0.5))),SQRT(Z229*Config!$B$5)))</f>
        <v>4.728500271</v>
      </c>
      <c r="AB229" s="11">
        <f t="shared" si="5"/>
        <v>0.5396314381</v>
      </c>
      <c r="AC229" s="11">
        <f t="shared" si="6"/>
        <v>0.4603685619</v>
      </c>
      <c r="AD229" s="4" t="str">
        <f>IF(AB229="","",IF(AB229&gt;=0.5+Config!$B$6,"OVER",IF(AC229&gt;=0.5+Config!$B$6,"UNDER","—")))</f>
        <v>—</v>
      </c>
      <c r="AE229" s="18">
        <f t="shared" si="7"/>
        <v>0.9903087145</v>
      </c>
    </row>
    <row r="230" ht="15.75" customHeight="1">
      <c r="A230" s="4" t="s">
        <v>86</v>
      </c>
      <c r="B230" s="4" t="s">
        <v>1160</v>
      </c>
      <c r="C230" s="4" t="s">
        <v>1555</v>
      </c>
      <c r="D230" s="4" t="s">
        <v>856</v>
      </c>
      <c r="E230" s="4" t="s">
        <v>2880</v>
      </c>
      <c r="F230" s="4">
        <v>8.5</v>
      </c>
      <c r="G230" s="12">
        <f t="array" ref="G230">IFERROR(INDEX(CHOOSE(MATCH($X230,{"K1","K2","K3","K12","K13","H1","H2","H3","H12","H13"},0),Calc!$V$2:$V$157,Calc!$AC$2:$AC$157,Calc!$AJ$2:$AJ$157,Calc!$AL$2:$AL$157,Calc!$AM$2:$AM$157,Calc!$W$2:$W$157,Calc!$AD$2:$AD$157,Calc!$AK$2:$AK$157,Calc!$AN$2:$AN$157,Calc!$AO$2:$AO$157),MATCH($W230,Calc!$A$2:$A$157,0)),"")</f>
        <v>9.053436</v>
      </c>
      <c r="H230" s="12">
        <f t="array" ref="H230">IF(G230="","",IF(LEFT($X230,1)="H",SQRT(G230*(IFERROR(INDEX(Calc!$AP$2:$AP$157,MATCH($W230,Calc!$A$2:$A$157,0)),0.5)*Config!$B$5+1-IFERROR(INDEX(Calc!$AP$2:$AP$157,MATCH($W230,Calc!$A$2:$A$157,0)),0.5))),SQRT(G230*Config!$B$5)))</f>
        <v>3.355831496</v>
      </c>
      <c r="I230" s="11">
        <f t="shared" si="1"/>
        <v>0.5654956183</v>
      </c>
      <c r="J230" s="11">
        <f t="shared" si="2"/>
        <v>0.4345043817</v>
      </c>
      <c r="K230" s="11">
        <f t="shared" si="3"/>
        <v>0</v>
      </c>
      <c r="L230" s="4" t="str">
        <f>IF(I230="","",IF(I230&gt;=0.5+Config!$B$6,"OVER",IF(J230&gt;=0.5+Config!$B$6,"UNDER","—")))</f>
        <v>OVER</v>
      </c>
      <c r="N230" s="4">
        <v>8.3</v>
      </c>
      <c r="O230" s="11">
        <v>0.2</v>
      </c>
      <c r="P230" s="11">
        <v>0.5</v>
      </c>
      <c r="Q230" s="11">
        <v>0.53</v>
      </c>
      <c r="R230" s="4" t="s">
        <v>579</v>
      </c>
      <c r="S230" s="4">
        <v>1.0</v>
      </c>
      <c r="T230" s="4" t="str">
        <f t="array" ref="T230">INDEX(Calc!$G$2:$G$157,MATCH($W230,Calc!$A$2:$A$157,0))</f>
        <v>Nuke</v>
      </c>
      <c r="U230" s="4" t="str">
        <f t="array" ref="U230">TEXT(INDEX(Calc!$J$2:$J$157,MATCH($W230,Calc!$A$2:$A$157,0)),"0.0")</f>
        <v>21.4</v>
      </c>
      <c r="V230" s="4" t="str">
        <f t="array" ref="V230">IFERROR(INDEX(Calc!$AQ$2:$AQ$157,MATCH($W230,Calc!$A$2:$A$157,0)),"")</f>
        <v/>
      </c>
      <c r="W230" s="4" t="s">
        <v>3251</v>
      </c>
      <c r="X230" s="4" t="s">
        <v>3201</v>
      </c>
      <c r="Y230" s="4" t="str">
        <f t="shared" si="4"/>
        <v>30mdsslkk2b2chl|CS2 · VOCA vs HAVU|H1</v>
      </c>
      <c r="Z230" s="12">
        <f t="array" ref="Z230">IFERROR(INDEX(CHOOSE(MATCH($X230,{"K1","K2","K3","K12","K13","H1","H2","H3","H12","H13"},0),Calc!$BA$2:$BA$157,Calc!$BB$2:$BB$157,Calc!$BC$2:$BC$157,Calc!$BD$2:$BD$157,Calc!$BE$2:$BE$157,Calc!$BF$2:$BF$157,Calc!$BG$2:$BG$157,Calc!$BH$2:$BH$157,Calc!$BI$2:$BI$157,Calc!$BJ$2:$BJ$157),MATCH($W230,Calc!$A$2:$A$157,0)),"")</f>
        <v>8.965696567</v>
      </c>
      <c r="AA230" s="12">
        <f t="array" ref="AA230">IF(Z230="","",IF(LEFT($X230,1)="H",SQRT(Z230*(IFERROR(INDEX(Calc!$AP$2:$AP$157,MATCH($W230,Calc!$A$2:$A$157,0)),0.5)*Config!$B$5+1-IFERROR(INDEX(Calc!$AP$2:$AP$157,MATCH($W230,Calc!$A$2:$A$157,0)),0.5))),SQRT(Z230*Config!$B$5)))</f>
        <v>3.339530745</v>
      </c>
      <c r="AB230" s="11">
        <f t="shared" si="5"/>
        <v>0.5554526002</v>
      </c>
      <c r="AC230" s="11">
        <f t="shared" si="6"/>
        <v>0.4445473998</v>
      </c>
      <c r="AD230" s="4" t="str">
        <f>IF(AB230="","",IF(AB230&gt;=0.5+Config!$B$6,"OVER",IF(AC230&gt;=0.5+Config!$B$6,"UNDER","—")))</f>
        <v>OVER</v>
      </c>
      <c r="AE230" s="18">
        <f t="shared" si="7"/>
        <v>0.9903087145</v>
      </c>
    </row>
    <row r="231" ht="15.75" customHeight="1">
      <c r="A231" s="4" t="s">
        <v>86</v>
      </c>
      <c r="B231" s="4" t="s">
        <v>1160</v>
      </c>
      <c r="C231" s="4" t="s">
        <v>1555</v>
      </c>
      <c r="D231" s="4" t="s">
        <v>856</v>
      </c>
      <c r="E231" s="4" t="s">
        <v>2882</v>
      </c>
      <c r="F231" s="4">
        <v>15.5</v>
      </c>
      <c r="G231" s="12">
        <f t="array" ref="G231">IFERROR(INDEX(CHOOSE(MATCH($X231,{"K1","K2","K3","K12","K13","H1","H2","H3","H12","H13"},0),Calc!$V$2:$V$157,Calc!$AC$2:$AC$157,Calc!$AJ$2:$AJ$157,Calc!$AL$2:$AL$157,Calc!$AM$2:$AM$157,Calc!$W$2:$W$157,Calc!$AD$2:$AD$157,Calc!$AK$2:$AK$157,Calc!$AN$2:$AN$157,Calc!$AO$2:$AO$157),MATCH($W231,Calc!$A$2:$A$157,0)),"")</f>
        <v>14.952</v>
      </c>
      <c r="H231" s="12">
        <f t="array" ref="H231">IF(G231="","",IF(LEFT($X231,1)="H",SQRT(G231*(IFERROR(INDEX(Calc!$AP$2:$AP$157,MATCH($W231,Calc!$A$2:$A$157,0)),0.5)*Config!$B$5+1-IFERROR(INDEX(Calc!$AP$2:$AP$157,MATCH($W231,Calc!$A$2:$A$157,0)),0.5))),SQRT(G231*Config!$B$5)))</f>
        <v>4.575237699</v>
      </c>
      <c r="I231" s="11">
        <f t="shared" si="1"/>
        <v>0.4523306149</v>
      </c>
      <c r="J231" s="11">
        <f t="shared" si="2"/>
        <v>0.5476693851</v>
      </c>
      <c r="K231" s="11">
        <f t="shared" si="3"/>
        <v>0</v>
      </c>
      <c r="L231" s="4" t="str">
        <f>IF(I231="","",IF(I231&gt;=0.5+Config!$B$6,"OVER",IF(J231&gt;=0.5+Config!$B$6,"UNDER","—")))</f>
        <v>UNDER</v>
      </c>
      <c r="N231" s="4">
        <v>15.3</v>
      </c>
      <c r="O231" s="11">
        <v>0.2</v>
      </c>
      <c r="P231" s="11">
        <v>0.5</v>
      </c>
      <c r="Q231" s="11">
        <v>0.6</v>
      </c>
      <c r="R231" s="4" t="s">
        <v>579</v>
      </c>
      <c r="S231" s="4">
        <v>-1.0</v>
      </c>
      <c r="T231" s="4" t="str">
        <f t="array" ref="T231">INDEX(Calc!$G$2:$G$157,MATCH($W231,Calc!$A$2:$A$157,0))</f>
        <v>Nuke</v>
      </c>
      <c r="U231" s="4" t="str">
        <f t="array" ref="U231">TEXT(INDEX(Calc!$J$2:$J$157,MATCH($W231,Calc!$A$2:$A$157,0)),"0.0")</f>
        <v>21.4</v>
      </c>
      <c r="V231" s="4" t="str">
        <f t="array" ref="V231">IFERROR(INDEX(Calc!$AQ$2:$AQ$157,MATCH($W231,Calc!$A$2:$A$157,0)),"")</f>
        <v/>
      </c>
      <c r="W231" s="4" t="s">
        <v>3251</v>
      </c>
      <c r="X231" s="4" t="s">
        <v>3202</v>
      </c>
      <c r="Y231" s="4" t="str">
        <f t="shared" si="4"/>
        <v>30mdsslkk2b2chl|CS2 · VOCA vs HAVU|K1</v>
      </c>
      <c r="Z231" s="12">
        <f t="array" ref="Z231">IFERROR(INDEX(CHOOSE(MATCH($X231,{"K1","K2","K3","K12","K13","H1","H2","H3","H12","H13"},0),Calc!$BA$2:$BA$157,Calc!$BB$2:$BB$157,Calc!$BC$2:$BC$157,Calc!$BD$2:$BD$157,Calc!$BE$2:$BE$157,Calc!$BF$2:$BF$157,Calc!$BG$2:$BG$157,Calc!$BH$2:$BH$157,Calc!$BI$2:$BI$157,Calc!$BJ$2:$BJ$157),MATCH($W231,Calc!$A$2:$A$157,0)),"")</f>
        <v>14.8070959</v>
      </c>
      <c r="AA231" s="12">
        <f t="array" ref="AA231">IF(Z231="","",IF(LEFT($X231,1)="H",SQRT(Z231*(IFERROR(INDEX(Calc!$AP$2:$AP$157,MATCH($W231,Calc!$A$2:$A$157,0)),0.5)*Config!$B$5+1-IFERROR(INDEX(Calc!$AP$2:$AP$157,MATCH($W231,Calc!$A$2:$A$157,0)),0.5))),SQRT(Z231*Config!$B$5)))</f>
        <v>4.553013756</v>
      </c>
      <c r="AB231" s="11">
        <f t="shared" si="5"/>
        <v>0.4395201916</v>
      </c>
      <c r="AC231" s="11">
        <f t="shared" si="6"/>
        <v>0.5604798084</v>
      </c>
      <c r="AD231" s="4" t="str">
        <f>IF(AB231="","",IF(AB231&gt;=0.5+Config!$B$6,"OVER",IF(AC231&gt;=0.5+Config!$B$6,"UNDER","—")))</f>
        <v>UNDER</v>
      </c>
      <c r="AE231" s="18">
        <f t="shared" si="7"/>
        <v>0.9903087145</v>
      </c>
    </row>
    <row r="232" ht="15.75" customHeight="1">
      <c r="A232" s="4" t="s">
        <v>86</v>
      </c>
      <c r="B232" s="4" t="s">
        <v>1160</v>
      </c>
      <c r="C232" s="4" t="s">
        <v>1558</v>
      </c>
      <c r="D232" s="4" t="s">
        <v>856</v>
      </c>
      <c r="E232" s="4" t="s">
        <v>2880</v>
      </c>
      <c r="F232" s="4">
        <v>6.5</v>
      </c>
      <c r="G232" s="12">
        <f t="array" ref="G232">IFERROR(INDEX(CHOOSE(MATCH($X232,{"K1","K2","K3","K12","K13","H1","H2","H3","H12","H13"},0),Calc!$V$2:$V$157,Calc!$AC$2:$AC$157,Calc!$AJ$2:$AJ$157,Calc!$AL$2:$AL$157,Calc!$AM$2:$AM$157,Calc!$W$2:$W$157,Calc!$AD$2:$AD$157,Calc!$AK$2:$AK$157,Calc!$AN$2:$AN$157,Calc!$AO$2:$AO$157),MATCH($W232,Calc!$A$2:$A$157,0)),"")</f>
        <v>6.4414818</v>
      </c>
      <c r="H232" s="12">
        <f t="array" ref="H232">IF(G232="","",IF(LEFT($X232,1)="H",SQRT(G232*(IFERROR(INDEX(Calc!$AP$2:$AP$157,MATCH($W232,Calc!$A$2:$A$157,0)),0.5)*Config!$B$5+1-IFERROR(INDEX(Calc!$AP$2:$AP$157,MATCH($W232,Calc!$A$2:$A$157,0)),0.5))),SQRT(G232*Config!$B$5)))</f>
        <v>2.791902841</v>
      </c>
      <c r="I232" s="11">
        <f t="shared" si="1"/>
        <v>0.491638794</v>
      </c>
      <c r="J232" s="11">
        <f t="shared" si="2"/>
        <v>0.508361206</v>
      </c>
      <c r="K232" s="11">
        <f t="shared" si="3"/>
        <v>0</v>
      </c>
      <c r="L232" s="4" t="str">
        <f>IF(I232="","",IF(I232&gt;=0.5+Config!$B$6,"OVER",IF(J232&gt;=0.5+Config!$B$6,"UNDER","—")))</f>
        <v>—</v>
      </c>
      <c r="N232" s="4">
        <v>6.6</v>
      </c>
      <c r="O232" s="11">
        <v>0.4</v>
      </c>
      <c r="P232" s="11">
        <v>0.4</v>
      </c>
      <c r="Q232" s="11">
        <v>0.53</v>
      </c>
      <c r="R232" s="4" t="s">
        <v>579</v>
      </c>
      <c r="S232" s="4">
        <v>-1.0</v>
      </c>
      <c r="T232" s="4" t="str">
        <f t="array" ref="T232">INDEX(Calc!$G$2:$G$157,MATCH($W232,Calc!$A$2:$A$157,0))</f>
        <v>Nuke</v>
      </c>
      <c r="U232" s="4" t="str">
        <f t="array" ref="U232">TEXT(INDEX(Calc!$J$2:$J$157,MATCH($W232,Calc!$A$2:$A$157,0)),"0.0")</f>
        <v>21.4</v>
      </c>
      <c r="V232" s="4" t="str">
        <f t="array" ref="V232">IFERROR(INDEX(Calc!$AQ$2:$AQ$157,MATCH($W232,Calc!$A$2:$A$157,0)),"")</f>
        <v/>
      </c>
      <c r="W232" s="4" t="s">
        <v>3252</v>
      </c>
      <c r="X232" s="4" t="s">
        <v>3201</v>
      </c>
      <c r="Y232" s="4" t="str">
        <f t="shared" si="4"/>
        <v>inq1aslhosl5opp|CS2 · VOCA vs HAVU|H1</v>
      </c>
      <c r="Z232" s="12">
        <f t="array" ref="Z232">IFERROR(INDEX(CHOOSE(MATCH($X232,{"K1","K2","K3","K12","K13","H1","H2","H3","H12","H13"},0),Calc!$BA$2:$BA$157,Calc!$BB$2:$BB$157,Calc!$BC$2:$BC$157,Calc!$BD$2:$BD$157,Calc!$BE$2:$BE$157,Calc!$BF$2:$BF$157,Calc!$BG$2:$BG$157,Calc!$BH$2:$BH$157,Calc!$BI$2:$BI$157,Calc!$BJ$2:$BJ$157),MATCH($W232,Calc!$A$2:$A$157,0)),"")</f>
        <v>6.379055561</v>
      </c>
      <c r="AA232" s="12">
        <f t="array" ref="AA232">IF(Z232="","",IF(LEFT($X232,1)="H",SQRT(Z232*(IFERROR(INDEX(Calc!$AP$2:$AP$157,MATCH($W232,Calc!$A$2:$A$157,0)),0.5)*Config!$B$5+1-IFERROR(INDEX(Calc!$AP$2:$AP$157,MATCH($W232,Calc!$A$2:$A$157,0)),0.5))),SQRT(Z232*Config!$B$5)))</f>
        <v>2.77834134</v>
      </c>
      <c r="AB232" s="11">
        <f t="shared" si="5"/>
        <v>0.4826390605</v>
      </c>
      <c r="AC232" s="11">
        <f t="shared" si="6"/>
        <v>0.5173609395</v>
      </c>
      <c r="AD232" s="4" t="str">
        <f>IF(AB232="","",IF(AB232&gt;=0.5+Config!$B$6,"OVER",IF(AC232&gt;=0.5+Config!$B$6,"UNDER","—")))</f>
        <v>—</v>
      </c>
      <c r="AE232" s="18">
        <f t="shared" si="7"/>
        <v>0.9903087145</v>
      </c>
    </row>
    <row r="233" ht="15.75" customHeight="1">
      <c r="A233" s="4" t="s">
        <v>86</v>
      </c>
      <c r="B233" s="4" t="s">
        <v>1160</v>
      </c>
      <c r="C233" s="4" t="s">
        <v>1558</v>
      </c>
      <c r="D233" s="4" t="s">
        <v>856</v>
      </c>
      <c r="E233" s="4" t="s">
        <v>2882</v>
      </c>
      <c r="F233" s="4">
        <v>14.0</v>
      </c>
      <c r="G233" s="12">
        <f t="array" ref="G233">IFERROR(INDEX(CHOOSE(MATCH($X233,{"K1","K2","K3","K12","K13","H1","H2","H3","H12","H13"},0),Calc!$V$2:$V$157,Calc!$AC$2:$AC$157,Calc!$AJ$2:$AJ$157,Calc!$AL$2:$AL$157,Calc!$AM$2:$AM$157,Calc!$W$2:$W$157,Calc!$AD$2:$AD$157,Calc!$AK$2:$AK$157,Calc!$AN$2:$AN$157,Calc!$AO$2:$AO$157),MATCH($W233,Calc!$A$2:$A$157,0)),"")</f>
        <v>12.4956</v>
      </c>
      <c r="H233" s="12">
        <f t="array" ref="H233">IF(G233="","",IF(LEFT($X233,1)="H",SQRT(G233*(IFERROR(INDEX(Calc!$AP$2:$AP$157,MATCH($W233,Calc!$A$2:$A$157,0)),0.5)*Config!$B$5+1-IFERROR(INDEX(Calc!$AP$2:$AP$157,MATCH($W233,Calc!$A$2:$A$157,0)),0.5))),SQRT(G233*Config!$B$5)))</f>
        <v>4.182563807</v>
      </c>
      <c r="I233" s="11">
        <f t="shared" si="1"/>
        <v>0.315888362</v>
      </c>
      <c r="J233" s="11">
        <f t="shared" si="2"/>
        <v>0.5948890562</v>
      </c>
      <c r="K233" s="11">
        <f t="shared" si="3"/>
        <v>0.08922258174</v>
      </c>
      <c r="L233" s="4" t="str">
        <f>IF(I233="","",IF(I233&gt;=0.5+Config!$B$6,"OVER",IF(J233&gt;=0.5+Config!$B$6,"UNDER","—")))</f>
        <v>UNDER</v>
      </c>
      <c r="N233" s="4">
        <v>13.6</v>
      </c>
      <c r="O233" s="11">
        <v>0.4</v>
      </c>
      <c r="P233" s="11">
        <v>0.5</v>
      </c>
      <c r="Q233" s="11">
        <v>0.47</v>
      </c>
      <c r="R233" s="4" t="s">
        <v>579</v>
      </c>
      <c r="S233" s="4">
        <v>-1.0</v>
      </c>
      <c r="T233" s="4" t="str">
        <f t="array" ref="T233">INDEX(Calc!$G$2:$G$157,MATCH($W233,Calc!$A$2:$A$157,0))</f>
        <v>Nuke</v>
      </c>
      <c r="U233" s="4" t="str">
        <f t="array" ref="U233">TEXT(INDEX(Calc!$J$2:$J$157,MATCH($W233,Calc!$A$2:$A$157,0)),"0.0")</f>
        <v>21.4</v>
      </c>
      <c r="V233" s="4" t="str">
        <f t="array" ref="V233">IFERROR(INDEX(Calc!$AQ$2:$AQ$157,MATCH($W233,Calc!$A$2:$A$157,0)),"")</f>
        <v/>
      </c>
      <c r="W233" s="4" t="s">
        <v>3252</v>
      </c>
      <c r="X233" s="4" t="s">
        <v>3202</v>
      </c>
      <c r="Y233" s="4" t="str">
        <f t="shared" si="4"/>
        <v>inq1aslhosl5opp|CS2 · VOCA vs HAVU|K1</v>
      </c>
      <c r="Z233" s="12">
        <f t="array" ref="Z233">IFERROR(INDEX(CHOOSE(MATCH($X233,{"K1","K2","K3","K12","K13","H1","H2","H3","H12","H13"},0),Calc!$BA$2:$BA$157,Calc!$BB$2:$BB$157,Calc!$BC$2:$BC$157,Calc!$BD$2:$BD$157,Calc!$BE$2:$BE$157,Calc!$BF$2:$BF$157,Calc!$BG$2:$BG$157,Calc!$BH$2:$BH$157,Calc!$BI$2:$BI$157,Calc!$BJ$2:$BJ$157),MATCH($W233,Calc!$A$2:$A$157,0)),"")</f>
        <v>12.37450157</v>
      </c>
      <c r="AA233" s="12">
        <f t="array" ref="AA233">IF(Z233="","",IF(LEFT($X233,1)="H",SQRT(Z233*(IFERROR(INDEX(Calc!$AP$2:$AP$157,MATCH($W233,Calc!$A$2:$A$157,0)),0.5)*Config!$B$5+1-IFERROR(INDEX(Calc!$AP$2:$AP$157,MATCH($W233,Calc!$A$2:$A$157,0)),0.5))),SQRT(Z233*Config!$B$5)))</f>
        <v>4.162247254</v>
      </c>
      <c r="AB233" s="11">
        <f t="shared" si="5"/>
        <v>0.304794136</v>
      </c>
      <c r="AC233" s="11">
        <f t="shared" si="6"/>
        <v>0.6065762036</v>
      </c>
      <c r="AD233" s="4" t="str">
        <f>IF(AB233="","",IF(AB233&gt;=0.5+Config!$B$6,"OVER",IF(AC233&gt;=0.5+Config!$B$6,"UNDER","—")))</f>
        <v>UNDER</v>
      </c>
      <c r="AE233" s="18">
        <f t="shared" si="7"/>
        <v>0.9903087145</v>
      </c>
    </row>
    <row r="234" ht="15.75" customHeight="1">
      <c r="A234" s="4" t="s">
        <v>86</v>
      </c>
      <c r="B234" s="4" t="s">
        <v>1160</v>
      </c>
      <c r="C234" s="4" t="s">
        <v>1561</v>
      </c>
      <c r="D234" s="4" t="s">
        <v>856</v>
      </c>
      <c r="E234" s="4" t="s">
        <v>2880</v>
      </c>
      <c r="F234" s="4">
        <v>7.0</v>
      </c>
      <c r="G234" s="12">
        <f t="array" ref="G234">IFERROR(INDEX(CHOOSE(MATCH($X234,{"K1","K2","K3","K12","K13","H1","H2","H3","H12","H13"},0),Calc!$V$2:$V$157,Calc!$AC$2:$AC$157,Calc!$AJ$2:$AJ$157,Calc!$AL$2:$AL$157,Calc!$AM$2:$AM$157,Calc!$W$2:$W$157,Calc!$AD$2:$AD$157,Calc!$AK$2:$AK$157,Calc!$AN$2:$AN$157,Calc!$AO$2:$AO$157),MATCH($W234,Calc!$A$2:$A$157,0)),"")</f>
        <v>6.8039076</v>
      </c>
      <c r="H234" s="12">
        <f t="array" ref="H234">IF(G234="","",IF(LEFT($X234,1)="H",SQRT(G234*(IFERROR(INDEX(Calc!$AP$2:$AP$157,MATCH($W234,Calc!$A$2:$A$157,0)),0.5)*Config!$B$5+1-IFERROR(INDEX(Calc!$AP$2:$AP$157,MATCH($W234,Calc!$A$2:$A$157,0)),0.5))),SQRT(G234*Config!$B$5)))</f>
        <v>2.853165381</v>
      </c>
      <c r="I234" s="11">
        <f t="shared" si="1"/>
        <v>0.4036262615</v>
      </c>
      <c r="J234" s="11">
        <f t="shared" si="2"/>
        <v>0.4575865035</v>
      </c>
      <c r="K234" s="11">
        <f t="shared" si="3"/>
        <v>0.138787235</v>
      </c>
      <c r="L234" s="4" t="str">
        <f>IF(I234="","",IF(I234&gt;=0.5+Config!$B$6,"OVER",IF(J234&gt;=0.5+Config!$B$6,"UNDER","—")))</f>
        <v>—</v>
      </c>
      <c r="N234" s="4">
        <v>6.1</v>
      </c>
      <c r="O234" s="11">
        <v>0.2</v>
      </c>
      <c r="P234" s="11">
        <v>0.3</v>
      </c>
      <c r="Q234" s="11">
        <v>0.47</v>
      </c>
      <c r="R234" s="4" t="s">
        <v>579</v>
      </c>
      <c r="S234" s="4">
        <v>-4.0</v>
      </c>
      <c r="T234" s="4" t="str">
        <f t="array" ref="T234">INDEX(Calc!$G$2:$G$157,MATCH($W234,Calc!$A$2:$A$157,0))</f>
        <v>Nuke</v>
      </c>
      <c r="U234" s="4" t="str">
        <f t="array" ref="U234">TEXT(INDEX(Calc!$J$2:$J$157,MATCH($W234,Calc!$A$2:$A$157,0)),"0.0")</f>
        <v>21.4</v>
      </c>
      <c r="V234" s="4" t="str">
        <f t="array" ref="V234">IFERROR(INDEX(Calc!$AQ$2:$AQ$157,MATCH($W234,Calc!$A$2:$A$157,0)),"")</f>
        <v/>
      </c>
      <c r="W234" s="4" t="s">
        <v>3253</v>
      </c>
      <c r="X234" s="4" t="s">
        <v>3201</v>
      </c>
      <c r="Y234" s="4" t="str">
        <f t="shared" si="4"/>
        <v>pnbyhth5hef4yqq|CS2 · VOCA vs HAVU|H1</v>
      </c>
      <c r="Z234" s="12">
        <f t="array" ref="Z234">IFERROR(INDEX(CHOOSE(MATCH($X234,{"K1","K2","K3","K12","K13","H1","H2","H3","H12","H13"},0),Calc!$BA$2:$BA$157,Calc!$BB$2:$BB$157,Calc!$BC$2:$BC$157,Calc!$BD$2:$BD$157,Calc!$BE$2:$BE$157,Calc!$BF$2:$BF$157,Calc!$BG$2:$BG$157,Calc!$BH$2:$BH$157,Calc!$BI$2:$BI$157,Calc!$BJ$2:$BJ$157),MATCH($W234,Calc!$A$2:$A$157,0)),"")</f>
        <v>6.737968989</v>
      </c>
      <c r="AA234" s="12">
        <f t="array" ref="AA234">IF(Z234="","",IF(LEFT($X234,1)="H",SQRT(Z234*(IFERROR(INDEX(Calc!$AP$2:$AP$157,MATCH($W234,Calc!$A$2:$A$157,0)),0.5)*Config!$B$5+1-IFERROR(INDEX(Calc!$AP$2:$AP$157,MATCH($W234,Calc!$A$2:$A$157,0)),0.5))),SQRT(Z234*Config!$B$5)))</f>
        <v>2.839306301</v>
      </c>
      <c r="AB234" s="11">
        <f t="shared" si="5"/>
        <v>0.3942009786</v>
      </c>
      <c r="AC234" s="11">
        <f t="shared" si="6"/>
        <v>0.4666028066</v>
      </c>
      <c r="AD234" s="4" t="str">
        <f>IF(AB234="","",IF(AB234&gt;=0.5+Config!$B$6,"OVER",IF(AC234&gt;=0.5+Config!$B$6,"UNDER","—")))</f>
        <v>—</v>
      </c>
      <c r="AE234" s="18">
        <f t="shared" si="7"/>
        <v>0.9903087145</v>
      </c>
    </row>
    <row r="235" ht="15.75" customHeight="1">
      <c r="A235" s="4" t="s">
        <v>86</v>
      </c>
      <c r="B235" s="4" t="s">
        <v>1160</v>
      </c>
      <c r="C235" s="4" t="s">
        <v>1561</v>
      </c>
      <c r="D235" s="4" t="s">
        <v>856</v>
      </c>
      <c r="E235" s="4" t="s">
        <v>2882</v>
      </c>
      <c r="F235" s="4">
        <v>14.0</v>
      </c>
      <c r="G235" s="12">
        <f t="array" ref="G235">IFERROR(INDEX(CHOOSE(MATCH($X235,{"K1","K2","K3","K12","K13","H1","H2","H3","H12","H13"},0),Calc!$V$2:$V$157,Calc!$AC$2:$AC$157,Calc!$AJ$2:$AJ$157,Calc!$AL$2:$AL$157,Calc!$AM$2:$AM$157,Calc!$W$2:$W$157,Calc!$AD$2:$AD$157,Calc!$AK$2:$AK$157,Calc!$AN$2:$AN$157,Calc!$AO$2:$AO$157),MATCH($W235,Calc!$A$2:$A$157,0)),"")</f>
        <v>14.2044</v>
      </c>
      <c r="H235" s="12">
        <f t="array" ref="H235">IF(G235="","",IF(LEFT($X235,1)="H",SQRT(G235*(IFERROR(INDEX(Calc!$AP$2:$AP$157,MATCH($W235,Calc!$A$2:$A$157,0)),0.5)*Config!$B$5+1-IFERROR(INDEX(Calc!$AP$2:$AP$157,MATCH($W235,Calc!$A$2:$A$157,0)),0.5))),SQRT(G235*Config!$B$5)))</f>
        <v>4.459390093</v>
      </c>
      <c r="I235" s="11">
        <f t="shared" si="1"/>
        <v>0.47357463</v>
      </c>
      <c r="J235" s="11">
        <f t="shared" si="2"/>
        <v>0.4372446238</v>
      </c>
      <c r="K235" s="11">
        <f t="shared" si="3"/>
        <v>0.08918074622</v>
      </c>
      <c r="L235" s="4" t="str">
        <f>IF(I235="","",IF(I235&gt;=0.5+Config!$B$6,"OVER",IF(J235&gt;=0.5+Config!$B$6,"UNDER","—")))</f>
        <v>—</v>
      </c>
      <c r="N235" s="4">
        <v>12.6</v>
      </c>
      <c r="O235" s="11">
        <v>0.2</v>
      </c>
      <c r="P235" s="11">
        <v>0.3</v>
      </c>
      <c r="Q235" s="11">
        <v>0.4</v>
      </c>
      <c r="R235" s="4" t="s">
        <v>579</v>
      </c>
      <c r="S235" s="4">
        <v>-4.0</v>
      </c>
      <c r="T235" s="4" t="str">
        <f t="array" ref="T235">INDEX(Calc!$G$2:$G$157,MATCH($W235,Calc!$A$2:$A$157,0))</f>
        <v>Nuke</v>
      </c>
      <c r="U235" s="4" t="str">
        <f t="array" ref="U235">TEXT(INDEX(Calc!$J$2:$J$157,MATCH($W235,Calc!$A$2:$A$157,0)),"0.0")</f>
        <v>21.4</v>
      </c>
      <c r="V235" s="4" t="str">
        <f t="array" ref="V235">IFERROR(INDEX(Calc!$AQ$2:$AQ$157,MATCH($W235,Calc!$A$2:$A$157,0)),"")</f>
        <v/>
      </c>
      <c r="W235" s="4" t="s">
        <v>3253</v>
      </c>
      <c r="X235" s="4" t="s">
        <v>3202</v>
      </c>
      <c r="Y235" s="4" t="str">
        <f t="shared" si="4"/>
        <v>pnbyhth5hef4yqq|CS2 · VOCA vs HAVU|K1</v>
      </c>
      <c r="Z235" s="12">
        <f t="array" ref="Z235">IFERROR(INDEX(CHOOSE(MATCH($X235,{"K1","K2","K3","K12","K13","H1","H2","H3","H12","H13"},0),Calc!$BA$2:$BA$157,Calc!$BB$2:$BB$157,Calc!$BC$2:$BC$157,Calc!$BD$2:$BD$157,Calc!$BE$2:$BE$157,Calc!$BF$2:$BF$157,Calc!$BG$2:$BG$157,Calc!$BH$2:$BH$157,Calc!$BI$2:$BI$157,Calc!$BJ$2:$BJ$157),MATCH($W235,Calc!$A$2:$A$157,0)),"")</f>
        <v>14.0667411</v>
      </c>
      <c r="AA235" s="12">
        <f t="array" ref="AA235">IF(Z235="","",IF(LEFT($X235,1)="H",SQRT(Z235*(IFERROR(INDEX(Calc!$AP$2:$AP$157,MATCH($W235,Calc!$A$2:$A$157,0)),0.5)*Config!$B$5+1-IFERROR(INDEX(Calc!$AP$2:$AP$157,MATCH($W235,Calc!$A$2:$A$157,0)),0.5))),SQRT(Z235*Config!$B$5)))</f>
        <v>4.437728873</v>
      </c>
      <c r="AB235" s="11">
        <f t="shared" si="5"/>
        <v>0.4611127444</v>
      </c>
      <c r="AC235" s="11">
        <f t="shared" si="6"/>
        <v>0.4491893495</v>
      </c>
      <c r="AD235" s="4" t="str">
        <f>IF(AB235="","",IF(AB235&gt;=0.5+Config!$B$6,"OVER",IF(AC235&gt;=0.5+Config!$B$6,"UNDER","—")))</f>
        <v>—</v>
      </c>
      <c r="AE235" s="18">
        <f t="shared" si="7"/>
        <v>0.9903087145</v>
      </c>
    </row>
    <row r="236" ht="15.75" customHeight="1">
      <c r="A236" s="4" t="s">
        <v>86</v>
      </c>
      <c r="B236" s="4" t="s">
        <v>838</v>
      </c>
      <c r="C236" s="4" t="s">
        <v>1519</v>
      </c>
      <c r="D236" s="4" t="s">
        <v>858</v>
      </c>
      <c r="E236" s="4" t="s">
        <v>2880</v>
      </c>
      <c r="F236" s="4">
        <v>7.5</v>
      </c>
      <c r="G236" s="12">
        <f t="array" ref="G236">IFERROR(INDEX(CHOOSE(MATCH($X236,{"K1","K2","K3","K12","K13","H1","H2","H3","H12","H13"},0),Calc!$V$2:$V$157,Calc!$AC$2:$AC$157,Calc!$AJ$2:$AJ$157,Calc!$AL$2:$AL$157,Calc!$AM$2:$AM$157,Calc!$W$2:$W$157,Calc!$AD$2:$AD$157,Calc!$AK$2:$AK$157,Calc!$AN$2:$AN$157,Calc!$AO$2:$AO$157),MATCH($W236,Calc!$A$2:$A$157,0)),"")</f>
        <v>7.047034844</v>
      </c>
      <c r="H236" s="12">
        <f t="array" ref="H236">IF(G236="","",IF(LEFT($X236,1)="H",SQRT(G236*(IFERROR(INDEX(Calc!$AP$2:$AP$157,MATCH($W236,Calc!$A$2:$A$157,0)),0.5)*Config!$B$5+1-IFERROR(INDEX(Calc!$AP$2:$AP$157,MATCH($W236,Calc!$A$2:$A$157,0)),0.5))),SQRT(G236*Config!$B$5)))</f>
        <v>2.914217288</v>
      </c>
      <c r="I236" s="11">
        <f t="shared" si="1"/>
        <v>0.4382400364</v>
      </c>
      <c r="J236" s="11">
        <f t="shared" si="2"/>
        <v>0.5617599636</v>
      </c>
      <c r="K236" s="11">
        <f t="shared" si="3"/>
        <v>0</v>
      </c>
      <c r="L236" s="4" t="str">
        <f>IF(I236="","",IF(I236&gt;=0.5+Config!$B$6,"OVER",IF(J236&gt;=0.5+Config!$B$6,"UNDER","—")))</f>
        <v>UNDER</v>
      </c>
      <c r="N236" s="4">
        <v>7.7</v>
      </c>
      <c r="O236" s="11">
        <v>0.2</v>
      </c>
      <c r="P236" s="11">
        <v>0.4</v>
      </c>
      <c r="Q236" s="11">
        <v>0.33</v>
      </c>
      <c r="R236" s="4" t="s">
        <v>579</v>
      </c>
      <c r="S236" s="4">
        <v>-1.0</v>
      </c>
      <c r="T236" s="4" t="str">
        <f t="array" ref="T236">INDEX(Calc!$G$2:$G$157,MATCH($W236,Calc!$A$2:$A$157,0))</f>
        <v>Ancient</v>
      </c>
      <c r="U236" s="4" t="str">
        <f t="array" ref="U236">TEXT(INDEX(Calc!$J$2:$J$157,MATCH($W236,Calc!$A$2:$A$157,0)),"0.0")</f>
        <v>21.5</v>
      </c>
      <c r="V236" s="4" t="str">
        <f t="array" ref="V236">IFERROR(INDEX(Calc!$AQ$2:$AQ$157,MATCH($W236,Calc!$A$2:$A$157,0)),"")</f>
        <v/>
      </c>
      <c r="W236" s="4" t="s">
        <v>3254</v>
      </c>
      <c r="X236" s="4" t="s">
        <v>3201</v>
      </c>
      <c r="Y236" s="4" t="str">
        <f t="shared" si="4"/>
        <v>14nk53aue7wxi91|CS2 · VOCA vs PHA|H1</v>
      </c>
      <c r="Z236" s="12">
        <f t="array" ref="Z236">IFERROR(INDEX(CHOOSE(MATCH($X236,{"K1","K2","K3","K12","K13","H1","H2","H3","H12","H13"},0),Calc!$BA$2:$BA$157,Calc!$BB$2:$BB$157,Calc!$BC$2:$BC$157,Calc!$BD$2:$BD$157,Calc!$BE$2:$BE$157,Calc!$BF$2:$BF$157,Calc!$BG$2:$BG$157,Calc!$BH$2:$BH$157,Calc!$BI$2:$BI$157,Calc!$BJ$2:$BJ$157),MATCH($W236,Calc!$A$2:$A$157,0)),"")</f>
        <v>7.145661149</v>
      </c>
      <c r="AA236" s="12">
        <f t="array" ref="AA236">IF(Z236="","",IF(LEFT($X236,1)="H",SQRT(Z236*(IFERROR(INDEX(Calc!$AP$2:$AP$157,MATCH($W236,Calc!$A$2:$A$157,0)),0.5)*Config!$B$5+1-IFERROR(INDEX(Calc!$AP$2:$AP$157,MATCH($W236,Calc!$A$2:$A$157,0)),0.5))),SQRT(Z236*Config!$B$5)))</f>
        <v>2.934539298</v>
      </c>
      <c r="AB236" s="11">
        <f t="shared" si="5"/>
        <v>0.4519454408</v>
      </c>
      <c r="AC236" s="11">
        <f t="shared" si="6"/>
        <v>0.5480545592</v>
      </c>
      <c r="AD236" s="4" t="str">
        <f>IF(AB236="","",IF(AB236&gt;=0.5+Config!$B$6,"OVER",IF(AC236&gt;=0.5+Config!$B$6,"UNDER","—")))</f>
        <v>UNDER</v>
      </c>
      <c r="AE236" s="18">
        <f t="shared" si="7"/>
        <v>1.013995433</v>
      </c>
    </row>
    <row r="237" ht="15.75" customHeight="1">
      <c r="A237" s="4" t="s">
        <v>86</v>
      </c>
      <c r="B237" s="4" t="s">
        <v>838</v>
      </c>
      <c r="C237" s="4" t="s">
        <v>1519</v>
      </c>
      <c r="D237" s="4" t="s">
        <v>858</v>
      </c>
      <c r="E237" s="4" t="s">
        <v>2882</v>
      </c>
      <c r="F237" s="4">
        <v>14.5</v>
      </c>
      <c r="G237" s="12">
        <f t="array" ref="G237">IFERROR(INDEX(CHOOSE(MATCH($X237,{"K1","K2","K3","K12","K13","H1","H2","H3","H12","H13"},0),Calc!$V$2:$V$157,Calc!$AC$2:$AC$157,Calc!$AJ$2:$AJ$157,Calc!$AL$2:$AL$157,Calc!$AM$2:$AM$157,Calc!$W$2:$W$157,Calc!$AD$2:$AD$157,Calc!$AK$2:$AK$157,Calc!$AN$2:$AN$157,Calc!$AO$2:$AO$157),MATCH($W237,Calc!$A$2:$A$157,0)),"")</f>
        <v>14.3378125</v>
      </c>
      <c r="H237" s="12">
        <f t="array" ref="H237">IF(G237="","",IF(LEFT($X237,1)="H",SQRT(G237*(IFERROR(INDEX(Calc!$AP$2:$AP$157,MATCH($W237,Calc!$A$2:$A$157,0)),0.5)*Config!$B$5+1-IFERROR(INDEX(Calc!$AP$2:$AP$157,MATCH($W237,Calc!$A$2:$A$157,0)),0.5))),SQRT(G237*Config!$B$5)))</f>
        <v>4.480283194</v>
      </c>
      <c r="I237" s="11">
        <f t="shared" si="1"/>
        <v>0.4855613319</v>
      </c>
      <c r="J237" s="11">
        <f t="shared" si="2"/>
        <v>0.5144386681</v>
      </c>
      <c r="K237" s="11">
        <f t="shared" si="3"/>
        <v>0</v>
      </c>
      <c r="L237" s="4" t="str">
        <f>IF(I237="","",IF(I237&gt;=0.5+Config!$B$6,"OVER",IF(J237&gt;=0.5+Config!$B$6,"UNDER","—")))</f>
        <v>—</v>
      </c>
      <c r="N237" s="4">
        <v>14.3</v>
      </c>
      <c r="O237" s="11">
        <v>0.2</v>
      </c>
      <c r="P237" s="11">
        <v>0.4</v>
      </c>
      <c r="Q237" s="11">
        <v>0.33</v>
      </c>
      <c r="R237" s="4" t="s">
        <v>579</v>
      </c>
      <c r="S237" s="4">
        <v>-4.0</v>
      </c>
      <c r="T237" s="4" t="str">
        <f t="array" ref="T237">INDEX(Calc!$G$2:$G$157,MATCH($W237,Calc!$A$2:$A$157,0))</f>
        <v>Ancient</v>
      </c>
      <c r="U237" s="4" t="str">
        <f t="array" ref="U237">TEXT(INDEX(Calc!$J$2:$J$157,MATCH($W237,Calc!$A$2:$A$157,0)),"0.0")</f>
        <v>21.5</v>
      </c>
      <c r="V237" s="4" t="str">
        <f t="array" ref="V237">IFERROR(INDEX(Calc!$AQ$2:$AQ$157,MATCH($W237,Calc!$A$2:$A$157,0)),"")</f>
        <v/>
      </c>
      <c r="W237" s="4" t="s">
        <v>3254</v>
      </c>
      <c r="X237" s="4" t="s">
        <v>3202</v>
      </c>
      <c r="Y237" s="4" t="str">
        <f t="shared" si="4"/>
        <v>14nk53aue7wxi91|CS2 · VOCA vs PHA|K1</v>
      </c>
      <c r="Z237" s="12">
        <f t="array" ref="Z237">IFERROR(INDEX(CHOOSE(MATCH($X237,{"K1","K2","K3","K12","K13","H1","H2","H3","H12","H13"},0),Calc!$BA$2:$BA$157,Calc!$BB$2:$BB$157,Calc!$BC$2:$BC$157,Calc!$BD$2:$BD$157,Calc!$BE$2:$BE$157,Calc!$BF$2:$BF$157,Calc!$BG$2:$BG$157,Calc!$BH$2:$BH$157,Calc!$BI$2:$BI$157,Calc!$BJ$2:$BJ$157),MATCH($W237,Calc!$A$2:$A$157,0)),"")</f>
        <v>14.5384764</v>
      </c>
      <c r="AA237" s="12">
        <f t="array" ref="AA237">IF(Z237="","",IF(LEFT($X237,1)="H",SQRT(Z237*(IFERROR(INDEX(Calc!$AP$2:$AP$157,MATCH($W237,Calc!$A$2:$A$157,0)),0.5)*Config!$B$5+1-IFERROR(INDEX(Calc!$AP$2:$AP$157,MATCH($W237,Calc!$A$2:$A$157,0)),0.5))),SQRT(Z237*Config!$B$5)))</f>
        <v>4.511526012</v>
      </c>
      <c r="AB237" s="11">
        <f t="shared" si="5"/>
        <v>0.5034023244</v>
      </c>
      <c r="AC237" s="11">
        <f t="shared" si="6"/>
        <v>0.4965976756</v>
      </c>
      <c r="AD237" s="4" t="str">
        <f>IF(AB237="","",IF(AB237&gt;=0.5+Config!$B$6,"OVER",IF(AC237&gt;=0.5+Config!$B$6,"UNDER","—")))</f>
        <v>—</v>
      </c>
      <c r="AE237" s="18">
        <f t="shared" si="7"/>
        <v>1.013995433</v>
      </c>
    </row>
    <row r="238" ht="15.75" customHeight="1">
      <c r="A238" s="4" t="s">
        <v>86</v>
      </c>
      <c r="B238" s="4" t="s">
        <v>838</v>
      </c>
      <c r="C238" s="4" t="s">
        <v>1523</v>
      </c>
      <c r="D238" s="4" t="s">
        <v>858</v>
      </c>
      <c r="E238" s="4" t="s">
        <v>2880</v>
      </c>
      <c r="F238" s="4">
        <v>7.0</v>
      </c>
      <c r="G238" s="12">
        <f t="array" ref="G238">IFERROR(INDEX(CHOOSE(MATCH($X238,{"K1","K2","K3","K12","K13","H1","H2","H3","H12","H13"},0),Calc!$V$2:$V$157,Calc!$AC$2:$AC$157,Calc!$AJ$2:$AJ$157,Calc!$AL$2:$AL$157,Calc!$AM$2:$AM$157,Calc!$W$2:$W$157,Calc!$AD$2:$AD$157,Calc!$AK$2:$AK$157,Calc!$AN$2:$AN$157,Calc!$AO$2:$AO$157),MATCH($W238,Calc!$A$2:$A$157,0)),"")</f>
        <v>6.433494615</v>
      </c>
      <c r="H238" s="12">
        <f t="array" ref="H238">IF(G238="","",IF(LEFT($X238,1)="H",SQRT(G238*(IFERROR(INDEX(Calc!$AP$2:$AP$157,MATCH($W238,Calc!$A$2:$A$157,0)),0.5)*Config!$B$5+1-IFERROR(INDEX(Calc!$AP$2:$AP$157,MATCH($W238,Calc!$A$2:$A$157,0)),0.5))),SQRT(G238*Config!$B$5)))</f>
        <v>2.766811643</v>
      </c>
      <c r="I238" s="11">
        <f t="shared" si="1"/>
        <v>0.349946957</v>
      </c>
      <c r="J238" s="11">
        <f t="shared" si="2"/>
        <v>0.509588385</v>
      </c>
      <c r="K238" s="11">
        <f t="shared" si="3"/>
        <v>0.140464658</v>
      </c>
      <c r="L238" s="4" t="str">
        <f>IF(I238="","",IF(I238&gt;=0.5+Config!$B$6,"OVER",IF(J238&gt;=0.5+Config!$B$6,"UNDER","—")))</f>
        <v>—</v>
      </c>
      <c r="N238" s="4">
        <v>6.1</v>
      </c>
      <c r="O238" s="11">
        <v>0.4</v>
      </c>
      <c r="P238" s="11">
        <v>0.3</v>
      </c>
      <c r="Q238" s="11">
        <v>0.47</v>
      </c>
      <c r="R238" s="4" t="s">
        <v>579</v>
      </c>
      <c r="S238" s="4">
        <v>-1.0</v>
      </c>
      <c r="T238" s="4" t="str">
        <f t="array" ref="T238">INDEX(Calc!$G$2:$G$157,MATCH($W238,Calc!$A$2:$A$157,0))</f>
        <v>Ancient</v>
      </c>
      <c r="U238" s="4" t="str">
        <f t="array" ref="U238">TEXT(INDEX(Calc!$J$2:$J$157,MATCH($W238,Calc!$A$2:$A$157,0)),"0.0")</f>
        <v>21.5</v>
      </c>
      <c r="V238" s="4" t="str">
        <f t="array" ref="V238">IFERROR(INDEX(Calc!$AQ$2:$AQ$157,MATCH($W238,Calc!$A$2:$A$157,0)),"")</f>
        <v/>
      </c>
      <c r="W238" s="4" t="s">
        <v>3255</v>
      </c>
      <c r="X238" s="4" t="s">
        <v>3201</v>
      </c>
      <c r="Y238" s="4" t="str">
        <f t="shared" si="4"/>
        <v>zf7bzibg1ekklis|CS2 · VOCA vs PHA|H1</v>
      </c>
      <c r="Z238" s="12">
        <f t="array" ref="Z238">IFERROR(INDEX(CHOOSE(MATCH($X238,{"K1","K2","K3","K12","K13","H1","H2","H3","H12","H13"},0),Calc!$BA$2:$BA$157,Calc!$BB$2:$BB$157,Calc!$BC$2:$BC$157,Calc!$BD$2:$BD$157,Calc!$BE$2:$BE$157,Calc!$BF$2:$BF$157,Calc!$BG$2:$BG$157,Calc!$BH$2:$BH$157,Calc!$BI$2:$BI$157,Calc!$BJ$2:$BJ$157),MATCH($W238,Calc!$A$2:$A$157,0)),"")</f>
        <v>6.523534159</v>
      </c>
      <c r="AA238" s="12">
        <f t="array" ref="AA238">IF(Z238="","",IF(LEFT($X238,1)="H",SQRT(Z238*(IFERROR(INDEX(Calc!$AP$2:$AP$157,MATCH($W238,Calc!$A$2:$A$157,0)),0.5)*Config!$B$5+1-IFERROR(INDEX(Calc!$AP$2:$AP$157,MATCH($W238,Calc!$A$2:$A$157,0)),0.5))),SQRT(Z238*Config!$B$5)))</f>
        <v>2.786105734</v>
      </c>
      <c r="AB238" s="11">
        <f t="shared" si="5"/>
        <v>0.3629903928</v>
      </c>
      <c r="AC238" s="11">
        <f t="shared" si="6"/>
        <v>0.4966301855</v>
      </c>
      <c r="AD238" s="4" t="str">
        <f>IF(AB238="","",IF(AB238&gt;=0.5+Config!$B$6,"OVER",IF(AC238&gt;=0.5+Config!$B$6,"UNDER","—")))</f>
        <v>—</v>
      </c>
      <c r="AE238" s="18">
        <f t="shared" si="7"/>
        <v>1.013995433</v>
      </c>
    </row>
    <row r="239" ht="15.75" customHeight="1">
      <c r="A239" s="4" t="s">
        <v>86</v>
      </c>
      <c r="B239" s="4" t="s">
        <v>838</v>
      </c>
      <c r="C239" s="4" t="s">
        <v>1523</v>
      </c>
      <c r="D239" s="4" t="s">
        <v>858</v>
      </c>
      <c r="E239" s="4" t="s">
        <v>2882</v>
      </c>
      <c r="F239" s="4">
        <v>15.5</v>
      </c>
      <c r="G239" s="12">
        <f t="array" ref="G239">IFERROR(INDEX(CHOOSE(MATCH($X239,{"K1","K2","K3","K12","K13","H1","H2","H3","H12","H13"},0),Calc!$V$2:$V$157,Calc!$AC$2:$AC$157,Calc!$AJ$2:$AJ$157,Calc!$AL$2:$AL$157,Calc!$AM$2:$AM$157,Calc!$W$2:$W$157,Calc!$AD$2:$AD$157,Calc!$AK$2:$AK$157,Calc!$AN$2:$AN$157,Calc!$AO$2:$AO$157),MATCH($W239,Calc!$A$2:$A$157,0)),"")</f>
        <v>14.405</v>
      </c>
      <c r="H239" s="12">
        <f t="array" ref="H239">IF(G239="","",IF(LEFT($X239,1)="H",SQRT(G239*(IFERROR(INDEX(Calc!$AP$2:$AP$157,MATCH($W239,Calc!$A$2:$A$157,0)),0.5)*Config!$B$5+1-IFERROR(INDEX(Calc!$AP$2:$AP$157,MATCH($W239,Calc!$A$2:$A$157,0)),0.5))),SQRT(G239*Config!$B$5)))</f>
        <v>4.490768308</v>
      </c>
      <c r="I239" s="11">
        <f t="shared" si="1"/>
        <v>0.4036798658</v>
      </c>
      <c r="J239" s="11">
        <f t="shared" si="2"/>
        <v>0.5963201342</v>
      </c>
      <c r="K239" s="11">
        <f t="shared" si="3"/>
        <v>0</v>
      </c>
      <c r="L239" s="4" t="str">
        <f>IF(I239="","",IF(I239&gt;=0.5+Config!$B$6,"OVER",IF(J239&gt;=0.5+Config!$B$6,"UNDER","—")))</f>
        <v>UNDER</v>
      </c>
      <c r="N239" s="4">
        <v>12.7</v>
      </c>
      <c r="O239" s="11">
        <v>0.2</v>
      </c>
      <c r="P239" s="11">
        <v>0.2</v>
      </c>
      <c r="Q239" s="11">
        <v>0.33</v>
      </c>
      <c r="R239" s="4" t="s">
        <v>579</v>
      </c>
      <c r="S239" s="4">
        <v>-1.0</v>
      </c>
      <c r="T239" s="4" t="str">
        <f t="array" ref="T239">INDEX(Calc!$G$2:$G$157,MATCH($W239,Calc!$A$2:$A$157,0))</f>
        <v>Ancient</v>
      </c>
      <c r="U239" s="4" t="str">
        <f t="array" ref="U239">TEXT(INDEX(Calc!$J$2:$J$157,MATCH($W239,Calc!$A$2:$A$157,0)),"0.0")</f>
        <v>21.5</v>
      </c>
      <c r="V239" s="4" t="str">
        <f t="array" ref="V239">IFERROR(INDEX(Calc!$AQ$2:$AQ$157,MATCH($W239,Calc!$A$2:$A$157,0)),"")</f>
        <v/>
      </c>
      <c r="W239" s="4" t="s">
        <v>3255</v>
      </c>
      <c r="X239" s="4" t="s">
        <v>3202</v>
      </c>
      <c r="Y239" s="4" t="str">
        <f t="shared" si="4"/>
        <v>zf7bzibg1ekklis|CS2 · VOCA vs PHA|K1</v>
      </c>
      <c r="Z239" s="12">
        <f t="array" ref="Z239">IFERROR(INDEX(CHOOSE(MATCH($X239,{"K1","K2","K3","K12","K13","H1","H2","H3","H12","H13"},0),Calc!$BA$2:$BA$157,Calc!$BB$2:$BB$157,Calc!$BC$2:$BC$157,Calc!$BD$2:$BD$157,Calc!$BE$2:$BE$157,Calc!$BF$2:$BF$157,Calc!$BG$2:$BG$157,Calc!$BH$2:$BH$157,Calc!$BI$2:$BI$157,Calc!$BJ$2:$BJ$157),MATCH($W239,Calc!$A$2:$A$157,0)),"")</f>
        <v>14.60660421</v>
      </c>
      <c r="AA239" s="12">
        <f t="array" ref="AA239">IF(Z239="","",IF(LEFT($X239,1)="H",SQRT(Z239*(IFERROR(INDEX(Calc!$AP$2:$AP$157,MATCH($W239,Calc!$A$2:$A$157,0)),0.5)*Config!$B$5+1-IFERROR(INDEX(Calc!$AP$2:$AP$157,MATCH($W239,Calc!$A$2:$A$157,0)),0.5))),SQRT(Z239*Config!$B$5)))</f>
        <v>4.522084243</v>
      </c>
      <c r="AB239" s="11">
        <f t="shared" si="5"/>
        <v>0.4216935573</v>
      </c>
      <c r="AC239" s="11">
        <f t="shared" si="6"/>
        <v>0.5783064427</v>
      </c>
      <c r="AD239" s="4" t="str">
        <f>IF(AB239="","",IF(AB239&gt;=0.5+Config!$B$6,"OVER",IF(AC239&gt;=0.5+Config!$B$6,"UNDER","—")))</f>
        <v>UNDER</v>
      </c>
      <c r="AE239" s="18">
        <f t="shared" si="7"/>
        <v>1.013995433</v>
      </c>
    </row>
    <row r="240" ht="15.75" customHeight="1">
      <c r="A240" s="4" t="s">
        <v>86</v>
      </c>
      <c r="B240" s="4" t="s">
        <v>838</v>
      </c>
      <c r="C240" s="4" t="s">
        <v>1526</v>
      </c>
      <c r="D240" s="4" t="s">
        <v>858</v>
      </c>
      <c r="E240" s="4" t="s">
        <v>2880</v>
      </c>
      <c r="F240" s="4">
        <v>9.0</v>
      </c>
      <c r="G240" s="12">
        <f t="array" ref="G240">IFERROR(INDEX(CHOOSE(MATCH($X240,{"K1","K2","K3","K12","K13","H1","H2","H3","H12","H13"},0),Calc!$V$2:$V$157,Calc!$AC$2:$AC$157,Calc!$AJ$2:$AJ$157,Calc!$AL$2:$AL$157,Calc!$AM$2:$AM$157,Calc!$W$2:$W$157,Calc!$AD$2:$AD$157,Calc!$AK$2:$AK$157,Calc!$AN$2:$AN$157,Calc!$AO$2:$AO$157),MATCH($W240,Calc!$A$2:$A$157,0)),"")</f>
        <v>8.904969231</v>
      </c>
      <c r="H240" s="12">
        <f t="array" ref="H240">IF(G240="","",IF(LEFT($X240,1)="H",SQRT(G240*(IFERROR(INDEX(Calc!$AP$2:$AP$157,MATCH($W240,Calc!$A$2:$A$157,0)),0.5)*Config!$B$5+1-IFERROR(INDEX(Calc!$AP$2:$AP$157,MATCH($W240,Calc!$A$2:$A$157,0)),0.5))),SQRT(G240*Config!$B$5)))</f>
        <v>3.338133778</v>
      </c>
      <c r="I240" s="11">
        <f t="shared" si="1"/>
        <v>0.4292623312</v>
      </c>
      <c r="J240" s="11">
        <f t="shared" si="2"/>
        <v>0.4517203508</v>
      </c>
      <c r="K240" s="11">
        <f t="shared" si="3"/>
        <v>0.119017318</v>
      </c>
      <c r="L240" s="4" t="str">
        <f>IF(I240="","",IF(I240&gt;=0.5+Config!$B$6,"OVER",IF(J240&gt;=0.5+Config!$B$6,"UNDER","—")))</f>
        <v>—</v>
      </c>
      <c r="N240" s="4">
        <v>8.7</v>
      </c>
      <c r="O240" s="11">
        <v>0.8</v>
      </c>
      <c r="P240" s="11">
        <v>0.6</v>
      </c>
      <c r="Q240" s="11">
        <v>0.6</v>
      </c>
      <c r="R240" s="4" t="s">
        <v>579</v>
      </c>
      <c r="S240" s="4">
        <v>-1.0</v>
      </c>
      <c r="T240" s="4" t="str">
        <f t="array" ref="T240">INDEX(Calc!$G$2:$G$157,MATCH($W240,Calc!$A$2:$A$157,0))</f>
        <v>Ancient</v>
      </c>
      <c r="U240" s="4" t="str">
        <f t="array" ref="U240">TEXT(INDEX(Calc!$J$2:$J$157,MATCH($W240,Calc!$A$2:$A$157,0)),"0.0")</f>
        <v>21.5</v>
      </c>
      <c r="V240" s="4" t="str">
        <f t="array" ref="V240">IFERROR(INDEX(Calc!$AQ$2:$AQ$157,MATCH($W240,Calc!$A$2:$A$157,0)),"")</f>
        <v/>
      </c>
      <c r="W240" s="4" t="s">
        <v>3256</v>
      </c>
      <c r="X240" s="4" t="s">
        <v>3201</v>
      </c>
      <c r="Y240" s="4" t="str">
        <f t="shared" si="4"/>
        <v>w56yzcex8uwfyhn|CS2 · VOCA vs PHA|H1</v>
      </c>
      <c r="Z240" s="12">
        <f t="array" ref="Z240">IFERROR(INDEX(CHOOSE(MATCH($X240,{"K1","K2","K3","K12","K13","H1","H2","H3","H12","H13"},0),Calc!$BA$2:$BA$157,Calc!$BB$2:$BB$157,Calc!$BC$2:$BC$157,Calc!$BD$2:$BD$157,Calc!$BE$2:$BE$157,Calc!$BF$2:$BF$157,Calc!$BG$2:$BG$157,Calc!$BH$2:$BH$157,Calc!$BI$2:$BI$157,Calc!$BJ$2:$BJ$157),MATCH($W240,Calc!$A$2:$A$157,0)),"")</f>
        <v>9.029598132</v>
      </c>
      <c r="AA240" s="12">
        <f t="array" ref="AA240">IF(Z240="","",IF(LEFT($X240,1)="H",SQRT(Z240*(IFERROR(INDEX(Calc!$AP$2:$AP$157,MATCH($W240,Calc!$A$2:$A$157,0)),0.5)*Config!$B$5+1-IFERROR(INDEX(Calc!$AP$2:$AP$157,MATCH($W240,Calc!$A$2:$A$157,0)),0.5))),SQRT(Z240*Config!$B$5)))</f>
        <v>3.361411929</v>
      </c>
      <c r="AB240" s="11">
        <f t="shared" si="5"/>
        <v>0.4443530071</v>
      </c>
      <c r="AC240" s="11">
        <f t="shared" si="6"/>
        <v>0.4374048022</v>
      </c>
      <c r="AD240" s="4" t="str">
        <f>IF(AB240="","",IF(AB240&gt;=0.5+Config!$B$6,"OVER",IF(AC240&gt;=0.5+Config!$B$6,"UNDER","—")))</f>
        <v>—</v>
      </c>
      <c r="AE240" s="18">
        <f t="shared" si="7"/>
        <v>1.013995433</v>
      </c>
    </row>
    <row r="241" ht="15.75" customHeight="1">
      <c r="A241" s="4" t="s">
        <v>86</v>
      </c>
      <c r="B241" s="4" t="s">
        <v>838</v>
      </c>
      <c r="C241" s="4" t="s">
        <v>1526</v>
      </c>
      <c r="D241" s="4" t="s">
        <v>858</v>
      </c>
      <c r="E241" s="4" t="s">
        <v>2882</v>
      </c>
      <c r="F241" s="4">
        <v>15.0</v>
      </c>
      <c r="G241" s="12">
        <f t="array" ref="G241">IFERROR(INDEX(CHOOSE(MATCH($X241,{"K1","K2","K3","K12","K13","H1","H2","H3","H12","H13"},0),Calc!$V$2:$V$157,Calc!$AC$2:$AC$157,Calc!$AJ$2:$AJ$157,Calc!$AL$2:$AL$157,Calc!$AM$2:$AM$157,Calc!$W$2:$W$157,Calc!$AD$2:$AD$157,Calc!$AK$2:$AK$157,Calc!$AN$2:$AN$157,Calc!$AO$2:$AO$157),MATCH($W241,Calc!$A$2:$A$157,0)),"")</f>
        <v>13.89230769</v>
      </c>
      <c r="H241" s="12">
        <f t="array" ref="H241">IF(G241="","",IF(LEFT($X241,1)="H",SQRT(G241*(IFERROR(INDEX(Calc!$AP$2:$AP$157,MATCH($W241,Calc!$A$2:$A$157,0)),0.5)*Config!$B$5+1-IFERROR(INDEX(Calc!$AP$2:$AP$157,MATCH($W241,Calc!$A$2:$A$157,0)),0.5))),SQRT(G241*Config!$B$5)))</f>
        <v>4.410128203</v>
      </c>
      <c r="I241" s="11">
        <f t="shared" si="1"/>
        <v>0.3577253589</v>
      </c>
      <c r="J241" s="11">
        <f t="shared" si="2"/>
        <v>0.5547986647</v>
      </c>
      <c r="K241" s="11">
        <f t="shared" si="3"/>
        <v>0.08747597639</v>
      </c>
      <c r="L241" s="4" t="str">
        <f>IF(I241="","",IF(I241&gt;=0.5+Config!$B$6,"OVER",IF(J241&gt;=0.5+Config!$B$6,"UNDER","—")))</f>
        <v>UNDER</v>
      </c>
      <c r="N241" s="4">
        <v>13.4</v>
      </c>
      <c r="O241" s="11">
        <v>0.6</v>
      </c>
      <c r="P241" s="11">
        <v>0.5</v>
      </c>
      <c r="Q241" s="11">
        <v>0.53</v>
      </c>
      <c r="R241" s="4" t="s">
        <v>579</v>
      </c>
      <c r="S241" s="4">
        <v>-1.0</v>
      </c>
      <c r="T241" s="4" t="str">
        <f t="array" ref="T241">INDEX(Calc!$G$2:$G$157,MATCH($W241,Calc!$A$2:$A$157,0))</f>
        <v>Ancient</v>
      </c>
      <c r="U241" s="4" t="str">
        <f t="array" ref="U241">TEXT(INDEX(Calc!$J$2:$J$157,MATCH($W241,Calc!$A$2:$A$157,0)),"0.0")</f>
        <v>21.5</v>
      </c>
      <c r="V241" s="4" t="str">
        <f t="array" ref="V241">IFERROR(INDEX(Calc!$AQ$2:$AQ$157,MATCH($W241,Calc!$A$2:$A$157,0)),"")</f>
        <v/>
      </c>
      <c r="W241" s="4" t="s">
        <v>3256</v>
      </c>
      <c r="X241" s="4" t="s">
        <v>3202</v>
      </c>
      <c r="Y241" s="4" t="str">
        <f t="shared" si="4"/>
        <v>w56yzcex8uwfyhn|CS2 · VOCA vs PHA|K1</v>
      </c>
      <c r="Z241" s="12">
        <f t="array" ref="Z241">IFERROR(INDEX(CHOOSE(MATCH($X241,{"K1","K2","K3","K12","K13","H1","H2","H3","H12","H13"},0),Calc!$BA$2:$BA$157,Calc!$BB$2:$BB$157,Calc!$BC$2:$BC$157,Calc!$BD$2:$BD$157,Calc!$BE$2:$BE$157,Calc!$BF$2:$BF$157,Calc!$BG$2:$BG$157,Calc!$BH$2:$BH$157,Calc!$BI$2:$BI$157,Calc!$BJ$2:$BJ$157),MATCH($W241,Calc!$A$2:$A$157,0)),"")</f>
        <v>14.08673656</v>
      </c>
      <c r="AA241" s="12">
        <f t="array" ref="AA241">IF(Z241="","",IF(LEFT($X241,1)="H",SQRT(Z241*(IFERROR(INDEX(Calc!$AP$2:$AP$157,MATCH($W241,Calc!$A$2:$A$157,0)),0.5)*Config!$B$5+1-IFERROR(INDEX(Calc!$AP$2:$AP$157,MATCH($W241,Calc!$A$2:$A$157,0)),0.5))),SQRT(Z241*Config!$B$5)))</f>
        <v>4.440881802</v>
      </c>
      <c r="AB241" s="11">
        <f t="shared" si="5"/>
        <v>0.375151684</v>
      </c>
      <c r="AC241" s="11">
        <f t="shared" si="6"/>
        <v>0.5370716039</v>
      </c>
      <c r="AD241" s="4" t="str">
        <f>IF(AB241="","",IF(AB241&gt;=0.5+Config!$B$6,"OVER",IF(AC241&gt;=0.5+Config!$B$6,"UNDER","—")))</f>
        <v>—</v>
      </c>
      <c r="AE241" s="18">
        <f t="shared" si="7"/>
        <v>1.013995433</v>
      </c>
    </row>
    <row r="242" ht="15.75" customHeight="1">
      <c r="A242" s="4" t="s">
        <v>86</v>
      </c>
      <c r="B242" s="4" t="s">
        <v>838</v>
      </c>
      <c r="C242" s="4" t="s">
        <v>1515</v>
      </c>
      <c r="D242" s="4" t="s">
        <v>858</v>
      </c>
      <c r="E242" s="4" t="s">
        <v>2882</v>
      </c>
      <c r="F242" s="4">
        <v>16.5</v>
      </c>
      <c r="G242" s="12">
        <f t="array" ref="G242">IFERROR(INDEX(CHOOSE(MATCH($X242,{"K1","K2","K3","K12","K13","H1","H2","H3","H12","H13"},0),Calc!$V$2:$V$157,Calc!$AC$2:$AC$157,Calc!$AJ$2:$AJ$157,Calc!$AL$2:$AL$157,Calc!$AM$2:$AM$157,Calc!$W$2:$W$157,Calc!$AD$2:$AD$157,Calc!$AK$2:$AK$157,Calc!$AN$2:$AN$157,Calc!$AO$2:$AO$157),MATCH($W242,Calc!$A$2:$A$157,0)),"")</f>
        <v>17.36538462</v>
      </c>
      <c r="H242" s="12">
        <f t="array" ref="H242">IF(G242="","",IF(LEFT($X242,1)="H",SQRT(G242*(IFERROR(INDEX(Calc!$AP$2:$AP$157,MATCH($W242,Calc!$A$2:$A$157,0)),0.5)*Config!$B$5+1-IFERROR(INDEX(Calc!$AP$2:$AP$157,MATCH($W242,Calc!$A$2:$A$157,0)),0.5))),SQRT(G242*Config!$B$5)))</f>
        <v>4.930673226</v>
      </c>
      <c r="I242" s="11">
        <f t="shared" si="1"/>
        <v>0.569660715</v>
      </c>
      <c r="J242" s="11">
        <f t="shared" si="2"/>
        <v>0.430339285</v>
      </c>
      <c r="K242" s="11">
        <f t="shared" si="3"/>
        <v>0</v>
      </c>
      <c r="L242" s="4" t="str">
        <f>IF(I242="","",IF(I242&gt;=0.5+Config!$B$6,"OVER",IF(J242&gt;=0.5+Config!$B$6,"UNDER","—")))</f>
        <v>OVER</v>
      </c>
      <c r="N242" s="4">
        <v>16.4</v>
      </c>
      <c r="O242" s="11">
        <v>0.2</v>
      </c>
      <c r="P242" s="11">
        <v>0.3</v>
      </c>
      <c r="Q242" s="11">
        <v>0.47</v>
      </c>
      <c r="R242" s="4" t="s">
        <v>579</v>
      </c>
      <c r="S242" s="4">
        <v>-1.0</v>
      </c>
      <c r="T242" s="4" t="str">
        <f t="array" ref="T242">INDEX(Calc!$G$2:$G$157,MATCH($W242,Calc!$A$2:$A$157,0))</f>
        <v>Ancient</v>
      </c>
      <c r="U242" s="4" t="str">
        <f t="array" ref="U242">TEXT(INDEX(Calc!$J$2:$J$157,MATCH($W242,Calc!$A$2:$A$157,0)),"0.0")</f>
        <v>21.5</v>
      </c>
      <c r="V242" s="4" t="str">
        <f t="array" ref="V242">IFERROR(INDEX(Calc!$AQ$2:$AQ$157,MATCH($W242,Calc!$A$2:$A$157,0)),"")</f>
        <v/>
      </c>
      <c r="W242" s="4" t="s">
        <v>3257</v>
      </c>
      <c r="X242" s="4" t="s">
        <v>3202</v>
      </c>
      <c r="Y242" s="4" t="str">
        <f t="shared" si="4"/>
        <v>mti1aemn002cu5c|CS2 · VOCA vs PHA|K1</v>
      </c>
      <c r="Z242" s="12">
        <f t="array" ref="Z242">IFERROR(INDEX(CHOOSE(MATCH($X242,{"K1","K2","K3","K12","K13","H1","H2","H3","H12","H13"},0),Calc!$BA$2:$BA$157,Calc!$BB$2:$BB$157,Calc!$BC$2:$BC$157,Calc!$BD$2:$BD$157,Calc!$BE$2:$BE$157,Calc!$BF$2:$BF$157,Calc!$BG$2:$BG$157,Calc!$BH$2:$BH$157,Calc!$BI$2:$BI$157,Calc!$BJ$2:$BJ$157),MATCH($W242,Calc!$A$2:$A$157,0)),"")</f>
        <v>17.60842069</v>
      </c>
      <c r="AA242" s="12">
        <f t="array" ref="AA242">IF(Z242="","",IF(LEFT($X242,1)="H",SQRT(Z242*(IFERROR(INDEX(Calc!$AP$2:$AP$157,MATCH($W242,Calc!$A$2:$A$157,0)),0.5)*Config!$B$5+1-IFERROR(INDEX(Calc!$AP$2:$AP$157,MATCH($W242,Calc!$A$2:$A$157,0)),0.5))),SQRT(Z242*Config!$B$5)))</f>
        <v>4.965056795</v>
      </c>
      <c r="AB242" s="11">
        <f t="shared" si="5"/>
        <v>0.5883273175</v>
      </c>
      <c r="AC242" s="11">
        <f t="shared" si="6"/>
        <v>0.4116726825</v>
      </c>
      <c r="AD242" s="4" t="str">
        <f>IF(AB242="","",IF(AB242&gt;=0.5+Config!$B$6,"OVER",IF(AC242&gt;=0.5+Config!$B$6,"UNDER","—")))</f>
        <v>OVER</v>
      </c>
      <c r="AE242" s="18">
        <f t="shared" si="7"/>
        <v>1.013995433</v>
      </c>
    </row>
    <row r="243" ht="15.75" customHeight="1">
      <c r="A243" s="4" t="s">
        <v>86</v>
      </c>
      <c r="B243" s="4" t="s">
        <v>838</v>
      </c>
      <c r="C243" s="4" t="s">
        <v>1529</v>
      </c>
      <c r="D243" s="4" t="s">
        <v>858</v>
      </c>
      <c r="E243" s="4" t="s">
        <v>2880</v>
      </c>
      <c r="F243" s="4">
        <v>7.0</v>
      </c>
      <c r="G243" s="12">
        <f t="array" ref="G243">IFERROR(INDEX(CHOOSE(MATCH($X243,{"K1","K2","K3","K12","K13","H1","H2","H3","H12","H13"},0),Calc!$V$2:$V$157,Calc!$AC$2:$AC$157,Calc!$AJ$2:$AJ$157,Calc!$AL$2:$AL$157,Calc!$AM$2:$AM$157,Calc!$W$2:$W$157,Calc!$AD$2:$AD$157,Calc!$AK$2:$AK$157,Calc!$AN$2:$AN$157,Calc!$AO$2:$AO$157),MATCH($W243,Calc!$A$2:$A$157,0)),"")</f>
        <v>7.350171923</v>
      </c>
      <c r="H243" s="12">
        <f t="array" ref="H243">IF(G243="","",IF(LEFT($X243,1)="H",SQRT(G243*(IFERROR(INDEX(Calc!$AP$2:$AP$157,MATCH($W243,Calc!$A$2:$A$157,0)),0.5)*Config!$B$5+1-IFERROR(INDEX(Calc!$AP$2:$AP$157,MATCH($W243,Calc!$A$2:$A$157,0)),0.5))),SQRT(G243*Config!$B$5)))</f>
        <v>2.999869681</v>
      </c>
      <c r="I243" s="11">
        <f t="shared" si="1"/>
        <v>0.4800831636</v>
      </c>
      <c r="J243" s="11">
        <f t="shared" si="2"/>
        <v>0.3884339829</v>
      </c>
      <c r="K243" s="11">
        <f t="shared" si="3"/>
        <v>0.1314828535</v>
      </c>
      <c r="L243" s="4" t="str">
        <f>IF(I243="","",IF(I243&gt;=0.5+Config!$B$6,"OVER",IF(J243&gt;=0.5+Config!$B$6,"UNDER","—")))</f>
        <v>—</v>
      </c>
      <c r="N243" s="4">
        <v>6.3</v>
      </c>
      <c r="O243" s="11">
        <v>0.4</v>
      </c>
      <c r="P243" s="11">
        <v>0.4</v>
      </c>
      <c r="Q243" s="11">
        <v>0.6</v>
      </c>
      <c r="R243" s="4" t="s">
        <v>579</v>
      </c>
      <c r="S243" s="4">
        <v>-1.0</v>
      </c>
      <c r="T243" s="4" t="str">
        <f t="array" ref="T243">INDEX(Calc!$G$2:$G$157,MATCH($W243,Calc!$A$2:$A$157,0))</f>
        <v>Ancient</v>
      </c>
      <c r="U243" s="4" t="str">
        <f t="array" ref="U243">TEXT(INDEX(Calc!$J$2:$J$157,MATCH($W243,Calc!$A$2:$A$157,0)),"0.0")</f>
        <v>21.5</v>
      </c>
      <c r="V243" s="4" t="str">
        <f t="array" ref="V243">IFERROR(INDEX(Calc!$AQ$2:$AQ$157,MATCH($W243,Calc!$A$2:$A$157,0)),"")</f>
        <v/>
      </c>
      <c r="W243" s="4" t="s">
        <v>3258</v>
      </c>
      <c r="X243" s="4" t="s">
        <v>3201</v>
      </c>
      <c r="Y243" s="4" t="str">
        <f t="shared" si="4"/>
        <v>994hwd2k6wyzjfl|CS2 · VOCA vs PHA|H1</v>
      </c>
      <c r="Z243" s="12">
        <f t="array" ref="Z243">IFERROR(INDEX(CHOOSE(MATCH($X243,{"K1","K2","K3","K12","K13","H1","H2","H3","H12","H13"},0),Calc!$BA$2:$BA$157,Calc!$BB$2:$BB$157,Calc!$BC$2:$BC$157,Calc!$BD$2:$BD$157,Calc!$BE$2:$BE$157,Calc!$BF$2:$BF$157,Calc!$BG$2:$BG$157,Calc!$BH$2:$BH$157,Calc!$BI$2:$BI$157,Calc!$BJ$2:$BJ$157),MATCH($W243,Calc!$A$2:$A$157,0)),"")</f>
        <v>7.453040763</v>
      </c>
      <c r="AA243" s="12">
        <f t="array" ref="AA243">IF(Z243="","",IF(LEFT($X243,1)="H",SQRT(Z243*(IFERROR(INDEX(Calc!$AP$2:$AP$157,MATCH($W243,Calc!$A$2:$A$157,0)),0.5)*Config!$B$5+1-IFERROR(INDEX(Calc!$AP$2:$AP$157,MATCH($W243,Calc!$A$2:$A$157,0)),0.5))),SQRT(Z243*Config!$B$5)))</f>
        <v>3.020788979</v>
      </c>
      <c r="AB243" s="11">
        <f t="shared" si="5"/>
        <v>0.4937985504</v>
      </c>
      <c r="AC243" s="11">
        <f t="shared" si="6"/>
        <v>0.3761933074</v>
      </c>
      <c r="AD243" s="4" t="str">
        <f>IF(AB243="","",IF(AB243&gt;=0.5+Config!$B$6,"OVER",IF(AC243&gt;=0.5+Config!$B$6,"UNDER","—")))</f>
        <v>—</v>
      </c>
      <c r="AE243" s="18">
        <f t="shared" si="7"/>
        <v>1.013995433</v>
      </c>
    </row>
    <row r="244" ht="15.75" customHeight="1">
      <c r="A244" s="4" t="s">
        <v>86</v>
      </c>
      <c r="B244" s="4" t="s">
        <v>838</v>
      </c>
      <c r="C244" s="4" t="s">
        <v>1529</v>
      </c>
      <c r="D244" s="4" t="s">
        <v>858</v>
      </c>
      <c r="E244" s="4" t="s">
        <v>2882</v>
      </c>
      <c r="F244" s="4">
        <v>13.0</v>
      </c>
      <c r="G244" s="12">
        <f t="array" ref="G244">IFERROR(INDEX(CHOOSE(MATCH($X244,{"K1","K2","K3","K12","K13","H1","H2","H3","H12","H13"},0),Calc!$V$2:$V$157,Calc!$AC$2:$AC$157,Calc!$AJ$2:$AJ$157,Calc!$AL$2:$AL$157,Calc!$AM$2:$AM$157,Calc!$W$2:$W$157,Calc!$AD$2:$AD$157,Calc!$AK$2:$AK$157,Calc!$AN$2:$AN$157,Calc!$AO$2:$AO$157),MATCH($W244,Calc!$A$2:$A$157,0)),"")</f>
        <v>12.255</v>
      </c>
      <c r="H244" s="12">
        <f t="array" ref="H244">IF(G244="","",IF(LEFT($X244,1)="H",SQRT(G244*(IFERROR(INDEX(Calc!$AP$2:$AP$157,MATCH($W244,Calc!$A$2:$A$157,0)),0.5)*Config!$B$5+1-IFERROR(INDEX(Calc!$AP$2:$AP$157,MATCH($W244,Calc!$A$2:$A$157,0)),0.5))),SQRT(G244*Config!$B$5)))</f>
        <v>4.142100916</v>
      </c>
      <c r="I244" s="11">
        <f t="shared" si="1"/>
        <v>0.3818704019</v>
      </c>
      <c r="J244" s="11">
        <f t="shared" si="2"/>
        <v>0.5235831763</v>
      </c>
      <c r="K244" s="11">
        <f t="shared" si="3"/>
        <v>0.09454642176</v>
      </c>
      <c r="L244" s="4" t="str">
        <f>IF(I244="","",IF(I244&gt;=0.5+Config!$B$6,"OVER",IF(J244&gt;=0.5+Config!$B$6,"UNDER","—")))</f>
        <v>—</v>
      </c>
      <c r="N244" s="4">
        <v>11.3</v>
      </c>
      <c r="O244" s="11">
        <v>0.2</v>
      </c>
      <c r="P244" s="11">
        <v>0.2</v>
      </c>
      <c r="Q244" s="11">
        <v>0.4</v>
      </c>
      <c r="R244" s="4" t="s">
        <v>579</v>
      </c>
      <c r="S244" s="4">
        <v>-1.0</v>
      </c>
      <c r="T244" s="4" t="str">
        <f t="array" ref="T244">INDEX(Calc!$G$2:$G$157,MATCH($W244,Calc!$A$2:$A$157,0))</f>
        <v>Ancient</v>
      </c>
      <c r="U244" s="4" t="str">
        <f t="array" ref="U244">TEXT(INDEX(Calc!$J$2:$J$157,MATCH($W244,Calc!$A$2:$A$157,0)),"0.0")</f>
        <v>21.5</v>
      </c>
      <c r="V244" s="4" t="str">
        <f t="array" ref="V244">IFERROR(INDEX(Calc!$AQ$2:$AQ$157,MATCH($W244,Calc!$A$2:$A$157,0)),"")</f>
        <v/>
      </c>
      <c r="W244" s="4" t="s">
        <v>3258</v>
      </c>
      <c r="X244" s="4" t="s">
        <v>3202</v>
      </c>
      <c r="Y244" s="4" t="str">
        <f t="shared" si="4"/>
        <v>994hwd2k6wyzjfl|CS2 · VOCA vs PHA|K1</v>
      </c>
      <c r="Z244" s="12">
        <f t="array" ref="Z244">IFERROR(INDEX(CHOOSE(MATCH($X244,{"K1","K2","K3","K12","K13","H1","H2","H3","H12","H13"},0),Calc!$BA$2:$BA$157,Calc!$BB$2:$BB$157,Calc!$BC$2:$BC$157,Calc!$BD$2:$BD$157,Calc!$BE$2:$BE$157,Calc!$BF$2:$BF$157,Calc!$BG$2:$BG$157,Calc!$BH$2:$BH$157,Calc!$BI$2:$BI$157,Calc!$BJ$2:$BJ$157),MATCH($W244,Calc!$A$2:$A$157,0)),"")</f>
        <v>12.42651403</v>
      </c>
      <c r="AA244" s="12">
        <f t="array" ref="AA244">IF(Z244="","",IF(LEFT($X244,1)="H",SQRT(Z244*(IFERROR(INDEX(Calc!$AP$2:$AP$157,MATCH($W244,Calc!$A$2:$A$157,0)),0.5)*Config!$B$5+1-IFERROR(INDEX(Calc!$AP$2:$AP$157,MATCH($W244,Calc!$A$2:$A$157,0)),0.5))),SQRT(Z244*Config!$B$5)))</f>
        <v>4.170985453</v>
      </c>
      <c r="AB244" s="11">
        <f t="shared" si="5"/>
        <v>0.3984466315</v>
      </c>
      <c r="AC244" s="11">
        <f t="shared" si="6"/>
        <v>0.5070283493</v>
      </c>
      <c r="AD244" s="4" t="str">
        <f>IF(AB244="","",IF(AB244&gt;=0.5+Config!$B$6,"OVER",IF(AC244&gt;=0.5+Config!$B$6,"UNDER","—")))</f>
        <v>—</v>
      </c>
      <c r="AE244" s="18">
        <f t="shared" si="7"/>
        <v>1.013995433</v>
      </c>
    </row>
    <row r="245" ht="15.75" customHeight="1">
      <c r="A245" s="4" t="s">
        <v>86</v>
      </c>
      <c r="B245" s="4" t="s">
        <v>838</v>
      </c>
      <c r="C245" s="4" t="s">
        <v>1548</v>
      </c>
      <c r="D245" s="4" t="s">
        <v>856</v>
      </c>
      <c r="E245" s="4" t="s">
        <v>2880</v>
      </c>
      <c r="F245" s="4">
        <v>8.0</v>
      </c>
      <c r="G245" s="12">
        <f t="array" ref="G245">IFERROR(INDEX(CHOOSE(MATCH($X245,{"K1","K2","K3","K12","K13","H1","H2","H3","H12","H13"},0),Calc!$V$2:$V$157,Calc!$AC$2:$AC$157,Calc!$AJ$2:$AJ$157,Calc!$AL$2:$AL$157,Calc!$AM$2:$AM$157,Calc!$W$2:$W$157,Calc!$AD$2:$AD$157,Calc!$AK$2:$AK$157,Calc!$AN$2:$AN$157,Calc!$AO$2:$AO$157),MATCH($W245,Calc!$A$2:$A$157,0)),"")</f>
        <v>8.23056199</v>
      </c>
      <c r="H245" s="12">
        <f t="array" ref="H245">IF(G245="","",IF(LEFT($X245,1)="H",SQRT(G245*(IFERROR(INDEX(Calc!$AP$2:$AP$157,MATCH($W245,Calc!$A$2:$A$157,0)),0.5)*Config!$B$5+1-IFERROR(INDEX(Calc!$AP$2:$AP$157,MATCH($W245,Calc!$A$2:$A$157,0)),0.5))),SQRT(G245*Config!$B$5)))</f>
        <v>3.150810774</v>
      </c>
      <c r="I245" s="11">
        <f t="shared" si="1"/>
        <v>0.4659264362</v>
      </c>
      <c r="J245" s="11">
        <f t="shared" si="2"/>
        <v>0.4083215273</v>
      </c>
      <c r="K245" s="11">
        <f t="shared" si="3"/>
        <v>0.1257520365</v>
      </c>
      <c r="L245" s="4" t="str">
        <f>IF(I245="","",IF(I245&gt;=0.5+Config!$B$6,"OVER",IF(J245&gt;=0.5+Config!$B$6,"UNDER","—")))</f>
        <v>—</v>
      </c>
      <c r="N245" s="4">
        <v>8.2</v>
      </c>
      <c r="O245" s="11">
        <v>0.6</v>
      </c>
      <c r="P245" s="11">
        <v>0.5</v>
      </c>
      <c r="Q245" s="11">
        <v>0.67</v>
      </c>
      <c r="R245" s="4" t="s">
        <v>579</v>
      </c>
      <c r="S245" s="4">
        <v>3.0</v>
      </c>
      <c r="T245" s="4" t="str">
        <f t="array" ref="T245">INDEX(Calc!$G$2:$G$157,MATCH($W245,Calc!$A$2:$A$157,0))</f>
        <v>Ancient</v>
      </c>
      <c r="U245" s="4" t="str">
        <f t="array" ref="U245">TEXT(INDEX(Calc!$J$2:$J$157,MATCH($W245,Calc!$A$2:$A$157,0)),"0.0")</f>
        <v>21.5</v>
      </c>
      <c r="V245" s="4" t="str">
        <f t="array" ref="V245">IFERROR(INDEX(Calc!$AQ$2:$AQ$157,MATCH($W245,Calc!$A$2:$A$157,0)),"")</f>
        <v/>
      </c>
      <c r="W245" s="4" t="s">
        <v>3259</v>
      </c>
      <c r="X245" s="4" t="s">
        <v>3201</v>
      </c>
      <c r="Y245" s="4" t="str">
        <f t="shared" si="4"/>
        <v>al57ba5j0f51eq6|CS2 · VOCA vs PHA|H1</v>
      </c>
      <c r="Z245" s="12">
        <f t="array" ref="Z245">IFERROR(INDEX(CHOOSE(MATCH($X245,{"K1","K2","K3","K12","K13","H1","H2","H3","H12","H13"},0),Calc!$BA$2:$BA$157,Calc!$BB$2:$BB$157,Calc!$BC$2:$BC$157,Calc!$BD$2:$BD$157,Calc!$BE$2:$BE$157,Calc!$BF$2:$BF$157,Calc!$BG$2:$BG$157,Calc!$BH$2:$BH$157,Calc!$BI$2:$BI$157,Calc!$BJ$2:$BJ$157),MATCH($W245,Calc!$A$2:$A$157,0)),"")</f>
        <v>7.890264005</v>
      </c>
      <c r="AA245" s="12">
        <f t="array" ref="AA245">IF(Z245="","",IF(LEFT($X245,1)="H",SQRT(Z245*(IFERROR(INDEX(Calc!$AP$2:$AP$157,MATCH($W245,Calc!$A$2:$A$157,0)),0.5)*Config!$B$5+1-IFERROR(INDEX(Calc!$AP$2:$AP$157,MATCH($W245,Calc!$A$2:$A$157,0)),0.5))),SQRT(Z245*Config!$B$5)))</f>
        <v>3.084987042</v>
      </c>
      <c r="AB245" s="11">
        <f t="shared" si="5"/>
        <v>0.421660939</v>
      </c>
      <c r="AC245" s="11">
        <f t="shared" si="6"/>
        <v>0.4496663883</v>
      </c>
      <c r="AD245" s="4" t="str">
        <f>IF(AB245="","",IF(AB245&gt;=0.5+Config!$B$6,"OVER",IF(AC245&gt;=0.5+Config!$B$6,"UNDER","—")))</f>
        <v>—</v>
      </c>
      <c r="AE245" s="18">
        <f t="shared" si="7"/>
        <v>0.958654344</v>
      </c>
    </row>
    <row r="246" ht="15.75" customHeight="1">
      <c r="A246" s="4" t="s">
        <v>86</v>
      </c>
      <c r="B246" s="4" t="s">
        <v>838</v>
      </c>
      <c r="C246" s="4" t="s">
        <v>1548</v>
      </c>
      <c r="D246" s="4" t="s">
        <v>856</v>
      </c>
      <c r="E246" s="4" t="s">
        <v>2882</v>
      </c>
      <c r="F246" s="4">
        <v>15.5</v>
      </c>
      <c r="G246" s="12">
        <f t="array" ref="G246">IFERROR(INDEX(CHOOSE(MATCH($X246,{"K1","K2","K3","K12","K13","H1","H2","H3","H12","H13"},0),Calc!$V$2:$V$157,Calc!$AC$2:$AC$157,Calc!$AJ$2:$AJ$157,Calc!$AL$2:$AL$157,Calc!$AM$2:$AM$157,Calc!$W$2:$W$157,Calc!$AD$2:$AD$157,Calc!$AK$2:$AK$157,Calc!$AN$2:$AN$157,Calc!$AO$2:$AO$157),MATCH($W246,Calc!$A$2:$A$157,0)),"")</f>
        <v>16.72392857</v>
      </c>
      <c r="H246" s="12">
        <f t="array" ref="H246">IF(G246="","",IF(LEFT($X246,1)="H",SQRT(G246*(IFERROR(INDEX(Calc!$AP$2:$AP$157,MATCH($W246,Calc!$A$2:$A$157,0)),0.5)*Config!$B$5+1-IFERROR(INDEX(Calc!$AP$2:$AP$157,MATCH($W246,Calc!$A$2:$A$157,0)),0.5))),SQRT(G246*Config!$B$5)))</f>
        <v>4.838749839</v>
      </c>
      <c r="I246" s="11">
        <f t="shared" si="1"/>
        <v>0.5998439234</v>
      </c>
      <c r="J246" s="11">
        <f t="shared" si="2"/>
        <v>0.4001560766</v>
      </c>
      <c r="K246" s="11">
        <f t="shared" si="3"/>
        <v>0</v>
      </c>
      <c r="L246" s="4" t="str">
        <f>IF(I246="","",IF(I246&gt;=0.5+Config!$B$6,"OVER",IF(J246&gt;=0.5+Config!$B$6,"UNDER","—")))</f>
        <v>OVER</v>
      </c>
      <c r="N246" s="4">
        <v>17.0</v>
      </c>
      <c r="O246" s="11">
        <v>0.4</v>
      </c>
      <c r="P246" s="11">
        <v>0.4</v>
      </c>
      <c r="Q246" s="11">
        <v>0.47</v>
      </c>
      <c r="R246" s="4" t="s">
        <v>579</v>
      </c>
      <c r="S246" s="4">
        <v>-1.0</v>
      </c>
      <c r="T246" s="4" t="str">
        <f t="array" ref="T246">INDEX(Calc!$G$2:$G$157,MATCH($W246,Calc!$A$2:$A$157,0))</f>
        <v>Ancient</v>
      </c>
      <c r="U246" s="4" t="str">
        <f t="array" ref="U246">TEXT(INDEX(Calc!$J$2:$J$157,MATCH($W246,Calc!$A$2:$A$157,0)),"0.0")</f>
        <v>21.5</v>
      </c>
      <c r="V246" s="4" t="str">
        <f t="array" ref="V246">IFERROR(INDEX(Calc!$AQ$2:$AQ$157,MATCH($W246,Calc!$A$2:$A$157,0)),"")</f>
        <v/>
      </c>
      <c r="W246" s="4" t="s">
        <v>3259</v>
      </c>
      <c r="X246" s="4" t="s">
        <v>3202</v>
      </c>
      <c r="Y246" s="4" t="str">
        <f t="shared" si="4"/>
        <v>al57ba5j0f51eq6|CS2 · VOCA vs PHA|K1</v>
      </c>
      <c r="Z246" s="12">
        <f t="array" ref="Z246">IFERROR(INDEX(CHOOSE(MATCH($X246,{"K1","K2","K3","K12","K13","H1","H2","H3","H12","H13"},0),Calc!$BA$2:$BA$157,Calc!$BB$2:$BB$157,Calc!$BC$2:$BC$157,Calc!$BD$2:$BD$157,Calc!$BE$2:$BE$157,Calc!$BF$2:$BF$157,Calc!$BG$2:$BG$157,Calc!$BH$2:$BH$157,Calc!$BI$2:$BI$157,Calc!$BJ$2:$BJ$157),MATCH($W246,Calc!$A$2:$A$157,0)),"")</f>
        <v>16.03246677</v>
      </c>
      <c r="AA246" s="12">
        <f t="array" ref="AA246">IF(Z246="","",IF(LEFT($X246,1)="H",SQRT(Z246*(IFERROR(INDEX(Calc!$AP$2:$AP$157,MATCH($W246,Calc!$A$2:$A$157,0)),0.5)*Config!$B$5+1-IFERROR(INDEX(Calc!$AP$2:$AP$157,MATCH($W246,Calc!$A$2:$A$157,0)),0.5))),SQRT(Z246*Config!$B$5)))</f>
        <v>4.737663294</v>
      </c>
      <c r="AB246" s="11">
        <f t="shared" si="5"/>
        <v>0.5447429746</v>
      </c>
      <c r="AC246" s="11">
        <f t="shared" si="6"/>
        <v>0.4552570254</v>
      </c>
      <c r="AD246" s="4" t="str">
        <f>IF(AB246="","",IF(AB246&gt;=0.5+Config!$B$6,"OVER",IF(AC246&gt;=0.5+Config!$B$6,"UNDER","—")))</f>
        <v>OVER</v>
      </c>
      <c r="AE246" s="18">
        <f t="shared" si="7"/>
        <v>0.958654344</v>
      </c>
    </row>
    <row r="247" ht="15.75" customHeight="1">
      <c r="A247" s="4" t="s">
        <v>86</v>
      </c>
      <c r="B247" s="4" t="s">
        <v>838</v>
      </c>
      <c r="C247" s="4" t="s">
        <v>1552</v>
      </c>
      <c r="D247" s="4" t="s">
        <v>856</v>
      </c>
      <c r="E247" s="4" t="s">
        <v>2882</v>
      </c>
      <c r="F247" s="4">
        <v>15.5</v>
      </c>
      <c r="G247" s="12">
        <f t="array" ref="G247">IFERROR(INDEX(CHOOSE(MATCH($X247,{"K1","K2","K3","K12","K13","H1","H2","H3","H12","H13"},0),Calc!$V$2:$V$157,Calc!$AC$2:$AC$157,Calc!$AJ$2:$AJ$157,Calc!$AL$2:$AL$157,Calc!$AM$2:$AM$157,Calc!$W$2:$W$157,Calc!$AD$2:$AD$157,Calc!$AK$2:$AK$157,Calc!$AN$2:$AN$157,Calc!$AO$2:$AO$157),MATCH($W247,Calc!$A$2:$A$157,0)),"")</f>
        <v>14.80428571</v>
      </c>
      <c r="H247" s="12">
        <f t="array" ref="H247">IF(G247="","",IF(LEFT($X247,1)="H",SQRT(G247*(IFERROR(INDEX(Calc!$AP$2:$AP$157,MATCH($W247,Calc!$A$2:$A$157,0)),0.5)*Config!$B$5+1-IFERROR(INDEX(Calc!$AP$2:$AP$157,MATCH($W247,Calc!$A$2:$A$157,0)),0.5))),SQRT(G247*Config!$B$5)))</f>
        <v>4.552581685</v>
      </c>
      <c r="I247" s="11">
        <f t="shared" si="1"/>
        <v>0.4392710868</v>
      </c>
      <c r="J247" s="11">
        <f t="shared" si="2"/>
        <v>0.5607289132</v>
      </c>
      <c r="K247" s="11">
        <f t="shared" si="3"/>
        <v>0</v>
      </c>
      <c r="L247" s="4" t="str">
        <f>IF(I247="","",IF(I247&gt;=0.5+Config!$B$6,"OVER",IF(J247&gt;=0.5+Config!$B$6,"UNDER","—")))</f>
        <v>UNDER</v>
      </c>
      <c r="N247" s="4">
        <v>15.8</v>
      </c>
      <c r="O247" s="11">
        <v>0.4</v>
      </c>
      <c r="P247" s="11">
        <v>0.4</v>
      </c>
      <c r="Q247" s="11">
        <v>0.6</v>
      </c>
      <c r="R247" s="4" t="s">
        <v>579</v>
      </c>
      <c r="S247" s="4">
        <v>1.0</v>
      </c>
      <c r="T247" s="4" t="str">
        <f t="array" ref="T247">INDEX(Calc!$G$2:$G$157,MATCH($W247,Calc!$A$2:$A$157,0))</f>
        <v>Ancient</v>
      </c>
      <c r="U247" s="4" t="str">
        <f t="array" ref="U247">TEXT(INDEX(Calc!$J$2:$J$157,MATCH($W247,Calc!$A$2:$A$157,0)),"0.0")</f>
        <v>21.5</v>
      </c>
      <c r="V247" s="4" t="str">
        <f t="array" ref="V247">IFERROR(INDEX(Calc!$AQ$2:$AQ$157,MATCH($W247,Calc!$A$2:$A$157,0)),"")</f>
        <v/>
      </c>
      <c r="W247" s="4" t="s">
        <v>3260</v>
      </c>
      <c r="X247" s="4" t="s">
        <v>3202</v>
      </c>
      <c r="Y247" s="4" t="str">
        <f t="shared" si="4"/>
        <v>bf5itcax7wycz9n|CS2 · VOCA vs PHA|K1</v>
      </c>
      <c r="Z247" s="12">
        <f t="array" ref="Z247">IFERROR(INDEX(CHOOSE(MATCH($X247,{"K1","K2","K3","K12","K13","H1","H2","H3","H12","H13"},0),Calc!$BA$2:$BA$157,Calc!$BB$2:$BB$157,Calc!$BC$2:$BC$157,Calc!$BD$2:$BD$157,Calc!$BE$2:$BE$157,Calc!$BF$2:$BF$157,Calc!$BG$2:$BG$157,Calc!$BH$2:$BH$157,Calc!$BI$2:$BI$157,Calc!$BJ$2:$BJ$157),MATCH($W247,Calc!$A$2:$A$157,0)),"")</f>
        <v>14.19219281</v>
      </c>
      <c r="AA247" s="12">
        <f t="array" ref="AA247">IF(Z247="","",IF(LEFT($X247,1)="H",SQRT(Z247*(IFERROR(INDEX(Calc!$AP$2:$AP$157,MATCH($W247,Calc!$A$2:$A$157,0)),0.5)*Config!$B$5+1-IFERROR(INDEX(Calc!$AP$2:$AP$157,MATCH($W247,Calc!$A$2:$A$157,0)),0.5))),SQRT(Z247*Config!$B$5)))</f>
        <v>4.457473492</v>
      </c>
      <c r="AB247" s="11">
        <f t="shared" si="5"/>
        <v>0.3846095443</v>
      </c>
      <c r="AC247" s="11">
        <f t="shared" si="6"/>
        <v>0.6153904557</v>
      </c>
      <c r="AD247" s="4" t="str">
        <f>IF(AB247="","",IF(AB247&gt;=0.5+Config!$B$6,"OVER",IF(AC247&gt;=0.5+Config!$B$6,"UNDER","—")))</f>
        <v>UNDER</v>
      </c>
      <c r="AE247" s="18">
        <f t="shared" si="7"/>
        <v>0.958654344</v>
      </c>
    </row>
    <row r="248" ht="15.75" customHeight="1">
      <c r="A248" s="4" t="s">
        <v>86</v>
      </c>
      <c r="B248" s="4" t="s">
        <v>838</v>
      </c>
      <c r="C248" s="4" t="s">
        <v>1555</v>
      </c>
      <c r="D248" s="4" t="s">
        <v>856</v>
      </c>
      <c r="E248" s="4" t="s">
        <v>2880</v>
      </c>
      <c r="F248" s="4">
        <v>8.5</v>
      </c>
      <c r="G248" s="12">
        <f t="array" ref="G248">IFERROR(INDEX(CHOOSE(MATCH($X248,{"K1","K2","K3","K12","K13","H1","H2","H3","H12","H13"},0),Calc!$V$2:$V$157,Calc!$AC$2:$AC$157,Calc!$AJ$2:$AJ$157,Calc!$AL$2:$AL$157,Calc!$AM$2:$AM$157,Calc!$W$2:$W$157,Calc!$AD$2:$AD$157,Calc!$AK$2:$AK$157,Calc!$AN$2:$AN$157,Calc!$AO$2:$AO$157),MATCH($W248,Calc!$A$2:$A$157,0)),"")</f>
        <v>9.622013469</v>
      </c>
      <c r="H248" s="12">
        <f t="array" ref="H248">IF(G248="","",IF(LEFT($X248,1)="H",SQRT(G248*(IFERROR(INDEX(Calc!$AP$2:$AP$157,MATCH($W248,Calc!$A$2:$A$157,0)),0.5)*Config!$B$5+1-IFERROR(INDEX(Calc!$AP$2:$AP$157,MATCH($W248,Calc!$A$2:$A$157,0)),0.5))),SQRT(G248*Config!$B$5)))</f>
        <v>3.442909372</v>
      </c>
      <c r="I248" s="11">
        <f t="shared" si="1"/>
        <v>0.6277466194</v>
      </c>
      <c r="J248" s="11">
        <f t="shared" si="2"/>
        <v>0.3722533806</v>
      </c>
      <c r="K248" s="11">
        <f t="shared" si="3"/>
        <v>0</v>
      </c>
      <c r="L248" s="4" t="str">
        <f>IF(I248="","",IF(I248&gt;=0.5+Config!$B$6,"OVER",IF(J248&gt;=0.5+Config!$B$6,"UNDER","—")))</f>
        <v>OVER</v>
      </c>
      <c r="N248" s="4">
        <v>8.3</v>
      </c>
      <c r="O248" s="11">
        <v>0.2</v>
      </c>
      <c r="P248" s="11">
        <v>0.5</v>
      </c>
      <c r="Q248" s="11">
        <v>0.53</v>
      </c>
      <c r="R248" s="4" t="s">
        <v>579</v>
      </c>
      <c r="S248" s="4">
        <v>1.0</v>
      </c>
      <c r="T248" s="4" t="str">
        <f t="array" ref="T248">INDEX(Calc!$G$2:$G$157,MATCH($W248,Calc!$A$2:$A$157,0))</f>
        <v>Ancient</v>
      </c>
      <c r="U248" s="4" t="str">
        <f t="array" ref="U248">TEXT(INDEX(Calc!$J$2:$J$157,MATCH($W248,Calc!$A$2:$A$157,0)),"0.0")</f>
        <v>21.5</v>
      </c>
      <c r="V248" s="4" t="str">
        <f t="array" ref="V248">IFERROR(INDEX(Calc!$AQ$2:$AQ$157,MATCH($W248,Calc!$A$2:$A$157,0)),"")</f>
        <v/>
      </c>
      <c r="W248" s="4" t="s">
        <v>3261</v>
      </c>
      <c r="X248" s="4" t="s">
        <v>3201</v>
      </c>
      <c r="Y248" s="4" t="str">
        <f t="shared" si="4"/>
        <v>30mdsslkk2b2chl|CS2 · VOCA vs PHA|H1</v>
      </c>
      <c r="Z248" s="12">
        <f t="array" ref="Z248">IFERROR(INDEX(CHOOSE(MATCH($X248,{"K1","K2","K3","K12","K13","H1","H2","H3","H12","H13"},0),Calc!$BA$2:$BA$157,Calc!$BB$2:$BB$157,Calc!$BC$2:$BC$157,Calc!$BD$2:$BD$157,Calc!$BE$2:$BE$157,Calc!$BF$2:$BF$157,Calc!$BG$2:$BG$157,Calc!$BH$2:$BH$157,Calc!$BI$2:$BI$157,Calc!$BJ$2:$BJ$157),MATCH($W248,Calc!$A$2:$A$157,0)),"")</f>
        <v>9.22418501</v>
      </c>
      <c r="AA248" s="12">
        <f t="array" ref="AA248">IF(Z248="","",IF(LEFT($X248,1)="H",SQRT(Z248*(IFERROR(INDEX(Calc!$AP$2:$AP$157,MATCH($W248,Calc!$A$2:$A$157,0)),0.5)*Config!$B$5+1-IFERROR(INDEX(Calc!$AP$2:$AP$157,MATCH($W248,Calc!$A$2:$A$157,0)),0.5))),SQRT(Z248*Config!$B$5)))</f>
        <v>3.370983394</v>
      </c>
      <c r="AB248" s="11">
        <f t="shared" si="5"/>
        <v>0.5850496812</v>
      </c>
      <c r="AC248" s="11">
        <f t="shared" si="6"/>
        <v>0.4149503188</v>
      </c>
      <c r="AD248" s="4" t="str">
        <f>IF(AB248="","",IF(AB248&gt;=0.5+Config!$B$6,"OVER",IF(AC248&gt;=0.5+Config!$B$6,"UNDER","—")))</f>
        <v>OVER</v>
      </c>
      <c r="AE248" s="18">
        <f t="shared" si="7"/>
        <v>0.958654344</v>
      </c>
    </row>
    <row r="249" ht="15.75" customHeight="1">
      <c r="A249" s="4" t="s">
        <v>86</v>
      </c>
      <c r="B249" s="4" t="s">
        <v>838</v>
      </c>
      <c r="C249" s="4" t="s">
        <v>1555</v>
      </c>
      <c r="D249" s="4" t="s">
        <v>856</v>
      </c>
      <c r="E249" s="4" t="s">
        <v>2882</v>
      </c>
      <c r="F249" s="4">
        <v>15.5</v>
      </c>
      <c r="G249" s="12">
        <f t="array" ref="G249">IFERROR(INDEX(CHOOSE(MATCH($X249,{"K1","K2","K3","K12","K13","H1","H2","H3","H12","H13"},0),Calc!$V$2:$V$157,Calc!$AC$2:$AC$157,Calc!$AJ$2:$AJ$157,Calc!$AL$2:$AL$157,Calc!$AM$2:$AM$157,Calc!$W$2:$W$157,Calc!$AD$2:$AD$157,Calc!$AK$2:$AK$157,Calc!$AN$2:$AN$157,Calc!$AO$2:$AO$157),MATCH($W249,Calc!$A$2:$A$157,0)),"")</f>
        <v>17.26142857</v>
      </c>
      <c r="H249" s="12">
        <f t="array" ref="H249">IF(G249="","",IF(LEFT($X249,1)="H",SQRT(G249*(IFERROR(INDEX(Calc!$AP$2:$AP$157,MATCH($W249,Calc!$A$2:$A$157,0)),0.5)*Config!$B$5+1-IFERROR(INDEX(Calc!$AP$2:$AP$157,MATCH($W249,Calc!$A$2:$A$157,0)),0.5))),SQRT(G249*Config!$B$5)))</f>
        <v>4.915892594</v>
      </c>
      <c r="I249" s="11">
        <f t="shared" si="1"/>
        <v>0.6399454812</v>
      </c>
      <c r="J249" s="11">
        <f t="shared" si="2"/>
        <v>0.3600545188</v>
      </c>
      <c r="K249" s="11">
        <f t="shared" si="3"/>
        <v>0</v>
      </c>
      <c r="L249" s="4" t="str">
        <f>IF(I249="","",IF(I249&gt;=0.5+Config!$B$6,"OVER",IF(J249&gt;=0.5+Config!$B$6,"UNDER","—")))</f>
        <v>OVER</v>
      </c>
      <c r="N249" s="4">
        <v>15.3</v>
      </c>
      <c r="O249" s="11">
        <v>0.2</v>
      </c>
      <c r="P249" s="11">
        <v>0.5</v>
      </c>
      <c r="Q249" s="11">
        <v>0.6</v>
      </c>
      <c r="R249" s="4" t="s">
        <v>579</v>
      </c>
      <c r="S249" s="4">
        <v>-1.0</v>
      </c>
      <c r="T249" s="4" t="str">
        <f t="array" ref="T249">INDEX(Calc!$G$2:$G$157,MATCH($W249,Calc!$A$2:$A$157,0))</f>
        <v>Ancient</v>
      </c>
      <c r="U249" s="4" t="str">
        <f t="array" ref="U249">TEXT(INDEX(Calc!$J$2:$J$157,MATCH($W249,Calc!$A$2:$A$157,0)),"0.0")</f>
        <v>21.5</v>
      </c>
      <c r="V249" s="4" t="str">
        <f t="array" ref="V249">IFERROR(INDEX(Calc!$AQ$2:$AQ$157,MATCH($W249,Calc!$A$2:$A$157,0)),"")</f>
        <v/>
      </c>
      <c r="W249" s="4" t="s">
        <v>3261</v>
      </c>
      <c r="X249" s="4" t="s">
        <v>3202</v>
      </c>
      <c r="Y249" s="4" t="str">
        <f t="shared" si="4"/>
        <v>30mdsslkk2b2chl|CS2 · VOCA vs PHA|K1</v>
      </c>
      <c r="Z249" s="12">
        <f t="array" ref="Z249">IFERROR(INDEX(CHOOSE(MATCH($X249,{"K1","K2","K3","K12","K13","H1","H2","H3","H12","H13"},0),Calc!$BA$2:$BA$157,Calc!$BB$2:$BB$157,Calc!$BC$2:$BC$157,Calc!$BD$2:$BD$157,Calc!$BE$2:$BE$157,Calc!$BF$2:$BF$157,Calc!$BG$2:$BG$157,Calc!$BH$2:$BH$157,Calc!$BI$2:$BI$157,Calc!$BJ$2:$BJ$157),MATCH($W249,Calc!$A$2:$A$157,0)),"")</f>
        <v>16.54774348</v>
      </c>
      <c r="AA249" s="12">
        <f t="array" ref="AA249">IF(Z249="","",IF(LEFT($X249,1)="H",SQRT(Z249*(IFERROR(INDEX(Calc!$AP$2:$AP$157,MATCH($W249,Calc!$A$2:$A$157,0)),0.5)*Config!$B$5+1-IFERROR(INDEX(Calc!$AP$2:$AP$157,MATCH($W249,Calc!$A$2:$A$157,0)),0.5))),SQRT(Z249*Config!$B$5)))</f>
        <v>4.813194457</v>
      </c>
      <c r="AB249" s="11">
        <f t="shared" si="5"/>
        <v>0.5861613682</v>
      </c>
      <c r="AC249" s="11">
        <f t="shared" si="6"/>
        <v>0.4138386318</v>
      </c>
      <c r="AD249" s="4" t="str">
        <f>IF(AB249="","",IF(AB249&gt;=0.5+Config!$B$6,"OVER",IF(AC249&gt;=0.5+Config!$B$6,"UNDER","—")))</f>
        <v>OVER</v>
      </c>
      <c r="AE249" s="18">
        <f t="shared" si="7"/>
        <v>0.958654344</v>
      </c>
    </row>
    <row r="250" ht="15.75" customHeight="1">
      <c r="A250" s="4" t="s">
        <v>86</v>
      </c>
      <c r="B250" s="4" t="s">
        <v>838</v>
      </c>
      <c r="C250" s="4" t="s">
        <v>1558</v>
      </c>
      <c r="D250" s="4" t="s">
        <v>856</v>
      </c>
      <c r="E250" s="4" t="s">
        <v>2880</v>
      </c>
      <c r="F250" s="4">
        <v>7.0</v>
      </c>
      <c r="G250" s="12">
        <f t="array" ref="G250">IFERROR(INDEX(CHOOSE(MATCH($X250,{"K1","K2","K3","K12","K13","H1","H2","H3","H12","H13"},0),Calc!$V$2:$V$157,Calc!$AC$2:$AC$157,Calc!$AJ$2:$AJ$157,Calc!$AL$2:$AL$157,Calc!$AM$2:$AM$157,Calc!$W$2:$W$157,Calc!$AD$2:$AD$157,Calc!$AK$2:$AK$157,Calc!$AN$2:$AN$157,Calc!$AO$2:$AO$157),MATCH($W250,Calc!$A$2:$A$157,0)),"")</f>
        <v>6.982111837</v>
      </c>
      <c r="H250" s="12">
        <f t="array" ref="H250">IF(G250="","",IF(LEFT($X250,1)="H",SQRT(G250*(IFERROR(INDEX(Calc!$AP$2:$AP$157,MATCH($W250,Calc!$A$2:$A$157,0)),0.5)*Config!$B$5+1-IFERROR(INDEX(Calc!$AP$2:$AP$157,MATCH($W250,Calc!$A$2:$A$157,0)),0.5))),SQRT(G250*Config!$B$5)))</f>
        <v>2.891941118</v>
      </c>
      <c r="I250" s="11">
        <f t="shared" si="1"/>
        <v>0.4289375314</v>
      </c>
      <c r="J250" s="11">
        <f t="shared" si="2"/>
        <v>0.4337996173</v>
      </c>
      <c r="K250" s="11">
        <f t="shared" si="3"/>
        <v>0.1372628513</v>
      </c>
      <c r="L250" s="4" t="str">
        <f>IF(I250="","",IF(I250&gt;=0.5+Config!$B$6,"OVER",IF(J250&gt;=0.5+Config!$B$6,"UNDER","—")))</f>
        <v>—</v>
      </c>
      <c r="N250" s="4">
        <v>6.6</v>
      </c>
      <c r="O250" s="11">
        <v>0.4</v>
      </c>
      <c r="P250" s="11">
        <v>0.4</v>
      </c>
      <c r="Q250" s="11">
        <v>0.53</v>
      </c>
      <c r="R250" s="4" t="s">
        <v>579</v>
      </c>
      <c r="S250" s="4">
        <v>-1.0</v>
      </c>
      <c r="T250" s="4" t="str">
        <f t="array" ref="T250">INDEX(Calc!$G$2:$G$157,MATCH($W250,Calc!$A$2:$A$157,0))</f>
        <v>Ancient</v>
      </c>
      <c r="U250" s="4" t="str">
        <f t="array" ref="U250">TEXT(INDEX(Calc!$J$2:$J$157,MATCH($W250,Calc!$A$2:$A$157,0)),"0.0")</f>
        <v>21.5</v>
      </c>
      <c r="V250" s="4" t="str">
        <f t="array" ref="V250">IFERROR(INDEX(Calc!$AQ$2:$AQ$157,MATCH($W250,Calc!$A$2:$A$157,0)),"")</f>
        <v/>
      </c>
      <c r="W250" s="4" t="s">
        <v>3262</v>
      </c>
      <c r="X250" s="4" t="s">
        <v>3201</v>
      </c>
      <c r="Y250" s="4" t="str">
        <f t="shared" si="4"/>
        <v>inq1aslhosl5opp|CS2 · VOCA vs PHA|H1</v>
      </c>
      <c r="Z250" s="12">
        <f t="array" ref="Z250">IFERROR(INDEX(CHOOSE(MATCH($X250,{"K1","K2","K3","K12","K13","H1","H2","H3","H12","H13"},0),Calc!$BA$2:$BA$157,Calc!$BB$2:$BB$157,Calc!$BC$2:$BC$157,Calc!$BD$2:$BD$157,Calc!$BE$2:$BE$157,Calc!$BF$2:$BF$157,Calc!$BG$2:$BG$157,Calc!$BH$2:$BH$157,Calc!$BI$2:$BI$157,Calc!$BJ$2:$BJ$157),MATCH($W250,Calc!$A$2:$A$157,0)),"")</f>
        <v>6.693431842</v>
      </c>
      <c r="AA250" s="12">
        <f t="array" ref="AA250">IF(Z250="","",IF(LEFT($X250,1)="H",SQRT(Z250*(IFERROR(INDEX(Calc!$AP$2:$AP$157,MATCH($W250,Calc!$A$2:$A$157,0)),0.5)*Config!$B$5+1-IFERROR(INDEX(Calc!$AP$2:$AP$157,MATCH($W250,Calc!$A$2:$A$157,0)),0.5))),SQRT(Z250*Config!$B$5)))</f>
        <v>2.831525443</v>
      </c>
      <c r="AB250" s="11">
        <f t="shared" si="5"/>
        <v>0.3878784313</v>
      </c>
      <c r="AC250" s="11">
        <f t="shared" si="6"/>
        <v>0.4727679786</v>
      </c>
      <c r="AD250" s="4" t="str">
        <f>IF(AB250="","",IF(AB250&gt;=0.5+Config!$B$6,"OVER",IF(AC250&gt;=0.5+Config!$B$6,"UNDER","—")))</f>
        <v>—</v>
      </c>
      <c r="AE250" s="18">
        <f t="shared" si="7"/>
        <v>0.958654344</v>
      </c>
    </row>
    <row r="251" ht="15.75" customHeight="1">
      <c r="A251" s="4" t="s">
        <v>86</v>
      </c>
      <c r="B251" s="4" t="s">
        <v>838</v>
      </c>
      <c r="C251" s="4" t="s">
        <v>1558</v>
      </c>
      <c r="D251" s="4" t="s">
        <v>856</v>
      </c>
      <c r="E251" s="4" t="s">
        <v>2882</v>
      </c>
      <c r="F251" s="4">
        <v>13.5</v>
      </c>
      <c r="G251" s="12">
        <f t="array" ref="G251">IFERROR(INDEX(CHOOSE(MATCH($X251,{"K1","K2","K3","K12","K13","H1","H2","H3","H12","H13"},0),Calc!$V$2:$V$157,Calc!$AC$2:$AC$157,Calc!$AJ$2:$AJ$157,Calc!$AL$2:$AL$157,Calc!$AM$2:$AM$157,Calc!$W$2:$W$157,Calc!$AD$2:$AD$157,Calc!$AK$2:$AK$157,Calc!$AN$2:$AN$157,Calc!$AO$2:$AO$157),MATCH($W251,Calc!$A$2:$A$157,0)),"")</f>
        <v>14.65071429</v>
      </c>
      <c r="H251" s="12">
        <f t="array" ref="H251">IF(G251="","",IF(LEFT($X251,1)="H",SQRT(G251*(IFERROR(INDEX(Calc!$AP$2:$AP$157,MATCH($W251,Calc!$A$2:$A$157,0)),0.5)*Config!$B$5+1-IFERROR(INDEX(Calc!$AP$2:$AP$157,MATCH($W251,Calc!$A$2:$A$157,0)),0.5))),SQRT(G251*Config!$B$5)))</f>
        <v>4.528907153</v>
      </c>
      <c r="I251" s="11">
        <f t="shared" si="1"/>
        <v>0.600283938</v>
      </c>
      <c r="J251" s="11">
        <f t="shared" si="2"/>
        <v>0.399716062</v>
      </c>
      <c r="K251" s="11">
        <f t="shared" si="3"/>
        <v>0</v>
      </c>
      <c r="L251" s="4" t="str">
        <f>IF(I251="","",IF(I251&gt;=0.5+Config!$B$6,"OVER",IF(J251&gt;=0.5+Config!$B$6,"UNDER","—")))</f>
        <v>OVER</v>
      </c>
      <c r="N251" s="4">
        <v>13.6</v>
      </c>
      <c r="O251" s="11">
        <v>0.4</v>
      </c>
      <c r="P251" s="11">
        <v>0.5</v>
      </c>
      <c r="Q251" s="11">
        <v>0.47</v>
      </c>
      <c r="R251" s="4" t="s">
        <v>579</v>
      </c>
      <c r="S251" s="4">
        <v>-1.0</v>
      </c>
      <c r="T251" s="4" t="str">
        <f t="array" ref="T251">INDEX(Calc!$G$2:$G$157,MATCH($W251,Calc!$A$2:$A$157,0))</f>
        <v>Ancient</v>
      </c>
      <c r="U251" s="4" t="str">
        <f t="array" ref="U251">TEXT(INDEX(Calc!$J$2:$J$157,MATCH($W251,Calc!$A$2:$A$157,0)),"0.0")</f>
        <v>21.5</v>
      </c>
      <c r="V251" s="4" t="str">
        <f t="array" ref="V251">IFERROR(INDEX(Calc!$AQ$2:$AQ$157,MATCH($W251,Calc!$A$2:$A$157,0)),"")</f>
        <v/>
      </c>
      <c r="W251" s="4" t="s">
        <v>3262</v>
      </c>
      <c r="X251" s="4" t="s">
        <v>3202</v>
      </c>
      <c r="Y251" s="4" t="str">
        <f t="shared" si="4"/>
        <v>inq1aslhosl5opp|CS2 · VOCA vs PHA|K1</v>
      </c>
      <c r="Z251" s="12">
        <f t="array" ref="Z251">IFERROR(INDEX(CHOOSE(MATCH($X251,{"K1","K2","K3","K12","K13","H1","H2","H3","H12","H13"},0),Calc!$BA$2:$BA$157,Calc!$BB$2:$BB$157,Calc!$BC$2:$BC$157,Calc!$BD$2:$BD$157,Calc!$BE$2:$BE$157,Calc!$BF$2:$BF$157,Calc!$BG$2:$BG$157,Calc!$BH$2:$BH$157,Calc!$BI$2:$BI$157,Calc!$BJ$2:$BJ$157),MATCH($W251,Calc!$A$2:$A$157,0)),"")</f>
        <v>14.04497089</v>
      </c>
      <c r="AA251" s="12">
        <f t="array" ref="AA251">IF(Z251="","",IF(LEFT($X251,1)="H",SQRT(Z251*(IFERROR(INDEX(Calc!$AP$2:$AP$157,MATCH($W251,Calc!$A$2:$A$157,0)),0.5)*Config!$B$5+1-IFERROR(INDEX(Calc!$AP$2:$AP$157,MATCH($W251,Calc!$A$2:$A$157,0)),0.5))),SQRT(Z251*Config!$B$5)))</f>
        <v>4.434293546</v>
      </c>
      <c r="AB251" s="11">
        <f t="shared" si="5"/>
        <v>0.5489065193</v>
      </c>
      <c r="AC251" s="11">
        <f t="shared" si="6"/>
        <v>0.4510934807</v>
      </c>
      <c r="AD251" s="4" t="str">
        <f>IF(AB251="","",IF(AB251&gt;=0.5+Config!$B$6,"OVER",IF(AC251&gt;=0.5+Config!$B$6,"UNDER","—")))</f>
        <v>OVER</v>
      </c>
      <c r="AE251" s="18">
        <f t="shared" si="7"/>
        <v>0.958654344</v>
      </c>
    </row>
    <row r="252" ht="15.75" customHeight="1">
      <c r="A252" s="4" t="s">
        <v>86</v>
      </c>
      <c r="B252" s="4" t="s">
        <v>838</v>
      </c>
      <c r="C252" s="4" t="s">
        <v>1561</v>
      </c>
      <c r="D252" s="4" t="s">
        <v>856</v>
      </c>
      <c r="E252" s="4" t="s">
        <v>2880</v>
      </c>
      <c r="F252" s="4">
        <v>7.0</v>
      </c>
      <c r="G252" s="12">
        <f t="array" ref="G252">IFERROR(INDEX(CHOOSE(MATCH($X252,{"K1","K2","K3","K12","K13","H1","H2","H3","H12","H13"},0),Calc!$V$2:$V$157,Calc!$AC$2:$AC$157,Calc!$AJ$2:$AJ$157,Calc!$AL$2:$AL$157,Calc!$AM$2:$AM$157,Calc!$W$2:$W$157,Calc!$AD$2:$AD$157,Calc!$AK$2:$AK$157,Calc!$AN$2:$AN$157,Calc!$AO$2:$AO$157),MATCH($W252,Calc!$A$2:$A$157,0)),"")</f>
        <v>6.801296837</v>
      </c>
      <c r="H252" s="12">
        <f t="array" ref="H252">IF(G252="","",IF(LEFT($X252,1)="H",SQRT(G252*(IFERROR(INDEX(Calc!$AP$2:$AP$157,MATCH($W252,Calc!$A$2:$A$157,0)),0.5)*Config!$B$5+1-IFERROR(INDEX(Calc!$AP$2:$AP$157,MATCH($W252,Calc!$A$2:$A$157,0)),0.5))),SQRT(G252*Config!$B$5)))</f>
        <v>2.849015858</v>
      </c>
      <c r="I252" s="11">
        <f t="shared" si="1"/>
        <v>0.4031338745</v>
      </c>
      <c r="J252" s="11">
        <f t="shared" si="2"/>
        <v>0.457888487</v>
      </c>
      <c r="K252" s="11">
        <f t="shared" si="3"/>
        <v>0.1389776386</v>
      </c>
      <c r="L252" s="4" t="str">
        <f>IF(I252="","",IF(I252&gt;=0.5+Config!$B$6,"OVER",IF(J252&gt;=0.5+Config!$B$6,"UNDER","—")))</f>
        <v>—</v>
      </c>
      <c r="N252" s="4">
        <v>6.1</v>
      </c>
      <c r="O252" s="11">
        <v>0.2</v>
      </c>
      <c r="P252" s="11">
        <v>0.3</v>
      </c>
      <c r="Q252" s="11">
        <v>0.47</v>
      </c>
      <c r="R252" s="4" t="s">
        <v>579</v>
      </c>
      <c r="S252" s="4">
        <v>-4.0</v>
      </c>
      <c r="T252" s="4" t="str">
        <f t="array" ref="T252">INDEX(Calc!$G$2:$G$157,MATCH($W252,Calc!$A$2:$A$157,0))</f>
        <v>Ancient</v>
      </c>
      <c r="U252" s="4" t="str">
        <f t="array" ref="U252">TEXT(INDEX(Calc!$J$2:$J$157,MATCH($W252,Calc!$A$2:$A$157,0)),"0.0")</f>
        <v>21.5</v>
      </c>
      <c r="V252" s="4" t="str">
        <f t="array" ref="V252">IFERROR(INDEX(Calc!$AQ$2:$AQ$157,MATCH($W252,Calc!$A$2:$A$157,0)),"")</f>
        <v/>
      </c>
      <c r="W252" s="4" t="s">
        <v>3263</v>
      </c>
      <c r="X252" s="4" t="s">
        <v>3201</v>
      </c>
      <c r="Y252" s="4" t="str">
        <f t="shared" si="4"/>
        <v>pnbyhth5hef4yqq|CS2 · VOCA vs PHA|H1</v>
      </c>
      <c r="Z252" s="12">
        <f t="array" ref="Z252">IFERROR(INDEX(CHOOSE(MATCH($X252,{"K1","K2","K3","K12","K13","H1","H2","H3","H12","H13"},0),Calc!$BA$2:$BA$157,Calc!$BB$2:$BB$157,Calc!$BC$2:$BC$157,Calc!$BD$2:$BD$157,Calc!$BE$2:$BE$157,Calc!$BF$2:$BF$157,Calc!$BG$2:$BG$157,Calc!$BH$2:$BH$157,Calc!$BI$2:$BI$157,Calc!$BJ$2:$BJ$157),MATCH($W252,Calc!$A$2:$A$157,0)),"")</f>
        <v>6.520092757</v>
      </c>
      <c r="AA252" s="12">
        <f t="array" ref="AA252">IF(Z252="","",IF(LEFT($X252,1)="H",SQRT(Z252*(IFERROR(INDEX(Calc!$AP$2:$AP$157,MATCH($W252,Calc!$A$2:$A$157,0)),0.5)*Config!$B$5+1-IFERROR(INDEX(Calc!$AP$2:$AP$157,MATCH($W252,Calc!$A$2:$A$157,0)),0.5))),SQRT(Z252*Config!$B$5)))</f>
        <v>2.789496937</v>
      </c>
      <c r="AB252" s="11">
        <f t="shared" si="5"/>
        <v>0.3626874334</v>
      </c>
      <c r="AC252" s="11">
        <f t="shared" si="6"/>
        <v>0.4971264421</v>
      </c>
      <c r="AD252" s="4" t="str">
        <f>IF(AB252="","",IF(AB252&gt;=0.5+Config!$B$6,"OVER",IF(AC252&gt;=0.5+Config!$B$6,"UNDER","—")))</f>
        <v>—</v>
      </c>
      <c r="AE252" s="18">
        <f t="shared" si="7"/>
        <v>0.958654344</v>
      </c>
    </row>
    <row r="253" ht="15.75" customHeight="1">
      <c r="A253" s="4" t="s">
        <v>86</v>
      </c>
      <c r="B253" s="4" t="s">
        <v>838</v>
      </c>
      <c r="C253" s="4" t="s">
        <v>1561</v>
      </c>
      <c r="D253" s="4" t="s">
        <v>856</v>
      </c>
      <c r="E253" s="4" t="s">
        <v>2882</v>
      </c>
      <c r="F253" s="4">
        <v>14.0</v>
      </c>
      <c r="G253" s="12">
        <f t="array" ref="G253">IFERROR(INDEX(CHOOSE(MATCH($X253,{"K1","K2","K3","K12","K13","H1","H2","H3","H12","H13"},0),Calc!$V$2:$V$157,Calc!$AC$2:$AC$157,Calc!$AJ$2:$AJ$157,Calc!$AL$2:$AL$157,Calc!$AM$2:$AM$157,Calc!$W$2:$W$157,Calc!$AD$2:$AD$157,Calc!$AK$2:$AK$157,Calc!$AN$2:$AN$157,Calc!$AO$2:$AO$157),MATCH($W253,Calc!$A$2:$A$157,0)),"")</f>
        <v>13.92892857</v>
      </c>
      <c r="H253" s="12">
        <f t="array" ref="H253">IF(G253="","",IF(LEFT($X253,1)="H",SQRT(G253*(IFERROR(INDEX(Calc!$AP$2:$AP$157,MATCH($W253,Calc!$A$2:$A$157,0)),0.5)*Config!$B$5+1-IFERROR(INDEX(Calc!$AP$2:$AP$157,MATCH($W253,Calc!$A$2:$A$157,0)),0.5))),SQRT(G253*Config!$B$5)))</f>
        <v>4.415937047</v>
      </c>
      <c r="I253" s="11">
        <f t="shared" si="1"/>
        <v>0.4485520038</v>
      </c>
      <c r="J253" s="11">
        <f t="shared" si="2"/>
        <v>0.4613108046</v>
      </c>
      <c r="K253" s="11">
        <f t="shared" si="3"/>
        <v>0.09013719152</v>
      </c>
      <c r="L253" s="4" t="str">
        <f>IF(I253="","",IF(I253&gt;=0.5+Config!$B$6,"OVER",IF(J253&gt;=0.5+Config!$B$6,"UNDER","—")))</f>
        <v>—</v>
      </c>
      <c r="N253" s="4">
        <v>12.6</v>
      </c>
      <c r="O253" s="11">
        <v>0.2</v>
      </c>
      <c r="P253" s="11">
        <v>0.3</v>
      </c>
      <c r="Q253" s="11">
        <v>0.4</v>
      </c>
      <c r="R253" s="4" t="s">
        <v>579</v>
      </c>
      <c r="S253" s="4">
        <v>-4.0</v>
      </c>
      <c r="T253" s="4" t="str">
        <f t="array" ref="T253">INDEX(Calc!$G$2:$G$157,MATCH($W253,Calc!$A$2:$A$157,0))</f>
        <v>Ancient</v>
      </c>
      <c r="U253" s="4" t="str">
        <f t="array" ref="U253">TEXT(INDEX(Calc!$J$2:$J$157,MATCH($W253,Calc!$A$2:$A$157,0)),"0.0")</f>
        <v>21.5</v>
      </c>
      <c r="V253" s="4" t="str">
        <f t="array" ref="V253">IFERROR(INDEX(Calc!$AQ$2:$AQ$157,MATCH($W253,Calc!$A$2:$A$157,0)),"")</f>
        <v/>
      </c>
      <c r="W253" s="4" t="s">
        <v>3263</v>
      </c>
      <c r="X253" s="4" t="s">
        <v>3202</v>
      </c>
      <c r="Y253" s="4" t="str">
        <f t="shared" si="4"/>
        <v>pnbyhth5hef4yqq|CS2 · VOCA vs PHA|K1</v>
      </c>
      <c r="Z253" s="12">
        <f t="array" ref="Z253">IFERROR(INDEX(CHOOSE(MATCH($X253,{"K1","K2","K3","K12","K13","H1","H2","H3","H12","H13"},0),Calc!$BA$2:$BA$157,Calc!$BB$2:$BB$157,Calc!$BC$2:$BC$157,Calc!$BD$2:$BD$157,Calc!$BE$2:$BE$157,Calc!$BF$2:$BF$157,Calc!$BG$2:$BG$157,Calc!$BH$2:$BH$157,Calc!$BI$2:$BI$157,Calc!$BJ$2:$BJ$157),MATCH($W253,Calc!$A$2:$A$157,0)),"")</f>
        <v>13.35302788</v>
      </c>
      <c r="AA253" s="12">
        <f t="array" ref="AA253">IF(Z253="","",IF(LEFT($X253,1)="H",SQRT(Z253*(IFERROR(INDEX(Calc!$AP$2:$AP$157,MATCH($W253,Calc!$A$2:$A$157,0)),0.5)*Config!$B$5+1-IFERROR(INDEX(Calc!$AP$2:$AP$157,MATCH($W253,Calc!$A$2:$A$157,0)),0.5))),SQRT(Z253*Config!$B$5)))</f>
        <v>4.323683503</v>
      </c>
      <c r="AB253" s="11">
        <f t="shared" si="5"/>
        <v>0.3953981895</v>
      </c>
      <c r="AC253" s="11">
        <f t="shared" si="6"/>
        <v>0.5135583704</v>
      </c>
      <c r="AD253" s="4" t="str">
        <f>IF(AB253="","",IF(AB253&gt;=0.5+Config!$B$6,"OVER",IF(AC253&gt;=0.5+Config!$B$6,"UNDER","—")))</f>
        <v>—</v>
      </c>
      <c r="AE253" s="18">
        <f t="shared" si="7"/>
        <v>0.958654344</v>
      </c>
    </row>
    <row r="254" ht="15.75" customHeight="1">
      <c r="A254" s="4" t="s">
        <v>86</v>
      </c>
      <c r="B254" s="4" t="s">
        <v>1648</v>
      </c>
      <c r="C254" s="4" t="s">
        <v>1548</v>
      </c>
      <c r="D254" s="4" t="s">
        <v>856</v>
      </c>
      <c r="E254" s="4" t="s">
        <v>2880</v>
      </c>
      <c r="F254" s="4">
        <v>8.0</v>
      </c>
      <c r="G254" s="12">
        <f t="array" ref="G254">IFERROR(INDEX(CHOOSE(MATCH($X254,{"K1","K2","K3","K12","K13","H1","H2","H3","H12","H13"},0),Calc!$V$2:$V$157,Calc!$AC$2:$AC$157,Calc!$AJ$2:$AJ$157,Calc!$AL$2:$AL$157,Calc!$AM$2:$AM$157,Calc!$W$2:$W$157,Calc!$AD$2:$AD$157,Calc!$AK$2:$AK$157,Calc!$AN$2:$AN$157,Calc!$AO$2:$AO$157),MATCH($W254,Calc!$A$2:$A$157,0)),"")</f>
        <v>8.23056199</v>
      </c>
      <c r="H254" s="12">
        <f t="array" ref="H254">IF(G254="","",IF(LEFT($X254,1)="H",SQRT(G254*(IFERROR(INDEX(Calc!$AP$2:$AP$157,MATCH($W254,Calc!$A$2:$A$157,0)),0.5)*Config!$B$5+1-IFERROR(INDEX(Calc!$AP$2:$AP$157,MATCH($W254,Calc!$A$2:$A$157,0)),0.5))),SQRT(G254*Config!$B$5)))</f>
        <v>3.150810774</v>
      </c>
      <c r="I254" s="11">
        <f t="shared" si="1"/>
        <v>0.4659264362</v>
      </c>
      <c r="J254" s="11">
        <f t="shared" si="2"/>
        <v>0.4083215273</v>
      </c>
      <c r="K254" s="11">
        <f t="shared" si="3"/>
        <v>0.1257520365</v>
      </c>
      <c r="L254" s="4" t="str">
        <f>IF(I254="","",IF(I254&gt;=0.5+Config!$B$6,"OVER",IF(J254&gt;=0.5+Config!$B$6,"UNDER","—")))</f>
        <v>—</v>
      </c>
      <c r="N254" s="4">
        <v>8.2</v>
      </c>
      <c r="O254" s="11">
        <v>0.6</v>
      </c>
      <c r="P254" s="11">
        <v>0.5</v>
      </c>
      <c r="Q254" s="11">
        <v>0.67</v>
      </c>
      <c r="R254" s="4" t="s">
        <v>579</v>
      </c>
      <c r="S254" s="4">
        <v>3.0</v>
      </c>
      <c r="T254" s="4" t="str">
        <f t="array" ref="T254">INDEX(Calc!$G$2:$G$157,MATCH($W254,Calc!$A$2:$A$157,0))</f>
        <v>Ancient</v>
      </c>
      <c r="U254" s="4" t="str">
        <f t="array" ref="U254">TEXT(INDEX(Calc!$J$2:$J$157,MATCH($W254,Calc!$A$2:$A$157,0)),"0.0")</f>
        <v>21.5</v>
      </c>
      <c r="V254" s="4" t="str">
        <f t="array" ref="V254">IFERROR(INDEX(Calc!$AQ$2:$AQ$157,MATCH($W254,Calc!$A$2:$A$157,0)),"")</f>
        <v/>
      </c>
      <c r="W254" s="4" t="s">
        <v>3264</v>
      </c>
      <c r="X254" s="4" t="s">
        <v>3201</v>
      </c>
      <c r="Y254" s="4" t="str">
        <f t="shared" si="4"/>
        <v>al57ba5j0f51eq6|CS2 · VOCA vs RGG|H1</v>
      </c>
      <c r="Z254" s="12">
        <f t="array" ref="Z254">IFERROR(INDEX(CHOOSE(MATCH($X254,{"K1","K2","K3","K12","K13","H1","H2","H3","H12","H13"},0),Calc!$BA$2:$BA$157,Calc!$BB$2:$BB$157,Calc!$BC$2:$BC$157,Calc!$BD$2:$BD$157,Calc!$BE$2:$BE$157,Calc!$BF$2:$BF$157,Calc!$BG$2:$BG$157,Calc!$BH$2:$BH$157,Calc!$BI$2:$BI$157,Calc!$BJ$2:$BJ$157),MATCH($W254,Calc!$A$2:$A$157,0)),"")</f>
        <v>8.897597753</v>
      </c>
      <c r="AA254" s="12">
        <f t="array" ref="AA254">IF(Z254="","",IF(LEFT($X254,1)="H",SQRT(Z254*(IFERROR(INDEX(Calc!$AP$2:$AP$157,MATCH($W254,Calc!$A$2:$A$157,0)),0.5)*Config!$B$5+1-IFERROR(INDEX(Calc!$AP$2:$AP$157,MATCH($W254,Calc!$A$2:$A$157,0)),0.5))),SQRT(Z254*Config!$B$5)))</f>
        <v>3.276000511</v>
      </c>
      <c r="AB254" s="11">
        <f t="shared" si="5"/>
        <v>0.5482997504</v>
      </c>
      <c r="AC254" s="11">
        <f t="shared" si="6"/>
        <v>0.3348291297</v>
      </c>
      <c r="AD254" s="4" t="str">
        <f>IF(AB254="","",IF(AB254&gt;=0.5+Config!$B$6,"OVER",IF(AC254&gt;=0.5+Config!$B$6,"UNDER","—")))</f>
        <v>OVER</v>
      </c>
      <c r="AE254" s="18">
        <f t="shared" si="7"/>
        <v>1.081043769</v>
      </c>
    </row>
    <row r="255" ht="15.75" customHeight="1">
      <c r="A255" s="4" t="s">
        <v>86</v>
      </c>
      <c r="B255" s="4" t="s">
        <v>1648</v>
      </c>
      <c r="C255" s="4" t="s">
        <v>1548</v>
      </c>
      <c r="D255" s="4" t="s">
        <v>856</v>
      </c>
      <c r="E255" s="4" t="s">
        <v>2882</v>
      </c>
      <c r="F255" s="4">
        <v>15.5</v>
      </c>
      <c r="G255" s="12">
        <f t="array" ref="G255">IFERROR(INDEX(CHOOSE(MATCH($X255,{"K1","K2","K3","K12","K13","H1","H2","H3","H12","H13"},0),Calc!$V$2:$V$157,Calc!$AC$2:$AC$157,Calc!$AJ$2:$AJ$157,Calc!$AL$2:$AL$157,Calc!$AM$2:$AM$157,Calc!$W$2:$W$157,Calc!$AD$2:$AD$157,Calc!$AK$2:$AK$157,Calc!$AN$2:$AN$157,Calc!$AO$2:$AO$157),MATCH($W255,Calc!$A$2:$A$157,0)),"")</f>
        <v>16.72392857</v>
      </c>
      <c r="H255" s="12">
        <f t="array" ref="H255">IF(G255="","",IF(LEFT($X255,1)="H",SQRT(G255*(IFERROR(INDEX(Calc!$AP$2:$AP$157,MATCH($W255,Calc!$A$2:$A$157,0)),0.5)*Config!$B$5+1-IFERROR(INDEX(Calc!$AP$2:$AP$157,MATCH($W255,Calc!$A$2:$A$157,0)),0.5))),SQRT(G255*Config!$B$5)))</f>
        <v>4.838749839</v>
      </c>
      <c r="I255" s="11">
        <f t="shared" si="1"/>
        <v>0.5998439234</v>
      </c>
      <c r="J255" s="11">
        <f t="shared" si="2"/>
        <v>0.4001560766</v>
      </c>
      <c r="K255" s="11">
        <f t="shared" si="3"/>
        <v>0</v>
      </c>
      <c r="L255" s="4" t="str">
        <f>IF(I255="","",IF(I255&gt;=0.5+Config!$B$6,"OVER",IF(J255&gt;=0.5+Config!$B$6,"UNDER","—")))</f>
        <v>OVER</v>
      </c>
      <c r="N255" s="4">
        <v>17.0</v>
      </c>
      <c r="O255" s="11">
        <v>0.4</v>
      </c>
      <c r="P255" s="11">
        <v>0.4</v>
      </c>
      <c r="Q255" s="11">
        <v>0.47</v>
      </c>
      <c r="R255" s="4" t="s">
        <v>579</v>
      </c>
      <c r="S255" s="4">
        <v>-1.0</v>
      </c>
      <c r="T255" s="4" t="str">
        <f t="array" ref="T255">INDEX(Calc!$G$2:$G$157,MATCH($W255,Calc!$A$2:$A$157,0))</f>
        <v>Ancient</v>
      </c>
      <c r="U255" s="4" t="str">
        <f t="array" ref="U255">TEXT(INDEX(Calc!$J$2:$J$157,MATCH($W255,Calc!$A$2:$A$157,0)),"0.0")</f>
        <v>21.5</v>
      </c>
      <c r="V255" s="4" t="str">
        <f t="array" ref="V255">IFERROR(INDEX(Calc!$AQ$2:$AQ$157,MATCH($W255,Calc!$A$2:$A$157,0)),"")</f>
        <v/>
      </c>
      <c r="W255" s="4" t="s">
        <v>3264</v>
      </c>
      <c r="X255" s="4" t="s">
        <v>3202</v>
      </c>
      <c r="Y255" s="4" t="str">
        <f t="shared" si="4"/>
        <v>al57ba5j0f51eq6|CS2 · VOCA vs RGG|K1</v>
      </c>
      <c r="Z255" s="12">
        <f t="array" ref="Z255">IFERROR(INDEX(CHOOSE(MATCH($X255,{"K1","K2","K3","K12","K13","H1","H2","H3","H12","H13"},0),Calc!$BA$2:$BA$157,Calc!$BB$2:$BB$157,Calc!$BC$2:$BC$157,Calc!$BD$2:$BD$157,Calc!$BE$2:$BE$157,Calc!$BF$2:$BF$157,Calc!$BG$2:$BG$157,Calc!$BH$2:$BH$157,Calc!$BI$2:$BI$157,Calc!$BJ$2:$BJ$157),MATCH($W255,Calc!$A$2:$A$157,0)),"")</f>
        <v>18.07929877</v>
      </c>
      <c r="AA255" s="12">
        <f t="array" ref="AA255">IF(Z255="","",IF(LEFT($X255,1)="H",SQRT(Z255*(IFERROR(INDEX(Calc!$AP$2:$AP$157,MATCH($W255,Calc!$A$2:$A$157,0)),0.5)*Config!$B$5+1-IFERROR(INDEX(Calc!$AP$2:$AP$157,MATCH($W255,Calc!$A$2:$A$157,0)),0.5))),SQRT(Z255*Config!$B$5)))</f>
        <v>5.031005693</v>
      </c>
      <c r="AB255" s="11">
        <f t="shared" si="5"/>
        <v>0.6959126018</v>
      </c>
      <c r="AC255" s="11">
        <f t="shared" si="6"/>
        <v>0.3040873982</v>
      </c>
      <c r="AD255" s="4" t="str">
        <f>IF(AB255="","",IF(AB255&gt;=0.5+Config!$B$6,"OVER",IF(AC255&gt;=0.5+Config!$B$6,"UNDER","—")))</f>
        <v>OVER</v>
      </c>
      <c r="AE255" s="18">
        <f t="shared" si="7"/>
        <v>1.081043769</v>
      </c>
    </row>
    <row r="256" ht="15.75" customHeight="1">
      <c r="A256" s="4" t="s">
        <v>86</v>
      </c>
      <c r="B256" s="4" t="s">
        <v>1648</v>
      </c>
      <c r="C256" s="4" t="s">
        <v>1552</v>
      </c>
      <c r="D256" s="4" t="s">
        <v>856</v>
      </c>
      <c r="E256" s="4" t="s">
        <v>2882</v>
      </c>
      <c r="F256" s="4">
        <v>15.5</v>
      </c>
      <c r="G256" s="12">
        <f t="array" ref="G256">IFERROR(INDEX(CHOOSE(MATCH($X256,{"K1","K2","K3","K12","K13","H1","H2","H3","H12","H13"},0),Calc!$V$2:$V$157,Calc!$AC$2:$AC$157,Calc!$AJ$2:$AJ$157,Calc!$AL$2:$AL$157,Calc!$AM$2:$AM$157,Calc!$W$2:$W$157,Calc!$AD$2:$AD$157,Calc!$AK$2:$AK$157,Calc!$AN$2:$AN$157,Calc!$AO$2:$AO$157),MATCH($W256,Calc!$A$2:$A$157,0)),"")</f>
        <v>14.80428571</v>
      </c>
      <c r="H256" s="12">
        <f t="array" ref="H256">IF(G256="","",IF(LEFT($X256,1)="H",SQRT(G256*(IFERROR(INDEX(Calc!$AP$2:$AP$157,MATCH($W256,Calc!$A$2:$A$157,0)),0.5)*Config!$B$5+1-IFERROR(INDEX(Calc!$AP$2:$AP$157,MATCH($W256,Calc!$A$2:$A$157,0)),0.5))),SQRT(G256*Config!$B$5)))</f>
        <v>4.552581685</v>
      </c>
      <c r="I256" s="11">
        <f t="shared" si="1"/>
        <v>0.4392710868</v>
      </c>
      <c r="J256" s="11">
        <f t="shared" si="2"/>
        <v>0.5607289132</v>
      </c>
      <c r="K256" s="11">
        <f t="shared" si="3"/>
        <v>0</v>
      </c>
      <c r="L256" s="4" t="str">
        <f>IF(I256="","",IF(I256&gt;=0.5+Config!$B$6,"OVER",IF(J256&gt;=0.5+Config!$B$6,"UNDER","—")))</f>
        <v>UNDER</v>
      </c>
      <c r="N256" s="4">
        <v>15.8</v>
      </c>
      <c r="O256" s="11">
        <v>0.4</v>
      </c>
      <c r="P256" s="11">
        <v>0.4</v>
      </c>
      <c r="Q256" s="11">
        <v>0.6</v>
      </c>
      <c r="R256" s="4" t="s">
        <v>579</v>
      </c>
      <c r="S256" s="4">
        <v>1.0</v>
      </c>
      <c r="T256" s="4" t="str">
        <f t="array" ref="T256">INDEX(Calc!$G$2:$G$157,MATCH($W256,Calc!$A$2:$A$157,0))</f>
        <v>Ancient</v>
      </c>
      <c r="U256" s="4" t="str">
        <f t="array" ref="U256">TEXT(INDEX(Calc!$J$2:$J$157,MATCH($W256,Calc!$A$2:$A$157,0)),"0.0")</f>
        <v>21.5</v>
      </c>
      <c r="V256" s="4" t="str">
        <f t="array" ref="V256">IFERROR(INDEX(Calc!$AQ$2:$AQ$157,MATCH($W256,Calc!$A$2:$A$157,0)),"")</f>
        <v/>
      </c>
      <c r="W256" s="4" t="s">
        <v>3265</v>
      </c>
      <c r="X256" s="4" t="s">
        <v>3202</v>
      </c>
      <c r="Y256" s="4" t="str">
        <f t="shared" si="4"/>
        <v>bf5itcax7wycz9n|CS2 · VOCA vs RGG|K1</v>
      </c>
      <c r="Z256" s="12">
        <f t="array" ref="Z256">IFERROR(INDEX(CHOOSE(MATCH($X256,{"K1","K2","K3","K12","K13","H1","H2","H3","H12","H13"},0),Calc!$BA$2:$BA$157,Calc!$BB$2:$BB$157,Calc!$BC$2:$BC$157,Calc!$BD$2:$BD$157,Calc!$BE$2:$BE$157,Calc!$BF$2:$BF$157,Calc!$BG$2:$BG$157,Calc!$BH$2:$BH$157,Calc!$BI$2:$BI$157,Calc!$BJ$2:$BJ$157),MATCH($W256,Calc!$A$2:$A$157,0)),"")</f>
        <v>16.00408082</v>
      </c>
      <c r="AA256" s="12">
        <f t="array" ref="AA256">IF(Z256="","",IF(LEFT($X256,1)="H",SQRT(Z256*(IFERROR(INDEX(Calc!$AP$2:$AP$157,MATCH($W256,Calc!$A$2:$A$157,0)),0.5)*Config!$B$5+1-IFERROR(INDEX(Calc!$AP$2:$AP$157,MATCH($W256,Calc!$A$2:$A$157,0)),0.5))),SQRT(Z256*Config!$B$5)))</f>
        <v>4.73346735</v>
      </c>
      <c r="AB256" s="11">
        <f t="shared" si="5"/>
        <v>0.5424043691</v>
      </c>
      <c r="AC256" s="11">
        <f t="shared" si="6"/>
        <v>0.4575956309</v>
      </c>
      <c r="AD256" s="4" t="str">
        <f>IF(AB256="","",IF(AB256&gt;=0.5+Config!$B$6,"OVER",IF(AC256&gt;=0.5+Config!$B$6,"UNDER","—")))</f>
        <v>OVER</v>
      </c>
      <c r="AE256" s="18">
        <f t="shared" si="7"/>
        <v>1.081043769</v>
      </c>
    </row>
    <row r="257" ht="15.75" customHeight="1">
      <c r="A257" s="4" t="s">
        <v>86</v>
      </c>
      <c r="B257" s="4" t="s">
        <v>1648</v>
      </c>
      <c r="C257" s="4" t="s">
        <v>1555</v>
      </c>
      <c r="D257" s="4" t="s">
        <v>856</v>
      </c>
      <c r="E257" s="4" t="s">
        <v>2880</v>
      </c>
      <c r="F257" s="4">
        <v>8.5</v>
      </c>
      <c r="G257" s="12">
        <f t="array" ref="G257">IFERROR(INDEX(CHOOSE(MATCH($X257,{"K1","K2","K3","K12","K13","H1","H2","H3","H12","H13"},0),Calc!$V$2:$V$157,Calc!$AC$2:$AC$157,Calc!$AJ$2:$AJ$157,Calc!$AL$2:$AL$157,Calc!$AM$2:$AM$157,Calc!$W$2:$W$157,Calc!$AD$2:$AD$157,Calc!$AK$2:$AK$157,Calc!$AN$2:$AN$157,Calc!$AO$2:$AO$157),MATCH($W257,Calc!$A$2:$A$157,0)),"")</f>
        <v>9.622013469</v>
      </c>
      <c r="H257" s="12">
        <f t="array" ref="H257">IF(G257="","",IF(LEFT($X257,1)="H",SQRT(G257*(IFERROR(INDEX(Calc!$AP$2:$AP$157,MATCH($W257,Calc!$A$2:$A$157,0)),0.5)*Config!$B$5+1-IFERROR(INDEX(Calc!$AP$2:$AP$157,MATCH($W257,Calc!$A$2:$A$157,0)),0.5))),SQRT(G257*Config!$B$5)))</f>
        <v>3.442909372</v>
      </c>
      <c r="I257" s="11">
        <f t="shared" si="1"/>
        <v>0.6277466194</v>
      </c>
      <c r="J257" s="11">
        <f t="shared" si="2"/>
        <v>0.3722533806</v>
      </c>
      <c r="K257" s="11">
        <f t="shared" si="3"/>
        <v>0</v>
      </c>
      <c r="L257" s="4" t="str">
        <f>IF(I257="","",IF(I257&gt;=0.5+Config!$B$6,"OVER",IF(J257&gt;=0.5+Config!$B$6,"UNDER","—")))</f>
        <v>OVER</v>
      </c>
      <c r="N257" s="4">
        <v>8.3</v>
      </c>
      <c r="O257" s="11">
        <v>0.2</v>
      </c>
      <c r="P257" s="11">
        <v>0.5</v>
      </c>
      <c r="Q257" s="11">
        <v>0.53</v>
      </c>
      <c r="R257" s="4" t="s">
        <v>579</v>
      </c>
      <c r="S257" s="4">
        <v>1.0</v>
      </c>
      <c r="T257" s="4" t="str">
        <f t="array" ref="T257">INDEX(Calc!$G$2:$G$157,MATCH($W257,Calc!$A$2:$A$157,0))</f>
        <v>Ancient</v>
      </c>
      <c r="U257" s="4" t="str">
        <f t="array" ref="U257">TEXT(INDEX(Calc!$J$2:$J$157,MATCH($W257,Calc!$A$2:$A$157,0)),"0.0")</f>
        <v>21.5</v>
      </c>
      <c r="V257" s="4" t="str">
        <f t="array" ref="V257">IFERROR(INDEX(Calc!$AQ$2:$AQ$157,MATCH($W257,Calc!$A$2:$A$157,0)),"")</f>
        <v/>
      </c>
      <c r="W257" s="4" t="s">
        <v>3266</v>
      </c>
      <c r="X257" s="4" t="s">
        <v>3201</v>
      </c>
      <c r="Y257" s="4" t="str">
        <f t="shared" si="4"/>
        <v>30mdsslkk2b2chl|CS2 · VOCA vs RGG|H1</v>
      </c>
      <c r="Z257" s="12">
        <f t="array" ref="Z257">IFERROR(INDEX(CHOOSE(MATCH($X257,{"K1","K2","K3","K12","K13","H1","H2","H3","H12","H13"},0),Calc!$BA$2:$BA$157,Calc!$BB$2:$BB$157,Calc!$BC$2:$BC$157,Calc!$BD$2:$BD$157,Calc!$BE$2:$BE$157,Calc!$BF$2:$BF$157,Calc!$BG$2:$BG$157,Calc!$BH$2:$BH$157,Calc!$BI$2:$BI$157,Calc!$BJ$2:$BJ$157),MATCH($W257,Calc!$A$2:$A$157,0)),"")</f>
        <v>10.4018177</v>
      </c>
      <c r="AA257" s="12">
        <f t="array" ref="AA257">IF(Z257="","",IF(LEFT($X257,1)="H",SQRT(Z257*(IFERROR(INDEX(Calc!$AP$2:$AP$157,MATCH($W257,Calc!$A$2:$A$157,0)),0.5)*Config!$B$5+1-IFERROR(INDEX(Calc!$AP$2:$AP$157,MATCH($W257,Calc!$A$2:$A$157,0)),0.5))),SQRT(Z257*Config!$B$5)))</f>
        <v>3.57970493</v>
      </c>
      <c r="AB257" s="11">
        <f t="shared" si="5"/>
        <v>0.7023868512</v>
      </c>
      <c r="AC257" s="11">
        <f t="shared" si="6"/>
        <v>0.2976131488</v>
      </c>
      <c r="AD257" s="4" t="str">
        <f>IF(AB257="","",IF(AB257&gt;=0.5+Config!$B$6,"OVER",IF(AC257&gt;=0.5+Config!$B$6,"UNDER","—")))</f>
        <v>OVER</v>
      </c>
      <c r="AE257" s="18">
        <f t="shared" si="7"/>
        <v>1.081043769</v>
      </c>
    </row>
    <row r="258" ht="15.75" customHeight="1">
      <c r="A258" s="4" t="s">
        <v>86</v>
      </c>
      <c r="B258" s="4" t="s">
        <v>1648</v>
      </c>
      <c r="C258" s="4" t="s">
        <v>1555</v>
      </c>
      <c r="D258" s="4" t="s">
        <v>856</v>
      </c>
      <c r="E258" s="4" t="s">
        <v>2882</v>
      </c>
      <c r="F258" s="4">
        <v>15.5</v>
      </c>
      <c r="G258" s="12">
        <f t="array" ref="G258">IFERROR(INDEX(CHOOSE(MATCH($X258,{"K1","K2","K3","K12","K13","H1","H2","H3","H12","H13"},0),Calc!$V$2:$V$157,Calc!$AC$2:$AC$157,Calc!$AJ$2:$AJ$157,Calc!$AL$2:$AL$157,Calc!$AM$2:$AM$157,Calc!$W$2:$W$157,Calc!$AD$2:$AD$157,Calc!$AK$2:$AK$157,Calc!$AN$2:$AN$157,Calc!$AO$2:$AO$157),MATCH($W258,Calc!$A$2:$A$157,0)),"")</f>
        <v>17.26142857</v>
      </c>
      <c r="H258" s="12">
        <f t="array" ref="H258">IF(G258="","",IF(LEFT($X258,1)="H",SQRT(G258*(IFERROR(INDEX(Calc!$AP$2:$AP$157,MATCH($W258,Calc!$A$2:$A$157,0)),0.5)*Config!$B$5+1-IFERROR(INDEX(Calc!$AP$2:$AP$157,MATCH($W258,Calc!$A$2:$A$157,0)),0.5))),SQRT(G258*Config!$B$5)))</f>
        <v>4.915892594</v>
      </c>
      <c r="I258" s="11">
        <f t="shared" si="1"/>
        <v>0.6399454812</v>
      </c>
      <c r="J258" s="11">
        <f t="shared" si="2"/>
        <v>0.3600545188</v>
      </c>
      <c r="K258" s="11">
        <f t="shared" si="3"/>
        <v>0</v>
      </c>
      <c r="L258" s="4" t="str">
        <f>IF(I258="","",IF(I258&gt;=0.5+Config!$B$6,"OVER",IF(J258&gt;=0.5+Config!$B$6,"UNDER","—")))</f>
        <v>OVER</v>
      </c>
      <c r="N258" s="4">
        <v>15.3</v>
      </c>
      <c r="O258" s="11">
        <v>0.2</v>
      </c>
      <c r="P258" s="11">
        <v>0.5</v>
      </c>
      <c r="Q258" s="11">
        <v>0.6</v>
      </c>
      <c r="R258" s="4" t="s">
        <v>579</v>
      </c>
      <c r="S258" s="4">
        <v>-1.0</v>
      </c>
      <c r="T258" s="4" t="str">
        <f t="array" ref="T258">INDEX(Calc!$G$2:$G$157,MATCH($W258,Calc!$A$2:$A$157,0))</f>
        <v>Ancient</v>
      </c>
      <c r="U258" s="4" t="str">
        <f t="array" ref="U258">TEXT(INDEX(Calc!$J$2:$J$157,MATCH($W258,Calc!$A$2:$A$157,0)),"0.0")</f>
        <v>21.5</v>
      </c>
      <c r="V258" s="4" t="str">
        <f t="array" ref="V258">IFERROR(INDEX(Calc!$AQ$2:$AQ$157,MATCH($W258,Calc!$A$2:$A$157,0)),"")</f>
        <v/>
      </c>
      <c r="W258" s="4" t="s">
        <v>3266</v>
      </c>
      <c r="X258" s="4" t="s">
        <v>3202</v>
      </c>
      <c r="Y258" s="4" t="str">
        <f t="shared" si="4"/>
        <v>30mdsslkk2b2chl|CS2 · VOCA vs RGG|K1</v>
      </c>
      <c r="Z258" s="12">
        <f t="array" ref="Z258">IFERROR(INDEX(CHOOSE(MATCH($X258,{"K1","K2","K3","K12","K13","H1","H2","H3","H12","H13"},0),Calc!$BA$2:$BA$157,Calc!$BB$2:$BB$157,Calc!$BC$2:$BC$157,Calc!$BD$2:$BD$157,Calc!$BE$2:$BE$157,Calc!$BF$2:$BF$157,Calc!$BG$2:$BG$157,Calc!$BH$2:$BH$157,Calc!$BI$2:$BI$157,Calc!$BJ$2:$BJ$157),MATCH($W258,Calc!$A$2:$A$157,0)),"")</f>
        <v>18.6603598</v>
      </c>
      <c r="AA258" s="12">
        <f t="array" ref="AA258">IF(Z258="","",IF(LEFT($X258,1)="H",SQRT(Z258*(IFERROR(INDEX(Calc!$AP$2:$AP$157,MATCH($W258,Calc!$A$2:$A$157,0)),0.5)*Config!$B$5+1-IFERROR(INDEX(Calc!$AP$2:$AP$157,MATCH($W258,Calc!$A$2:$A$157,0)),0.5))),SQRT(Z258*Config!$B$5)))</f>
        <v>5.111213527</v>
      </c>
      <c r="AB258" s="11">
        <f t="shared" si="5"/>
        <v>0.7318174189</v>
      </c>
      <c r="AC258" s="11">
        <f t="shared" si="6"/>
        <v>0.2681825811</v>
      </c>
      <c r="AD258" s="4" t="str">
        <f>IF(AB258="","",IF(AB258&gt;=0.5+Config!$B$6,"OVER",IF(AC258&gt;=0.5+Config!$B$6,"UNDER","—")))</f>
        <v>OVER</v>
      </c>
      <c r="AE258" s="18">
        <f t="shared" si="7"/>
        <v>1.081043769</v>
      </c>
    </row>
    <row r="259" ht="15.75" customHeight="1">
      <c r="A259" s="4" t="s">
        <v>86</v>
      </c>
      <c r="B259" s="4" t="s">
        <v>1648</v>
      </c>
      <c r="C259" s="4" t="s">
        <v>1558</v>
      </c>
      <c r="D259" s="4" t="s">
        <v>856</v>
      </c>
      <c r="E259" s="4" t="s">
        <v>2880</v>
      </c>
      <c r="F259" s="4">
        <v>7.0</v>
      </c>
      <c r="G259" s="12">
        <f t="array" ref="G259">IFERROR(INDEX(CHOOSE(MATCH($X259,{"K1","K2","K3","K12","K13","H1","H2","H3","H12","H13"},0),Calc!$V$2:$V$157,Calc!$AC$2:$AC$157,Calc!$AJ$2:$AJ$157,Calc!$AL$2:$AL$157,Calc!$AM$2:$AM$157,Calc!$W$2:$W$157,Calc!$AD$2:$AD$157,Calc!$AK$2:$AK$157,Calc!$AN$2:$AN$157,Calc!$AO$2:$AO$157),MATCH($W259,Calc!$A$2:$A$157,0)),"")</f>
        <v>6.982111837</v>
      </c>
      <c r="H259" s="12">
        <f t="array" ref="H259">IF(G259="","",IF(LEFT($X259,1)="H",SQRT(G259*(IFERROR(INDEX(Calc!$AP$2:$AP$157,MATCH($W259,Calc!$A$2:$A$157,0)),0.5)*Config!$B$5+1-IFERROR(INDEX(Calc!$AP$2:$AP$157,MATCH($W259,Calc!$A$2:$A$157,0)),0.5))),SQRT(G259*Config!$B$5)))</f>
        <v>2.891941118</v>
      </c>
      <c r="I259" s="11">
        <f t="shared" si="1"/>
        <v>0.4289375314</v>
      </c>
      <c r="J259" s="11">
        <f t="shared" si="2"/>
        <v>0.4337996173</v>
      </c>
      <c r="K259" s="11">
        <f t="shared" si="3"/>
        <v>0.1372628513</v>
      </c>
      <c r="L259" s="4" t="str">
        <f>IF(I259="","",IF(I259&gt;=0.5+Config!$B$6,"OVER",IF(J259&gt;=0.5+Config!$B$6,"UNDER","—")))</f>
        <v>—</v>
      </c>
      <c r="N259" s="4">
        <v>6.6</v>
      </c>
      <c r="O259" s="11">
        <v>0.4</v>
      </c>
      <c r="P259" s="11">
        <v>0.4</v>
      </c>
      <c r="Q259" s="11">
        <v>0.53</v>
      </c>
      <c r="R259" s="4" t="s">
        <v>579</v>
      </c>
      <c r="S259" s="4">
        <v>-1.0</v>
      </c>
      <c r="T259" s="4" t="str">
        <f t="array" ref="T259">INDEX(Calc!$G$2:$G$157,MATCH($W259,Calc!$A$2:$A$157,0))</f>
        <v>Ancient</v>
      </c>
      <c r="U259" s="4" t="str">
        <f t="array" ref="U259">TEXT(INDEX(Calc!$J$2:$J$157,MATCH($W259,Calc!$A$2:$A$157,0)),"0.0")</f>
        <v>21.5</v>
      </c>
      <c r="V259" s="4" t="str">
        <f t="array" ref="V259">IFERROR(INDEX(Calc!$AQ$2:$AQ$157,MATCH($W259,Calc!$A$2:$A$157,0)),"")</f>
        <v/>
      </c>
      <c r="W259" s="4" t="s">
        <v>3267</v>
      </c>
      <c r="X259" s="4" t="s">
        <v>3201</v>
      </c>
      <c r="Y259" s="4" t="str">
        <f t="shared" si="4"/>
        <v>inq1aslhosl5opp|CS2 · VOCA vs RGG|H1</v>
      </c>
      <c r="Z259" s="12">
        <f t="array" ref="Z259">IFERROR(INDEX(CHOOSE(MATCH($X259,{"K1","K2","K3","K12","K13","H1","H2","H3","H12","H13"},0),Calc!$BA$2:$BA$157,Calc!$BB$2:$BB$157,Calc!$BC$2:$BC$157,Calc!$BD$2:$BD$157,Calc!$BE$2:$BE$157,Calc!$BF$2:$BF$157,Calc!$BG$2:$BG$157,Calc!$BH$2:$BH$157,Calc!$BI$2:$BI$157,Calc!$BJ$2:$BJ$157),MATCH($W259,Calc!$A$2:$A$157,0)),"")</f>
        <v>7.547968494</v>
      </c>
      <c r="AA259" s="12">
        <f t="array" ref="AA259">IF(Z259="","",IF(LEFT($X259,1)="H",SQRT(Z259*(IFERROR(INDEX(Calc!$AP$2:$AP$157,MATCH($W259,Calc!$A$2:$A$157,0)),0.5)*Config!$B$5+1-IFERROR(INDEX(Calc!$AP$2:$AP$157,MATCH($W259,Calc!$A$2:$A$157,0)),0.5))),SQRT(Z259*Config!$B$5)))</f>
        <v>3.006845303</v>
      </c>
      <c r="AB259" s="11">
        <f t="shared" si="5"/>
        <v>0.5063640949</v>
      </c>
      <c r="AC259" s="11">
        <f t="shared" si="6"/>
        <v>0.3637220052</v>
      </c>
      <c r="AD259" s="4" t="str">
        <f>IF(AB259="","",IF(AB259&gt;=0.5+Config!$B$6,"OVER",IF(AC259&gt;=0.5+Config!$B$6,"UNDER","—")))</f>
        <v>—</v>
      </c>
      <c r="AE259" s="18">
        <f t="shared" si="7"/>
        <v>1.081043769</v>
      </c>
    </row>
    <row r="260" ht="15.75" customHeight="1">
      <c r="A260" s="4" t="s">
        <v>86</v>
      </c>
      <c r="B260" s="4" t="s">
        <v>1648</v>
      </c>
      <c r="C260" s="4" t="s">
        <v>1558</v>
      </c>
      <c r="D260" s="4" t="s">
        <v>856</v>
      </c>
      <c r="E260" s="4" t="s">
        <v>2882</v>
      </c>
      <c r="F260" s="4">
        <v>14.0</v>
      </c>
      <c r="G260" s="12">
        <f t="array" ref="G260">IFERROR(INDEX(CHOOSE(MATCH($X260,{"K1","K2","K3","K12","K13","H1","H2","H3","H12","H13"},0),Calc!$V$2:$V$157,Calc!$AC$2:$AC$157,Calc!$AJ$2:$AJ$157,Calc!$AL$2:$AL$157,Calc!$AM$2:$AM$157,Calc!$W$2:$W$157,Calc!$AD$2:$AD$157,Calc!$AK$2:$AK$157,Calc!$AN$2:$AN$157,Calc!$AO$2:$AO$157),MATCH($W260,Calc!$A$2:$A$157,0)),"")</f>
        <v>14.65071429</v>
      </c>
      <c r="H260" s="12">
        <f t="array" ref="H260">IF(G260="","",IF(LEFT($X260,1)="H",SQRT(G260*(IFERROR(INDEX(Calc!$AP$2:$AP$157,MATCH($W260,Calc!$A$2:$A$157,0)),0.5)*Config!$B$5+1-IFERROR(INDEX(Calc!$AP$2:$AP$157,MATCH($W260,Calc!$A$2:$A$157,0)),0.5))),SQRT(G260*Config!$B$5)))</f>
        <v>4.528907153</v>
      </c>
      <c r="I260" s="11">
        <f t="shared" si="1"/>
        <v>0.5132736669</v>
      </c>
      <c r="J260" s="11">
        <f t="shared" si="2"/>
        <v>0.399716062</v>
      </c>
      <c r="K260" s="11">
        <f t="shared" si="3"/>
        <v>0.08701027109</v>
      </c>
      <c r="L260" s="4" t="str">
        <f>IF(I260="","",IF(I260&gt;=0.5+Config!$B$6,"OVER",IF(J260&gt;=0.5+Config!$B$6,"UNDER","—")))</f>
        <v>—</v>
      </c>
      <c r="N260" s="4">
        <v>13.6</v>
      </c>
      <c r="O260" s="11">
        <v>0.4</v>
      </c>
      <c r="P260" s="11">
        <v>0.5</v>
      </c>
      <c r="Q260" s="11">
        <v>0.47</v>
      </c>
      <c r="R260" s="4" t="s">
        <v>579</v>
      </c>
      <c r="S260" s="4">
        <v>-1.0</v>
      </c>
      <c r="T260" s="4" t="str">
        <f t="array" ref="T260">INDEX(Calc!$G$2:$G$157,MATCH($W260,Calc!$A$2:$A$157,0))</f>
        <v>Ancient</v>
      </c>
      <c r="U260" s="4" t="str">
        <f t="array" ref="U260">TEXT(INDEX(Calc!$J$2:$J$157,MATCH($W260,Calc!$A$2:$A$157,0)),"0.0")</f>
        <v>21.5</v>
      </c>
      <c r="V260" s="4" t="str">
        <f t="array" ref="V260">IFERROR(INDEX(Calc!$AQ$2:$AQ$157,MATCH($W260,Calc!$A$2:$A$157,0)),"")</f>
        <v/>
      </c>
      <c r="W260" s="4" t="s">
        <v>3267</v>
      </c>
      <c r="X260" s="4" t="s">
        <v>3202</v>
      </c>
      <c r="Y260" s="4" t="str">
        <f t="shared" si="4"/>
        <v>inq1aslhosl5opp|CS2 · VOCA vs RGG|K1</v>
      </c>
      <c r="Z260" s="12">
        <f t="array" ref="Z260">IFERROR(INDEX(CHOOSE(MATCH($X260,{"K1","K2","K3","K12","K13","H1","H2","H3","H12","H13"},0),Calc!$BA$2:$BA$157,Calc!$BB$2:$BB$157,Calc!$BC$2:$BC$157,Calc!$BD$2:$BD$157,Calc!$BE$2:$BE$157,Calc!$BF$2:$BF$157,Calc!$BG$2:$BG$157,Calc!$BH$2:$BH$157,Calc!$BI$2:$BI$157,Calc!$BJ$2:$BJ$157),MATCH($W260,Calc!$A$2:$A$157,0)),"")</f>
        <v>15.83806339</v>
      </c>
      <c r="AA260" s="12">
        <f t="array" ref="AA260">IF(Z260="","",IF(LEFT($X260,1)="H",SQRT(Z260*(IFERROR(INDEX(Calc!$AP$2:$AP$157,MATCH($W260,Calc!$A$2:$A$157,0)),0.5)*Config!$B$5+1-IFERROR(INDEX(Calc!$AP$2:$AP$157,MATCH($W260,Calc!$A$2:$A$157,0)),0.5))),SQRT(Z260*Config!$B$5)))</f>
        <v>4.708852168</v>
      </c>
      <c r="AB260" s="11">
        <f t="shared" si="5"/>
        <v>0.611855787</v>
      </c>
      <c r="AC260" s="11">
        <f t="shared" si="6"/>
        <v>0.3097619845</v>
      </c>
      <c r="AD260" s="4" t="str">
        <f>IF(AB260="","",IF(AB260&gt;=0.5+Config!$B$6,"OVER",IF(AC260&gt;=0.5+Config!$B$6,"UNDER","—")))</f>
        <v>OVER</v>
      </c>
      <c r="AE260" s="18">
        <f t="shared" si="7"/>
        <v>1.081043769</v>
      </c>
    </row>
    <row r="261" ht="15.75" customHeight="1">
      <c r="A261" s="4" t="s">
        <v>86</v>
      </c>
      <c r="B261" s="4" t="s">
        <v>1648</v>
      </c>
      <c r="C261" s="4" t="s">
        <v>1561</v>
      </c>
      <c r="D261" s="4" t="s">
        <v>856</v>
      </c>
      <c r="E261" s="4" t="s">
        <v>2880</v>
      </c>
      <c r="F261" s="4">
        <v>7.0</v>
      </c>
      <c r="G261" s="12">
        <f t="array" ref="G261">IFERROR(INDEX(CHOOSE(MATCH($X261,{"K1","K2","K3","K12","K13","H1","H2","H3","H12","H13"},0),Calc!$V$2:$V$157,Calc!$AC$2:$AC$157,Calc!$AJ$2:$AJ$157,Calc!$AL$2:$AL$157,Calc!$AM$2:$AM$157,Calc!$W$2:$W$157,Calc!$AD$2:$AD$157,Calc!$AK$2:$AK$157,Calc!$AN$2:$AN$157,Calc!$AO$2:$AO$157),MATCH($W261,Calc!$A$2:$A$157,0)),"")</f>
        <v>6.801296837</v>
      </c>
      <c r="H261" s="12">
        <f t="array" ref="H261">IF(G261="","",IF(LEFT($X261,1)="H",SQRT(G261*(IFERROR(INDEX(Calc!$AP$2:$AP$157,MATCH($W261,Calc!$A$2:$A$157,0)),0.5)*Config!$B$5+1-IFERROR(INDEX(Calc!$AP$2:$AP$157,MATCH($W261,Calc!$A$2:$A$157,0)),0.5))),SQRT(G261*Config!$B$5)))</f>
        <v>2.849015858</v>
      </c>
      <c r="I261" s="11">
        <f t="shared" si="1"/>
        <v>0.4031338745</v>
      </c>
      <c r="J261" s="11">
        <f t="shared" si="2"/>
        <v>0.457888487</v>
      </c>
      <c r="K261" s="11">
        <f t="shared" si="3"/>
        <v>0.1389776386</v>
      </c>
      <c r="L261" s="4" t="str">
        <f>IF(I261="","",IF(I261&gt;=0.5+Config!$B$6,"OVER",IF(J261&gt;=0.5+Config!$B$6,"UNDER","—")))</f>
        <v>—</v>
      </c>
      <c r="N261" s="4">
        <v>6.1</v>
      </c>
      <c r="O261" s="11">
        <v>0.2</v>
      </c>
      <c r="P261" s="11">
        <v>0.3</v>
      </c>
      <c r="Q261" s="11">
        <v>0.47</v>
      </c>
      <c r="R261" s="4" t="s">
        <v>579</v>
      </c>
      <c r="S261" s="4">
        <v>-4.0</v>
      </c>
      <c r="T261" s="4" t="str">
        <f t="array" ref="T261">INDEX(Calc!$G$2:$G$157,MATCH($W261,Calc!$A$2:$A$157,0))</f>
        <v>Ancient</v>
      </c>
      <c r="U261" s="4" t="str">
        <f t="array" ref="U261">TEXT(INDEX(Calc!$J$2:$J$157,MATCH($W261,Calc!$A$2:$A$157,0)),"0.0")</f>
        <v>21.5</v>
      </c>
      <c r="V261" s="4" t="str">
        <f t="array" ref="V261">IFERROR(INDEX(Calc!$AQ$2:$AQ$157,MATCH($W261,Calc!$A$2:$A$157,0)),"")</f>
        <v/>
      </c>
      <c r="W261" s="4" t="s">
        <v>3268</v>
      </c>
      <c r="X261" s="4" t="s">
        <v>3201</v>
      </c>
      <c r="Y261" s="4" t="str">
        <f t="shared" si="4"/>
        <v>pnbyhth5hef4yqq|CS2 · VOCA vs RGG|H1</v>
      </c>
      <c r="Z261" s="12">
        <f t="array" ref="Z261">IFERROR(INDEX(CHOOSE(MATCH($X261,{"K1","K2","K3","K12","K13","H1","H2","H3","H12","H13"},0),Calc!$BA$2:$BA$157,Calc!$BB$2:$BB$157,Calc!$BC$2:$BC$157,Calc!$BD$2:$BD$157,Calc!$BE$2:$BE$157,Calc!$BF$2:$BF$157,Calc!$BG$2:$BG$157,Calc!$BH$2:$BH$157,Calc!$BI$2:$BI$157,Calc!$BJ$2:$BJ$157),MATCH($W261,Calc!$A$2:$A$157,0)),"")</f>
        <v>7.352499565</v>
      </c>
      <c r="AA261" s="12">
        <f t="array" ref="AA261">IF(Z261="","",IF(LEFT($X261,1)="H",SQRT(Z261*(IFERROR(INDEX(Calc!$AP$2:$AP$157,MATCH($W261,Calc!$A$2:$A$157,0)),0.5)*Config!$B$5+1-IFERROR(INDEX(Calc!$AP$2:$AP$157,MATCH($W261,Calc!$A$2:$A$157,0)),0.5))),SQRT(Z261*Config!$B$5)))</f>
        <v>2.962214514</v>
      </c>
      <c r="AB261" s="11">
        <f t="shared" si="5"/>
        <v>0.4801432841</v>
      </c>
      <c r="AC261" s="11">
        <f t="shared" si="6"/>
        <v>0.3867532488</v>
      </c>
      <c r="AD261" s="4" t="str">
        <f>IF(AB261="","",IF(AB261&gt;=0.5+Config!$B$6,"OVER",IF(AC261&gt;=0.5+Config!$B$6,"UNDER","—")))</f>
        <v>—</v>
      </c>
      <c r="AE261" s="18">
        <f t="shared" si="7"/>
        <v>1.081043769</v>
      </c>
    </row>
    <row r="262" ht="15.75" customHeight="1">
      <c r="A262" s="4" t="s">
        <v>86</v>
      </c>
      <c r="B262" s="4" t="s">
        <v>1648</v>
      </c>
      <c r="C262" s="4" t="s">
        <v>1561</v>
      </c>
      <c r="D262" s="4" t="s">
        <v>856</v>
      </c>
      <c r="E262" s="4" t="s">
        <v>2882</v>
      </c>
      <c r="F262" s="4">
        <v>14.0</v>
      </c>
      <c r="G262" s="12">
        <f t="array" ref="G262">IFERROR(INDEX(CHOOSE(MATCH($X262,{"K1","K2","K3","K12","K13","H1","H2","H3","H12","H13"},0),Calc!$V$2:$V$157,Calc!$AC$2:$AC$157,Calc!$AJ$2:$AJ$157,Calc!$AL$2:$AL$157,Calc!$AM$2:$AM$157,Calc!$W$2:$W$157,Calc!$AD$2:$AD$157,Calc!$AK$2:$AK$157,Calc!$AN$2:$AN$157,Calc!$AO$2:$AO$157),MATCH($W262,Calc!$A$2:$A$157,0)),"")</f>
        <v>13.92892857</v>
      </c>
      <c r="H262" s="12">
        <f t="array" ref="H262">IF(G262="","",IF(LEFT($X262,1)="H",SQRT(G262*(IFERROR(INDEX(Calc!$AP$2:$AP$157,MATCH($W262,Calc!$A$2:$A$157,0)),0.5)*Config!$B$5+1-IFERROR(INDEX(Calc!$AP$2:$AP$157,MATCH($W262,Calc!$A$2:$A$157,0)),0.5))),SQRT(G262*Config!$B$5)))</f>
        <v>4.415937047</v>
      </c>
      <c r="I262" s="11">
        <f t="shared" si="1"/>
        <v>0.4485520038</v>
      </c>
      <c r="J262" s="11">
        <f t="shared" si="2"/>
        <v>0.4613108046</v>
      </c>
      <c r="K262" s="11">
        <f t="shared" si="3"/>
        <v>0.09013719152</v>
      </c>
      <c r="L262" s="4" t="str">
        <f>IF(I262="","",IF(I262&gt;=0.5+Config!$B$6,"OVER",IF(J262&gt;=0.5+Config!$B$6,"UNDER","—")))</f>
        <v>—</v>
      </c>
      <c r="N262" s="4">
        <v>12.6</v>
      </c>
      <c r="O262" s="11">
        <v>0.2</v>
      </c>
      <c r="P262" s="11">
        <v>0.3</v>
      </c>
      <c r="Q262" s="11">
        <v>0.4</v>
      </c>
      <c r="R262" s="4" t="s">
        <v>579</v>
      </c>
      <c r="S262" s="4">
        <v>-4.0</v>
      </c>
      <c r="T262" s="4" t="str">
        <f t="array" ref="T262">INDEX(Calc!$G$2:$G$157,MATCH($W262,Calc!$A$2:$A$157,0))</f>
        <v>Ancient</v>
      </c>
      <c r="U262" s="4" t="str">
        <f t="array" ref="U262">TEXT(INDEX(Calc!$J$2:$J$157,MATCH($W262,Calc!$A$2:$A$157,0)),"0.0")</f>
        <v>21.5</v>
      </c>
      <c r="V262" s="4" t="str">
        <f t="array" ref="V262">IFERROR(INDEX(Calc!$AQ$2:$AQ$157,MATCH($W262,Calc!$A$2:$A$157,0)),"")</f>
        <v/>
      </c>
      <c r="W262" s="4" t="s">
        <v>3268</v>
      </c>
      <c r="X262" s="4" t="s">
        <v>3202</v>
      </c>
      <c r="Y262" s="4" t="str">
        <f t="shared" si="4"/>
        <v>pnbyhth5hef4yqq|CS2 · VOCA vs RGG|K1</v>
      </c>
      <c r="Z262" s="12">
        <f t="array" ref="Z262">IFERROR(INDEX(CHOOSE(MATCH($X262,{"K1","K2","K3","K12","K13","H1","H2","H3","H12","H13"},0),Calc!$BA$2:$BA$157,Calc!$BB$2:$BB$157,Calc!$BC$2:$BC$157,Calc!$BD$2:$BD$157,Calc!$BE$2:$BE$157,Calc!$BF$2:$BF$157,Calc!$BG$2:$BG$157,Calc!$BH$2:$BH$157,Calc!$BI$2:$BI$157,Calc!$BJ$2:$BJ$157),MATCH($W262,Calc!$A$2:$A$157,0)),"")</f>
        <v>15.05778144</v>
      </c>
      <c r="AA262" s="12">
        <f t="array" ref="AA262">IF(Z262="","",IF(LEFT($X262,1)="H",SQRT(Z262*(IFERROR(INDEX(Calc!$AP$2:$AP$157,MATCH($W262,Calc!$A$2:$A$157,0)),0.5)*Config!$B$5+1-IFERROR(INDEX(Calc!$AP$2:$AP$157,MATCH($W262,Calc!$A$2:$A$157,0)),0.5))),SQRT(Z262*Config!$B$5)))</f>
        <v>4.591393472</v>
      </c>
      <c r="AB262" s="11">
        <f t="shared" si="5"/>
        <v>0.5483462077</v>
      </c>
      <c r="AC262" s="11">
        <f t="shared" si="6"/>
        <v>0.3671982997</v>
      </c>
      <c r="AD262" s="4" t="str">
        <f>IF(AB262="","",IF(AB262&gt;=0.5+Config!$B$6,"OVER",IF(AC262&gt;=0.5+Config!$B$6,"UNDER","—")))</f>
        <v>OVER</v>
      </c>
      <c r="AE262" s="18">
        <f t="shared" si="7"/>
        <v>1.081043769</v>
      </c>
    </row>
    <row r="263" ht="15.75" customHeight="1">
      <c r="A263" s="4" t="s">
        <v>1582</v>
      </c>
      <c r="B263" s="4" t="s">
        <v>1833</v>
      </c>
      <c r="C263" s="4" t="s">
        <v>1581</v>
      </c>
      <c r="D263" s="4" t="s">
        <v>368</v>
      </c>
      <c r="E263" s="4" t="s">
        <v>772</v>
      </c>
      <c r="F263" s="4">
        <v>30.0</v>
      </c>
      <c r="G263" s="12">
        <f t="array" ref="G263">IFERROR(INDEX(CHOOSE(MATCH($X263,{"K1","K2","K3","K12","K13","H1","H2","H3","H12","H13"},0),Calc!$V$2:$V$157,Calc!$AC$2:$AC$157,Calc!$AJ$2:$AJ$157,Calc!$AL$2:$AL$157,Calc!$AM$2:$AM$157,Calc!$W$2:$W$157,Calc!$AD$2:$AD$157,Calc!$AK$2:$AK$157,Calc!$AN$2:$AN$157,Calc!$AO$2:$AO$157),MATCH($W263,Calc!$A$2:$A$157,0)),"")</f>
        <v>37.03932033</v>
      </c>
      <c r="H263" s="12">
        <f t="array" ref="H263">IF(G263="","",IF(LEFT($X263,1)="H",SQRT(G263*(IFERROR(INDEX(Calc!$AP$2:$AP$157,MATCH($W263,Calc!$A$2:$A$157,0)),0.5)*Config!$B$5+1-IFERROR(INDEX(Calc!$AP$2:$AP$157,MATCH($W263,Calc!$A$2:$A$157,0)),0.5))),SQRT(G263*Config!$B$5)))</f>
        <v>7.201044956</v>
      </c>
      <c r="I263" s="11">
        <f t="shared" si="1"/>
        <v>0.8180891904</v>
      </c>
      <c r="J263" s="11">
        <f t="shared" si="2"/>
        <v>0.1475553529</v>
      </c>
      <c r="K263" s="11">
        <f t="shared" si="3"/>
        <v>0.03435545663</v>
      </c>
      <c r="L263" s="4" t="str">
        <f>IF(I263="","",IF(I263&gt;=0.5+Config!$B$6,"OVER",IF(J263&gt;=0.5+Config!$B$6,"UNDER","—")))</f>
        <v>OVER</v>
      </c>
      <c r="M263" s="4">
        <v>34.18</v>
      </c>
      <c r="N263" s="4">
        <v>32.5</v>
      </c>
      <c r="O263" s="11">
        <v>0.6</v>
      </c>
      <c r="P263" s="11">
        <v>0.7</v>
      </c>
      <c r="Q263" s="11">
        <v>0.67</v>
      </c>
      <c r="R263" s="4" t="s">
        <v>3269</v>
      </c>
      <c r="S263" s="4">
        <v>3.0</v>
      </c>
      <c r="T263" s="4" t="str">
        <f t="array" ref="T263">INDEX(Calc!$G$2:$G$157,MATCH($W263,Calc!$A$2:$A$157,0))&amp;" / "&amp;INDEX(Calc!$H$2:$H$157,MATCH($W263,Calc!$A$2:$A$157,0))</f>
        <v>Sunset / Ascent</v>
      </c>
      <c r="U263" s="4" t="str">
        <f t="array" ref="U263">TEXT(INDEX(Calc!$J$2:$J$157,MATCH($W263,Calc!$A$2:$A$157,0)),"0.0")&amp;" / "&amp;TEXT(INDEX(Calc!$K$2:$K$157,MATCH($W263,Calc!$A$2:$A$157,0)),"0.0")</f>
        <v>21.6 / 21.6</v>
      </c>
      <c r="V263" s="4" t="str">
        <f t="array" ref="V263">IFERROR(INDEX(Calc!$AQ$2:$AQ$157,MATCH($W263,Calc!$A$2:$A$157,0)),"")</f>
        <v/>
      </c>
      <c r="W263" s="4" t="s">
        <v>3270</v>
      </c>
      <c r="X263" s="4" t="s">
        <v>926</v>
      </c>
      <c r="Y263" s="4" t="str">
        <f t="shared" si="4"/>
        <v>4r111afg5jtvvzd|VAL · 100T vs G2|K12</v>
      </c>
      <c r="Z263" s="12">
        <f t="array" ref="Z263">IFERROR(INDEX(CHOOSE(MATCH($X263,{"K1","K2","K3","K12","K13","H1","H2","H3","H12","H13"},0),Calc!$BA$2:$BA$157,Calc!$BB$2:$BB$157,Calc!$BC$2:$BC$157,Calc!$BD$2:$BD$157,Calc!$BE$2:$BE$157,Calc!$BF$2:$BF$157,Calc!$BG$2:$BG$157,Calc!$BH$2:$BH$157,Calc!$BI$2:$BI$157,Calc!$BJ$2:$BJ$157),MATCH($W263,Calc!$A$2:$A$157,0)),"")</f>
        <v>37.03932033</v>
      </c>
      <c r="AA263" s="12">
        <f t="array" ref="AA263">IF(Z263="","",IF(LEFT($X263,1)="H",SQRT(Z263*(IFERROR(INDEX(Calc!$AP$2:$AP$157,MATCH($W263,Calc!$A$2:$A$157,0)),0.5)*Config!$B$5+1-IFERROR(INDEX(Calc!$AP$2:$AP$157,MATCH($W263,Calc!$A$2:$A$157,0)),0.5))),SQRT(Z263*Config!$B$5)))</f>
        <v>7.201044956</v>
      </c>
      <c r="AB263" s="11">
        <f t="shared" si="5"/>
        <v>0.8180891904</v>
      </c>
      <c r="AC263" s="11">
        <f t="shared" si="6"/>
        <v>0.1475553529</v>
      </c>
      <c r="AD263" s="4" t="str">
        <f>IF(AB263="","",IF(AB263&gt;=0.5+Config!$B$6,"OVER",IF(AC263&gt;=0.5+Config!$B$6,"UNDER","—")))</f>
        <v>OVER</v>
      </c>
      <c r="AE263" s="18">
        <f t="shared" si="7"/>
        <v>1</v>
      </c>
    </row>
    <row r="264" ht="15.75" customHeight="1">
      <c r="A264" s="4" t="s">
        <v>1582</v>
      </c>
      <c r="B264" s="4" t="s">
        <v>1833</v>
      </c>
      <c r="C264" s="4" t="s">
        <v>1586</v>
      </c>
      <c r="D264" s="4" t="s">
        <v>368</v>
      </c>
      <c r="E264" s="4" t="s">
        <v>772</v>
      </c>
      <c r="F264" s="4">
        <v>28.5</v>
      </c>
      <c r="G264" s="12">
        <f t="array" ref="G264">IFERROR(INDEX(CHOOSE(MATCH($X264,{"K1","K2","K3","K12","K13","H1","H2","H3","H12","H13"},0),Calc!$V$2:$V$157,Calc!$AC$2:$AC$157,Calc!$AJ$2:$AJ$157,Calc!$AL$2:$AL$157,Calc!$AM$2:$AM$157,Calc!$W$2:$W$157,Calc!$AD$2:$AD$157,Calc!$AK$2:$AK$157,Calc!$AN$2:$AN$157,Calc!$AO$2:$AO$157),MATCH($W264,Calc!$A$2:$A$157,0)),"")</f>
        <v>30.42886476</v>
      </c>
      <c r="H264" s="12">
        <f t="array" ref="H264">IF(G264="","",IF(LEFT($X264,1)="H",SQRT(G264*(IFERROR(INDEX(Calc!$AP$2:$AP$157,MATCH($W264,Calc!$A$2:$A$157,0)),0.5)*Config!$B$5+1-IFERROR(INDEX(Calc!$AP$2:$AP$157,MATCH($W264,Calc!$A$2:$A$157,0)),0.5))),SQRT(G264*Config!$B$5)))</f>
        <v>6.526899008</v>
      </c>
      <c r="I264" s="11">
        <f t="shared" si="1"/>
        <v>0.6162037428</v>
      </c>
      <c r="J264" s="11">
        <f t="shared" si="2"/>
        <v>0.3837962572</v>
      </c>
      <c r="K264" s="11">
        <f t="shared" si="3"/>
        <v>0</v>
      </c>
      <c r="L264" s="4" t="str">
        <f>IF(I264="","",IF(I264&gt;=0.5+Config!$B$6,"OVER",IF(J264&gt;=0.5+Config!$B$6,"UNDER","—")))</f>
        <v>OVER</v>
      </c>
      <c r="M264" s="4">
        <v>27.66</v>
      </c>
      <c r="N264" s="4">
        <v>29.2</v>
      </c>
      <c r="O264" s="11">
        <v>0.8</v>
      </c>
      <c r="P264" s="11">
        <v>0.6</v>
      </c>
      <c r="Q264" s="11">
        <v>0.53</v>
      </c>
      <c r="R264" s="4" t="s">
        <v>3271</v>
      </c>
      <c r="S264" s="4">
        <v>2.0</v>
      </c>
      <c r="T264" s="4" t="str">
        <f t="array" ref="T264">INDEX(Calc!$G$2:$G$157,MATCH($W264,Calc!$A$2:$A$157,0))&amp;" / "&amp;INDEX(Calc!$H$2:$H$157,MATCH($W264,Calc!$A$2:$A$157,0))</f>
        <v>Sunset / Ascent</v>
      </c>
      <c r="U264" s="4" t="str">
        <f t="array" ref="U264">TEXT(INDEX(Calc!$J$2:$J$157,MATCH($W264,Calc!$A$2:$A$157,0)),"0.0")&amp;" / "&amp;TEXT(INDEX(Calc!$K$2:$K$157,MATCH($W264,Calc!$A$2:$A$157,0)),"0.0")</f>
        <v>21.6 / 21.6</v>
      </c>
      <c r="V264" s="4" t="str">
        <f t="array" ref="V264">IFERROR(INDEX(Calc!$AQ$2:$AQ$157,MATCH($W264,Calc!$A$2:$A$157,0)),"")</f>
        <v/>
      </c>
      <c r="W264" s="4" t="s">
        <v>3272</v>
      </c>
      <c r="X264" s="4" t="s">
        <v>926</v>
      </c>
      <c r="Y264" s="4" t="str">
        <f t="shared" si="4"/>
        <v>38ouija5u053a23|VAL · 100T vs G2|K12</v>
      </c>
      <c r="Z264" s="12">
        <f t="array" ref="Z264">IFERROR(INDEX(CHOOSE(MATCH($X264,{"K1","K2","K3","K12","K13","H1","H2","H3","H12","H13"},0),Calc!$BA$2:$BA$157,Calc!$BB$2:$BB$157,Calc!$BC$2:$BC$157,Calc!$BD$2:$BD$157,Calc!$BE$2:$BE$157,Calc!$BF$2:$BF$157,Calc!$BG$2:$BG$157,Calc!$BH$2:$BH$157,Calc!$BI$2:$BI$157,Calc!$BJ$2:$BJ$157),MATCH($W264,Calc!$A$2:$A$157,0)),"")</f>
        <v>30.42886476</v>
      </c>
      <c r="AA264" s="12">
        <f t="array" ref="AA264">IF(Z264="","",IF(LEFT($X264,1)="H",SQRT(Z264*(IFERROR(INDEX(Calc!$AP$2:$AP$157,MATCH($W264,Calc!$A$2:$A$157,0)),0.5)*Config!$B$5+1-IFERROR(INDEX(Calc!$AP$2:$AP$157,MATCH($W264,Calc!$A$2:$A$157,0)),0.5))),SQRT(Z264*Config!$B$5)))</f>
        <v>6.526899008</v>
      </c>
      <c r="AB264" s="11">
        <f t="shared" si="5"/>
        <v>0.6162037428</v>
      </c>
      <c r="AC264" s="11">
        <f t="shared" si="6"/>
        <v>0.3837962572</v>
      </c>
      <c r="AD264" s="4" t="str">
        <f>IF(AB264="","",IF(AB264&gt;=0.5+Config!$B$6,"OVER",IF(AC264&gt;=0.5+Config!$B$6,"UNDER","—")))</f>
        <v>OVER</v>
      </c>
      <c r="AE264" s="18">
        <f t="shared" si="7"/>
        <v>1</v>
      </c>
    </row>
    <row r="265" ht="15.75" customHeight="1">
      <c r="A265" s="4" t="s">
        <v>1582</v>
      </c>
      <c r="B265" s="4" t="s">
        <v>1833</v>
      </c>
      <c r="C265" s="4" t="s">
        <v>1589</v>
      </c>
      <c r="D265" s="4" t="s">
        <v>368</v>
      </c>
      <c r="E265" s="4" t="s">
        <v>772</v>
      </c>
      <c r="F265" s="4">
        <v>32.5</v>
      </c>
      <c r="G265" s="12">
        <f t="array" ref="G265">IFERROR(INDEX(CHOOSE(MATCH($X265,{"K1","K2","K3","K12","K13","H1","H2","H3","H12","H13"},0),Calc!$V$2:$V$157,Calc!$AC$2:$AC$157,Calc!$AJ$2:$AJ$157,Calc!$AL$2:$AL$157,Calc!$AM$2:$AM$157,Calc!$W$2:$W$157,Calc!$AD$2:$AD$157,Calc!$AK$2:$AK$157,Calc!$AN$2:$AN$157,Calc!$AO$2:$AO$157),MATCH($W265,Calc!$A$2:$A$157,0)),"")</f>
        <v>36.32362065</v>
      </c>
      <c r="H265" s="12">
        <f t="array" ref="H265">IF(G265="","",IF(LEFT($X265,1)="H",SQRT(G265*(IFERROR(INDEX(Calc!$AP$2:$AP$157,MATCH($W265,Calc!$A$2:$A$157,0)),0.5)*Config!$B$5+1-IFERROR(INDEX(Calc!$AP$2:$AP$157,MATCH($W265,Calc!$A$2:$A$157,0)),0.5))),SQRT(G265*Config!$B$5)))</f>
        <v>7.131133774</v>
      </c>
      <c r="I265" s="11">
        <f t="shared" si="1"/>
        <v>0.7040853134</v>
      </c>
      <c r="J265" s="11">
        <f t="shared" si="2"/>
        <v>0.2959146866</v>
      </c>
      <c r="K265" s="11">
        <f t="shared" si="3"/>
        <v>0</v>
      </c>
      <c r="L265" s="4" t="str">
        <f>IF(I265="","",IF(I265&gt;=0.5+Config!$B$6,"OVER",IF(J265&gt;=0.5+Config!$B$6,"UNDER","—")))</f>
        <v>OVER</v>
      </c>
      <c r="N265" s="4">
        <v>30.1</v>
      </c>
      <c r="O265" s="11">
        <v>0.4</v>
      </c>
      <c r="P265" s="11">
        <v>0.3</v>
      </c>
      <c r="Q265" s="11">
        <v>0.47</v>
      </c>
      <c r="R265" s="4" t="s">
        <v>3273</v>
      </c>
      <c r="S265" s="4">
        <v>-1.0</v>
      </c>
      <c r="T265" s="4" t="str">
        <f t="array" ref="T265">INDEX(Calc!$G$2:$G$157,MATCH($W265,Calc!$A$2:$A$157,0))&amp;" / "&amp;INDEX(Calc!$H$2:$H$157,MATCH($W265,Calc!$A$2:$A$157,0))</f>
        <v>Sunset / Ascent</v>
      </c>
      <c r="U265" s="4" t="str">
        <f t="array" ref="U265">TEXT(INDEX(Calc!$J$2:$J$157,MATCH($W265,Calc!$A$2:$A$157,0)),"0.0")&amp;" / "&amp;TEXT(INDEX(Calc!$K$2:$K$157,MATCH($W265,Calc!$A$2:$A$157,0)),"0.0")</f>
        <v>21.6 / 21.6</v>
      </c>
      <c r="V265" s="4" t="str">
        <f t="array" ref="V265">IFERROR(INDEX(Calc!$AQ$2:$AQ$157,MATCH($W265,Calc!$A$2:$A$157,0)),"")</f>
        <v/>
      </c>
      <c r="W265" s="4" t="s">
        <v>3274</v>
      </c>
      <c r="X265" s="4" t="s">
        <v>926</v>
      </c>
      <c r="Y265" s="4" t="str">
        <f t="shared" si="4"/>
        <v>tdlqzw2bt02xcdw|VAL · 100T vs G2|K12</v>
      </c>
      <c r="Z265" s="12">
        <f t="array" ref="Z265">IFERROR(INDEX(CHOOSE(MATCH($X265,{"K1","K2","K3","K12","K13","H1","H2","H3","H12","H13"},0),Calc!$BA$2:$BA$157,Calc!$BB$2:$BB$157,Calc!$BC$2:$BC$157,Calc!$BD$2:$BD$157,Calc!$BE$2:$BE$157,Calc!$BF$2:$BF$157,Calc!$BG$2:$BG$157,Calc!$BH$2:$BH$157,Calc!$BI$2:$BI$157,Calc!$BJ$2:$BJ$157),MATCH($W265,Calc!$A$2:$A$157,0)),"")</f>
        <v>36.32362065</v>
      </c>
      <c r="AA265" s="12">
        <f t="array" ref="AA265">IF(Z265="","",IF(LEFT($X265,1)="H",SQRT(Z265*(IFERROR(INDEX(Calc!$AP$2:$AP$157,MATCH($W265,Calc!$A$2:$A$157,0)),0.5)*Config!$B$5+1-IFERROR(INDEX(Calc!$AP$2:$AP$157,MATCH($W265,Calc!$A$2:$A$157,0)),0.5))),SQRT(Z265*Config!$B$5)))</f>
        <v>7.131133774</v>
      </c>
      <c r="AB265" s="11">
        <f t="shared" si="5"/>
        <v>0.7040853134</v>
      </c>
      <c r="AC265" s="11">
        <f t="shared" si="6"/>
        <v>0.2959146866</v>
      </c>
      <c r="AD265" s="4" t="str">
        <f>IF(AB265="","",IF(AB265&gt;=0.5+Config!$B$6,"OVER",IF(AC265&gt;=0.5+Config!$B$6,"UNDER","—")))</f>
        <v>OVER</v>
      </c>
      <c r="AE265" s="18">
        <f t="shared" si="7"/>
        <v>1</v>
      </c>
    </row>
    <row r="266" ht="15.75" customHeight="1">
      <c r="A266" s="4" t="s">
        <v>1582</v>
      </c>
      <c r="B266" s="4" t="s">
        <v>1833</v>
      </c>
      <c r="C266" s="4" t="s">
        <v>1592</v>
      </c>
      <c r="D266" s="4" t="s">
        <v>368</v>
      </c>
      <c r="E266" s="4" t="s">
        <v>772</v>
      </c>
      <c r="F266" s="4">
        <v>33.5</v>
      </c>
      <c r="G266" s="12">
        <f t="array" ref="G266">IFERROR(INDEX(CHOOSE(MATCH($X266,{"K1","K2","K3","K12","K13","H1","H2","H3","H12","H13"},0),Calc!$V$2:$V$157,Calc!$AC$2:$AC$157,Calc!$AJ$2:$AJ$157,Calc!$AL$2:$AL$157,Calc!$AM$2:$AM$157,Calc!$W$2:$W$157,Calc!$AD$2:$AD$157,Calc!$AK$2:$AK$157,Calc!$AN$2:$AN$157,Calc!$AO$2:$AO$157),MATCH($W266,Calc!$A$2:$A$157,0)),"")</f>
        <v>35.49386249</v>
      </c>
      <c r="H266" s="12">
        <f t="array" ref="H266">IF(G266="","",IF(LEFT($X266,1)="H",SQRT(G266*(IFERROR(INDEX(Calc!$AP$2:$AP$157,MATCH($W266,Calc!$A$2:$A$157,0)),0.5)*Config!$B$5+1-IFERROR(INDEX(Calc!$AP$2:$AP$157,MATCH($W266,Calc!$A$2:$A$157,0)),0.5))),SQRT(G266*Config!$B$5)))</f>
        <v>7.049213253</v>
      </c>
      <c r="I266" s="11">
        <f t="shared" si="1"/>
        <v>0.6113536811</v>
      </c>
      <c r="J266" s="11">
        <f t="shared" si="2"/>
        <v>0.3886463189</v>
      </c>
      <c r="K266" s="11">
        <f t="shared" si="3"/>
        <v>0</v>
      </c>
      <c r="L266" s="4" t="str">
        <f>IF(I266="","",IF(I266&gt;=0.5+Config!$B$6,"OVER",IF(J266&gt;=0.5+Config!$B$6,"UNDER","—")))</f>
        <v>OVER</v>
      </c>
      <c r="M266" s="4">
        <v>32.32</v>
      </c>
      <c r="N266" s="4">
        <v>33.3</v>
      </c>
      <c r="O266" s="11">
        <v>0.8</v>
      </c>
      <c r="P266" s="11">
        <v>0.6</v>
      </c>
      <c r="Q266" s="11">
        <v>0.67</v>
      </c>
      <c r="R266" s="4" t="s">
        <v>1787</v>
      </c>
      <c r="S266" s="4">
        <v>1.0</v>
      </c>
      <c r="T266" s="4" t="str">
        <f t="array" ref="T266">INDEX(Calc!$G$2:$G$157,MATCH($W266,Calc!$A$2:$A$157,0))&amp;" / "&amp;INDEX(Calc!$H$2:$H$157,MATCH($W266,Calc!$A$2:$A$157,0))</f>
        <v>Sunset / Ascent</v>
      </c>
      <c r="U266" s="4" t="str">
        <f t="array" ref="U266">TEXT(INDEX(Calc!$J$2:$J$157,MATCH($W266,Calc!$A$2:$A$157,0)),"0.0")&amp;" / "&amp;TEXT(INDEX(Calc!$K$2:$K$157,MATCH($W266,Calc!$A$2:$A$157,0)),"0.0")</f>
        <v>21.6 / 21.6</v>
      </c>
      <c r="V266" s="4" t="str">
        <f t="array" ref="V266">IFERROR(INDEX(Calc!$AQ$2:$AQ$157,MATCH($W266,Calc!$A$2:$A$157,0)),"")</f>
        <v/>
      </c>
      <c r="W266" s="4" t="s">
        <v>3275</v>
      </c>
      <c r="X266" s="4" t="s">
        <v>926</v>
      </c>
      <c r="Y266" s="4" t="str">
        <f t="shared" si="4"/>
        <v>35x56caa7qz3za9|VAL · 100T vs G2|K12</v>
      </c>
      <c r="Z266" s="12">
        <f t="array" ref="Z266">IFERROR(INDEX(CHOOSE(MATCH($X266,{"K1","K2","K3","K12","K13","H1","H2","H3","H12","H13"},0),Calc!$BA$2:$BA$157,Calc!$BB$2:$BB$157,Calc!$BC$2:$BC$157,Calc!$BD$2:$BD$157,Calc!$BE$2:$BE$157,Calc!$BF$2:$BF$157,Calc!$BG$2:$BG$157,Calc!$BH$2:$BH$157,Calc!$BI$2:$BI$157,Calc!$BJ$2:$BJ$157),MATCH($W266,Calc!$A$2:$A$157,0)),"")</f>
        <v>35.49386249</v>
      </c>
      <c r="AA266" s="12">
        <f t="array" ref="AA266">IF(Z266="","",IF(LEFT($X266,1)="H",SQRT(Z266*(IFERROR(INDEX(Calc!$AP$2:$AP$157,MATCH($W266,Calc!$A$2:$A$157,0)),0.5)*Config!$B$5+1-IFERROR(INDEX(Calc!$AP$2:$AP$157,MATCH($W266,Calc!$A$2:$A$157,0)),0.5))),SQRT(Z266*Config!$B$5)))</f>
        <v>7.049213253</v>
      </c>
      <c r="AB266" s="11">
        <f t="shared" si="5"/>
        <v>0.6113536811</v>
      </c>
      <c r="AC266" s="11">
        <f t="shared" si="6"/>
        <v>0.3886463189</v>
      </c>
      <c r="AD266" s="4" t="str">
        <f>IF(AB266="","",IF(AB266&gt;=0.5+Config!$B$6,"OVER",IF(AC266&gt;=0.5+Config!$B$6,"UNDER","—")))</f>
        <v>OVER</v>
      </c>
      <c r="AE266" s="18">
        <f t="shared" si="7"/>
        <v>1</v>
      </c>
    </row>
    <row r="267" ht="15.75" customHeight="1">
      <c r="A267" s="4" t="s">
        <v>1582</v>
      </c>
      <c r="B267" s="4" t="s">
        <v>1833</v>
      </c>
      <c r="C267" s="4" t="s">
        <v>1595</v>
      </c>
      <c r="D267" s="4" t="s">
        <v>368</v>
      </c>
      <c r="E267" s="4" t="s">
        <v>772</v>
      </c>
      <c r="F267" s="4">
        <v>27.0</v>
      </c>
      <c r="G267" s="12">
        <f t="array" ref="G267">IFERROR(INDEX(CHOOSE(MATCH($X267,{"K1","K2","K3","K12","K13","H1","H2","H3","H12","H13"},0),Calc!$V$2:$V$157,Calc!$AC$2:$AC$157,Calc!$AJ$2:$AJ$157,Calc!$AL$2:$AL$157,Calc!$AM$2:$AM$157,Calc!$W$2:$W$157,Calc!$AD$2:$AD$157,Calc!$AK$2:$AK$157,Calc!$AN$2:$AN$157,Calc!$AO$2:$AO$157),MATCH($W267,Calc!$A$2:$A$157,0)),"")</f>
        <v>27.50082072</v>
      </c>
      <c r="H267" s="12">
        <f t="array" ref="H267">IF(G267="","",IF(LEFT($X267,1)="H",SQRT(G267*(IFERROR(INDEX(Calc!$AP$2:$AP$157,MATCH($W267,Calc!$A$2:$A$157,0)),0.5)*Config!$B$5+1-IFERROR(INDEX(Calc!$AP$2:$AP$157,MATCH($W267,Calc!$A$2:$A$157,0)),0.5))),SQRT(G267*Config!$B$5)))</f>
        <v>6.204929412</v>
      </c>
      <c r="I267" s="11">
        <f t="shared" si="1"/>
        <v>0.5000527675</v>
      </c>
      <c r="J267" s="11">
        <f t="shared" si="2"/>
        <v>0.4359307446</v>
      </c>
      <c r="K267" s="11">
        <f t="shared" si="3"/>
        <v>0.0640164879</v>
      </c>
      <c r="L267" s="4" t="str">
        <f>IF(I267="","",IF(I267&gt;=0.5+Config!$B$6,"OVER",IF(J267&gt;=0.5+Config!$B$6,"UNDER","—")))</f>
        <v>—</v>
      </c>
      <c r="M267" s="4">
        <v>27.66</v>
      </c>
      <c r="N267" s="4">
        <v>27.9</v>
      </c>
      <c r="O267" s="11">
        <v>0.4</v>
      </c>
      <c r="P267" s="11">
        <v>0.6</v>
      </c>
      <c r="Q267" s="11">
        <v>0.6</v>
      </c>
      <c r="R267" s="4" t="s">
        <v>1787</v>
      </c>
      <c r="S267" s="4">
        <v>1.0</v>
      </c>
      <c r="T267" s="4" t="str">
        <f t="array" ref="T267">INDEX(Calc!$G$2:$G$157,MATCH($W267,Calc!$A$2:$A$157,0))&amp;" / "&amp;INDEX(Calc!$H$2:$H$157,MATCH($W267,Calc!$A$2:$A$157,0))</f>
        <v>Sunset / Ascent</v>
      </c>
      <c r="U267" s="4" t="str">
        <f t="array" ref="U267">TEXT(INDEX(Calc!$J$2:$J$157,MATCH($W267,Calc!$A$2:$A$157,0)),"0.0")&amp;" / "&amp;TEXT(INDEX(Calc!$K$2:$K$157,MATCH($W267,Calc!$A$2:$A$157,0)),"0.0")</f>
        <v>21.6 / 21.6</v>
      </c>
      <c r="V267" s="4" t="str">
        <f t="array" ref="V267">IFERROR(INDEX(Calc!$AQ$2:$AQ$157,MATCH($W267,Calc!$A$2:$A$157,0)),"")</f>
        <v/>
      </c>
      <c r="W267" s="4" t="s">
        <v>3276</v>
      </c>
      <c r="X267" s="4" t="s">
        <v>926</v>
      </c>
      <c r="Y267" s="4" t="str">
        <f t="shared" si="4"/>
        <v>uilo3uj58yt6kxt|VAL · 100T vs G2|K12</v>
      </c>
      <c r="Z267" s="12">
        <f t="array" ref="Z267">IFERROR(INDEX(CHOOSE(MATCH($X267,{"K1","K2","K3","K12","K13","H1","H2","H3","H12","H13"},0),Calc!$BA$2:$BA$157,Calc!$BB$2:$BB$157,Calc!$BC$2:$BC$157,Calc!$BD$2:$BD$157,Calc!$BE$2:$BE$157,Calc!$BF$2:$BF$157,Calc!$BG$2:$BG$157,Calc!$BH$2:$BH$157,Calc!$BI$2:$BI$157,Calc!$BJ$2:$BJ$157),MATCH($W267,Calc!$A$2:$A$157,0)),"")</f>
        <v>27.50082072</v>
      </c>
      <c r="AA267" s="12">
        <f t="array" ref="AA267">IF(Z267="","",IF(LEFT($X267,1)="H",SQRT(Z267*(IFERROR(INDEX(Calc!$AP$2:$AP$157,MATCH($W267,Calc!$A$2:$A$157,0)),0.5)*Config!$B$5+1-IFERROR(INDEX(Calc!$AP$2:$AP$157,MATCH($W267,Calc!$A$2:$A$157,0)),0.5))),SQRT(Z267*Config!$B$5)))</f>
        <v>6.204929412</v>
      </c>
      <c r="AB267" s="11">
        <f t="shared" si="5"/>
        <v>0.5000527675</v>
      </c>
      <c r="AC267" s="11">
        <f t="shared" si="6"/>
        <v>0.4359307446</v>
      </c>
      <c r="AD267" s="4" t="str">
        <f>IF(AB267="","",IF(AB267&gt;=0.5+Config!$B$6,"OVER",IF(AC267&gt;=0.5+Config!$B$6,"UNDER","—")))</f>
        <v>—</v>
      </c>
      <c r="AE267" s="18">
        <f t="shared" si="7"/>
        <v>1</v>
      </c>
    </row>
    <row r="268" ht="15.75" customHeight="1">
      <c r="A268" s="4" t="s">
        <v>1582</v>
      </c>
      <c r="B268" s="4" t="s">
        <v>1833</v>
      </c>
      <c r="C268" s="4" t="s">
        <v>1598</v>
      </c>
      <c r="D268" s="4" t="s">
        <v>1599</v>
      </c>
      <c r="E268" s="4" t="s">
        <v>772</v>
      </c>
      <c r="F268" s="4">
        <v>29.5</v>
      </c>
      <c r="G268" s="12">
        <f t="array" ref="G268">IFERROR(INDEX(CHOOSE(MATCH($X268,{"K1","K2","K3","K12","K13","H1","H2","H3","H12","H13"},0),Calc!$V$2:$V$157,Calc!$AC$2:$AC$157,Calc!$AJ$2:$AJ$157,Calc!$AL$2:$AL$157,Calc!$AM$2:$AM$157,Calc!$W$2:$W$157,Calc!$AD$2:$AD$157,Calc!$AK$2:$AK$157,Calc!$AN$2:$AN$157,Calc!$AO$2:$AO$157),MATCH($W268,Calc!$A$2:$A$157,0)),"")</f>
        <v>33.43844401</v>
      </c>
      <c r="H268" s="12">
        <f t="array" ref="H268">IF(G268="","",IF(LEFT($X268,1)="H",SQRT(G268*(IFERROR(INDEX(Calc!$AP$2:$AP$157,MATCH($W268,Calc!$A$2:$A$157,0)),0.5)*Config!$B$5+1-IFERROR(INDEX(Calc!$AP$2:$AP$157,MATCH($W268,Calc!$A$2:$A$157,0)),0.5))),SQRT(G268*Config!$B$5)))</f>
        <v>6.842062672</v>
      </c>
      <c r="I268" s="11">
        <f t="shared" si="1"/>
        <v>0.7175647554</v>
      </c>
      <c r="J268" s="11">
        <f t="shared" si="2"/>
        <v>0.2824352446</v>
      </c>
      <c r="K268" s="11">
        <f t="shared" si="3"/>
        <v>0</v>
      </c>
      <c r="L268" s="4" t="str">
        <f>IF(I268="","",IF(I268&gt;=0.5+Config!$B$6,"OVER",IF(J268&gt;=0.5+Config!$B$6,"UNDER","—")))</f>
        <v>OVER</v>
      </c>
      <c r="M268" s="4">
        <v>30.2</v>
      </c>
      <c r="N268" s="4">
        <v>29.9</v>
      </c>
      <c r="O268" s="11">
        <v>0.8</v>
      </c>
      <c r="P268" s="11">
        <v>0.6</v>
      </c>
      <c r="Q268" s="11">
        <v>0.6</v>
      </c>
      <c r="R268" s="4" t="s">
        <v>3277</v>
      </c>
      <c r="S268" s="4">
        <v>-1.0</v>
      </c>
      <c r="T268" s="4" t="str">
        <f t="array" ref="T268">INDEX(Calc!$G$2:$G$157,MATCH($W268,Calc!$A$2:$A$157,0))&amp;" / "&amp;INDEX(Calc!$H$2:$H$157,MATCH($W268,Calc!$A$2:$A$157,0))</f>
        <v>Sunset / Ascent</v>
      </c>
      <c r="U268" s="4" t="str">
        <f t="array" ref="U268">TEXT(INDEX(Calc!$J$2:$J$157,MATCH($W268,Calc!$A$2:$A$157,0)),"0.0")&amp;" / "&amp;TEXT(INDEX(Calc!$K$2:$K$157,MATCH($W268,Calc!$A$2:$A$157,0)),"0.0")</f>
        <v>21.6 / 21.6</v>
      </c>
      <c r="V268" s="4" t="str">
        <f t="array" ref="V268">IFERROR(INDEX(Calc!$AQ$2:$AQ$157,MATCH($W268,Calc!$A$2:$A$157,0)),"")</f>
        <v/>
      </c>
      <c r="W268" s="4" t="s">
        <v>3278</v>
      </c>
      <c r="X268" s="4" t="s">
        <v>926</v>
      </c>
      <c r="Y268" s="4" t="str">
        <f t="shared" si="4"/>
        <v>0t72z8yv1b3jndf|VAL · 100T vs G2|K12</v>
      </c>
      <c r="Z268" s="12">
        <f t="array" ref="Z268">IFERROR(INDEX(CHOOSE(MATCH($X268,{"K1","K2","K3","K12","K13","H1","H2","H3","H12","H13"},0),Calc!$BA$2:$BA$157,Calc!$BB$2:$BB$157,Calc!$BC$2:$BC$157,Calc!$BD$2:$BD$157,Calc!$BE$2:$BE$157,Calc!$BF$2:$BF$157,Calc!$BG$2:$BG$157,Calc!$BH$2:$BH$157,Calc!$BI$2:$BI$157,Calc!$BJ$2:$BJ$157),MATCH($W268,Calc!$A$2:$A$157,0)),"")</f>
        <v>33.43844401</v>
      </c>
      <c r="AA268" s="12">
        <f t="array" ref="AA268">IF(Z268="","",IF(LEFT($X268,1)="H",SQRT(Z268*(IFERROR(INDEX(Calc!$AP$2:$AP$157,MATCH($W268,Calc!$A$2:$A$157,0)),0.5)*Config!$B$5+1-IFERROR(INDEX(Calc!$AP$2:$AP$157,MATCH($W268,Calc!$A$2:$A$157,0)),0.5))),SQRT(Z268*Config!$B$5)))</f>
        <v>6.842062672</v>
      </c>
      <c r="AB268" s="11">
        <f t="shared" si="5"/>
        <v>0.7175647554</v>
      </c>
      <c r="AC268" s="11">
        <f t="shared" si="6"/>
        <v>0.2824352446</v>
      </c>
      <c r="AD268" s="4" t="str">
        <f>IF(AB268="","",IF(AB268&gt;=0.5+Config!$B$6,"OVER",IF(AC268&gt;=0.5+Config!$B$6,"UNDER","—")))</f>
        <v>OVER</v>
      </c>
      <c r="AE268" s="18">
        <f t="shared" si="7"/>
        <v>1</v>
      </c>
    </row>
    <row r="269" ht="15.75" customHeight="1">
      <c r="A269" s="4" t="s">
        <v>1582</v>
      </c>
      <c r="B269" s="4" t="s">
        <v>1833</v>
      </c>
      <c r="C269" s="4" t="s">
        <v>1603</v>
      </c>
      <c r="D269" s="4" t="s">
        <v>1599</v>
      </c>
      <c r="E269" s="4" t="s">
        <v>772</v>
      </c>
      <c r="F269" s="4">
        <v>30.0</v>
      </c>
      <c r="G269" s="12">
        <f t="array" ref="G269">IFERROR(INDEX(CHOOSE(MATCH($X269,{"K1","K2","K3","K12","K13","H1","H2","H3","H12","H13"},0),Calc!$V$2:$V$157,Calc!$AC$2:$AC$157,Calc!$AJ$2:$AJ$157,Calc!$AL$2:$AL$157,Calc!$AM$2:$AM$157,Calc!$W$2:$W$157,Calc!$AD$2:$AD$157,Calc!$AK$2:$AK$157,Calc!$AN$2:$AN$157,Calc!$AO$2:$AO$157),MATCH($W269,Calc!$A$2:$A$157,0)),"")</f>
        <v>29.95733887</v>
      </c>
      <c r="H269" s="12">
        <f t="array" ref="H269">IF(G269="","",IF(LEFT($X269,1)="H",SQRT(G269*(IFERROR(INDEX(Calc!$AP$2:$AP$157,MATCH($W269,Calc!$A$2:$A$157,0)),0.5)*Config!$B$5+1-IFERROR(INDEX(Calc!$AP$2:$AP$157,MATCH($W269,Calc!$A$2:$A$157,0)),0.5))),SQRT(G269*Config!$B$5)))</f>
        <v>6.47613113</v>
      </c>
      <c r="I269" s="11">
        <f t="shared" si="1"/>
        <v>0.4666100969</v>
      </c>
      <c r="J269" s="11">
        <f t="shared" si="2"/>
        <v>0.4718504351</v>
      </c>
      <c r="K269" s="11">
        <f t="shared" si="3"/>
        <v>0.06153946805</v>
      </c>
      <c r="L269" s="4" t="str">
        <f>IF(I269="","",IF(I269&gt;=0.5+Config!$B$6,"OVER",IF(J269&gt;=0.5+Config!$B$6,"UNDER","—")))</f>
        <v>—</v>
      </c>
      <c r="M269" s="4">
        <v>28.49</v>
      </c>
      <c r="N269" s="4">
        <v>28.0</v>
      </c>
      <c r="O269" s="11">
        <v>0.4</v>
      </c>
      <c r="P269" s="11">
        <v>0.2</v>
      </c>
      <c r="Q269" s="11">
        <v>0.33</v>
      </c>
      <c r="R269" s="4" t="s">
        <v>1038</v>
      </c>
      <c r="S269" s="4">
        <v>1.0</v>
      </c>
      <c r="T269" s="4" t="str">
        <f t="array" ref="T269">INDEX(Calc!$G$2:$G$157,MATCH($W269,Calc!$A$2:$A$157,0))&amp;" / "&amp;INDEX(Calc!$H$2:$H$157,MATCH($W269,Calc!$A$2:$A$157,0))</f>
        <v>Sunset / Ascent</v>
      </c>
      <c r="U269" s="4" t="str">
        <f t="array" ref="U269">TEXT(INDEX(Calc!$J$2:$J$157,MATCH($W269,Calc!$A$2:$A$157,0)),"0.0")&amp;" / "&amp;TEXT(INDEX(Calc!$K$2:$K$157,MATCH($W269,Calc!$A$2:$A$157,0)),"0.0")</f>
        <v>21.6 / 21.6</v>
      </c>
      <c r="V269" s="4" t="str">
        <f t="array" ref="V269">IFERROR(INDEX(Calc!$AQ$2:$AQ$157,MATCH($W269,Calc!$A$2:$A$157,0)),"")</f>
        <v/>
      </c>
      <c r="W269" s="4" t="s">
        <v>3279</v>
      </c>
      <c r="X269" s="4" t="s">
        <v>926</v>
      </c>
      <c r="Y269" s="4" t="str">
        <f t="shared" si="4"/>
        <v>5gah6d5j7jb3k27|VAL · 100T vs G2|K12</v>
      </c>
      <c r="Z269" s="12">
        <f t="array" ref="Z269">IFERROR(INDEX(CHOOSE(MATCH($X269,{"K1","K2","K3","K12","K13","H1","H2","H3","H12","H13"},0),Calc!$BA$2:$BA$157,Calc!$BB$2:$BB$157,Calc!$BC$2:$BC$157,Calc!$BD$2:$BD$157,Calc!$BE$2:$BE$157,Calc!$BF$2:$BF$157,Calc!$BG$2:$BG$157,Calc!$BH$2:$BH$157,Calc!$BI$2:$BI$157,Calc!$BJ$2:$BJ$157),MATCH($W269,Calc!$A$2:$A$157,0)),"")</f>
        <v>29.95733887</v>
      </c>
      <c r="AA269" s="12">
        <f t="array" ref="AA269">IF(Z269="","",IF(LEFT($X269,1)="H",SQRT(Z269*(IFERROR(INDEX(Calc!$AP$2:$AP$157,MATCH($W269,Calc!$A$2:$A$157,0)),0.5)*Config!$B$5+1-IFERROR(INDEX(Calc!$AP$2:$AP$157,MATCH($W269,Calc!$A$2:$A$157,0)),0.5))),SQRT(Z269*Config!$B$5)))</f>
        <v>6.47613113</v>
      </c>
      <c r="AB269" s="11">
        <f t="shared" si="5"/>
        <v>0.4666100969</v>
      </c>
      <c r="AC269" s="11">
        <f t="shared" si="6"/>
        <v>0.4718504351</v>
      </c>
      <c r="AD269" s="4" t="str">
        <f>IF(AB269="","",IF(AB269&gt;=0.5+Config!$B$6,"OVER",IF(AC269&gt;=0.5+Config!$B$6,"UNDER","—")))</f>
        <v>—</v>
      </c>
      <c r="AE269" s="18">
        <f t="shared" si="7"/>
        <v>1</v>
      </c>
    </row>
    <row r="270" ht="15.75" customHeight="1">
      <c r="A270" s="4" t="s">
        <v>1582</v>
      </c>
      <c r="B270" s="4" t="s">
        <v>1833</v>
      </c>
      <c r="C270" s="4" t="s">
        <v>1606</v>
      </c>
      <c r="D270" s="4" t="s">
        <v>1599</v>
      </c>
      <c r="E270" s="4" t="s">
        <v>772</v>
      </c>
      <c r="F270" s="4">
        <v>29.5</v>
      </c>
      <c r="G270" s="12">
        <f t="array" ref="G270">IFERROR(INDEX(CHOOSE(MATCH($X270,{"K1","K2","K3","K12","K13","H1","H2","H3","H12","H13"},0),Calc!$V$2:$V$157,Calc!$AC$2:$AC$157,Calc!$AJ$2:$AJ$157,Calc!$AL$2:$AL$157,Calc!$AM$2:$AM$157,Calc!$W$2:$W$157,Calc!$AD$2:$AD$157,Calc!$AK$2:$AK$157,Calc!$AN$2:$AN$157,Calc!$AO$2:$AO$157),MATCH($W270,Calc!$A$2:$A$157,0)),"")</f>
        <v>32.18039255</v>
      </c>
      <c r="H270" s="12">
        <f t="array" ref="H270">IF(G270="","",IF(LEFT($X270,1)="H",SQRT(G270*(IFERROR(INDEX(Calc!$AP$2:$AP$157,MATCH($W270,Calc!$A$2:$A$157,0)),0.5)*Config!$B$5+1-IFERROR(INDEX(Calc!$AP$2:$AP$157,MATCH($W270,Calc!$A$2:$A$157,0)),0.5))),SQRT(G270*Config!$B$5)))</f>
        <v>6.712119603</v>
      </c>
      <c r="I270" s="11">
        <f t="shared" si="1"/>
        <v>0.6551772631</v>
      </c>
      <c r="J270" s="11">
        <f t="shared" si="2"/>
        <v>0.3448227369</v>
      </c>
      <c r="K270" s="11">
        <f t="shared" si="3"/>
        <v>0</v>
      </c>
      <c r="L270" s="4" t="str">
        <f>IF(I270="","",IF(I270&gt;=0.5+Config!$B$6,"OVER",IF(J270&gt;=0.5+Config!$B$6,"UNDER","—")))</f>
        <v>OVER</v>
      </c>
      <c r="M270" s="4">
        <v>30.2</v>
      </c>
      <c r="N270" s="4">
        <v>28.6</v>
      </c>
      <c r="O270" s="11">
        <v>0.4</v>
      </c>
      <c r="P270" s="11">
        <v>0.5</v>
      </c>
      <c r="Q270" s="11">
        <v>0.6</v>
      </c>
      <c r="R270" s="4" t="s">
        <v>3280</v>
      </c>
      <c r="S270" s="4">
        <v>-2.0</v>
      </c>
      <c r="T270" s="4" t="str">
        <f t="array" ref="T270">INDEX(Calc!$G$2:$G$157,MATCH($W270,Calc!$A$2:$A$157,0))&amp;" / "&amp;INDEX(Calc!$H$2:$H$157,MATCH($W270,Calc!$A$2:$A$157,0))</f>
        <v>Sunset / Ascent</v>
      </c>
      <c r="U270" s="4" t="str">
        <f t="array" ref="U270">TEXT(INDEX(Calc!$J$2:$J$157,MATCH($W270,Calc!$A$2:$A$157,0)),"0.0")&amp;" / "&amp;TEXT(INDEX(Calc!$K$2:$K$157,MATCH($W270,Calc!$A$2:$A$157,0)),"0.0")</f>
        <v>21.6 / 21.6</v>
      </c>
      <c r="V270" s="4" t="str">
        <f t="array" ref="V270">IFERROR(INDEX(Calc!$AQ$2:$AQ$157,MATCH($W270,Calc!$A$2:$A$157,0)),"")</f>
        <v/>
      </c>
      <c r="W270" s="4" t="s">
        <v>3281</v>
      </c>
      <c r="X270" s="4" t="s">
        <v>926</v>
      </c>
      <c r="Y270" s="4" t="str">
        <f t="shared" si="4"/>
        <v>aznc9se0wi55u4o|VAL · 100T vs G2|K12</v>
      </c>
      <c r="Z270" s="12">
        <f t="array" ref="Z270">IFERROR(INDEX(CHOOSE(MATCH($X270,{"K1","K2","K3","K12","K13","H1","H2","H3","H12","H13"},0),Calc!$BA$2:$BA$157,Calc!$BB$2:$BB$157,Calc!$BC$2:$BC$157,Calc!$BD$2:$BD$157,Calc!$BE$2:$BE$157,Calc!$BF$2:$BF$157,Calc!$BG$2:$BG$157,Calc!$BH$2:$BH$157,Calc!$BI$2:$BI$157,Calc!$BJ$2:$BJ$157),MATCH($W270,Calc!$A$2:$A$157,0)),"")</f>
        <v>32.18039255</v>
      </c>
      <c r="AA270" s="12">
        <f t="array" ref="AA270">IF(Z270="","",IF(LEFT($X270,1)="H",SQRT(Z270*(IFERROR(INDEX(Calc!$AP$2:$AP$157,MATCH($W270,Calc!$A$2:$A$157,0)),0.5)*Config!$B$5+1-IFERROR(INDEX(Calc!$AP$2:$AP$157,MATCH($W270,Calc!$A$2:$A$157,0)),0.5))),SQRT(Z270*Config!$B$5)))</f>
        <v>6.712119603</v>
      </c>
      <c r="AB270" s="11">
        <f t="shared" si="5"/>
        <v>0.6551772631</v>
      </c>
      <c r="AC270" s="11">
        <f t="shared" si="6"/>
        <v>0.3448227369</v>
      </c>
      <c r="AD270" s="4" t="str">
        <f>IF(AB270="","",IF(AB270&gt;=0.5+Config!$B$6,"OVER",IF(AC270&gt;=0.5+Config!$B$6,"UNDER","—")))</f>
        <v>OVER</v>
      </c>
      <c r="AE270" s="18">
        <f t="shared" si="7"/>
        <v>1</v>
      </c>
    </row>
    <row r="271" ht="15.75" customHeight="1">
      <c r="A271" s="4" t="s">
        <v>1582</v>
      </c>
      <c r="B271" s="4" t="s">
        <v>1833</v>
      </c>
      <c r="C271" s="4" t="s">
        <v>1609</v>
      </c>
      <c r="D271" s="4" t="s">
        <v>1599</v>
      </c>
      <c r="E271" s="4" t="s">
        <v>772</v>
      </c>
      <c r="F271" s="4">
        <v>28.5</v>
      </c>
      <c r="G271" s="12">
        <f t="array" ref="G271">IFERROR(INDEX(CHOOSE(MATCH($X271,{"K1","K2","K3","K12","K13","H1","H2","H3","H12","H13"},0),Calc!$V$2:$V$157,Calc!$AC$2:$AC$157,Calc!$AJ$2:$AJ$157,Calc!$AL$2:$AL$157,Calc!$AM$2:$AM$157,Calc!$W$2:$W$157,Calc!$AD$2:$AD$157,Calc!$AK$2:$AK$157,Calc!$AN$2:$AN$157,Calc!$AO$2:$AO$157),MATCH($W271,Calc!$A$2:$A$157,0)),"")</f>
        <v>30.89975891</v>
      </c>
      <c r="H271" s="12">
        <f t="array" ref="H271">IF(G271="","",IF(LEFT($X271,1)="H",SQRT(G271*(IFERROR(INDEX(Calc!$AP$2:$AP$157,MATCH($W271,Calc!$A$2:$A$157,0)),0.5)*Config!$B$5+1-IFERROR(INDEX(Calc!$AP$2:$AP$157,MATCH($W271,Calc!$A$2:$A$157,0)),0.5))),SQRT(G271*Config!$B$5)))</f>
        <v>6.577207802</v>
      </c>
      <c r="I271" s="11">
        <f t="shared" si="1"/>
        <v>0.6423919789</v>
      </c>
      <c r="J271" s="11">
        <f t="shared" si="2"/>
        <v>0.3576080211</v>
      </c>
      <c r="K271" s="11">
        <f t="shared" si="3"/>
        <v>0</v>
      </c>
      <c r="L271" s="4" t="str">
        <f>IF(I271="","",IF(I271&gt;=0.5+Config!$B$6,"OVER",IF(J271&gt;=0.5+Config!$B$6,"UNDER","—")))</f>
        <v>OVER</v>
      </c>
      <c r="M271" s="4">
        <v>29.34</v>
      </c>
      <c r="N271" s="4">
        <v>31.7</v>
      </c>
      <c r="O271" s="11">
        <v>0.6</v>
      </c>
      <c r="P271" s="11">
        <v>0.7</v>
      </c>
      <c r="Q271" s="11">
        <v>0.67</v>
      </c>
      <c r="R271" s="4" t="s">
        <v>3282</v>
      </c>
      <c r="S271" s="4">
        <v>-2.0</v>
      </c>
      <c r="T271" s="4" t="str">
        <f t="array" ref="T271">INDEX(Calc!$G$2:$G$157,MATCH($W271,Calc!$A$2:$A$157,0))&amp;" / "&amp;INDEX(Calc!$H$2:$H$157,MATCH($W271,Calc!$A$2:$A$157,0))</f>
        <v>Sunset / Ascent</v>
      </c>
      <c r="U271" s="4" t="str">
        <f t="array" ref="U271">TEXT(INDEX(Calc!$J$2:$J$157,MATCH($W271,Calc!$A$2:$A$157,0)),"0.0")&amp;" / "&amp;TEXT(INDEX(Calc!$K$2:$K$157,MATCH($W271,Calc!$A$2:$A$157,0)),"0.0")</f>
        <v>21.6 / 21.6</v>
      </c>
      <c r="V271" s="4" t="str">
        <f t="array" ref="V271">IFERROR(INDEX(Calc!$AQ$2:$AQ$157,MATCH($W271,Calc!$A$2:$A$157,0)),"")</f>
        <v/>
      </c>
      <c r="W271" s="4" t="s">
        <v>3283</v>
      </c>
      <c r="X271" s="4" t="s">
        <v>926</v>
      </c>
      <c r="Y271" s="4" t="str">
        <f t="shared" si="4"/>
        <v>lzahssvqxdfzc0s|VAL · 100T vs G2|K12</v>
      </c>
      <c r="Z271" s="12">
        <f t="array" ref="Z271">IFERROR(INDEX(CHOOSE(MATCH($X271,{"K1","K2","K3","K12","K13","H1","H2","H3","H12","H13"},0),Calc!$BA$2:$BA$157,Calc!$BB$2:$BB$157,Calc!$BC$2:$BC$157,Calc!$BD$2:$BD$157,Calc!$BE$2:$BE$157,Calc!$BF$2:$BF$157,Calc!$BG$2:$BG$157,Calc!$BH$2:$BH$157,Calc!$BI$2:$BI$157,Calc!$BJ$2:$BJ$157),MATCH($W271,Calc!$A$2:$A$157,0)),"")</f>
        <v>30.89975891</v>
      </c>
      <c r="AA271" s="12">
        <f t="array" ref="AA271">IF(Z271="","",IF(LEFT($X271,1)="H",SQRT(Z271*(IFERROR(INDEX(Calc!$AP$2:$AP$157,MATCH($W271,Calc!$A$2:$A$157,0)),0.5)*Config!$B$5+1-IFERROR(INDEX(Calc!$AP$2:$AP$157,MATCH($W271,Calc!$A$2:$A$157,0)),0.5))),SQRT(Z271*Config!$B$5)))</f>
        <v>6.577207802</v>
      </c>
      <c r="AB271" s="11">
        <f t="shared" si="5"/>
        <v>0.6423919789</v>
      </c>
      <c r="AC271" s="11">
        <f t="shared" si="6"/>
        <v>0.3576080211</v>
      </c>
      <c r="AD271" s="4" t="str">
        <f>IF(AB271="","",IF(AB271&gt;=0.5+Config!$B$6,"OVER",IF(AC271&gt;=0.5+Config!$B$6,"UNDER","—")))</f>
        <v>OVER</v>
      </c>
      <c r="AE271" s="18">
        <f t="shared" si="7"/>
        <v>1</v>
      </c>
    </row>
    <row r="272" ht="15.75" customHeight="1">
      <c r="A272" s="4" t="s">
        <v>1582</v>
      </c>
      <c r="B272" s="4" t="s">
        <v>1833</v>
      </c>
      <c r="C272" s="4" t="s">
        <v>1612</v>
      </c>
      <c r="D272" s="4" t="s">
        <v>1599</v>
      </c>
      <c r="E272" s="4" t="s">
        <v>772</v>
      </c>
      <c r="F272" s="4">
        <v>28.5</v>
      </c>
      <c r="G272" s="12">
        <f t="array" ref="G272">IFERROR(INDEX(CHOOSE(MATCH($X272,{"K1","K2","K3","K12","K13","H1","H2","H3","H12","H13"},0),Calc!$V$2:$V$157,Calc!$AC$2:$AC$157,Calc!$AJ$2:$AJ$157,Calc!$AL$2:$AL$157,Calc!$AM$2:$AM$157,Calc!$W$2:$W$157,Calc!$AD$2:$AD$157,Calc!$AK$2:$AK$157,Calc!$AN$2:$AN$157,Calc!$AO$2:$AO$157),MATCH($W272,Calc!$A$2:$A$157,0)),"")</f>
        <v>31.48881608</v>
      </c>
      <c r="H272" s="12">
        <f t="array" ref="H272">IF(G272="","",IF(LEFT($X272,1)="H",SQRT(G272*(IFERROR(INDEX(Calc!$AP$2:$AP$157,MATCH($W272,Calc!$A$2:$A$157,0)),0.5)*Config!$B$5+1-IFERROR(INDEX(Calc!$AP$2:$AP$157,MATCH($W272,Calc!$A$2:$A$157,0)),0.5))),SQRT(G272*Config!$B$5)))</f>
        <v>6.639604093</v>
      </c>
      <c r="I272" s="11">
        <f t="shared" si="1"/>
        <v>0.6736987647</v>
      </c>
      <c r="J272" s="11">
        <f t="shared" si="2"/>
        <v>0.3263012353</v>
      </c>
      <c r="K272" s="11">
        <f t="shared" si="3"/>
        <v>0</v>
      </c>
      <c r="L272" s="4" t="str">
        <f>IF(I272="","",IF(I272&gt;=0.5+Config!$B$6,"OVER",IF(J272&gt;=0.5+Config!$B$6,"UNDER","—")))</f>
        <v>OVER</v>
      </c>
      <c r="M272" s="4">
        <v>28.09</v>
      </c>
      <c r="N272" s="4">
        <v>29.4</v>
      </c>
      <c r="O272" s="11">
        <v>0.8</v>
      </c>
      <c r="P272" s="11">
        <v>0.7</v>
      </c>
      <c r="Q272" s="11">
        <v>0.73</v>
      </c>
      <c r="R272" s="4" t="s">
        <v>3284</v>
      </c>
      <c r="S272" s="4">
        <v>2.0</v>
      </c>
      <c r="T272" s="4" t="str">
        <f t="array" ref="T272">INDEX(Calc!$G$2:$G$157,MATCH($W272,Calc!$A$2:$A$157,0))&amp;" / "&amp;INDEX(Calc!$H$2:$H$157,MATCH($W272,Calc!$A$2:$A$157,0))</f>
        <v>Sunset / Ascent</v>
      </c>
      <c r="U272" s="4" t="str">
        <f t="array" ref="U272">TEXT(INDEX(Calc!$J$2:$J$157,MATCH($W272,Calc!$A$2:$A$157,0)),"0.0")&amp;" / "&amp;TEXT(INDEX(Calc!$K$2:$K$157,MATCH($W272,Calc!$A$2:$A$157,0)),"0.0")</f>
        <v>21.6 / 21.6</v>
      </c>
      <c r="V272" s="4" t="str">
        <f t="array" ref="V272">IFERROR(INDEX(Calc!$AQ$2:$AQ$157,MATCH($W272,Calc!$A$2:$A$157,0)),"")</f>
        <v/>
      </c>
      <c r="W272" s="4" t="s">
        <v>3285</v>
      </c>
      <c r="X272" s="4" t="s">
        <v>926</v>
      </c>
      <c r="Y272" s="4" t="str">
        <f t="shared" si="4"/>
        <v>apix6yyktgy68co|VAL · 100T vs G2|K12</v>
      </c>
      <c r="Z272" s="12">
        <f t="array" ref="Z272">IFERROR(INDEX(CHOOSE(MATCH($X272,{"K1","K2","K3","K12","K13","H1","H2","H3","H12","H13"},0),Calc!$BA$2:$BA$157,Calc!$BB$2:$BB$157,Calc!$BC$2:$BC$157,Calc!$BD$2:$BD$157,Calc!$BE$2:$BE$157,Calc!$BF$2:$BF$157,Calc!$BG$2:$BG$157,Calc!$BH$2:$BH$157,Calc!$BI$2:$BI$157,Calc!$BJ$2:$BJ$157),MATCH($W272,Calc!$A$2:$A$157,0)),"")</f>
        <v>31.48881608</v>
      </c>
      <c r="AA272" s="12">
        <f t="array" ref="AA272">IF(Z272="","",IF(LEFT($X272,1)="H",SQRT(Z272*(IFERROR(INDEX(Calc!$AP$2:$AP$157,MATCH($W272,Calc!$A$2:$A$157,0)),0.5)*Config!$B$5+1-IFERROR(INDEX(Calc!$AP$2:$AP$157,MATCH($W272,Calc!$A$2:$A$157,0)),0.5))),SQRT(Z272*Config!$B$5)))</f>
        <v>6.639604093</v>
      </c>
      <c r="AB272" s="11">
        <f t="shared" si="5"/>
        <v>0.6736987647</v>
      </c>
      <c r="AC272" s="11">
        <f t="shared" si="6"/>
        <v>0.3263012353</v>
      </c>
      <c r="AD272" s="4" t="str">
        <f>IF(AB272="","",IF(AB272&gt;=0.5+Config!$B$6,"OVER",IF(AC272&gt;=0.5+Config!$B$6,"UNDER","—")))</f>
        <v>OVER</v>
      </c>
      <c r="AE272" s="18">
        <f t="shared" si="7"/>
        <v>1</v>
      </c>
    </row>
    <row r="273" ht="15.75" customHeight="1">
      <c r="A273" s="4" t="s">
        <v>1582</v>
      </c>
      <c r="B273" s="4" t="s">
        <v>1825</v>
      </c>
      <c r="C273" s="4" t="s">
        <v>1615</v>
      </c>
      <c r="D273" s="4" t="s">
        <v>1616</v>
      </c>
      <c r="E273" s="4" t="s">
        <v>772</v>
      </c>
      <c r="F273" s="4">
        <v>28.0</v>
      </c>
      <c r="G273" s="12">
        <f t="array" ref="G273">IFERROR(INDEX(CHOOSE(MATCH($X273,{"K1","K2","K3","K12","K13","H1","H2","H3","H12","H13"},0),Calc!$V$2:$V$157,Calc!$AC$2:$AC$157,Calc!$AJ$2:$AJ$157,Calc!$AL$2:$AL$157,Calc!$AM$2:$AM$157,Calc!$W$2:$W$157,Calc!$AD$2:$AD$157,Calc!$AK$2:$AK$157,Calc!$AN$2:$AN$157,Calc!$AO$2:$AO$157),MATCH($W273,Calc!$A$2:$A$157,0)),"")</f>
        <v>25.22955705</v>
      </c>
      <c r="H273" s="12">
        <f t="array" ref="H273">IF(G273="","",IF(LEFT($X273,1)="H",SQRT(G273*(IFERROR(INDEX(Calc!$AP$2:$AP$157,MATCH($W273,Calc!$A$2:$A$157,0)),0.5)*Config!$B$5+1-IFERROR(INDEX(Calc!$AP$2:$AP$157,MATCH($W273,Calc!$A$2:$A$157,0)),0.5))),SQRT(G273*Config!$B$5)))</f>
        <v>5.943179273</v>
      </c>
      <c r="I273" s="11">
        <f t="shared" si="1"/>
        <v>0.2910619243</v>
      </c>
      <c r="J273" s="11">
        <f t="shared" si="2"/>
        <v>0.6487785822</v>
      </c>
      <c r="K273" s="11">
        <f t="shared" si="3"/>
        <v>0.06015949349</v>
      </c>
      <c r="L273" s="4" t="str">
        <f>IF(I273="","",IF(I273&gt;=0.5+Config!$B$6,"OVER",IF(J273&gt;=0.5+Config!$B$6,"UNDER","—")))</f>
        <v>UNDER</v>
      </c>
      <c r="M273" s="4">
        <v>26.27</v>
      </c>
      <c r="N273" s="4">
        <v>26.6</v>
      </c>
      <c r="O273" s="11">
        <v>0.4</v>
      </c>
      <c r="P273" s="11">
        <v>0.4</v>
      </c>
      <c r="Q273" s="11">
        <v>0.4</v>
      </c>
      <c r="R273" s="4" t="s">
        <v>1729</v>
      </c>
      <c r="S273" s="4">
        <v>-1.0</v>
      </c>
      <c r="T273" s="4" t="str">
        <f t="array" ref="T273">INDEX(Calc!$G$2:$G$157,MATCH($W273,Calc!$A$2:$A$157,0))&amp;" / "&amp;INDEX(Calc!$H$2:$H$157,MATCH($W273,Calc!$A$2:$A$157,0))</f>
        <v>Split / Summit</v>
      </c>
      <c r="U273" s="4" t="str">
        <f t="array" ref="U273">TEXT(INDEX(Calc!$J$2:$J$157,MATCH($W273,Calc!$A$2:$A$157,0)),"0.0")&amp;" / "&amp;TEXT(INDEX(Calc!$K$2:$K$157,MATCH($W273,Calc!$A$2:$A$157,0)),"0.0")</f>
        <v>21.6 / 21.6</v>
      </c>
      <c r="V273" s="4" t="str">
        <f t="array" ref="V273">IFERROR(INDEX(Calc!$AQ$2:$AQ$157,MATCH($W273,Calc!$A$2:$A$157,0)),"")</f>
        <v/>
      </c>
      <c r="W273" s="4" t="s">
        <v>3286</v>
      </c>
      <c r="X273" s="4" t="s">
        <v>926</v>
      </c>
      <c r="Y273" s="4" t="str">
        <f t="shared" si="4"/>
        <v>te1wd2zymiyxnqw|VAL · VIT vs LOUD|K12</v>
      </c>
      <c r="Z273" s="12">
        <f t="array" ref="Z273">IFERROR(INDEX(CHOOSE(MATCH($X273,{"K1","K2","K3","K12","K13","H1","H2","H3","H12","H13"},0),Calc!$BA$2:$BA$157,Calc!$BB$2:$BB$157,Calc!$BC$2:$BC$157,Calc!$BD$2:$BD$157,Calc!$BE$2:$BE$157,Calc!$BF$2:$BF$157,Calc!$BG$2:$BG$157,Calc!$BH$2:$BH$157,Calc!$BI$2:$BI$157,Calc!$BJ$2:$BJ$157),MATCH($W273,Calc!$A$2:$A$157,0)),"")</f>
        <v>25.22955705</v>
      </c>
      <c r="AA273" s="12">
        <f t="array" ref="AA273">IF(Z273="","",IF(LEFT($X273,1)="H",SQRT(Z273*(IFERROR(INDEX(Calc!$AP$2:$AP$157,MATCH($W273,Calc!$A$2:$A$157,0)),0.5)*Config!$B$5+1-IFERROR(INDEX(Calc!$AP$2:$AP$157,MATCH($W273,Calc!$A$2:$A$157,0)),0.5))),SQRT(Z273*Config!$B$5)))</f>
        <v>5.943179273</v>
      </c>
      <c r="AB273" s="11">
        <f t="shared" si="5"/>
        <v>0.2910619243</v>
      </c>
      <c r="AC273" s="11">
        <f t="shared" si="6"/>
        <v>0.6487785822</v>
      </c>
      <c r="AD273" s="4" t="str">
        <f>IF(AB273="","",IF(AB273&gt;=0.5+Config!$B$6,"OVER",IF(AC273&gt;=0.5+Config!$B$6,"UNDER","—")))</f>
        <v>UNDER</v>
      </c>
      <c r="AE273" s="18">
        <f t="shared" si="7"/>
        <v>1</v>
      </c>
    </row>
    <row r="274" ht="15.75" customHeight="1">
      <c r="A274" s="4" t="s">
        <v>1582</v>
      </c>
      <c r="B274" s="4" t="s">
        <v>1825</v>
      </c>
      <c r="C274" s="4" t="s">
        <v>1620</v>
      </c>
      <c r="D274" s="4" t="s">
        <v>1616</v>
      </c>
      <c r="E274" s="4" t="s">
        <v>772</v>
      </c>
      <c r="F274" s="4">
        <v>24.5</v>
      </c>
      <c r="G274" s="12">
        <f t="array" ref="G274">IFERROR(INDEX(CHOOSE(MATCH($X274,{"K1","K2","K3","K12","K13","H1","H2","H3","H12","H13"},0),Calc!$V$2:$V$157,Calc!$AC$2:$AC$157,Calc!$AJ$2:$AJ$157,Calc!$AL$2:$AL$157,Calc!$AM$2:$AM$157,Calc!$W$2:$W$157,Calc!$AD$2:$AD$157,Calc!$AK$2:$AK$157,Calc!$AN$2:$AN$157,Calc!$AO$2:$AO$157),MATCH($W274,Calc!$A$2:$A$157,0)),"")</f>
        <v>24.98240753</v>
      </c>
      <c r="H274" s="12">
        <f t="array" ref="H274">IF(G274="","",IF(LEFT($X274,1)="H",SQRT(G274*(IFERROR(INDEX(Calc!$AP$2:$AP$157,MATCH($W274,Calc!$A$2:$A$157,0)),0.5)*Config!$B$5+1-IFERROR(INDEX(Calc!$AP$2:$AP$157,MATCH($W274,Calc!$A$2:$A$157,0)),0.5))),SQRT(G274*Config!$B$5)))</f>
        <v>5.913997848</v>
      </c>
      <c r="I274" s="11">
        <f t="shared" si="1"/>
        <v>0.5325058542</v>
      </c>
      <c r="J274" s="11">
        <f t="shared" si="2"/>
        <v>0.4674941458</v>
      </c>
      <c r="K274" s="11">
        <f t="shared" si="3"/>
        <v>0</v>
      </c>
      <c r="L274" s="4" t="str">
        <f>IF(I274="","",IF(I274&gt;=0.5+Config!$B$6,"OVER",IF(J274&gt;=0.5+Config!$B$6,"UNDER","—")))</f>
        <v>—</v>
      </c>
      <c r="M274" s="4">
        <v>23.69</v>
      </c>
      <c r="N274" s="4">
        <v>23.9</v>
      </c>
      <c r="O274" s="11">
        <v>0.6</v>
      </c>
      <c r="P274" s="11">
        <v>0.5</v>
      </c>
      <c r="Q274" s="11">
        <v>0.53</v>
      </c>
      <c r="R274" s="4" t="s">
        <v>2203</v>
      </c>
      <c r="S274" s="4">
        <v>1.0</v>
      </c>
      <c r="T274" s="4" t="str">
        <f t="array" ref="T274">INDEX(Calc!$G$2:$G$157,MATCH($W274,Calc!$A$2:$A$157,0))&amp;" / "&amp;INDEX(Calc!$H$2:$H$157,MATCH($W274,Calc!$A$2:$A$157,0))</f>
        <v>Split / Summit</v>
      </c>
      <c r="U274" s="4" t="str">
        <f t="array" ref="U274">TEXT(INDEX(Calc!$J$2:$J$157,MATCH($W274,Calc!$A$2:$A$157,0)),"0.0")&amp;" / "&amp;TEXT(INDEX(Calc!$K$2:$K$157,MATCH($W274,Calc!$A$2:$A$157,0)),"0.0")</f>
        <v>21.6 / 21.6</v>
      </c>
      <c r="V274" s="4" t="str">
        <f t="array" ref="V274">IFERROR(INDEX(Calc!$AQ$2:$AQ$157,MATCH($W274,Calc!$A$2:$A$157,0)),"")</f>
        <v/>
      </c>
      <c r="W274" s="4" t="s">
        <v>3287</v>
      </c>
      <c r="X274" s="4" t="s">
        <v>926</v>
      </c>
      <c r="Y274" s="4" t="str">
        <f t="shared" si="4"/>
        <v>ieotcwzy7yhbfzh|VAL · VIT vs LOUD|K12</v>
      </c>
      <c r="Z274" s="12">
        <f t="array" ref="Z274">IFERROR(INDEX(CHOOSE(MATCH($X274,{"K1","K2","K3","K12","K13","H1","H2","H3","H12","H13"},0),Calc!$BA$2:$BA$157,Calc!$BB$2:$BB$157,Calc!$BC$2:$BC$157,Calc!$BD$2:$BD$157,Calc!$BE$2:$BE$157,Calc!$BF$2:$BF$157,Calc!$BG$2:$BG$157,Calc!$BH$2:$BH$157,Calc!$BI$2:$BI$157,Calc!$BJ$2:$BJ$157),MATCH($W274,Calc!$A$2:$A$157,0)),"")</f>
        <v>24.98240753</v>
      </c>
      <c r="AA274" s="12">
        <f t="array" ref="AA274">IF(Z274="","",IF(LEFT($X274,1)="H",SQRT(Z274*(IFERROR(INDEX(Calc!$AP$2:$AP$157,MATCH($W274,Calc!$A$2:$A$157,0)),0.5)*Config!$B$5+1-IFERROR(INDEX(Calc!$AP$2:$AP$157,MATCH($W274,Calc!$A$2:$A$157,0)),0.5))),SQRT(Z274*Config!$B$5)))</f>
        <v>5.913997848</v>
      </c>
      <c r="AB274" s="11">
        <f t="shared" si="5"/>
        <v>0.5325058542</v>
      </c>
      <c r="AC274" s="11">
        <f t="shared" si="6"/>
        <v>0.4674941458</v>
      </c>
      <c r="AD274" s="4" t="str">
        <f>IF(AB274="","",IF(AB274&gt;=0.5+Config!$B$6,"OVER",IF(AC274&gt;=0.5+Config!$B$6,"UNDER","—")))</f>
        <v>—</v>
      </c>
      <c r="AE274" s="18">
        <f t="shared" si="7"/>
        <v>1</v>
      </c>
    </row>
    <row r="275" ht="15.75" customHeight="1">
      <c r="A275" s="4" t="s">
        <v>1582</v>
      </c>
      <c r="B275" s="4" t="s">
        <v>1825</v>
      </c>
      <c r="C275" s="4" t="s">
        <v>1623</v>
      </c>
      <c r="D275" s="4" t="s">
        <v>1616</v>
      </c>
      <c r="E275" s="4" t="s">
        <v>772</v>
      </c>
      <c r="F275" s="4">
        <v>30.0</v>
      </c>
      <c r="G275" s="12">
        <f t="array" ref="G275">IFERROR(INDEX(CHOOSE(MATCH($X275,{"K1","K2","K3","K12","K13","H1","H2","H3","H12","H13"},0),Calc!$V$2:$V$157,Calc!$AC$2:$AC$157,Calc!$AJ$2:$AJ$157,Calc!$AL$2:$AL$157,Calc!$AM$2:$AM$157,Calc!$W$2:$W$157,Calc!$AD$2:$AD$157,Calc!$AK$2:$AK$157,Calc!$AN$2:$AN$157,Calc!$AO$2:$AO$157),MATCH($W275,Calc!$A$2:$A$157,0)),"")</f>
        <v>35.40348913</v>
      </c>
      <c r="H275" s="12">
        <f t="array" ref="H275">IF(G275="","",IF(LEFT($X275,1)="H",SQRT(G275*(IFERROR(INDEX(Calc!$AP$2:$AP$157,MATCH($W275,Calc!$A$2:$A$157,0)),0.5)*Config!$B$5+1-IFERROR(INDEX(Calc!$AP$2:$AP$157,MATCH($W275,Calc!$A$2:$A$157,0)),0.5))),SQRT(G275*Config!$B$5)))</f>
        <v>7.04023329</v>
      </c>
      <c r="I275" s="11">
        <f t="shared" si="1"/>
        <v>0.7569406382</v>
      </c>
      <c r="J275" s="11">
        <f t="shared" si="2"/>
        <v>0.2008648663</v>
      </c>
      <c r="K275" s="11">
        <f t="shared" si="3"/>
        <v>0.04219449551</v>
      </c>
      <c r="L275" s="4" t="str">
        <f>IF(I275="","",IF(I275&gt;=0.5+Config!$B$6,"OVER",IF(J275&gt;=0.5+Config!$B$6,"UNDER","—")))</f>
        <v>OVER</v>
      </c>
      <c r="M275" s="4">
        <v>30.58</v>
      </c>
      <c r="N275" s="4">
        <v>36.1</v>
      </c>
      <c r="O275" s="11">
        <v>0.8</v>
      </c>
      <c r="P275" s="11">
        <v>0.9</v>
      </c>
      <c r="Q275" s="11">
        <v>0.6</v>
      </c>
      <c r="R275" s="4" t="s">
        <v>2203</v>
      </c>
      <c r="S275" s="4">
        <v>4.0</v>
      </c>
      <c r="T275" s="4" t="str">
        <f t="array" ref="T275">INDEX(Calc!$G$2:$G$157,MATCH($W275,Calc!$A$2:$A$157,0))&amp;" / "&amp;INDEX(Calc!$H$2:$H$157,MATCH($W275,Calc!$A$2:$A$157,0))</f>
        <v>Split / Summit</v>
      </c>
      <c r="U275" s="4" t="str">
        <f t="array" ref="U275">TEXT(INDEX(Calc!$J$2:$J$157,MATCH($W275,Calc!$A$2:$A$157,0)),"0.0")&amp;" / "&amp;TEXT(INDEX(Calc!$K$2:$K$157,MATCH($W275,Calc!$A$2:$A$157,0)),"0.0")</f>
        <v>21.6 / 21.6</v>
      </c>
      <c r="V275" s="4" t="str">
        <f t="array" ref="V275">IFERROR(INDEX(Calc!$AQ$2:$AQ$157,MATCH($W275,Calc!$A$2:$A$157,0)),"")</f>
        <v/>
      </c>
      <c r="W275" s="4" t="s">
        <v>3288</v>
      </c>
      <c r="X275" s="4" t="s">
        <v>926</v>
      </c>
      <c r="Y275" s="4" t="str">
        <f t="shared" si="4"/>
        <v>bholi9vxeirq8k9|VAL · VIT vs LOUD|K12</v>
      </c>
      <c r="Z275" s="12">
        <f t="array" ref="Z275">IFERROR(INDEX(CHOOSE(MATCH($X275,{"K1","K2","K3","K12","K13","H1","H2","H3","H12","H13"},0),Calc!$BA$2:$BA$157,Calc!$BB$2:$BB$157,Calc!$BC$2:$BC$157,Calc!$BD$2:$BD$157,Calc!$BE$2:$BE$157,Calc!$BF$2:$BF$157,Calc!$BG$2:$BG$157,Calc!$BH$2:$BH$157,Calc!$BI$2:$BI$157,Calc!$BJ$2:$BJ$157),MATCH($W275,Calc!$A$2:$A$157,0)),"")</f>
        <v>35.40348913</v>
      </c>
      <c r="AA275" s="12">
        <f t="array" ref="AA275">IF(Z275="","",IF(LEFT($X275,1)="H",SQRT(Z275*(IFERROR(INDEX(Calc!$AP$2:$AP$157,MATCH($W275,Calc!$A$2:$A$157,0)),0.5)*Config!$B$5+1-IFERROR(INDEX(Calc!$AP$2:$AP$157,MATCH($W275,Calc!$A$2:$A$157,0)),0.5))),SQRT(Z275*Config!$B$5)))</f>
        <v>7.04023329</v>
      </c>
      <c r="AB275" s="11">
        <f t="shared" si="5"/>
        <v>0.7569406382</v>
      </c>
      <c r="AC275" s="11">
        <f t="shared" si="6"/>
        <v>0.2008648663</v>
      </c>
      <c r="AD275" s="4" t="str">
        <f>IF(AB275="","",IF(AB275&gt;=0.5+Config!$B$6,"OVER",IF(AC275&gt;=0.5+Config!$B$6,"UNDER","—")))</f>
        <v>OVER</v>
      </c>
      <c r="AE275" s="18">
        <f t="shared" si="7"/>
        <v>1</v>
      </c>
    </row>
    <row r="276" ht="15.75" customHeight="1">
      <c r="A276" s="4" t="s">
        <v>1582</v>
      </c>
      <c r="B276" s="4" t="s">
        <v>1825</v>
      </c>
      <c r="C276" s="4" t="s">
        <v>1626</v>
      </c>
      <c r="D276" s="4" t="s">
        <v>1616</v>
      </c>
      <c r="E276" s="4" t="s">
        <v>772</v>
      </c>
      <c r="F276" s="4">
        <v>36.0</v>
      </c>
      <c r="G276" s="12">
        <f t="array" ref="G276">IFERROR(INDEX(CHOOSE(MATCH($X276,{"K1","K2","K3","K12","K13","H1","H2","H3","H12","H13"},0),Calc!$V$2:$V$157,Calc!$AC$2:$AC$157,Calc!$AJ$2:$AJ$157,Calc!$AL$2:$AL$157,Calc!$AM$2:$AM$157,Calc!$W$2:$W$157,Calc!$AD$2:$AD$157,Calc!$AK$2:$AK$157,Calc!$AN$2:$AN$157,Calc!$AO$2:$AO$157),MATCH($W276,Calc!$A$2:$A$157,0)),"")</f>
        <v>39.30248864</v>
      </c>
      <c r="H276" s="12">
        <f t="array" ref="H276">IF(G276="","",IF(LEFT($X276,1)="H",SQRT(G276*(IFERROR(INDEX(Calc!$AP$2:$AP$157,MATCH($W276,Calc!$A$2:$A$157,0)),0.5)*Config!$B$5+1-IFERROR(INDEX(Calc!$AP$2:$AP$157,MATCH($W276,Calc!$A$2:$A$157,0)),0.5))),SQRT(G276*Config!$B$5)))</f>
        <v>7.417781615</v>
      </c>
      <c r="I276" s="11">
        <f t="shared" si="1"/>
        <v>0.6472129543</v>
      </c>
      <c r="J276" s="11">
        <f t="shared" si="2"/>
        <v>0.3041092674</v>
      </c>
      <c r="K276" s="11">
        <f t="shared" si="3"/>
        <v>0.04867777834</v>
      </c>
      <c r="L276" s="4" t="str">
        <f>IF(I276="","",IF(I276&gt;=0.5+Config!$B$6,"OVER",IF(J276&gt;=0.5+Config!$B$6,"UNDER","—")))</f>
        <v>OVER</v>
      </c>
      <c r="N276" s="4">
        <v>39.9</v>
      </c>
      <c r="O276" s="11">
        <v>0.8</v>
      </c>
      <c r="P276" s="11">
        <v>0.6</v>
      </c>
      <c r="Q276" s="11">
        <v>0.53</v>
      </c>
      <c r="R276" s="4" t="s">
        <v>2203</v>
      </c>
      <c r="S276" s="4">
        <v>4.0</v>
      </c>
      <c r="T276" s="4" t="str">
        <f t="array" ref="T276">INDEX(Calc!$G$2:$G$157,MATCH($W276,Calc!$A$2:$A$157,0))&amp;" / "&amp;INDEX(Calc!$H$2:$H$157,MATCH($W276,Calc!$A$2:$A$157,0))</f>
        <v>Split / Summit</v>
      </c>
      <c r="U276" s="4" t="str">
        <f t="array" ref="U276">TEXT(INDEX(Calc!$J$2:$J$157,MATCH($W276,Calc!$A$2:$A$157,0)),"0.0")&amp;" / "&amp;TEXT(INDEX(Calc!$K$2:$K$157,MATCH($W276,Calc!$A$2:$A$157,0)),"0.0")</f>
        <v>21.6 / 21.6</v>
      </c>
      <c r="V276" s="4" t="str">
        <f t="array" ref="V276">IFERROR(INDEX(Calc!$AQ$2:$AQ$157,MATCH($W276,Calc!$A$2:$A$157,0)),"")</f>
        <v/>
      </c>
      <c r="W276" s="4" t="s">
        <v>3289</v>
      </c>
      <c r="X276" s="4" t="s">
        <v>926</v>
      </c>
      <c r="Y276" s="4" t="str">
        <f t="shared" si="4"/>
        <v>iaci71h5e1lc3jg|VAL · VIT vs LOUD|K12</v>
      </c>
      <c r="Z276" s="12">
        <f t="array" ref="Z276">IFERROR(INDEX(CHOOSE(MATCH($X276,{"K1","K2","K3","K12","K13","H1","H2","H3","H12","H13"},0),Calc!$BA$2:$BA$157,Calc!$BB$2:$BB$157,Calc!$BC$2:$BC$157,Calc!$BD$2:$BD$157,Calc!$BE$2:$BE$157,Calc!$BF$2:$BF$157,Calc!$BG$2:$BG$157,Calc!$BH$2:$BH$157,Calc!$BI$2:$BI$157,Calc!$BJ$2:$BJ$157),MATCH($W276,Calc!$A$2:$A$157,0)),"")</f>
        <v>39.30248864</v>
      </c>
      <c r="AA276" s="12">
        <f t="array" ref="AA276">IF(Z276="","",IF(LEFT($X276,1)="H",SQRT(Z276*(IFERROR(INDEX(Calc!$AP$2:$AP$157,MATCH($W276,Calc!$A$2:$A$157,0)),0.5)*Config!$B$5+1-IFERROR(INDEX(Calc!$AP$2:$AP$157,MATCH($W276,Calc!$A$2:$A$157,0)),0.5))),SQRT(Z276*Config!$B$5)))</f>
        <v>7.417781615</v>
      </c>
      <c r="AB276" s="11">
        <f t="shared" si="5"/>
        <v>0.6472129543</v>
      </c>
      <c r="AC276" s="11">
        <f t="shared" si="6"/>
        <v>0.3041092674</v>
      </c>
      <c r="AD276" s="4" t="str">
        <f>IF(AB276="","",IF(AB276&gt;=0.5+Config!$B$6,"OVER",IF(AC276&gt;=0.5+Config!$B$6,"UNDER","—")))</f>
        <v>OVER</v>
      </c>
      <c r="AE276" s="18">
        <f t="shared" si="7"/>
        <v>1</v>
      </c>
    </row>
    <row r="277" ht="15.75" customHeight="1">
      <c r="A277" s="4" t="s">
        <v>1582</v>
      </c>
      <c r="B277" s="4" t="s">
        <v>1825</v>
      </c>
      <c r="C277" s="4" t="s">
        <v>1629</v>
      </c>
      <c r="D277" s="4" t="s">
        <v>1616</v>
      </c>
      <c r="E277" s="4" t="s">
        <v>772</v>
      </c>
      <c r="F277" s="4">
        <v>33.0</v>
      </c>
      <c r="G277" s="12">
        <f t="array" ref="G277">IFERROR(INDEX(CHOOSE(MATCH($X277,{"K1","K2","K3","K12","K13","H1","H2","H3","H12","H13"},0),Calc!$V$2:$V$157,Calc!$AC$2:$AC$157,Calc!$AJ$2:$AJ$157,Calc!$AL$2:$AL$157,Calc!$AM$2:$AM$157,Calc!$W$2:$W$157,Calc!$AD$2:$AD$157,Calc!$AK$2:$AK$157,Calc!$AN$2:$AN$157,Calc!$AO$2:$AO$157),MATCH($W277,Calc!$A$2:$A$157,0)),"")</f>
        <v>31.37233715</v>
      </c>
      <c r="H277" s="12">
        <f t="array" ref="H277">IF(G277="","",IF(LEFT($X277,1)="H",SQRT(G277*(IFERROR(INDEX(Calc!$AP$2:$AP$157,MATCH($W277,Calc!$A$2:$A$157,0)),0.5)*Config!$B$5+1-IFERROR(INDEX(Calc!$AP$2:$AP$157,MATCH($W277,Calc!$A$2:$A$157,0)),0.5))),SQRT(G277*Config!$B$5)))</f>
        <v>6.627312579</v>
      </c>
      <c r="I277" s="11">
        <f t="shared" si="1"/>
        <v>0.3740883002</v>
      </c>
      <c r="J277" s="11">
        <f t="shared" si="2"/>
        <v>0.5675554333</v>
      </c>
      <c r="K277" s="11">
        <f t="shared" si="3"/>
        <v>0.05835626647</v>
      </c>
      <c r="L277" s="4" t="str">
        <f>IF(I277="","",IF(I277&gt;=0.5+Config!$B$6,"OVER",IF(J277&gt;=0.5+Config!$B$6,"UNDER","—")))</f>
        <v>UNDER</v>
      </c>
      <c r="M277" s="4">
        <v>32.27</v>
      </c>
      <c r="N277" s="4">
        <v>34.6</v>
      </c>
      <c r="O277" s="11">
        <v>0.8</v>
      </c>
      <c r="P277" s="11">
        <v>0.6</v>
      </c>
      <c r="Q277" s="11">
        <v>0.6</v>
      </c>
      <c r="R277" s="4" t="s">
        <v>2203</v>
      </c>
      <c r="S277" s="4">
        <v>2.0</v>
      </c>
      <c r="T277" s="4" t="str">
        <f t="array" ref="T277">INDEX(Calc!$G$2:$G$157,MATCH($W277,Calc!$A$2:$A$157,0))&amp;" / "&amp;INDEX(Calc!$H$2:$H$157,MATCH($W277,Calc!$A$2:$A$157,0))</f>
        <v>Split / Summit</v>
      </c>
      <c r="U277" s="4" t="str">
        <f t="array" ref="U277">TEXT(INDEX(Calc!$J$2:$J$157,MATCH($W277,Calc!$A$2:$A$157,0)),"0.0")&amp;" / "&amp;TEXT(INDEX(Calc!$K$2:$K$157,MATCH($W277,Calc!$A$2:$A$157,0)),"0.0")</f>
        <v>21.6 / 21.6</v>
      </c>
      <c r="V277" s="4" t="str">
        <f t="array" ref="V277">IFERROR(INDEX(Calc!$AQ$2:$AQ$157,MATCH($W277,Calc!$A$2:$A$157,0)),"")</f>
        <v/>
      </c>
      <c r="W277" s="4" t="s">
        <v>3290</v>
      </c>
      <c r="X277" s="4" t="s">
        <v>926</v>
      </c>
      <c r="Y277" s="4" t="str">
        <f t="shared" si="4"/>
        <v>ebc3o811xao6aam|VAL · VIT vs LOUD|K12</v>
      </c>
      <c r="Z277" s="12">
        <f t="array" ref="Z277">IFERROR(INDEX(CHOOSE(MATCH($X277,{"K1","K2","K3","K12","K13","H1","H2","H3","H12","H13"},0),Calc!$BA$2:$BA$157,Calc!$BB$2:$BB$157,Calc!$BC$2:$BC$157,Calc!$BD$2:$BD$157,Calc!$BE$2:$BE$157,Calc!$BF$2:$BF$157,Calc!$BG$2:$BG$157,Calc!$BH$2:$BH$157,Calc!$BI$2:$BI$157,Calc!$BJ$2:$BJ$157),MATCH($W277,Calc!$A$2:$A$157,0)),"")</f>
        <v>31.37233715</v>
      </c>
      <c r="AA277" s="12">
        <f t="array" ref="AA277">IF(Z277="","",IF(LEFT($X277,1)="H",SQRT(Z277*(IFERROR(INDEX(Calc!$AP$2:$AP$157,MATCH($W277,Calc!$A$2:$A$157,0)),0.5)*Config!$B$5+1-IFERROR(INDEX(Calc!$AP$2:$AP$157,MATCH($W277,Calc!$A$2:$A$157,0)),0.5))),SQRT(Z277*Config!$B$5)))</f>
        <v>6.627312579</v>
      </c>
      <c r="AB277" s="11">
        <f t="shared" si="5"/>
        <v>0.3740883002</v>
      </c>
      <c r="AC277" s="11">
        <f t="shared" si="6"/>
        <v>0.5675554333</v>
      </c>
      <c r="AD277" s="4" t="str">
        <f>IF(AB277="","",IF(AB277&gt;=0.5+Config!$B$6,"OVER",IF(AC277&gt;=0.5+Config!$B$6,"UNDER","—")))</f>
        <v>UNDER</v>
      </c>
      <c r="AE277" s="18">
        <f t="shared" si="7"/>
        <v>1</v>
      </c>
    </row>
    <row r="278" ht="15.75" customHeight="1">
      <c r="A278" s="4" t="s">
        <v>1582</v>
      </c>
      <c r="B278" s="4" t="s">
        <v>1825</v>
      </c>
      <c r="C278" s="4" t="s">
        <v>1632</v>
      </c>
      <c r="D278" s="4" t="s">
        <v>1633</v>
      </c>
      <c r="E278" s="4" t="s">
        <v>772</v>
      </c>
      <c r="F278" s="4">
        <v>30.5</v>
      </c>
      <c r="G278" s="12">
        <f t="array" ref="G278">IFERROR(INDEX(CHOOSE(MATCH($X278,{"K1","K2","K3","K12","K13","H1","H2","H3","H12","H13"},0),Calc!$V$2:$V$157,Calc!$AC$2:$AC$157,Calc!$AJ$2:$AJ$157,Calc!$AL$2:$AL$157,Calc!$AM$2:$AM$157,Calc!$W$2:$W$157,Calc!$AD$2:$AD$157,Calc!$AK$2:$AK$157,Calc!$AN$2:$AN$157,Calc!$AO$2:$AO$157),MATCH($W278,Calc!$A$2:$A$157,0)),"")</f>
        <v>36.07078494</v>
      </c>
      <c r="H278" s="12">
        <f t="array" ref="H278">IF(G278="","",IF(LEFT($X278,1)="H",SQRT(G278*(IFERROR(INDEX(Calc!$AP$2:$AP$157,MATCH($W278,Calc!$A$2:$A$157,0)),0.5)*Config!$B$5+1-IFERROR(INDEX(Calc!$AP$2:$AP$157,MATCH($W278,Calc!$A$2:$A$157,0)),0.5))),SQRT(G278*Config!$B$5)))</f>
        <v>7.106271801</v>
      </c>
      <c r="I278" s="11">
        <f t="shared" si="1"/>
        <v>0.783457974</v>
      </c>
      <c r="J278" s="11">
        <f t="shared" si="2"/>
        <v>0.216542026</v>
      </c>
      <c r="K278" s="11">
        <f t="shared" si="3"/>
        <v>0</v>
      </c>
      <c r="L278" s="4" t="str">
        <f>IF(I278="","",IF(I278&gt;=0.5+Config!$B$6,"OVER",IF(J278&gt;=0.5+Config!$B$6,"UNDER","—")))</f>
        <v>OVER</v>
      </c>
      <c r="M278" s="4">
        <v>31.76</v>
      </c>
      <c r="N278" s="4">
        <v>33.5</v>
      </c>
      <c r="O278" s="11">
        <v>0.4</v>
      </c>
      <c r="P278" s="11">
        <v>0.5</v>
      </c>
      <c r="Q278" s="11">
        <v>0.4</v>
      </c>
      <c r="R278" s="4" t="s">
        <v>2203</v>
      </c>
      <c r="S278" s="4">
        <v>1.0</v>
      </c>
      <c r="T278" s="4" t="str">
        <f t="array" ref="T278">INDEX(Calc!$G$2:$G$157,MATCH($W278,Calc!$A$2:$A$157,0))&amp;" / "&amp;INDEX(Calc!$H$2:$H$157,MATCH($W278,Calc!$A$2:$A$157,0))</f>
        <v>Split / Summit</v>
      </c>
      <c r="U278" s="4" t="str">
        <f t="array" ref="U278">TEXT(INDEX(Calc!$J$2:$J$157,MATCH($W278,Calc!$A$2:$A$157,0)),"0.0")&amp;" / "&amp;TEXT(INDEX(Calc!$K$2:$K$157,MATCH($W278,Calc!$A$2:$A$157,0)),"0.0")</f>
        <v>21.6 / 21.6</v>
      </c>
      <c r="V278" s="4" t="str">
        <f t="array" ref="V278">IFERROR(INDEX(Calc!$AQ$2:$AQ$157,MATCH($W278,Calc!$A$2:$A$157,0)),"")</f>
        <v/>
      </c>
      <c r="W278" s="4" t="s">
        <v>3291</v>
      </c>
      <c r="X278" s="4" t="s">
        <v>926</v>
      </c>
      <c r="Y278" s="4" t="str">
        <f t="shared" si="4"/>
        <v>74ymf96bs8s3yam|VAL · VIT vs LOUD|K12</v>
      </c>
      <c r="Z278" s="12">
        <f t="array" ref="Z278">IFERROR(INDEX(CHOOSE(MATCH($X278,{"K1","K2","K3","K12","K13","H1","H2","H3","H12","H13"},0),Calc!$BA$2:$BA$157,Calc!$BB$2:$BB$157,Calc!$BC$2:$BC$157,Calc!$BD$2:$BD$157,Calc!$BE$2:$BE$157,Calc!$BF$2:$BF$157,Calc!$BG$2:$BG$157,Calc!$BH$2:$BH$157,Calc!$BI$2:$BI$157,Calc!$BJ$2:$BJ$157),MATCH($W278,Calc!$A$2:$A$157,0)),"")</f>
        <v>36.07078494</v>
      </c>
      <c r="AA278" s="12">
        <f t="array" ref="AA278">IF(Z278="","",IF(LEFT($X278,1)="H",SQRT(Z278*(IFERROR(INDEX(Calc!$AP$2:$AP$157,MATCH($W278,Calc!$A$2:$A$157,0)),0.5)*Config!$B$5+1-IFERROR(INDEX(Calc!$AP$2:$AP$157,MATCH($W278,Calc!$A$2:$A$157,0)),0.5))),SQRT(Z278*Config!$B$5)))</f>
        <v>7.106271801</v>
      </c>
      <c r="AB278" s="11">
        <f t="shared" si="5"/>
        <v>0.783457974</v>
      </c>
      <c r="AC278" s="11">
        <f t="shared" si="6"/>
        <v>0.216542026</v>
      </c>
      <c r="AD278" s="4" t="str">
        <f>IF(AB278="","",IF(AB278&gt;=0.5+Config!$B$6,"OVER",IF(AC278&gt;=0.5+Config!$B$6,"UNDER","—")))</f>
        <v>OVER</v>
      </c>
      <c r="AE278" s="18">
        <f t="shared" si="7"/>
        <v>1</v>
      </c>
    </row>
    <row r="279" ht="15.75" customHeight="1">
      <c r="A279" s="4" t="s">
        <v>1582</v>
      </c>
      <c r="B279" s="4" t="s">
        <v>1825</v>
      </c>
      <c r="C279" s="4" t="s">
        <v>1637</v>
      </c>
      <c r="D279" s="4" t="s">
        <v>1633</v>
      </c>
      <c r="E279" s="4" t="s">
        <v>772</v>
      </c>
      <c r="F279" s="4">
        <v>33.5</v>
      </c>
      <c r="G279" s="12">
        <f t="array" ref="G279">IFERROR(INDEX(CHOOSE(MATCH($X279,{"K1","K2","K3","K12","K13","H1","H2","H3","H12","H13"},0),Calc!$V$2:$V$157,Calc!$AC$2:$AC$157,Calc!$AJ$2:$AJ$157,Calc!$AL$2:$AL$157,Calc!$AM$2:$AM$157,Calc!$W$2:$W$157,Calc!$AD$2:$AD$157,Calc!$AK$2:$AK$157,Calc!$AN$2:$AN$157,Calc!$AO$2:$AO$157),MATCH($W279,Calc!$A$2:$A$157,0)),"")</f>
        <v>33.75851262</v>
      </c>
      <c r="H279" s="12">
        <f t="array" ref="H279">IF(G279="","",IF(LEFT($X279,1)="H",SQRT(G279*(IFERROR(INDEX(Calc!$AP$2:$AP$157,MATCH($W279,Calc!$A$2:$A$157,0)),0.5)*Config!$B$5+1-IFERROR(INDEX(Calc!$AP$2:$AP$157,MATCH($W279,Calc!$A$2:$A$157,0)),0.5))),SQRT(G279*Config!$B$5)))</f>
        <v>6.874730371</v>
      </c>
      <c r="I279" s="11">
        <f t="shared" si="1"/>
        <v>0.5149980158</v>
      </c>
      <c r="J279" s="11">
        <f t="shared" si="2"/>
        <v>0.4850019842</v>
      </c>
      <c r="K279" s="11">
        <f t="shared" si="3"/>
        <v>0</v>
      </c>
      <c r="L279" s="4" t="str">
        <f>IF(I279="","",IF(I279&gt;=0.5+Config!$B$6,"OVER",IF(J279&gt;=0.5+Config!$B$6,"UNDER","—")))</f>
        <v>—</v>
      </c>
      <c r="N279" s="4">
        <v>34.6</v>
      </c>
      <c r="O279" s="11">
        <v>0.8</v>
      </c>
      <c r="P279" s="11">
        <v>0.7</v>
      </c>
      <c r="Q279" s="11">
        <v>0.67</v>
      </c>
      <c r="R279" s="4" t="s">
        <v>2203</v>
      </c>
      <c r="S279" s="4">
        <v>1.0</v>
      </c>
      <c r="T279" s="4" t="str">
        <f t="array" ref="T279">INDEX(Calc!$G$2:$G$157,MATCH($W279,Calc!$A$2:$A$157,0))&amp;" / "&amp;INDEX(Calc!$H$2:$H$157,MATCH($W279,Calc!$A$2:$A$157,0))</f>
        <v>Split / Summit</v>
      </c>
      <c r="U279" s="4" t="str">
        <f t="array" ref="U279">TEXT(INDEX(Calc!$J$2:$J$157,MATCH($W279,Calc!$A$2:$A$157,0)),"0.0")&amp;" / "&amp;TEXT(INDEX(Calc!$K$2:$K$157,MATCH($W279,Calc!$A$2:$A$157,0)),"0.0")</f>
        <v>21.6 / 21.6</v>
      </c>
      <c r="V279" s="4" t="str">
        <f t="array" ref="V279">IFERROR(INDEX(Calc!$AQ$2:$AQ$157,MATCH($W279,Calc!$A$2:$A$157,0)),"")</f>
        <v/>
      </c>
      <c r="W279" s="4" t="s">
        <v>3292</v>
      </c>
      <c r="X279" s="4" t="s">
        <v>926</v>
      </c>
      <c r="Y279" s="4" t="str">
        <f t="shared" si="4"/>
        <v>3425cmled3cxlhw|VAL · VIT vs LOUD|K12</v>
      </c>
      <c r="Z279" s="12">
        <f t="array" ref="Z279">IFERROR(INDEX(CHOOSE(MATCH($X279,{"K1","K2","K3","K12","K13","H1","H2","H3","H12","H13"},0),Calc!$BA$2:$BA$157,Calc!$BB$2:$BB$157,Calc!$BC$2:$BC$157,Calc!$BD$2:$BD$157,Calc!$BE$2:$BE$157,Calc!$BF$2:$BF$157,Calc!$BG$2:$BG$157,Calc!$BH$2:$BH$157,Calc!$BI$2:$BI$157,Calc!$BJ$2:$BJ$157),MATCH($W279,Calc!$A$2:$A$157,0)),"")</f>
        <v>33.75851262</v>
      </c>
      <c r="AA279" s="12">
        <f t="array" ref="AA279">IF(Z279="","",IF(LEFT($X279,1)="H",SQRT(Z279*(IFERROR(INDEX(Calc!$AP$2:$AP$157,MATCH($W279,Calc!$A$2:$A$157,0)),0.5)*Config!$B$5+1-IFERROR(INDEX(Calc!$AP$2:$AP$157,MATCH($W279,Calc!$A$2:$A$157,0)),0.5))),SQRT(Z279*Config!$B$5)))</f>
        <v>6.874730371</v>
      </c>
      <c r="AB279" s="11">
        <f t="shared" si="5"/>
        <v>0.5149980158</v>
      </c>
      <c r="AC279" s="11">
        <f t="shared" si="6"/>
        <v>0.4850019842</v>
      </c>
      <c r="AD279" s="4" t="str">
        <f>IF(AB279="","",IF(AB279&gt;=0.5+Config!$B$6,"OVER",IF(AC279&gt;=0.5+Config!$B$6,"UNDER","—")))</f>
        <v>—</v>
      </c>
      <c r="AE279" s="18">
        <f t="shared" si="7"/>
        <v>1</v>
      </c>
    </row>
    <row r="280" ht="15.75" customHeight="1">
      <c r="A280" s="4" t="s">
        <v>1582</v>
      </c>
      <c r="B280" s="4" t="s">
        <v>1825</v>
      </c>
      <c r="C280" s="4" t="s">
        <v>1640</v>
      </c>
      <c r="D280" s="4" t="s">
        <v>1633</v>
      </c>
      <c r="E280" s="4" t="s">
        <v>772</v>
      </c>
      <c r="F280" s="4">
        <v>29.5</v>
      </c>
      <c r="G280" s="12">
        <f t="array" ref="G280">IFERROR(INDEX(CHOOSE(MATCH($X280,{"K1","K2","K3","K12","K13","H1","H2","H3","H12","H13"},0),Calc!$V$2:$V$157,Calc!$AC$2:$AC$157,Calc!$AJ$2:$AJ$157,Calc!$AL$2:$AL$157,Calc!$AM$2:$AM$157,Calc!$W$2:$W$157,Calc!$AD$2:$AD$157,Calc!$AK$2:$AK$157,Calc!$AN$2:$AN$157,Calc!$AO$2:$AO$157),MATCH($W280,Calc!$A$2:$A$157,0)),"")</f>
        <v>31.52624883</v>
      </c>
      <c r="H280" s="12">
        <f t="array" ref="H280">IF(G280="","",IF(LEFT($X280,1)="H",SQRT(G280*(IFERROR(INDEX(Calc!$AP$2:$AP$157,MATCH($W280,Calc!$A$2:$A$157,0)),0.5)*Config!$B$5+1-IFERROR(INDEX(Calc!$AP$2:$AP$157,MATCH($W280,Calc!$A$2:$A$157,0)),0.5))),SQRT(G280*Config!$B$5)))</f>
        <v>6.64354938</v>
      </c>
      <c r="I280" s="11">
        <f t="shared" si="1"/>
        <v>0.6198149905</v>
      </c>
      <c r="J280" s="11">
        <f t="shared" si="2"/>
        <v>0.3801850095</v>
      </c>
      <c r="K280" s="11">
        <f t="shared" si="3"/>
        <v>0</v>
      </c>
      <c r="L280" s="4" t="str">
        <f>IF(I280="","",IF(I280&gt;=0.5+Config!$B$6,"OVER",IF(J280&gt;=0.5+Config!$B$6,"UNDER","—")))</f>
        <v>OVER</v>
      </c>
      <c r="M280" s="4">
        <v>30.09</v>
      </c>
      <c r="N280" s="4">
        <v>34.1</v>
      </c>
      <c r="O280" s="11">
        <v>0.8</v>
      </c>
      <c r="P280" s="11">
        <v>0.8</v>
      </c>
      <c r="Q280" s="11">
        <v>0.6</v>
      </c>
      <c r="R280" s="4" t="s">
        <v>2203</v>
      </c>
      <c r="S280" s="4">
        <v>1.0</v>
      </c>
      <c r="T280" s="4" t="str">
        <f t="array" ref="T280">INDEX(Calc!$G$2:$G$157,MATCH($W280,Calc!$A$2:$A$157,0))&amp;" / "&amp;INDEX(Calc!$H$2:$H$157,MATCH($W280,Calc!$A$2:$A$157,0))</f>
        <v>Split / Summit</v>
      </c>
      <c r="U280" s="4" t="str">
        <f t="array" ref="U280">TEXT(INDEX(Calc!$J$2:$J$157,MATCH($W280,Calc!$A$2:$A$157,0)),"0.0")&amp;" / "&amp;TEXT(INDEX(Calc!$K$2:$K$157,MATCH($W280,Calc!$A$2:$A$157,0)),"0.0")</f>
        <v>21.6 / 21.6</v>
      </c>
      <c r="V280" s="4" t="str">
        <f t="array" ref="V280">IFERROR(INDEX(Calc!$AQ$2:$AQ$157,MATCH($W280,Calc!$A$2:$A$157,0)),"")</f>
        <v/>
      </c>
      <c r="W280" s="4" t="s">
        <v>3293</v>
      </c>
      <c r="X280" s="4" t="s">
        <v>926</v>
      </c>
      <c r="Y280" s="4" t="str">
        <f t="shared" si="4"/>
        <v>q1vl8rb8l6us1dr|VAL · VIT vs LOUD|K12</v>
      </c>
      <c r="Z280" s="12">
        <f t="array" ref="Z280">IFERROR(INDEX(CHOOSE(MATCH($X280,{"K1","K2","K3","K12","K13","H1","H2","H3","H12","H13"},0),Calc!$BA$2:$BA$157,Calc!$BB$2:$BB$157,Calc!$BC$2:$BC$157,Calc!$BD$2:$BD$157,Calc!$BE$2:$BE$157,Calc!$BF$2:$BF$157,Calc!$BG$2:$BG$157,Calc!$BH$2:$BH$157,Calc!$BI$2:$BI$157,Calc!$BJ$2:$BJ$157),MATCH($W280,Calc!$A$2:$A$157,0)),"")</f>
        <v>31.52624883</v>
      </c>
      <c r="AA280" s="12">
        <f t="array" ref="AA280">IF(Z280="","",IF(LEFT($X280,1)="H",SQRT(Z280*(IFERROR(INDEX(Calc!$AP$2:$AP$157,MATCH($W280,Calc!$A$2:$A$157,0)),0.5)*Config!$B$5+1-IFERROR(INDEX(Calc!$AP$2:$AP$157,MATCH($W280,Calc!$A$2:$A$157,0)),0.5))),SQRT(Z280*Config!$B$5)))</f>
        <v>6.64354938</v>
      </c>
      <c r="AB280" s="11">
        <f t="shared" si="5"/>
        <v>0.6198149905</v>
      </c>
      <c r="AC280" s="11">
        <f t="shared" si="6"/>
        <v>0.3801850095</v>
      </c>
      <c r="AD280" s="4" t="str">
        <f>IF(AB280="","",IF(AB280&gt;=0.5+Config!$B$6,"OVER",IF(AC280&gt;=0.5+Config!$B$6,"UNDER","—")))</f>
        <v>OVER</v>
      </c>
      <c r="AE280" s="18">
        <f t="shared" si="7"/>
        <v>1</v>
      </c>
    </row>
    <row r="281" ht="15.75" customHeight="1">
      <c r="A281" s="4" t="s">
        <v>1582</v>
      </c>
      <c r="B281" s="4" t="s">
        <v>1825</v>
      </c>
      <c r="C281" s="4" t="s">
        <v>1643</v>
      </c>
      <c r="D281" s="4" t="s">
        <v>1633</v>
      </c>
      <c r="E281" s="4" t="s">
        <v>772</v>
      </c>
      <c r="F281" s="4">
        <v>27.5</v>
      </c>
      <c r="G281" s="12">
        <f t="array" ref="G281">IFERROR(INDEX(CHOOSE(MATCH($X281,{"K1","K2","K3","K12","K13","H1","H2","H3","H12","H13"},0),Calc!$V$2:$V$157,Calc!$AC$2:$AC$157,Calc!$AJ$2:$AJ$157,Calc!$AL$2:$AL$157,Calc!$AM$2:$AM$157,Calc!$W$2:$W$157,Calc!$AD$2:$AD$157,Calc!$AK$2:$AK$157,Calc!$AN$2:$AN$157,Calc!$AO$2:$AO$157),MATCH($W281,Calc!$A$2:$A$157,0)),"")</f>
        <v>25.72695115</v>
      </c>
      <c r="H281" s="12">
        <f t="array" ref="H281">IF(G281="","",IF(LEFT($X281,1)="H",SQRT(G281*(IFERROR(INDEX(Calc!$AP$2:$AP$157,MATCH($W281,Calc!$A$2:$A$157,0)),0.5)*Config!$B$5+1-IFERROR(INDEX(Calc!$AP$2:$AP$157,MATCH($W281,Calc!$A$2:$A$157,0)),0.5))),SQRT(G281*Config!$B$5)))</f>
        <v>6.001477452</v>
      </c>
      <c r="I281" s="11">
        <f t="shared" si="1"/>
        <v>0.3838306498</v>
      </c>
      <c r="J281" s="11">
        <f t="shared" si="2"/>
        <v>0.6161693502</v>
      </c>
      <c r="K281" s="11">
        <f t="shared" si="3"/>
        <v>0</v>
      </c>
      <c r="L281" s="4" t="str">
        <f>IF(I281="","",IF(I281&gt;=0.5+Config!$B$6,"OVER",IF(J281&gt;=0.5+Config!$B$6,"UNDER","—")))</f>
        <v>UNDER</v>
      </c>
      <c r="M281" s="4">
        <v>25.92</v>
      </c>
      <c r="N281" s="4">
        <v>29.5</v>
      </c>
      <c r="O281" s="11">
        <v>0.8</v>
      </c>
      <c r="P281" s="11">
        <v>0.6</v>
      </c>
      <c r="Q281" s="11">
        <v>0.53</v>
      </c>
      <c r="R281" s="4" t="s">
        <v>2203</v>
      </c>
      <c r="S281" s="4">
        <v>1.0</v>
      </c>
      <c r="T281" s="4" t="str">
        <f t="array" ref="T281">INDEX(Calc!$G$2:$G$157,MATCH($W281,Calc!$A$2:$A$157,0))&amp;" / "&amp;INDEX(Calc!$H$2:$H$157,MATCH($W281,Calc!$A$2:$A$157,0))</f>
        <v>Split / Summit</v>
      </c>
      <c r="U281" s="4" t="str">
        <f t="array" ref="U281">TEXT(INDEX(Calc!$J$2:$J$157,MATCH($W281,Calc!$A$2:$A$157,0)),"0.0")&amp;" / "&amp;TEXT(INDEX(Calc!$K$2:$K$157,MATCH($W281,Calc!$A$2:$A$157,0)),"0.0")</f>
        <v>21.6 / 21.6</v>
      </c>
      <c r="V281" s="4" t="str">
        <f t="array" ref="V281">IFERROR(INDEX(Calc!$AQ$2:$AQ$157,MATCH($W281,Calc!$A$2:$A$157,0)),"")</f>
        <v/>
      </c>
      <c r="W281" s="4" t="s">
        <v>3294</v>
      </c>
      <c r="X281" s="4" t="s">
        <v>926</v>
      </c>
      <c r="Y281" s="4" t="str">
        <f t="shared" si="4"/>
        <v>ljkl20ufsb1unwv|VAL · VIT vs LOUD|K12</v>
      </c>
      <c r="Z281" s="12">
        <f t="array" ref="Z281">IFERROR(INDEX(CHOOSE(MATCH($X281,{"K1","K2","K3","K12","K13","H1","H2","H3","H12","H13"},0),Calc!$BA$2:$BA$157,Calc!$BB$2:$BB$157,Calc!$BC$2:$BC$157,Calc!$BD$2:$BD$157,Calc!$BE$2:$BE$157,Calc!$BF$2:$BF$157,Calc!$BG$2:$BG$157,Calc!$BH$2:$BH$157,Calc!$BI$2:$BI$157,Calc!$BJ$2:$BJ$157),MATCH($W281,Calc!$A$2:$A$157,0)),"")</f>
        <v>25.72695115</v>
      </c>
      <c r="AA281" s="12">
        <f t="array" ref="AA281">IF(Z281="","",IF(LEFT($X281,1)="H",SQRT(Z281*(IFERROR(INDEX(Calc!$AP$2:$AP$157,MATCH($W281,Calc!$A$2:$A$157,0)),0.5)*Config!$B$5+1-IFERROR(INDEX(Calc!$AP$2:$AP$157,MATCH($W281,Calc!$A$2:$A$157,0)),0.5))),SQRT(Z281*Config!$B$5)))</f>
        <v>6.001477452</v>
      </c>
      <c r="AB281" s="11">
        <f t="shared" si="5"/>
        <v>0.3838306498</v>
      </c>
      <c r="AC281" s="11">
        <f t="shared" si="6"/>
        <v>0.6161693502</v>
      </c>
      <c r="AD281" s="4" t="str">
        <f>IF(AB281="","",IF(AB281&gt;=0.5+Config!$B$6,"OVER",IF(AC281&gt;=0.5+Config!$B$6,"UNDER","—")))</f>
        <v>UNDER</v>
      </c>
      <c r="AE281" s="18">
        <f t="shared" si="7"/>
        <v>1</v>
      </c>
    </row>
    <row r="282" ht="15.75" customHeight="1">
      <c r="A282" s="4" t="s">
        <v>1582</v>
      </c>
      <c r="B282" s="4" t="s">
        <v>1825</v>
      </c>
      <c r="C282" s="4" t="s">
        <v>1646</v>
      </c>
      <c r="D282" s="4" t="s">
        <v>1633</v>
      </c>
      <c r="E282" s="4" t="s">
        <v>772</v>
      </c>
      <c r="F282" s="4">
        <v>30.5</v>
      </c>
      <c r="G282" s="12">
        <f t="array" ref="G282">IFERROR(INDEX(CHOOSE(MATCH($X282,{"K1","K2","K3","K12","K13","H1","H2","H3","H12","H13"},0),Calc!$V$2:$V$157,Calc!$AC$2:$AC$157,Calc!$AJ$2:$AJ$157,Calc!$AL$2:$AL$157,Calc!$AM$2:$AM$157,Calc!$W$2:$W$157,Calc!$AD$2:$AD$157,Calc!$AK$2:$AK$157,Calc!$AN$2:$AN$157,Calc!$AO$2:$AO$157),MATCH($W282,Calc!$A$2:$A$157,0)),"")</f>
        <v>31.13310542</v>
      </c>
      <c r="H282" s="12">
        <f t="array" ref="H282">IF(G282="","",IF(LEFT($X282,1)="H",SQRT(G282*(IFERROR(INDEX(Calc!$AP$2:$AP$157,MATCH($W282,Calc!$A$2:$A$157,0)),0.5)*Config!$B$5+1-IFERROR(INDEX(Calc!$AP$2:$AP$157,MATCH($W282,Calc!$A$2:$A$157,0)),0.5))),SQRT(G282*Config!$B$5)))</f>
        <v>6.601995728</v>
      </c>
      <c r="I282" s="11">
        <f t="shared" si="1"/>
        <v>0.5381984407</v>
      </c>
      <c r="J282" s="11">
        <f t="shared" si="2"/>
        <v>0.4618015593</v>
      </c>
      <c r="K282" s="11">
        <f t="shared" si="3"/>
        <v>0</v>
      </c>
      <c r="L282" s="4" t="str">
        <f>IF(I282="","",IF(I282&gt;=0.5+Config!$B$6,"OVER",IF(J282&gt;=0.5+Config!$B$6,"UNDER","—")))</f>
        <v>—</v>
      </c>
      <c r="M282" s="4">
        <v>30.47</v>
      </c>
      <c r="N282" s="4">
        <v>33.1</v>
      </c>
      <c r="O282" s="11">
        <v>0.4</v>
      </c>
      <c r="P282" s="11">
        <v>0.6</v>
      </c>
      <c r="Q282" s="11">
        <v>0.53</v>
      </c>
      <c r="R282" s="4" t="s">
        <v>2203</v>
      </c>
      <c r="S282" s="4">
        <v>-2.0</v>
      </c>
      <c r="T282" s="4" t="str">
        <f t="array" ref="T282">INDEX(Calc!$G$2:$G$157,MATCH($W282,Calc!$A$2:$A$157,0))&amp;" / "&amp;INDEX(Calc!$H$2:$H$157,MATCH($W282,Calc!$A$2:$A$157,0))</f>
        <v>Split / Summit</v>
      </c>
      <c r="U282" s="4" t="str">
        <f t="array" ref="U282">TEXT(INDEX(Calc!$J$2:$J$157,MATCH($W282,Calc!$A$2:$A$157,0)),"0.0")&amp;" / "&amp;TEXT(INDEX(Calc!$K$2:$K$157,MATCH($W282,Calc!$A$2:$A$157,0)),"0.0")</f>
        <v>21.6 / 21.6</v>
      </c>
      <c r="V282" s="4" t="str">
        <f t="array" ref="V282">IFERROR(INDEX(Calc!$AQ$2:$AQ$157,MATCH($W282,Calc!$A$2:$A$157,0)),"")</f>
        <v/>
      </c>
      <c r="W282" s="4" t="s">
        <v>3295</v>
      </c>
      <c r="X282" s="4" t="s">
        <v>926</v>
      </c>
      <c r="Y282" s="4" t="str">
        <f t="shared" si="4"/>
        <v>u2kriuznrktwp57|VAL · VIT vs LOUD|K12</v>
      </c>
      <c r="Z282" s="12">
        <f t="array" ref="Z282">IFERROR(INDEX(CHOOSE(MATCH($X282,{"K1","K2","K3","K12","K13","H1","H2","H3","H12","H13"},0),Calc!$BA$2:$BA$157,Calc!$BB$2:$BB$157,Calc!$BC$2:$BC$157,Calc!$BD$2:$BD$157,Calc!$BE$2:$BE$157,Calc!$BF$2:$BF$157,Calc!$BG$2:$BG$157,Calc!$BH$2:$BH$157,Calc!$BI$2:$BI$157,Calc!$BJ$2:$BJ$157),MATCH($W282,Calc!$A$2:$A$157,0)),"")</f>
        <v>31.13310542</v>
      </c>
      <c r="AA282" s="12">
        <f t="array" ref="AA282">IF(Z282="","",IF(LEFT($X282,1)="H",SQRT(Z282*(IFERROR(INDEX(Calc!$AP$2:$AP$157,MATCH($W282,Calc!$A$2:$A$157,0)),0.5)*Config!$B$5+1-IFERROR(INDEX(Calc!$AP$2:$AP$157,MATCH($W282,Calc!$A$2:$A$157,0)),0.5))),SQRT(Z282*Config!$B$5)))</f>
        <v>6.601995728</v>
      </c>
      <c r="AB282" s="11">
        <f t="shared" si="5"/>
        <v>0.5381984407</v>
      </c>
      <c r="AC282" s="11">
        <f t="shared" si="6"/>
        <v>0.4618015593</v>
      </c>
      <c r="AD282" s="4" t="str">
        <f>IF(AB282="","",IF(AB282&gt;=0.5+Config!$B$6,"OVER",IF(AC282&gt;=0.5+Config!$B$6,"UNDER","—")))</f>
        <v>—</v>
      </c>
      <c r="AE282" s="18">
        <f t="shared" si="7"/>
        <v>1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282"/>
  <conditionalFormatting sqref="AB2:AB282">
    <cfRule type="colorScale" priority="1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conditionalFormatting sqref="I2:I282">
    <cfRule type="colorScale" priority="2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24.0"/>
    <col customWidth="1" min="2" max="2" width="5.0"/>
    <col customWidth="1" min="3" max="3" width="24.0"/>
    <col customWidth="1" min="4" max="4" width="8.0"/>
    <col customWidth="1" min="5" max="5" width="13.0"/>
    <col customWidth="1" min="6" max="6" width="16.0"/>
    <col customWidth="1" min="7" max="42" width="9.0"/>
    <col customWidth="1" min="43" max="43" width="40.0"/>
    <col customWidth="1" min="44" max="63" width="9.0"/>
  </cols>
  <sheetData>
    <row r="1">
      <c r="A1" s="7" t="s">
        <v>1098</v>
      </c>
      <c r="B1" s="7" t="s">
        <v>15</v>
      </c>
      <c r="C1" s="7" t="s">
        <v>10</v>
      </c>
      <c r="D1" s="7" t="s">
        <v>309</v>
      </c>
      <c r="E1" s="7" t="s">
        <v>308</v>
      </c>
      <c r="F1" s="7" t="s">
        <v>1099</v>
      </c>
      <c r="G1" s="7" t="s">
        <v>41</v>
      </c>
      <c r="H1" s="7" t="s">
        <v>42</v>
      </c>
      <c r="I1" s="7" t="s">
        <v>43</v>
      </c>
      <c r="J1" s="7" t="s">
        <v>1100</v>
      </c>
      <c r="K1" s="7" t="s">
        <v>1101</v>
      </c>
      <c r="L1" s="7" t="s">
        <v>1102</v>
      </c>
      <c r="M1" s="7" t="s">
        <v>1103</v>
      </c>
      <c r="N1" s="7" t="s">
        <v>1104</v>
      </c>
      <c r="O1" s="7" t="s">
        <v>1105</v>
      </c>
      <c r="P1" s="7" t="s">
        <v>1106</v>
      </c>
      <c r="Q1" s="7" t="s">
        <v>1107</v>
      </c>
      <c r="R1" s="7" t="s">
        <v>1108</v>
      </c>
      <c r="S1" s="7" t="s">
        <v>1109</v>
      </c>
      <c r="T1" s="7" t="s">
        <v>1110</v>
      </c>
      <c r="U1" s="7" t="s">
        <v>1111</v>
      </c>
      <c r="V1" s="7" t="s">
        <v>1112</v>
      </c>
      <c r="W1" s="7" t="s">
        <v>1113</v>
      </c>
      <c r="X1" s="7" t="s">
        <v>1114</v>
      </c>
      <c r="Y1" s="7" t="s">
        <v>1115</v>
      </c>
      <c r="Z1" s="7" t="s">
        <v>1116</v>
      </c>
      <c r="AA1" s="7" t="s">
        <v>1117</v>
      </c>
      <c r="AB1" s="7" t="s">
        <v>1118</v>
      </c>
      <c r="AC1" s="7" t="s">
        <v>1119</v>
      </c>
      <c r="AD1" s="7" t="s">
        <v>1120</v>
      </c>
      <c r="AE1" s="7" t="s">
        <v>1121</v>
      </c>
      <c r="AF1" s="7" t="s">
        <v>1122</v>
      </c>
      <c r="AG1" s="7" t="s">
        <v>1123</v>
      </c>
      <c r="AH1" s="7" t="s">
        <v>1124</v>
      </c>
      <c r="AI1" s="7" t="s">
        <v>1125</v>
      </c>
      <c r="AJ1" s="7" t="s">
        <v>1126</v>
      </c>
      <c r="AK1" s="7" t="s">
        <v>1127</v>
      </c>
      <c r="AL1" s="7" t="s">
        <v>589</v>
      </c>
      <c r="AM1" s="7" t="s">
        <v>1128</v>
      </c>
      <c r="AN1" s="7" t="s">
        <v>604</v>
      </c>
      <c r="AO1" s="7" t="s">
        <v>1129</v>
      </c>
      <c r="AP1" s="7" t="s">
        <v>603</v>
      </c>
      <c r="AQ1" s="7" t="s">
        <v>343</v>
      </c>
      <c r="AR1" s="7" t="s">
        <v>1130</v>
      </c>
      <c r="AS1" s="7" t="s">
        <v>1131</v>
      </c>
      <c r="AT1" s="7" t="s">
        <v>1132</v>
      </c>
      <c r="AU1" s="7" t="s">
        <v>1133</v>
      </c>
      <c r="AV1" s="7" t="s">
        <v>1134</v>
      </c>
      <c r="AW1" s="7" t="s">
        <v>1135</v>
      </c>
      <c r="AX1" s="7" t="s">
        <v>1136</v>
      </c>
      <c r="AY1" s="7" t="s">
        <v>1137</v>
      </c>
      <c r="AZ1" s="7" t="s">
        <v>1138</v>
      </c>
      <c r="BA1" s="7" t="s">
        <v>1139</v>
      </c>
      <c r="BB1" s="7" t="s">
        <v>1140</v>
      </c>
      <c r="BC1" s="7" t="s">
        <v>1141</v>
      </c>
      <c r="BD1" s="7" t="s">
        <v>1142</v>
      </c>
      <c r="BE1" s="7" t="s">
        <v>1143</v>
      </c>
      <c r="BF1" s="7" t="s">
        <v>1144</v>
      </c>
      <c r="BG1" s="7" t="s">
        <v>1145</v>
      </c>
      <c r="BH1" s="7" t="s">
        <v>1146</v>
      </c>
      <c r="BI1" s="7" t="s">
        <v>1147</v>
      </c>
      <c r="BJ1" s="7" t="s">
        <v>1148</v>
      </c>
      <c r="BK1" s="7" t="s">
        <v>1149</v>
      </c>
    </row>
    <row r="2">
      <c r="A2" s="4" t="s">
        <v>633</v>
      </c>
      <c r="B2" s="4" t="s">
        <v>86</v>
      </c>
      <c r="C2" s="4" t="s">
        <v>364</v>
      </c>
      <c r="D2" s="4" t="s">
        <v>368</v>
      </c>
      <c r="E2" s="4" t="s">
        <v>366</v>
      </c>
      <c r="F2" s="4" t="s">
        <v>1150</v>
      </c>
      <c r="G2" s="4" t="str">
        <f t="array" ref="G2">IFERROR(IF(INDEX(Matches!$W$5:$W$22,MATCH($C2,Matches!$A$5:$A$22,0))="","",INDEX(Matches!$W$5:$W$22,MATCH($C2,Matches!$A$5:$A$22,0))),"")</f>
        <v>Dust2</v>
      </c>
      <c r="H2" s="4" t="str">
        <f t="array" ref="H2">IFERROR(IF(INDEX(Matches!$X$5:$X$22,MATCH($C2,Matches!$A$5:$A$22,0))="","",INDEX(Matches!$X$5:$X$22,MATCH($C2,Matches!$A$5:$A$22,0))),"")</f>
        <v>Nuke</v>
      </c>
      <c r="I2" s="4" t="str">
        <f t="array" ref="I2">IFERROR(IF(INDEX(Matches!$Y$5:$Y$22,MATCH($C2,Matches!$A$5:$A$22,0))="","",INDEX(Matches!$Y$5:$Y$22,MATCH($C2,Matches!$A$5:$A$22,0))),"")</f>
        <v>Mirage</v>
      </c>
      <c r="J2" s="4">
        <f t="array" ref="J2">IFERROR(IF(INDEX(Matches!$Z$5:$Z$22,MATCH($C2,Matches!$A$5:$A$22,0))="","",INDEX(Matches!$Z$5:$Z$22,MATCH($C2,Matches!$A$5:$A$22,0))),"")</f>
        <v>21.42</v>
      </c>
      <c r="K2" s="4">
        <f t="array" ref="K2">IFERROR(IF(INDEX(Matches!$AA$5:$AA$22,MATCH($C2,Matches!$A$5:$A$22,0))="","",INDEX(Matches!$AA$5:$AA$22,MATCH($C2,Matches!$A$5:$A$22,0))),"")</f>
        <v>21.22</v>
      </c>
      <c r="L2" s="4">
        <f t="array" ref="L2">IFERROR(IF(INDEX(Matches!$AB$5:$AB$22,MATCH($C2,Matches!$A$5:$A$22,0))="","",INDEX(Matches!$AB$5:$AB$22,MATCH($C2,Matches!$A$5:$A$22,0))),"")</f>
        <v>21.38</v>
      </c>
      <c r="M2" s="11">
        <f t="array" ref="M2">IFERROR(IF(INDEX(Matches!$AC$5:$AC$22,MATCH($C2,Matches!$A$5:$A$22,0))="","",INDEX(Matches!$AC$5:$AC$22,MATCH($C2,Matches!$A$5:$A$22,0))),"")</f>
        <v>0.4724</v>
      </c>
      <c r="N2" s="4">
        <f t="array" ref="N2">IFERROR(INDEX(Players!$F$2:$F$127,MATCH($F2,Players!$A$2:$A$127,0)),0)</f>
        <v>30</v>
      </c>
      <c r="O2" s="18">
        <f t="array" ref="O2">IFERROR(1/(1/INDEX(Players!$H$2:$H$127,MATCH($F2,Players!$A$2:$A$127,0))),"")</f>
        <v>0.73</v>
      </c>
      <c r="P2" s="11">
        <f t="array" ref="P2">IFERROR(1/(1/INDEX(Players!$I$2:$I$127,MATCH($F2,Players!$A$2:$A$127,0))),"")</f>
        <v>0.315</v>
      </c>
      <c r="Q2" s="4">
        <f>IF($G2="",0,SUMIFS(Map_Stats!$F$2:$F$825,Map_Stats!$A$2:$A$825,$F2&amp;"|"&amp;$G2))</f>
        <v>5</v>
      </c>
      <c r="R2" s="18">
        <f t="array" ref="R2">IF($G2="","",IFERROR(1/(1/INDEX(Map_Stats!$K$2:$K$825,MATCH($F2&amp;"|"&amp;$G2,Map_Stats!$A$2:$A$825,0))),$O2))</f>
        <v>0.86</v>
      </c>
      <c r="S2" s="11">
        <f t="array" ref="S2">IF(OR($G2="",$P2=""),"",IFERROR(1/(1/INDEX(Map_Stats!$I$2:$I$825,MATCH($F2&amp;"|"&amp;$G2,Map_Stats!$A$2:$A$825,0))),$P2))</f>
        <v>0.309</v>
      </c>
      <c r="T2" s="18">
        <f>IF(OR($G2="",R2=""),"",IF($O2="",R2,(Q2*R2+Config!$B$4*$O2)/(Q2+Config!$B$4)))</f>
        <v>0.795</v>
      </c>
      <c r="U2" s="11">
        <f>IF(S2="","",(Q2*S2+Config!$B$4*$P2)/(Q2+Config!$B$4))</f>
        <v>0.312</v>
      </c>
      <c r="V2" s="17">
        <f>IF(OR(T2="",$J2=""),"",T2*$J2*($J2/Config!$B$10)^Config!$B$9)</f>
        <v>17.0289</v>
      </c>
      <c r="W2" s="17">
        <f t="shared" ref="W2:W157" si="1">IF(OR(V2="",U2=""),"",V2*U2)</f>
        <v>5.3130168</v>
      </c>
      <c r="X2" s="4">
        <f>IF($H2="",0,SUMIFS(Map_Stats!$F$2:$F$825,Map_Stats!$A$2:$A$825,$F2&amp;"|"&amp;$H2))</f>
        <v>2</v>
      </c>
      <c r="Y2" s="18">
        <f t="array" ref="Y2">IF($H2="","",IFERROR(1/(1/INDEX(Map_Stats!$K$2:$K$825,MATCH($F2&amp;"|"&amp;$H2,Map_Stats!$A$2:$A$825,0))),$O2))</f>
        <v>0.78</v>
      </c>
      <c r="Z2" s="11">
        <f t="array" ref="Z2">IF(OR($H2="",$P2=""),"",IFERROR(1/(1/INDEX(Map_Stats!$I$2:$I$825,MATCH($F2&amp;"|"&amp;$H2,Map_Stats!$A$2:$A$825,0))),$P2))</f>
        <v>0.393</v>
      </c>
      <c r="AA2" s="18">
        <f>IF(OR($H2="",Y2=""),"",IF($O2="",Y2,(X2*Y2+Config!$B$4*$O2)/(X2+Config!$B$4)))</f>
        <v>0.7442857143</v>
      </c>
      <c r="AB2" s="11">
        <f>IF(Z2="","",(X2*Z2+Config!$B$4*$P2)/(X2+Config!$B$4))</f>
        <v>0.3372857143</v>
      </c>
      <c r="AC2" s="17">
        <f>IF(OR(AA2="",$K2=""),"",AA2*$K2*($K2/Config!$B$10)^Config!$B$9)</f>
        <v>15.79374286</v>
      </c>
      <c r="AD2" s="17">
        <f t="shared" ref="AD2:AD157" si="2">IF(OR(AC2="",AB2=""),"",AC2*AB2)</f>
        <v>5.327003841</v>
      </c>
      <c r="AE2" s="4">
        <f>IF($I2="",0,SUMIFS(Map_Stats!$F$2:$F$825,Map_Stats!$A$2:$A$825,$F2&amp;"|"&amp;$I2))</f>
        <v>6</v>
      </c>
      <c r="AF2" s="18">
        <f t="array" ref="AF2">IF($I2="","",IFERROR(1/(1/INDEX(Map_Stats!$K$2:$K$825,MATCH($F2&amp;"|"&amp;$I2,Map_Stats!$A$2:$A$825,0))),$O2))</f>
        <v>0.68</v>
      </c>
      <c r="AG2" s="11">
        <f t="array" ref="AG2">IF(OR($I2="",$P2=""),"",IFERROR(1/(1/INDEX(Map_Stats!$I$2:$I$825,MATCH($F2&amp;"|"&amp;$I2,Map_Stats!$A$2:$A$825,0))),$P2))</f>
        <v>0.301</v>
      </c>
      <c r="AH2" s="18">
        <f>IF(OR($I2="",AF2=""),"",IF($O2="",AF2,(AE2*AF2+Config!$B$4*$O2)/(AE2+Config!$B$4)))</f>
        <v>0.7027272727</v>
      </c>
      <c r="AI2" s="11">
        <f>IF(AG2="","",(AE2*AG2+Config!$B$4*$P2)/(AE2+Config!$B$4))</f>
        <v>0.3073636364</v>
      </c>
      <c r="AJ2" s="17">
        <f>IF(OR(AH2="",$L2=""),"",AH2*$L2*($L2/Config!$B$10)^Config!$B$9)</f>
        <v>15.02430909</v>
      </c>
      <c r="AK2" s="17">
        <f t="shared" ref="AK2:AK157" si="3">IF(OR(AJ2="",AI2=""),"",AJ2*AI2)</f>
        <v>4.617926276</v>
      </c>
      <c r="AL2" s="17">
        <f t="shared" ref="AL2:AL157" si="4">N(V2)+N(AC2)</f>
        <v>32.82264286</v>
      </c>
      <c r="AM2" s="17">
        <f t="shared" ref="AM2:AM157" si="5">AL2+N($M2)*N(AJ2)</f>
        <v>39.92012647</v>
      </c>
      <c r="AN2" s="17">
        <f t="shared" ref="AN2:AN157" si="6">IF(W2="","",N(W2)+N(AD2))</f>
        <v>10.64002064</v>
      </c>
      <c r="AO2" s="17">
        <f t="shared" ref="AO2:AO157" si="7">IF(AN2="","",AN2+N($M2)*N(AK2))</f>
        <v>12.82152901</v>
      </c>
      <c r="AP2" s="11">
        <f t="shared" ref="AP2:AP157" si="8">IFERROR(AN2/AL2,"")</f>
        <v>0.3241670906</v>
      </c>
      <c r="AQ2" s="4" t="str">
        <f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4" t="str">
        <f>IF($C2=Board!$B$2,COUNTIFS($C$2:$C$157,Board!$B$2,$AL$2:$AL$157,"&gt;"&amp;$AL2)+COUNTIFS($C$1:$C1,Board!$B$2,$AL$1:$AL1,$AL2)+1,"")</f>
        <v/>
      </c>
      <c r="AS2" s="4" t="str">
        <f t="array" ref="AS2">IFERROR(IF($D2=INDEX(Matches!$AD$5:$AD$22,MATCH($C2,Matches!$A$5:$A$22,0)),"A",IF($D2=INDEX(Matches!$AE$5:$AE$22,MATCH($C2,Matches!$A$5:$A$22,0)),"B","")),"")</f>
        <v>A</v>
      </c>
      <c r="AT2" s="11">
        <f t="array" ref="AT2">IF($AS2="","",IFERROR(IF($AS2="A",INDEX(Matches!$AI$5:$AI$22,MATCH($C2,Matches!$A$5:$A$22,0)),INDEX(Matches!$AJ$5:$AJ$22,MATCH($C2,Matches!$A$5:$A$22,0))),""))</f>
        <v>0.5354899307</v>
      </c>
      <c r="AU2" s="11">
        <f t="array" ref="AU2">IF($AS2="","",IFERROR(IF(INDEX(Matches!$AP$5:$AP$22,MATCH($C2,Matches!$A$5:$A$22,0))="","",IF($AS2="A",INDEX(Matches!$AP$5:$AP$22,MATCH($C2,Matches!$A$5:$A$22,0)),1-INDEX(Matches!$AP$5:$AP$22,MATCH($C2,Matches!$A$5:$A$22,0)))),""))</f>
        <v>0.5436761975</v>
      </c>
      <c r="AV2" s="18">
        <f>IF(OR($AU2="",$AT2=""),1,((Config!$B$14*$AU2+Config!$B$15*(1-$AU2))/(Config!$B$14*$AT2+Config!$B$15*(1-$AT2)))^Config!$B$13)</f>
        <v>1.007090516</v>
      </c>
      <c r="AW2" s="11">
        <f t="array" ref="AW2">IF($AS2="","",IFERROR(IF(INDEX(Matches!$AV$5:$AV$22,MATCH($C2,Matches!$A$5:$A$22,0))="","",IF($AS2="A",INDEX(Matches!$AV$5:$AV$22,MATCH($C2,Matches!$A$5:$A$22,0)),1-INDEX(Matches!$AV$5:$AV$22,MATCH($C2,Matches!$A$5:$A$22,0)))),""))</f>
        <v>0.5354416017</v>
      </c>
      <c r="AX2" s="18">
        <f>IF(OR($AW2="",$AT2=""),1,((Config!$B$14*$AW2+Config!$B$15*(1-$AW2))/(Config!$B$14*$AT2+Config!$B$15*(1-$AT2)))^Config!$B$13)</f>
        <v>0.9999581399</v>
      </c>
      <c r="AY2" s="11">
        <f t="array" ref="AY2">IF($AS2="","",IFERROR(IF(INDEX(Matches!$BB$5:$BB$22,MATCH($C2,Matches!$A$5:$A$22,0))="","",IF($AS2="A",INDEX(Matches!$BB$5:$BB$22,MATCH($C2,Matches!$A$5:$A$22,0)),1-INDEX(Matches!$BB$5:$BB$22,MATCH($C2,Matches!$A$5:$A$22,0)))),""))</f>
        <v>0.5501169106</v>
      </c>
      <c r="AZ2" s="18">
        <f>IF(OR($AY2="",$AT2=""),1,((Config!$B$14*$AY2+Config!$B$15*(1-$AY2))/(Config!$B$14*$AT2+Config!$B$15*(1-$AT2)))^Config!$B$13)</f>
        <v>1.012669124</v>
      </c>
      <c r="BA2" s="17">
        <f t="shared" ref="BA2:BA157" si="9">IF(V2="","",V2*$AV2)</f>
        <v>17.14964369</v>
      </c>
      <c r="BB2" s="17">
        <f t="shared" ref="BB2:BB157" si="10">IF(AC2="","",AC2*$AX2)</f>
        <v>15.79308173</v>
      </c>
      <c r="BC2" s="17">
        <f t="shared" ref="BC2:BC157" si="11">IF(AJ2="","",AJ2*$AZ2)</f>
        <v>15.21465393</v>
      </c>
      <c r="BD2" s="17">
        <f t="shared" ref="BD2:BD157" si="12">N(BA2)+N(BB2)</f>
        <v>32.94272541</v>
      </c>
      <c r="BE2" s="17">
        <f t="shared" ref="BE2:BE157" si="13">BD2+N($M2)*N(BC2)</f>
        <v>40.13012793</v>
      </c>
      <c r="BF2" s="17">
        <f t="shared" ref="BF2:BF157" si="14">IF(W2="","",W2*$AV2)</f>
        <v>5.35068883</v>
      </c>
      <c r="BG2" s="17">
        <f t="shared" ref="BG2:BG157" si="15">IF(AD2="","",AD2*$AX2)</f>
        <v>5.326780852</v>
      </c>
      <c r="BH2" s="17">
        <f t="shared" ref="BH2:BH157" si="16">IF(AK2="","",AK2*$AZ2)</f>
        <v>4.676431358</v>
      </c>
      <c r="BI2" s="17">
        <f t="shared" ref="BI2:BI157" si="17">IF(BF2="","",N(BF2)+N(BG2))</f>
        <v>10.67746968</v>
      </c>
      <c r="BJ2" s="17">
        <f t="shared" ref="BJ2:BJ157" si="18">IF(BI2="","",BI2+N($M2)*N(BH2))</f>
        <v>12.88661586</v>
      </c>
      <c r="BK2" s="18">
        <f t="shared" ref="BK2:BK157" si="19">IFERROR(BD2/AL2,1)</f>
        <v>1.003658528</v>
      </c>
    </row>
    <row r="3">
      <c r="A3" s="4" t="s">
        <v>1058</v>
      </c>
      <c r="B3" s="4" t="s">
        <v>86</v>
      </c>
      <c r="C3" s="4" t="s">
        <v>364</v>
      </c>
      <c r="D3" s="4" t="s">
        <v>368</v>
      </c>
      <c r="E3" s="4" t="s">
        <v>945</v>
      </c>
      <c r="F3" s="4" t="s">
        <v>1175</v>
      </c>
      <c r="G3" s="4" t="str">
        <f t="array" ref="G3">IFERROR(IF(INDEX(Matches!$W$5:$W$22,MATCH($C3,Matches!$A$5:$A$22,0))="","",INDEX(Matches!$W$5:$W$22,MATCH($C3,Matches!$A$5:$A$22,0))),"")</f>
        <v>Dust2</v>
      </c>
      <c r="H3" s="4" t="str">
        <f t="array" ref="H3">IFERROR(IF(INDEX(Matches!$X$5:$X$22,MATCH($C3,Matches!$A$5:$A$22,0))="","",INDEX(Matches!$X$5:$X$22,MATCH($C3,Matches!$A$5:$A$22,0))),"")</f>
        <v>Nuke</v>
      </c>
      <c r="I3" s="4" t="str">
        <f t="array" ref="I3">IFERROR(IF(INDEX(Matches!$Y$5:$Y$22,MATCH($C3,Matches!$A$5:$A$22,0))="","",INDEX(Matches!$Y$5:$Y$22,MATCH($C3,Matches!$A$5:$A$22,0))),"")</f>
        <v>Mirage</v>
      </c>
      <c r="J3" s="4">
        <f t="array" ref="J3">IFERROR(IF(INDEX(Matches!$Z$5:$Z$22,MATCH($C3,Matches!$A$5:$A$22,0))="","",INDEX(Matches!$Z$5:$Z$22,MATCH($C3,Matches!$A$5:$A$22,0))),"")</f>
        <v>21.42</v>
      </c>
      <c r="K3" s="4">
        <f t="array" ref="K3">IFERROR(IF(INDEX(Matches!$AA$5:$AA$22,MATCH($C3,Matches!$A$5:$A$22,0))="","",INDEX(Matches!$AA$5:$AA$22,MATCH($C3,Matches!$A$5:$A$22,0))),"")</f>
        <v>21.22</v>
      </c>
      <c r="L3" s="4">
        <f t="array" ref="L3">IFERROR(IF(INDEX(Matches!$AB$5:$AB$22,MATCH($C3,Matches!$A$5:$A$22,0))="","",INDEX(Matches!$AB$5:$AB$22,MATCH($C3,Matches!$A$5:$A$22,0))),"")</f>
        <v>21.38</v>
      </c>
      <c r="M3" s="11">
        <f t="array" ref="M3">IFERROR(IF(INDEX(Matches!$AC$5:$AC$22,MATCH($C3,Matches!$A$5:$A$22,0))="","",INDEX(Matches!$AC$5:$AC$22,MATCH($C3,Matches!$A$5:$A$22,0))),"")</f>
        <v>0.4724</v>
      </c>
      <c r="N3" s="4">
        <f t="array" ref="N3">IFERROR(INDEX(Players!$F$2:$F$127,MATCH($F3,Players!$A$2:$A$127,0)),0)</f>
        <v>30</v>
      </c>
      <c r="O3" s="18">
        <f t="array" ref="O3">IFERROR(1/(1/INDEX(Players!$H$2:$H$127,MATCH($F3,Players!$A$2:$A$127,0))),"")</f>
        <v>0.57</v>
      </c>
      <c r="P3" s="11">
        <f t="array" ref="P3">IFERROR(1/(1/INDEX(Players!$I$2:$I$127,MATCH($F3,Players!$A$2:$A$127,0))),"")</f>
        <v>0.508</v>
      </c>
      <c r="Q3" s="4">
        <f>IF($G3="",0,SUMIFS(Map_Stats!$F$2:$F$825,Map_Stats!$A$2:$A$825,$F3&amp;"|"&amp;$G3))</f>
        <v>5</v>
      </c>
      <c r="R3" s="18">
        <f t="array" ref="R3">IF($G3="","",IFERROR(1/(1/INDEX(Map_Stats!$K$2:$K$825,MATCH($F3&amp;"|"&amp;$G3,Map_Stats!$A$2:$A$825,0))),$O3))</f>
        <v>0.59</v>
      </c>
      <c r="S3" s="11">
        <f t="array" ref="S3">IF(OR($G3="",$P3=""),"",IFERROR(1/(1/INDEX(Map_Stats!$I$2:$I$825,MATCH($F3&amp;"|"&amp;$G3,Map_Stats!$A$2:$A$825,0))),$P3))</f>
        <v>0.436</v>
      </c>
      <c r="T3" s="18">
        <f>IF(OR($G3="",R3=""),"",IF($O3="",R3,(Q3*R3+Config!$B$4*$O3)/(Q3+Config!$B$4)))</f>
        <v>0.58</v>
      </c>
      <c r="U3" s="11">
        <f>IF(S3="","",(Q3*S3+Config!$B$4*$P3)/(Q3+Config!$B$4))</f>
        <v>0.472</v>
      </c>
      <c r="V3" s="17">
        <f>IF(OR(T3="",$J3=""),"",T3*$J3*($J3/Config!$B$10)^Config!$B$9)</f>
        <v>12.4236</v>
      </c>
      <c r="W3" s="17">
        <f t="shared" si="1"/>
        <v>5.8639392</v>
      </c>
      <c r="X3" s="4">
        <f>IF($H3="",0,SUMIFS(Map_Stats!$F$2:$F$825,Map_Stats!$A$2:$A$825,$F3&amp;"|"&amp;$H3))</f>
        <v>2</v>
      </c>
      <c r="Y3" s="18">
        <f t="array" ref="Y3">IF($H3="","",IFERROR(1/(1/INDEX(Map_Stats!$K$2:$K$825,MATCH($F3&amp;"|"&amp;$H3,Map_Stats!$A$2:$A$825,0))),$O3))</f>
        <v>0.36</v>
      </c>
      <c r="Z3" s="11">
        <f t="array" ref="Z3">IF(OR($H3="",$P3=""),"",IFERROR(1/(1/INDEX(Map_Stats!$I$2:$I$825,MATCH($F3&amp;"|"&amp;$H3,Map_Stats!$A$2:$A$825,0))),$P3))</f>
        <v>0.615</v>
      </c>
      <c r="AA3" s="18">
        <f>IF(OR($H3="",Y3=""),"",IF($O3="",Y3,(X3*Y3+Config!$B$4*$O3)/(X3+Config!$B$4)))</f>
        <v>0.51</v>
      </c>
      <c r="AB3" s="11">
        <f>IF(Z3="","",(X3*Z3+Config!$B$4*$P3)/(X3+Config!$B$4))</f>
        <v>0.5385714286</v>
      </c>
      <c r="AC3" s="17">
        <f>IF(OR(AA3="",$K3=""),"",AA3*$K3*($K3/Config!$B$10)^Config!$B$9)</f>
        <v>10.8222</v>
      </c>
      <c r="AD3" s="17">
        <f t="shared" si="2"/>
        <v>5.828527714</v>
      </c>
      <c r="AE3" s="4">
        <f>IF($I3="",0,SUMIFS(Map_Stats!$F$2:$F$825,Map_Stats!$A$2:$A$825,$F3&amp;"|"&amp;$I3))</f>
        <v>6</v>
      </c>
      <c r="AF3" s="18">
        <f t="array" ref="AF3">IF($I3="","",IFERROR(1/(1/INDEX(Map_Stats!$K$2:$K$825,MATCH($F3&amp;"|"&amp;$I3,Map_Stats!$A$2:$A$825,0))),$O3))</f>
        <v>0.61</v>
      </c>
      <c r="AG3" s="11">
        <f t="array" ref="AG3">IF(OR($I3="",$P3=""),"",IFERROR(1/(1/INDEX(Map_Stats!$I$2:$I$825,MATCH($F3&amp;"|"&amp;$I3,Map_Stats!$A$2:$A$825,0))),$P3))</f>
        <v>0.48</v>
      </c>
      <c r="AH3" s="18">
        <f>IF(OR($I3="",AF3=""),"",IF($O3="",AF3,(AE3*AF3+Config!$B$4*$O3)/(AE3+Config!$B$4)))</f>
        <v>0.5918181818</v>
      </c>
      <c r="AI3" s="11">
        <f>IF(AG3="","",(AE3*AG3+Config!$B$4*$P3)/(AE3+Config!$B$4))</f>
        <v>0.4927272727</v>
      </c>
      <c r="AJ3" s="17">
        <f>IF(OR(AH3="",$L3=""),"",AH3*$L3*($L3/Config!$B$10)^Config!$B$9)</f>
        <v>12.65307273</v>
      </c>
      <c r="AK3" s="17">
        <f t="shared" si="3"/>
        <v>6.234514017</v>
      </c>
      <c r="AL3" s="17">
        <f t="shared" si="4"/>
        <v>23.2458</v>
      </c>
      <c r="AM3" s="17">
        <f t="shared" si="5"/>
        <v>29.22311156</v>
      </c>
      <c r="AN3" s="17">
        <f t="shared" si="6"/>
        <v>11.69246691</v>
      </c>
      <c r="AO3" s="17">
        <f t="shared" si="7"/>
        <v>14.63765134</v>
      </c>
      <c r="AP3" s="11">
        <f t="shared" si="8"/>
        <v>0.502992666</v>
      </c>
      <c r="AQ3" s="4" t="str">
        <f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4" t="str">
        <f>IF($C3=Board!$B$2,COUNTIFS($C$2:$C$157,Board!$B$2,$AL$2:$AL$157,"&gt;"&amp;$AL3)+COUNTIFS($C$1:$C2,Board!$B$2,$AL$1:$AL2,$AL3)+1,"")</f>
        <v/>
      </c>
      <c r="AS3" s="4" t="str">
        <f t="array" ref="AS3">IFERROR(IF($D3=INDEX(Matches!$AD$5:$AD$22,MATCH($C3,Matches!$A$5:$A$22,0)),"A",IF($D3=INDEX(Matches!$AE$5:$AE$22,MATCH($C3,Matches!$A$5:$A$22,0)),"B","")),"")</f>
        <v>A</v>
      </c>
      <c r="AT3" s="11">
        <f t="array" ref="AT3">IF($AS3="","",IFERROR(IF($AS3="A",INDEX(Matches!$AI$5:$AI$22,MATCH($C3,Matches!$A$5:$A$22,0)),INDEX(Matches!$AJ$5:$AJ$22,MATCH($C3,Matches!$A$5:$A$22,0))),""))</f>
        <v>0.5354899307</v>
      </c>
      <c r="AU3" s="11">
        <f t="array" ref="AU3">IF($AS3="","",IFERROR(IF(INDEX(Matches!$AP$5:$AP$22,MATCH($C3,Matches!$A$5:$A$22,0))="","",IF($AS3="A",INDEX(Matches!$AP$5:$AP$22,MATCH($C3,Matches!$A$5:$A$22,0)),1-INDEX(Matches!$AP$5:$AP$22,MATCH($C3,Matches!$A$5:$A$22,0)))),""))</f>
        <v>0.5436761975</v>
      </c>
      <c r="AV3" s="18">
        <f>IF(OR($AU3="",$AT3=""),1,((Config!$B$14*$AU3+Config!$B$15*(1-$AU3))/(Config!$B$14*$AT3+Config!$B$15*(1-$AT3)))^Config!$B$13)</f>
        <v>1.007090516</v>
      </c>
      <c r="AW3" s="11">
        <f t="array" ref="AW3">IF($AS3="","",IFERROR(IF(INDEX(Matches!$AV$5:$AV$22,MATCH($C3,Matches!$A$5:$A$22,0))="","",IF($AS3="A",INDEX(Matches!$AV$5:$AV$22,MATCH($C3,Matches!$A$5:$A$22,0)),1-INDEX(Matches!$AV$5:$AV$22,MATCH($C3,Matches!$A$5:$A$22,0)))),""))</f>
        <v>0.5354416017</v>
      </c>
      <c r="AX3" s="18">
        <f>IF(OR($AW3="",$AT3=""),1,((Config!$B$14*$AW3+Config!$B$15*(1-$AW3))/(Config!$B$14*$AT3+Config!$B$15*(1-$AT3)))^Config!$B$13)</f>
        <v>0.9999581399</v>
      </c>
      <c r="AY3" s="11">
        <f t="array" ref="AY3">IF($AS3="","",IFERROR(IF(INDEX(Matches!$BB$5:$BB$22,MATCH($C3,Matches!$A$5:$A$22,0))="","",IF($AS3="A",INDEX(Matches!$BB$5:$BB$22,MATCH($C3,Matches!$A$5:$A$22,0)),1-INDEX(Matches!$BB$5:$BB$22,MATCH($C3,Matches!$A$5:$A$22,0)))),""))</f>
        <v>0.5501169106</v>
      </c>
      <c r="AZ3" s="18">
        <f>IF(OR($AY3="",$AT3=""),1,((Config!$B$14*$AY3+Config!$B$15*(1-$AY3))/(Config!$B$14*$AT3+Config!$B$15*(1-$AT3)))^Config!$B$13)</f>
        <v>1.012669124</v>
      </c>
      <c r="BA3" s="17">
        <f t="shared" si="9"/>
        <v>12.51168973</v>
      </c>
      <c r="BB3" s="17">
        <f t="shared" si="10"/>
        <v>10.82174698</v>
      </c>
      <c r="BC3" s="17">
        <f t="shared" si="11"/>
        <v>12.81337608</v>
      </c>
      <c r="BD3" s="17">
        <f t="shared" si="12"/>
        <v>23.33343671</v>
      </c>
      <c r="BE3" s="17">
        <f t="shared" si="13"/>
        <v>29.38647557</v>
      </c>
      <c r="BF3" s="17">
        <f t="shared" si="14"/>
        <v>5.905517554</v>
      </c>
      <c r="BG3" s="17">
        <f t="shared" si="15"/>
        <v>5.828283732</v>
      </c>
      <c r="BH3" s="17">
        <f t="shared" si="16"/>
        <v>6.31349985</v>
      </c>
      <c r="BI3" s="17">
        <f t="shared" si="17"/>
        <v>11.73380129</v>
      </c>
      <c r="BJ3" s="17">
        <f t="shared" si="18"/>
        <v>14.71629861</v>
      </c>
      <c r="BK3" s="18">
        <f t="shared" si="19"/>
        <v>1.003770002</v>
      </c>
    </row>
    <row r="4">
      <c r="A4" s="4" t="s">
        <v>1159</v>
      </c>
      <c r="B4" s="4" t="s">
        <v>86</v>
      </c>
      <c r="C4" s="4" t="s">
        <v>364</v>
      </c>
      <c r="D4" s="4" t="s">
        <v>368</v>
      </c>
      <c r="E4" s="4" t="s">
        <v>1151</v>
      </c>
      <c r="F4" s="4" t="s">
        <v>1236</v>
      </c>
      <c r="G4" s="4" t="str">
        <f t="array" ref="G4">IFERROR(IF(INDEX(Matches!$W$5:$W$22,MATCH($C4,Matches!$A$5:$A$22,0))="","",INDEX(Matches!$W$5:$W$22,MATCH($C4,Matches!$A$5:$A$22,0))),"")</f>
        <v>Dust2</v>
      </c>
      <c r="H4" s="4" t="str">
        <f t="array" ref="H4">IFERROR(IF(INDEX(Matches!$X$5:$X$22,MATCH($C4,Matches!$A$5:$A$22,0))="","",INDEX(Matches!$X$5:$X$22,MATCH($C4,Matches!$A$5:$A$22,0))),"")</f>
        <v>Nuke</v>
      </c>
      <c r="I4" s="4" t="str">
        <f t="array" ref="I4">IFERROR(IF(INDEX(Matches!$Y$5:$Y$22,MATCH($C4,Matches!$A$5:$A$22,0))="","",INDEX(Matches!$Y$5:$Y$22,MATCH($C4,Matches!$A$5:$A$22,0))),"")</f>
        <v>Mirage</v>
      </c>
      <c r="J4" s="4">
        <f t="array" ref="J4">IFERROR(IF(INDEX(Matches!$Z$5:$Z$22,MATCH($C4,Matches!$A$5:$A$22,0))="","",INDEX(Matches!$Z$5:$Z$22,MATCH($C4,Matches!$A$5:$A$22,0))),"")</f>
        <v>21.42</v>
      </c>
      <c r="K4" s="4">
        <f t="array" ref="K4">IFERROR(IF(INDEX(Matches!$AA$5:$AA$22,MATCH($C4,Matches!$A$5:$A$22,0))="","",INDEX(Matches!$AA$5:$AA$22,MATCH($C4,Matches!$A$5:$A$22,0))),"")</f>
        <v>21.22</v>
      </c>
      <c r="L4" s="4">
        <f t="array" ref="L4">IFERROR(IF(INDEX(Matches!$AB$5:$AB$22,MATCH($C4,Matches!$A$5:$A$22,0))="","",INDEX(Matches!$AB$5:$AB$22,MATCH($C4,Matches!$A$5:$A$22,0))),"")</f>
        <v>21.38</v>
      </c>
      <c r="M4" s="11">
        <f t="array" ref="M4">IFERROR(IF(INDEX(Matches!$AC$5:$AC$22,MATCH($C4,Matches!$A$5:$A$22,0))="","",INDEX(Matches!$AC$5:$AC$22,MATCH($C4,Matches!$A$5:$A$22,0))),"")</f>
        <v>0.4724</v>
      </c>
      <c r="N4" s="4">
        <f t="array" ref="N4">IFERROR(INDEX(Players!$F$2:$F$127,MATCH($F4,Players!$A$2:$A$127,0)),0)</f>
        <v>30</v>
      </c>
      <c r="O4" s="18">
        <f t="array" ref="O4">IFERROR(1/(1/INDEX(Players!$H$2:$H$127,MATCH($F4,Players!$A$2:$A$127,0))),"")</f>
        <v>0.73</v>
      </c>
      <c r="P4" s="11">
        <f t="array" ref="P4">IFERROR(1/(1/INDEX(Players!$I$2:$I$127,MATCH($F4,Players!$A$2:$A$127,0))),"")</f>
        <v>0.562</v>
      </c>
      <c r="Q4" s="4">
        <f>IF($G4="",0,SUMIFS(Map_Stats!$F$2:$F$825,Map_Stats!$A$2:$A$825,$F4&amp;"|"&amp;$G4))</f>
        <v>5</v>
      </c>
      <c r="R4" s="18">
        <f t="array" ref="R4">IF($G4="","",IFERROR(1/(1/INDEX(Map_Stats!$K$2:$K$825,MATCH($F4&amp;"|"&amp;$G4,Map_Stats!$A$2:$A$825,0))),$O4))</f>
        <v>0.84</v>
      </c>
      <c r="S4" s="11">
        <f t="array" ref="S4">IF(OR($G4="",$P4=""),"",IFERROR(1/(1/INDEX(Map_Stats!$I$2:$I$825,MATCH($F4&amp;"|"&amp;$G4,Map_Stats!$A$2:$A$825,0))),$P4))</f>
        <v>0.595</v>
      </c>
      <c r="T4" s="18">
        <f>IF(OR($G4="",R4=""),"",IF($O4="",R4,(Q4*R4+Config!$B$4*$O4)/(Q4+Config!$B$4)))</f>
        <v>0.785</v>
      </c>
      <c r="U4" s="11">
        <f>IF(S4="","",(Q4*S4+Config!$B$4*$P4)/(Q4+Config!$B$4))</f>
        <v>0.5785</v>
      </c>
      <c r="V4" s="17">
        <f>IF(OR(T4="",$J4=""),"",T4*$J4*($J4/Config!$B$10)^Config!$B$9)</f>
        <v>16.8147</v>
      </c>
      <c r="W4" s="17">
        <f t="shared" si="1"/>
        <v>9.72730395</v>
      </c>
      <c r="X4" s="4">
        <f>IF($H4="",0,SUMIFS(Map_Stats!$F$2:$F$825,Map_Stats!$A$2:$A$825,$F4&amp;"|"&amp;$H4))</f>
        <v>2</v>
      </c>
      <c r="Y4" s="18">
        <f t="array" ref="Y4">IF($H4="","",IFERROR(1/(1/INDEX(Map_Stats!$K$2:$K$825,MATCH($F4&amp;"|"&amp;$H4,Map_Stats!$A$2:$A$825,0))),$O4))</f>
        <v>0.64</v>
      </c>
      <c r="Z4" s="11">
        <f t="array" ref="Z4">IF(OR($H4="",$P4=""),"",IFERROR(1/(1/INDEX(Map_Stats!$I$2:$I$825,MATCH($F4&amp;"|"&amp;$H4,Map_Stats!$A$2:$A$825,0))),$P4))</f>
        <v>0.522</v>
      </c>
      <c r="AA4" s="18">
        <f>IF(OR($H4="",Y4=""),"",IF($O4="",Y4,(X4*Y4+Config!$B$4*$O4)/(X4+Config!$B$4)))</f>
        <v>0.7042857143</v>
      </c>
      <c r="AB4" s="11">
        <f>IF(Z4="","",(X4*Z4+Config!$B$4*$P4)/(X4+Config!$B$4))</f>
        <v>0.5505714286</v>
      </c>
      <c r="AC4" s="17">
        <f>IF(OR(AA4="",$K4=""),"",AA4*$K4*($K4/Config!$B$10)^Config!$B$9)</f>
        <v>14.94494286</v>
      </c>
      <c r="AD4" s="17">
        <f t="shared" si="2"/>
        <v>8.228258539</v>
      </c>
      <c r="AE4" s="4">
        <f>IF($I4="",0,SUMIFS(Map_Stats!$F$2:$F$825,Map_Stats!$A$2:$A$825,$F4&amp;"|"&amp;$I4))</f>
        <v>6</v>
      </c>
      <c r="AF4" s="18">
        <f t="array" ref="AF4">IF($I4="","",IFERROR(1/(1/INDEX(Map_Stats!$K$2:$K$825,MATCH($F4&amp;"|"&amp;$I4,Map_Stats!$A$2:$A$825,0))),$O4))</f>
        <v>0.84</v>
      </c>
      <c r="AG4" s="11">
        <f t="array" ref="AG4">IF(OR($I4="",$P4=""),"",IFERROR(1/(1/INDEX(Map_Stats!$I$2:$I$825,MATCH($F4&amp;"|"&amp;$I4,Map_Stats!$A$2:$A$825,0))),$P4))</f>
        <v>0.495</v>
      </c>
      <c r="AH4" s="18">
        <f>IF(OR($I4="",AF4=""),"",IF($O4="",AF4,(AE4*AF4+Config!$B$4*$O4)/(AE4+Config!$B$4)))</f>
        <v>0.79</v>
      </c>
      <c r="AI4" s="11">
        <f>IF(AG4="","",(AE4*AG4+Config!$B$4*$P4)/(AE4+Config!$B$4))</f>
        <v>0.5254545455</v>
      </c>
      <c r="AJ4" s="17">
        <f>IF(OR(AH4="",$L4=""),"",AH4*$L4*($L4/Config!$B$10)^Config!$B$9)</f>
        <v>16.8902</v>
      </c>
      <c r="AK4" s="17">
        <f t="shared" si="3"/>
        <v>8.875032364</v>
      </c>
      <c r="AL4" s="17">
        <f t="shared" si="4"/>
        <v>31.75964286</v>
      </c>
      <c r="AM4" s="17">
        <f t="shared" si="5"/>
        <v>39.73857334</v>
      </c>
      <c r="AN4" s="17">
        <f t="shared" si="6"/>
        <v>17.95556249</v>
      </c>
      <c r="AO4" s="17">
        <f t="shared" si="7"/>
        <v>22.14812778</v>
      </c>
      <c r="AP4" s="11">
        <f t="shared" si="8"/>
        <v>0.5653578212</v>
      </c>
      <c r="AQ4" s="4" t="str">
        <f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4" t="str">
        <f>IF($C4=Board!$B$2,COUNTIFS($C$2:$C$157,Board!$B$2,$AL$2:$AL$157,"&gt;"&amp;$AL4)+COUNTIFS($C$1:$C3,Board!$B$2,$AL$1:$AL3,$AL4)+1,"")</f>
        <v/>
      </c>
      <c r="AS4" s="4" t="str">
        <f t="array" ref="AS4">IFERROR(IF($D4=INDEX(Matches!$AD$5:$AD$22,MATCH($C4,Matches!$A$5:$A$22,0)),"A",IF($D4=INDEX(Matches!$AE$5:$AE$22,MATCH($C4,Matches!$A$5:$A$22,0)),"B","")),"")</f>
        <v>A</v>
      </c>
      <c r="AT4" s="11">
        <f t="array" ref="AT4">IF($AS4="","",IFERROR(IF($AS4="A",INDEX(Matches!$AI$5:$AI$22,MATCH($C4,Matches!$A$5:$A$22,0)),INDEX(Matches!$AJ$5:$AJ$22,MATCH($C4,Matches!$A$5:$A$22,0))),""))</f>
        <v>0.5354899307</v>
      </c>
      <c r="AU4" s="11">
        <f t="array" ref="AU4">IF($AS4="","",IFERROR(IF(INDEX(Matches!$AP$5:$AP$22,MATCH($C4,Matches!$A$5:$A$22,0))="","",IF($AS4="A",INDEX(Matches!$AP$5:$AP$22,MATCH($C4,Matches!$A$5:$A$22,0)),1-INDEX(Matches!$AP$5:$AP$22,MATCH($C4,Matches!$A$5:$A$22,0)))),""))</f>
        <v>0.5436761975</v>
      </c>
      <c r="AV4" s="18">
        <f>IF(OR($AU4="",$AT4=""),1,((Config!$B$14*$AU4+Config!$B$15*(1-$AU4))/(Config!$B$14*$AT4+Config!$B$15*(1-$AT4)))^Config!$B$13)</f>
        <v>1.007090516</v>
      </c>
      <c r="AW4" s="11">
        <f t="array" ref="AW4">IF($AS4="","",IFERROR(IF(INDEX(Matches!$AV$5:$AV$22,MATCH($C4,Matches!$A$5:$A$22,0))="","",IF($AS4="A",INDEX(Matches!$AV$5:$AV$22,MATCH($C4,Matches!$A$5:$A$22,0)),1-INDEX(Matches!$AV$5:$AV$22,MATCH($C4,Matches!$A$5:$A$22,0)))),""))</f>
        <v>0.5354416017</v>
      </c>
      <c r="AX4" s="18">
        <f>IF(OR($AW4="",$AT4=""),1,((Config!$B$14*$AW4+Config!$B$15*(1-$AW4))/(Config!$B$14*$AT4+Config!$B$15*(1-$AT4)))^Config!$B$13)</f>
        <v>0.9999581399</v>
      </c>
      <c r="AY4" s="11">
        <f t="array" ref="AY4">IF($AS4="","",IFERROR(IF(INDEX(Matches!$BB$5:$BB$22,MATCH($C4,Matches!$A$5:$A$22,0))="","",IF($AS4="A",INDEX(Matches!$BB$5:$BB$22,MATCH($C4,Matches!$A$5:$A$22,0)),1-INDEX(Matches!$BB$5:$BB$22,MATCH($C4,Matches!$A$5:$A$22,0)))),""))</f>
        <v>0.5501169106</v>
      </c>
      <c r="AZ4" s="18">
        <f>IF(OR($AY4="",$AT4=""),1,((Config!$B$14*$AY4+Config!$B$15*(1-$AY4))/(Config!$B$14*$AT4+Config!$B$15*(1-$AT4)))^Config!$B$13)</f>
        <v>1.012669124</v>
      </c>
      <c r="BA4" s="17">
        <f t="shared" si="9"/>
        <v>16.9339249</v>
      </c>
      <c r="BB4" s="17">
        <f t="shared" si="10"/>
        <v>14.94431726</v>
      </c>
      <c r="BC4" s="17">
        <f t="shared" si="11"/>
        <v>17.10418404</v>
      </c>
      <c r="BD4" s="17">
        <f t="shared" si="12"/>
        <v>31.87824216</v>
      </c>
      <c r="BE4" s="17">
        <f t="shared" si="13"/>
        <v>39.9582587</v>
      </c>
      <c r="BF4" s="17">
        <f t="shared" si="14"/>
        <v>9.796275553</v>
      </c>
      <c r="BG4" s="17">
        <f t="shared" si="15"/>
        <v>8.227914103</v>
      </c>
      <c r="BH4" s="17">
        <f t="shared" si="16"/>
        <v>8.987471253</v>
      </c>
      <c r="BI4" s="17">
        <f t="shared" si="17"/>
        <v>18.02418966</v>
      </c>
      <c r="BJ4" s="17">
        <f t="shared" si="18"/>
        <v>22.26987108</v>
      </c>
      <c r="BK4" s="18">
        <f t="shared" si="19"/>
        <v>1.003734277</v>
      </c>
    </row>
    <row r="5">
      <c r="A5" s="4" t="s">
        <v>1177</v>
      </c>
      <c r="B5" s="4" t="s">
        <v>86</v>
      </c>
      <c r="C5" s="4" t="s">
        <v>364</v>
      </c>
      <c r="D5" s="4" t="s">
        <v>368</v>
      </c>
      <c r="E5" s="4" t="s">
        <v>1167</v>
      </c>
      <c r="F5" s="4" t="s">
        <v>1240</v>
      </c>
      <c r="G5" s="4" t="str">
        <f t="array" ref="G5">IFERROR(IF(INDEX(Matches!$W$5:$W$22,MATCH($C5,Matches!$A$5:$A$22,0))="","",INDEX(Matches!$W$5:$W$22,MATCH($C5,Matches!$A$5:$A$22,0))),"")</f>
        <v>Dust2</v>
      </c>
      <c r="H5" s="4" t="str">
        <f t="array" ref="H5">IFERROR(IF(INDEX(Matches!$X$5:$X$22,MATCH($C5,Matches!$A$5:$A$22,0))="","",INDEX(Matches!$X$5:$X$22,MATCH($C5,Matches!$A$5:$A$22,0))),"")</f>
        <v>Nuke</v>
      </c>
      <c r="I5" s="4" t="str">
        <f t="array" ref="I5">IFERROR(IF(INDEX(Matches!$Y$5:$Y$22,MATCH($C5,Matches!$A$5:$A$22,0))="","",INDEX(Matches!$Y$5:$Y$22,MATCH($C5,Matches!$A$5:$A$22,0))),"")</f>
        <v>Mirage</v>
      </c>
      <c r="J5" s="4">
        <f t="array" ref="J5">IFERROR(IF(INDEX(Matches!$Z$5:$Z$22,MATCH($C5,Matches!$A$5:$A$22,0))="","",INDEX(Matches!$Z$5:$Z$22,MATCH($C5,Matches!$A$5:$A$22,0))),"")</f>
        <v>21.42</v>
      </c>
      <c r="K5" s="4">
        <f t="array" ref="K5">IFERROR(IF(INDEX(Matches!$AA$5:$AA$22,MATCH($C5,Matches!$A$5:$A$22,0))="","",INDEX(Matches!$AA$5:$AA$22,MATCH($C5,Matches!$A$5:$A$22,0))),"")</f>
        <v>21.22</v>
      </c>
      <c r="L5" s="4">
        <f t="array" ref="L5">IFERROR(IF(INDEX(Matches!$AB$5:$AB$22,MATCH($C5,Matches!$A$5:$A$22,0))="","",INDEX(Matches!$AB$5:$AB$22,MATCH($C5,Matches!$A$5:$A$22,0))),"")</f>
        <v>21.38</v>
      </c>
      <c r="M5" s="11">
        <f t="array" ref="M5">IFERROR(IF(INDEX(Matches!$AC$5:$AC$22,MATCH($C5,Matches!$A$5:$A$22,0))="","",INDEX(Matches!$AC$5:$AC$22,MATCH($C5,Matches!$A$5:$A$22,0))),"")</f>
        <v>0.4724</v>
      </c>
      <c r="N5" s="4">
        <f t="array" ref="N5">IFERROR(INDEX(Players!$F$2:$F$127,MATCH($F5,Players!$A$2:$A$127,0)),0)</f>
        <v>30</v>
      </c>
      <c r="O5" s="18">
        <f t="array" ref="O5">IFERROR(1/(1/INDEX(Players!$H$2:$H$127,MATCH($F5,Players!$A$2:$A$127,0))),"")</f>
        <v>0.72</v>
      </c>
      <c r="P5" s="11">
        <f t="array" ref="P5">IFERROR(1/(1/INDEX(Players!$I$2:$I$127,MATCH($F5,Players!$A$2:$A$127,0))),"")</f>
        <v>0.572</v>
      </c>
      <c r="Q5" s="4">
        <f>IF($G5="",0,SUMIFS(Map_Stats!$F$2:$F$825,Map_Stats!$A$2:$A$825,$F5&amp;"|"&amp;$G5))</f>
        <v>5</v>
      </c>
      <c r="R5" s="18">
        <f t="array" ref="R5">IF($G5="","",IFERROR(1/(1/INDEX(Map_Stats!$K$2:$K$825,MATCH($F5&amp;"|"&amp;$G5,Map_Stats!$A$2:$A$825,0))),$O5))</f>
        <v>0.81</v>
      </c>
      <c r="S5" s="11">
        <f t="array" ref="S5">IF(OR($G5="",$P5=""),"",IFERROR(1/(1/INDEX(Map_Stats!$I$2:$I$825,MATCH($F5&amp;"|"&amp;$G5,Map_Stats!$A$2:$A$825,0))),$P5))</f>
        <v>0.566</v>
      </c>
      <c r="T5" s="18">
        <f>IF(OR($G5="",R5=""),"",IF($O5="",R5,(Q5*R5+Config!$B$4*$O5)/(Q5+Config!$B$4)))</f>
        <v>0.765</v>
      </c>
      <c r="U5" s="11">
        <f>IF(S5="","",(Q5*S5+Config!$B$4*$P5)/(Q5+Config!$B$4))</f>
        <v>0.569</v>
      </c>
      <c r="V5" s="17">
        <f>IF(OR(T5="",$J5=""),"",T5*$J5*($J5/Config!$B$10)^Config!$B$9)</f>
        <v>16.3863</v>
      </c>
      <c r="W5" s="17">
        <f t="shared" si="1"/>
        <v>9.3238047</v>
      </c>
      <c r="X5" s="4">
        <f>IF($H5="",0,SUMIFS(Map_Stats!$F$2:$F$825,Map_Stats!$A$2:$A$825,$F5&amp;"|"&amp;$H5))</f>
        <v>2</v>
      </c>
      <c r="Y5" s="18">
        <f t="array" ref="Y5">IF($H5="","",IFERROR(1/(1/INDEX(Map_Stats!$K$2:$K$825,MATCH($F5&amp;"|"&amp;$H5,Map_Stats!$A$2:$A$825,0))),$O5))</f>
        <v>0.78</v>
      </c>
      <c r="Z5" s="11">
        <f t="array" ref="Z5">IF(OR($H5="",$P5=""),"",IFERROR(1/(1/INDEX(Map_Stats!$I$2:$I$825,MATCH($F5&amp;"|"&amp;$H5,Map_Stats!$A$2:$A$825,0))),$P5))</f>
        <v>0.607</v>
      </c>
      <c r="AA5" s="18">
        <f>IF(OR($H5="",Y5=""),"",IF($O5="",Y5,(X5*Y5+Config!$B$4*$O5)/(X5+Config!$B$4)))</f>
        <v>0.7371428571</v>
      </c>
      <c r="AB5" s="11">
        <f>IF(Z5="","",(X5*Z5+Config!$B$4*$P5)/(X5+Config!$B$4))</f>
        <v>0.582</v>
      </c>
      <c r="AC5" s="17">
        <f>IF(OR(AA5="",$K5=""),"",AA5*$K5*($K5/Config!$B$10)^Config!$B$9)</f>
        <v>15.64217143</v>
      </c>
      <c r="AD5" s="17">
        <f t="shared" si="2"/>
        <v>9.103743771</v>
      </c>
      <c r="AE5" s="4">
        <f>IF($I5="",0,SUMIFS(Map_Stats!$F$2:$F$825,Map_Stats!$A$2:$A$825,$F5&amp;"|"&amp;$I5))</f>
        <v>6</v>
      </c>
      <c r="AF5" s="18">
        <f t="array" ref="AF5">IF($I5="","",IFERROR(1/(1/INDEX(Map_Stats!$K$2:$K$825,MATCH($F5&amp;"|"&amp;$I5,Map_Stats!$A$2:$A$825,0))),$O5))</f>
        <v>0.64</v>
      </c>
      <c r="AG5" s="11">
        <f t="array" ref="AG5">IF(OR($I5="",$P5=""),"",IFERROR(1/(1/INDEX(Map_Stats!$I$2:$I$825,MATCH($F5&amp;"|"&amp;$I5,Map_Stats!$A$2:$A$825,0))),$P5))</f>
        <v>0.564</v>
      </c>
      <c r="AH5" s="18">
        <f>IF(OR($I5="",AF5=""),"",IF($O5="",AF5,(AE5*AF5+Config!$B$4*$O5)/(AE5+Config!$B$4)))</f>
        <v>0.6763636364</v>
      </c>
      <c r="AI5" s="11">
        <f>IF(AG5="","",(AE5*AG5+Config!$B$4*$P5)/(AE5+Config!$B$4))</f>
        <v>0.5676363636</v>
      </c>
      <c r="AJ5" s="17">
        <f>IF(OR(AH5="",$L5=""),"",AH5*$L5*($L5/Config!$B$10)^Config!$B$9)</f>
        <v>14.46065455</v>
      </c>
      <c r="AK5" s="17">
        <f t="shared" si="3"/>
        <v>8.208393362</v>
      </c>
      <c r="AL5" s="17">
        <f t="shared" si="4"/>
        <v>32.02847143</v>
      </c>
      <c r="AM5" s="17">
        <f t="shared" si="5"/>
        <v>38.85968464</v>
      </c>
      <c r="AN5" s="17">
        <f t="shared" si="6"/>
        <v>18.42754847</v>
      </c>
      <c r="AO5" s="17">
        <f t="shared" si="7"/>
        <v>22.3051935</v>
      </c>
      <c r="AP5" s="11">
        <f t="shared" si="8"/>
        <v>0.5753489832</v>
      </c>
      <c r="AQ5" s="4" t="str">
        <f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4" t="str">
        <f>IF($C5=Board!$B$2,COUNTIFS($C$2:$C$157,Board!$B$2,$AL$2:$AL$157,"&gt;"&amp;$AL5)+COUNTIFS($C$1:$C4,Board!$B$2,$AL$1:$AL4,$AL5)+1,"")</f>
        <v/>
      </c>
      <c r="AS5" s="4" t="str">
        <f t="array" ref="AS5">IFERROR(IF($D5=INDEX(Matches!$AD$5:$AD$22,MATCH($C5,Matches!$A$5:$A$22,0)),"A",IF($D5=INDEX(Matches!$AE$5:$AE$22,MATCH($C5,Matches!$A$5:$A$22,0)),"B","")),"")</f>
        <v>A</v>
      </c>
      <c r="AT5" s="11">
        <f t="array" ref="AT5">IF($AS5="","",IFERROR(IF($AS5="A",INDEX(Matches!$AI$5:$AI$22,MATCH($C5,Matches!$A$5:$A$22,0)),INDEX(Matches!$AJ$5:$AJ$22,MATCH($C5,Matches!$A$5:$A$22,0))),""))</f>
        <v>0.5354899307</v>
      </c>
      <c r="AU5" s="11">
        <f t="array" ref="AU5">IF($AS5="","",IFERROR(IF(INDEX(Matches!$AP$5:$AP$22,MATCH($C5,Matches!$A$5:$A$22,0))="","",IF($AS5="A",INDEX(Matches!$AP$5:$AP$22,MATCH($C5,Matches!$A$5:$A$22,0)),1-INDEX(Matches!$AP$5:$AP$22,MATCH($C5,Matches!$A$5:$A$22,0)))),""))</f>
        <v>0.5436761975</v>
      </c>
      <c r="AV5" s="18">
        <f>IF(OR($AU5="",$AT5=""),1,((Config!$B$14*$AU5+Config!$B$15*(1-$AU5))/(Config!$B$14*$AT5+Config!$B$15*(1-$AT5)))^Config!$B$13)</f>
        <v>1.007090516</v>
      </c>
      <c r="AW5" s="11">
        <f t="array" ref="AW5">IF($AS5="","",IFERROR(IF(INDEX(Matches!$AV$5:$AV$22,MATCH($C5,Matches!$A$5:$A$22,0))="","",IF($AS5="A",INDEX(Matches!$AV$5:$AV$22,MATCH($C5,Matches!$A$5:$A$22,0)),1-INDEX(Matches!$AV$5:$AV$22,MATCH($C5,Matches!$A$5:$A$22,0)))),""))</f>
        <v>0.5354416017</v>
      </c>
      <c r="AX5" s="18">
        <f>IF(OR($AW5="",$AT5=""),1,((Config!$B$14*$AW5+Config!$B$15*(1-$AW5))/(Config!$B$14*$AT5+Config!$B$15*(1-$AT5)))^Config!$B$13)</f>
        <v>0.9999581399</v>
      </c>
      <c r="AY5" s="11">
        <f t="array" ref="AY5">IF($AS5="","",IFERROR(IF(INDEX(Matches!$BB$5:$BB$22,MATCH($C5,Matches!$A$5:$A$22,0))="","",IF($AS5="A",INDEX(Matches!$BB$5:$BB$22,MATCH($C5,Matches!$A$5:$A$22,0)),1-INDEX(Matches!$BB$5:$BB$22,MATCH($C5,Matches!$A$5:$A$22,0)))),""))</f>
        <v>0.5501169106</v>
      </c>
      <c r="AZ5" s="18">
        <f>IF(OR($AY5="",$AT5=""),1,((Config!$B$14*$AY5+Config!$B$15*(1-$AY5))/(Config!$B$14*$AT5+Config!$B$15*(1-$AT5)))^Config!$B$13)</f>
        <v>1.012669124</v>
      </c>
      <c r="BA5" s="17">
        <f t="shared" si="9"/>
        <v>16.50248732</v>
      </c>
      <c r="BB5" s="17">
        <f t="shared" si="10"/>
        <v>15.64151665</v>
      </c>
      <c r="BC5" s="17">
        <f t="shared" si="11"/>
        <v>14.64385838</v>
      </c>
      <c r="BD5" s="17">
        <f t="shared" si="12"/>
        <v>32.14400397</v>
      </c>
      <c r="BE5" s="17">
        <f t="shared" si="13"/>
        <v>39.06176266</v>
      </c>
      <c r="BF5" s="17">
        <f t="shared" si="14"/>
        <v>9.389915285</v>
      </c>
      <c r="BG5" s="17">
        <f t="shared" si="15"/>
        <v>9.103362688</v>
      </c>
      <c r="BH5" s="17">
        <f t="shared" si="16"/>
        <v>8.312386519</v>
      </c>
      <c r="BI5" s="17">
        <f t="shared" si="17"/>
        <v>18.49327797</v>
      </c>
      <c r="BJ5" s="17">
        <f t="shared" si="18"/>
        <v>22.42004936</v>
      </c>
      <c r="BK5" s="18">
        <f t="shared" si="19"/>
        <v>1.003607182</v>
      </c>
    </row>
    <row r="6">
      <c r="A6" s="4" t="s">
        <v>1328</v>
      </c>
      <c r="B6" s="4" t="s">
        <v>86</v>
      </c>
      <c r="C6" s="4" t="s">
        <v>364</v>
      </c>
      <c r="D6" s="4" t="s">
        <v>368</v>
      </c>
      <c r="E6" s="4" t="s">
        <v>1219</v>
      </c>
      <c r="F6" s="4" t="s">
        <v>1244</v>
      </c>
      <c r="G6" s="4" t="str">
        <f t="array" ref="G6">IFERROR(IF(INDEX(Matches!$W$5:$W$22,MATCH($C6,Matches!$A$5:$A$22,0))="","",INDEX(Matches!$W$5:$W$22,MATCH($C6,Matches!$A$5:$A$22,0))),"")</f>
        <v>Dust2</v>
      </c>
      <c r="H6" s="4" t="str">
        <f t="array" ref="H6">IFERROR(IF(INDEX(Matches!$X$5:$X$22,MATCH($C6,Matches!$A$5:$A$22,0))="","",INDEX(Matches!$X$5:$X$22,MATCH($C6,Matches!$A$5:$A$22,0))),"")</f>
        <v>Nuke</v>
      </c>
      <c r="I6" s="4" t="str">
        <f t="array" ref="I6">IFERROR(IF(INDEX(Matches!$Y$5:$Y$22,MATCH($C6,Matches!$A$5:$A$22,0))="","",INDEX(Matches!$Y$5:$Y$22,MATCH($C6,Matches!$A$5:$A$22,0))),"")</f>
        <v>Mirage</v>
      </c>
      <c r="J6" s="4">
        <f t="array" ref="J6">IFERROR(IF(INDEX(Matches!$Z$5:$Z$22,MATCH($C6,Matches!$A$5:$A$22,0))="","",INDEX(Matches!$Z$5:$Z$22,MATCH($C6,Matches!$A$5:$A$22,0))),"")</f>
        <v>21.42</v>
      </c>
      <c r="K6" s="4">
        <f t="array" ref="K6">IFERROR(IF(INDEX(Matches!$AA$5:$AA$22,MATCH($C6,Matches!$A$5:$A$22,0))="","",INDEX(Matches!$AA$5:$AA$22,MATCH($C6,Matches!$A$5:$A$22,0))),"")</f>
        <v>21.22</v>
      </c>
      <c r="L6" s="4">
        <f t="array" ref="L6">IFERROR(IF(INDEX(Matches!$AB$5:$AB$22,MATCH($C6,Matches!$A$5:$A$22,0))="","",INDEX(Matches!$AB$5:$AB$22,MATCH($C6,Matches!$A$5:$A$22,0))),"")</f>
        <v>21.38</v>
      </c>
      <c r="M6" s="11">
        <f t="array" ref="M6">IFERROR(IF(INDEX(Matches!$AC$5:$AC$22,MATCH($C6,Matches!$A$5:$A$22,0))="","",INDEX(Matches!$AC$5:$AC$22,MATCH($C6,Matches!$A$5:$A$22,0))),"")</f>
        <v>0.4724</v>
      </c>
      <c r="N6" s="4">
        <f t="array" ref="N6">IFERROR(INDEX(Players!$F$2:$F$127,MATCH($F6,Players!$A$2:$A$127,0)),0)</f>
        <v>30</v>
      </c>
      <c r="O6" s="18">
        <f t="array" ref="O6">IFERROR(1/(1/INDEX(Players!$H$2:$H$127,MATCH($F6,Players!$A$2:$A$127,0))),"")</f>
        <v>0.69</v>
      </c>
      <c r="P6" s="11">
        <f t="array" ref="P6">IFERROR(1/(1/INDEX(Players!$I$2:$I$127,MATCH($F6,Players!$A$2:$A$127,0))),"")</f>
        <v>0.613</v>
      </c>
      <c r="Q6" s="4">
        <f>IF($G6="",0,SUMIFS(Map_Stats!$F$2:$F$825,Map_Stats!$A$2:$A$825,$F6&amp;"|"&amp;$G6))</f>
        <v>5</v>
      </c>
      <c r="R6" s="18">
        <f t="array" ref="R6">IF($G6="","",IFERROR(1/(1/INDEX(Map_Stats!$K$2:$K$825,MATCH($F6&amp;"|"&amp;$G6,Map_Stats!$A$2:$A$825,0))),$O6))</f>
        <v>0.6</v>
      </c>
      <c r="S6" s="11">
        <f t="array" ref="S6">IF(OR($G6="",$P6=""),"",IFERROR(1/(1/INDEX(Map_Stats!$I$2:$I$825,MATCH($F6&amp;"|"&amp;$G6,Map_Stats!$A$2:$A$825,0))),$P6))</f>
        <v>0.714</v>
      </c>
      <c r="T6" s="18">
        <f>IF(OR($G6="",R6=""),"",IF($O6="",R6,(Q6*R6+Config!$B$4*$O6)/(Q6+Config!$B$4)))</f>
        <v>0.645</v>
      </c>
      <c r="U6" s="11">
        <f>IF(S6="","",(Q6*S6+Config!$B$4*$P6)/(Q6+Config!$B$4))</f>
        <v>0.6635</v>
      </c>
      <c r="V6" s="17">
        <f>IF(OR(T6="",$J6=""),"",T6*$J6*($J6/Config!$B$10)^Config!$B$9)</f>
        <v>13.8159</v>
      </c>
      <c r="W6" s="17">
        <f t="shared" si="1"/>
        <v>9.16684965</v>
      </c>
      <c r="X6" s="4">
        <f>IF($H6="",0,SUMIFS(Map_Stats!$F$2:$F$825,Map_Stats!$A$2:$A$825,$F6&amp;"|"&amp;$H6))</f>
        <v>2</v>
      </c>
      <c r="Y6" s="18">
        <f t="array" ref="Y6">IF($H6="","",IFERROR(1/(1/INDEX(Map_Stats!$K$2:$K$825,MATCH($F6&amp;"|"&amp;$H6,Map_Stats!$A$2:$A$825,0))),$O6))</f>
        <v>0.92</v>
      </c>
      <c r="Z6" s="11">
        <f t="array" ref="Z6">IF(OR($H6="",$P6=""),"",IFERROR(1/(1/INDEX(Map_Stats!$I$2:$I$825,MATCH($F6&amp;"|"&amp;$H6,Map_Stats!$A$2:$A$825,0))),$P6))</f>
        <v>0.576</v>
      </c>
      <c r="AA6" s="18">
        <f>IF(OR($H6="",Y6=""),"",IF($O6="",Y6,(X6*Y6+Config!$B$4*$O6)/(X6+Config!$B$4)))</f>
        <v>0.7557142857</v>
      </c>
      <c r="AB6" s="11">
        <f>IF(Z6="","",(X6*Z6+Config!$B$4*$P6)/(X6+Config!$B$4))</f>
        <v>0.6024285714</v>
      </c>
      <c r="AC6" s="17">
        <f>IF(OR(AA6="",$K6=""),"",AA6*$K6*($K6/Config!$B$10)^Config!$B$9)</f>
        <v>16.03625714</v>
      </c>
      <c r="AD6" s="17">
        <f t="shared" si="2"/>
        <v>9.660699482</v>
      </c>
      <c r="AE6" s="4">
        <f>IF($I6="",0,SUMIFS(Map_Stats!$F$2:$F$825,Map_Stats!$A$2:$A$825,$F6&amp;"|"&amp;$I6))</f>
        <v>6</v>
      </c>
      <c r="AF6" s="18">
        <f t="array" ref="AF6">IF($I6="","",IFERROR(1/(1/INDEX(Map_Stats!$K$2:$K$825,MATCH($F6&amp;"|"&amp;$I6,Map_Stats!$A$2:$A$825,0))),$O6))</f>
        <v>0.69</v>
      </c>
      <c r="AG6" s="11">
        <f t="array" ref="AG6">IF(OR($I6="",$P6=""),"",IFERROR(1/(1/INDEX(Map_Stats!$I$2:$I$825,MATCH($F6&amp;"|"&amp;$I6,Map_Stats!$A$2:$A$825,0))),$P6))</f>
        <v>0.643</v>
      </c>
      <c r="AH6" s="18">
        <f>IF(OR($I6="",AF6=""),"",IF($O6="",AF6,(AE6*AF6+Config!$B$4*$O6)/(AE6+Config!$B$4)))</f>
        <v>0.69</v>
      </c>
      <c r="AI6" s="11">
        <f>IF(AG6="","",(AE6*AG6+Config!$B$4*$P6)/(AE6+Config!$B$4))</f>
        <v>0.6293636364</v>
      </c>
      <c r="AJ6" s="17">
        <f>IF(OR(AH6="",$L6=""),"",AH6*$L6*($L6/Config!$B$10)^Config!$B$9)</f>
        <v>14.7522</v>
      </c>
      <c r="AK6" s="17">
        <f t="shared" si="3"/>
        <v>9.284498236</v>
      </c>
      <c r="AL6" s="17">
        <f t="shared" si="4"/>
        <v>29.85215714</v>
      </c>
      <c r="AM6" s="17">
        <f t="shared" si="5"/>
        <v>36.82109642</v>
      </c>
      <c r="AN6" s="17">
        <f t="shared" si="6"/>
        <v>18.82754913</v>
      </c>
      <c r="AO6" s="17">
        <f t="shared" si="7"/>
        <v>23.2135461</v>
      </c>
      <c r="AP6" s="11">
        <f t="shared" si="8"/>
        <v>0.6306930867</v>
      </c>
      <c r="AQ6" s="4" t="str">
        <f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4" t="str">
        <f>IF($C6=Board!$B$2,COUNTIFS($C$2:$C$157,Board!$B$2,$AL$2:$AL$157,"&gt;"&amp;$AL6)+COUNTIFS($C$1:$C5,Board!$B$2,$AL$1:$AL5,$AL6)+1,"")</f>
        <v/>
      </c>
      <c r="AS6" s="4" t="str">
        <f t="array" ref="AS6">IFERROR(IF($D6=INDEX(Matches!$AD$5:$AD$22,MATCH($C6,Matches!$A$5:$A$22,0)),"A",IF($D6=INDEX(Matches!$AE$5:$AE$22,MATCH($C6,Matches!$A$5:$A$22,0)),"B","")),"")</f>
        <v>A</v>
      </c>
      <c r="AT6" s="11">
        <f t="array" ref="AT6">IF($AS6="","",IFERROR(IF($AS6="A",INDEX(Matches!$AI$5:$AI$22,MATCH($C6,Matches!$A$5:$A$22,0)),INDEX(Matches!$AJ$5:$AJ$22,MATCH($C6,Matches!$A$5:$A$22,0))),""))</f>
        <v>0.5354899307</v>
      </c>
      <c r="AU6" s="11">
        <f t="array" ref="AU6">IF($AS6="","",IFERROR(IF(INDEX(Matches!$AP$5:$AP$22,MATCH($C6,Matches!$A$5:$A$22,0))="","",IF($AS6="A",INDEX(Matches!$AP$5:$AP$22,MATCH($C6,Matches!$A$5:$A$22,0)),1-INDEX(Matches!$AP$5:$AP$22,MATCH($C6,Matches!$A$5:$A$22,0)))),""))</f>
        <v>0.5436761975</v>
      </c>
      <c r="AV6" s="18">
        <f>IF(OR($AU6="",$AT6=""),1,((Config!$B$14*$AU6+Config!$B$15*(1-$AU6))/(Config!$B$14*$AT6+Config!$B$15*(1-$AT6)))^Config!$B$13)</f>
        <v>1.007090516</v>
      </c>
      <c r="AW6" s="11">
        <f t="array" ref="AW6">IF($AS6="","",IFERROR(IF(INDEX(Matches!$AV$5:$AV$22,MATCH($C6,Matches!$A$5:$A$22,0))="","",IF($AS6="A",INDEX(Matches!$AV$5:$AV$22,MATCH($C6,Matches!$A$5:$A$22,0)),1-INDEX(Matches!$AV$5:$AV$22,MATCH($C6,Matches!$A$5:$A$22,0)))),""))</f>
        <v>0.5354416017</v>
      </c>
      <c r="AX6" s="18">
        <f>IF(OR($AW6="",$AT6=""),1,((Config!$B$14*$AW6+Config!$B$15*(1-$AW6))/(Config!$B$14*$AT6+Config!$B$15*(1-$AT6)))^Config!$B$13)</f>
        <v>0.9999581399</v>
      </c>
      <c r="AY6" s="11">
        <f t="array" ref="AY6">IF($AS6="","",IFERROR(IF(INDEX(Matches!$BB$5:$BB$22,MATCH($C6,Matches!$A$5:$A$22,0))="","",IF($AS6="A",INDEX(Matches!$BB$5:$BB$22,MATCH($C6,Matches!$A$5:$A$22,0)),1-INDEX(Matches!$BB$5:$BB$22,MATCH($C6,Matches!$A$5:$A$22,0)))),""))</f>
        <v>0.5501169106</v>
      </c>
      <c r="AZ6" s="18">
        <f>IF(OR($AY6="",$AT6=""),1,((Config!$B$14*$AY6+Config!$B$15*(1-$AY6))/(Config!$B$14*$AT6+Config!$B$15*(1-$AT6)))^Config!$B$13)</f>
        <v>1.012669124</v>
      </c>
      <c r="BA6" s="17">
        <f t="shared" si="9"/>
        <v>13.91386186</v>
      </c>
      <c r="BB6" s="17">
        <f t="shared" si="10"/>
        <v>16.03558586</v>
      </c>
      <c r="BC6" s="17">
        <f t="shared" si="11"/>
        <v>14.93909746</v>
      </c>
      <c r="BD6" s="17">
        <f t="shared" si="12"/>
        <v>29.94944772</v>
      </c>
      <c r="BE6" s="17">
        <f t="shared" si="13"/>
        <v>37.00667736</v>
      </c>
      <c r="BF6" s="17">
        <f t="shared" si="14"/>
        <v>9.231847343</v>
      </c>
      <c r="BG6" s="17">
        <f t="shared" si="15"/>
        <v>9.660295084</v>
      </c>
      <c r="BH6" s="17">
        <f t="shared" si="16"/>
        <v>9.402124699</v>
      </c>
      <c r="BI6" s="17">
        <f t="shared" si="17"/>
        <v>18.89214243</v>
      </c>
      <c r="BJ6" s="17">
        <f t="shared" si="18"/>
        <v>23.33370613</v>
      </c>
      <c r="BK6" s="18">
        <f t="shared" si="19"/>
        <v>1.00325908</v>
      </c>
    </row>
    <row r="7">
      <c r="A7" s="4" t="s">
        <v>1659</v>
      </c>
      <c r="B7" s="4" t="s">
        <v>86</v>
      </c>
      <c r="C7" s="4" t="s">
        <v>1178</v>
      </c>
      <c r="D7" s="4" t="s">
        <v>1181</v>
      </c>
      <c r="E7" s="4" t="s">
        <v>1263</v>
      </c>
      <c r="F7" s="4" t="s">
        <v>1262</v>
      </c>
      <c r="G7" s="4" t="str">
        <f t="array" ref="G7">IFERROR(IF(INDEX(Matches!$W$5:$W$22,MATCH($C7,Matches!$A$5:$A$22,0))="","",INDEX(Matches!$W$5:$W$22,MATCH($C7,Matches!$A$5:$A$22,0))),"")</f>
        <v>Ancient</v>
      </c>
      <c r="H7" s="4" t="str">
        <f t="array" ref="H7">IFERROR(IF(INDEX(Matches!$X$5:$X$22,MATCH($C7,Matches!$A$5:$A$22,0))="","",INDEX(Matches!$X$5:$X$22,MATCH($C7,Matches!$A$5:$A$22,0))),"")</f>
        <v>Inferno</v>
      </c>
      <c r="I7" s="4" t="str">
        <f t="array" ref="I7">IFERROR(IF(INDEX(Matches!$Y$5:$Y$22,MATCH($C7,Matches!$A$5:$A$22,0))="","",INDEX(Matches!$Y$5:$Y$22,MATCH($C7,Matches!$A$5:$A$22,0))),"")</f>
        <v>Mirage</v>
      </c>
      <c r="J7" s="4">
        <f t="array" ref="J7">IFERROR(IF(INDEX(Matches!$Z$5:$Z$22,MATCH($C7,Matches!$A$5:$A$22,0))="","",INDEX(Matches!$Z$5:$Z$22,MATCH($C7,Matches!$A$5:$A$22,0))),"")</f>
        <v>21.5</v>
      </c>
      <c r="K7" s="4">
        <f t="array" ref="K7">IFERROR(IF(INDEX(Matches!$AA$5:$AA$22,MATCH($C7,Matches!$A$5:$A$22,0))="","",INDEX(Matches!$AA$5:$AA$22,MATCH($C7,Matches!$A$5:$A$22,0))),"")</f>
        <v>21.5</v>
      </c>
      <c r="L7" s="4">
        <f t="array" ref="L7">IFERROR(IF(INDEX(Matches!$AB$5:$AB$22,MATCH($C7,Matches!$A$5:$A$22,0))="","",INDEX(Matches!$AB$5:$AB$22,MATCH($C7,Matches!$A$5:$A$22,0))),"")</f>
        <v>21.5</v>
      </c>
      <c r="M7" s="11">
        <f t="array" ref="M7">IFERROR(IF(INDEX(Matches!$AC$5:$AC$22,MATCH($C7,Matches!$A$5:$A$22,0))="","",INDEX(Matches!$AC$5:$AC$22,MATCH($C7,Matches!$A$5:$A$22,0))),"")</f>
        <v>0.5096</v>
      </c>
      <c r="N7" s="4">
        <f t="array" ref="N7">IFERROR(INDEX(Players!$F$2:$F$127,MATCH($F7,Players!$A$2:$A$127,0)),0)</f>
        <v>37</v>
      </c>
      <c r="O7" s="18">
        <f t="array" ref="O7">IFERROR(1/(1/INDEX(Players!$H$2:$H$127,MATCH($F7,Players!$A$2:$A$127,0))),"")</f>
        <v>0.61</v>
      </c>
      <c r="P7" s="11">
        <f t="array" ref="P7">IFERROR(1/(1/INDEX(Players!$I$2:$I$127,MATCH($F7,Players!$A$2:$A$127,0))),"")</f>
        <v>0.393</v>
      </c>
      <c r="Q7" s="4">
        <f>IF($G7="",0,SUMIFS(Map_Stats!$F$2:$F$825,Map_Stats!$A$2:$A$825,$F7&amp;"|"&amp;$G7))</f>
        <v>10</v>
      </c>
      <c r="R7" s="18">
        <f t="array" ref="R7">IF($G7="","",IFERROR(1/(1/INDEX(Map_Stats!$K$2:$K$825,MATCH($F7&amp;"|"&amp;$G7,Map_Stats!$A$2:$A$825,0))),$O7))</f>
        <v>0.68</v>
      </c>
      <c r="S7" s="11">
        <f t="array" ref="S7">IF(OR($G7="",$P7=""),"",IFERROR(1/(1/INDEX(Map_Stats!$I$2:$I$825,MATCH($F7&amp;"|"&amp;$G7,Map_Stats!$A$2:$A$825,0))),$P7))</f>
        <v>0.405</v>
      </c>
      <c r="T7" s="18">
        <f>IF(OR($G7="",R7=""),"",IF($O7="",R7,(Q7*R7+Config!$B$4*$O7)/(Q7+Config!$B$4)))</f>
        <v>0.6566666667</v>
      </c>
      <c r="U7" s="11">
        <f>IF(S7="","",(Q7*S7+Config!$B$4*$P7)/(Q7+Config!$B$4))</f>
        <v>0.401</v>
      </c>
      <c r="V7" s="17">
        <f>IF(OR(T7="",$J7=""),"",T7*$J7*($J7/Config!$B$10)^Config!$B$9)</f>
        <v>14.11833333</v>
      </c>
      <c r="W7" s="17">
        <f t="shared" si="1"/>
        <v>5.661451667</v>
      </c>
      <c r="X7" s="4">
        <f>IF($H7="",0,SUMIFS(Map_Stats!$F$2:$F$825,Map_Stats!$A$2:$A$825,$F7&amp;"|"&amp;$H7))</f>
        <v>0</v>
      </c>
      <c r="Y7" s="18">
        <f t="array" ref="Y7">IF($H7="","",IFERROR(1/(1/INDEX(Map_Stats!$K$2:$K$825,MATCH($F7&amp;"|"&amp;$H7,Map_Stats!$A$2:$A$825,0))),$O7))</f>
        <v>0.61</v>
      </c>
      <c r="Z7" s="11">
        <f t="array" ref="Z7">IF(OR($H7="",$P7=""),"",IFERROR(1/(1/INDEX(Map_Stats!$I$2:$I$825,MATCH($F7&amp;"|"&amp;$H7,Map_Stats!$A$2:$A$825,0))),$P7))</f>
        <v>0.393</v>
      </c>
      <c r="AA7" s="18">
        <f>IF(OR($H7="",Y7=""),"",IF($O7="",Y7,(X7*Y7+Config!$B$4*$O7)/(X7+Config!$B$4)))</f>
        <v>0.61</v>
      </c>
      <c r="AB7" s="11">
        <f>IF(Z7="","",(X7*Z7+Config!$B$4*$P7)/(X7+Config!$B$4))</f>
        <v>0.393</v>
      </c>
      <c r="AC7" s="17">
        <f>IF(OR(AA7="",$K7=""),"",AA7*$K7*($K7/Config!$B$10)^Config!$B$9)</f>
        <v>13.115</v>
      </c>
      <c r="AD7" s="17">
        <f t="shared" si="2"/>
        <v>5.154195</v>
      </c>
      <c r="AE7" s="4">
        <f>IF($I7="",0,SUMIFS(Map_Stats!$F$2:$F$825,Map_Stats!$A$2:$A$825,$F7&amp;"|"&amp;$I7))</f>
        <v>7</v>
      </c>
      <c r="AF7" s="18">
        <f t="array" ref="AF7">IF($I7="","",IFERROR(1/(1/INDEX(Map_Stats!$K$2:$K$825,MATCH($F7&amp;"|"&amp;$I7,Map_Stats!$A$2:$A$825,0))),$O7))</f>
        <v>0.62</v>
      </c>
      <c r="AG7" s="11">
        <f t="array" ref="AG7">IF(OR($I7="",$P7=""),"",IFERROR(1/(1/INDEX(Map_Stats!$I$2:$I$825,MATCH($F7&amp;"|"&amp;$I7,Map_Stats!$A$2:$A$825,0))),$P7))</f>
        <v>0.432</v>
      </c>
      <c r="AH7" s="18">
        <f>IF(OR($I7="",AF7=""),"",IF($O7="",AF7,(AE7*AF7+Config!$B$4*$O7)/(AE7+Config!$B$4)))</f>
        <v>0.6158333333</v>
      </c>
      <c r="AI7" s="11">
        <f>IF(AG7="","",(AE7*AG7+Config!$B$4*$P7)/(AE7+Config!$B$4))</f>
        <v>0.41575</v>
      </c>
      <c r="AJ7" s="17">
        <f>IF(OR(AH7="",$L7=""),"",AH7*$L7*($L7/Config!$B$10)^Config!$B$9)</f>
        <v>13.24041667</v>
      </c>
      <c r="AK7" s="17">
        <f t="shared" si="3"/>
        <v>5.504703229</v>
      </c>
      <c r="AL7" s="17">
        <f t="shared" si="4"/>
        <v>27.23333333</v>
      </c>
      <c r="AM7" s="17">
        <f t="shared" si="5"/>
        <v>33.98064967</v>
      </c>
      <c r="AN7" s="17">
        <f t="shared" si="6"/>
        <v>10.81564667</v>
      </c>
      <c r="AO7" s="17">
        <f t="shared" si="7"/>
        <v>13.62084343</v>
      </c>
      <c r="AP7" s="11">
        <f t="shared" si="8"/>
        <v>0.3971473684</v>
      </c>
      <c r="AQ7" s="4" t="str">
        <f>TRIM(IF($N7&lt;Config!$B$12,"thin sample ("&amp;$N7&amp;" maps) · ","")&amp;IF(AND($G7&lt;&gt;"",Q7=0),"M1 unplayed→overall KPR · ","")&amp;IF(AND($H7&lt;&gt;"",X7=0),"M2 unplayed→overall KPR · ","")&amp;IF($O7="","no PickFinder stats",""))</f>
        <v>M2 unplayed→overall KPR ·</v>
      </c>
      <c r="AR7" s="4" t="str">
        <f>IF($C7=Board!$B$2,COUNTIFS($C$2:$C$157,Board!$B$2,$AL$2:$AL$157,"&gt;"&amp;$AL7)+COUNTIFS($C$1:$C6,Board!$B$2,$AL$1:$AL6,$AL7)+1,"")</f>
        <v/>
      </c>
      <c r="AS7" s="4" t="str">
        <f t="array" ref="AS7">IFERROR(IF($D7=INDEX(Matches!$AD$5:$AD$22,MATCH($C7,Matches!$A$5:$A$22,0)),"A",IF($D7=INDEX(Matches!$AE$5:$AE$22,MATCH($C7,Matches!$A$5:$A$22,0)),"B","")),"")</f>
        <v>A</v>
      </c>
      <c r="AT7" s="11">
        <f t="array" ref="AT7">IF($AS7="","",IFERROR(IF($AS7="A",INDEX(Matches!$AI$5:$AI$22,MATCH($C7,Matches!$A$5:$A$22,0)),INDEX(Matches!$AJ$5:$AJ$22,MATCH($C7,Matches!$A$5:$A$22,0))),""))</f>
        <v>0.5441008504</v>
      </c>
      <c r="AU7" s="11">
        <f t="array" ref="AU7">IF($AS7="","",IFERROR(IF(INDEX(Matches!$AP$5:$AP$22,MATCH($C7,Matches!$A$5:$A$22,0))="","",IF($AS7="A",INDEX(Matches!$AP$5:$AP$22,MATCH($C7,Matches!$A$5:$A$22,0)),1-INDEX(Matches!$AP$5:$AP$22,MATCH($C7,Matches!$A$5:$A$22,0)))),""))</f>
        <v>0.51763647</v>
      </c>
      <c r="AV7" s="18">
        <f>IF(OR($AU7="",$AT7=""),1,((Config!$B$14*$AU7+Config!$B$15*(1-$AU7))/(Config!$B$14*$AT7+Config!$B$15*(1-$AT7)))^Config!$B$13)</f>
        <v>0.9772476334</v>
      </c>
      <c r="AW7" s="11">
        <f t="array" ref="AW7">IF($AS7="","",IFERROR(IF(INDEX(Matches!$AV$5:$AV$22,MATCH($C7,Matches!$A$5:$A$22,0))="","",IF($AS7="A",INDEX(Matches!$AV$5:$AV$22,MATCH($C7,Matches!$A$5:$A$22,0)),1-INDEX(Matches!$AV$5:$AV$22,MATCH($C7,Matches!$A$5:$A$22,0)))),""))</f>
        <v>0.4858166772</v>
      </c>
      <c r="AX7" s="18">
        <f>IF(OR($AW7="",$AT7=""),1,((Config!$B$14*$AW7+Config!$B$15*(1-$AW7))/(Config!$B$14*$AT7+Config!$B$15*(1-$AT7)))^Config!$B$13)</f>
        <v>0.9498910288</v>
      </c>
      <c r="AY7" s="11">
        <f t="array" ref="AY7">IF($AS7="","",IFERROR(IF(INDEX(Matches!$BB$5:$BB$22,MATCH($C7,Matches!$A$5:$A$22,0))="","",IF($AS7="A",INDEX(Matches!$BB$5:$BB$22,MATCH($C7,Matches!$A$5:$A$22,0)),1-INDEX(Matches!$BB$5:$BB$22,MATCH($C7,Matches!$A$5:$A$22,0)))),""))</f>
        <v>0.5213544931</v>
      </c>
      <c r="AZ7" s="18">
        <f>IF(OR($AY7="",$AT7=""),1,((Config!$B$14*$AY7+Config!$B$15*(1-$AY7))/(Config!$B$14*$AT7+Config!$B$15*(1-$AT7)))^Config!$B$13)</f>
        <v>0.9804441498</v>
      </c>
      <c r="BA7" s="17">
        <f t="shared" si="9"/>
        <v>13.79710784</v>
      </c>
      <c r="BB7" s="17">
        <f t="shared" si="10"/>
        <v>12.45782084</v>
      </c>
      <c r="BC7" s="17">
        <f t="shared" si="11"/>
        <v>12.98148906</v>
      </c>
      <c r="BD7" s="17">
        <f t="shared" si="12"/>
        <v>26.25492868</v>
      </c>
      <c r="BE7" s="17">
        <f t="shared" si="13"/>
        <v>32.8702955</v>
      </c>
      <c r="BF7" s="17">
        <f t="shared" si="14"/>
        <v>5.532640243</v>
      </c>
      <c r="BG7" s="17">
        <f t="shared" si="15"/>
        <v>4.895923591</v>
      </c>
      <c r="BH7" s="17">
        <f t="shared" si="16"/>
        <v>5.397054077</v>
      </c>
      <c r="BI7" s="17">
        <f t="shared" si="17"/>
        <v>10.42856383</v>
      </c>
      <c r="BJ7" s="17">
        <f t="shared" si="18"/>
        <v>13.17890259</v>
      </c>
      <c r="BK7" s="18">
        <f t="shared" si="19"/>
        <v>0.9640732685</v>
      </c>
    </row>
    <row r="8">
      <c r="A8" s="4" t="s">
        <v>1697</v>
      </c>
      <c r="B8" s="4" t="s">
        <v>86</v>
      </c>
      <c r="C8" s="4" t="s">
        <v>1178</v>
      </c>
      <c r="D8" s="4" t="s">
        <v>1181</v>
      </c>
      <c r="E8" s="4" t="s">
        <v>1267</v>
      </c>
      <c r="F8" s="4" t="s">
        <v>1266</v>
      </c>
      <c r="G8" s="4" t="str">
        <f t="array" ref="G8">IFERROR(IF(INDEX(Matches!$W$5:$W$22,MATCH($C8,Matches!$A$5:$A$22,0))="","",INDEX(Matches!$W$5:$W$22,MATCH($C8,Matches!$A$5:$A$22,0))),"")</f>
        <v>Ancient</v>
      </c>
      <c r="H8" s="4" t="str">
        <f t="array" ref="H8">IFERROR(IF(INDEX(Matches!$X$5:$X$22,MATCH($C8,Matches!$A$5:$A$22,0))="","",INDEX(Matches!$X$5:$X$22,MATCH($C8,Matches!$A$5:$A$22,0))),"")</f>
        <v>Inferno</v>
      </c>
      <c r="I8" s="4" t="str">
        <f t="array" ref="I8">IFERROR(IF(INDEX(Matches!$Y$5:$Y$22,MATCH($C8,Matches!$A$5:$A$22,0))="","",INDEX(Matches!$Y$5:$Y$22,MATCH($C8,Matches!$A$5:$A$22,0))),"")</f>
        <v>Mirage</v>
      </c>
      <c r="J8" s="4">
        <f t="array" ref="J8">IFERROR(IF(INDEX(Matches!$Z$5:$Z$22,MATCH($C8,Matches!$A$5:$A$22,0))="","",INDEX(Matches!$Z$5:$Z$22,MATCH($C8,Matches!$A$5:$A$22,0))),"")</f>
        <v>21.5</v>
      </c>
      <c r="K8" s="4">
        <f t="array" ref="K8">IFERROR(IF(INDEX(Matches!$AA$5:$AA$22,MATCH($C8,Matches!$A$5:$A$22,0))="","",INDEX(Matches!$AA$5:$AA$22,MATCH($C8,Matches!$A$5:$A$22,0))),"")</f>
        <v>21.5</v>
      </c>
      <c r="L8" s="4">
        <f t="array" ref="L8">IFERROR(IF(INDEX(Matches!$AB$5:$AB$22,MATCH($C8,Matches!$A$5:$A$22,0))="","",INDEX(Matches!$AB$5:$AB$22,MATCH($C8,Matches!$A$5:$A$22,0))),"")</f>
        <v>21.5</v>
      </c>
      <c r="M8" s="11">
        <f t="array" ref="M8">IFERROR(IF(INDEX(Matches!$AC$5:$AC$22,MATCH($C8,Matches!$A$5:$A$22,0))="","",INDEX(Matches!$AC$5:$AC$22,MATCH($C8,Matches!$A$5:$A$22,0))),"")</f>
        <v>0.5096</v>
      </c>
      <c r="N8" s="4">
        <f t="array" ref="N8">IFERROR(INDEX(Players!$F$2:$F$127,MATCH($F8,Players!$A$2:$A$127,0)),0)</f>
        <v>42</v>
      </c>
      <c r="O8" s="18">
        <f t="array" ref="O8">IFERROR(1/(1/INDEX(Players!$H$2:$H$127,MATCH($F8,Players!$A$2:$A$127,0))),"")</f>
        <v>0.74</v>
      </c>
      <c r="P8" s="11">
        <f t="array" ref="P8">IFERROR(1/(1/INDEX(Players!$I$2:$I$127,MATCH($F8,Players!$A$2:$A$127,0))),"")</f>
        <v>0.27</v>
      </c>
      <c r="Q8" s="4">
        <f>IF($G8="",0,SUMIFS(Map_Stats!$F$2:$F$825,Map_Stats!$A$2:$A$825,$F8&amp;"|"&amp;$G8))</f>
        <v>11</v>
      </c>
      <c r="R8" s="18">
        <f t="array" ref="R8">IF($G8="","",IFERROR(1/(1/INDEX(Map_Stats!$K$2:$K$825,MATCH($F8&amp;"|"&amp;$G8,Map_Stats!$A$2:$A$825,0))),$O8))</f>
        <v>0.65</v>
      </c>
      <c r="S8" s="11">
        <f t="array" ref="S8">IF(OR($G8="",$P8=""),"",IFERROR(1/(1/INDEX(Map_Stats!$I$2:$I$825,MATCH($F8&amp;"|"&amp;$G8,Map_Stats!$A$2:$A$825,0))),$P8))</f>
        <v>0.258</v>
      </c>
      <c r="T8" s="18">
        <f>IF(OR($G8="",R8=""),"",IF($O8="",R8,(Q8*R8+Config!$B$4*$O8)/(Q8+Config!$B$4)))</f>
        <v>0.678125</v>
      </c>
      <c r="U8" s="11">
        <f>IF(S8="","",(Q8*S8+Config!$B$4*$P8)/(Q8+Config!$B$4))</f>
        <v>0.26175</v>
      </c>
      <c r="V8" s="17">
        <f>IF(OR(T8="",$J8=""),"",T8*$J8*($J8/Config!$B$10)^Config!$B$9)</f>
        <v>14.5796875</v>
      </c>
      <c r="W8" s="17">
        <f t="shared" si="1"/>
        <v>3.816233203</v>
      </c>
      <c r="X8" s="4">
        <f>IF($H8="",0,SUMIFS(Map_Stats!$F$2:$F$825,Map_Stats!$A$2:$A$825,$F8&amp;"|"&amp;$H8))</f>
        <v>5</v>
      </c>
      <c r="Y8" s="18">
        <f t="array" ref="Y8">IF($H8="","",IFERROR(1/(1/INDEX(Map_Stats!$K$2:$K$825,MATCH($F8&amp;"|"&amp;$H8,Map_Stats!$A$2:$A$825,0))),$O8))</f>
        <v>0.64</v>
      </c>
      <c r="Z8" s="11">
        <f t="array" ref="Z8">IF(OR($H8="",$P8=""),"",IFERROR(1/(1/INDEX(Map_Stats!$I$2:$I$825,MATCH($F8&amp;"|"&amp;$H8,Map_Stats!$A$2:$A$825,0))),$P8))</f>
        <v>0.316</v>
      </c>
      <c r="AA8" s="18">
        <f>IF(OR($H8="",Y8=""),"",IF($O8="",Y8,(X8*Y8+Config!$B$4*$O8)/(X8+Config!$B$4)))</f>
        <v>0.69</v>
      </c>
      <c r="AB8" s="11">
        <f>IF(Z8="","",(X8*Z8+Config!$B$4*$P8)/(X8+Config!$B$4))</f>
        <v>0.293</v>
      </c>
      <c r="AC8" s="17">
        <f>IF(OR(AA8="",$K8=""),"",AA8*$K8*($K8/Config!$B$10)^Config!$B$9)</f>
        <v>14.835</v>
      </c>
      <c r="AD8" s="17">
        <f t="shared" si="2"/>
        <v>4.346655</v>
      </c>
      <c r="AE8" s="4">
        <f>IF($I8="",0,SUMIFS(Map_Stats!$F$2:$F$825,Map_Stats!$A$2:$A$825,$F8&amp;"|"&amp;$I8))</f>
        <v>5</v>
      </c>
      <c r="AF8" s="18">
        <f t="array" ref="AF8">IF($I8="","",IFERROR(1/(1/INDEX(Map_Stats!$K$2:$K$825,MATCH($F8&amp;"|"&amp;$I8,Map_Stats!$A$2:$A$825,0))),$O8))</f>
        <v>0.76</v>
      </c>
      <c r="AG8" s="11">
        <f t="array" ref="AG8">IF(OR($I8="",$P8=""),"",IFERROR(1/(1/INDEX(Map_Stats!$I$2:$I$825,MATCH($F8&amp;"|"&amp;$I8,Map_Stats!$A$2:$A$825,0))),$P8))</f>
        <v>0.264</v>
      </c>
      <c r="AH8" s="18">
        <f>IF(OR($I8="",AF8=""),"",IF($O8="",AF8,(AE8*AF8+Config!$B$4*$O8)/(AE8+Config!$B$4)))</f>
        <v>0.75</v>
      </c>
      <c r="AI8" s="11">
        <f>IF(AG8="","",(AE8*AG8+Config!$B$4*$P8)/(AE8+Config!$B$4))</f>
        <v>0.267</v>
      </c>
      <c r="AJ8" s="17">
        <f>IF(OR(AH8="",$L8=""),"",AH8*$L8*($L8/Config!$B$10)^Config!$B$9)</f>
        <v>16.125</v>
      </c>
      <c r="AK8" s="17">
        <f t="shared" si="3"/>
        <v>4.305375</v>
      </c>
      <c r="AL8" s="17">
        <f t="shared" si="4"/>
        <v>29.4146875</v>
      </c>
      <c r="AM8" s="17">
        <f t="shared" si="5"/>
        <v>37.6319875</v>
      </c>
      <c r="AN8" s="17">
        <f t="shared" si="6"/>
        <v>8.162888203</v>
      </c>
      <c r="AO8" s="17">
        <f t="shared" si="7"/>
        <v>10.3569073</v>
      </c>
      <c r="AP8" s="11">
        <f t="shared" si="8"/>
        <v>0.2775106213</v>
      </c>
      <c r="AQ8" s="4" t="str">
        <f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4" t="str">
        <f>IF($C8=Board!$B$2,COUNTIFS($C$2:$C$157,Board!$B$2,$AL$2:$AL$157,"&gt;"&amp;$AL8)+COUNTIFS($C$1:$C7,Board!$B$2,$AL$1:$AL7,$AL8)+1,"")</f>
        <v/>
      </c>
      <c r="AS8" s="4" t="str">
        <f t="array" ref="AS8">IFERROR(IF($D8=INDEX(Matches!$AD$5:$AD$22,MATCH($C8,Matches!$A$5:$A$22,0)),"A",IF($D8=INDEX(Matches!$AE$5:$AE$22,MATCH($C8,Matches!$A$5:$A$22,0)),"B","")),"")</f>
        <v>A</v>
      </c>
      <c r="AT8" s="11">
        <f t="array" ref="AT8">IF($AS8="","",IFERROR(IF($AS8="A",INDEX(Matches!$AI$5:$AI$22,MATCH($C8,Matches!$A$5:$A$22,0)),INDEX(Matches!$AJ$5:$AJ$22,MATCH($C8,Matches!$A$5:$A$22,0))),""))</f>
        <v>0.5441008504</v>
      </c>
      <c r="AU8" s="11">
        <f t="array" ref="AU8">IF($AS8="","",IFERROR(IF(INDEX(Matches!$AP$5:$AP$22,MATCH($C8,Matches!$A$5:$A$22,0))="","",IF($AS8="A",INDEX(Matches!$AP$5:$AP$22,MATCH($C8,Matches!$A$5:$A$22,0)),1-INDEX(Matches!$AP$5:$AP$22,MATCH($C8,Matches!$A$5:$A$22,0)))),""))</f>
        <v>0.51763647</v>
      </c>
      <c r="AV8" s="18">
        <f>IF(OR($AU8="",$AT8=""),1,((Config!$B$14*$AU8+Config!$B$15*(1-$AU8))/(Config!$B$14*$AT8+Config!$B$15*(1-$AT8)))^Config!$B$13)</f>
        <v>0.9772476334</v>
      </c>
      <c r="AW8" s="11">
        <f t="array" ref="AW8">IF($AS8="","",IFERROR(IF(INDEX(Matches!$AV$5:$AV$22,MATCH($C8,Matches!$A$5:$A$22,0))="","",IF($AS8="A",INDEX(Matches!$AV$5:$AV$22,MATCH($C8,Matches!$A$5:$A$22,0)),1-INDEX(Matches!$AV$5:$AV$22,MATCH($C8,Matches!$A$5:$A$22,0)))),""))</f>
        <v>0.4858166772</v>
      </c>
      <c r="AX8" s="18">
        <f>IF(OR($AW8="",$AT8=""),1,((Config!$B$14*$AW8+Config!$B$15*(1-$AW8))/(Config!$B$14*$AT8+Config!$B$15*(1-$AT8)))^Config!$B$13)</f>
        <v>0.9498910288</v>
      </c>
      <c r="AY8" s="11">
        <f t="array" ref="AY8">IF($AS8="","",IFERROR(IF(INDEX(Matches!$BB$5:$BB$22,MATCH($C8,Matches!$A$5:$A$22,0))="","",IF($AS8="A",INDEX(Matches!$BB$5:$BB$22,MATCH($C8,Matches!$A$5:$A$22,0)),1-INDEX(Matches!$BB$5:$BB$22,MATCH($C8,Matches!$A$5:$A$22,0)))),""))</f>
        <v>0.5213544931</v>
      </c>
      <c r="AZ8" s="18">
        <f>IF(OR($AY8="",$AT8=""),1,((Config!$B$14*$AY8+Config!$B$15*(1-$AY8))/(Config!$B$14*$AT8+Config!$B$15*(1-$AT8)))^Config!$B$13)</f>
        <v>0.9804441498</v>
      </c>
      <c r="BA8" s="17">
        <f t="shared" si="9"/>
        <v>14.2479651</v>
      </c>
      <c r="BB8" s="17">
        <f t="shared" si="10"/>
        <v>14.09163341</v>
      </c>
      <c r="BC8" s="17">
        <f t="shared" si="11"/>
        <v>15.80966191</v>
      </c>
      <c r="BD8" s="17">
        <f t="shared" si="12"/>
        <v>28.33959852</v>
      </c>
      <c r="BE8" s="17">
        <f t="shared" si="13"/>
        <v>36.39620223</v>
      </c>
      <c r="BF8" s="17">
        <f t="shared" si="14"/>
        <v>3.729404866</v>
      </c>
      <c r="BG8" s="17">
        <f t="shared" si="15"/>
        <v>4.12884859</v>
      </c>
      <c r="BH8" s="17">
        <f t="shared" si="16"/>
        <v>4.221179731</v>
      </c>
      <c r="BI8" s="17">
        <f t="shared" si="17"/>
        <v>7.858253456</v>
      </c>
      <c r="BJ8" s="17">
        <f t="shared" si="18"/>
        <v>10.00936665</v>
      </c>
      <c r="BK8" s="18">
        <f t="shared" si="19"/>
        <v>0.9634506066</v>
      </c>
    </row>
    <row r="9">
      <c r="A9" s="4" t="s">
        <v>1734</v>
      </c>
      <c r="B9" s="4" t="s">
        <v>86</v>
      </c>
      <c r="C9" s="4" t="s">
        <v>1178</v>
      </c>
      <c r="D9" s="4" t="s">
        <v>1181</v>
      </c>
      <c r="E9" s="4" t="s">
        <v>1270</v>
      </c>
      <c r="F9" s="4" t="s">
        <v>1269</v>
      </c>
      <c r="G9" s="4" t="str">
        <f t="array" ref="G9">IFERROR(IF(INDEX(Matches!$W$5:$W$22,MATCH($C9,Matches!$A$5:$A$22,0))="","",INDEX(Matches!$W$5:$W$22,MATCH($C9,Matches!$A$5:$A$22,0))),"")</f>
        <v>Ancient</v>
      </c>
      <c r="H9" s="4" t="str">
        <f t="array" ref="H9">IFERROR(IF(INDEX(Matches!$X$5:$X$22,MATCH($C9,Matches!$A$5:$A$22,0))="","",INDEX(Matches!$X$5:$X$22,MATCH($C9,Matches!$A$5:$A$22,0))),"")</f>
        <v>Inferno</v>
      </c>
      <c r="I9" s="4" t="str">
        <f t="array" ref="I9">IFERROR(IF(INDEX(Matches!$Y$5:$Y$22,MATCH($C9,Matches!$A$5:$A$22,0))="","",INDEX(Matches!$Y$5:$Y$22,MATCH($C9,Matches!$A$5:$A$22,0))),"")</f>
        <v>Mirage</v>
      </c>
      <c r="J9" s="4">
        <f t="array" ref="J9">IFERROR(IF(INDEX(Matches!$Z$5:$Z$22,MATCH($C9,Matches!$A$5:$A$22,0))="","",INDEX(Matches!$Z$5:$Z$22,MATCH($C9,Matches!$A$5:$A$22,0))),"")</f>
        <v>21.5</v>
      </c>
      <c r="K9" s="4">
        <f t="array" ref="K9">IFERROR(IF(INDEX(Matches!$AA$5:$AA$22,MATCH($C9,Matches!$A$5:$A$22,0))="","",INDEX(Matches!$AA$5:$AA$22,MATCH($C9,Matches!$A$5:$A$22,0))),"")</f>
        <v>21.5</v>
      </c>
      <c r="L9" s="4">
        <f t="array" ref="L9">IFERROR(IF(INDEX(Matches!$AB$5:$AB$22,MATCH($C9,Matches!$A$5:$A$22,0))="","",INDEX(Matches!$AB$5:$AB$22,MATCH($C9,Matches!$A$5:$A$22,0))),"")</f>
        <v>21.5</v>
      </c>
      <c r="M9" s="11">
        <f t="array" ref="M9">IFERROR(IF(INDEX(Matches!$AC$5:$AC$22,MATCH($C9,Matches!$A$5:$A$22,0))="","",INDEX(Matches!$AC$5:$AC$22,MATCH($C9,Matches!$A$5:$A$22,0))),"")</f>
        <v>0.5096</v>
      </c>
      <c r="N9" s="4">
        <f t="array" ref="N9">IFERROR(INDEX(Players!$F$2:$F$127,MATCH($F9,Players!$A$2:$A$127,0)),0)</f>
        <v>42</v>
      </c>
      <c r="O9" s="18">
        <f t="array" ref="O9">IFERROR(1/(1/INDEX(Players!$H$2:$H$127,MATCH($F9,Players!$A$2:$A$127,0))),"")</f>
        <v>0.76</v>
      </c>
      <c r="P9" s="11">
        <f t="array" ref="P9">IFERROR(1/(1/INDEX(Players!$I$2:$I$127,MATCH($F9,Players!$A$2:$A$127,0))),"")</f>
        <v>0.509</v>
      </c>
      <c r="Q9" s="4">
        <f>IF($G9="",0,SUMIFS(Map_Stats!$F$2:$F$825,Map_Stats!$A$2:$A$825,$F9&amp;"|"&amp;$G9))</f>
        <v>11</v>
      </c>
      <c r="R9" s="18">
        <f t="array" ref="R9">IF($G9="","",IFERROR(1/(1/INDEX(Map_Stats!$K$2:$K$825,MATCH($F9&amp;"|"&amp;$G9,Map_Stats!$A$2:$A$825,0))),$O9))</f>
        <v>0.85</v>
      </c>
      <c r="S9" s="11">
        <f t="array" ref="S9">IF(OR($G9="",$P9=""),"",IFERROR(1/(1/INDEX(Map_Stats!$I$2:$I$825,MATCH($F9&amp;"|"&amp;$G9,Map_Stats!$A$2:$A$825,0))),$P9))</f>
        <v>0.481</v>
      </c>
      <c r="T9" s="18">
        <f>IF(OR($G9="",R9=""),"",IF($O9="",R9,(Q9*R9+Config!$B$4*$O9)/(Q9+Config!$B$4)))</f>
        <v>0.821875</v>
      </c>
      <c r="U9" s="11">
        <f>IF(S9="","",(Q9*S9+Config!$B$4*$P9)/(Q9+Config!$B$4))</f>
        <v>0.48975</v>
      </c>
      <c r="V9" s="17">
        <f>IF(OR(T9="",$J9=""),"",T9*$J9*($J9/Config!$B$10)^Config!$B$9)</f>
        <v>17.6703125</v>
      </c>
      <c r="W9" s="17">
        <f t="shared" si="1"/>
        <v>8.654035547</v>
      </c>
      <c r="X9" s="4">
        <f>IF($H9="",0,SUMIFS(Map_Stats!$F$2:$F$825,Map_Stats!$A$2:$A$825,$F9&amp;"|"&amp;$H9))</f>
        <v>5</v>
      </c>
      <c r="Y9" s="18">
        <f t="array" ref="Y9">IF($H9="","",IFERROR(1/(1/INDEX(Map_Stats!$K$2:$K$825,MATCH($F9&amp;"|"&amp;$H9,Map_Stats!$A$2:$A$825,0))),$O9))</f>
        <v>0.64</v>
      </c>
      <c r="Z9" s="11">
        <f t="array" ref="Z9">IF(OR($H9="",$P9=""),"",IFERROR(1/(1/INDEX(Map_Stats!$I$2:$I$825,MATCH($F9&amp;"|"&amp;$H9,Map_Stats!$A$2:$A$825,0))),$P9))</f>
        <v>0.533</v>
      </c>
      <c r="AA9" s="18">
        <f>IF(OR($H9="",Y9=""),"",IF($O9="",Y9,(X9*Y9+Config!$B$4*$O9)/(X9+Config!$B$4)))</f>
        <v>0.7</v>
      </c>
      <c r="AB9" s="11">
        <f>IF(Z9="","",(X9*Z9+Config!$B$4*$P9)/(X9+Config!$B$4))</f>
        <v>0.521</v>
      </c>
      <c r="AC9" s="17">
        <f>IF(OR(AA9="",$K9=""),"",AA9*$K9*($K9/Config!$B$10)^Config!$B$9)</f>
        <v>15.05</v>
      </c>
      <c r="AD9" s="17">
        <f t="shared" si="2"/>
        <v>7.84105</v>
      </c>
      <c r="AE9" s="4">
        <f>IF($I9="",0,SUMIFS(Map_Stats!$F$2:$F$825,Map_Stats!$A$2:$A$825,$F9&amp;"|"&amp;$I9))</f>
        <v>5</v>
      </c>
      <c r="AF9" s="18">
        <f t="array" ref="AF9">IF($I9="","",IFERROR(1/(1/INDEX(Map_Stats!$K$2:$K$825,MATCH($F9&amp;"|"&amp;$I9,Map_Stats!$A$2:$A$825,0))),$O9))</f>
        <v>0.68</v>
      </c>
      <c r="AG9" s="11">
        <f t="array" ref="AG9">IF(OR($I9="",$P9=""),"",IFERROR(1/(1/INDEX(Map_Stats!$I$2:$I$825,MATCH($F9&amp;"|"&amp;$I9,Map_Stats!$A$2:$A$825,0))),$P9))</f>
        <v>0.513</v>
      </c>
      <c r="AH9" s="18">
        <f>IF(OR($I9="",AF9=""),"",IF($O9="",AF9,(AE9*AF9+Config!$B$4*$O9)/(AE9+Config!$B$4)))</f>
        <v>0.72</v>
      </c>
      <c r="AI9" s="11">
        <f>IF(AG9="","",(AE9*AG9+Config!$B$4*$P9)/(AE9+Config!$B$4))</f>
        <v>0.511</v>
      </c>
      <c r="AJ9" s="17">
        <f>IF(OR(AH9="",$L9=""),"",AH9*$L9*($L9/Config!$B$10)^Config!$B$9)</f>
        <v>15.48</v>
      </c>
      <c r="AK9" s="17">
        <f t="shared" si="3"/>
        <v>7.91028</v>
      </c>
      <c r="AL9" s="17">
        <f t="shared" si="4"/>
        <v>32.7203125</v>
      </c>
      <c r="AM9" s="17">
        <f t="shared" si="5"/>
        <v>40.6089205</v>
      </c>
      <c r="AN9" s="17">
        <f t="shared" si="6"/>
        <v>16.49508555</v>
      </c>
      <c r="AO9" s="17">
        <f t="shared" si="7"/>
        <v>20.52616423</v>
      </c>
      <c r="AP9" s="11">
        <f t="shared" si="8"/>
        <v>0.5041237166</v>
      </c>
      <c r="AQ9" s="4" t="str">
        <f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4" t="str">
        <f>IF($C9=Board!$B$2,COUNTIFS($C$2:$C$157,Board!$B$2,$AL$2:$AL$157,"&gt;"&amp;$AL9)+COUNTIFS($C$1:$C8,Board!$B$2,$AL$1:$AL8,$AL9)+1,"")</f>
        <v/>
      </c>
      <c r="AS9" s="4" t="str">
        <f t="array" ref="AS9">IFERROR(IF($D9=INDEX(Matches!$AD$5:$AD$22,MATCH($C9,Matches!$A$5:$A$22,0)),"A",IF($D9=INDEX(Matches!$AE$5:$AE$22,MATCH($C9,Matches!$A$5:$A$22,0)),"B","")),"")</f>
        <v>A</v>
      </c>
      <c r="AT9" s="11">
        <f t="array" ref="AT9">IF($AS9="","",IFERROR(IF($AS9="A",INDEX(Matches!$AI$5:$AI$22,MATCH($C9,Matches!$A$5:$A$22,0)),INDEX(Matches!$AJ$5:$AJ$22,MATCH($C9,Matches!$A$5:$A$22,0))),""))</f>
        <v>0.5441008504</v>
      </c>
      <c r="AU9" s="11">
        <f t="array" ref="AU9">IF($AS9="","",IFERROR(IF(INDEX(Matches!$AP$5:$AP$22,MATCH($C9,Matches!$A$5:$A$22,0))="","",IF($AS9="A",INDEX(Matches!$AP$5:$AP$22,MATCH($C9,Matches!$A$5:$A$22,0)),1-INDEX(Matches!$AP$5:$AP$22,MATCH($C9,Matches!$A$5:$A$22,0)))),""))</f>
        <v>0.51763647</v>
      </c>
      <c r="AV9" s="18">
        <f>IF(OR($AU9="",$AT9=""),1,((Config!$B$14*$AU9+Config!$B$15*(1-$AU9))/(Config!$B$14*$AT9+Config!$B$15*(1-$AT9)))^Config!$B$13)</f>
        <v>0.9772476334</v>
      </c>
      <c r="AW9" s="11">
        <f t="array" ref="AW9">IF($AS9="","",IFERROR(IF(INDEX(Matches!$AV$5:$AV$22,MATCH($C9,Matches!$A$5:$A$22,0))="","",IF($AS9="A",INDEX(Matches!$AV$5:$AV$22,MATCH($C9,Matches!$A$5:$A$22,0)),1-INDEX(Matches!$AV$5:$AV$22,MATCH($C9,Matches!$A$5:$A$22,0)))),""))</f>
        <v>0.4858166772</v>
      </c>
      <c r="AX9" s="18">
        <f>IF(OR($AW9="",$AT9=""),1,((Config!$B$14*$AW9+Config!$B$15*(1-$AW9))/(Config!$B$14*$AT9+Config!$B$15*(1-$AT9)))^Config!$B$13)</f>
        <v>0.9498910288</v>
      </c>
      <c r="AY9" s="11">
        <f t="array" ref="AY9">IF($AS9="","",IFERROR(IF(INDEX(Matches!$BB$5:$BB$22,MATCH($C9,Matches!$A$5:$A$22,0))="","",IF($AS9="A",INDEX(Matches!$BB$5:$BB$22,MATCH($C9,Matches!$A$5:$A$22,0)),1-INDEX(Matches!$BB$5:$BB$22,MATCH($C9,Matches!$A$5:$A$22,0)))),""))</f>
        <v>0.5213544931</v>
      </c>
      <c r="AZ9" s="18">
        <f>IF(OR($AY9="",$AT9=""),1,((Config!$B$14*$AY9+Config!$B$15*(1-$AY9))/(Config!$B$14*$AT9+Config!$B$15*(1-$AT9)))^Config!$B$13)</f>
        <v>0.9804441498</v>
      </c>
      <c r="BA9" s="17">
        <f t="shared" si="9"/>
        <v>17.26827107</v>
      </c>
      <c r="BB9" s="17">
        <f t="shared" si="10"/>
        <v>14.29585998</v>
      </c>
      <c r="BC9" s="17">
        <f t="shared" si="11"/>
        <v>15.17727544</v>
      </c>
      <c r="BD9" s="17">
        <f t="shared" si="12"/>
        <v>31.56413105</v>
      </c>
      <c r="BE9" s="17">
        <f t="shared" si="13"/>
        <v>39.29847062</v>
      </c>
      <c r="BF9" s="17">
        <f t="shared" si="14"/>
        <v>8.457135757</v>
      </c>
      <c r="BG9" s="17">
        <f t="shared" si="15"/>
        <v>7.448143051</v>
      </c>
      <c r="BH9" s="17">
        <f t="shared" si="16"/>
        <v>7.755587749</v>
      </c>
      <c r="BI9" s="17">
        <f t="shared" si="17"/>
        <v>15.90527881</v>
      </c>
      <c r="BJ9" s="17">
        <f t="shared" si="18"/>
        <v>19.85752633</v>
      </c>
      <c r="BK9" s="18">
        <f t="shared" si="19"/>
        <v>0.9646647187</v>
      </c>
    </row>
    <row r="10">
      <c r="A10" s="4" t="s">
        <v>1791</v>
      </c>
      <c r="B10" s="4" t="s">
        <v>86</v>
      </c>
      <c r="C10" s="4" t="s">
        <v>1178</v>
      </c>
      <c r="D10" s="4" t="s">
        <v>1181</v>
      </c>
      <c r="E10" s="4" t="s">
        <v>1273</v>
      </c>
      <c r="F10" s="4" t="s">
        <v>1272</v>
      </c>
      <c r="G10" s="4" t="str">
        <f t="array" ref="G10">IFERROR(IF(INDEX(Matches!$W$5:$W$22,MATCH($C10,Matches!$A$5:$A$22,0))="","",INDEX(Matches!$W$5:$W$22,MATCH($C10,Matches!$A$5:$A$22,0))),"")</f>
        <v>Ancient</v>
      </c>
      <c r="H10" s="4" t="str">
        <f t="array" ref="H10">IFERROR(IF(INDEX(Matches!$X$5:$X$22,MATCH($C10,Matches!$A$5:$A$22,0))="","",INDEX(Matches!$X$5:$X$22,MATCH($C10,Matches!$A$5:$A$22,0))),"")</f>
        <v>Inferno</v>
      </c>
      <c r="I10" s="4" t="str">
        <f t="array" ref="I10">IFERROR(IF(INDEX(Matches!$Y$5:$Y$22,MATCH($C10,Matches!$A$5:$A$22,0))="","",INDEX(Matches!$Y$5:$Y$22,MATCH($C10,Matches!$A$5:$A$22,0))),"")</f>
        <v>Mirage</v>
      </c>
      <c r="J10" s="4">
        <f t="array" ref="J10">IFERROR(IF(INDEX(Matches!$Z$5:$Z$22,MATCH($C10,Matches!$A$5:$A$22,0))="","",INDEX(Matches!$Z$5:$Z$22,MATCH($C10,Matches!$A$5:$A$22,0))),"")</f>
        <v>21.5</v>
      </c>
      <c r="K10" s="4">
        <f t="array" ref="K10">IFERROR(IF(INDEX(Matches!$AA$5:$AA$22,MATCH($C10,Matches!$A$5:$A$22,0))="","",INDEX(Matches!$AA$5:$AA$22,MATCH($C10,Matches!$A$5:$A$22,0))),"")</f>
        <v>21.5</v>
      </c>
      <c r="L10" s="4">
        <f t="array" ref="L10">IFERROR(IF(INDEX(Matches!$AB$5:$AB$22,MATCH($C10,Matches!$A$5:$A$22,0))="","",INDEX(Matches!$AB$5:$AB$22,MATCH($C10,Matches!$A$5:$A$22,0))),"")</f>
        <v>21.5</v>
      </c>
      <c r="M10" s="11">
        <f t="array" ref="M10">IFERROR(IF(INDEX(Matches!$AC$5:$AC$22,MATCH($C10,Matches!$A$5:$A$22,0))="","",INDEX(Matches!$AC$5:$AC$22,MATCH($C10,Matches!$A$5:$A$22,0))),"")</f>
        <v>0.5096</v>
      </c>
      <c r="N10" s="4">
        <f t="array" ref="N10">IFERROR(INDEX(Players!$F$2:$F$127,MATCH($F10,Players!$A$2:$A$127,0)),0)</f>
        <v>30</v>
      </c>
      <c r="O10" s="18">
        <f t="array" ref="O10">IFERROR(1/(1/INDEX(Players!$H$2:$H$127,MATCH($F10,Players!$A$2:$A$127,0))),"")</f>
        <v>0.53</v>
      </c>
      <c r="P10" s="11">
        <f t="array" ref="P10">IFERROR(1/(1/INDEX(Players!$I$2:$I$127,MATCH($F10,Players!$A$2:$A$127,0))),"")</f>
        <v>0.56</v>
      </c>
      <c r="Q10" s="4">
        <f>IF($G10="",0,SUMIFS(Map_Stats!$F$2:$F$825,Map_Stats!$A$2:$A$825,$F10&amp;"|"&amp;$G10))</f>
        <v>5</v>
      </c>
      <c r="R10" s="18">
        <f t="array" ref="R10">IF($G10="","",IFERROR(1/(1/INDEX(Map_Stats!$K$2:$K$825,MATCH($F10&amp;"|"&amp;$G10,Map_Stats!$A$2:$A$825,0))),$O10))</f>
        <v>0.47</v>
      </c>
      <c r="S10" s="11">
        <f t="array" ref="S10">IF(OR($G10="",$P10=""),"",IFERROR(1/(1/INDEX(Map_Stats!$I$2:$I$825,MATCH($F10&amp;"|"&amp;$G10,Map_Stats!$A$2:$A$825,0))),$P10))</f>
        <v>0.469</v>
      </c>
      <c r="T10" s="18">
        <f>IF(OR($G10="",R10=""),"",IF($O10="",R10,(Q10*R10+Config!$B$4*$O10)/(Q10+Config!$B$4)))</f>
        <v>0.5</v>
      </c>
      <c r="U10" s="11">
        <f>IF(S10="","",(Q10*S10+Config!$B$4*$P10)/(Q10+Config!$B$4))</f>
        <v>0.5145</v>
      </c>
      <c r="V10" s="17">
        <f>IF(OR(T10="",$J10=""),"",T10*$J10*($J10/Config!$B$10)^Config!$B$9)</f>
        <v>10.75</v>
      </c>
      <c r="W10" s="17">
        <f t="shared" si="1"/>
        <v>5.530875</v>
      </c>
      <c r="X10" s="4">
        <f>IF($H10="",0,SUMIFS(Map_Stats!$F$2:$F$825,Map_Stats!$A$2:$A$825,$F10&amp;"|"&amp;$H10))</f>
        <v>5</v>
      </c>
      <c r="Y10" s="18">
        <f t="array" ref="Y10">IF($H10="","",IFERROR(1/(1/INDEX(Map_Stats!$K$2:$K$825,MATCH($F10&amp;"|"&amp;$H10,Map_Stats!$A$2:$A$825,0))),$O10))</f>
        <v>0.48</v>
      </c>
      <c r="Z10" s="11">
        <f t="array" ref="Z10">IF(OR($H10="",$P10=""),"",IFERROR(1/(1/INDEX(Map_Stats!$I$2:$I$825,MATCH($F10&amp;"|"&amp;$H10,Map_Stats!$A$2:$A$825,0))),$P10))</f>
        <v>0.519</v>
      </c>
      <c r="AA10" s="18">
        <f>IF(OR($H10="",Y10=""),"",IF($O10="",Y10,(X10*Y10+Config!$B$4*$O10)/(X10+Config!$B$4)))</f>
        <v>0.505</v>
      </c>
      <c r="AB10" s="11">
        <f>IF(Z10="","",(X10*Z10+Config!$B$4*$P10)/(X10+Config!$B$4))</f>
        <v>0.5395</v>
      </c>
      <c r="AC10" s="17">
        <f>IF(OR(AA10="",$K10=""),"",AA10*$K10*($K10/Config!$B$10)^Config!$B$9)</f>
        <v>10.8575</v>
      </c>
      <c r="AD10" s="17">
        <f t="shared" si="2"/>
        <v>5.85762125</v>
      </c>
      <c r="AE10" s="4">
        <f>IF($I10="",0,SUMIFS(Map_Stats!$F$2:$F$825,Map_Stats!$A$2:$A$825,$F10&amp;"|"&amp;$I10))</f>
        <v>4</v>
      </c>
      <c r="AF10" s="18">
        <f t="array" ref="AF10">IF($I10="","",IFERROR(1/(1/INDEX(Map_Stats!$K$2:$K$825,MATCH($F10&amp;"|"&amp;$I10,Map_Stats!$A$2:$A$825,0))),$O10))</f>
        <v>0.44</v>
      </c>
      <c r="AG10" s="11">
        <f t="array" ref="AG10">IF(OR($I10="",$P10=""),"",IFERROR(1/(1/INDEX(Map_Stats!$I$2:$I$825,MATCH($F10&amp;"|"&amp;$I10,Map_Stats!$A$2:$A$825,0))),$P10))</f>
        <v>0.725</v>
      </c>
      <c r="AH10" s="18">
        <f>IF(OR($I10="",AF10=""),"",IF($O10="",AF10,(AE10*AF10+Config!$B$4*$O10)/(AE10+Config!$B$4)))</f>
        <v>0.49</v>
      </c>
      <c r="AI10" s="11">
        <f>IF(AG10="","",(AE10*AG10+Config!$B$4*$P10)/(AE10+Config!$B$4))</f>
        <v>0.6333333333</v>
      </c>
      <c r="AJ10" s="17">
        <f>IF(OR(AH10="",$L10=""),"",AH10*$L10*($L10/Config!$B$10)^Config!$B$9)</f>
        <v>10.535</v>
      </c>
      <c r="AK10" s="17">
        <f t="shared" si="3"/>
        <v>6.672166667</v>
      </c>
      <c r="AL10" s="17">
        <f t="shared" si="4"/>
        <v>21.6075</v>
      </c>
      <c r="AM10" s="17">
        <f t="shared" si="5"/>
        <v>26.976136</v>
      </c>
      <c r="AN10" s="17">
        <f t="shared" si="6"/>
        <v>11.38849625</v>
      </c>
      <c r="AO10" s="17">
        <f t="shared" si="7"/>
        <v>14.78863238</v>
      </c>
      <c r="AP10" s="11">
        <f t="shared" si="8"/>
        <v>0.5270621891</v>
      </c>
      <c r="AQ10" s="4" t="str">
        <f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4" t="str">
        <f>IF($C10=Board!$B$2,COUNTIFS($C$2:$C$157,Board!$B$2,$AL$2:$AL$157,"&gt;"&amp;$AL10)+COUNTIFS($C$1:$C9,Board!$B$2,$AL$1:$AL9,$AL10)+1,"")</f>
        <v/>
      </c>
      <c r="AS10" s="4" t="str">
        <f t="array" ref="AS10">IFERROR(IF($D10=INDEX(Matches!$AD$5:$AD$22,MATCH($C10,Matches!$A$5:$A$22,0)),"A",IF($D10=INDEX(Matches!$AE$5:$AE$22,MATCH($C10,Matches!$A$5:$A$22,0)),"B","")),"")</f>
        <v>A</v>
      </c>
      <c r="AT10" s="11">
        <f t="array" ref="AT10">IF($AS10="","",IFERROR(IF($AS10="A",INDEX(Matches!$AI$5:$AI$22,MATCH($C10,Matches!$A$5:$A$22,0)),INDEX(Matches!$AJ$5:$AJ$22,MATCH($C10,Matches!$A$5:$A$22,0))),""))</f>
        <v>0.5441008504</v>
      </c>
      <c r="AU10" s="11">
        <f t="array" ref="AU10">IF($AS10="","",IFERROR(IF(INDEX(Matches!$AP$5:$AP$22,MATCH($C10,Matches!$A$5:$A$22,0))="","",IF($AS10="A",INDEX(Matches!$AP$5:$AP$22,MATCH($C10,Matches!$A$5:$A$22,0)),1-INDEX(Matches!$AP$5:$AP$22,MATCH($C10,Matches!$A$5:$A$22,0)))),""))</f>
        <v>0.51763647</v>
      </c>
      <c r="AV10" s="18">
        <f>IF(OR($AU10="",$AT10=""),1,((Config!$B$14*$AU10+Config!$B$15*(1-$AU10))/(Config!$B$14*$AT10+Config!$B$15*(1-$AT10)))^Config!$B$13)</f>
        <v>0.9772476334</v>
      </c>
      <c r="AW10" s="11">
        <f t="array" ref="AW10">IF($AS10="","",IFERROR(IF(INDEX(Matches!$AV$5:$AV$22,MATCH($C10,Matches!$A$5:$A$22,0))="","",IF($AS10="A",INDEX(Matches!$AV$5:$AV$22,MATCH($C10,Matches!$A$5:$A$22,0)),1-INDEX(Matches!$AV$5:$AV$22,MATCH($C10,Matches!$A$5:$A$22,0)))),""))</f>
        <v>0.4858166772</v>
      </c>
      <c r="AX10" s="18">
        <f>IF(OR($AW10="",$AT10=""),1,((Config!$B$14*$AW10+Config!$B$15*(1-$AW10))/(Config!$B$14*$AT10+Config!$B$15*(1-$AT10)))^Config!$B$13)</f>
        <v>0.9498910288</v>
      </c>
      <c r="AY10" s="11">
        <f t="array" ref="AY10">IF($AS10="","",IFERROR(IF(INDEX(Matches!$BB$5:$BB$22,MATCH($C10,Matches!$A$5:$A$22,0))="","",IF($AS10="A",INDEX(Matches!$BB$5:$BB$22,MATCH($C10,Matches!$A$5:$A$22,0)),1-INDEX(Matches!$BB$5:$BB$22,MATCH($C10,Matches!$A$5:$A$22,0)))),""))</f>
        <v>0.5213544931</v>
      </c>
      <c r="AZ10" s="18">
        <f>IF(OR($AY10="",$AT10=""),1,((Config!$B$14*$AY10+Config!$B$15*(1-$AY10))/(Config!$B$14*$AT10+Config!$B$15*(1-$AT10)))^Config!$B$13)</f>
        <v>0.9804441498</v>
      </c>
      <c r="BA10" s="17">
        <f t="shared" si="9"/>
        <v>10.50541206</v>
      </c>
      <c r="BB10" s="17">
        <f t="shared" si="10"/>
        <v>10.31344184</v>
      </c>
      <c r="BC10" s="17">
        <f t="shared" si="11"/>
        <v>10.32897912</v>
      </c>
      <c r="BD10" s="17">
        <f t="shared" si="12"/>
        <v>20.8188539</v>
      </c>
      <c r="BE10" s="17">
        <f t="shared" si="13"/>
        <v>26.08250166</v>
      </c>
      <c r="BF10" s="17">
        <f t="shared" si="14"/>
        <v>5.405034504</v>
      </c>
      <c r="BG10" s="17">
        <f t="shared" si="15"/>
        <v>5.564101875</v>
      </c>
      <c r="BH10" s="17">
        <f t="shared" si="16"/>
        <v>6.541686775</v>
      </c>
      <c r="BI10" s="17">
        <f t="shared" si="17"/>
        <v>10.96913638</v>
      </c>
      <c r="BJ10" s="17">
        <f t="shared" si="18"/>
        <v>14.30277996</v>
      </c>
      <c r="BK10" s="18">
        <f t="shared" si="19"/>
        <v>0.9635012798</v>
      </c>
    </row>
    <row r="11">
      <c r="A11" s="4" t="s">
        <v>1846</v>
      </c>
      <c r="B11" s="4" t="s">
        <v>86</v>
      </c>
      <c r="C11" s="4" t="s">
        <v>1178</v>
      </c>
      <c r="D11" s="4" t="s">
        <v>1181</v>
      </c>
      <c r="E11" s="4" t="s">
        <v>1276</v>
      </c>
      <c r="F11" s="4" t="s">
        <v>1275</v>
      </c>
      <c r="G11" s="4" t="str">
        <f t="array" ref="G11">IFERROR(IF(INDEX(Matches!$W$5:$W$22,MATCH($C11,Matches!$A$5:$A$22,0))="","",INDEX(Matches!$W$5:$W$22,MATCH($C11,Matches!$A$5:$A$22,0))),"")</f>
        <v>Ancient</v>
      </c>
      <c r="H11" s="4" t="str">
        <f t="array" ref="H11">IFERROR(IF(INDEX(Matches!$X$5:$X$22,MATCH($C11,Matches!$A$5:$A$22,0))="","",INDEX(Matches!$X$5:$X$22,MATCH($C11,Matches!$A$5:$A$22,0))),"")</f>
        <v>Inferno</v>
      </c>
      <c r="I11" s="4" t="str">
        <f t="array" ref="I11">IFERROR(IF(INDEX(Matches!$Y$5:$Y$22,MATCH($C11,Matches!$A$5:$A$22,0))="","",INDEX(Matches!$Y$5:$Y$22,MATCH($C11,Matches!$A$5:$A$22,0))),"")</f>
        <v>Mirage</v>
      </c>
      <c r="J11" s="4">
        <f t="array" ref="J11">IFERROR(IF(INDEX(Matches!$Z$5:$Z$22,MATCH($C11,Matches!$A$5:$A$22,0))="","",INDEX(Matches!$Z$5:$Z$22,MATCH($C11,Matches!$A$5:$A$22,0))),"")</f>
        <v>21.5</v>
      </c>
      <c r="K11" s="4">
        <f t="array" ref="K11">IFERROR(IF(INDEX(Matches!$AA$5:$AA$22,MATCH($C11,Matches!$A$5:$A$22,0))="","",INDEX(Matches!$AA$5:$AA$22,MATCH($C11,Matches!$A$5:$A$22,0))),"")</f>
        <v>21.5</v>
      </c>
      <c r="L11" s="4">
        <f t="array" ref="L11">IFERROR(IF(INDEX(Matches!$AB$5:$AB$22,MATCH($C11,Matches!$A$5:$A$22,0))="","",INDEX(Matches!$AB$5:$AB$22,MATCH($C11,Matches!$A$5:$A$22,0))),"")</f>
        <v>21.5</v>
      </c>
      <c r="M11" s="11">
        <f t="array" ref="M11">IFERROR(IF(INDEX(Matches!$AC$5:$AC$22,MATCH($C11,Matches!$A$5:$A$22,0))="","",INDEX(Matches!$AC$5:$AC$22,MATCH($C11,Matches!$A$5:$A$22,0))),"")</f>
        <v>0.5096</v>
      </c>
      <c r="N11" s="4">
        <f t="array" ref="N11">IFERROR(INDEX(Players!$F$2:$F$127,MATCH($F11,Players!$A$2:$A$127,0)),0)</f>
        <v>42</v>
      </c>
      <c r="O11" s="18">
        <f t="array" ref="O11">IFERROR(1/(1/INDEX(Players!$H$2:$H$127,MATCH($F11,Players!$A$2:$A$127,0))),"")</f>
        <v>0.74</v>
      </c>
      <c r="P11" s="11">
        <f t="array" ref="P11">IFERROR(1/(1/INDEX(Players!$I$2:$I$127,MATCH($F11,Players!$A$2:$A$127,0))),"")</f>
        <v>0.556</v>
      </c>
      <c r="Q11" s="4">
        <f>IF($G11="",0,SUMIFS(Map_Stats!$F$2:$F$825,Map_Stats!$A$2:$A$825,$F11&amp;"|"&amp;$G11))</f>
        <v>11</v>
      </c>
      <c r="R11" s="18">
        <f t="array" ref="R11">IF($G11="","",IFERROR(1/(1/INDEX(Map_Stats!$K$2:$K$825,MATCH($F11&amp;"|"&amp;$G11,Map_Stats!$A$2:$A$825,0))),$O11))</f>
        <v>0.78</v>
      </c>
      <c r="S11" s="11">
        <f t="array" ref="S11">IF(OR($G11="",$P11=""),"",IFERROR(1/(1/INDEX(Map_Stats!$I$2:$I$825,MATCH($F11&amp;"|"&amp;$G11,Map_Stats!$A$2:$A$825,0))),$P11))</f>
        <v>0.555</v>
      </c>
      <c r="T11" s="18">
        <f>IF(OR($G11="",R11=""),"",IF($O11="",R11,(Q11*R11+Config!$B$4*$O11)/(Q11+Config!$B$4)))</f>
        <v>0.7675</v>
      </c>
      <c r="U11" s="11">
        <f>IF(S11="","",(Q11*S11+Config!$B$4*$P11)/(Q11+Config!$B$4))</f>
        <v>0.5553125</v>
      </c>
      <c r="V11" s="17">
        <f>IF(OR(T11="",$J11=""),"",T11*$J11*($J11/Config!$B$10)^Config!$B$9)</f>
        <v>16.50125</v>
      </c>
      <c r="W11" s="17">
        <f t="shared" si="1"/>
        <v>9.163350391</v>
      </c>
      <c r="X11" s="4">
        <f>IF($H11="",0,SUMIFS(Map_Stats!$F$2:$F$825,Map_Stats!$A$2:$A$825,$F11&amp;"|"&amp;$H11))</f>
        <v>5</v>
      </c>
      <c r="Y11" s="18">
        <f t="array" ref="Y11">IF($H11="","",IFERROR(1/(1/INDEX(Map_Stats!$K$2:$K$825,MATCH($F11&amp;"|"&amp;$H11,Map_Stats!$A$2:$A$825,0))),$O11))</f>
        <v>0.74</v>
      </c>
      <c r="Z11" s="11">
        <f t="array" ref="Z11">IF(OR($H11="",$P11=""),"",IFERROR(1/(1/INDEX(Map_Stats!$I$2:$I$825,MATCH($F11&amp;"|"&amp;$H11,Map_Stats!$A$2:$A$825,0))),$P11))</f>
        <v>0.54</v>
      </c>
      <c r="AA11" s="18">
        <f>IF(OR($H11="",Y11=""),"",IF($O11="",Y11,(X11*Y11+Config!$B$4*$O11)/(X11+Config!$B$4)))</f>
        <v>0.74</v>
      </c>
      <c r="AB11" s="11">
        <f>IF(Z11="","",(X11*Z11+Config!$B$4*$P11)/(X11+Config!$B$4))</f>
        <v>0.548</v>
      </c>
      <c r="AC11" s="17">
        <f>IF(OR(AA11="",$K11=""),"",AA11*$K11*($K11/Config!$B$10)^Config!$B$9)</f>
        <v>15.91</v>
      </c>
      <c r="AD11" s="17">
        <f t="shared" si="2"/>
        <v>8.71868</v>
      </c>
      <c r="AE11" s="4">
        <f>IF($I11="",0,SUMIFS(Map_Stats!$F$2:$F$825,Map_Stats!$A$2:$A$825,$F11&amp;"|"&amp;$I11))</f>
        <v>5</v>
      </c>
      <c r="AF11" s="18">
        <f t="array" ref="AF11">IF($I11="","",IFERROR(1/(1/INDEX(Map_Stats!$K$2:$K$825,MATCH($F11&amp;"|"&amp;$I11,Map_Stats!$A$2:$A$825,0))),$O11))</f>
        <v>0.71</v>
      </c>
      <c r="AG11" s="11">
        <f t="array" ref="AG11">IF(OR($I11="",$P11=""),"",IFERROR(1/(1/INDEX(Map_Stats!$I$2:$I$825,MATCH($F11&amp;"|"&amp;$I11,Map_Stats!$A$2:$A$825,0))),$P11))</f>
        <v>0.488</v>
      </c>
      <c r="AH11" s="18">
        <f>IF(OR($I11="",AF11=""),"",IF($O11="",AF11,(AE11*AF11+Config!$B$4*$O11)/(AE11+Config!$B$4)))</f>
        <v>0.725</v>
      </c>
      <c r="AI11" s="11">
        <f>IF(AG11="","",(AE11*AG11+Config!$B$4*$P11)/(AE11+Config!$B$4))</f>
        <v>0.522</v>
      </c>
      <c r="AJ11" s="17">
        <f>IF(OR(AH11="",$L11=""),"",AH11*$L11*($L11/Config!$B$10)^Config!$B$9)</f>
        <v>15.5875</v>
      </c>
      <c r="AK11" s="17">
        <f t="shared" si="3"/>
        <v>8.136675</v>
      </c>
      <c r="AL11" s="17">
        <f t="shared" si="4"/>
        <v>32.41125</v>
      </c>
      <c r="AM11" s="17">
        <f t="shared" si="5"/>
        <v>40.35464</v>
      </c>
      <c r="AN11" s="17">
        <f t="shared" si="6"/>
        <v>17.88203039</v>
      </c>
      <c r="AO11" s="17">
        <f t="shared" si="7"/>
        <v>22.02847997</v>
      </c>
      <c r="AP11" s="11">
        <f t="shared" si="8"/>
        <v>0.5517229478</v>
      </c>
      <c r="AQ11" s="4" t="str">
        <f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4" t="str">
        <f>IF($C11=Board!$B$2,COUNTIFS($C$2:$C$157,Board!$B$2,$AL$2:$AL$157,"&gt;"&amp;$AL11)+COUNTIFS($C$1:$C10,Board!$B$2,$AL$1:$AL10,$AL11)+1,"")</f>
        <v/>
      </c>
      <c r="AS11" s="4" t="str">
        <f t="array" ref="AS11">IFERROR(IF($D11=INDEX(Matches!$AD$5:$AD$22,MATCH($C11,Matches!$A$5:$A$22,0)),"A",IF($D11=INDEX(Matches!$AE$5:$AE$22,MATCH($C11,Matches!$A$5:$A$22,0)),"B","")),"")</f>
        <v>A</v>
      </c>
      <c r="AT11" s="11">
        <f t="array" ref="AT11">IF($AS11="","",IFERROR(IF($AS11="A",INDEX(Matches!$AI$5:$AI$22,MATCH($C11,Matches!$A$5:$A$22,0)),INDEX(Matches!$AJ$5:$AJ$22,MATCH($C11,Matches!$A$5:$A$22,0))),""))</f>
        <v>0.5441008504</v>
      </c>
      <c r="AU11" s="11">
        <f t="array" ref="AU11">IF($AS11="","",IFERROR(IF(INDEX(Matches!$AP$5:$AP$22,MATCH($C11,Matches!$A$5:$A$22,0))="","",IF($AS11="A",INDEX(Matches!$AP$5:$AP$22,MATCH($C11,Matches!$A$5:$A$22,0)),1-INDEX(Matches!$AP$5:$AP$22,MATCH($C11,Matches!$A$5:$A$22,0)))),""))</f>
        <v>0.51763647</v>
      </c>
      <c r="AV11" s="18">
        <f>IF(OR($AU11="",$AT11=""),1,((Config!$B$14*$AU11+Config!$B$15*(1-$AU11))/(Config!$B$14*$AT11+Config!$B$15*(1-$AT11)))^Config!$B$13)</f>
        <v>0.9772476334</v>
      </c>
      <c r="AW11" s="11">
        <f t="array" ref="AW11">IF($AS11="","",IFERROR(IF(INDEX(Matches!$AV$5:$AV$22,MATCH($C11,Matches!$A$5:$A$22,0))="","",IF($AS11="A",INDEX(Matches!$AV$5:$AV$22,MATCH($C11,Matches!$A$5:$A$22,0)),1-INDEX(Matches!$AV$5:$AV$22,MATCH($C11,Matches!$A$5:$A$22,0)))),""))</f>
        <v>0.4858166772</v>
      </c>
      <c r="AX11" s="18">
        <f>IF(OR($AW11="",$AT11=""),1,((Config!$B$14*$AW11+Config!$B$15*(1-$AW11))/(Config!$B$14*$AT11+Config!$B$15*(1-$AT11)))^Config!$B$13)</f>
        <v>0.9498910288</v>
      </c>
      <c r="AY11" s="11">
        <f t="array" ref="AY11">IF($AS11="","",IFERROR(IF(INDEX(Matches!$BB$5:$BB$22,MATCH($C11,Matches!$A$5:$A$22,0))="","",IF($AS11="A",INDEX(Matches!$BB$5:$BB$22,MATCH($C11,Matches!$A$5:$A$22,0)),1-INDEX(Matches!$BB$5:$BB$22,MATCH($C11,Matches!$A$5:$A$22,0)))),""))</f>
        <v>0.5213544931</v>
      </c>
      <c r="AZ11" s="18">
        <f>IF(OR($AY11="",$AT11=""),1,((Config!$B$14*$AY11+Config!$B$15*(1-$AY11))/(Config!$B$14*$AT11+Config!$B$15*(1-$AT11)))^Config!$B$13)</f>
        <v>0.9804441498</v>
      </c>
      <c r="BA11" s="17">
        <f t="shared" si="9"/>
        <v>16.12580751</v>
      </c>
      <c r="BB11" s="17">
        <f t="shared" si="10"/>
        <v>15.11276627</v>
      </c>
      <c r="BC11" s="17">
        <f t="shared" si="11"/>
        <v>15.28267318</v>
      </c>
      <c r="BD11" s="17">
        <f t="shared" si="12"/>
        <v>31.23857378</v>
      </c>
      <c r="BE11" s="17">
        <f t="shared" si="13"/>
        <v>39.02662403</v>
      </c>
      <c r="BF11" s="17">
        <f t="shared" si="14"/>
        <v>8.954862483</v>
      </c>
      <c r="BG11" s="17">
        <f t="shared" si="15"/>
        <v>8.281795915</v>
      </c>
      <c r="BH11" s="17">
        <f t="shared" si="16"/>
        <v>7.977555402</v>
      </c>
      <c r="BI11" s="17">
        <f t="shared" si="17"/>
        <v>17.2366584</v>
      </c>
      <c r="BJ11" s="17">
        <f t="shared" si="18"/>
        <v>21.30202063</v>
      </c>
      <c r="BK11" s="18">
        <f t="shared" si="19"/>
        <v>0.9638188523</v>
      </c>
    </row>
    <row r="12">
      <c r="A12" s="4" t="s">
        <v>1894</v>
      </c>
      <c r="B12" s="4" t="s">
        <v>86</v>
      </c>
      <c r="C12" s="4" t="s">
        <v>1178</v>
      </c>
      <c r="D12" s="4" t="s">
        <v>1182</v>
      </c>
      <c r="E12" s="4" t="s">
        <v>1454</v>
      </c>
      <c r="F12" s="4" t="s">
        <v>1453</v>
      </c>
      <c r="G12" s="4" t="str">
        <f t="array" ref="G12">IFERROR(IF(INDEX(Matches!$W$5:$W$22,MATCH($C12,Matches!$A$5:$A$22,0))="","",INDEX(Matches!$W$5:$W$22,MATCH($C12,Matches!$A$5:$A$22,0))),"")</f>
        <v>Ancient</v>
      </c>
      <c r="H12" s="4" t="str">
        <f t="array" ref="H12">IFERROR(IF(INDEX(Matches!$X$5:$X$22,MATCH($C12,Matches!$A$5:$A$22,0))="","",INDEX(Matches!$X$5:$X$22,MATCH($C12,Matches!$A$5:$A$22,0))),"")</f>
        <v>Inferno</v>
      </c>
      <c r="I12" s="4" t="str">
        <f t="array" ref="I12">IFERROR(IF(INDEX(Matches!$Y$5:$Y$22,MATCH($C12,Matches!$A$5:$A$22,0))="","",INDEX(Matches!$Y$5:$Y$22,MATCH($C12,Matches!$A$5:$A$22,0))),"")</f>
        <v>Mirage</v>
      </c>
      <c r="J12" s="4">
        <f t="array" ref="J12">IFERROR(IF(INDEX(Matches!$Z$5:$Z$22,MATCH($C12,Matches!$A$5:$A$22,0))="","",INDEX(Matches!$Z$5:$Z$22,MATCH($C12,Matches!$A$5:$A$22,0))),"")</f>
        <v>21.5</v>
      </c>
      <c r="K12" s="4">
        <f t="array" ref="K12">IFERROR(IF(INDEX(Matches!$AA$5:$AA$22,MATCH($C12,Matches!$A$5:$A$22,0))="","",INDEX(Matches!$AA$5:$AA$22,MATCH($C12,Matches!$A$5:$A$22,0))),"")</f>
        <v>21.5</v>
      </c>
      <c r="L12" s="4">
        <f t="array" ref="L12">IFERROR(IF(INDEX(Matches!$AB$5:$AB$22,MATCH($C12,Matches!$A$5:$A$22,0))="","",INDEX(Matches!$AB$5:$AB$22,MATCH($C12,Matches!$A$5:$A$22,0))),"")</f>
        <v>21.5</v>
      </c>
      <c r="M12" s="11">
        <f t="array" ref="M12">IFERROR(IF(INDEX(Matches!$AC$5:$AC$22,MATCH($C12,Matches!$A$5:$A$22,0))="","",INDEX(Matches!$AC$5:$AC$22,MATCH($C12,Matches!$A$5:$A$22,0))),"")</f>
        <v>0.5096</v>
      </c>
      <c r="N12" s="4">
        <f t="array" ref="N12">IFERROR(INDEX(Players!$F$2:$F$127,MATCH($F12,Players!$A$2:$A$127,0)),0)</f>
        <v>36</v>
      </c>
      <c r="O12" s="18">
        <f t="array" ref="O12">IFERROR(1/(1/INDEX(Players!$H$2:$H$127,MATCH($F12,Players!$A$2:$A$127,0))),"")</f>
        <v>0.81</v>
      </c>
      <c r="P12" s="11">
        <f t="array" ref="P12">IFERROR(1/(1/INDEX(Players!$I$2:$I$127,MATCH($F12,Players!$A$2:$A$127,0))),"")</f>
        <v>0.524</v>
      </c>
      <c r="Q12" s="4">
        <f>IF($G12="",0,SUMIFS(Map_Stats!$F$2:$F$825,Map_Stats!$A$2:$A$825,$F12&amp;"|"&amp;$G12))</f>
        <v>7</v>
      </c>
      <c r="R12" s="18">
        <f t="array" ref="R12">IF($G12="","",IFERROR(1/(1/INDEX(Map_Stats!$K$2:$K$825,MATCH($F12&amp;"|"&amp;$G12,Map_Stats!$A$2:$A$825,0))),$O12))</f>
        <v>0.89</v>
      </c>
      <c r="S12" s="11">
        <f t="array" ref="S12">IF(OR($G12="",$P12=""),"",IFERROR(1/(1/INDEX(Map_Stats!$I$2:$I$825,MATCH($F12&amp;"|"&amp;$G12,Map_Stats!$A$2:$A$825,0))),$P12))</f>
        <v>0.496</v>
      </c>
      <c r="T12" s="18">
        <f>IF(OR($G12="",R12=""),"",IF($O12="",R12,(Q12*R12+Config!$B$4*$O12)/(Q12+Config!$B$4)))</f>
        <v>0.8566666667</v>
      </c>
      <c r="U12" s="11">
        <f>IF(S12="","",(Q12*S12+Config!$B$4*$P12)/(Q12+Config!$B$4))</f>
        <v>0.5076666667</v>
      </c>
      <c r="V12" s="17">
        <f>IF(OR(T12="",$J12=""),"",T12*$J12*($J12/Config!$B$10)^Config!$B$9)</f>
        <v>18.41833333</v>
      </c>
      <c r="W12" s="17">
        <f t="shared" si="1"/>
        <v>9.350373889</v>
      </c>
      <c r="X12" s="4">
        <f>IF($H12="",0,SUMIFS(Map_Stats!$F$2:$F$825,Map_Stats!$A$2:$A$825,$F12&amp;"|"&amp;$H12))</f>
        <v>8</v>
      </c>
      <c r="Y12" s="18">
        <f t="array" ref="Y12">IF($H12="","",IFERROR(1/(1/INDEX(Map_Stats!$K$2:$K$825,MATCH($F12&amp;"|"&amp;$H12,Map_Stats!$A$2:$A$825,0))),$O12))</f>
        <v>0.81</v>
      </c>
      <c r="Z12" s="11">
        <f t="array" ref="Z12">IF(OR($H12="",$P12=""),"",IFERROR(1/(1/INDEX(Map_Stats!$I$2:$I$825,MATCH($F12&amp;"|"&amp;$H12,Map_Stats!$A$2:$A$825,0))),$P12))</f>
        <v>0.531</v>
      </c>
      <c r="AA12" s="18">
        <f>IF(OR($H12="",Y12=""),"",IF($O12="",Y12,(X12*Y12+Config!$B$4*$O12)/(X12+Config!$B$4)))</f>
        <v>0.81</v>
      </c>
      <c r="AB12" s="11">
        <f>IF(Z12="","",(X12*Z12+Config!$B$4*$P12)/(X12+Config!$B$4))</f>
        <v>0.5283076923</v>
      </c>
      <c r="AC12" s="17">
        <f>IF(OR(AA12="",$K12=""),"",AA12*$K12*($K12/Config!$B$10)^Config!$B$9)</f>
        <v>17.415</v>
      </c>
      <c r="AD12" s="17">
        <f t="shared" si="2"/>
        <v>9.200478462</v>
      </c>
      <c r="AE12" s="4">
        <f>IF($I12="",0,SUMIFS(Map_Stats!$F$2:$F$825,Map_Stats!$A$2:$A$825,$F12&amp;"|"&amp;$I12))</f>
        <v>6</v>
      </c>
      <c r="AF12" s="18">
        <f t="array" ref="AF12">IF($I12="","",IFERROR(1/(1/INDEX(Map_Stats!$K$2:$K$825,MATCH($F12&amp;"|"&amp;$I12,Map_Stats!$A$2:$A$825,0))),$O12))</f>
        <v>0.69</v>
      </c>
      <c r="AG12" s="11">
        <f t="array" ref="AG12">IF(OR($I12="",$P12=""),"",IFERROR(1/(1/INDEX(Map_Stats!$I$2:$I$825,MATCH($F12&amp;"|"&amp;$I12,Map_Stats!$A$2:$A$825,0))),$P12))</f>
        <v>0.494</v>
      </c>
      <c r="AH12" s="18">
        <f>IF(OR($I12="",AF12=""),"",IF($O12="",AF12,(AE12*AF12+Config!$B$4*$O12)/(AE12+Config!$B$4)))</f>
        <v>0.7445454545</v>
      </c>
      <c r="AI12" s="11">
        <f>IF(AG12="","",(AE12*AG12+Config!$B$4*$P12)/(AE12+Config!$B$4))</f>
        <v>0.5076363636</v>
      </c>
      <c r="AJ12" s="17">
        <f>IF(OR(AH12="",$L12=""),"",AH12*$L12*($L12/Config!$B$10)^Config!$B$9)</f>
        <v>16.00772727</v>
      </c>
      <c r="AK12" s="17">
        <f t="shared" si="3"/>
        <v>8.126104463</v>
      </c>
      <c r="AL12" s="17">
        <f t="shared" si="4"/>
        <v>35.83333333</v>
      </c>
      <c r="AM12" s="17">
        <f t="shared" si="5"/>
        <v>43.99087115</v>
      </c>
      <c r="AN12" s="17">
        <f t="shared" si="6"/>
        <v>18.55085235</v>
      </c>
      <c r="AO12" s="17">
        <f t="shared" si="7"/>
        <v>22.69191518</v>
      </c>
      <c r="AP12" s="11">
        <f t="shared" si="8"/>
        <v>0.5176982051</v>
      </c>
      <c r="AQ12" s="4" t="str">
        <f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4" t="str">
        <f>IF($C12=Board!$B$2,COUNTIFS($C$2:$C$157,Board!$B$2,$AL$2:$AL$157,"&gt;"&amp;$AL12)+COUNTIFS($C$1:$C11,Board!$B$2,$AL$1:$AL11,$AL12)+1,"")</f>
        <v/>
      </c>
      <c r="AS12" s="4" t="str">
        <f t="array" ref="AS12">IFERROR(IF($D12=INDEX(Matches!$AD$5:$AD$22,MATCH($C12,Matches!$A$5:$A$22,0)),"A",IF($D12=INDEX(Matches!$AE$5:$AE$22,MATCH($C12,Matches!$A$5:$A$22,0)),"B","")),"")</f>
        <v>B</v>
      </c>
      <c r="AT12" s="11">
        <f t="array" ref="AT12">IF($AS12="","",IFERROR(IF($AS12="A",INDEX(Matches!$AI$5:$AI$22,MATCH($C12,Matches!$A$5:$A$22,0)),INDEX(Matches!$AJ$5:$AJ$22,MATCH($C12,Matches!$A$5:$A$22,0))),""))</f>
        <v>0.5371959436</v>
      </c>
      <c r="AU12" s="11">
        <f t="array" ref="AU12">IF($AS12="","",IFERROR(IF(INDEX(Matches!$AP$5:$AP$22,MATCH($C12,Matches!$A$5:$A$22,0))="","",IF($AS12="A",INDEX(Matches!$AP$5:$AP$22,MATCH($C12,Matches!$A$5:$A$22,0)),1-INDEX(Matches!$AP$5:$AP$22,MATCH($C12,Matches!$A$5:$A$22,0)))),""))</f>
        <v>0.48236353</v>
      </c>
      <c r="AV12" s="18">
        <f>IF(OR($AU12="",$AT12=""),1,((Config!$B$14*$AU12+Config!$B$15*(1-$AU12))/(Config!$B$14*$AT12+Config!$B$15*(1-$AT12)))^Config!$B$13)</f>
        <v>0.9525771081</v>
      </c>
      <c r="AW12" s="11">
        <f t="array" ref="AW12">IF($AS12="","",IFERROR(IF(INDEX(Matches!$AV$5:$AV$22,MATCH($C12,Matches!$A$5:$A$22,0))="","",IF($AS12="A",INDEX(Matches!$AV$5:$AV$22,MATCH($C12,Matches!$A$5:$A$22,0)),1-INDEX(Matches!$AV$5:$AV$22,MATCH($C12,Matches!$A$5:$A$22,0)))),""))</f>
        <v>0.5141833228</v>
      </c>
      <c r="AX12" s="18">
        <f>IF(OR($AW12="",$AT12=""),1,((Config!$B$14*$AW12+Config!$B$15*(1-$AW12))/(Config!$B$14*$AT12+Config!$B$15*(1-$AT12)))^Config!$B$13)</f>
        <v>0.9800970821</v>
      </c>
      <c r="AY12" s="11">
        <f t="array" ref="AY12">IF($AS12="","",IFERROR(IF(INDEX(Matches!$BB$5:$BB$22,MATCH($C12,Matches!$A$5:$A$22,0))="","",IF($AS12="A",INDEX(Matches!$BB$5:$BB$22,MATCH($C12,Matches!$A$5:$A$22,0)),1-INDEX(Matches!$BB$5:$BB$22,MATCH($C12,Matches!$A$5:$A$22,0)))),""))</f>
        <v>0.4786455069</v>
      </c>
      <c r="AZ12" s="18">
        <f>IF(OR($AY12="",$AT12=""),1,((Config!$B$14*$AY12+Config!$B$15*(1-$AY12))/(Config!$B$14*$AT12+Config!$B$15*(1-$AT12)))^Config!$B$13)</f>
        <v>0.9493615026</v>
      </c>
      <c r="BA12" s="17">
        <f t="shared" si="9"/>
        <v>17.5448827</v>
      </c>
      <c r="BB12" s="17">
        <f t="shared" si="10"/>
        <v>17.06839068</v>
      </c>
      <c r="BC12" s="17">
        <f t="shared" si="11"/>
        <v>15.19712002</v>
      </c>
      <c r="BD12" s="17">
        <f t="shared" si="12"/>
        <v>34.61327339</v>
      </c>
      <c r="BE12" s="17">
        <f t="shared" si="13"/>
        <v>42.35772575</v>
      </c>
      <c r="BF12" s="17">
        <f t="shared" si="14"/>
        <v>8.906952118</v>
      </c>
      <c r="BG12" s="17">
        <f t="shared" si="15"/>
        <v>9.017362094</v>
      </c>
      <c r="BH12" s="17">
        <f t="shared" si="16"/>
        <v>7.714610743</v>
      </c>
      <c r="BI12" s="17">
        <f t="shared" si="17"/>
        <v>17.92431421</v>
      </c>
      <c r="BJ12" s="17">
        <f t="shared" si="18"/>
        <v>21.85567985</v>
      </c>
      <c r="BK12" s="18">
        <f t="shared" si="19"/>
        <v>0.9659518154</v>
      </c>
    </row>
    <row r="13">
      <c r="A13" s="4" t="s">
        <v>1986</v>
      </c>
      <c r="B13" s="4" t="s">
        <v>86</v>
      </c>
      <c r="C13" s="4" t="s">
        <v>1178</v>
      </c>
      <c r="D13" s="4" t="s">
        <v>1182</v>
      </c>
      <c r="E13" s="4" t="s">
        <v>1458</v>
      </c>
      <c r="F13" s="4" t="s">
        <v>1457</v>
      </c>
      <c r="G13" s="4" t="str">
        <f t="array" ref="G13">IFERROR(IF(INDEX(Matches!$W$5:$W$22,MATCH($C13,Matches!$A$5:$A$22,0))="","",INDEX(Matches!$W$5:$W$22,MATCH($C13,Matches!$A$5:$A$22,0))),"")</f>
        <v>Ancient</v>
      </c>
      <c r="H13" s="4" t="str">
        <f t="array" ref="H13">IFERROR(IF(INDEX(Matches!$X$5:$X$22,MATCH($C13,Matches!$A$5:$A$22,0))="","",INDEX(Matches!$X$5:$X$22,MATCH($C13,Matches!$A$5:$A$22,0))),"")</f>
        <v>Inferno</v>
      </c>
      <c r="I13" s="4" t="str">
        <f t="array" ref="I13">IFERROR(IF(INDEX(Matches!$Y$5:$Y$22,MATCH($C13,Matches!$A$5:$A$22,0))="","",INDEX(Matches!$Y$5:$Y$22,MATCH($C13,Matches!$A$5:$A$22,0))),"")</f>
        <v>Mirage</v>
      </c>
      <c r="J13" s="4">
        <f t="array" ref="J13">IFERROR(IF(INDEX(Matches!$Z$5:$Z$22,MATCH($C13,Matches!$A$5:$A$22,0))="","",INDEX(Matches!$Z$5:$Z$22,MATCH($C13,Matches!$A$5:$A$22,0))),"")</f>
        <v>21.5</v>
      </c>
      <c r="K13" s="4">
        <f t="array" ref="K13">IFERROR(IF(INDEX(Matches!$AA$5:$AA$22,MATCH($C13,Matches!$A$5:$A$22,0))="","",INDEX(Matches!$AA$5:$AA$22,MATCH($C13,Matches!$A$5:$A$22,0))),"")</f>
        <v>21.5</v>
      </c>
      <c r="L13" s="4">
        <f t="array" ref="L13">IFERROR(IF(INDEX(Matches!$AB$5:$AB$22,MATCH($C13,Matches!$A$5:$A$22,0))="","",INDEX(Matches!$AB$5:$AB$22,MATCH($C13,Matches!$A$5:$A$22,0))),"")</f>
        <v>21.5</v>
      </c>
      <c r="M13" s="11">
        <f t="array" ref="M13">IFERROR(IF(INDEX(Matches!$AC$5:$AC$22,MATCH($C13,Matches!$A$5:$A$22,0))="","",INDEX(Matches!$AC$5:$AC$22,MATCH($C13,Matches!$A$5:$A$22,0))),"")</f>
        <v>0.5096</v>
      </c>
      <c r="N13" s="4">
        <f t="array" ref="N13">IFERROR(INDEX(Players!$F$2:$F$127,MATCH($F13,Players!$A$2:$A$127,0)),0)</f>
        <v>36</v>
      </c>
      <c r="O13" s="18">
        <f t="array" ref="O13">IFERROR(1/(1/INDEX(Players!$H$2:$H$127,MATCH($F13,Players!$A$2:$A$127,0))),"")</f>
        <v>0.56</v>
      </c>
      <c r="P13" s="11">
        <f t="array" ref="P13">IFERROR(1/(1/INDEX(Players!$I$2:$I$127,MATCH($F13,Players!$A$2:$A$127,0))),"")</f>
        <v>0.569</v>
      </c>
      <c r="Q13" s="4">
        <f>IF($G13="",0,SUMIFS(Map_Stats!$F$2:$F$825,Map_Stats!$A$2:$A$825,$F13&amp;"|"&amp;$G13))</f>
        <v>7</v>
      </c>
      <c r="R13" s="18">
        <f t="array" ref="R13">IF($G13="","",IFERROR(1/(1/INDEX(Map_Stats!$K$2:$K$825,MATCH($F13&amp;"|"&amp;$G13,Map_Stats!$A$2:$A$825,0))),$O13))</f>
        <v>0.61</v>
      </c>
      <c r="S13" s="11">
        <f t="array" ref="S13">IF(OR($G13="",$P13=""),"",IFERROR(1/(1/INDEX(Map_Stats!$I$2:$I$825,MATCH($F13&amp;"|"&amp;$G13,Map_Stats!$A$2:$A$825,0))),$P13))</f>
        <v>0.585</v>
      </c>
      <c r="T13" s="18">
        <f>IF(OR($G13="",R13=""),"",IF($O13="",R13,(Q13*R13+Config!$B$4*$O13)/(Q13+Config!$B$4)))</f>
        <v>0.5891666667</v>
      </c>
      <c r="U13" s="11">
        <f>IF(S13="","",(Q13*S13+Config!$B$4*$P13)/(Q13+Config!$B$4))</f>
        <v>0.5783333333</v>
      </c>
      <c r="V13" s="17">
        <f>IF(OR(T13="",$J13=""),"",T13*$J13*($J13/Config!$B$10)^Config!$B$9)</f>
        <v>12.66708333</v>
      </c>
      <c r="W13" s="17">
        <f t="shared" si="1"/>
        <v>7.325796528</v>
      </c>
      <c r="X13" s="4">
        <f>IF($H13="",0,SUMIFS(Map_Stats!$F$2:$F$825,Map_Stats!$A$2:$A$825,$F13&amp;"|"&amp;$H13))</f>
        <v>8</v>
      </c>
      <c r="Y13" s="18">
        <f t="array" ref="Y13">IF($H13="","",IFERROR(1/(1/INDEX(Map_Stats!$K$2:$K$825,MATCH($F13&amp;"|"&amp;$H13,Map_Stats!$A$2:$A$825,0))),$O13))</f>
        <v>0.44</v>
      </c>
      <c r="Z13" s="11">
        <f t="array" ref="Z13">IF(OR($H13="",$P13=""),"",IFERROR(1/(1/INDEX(Map_Stats!$I$2:$I$825,MATCH($F13&amp;"|"&amp;$H13,Map_Stats!$A$2:$A$825,0))),$P13))</f>
        <v>0.603</v>
      </c>
      <c r="AA13" s="18">
        <f>IF(OR($H13="",Y13=""),"",IF($O13="",Y13,(X13*Y13+Config!$B$4*$O13)/(X13+Config!$B$4)))</f>
        <v>0.4861538462</v>
      </c>
      <c r="AB13" s="11">
        <f>IF(Z13="","",(X13*Z13+Config!$B$4*$P13)/(X13+Config!$B$4))</f>
        <v>0.5899230769</v>
      </c>
      <c r="AC13" s="17">
        <f>IF(OR(AA13="",$K13=""),"",AA13*$K13*($K13/Config!$B$10)^Config!$B$9)</f>
        <v>10.45230769</v>
      </c>
      <c r="AD13" s="17">
        <f t="shared" si="2"/>
        <v>6.166057515</v>
      </c>
      <c r="AE13" s="4">
        <f>IF($I13="",0,SUMIFS(Map_Stats!$F$2:$F$825,Map_Stats!$A$2:$A$825,$F13&amp;"|"&amp;$I13))</f>
        <v>6</v>
      </c>
      <c r="AF13" s="18">
        <f t="array" ref="AF13">IF($I13="","",IFERROR(1/(1/INDEX(Map_Stats!$K$2:$K$825,MATCH($F13&amp;"|"&amp;$I13,Map_Stats!$A$2:$A$825,0))),$O13))</f>
        <v>0.52</v>
      </c>
      <c r="AG13" s="11">
        <f t="array" ref="AG13">IF(OR($I13="",$P13=""),"",IFERROR(1/(1/INDEX(Map_Stats!$I$2:$I$825,MATCH($F13&amp;"|"&amp;$I13,Map_Stats!$A$2:$A$825,0))),$P13))</f>
        <v>0.455</v>
      </c>
      <c r="AH13" s="18">
        <f>IF(OR($I13="",AF13=""),"",IF($O13="",AF13,(AE13*AF13+Config!$B$4*$O13)/(AE13+Config!$B$4)))</f>
        <v>0.5381818182</v>
      </c>
      <c r="AI13" s="11">
        <f>IF(AG13="","",(AE13*AG13+Config!$B$4*$P13)/(AE13+Config!$B$4))</f>
        <v>0.5068181818</v>
      </c>
      <c r="AJ13" s="17">
        <f>IF(OR(AH13="",$L13=""),"",AH13*$L13*($L13/Config!$B$10)^Config!$B$9)</f>
        <v>11.57090909</v>
      </c>
      <c r="AK13" s="17">
        <f t="shared" si="3"/>
        <v>5.864347107</v>
      </c>
      <c r="AL13" s="17">
        <f t="shared" si="4"/>
        <v>23.11939103</v>
      </c>
      <c r="AM13" s="17">
        <f t="shared" si="5"/>
        <v>29.0159263</v>
      </c>
      <c r="AN13" s="17">
        <f t="shared" si="6"/>
        <v>13.49185404</v>
      </c>
      <c r="AO13" s="17">
        <f t="shared" si="7"/>
        <v>16.48032533</v>
      </c>
      <c r="AP13" s="11">
        <f t="shared" si="8"/>
        <v>0.583573072</v>
      </c>
      <c r="AQ13" s="4" t="str">
        <f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4" t="str">
        <f>IF($C13=Board!$B$2,COUNTIFS($C$2:$C$157,Board!$B$2,$AL$2:$AL$157,"&gt;"&amp;$AL13)+COUNTIFS($C$1:$C12,Board!$B$2,$AL$1:$AL12,$AL13)+1,"")</f>
        <v/>
      </c>
      <c r="AS13" s="4" t="str">
        <f t="array" ref="AS13">IFERROR(IF($D13=INDEX(Matches!$AD$5:$AD$22,MATCH($C13,Matches!$A$5:$A$22,0)),"A",IF($D13=INDEX(Matches!$AE$5:$AE$22,MATCH($C13,Matches!$A$5:$A$22,0)),"B","")),"")</f>
        <v>B</v>
      </c>
      <c r="AT13" s="11">
        <f t="array" ref="AT13">IF($AS13="","",IFERROR(IF($AS13="A",INDEX(Matches!$AI$5:$AI$22,MATCH($C13,Matches!$A$5:$A$22,0)),INDEX(Matches!$AJ$5:$AJ$22,MATCH($C13,Matches!$A$5:$A$22,0))),""))</f>
        <v>0.5371959436</v>
      </c>
      <c r="AU13" s="11">
        <f t="array" ref="AU13">IF($AS13="","",IFERROR(IF(INDEX(Matches!$AP$5:$AP$22,MATCH($C13,Matches!$A$5:$A$22,0))="","",IF($AS13="A",INDEX(Matches!$AP$5:$AP$22,MATCH($C13,Matches!$A$5:$A$22,0)),1-INDEX(Matches!$AP$5:$AP$22,MATCH($C13,Matches!$A$5:$A$22,0)))),""))</f>
        <v>0.48236353</v>
      </c>
      <c r="AV13" s="18">
        <f>IF(OR($AU13="",$AT13=""),1,((Config!$B$14*$AU13+Config!$B$15*(1-$AU13))/(Config!$B$14*$AT13+Config!$B$15*(1-$AT13)))^Config!$B$13)</f>
        <v>0.9525771081</v>
      </c>
      <c r="AW13" s="11">
        <f t="array" ref="AW13">IF($AS13="","",IFERROR(IF(INDEX(Matches!$AV$5:$AV$22,MATCH($C13,Matches!$A$5:$A$22,0))="","",IF($AS13="A",INDEX(Matches!$AV$5:$AV$22,MATCH($C13,Matches!$A$5:$A$22,0)),1-INDEX(Matches!$AV$5:$AV$22,MATCH($C13,Matches!$A$5:$A$22,0)))),""))</f>
        <v>0.5141833228</v>
      </c>
      <c r="AX13" s="18">
        <f>IF(OR($AW13="",$AT13=""),1,((Config!$B$14*$AW13+Config!$B$15*(1-$AW13))/(Config!$B$14*$AT13+Config!$B$15*(1-$AT13)))^Config!$B$13)</f>
        <v>0.9800970821</v>
      </c>
      <c r="AY13" s="11">
        <f t="array" ref="AY13">IF($AS13="","",IFERROR(IF(INDEX(Matches!$BB$5:$BB$22,MATCH($C13,Matches!$A$5:$A$22,0))="","",IF($AS13="A",INDEX(Matches!$BB$5:$BB$22,MATCH($C13,Matches!$A$5:$A$22,0)),1-INDEX(Matches!$BB$5:$BB$22,MATCH($C13,Matches!$A$5:$A$22,0)))),""))</f>
        <v>0.4786455069</v>
      </c>
      <c r="AZ13" s="18">
        <f>IF(OR($AY13="",$AT13=""),1,((Config!$B$14*$AY13+Config!$B$15*(1-$AY13))/(Config!$B$14*$AT13+Config!$B$15*(1-$AT13)))^Config!$B$13)</f>
        <v>0.9493615026</v>
      </c>
      <c r="BA13" s="17">
        <f t="shared" si="9"/>
        <v>12.06637361</v>
      </c>
      <c r="BB13" s="17">
        <f t="shared" si="10"/>
        <v>10.24427627</v>
      </c>
      <c r="BC13" s="17">
        <f t="shared" si="11"/>
        <v>10.98497564</v>
      </c>
      <c r="BD13" s="17">
        <f t="shared" si="12"/>
        <v>22.31064988</v>
      </c>
      <c r="BE13" s="17">
        <f t="shared" si="13"/>
        <v>27.90859347</v>
      </c>
      <c r="BF13" s="17">
        <f t="shared" si="14"/>
        <v>6.978386071</v>
      </c>
      <c r="BG13" s="17">
        <f t="shared" si="15"/>
        <v>6.043334978</v>
      </c>
      <c r="BH13" s="17">
        <f t="shared" si="16"/>
        <v>5.567385381</v>
      </c>
      <c r="BI13" s="17">
        <f t="shared" si="17"/>
        <v>13.02172105</v>
      </c>
      <c r="BJ13" s="17">
        <f t="shared" si="18"/>
        <v>15.85886064</v>
      </c>
      <c r="BK13" s="18">
        <f t="shared" si="19"/>
        <v>0.9650189252</v>
      </c>
    </row>
    <row r="14">
      <c r="A14" s="4" t="s">
        <v>2042</v>
      </c>
      <c r="B14" s="4" t="s">
        <v>86</v>
      </c>
      <c r="C14" s="4" t="s">
        <v>1178</v>
      </c>
      <c r="D14" s="4" t="s">
        <v>1182</v>
      </c>
      <c r="E14" s="4" t="s">
        <v>1461</v>
      </c>
      <c r="F14" s="4" t="s">
        <v>1460</v>
      </c>
      <c r="G14" s="4" t="str">
        <f t="array" ref="G14">IFERROR(IF(INDEX(Matches!$W$5:$W$22,MATCH($C14,Matches!$A$5:$A$22,0))="","",INDEX(Matches!$W$5:$W$22,MATCH($C14,Matches!$A$5:$A$22,0))),"")</f>
        <v>Ancient</v>
      </c>
      <c r="H14" s="4" t="str">
        <f t="array" ref="H14">IFERROR(IF(INDEX(Matches!$X$5:$X$22,MATCH($C14,Matches!$A$5:$A$22,0))="","",INDEX(Matches!$X$5:$X$22,MATCH($C14,Matches!$A$5:$A$22,0))),"")</f>
        <v>Inferno</v>
      </c>
      <c r="I14" s="4" t="str">
        <f t="array" ref="I14">IFERROR(IF(INDEX(Matches!$Y$5:$Y$22,MATCH($C14,Matches!$A$5:$A$22,0))="","",INDEX(Matches!$Y$5:$Y$22,MATCH($C14,Matches!$A$5:$A$22,0))),"")</f>
        <v>Mirage</v>
      </c>
      <c r="J14" s="4">
        <f t="array" ref="J14">IFERROR(IF(INDEX(Matches!$Z$5:$Z$22,MATCH($C14,Matches!$A$5:$A$22,0))="","",INDEX(Matches!$Z$5:$Z$22,MATCH($C14,Matches!$A$5:$A$22,0))),"")</f>
        <v>21.5</v>
      </c>
      <c r="K14" s="4">
        <f t="array" ref="K14">IFERROR(IF(INDEX(Matches!$AA$5:$AA$22,MATCH($C14,Matches!$A$5:$A$22,0))="","",INDEX(Matches!$AA$5:$AA$22,MATCH($C14,Matches!$A$5:$A$22,0))),"")</f>
        <v>21.5</v>
      </c>
      <c r="L14" s="4">
        <f t="array" ref="L14">IFERROR(IF(INDEX(Matches!$AB$5:$AB$22,MATCH($C14,Matches!$A$5:$A$22,0))="","",INDEX(Matches!$AB$5:$AB$22,MATCH($C14,Matches!$A$5:$A$22,0))),"")</f>
        <v>21.5</v>
      </c>
      <c r="M14" s="11">
        <f t="array" ref="M14">IFERROR(IF(INDEX(Matches!$AC$5:$AC$22,MATCH($C14,Matches!$A$5:$A$22,0))="","",INDEX(Matches!$AC$5:$AC$22,MATCH($C14,Matches!$A$5:$A$22,0))),"")</f>
        <v>0.5096</v>
      </c>
      <c r="N14" s="4">
        <f t="array" ref="N14">IFERROR(INDEX(Players!$F$2:$F$127,MATCH($F14,Players!$A$2:$A$127,0)),0)</f>
        <v>36</v>
      </c>
      <c r="O14" s="18">
        <f t="array" ref="O14">IFERROR(1/(1/INDEX(Players!$H$2:$H$127,MATCH($F14,Players!$A$2:$A$127,0))),"")</f>
        <v>0.69</v>
      </c>
      <c r="P14" s="11">
        <f t="array" ref="P14">IFERROR(1/(1/INDEX(Players!$I$2:$I$127,MATCH($F14,Players!$A$2:$A$127,0))),"")</f>
        <v>0.356</v>
      </c>
      <c r="Q14" s="4">
        <f>IF($G14="",0,SUMIFS(Map_Stats!$F$2:$F$825,Map_Stats!$A$2:$A$825,$F14&amp;"|"&amp;$G14))</f>
        <v>7</v>
      </c>
      <c r="R14" s="18">
        <f t="array" ref="R14">IF($G14="","",IFERROR(1/(1/INDEX(Map_Stats!$K$2:$K$825,MATCH($F14&amp;"|"&amp;$G14,Map_Stats!$A$2:$A$825,0))),$O14))</f>
        <v>0.75</v>
      </c>
      <c r="S14" s="11">
        <f t="array" ref="S14">IF(OR($G14="",$P14=""),"",IFERROR(1/(1/INDEX(Map_Stats!$I$2:$I$825,MATCH($F14&amp;"|"&amp;$G14,Map_Stats!$A$2:$A$825,0))),$P14))</f>
        <v>0.345</v>
      </c>
      <c r="T14" s="18">
        <f>IF(OR($G14="",R14=""),"",IF($O14="",R14,(Q14*R14+Config!$B$4*$O14)/(Q14+Config!$B$4)))</f>
        <v>0.725</v>
      </c>
      <c r="U14" s="11">
        <f>IF(S14="","",(Q14*S14+Config!$B$4*$P14)/(Q14+Config!$B$4))</f>
        <v>0.3495833333</v>
      </c>
      <c r="V14" s="17">
        <f>IF(OR(T14="",$J14=""),"",T14*$J14*($J14/Config!$B$10)^Config!$B$9)</f>
        <v>15.5875</v>
      </c>
      <c r="W14" s="17">
        <f t="shared" si="1"/>
        <v>5.449130208</v>
      </c>
      <c r="X14" s="4">
        <f>IF($H14="",0,SUMIFS(Map_Stats!$F$2:$F$825,Map_Stats!$A$2:$A$825,$F14&amp;"|"&amp;$H14))</f>
        <v>8</v>
      </c>
      <c r="Y14" s="18">
        <f t="array" ref="Y14">IF($H14="","",IFERROR(1/(1/INDEX(Map_Stats!$K$2:$K$825,MATCH($F14&amp;"|"&amp;$H14,Map_Stats!$A$2:$A$825,0))),$O14))</f>
        <v>0.77</v>
      </c>
      <c r="Z14" s="11">
        <f t="array" ref="Z14">IF(OR($H14="",$P14=""),"",IFERROR(1/(1/INDEX(Map_Stats!$I$2:$I$825,MATCH($F14&amp;"|"&amp;$H14,Map_Stats!$A$2:$A$825,0))),$P14))</f>
        <v>0.348</v>
      </c>
      <c r="AA14" s="18">
        <f>IF(OR($H14="",Y14=""),"",IF($O14="",Y14,(X14*Y14+Config!$B$4*$O14)/(X14+Config!$B$4)))</f>
        <v>0.7392307692</v>
      </c>
      <c r="AB14" s="11">
        <f>IF(Z14="","",(X14*Z14+Config!$B$4*$P14)/(X14+Config!$B$4))</f>
        <v>0.3510769231</v>
      </c>
      <c r="AC14" s="17">
        <f>IF(OR(AA14="",$K14=""),"",AA14*$K14*($K14/Config!$B$10)^Config!$B$9)</f>
        <v>15.89346154</v>
      </c>
      <c r="AD14" s="17">
        <f t="shared" si="2"/>
        <v>5.579827574</v>
      </c>
      <c r="AE14" s="4">
        <f>IF($I14="",0,SUMIFS(Map_Stats!$F$2:$F$825,Map_Stats!$A$2:$A$825,$F14&amp;"|"&amp;$I14))</f>
        <v>6</v>
      </c>
      <c r="AF14" s="18">
        <f t="array" ref="AF14">IF($I14="","",IFERROR(1/(1/INDEX(Map_Stats!$K$2:$K$825,MATCH($F14&amp;"|"&amp;$I14,Map_Stats!$A$2:$A$825,0))),$O14))</f>
        <v>0.71</v>
      </c>
      <c r="AG14" s="11">
        <f t="array" ref="AG14">IF(OR($I14="",$P14=""),"",IFERROR(1/(1/INDEX(Map_Stats!$I$2:$I$825,MATCH($F14&amp;"|"&amp;$I14,Map_Stats!$A$2:$A$825,0))),$P14))</f>
        <v>0.4</v>
      </c>
      <c r="AH14" s="18">
        <f>IF(OR($I14="",AF14=""),"",IF($O14="",AF14,(AE14*AF14+Config!$B$4*$O14)/(AE14+Config!$B$4)))</f>
        <v>0.7009090909</v>
      </c>
      <c r="AI14" s="11">
        <f>IF(AG14="","",(AE14*AG14+Config!$B$4*$P14)/(AE14+Config!$B$4))</f>
        <v>0.38</v>
      </c>
      <c r="AJ14" s="17">
        <f>IF(OR(AH14="",$L14=""),"",AH14*$L14*($L14/Config!$B$10)^Config!$B$9)</f>
        <v>15.06954545</v>
      </c>
      <c r="AK14" s="17">
        <f t="shared" si="3"/>
        <v>5.726427273</v>
      </c>
      <c r="AL14" s="17">
        <f t="shared" si="4"/>
        <v>31.48096154</v>
      </c>
      <c r="AM14" s="17">
        <f t="shared" si="5"/>
        <v>39.1604019</v>
      </c>
      <c r="AN14" s="17">
        <f t="shared" si="6"/>
        <v>11.02895778</v>
      </c>
      <c r="AO14" s="17">
        <f t="shared" si="7"/>
        <v>13.94714512</v>
      </c>
      <c r="AP14" s="11">
        <f t="shared" si="8"/>
        <v>0.3503373863</v>
      </c>
      <c r="AQ14" s="4" t="str">
        <f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4" t="str">
        <f>IF($C14=Board!$B$2,COUNTIFS($C$2:$C$157,Board!$B$2,$AL$2:$AL$157,"&gt;"&amp;$AL14)+COUNTIFS($C$1:$C13,Board!$B$2,$AL$1:$AL13,$AL14)+1,"")</f>
        <v/>
      </c>
      <c r="AS14" s="4" t="str">
        <f t="array" ref="AS14">IFERROR(IF($D14=INDEX(Matches!$AD$5:$AD$22,MATCH($C14,Matches!$A$5:$A$22,0)),"A",IF($D14=INDEX(Matches!$AE$5:$AE$22,MATCH($C14,Matches!$A$5:$A$22,0)),"B","")),"")</f>
        <v>B</v>
      </c>
      <c r="AT14" s="11">
        <f t="array" ref="AT14">IF($AS14="","",IFERROR(IF($AS14="A",INDEX(Matches!$AI$5:$AI$22,MATCH($C14,Matches!$A$5:$A$22,0)),INDEX(Matches!$AJ$5:$AJ$22,MATCH($C14,Matches!$A$5:$A$22,0))),""))</f>
        <v>0.5371959436</v>
      </c>
      <c r="AU14" s="11">
        <f t="array" ref="AU14">IF($AS14="","",IFERROR(IF(INDEX(Matches!$AP$5:$AP$22,MATCH($C14,Matches!$A$5:$A$22,0))="","",IF($AS14="A",INDEX(Matches!$AP$5:$AP$22,MATCH($C14,Matches!$A$5:$A$22,0)),1-INDEX(Matches!$AP$5:$AP$22,MATCH($C14,Matches!$A$5:$A$22,0)))),""))</f>
        <v>0.48236353</v>
      </c>
      <c r="AV14" s="18">
        <f>IF(OR($AU14="",$AT14=""),1,((Config!$B$14*$AU14+Config!$B$15*(1-$AU14))/(Config!$B$14*$AT14+Config!$B$15*(1-$AT14)))^Config!$B$13)</f>
        <v>0.9525771081</v>
      </c>
      <c r="AW14" s="11">
        <f t="array" ref="AW14">IF($AS14="","",IFERROR(IF(INDEX(Matches!$AV$5:$AV$22,MATCH($C14,Matches!$A$5:$A$22,0))="","",IF($AS14="A",INDEX(Matches!$AV$5:$AV$22,MATCH($C14,Matches!$A$5:$A$22,0)),1-INDEX(Matches!$AV$5:$AV$22,MATCH($C14,Matches!$A$5:$A$22,0)))),""))</f>
        <v>0.5141833228</v>
      </c>
      <c r="AX14" s="18">
        <f>IF(OR($AW14="",$AT14=""),1,((Config!$B$14*$AW14+Config!$B$15*(1-$AW14))/(Config!$B$14*$AT14+Config!$B$15*(1-$AT14)))^Config!$B$13)</f>
        <v>0.9800970821</v>
      </c>
      <c r="AY14" s="11">
        <f t="array" ref="AY14">IF($AS14="","",IFERROR(IF(INDEX(Matches!$BB$5:$BB$22,MATCH($C14,Matches!$A$5:$A$22,0))="","",IF($AS14="A",INDEX(Matches!$BB$5:$BB$22,MATCH($C14,Matches!$A$5:$A$22,0)),1-INDEX(Matches!$BB$5:$BB$22,MATCH($C14,Matches!$A$5:$A$22,0)))),""))</f>
        <v>0.4786455069</v>
      </c>
      <c r="AZ14" s="18">
        <f>IF(OR($AY14="",$AT14=""),1,((Config!$B$14*$AY14+Config!$B$15*(1-$AY14))/(Config!$B$14*$AT14+Config!$B$15*(1-$AT14)))^Config!$B$13)</f>
        <v>0.9493615026</v>
      </c>
      <c r="BA14" s="17">
        <f t="shared" si="9"/>
        <v>14.84829567</v>
      </c>
      <c r="BB14" s="17">
        <f t="shared" si="10"/>
        <v>15.57713528</v>
      </c>
      <c r="BC14" s="17">
        <f t="shared" si="11"/>
        <v>14.30644632</v>
      </c>
      <c r="BD14" s="17">
        <f t="shared" si="12"/>
        <v>30.42543095</v>
      </c>
      <c r="BE14" s="17">
        <f t="shared" si="13"/>
        <v>37.71599599</v>
      </c>
      <c r="BF14" s="17">
        <f t="shared" si="14"/>
        <v>5.190716695</v>
      </c>
      <c r="BG14" s="17">
        <f t="shared" si="15"/>
        <v>5.468772724</v>
      </c>
      <c r="BH14" s="17">
        <f t="shared" si="16"/>
        <v>5.4364496</v>
      </c>
      <c r="BI14" s="17">
        <f t="shared" si="17"/>
        <v>10.65948942</v>
      </c>
      <c r="BJ14" s="17">
        <f t="shared" si="18"/>
        <v>13.42990414</v>
      </c>
      <c r="BK14" s="18">
        <f t="shared" si="19"/>
        <v>0.9664708275</v>
      </c>
    </row>
    <row r="15">
      <c r="A15" s="4" t="s">
        <v>2084</v>
      </c>
      <c r="B15" s="4" t="s">
        <v>86</v>
      </c>
      <c r="C15" s="4" t="s">
        <v>1178</v>
      </c>
      <c r="D15" s="4" t="s">
        <v>1182</v>
      </c>
      <c r="E15" s="4" t="s">
        <v>1467</v>
      </c>
      <c r="F15" s="4" t="s">
        <v>1466</v>
      </c>
      <c r="G15" s="4" t="str">
        <f t="array" ref="G15">IFERROR(IF(INDEX(Matches!$W$5:$W$22,MATCH($C15,Matches!$A$5:$A$22,0))="","",INDEX(Matches!$W$5:$W$22,MATCH($C15,Matches!$A$5:$A$22,0))),"")</f>
        <v>Ancient</v>
      </c>
      <c r="H15" s="4" t="str">
        <f t="array" ref="H15">IFERROR(IF(INDEX(Matches!$X$5:$X$22,MATCH($C15,Matches!$A$5:$A$22,0))="","",INDEX(Matches!$X$5:$X$22,MATCH($C15,Matches!$A$5:$A$22,0))),"")</f>
        <v>Inferno</v>
      </c>
      <c r="I15" s="4" t="str">
        <f t="array" ref="I15">IFERROR(IF(INDEX(Matches!$Y$5:$Y$22,MATCH($C15,Matches!$A$5:$A$22,0))="","",INDEX(Matches!$Y$5:$Y$22,MATCH($C15,Matches!$A$5:$A$22,0))),"")</f>
        <v>Mirage</v>
      </c>
      <c r="J15" s="4">
        <f t="array" ref="J15">IFERROR(IF(INDEX(Matches!$Z$5:$Z$22,MATCH($C15,Matches!$A$5:$A$22,0))="","",INDEX(Matches!$Z$5:$Z$22,MATCH($C15,Matches!$A$5:$A$22,0))),"")</f>
        <v>21.5</v>
      </c>
      <c r="K15" s="4">
        <f t="array" ref="K15">IFERROR(IF(INDEX(Matches!$AA$5:$AA$22,MATCH($C15,Matches!$A$5:$A$22,0))="","",INDEX(Matches!$AA$5:$AA$22,MATCH($C15,Matches!$A$5:$A$22,0))),"")</f>
        <v>21.5</v>
      </c>
      <c r="L15" s="4">
        <f t="array" ref="L15">IFERROR(IF(INDEX(Matches!$AB$5:$AB$22,MATCH($C15,Matches!$A$5:$A$22,0))="","",INDEX(Matches!$AB$5:$AB$22,MATCH($C15,Matches!$A$5:$A$22,0))),"")</f>
        <v>21.5</v>
      </c>
      <c r="M15" s="11">
        <f t="array" ref="M15">IFERROR(IF(INDEX(Matches!$AC$5:$AC$22,MATCH($C15,Matches!$A$5:$A$22,0))="","",INDEX(Matches!$AC$5:$AC$22,MATCH($C15,Matches!$A$5:$A$22,0))),"")</f>
        <v>0.5096</v>
      </c>
      <c r="N15" s="4">
        <f t="array" ref="N15">IFERROR(INDEX(Players!$F$2:$F$127,MATCH($F15,Players!$A$2:$A$127,0)),0)</f>
        <v>36</v>
      </c>
      <c r="O15" s="18">
        <f t="array" ref="O15">IFERROR(1/(1/INDEX(Players!$H$2:$H$127,MATCH($F15,Players!$A$2:$A$127,0))),"")</f>
        <v>0.66</v>
      </c>
      <c r="P15" s="11">
        <f t="array" ref="P15">IFERROR(1/(1/INDEX(Players!$I$2:$I$127,MATCH($F15,Players!$A$2:$A$127,0))),"")</f>
        <v>0.502</v>
      </c>
      <c r="Q15" s="4">
        <f>IF($G15="",0,SUMIFS(Map_Stats!$F$2:$F$825,Map_Stats!$A$2:$A$825,$F15&amp;"|"&amp;$G15))</f>
        <v>7</v>
      </c>
      <c r="R15" s="18">
        <f t="array" ref="R15">IF($G15="","",IFERROR(1/(1/INDEX(Map_Stats!$K$2:$K$825,MATCH($F15&amp;"|"&amp;$G15,Map_Stats!$A$2:$A$825,0))),$O15))</f>
        <v>0.64</v>
      </c>
      <c r="S15" s="11">
        <f t="array" ref="S15">IF(OR($G15="",$P15=""),"",IFERROR(1/(1/INDEX(Map_Stats!$I$2:$I$825,MATCH($F15&amp;"|"&amp;$G15,Map_Stats!$A$2:$A$825,0))),$P15))</f>
        <v>0.439</v>
      </c>
      <c r="T15" s="18">
        <f>IF(OR($G15="",R15=""),"",IF($O15="",R15,(Q15*R15+Config!$B$4*$O15)/(Q15+Config!$B$4)))</f>
        <v>0.6483333333</v>
      </c>
      <c r="U15" s="11">
        <f>IF(S15="","",(Q15*S15+Config!$B$4*$P15)/(Q15+Config!$B$4))</f>
        <v>0.46525</v>
      </c>
      <c r="V15" s="17">
        <f>IF(OR(T15="",$J15=""),"",T15*$J15*($J15/Config!$B$10)^Config!$B$9)</f>
        <v>13.93916667</v>
      </c>
      <c r="W15" s="17">
        <f t="shared" si="1"/>
        <v>6.485197292</v>
      </c>
      <c r="X15" s="4">
        <f>IF($H15="",0,SUMIFS(Map_Stats!$F$2:$F$825,Map_Stats!$A$2:$A$825,$F15&amp;"|"&amp;$H15))</f>
        <v>8</v>
      </c>
      <c r="Y15" s="18">
        <f t="array" ref="Y15">IF($H15="","",IFERROR(1/(1/INDEX(Map_Stats!$K$2:$K$825,MATCH($F15&amp;"|"&amp;$H15,Map_Stats!$A$2:$A$825,0))),$O15))</f>
        <v>0.79</v>
      </c>
      <c r="Z15" s="11">
        <f t="array" ref="Z15">IF(OR($H15="",$P15=""),"",IFERROR(1/(1/INDEX(Map_Stats!$I$2:$I$825,MATCH($F15&amp;"|"&amp;$H15,Map_Stats!$A$2:$A$825,0))),$P15))</f>
        <v>0.475</v>
      </c>
      <c r="AA15" s="18">
        <f>IF(OR($H15="",Y15=""),"",IF($O15="",Y15,(X15*Y15+Config!$B$4*$O15)/(X15+Config!$B$4)))</f>
        <v>0.74</v>
      </c>
      <c r="AB15" s="11">
        <f>IF(Z15="","",(X15*Z15+Config!$B$4*$P15)/(X15+Config!$B$4))</f>
        <v>0.4853846154</v>
      </c>
      <c r="AC15" s="17">
        <f>IF(OR(AA15="",$K15=""),"",AA15*$K15*($K15/Config!$B$10)^Config!$B$9)</f>
        <v>15.91</v>
      </c>
      <c r="AD15" s="17">
        <f t="shared" si="2"/>
        <v>7.722469231</v>
      </c>
      <c r="AE15" s="4">
        <f>IF($I15="",0,SUMIFS(Map_Stats!$F$2:$F$825,Map_Stats!$A$2:$A$825,$F15&amp;"|"&amp;$I15))</f>
        <v>6</v>
      </c>
      <c r="AF15" s="18">
        <f t="array" ref="AF15">IF($I15="","",IFERROR(1/(1/INDEX(Map_Stats!$K$2:$K$825,MATCH($F15&amp;"|"&amp;$I15,Map_Stats!$A$2:$A$825,0))),$O15))</f>
        <v>0.66</v>
      </c>
      <c r="AG15" s="11">
        <f t="array" ref="AG15">IF(OR($I15="",$P15=""),"",IFERROR(1/(1/INDEX(Map_Stats!$I$2:$I$825,MATCH($F15&amp;"|"&amp;$I15,Map_Stats!$A$2:$A$825,0))),$P15))</f>
        <v>0.56</v>
      </c>
      <c r="AH15" s="18">
        <f>IF(OR($I15="",AF15=""),"",IF($O15="",AF15,(AE15*AF15+Config!$B$4*$O15)/(AE15+Config!$B$4)))</f>
        <v>0.66</v>
      </c>
      <c r="AI15" s="11">
        <f>IF(AG15="","",(AE15*AG15+Config!$B$4*$P15)/(AE15+Config!$B$4))</f>
        <v>0.5336363636</v>
      </c>
      <c r="AJ15" s="17">
        <f>IF(OR(AH15="",$L15=""),"",AH15*$L15*($L15/Config!$B$10)^Config!$B$9)</f>
        <v>14.19</v>
      </c>
      <c r="AK15" s="17">
        <f t="shared" si="3"/>
        <v>7.5723</v>
      </c>
      <c r="AL15" s="17">
        <f t="shared" si="4"/>
        <v>29.84916667</v>
      </c>
      <c r="AM15" s="17">
        <f t="shared" si="5"/>
        <v>37.08039067</v>
      </c>
      <c r="AN15" s="17">
        <f t="shared" si="6"/>
        <v>14.20766652</v>
      </c>
      <c r="AO15" s="17">
        <f t="shared" si="7"/>
        <v>18.0665106</v>
      </c>
      <c r="AP15" s="11">
        <f t="shared" si="8"/>
        <v>0.4759820159</v>
      </c>
      <c r="AQ15" s="4" t="str">
        <f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4" t="str">
        <f>IF($C15=Board!$B$2,COUNTIFS($C$2:$C$157,Board!$B$2,$AL$2:$AL$157,"&gt;"&amp;$AL15)+COUNTIFS($C$1:$C14,Board!$B$2,$AL$1:$AL14,$AL15)+1,"")</f>
        <v/>
      </c>
      <c r="AS15" s="4" t="str">
        <f t="array" ref="AS15">IFERROR(IF($D15=INDEX(Matches!$AD$5:$AD$22,MATCH($C15,Matches!$A$5:$A$22,0)),"A",IF($D15=INDEX(Matches!$AE$5:$AE$22,MATCH($C15,Matches!$A$5:$A$22,0)),"B","")),"")</f>
        <v>B</v>
      </c>
      <c r="AT15" s="11">
        <f t="array" ref="AT15">IF($AS15="","",IFERROR(IF($AS15="A",INDEX(Matches!$AI$5:$AI$22,MATCH($C15,Matches!$A$5:$A$22,0)),INDEX(Matches!$AJ$5:$AJ$22,MATCH($C15,Matches!$A$5:$A$22,0))),""))</f>
        <v>0.5371959436</v>
      </c>
      <c r="AU15" s="11">
        <f t="array" ref="AU15">IF($AS15="","",IFERROR(IF(INDEX(Matches!$AP$5:$AP$22,MATCH($C15,Matches!$A$5:$A$22,0))="","",IF($AS15="A",INDEX(Matches!$AP$5:$AP$22,MATCH($C15,Matches!$A$5:$A$22,0)),1-INDEX(Matches!$AP$5:$AP$22,MATCH($C15,Matches!$A$5:$A$22,0)))),""))</f>
        <v>0.48236353</v>
      </c>
      <c r="AV15" s="18">
        <f>IF(OR($AU15="",$AT15=""),1,((Config!$B$14*$AU15+Config!$B$15*(1-$AU15))/(Config!$B$14*$AT15+Config!$B$15*(1-$AT15)))^Config!$B$13)</f>
        <v>0.9525771081</v>
      </c>
      <c r="AW15" s="11">
        <f t="array" ref="AW15">IF($AS15="","",IFERROR(IF(INDEX(Matches!$AV$5:$AV$22,MATCH($C15,Matches!$A$5:$A$22,0))="","",IF($AS15="A",INDEX(Matches!$AV$5:$AV$22,MATCH($C15,Matches!$A$5:$A$22,0)),1-INDEX(Matches!$AV$5:$AV$22,MATCH($C15,Matches!$A$5:$A$22,0)))),""))</f>
        <v>0.5141833228</v>
      </c>
      <c r="AX15" s="18">
        <f>IF(OR($AW15="",$AT15=""),1,((Config!$B$14*$AW15+Config!$B$15*(1-$AW15))/(Config!$B$14*$AT15+Config!$B$15*(1-$AT15)))^Config!$B$13)</f>
        <v>0.9800970821</v>
      </c>
      <c r="AY15" s="11">
        <f t="array" ref="AY15">IF($AS15="","",IFERROR(IF(INDEX(Matches!$BB$5:$BB$22,MATCH($C15,Matches!$A$5:$A$22,0))="","",IF($AS15="A",INDEX(Matches!$BB$5:$BB$22,MATCH($C15,Matches!$A$5:$A$22,0)),1-INDEX(Matches!$BB$5:$BB$22,MATCH($C15,Matches!$A$5:$A$22,0)))),""))</f>
        <v>0.4786455069</v>
      </c>
      <c r="AZ15" s="18">
        <f>IF(OR($AY15="",$AT15=""),1,((Config!$B$14*$AY15+Config!$B$15*(1-$AY15))/(Config!$B$14*$AT15+Config!$B$15*(1-$AT15)))^Config!$B$13)</f>
        <v>0.9493615026</v>
      </c>
      <c r="BA15" s="17">
        <f t="shared" si="9"/>
        <v>13.27813107</v>
      </c>
      <c r="BB15" s="17">
        <f t="shared" si="10"/>
        <v>15.59334458</v>
      </c>
      <c r="BC15" s="17">
        <f t="shared" si="11"/>
        <v>13.47143972</v>
      </c>
      <c r="BD15" s="17">
        <f t="shared" si="12"/>
        <v>28.87147565</v>
      </c>
      <c r="BE15" s="17">
        <f t="shared" si="13"/>
        <v>35.73652133</v>
      </c>
      <c r="BF15" s="17">
        <f t="shared" si="14"/>
        <v>6.177650481</v>
      </c>
      <c r="BG15" s="17">
        <f t="shared" si="15"/>
        <v>7.568769559</v>
      </c>
      <c r="BH15" s="17">
        <f t="shared" si="16"/>
        <v>7.188850106</v>
      </c>
      <c r="BI15" s="17">
        <f t="shared" si="17"/>
        <v>13.74642004</v>
      </c>
      <c r="BJ15" s="17">
        <f t="shared" si="18"/>
        <v>17.40985805</v>
      </c>
      <c r="BK15" s="18">
        <f t="shared" si="19"/>
        <v>0.9672456176</v>
      </c>
    </row>
    <row r="16">
      <c r="A16" s="4" t="s">
        <v>2130</v>
      </c>
      <c r="B16" s="4" t="s">
        <v>86</v>
      </c>
      <c r="C16" s="4" t="s">
        <v>1178</v>
      </c>
      <c r="D16" s="4" t="s">
        <v>1182</v>
      </c>
      <c r="E16" s="4" t="s">
        <v>1470</v>
      </c>
      <c r="F16" s="4" t="s">
        <v>1469</v>
      </c>
      <c r="G16" s="4" t="str">
        <f t="array" ref="G16">IFERROR(IF(INDEX(Matches!$W$5:$W$22,MATCH($C16,Matches!$A$5:$A$22,0))="","",INDEX(Matches!$W$5:$W$22,MATCH($C16,Matches!$A$5:$A$22,0))),"")</f>
        <v>Ancient</v>
      </c>
      <c r="H16" s="4" t="str">
        <f t="array" ref="H16">IFERROR(IF(INDEX(Matches!$X$5:$X$22,MATCH($C16,Matches!$A$5:$A$22,0))="","",INDEX(Matches!$X$5:$X$22,MATCH($C16,Matches!$A$5:$A$22,0))),"")</f>
        <v>Inferno</v>
      </c>
      <c r="I16" s="4" t="str">
        <f t="array" ref="I16">IFERROR(IF(INDEX(Matches!$Y$5:$Y$22,MATCH($C16,Matches!$A$5:$A$22,0))="","",INDEX(Matches!$Y$5:$Y$22,MATCH($C16,Matches!$A$5:$A$22,0))),"")</f>
        <v>Mirage</v>
      </c>
      <c r="J16" s="4">
        <f t="array" ref="J16">IFERROR(IF(INDEX(Matches!$Z$5:$Z$22,MATCH($C16,Matches!$A$5:$A$22,0))="","",INDEX(Matches!$Z$5:$Z$22,MATCH($C16,Matches!$A$5:$A$22,0))),"")</f>
        <v>21.5</v>
      </c>
      <c r="K16" s="4">
        <f t="array" ref="K16">IFERROR(IF(INDEX(Matches!$AA$5:$AA$22,MATCH($C16,Matches!$A$5:$A$22,0))="","",INDEX(Matches!$AA$5:$AA$22,MATCH($C16,Matches!$A$5:$A$22,0))),"")</f>
        <v>21.5</v>
      </c>
      <c r="L16" s="4">
        <f t="array" ref="L16">IFERROR(IF(INDEX(Matches!$AB$5:$AB$22,MATCH($C16,Matches!$A$5:$A$22,0))="","",INDEX(Matches!$AB$5:$AB$22,MATCH($C16,Matches!$A$5:$A$22,0))),"")</f>
        <v>21.5</v>
      </c>
      <c r="M16" s="11">
        <f t="array" ref="M16">IFERROR(IF(INDEX(Matches!$AC$5:$AC$22,MATCH($C16,Matches!$A$5:$A$22,0))="","",INDEX(Matches!$AC$5:$AC$22,MATCH($C16,Matches!$A$5:$A$22,0))),"")</f>
        <v>0.5096</v>
      </c>
      <c r="N16" s="4">
        <f t="array" ref="N16">IFERROR(INDEX(Players!$F$2:$F$127,MATCH($F16,Players!$A$2:$A$127,0)),0)</f>
        <v>36</v>
      </c>
      <c r="O16" s="18">
        <f t="array" ref="O16">IFERROR(1/(1/INDEX(Players!$H$2:$H$127,MATCH($F16,Players!$A$2:$A$127,0))),"")</f>
        <v>0.62</v>
      </c>
      <c r="P16" s="11">
        <f t="array" ref="P16">IFERROR(1/(1/INDEX(Players!$I$2:$I$127,MATCH($F16,Players!$A$2:$A$127,0))),"")</f>
        <v>0.612</v>
      </c>
      <c r="Q16" s="4">
        <f>IF($G16="",0,SUMIFS(Map_Stats!$F$2:$F$825,Map_Stats!$A$2:$A$825,$F16&amp;"|"&amp;$G16))</f>
        <v>7</v>
      </c>
      <c r="R16" s="18">
        <f t="array" ref="R16">IF($G16="","",IFERROR(1/(1/INDEX(Map_Stats!$K$2:$K$825,MATCH($F16&amp;"|"&amp;$G16,Map_Stats!$A$2:$A$825,0))),$O16))</f>
        <v>0.55</v>
      </c>
      <c r="S16" s="11">
        <f t="array" ref="S16">IF(OR($G16="",$P16=""),"",IFERROR(1/(1/INDEX(Map_Stats!$I$2:$I$825,MATCH($F16&amp;"|"&amp;$G16,Map_Stats!$A$2:$A$825,0))),$P16))</f>
        <v>0.595</v>
      </c>
      <c r="T16" s="18">
        <f>IF(OR($G16="",R16=""),"",IF($O16="",R16,(Q16*R16+Config!$B$4*$O16)/(Q16+Config!$B$4)))</f>
        <v>0.5791666667</v>
      </c>
      <c r="U16" s="11">
        <f>IF(S16="","",(Q16*S16+Config!$B$4*$P16)/(Q16+Config!$B$4))</f>
        <v>0.6020833333</v>
      </c>
      <c r="V16" s="17">
        <f>IF(OR(T16="",$J16=""),"",T16*$J16*($J16/Config!$B$10)^Config!$B$9)</f>
        <v>12.45208333</v>
      </c>
      <c r="W16" s="17">
        <f t="shared" si="1"/>
        <v>7.49719184</v>
      </c>
      <c r="X16" s="4">
        <f>IF($H16="",0,SUMIFS(Map_Stats!$F$2:$F$825,Map_Stats!$A$2:$A$825,$F16&amp;"|"&amp;$H16))</f>
        <v>8</v>
      </c>
      <c r="Y16" s="18">
        <f t="array" ref="Y16">IF($H16="","",IFERROR(1/(1/INDEX(Map_Stats!$K$2:$K$825,MATCH($F16&amp;"|"&amp;$H16,Map_Stats!$A$2:$A$825,0))),$O16))</f>
        <v>0.69</v>
      </c>
      <c r="Z16" s="11">
        <f t="array" ref="Z16">IF(OR($H16="",$P16=""),"",IFERROR(1/(1/INDEX(Map_Stats!$I$2:$I$825,MATCH($F16&amp;"|"&amp;$H16,Map_Stats!$A$2:$A$825,0))),$P16))</f>
        <v>0.628</v>
      </c>
      <c r="AA16" s="18">
        <f>IF(OR($H16="",Y16=""),"",IF($O16="",Y16,(X16*Y16+Config!$B$4*$O16)/(X16+Config!$B$4)))</f>
        <v>0.6630769231</v>
      </c>
      <c r="AB16" s="11">
        <f>IF(Z16="","",(X16*Z16+Config!$B$4*$P16)/(X16+Config!$B$4))</f>
        <v>0.6218461538</v>
      </c>
      <c r="AC16" s="17">
        <f>IF(OR(AA16="",$K16=""),"",AA16*$K16*($K16/Config!$B$10)^Config!$B$9)</f>
        <v>14.25615385</v>
      </c>
      <c r="AD16" s="17">
        <f t="shared" si="2"/>
        <v>8.865134438</v>
      </c>
      <c r="AE16" s="4">
        <f>IF($I16="",0,SUMIFS(Map_Stats!$F$2:$F$825,Map_Stats!$A$2:$A$825,$F16&amp;"|"&amp;$I16))</f>
        <v>6</v>
      </c>
      <c r="AF16" s="18">
        <f t="array" ref="AF16">IF($I16="","",IFERROR(1/(1/INDEX(Map_Stats!$K$2:$K$825,MATCH($F16&amp;"|"&amp;$I16,Map_Stats!$A$2:$A$825,0))),$O16))</f>
        <v>0.58</v>
      </c>
      <c r="AG16" s="11">
        <f t="array" ref="AG16">IF(OR($I16="",$P16=""),"",IFERROR(1/(1/INDEX(Map_Stats!$I$2:$I$825,MATCH($F16&amp;"|"&amp;$I16,Map_Stats!$A$2:$A$825,0))),$P16))</f>
        <v>0.649</v>
      </c>
      <c r="AH16" s="18">
        <f>IF(OR($I16="",AF16=""),"",IF($O16="",AF16,(AE16*AF16+Config!$B$4*$O16)/(AE16+Config!$B$4)))</f>
        <v>0.5981818182</v>
      </c>
      <c r="AI16" s="11">
        <f>IF(AG16="","",(AE16*AG16+Config!$B$4*$P16)/(AE16+Config!$B$4))</f>
        <v>0.6321818182</v>
      </c>
      <c r="AJ16" s="17">
        <f>IF(OR(AH16="",$L16=""),"",AH16*$L16*($L16/Config!$B$10)^Config!$B$9)</f>
        <v>12.86090909</v>
      </c>
      <c r="AK16" s="17">
        <f t="shared" si="3"/>
        <v>8.130432893</v>
      </c>
      <c r="AL16" s="17">
        <f t="shared" si="4"/>
        <v>26.70823718</v>
      </c>
      <c r="AM16" s="17">
        <f t="shared" si="5"/>
        <v>33.26215645</v>
      </c>
      <c r="AN16" s="17">
        <f t="shared" si="6"/>
        <v>16.36232628</v>
      </c>
      <c r="AO16" s="17">
        <f t="shared" si="7"/>
        <v>20.50559488</v>
      </c>
      <c r="AP16" s="11">
        <f t="shared" si="8"/>
        <v>0.6126322066</v>
      </c>
      <c r="AQ16" s="4" t="str">
        <f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4" t="str">
        <f>IF($C16=Board!$B$2,COUNTIFS($C$2:$C$157,Board!$B$2,$AL$2:$AL$157,"&gt;"&amp;$AL16)+COUNTIFS($C$1:$C15,Board!$B$2,$AL$1:$AL15,$AL16)+1,"")</f>
        <v/>
      </c>
      <c r="AS16" s="4" t="str">
        <f t="array" ref="AS16">IFERROR(IF($D16=INDEX(Matches!$AD$5:$AD$22,MATCH($C16,Matches!$A$5:$A$22,0)),"A",IF($D16=INDEX(Matches!$AE$5:$AE$22,MATCH($C16,Matches!$A$5:$A$22,0)),"B","")),"")</f>
        <v>B</v>
      </c>
      <c r="AT16" s="11">
        <f t="array" ref="AT16">IF($AS16="","",IFERROR(IF($AS16="A",INDEX(Matches!$AI$5:$AI$22,MATCH($C16,Matches!$A$5:$A$22,0)),INDEX(Matches!$AJ$5:$AJ$22,MATCH($C16,Matches!$A$5:$A$22,0))),""))</f>
        <v>0.5371959436</v>
      </c>
      <c r="AU16" s="11">
        <f t="array" ref="AU16">IF($AS16="","",IFERROR(IF(INDEX(Matches!$AP$5:$AP$22,MATCH($C16,Matches!$A$5:$A$22,0))="","",IF($AS16="A",INDEX(Matches!$AP$5:$AP$22,MATCH($C16,Matches!$A$5:$A$22,0)),1-INDEX(Matches!$AP$5:$AP$22,MATCH($C16,Matches!$A$5:$A$22,0)))),""))</f>
        <v>0.48236353</v>
      </c>
      <c r="AV16" s="18">
        <f>IF(OR($AU16="",$AT16=""),1,((Config!$B$14*$AU16+Config!$B$15*(1-$AU16))/(Config!$B$14*$AT16+Config!$B$15*(1-$AT16)))^Config!$B$13)</f>
        <v>0.9525771081</v>
      </c>
      <c r="AW16" s="11">
        <f t="array" ref="AW16">IF($AS16="","",IFERROR(IF(INDEX(Matches!$AV$5:$AV$22,MATCH($C16,Matches!$A$5:$A$22,0))="","",IF($AS16="A",INDEX(Matches!$AV$5:$AV$22,MATCH($C16,Matches!$A$5:$A$22,0)),1-INDEX(Matches!$AV$5:$AV$22,MATCH($C16,Matches!$A$5:$A$22,0)))),""))</f>
        <v>0.5141833228</v>
      </c>
      <c r="AX16" s="18">
        <f>IF(OR($AW16="",$AT16=""),1,((Config!$B$14*$AW16+Config!$B$15*(1-$AW16))/(Config!$B$14*$AT16+Config!$B$15*(1-$AT16)))^Config!$B$13)</f>
        <v>0.9800970821</v>
      </c>
      <c r="AY16" s="11">
        <f t="array" ref="AY16">IF($AS16="","",IFERROR(IF(INDEX(Matches!$BB$5:$BB$22,MATCH($C16,Matches!$A$5:$A$22,0))="","",IF($AS16="A",INDEX(Matches!$BB$5:$BB$22,MATCH($C16,Matches!$A$5:$A$22,0)),1-INDEX(Matches!$BB$5:$BB$22,MATCH($C16,Matches!$A$5:$A$22,0)))),""))</f>
        <v>0.4786455069</v>
      </c>
      <c r="AZ16" s="18">
        <f>IF(OR($AY16="",$AT16=""),1,((Config!$B$14*$AY16+Config!$B$15*(1-$AY16))/(Config!$B$14*$AT16+Config!$B$15*(1-$AT16)))^Config!$B$13)</f>
        <v>0.9493615026</v>
      </c>
      <c r="BA16" s="17">
        <f t="shared" si="9"/>
        <v>11.86156953</v>
      </c>
      <c r="BB16" s="17">
        <f t="shared" si="10"/>
        <v>13.97241479</v>
      </c>
      <c r="BC16" s="17">
        <f t="shared" si="11"/>
        <v>12.20965198</v>
      </c>
      <c r="BD16" s="17">
        <f t="shared" si="12"/>
        <v>25.83398432</v>
      </c>
      <c r="BE16" s="17">
        <f t="shared" si="13"/>
        <v>32.05602297</v>
      </c>
      <c r="BF16" s="17">
        <f t="shared" si="14"/>
        <v>7.141653322</v>
      </c>
      <c r="BG16" s="17">
        <f t="shared" si="15"/>
        <v>8.688692395</v>
      </c>
      <c r="BH16" s="17">
        <f t="shared" si="16"/>
        <v>7.718719987</v>
      </c>
      <c r="BI16" s="17">
        <f t="shared" si="17"/>
        <v>15.83034572</v>
      </c>
      <c r="BJ16" s="17">
        <f t="shared" si="18"/>
        <v>19.76380542</v>
      </c>
      <c r="BK16" s="18">
        <f t="shared" si="19"/>
        <v>0.9672665457</v>
      </c>
    </row>
    <row r="17">
      <c r="A17" s="4" t="s">
        <v>2253</v>
      </c>
      <c r="B17" s="4" t="s">
        <v>86</v>
      </c>
      <c r="C17" s="4" t="s">
        <v>1168</v>
      </c>
      <c r="D17" s="4" t="s">
        <v>1174</v>
      </c>
      <c r="E17" s="4" t="s">
        <v>1247</v>
      </c>
      <c r="F17" s="4" t="s">
        <v>1246</v>
      </c>
      <c r="G17" s="4" t="str">
        <f t="array" ref="G17">IFERROR(IF(INDEX(Matches!$W$5:$W$22,MATCH($C17,Matches!$A$5:$A$22,0))="","",INDEX(Matches!$W$5:$W$22,MATCH($C17,Matches!$A$5:$A$22,0))),"")</f>
        <v>Nuke</v>
      </c>
      <c r="H17" s="4" t="str">
        <f t="array" ref="H17">IFERROR(IF(INDEX(Matches!$X$5:$X$22,MATCH($C17,Matches!$A$5:$A$22,0))="","",INDEX(Matches!$X$5:$X$22,MATCH($C17,Matches!$A$5:$A$22,0))),"")</f>
        <v>Mirage</v>
      </c>
      <c r="I17" s="4" t="str">
        <f t="array" ref="I17">IFERROR(IF(INDEX(Matches!$Y$5:$Y$22,MATCH($C17,Matches!$A$5:$A$22,0))="","",INDEX(Matches!$Y$5:$Y$22,MATCH($C17,Matches!$A$5:$A$22,0))),"")</f>
        <v>Dust2</v>
      </c>
      <c r="J17" s="4">
        <f t="array" ref="J17">IFERROR(IF(INDEX(Matches!$Z$5:$Z$22,MATCH($C17,Matches!$A$5:$A$22,0))="","",INDEX(Matches!$Z$5:$Z$22,MATCH($C17,Matches!$A$5:$A$22,0))),"")</f>
        <v>21.31</v>
      </c>
      <c r="K17" s="4">
        <f t="array" ref="K17">IFERROR(IF(INDEX(Matches!$AA$5:$AA$22,MATCH($C17,Matches!$A$5:$A$22,0))="","",INDEX(Matches!$AA$5:$AA$22,MATCH($C17,Matches!$A$5:$A$22,0))),"")</f>
        <v>21.42</v>
      </c>
      <c r="L17" s="4">
        <f t="array" ref="L17">IFERROR(IF(INDEX(Matches!$AB$5:$AB$22,MATCH($C17,Matches!$A$5:$A$22,0))="","",INDEX(Matches!$AB$5:$AB$22,MATCH($C17,Matches!$A$5:$A$22,0))),"")</f>
        <v>21.38</v>
      </c>
      <c r="M17" s="11">
        <f t="array" ref="M17">IFERROR(IF(INDEX(Matches!$AC$5:$AC$22,MATCH($C17,Matches!$A$5:$A$22,0))="","",INDEX(Matches!$AC$5:$AC$22,MATCH($C17,Matches!$A$5:$A$22,0))),"")</f>
        <v>0.4859</v>
      </c>
      <c r="N17" s="4">
        <f t="array" ref="N17">IFERROR(INDEX(Players!$F$2:$F$127,MATCH($F17,Players!$A$2:$A$127,0)),0)</f>
        <v>33</v>
      </c>
      <c r="O17" s="18">
        <f t="array" ref="O17">IFERROR(1/(1/INDEX(Players!$H$2:$H$127,MATCH($F17,Players!$A$2:$A$127,0))),"")</f>
        <v>0.7</v>
      </c>
      <c r="P17" s="11">
        <f t="array" ref="P17">IFERROR(1/(1/INDEX(Players!$I$2:$I$127,MATCH($F17,Players!$A$2:$A$127,0))),"")</f>
        <v>0.561</v>
      </c>
      <c r="Q17" s="4">
        <f>IF($G17="",0,SUMIFS(Map_Stats!$F$2:$F$825,Map_Stats!$A$2:$A$825,$F17&amp;"|"&amp;$G17))</f>
        <v>10</v>
      </c>
      <c r="R17" s="18">
        <f t="array" ref="R17">IF($G17="","",IFERROR(1/(1/INDEX(Map_Stats!$K$2:$K$825,MATCH($F17&amp;"|"&amp;$G17,Map_Stats!$A$2:$A$825,0))),$O17))</f>
        <v>0.73</v>
      </c>
      <c r="S17" s="11">
        <f t="array" ref="S17">IF(OR($G17="",$P17=""),"",IFERROR(1/(1/INDEX(Map_Stats!$I$2:$I$825,MATCH($F17&amp;"|"&amp;$G17,Map_Stats!$A$2:$A$825,0))),$P17))</f>
        <v>0.617</v>
      </c>
      <c r="T17" s="18">
        <f>IF(OR($G17="",R17=""),"",IF($O17="",R17,(Q17*R17+Config!$B$4*$O17)/(Q17+Config!$B$4)))</f>
        <v>0.72</v>
      </c>
      <c r="U17" s="11">
        <f>IF(S17="","",(Q17*S17+Config!$B$4*$P17)/(Q17+Config!$B$4))</f>
        <v>0.5983333333</v>
      </c>
      <c r="V17" s="17">
        <f>IF(OR(T17="",$J17=""),"",T17*$J17*($J17/Config!$B$10)^Config!$B$9)</f>
        <v>15.3432</v>
      </c>
      <c r="W17" s="17">
        <f t="shared" si="1"/>
        <v>9.180348</v>
      </c>
      <c r="X17" s="4">
        <f>IF($H17="",0,SUMIFS(Map_Stats!$F$2:$F$825,Map_Stats!$A$2:$A$825,$F17&amp;"|"&amp;$H17))</f>
        <v>6</v>
      </c>
      <c r="Y17" s="18">
        <f t="array" ref="Y17">IF($H17="","",IFERROR(1/(1/INDEX(Map_Stats!$K$2:$K$825,MATCH($F17&amp;"|"&amp;$H17,Map_Stats!$A$2:$A$825,0))),$O17))</f>
        <v>0.75</v>
      </c>
      <c r="Z17" s="11">
        <f t="array" ref="Z17">IF(OR($H17="",$P17=""),"",IFERROR(1/(1/INDEX(Map_Stats!$I$2:$I$825,MATCH($F17&amp;"|"&amp;$H17,Map_Stats!$A$2:$A$825,0))),$P17))</f>
        <v>0.526</v>
      </c>
      <c r="AA17" s="18">
        <f>IF(OR($H17="",Y17=""),"",IF($O17="",Y17,(X17*Y17+Config!$B$4*$O17)/(X17+Config!$B$4)))</f>
        <v>0.7272727273</v>
      </c>
      <c r="AB17" s="11">
        <f>IF(Z17="","",(X17*Z17+Config!$B$4*$P17)/(X17+Config!$B$4))</f>
        <v>0.5419090909</v>
      </c>
      <c r="AC17" s="17">
        <f>IF(OR(AA17="",$K17=""),"",AA17*$K17*($K17/Config!$B$10)^Config!$B$9)</f>
        <v>15.57818182</v>
      </c>
      <c r="AD17" s="17">
        <f t="shared" si="2"/>
        <v>8.441958347</v>
      </c>
      <c r="AE17" s="4">
        <f>IF($I17="",0,SUMIFS(Map_Stats!$F$2:$F$825,Map_Stats!$A$2:$A$825,$F17&amp;"|"&amp;$I17))</f>
        <v>7</v>
      </c>
      <c r="AF17" s="18">
        <f t="array" ref="AF17">IF($I17="","",IFERROR(1/(1/INDEX(Map_Stats!$K$2:$K$825,MATCH($F17&amp;"|"&amp;$I17,Map_Stats!$A$2:$A$825,0))),$O17))</f>
        <v>0.61</v>
      </c>
      <c r="AG17" s="11">
        <f t="array" ref="AG17">IF(OR($I17="",$P17=""),"",IFERROR(1/(1/INDEX(Map_Stats!$I$2:$I$825,MATCH($F17&amp;"|"&amp;$I17,Map_Stats!$A$2:$A$825,0))),$P17))</f>
        <v>0.553</v>
      </c>
      <c r="AH17" s="18">
        <f>IF(OR($I17="",AF17=""),"",IF($O17="",AF17,(AE17*AF17+Config!$B$4*$O17)/(AE17+Config!$B$4)))</f>
        <v>0.6475</v>
      </c>
      <c r="AI17" s="11">
        <f>IF(AG17="","",(AE17*AG17+Config!$B$4*$P17)/(AE17+Config!$B$4))</f>
        <v>0.5563333333</v>
      </c>
      <c r="AJ17" s="17">
        <f>IF(OR(AH17="",$L17=""),"",AH17*$L17*($L17/Config!$B$10)^Config!$B$9)</f>
        <v>13.84355</v>
      </c>
      <c r="AK17" s="17">
        <f t="shared" si="3"/>
        <v>7.701628317</v>
      </c>
      <c r="AL17" s="17">
        <f t="shared" si="4"/>
        <v>30.92138182</v>
      </c>
      <c r="AM17" s="17">
        <f t="shared" si="5"/>
        <v>37.64796276</v>
      </c>
      <c r="AN17" s="17">
        <f t="shared" si="6"/>
        <v>17.62230635</v>
      </c>
      <c r="AO17" s="17">
        <f t="shared" si="7"/>
        <v>21.36452755</v>
      </c>
      <c r="AP17" s="11">
        <f t="shared" si="8"/>
        <v>0.5699068189</v>
      </c>
      <c r="AQ17" s="4" t="str">
        <f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4" t="str">
        <f>IF($C17=Board!$B$2,COUNTIFS($C$2:$C$157,Board!$B$2,$AL$2:$AL$157,"&gt;"&amp;$AL17)+COUNTIFS($C$1:$C16,Board!$B$2,$AL$1:$AL16,$AL17)+1,"")</f>
        <v/>
      </c>
      <c r="AS17" s="4" t="str">
        <f t="array" ref="AS17">IFERROR(IF($D17=INDEX(Matches!$AD$5:$AD$22,MATCH($C17,Matches!$A$5:$A$22,0)),"A",IF($D17=INDEX(Matches!$AE$5:$AE$22,MATCH($C17,Matches!$A$5:$A$22,0)),"B","")),"")</f>
        <v>B</v>
      </c>
      <c r="AT17" s="11">
        <f t="array" ref="AT17">IF($AS17="","",IFERROR(IF($AS17="A",INDEX(Matches!$AI$5:$AI$22,MATCH($C17,Matches!$A$5:$A$22,0)),INDEX(Matches!$AJ$5:$AJ$22,MATCH($C17,Matches!$A$5:$A$22,0))),""))</f>
        <v>0.4607087827</v>
      </c>
      <c r="AU17" s="11">
        <f t="array" ref="AU17">IF($AS17="","",IFERROR(IF(INDEX(Matches!$AP$5:$AP$22,MATCH($C17,Matches!$A$5:$A$22,0))="","",IF($AS17="A",INDEX(Matches!$AP$5:$AP$22,MATCH($C17,Matches!$A$5:$A$22,0)),1-INDEX(Matches!$AP$5:$AP$22,MATCH($C17,Matches!$A$5:$A$22,0)))),""))</f>
        <v>0.4853446665</v>
      </c>
      <c r="AV17" s="18">
        <f>IF(OR($AU17="",$AT17=""),1,((Config!$B$14*$AU17+Config!$B$15*(1-$AU17))/(Config!$B$14*$AT17+Config!$B$15*(1-$AT17)))^Config!$B$13)</f>
        <v>1.02281615</v>
      </c>
      <c r="AW17" s="11">
        <f t="array" ref="AW17">IF($AS17="","",IFERROR(IF(INDEX(Matches!$AV$5:$AV$22,MATCH($C17,Matches!$A$5:$A$22,0))="","",IF($AS17="A",INDEX(Matches!$AV$5:$AV$22,MATCH($C17,Matches!$A$5:$A$22,0)),1-INDEX(Matches!$AV$5:$AV$22,MATCH($C17,Matches!$A$5:$A$22,0)))),""))</f>
        <v>0.5030314513</v>
      </c>
      <c r="AX17" s="18">
        <f>IF(OR($AW17="",$AT17=""),1,((Config!$B$14*$AW17+Config!$B$15*(1-$AW17))/(Config!$B$14*$AT17+Config!$B$15*(1-$AT17)))^Config!$B$13)</f>
        <v>1.039196497</v>
      </c>
      <c r="AY17" s="11">
        <f t="array" ref="AY17">IF($AS17="","",IFERROR(IF(INDEX(Matches!$BB$5:$BB$22,MATCH($C17,Matches!$A$5:$A$22,0))="","",IF($AS17="A",INDEX(Matches!$BB$5:$BB$22,MATCH($C17,Matches!$A$5:$A$22,0)),1-INDEX(Matches!$BB$5:$BB$22,MATCH($C17,Matches!$A$5:$A$22,0)))),""))</f>
        <v>0.4239136003</v>
      </c>
      <c r="AZ17" s="18">
        <f>IF(OR($AY17="",$AT17=""),1,((Config!$B$14*$AY17+Config!$B$15*(1-$AY17))/(Config!$B$14*$AT17+Config!$B$15*(1-$AT17)))^Config!$B$13)</f>
        <v>0.9659227004</v>
      </c>
      <c r="BA17" s="17">
        <f t="shared" si="9"/>
        <v>15.69327275</v>
      </c>
      <c r="BB17" s="17">
        <f t="shared" si="10"/>
        <v>16.18879198</v>
      </c>
      <c r="BC17" s="17">
        <f t="shared" si="11"/>
        <v>13.3717992</v>
      </c>
      <c r="BD17" s="17">
        <f t="shared" si="12"/>
        <v>31.88206472</v>
      </c>
      <c r="BE17" s="17">
        <f t="shared" si="13"/>
        <v>38.37942195</v>
      </c>
      <c r="BF17" s="17">
        <f t="shared" si="14"/>
        <v>9.389808195</v>
      </c>
      <c r="BG17" s="17">
        <f t="shared" si="15"/>
        <v>8.772853542</v>
      </c>
      <c r="BH17" s="17">
        <f t="shared" si="16"/>
        <v>7.439177621</v>
      </c>
      <c r="BI17" s="17">
        <f t="shared" si="17"/>
        <v>18.16266174</v>
      </c>
      <c r="BJ17" s="17">
        <f t="shared" si="18"/>
        <v>21.77735814</v>
      </c>
      <c r="BK17" s="18">
        <f t="shared" si="19"/>
        <v>1.031068563</v>
      </c>
    </row>
    <row r="18">
      <c r="A18" s="4" t="s">
        <v>2749</v>
      </c>
      <c r="B18" s="4" t="s">
        <v>86</v>
      </c>
      <c r="C18" s="4" t="s">
        <v>1168</v>
      </c>
      <c r="D18" s="4" t="s">
        <v>1174</v>
      </c>
      <c r="E18" s="4" t="s">
        <v>1251</v>
      </c>
      <c r="F18" s="4" t="s">
        <v>1250</v>
      </c>
      <c r="G18" s="4" t="str">
        <f t="array" ref="G18">IFERROR(IF(INDEX(Matches!$W$5:$W$22,MATCH($C18,Matches!$A$5:$A$22,0))="","",INDEX(Matches!$W$5:$W$22,MATCH($C18,Matches!$A$5:$A$22,0))),"")</f>
        <v>Nuke</v>
      </c>
      <c r="H18" s="4" t="str">
        <f t="array" ref="H18">IFERROR(IF(INDEX(Matches!$X$5:$X$22,MATCH($C18,Matches!$A$5:$A$22,0))="","",INDEX(Matches!$X$5:$X$22,MATCH($C18,Matches!$A$5:$A$22,0))),"")</f>
        <v>Mirage</v>
      </c>
      <c r="I18" s="4" t="str">
        <f t="array" ref="I18">IFERROR(IF(INDEX(Matches!$Y$5:$Y$22,MATCH($C18,Matches!$A$5:$A$22,0))="","",INDEX(Matches!$Y$5:$Y$22,MATCH($C18,Matches!$A$5:$A$22,0))),"")</f>
        <v>Dust2</v>
      </c>
      <c r="J18" s="4">
        <f t="array" ref="J18">IFERROR(IF(INDEX(Matches!$Z$5:$Z$22,MATCH($C18,Matches!$A$5:$A$22,0))="","",INDEX(Matches!$Z$5:$Z$22,MATCH($C18,Matches!$A$5:$A$22,0))),"")</f>
        <v>21.31</v>
      </c>
      <c r="K18" s="4">
        <f t="array" ref="K18">IFERROR(IF(INDEX(Matches!$AA$5:$AA$22,MATCH($C18,Matches!$A$5:$A$22,0))="","",INDEX(Matches!$AA$5:$AA$22,MATCH($C18,Matches!$A$5:$A$22,0))),"")</f>
        <v>21.42</v>
      </c>
      <c r="L18" s="4">
        <f t="array" ref="L18">IFERROR(IF(INDEX(Matches!$AB$5:$AB$22,MATCH($C18,Matches!$A$5:$A$22,0))="","",INDEX(Matches!$AB$5:$AB$22,MATCH($C18,Matches!$A$5:$A$22,0))),"")</f>
        <v>21.38</v>
      </c>
      <c r="M18" s="11">
        <f t="array" ref="M18">IFERROR(IF(INDEX(Matches!$AC$5:$AC$22,MATCH($C18,Matches!$A$5:$A$22,0))="","",INDEX(Matches!$AC$5:$AC$22,MATCH($C18,Matches!$A$5:$A$22,0))),"")</f>
        <v>0.4859</v>
      </c>
      <c r="N18" s="4">
        <f t="array" ref="N18">IFERROR(INDEX(Players!$F$2:$F$127,MATCH($F18,Players!$A$2:$A$127,0)),0)</f>
        <v>33</v>
      </c>
      <c r="O18" s="18">
        <f t="array" ref="O18">IFERROR(1/(1/INDEX(Players!$H$2:$H$127,MATCH($F18,Players!$A$2:$A$127,0))),"")</f>
        <v>0.68</v>
      </c>
      <c r="P18" s="11">
        <f t="array" ref="P18">IFERROR(1/(1/INDEX(Players!$I$2:$I$127,MATCH($F18,Players!$A$2:$A$127,0))),"")</f>
        <v>0.626</v>
      </c>
      <c r="Q18" s="4">
        <f>IF($G18="",0,SUMIFS(Map_Stats!$F$2:$F$825,Map_Stats!$A$2:$A$825,$F18&amp;"|"&amp;$G18))</f>
        <v>10</v>
      </c>
      <c r="R18" s="18">
        <f t="array" ref="R18">IF($G18="","",IFERROR(1/(1/INDEX(Map_Stats!$K$2:$K$825,MATCH($F18&amp;"|"&amp;$G18,Map_Stats!$A$2:$A$825,0))),$O18))</f>
        <v>0.62</v>
      </c>
      <c r="S18" s="11">
        <f t="array" ref="S18">IF(OR($G18="",$P18=""),"",IFERROR(1/(1/INDEX(Map_Stats!$I$2:$I$825,MATCH($F18&amp;"|"&amp;$G18,Map_Stats!$A$2:$A$825,0))),$P18))</f>
        <v>0.58</v>
      </c>
      <c r="T18" s="18">
        <f>IF(OR($G18="",R18=""),"",IF($O18="",R18,(Q18*R18+Config!$B$4*$O18)/(Q18+Config!$B$4)))</f>
        <v>0.64</v>
      </c>
      <c r="U18" s="11">
        <f>IF(S18="","",(Q18*S18+Config!$B$4*$P18)/(Q18+Config!$B$4))</f>
        <v>0.5953333333</v>
      </c>
      <c r="V18" s="17">
        <f>IF(OR(T18="",$J18=""),"",T18*$J18*($J18/Config!$B$10)^Config!$B$9)</f>
        <v>13.6384</v>
      </c>
      <c r="W18" s="17">
        <f t="shared" si="1"/>
        <v>8.119394133</v>
      </c>
      <c r="X18" s="4">
        <f>IF($H18="",0,SUMIFS(Map_Stats!$F$2:$F$825,Map_Stats!$A$2:$A$825,$F18&amp;"|"&amp;$H18))</f>
        <v>6</v>
      </c>
      <c r="Y18" s="18">
        <f t="array" ref="Y18">IF($H18="","",IFERROR(1/(1/INDEX(Map_Stats!$K$2:$K$825,MATCH($F18&amp;"|"&amp;$H18,Map_Stats!$A$2:$A$825,0))),$O18))</f>
        <v>0.73</v>
      </c>
      <c r="Z18" s="11">
        <f t="array" ref="Z18">IF(OR($H18="",$P18=""),"",IFERROR(1/(1/INDEX(Map_Stats!$I$2:$I$825,MATCH($F18&amp;"|"&amp;$H18,Map_Stats!$A$2:$A$825,0))),$P18))</f>
        <v>0.653</v>
      </c>
      <c r="AA18" s="18">
        <f>IF(OR($H18="",Y18=""),"",IF($O18="",Y18,(X18*Y18+Config!$B$4*$O18)/(X18+Config!$B$4)))</f>
        <v>0.7072727273</v>
      </c>
      <c r="AB18" s="11">
        <f>IF(Z18="","",(X18*Z18+Config!$B$4*$P18)/(X18+Config!$B$4))</f>
        <v>0.6407272727</v>
      </c>
      <c r="AC18" s="17">
        <f>IF(OR(AA18="",$K18=""),"",AA18*$K18*($K18/Config!$B$10)^Config!$B$9)</f>
        <v>15.14978182</v>
      </c>
      <c r="AD18" s="17">
        <f t="shared" si="2"/>
        <v>9.706878387</v>
      </c>
      <c r="AE18" s="4">
        <f>IF($I18="",0,SUMIFS(Map_Stats!$F$2:$F$825,Map_Stats!$A$2:$A$825,$F18&amp;"|"&amp;$I18))</f>
        <v>7</v>
      </c>
      <c r="AF18" s="18">
        <f t="array" ref="AF18">IF($I18="","",IFERROR(1/(1/INDEX(Map_Stats!$K$2:$K$825,MATCH($F18&amp;"|"&amp;$I18,Map_Stats!$A$2:$A$825,0))),$O18))</f>
        <v>0.73</v>
      </c>
      <c r="AG18" s="11">
        <f t="array" ref="AG18">IF(OR($I18="",$P18=""),"",IFERROR(1/(1/INDEX(Map_Stats!$I$2:$I$825,MATCH($F18&amp;"|"&amp;$I18,Map_Stats!$A$2:$A$825,0))),$P18))</f>
        <v>0.637</v>
      </c>
      <c r="AH18" s="18">
        <f>IF(OR($I18="",AF18=""),"",IF($O18="",AF18,(AE18*AF18+Config!$B$4*$O18)/(AE18+Config!$B$4)))</f>
        <v>0.7091666667</v>
      </c>
      <c r="AI18" s="11">
        <f>IF(AG18="","",(AE18*AG18+Config!$B$4*$P18)/(AE18+Config!$B$4))</f>
        <v>0.6324166667</v>
      </c>
      <c r="AJ18" s="17">
        <f>IF(OR(AH18="",$L18=""),"",AH18*$L18*($L18/Config!$B$10)^Config!$B$9)</f>
        <v>15.16198333</v>
      </c>
      <c r="AK18" s="17">
        <f t="shared" si="3"/>
        <v>9.58869096</v>
      </c>
      <c r="AL18" s="17">
        <f t="shared" si="4"/>
        <v>28.78818182</v>
      </c>
      <c r="AM18" s="17">
        <f t="shared" si="5"/>
        <v>36.15538952</v>
      </c>
      <c r="AN18" s="17">
        <f t="shared" si="6"/>
        <v>17.82627252</v>
      </c>
      <c r="AO18" s="17">
        <f t="shared" si="7"/>
        <v>22.48541746</v>
      </c>
      <c r="AP18" s="11">
        <f t="shared" si="8"/>
        <v>0.6192218957</v>
      </c>
      <c r="AQ18" s="4" t="str">
        <f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4" t="str">
        <f>IF($C18=Board!$B$2,COUNTIFS($C$2:$C$157,Board!$B$2,$AL$2:$AL$157,"&gt;"&amp;$AL18)+COUNTIFS($C$1:$C17,Board!$B$2,$AL$1:$AL17,$AL18)+1,"")</f>
        <v/>
      </c>
      <c r="AS18" s="4" t="str">
        <f t="array" ref="AS18">IFERROR(IF($D18=INDEX(Matches!$AD$5:$AD$22,MATCH($C18,Matches!$A$5:$A$22,0)),"A",IF($D18=INDEX(Matches!$AE$5:$AE$22,MATCH($C18,Matches!$A$5:$A$22,0)),"B","")),"")</f>
        <v>B</v>
      </c>
      <c r="AT18" s="11">
        <f t="array" ref="AT18">IF($AS18="","",IFERROR(IF($AS18="A",INDEX(Matches!$AI$5:$AI$22,MATCH($C18,Matches!$A$5:$A$22,0)),INDEX(Matches!$AJ$5:$AJ$22,MATCH($C18,Matches!$A$5:$A$22,0))),""))</f>
        <v>0.4607087827</v>
      </c>
      <c r="AU18" s="11">
        <f t="array" ref="AU18">IF($AS18="","",IFERROR(IF(INDEX(Matches!$AP$5:$AP$22,MATCH($C18,Matches!$A$5:$A$22,0))="","",IF($AS18="A",INDEX(Matches!$AP$5:$AP$22,MATCH($C18,Matches!$A$5:$A$22,0)),1-INDEX(Matches!$AP$5:$AP$22,MATCH($C18,Matches!$A$5:$A$22,0)))),""))</f>
        <v>0.4853446665</v>
      </c>
      <c r="AV18" s="18">
        <f>IF(OR($AU18="",$AT18=""),1,((Config!$B$14*$AU18+Config!$B$15*(1-$AU18))/(Config!$B$14*$AT18+Config!$B$15*(1-$AT18)))^Config!$B$13)</f>
        <v>1.02281615</v>
      </c>
      <c r="AW18" s="11">
        <f t="array" ref="AW18">IF($AS18="","",IFERROR(IF(INDEX(Matches!$AV$5:$AV$22,MATCH($C18,Matches!$A$5:$A$22,0))="","",IF($AS18="A",INDEX(Matches!$AV$5:$AV$22,MATCH($C18,Matches!$A$5:$A$22,0)),1-INDEX(Matches!$AV$5:$AV$22,MATCH($C18,Matches!$A$5:$A$22,0)))),""))</f>
        <v>0.5030314513</v>
      </c>
      <c r="AX18" s="18">
        <f>IF(OR($AW18="",$AT18=""),1,((Config!$B$14*$AW18+Config!$B$15*(1-$AW18))/(Config!$B$14*$AT18+Config!$B$15*(1-$AT18)))^Config!$B$13)</f>
        <v>1.039196497</v>
      </c>
      <c r="AY18" s="11">
        <f t="array" ref="AY18">IF($AS18="","",IFERROR(IF(INDEX(Matches!$BB$5:$BB$22,MATCH($C18,Matches!$A$5:$A$22,0))="","",IF($AS18="A",INDEX(Matches!$BB$5:$BB$22,MATCH($C18,Matches!$A$5:$A$22,0)),1-INDEX(Matches!$BB$5:$BB$22,MATCH($C18,Matches!$A$5:$A$22,0)))),""))</f>
        <v>0.4239136003</v>
      </c>
      <c r="AZ18" s="18">
        <f>IF(OR($AY18="",$AT18=""),1,((Config!$B$14*$AY18+Config!$B$15*(1-$AY18))/(Config!$B$14*$AT18+Config!$B$15*(1-$AT18)))^Config!$B$13)</f>
        <v>0.9659227004</v>
      </c>
      <c r="BA18" s="17">
        <f t="shared" si="9"/>
        <v>13.94957578</v>
      </c>
      <c r="BB18" s="17">
        <f t="shared" si="10"/>
        <v>15.7436002</v>
      </c>
      <c r="BC18" s="17">
        <f t="shared" si="11"/>
        <v>14.64530388</v>
      </c>
      <c r="BD18" s="17">
        <f t="shared" si="12"/>
        <v>29.69317597</v>
      </c>
      <c r="BE18" s="17">
        <f t="shared" si="13"/>
        <v>36.80932913</v>
      </c>
      <c r="BF18" s="17">
        <f t="shared" si="14"/>
        <v>8.304647446</v>
      </c>
      <c r="BG18" s="17">
        <f t="shared" si="15"/>
        <v>10.08735402</v>
      </c>
      <c r="BH18" s="17">
        <f t="shared" si="16"/>
        <v>9.261934265</v>
      </c>
      <c r="BI18" s="17">
        <f t="shared" si="17"/>
        <v>18.39200146</v>
      </c>
      <c r="BJ18" s="17">
        <f t="shared" si="18"/>
        <v>22.89237532</v>
      </c>
      <c r="BK18" s="18">
        <f t="shared" si="19"/>
        <v>1.031436308</v>
      </c>
    </row>
    <row r="19">
      <c r="A19" s="4" t="s">
        <v>2792</v>
      </c>
      <c r="B19" s="4" t="s">
        <v>86</v>
      </c>
      <c r="C19" s="4" t="s">
        <v>1168</v>
      </c>
      <c r="D19" s="4" t="s">
        <v>1174</v>
      </c>
      <c r="E19" s="4" t="s">
        <v>1254</v>
      </c>
      <c r="F19" s="4" t="s">
        <v>1253</v>
      </c>
      <c r="G19" s="4" t="str">
        <f t="array" ref="G19">IFERROR(IF(INDEX(Matches!$W$5:$W$22,MATCH($C19,Matches!$A$5:$A$22,0))="","",INDEX(Matches!$W$5:$W$22,MATCH($C19,Matches!$A$5:$A$22,0))),"")</f>
        <v>Nuke</v>
      </c>
      <c r="H19" s="4" t="str">
        <f t="array" ref="H19">IFERROR(IF(INDEX(Matches!$X$5:$X$22,MATCH($C19,Matches!$A$5:$A$22,0))="","",INDEX(Matches!$X$5:$X$22,MATCH($C19,Matches!$A$5:$A$22,0))),"")</f>
        <v>Mirage</v>
      </c>
      <c r="I19" s="4" t="str">
        <f t="array" ref="I19">IFERROR(IF(INDEX(Matches!$Y$5:$Y$22,MATCH($C19,Matches!$A$5:$A$22,0))="","",INDEX(Matches!$Y$5:$Y$22,MATCH($C19,Matches!$A$5:$A$22,0))),"")</f>
        <v>Dust2</v>
      </c>
      <c r="J19" s="4">
        <f t="array" ref="J19">IFERROR(IF(INDEX(Matches!$Z$5:$Z$22,MATCH($C19,Matches!$A$5:$A$22,0))="","",INDEX(Matches!$Z$5:$Z$22,MATCH($C19,Matches!$A$5:$A$22,0))),"")</f>
        <v>21.31</v>
      </c>
      <c r="K19" s="4">
        <f t="array" ref="K19">IFERROR(IF(INDEX(Matches!$AA$5:$AA$22,MATCH($C19,Matches!$A$5:$A$22,0))="","",INDEX(Matches!$AA$5:$AA$22,MATCH($C19,Matches!$A$5:$A$22,0))),"")</f>
        <v>21.42</v>
      </c>
      <c r="L19" s="4">
        <f t="array" ref="L19">IFERROR(IF(INDEX(Matches!$AB$5:$AB$22,MATCH($C19,Matches!$A$5:$A$22,0))="","",INDEX(Matches!$AB$5:$AB$22,MATCH($C19,Matches!$A$5:$A$22,0))),"")</f>
        <v>21.38</v>
      </c>
      <c r="M19" s="11">
        <f t="array" ref="M19">IFERROR(IF(INDEX(Matches!$AC$5:$AC$22,MATCH($C19,Matches!$A$5:$A$22,0))="","",INDEX(Matches!$AC$5:$AC$22,MATCH($C19,Matches!$A$5:$A$22,0))),"")</f>
        <v>0.4859</v>
      </c>
      <c r="N19" s="4">
        <f t="array" ref="N19">IFERROR(INDEX(Players!$F$2:$F$127,MATCH($F19,Players!$A$2:$A$127,0)),0)</f>
        <v>33</v>
      </c>
      <c r="O19" s="18">
        <f t="array" ref="O19">IFERROR(1/(1/INDEX(Players!$H$2:$H$127,MATCH($F19,Players!$A$2:$A$127,0))),"")</f>
        <v>0.66</v>
      </c>
      <c r="P19" s="11">
        <f t="array" ref="P19">IFERROR(1/(1/INDEX(Players!$I$2:$I$127,MATCH($F19,Players!$A$2:$A$127,0))),"")</f>
        <v>0.59</v>
      </c>
      <c r="Q19" s="4">
        <f>IF($G19="",0,SUMIFS(Map_Stats!$F$2:$F$825,Map_Stats!$A$2:$A$825,$F19&amp;"|"&amp;$G19))</f>
        <v>10</v>
      </c>
      <c r="R19" s="18">
        <f t="array" ref="R19">IF($G19="","",IFERROR(1/(1/INDEX(Map_Stats!$K$2:$K$825,MATCH($F19&amp;"|"&amp;$G19,Map_Stats!$A$2:$A$825,0))),$O19))</f>
        <v>0.7</v>
      </c>
      <c r="S19" s="11">
        <f t="array" ref="S19">IF(OR($G19="",$P19=""),"",IFERROR(1/(1/INDEX(Map_Stats!$I$2:$I$825,MATCH($F19&amp;"|"&amp;$G19,Map_Stats!$A$2:$A$825,0))),$P19))</f>
        <v>0.61</v>
      </c>
      <c r="T19" s="18">
        <f>IF(OR($G19="",R19=""),"",IF($O19="",R19,(Q19*R19+Config!$B$4*$O19)/(Q19+Config!$B$4)))</f>
        <v>0.6866666667</v>
      </c>
      <c r="U19" s="11">
        <f>IF(S19="","",(Q19*S19+Config!$B$4*$P19)/(Q19+Config!$B$4))</f>
        <v>0.6033333333</v>
      </c>
      <c r="V19" s="17">
        <f>IF(OR(T19="",$J19=""),"",T19*$J19*($J19/Config!$B$10)^Config!$B$9)</f>
        <v>14.63286667</v>
      </c>
      <c r="W19" s="17">
        <f t="shared" si="1"/>
        <v>8.828496222</v>
      </c>
      <c r="X19" s="4">
        <f>IF($H19="",0,SUMIFS(Map_Stats!$F$2:$F$825,Map_Stats!$A$2:$A$825,$F19&amp;"|"&amp;$H19))</f>
        <v>6</v>
      </c>
      <c r="Y19" s="18">
        <f t="array" ref="Y19">IF($H19="","",IFERROR(1/(1/INDEX(Map_Stats!$K$2:$K$825,MATCH($F19&amp;"|"&amp;$H19,Map_Stats!$A$2:$A$825,0))),$O19))</f>
        <v>0.78</v>
      </c>
      <c r="Z19" s="11">
        <f t="array" ref="Z19">IF(OR($H19="",$P19=""),"",IFERROR(1/(1/INDEX(Map_Stats!$I$2:$I$825,MATCH($F19&amp;"|"&amp;$H19,Map_Stats!$A$2:$A$825,0))),$P19))</f>
        <v>0.588</v>
      </c>
      <c r="AA19" s="18">
        <f>IF(OR($H19="",Y19=""),"",IF($O19="",Y19,(X19*Y19+Config!$B$4*$O19)/(X19+Config!$B$4)))</f>
        <v>0.7254545455</v>
      </c>
      <c r="AB19" s="11">
        <f>IF(Z19="","",(X19*Z19+Config!$B$4*$P19)/(X19+Config!$B$4))</f>
        <v>0.5889090909</v>
      </c>
      <c r="AC19" s="17">
        <f>IF(OR(AA19="",$K19=""),"",AA19*$K19*($K19/Config!$B$10)^Config!$B$9)</f>
        <v>15.53923636</v>
      </c>
      <c r="AD19" s="17">
        <f t="shared" si="2"/>
        <v>9.15119756</v>
      </c>
      <c r="AE19" s="4">
        <f>IF($I19="",0,SUMIFS(Map_Stats!$F$2:$F$825,Map_Stats!$A$2:$A$825,$F19&amp;"|"&amp;$I19))</f>
        <v>7</v>
      </c>
      <c r="AF19" s="18">
        <f t="array" ref="AF19">IF($I19="","",IFERROR(1/(1/INDEX(Map_Stats!$K$2:$K$825,MATCH($F19&amp;"|"&amp;$I19,Map_Stats!$A$2:$A$825,0))),$O19))</f>
        <v>0.53</v>
      </c>
      <c r="AG19" s="11">
        <f t="array" ref="AG19">IF(OR($I19="",$P19=""),"",IFERROR(1/(1/INDEX(Map_Stats!$I$2:$I$825,MATCH($F19&amp;"|"&amp;$I19,Map_Stats!$A$2:$A$825,0))),$P19))</f>
        <v>0.5</v>
      </c>
      <c r="AH19" s="18">
        <f>IF(OR($I19="",AF19=""),"",IF($O19="",AF19,(AE19*AF19+Config!$B$4*$O19)/(AE19+Config!$B$4)))</f>
        <v>0.5841666667</v>
      </c>
      <c r="AI19" s="11">
        <f>IF(AG19="","",(AE19*AG19+Config!$B$4*$P19)/(AE19+Config!$B$4))</f>
        <v>0.5375</v>
      </c>
      <c r="AJ19" s="17">
        <f>IF(OR(AH19="",$L19=""),"",AH19*$L19*($L19/Config!$B$10)^Config!$B$9)</f>
        <v>12.48948333</v>
      </c>
      <c r="AK19" s="17">
        <f t="shared" si="3"/>
        <v>6.713097292</v>
      </c>
      <c r="AL19" s="17">
        <f t="shared" si="4"/>
        <v>30.17210303</v>
      </c>
      <c r="AM19" s="17">
        <f t="shared" si="5"/>
        <v>36.24074298</v>
      </c>
      <c r="AN19" s="17">
        <f t="shared" si="6"/>
        <v>17.97969378</v>
      </c>
      <c r="AO19" s="17">
        <f t="shared" si="7"/>
        <v>21.24158776</v>
      </c>
      <c r="AP19" s="11">
        <f t="shared" si="8"/>
        <v>0.5959045601</v>
      </c>
      <c r="AQ19" s="4" t="str">
        <f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4" t="str">
        <f>IF($C19=Board!$B$2,COUNTIFS($C$2:$C$157,Board!$B$2,$AL$2:$AL$157,"&gt;"&amp;$AL19)+COUNTIFS($C$1:$C18,Board!$B$2,$AL$1:$AL18,$AL19)+1,"")</f>
        <v/>
      </c>
      <c r="AS19" s="4" t="str">
        <f t="array" ref="AS19">IFERROR(IF($D19=INDEX(Matches!$AD$5:$AD$22,MATCH($C19,Matches!$A$5:$A$22,0)),"A",IF($D19=INDEX(Matches!$AE$5:$AE$22,MATCH($C19,Matches!$A$5:$A$22,0)),"B","")),"")</f>
        <v>B</v>
      </c>
      <c r="AT19" s="11">
        <f t="array" ref="AT19">IF($AS19="","",IFERROR(IF($AS19="A",INDEX(Matches!$AI$5:$AI$22,MATCH($C19,Matches!$A$5:$A$22,0)),INDEX(Matches!$AJ$5:$AJ$22,MATCH($C19,Matches!$A$5:$A$22,0))),""))</f>
        <v>0.4607087827</v>
      </c>
      <c r="AU19" s="11">
        <f t="array" ref="AU19">IF($AS19="","",IFERROR(IF(INDEX(Matches!$AP$5:$AP$22,MATCH($C19,Matches!$A$5:$A$22,0))="","",IF($AS19="A",INDEX(Matches!$AP$5:$AP$22,MATCH($C19,Matches!$A$5:$A$22,0)),1-INDEX(Matches!$AP$5:$AP$22,MATCH($C19,Matches!$A$5:$A$22,0)))),""))</f>
        <v>0.4853446665</v>
      </c>
      <c r="AV19" s="18">
        <f>IF(OR($AU19="",$AT19=""),1,((Config!$B$14*$AU19+Config!$B$15*(1-$AU19))/(Config!$B$14*$AT19+Config!$B$15*(1-$AT19)))^Config!$B$13)</f>
        <v>1.02281615</v>
      </c>
      <c r="AW19" s="11">
        <f t="array" ref="AW19">IF($AS19="","",IFERROR(IF(INDEX(Matches!$AV$5:$AV$22,MATCH($C19,Matches!$A$5:$A$22,0))="","",IF($AS19="A",INDEX(Matches!$AV$5:$AV$22,MATCH($C19,Matches!$A$5:$A$22,0)),1-INDEX(Matches!$AV$5:$AV$22,MATCH($C19,Matches!$A$5:$A$22,0)))),""))</f>
        <v>0.5030314513</v>
      </c>
      <c r="AX19" s="18">
        <f>IF(OR($AW19="",$AT19=""),1,((Config!$B$14*$AW19+Config!$B$15*(1-$AW19))/(Config!$B$14*$AT19+Config!$B$15*(1-$AT19)))^Config!$B$13)</f>
        <v>1.039196497</v>
      </c>
      <c r="AY19" s="11">
        <f t="array" ref="AY19">IF($AS19="","",IFERROR(IF(INDEX(Matches!$BB$5:$BB$22,MATCH($C19,Matches!$A$5:$A$22,0))="","",IF($AS19="A",INDEX(Matches!$BB$5:$BB$22,MATCH($C19,Matches!$A$5:$A$22,0)),1-INDEX(Matches!$BB$5:$BB$22,MATCH($C19,Matches!$A$5:$A$22,0)))),""))</f>
        <v>0.4239136003</v>
      </c>
      <c r="AZ19" s="18">
        <f>IF(OR($AY19="",$AT19=""),1,((Config!$B$14*$AY19+Config!$B$15*(1-$AY19))/(Config!$B$14*$AT19+Config!$B$15*(1-$AT19)))^Config!$B$13)</f>
        <v>0.9659227004</v>
      </c>
      <c r="BA19" s="17">
        <f t="shared" si="9"/>
        <v>14.96673234</v>
      </c>
      <c r="BB19" s="17">
        <f t="shared" si="10"/>
        <v>16.14832</v>
      </c>
      <c r="BC19" s="17">
        <f t="shared" si="11"/>
        <v>12.06387547</v>
      </c>
      <c r="BD19" s="17">
        <f t="shared" si="12"/>
        <v>31.11505234</v>
      </c>
      <c r="BE19" s="17">
        <f t="shared" si="13"/>
        <v>36.97688943</v>
      </c>
      <c r="BF19" s="17">
        <f t="shared" si="14"/>
        <v>9.029928514</v>
      </c>
      <c r="BG19" s="17">
        <f t="shared" si="15"/>
        <v>9.509892448</v>
      </c>
      <c r="BH19" s="17">
        <f t="shared" si="16"/>
        <v>6.484333064</v>
      </c>
      <c r="BI19" s="17">
        <f t="shared" si="17"/>
        <v>18.53982096</v>
      </c>
      <c r="BJ19" s="17">
        <f t="shared" si="18"/>
        <v>21.6905584</v>
      </c>
      <c r="BK19" s="18">
        <f t="shared" si="19"/>
        <v>1.031252356</v>
      </c>
    </row>
    <row r="20">
      <c r="A20" s="4" t="s">
        <v>2847</v>
      </c>
      <c r="B20" s="4" t="s">
        <v>86</v>
      </c>
      <c r="C20" s="4" t="s">
        <v>1168</v>
      </c>
      <c r="D20" s="4" t="s">
        <v>1174</v>
      </c>
      <c r="E20" s="4" t="s">
        <v>1257</v>
      </c>
      <c r="F20" s="4" t="s">
        <v>1256</v>
      </c>
      <c r="G20" s="4" t="str">
        <f t="array" ref="G20">IFERROR(IF(INDEX(Matches!$W$5:$W$22,MATCH($C20,Matches!$A$5:$A$22,0))="","",INDEX(Matches!$W$5:$W$22,MATCH($C20,Matches!$A$5:$A$22,0))),"")</f>
        <v>Nuke</v>
      </c>
      <c r="H20" s="4" t="str">
        <f t="array" ref="H20">IFERROR(IF(INDEX(Matches!$X$5:$X$22,MATCH($C20,Matches!$A$5:$A$22,0))="","",INDEX(Matches!$X$5:$X$22,MATCH($C20,Matches!$A$5:$A$22,0))),"")</f>
        <v>Mirage</v>
      </c>
      <c r="I20" s="4" t="str">
        <f t="array" ref="I20">IFERROR(IF(INDEX(Matches!$Y$5:$Y$22,MATCH($C20,Matches!$A$5:$A$22,0))="","",INDEX(Matches!$Y$5:$Y$22,MATCH($C20,Matches!$A$5:$A$22,0))),"")</f>
        <v>Dust2</v>
      </c>
      <c r="J20" s="4">
        <f t="array" ref="J20">IFERROR(IF(INDEX(Matches!$Z$5:$Z$22,MATCH($C20,Matches!$A$5:$A$22,0))="","",INDEX(Matches!$Z$5:$Z$22,MATCH($C20,Matches!$A$5:$A$22,0))),"")</f>
        <v>21.31</v>
      </c>
      <c r="K20" s="4">
        <f t="array" ref="K20">IFERROR(IF(INDEX(Matches!$AA$5:$AA$22,MATCH($C20,Matches!$A$5:$A$22,0))="","",INDEX(Matches!$AA$5:$AA$22,MATCH($C20,Matches!$A$5:$A$22,0))),"")</f>
        <v>21.42</v>
      </c>
      <c r="L20" s="4">
        <f t="array" ref="L20">IFERROR(IF(INDEX(Matches!$AB$5:$AB$22,MATCH($C20,Matches!$A$5:$A$22,0))="","",INDEX(Matches!$AB$5:$AB$22,MATCH($C20,Matches!$A$5:$A$22,0))),"")</f>
        <v>21.38</v>
      </c>
      <c r="M20" s="11">
        <f t="array" ref="M20">IFERROR(IF(INDEX(Matches!$AC$5:$AC$22,MATCH($C20,Matches!$A$5:$A$22,0))="","",INDEX(Matches!$AC$5:$AC$22,MATCH($C20,Matches!$A$5:$A$22,0))),"")</f>
        <v>0.4859</v>
      </c>
      <c r="N20" s="4">
        <f t="array" ref="N20">IFERROR(INDEX(Players!$F$2:$F$127,MATCH($F20,Players!$A$2:$A$127,0)),0)</f>
        <v>33</v>
      </c>
      <c r="O20" s="18">
        <f t="array" ref="O20">IFERROR(1/(1/INDEX(Players!$H$2:$H$127,MATCH($F20,Players!$A$2:$A$127,0))),"")</f>
        <v>0.53</v>
      </c>
      <c r="P20" s="11">
        <f t="array" ref="P20">IFERROR(1/(1/INDEX(Players!$I$2:$I$127,MATCH($F20,Players!$A$2:$A$127,0))),"")</f>
        <v>0.508</v>
      </c>
      <c r="Q20" s="4">
        <f>IF($G20="",0,SUMIFS(Map_Stats!$F$2:$F$825,Map_Stats!$A$2:$A$825,$F20&amp;"|"&amp;$G20))</f>
        <v>10</v>
      </c>
      <c r="R20" s="18">
        <f t="array" ref="R20">IF($G20="","",IFERROR(1/(1/INDEX(Map_Stats!$K$2:$K$825,MATCH($F20&amp;"|"&amp;$G20,Map_Stats!$A$2:$A$825,0))),$O20))</f>
        <v>0.62</v>
      </c>
      <c r="S20" s="11">
        <f t="array" ref="S20">IF(OR($G20="",$P20=""),"",IFERROR(1/(1/INDEX(Map_Stats!$I$2:$I$825,MATCH($F20&amp;"|"&amp;$G20,Map_Stats!$A$2:$A$825,0))),$P20))</f>
        <v>0.5</v>
      </c>
      <c r="T20" s="18">
        <f>IF(OR($G20="",R20=""),"",IF($O20="",R20,(Q20*R20+Config!$B$4*$O20)/(Q20+Config!$B$4)))</f>
        <v>0.59</v>
      </c>
      <c r="U20" s="11">
        <f>IF(S20="","",(Q20*S20+Config!$B$4*$P20)/(Q20+Config!$B$4))</f>
        <v>0.5026666667</v>
      </c>
      <c r="V20" s="17">
        <f>IF(OR(T20="",$J20=""),"",T20*$J20*($J20/Config!$B$10)^Config!$B$9)</f>
        <v>12.5729</v>
      </c>
      <c r="W20" s="17">
        <f t="shared" si="1"/>
        <v>6.319977733</v>
      </c>
      <c r="X20" s="4">
        <f>IF($H20="",0,SUMIFS(Map_Stats!$F$2:$F$825,Map_Stats!$A$2:$A$825,$F20&amp;"|"&amp;$H20))</f>
        <v>6</v>
      </c>
      <c r="Y20" s="18">
        <f t="array" ref="Y20">IF($H20="","",IFERROR(1/(1/INDEX(Map_Stats!$K$2:$K$825,MATCH($F20&amp;"|"&amp;$H20,Map_Stats!$A$2:$A$825,0))),$O20))</f>
        <v>0.45</v>
      </c>
      <c r="Z20" s="11">
        <f t="array" ref="Z20">IF(OR($H20="",$P20=""),"",IFERROR(1/(1/INDEX(Map_Stats!$I$2:$I$825,MATCH($F20&amp;"|"&amp;$H20,Map_Stats!$A$2:$A$825,0))),$P20))</f>
        <v>0.431</v>
      </c>
      <c r="AA20" s="18">
        <f>IF(OR($H20="",Y20=""),"",IF($O20="",Y20,(X20*Y20+Config!$B$4*$O20)/(X20+Config!$B$4)))</f>
        <v>0.4863636364</v>
      </c>
      <c r="AB20" s="11">
        <f>IF(Z20="","",(X20*Z20+Config!$B$4*$P20)/(X20+Config!$B$4))</f>
        <v>0.466</v>
      </c>
      <c r="AC20" s="17">
        <f>IF(OR(AA20="",$K20=""),"",AA20*$K20*($K20/Config!$B$10)^Config!$B$9)</f>
        <v>10.41790909</v>
      </c>
      <c r="AD20" s="17">
        <f t="shared" si="2"/>
        <v>4.854745636</v>
      </c>
      <c r="AE20" s="4">
        <f>IF($I20="",0,SUMIFS(Map_Stats!$F$2:$F$825,Map_Stats!$A$2:$A$825,$F20&amp;"|"&amp;$I20))</f>
        <v>7</v>
      </c>
      <c r="AF20" s="18">
        <f t="array" ref="AF20">IF($I20="","",IFERROR(1/(1/INDEX(Map_Stats!$K$2:$K$825,MATCH($F20&amp;"|"&amp;$I20,Map_Stats!$A$2:$A$825,0))),$O20))</f>
        <v>0.53</v>
      </c>
      <c r="AG20" s="11">
        <f t="array" ref="AG20">IF(OR($I20="",$P20=""),"",IFERROR(1/(1/INDEX(Map_Stats!$I$2:$I$825,MATCH($F20&amp;"|"&amp;$I20,Map_Stats!$A$2:$A$825,0))),$P20))</f>
        <v>0.459</v>
      </c>
      <c r="AH20" s="18">
        <f>IF(OR($I20="",AF20=""),"",IF($O20="",AF20,(AE20*AF20+Config!$B$4*$O20)/(AE20+Config!$B$4)))</f>
        <v>0.53</v>
      </c>
      <c r="AI20" s="11">
        <f>IF(AG20="","",(AE20*AG20+Config!$B$4*$P20)/(AE20+Config!$B$4))</f>
        <v>0.4794166667</v>
      </c>
      <c r="AJ20" s="17">
        <f>IF(OR(AH20="",$L20=""),"",AH20*$L20*($L20/Config!$B$10)^Config!$B$9)</f>
        <v>11.3314</v>
      </c>
      <c r="AK20" s="17">
        <f t="shared" si="3"/>
        <v>5.432462017</v>
      </c>
      <c r="AL20" s="17">
        <f t="shared" si="4"/>
        <v>22.99080909</v>
      </c>
      <c r="AM20" s="17">
        <f t="shared" si="5"/>
        <v>28.49673635</v>
      </c>
      <c r="AN20" s="17">
        <f t="shared" si="6"/>
        <v>11.17472337</v>
      </c>
      <c r="AO20" s="17">
        <f t="shared" si="7"/>
        <v>13.81435666</v>
      </c>
      <c r="AP20" s="11">
        <f t="shared" si="8"/>
        <v>0.4860517664</v>
      </c>
      <c r="AQ20" s="4" t="str">
        <f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4" t="str">
        <f>IF($C20=Board!$B$2,COUNTIFS($C$2:$C$157,Board!$B$2,$AL$2:$AL$157,"&gt;"&amp;$AL20)+COUNTIFS($C$1:$C19,Board!$B$2,$AL$1:$AL19,$AL20)+1,"")</f>
        <v/>
      </c>
      <c r="AS20" s="4" t="str">
        <f t="array" ref="AS20">IFERROR(IF($D20=INDEX(Matches!$AD$5:$AD$22,MATCH($C20,Matches!$A$5:$A$22,0)),"A",IF($D20=INDEX(Matches!$AE$5:$AE$22,MATCH($C20,Matches!$A$5:$A$22,0)),"B","")),"")</f>
        <v>B</v>
      </c>
      <c r="AT20" s="11">
        <f t="array" ref="AT20">IF($AS20="","",IFERROR(IF($AS20="A",INDEX(Matches!$AI$5:$AI$22,MATCH($C20,Matches!$A$5:$A$22,0)),INDEX(Matches!$AJ$5:$AJ$22,MATCH($C20,Matches!$A$5:$A$22,0))),""))</f>
        <v>0.4607087827</v>
      </c>
      <c r="AU20" s="11">
        <f t="array" ref="AU20">IF($AS20="","",IFERROR(IF(INDEX(Matches!$AP$5:$AP$22,MATCH($C20,Matches!$A$5:$A$22,0))="","",IF($AS20="A",INDEX(Matches!$AP$5:$AP$22,MATCH($C20,Matches!$A$5:$A$22,0)),1-INDEX(Matches!$AP$5:$AP$22,MATCH($C20,Matches!$A$5:$A$22,0)))),""))</f>
        <v>0.4853446665</v>
      </c>
      <c r="AV20" s="18">
        <f>IF(OR($AU20="",$AT20=""),1,((Config!$B$14*$AU20+Config!$B$15*(1-$AU20))/(Config!$B$14*$AT20+Config!$B$15*(1-$AT20)))^Config!$B$13)</f>
        <v>1.02281615</v>
      </c>
      <c r="AW20" s="11">
        <f t="array" ref="AW20">IF($AS20="","",IFERROR(IF(INDEX(Matches!$AV$5:$AV$22,MATCH($C20,Matches!$A$5:$A$22,0))="","",IF($AS20="A",INDEX(Matches!$AV$5:$AV$22,MATCH($C20,Matches!$A$5:$A$22,0)),1-INDEX(Matches!$AV$5:$AV$22,MATCH($C20,Matches!$A$5:$A$22,0)))),""))</f>
        <v>0.5030314513</v>
      </c>
      <c r="AX20" s="18">
        <f>IF(OR($AW20="",$AT20=""),1,((Config!$B$14*$AW20+Config!$B$15*(1-$AW20))/(Config!$B$14*$AT20+Config!$B$15*(1-$AT20)))^Config!$B$13)</f>
        <v>1.039196497</v>
      </c>
      <c r="AY20" s="11">
        <f t="array" ref="AY20">IF($AS20="","",IFERROR(IF(INDEX(Matches!$BB$5:$BB$22,MATCH($C20,Matches!$A$5:$A$22,0))="","",IF($AS20="A",INDEX(Matches!$BB$5:$BB$22,MATCH($C20,Matches!$A$5:$A$22,0)),1-INDEX(Matches!$BB$5:$BB$22,MATCH($C20,Matches!$A$5:$A$22,0)))),""))</f>
        <v>0.4239136003</v>
      </c>
      <c r="AZ20" s="18">
        <f>IF(OR($AY20="",$AT20=""),1,((Config!$B$14*$AY20+Config!$B$15*(1-$AY20))/(Config!$B$14*$AT20+Config!$B$15*(1-$AT20)))^Config!$B$13)</f>
        <v>0.9659227004</v>
      </c>
      <c r="BA20" s="17">
        <f t="shared" si="9"/>
        <v>12.85976517</v>
      </c>
      <c r="BB20" s="17">
        <f t="shared" si="10"/>
        <v>10.82625463</v>
      </c>
      <c r="BC20" s="17">
        <f t="shared" si="11"/>
        <v>10.94525649</v>
      </c>
      <c r="BD20" s="17">
        <f t="shared" si="12"/>
        <v>23.6860198</v>
      </c>
      <c r="BE20" s="17">
        <f t="shared" si="13"/>
        <v>29.00431993</v>
      </c>
      <c r="BF20" s="17">
        <f t="shared" si="14"/>
        <v>6.464175292</v>
      </c>
      <c r="BG20" s="17">
        <f t="shared" si="15"/>
        <v>5.045034659</v>
      </c>
      <c r="BH20" s="17">
        <f t="shared" si="16"/>
        <v>5.247338381</v>
      </c>
      <c r="BI20" s="17">
        <f t="shared" si="17"/>
        <v>11.50920995</v>
      </c>
      <c r="BJ20" s="17">
        <f t="shared" si="18"/>
        <v>14.05889167</v>
      </c>
      <c r="BK20" s="18">
        <f t="shared" si="19"/>
        <v>1.030238636</v>
      </c>
    </row>
    <row r="21" ht="15.75" customHeight="1">
      <c r="A21" s="4" t="s">
        <v>2899</v>
      </c>
      <c r="B21" s="4" t="s">
        <v>86</v>
      </c>
      <c r="C21" s="4" t="s">
        <v>1168</v>
      </c>
      <c r="D21" s="4" t="s">
        <v>1174</v>
      </c>
      <c r="E21" s="4" t="s">
        <v>1260</v>
      </c>
      <c r="F21" s="4" t="s">
        <v>1259</v>
      </c>
      <c r="G21" s="4" t="str">
        <f t="array" ref="G21">IFERROR(IF(INDEX(Matches!$W$5:$W$22,MATCH($C21,Matches!$A$5:$A$22,0))="","",INDEX(Matches!$W$5:$W$22,MATCH($C21,Matches!$A$5:$A$22,0))),"")</f>
        <v>Nuke</v>
      </c>
      <c r="H21" s="4" t="str">
        <f t="array" ref="H21">IFERROR(IF(INDEX(Matches!$X$5:$X$22,MATCH($C21,Matches!$A$5:$A$22,0))="","",INDEX(Matches!$X$5:$X$22,MATCH($C21,Matches!$A$5:$A$22,0))),"")</f>
        <v>Mirage</v>
      </c>
      <c r="I21" s="4" t="str">
        <f t="array" ref="I21">IFERROR(IF(INDEX(Matches!$Y$5:$Y$22,MATCH($C21,Matches!$A$5:$A$22,0))="","",INDEX(Matches!$Y$5:$Y$22,MATCH($C21,Matches!$A$5:$A$22,0))),"")</f>
        <v>Dust2</v>
      </c>
      <c r="J21" s="4">
        <f t="array" ref="J21">IFERROR(IF(INDEX(Matches!$Z$5:$Z$22,MATCH($C21,Matches!$A$5:$A$22,0))="","",INDEX(Matches!$Z$5:$Z$22,MATCH($C21,Matches!$A$5:$A$22,0))),"")</f>
        <v>21.31</v>
      </c>
      <c r="K21" s="4">
        <f t="array" ref="K21">IFERROR(IF(INDEX(Matches!$AA$5:$AA$22,MATCH($C21,Matches!$A$5:$A$22,0))="","",INDEX(Matches!$AA$5:$AA$22,MATCH($C21,Matches!$A$5:$A$22,0))),"")</f>
        <v>21.42</v>
      </c>
      <c r="L21" s="4">
        <f t="array" ref="L21">IFERROR(IF(INDEX(Matches!$AB$5:$AB$22,MATCH($C21,Matches!$A$5:$A$22,0))="","",INDEX(Matches!$AB$5:$AB$22,MATCH($C21,Matches!$A$5:$A$22,0))),"")</f>
        <v>21.38</v>
      </c>
      <c r="M21" s="11">
        <f t="array" ref="M21">IFERROR(IF(INDEX(Matches!$AC$5:$AC$22,MATCH($C21,Matches!$A$5:$A$22,0))="","",INDEX(Matches!$AC$5:$AC$22,MATCH($C21,Matches!$A$5:$A$22,0))),"")</f>
        <v>0.4859</v>
      </c>
      <c r="N21" s="4">
        <f t="array" ref="N21">IFERROR(INDEX(Players!$F$2:$F$127,MATCH($F21,Players!$A$2:$A$127,0)),0)</f>
        <v>33</v>
      </c>
      <c r="O21" s="18">
        <f t="array" ref="O21">IFERROR(1/(1/INDEX(Players!$H$2:$H$127,MATCH($F21,Players!$A$2:$A$127,0))),"")</f>
        <v>0.6</v>
      </c>
      <c r="P21" s="11">
        <f t="array" ref="P21">IFERROR(1/(1/INDEX(Players!$I$2:$I$127,MATCH($F21,Players!$A$2:$A$127,0))),"")</f>
        <v>0.41</v>
      </c>
      <c r="Q21" s="4">
        <f>IF($G21="",0,SUMIFS(Map_Stats!$F$2:$F$825,Map_Stats!$A$2:$A$825,$F21&amp;"|"&amp;$G21))</f>
        <v>10</v>
      </c>
      <c r="R21" s="18">
        <f t="array" ref="R21">IF($G21="","",IFERROR(1/(1/INDEX(Map_Stats!$K$2:$K$825,MATCH($F21&amp;"|"&amp;$G21,Map_Stats!$A$2:$A$825,0))),$O21))</f>
        <v>0.52</v>
      </c>
      <c r="S21" s="11">
        <f t="array" ref="S21">IF(OR($G21="",$P21=""),"",IFERROR(1/(1/INDEX(Map_Stats!$I$2:$I$825,MATCH($F21&amp;"|"&amp;$G21,Map_Stats!$A$2:$A$825,0))),$P21))</f>
        <v>0.42</v>
      </c>
      <c r="T21" s="18">
        <f>IF(OR($G21="",R21=""),"",IF($O21="",R21,(Q21*R21+Config!$B$4*$O21)/(Q21+Config!$B$4)))</f>
        <v>0.5466666667</v>
      </c>
      <c r="U21" s="11">
        <f>IF(S21="","",(Q21*S21+Config!$B$4*$P21)/(Q21+Config!$B$4))</f>
        <v>0.4166666667</v>
      </c>
      <c r="V21" s="17">
        <f>IF(OR(T21="",$J21=""),"",T21*$J21*($J21/Config!$B$10)^Config!$B$9)</f>
        <v>11.64946667</v>
      </c>
      <c r="W21" s="17">
        <f t="shared" si="1"/>
        <v>4.853944444</v>
      </c>
      <c r="X21" s="4">
        <f>IF($H21="",0,SUMIFS(Map_Stats!$F$2:$F$825,Map_Stats!$A$2:$A$825,$F21&amp;"|"&amp;$H21))</f>
        <v>6</v>
      </c>
      <c r="Y21" s="18">
        <f t="array" ref="Y21">IF($H21="","",IFERROR(1/(1/INDEX(Map_Stats!$K$2:$K$825,MATCH($F21&amp;"|"&amp;$H21,Map_Stats!$A$2:$A$825,0))),$O21))</f>
        <v>0.7</v>
      </c>
      <c r="Z21" s="11">
        <f t="array" ref="Z21">IF(OR($H21="",$P21=""),"",IFERROR(1/(1/INDEX(Map_Stats!$I$2:$I$825,MATCH($F21&amp;"|"&amp;$H21,Map_Stats!$A$2:$A$825,0))),$P21))</f>
        <v>0.341</v>
      </c>
      <c r="AA21" s="18">
        <f>IF(OR($H21="",Y21=""),"",IF($O21="",Y21,(X21*Y21+Config!$B$4*$O21)/(X21+Config!$B$4)))</f>
        <v>0.6545454545</v>
      </c>
      <c r="AB21" s="11">
        <f>IF(Z21="","",(X21*Z21+Config!$B$4*$P21)/(X21+Config!$B$4))</f>
        <v>0.3723636364</v>
      </c>
      <c r="AC21" s="17">
        <f>IF(OR(AA21="",$K21=""),"",AA21*$K21*($K21/Config!$B$10)^Config!$B$9)</f>
        <v>14.02036364</v>
      </c>
      <c r="AD21" s="17">
        <f t="shared" si="2"/>
        <v>5.220673587</v>
      </c>
      <c r="AE21" s="4">
        <f>IF($I21="",0,SUMIFS(Map_Stats!$F$2:$F$825,Map_Stats!$A$2:$A$825,$F21&amp;"|"&amp;$I21))</f>
        <v>7</v>
      </c>
      <c r="AF21" s="18">
        <f t="array" ref="AF21">IF($I21="","",IFERROR(1/(1/INDEX(Map_Stats!$K$2:$K$825,MATCH($F21&amp;"|"&amp;$I21,Map_Stats!$A$2:$A$825,0))),$O21))</f>
        <v>0.59</v>
      </c>
      <c r="AG21" s="11">
        <f t="array" ref="AG21">IF(OR($I21="",$P21=""),"",IFERROR(1/(1/INDEX(Map_Stats!$I$2:$I$825,MATCH($F21&amp;"|"&amp;$I21,Map_Stats!$A$2:$A$825,0))),$P21))</f>
        <v>0.325</v>
      </c>
      <c r="AH21" s="18">
        <f>IF(OR($I21="",AF21=""),"",IF($O21="",AF21,(AE21*AF21+Config!$B$4*$O21)/(AE21+Config!$B$4)))</f>
        <v>0.5941666667</v>
      </c>
      <c r="AI21" s="11">
        <f>IF(AG21="","",(AE21*AG21+Config!$B$4*$P21)/(AE21+Config!$B$4))</f>
        <v>0.3604166667</v>
      </c>
      <c r="AJ21" s="17">
        <f>IF(OR(AH21="",$L21=""),"",AH21*$L21*($L21/Config!$B$10)^Config!$B$9)</f>
        <v>12.70328333</v>
      </c>
      <c r="AK21" s="17">
        <f t="shared" si="3"/>
        <v>4.578475035</v>
      </c>
      <c r="AL21" s="17">
        <f t="shared" si="4"/>
        <v>25.6698303</v>
      </c>
      <c r="AM21" s="17">
        <f t="shared" si="5"/>
        <v>31.84235567</v>
      </c>
      <c r="AN21" s="17">
        <f t="shared" si="6"/>
        <v>10.07461803</v>
      </c>
      <c r="AO21" s="17">
        <f t="shared" si="7"/>
        <v>12.29929905</v>
      </c>
      <c r="AP21" s="11">
        <f t="shared" si="8"/>
        <v>0.3924692104</v>
      </c>
      <c r="AQ21" s="4" t="str">
        <f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4" t="str">
        <f>IF($C21=Board!$B$2,COUNTIFS($C$2:$C$157,Board!$B$2,$AL$2:$AL$157,"&gt;"&amp;$AL21)+COUNTIFS($C$1:$C20,Board!$B$2,$AL$1:$AL20,$AL21)+1,"")</f>
        <v/>
      </c>
      <c r="AS21" s="4" t="str">
        <f t="array" ref="AS21">IFERROR(IF($D21=INDEX(Matches!$AD$5:$AD$22,MATCH($C21,Matches!$A$5:$A$22,0)),"A",IF($D21=INDEX(Matches!$AE$5:$AE$22,MATCH($C21,Matches!$A$5:$A$22,0)),"B","")),"")</f>
        <v>B</v>
      </c>
      <c r="AT21" s="11">
        <f t="array" ref="AT21">IF($AS21="","",IFERROR(IF($AS21="A",INDEX(Matches!$AI$5:$AI$22,MATCH($C21,Matches!$A$5:$A$22,0)),INDEX(Matches!$AJ$5:$AJ$22,MATCH($C21,Matches!$A$5:$A$22,0))),""))</f>
        <v>0.4607087827</v>
      </c>
      <c r="AU21" s="11">
        <f t="array" ref="AU21">IF($AS21="","",IFERROR(IF(INDEX(Matches!$AP$5:$AP$22,MATCH($C21,Matches!$A$5:$A$22,0))="","",IF($AS21="A",INDEX(Matches!$AP$5:$AP$22,MATCH($C21,Matches!$A$5:$A$22,0)),1-INDEX(Matches!$AP$5:$AP$22,MATCH($C21,Matches!$A$5:$A$22,0)))),""))</f>
        <v>0.4853446665</v>
      </c>
      <c r="AV21" s="18">
        <f>IF(OR($AU21="",$AT21=""),1,((Config!$B$14*$AU21+Config!$B$15*(1-$AU21))/(Config!$B$14*$AT21+Config!$B$15*(1-$AT21)))^Config!$B$13)</f>
        <v>1.02281615</v>
      </c>
      <c r="AW21" s="11">
        <f t="array" ref="AW21">IF($AS21="","",IFERROR(IF(INDEX(Matches!$AV$5:$AV$22,MATCH($C21,Matches!$A$5:$A$22,0))="","",IF($AS21="A",INDEX(Matches!$AV$5:$AV$22,MATCH($C21,Matches!$A$5:$A$22,0)),1-INDEX(Matches!$AV$5:$AV$22,MATCH($C21,Matches!$A$5:$A$22,0)))),""))</f>
        <v>0.5030314513</v>
      </c>
      <c r="AX21" s="18">
        <f>IF(OR($AW21="",$AT21=""),1,((Config!$B$14*$AW21+Config!$B$15*(1-$AW21))/(Config!$B$14*$AT21+Config!$B$15*(1-$AT21)))^Config!$B$13)</f>
        <v>1.039196497</v>
      </c>
      <c r="AY21" s="11">
        <f t="array" ref="AY21">IF($AS21="","",IFERROR(IF(INDEX(Matches!$BB$5:$BB$22,MATCH($C21,Matches!$A$5:$A$22,0))="","",IF($AS21="A",INDEX(Matches!$BB$5:$BB$22,MATCH($C21,Matches!$A$5:$A$22,0)),1-INDEX(Matches!$BB$5:$BB$22,MATCH($C21,Matches!$A$5:$A$22,0)))),""))</f>
        <v>0.4239136003</v>
      </c>
      <c r="AZ21" s="18">
        <f>IF(OR($AY21="",$AT21=""),1,((Config!$B$14*$AY21+Config!$B$15*(1-$AY21))/(Config!$B$14*$AT21+Config!$B$15*(1-$AT21)))^Config!$B$13)</f>
        <v>0.9659227004</v>
      </c>
      <c r="BA21" s="17">
        <f t="shared" si="9"/>
        <v>11.91526264</v>
      </c>
      <c r="BB21" s="17">
        <f t="shared" si="10"/>
        <v>14.56991278</v>
      </c>
      <c r="BC21" s="17">
        <f t="shared" si="11"/>
        <v>12.27038974</v>
      </c>
      <c r="BD21" s="17">
        <f t="shared" si="12"/>
        <v>26.48517542</v>
      </c>
      <c r="BE21" s="17">
        <f t="shared" si="13"/>
        <v>32.4473578</v>
      </c>
      <c r="BF21" s="17">
        <f t="shared" si="14"/>
        <v>4.964692768</v>
      </c>
      <c r="BG21" s="17">
        <f t="shared" si="15"/>
        <v>5.425305703</v>
      </c>
      <c r="BH21" s="17">
        <f t="shared" si="16"/>
        <v>4.422452969</v>
      </c>
      <c r="BI21" s="17">
        <f t="shared" si="17"/>
        <v>10.38999847</v>
      </c>
      <c r="BJ21" s="17">
        <f t="shared" si="18"/>
        <v>12.53886837</v>
      </c>
      <c r="BK21" s="18">
        <f t="shared" si="19"/>
        <v>1.031762778</v>
      </c>
    </row>
    <row r="22" ht="15.75" customHeight="1">
      <c r="A22" s="4" t="s">
        <v>2963</v>
      </c>
      <c r="B22" s="4" t="s">
        <v>86</v>
      </c>
      <c r="C22" s="4" t="s">
        <v>1168</v>
      </c>
      <c r="D22" s="4" t="s">
        <v>1173</v>
      </c>
      <c r="E22" s="4" t="s">
        <v>1279</v>
      </c>
      <c r="F22" s="4" t="s">
        <v>1278</v>
      </c>
      <c r="G22" s="4" t="str">
        <f t="array" ref="G22">IFERROR(IF(INDEX(Matches!$W$5:$W$22,MATCH($C22,Matches!$A$5:$A$22,0))="","",INDEX(Matches!$W$5:$W$22,MATCH($C22,Matches!$A$5:$A$22,0))),"")</f>
        <v>Nuke</v>
      </c>
      <c r="H22" s="4" t="str">
        <f t="array" ref="H22">IFERROR(IF(INDEX(Matches!$X$5:$X$22,MATCH($C22,Matches!$A$5:$A$22,0))="","",INDEX(Matches!$X$5:$X$22,MATCH($C22,Matches!$A$5:$A$22,0))),"")</f>
        <v>Mirage</v>
      </c>
      <c r="I22" s="4" t="str">
        <f t="array" ref="I22">IFERROR(IF(INDEX(Matches!$Y$5:$Y$22,MATCH($C22,Matches!$A$5:$A$22,0))="","",INDEX(Matches!$Y$5:$Y$22,MATCH($C22,Matches!$A$5:$A$22,0))),"")</f>
        <v>Dust2</v>
      </c>
      <c r="J22" s="4">
        <f t="array" ref="J22">IFERROR(IF(INDEX(Matches!$Z$5:$Z$22,MATCH($C22,Matches!$A$5:$A$22,0))="","",INDEX(Matches!$Z$5:$Z$22,MATCH($C22,Matches!$A$5:$A$22,0))),"")</f>
        <v>21.31</v>
      </c>
      <c r="K22" s="4">
        <f t="array" ref="K22">IFERROR(IF(INDEX(Matches!$AA$5:$AA$22,MATCH($C22,Matches!$A$5:$A$22,0))="","",INDEX(Matches!$AA$5:$AA$22,MATCH($C22,Matches!$A$5:$A$22,0))),"")</f>
        <v>21.42</v>
      </c>
      <c r="L22" s="4">
        <f t="array" ref="L22">IFERROR(IF(INDEX(Matches!$AB$5:$AB$22,MATCH($C22,Matches!$A$5:$A$22,0))="","",INDEX(Matches!$AB$5:$AB$22,MATCH($C22,Matches!$A$5:$A$22,0))),"")</f>
        <v>21.38</v>
      </c>
      <c r="M22" s="11">
        <f t="array" ref="M22">IFERROR(IF(INDEX(Matches!$AC$5:$AC$22,MATCH($C22,Matches!$A$5:$A$22,0))="","",INDEX(Matches!$AC$5:$AC$22,MATCH($C22,Matches!$A$5:$A$22,0))),"")</f>
        <v>0.4859</v>
      </c>
      <c r="N22" s="4">
        <f t="array" ref="N22">IFERROR(INDEX(Players!$F$2:$F$127,MATCH($F22,Players!$A$2:$A$127,0)),0)</f>
        <v>37</v>
      </c>
      <c r="O22" s="18">
        <f t="array" ref="O22">IFERROR(1/(1/INDEX(Players!$H$2:$H$127,MATCH($F22,Players!$A$2:$A$127,0))),"")</f>
        <v>0.68</v>
      </c>
      <c r="P22" s="11">
        <f t="array" ref="P22">IFERROR(1/(1/INDEX(Players!$I$2:$I$127,MATCH($F22,Players!$A$2:$A$127,0))),"")</f>
        <v>0.578</v>
      </c>
      <c r="Q22" s="4">
        <f>IF($G22="",0,SUMIFS(Map_Stats!$F$2:$F$825,Map_Stats!$A$2:$A$825,$F22&amp;"|"&amp;$G22))</f>
        <v>5</v>
      </c>
      <c r="R22" s="18">
        <f t="array" ref="R22">IF($G22="","",IFERROR(1/(1/INDEX(Map_Stats!$K$2:$K$825,MATCH($F22&amp;"|"&amp;$G22,Map_Stats!$A$2:$A$825,0))),$O22))</f>
        <v>0.82</v>
      </c>
      <c r="S22" s="11">
        <f t="array" ref="S22">IF(OR($G22="",$P22=""),"",IFERROR(1/(1/INDEX(Map_Stats!$I$2:$I$825,MATCH($F22&amp;"|"&amp;$G22,Map_Stats!$A$2:$A$825,0))),$P22))</f>
        <v>0.663</v>
      </c>
      <c r="T22" s="18">
        <f>IF(OR($G22="",R22=""),"",IF($O22="",R22,(Q22*R22+Config!$B$4*$O22)/(Q22+Config!$B$4)))</f>
        <v>0.75</v>
      </c>
      <c r="U22" s="11">
        <f>IF(S22="","",(Q22*S22+Config!$B$4*$P22)/(Q22+Config!$B$4))</f>
        <v>0.6205</v>
      </c>
      <c r="V22" s="17">
        <f>IF(OR(T22="",$J22=""),"",T22*$J22*($J22/Config!$B$10)^Config!$B$9)</f>
        <v>15.9825</v>
      </c>
      <c r="W22" s="17">
        <f t="shared" si="1"/>
        <v>9.91714125</v>
      </c>
      <c r="X22" s="4">
        <f>IF($H22="",0,SUMIFS(Map_Stats!$F$2:$F$825,Map_Stats!$A$2:$A$825,$F22&amp;"|"&amp;$H22))</f>
        <v>10</v>
      </c>
      <c r="Y22" s="18">
        <f t="array" ref="Y22">IF($H22="","",IFERROR(1/(1/INDEX(Map_Stats!$K$2:$K$825,MATCH($F22&amp;"|"&amp;$H22,Map_Stats!$A$2:$A$825,0))),$O22))</f>
        <v>0.6</v>
      </c>
      <c r="Z22" s="11">
        <f t="array" ref="Z22">IF(OR($H22="",$P22=""),"",IFERROR(1/(1/INDEX(Map_Stats!$I$2:$I$825,MATCH($F22&amp;"|"&amp;$H22,Map_Stats!$A$2:$A$825,0))),$P22))</f>
        <v>0.524</v>
      </c>
      <c r="AA22" s="18">
        <f>IF(OR($H22="",Y22=""),"",IF($O22="",Y22,(X22*Y22+Config!$B$4*$O22)/(X22+Config!$B$4)))</f>
        <v>0.6266666667</v>
      </c>
      <c r="AB22" s="11">
        <f>IF(Z22="","",(X22*Z22+Config!$B$4*$P22)/(X22+Config!$B$4))</f>
        <v>0.542</v>
      </c>
      <c r="AC22" s="17">
        <f>IF(OR(AA22="",$K22=""),"",AA22*$K22*($K22/Config!$B$10)^Config!$B$9)</f>
        <v>13.4232</v>
      </c>
      <c r="AD22" s="17">
        <f t="shared" si="2"/>
        <v>7.2753744</v>
      </c>
      <c r="AE22" s="4">
        <f>IF($I22="",0,SUMIFS(Map_Stats!$F$2:$F$825,Map_Stats!$A$2:$A$825,$F22&amp;"|"&amp;$I22))</f>
        <v>6</v>
      </c>
      <c r="AF22" s="18">
        <f t="array" ref="AF22">IF($I22="","",IFERROR(1/(1/INDEX(Map_Stats!$K$2:$K$825,MATCH($F22&amp;"|"&amp;$I22,Map_Stats!$A$2:$A$825,0))),$O22))</f>
        <v>0.68</v>
      </c>
      <c r="AG22" s="11">
        <f t="array" ref="AG22">IF(OR($I22="",$P22=""),"",IFERROR(1/(1/INDEX(Map_Stats!$I$2:$I$825,MATCH($F22&amp;"|"&amp;$I22,Map_Stats!$A$2:$A$825,0))),$P22))</f>
        <v>0.663</v>
      </c>
      <c r="AH22" s="18">
        <f>IF(OR($I22="",AF22=""),"",IF($O22="",AF22,(AE22*AF22+Config!$B$4*$O22)/(AE22+Config!$B$4)))</f>
        <v>0.68</v>
      </c>
      <c r="AI22" s="11">
        <f>IF(AG22="","",(AE22*AG22+Config!$B$4*$P22)/(AE22+Config!$B$4))</f>
        <v>0.6243636364</v>
      </c>
      <c r="AJ22" s="17">
        <f>IF(OR(AH22="",$L22=""),"",AH22*$L22*($L22/Config!$B$10)^Config!$B$9)</f>
        <v>14.5384</v>
      </c>
      <c r="AK22" s="17">
        <f t="shared" si="3"/>
        <v>9.077248291</v>
      </c>
      <c r="AL22" s="17">
        <f t="shared" si="4"/>
        <v>29.4057</v>
      </c>
      <c r="AM22" s="17">
        <f t="shared" si="5"/>
        <v>36.46990856</v>
      </c>
      <c r="AN22" s="17">
        <f t="shared" si="6"/>
        <v>17.19251565</v>
      </c>
      <c r="AO22" s="17">
        <f t="shared" si="7"/>
        <v>21.60315059</v>
      </c>
      <c r="AP22" s="11">
        <f t="shared" si="8"/>
        <v>0.5846660902</v>
      </c>
      <c r="AQ22" s="4" t="str">
        <f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4" t="str">
        <f>IF($C22=Board!$B$2,COUNTIFS($C$2:$C$157,Board!$B$2,$AL$2:$AL$157,"&gt;"&amp;$AL22)+COUNTIFS($C$1:$C21,Board!$B$2,$AL$1:$AL21,$AL22)+1,"")</f>
        <v/>
      </c>
      <c r="AS22" s="4" t="str">
        <f t="array" ref="AS22">IFERROR(IF($D22=INDEX(Matches!$AD$5:$AD$22,MATCH($C22,Matches!$A$5:$A$22,0)),"A",IF($D22=INDEX(Matches!$AE$5:$AE$22,MATCH($C22,Matches!$A$5:$A$22,0)),"B","")),"")</f>
        <v>A</v>
      </c>
      <c r="AT22" s="11">
        <f t="array" ref="AT22">IF($AS22="","",IFERROR(IF($AS22="A",INDEX(Matches!$AI$5:$AI$22,MATCH($C22,Matches!$A$5:$A$22,0)),INDEX(Matches!$AJ$5:$AJ$22,MATCH($C22,Matches!$A$5:$A$22,0))),""))</f>
        <v>0.5472674899</v>
      </c>
      <c r="AU22" s="11">
        <f t="array" ref="AU22">IF($AS22="","",IFERROR(IF(INDEX(Matches!$AP$5:$AP$22,MATCH($C22,Matches!$A$5:$A$22,0))="","",IF($AS22="A",INDEX(Matches!$AP$5:$AP$22,MATCH($C22,Matches!$A$5:$A$22,0)),1-INDEX(Matches!$AP$5:$AP$22,MATCH($C22,Matches!$A$5:$A$22,0)))),""))</f>
        <v>0.5146553335</v>
      </c>
      <c r="AV22" s="18">
        <f>IF(OR($AU22="",$AT22=""),1,((Config!$B$14*$AU22+Config!$B$15*(1-$AU22))/(Config!$B$14*$AT22+Config!$B$15*(1-$AT22)))^Config!$B$13)</f>
        <v>0.9720382972</v>
      </c>
      <c r="AW22" s="11">
        <f t="array" ref="AW22">IF($AS22="","",IFERROR(IF(INDEX(Matches!$AV$5:$AV$22,MATCH($C22,Matches!$A$5:$A$22,0))="","",IF($AS22="A",INDEX(Matches!$AV$5:$AV$22,MATCH($C22,Matches!$A$5:$A$22,0)),1-INDEX(Matches!$AV$5:$AV$22,MATCH($C22,Matches!$A$5:$A$22,0)))),""))</f>
        <v>0.4969685487</v>
      </c>
      <c r="AX22" s="18">
        <f>IF(OR($AW22="",$AT22=""),1,((Config!$B$14*$AW22+Config!$B$15*(1-$AW22))/(Config!$B$14*$AT22+Config!$B$15*(1-$AT22)))^Config!$B$13)</f>
        <v>0.9568736263</v>
      </c>
      <c r="AY22" s="11">
        <f t="array" ref="AY22">IF($AS22="","",IFERROR(IF(INDEX(Matches!$BB$5:$BB$22,MATCH($C22,Matches!$A$5:$A$22,0))="","",IF($AS22="A",INDEX(Matches!$BB$5:$BB$22,MATCH($C22,Matches!$A$5:$A$22,0)),1-INDEX(Matches!$BB$5:$BB$22,MATCH($C22,Matches!$A$5:$A$22,0)))),""))</f>
        <v>0.5760863997</v>
      </c>
      <c r="AZ22" s="18">
        <f>IF(OR($AY22="",$AT22=""),1,((Config!$B$14*$AY22+Config!$B$15*(1-$AY22))/(Config!$B$14*$AT22+Config!$B$15*(1-$AT22)))^Config!$B$13)</f>
        <v>1.024709368</v>
      </c>
      <c r="BA22" s="17">
        <f t="shared" si="9"/>
        <v>15.53560209</v>
      </c>
      <c r="BB22" s="17">
        <f t="shared" si="10"/>
        <v>12.84430606</v>
      </c>
      <c r="BC22" s="17">
        <f t="shared" si="11"/>
        <v>14.89763468</v>
      </c>
      <c r="BD22" s="17">
        <f t="shared" si="12"/>
        <v>28.37990815</v>
      </c>
      <c r="BE22" s="17">
        <f t="shared" si="13"/>
        <v>35.61866884</v>
      </c>
      <c r="BF22" s="17">
        <f t="shared" si="14"/>
        <v>9.639841094</v>
      </c>
      <c r="BG22" s="17">
        <f t="shared" si="15"/>
        <v>6.961613885</v>
      </c>
      <c r="BH22" s="17">
        <f t="shared" si="16"/>
        <v>9.301541363</v>
      </c>
      <c r="BI22" s="17">
        <f t="shared" si="17"/>
        <v>16.60145498</v>
      </c>
      <c r="BJ22" s="17">
        <f t="shared" si="18"/>
        <v>21.12107393</v>
      </c>
      <c r="BK22" s="18">
        <f t="shared" si="19"/>
        <v>0.9651158838</v>
      </c>
    </row>
    <row r="23" ht="15.75" customHeight="1">
      <c r="A23" s="4" t="s">
        <v>3054</v>
      </c>
      <c r="B23" s="4" t="s">
        <v>86</v>
      </c>
      <c r="C23" s="4" t="s">
        <v>1168</v>
      </c>
      <c r="D23" s="4" t="s">
        <v>1173</v>
      </c>
      <c r="E23" s="4" t="s">
        <v>1283</v>
      </c>
      <c r="F23" s="4" t="s">
        <v>1282</v>
      </c>
      <c r="G23" s="4" t="str">
        <f t="array" ref="G23">IFERROR(IF(INDEX(Matches!$W$5:$W$22,MATCH($C23,Matches!$A$5:$A$22,0))="","",INDEX(Matches!$W$5:$W$22,MATCH($C23,Matches!$A$5:$A$22,0))),"")</f>
        <v>Nuke</v>
      </c>
      <c r="H23" s="4" t="str">
        <f t="array" ref="H23">IFERROR(IF(INDEX(Matches!$X$5:$X$22,MATCH($C23,Matches!$A$5:$A$22,0))="","",INDEX(Matches!$X$5:$X$22,MATCH($C23,Matches!$A$5:$A$22,0))),"")</f>
        <v>Mirage</v>
      </c>
      <c r="I23" s="4" t="str">
        <f t="array" ref="I23">IFERROR(IF(INDEX(Matches!$Y$5:$Y$22,MATCH($C23,Matches!$A$5:$A$22,0))="","",INDEX(Matches!$Y$5:$Y$22,MATCH($C23,Matches!$A$5:$A$22,0))),"")</f>
        <v>Dust2</v>
      </c>
      <c r="J23" s="4">
        <f t="array" ref="J23">IFERROR(IF(INDEX(Matches!$Z$5:$Z$22,MATCH($C23,Matches!$A$5:$A$22,0))="","",INDEX(Matches!$Z$5:$Z$22,MATCH($C23,Matches!$A$5:$A$22,0))),"")</f>
        <v>21.31</v>
      </c>
      <c r="K23" s="4">
        <f t="array" ref="K23">IFERROR(IF(INDEX(Matches!$AA$5:$AA$22,MATCH($C23,Matches!$A$5:$A$22,0))="","",INDEX(Matches!$AA$5:$AA$22,MATCH($C23,Matches!$A$5:$A$22,0))),"")</f>
        <v>21.42</v>
      </c>
      <c r="L23" s="4">
        <f t="array" ref="L23">IFERROR(IF(INDEX(Matches!$AB$5:$AB$22,MATCH($C23,Matches!$A$5:$A$22,0))="","",INDEX(Matches!$AB$5:$AB$22,MATCH($C23,Matches!$A$5:$A$22,0))),"")</f>
        <v>21.38</v>
      </c>
      <c r="M23" s="11">
        <f t="array" ref="M23">IFERROR(IF(INDEX(Matches!$AC$5:$AC$22,MATCH($C23,Matches!$A$5:$A$22,0))="","",INDEX(Matches!$AC$5:$AC$22,MATCH($C23,Matches!$A$5:$A$22,0))),"")</f>
        <v>0.4859</v>
      </c>
      <c r="N23" s="4">
        <f t="array" ref="N23">IFERROR(INDEX(Players!$F$2:$F$127,MATCH($F23,Players!$A$2:$A$127,0)),0)</f>
        <v>37</v>
      </c>
      <c r="O23" s="18">
        <f t="array" ref="O23">IFERROR(1/(1/INDEX(Players!$H$2:$H$127,MATCH($F23,Players!$A$2:$A$127,0))),"")</f>
        <v>0.53</v>
      </c>
      <c r="P23" s="11">
        <f t="array" ref="P23">IFERROR(1/(1/INDEX(Players!$I$2:$I$127,MATCH($F23,Players!$A$2:$A$127,0))),"")</f>
        <v>0.561</v>
      </c>
      <c r="Q23" s="4">
        <f>IF($G23="",0,SUMIFS(Map_Stats!$F$2:$F$825,Map_Stats!$A$2:$A$825,$F23&amp;"|"&amp;$G23))</f>
        <v>5</v>
      </c>
      <c r="R23" s="18">
        <f t="array" ref="R23">IF($G23="","",IFERROR(1/(1/INDEX(Map_Stats!$K$2:$K$825,MATCH($F23&amp;"|"&amp;$G23,Map_Stats!$A$2:$A$825,0))),$O23))</f>
        <v>0.49</v>
      </c>
      <c r="S23" s="11">
        <f t="array" ref="S23">IF(OR($G23="",$P23=""),"",IFERROR(1/(1/INDEX(Map_Stats!$I$2:$I$825,MATCH($F23&amp;"|"&amp;$G23,Map_Stats!$A$2:$A$825,0))),$P23))</f>
        <v>0.5</v>
      </c>
      <c r="T23" s="18">
        <f>IF(OR($G23="",R23=""),"",IF($O23="",R23,(Q23*R23+Config!$B$4*$O23)/(Q23+Config!$B$4)))</f>
        <v>0.51</v>
      </c>
      <c r="U23" s="11">
        <f>IF(S23="","",(Q23*S23+Config!$B$4*$P23)/(Q23+Config!$B$4))</f>
        <v>0.5305</v>
      </c>
      <c r="V23" s="17">
        <f>IF(OR(T23="",$J23=""),"",T23*$J23*($J23/Config!$B$10)^Config!$B$9)</f>
        <v>10.8681</v>
      </c>
      <c r="W23" s="17">
        <f t="shared" si="1"/>
        <v>5.76552705</v>
      </c>
      <c r="X23" s="4">
        <f>IF($H23="",0,SUMIFS(Map_Stats!$F$2:$F$825,Map_Stats!$A$2:$A$825,$F23&amp;"|"&amp;$H23))</f>
        <v>10</v>
      </c>
      <c r="Y23" s="18">
        <f t="array" ref="Y23">IF($H23="","",IFERROR(1/(1/INDEX(Map_Stats!$K$2:$K$825,MATCH($F23&amp;"|"&amp;$H23,Map_Stats!$A$2:$A$825,0))),$O23))</f>
        <v>0.6</v>
      </c>
      <c r="Z23" s="11">
        <f t="array" ref="Z23">IF(OR($H23="",$P23=""),"",IFERROR(1/(1/INDEX(Map_Stats!$I$2:$I$825,MATCH($F23&amp;"|"&amp;$H23,Map_Stats!$A$2:$A$825,0))),$P23))</f>
        <v>0.575</v>
      </c>
      <c r="AA23" s="18">
        <f>IF(OR($H23="",Y23=""),"",IF($O23="",Y23,(X23*Y23+Config!$B$4*$O23)/(X23+Config!$B$4)))</f>
        <v>0.5766666667</v>
      </c>
      <c r="AB23" s="11">
        <f>IF(Z23="","",(X23*Z23+Config!$B$4*$P23)/(X23+Config!$B$4))</f>
        <v>0.5703333333</v>
      </c>
      <c r="AC23" s="17">
        <f>IF(OR(AA23="",$K23=""),"",AA23*$K23*($K23/Config!$B$10)^Config!$B$9)</f>
        <v>12.3522</v>
      </c>
      <c r="AD23" s="17">
        <f t="shared" si="2"/>
        <v>7.0448714</v>
      </c>
      <c r="AE23" s="4">
        <f>IF($I23="",0,SUMIFS(Map_Stats!$F$2:$F$825,Map_Stats!$A$2:$A$825,$F23&amp;"|"&amp;$I23))</f>
        <v>6</v>
      </c>
      <c r="AF23" s="18">
        <f t="array" ref="AF23">IF($I23="","",IFERROR(1/(1/INDEX(Map_Stats!$K$2:$K$825,MATCH($F23&amp;"|"&amp;$I23,Map_Stats!$A$2:$A$825,0))),$O23))</f>
        <v>0.49</v>
      </c>
      <c r="AG23" s="11">
        <f t="array" ref="AG23">IF(OR($I23="",$P23=""),"",IFERROR(1/(1/INDEX(Map_Stats!$I$2:$I$825,MATCH($F23&amp;"|"&amp;$I23,Map_Stats!$A$2:$A$825,0))),$P23))</f>
        <v>0.534</v>
      </c>
      <c r="AH23" s="18">
        <f>IF(OR($I23="",AF23=""),"",IF($O23="",AF23,(AE23*AF23+Config!$B$4*$O23)/(AE23+Config!$B$4)))</f>
        <v>0.5081818182</v>
      </c>
      <c r="AI23" s="11">
        <f>IF(AG23="","",(AE23*AG23+Config!$B$4*$P23)/(AE23+Config!$B$4))</f>
        <v>0.5462727273</v>
      </c>
      <c r="AJ23" s="17">
        <f>IF(OR(AH23="",$L23=""),"",AH23*$L23*($L23/Config!$B$10)^Config!$B$9)</f>
        <v>10.86492727</v>
      </c>
      <c r="AK23" s="17">
        <f t="shared" si="3"/>
        <v>5.935213453</v>
      </c>
      <c r="AL23" s="17">
        <f t="shared" si="4"/>
        <v>23.2203</v>
      </c>
      <c r="AM23" s="17">
        <f t="shared" si="5"/>
        <v>28.49956816</v>
      </c>
      <c r="AN23" s="17">
        <f t="shared" si="6"/>
        <v>12.81039845</v>
      </c>
      <c r="AO23" s="17">
        <f t="shared" si="7"/>
        <v>15.69431867</v>
      </c>
      <c r="AP23" s="11">
        <f t="shared" si="8"/>
        <v>0.5516896186</v>
      </c>
      <c r="AQ23" s="4" t="str">
        <f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4" t="str">
        <f>IF($C23=Board!$B$2,COUNTIFS($C$2:$C$157,Board!$B$2,$AL$2:$AL$157,"&gt;"&amp;$AL23)+COUNTIFS($C$1:$C22,Board!$B$2,$AL$1:$AL22,$AL23)+1,"")</f>
        <v/>
      </c>
      <c r="AS23" s="4" t="str">
        <f t="array" ref="AS23">IFERROR(IF($D23=INDEX(Matches!$AD$5:$AD$22,MATCH($C23,Matches!$A$5:$A$22,0)),"A",IF($D23=INDEX(Matches!$AE$5:$AE$22,MATCH($C23,Matches!$A$5:$A$22,0)),"B","")),"")</f>
        <v>A</v>
      </c>
      <c r="AT23" s="11">
        <f t="array" ref="AT23">IF($AS23="","",IFERROR(IF($AS23="A",INDEX(Matches!$AI$5:$AI$22,MATCH($C23,Matches!$A$5:$A$22,0)),INDEX(Matches!$AJ$5:$AJ$22,MATCH($C23,Matches!$A$5:$A$22,0))),""))</f>
        <v>0.5472674899</v>
      </c>
      <c r="AU23" s="11">
        <f t="array" ref="AU23">IF($AS23="","",IFERROR(IF(INDEX(Matches!$AP$5:$AP$22,MATCH($C23,Matches!$A$5:$A$22,0))="","",IF($AS23="A",INDEX(Matches!$AP$5:$AP$22,MATCH($C23,Matches!$A$5:$A$22,0)),1-INDEX(Matches!$AP$5:$AP$22,MATCH($C23,Matches!$A$5:$A$22,0)))),""))</f>
        <v>0.5146553335</v>
      </c>
      <c r="AV23" s="18">
        <f>IF(OR($AU23="",$AT23=""),1,((Config!$B$14*$AU23+Config!$B$15*(1-$AU23))/(Config!$B$14*$AT23+Config!$B$15*(1-$AT23)))^Config!$B$13)</f>
        <v>0.9720382972</v>
      </c>
      <c r="AW23" s="11">
        <f t="array" ref="AW23">IF($AS23="","",IFERROR(IF(INDEX(Matches!$AV$5:$AV$22,MATCH($C23,Matches!$A$5:$A$22,0))="","",IF($AS23="A",INDEX(Matches!$AV$5:$AV$22,MATCH($C23,Matches!$A$5:$A$22,0)),1-INDEX(Matches!$AV$5:$AV$22,MATCH($C23,Matches!$A$5:$A$22,0)))),""))</f>
        <v>0.4969685487</v>
      </c>
      <c r="AX23" s="18">
        <f>IF(OR($AW23="",$AT23=""),1,((Config!$B$14*$AW23+Config!$B$15*(1-$AW23))/(Config!$B$14*$AT23+Config!$B$15*(1-$AT23)))^Config!$B$13)</f>
        <v>0.9568736263</v>
      </c>
      <c r="AY23" s="11">
        <f t="array" ref="AY23">IF($AS23="","",IFERROR(IF(INDEX(Matches!$BB$5:$BB$22,MATCH($C23,Matches!$A$5:$A$22,0))="","",IF($AS23="A",INDEX(Matches!$BB$5:$BB$22,MATCH($C23,Matches!$A$5:$A$22,0)),1-INDEX(Matches!$BB$5:$BB$22,MATCH($C23,Matches!$A$5:$A$22,0)))),""))</f>
        <v>0.5760863997</v>
      </c>
      <c r="AZ23" s="18">
        <f>IF(OR($AY23="",$AT23=""),1,((Config!$B$14*$AY23+Config!$B$15*(1-$AY23))/(Config!$B$14*$AT23+Config!$B$15*(1-$AT23)))^Config!$B$13)</f>
        <v>1.024709368</v>
      </c>
      <c r="BA23" s="17">
        <f t="shared" si="9"/>
        <v>10.56420942</v>
      </c>
      <c r="BB23" s="17">
        <f t="shared" si="10"/>
        <v>11.81949441</v>
      </c>
      <c r="BC23" s="17">
        <f t="shared" si="11"/>
        <v>11.13339276</v>
      </c>
      <c r="BD23" s="17">
        <f t="shared" si="12"/>
        <v>22.38370382</v>
      </c>
      <c r="BE23" s="17">
        <f t="shared" si="13"/>
        <v>27.79341937</v>
      </c>
      <c r="BF23" s="17">
        <f t="shared" si="14"/>
        <v>5.604313096</v>
      </c>
      <c r="BG23" s="17">
        <f t="shared" si="15"/>
        <v>6.741051643</v>
      </c>
      <c r="BH23" s="17">
        <f t="shared" si="16"/>
        <v>6.081868829</v>
      </c>
      <c r="BI23" s="17">
        <f t="shared" si="17"/>
        <v>12.34536474</v>
      </c>
      <c r="BJ23" s="17">
        <f t="shared" si="18"/>
        <v>15.3005448</v>
      </c>
      <c r="BK23" s="18">
        <f t="shared" si="19"/>
        <v>0.9639713451</v>
      </c>
    </row>
    <row r="24" ht="15.75" customHeight="1">
      <c r="A24" s="4" t="s">
        <v>3107</v>
      </c>
      <c r="B24" s="4" t="s">
        <v>86</v>
      </c>
      <c r="C24" s="4" t="s">
        <v>1168</v>
      </c>
      <c r="D24" s="4" t="s">
        <v>1173</v>
      </c>
      <c r="E24" s="4" t="s">
        <v>1286</v>
      </c>
      <c r="F24" s="4" t="s">
        <v>1285</v>
      </c>
      <c r="G24" s="4" t="str">
        <f t="array" ref="G24">IFERROR(IF(INDEX(Matches!$W$5:$W$22,MATCH($C24,Matches!$A$5:$A$22,0))="","",INDEX(Matches!$W$5:$W$22,MATCH($C24,Matches!$A$5:$A$22,0))),"")</f>
        <v>Nuke</v>
      </c>
      <c r="H24" s="4" t="str">
        <f t="array" ref="H24">IFERROR(IF(INDEX(Matches!$X$5:$X$22,MATCH($C24,Matches!$A$5:$A$22,0))="","",INDEX(Matches!$X$5:$X$22,MATCH($C24,Matches!$A$5:$A$22,0))),"")</f>
        <v>Mirage</v>
      </c>
      <c r="I24" s="4" t="str">
        <f t="array" ref="I24">IFERROR(IF(INDEX(Matches!$Y$5:$Y$22,MATCH($C24,Matches!$A$5:$A$22,0))="","",INDEX(Matches!$Y$5:$Y$22,MATCH($C24,Matches!$A$5:$A$22,0))),"")</f>
        <v>Dust2</v>
      </c>
      <c r="J24" s="4">
        <f t="array" ref="J24">IFERROR(IF(INDEX(Matches!$Z$5:$Z$22,MATCH($C24,Matches!$A$5:$A$22,0))="","",INDEX(Matches!$Z$5:$Z$22,MATCH($C24,Matches!$A$5:$A$22,0))),"")</f>
        <v>21.31</v>
      </c>
      <c r="K24" s="4">
        <f t="array" ref="K24">IFERROR(IF(INDEX(Matches!$AA$5:$AA$22,MATCH($C24,Matches!$A$5:$A$22,0))="","",INDEX(Matches!$AA$5:$AA$22,MATCH($C24,Matches!$A$5:$A$22,0))),"")</f>
        <v>21.42</v>
      </c>
      <c r="L24" s="4">
        <f t="array" ref="L24">IFERROR(IF(INDEX(Matches!$AB$5:$AB$22,MATCH($C24,Matches!$A$5:$A$22,0))="","",INDEX(Matches!$AB$5:$AB$22,MATCH($C24,Matches!$A$5:$A$22,0))),"")</f>
        <v>21.38</v>
      </c>
      <c r="M24" s="11">
        <f t="array" ref="M24">IFERROR(IF(INDEX(Matches!$AC$5:$AC$22,MATCH($C24,Matches!$A$5:$A$22,0))="","",INDEX(Matches!$AC$5:$AC$22,MATCH($C24,Matches!$A$5:$A$22,0))),"")</f>
        <v>0.4859</v>
      </c>
      <c r="N24" s="4">
        <f t="array" ref="N24">IFERROR(INDEX(Players!$F$2:$F$127,MATCH($F24,Players!$A$2:$A$127,0)),0)</f>
        <v>37</v>
      </c>
      <c r="O24" s="18">
        <f t="array" ref="O24">IFERROR(1/(1/INDEX(Players!$H$2:$H$127,MATCH($F24,Players!$A$2:$A$127,0))),"")</f>
        <v>0.78</v>
      </c>
      <c r="P24" s="11">
        <f t="array" ref="P24">IFERROR(1/(1/INDEX(Players!$I$2:$I$127,MATCH($F24,Players!$A$2:$A$127,0))),"")</f>
        <v>0.555</v>
      </c>
      <c r="Q24" s="4">
        <f>IF($G24="",0,SUMIFS(Map_Stats!$F$2:$F$825,Map_Stats!$A$2:$A$825,$F24&amp;"|"&amp;$G24))</f>
        <v>5</v>
      </c>
      <c r="R24" s="18">
        <f t="array" ref="R24">IF($G24="","",IFERROR(1/(1/INDEX(Map_Stats!$K$2:$K$825,MATCH($F24&amp;"|"&amp;$G24,Map_Stats!$A$2:$A$825,0))),$O24))</f>
        <v>0.71</v>
      </c>
      <c r="S24" s="11">
        <f t="array" ref="S24">IF(OR($G24="",$P24=""),"",IFERROR(1/(1/INDEX(Map_Stats!$I$2:$I$825,MATCH($F24&amp;"|"&amp;$G24,Map_Stats!$A$2:$A$825,0))),$P24))</f>
        <v>0.5</v>
      </c>
      <c r="T24" s="18">
        <f>IF(OR($G24="",R24=""),"",IF($O24="",R24,(Q24*R24+Config!$B$4*$O24)/(Q24+Config!$B$4)))</f>
        <v>0.745</v>
      </c>
      <c r="U24" s="11">
        <f>IF(S24="","",(Q24*S24+Config!$B$4*$P24)/(Q24+Config!$B$4))</f>
        <v>0.5275</v>
      </c>
      <c r="V24" s="17">
        <f>IF(OR(T24="",$J24=""),"",T24*$J24*($J24/Config!$B$10)^Config!$B$9)</f>
        <v>15.87595</v>
      </c>
      <c r="W24" s="17">
        <f t="shared" si="1"/>
        <v>8.374563625</v>
      </c>
      <c r="X24" s="4">
        <f>IF($H24="",0,SUMIFS(Map_Stats!$F$2:$F$825,Map_Stats!$A$2:$A$825,$F24&amp;"|"&amp;$H24))</f>
        <v>10</v>
      </c>
      <c r="Y24" s="18">
        <f t="array" ref="Y24">IF($H24="","",IFERROR(1/(1/INDEX(Map_Stats!$K$2:$K$825,MATCH($F24&amp;"|"&amp;$H24,Map_Stats!$A$2:$A$825,0))),$O24))</f>
        <v>0.77</v>
      </c>
      <c r="Z24" s="11">
        <f t="array" ref="Z24">IF(OR($H24="",$P24=""),"",IFERROR(1/(1/INDEX(Map_Stats!$I$2:$I$825,MATCH($F24&amp;"|"&amp;$H24,Map_Stats!$A$2:$A$825,0))),$P24))</f>
        <v>0.503</v>
      </c>
      <c r="AA24" s="18">
        <f>IF(OR($H24="",Y24=""),"",IF($O24="",Y24,(X24*Y24+Config!$B$4*$O24)/(X24+Config!$B$4)))</f>
        <v>0.7733333333</v>
      </c>
      <c r="AB24" s="11">
        <f>IF(Z24="","",(X24*Z24+Config!$B$4*$P24)/(X24+Config!$B$4))</f>
        <v>0.5203333333</v>
      </c>
      <c r="AC24" s="17">
        <f>IF(OR(AA24="",$K24=""),"",AA24*$K24*($K24/Config!$B$10)^Config!$B$9)</f>
        <v>16.5648</v>
      </c>
      <c r="AD24" s="17">
        <f t="shared" si="2"/>
        <v>8.6192176</v>
      </c>
      <c r="AE24" s="4">
        <f>IF($I24="",0,SUMIFS(Map_Stats!$F$2:$F$825,Map_Stats!$A$2:$A$825,$F24&amp;"|"&amp;$I24))</f>
        <v>6</v>
      </c>
      <c r="AF24" s="18">
        <f t="array" ref="AF24">IF($I24="","",IFERROR(1/(1/INDEX(Map_Stats!$K$2:$K$825,MATCH($F24&amp;"|"&amp;$I24,Map_Stats!$A$2:$A$825,0))),$O24))</f>
        <v>0.85</v>
      </c>
      <c r="AG24" s="11">
        <f t="array" ref="AG24">IF(OR($I24="",$P24=""),"",IFERROR(1/(1/INDEX(Map_Stats!$I$2:$I$825,MATCH($F24&amp;"|"&amp;$I24,Map_Stats!$A$2:$A$825,0))),$P24))</f>
        <v>0.56</v>
      </c>
      <c r="AH24" s="18">
        <f>IF(OR($I24="",AF24=""),"",IF($O24="",AF24,(AE24*AF24+Config!$B$4*$O24)/(AE24+Config!$B$4)))</f>
        <v>0.8181818182</v>
      </c>
      <c r="AI24" s="11">
        <f>IF(AG24="","",(AE24*AG24+Config!$B$4*$P24)/(AE24+Config!$B$4))</f>
        <v>0.5577272727</v>
      </c>
      <c r="AJ24" s="17">
        <f>IF(OR(AH24="",$L24=""),"",AH24*$L24*($L24/Config!$B$10)^Config!$B$9)</f>
        <v>17.49272727</v>
      </c>
      <c r="AK24" s="17">
        <f t="shared" si="3"/>
        <v>9.756171074</v>
      </c>
      <c r="AL24" s="17">
        <f t="shared" si="4"/>
        <v>32.44075</v>
      </c>
      <c r="AM24" s="17">
        <f t="shared" si="5"/>
        <v>40.94046618</v>
      </c>
      <c r="AN24" s="17">
        <f t="shared" si="6"/>
        <v>16.99378123</v>
      </c>
      <c r="AO24" s="17">
        <f t="shared" si="7"/>
        <v>21.73430475</v>
      </c>
      <c r="AP24" s="11">
        <f t="shared" si="8"/>
        <v>0.5238405778</v>
      </c>
      <c r="AQ24" s="4" t="str">
        <f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4" t="str">
        <f>IF($C24=Board!$B$2,COUNTIFS($C$2:$C$157,Board!$B$2,$AL$2:$AL$157,"&gt;"&amp;$AL24)+COUNTIFS($C$1:$C23,Board!$B$2,$AL$1:$AL23,$AL24)+1,"")</f>
        <v/>
      </c>
      <c r="AS24" s="4" t="str">
        <f t="array" ref="AS24">IFERROR(IF($D24=INDEX(Matches!$AD$5:$AD$22,MATCH($C24,Matches!$A$5:$A$22,0)),"A",IF($D24=INDEX(Matches!$AE$5:$AE$22,MATCH($C24,Matches!$A$5:$A$22,0)),"B","")),"")</f>
        <v>A</v>
      </c>
      <c r="AT24" s="11">
        <f t="array" ref="AT24">IF($AS24="","",IFERROR(IF($AS24="A",INDEX(Matches!$AI$5:$AI$22,MATCH($C24,Matches!$A$5:$A$22,0)),INDEX(Matches!$AJ$5:$AJ$22,MATCH($C24,Matches!$A$5:$A$22,0))),""))</f>
        <v>0.5472674899</v>
      </c>
      <c r="AU24" s="11">
        <f t="array" ref="AU24">IF($AS24="","",IFERROR(IF(INDEX(Matches!$AP$5:$AP$22,MATCH($C24,Matches!$A$5:$A$22,0))="","",IF($AS24="A",INDEX(Matches!$AP$5:$AP$22,MATCH($C24,Matches!$A$5:$A$22,0)),1-INDEX(Matches!$AP$5:$AP$22,MATCH($C24,Matches!$A$5:$A$22,0)))),""))</f>
        <v>0.5146553335</v>
      </c>
      <c r="AV24" s="18">
        <f>IF(OR($AU24="",$AT24=""),1,((Config!$B$14*$AU24+Config!$B$15*(1-$AU24))/(Config!$B$14*$AT24+Config!$B$15*(1-$AT24)))^Config!$B$13)</f>
        <v>0.9720382972</v>
      </c>
      <c r="AW24" s="11">
        <f t="array" ref="AW24">IF($AS24="","",IFERROR(IF(INDEX(Matches!$AV$5:$AV$22,MATCH($C24,Matches!$A$5:$A$22,0))="","",IF($AS24="A",INDEX(Matches!$AV$5:$AV$22,MATCH($C24,Matches!$A$5:$A$22,0)),1-INDEX(Matches!$AV$5:$AV$22,MATCH($C24,Matches!$A$5:$A$22,0)))),""))</f>
        <v>0.4969685487</v>
      </c>
      <c r="AX24" s="18">
        <f>IF(OR($AW24="",$AT24=""),1,((Config!$B$14*$AW24+Config!$B$15*(1-$AW24))/(Config!$B$14*$AT24+Config!$B$15*(1-$AT24)))^Config!$B$13)</f>
        <v>0.9568736263</v>
      </c>
      <c r="AY24" s="11">
        <f t="array" ref="AY24">IF($AS24="","",IFERROR(IF(INDEX(Matches!$BB$5:$BB$22,MATCH($C24,Matches!$A$5:$A$22,0))="","",IF($AS24="A",INDEX(Matches!$BB$5:$BB$22,MATCH($C24,Matches!$A$5:$A$22,0)),1-INDEX(Matches!$BB$5:$BB$22,MATCH($C24,Matches!$A$5:$A$22,0)))),""))</f>
        <v>0.5760863997</v>
      </c>
      <c r="AZ24" s="18">
        <f>IF(OR($AY24="",$AT24=""),1,((Config!$B$14*$AY24+Config!$B$15*(1-$AY24))/(Config!$B$14*$AT24+Config!$B$15*(1-$AT24)))^Config!$B$13)</f>
        <v>1.024709368</v>
      </c>
      <c r="BA24" s="17">
        <f t="shared" si="9"/>
        <v>15.4320314</v>
      </c>
      <c r="BB24" s="17">
        <f t="shared" si="10"/>
        <v>15.85042024</v>
      </c>
      <c r="BC24" s="17">
        <f t="shared" si="11"/>
        <v>17.92496152</v>
      </c>
      <c r="BD24" s="17">
        <f t="shared" si="12"/>
        <v>31.28245165</v>
      </c>
      <c r="BE24" s="17">
        <f t="shared" si="13"/>
        <v>39.99219045</v>
      </c>
      <c r="BF24" s="17">
        <f t="shared" si="14"/>
        <v>8.140396566</v>
      </c>
      <c r="BG24" s="17">
        <f t="shared" si="15"/>
        <v>8.247502001</v>
      </c>
      <c r="BH24" s="17">
        <f t="shared" si="16"/>
        <v>9.9972399</v>
      </c>
      <c r="BI24" s="17">
        <f t="shared" si="17"/>
        <v>16.38789857</v>
      </c>
      <c r="BJ24" s="17">
        <f t="shared" si="18"/>
        <v>21.24555743</v>
      </c>
      <c r="BK24" s="18">
        <f t="shared" si="19"/>
        <v>0.9642949577</v>
      </c>
    </row>
    <row r="25" ht="15.75" customHeight="1">
      <c r="A25" s="4" t="s">
        <v>3142</v>
      </c>
      <c r="B25" s="4" t="s">
        <v>86</v>
      </c>
      <c r="C25" s="4" t="s">
        <v>1168</v>
      </c>
      <c r="D25" s="4" t="s">
        <v>1173</v>
      </c>
      <c r="E25" s="4" t="s">
        <v>1289</v>
      </c>
      <c r="F25" s="4" t="s">
        <v>1288</v>
      </c>
      <c r="G25" s="4" t="str">
        <f t="array" ref="G25">IFERROR(IF(INDEX(Matches!$W$5:$W$22,MATCH($C25,Matches!$A$5:$A$22,0))="","",INDEX(Matches!$W$5:$W$22,MATCH($C25,Matches!$A$5:$A$22,0))),"")</f>
        <v>Nuke</v>
      </c>
      <c r="H25" s="4" t="str">
        <f t="array" ref="H25">IFERROR(IF(INDEX(Matches!$X$5:$X$22,MATCH($C25,Matches!$A$5:$A$22,0))="","",INDEX(Matches!$X$5:$X$22,MATCH($C25,Matches!$A$5:$A$22,0))),"")</f>
        <v>Mirage</v>
      </c>
      <c r="I25" s="4" t="str">
        <f t="array" ref="I25">IFERROR(IF(INDEX(Matches!$Y$5:$Y$22,MATCH($C25,Matches!$A$5:$A$22,0))="","",INDEX(Matches!$Y$5:$Y$22,MATCH($C25,Matches!$A$5:$A$22,0))),"")</f>
        <v>Dust2</v>
      </c>
      <c r="J25" s="4">
        <f t="array" ref="J25">IFERROR(IF(INDEX(Matches!$Z$5:$Z$22,MATCH($C25,Matches!$A$5:$A$22,0))="","",INDEX(Matches!$Z$5:$Z$22,MATCH($C25,Matches!$A$5:$A$22,0))),"")</f>
        <v>21.31</v>
      </c>
      <c r="K25" s="4">
        <f t="array" ref="K25">IFERROR(IF(INDEX(Matches!$AA$5:$AA$22,MATCH($C25,Matches!$A$5:$A$22,0))="","",INDEX(Matches!$AA$5:$AA$22,MATCH($C25,Matches!$A$5:$A$22,0))),"")</f>
        <v>21.42</v>
      </c>
      <c r="L25" s="4">
        <f t="array" ref="L25">IFERROR(IF(INDEX(Matches!$AB$5:$AB$22,MATCH($C25,Matches!$A$5:$A$22,0))="","",INDEX(Matches!$AB$5:$AB$22,MATCH($C25,Matches!$A$5:$A$22,0))),"")</f>
        <v>21.38</v>
      </c>
      <c r="M25" s="11">
        <f t="array" ref="M25">IFERROR(IF(INDEX(Matches!$AC$5:$AC$22,MATCH($C25,Matches!$A$5:$A$22,0))="","",INDEX(Matches!$AC$5:$AC$22,MATCH($C25,Matches!$A$5:$A$22,0))),"")</f>
        <v>0.4859</v>
      </c>
      <c r="N25" s="4">
        <f t="array" ref="N25">IFERROR(INDEX(Players!$F$2:$F$127,MATCH($F25,Players!$A$2:$A$127,0)),0)</f>
        <v>37</v>
      </c>
      <c r="O25" s="18">
        <f t="array" ref="O25">IFERROR(1/(1/INDEX(Players!$H$2:$H$127,MATCH($F25,Players!$A$2:$A$127,0))),"")</f>
        <v>0.69</v>
      </c>
      <c r="P25" s="11">
        <f t="array" ref="P25">IFERROR(1/(1/INDEX(Players!$I$2:$I$127,MATCH($F25,Players!$A$2:$A$127,0))),"")</f>
        <v>0.303</v>
      </c>
      <c r="Q25" s="4">
        <f>IF($G25="",0,SUMIFS(Map_Stats!$F$2:$F$825,Map_Stats!$A$2:$A$825,$F25&amp;"|"&amp;$G25))</f>
        <v>5</v>
      </c>
      <c r="R25" s="18">
        <f t="array" ref="R25">IF($G25="","",IFERROR(1/(1/INDEX(Map_Stats!$K$2:$K$825,MATCH($F25&amp;"|"&amp;$G25,Map_Stats!$A$2:$A$825,0))),$O25))</f>
        <v>0.61</v>
      </c>
      <c r="S25" s="11">
        <f t="array" ref="S25">IF(OR($G25="",$P25=""),"",IFERROR(1/(1/INDEX(Map_Stats!$I$2:$I$825,MATCH($F25&amp;"|"&amp;$G25,Map_Stats!$A$2:$A$825,0))),$P25))</f>
        <v>0.283</v>
      </c>
      <c r="T25" s="18">
        <f>IF(OR($G25="",R25=""),"",IF($O25="",R25,(Q25*R25+Config!$B$4*$O25)/(Q25+Config!$B$4)))</f>
        <v>0.65</v>
      </c>
      <c r="U25" s="11">
        <f>IF(S25="","",(Q25*S25+Config!$B$4*$P25)/(Q25+Config!$B$4))</f>
        <v>0.293</v>
      </c>
      <c r="V25" s="17">
        <f>IF(OR(T25="",$J25=""),"",T25*$J25*($J25/Config!$B$10)^Config!$B$9)</f>
        <v>13.8515</v>
      </c>
      <c r="W25" s="17">
        <f t="shared" si="1"/>
        <v>4.0584895</v>
      </c>
      <c r="X25" s="4">
        <f>IF($H25="",0,SUMIFS(Map_Stats!$F$2:$F$825,Map_Stats!$A$2:$A$825,$F25&amp;"|"&amp;$H25))</f>
        <v>10</v>
      </c>
      <c r="Y25" s="18">
        <f t="array" ref="Y25">IF($H25="","",IFERROR(1/(1/INDEX(Map_Stats!$K$2:$K$825,MATCH($F25&amp;"|"&amp;$H25,Map_Stats!$A$2:$A$825,0))),$O25))</f>
        <v>0.67</v>
      </c>
      <c r="Z25" s="11">
        <f t="array" ref="Z25">IF(OR($H25="",$P25=""),"",IFERROR(1/(1/INDEX(Map_Stats!$I$2:$I$825,MATCH($F25&amp;"|"&amp;$H25,Map_Stats!$A$2:$A$825,0))),$P25))</f>
        <v>0.284</v>
      </c>
      <c r="AA25" s="18">
        <f>IF(OR($H25="",Y25=""),"",IF($O25="",Y25,(X25*Y25+Config!$B$4*$O25)/(X25+Config!$B$4)))</f>
        <v>0.6766666667</v>
      </c>
      <c r="AB25" s="11">
        <f>IF(Z25="","",(X25*Z25+Config!$B$4*$P25)/(X25+Config!$B$4))</f>
        <v>0.2903333333</v>
      </c>
      <c r="AC25" s="17">
        <f>IF(OR(AA25="",$K25=""),"",AA25*$K25*($K25/Config!$B$10)^Config!$B$9)</f>
        <v>14.4942</v>
      </c>
      <c r="AD25" s="17">
        <f t="shared" si="2"/>
        <v>4.2081494</v>
      </c>
      <c r="AE25" s="4">
        <f>IF($I25="",0,SUMIFS(Map_Stats!$F$2:$F$825,Map_Stats!$A$2:$A$825,$F25&amp;"|"&amp;$I25))</f>
        <v>6</v>
      </c>
      <c r="AF25" s="18">
        <f t="array" ref="AF25">IF($I25="","",IFERROR(1/(1/INDEX(Map_Stats!$K$2:$K$825,MATCH($F25&amp;"|"&amp;$I25,Map_Stats!$A$2:$A$825,0))),$O25))</f>
        <v>0.75</v>
      </c>
      <c r="AG25" s="11">
        <f t="array" ref="AG25">IF(OR($I25="",$P25=""),"",IFERROR(1/(1/INDEX(Map_Stats!$I$2:$I$825,MATCH($F25&amp;"|"&amp;$I25,Map_Stats!$A$2:$A$825,0))),$P25))</f>
        <v>0.273</v>
      </c>
      <c r="AH25" s="18">
        <f>IF(OR($I25="",AF25=""),"",IF($O25="",AF25,(AE25*AF25+Config!$B$4*$O25)/(AE25+Config!$B$4)))</f>
        <v>0.7227272727</v>
      </c>
      <c r="AI25" s="11">
        <f>IF(AG25="","",(AE25*AG25+Config!$B$4*$P25)/(AE25+Config!$B$4))</f>
        <v>0.2866363636</v>
      </c>
      <c r="AJ25" s="17">
        <f>IF(OR(AH25="",$L25=""),"",AH25*$L25*($L25/Config!$B$10)^Config!$B$9)</f>
        <v>15.45190909</v>
      </c>
      <c r="AK25" s="17">
        <f t="shared" si="3"/>
        <v>4.429079033</v>
      </c>
      <c r="AL25" s="17">
        <f t="shared" si="4"/>
        <v>28.3457</v>
      </c>
      <c r="AM25" s="17">
        <f t="shared" si="5"/>
        <v>35.85378263</v>
      </c>
      <c r="AN25" s="17">
        <f t="shared" si="6"/>
        <v>8.2666389</v>
      </c>
      <c r="AO25" s="17">
        <f t="shared" si="7"/>
        <v>10.4187284</v>
      </c>
      <c r="AP25" s="11">
        <f t="shared" si="8"/>
        <v>0.2916364352</v>
      </c>
      <c r="AQ25" s="4" t="str">
        <f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4" t="str">
        <f>IF($C25=Board!$B$2,COUNTIFS($C$2:$C$157,Board!$B$2,$AL$2:$AL$157,"&gt;"&amp;$AL25)+COUNTIFS($C$1:$C24,Board!$B$2,$AL$1:$AL24,$AL25)+1,"")</f>
        <v/>
      </c>
      <c r="AS25" s="4" t="str">
        <f t="array" ref="AS25">IFERROR(IF($D25=INDEX(Matches!$AD$5:$AD$22,MATCH($C25,Matches!$A$5:$A$22,0)),"A",IF($D25=INDEX(Matches!$AE$5:$AE$22,MATCH($C25,Matches!$A$5:$A$22,0)),"B","")),"")</f>
        <v>A</v>
      </c>
      <c r="AT25" s="11">
        <f t="array" ref="AT25">IF($AS25="","",IFERROR(IF($AS25="A",INDEX(Matches!$AI$5:$AI$22,MATCH($C25,Matches!$A$5:$A$22,0)),INDEX(Matches!$AJ$5:$AJ$22,MATCH($C25,Matches!$A$5:$A$22,0))),""))</f>
        <v>0.5472674899</v>
      </c>
      <c r="AU25" s="11">
        <f t="array" ref="AU25">IF($AS25="","",IFERROR(IF(INDEX(Matches!$AP$5:$AP$22,MATCH($C25,Matches!$A$5:$A$22,0))="","",IF($AS25="A",INDEX(Matches!$AP$5:$AP$22,MATCH($C25,Matches!$A$5:$A$22,0)),1-INDEX(Matches!$AP$5:$AP$22,MATCH($C25,Matches!$A$5:$A$22,0)))),""))</f>
        <v>0.5146553335</v>
      </c>
      <c r="AV25" s="18">
        <f>IF(OR($AU25="",$AT25=""),1,((Config!$B$14*$AU25+Config!$B$15*(1-$AU25))/(Config!$B$14*$AT25+Config!$B$15*(1-$AT25)))^Config!$B$13)</f>
        <v>0.9720382972</v>
      </c>
      <c r="AW25" s="11">
        <f t="array" ref="AW25">IF($AS25="","",IFERROR(IF(INDEX(Matches!$AV$5:$AV$22,MATCH($C25,Matches!$A$5:$A$22,0))="","",IF($AS25="A",INDEX(Matches!$AV$5:$AV$22,MATCH($C25,Matches!$A$5:$A$22,0)),1-INDEX(Matches!$AV$5:$AV$22,MATCH($C25,Matches!$A$5:$A$22,0)))),""))</f>
        <v>0.4969685487</v>
      </c>
      <c r="AX25" s="18">
        <f>IF(OR($AW25="",$AT25=""),1,((Config!$B$14*$AW25+Config!$B$15*(1-$AW25))/(Config!$B$14*$AT25+Config!$B$15*(1-$AT25)))^Config!$B$13)</f>
        <v>0.9568736263</v>
      </c>
      <c r="AY25" s="11">
        <f t="array" ref="AY25">IF($AS25="","",IFERROR(IF(INDEX(Matches!$BB$5:$BB$22,MATCH($C25,Matches!$A$5:$A$22,0))="","",IF($AS25="A",INDEX(Matches!$BB$5:$BB$22,MATCH($C25,Matches!$A$5:$A$22,0)),1-INDEX(Matches!$BB$5:$BB$22,MATCH($C25,Matches!$A$5:$A$22,0)))),""))</f>
        <v>0.5760863997</v>
      </c>
      <c r="AZ25" s="18">
        <f>IF(OR($AY25="",$AT25=""),1,((Config!$B$14*$AY25+Config!$B$15*(1-$AY25))/(Config!$B$14*$AT25+Config!$B$15*(1-$AT25)))^Config!$B$13)</f>
        <v>1.024709368</v>
      </c>
      <c r="BA25" s="17">
        <f t="shared" si="9"/>
        <v>13.46418847</v>
      </c>
      <c r="BB25" s="17">
        <f t="shared" si="10"/>
        <v>13.86911771</v>
      </c>
      <c r="BC25" s="17">
        <f t="shared" si="11"/>
        <v>15.83371601</v>
      </c>
      <c r="BD25" s="17">
        <f t="shared" si="12"/>
        <v>27.33330619</v>
      </c>
      <c r="BE25" s="17">
        <f t="shared" si="13"/>
        <v>35.0269088</v>
      </c>
      <c r="BF25" s="17">
        <f t="shared" si="14"/>
        <v>3.945007223</v>
      </c>
      <c r="BG25" s="17">
        <f t="shared" si="15"/>
        <v>4.026667176</v>
      </c>
      <c r="BH25" s="17">
        <f t="shared" si="16"/>
        <v>4.538518779</v>
      </c>
      <c r="BI25" s="17">
        <f t="shared" si="17"/>
        <v>7.971674399</v>
      </c>
      <c r="BJ25" s="17">
        <f t="shared" si="18"/>
        <v>10.17694067</v>
      </c>
      <c r="BK25" s="18">
        <f t="shared" si="19"/>
        <v>0.9642840427</v>
      </c>
    </row>
    <row r="26" ht="15.75" customHeight="1">
      <c r="A26" s="4" t="s">
        <v>3143</v>
      </c>
      <c r="B26" s="4" t="s">
        <v>86</v>
      </c>
      <c r="C26" s="4" t="s">
        <v>1168</v>
      </c>
      <c r="D26" s="4" t="s">
        <v>1173</v>
      </c>
      <c r="E26" s="4" t="s">
        <v>1292</v>
      </c>
      <c r="F26" s="4" t="s">
        <v>1291</v>
      </c>
      <c r="G26" s="4" t="str">
        <f t="array" ref="G26">IFERROR(IF(INDEX(Matches!$W$5:$W$22,MATCH($C26,Matches!$A$5:$A$22,0))="","",INDEX(Matches!$W$5:$W$22,MATCH($C26,Matches!$A$5:$A$22,0))),"")</f>
        <v>Nuke</v>
      </c>
      <c r="H26" s="4" t="str">
        <f t="array" ref="H26">IFERROR(IF(INDEX(Matches!$X$5:$X$22,MATCH($C26,Matches!$A$5:$A$22,0))="","",INDEX(Matches!$X$5:$X$22,MATCH($C26,Matches!$A$5:$A$22,0))),"")</f>
        <v>Mirage</v>
      </c>
      <c r="I26" s="4" t="str">
        <f t="array" ref="I26">IFERROR(IF(INDEX(Matches!$Y$5:$Y$22,MATCH($C26,Matches!$A$5:$A$22,0))="","",INDEX(Matches!$Y$5:$Y$22,MATCH($C26,Matches!$A$5:$A$22,0))),"")</f>
        <v>Dust2</v>
      </c>
      <c r="J26" s="4">
        <f t="array" ref="J26">IFERROR(IF(INDEX(Matches!$Z$5:$Z$22,MATCH($C26,Matches!$A$5:$A$22,0))="","",INDEX(Matches!$Z$5:$Z$22,MATCH($C26,Matches!$A$5:$A$22,0))),"")</f>
        <v>21.31</v>
      </c>
      <c r="K26" s="4">
        <f t="array" ref="K26">IFERROR(IF(INDEX(Matches!$AA$5:$AA$22,MATCH($C26,Matches!$A$5:$A$22,0))="","",INDEX(Matches!$AA$5:$AA$22,MATCH($C26,Matches!$A$5:$A$22,0))),"")</f>
        <v>21.42</v>
      </c>
      <c r="L26" s="4">
        <f t="array" ref="L26">IFERROR(IF(INDEX(Matches!$AB$5:$AB$22,MATCH($C26,Matches!$A$5:$A$22,0))="","",INDEX(Matches!$AB$5:$AB$22,MATCH($C26,Matches!$A$5:$A$22,0))),"")</f>
        <v>21.38</v>
      </c>
      <c r="M26" s="11">
        <f t="array" ref="M26">IFERROR(IF(INDEX(Matches!$AC$5:$AC$22,MATCH($C26,Matches!$A$5:$A$22,0))="","",INDEX(Matches!$AC$5:$AC$22,MATCH($C26,Matches!$A$5:$A$22,0))),"")</f>
        <v>0.4859</v>
      </c>
      <c r="N26" s="4">
        <f t="array" ref="N26">IFERROR(INDEX(Players!$F$2:$F$127,MATCH($F26,Players!$A$2:$A$127,0)),0)</f>
        <v>37</v>
      </c>
      <c r="O26" s="18">
        <f t="array" ref="O26">IFERROR(1/(1/INDEX(Players!$H$2:$H$127,MATCH($F26,Players!$A$2:$A$127,0))),"")</f>
        <v>0.66</v>
      </c>
      <c r="P26" s="11">
        <f t="array" ref="P26">IFERROR(1/(1/INDEX(Players!$I$2:$I$127,MATCH($F26,Players!$A$2:$A$127,0))),"")</f>
        <v>0.522</v>
      </c>
      <c r="Q26" s="4">
        <f>IF($G26="",0,SUMIFS(Map_Stats!$F$2:$F$825,Map_Stats!$A$2:$A$825,$F26&amp;"|"&amp;$G26))</f>
        <v>5</v>
      </c>
      <c r="R26" s="18">
        <f t="array" ref="R26">IF($G26="","",IFERROR(1/(1/INDEX(Map_Stats!$K$2:$K$825,MATCH($F26&amp;"|"&amp;$G26,Map_Stats!$A$2:$A$825,0))),$O26))</f>
        <v>0.55</v>
      </c>
      <c r="S26" s="11">
        <f t="array" ref="S26">IF(OR($G26="",$P26=""),"",IFERROR(1/(1/INDEX(Map_Stats!$I$2:$I$825,MATCH($F26&amp;"|"&amp;$G26,Map_Stats!$A$2:$A$825,0))),$P26))</f>
        <v>0.574</v>
      </c>
      <c r="T26" s="18">
        <f>IF(OR($G26="",R26=""),"",IF($O26="",R26,(Q26*R26+Config!$B$4*$O26)/(Q26+Config!$B$4)))</f>
        <v>0.605</v>
      </c>
      <c r="U26" s="11">
        <f>IF(S26="","",(Q26*S26+Config!$B$4*$P26)/(Q26+Config!$B$4))</f>
        <v>0.548</v>
      </c>
      <c r="V26" s="17">
        <f>IF(OR(T26="",$J26=""),"",T26*$J26*($J26/Config!$B$10)^Config!$B$9)</f>
        <v>12.89255</v>
      </c>
      <c r="W26" s="17">
        <f t="shared" si="1"/>
        <v>7.0651174</v>
      </c>
      <c r="X26" s="4">
        <f>IF($H26="",0,SUMIFS(Map_Stats!$F$2:$F$825,Map_Stats!$A$2:$A$825,$F26&amp;"|"&amp;$H26))</f>
        <v>10</v>
      </c>
      <c r="Y26" s="18">
        <f t="array" ref="Y26">IF($H26="","",IFERROR(1/(1/INDEX(Map_Stats!$K$2:$K$825,MATCH($F26&amp;"|"&amp;$H26,Map_Stats!$A$2:$A$825,0))),$O26))</f>
        <v>0.61</v>
      </c>
      <c r="Z26" s="11">
        <f t="array" ref="Z26">IF(OR($H26="",$P26=""),"",IFERROR(1/(1/INDEX(Map_Stats!$I$2:$I$825,MATCH($F26&amp;"|"&amp;$H26,Map_Stats!$A$2:$A$825,0))),$P26))</f>
        <v>0.535</v>
      </c>
      <c r="AA26" s="18">
        <f>IF(OR($H26="",Y26=""),"",IF($O26="",Y26,(X26*Y26+Config!$B$4*$O26)/(X26+Config!$B$4)))</f>
        <v>0.6266666667</v>
      </c>
      <c r="AB26" s="11">
        <f>IF(Z26="","",(X26*Z26+Config!$B$4*$P26)/(X26+Config!$B$4))</f>
        <v>0.5306666667</v>
      </c>
      <c r="AC26" s="17">
        <f>IF(OR(AA26="",$K26=""),"",AA26*$K26*($K26/Config!$B$10)^Config!$B$9)</f>
        <v>13.4232</v>
      </c>
      <c r="AD26" s="17">
        <f t="shared" si="2"/>
        <v>7.1232448</v>
      </c>
      <c r="AE26" s="4">
        <f>IF($I26="",0,SUMIFS(Map_Stats!$F$2:$F$825,Map_Stats!$A$2:$A$825,$F26&amp;"|"&amp;$I26))</f>
        <v>6</v>
      </c>
      <c r="AF26" s="18">
        <f t="array" ref="AF26">IF($I26="","",IFERROR(1/(1/INDEX(Map_Stats!$K$2:$K$825,MATCH($F26&amp;"|"&amp;$I26,Map_Stats!$A$2:$A$825,0))),$O26))</f>
        <v>0.74</v>
      </c>
      <c r="AG26" s="11">
        <f t="array" ref="AG26">IF(OR($I26="",$P26=""),"",IFERROR(1/(1/INDEX(Map_Stats!$I$2:$I$825,MATCH($F26&amp;"|"&amp;$I26,Map_Stats!$A$2:$A$825,0))),$P26))</f>
        <v>0.448</v>
      </c>
      <c r="AH26" s="18">
        <f>IF(OR($I26="",AF26=""),"",IF($O26="",AF26,(AE26*AF26+Config!$B$4*$O26)/(AE26+Config!$B$4)))</f>
        <v>0.7036363636</v>
      </c>
      <c r="AI26" s="11">
        <f>IF(AG26="","",(AE26*AG26+Config!$B$4*$P26)/(AE26+Config!$B$4))</f>
        <v>0.4816363636</v>
      </c>
      <c r="AJ26" s="17">
        <f>IF(OR(AH26="",$L26=""),"",AH26*$L26*($L26/Config!$B$10)^Config!$B$9)</f>
        <v>15.04374545</v>
      </c>
      <c r="AK26" s="17">
        <f t="shared" si="3"/>
        <v>7.245614856</v>
      </c>
      <c r="AL26" s="17">
        <f t="shared" si="4"/>
        <v>26.31575</v>
      </c>
      <c r="AM26" s="17">
        <f t="shared" si="5"/>
        <v>33.62550592</v>
      </c>
      <c r="AN26" s="17">
        <f t="shared" si="6"/>
        <v>14.1883622</v>
      </c>
      <c r="AO26" s="17">
        <f t="shared" si="7"/>
        <v>17.70900646</v>
      </c>
      <c r="AP26" s="11">
        <f t="shared" si="8"/>
        <v>0.5391585723</v>
      </c>
      <c r="AQ26" s="4" t="str">
        <f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4" t="str">
        <f>IF($C26=Board!$B$2,COUNTIFS($C$2:$C$157,Board!$B$2,$AL$2:$AL$157,"&gt;"&amp;$AL26)+COUNTIFS($C$1:$C25,Board!$B$2,$AL$1:$AL25,$AL26)+1,"")</f>
        <v/>
      </c>
      <c r="AS26" s="4" t="str">
        <f t="array" ref="AS26">IFERROR(IF($D26=INDEX(Matches!$AD$5:$AD$22,MATCH($C26,Matches!$A$5:$A$22,0)),"A",IF($D26=INDEX(Matches!$AE$5:$AE$22,MATCH($C26,Matches!$A$5:$A$22,0)),"B","")),"")</f>
        <v>A</v>
      </c>
      <c r="AT26" s="11">
        <f t="array" ref="AT26">IF($AS26="","",IFERROR(IF($AS26="A",INDEX(Matches!$AI$5:$AI$22,MATCH($C26,Matches!$A$5:$A$22,0)),INDEX(Matches!$AJ$5:$AJ$22,MATCH($C26,Matches!$A$5:$A$22,0))),""))</f>
        <v>0.5472674899</v>
      </c>
      <c r="AU26" s="11">
        <f t="array" ref="AU26">IF($AS26="","",IFERROR(IF(INDEX(Matches!$AP$5:$AP$22,MATCH($C26,Matches!$A$5:$A$22,0))="","",IF($AS26="A",INDEX(Matches!$AP$5:$AP$22,MATCH($C26,Matches!$A$5:$A$22,0)),1-INDEX(Matches!$AP$5:$AP$22,MATCH($C26,Matches!$A$5:$A$22,0)))),""))</f>
        <v>0.5146553335</v>
      </c>
      <c r="AV26" s="18">
        <f>IF(OR($AU26="",$AT26=""),1,((Config!$B$14*$AU26+Config!$B$15*(1-$AU26))/(Config!$B$14*$AT26+Config!$B$15*(1-$AT26)))^Config!$B$13)</f>
        <v>0.9720382972</v>
      </c>
      <c r="AW26" s="11">
        <f t="array" ref="AW26">IF($AS26="","",IFERROR(IF(INDEX(Matches!$AV$5:$AV$22,MATCH($C26,Matches!$A$5:$A$22,0))="","",IF($AS26="A",INDEX(Matches!$AV$5:$AV$22,MATCH($C26,Matches!$A$5:$A$22,0)),1-INDEX(Matches!$AV$5:$AV$22,MATCH($C26,Matches!$A$5:$A$22,0)))),""))</f>
        <v>0.4969685487</v>
      </c>
      <c r="AX26" s="18">
        <f>IF(OR($AW26="",$AT26=""),1,((Config!$B$14*$AW26+Config!$B$15*(1-$AW26))/(Config!$B$14*$AT26+Config!$B$15*(1-$AT26)))^Config!$B$13)</f>
        <v>0.9568736263</v>
      </c>
      <c r="AY26" s="11">
        <f t="array" ref="AY26">IF($AS26="","",IFERROR(IF(INDEX(Matches!$BB$5:$BB$22,MATCH($C26,Matches!$A$5:$A$22,0))="","",IF($AS26="A",INDEX(Matches!$BB$5:$BB$22,MATCH($C26,Matches!$A$5:$A$22,0)),1-INDEX(Matches!$BB$5:$BB$22,MATCH($C26,Matches!$A$5:$A$22,0)))),""))</f>
        <v>0.5760863997</v>
      </c>
      <c r="AZ26" s="18">
        <f>IF(OR($AY26="",$AT26=""),1,((Config!$B$14*$AY26+Config!$B$15*(1-$AY26))/(Config!$B$14*$AT26+Config!$B$15*(1-$AT26)))^Config!$B$13)</f>
        <v>1.024709368</v>
      </c>
      <c r="BA26" s="17">
        <f t="shared" si="9"/>
        <v>12.53205235</v>
      </c>
      <c r="BB26" s="17">
        <f t="shared" si="10"/>
        <v>12.84430606</v>
      </c>
      <c r="BC26" s="17">
        <f t="shared" si="11"/>
        <v>15.4154669</v>
      </c>
      <c r="BD26" s="17">
        <f t="shared" si="12"/>
        <v>25.37635841</v>
      </c>
      <c r="BE26" s="17">
        <f t="shared" si="13"/>
        <v>32.86673378</v>
      </c>
      <c r="BF26" s="17">
        <f t="shared" si="14"/>
        <v>6.867564687</v>
      </c>
      <c r="BG26" s="17">
        <f t="shared" si="15"/>
        <v>6.816045083</v>
      </c>
      <c r="BH26" s="17">
        <f t="shared" si="16"/>
        <v>7.424649423</v>
      </c>
      <c r="BI26" s="17">
        <f t="shared" si="17"/>
        <v>13.68360977</v>
      </c>
      <c r="BJ26" s="17">
        <f t="shared" si="18"/>
        <v>17.29124692</v>
      </c>
      <c r="BK26" s="18">
        <f t="shared" si="19"/>
        <v>0.964303066</v>
      </c>
    </row>
    <row r="27" ht="15.75" customHeight="1">
      <c r="A27" s="4" t="s">
        <v>3144</v>
      </c>
      <c r="B27" s="4" t="s">
        <v>86</v>
      </c>
      <c r="C27" s="4" t="s">
        <v>1709</v>
      </c>
      <c r="D27" s="4" t="s">
        <v>1297</v>
      </c>
      <c r="E27" s="4" t="s">
        <v>1295</v>
      </c>
      <c r="F27" s="4" t="s">
        <v>1294</v>
      </c>
      <c r="G27" s="4" t="str">
        <f t="array" ref="G27">IFERROR(IF(INDEX(Matches!$W$5:$W$22,MATCH($C27,Matches!$A$5:$A$22,0))="","",INDEX(Matches!$W$5:$W$22,MATCH($C27,Matches!$A$5:$A$22,0))),"")</f>
        <v>Mirage</v>
      </c>
      <c r="H27" s="4" t="str">
        <f t="array" ref="H27">IFERROR(IF(INDEX(Matches!$X$5:$X$22,MATCH($C27,Matches!$A$5:$A$22,0))="","",INDEX(Matches!$X$5:$X$22,MATCH($C27,Matches!$A$5:$A$22,0))),"")</f>
        <v>Ancient</v>
      </c>
      <c r="I27" s="4" t="str">
        <f t="array" ref="I27">IFERROR(IF(INDEX(Matches!$Y$5:$Y$22,MATCH($C27,Matches!$A$5:$A$22,0))="","",INDEX(Matches!$Y$5:$Y$22,MATCH($C27,Matches!$A$5:$A$22,0))),"")</f>
        <v>Nuke</v>
      </c>
      <c r="J27" s="4">
        <f t="array" ref="J27">IFERROR(IF(INDEX(Matches!$Z$5:$Z$22,MATCH($C27,Matches!$A$5:$A$22,0))="","",INDEX(Matches!$Z$5:$Z$22,MATCH($C27,Matches!$A$5:$A$22,0))),"")</f>
        <v>21.42</v>
      </c>
      <c r="K27" s="4">
        <f t="array" ref="K27">IFERROR(IF(INDEX(Matches!$AA$5:$AA$22,MATCH($C27,Matches!$A$5:$A$22,0))="","",INDEX(Matches!$AA$5:$AA$22,MATCH($C27,Matches!$A$5:$A$22,0))),"")</f>
        <v>21.31</v>
      </c>
      <c r="L27" s="4">
        <f t="array" ref="L27">IFERROR(IF(INDEX(Matches!$AB$5:$AB$22,MATCH($C27,Matches!$A$5:$A$22,0))="","",INDEX(Matches!$AB$5:$AB$22,MATCH($C27,Matches!$A$5:$A$22,0))),"")</f>
        <v>21.42</v>
      </c>
      <c r="M27" s="11">
        <f t="array" ref="M27">IFERROR(IF(INDEX(Matches!$AC$5:$AC$22,MATCH($C27,Matches!$A$5:$A$22,0))="","",INDEX(Matches!$AC$5:$AC$22,MATCH($C27,Matches!$A$5:$A$22,0))),"")</f>
        <v>0.4714</v>
      </c>
      <c r="N27" s="4">
        <f t="array" ref="N27">IFERROR(INDEX(Players!$F$2:$F$127,MATCH($F27,Players!$A$2:$A$127,0)),0)</f>
        <v>32</v>
      </c>
      <c r="O27" s="18">
        <f t="array" ref="O27">IFERROR(1/(1/INDEX(Players!$H$2:$H$127,MATCH($F27,Players!$A$2:$A$127,0))),"")</f>
        <v>0.55</v>
      </c>
      <c r="P27" s="11">
        <f t="array" ref="P27">IFERROR(1/(1/INDEX(Players!$I$2:$I$127,MATCH($F27,Players!$A$2:$A$127,0))),"")</f>
        <v>0.458</v>
      </c>
      <c r="Q27" s="4">
        <f>IF($G27="",0,SUMIFS(Map_Stats!$F$2:$F$825,Map_Stats!$A$2:$A$825,$F27&amp;"|"&amp;$G27))</f>
        <v>9</v>
      </c>
      <c r="R27" s="18">
        <f t="array" ref="R27">IF($G27="","",IFERROR(1/(1/INDEX(Map_Stats!$K$2:$K$825,MATCH($F27&amp;"|"&amp;$G27,Map_Stats!$A$2:$A$825,0))),$O27))</f>
        <v>0.45</v>
      </c>
      <c r="S27" s="11">
        <f t="array" ref="S27">IF(OR($G27="",$P27=""),"",IFERROR(1/(1/INDEX(Map_Stats!$I$2:$I$825,MATCH($F27&amp;"|"&amp;$G27,Map_Stats!$A$2:$A$825,0))),$P27))</f>
        <v>0.435</v>
      </c>
      <c r="T27" s="18">
        <f>IF(OR($G27="",R27=""),"",IF($O27="",R27,(Q27*R27+Config!$B$4*$O27)/(Q27+Config!$B$4)))</f>
        <v>0.4857142857</v>
      </c>
      <c r="U27" s="11">
        <f>IF(S27="","",(Q27*S27+Config!$B$4*$P27)/(Q27+Config!$B$4))</f>
        <v>0.4432142857</v>
      </c>
      <c r="V27" s="17">
        <f>IF(OR(T27="",$J27=""),"",T27*$J27*($J27/Config!$B$10)^Config!$B$9)</f>
        <v>10.404</v>
      </c>
      <c r="W27" s="17">
        <f t="shared" si="1"/>
        <v>4.611201429</v>
      </c>
      <c r="X27" s="4">
        <f>IF($H27="",0,SUMIFS(Map_Stats!$F$2:$F$825,Map_Stats!$A$2:$A$825,$F27&amp;"|"&amp;$H27))</f>
        <v>6</v>
      </c>
      <c r="Y27" s="18">
        <f t="array" ref="Y27">IF($H27="","",IFERROR(1/(1/INDEX(Map_Stats!$K$2:$K$825,MATCH($F27&amp;"|"&amp;$H27,Map_Stats!$A$2:$A$825,0))),$O27))</f>
        <v>0.57</v>
      </c>
      <c r="Z27" s="11">
        <f t="array" ref="Z27">IF(OR($H27="",$P27=""),"",IFERROR(1/(1/INDEX(Map_Stats!$I$2:$I$825,MATCH($F27&amp;"|"&amp;$H27,Map_Stats!$A$2:$A$825,0))),$P27))</f>
        <v>0.524</v>
      </c>
      <c r="AA27" s="18">
        <f>IF(OR($H27="",Y27=""),"",IF($O27="",Y27,(X27*Y27+Config!$B$4*$O27)/(X27+Config!$B$4)))</f>
        <v>0.5609090909</v>
      </c>
      <c r="AB27" s="11">
        <f>IF(Z27="","",(X27*Z27+Config!$B$4*$P27)/(X27+Config!$B$4))</f>
        <v>0.494</v>
      </c>
      <c r="AC27" s="17">
        <f>IF(OR(AA27="",$K27=""),"",AA27*$K27*($K27/Config!$B$10)^Config!$B$9)</f>
        <v>11.95297273</v>
      </c>
      <c r="AD27" s="17">
        <f t="shared" si="2"/>
        <v>5.904768527</v>
      </c>
      <c r="AE27" s="4">
        <f>IF($I27="",0,SUMIFS(Map_Stats!$F$2:$F$825,Map_Stats!$A$2:$A$825,$F27&amp;"|"&amp;$I27))</f>
        <v>4</v>
      </c>
      <c r="AF27" s="18">
        <f t="array" ref="AF27">IF($I27="","",IFERROR(1/(1/INDEX(Map_Stats!$K$2:$K$825,MATCH($F27&amp;"|"&amp;$I27,Map_Stats!$A$2:$A$825,0))),$O27))</f>
        <v>0.49</v>
      </c>
      <c r="AG27" s="11">
        <f t="array" ref="AG27">IF(OR($I27="",$P27=""),"",IFERROR(1/(1/INDEX(Map_Stats!$I$2:$I$825,MATCH($F27&amp;"|"&amp;$I27,Map_Stats!$A$2:$A$825,0))),$P27))</f>
        <v>0.425</v>
      </c>
      <c r="AH27" s="18">
        <f>IF(OR($I27="",AF27=""),"",IF($O27="",AF27,(AE27*AF27+Config!$B$4*$O27)/(AE27+Config!$B$4)))</f>
        <v>0.5233333333</v>
      </c>
      <c r="AI27" s="11">
        <f>IF(AG27="","",(AE27*AG27+Config!$B$4*$P27)/(AE27+Config!$B$4))</f>
        <v>0.4433333333</v>
      </c>
      <c r="AJ27" s="17">
        <f>IF(OR(AH27="",$L27=""),"",AH27*$L27*($L27/Config!$B$10)^Config!$B$9)</f>
        <v>11.2098</v>
      </c>
      <c r="AK27" s="17">
        <f t="shared" si="3"/>
        <v>4.969678</v>
      </c>
      <c r="AL27" s="17">
        <f t="shared" si="4"/>
        <v>22.35697273</v>
      </c>
      <c r="AM27" s="17">
        <f t="shared" si="5"/>
        <v>27.64127245</v>
      </c>
      <c r="AN27" s="17">
        <f t="shared" si="6"/>
        <v>10.51596996</v>
      </c>
      <c r="AO27" s="17">
        <f t="shared" si="7"/>
        <v>12.85867617</v>
      </c>
      <c r="AP27" s="11">
        <f t="shared" si="8"/>
        <v>0.4703664527</v>
      </c>
      <c r="AQ27" s="4" t="str">
        <f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4" t="str">
        <f>IF($C27=Board!$B$2,COUNTIFS($C$2:$C$157,Board!$B$2,$AL$2:$AL$157,"&gt;"&amp;$AL27)+COUNTIFS($C$1:$C26,Board!$B$2,$AL$1:$AL26,$AL27)+1,"")</f>
        <v/>
      </c>
      <c r="AS27" s="4" t="str">
        <f t="array" ref="AS27">IFERROR(IF($D27=INDEX(Matches!$AD$5:$AD$22,MATCH($C27,Matches!$A$5:$A$22,0)),"A",IF($D27=INDEX(Matches!$AE$5:$AE$22,MATCH($C27,Matches!$A$5:$A$22,0)),"B","")),"")</f>
        <v>A</v>
      </c>
      <c r="AT27" s="11">
        <f t="array" ref="AT27">IF($AS27="","",IFERROR(IF($AS27="A",INDEX(Matches!$AI$5:$AI$22,MATCH($C27,Matches!$A$5:$A$22,0)),INDEX(Matches!$AJ$5:$AJ$22,MATCH($C27,Matches!$A$5:$A$22,0))),""))</f>
        <v>0.4872805577</v>
      </c>
      <c r="AU27" s="11">
        <f t="array" ref="AU27">IF($AS27="","",IFERROR(IF(INDEX(Matches!$AP$5:$AP$22,MATCH($C27,Matches!$A$5:$A$22,0))="","",IF($AS27="A",INDEX(Matches!$AP$5:$AP$22,MATCH($C27,Matches!$A$5:$A$22,0)),1-INDEX(Matches!$AP$5:$AP$22,MATCH($C27,Matches!$A$5:$A$22,0)))),""))</f>
        <v>0.4968900386</v>
      </c>
      <c r="AV27" s="18">
        <f>IF(OR($AU27="",$AT27=""),1,((Config!$B$14*$AU27+Config!$B$15*(1-$AU27))/(Config!$B$14*$AT27+Config!$B$15*(1-$AT27)))^Config!$B$13)</f>
        <v>1.008685923</v>
      </c>
      <c r="AW27" s="11">
        <f t="array" ref="AW27">IF($AS27="","",IFERROR(IF(INDEX(Matches!$AV$5:$AV$22,MATCH($C27,Matches!$A$5:$A$22,0))="","",IF($AS27="A",INDEX(Matches!$AV$5:$AV$22,MATCH($C27,Matches!$A$5:$A$22,0)),1-INDEX(Matches!$AV$5:$AV$22,MATCH($C27,Matches!$A$5:$A$22,0)))),""))</f>
        <v>0.4438359033</v>
      </c>
      <c r="AX27" s="18">
        <f>IF(OR($AW27="",$AT27=""),1,((Config!$B$14*$AW27+Config!$B$15*(1-$AW27))/(Config!$B$14*$AT27+Config!$B$15*(1-$AT27)))^Config!$B$13)</f>
        <v>0.9607307711</v>
      </c>
      <c r="AY27" s="11">
        <f t="array" ref="AY27">IF($AS27="","",IFERROR(IF(INDEX(Matches!$BB$5:$BB$22,MATCH($C27,Matches!$A$5:$A$22,0))="","",IF($AS27="A",INDEX(Matches!$BB$5:$BB$22,MATCH($C27,Matches!$A$5:$A$22,0)),1-INDEX(Matches!$BB$5:$BB$22,MATCH($C27,Matches!$A$5:$A$22,0)))),""))</f>
        <v>0.4297798491</v>
      </c>
      <c r="AZ27" s="18">
        <f>IF(OR($AY27="",$AT27=""),1,((Config!$B$14*$AY27+Config!$B$15*(1-$AY27))/(Config!$B$14*$AT27+Config!$B$15*(1-$AT27)))^Config!$B$13)</f>
        <v>0.9480256312</v>
      </c>
      <c r="BA27" s="17">
        <f t="shared" si="9"/>
        <v>10.49436834</v>
      </c>
      <c r="BB27" s="17">
        <f t="shared" si="10"/>
        <v>11.4835887</v>
      </c>
      <c r="BC27" s="17">
        <f t="shared" si="11"/>
        <v>10.62717772</v>
      </c>
      <c r="BD27" s="17">
        <f t="shared" si="12"/>
        <v>21.97795704</v>
      </c>
      <c r="BE27" s="17">
        <f t="shared" si="13"/>
        <v>26.98760862</v>
      </c>
      <c r="BF27" s="17">
        <f t="shared" si="14"/>
        <v>4.651253967</v>
      </c>
      <c r="BG27" s="17">
        <f t="shared" si="15"/>
        <v>5.67289282</v>
      </c>
      <c r="BH27" s="17">
        <f t="shared" si="16"/>
        <v>4.711382123</v>
      </c>
      <c r="BI27" s="17">
        <f t="shared" si="17"/>
        <v>10.32414679</v>
      </c>
      <c r="BJ27" s="17">
        <f t="shared" si="18"/>
        <v>12.54509232</v>
      </c>
      <c r="BK27" s="18">
        <f t="shared" si="19"/>
        <v>0.9830470928</v>
      </c>
    </row>
    <row r="28" ht="15.75" customHeight="1">
      <c r="A28" s="4" t="s">
        <v>3145</v>
      </c>
      <c r="B28" s="4" t="s">
        <v>86</v>
      </c>
      <c r="C28" s="4" t="s">
        <v>1709</v>
      </c>
      <c r="D28" s="4" t="s">
        <v>1297</v>
      </c>
      <c r="E28" s="4" t="s">
        <v>1301</v>
      </c>
      <c r="F28" s="4" t="s">
        <v>1300</v>
      </c>
      <c r="G28" s="4" t="str">
        <f t="array" ref="G28">IFERROR(IF(INDEX(Matches!$W$5:$W$22,MATCH($C28,Matches!$A$5:$A$22,0))="","",INDEX(Matches!$W$5:$W$22,MATCH($C28,Matches!$A$5:$A$22,0))),"")</f>
        <v>Mirage</v>
      </c>
      <c r="H28" s="4" t="str">
        <f t="array" ref="H28">IFERROR(IF(INDEX(Matches!$X$5:$X$22,MATCH($C28,Matches!$A$5:$A$22,0))="","",INDEX(Matches!$X$5:$X$22,MATCH($C28,Matches!$A$5:$A$22,0))),"")</f>
        <v>Ancient</v>
      </c>
      <c r="I28" s="4" t="str">
        <f t="array" ref="I28">IFERROR(IF(INDEX(Matches!$Y$5:$Y$22,MATCH($C28,Matches!$A$5:$A$22,0))="","",INDEX(Matches!$Y$5:$Y$22,MATCH($C28,Matches!$A$5:$A$22,0))),"")</f>
        <v>Nuke</v>
      </c>
      <c r="J28" s="4">
        <f t="array" ref="J28">IFERROR(IF(INDEX(Matches!$Z$5:$Z$22,MATCH($C28,Matches!$A$5:$A$22,0))="","",INDEX(Matches!$Z$5:$Z$22,MATCH($C28,Matches!$A$5:$A$22,0))),"")</f>
        <v>21.42</v>
      </c>
      <c r="K28" s="4">
        <f t="array" ref="K28">IFERROR(IF(INDEX(Matches!$AA$5:$AA$22,MATCH($C28,Matches!$A$5:$A$22,0))="","",INDEX(Matches!$AA$5:$AA$22,MATCH($C28,Matches!$A$5:$A$22,0))),"")</f>
        <v>21.31</v>
      </c>
      <c r="L28" s="4">
        <f t="array" ref="L28">IFERROR(IF(INDEX(Matches!$AB$5:$AB$22,MATCH($C28,Matches!$A$5:$A$22,0))="","",INDEX(Matches!$AB$5:$AB$22,MATCH($C28,Matches!$A$5:$A$22,0))),"")</f>
        <v>21.42</v>
      </c>
      <c r="M28" s="11">
        <f t="array" ref="M28">IFERROR(IF(INDEX(Matches!$AC$5:$AC$22,MATCH($C28,Matches!$A$5:$A$22,0))="","",INDEX(Matches!$AC$5:$AC$22,MATCH($C28,Matches!$A$5:$A$22,0))),"")</f>
        <v>0.4714</v>
      </c>
      <c r="N28" s="4">
        <f t="array" ref="N28">IFERROR(INDEX(Players!$F$2:$F$127,MATCH($F28,Players!$A$2:$A$127,0)),0)</f>
        <v>32</v>
      </c>
      <c r="O28" s="18">
        <f t="array" ref="O28">IFERROR(1/(1/INDEX(Players!$H$2:$H$127,MATCH($F28,Players!$A$2:$A$127,0))),"")</f>
        <v>0.67</v>
      </c>
      <c r="P28" s="11">
        <f t="array" ref="P28">IFERROR(1/(1/INDEX(Players!$I$2:$I$127,MATCH($F28,Players!$A$2:$A$127,0))),"")</f>
        <v>0.61</v>
      </c>
      <c r="Q28" s="4">
        <f>IF($G28="",0,SUMIFS(Map_Stats!$F$2:$F$825,Map_Stats!$A$2:$A$825,$F28&amp;"|"&amp;$G28))</f>
        <v>9</v>
      </c>
      <c r="R28" s="18">
        <f t="array" ref="R28">IF($G28="","",IFERROR(1/(1/INDEX(Map_Stats!$K$2:$K$825,MATCH($F28&amp;"|"&amp;$G28,Map_Stats!$A$2:$A$825,0))),$O28))</f>
        <v>0.59</v>
      </c>
      <c r="S28" s="11">
        <f t="array" ref="S28">IF(OR($G28="",$P28=""),"",IFERROR(1/(1/INDEX(Map_Stats!$I$2:$I$825,MATCH($F28&amp;"|"&amp;$G28,Map_Stats!$A$2:$A$825,0))),$P28))</f>
        <v>0.564</v>
      </c>
      <c r="T28" s="18">
        <f>IF(OR($G28="",R28=""),"",IF($O28="",R28,(Q28*R28+Config!$B$4*$O28)/(Q28+Config!$B$4)))</f>
        <v>0.6185714286</v>
      </c>
      <c r="U28" s="11">
        <f>IF(S28="","",(Q28*S28+Config!$B$4*$P28)/(Q28+Config!$B$4))</f>
        <v>0.5804285714</v>
      </c>
      <c r="V28" s="17">
        <f>IF(OR(T28="",$J28=""),"",T28*$J28*($J28/Config!$B$10)^Config!$B$9)</f>
        <v>13.2498</v>
      </c>
      <c r="W28" s="17">
        <f t="shared" si="1"/>
        <v>7.690562486</v>
      </c>
      <c r="X28" s="4">
        <f>IF($H28="",0,SUMIFS(Map_Stats!$F$2:$F$825,Map_Stats!$A$2:$A$825,$F28&amp;"|"&amp;$H28))</f>
        <v>6</v>
      </c>
      <c r="Y28" s="18">
        <f t="array" ref="Y28">IF($H28="","",IFERROR(1/(1/INDEX(Map_Stats!$K$2:$K$825,MATCH($F28&amp;"|"&amp;$H28,Map_Stats!$A$2:$A$825,0))),$O28))</f>
        <v>0.76</v>
      </c>
      <c r="Z28" s="11">
        <f t="array" ref="Z28">IF(OR($H28="",$P28=""),"",IFERROR(1/(1/INDEX(Map_Stats!$I$2:$I$825,MATCH($F28&amp;"|"&amp;$H28,Map_Stats!$A$2:$A$825,0))),$P28))</f>
        <v>0.582</v>
      </c>
      <c r="AA28" s="18">
        <f>IF(OR($H28="",Y28=""),"",IF($O28="",Y28,(X28*Y28+Config!$B$4*$O28)/(X28+Config!$B$4)))</f>
        <v>0.7190909091</v>
      </c>
      <c r="AB28" s="11">
        <f>IF(Z28="","",(X28*Z28+Config!$B$4*$P28)/(X28+Config!$B$4))</f>
        <v>0.5947272727</v>
      </c>
      <c r="AC28" s="17">
        <f>IF(OR(AA28="",$K28=""),"",AA28*$K28*($K28/Config!$B$10)^Config!$B$9)</f>
        <v>15.32382727</v>
      </c>
      <c r="AD28" s="17">
        <f t="shared" si="2"/>
        <v>9.113498002</v>
      </c>
      <c r="AE28" s="4">
        <f>IF($I28="",0,SUMIFS(Map_Stats!$F$2:$F$825,Map_Stats!$A$2:$A$825,$F28&amp;"|"&amp;$I28))</f>
        <v>4</v>
      </c>
      <c r="AF28" s="18">
        <f t="array" ref="AF28">IF($I28="","",IFERROR(1/(1/INDEX(Map_Stats!$K$2:$K$825,MATCH($F28&amp;"|"&amp;$I28,Map_Stats!$A$2:$A$825,0))),$O28))</f>
        <v>0.73</v>
      </c>
      <c r="AG28" s="11">
        <f t="array" ref="AG28">IF(OR($I28="",$P28=""),"",IFERROR(1/(1/INDEX(Map_Stats!$I$2:$I$825,MATCH($F28&amp;"|"&amp;$I28,Map_Stats!$A$2:$A$825,0))),$P28))</f>
        <v>0.633</v>
      </c>
      <c r="AH28" s="18">
        <f>IF(OR($I28="",AF28=""),"",IF($O28="",AF28,(AE28*AF28+Config!$B$4*$O28)/(AE28+Config!$B$4)))</f>
        <v>0.6966666667</v>
      </c>
      <c r="AI28" s="11">
        <f>IF(AG28="","",(AE28*AG28+Config!$B$4*$P28)/(AE28+Config!$B$4))</f>
        <v>0.6202222222</v>
      </c>
      <c r="AJ28" s="17">
        <f>IF(OR(AH28="",$L28=""),"",AH28*$L28*($L28/Config!$B$10)^Config!$B$9)</f>
        <v>14.9226</v>
      </c>
      <c r="AK28" s="17">
        <f t="shared" si="3"/>
        <v>9.255328133</v>
      </c>
      <c r="AL28" s="17">
        <f t="shared" si="4"/>
        <v>28.57362727</v>
      </c>
      <c r="AM28" s="17">
        <f t="shared" si="5"/>
        <v>35.60814091</v>
      </c>
      <c r="AN28" s="17">
        <f t="shared" si="6"/>
        <v>16.80406049</v>
      </c>
      <c r="AO28" s="17">
        <f t="shared" si="7"/>
        <v>21.16702217</v>
      </c>
      <c r="AP28" s="11">
        <f t="shared" si="8"/>
        <v>0.5880968603</v>
      </c>
      <c r="AQ28" s="4" t="str">
        <f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4" t="str">
        <f>IF($C28=Board!$B$2,COUNTIFS($C$2:$C$157,Board!$B$2,$AL$2:$AL$157,"&gt;"&amp;$AL28)+COUNTIFS($C$1:$C27,Board!$B$2,$AL$1:$AL27,$AL28)+1,"")</f>
        <v/>
      </c>
      <c r="AS28" s="4" t="str">
        <f t="array" ref="AS28">IFERROR(IF($D28=INDEX(Matches!$AD$5:$AD$22,MATCH($C28,Matches!$A$5:$A$22,0)),"A",IF($D28=INDEX(Matches!$AE$5:$AE$22,MATCH($C28,Matches!$A$5:$A$22,0)),"B","")),"")</f>
        <v>A</v>
      </c>
      <c r="AT28" s="11">
        <f t="array" ref="AT28">IF($AS28="","",IFERROR(IF($AS28="A",INDEX(Matches!$AI$5:$AI$22,MATCH($C28,Matches!$A$5:$A$22,0)),INDEX(Matches!$AJ$5:$AJ$22,MATCH($C28,Matches!$A$5:$A$22,0))),""))</f>
        <v>0.4872805577</v>
      </c>
      <c r="AU28" s="11">
        <f t="array" ref="AU28">IF($AS28="","",IFERROR(IF(INDEX(Matches!$AP$5:$AP$22,MATCH($C28,Matches!$A$5:$A$22,0))="","",IF($AS28="A",INDEX(Matches!$AP$5:$AP$22,MATCH($C28,Matches!$A$5:$A$22,0)),1-INDEX(Matches!$AP$5:$AP$22,MATCH($C28,Matches!$A$5:$A$22,0)))),""))</f>
        <v>0.4968900386</v>
      </c>
      <c r="AV28" s="18">
        <f>IF(OR($AU28="",$AT28=""),1,((Config!$B$14*$AU28+Config!$B$15*(1-$AU28))/(Config!$B$14*$AT28+Config!$B$15*(1-$AT28)))^Config!$B$13)</f>
        <v>1.008685923</v>
      </c>
      <c r="AW28" s="11">
        <f t="array" ref="AW28">IF($AS28="","",IFERROR(IF(INDEX(Matches!$AV$5:$AV$22,MATCH($C28,Matches!$A$5:$A$22,0))="","",IF($AS28="A",INDEX(Matches!$AV$5:$AV$22,MATCH($C28,Matches!$A$5:$A$22,0)),1-INDEX(Matches!$AV$5:$AV$22,MATCH($C28,Matches!$A$5:$A$22,0)))),""))</f>
        <v>0.4438359033</v>
      </c>
      <c r="AX28" s="18">
        <f>IF(OR($AW28="",$AT28=""),1,((Config!$B$14*$AW28+Config!$B$15*(1-$AW28))/(Config!$B$14*$AT28+Config!$B$15*(1-$AT28)))^Config!$B$13)</f>
        <v>0.9607307711</v>
      </c>
      <c r="AY28" s="11">
        <f t="array" ref="AY28">IF($AS28="","",IFERROR(IF(INDEX(Matches!$BB$5:$BB$22,MATCH($C28,Matches!$A$5:$A$22,0))="","",IF($AS28="A",INDEX(Matches!$BB$5:$BB$22,MATCH($C28,Matches!$A$5:$A$22,0)),1-INDEX(Matches!$BB$5:$BB$22,MATCH($C28,Matches!$A$5:$A$22,0)))),""))</f>
        <v>0.4297798491</v>
      </c>
      <c r="AZ28" s="18">
        <f>IF(OR($AY28="",$AT28=""),1,((Config!$B$14*$AY28+Config!$B$15*(1-$AY28))/(Config!$B$14*$AT28+Config!$B$15*(1-$AT28)))^Config!$B$13)</f>
        <v>0.9480256312</v>
      </c>
      <c r="BA28" s="17">
        <f t="shared" si="9"/>
        <v>13.36488674</v>
      </c>
      <c r="BB28" s="17">
        <f t="shared" si="10"/>
        <v>14.72207239</v>
      </c>
      <c r="BC28" s="17">
        <f t="shared" si="11"/>
        <v>14.14700728</v>
      </c>
      <c r="BD28" s="17">
        <f t="shared" si="12"/>
        <v>28.08695913</v>
      </c>
      <c r="BE28" s="17">
        <f t="shared" si="13"/>
        <v>34.75585836</v>
      </c>
      <c r="BF28" s="17">
        <f t="shared" si="14"/>
        <v>7.757362116</v>
      </c>
      <c r="BG28" s="17">
        <f t="shared" si="15"/>
        <v>8.755617962</v>
      </c>
      <c r="BH28" s="17">
        <f t="shared" si="16"/>
        <v>8.774288296</v>
      </c>
      <c r="BI28" s="17">
        <f t="shared" si="17"/>
        <v>16.51298008</v>
      </c>
      <c r="BJ28" s="17">
        <f t="shared" si="18"/>
        <v>20.64917958</v>
      </c>
      <c r="BK28" s="18">
        <f t="shared" si="19"/>
        <v>0.9829679257</v>
      </c>
    </row>
    <row r="29" ht="15.75" customHeight="1">
      <c r="A29" s="4" t="s">
        <v>3146</v>
      </c>
      <c r="B29" s="4" t="s">
        <v>86</v>
      </c>
      <c r="C29" s="4" t="s">
        <v>1709</v>
      </c>
      <c r="D29" s="4" t="s">
        <v>1297</v>
      </c>
      <c r="E29" s="4" t="s">
        <v>1304</v>
      </c>
      <c r="F29" s="4" t="s">
        <v>1303</v>
      </c>
      <c r="G29" s="4" t="str">
        <f t="array" ref="G29">IFERROR(IF(INDEX(Matches!$W$5:$W$22,MATCH($C29,Matches!$A$5:$A$22,0))="","",INDEX(Matches!$W$5:$W$22,MATCH($C29,Matches!$A$5:$A$22,0))),"")</f>
        <v>Mirage</v>
      </c>
      <c r="H29" s="4" t="str">
        <f t="array" ref="H29">IFERROR(IF(INDEX(Matches!$X$5:$X$22,MATCH($C29,Matches!$A$5:$A$22,0))="","",INDEX(Matches!$X$5:$X$22,MATCH($C29,Matches!$A$5:$A$22,0))),"")</f>
        <v>Ancient</v>
      </c>
      <c r="I29" s="4" t="str">
        <f t="array" ref="I29">IFERROR(IF(INDEX(Matches!$Y$5:$Y$22,MATCH($C29,Matches!$A$5:$A$22,0))="","",INDEX(Matches!$Y$5:$Y$22,MATCH($C29,Matches!$A$5:$A$22,0))),"")</f>
        <v>Nuke</v>
      </c>
      <c r="J29" s="4">
        <f t="array" ref="J29">IFERROR(IF(INDEX(Matches!$Z$5:$Z$22,MATCH($C29,Matches!$A$5:$A$22,0))="","",INDEX(Matches!$Z$5:$Z$22,MATCH($C29,Matches!$A$5:$A$22,0))),"")</f>
        <v>21.42</v>
      </c>
      <c r="K29" s="4">
        <f t="array" ref="K29">IFERROR(IF(INDEX(Matches!$AA$5:$AA$22,MATCH($C29,Matches!$A$5:$A$22,0))="","",INDEX(Matches!$AA$5:$AA$22,MATCH($C29,Matches!$A$5:$A$22,0))),"")</f>
        <v>21.31</v>
      </c>
      <c r="L29" s="4">
        <f t="array" ref="L29">IFERROR(IF(INDEX(Matches!$AB$5:$AB$22,MATCH($C29,Matches!$A$5:$A$22,0))="","",INDEX(Matches!$AB$5:$AB$22,MATCH($C29,Matches!$A$5:$A$22,0))),"")</f>
        <v>21.42</v>
      </c>
      <c r="M29" s="11">
        <f t="array" ref="M29">IFERROR(IF(INDEX(Matches!$AC$5:$AC$22,MATCH($C29,Matches!$A$5:$A$22,0))="","",INDEX(Matches!$AC$5:$AC$22,MATCH($C29,Matches!$A$5:$A$22,0))),"")</f>
        <v>0.4714</v>
      </c>
      <c r="N29" s="4">
        <f t="array" ref="N29">IFERROR(INDEX(Players!$F$2:$F$127,MATCH($F29,Players!$A$2:$A$127,0)),0)</f>
        <v>32</v>
      </c>
      <c r="O29" s="18">
        <f t="array" ref="O29">IFERROR(1/(1/INDEX(Players!$H$2:$H$127,MATCH($F29,Players!$A$2:$A$127,0))),"")</f>
        <v>0.72</v>
      </c>
      <c r="P29" s="11">
        <f t="array" ref="P29">IFERROR(1/(1/INDEX(Players!$I$2:$I$127,MATCH($F29,Players!$A$2:$A$127,0))),"")</f>
        <v>0.535</v>
      </c>
      <c r="Q29" s="4">
        <f>IF($G29="",0,SUMIFS(Map_Stats!$F$2:$F$825,Map_Stats!$A$2:$A$825,$F29&amp;"|"&amp;$G29))</f>
        <v>9</v>
      </c>
      <c r="R29" s="18">
        <f t="array" ref="R29">IF($G29="","",IFERROR(1/(1/INDEX(Map_Stats!$K$2:$K$825,MATCH($F29&amp;"|"&amp;$G29,Map_Stats!$A$2:$A$825,0))),$O29))</f>
        <v>0.91</v>
      </c>
      <c r="S29" s="11">
        <f t="array" ref="S29">IF(OR($G29="",$P29=""),"",IFERROR(1/(1/INDEX(Map_Stats!$I$2:$I$825,MATCH($F29&amp;"|"&amp;$G29,Map_Stats!$A$2:$A$825,0))),$P29))</f>
        <v>0.497</v>
      </c>
      <c r="T29" s="18">
        <f>IF(OR($G29="",R29=""),"",IF($O29="",R29,(Q29*R29+Config!$B$4*$O29)/(Q29+Config!$B$4)))</f>
        <v>0.8421428571</v>
      </c>
      <c r="U29" s="11">
        <f>IF(S29="","",(Q29*S29+Config!$B$4*$P29)/(Q29+Config!$B$4))</f>
        <v>0.5105714286</v>
      </c>
      <c r="V29" s="17">
        <f>IF(OR(T29="",$J29=""),"",T29*$J29*($J29/Config!$B$10)^Config!$B$9)</f>
        <v>18.0387</v>
      </c>
      <c r="W29" s="17">
        <f t="shared" si="1"/>
        <v>9.210044829</v>
      </c>
      <c r="X29" s="4">
        <f>IF($H29="",0,SUMIFS(Map_Stats!$F$2:$F$825,Map_Stats!$A$2:$A$825,$F29&amp;"|"&amp;$H29))</f>
        <v>6</v>
      </c>
      <c r="Y29" s="18">
        <f t="array" ref="Y29">IF($H29="","",IFERROR(1/(1/INDEX(Map_Stats!$K$2:$K$825,MATCH($F29&amp;"|"&amp;$H29,Map_Stats!$A$2:$A$825,0))),$O29))</f>
        <v>0.69</v>
      </c>
      <c r="Z29" s="11">
        <f t="array" ref="Z29">IF(OR($H29="",$P29=""),"",IFERROR(1/(1/INDEX(Map_Stats!$I$2:$I$825,MATCH($F29&amp;"|"&amp;$H29,Map_Stats!$A$2:$A$825,0))),$P29))</f>
        <v>0.606</v>
      </c>
      <c r="AA29" s="18">
        <f>IF(OR($H29="",Y29=""),"",IF($O29="",Y29,(X29*Y29+Config!$B$4*$O29)/(X29+Config!$B$4)))</f>
        <v>0.7036363636</v>
      </c>
      <c r="AB29" s="11">
        <f>IF(Z29="","",(X29*Z29+Config!$B$4*$P29)/(X29+Config!$B$4))</f>
        <v>0.5737272727</v>
      </c>
      <c r="AC29" s="17">
        <f>IF(OR(AA29="",$K29=""),"",AA29*$K29*($K29/Config!$B$10)^Config!$B$9)</f>
        <v>14.99449091</v>
      </c>
      <c r="AD29" s="17">
        <f t="shared" si="2"/>
        <v>8.602748375</v>
      </c>
      <c r="AE29" s="4">
        <f>IF($I29="",0,SUMIFS(Map_Stats!$F$2:$F$825,Map_Stats!$A$2:$A$825,$F29&amp;"|"&amp;$I29))</f>
        <v>4</v>
      </c>
      <c r="AF29" s="18">
        <f t="array" ref="AF29">IF($I29="","",IFERROR(1/(1/INDEX(Map_Stats!$K$2:$K$825,MATCH($F29&amp;"|"&amp;$I29,Map_Stats!$A$2:$A$825,0))),$O29))</f>
        <v>0.74</v>
      </c>
      <c r="AG29" s="11">
        <f t="array" ref="AG29">IF(OR($I29="",$P29=""),"",IFERROR(1/(1/INDEX(Map_Stats!$I$2:$I$825,MATCH($F29&amp;"|"&amp;$I29,Map_Stats!$A$2:$A$825,0))),$P29))</f>
        <v>0.59</v>
      </c>
      <c r="AH29" s="18">
        <f>IF(OR($I29="",AF29=""),"",IF($O29="",AF29,(AE29*AF29+Config!$B$4*$O29)/(AE29+Config!$B$4)))</f>
        <v>0.7288888889</v>
      </c>
      <c r="AI29" s="11">
        <f>IF(AG29="","",(AE29*AG29+Config!$B$4*$P29)/(AE29+Config!$B$4))</f>
        <v>0.5594444444</v>
      </c>
      <c r="AJ29" s="17">
        <f>IF(OR(AH29="",$L29=""),"",AH29*$L29*($L29/Config!$B$10)^Config!$B$9)</f>
        <v>15.6128</v>
      </c>
      <c r="AK29" s="17">
        <f t="shared" si="3"/>
        <v>8.734494222</v>
      </c>
      <c r="AL29" s="17">
        <f t="shared" si="4"/>
        <v>33.03319091</v>
      </c>
      <c r="AM29" s="17">
        <f t="shared" si="5"/>
        <v>40.39306483</v>
      </c>
      <c r="AN29" s="17">
        <f t="shared" si="6"/>
        <v>17.8127932</v>
      </c>
      <c r="AO29" s="17">
        <f t="shared" si="7"/>
        <v>21.93023378</v>
      </c>
      <c r="AP29" s="11">
        <f t="shared" si="8"/>
        <v>0.5392392534</v>
      </c>
      <c r="AQ29" s="4" t="str">
        <f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4" t="str">
        <f>IF($C29=Board!$B$2,COUNTIFS($C$2:$C$157,Board!$B$2,$AL$2:$AL$157,"&gt;"&amp;$AL29)+COUNTIFS($C$1:$C28,Board!$B$2,$AL$1:$AL28,$AL29)+1,"")</f>
        <v/>
      </c>
      <c r="AS29" s="4" t="str">
        <f t="array" ref="AS29">IFERROR(IF($D29=INDEX(Matches!$AD$5:$AD$22,MATCH($C29,Matches!$A$5:$A$22,0)),"A",IF($D29=INDEX(Matches!$AE$5:$AE$22,MATCH($C29,Matches!$A$5:$A$22,0)),"B","")),"")</f>
        <v>A</v>
      </c>
      <c r="AT29" s="11">
        <f t="array" ref="AT29">IF($AS29="","",IFERROR(IF($AS29="A",INDEX(Matches!$AI$5:$AI$22,MATCH($C29,Matches!$A$5:$A$22,0)),INDEX(Matches!$AJ$5:$AJ$22,MATCH($C29,Matches!$A$5:$A$22,0))),""))</f>
        <v>0.4872805577</v>
      </c>
      <c r="AU29" s="11">
        <f t="array" ref="AU29">IF($AS29="","",IFERROR(IF(INDEX(Matches!$AP$5:$AP$22,MATCH($C29,Matches!$A$5:$A$22,0))="","",IF($AS29="A",INDEX(Matches!$AP$5:$AP$22,MATCH($C29,Matches!$A$5:$A$22,0)),1-INDEX(Matches!$AP$5:$AP$22,MATCH($C29,Matches!$A$5:$A$22,0)))),""))</f>
        <v>0.4968900386</v>
      </c>
      <c r="AV29" s="18">
        <f>IF(OR($AU29="",$AT29=""),1,((Config!$B$14*$AU29+Config!$B$15*(1-$AU29))/(Config!$B$14*$AT29+Config!$B$15*(1-$AT29)))^Config!$B$13)</f>
        <v>1.008685923</v>
      </c>
      <c r="AW29" s="11">
        <f t="array" ref="AW29">IF($AS29="","",IFERROR(IF(INDEX(Matches!$AV$5:$AV$22,MATCH($C29,Matches!$A$5:$A$22,0))="","",IF($AS29="A",INDEX(Matches!$AV$5:$AV$22,MATCH($C29,Matches!$A$5:$A$22,0)),1-INDEX(Matches!$AV$5:$AV$22,MATCH($C29,Matches!$A$5:$A$22,0)))),""))</f>
        <v>0.4438359033</v>
      </c>
      <c r="AX29" s="18">
        <f>IF(OR($AW29="",$AT29=""),1,((Config!$B$14*$AW29+Config!$B$15*(1-$AW29))/(Config!$B$14*$AT29+Config!$B$15*(1-$AT29)))^Config!$B$13)</f>
        <v>0.9607307711</v>
      </c>
      <c r="AY29" s="11">
        <f t="array" ref="AY29">IF($AS29="","",IFERROR(IF(INDEX(Matches!$BB$5:$BB$22,MATCH($C29,Matches!$A$5:$A$22,0))="","",IF($AS29="A",INDEX(Matches!$BB$5:$BB$22,MATCH($C29,Matches!$A$5:$A$22,0)),1-INDEX(Matches!$BB$5:$BB$22,MATCH($C29,Matches!$A$5:$A$22,0)))),""))</f>
        <v>0.4297798491</v>
      </c>
      <c r="AZ29" s="18">
        <f>IF(OR($AY29="",$AT29=""),1,((Config!$B$14*$AY29+Config!$B$15*(1-$AY29))/(Config!$B$14*$AT29+Config!$B$15*(1-$AT29)))^Config!$B$13)</f>
        <v>0.9480256312</v>
      </c>
      <c r="BA29" s="17">
        <f t="shared" si="9"/>
        <v>18.19538275</v>
      </c>
      <c r="BB29" s="17">
        <f t="shared" si="10"/>
        <v>14.40566881</v>
      </c>
      <c r="BC29" s="17">
        <f t="shared" si="11"/>
        <v>14.80133458</v>
      </c>
      <c r="BD29" s="17">
        <f t="shared" si="12"/>
        <v>32.60105157</v>
      </c>
      <c r="BE29" s="17">
        <f t="shared" si="13"/>
        <v>39.57840068</v>
      </c>
      <c r="BF29" s="17">
        <f t="shared" si="14"/>
        <v>9.290042565</v>
      </c>
      <c r="BG29" s="17">
        <f t="shared" si="15"/>
        <v>8.26492508</v>
      </c>
      <c r="BH29" s="17">
        <f t="shared" si="16"/>
        <v>8.280524399</v>
      </c>
      <c r="BI29" s="17">
        <f t="shared" si="17"/>
        <v>17.55496765</v>
      </c>
      <c r="BJ29" s="17">
        <f t="shared" si="18"/>
        <v>21.45840685</v>
      </c>
      <c r="BK29" s="18">
        <f t="shared" si="19"/>
        <v>0.986918026</v>
      </c>
    </row>
    <row r="30" ht="15.75" customHeight="1">
      <c r="A30" s="4" t="s">
        <v>3147</v>
      </c>
      <c r="B30" s="4" t="s">
        <v>86</v>
      </c>
      <c r="C30" s="4" t="s">
        <v>1709</v>
      </c>
      <c r="D30" s="4" t="s">
        <v>1297</v>
      </c>
      <c r="E30" s="4" t="s">
        <v>1307</v>
      </c>
      <c r="F30" s="4" t="s">
        <v>1306</v>
      </c>
      <c r="G30" s="4" t="str">
        <f t="array" ref="G30">IFERROR(IF(INDEX(Matches!$W$5:$W$22,MATCH($C30,Matches!$A$5:$A$22,0))="","",INDEX(Matches!$W$5:$W$22,MATCH($C30,Matches!$A$5:$A$22,0))),"")</f>
        <v>Mirage</v>
      </c>
      <c r="H30" s="4" t="str">
        <f t="array" ref="H30">IFERROR(IF(INDEX(Matches!$X$5:$X$22,MATCH($C30,Matches!$A$5:$A$22,0))="","",INDEX(Matches!$X$5:$X$22,MATCH($C30,Matches!$A$5:$A$22,0))),"")</f>
        <v>Ancient</v>
      </c>
      <c r="I30" s="4" t="str">
        <f t="array" ref="I30">IFERROR(IF(INDEX(Matches!$Y$5:$Y$22,MATCH($C30,Matches!$A$5:$A$22,0))="","",INDEX(Matches!$Y$5:$Y$22,MATCH($C30,Matches!$A$5:$A$22,0))),"")</f>
        <v>Nuke</v>
      </c>
      <c r="J30" s="4">
        <f t="array" ref="J30">IFERROR(IF(INDEX(Matches!$Z$5:$Z$22,MATCH($C30,Matches!$A$5:$A$22,0))="","",INDEX(Matches!$Z$5:$Z$22,MATCH($C30,Matches!$A$5:$A$22,0))),"")</f>
        <v>21.42</v>
      </c>
      <c r="K30" s="4">
        <f t="array" ref="K30">IFERROR(IF(INDEX(Matches!$AA$5:$AA$22,MATCH($C30,Matches!$A$5:$A$22,0))="","",INDEX(Matches!$AA$5:$AA$22,MATCH($C30,Matches!$A$5:$A$22,0))),"")</f>
        <v>21.31</v>
      </c>
      <c r="L30" s="4">
        <f t="array" ref="L30">IFERROR(IF(INDEX(Matches!$AB$5:$AB$22,MATCH($C30,Matches!$A$5:$A$22,0))="","",INDEX(Matches!$AB$5:$AB$22,MATCH($C30,Matches!$A$5:$A$22,0))),"")</f>
        <v>21.42</v>
      </c>
      <c r="M30" s="11">
        <f t="array" ref="M30">IFERROR(IF(INDEX(Matches!$AC$5:$AC$22,MATCH($C30,Matches!$A$5:$A$22,0))="","",INDEX(Matches!$AC$5:$AC$22,MATCH($C30,Matches!$A$5:$A$22,0))),"")</f>
        <v>0.4714</v>
      </c>
      <c r="N30" s="4">
        <f t="array" ref="N30">IFERROR(INDEX(Players!$F$2:$F$127,MATCH($F30,Players!$A$2:$A$127,0)),0)</f>
        <v>33</v>
      </c>
      <c r="O30" s="18">
        <f t="array" ref="O30">IFERROR(1/(1/INDEX(Players!$H$2:$H$127,MATCH($F30,Players!$A$2:$A$127,0))),"")</f>
        <v>0.63</v>
      </c>
      <c r="P30" s="11">
        <f t="array" ref="P30">IFERROR(1/(1/INDEX(Players!$I$2:$I$127,MATCH($F30,Players!$A$2:$A$127,0))),"")</f>
        <v>0.576</v>
      </c>
      <c r="Q30" s="4">
        <f>IF($G30="",0,SUMIFS(Map_Stats!$F$2:$F$825,Map_Stats!$A$2:$A$825,$F30&amp;"|"&amp;$G30))</f>
        <v>9</v>
      </c>
      <c r="R30" s="18">
        <f t="array" ref="R30">IF($G30="","",IFERROR(1/(1/INDEX(Map_Stats!$K$2:$K$825,MATCH($F30&amp;"|"&amp;$G30,Map_Stats!$A$2:$A$825,0))),$O30))</f>
        <v>0.57</v>
      </c>
      <c r="S30" s="11">
        <f t="array" ref="S30">IF(OR($G30="",$P30=""),"",IFERROR(1/(1/INDEX(Map_Stats!$I$2:$I$825,MATCH($F30&amp;"|"&amp;$G30,Map_Stats!$A$2:$A$825,0))),$P30))</f>
        <v>0.621</v>
      </c>
      <c r="T30" s="18">
        <f>IF(OR($G30="",R30=""),"",IF($O30="",R30,(Q30*R30+Config!$B$4*$O30)/(Q30+Config!$B$4)))</f>
        <v>0.5914285714</v>
      </c>
      <c r="U30" s="11">
        <f>IF(S30="","",(Q30*S30+Config!$B$4*$P30)/(Q30+Config!$B$4))</f>
        <v>0.6049285714</v>
      </c>
      <c r="V30" s="17">
        <f>IF(OR(T30="",$J30=""),"",T30*$J30*($J30/Config!$B$10)^Config!$B$9)</f>
        <v>12.6684</v>
      </c>
      <c r="W30" s="17">
        <f t="shared" si="1"/>
        <v>7.663477114</v>
      </c>
      <c r="X30" s="4">
        <f>IF($H30="",0,SUMIFS(Map_Stats!$F$2:$F$825,Map_Stats!$A$2:$A$825,$F30&amp;"|"&amp;$H30))</f>
        <v>6</v>
      </c>
      <c r="Y30" s="18">
        <f t="array" ref="Y30">IF($H30="","",IFERROR(1/(1/INDEX(Map_Stats!$K$2:$K$825,MATCH($F30&amp;"|"&amp;$H30,Map_Stats!$A$2:$A$825,0))),$O30))</f>
        <v>0.63</v>
      </c>
      <c r="Z30" s="11">
        <f t="array" ref="Z30">IF(OR($H30="",$P30=""),"",IFERROR(1/(1/INDEX(Map_Stats!$I$2:$I$825,MATCH($F30&amp;"|"&amp;$H30,Map_Stats!$A$2:$A$825,0))),$P30))</f>
        <v>0.495</v>
      </c>
      <c r="AA30" s="18">
        <f>IF(OR($H30="",Y30=""),"",IF($O30="",Y30,(X30*Y30+Config!$B$4*$O30)/(X30+Config!$B$4)))</f>
        <v>0.63</v>
      </c>
      <c r="AB30" s="11">
        <f>IF(Z30="","",(X30*Z30+Config!$B$4*$P30)/(X30+Config!$B$4))</f>
        <v>0.5318181818</v>
      </c>
      <c r="AC30" s="17">
        <f>IF(OR(AA30="",$K30=""),"",AA30*$K30*($K30/Config!$B$10)^Config!$B$9)</f>
        <v>13.4253</v>
      </c>
      <c r="AD30" s="17">
        <f t="shared" si="2"/>
        <v>7.139818636</v>
      </c>
      <c r="AE30" s="4">
        <f>IF($I30="",0,SUMIFS(Map_Stats!$F$2:$F$825,Map_Stats!$A$2:$A$825,$F30&amp;"|"&amp;$I30))</f>
        <v>4</v>
      </c>
      <c r="AF30" s="18">
        <f t="array" ref="AF30">IF($I30="","",IFERROR(1/(1/INDEX(Map_Stats!$K$2:$K$825,MATCH($F30&amp;"|"&amp;$I30,Map_Stats!$A$2:$A$825,0))),$O30))</f>
        <v>0.66</v>
      </c>
      <c r="AG30" s="11">
        <f t="array" ref="AG30">IF(OR($I30="",$P30=""),"",IFERROR(1/(1/INDEX(Map_Stats!$I$2:$I$825,MATCH($F30&amp;"|"&amp;$I30,Map_Stats!$A$2:$A$825,0))),$P30))</f>
        <v>0.463</v>
      </c>
      <c r="AH30" s="18">
        <f>IF(OR($I30="",AF30=""),"",IF($O30="",AF30,(AE30*AF30+Config!$B$4*$O30)/(AE30+Config!$B$4)))</f>
        <v>0.6433333333</v>
      </c>
      <c r="AI30" s="11">
        <f>IF(AG30="","",(AE30*AG30+Config!$B$4*$P30)/(AE30+Config!$B$4))</f>
        <v>0.5257777778</v>
      </c>
      <c r="AJ30" s="17">
        <f>IF(OR(AH30="",$L30=""),"",AH30*$L30*($L30/Config!$B$10)^Config!$B$9)</f>
        <v>13.7802</v>
      </c>
      <c r="AK30" s="17">
        <f t="shared" si="3"/>
        <v>7.245322933</v>
      </c>
      <c r="AL30" s="17">
        <f t="shared" si="4"/>
        <v>26.0937</v>
      </c>
      <c r="AM30" s="17">
        <f t="shared" si="5"/>
        <v>32.58968628</v>
      </c>
      <c r="AN30" s="17">
        <f t="shared" si="6"/>
        <v>14.80329575</v>
      </c>
      <c r="AO30" s="17">
        <f t="shared" si="7"/>
        <v>18.21874098</v>
      </c>
      <c r="AP30" s="11">
        <f t="shared" si="8"/>
        <v>0.56731302</v>
      </c>
      <c r="AQ30" s="4" t="str">
        <f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4" t="str">
        <f>IF($C30=Board!$B$2,COUNTIFS($C$2:$C$157,Board!$B$2,$AL$2:$AL$157,"&gt;"&amp;$AL30)+COUNTIFS($C$1:$C29,Board!$B$2,$AL$1:$AL29,$AL30)+1,"")</f>
        <v/>
      </c>
      <c r="AS30" s="4" t="str">
        <f t="array" ref="AS30">IFERROR(IF($D30=INDEX(Matches!$AD$5:$AD$22,MATCH($C30,Matches!$A$5:$A$22,0)),"A",IF($D30=INDEX(Matches!$AE$5:$AE$22,MATCH($C30,Matches!$A$5:$A$22,0)),"B","")),"")</f>
        <v>A</v>
      </c>
      <c r="AT30" s="11">
        <f t="array" ref="AT30">IF($AS30="","",IFERROR(IF($AS30="A",INDEX(Matches!$AI$5:$AI$22,MATCH($C30,Matches!$A$5:$A$22,0)),INDEX(Matches!$AJ$5:$AJ$22,MATCH($C30,Matches!$A$5:$A$22,0))),""))</f>
        <v>0.4872805577</v>
      </c>
      <c r="AU30" s="11">
        <f t="array" ref="AU30">IF($AS30="","",IFERROR(IF(INDEX(Matches!$AP$5:$AP$22,MATCH($C30,Matches!$A$5:$A$22,0))="","",IF($AS30="A",INDEX(Matches!$AP$5:$AP$22,MATCH($C30,Matches!$A$5:$A$22,0)),1-INDEX(Matches!$AP$5:$AP$22,MATCH($C30,Matches!$A$5:$A$22,0)))),""))</f>
        <v>0.4968900386</v>
      </c>
      <c r="AV30" s="18">
        <f>IF(OR($AU30="",$AT30=""),1,((Config!$B$14*$AU30+Config!$B$15*(1-$AU30))/(Config!$B$14*$AT30+Config!$B$15*(1-$AT30)))^Config!$B$13)</f>
        <v>1.008685923</v>
      </c>
      <c r="AW30" s="11">
        <f t="array" ref="AW30">IF($AS30="","",IFERROR(IF(INDEX(Matches!$AV$5:$AV$22,MATCH($C30,Matches!$A$5:$A$22,0))="","",IF($AS30="A",INDEX(Matches!$AV$5:$AV$22,MATCH($C30,Matches!$A$5:$A$22,0)),1-INDEX(Matches!$AV$5:$AV$22,MATCH($C30,Matches!$A$5:$A$22,0)))),""))</f>
        <v>0.4438359033</v>
      </c>
      <c r="AX30" s="18">
        <f>IF(OR($AW30="",$AT30=""),1,((Config!$B$14*$AW30+Config!$B$15*(1-$AW30))/(Config!$B$14*$AT30+Config!$B$15*(1-$AT30)))^Config!$B$13)</f>
        <v>0.9607307711</v>
      </c>
      <c r="AY30" s="11">
        <f t="array" ref="AY30">IF($AS30="","",IFERROR(IF(INDEX(Matches!$BB$5:$BB$22,MATCH($C30,Matches!$A$5:$A$22,0))="","",IF($AS30="A",INDEX(Matches!$BB$5:$BB$22,MATCH($C30,Matches!$A$5:$A$22,0)),1-INDEX(Matches!$BB$5:$BB$22,MATCH($C30,Matches!$A$5:$A$22,0)))),""))</f>
        <v>0.4297798491</v>
      </c>
      <c r="AZ30" s="18">
        <f>IF(OR($AY30="",$AT30=""),1,((Config!$B$14*$AY30+Config!$B$15*(1-$AY30))/(Config!$B$14*$AT30+Config!$B$15*(1-$AT30)))^Config!$B$13)</f>
        <v>0.9480256312</v>
      </c>
      <c r="BA30" s="17">
        <f t="shared" si="9"/>
        <v>12.77843674</v>
      </c>
      <c r="BB30" s="17">
        <f t="shared" si="10"/>
        <v>12.89809882</v>
      </c>
      <c r="BC30" s="17">
        <f t="shared" si="11"/>
        <v>13.0639828</v>
      </c>
      <c r="BD30" s="17">
        <f t="shared" si="12"/>
        <v>25.67653556</v>
      </c>
      <c r="BE30" s="17">
        <f t="shared" si="13"/>
        <v>31.83489706</v>
      </c>
      <c r="BF30" s="17">
        <f t="shared" si="14"/>
        <v>7.730041483</v>
      </c>
      <c r="BG30" s="17">
        <f t="shared" si="15"/>
        <v>6.859443464</v>
      </c>
      <c r="BH30" s="17">
        <f t="shared" si="16"/>
        <v>6.868751847</v>
      </c>
      <c r="BI30" s="17">
        <f t="shared" si="17"/>
        <v>14.58948495</v>
      </c>
      <c r="BJ30" s="17">
        <f t="shared" si="18"/>
        <v>17.82741457</v>
      </c>
      <c r="BK30" s="18">
        <f t="shared" si="19"/>
        <v>0.9840128293</v>
      </c>
    </row>
    <row r="31" ht="15.75" customHeight="1">
      <c r="A31" s="4" t="s">
        <v>3148</v>
      </c>
      <c r="B31" s="4" t="s">
        <v>86</v>
      </c>
      <c r="C31" s="4" t="s">
        <v>1709</v>
      </c>
      <c r="D31" s="4" t="s">
        <v>1297</v>
      </c>
      <c r="E31" s="4" t="s">
        <v>1310</v>
      </c>
      <c r="F31" s="4" t="s">
        <v>1309</v>
      </c>
      <c r="G31" s="4" t="str">
        <f t="array" ref="G31">IFERROR(IF(INDEX(Matches!$W$5:$W$22,MATCH($C31,Matches!$A$5:$A$22,0))="","",INDEX(Matches!$W$5:$W$22,MATCH($C31,Matches!$A$5:$A$22,0))),"")</f>
        <v>Mirage</v>
      </c>
      <c r="H31" s="4" t="str">
        <f t="array" ref="H31">IFERROR(IF(INDEX(Matches!$X$5:$X$22,MATCH($C31,Matches!$A$5:$A$22,0))="","",INDEX(Matches!$X$5:$X$22,MATCH($C31,Matches!$A$5:$A$22,0))),"")</f>
        <v>Ancient</v>
      </c>
      <c r="I31" s="4" t="str">
        <f t="array" ref="I31">IFERROR(IF(INDEX(Matches!$Y$5:$Y$22,MATCH($C31,Matches!$A$5:$A$22,0))="","",INDEX(Matches!$Y$5:$Y$22,MATCH($C31,Matches!$A$5:$A$22,0))),"")</f>
        <v>Nuke</v>
      </c>
      <c r="J31" s="4">
        <f t="array" ref="J31">IFERROR(IF(INDEX(Matches!$Z$5:$Z$22,MATCH($C31,Matches!$A$5:$A$22,0))="","",INDEX(Matches!$Z$5:$Z$22,MATCH($C31,Matches!$A$5:$A$22,0))),"")</f>
        <v>21.42</v>
      </c>
      <c r="K31" s="4">
        <f t="array" ref="K31">IFERROR(IF(INDEX(Matches!$AA$5:$AA$22,MATCH($C31,Matches!$A$5:$A$22,0))="","",INDEX(Matches!$AA$5:$AA$22,MATCH($C31,Matches!$A$5:$A$22,0))),"")</f>
        <v>21.31</v>
      </c>
      <c r="L31" s="4">
        <f t="array" ref="L31">IFERROR(IF(INDEX(Matches!$AB$5:$AB$22,MATCH($C31,Matches!$A$5:$A$22,0))="","",INDEX(Matches!$AB$5:$AB$22,MATCH($C31,Matches!$A$5:$A$22,0))),"")</f>
        <v>21.42</v>
      </c>
      <c r="M31" s="11">
        <f t="array" ref="M31">IFERROR(IF(INDEX(Matches!$AC$5:$AC$22,MATCH($C31,Matches!$A$5:$A$22,0))="","",INDEX(Matches!$AC$5:$AC$22,MATCH($C31,Matches!$A$5:$A$22,0))),"")</f>
        <v>0.4714</v>
      </c>
      <c r="N31" s="4">
        <f t="array" ref="N31">IFERROR(INDEX(Players!$F$2:$F$127,MATCH($F31,Players!$A$2:$A$127,0)),0)</f>
        <v>32</v>
      </c>
      <c r="O31" s="18">
        <f t="array" ref="O31">IFERROR(1/(1/INDEX(Players!$H$2:$H$127,MATCH($F31,Players!$A$2:$A$127,0))),"")</f>
        <v>0.66</v>
      </c>
      <c r="P31" s="11">
        <f t="array" ref="P31">IFERROR(1/(1/INDEX(Players!$I$2:$I$127,MATCH($F31,Players!$A$2:$A$127,0))),"")</f>
        <v>0.34</v>
      </c>
      <c r="Q31" s="4">
        <f>IF($G31="",0,SUMIFS(Map_Stats!$F$2:$F$825,Map_Stats!$A$2:$A$825,$F31&amp;"|"&amp;$G31))</f>
        <v>9</v>
      </c>
      <c r="R31" s="18">
        <f t="array" ref="R31">IF($G31="","",IFERROR(1/(1/INDEX(Map_Stats!$K$2:$K$825,MATCH($F31&amp;"|"&amp;$G31,Map_Stats!$A$2:$A$825,0))),$O31))</f>
        <v>0.71</v>
      </c>
      <c r="S31" s="11">
        <f t="array" ref="S31">IF(OR($G31="",$P31=""),"",IFERROR(1/(1/INDEX(Map_Stats!$I$2:$I$825,MATCH($F31&amp;"|"&amp;$G31,Map_Stats!$A$2:$A$825,0))),$P31))</f>
        <v>0.358</v>
      </c>
      <c r="T31" s="18">
        <f>IF(OR($G31="",R31=""),"",IF($O31="",R31,(Q31*R31+Config!$B$4*$O31)/(Q31+Config!$B$4)))</f>
        <v>0.6921428571</v>
      </c>
      <c r="U31" s="11">
        <f>IF(S31="","",(Q31*S31+Config!$B$4*$P31)/(Q31+Config!$B$4))</f>
        <v>0.3515714286</v>
      </c>
      <c r="V31" s="17">
        <f>IF(OR(T31="",$J31=""),"",T31*$J31*($J31/Config!$B$10)^Config!$B$9)</f>
        <v>14.8257</v>
      </c>
      <c r="W31" s="17">
        <f t="shared" si="1"/>
        <v>5.212292529</v>
      </c>
      <c r="X31" s="4">
        <f>IF($H31="",0,SUMIFS(Map_Stats!$F$2:$F$825,Map_Stats!$A$2:$A$825,$F31&amp;"|"&amp;$H31))</f>
        <v>6</v>
      </c>
      <c r="Y31" s="18">
        <f t="array" ref="Y31">IF($H31="","",IFERROR(1/(1/INDEX(Map_Stats!$K$2:$K$825,MATCH($F31&amp;"|"&amp;$H31,Map_Stats!$A$2:$A$825,0))),$O31))</f>
        <v>0.57</v>
      </c>
      <c r="Z31" s="11">
        <f t="array" ref="Z31">IF(OR($H31="",$P31=""),"",IFERROR(1/(1/INDEX(Map_Stats!$I$2:$I$825,MATCH($F31&amp;"|"&amp;$H31,Map_Stats!$A$2:$A$825,0))),$P31))</f>
        <v>0.329</v>
      </c>
      <c r="AA31" s="18">
        <f>IF(OR($H31="",Y31=""),"",IF($O31="",Y31,(X31*Y31+Config!$B$4*$O31)/(X31+Config!$B$4)))</f>
        <v>0.6109090909</v>
      </c>
      <c r="AB31" s="11">
        <f>IF(Z31="","",(X31*Z31+Config!$B$4*$P31)/(X31+Config!$B$4))</f>
        <v>0.334</v>
      </c>
      <c r="AC31" s="17">
        <f>IF(OR(AA31="",$K31=""),"",AA31*$K31*($K31/Config!$B$10)^Config!$B$9)</f>
        <v>13.01847273</v>
      </c>
      <c r="AD31" s="17">
        <f t="shared" si="2"/>
        <v>4.348169891</v>
      </c>
      <c r="AE31" s="4">
        <f>IF($I31="",0,SUMIFS(Map_Stats!$F$2:$F$825,Map_Stats!$A$2:$A$825,$F31&amp;"|"&amp;$I31))</f>
        <v>4</v>
      </c>
      <c r="AF31" s="18">
        <f t="array" ref="AF31">IF($I31="","",IFERROR(1/(1/INDEX(Map_Stats!$K$2:$K$825,MATCH($F31&amp;"|"&amp;$I31,Map_Stats!$A$2:$A$825,0))),$O31))</f>
        <v>0.65</v>
      </c>
      <c r="AG31" s="11">
        <f t="array" ref="AG31">IF(OR($I31="",$P31=""),"",IFERROR(1/(1/INDEX(Map_Stats!$I$2:$I$825,MATCH($F31&amp;"|"&amp;$I31,Map_Stats!$A$2:$A$825,0))),$P31))</f>
        <v>0.358</v>
      </c>
      <c r="AH31" s="18">
        <f>IF(OR($I31="",AF31=""),"",IF($O31="",AF31,(AE31*AF31+Config!$B$4*$O31)/(AE31+Config!$B$4)))</f>
        <v>0.6555555556</v>
      </c>
      <c r="AI31" s="11">
        <f>IF(AG31="","",(AE31*AG31+Config!$B$4*$P31)/(AE31+Config!$B$4))</f>
        <v>0.348</v>
      </c>
      <c r="AJ31" s="17">
        <f>IF(OR(AH31="",$L31=""),"",AH31*$L31*($L31/Config!$B$10)^Config!$B$9)</f>
        <v>14.042</v>
      </c>
      <c r="AK31" s="17">
        <f t="shared" si="3"/>
        <v>4.886616</v>
      </c>
      <c r="AL31" s="17">
        <f t="shared" si="4"/>
        <v>27.84417273</v>
      </c>
      <c r="AM31" s="17">
        <f t="shared" si="5"/>
        <v>34.46357153</v>
      </c>
      <c r="AN31" s="17">
        <f t="shared" si="6"/>
        <v>9.560462419</v>
      </c>
      <c r="AO31" s="17">
        <f t="shared" si="7"/>
        <v>11.8640132</v>
      </c>
      <c r="AP31" s="11">
        <f t="shared" si="8"/>
        <v>0.3433559515</v>
      </c>
      <c r="AQ31" s="4" t="str">
        <f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4" t="str">
        <f>IF($C31=Board!$B$2,COUNTIFS($C$2:$C$157,Board!$B$2,$AL$2:$AL$157,"&gt;"&amp;$AL31)+COUNTIFS($C$1:$C30,Board!$B$2,$AL$1:$AL30,$AL31)+1,"")</f>
        <v/>
      </c>
      <c r="AS31" s="4" t="str">
        <f t="array" ref="AS31">IFERROR(IF($D31=INDEX(Matches!$AD$5:$AD$22,MATCH($C31,Matches!$A$5:$A$22,0)),"A",IF($D31=INDEX(Matches!$AE$5:$AE$22,MATCH($C31,Matches!$A$5:$A$22,0)),"B","")),"")</f>
        <v>A</v>
      </c>
      <c r="AT31" s="11">
        <f t="array" ref="AT31">IF($AS31="","",IFERROR(IF($AS31="A",INDEX(Matches!$AI$5:$AI$22,MATCH($C31,Matches!$A$5:$A$22,0)),INDEX(Matches!$AJ$5:$AJ$22,MATCH($C31,Matches!$A$5:$A$22,0))),""))</f>
        <v>0.4872805577</v>
      </c>
      <c r="AU31" s="11">
        <f t="array" ref="AU31">IF($AS31="","",IFERROR(IF(INDEX(Matches!$AP$5:$AP$22,MATCH($C31,Matches!$A$5:$A$22,0))="","",IF($AS31="A",INDEX(Matches!$AP$5:$AP$22,MATCH($C31,Matches!$A$5:$A$22,0)),1-INDEX(Matches!$AP$5:$AP$22,MATCH($C31,Matches!$A$5:$A$22,0)))),""))</f>
        <v>0.4968900386</v>
      </c>
      <c r="AV31" s="18">
        <f>IF(OR($AU31="",$AT31=""),1,((Config!$B$14*$AU31+Config!$B$15*(1-$AU31))/(Config!$B$14*$AT31+Config!$B$15*(1-$AT31)))^Config!$B$13)</f>
        <v>1.008685923</v>
      </c>
      <c r="AW31" s="11">
        <f t="array" ref="AW31">IF($AS31="","",IFERROR(IF(INDEX(Matches!$AV$5:$AV$22,MATCH($C31,Matches!$A$5:$A$22,0))="","",IF($AS31="A",INDEX(Matches!$AV$5:$AV$22,MATCH($C31,Matches!$A$5:$A$22,0)),1-INDEX(Matches!$AV$5:$AV$22,MATCH($C31,Matches!$A$5:$A$22,0)))),""))</f>
        <v>0.4438359033</v>
      </c>
      <c r="AX31" s="18">
        <f>IF(OR($AW31="",$AT31=""),1,((Config!$B$14*$AW31+Config!$B$15*(1-$AW31))/(Config!$B$14*$AT31+Config!$B$15*(1-$AT31)))^Config!$B$13)</f>
        <v>0.9607307711</v>
      </c>
      <c r="AY31" s="11">
        <f t="array" ref="AY31">IF($AS31="","",IFERROR(IF(INDEX(Matches!$BB$5:$BB$22,MATCH($C31,Matches!$A$5:$A$22,0))="","",IF($AS31="A",INDEX(Matches!$BB$5:$BB$22,MATCH($C31,Matches!$A$5:$A$22,0)),1-INDEX(Matches!$BB$5:$BB$22,MATCH($C31,Matches!$A$5:$A$22,0)))),""))</f>
        <v>0.4297798491</v>
      </c>
      <c r="AZ31" s="18">
        <f>IF(OR($AY31="",$AT31=""),1,((Config!$B$14*$AY31+Config!$B$15*(1-$AY31))/(Config!$B$14*$AT31+Config!$B$15*(1-$AT31)))^Config!$B$13)</f>
        <v>0.9480256312</v>
      </c>
      <c r="BA31" s="17">
        <f t="shared" si="9"/>
        <v>14.95447488</v>
      </c>
      <c r="BB31" s="17">
        <f t="shared" si="10"/>
        <v>12.50724734</v>
      </c>
      <c r="BC31" s="17">
        <f t="shared" si="11"/>
        <v>13.31217591</v>
      </c>
      <c r="BD31" s="17">
        <f t="shared" si="12"/>
        <v>27.46172222</v>
      </c>
      <c r="BE31" s="17">
        <f t="shared" si="13"/>
        <v>33.73708195</v>
      </c>
      <c r="BF31" s="17">
        <f t="shared" si="14"/>
        <v>5.257566098</v>
      </c>
      <c r="BG31" s="17">
        <f t="shared" si="15"/>
        <v>4.177420612</v>
      </c>
      <c r="BH31" s="17">
        <f t="shared" si="16"/>
        <v>4.632637218</v>
      </c>
      <c r="BI31" s="17">
        <f t="shared" si="17"/>
        <v>9.43498671</v>
      </c>
      <c r="BJ31" s="17">
        <f t="shared" si="18"/>
        <v>11.61881189</v>
      </c>
      <c r="BK31" s="18">
        <f t="shared" si="19"/>
        <v>0.9862646125</v>
      </c>
    </row>
    <row r="32" ht="15.75" customHeight="1">
      <c r="A32" s="4" t="s">
        <v>3149</v>
      </c>
      <c r="B32" s="4" t="s">
        <v>86</v>
      </c>
      <c r="C32" s="4" t="s">
        <v>1709</v>
      </c>
      <c r="D32" s="4" t="s">
        <v>1438</v>
      </c>
      <c r="E32" s="4" t="s">
        <v>1437</v>
      </c>
      <c r="F32" s="4" t="s">
        <v>1436</v>
      </c>
      <c r="G32" s="4" t="str">
        <f t="array" ref="G32">IFERROR(IF(INDEX(Matches!$W$5:$W$22,MATCH($C32,Matches!$A$5:$A$22,0))="","",INDEX(Matches!$W$5:$W$22,MATCH($C32,Matches!$A$5:$A$22,0))),"")</f>
        <v>Mirage</v>
      </c>
      <c r="H32" s="4" t="str">
        <f t="array" ref="H32">IFERROR(IF(INDEX(Matches!$X$5:$X$22,MATCH($C32,Matches!$A$5:$A$22,0))="","",INDEX(Matches!$X$5:$X$22,MATCH($C32,Matches!$A$5:$A$22,0))),"")</f>
        <v>Ancient</v>
      </c>
      <c r="I32" s="4" t="str">
        <f t="array" ref="I32">IFERROR(IF(INDEX(Matches!$Y$5:$Y$22,MATCH($C32,Matches!$A$5:$A$22,0))="","",INDEX(Matches!$Y$5:$Y$22,MATCH($C32,Matches!$A$5:$A$22,0))),"")</f>
        <v>Nuke</v>
      </c>
      <c r="J32" s="4">
        <f t="array" ref="J32">IFERROR(IF(INDEX(Matches!$Z$5:$Z$22,MATCH($C32,Matches!$A$5:$A$22,0))="","",INDEX(Matches!$Z$5:$Z$22,MATCH($C32,Matches!$A$5:$A$22,0))),"")</f>
        <v>21.42</v>
      </c>
      <c r="K32" s="4">
        <f t="array" ref="K32">IFERROR(IF(INDEX(Matches!$AA$5:$AA$22,MATCH($C32,Matches!$A$5:$A$22,0))="","",INDEX(Matches!$AA$5:$AA$22,MATCH($C32,Matches!$A$5:$A$22,0))),"")</f>
        <v>21.31</v>
      </c>
      <c r="L32" s="4">
        <f t="array" ref="L32">IFERROR(IF(INDEX(Matches!$AB$5:$AB$22,MATCH($C32,Matches!$A$5:$A$22,0))="","",INDEX(Matches!$AB$5:$AB$22,MATCH($C32,Matches!$A$5:$A$22,0))),"")</f>
        <v>21.42</v>
      </c>
      <c r="M32" s="11">
        <f t="array" ref="M32">IFERROR(IF(INDEX(Matches!$AC$5:$AC$22,MATCH($C32,Matches!$A$5:$A$22,0))="","",INDEX(Matches!$AC$5:$AC$22,MATCH($C32,Matches!$A$5:$A$22,0))),"")</f>
        <v>0.4714</v>
      </c>
      <c r="N32" s="4">
        <f t="array" ref="N32">IFERROR(INDEX(Players!$F$2:$F$127,MATCH($F32,Players!$A$2:$A$127,0)),0)</f>
        <v>37</v>
      </c>
      <c r="O32" s="18">
        <f t="array" ref="O32">IFERROR(1/(1/INDEX(Players!$H$2:$H$127,MATCH($F32,Players!$A$2:$A$127,0))),"")</f>
        <v>0.56</v>
      </c>
      <c r="P32" s="11">
        <f t="array" ref="P32">IFERROR(1/(1/INDEX(Players!$I$2:$I$127,MATCH($F32,Players!$A$2:$A$127,0))),"")</f>
        <v>0.464</v>
      </c>
      <c r="Q32" s="4">
        <f>IF($G32="",0,SUMIFS(Map_Stats!$F$2:$F$825,Map_Stats!$A$2:$A$825,$F32&amp;"|"&amp;$G32))</f>
        <v>8</v>
      </c>
      <c r="R32" s="18">
        <f t="array" ref="R32">IF($G32="","",IFERROR(1/(1/INDEX(Map_Stats!$K$2:$K$825,MATCH($F32&amp;"|"&amp;$G32,Map_Stats!$A$2:$A$825,0))),$O32))</f>
        <v>0.51</v>
      </c>
      <c r="S32" s="11">
        <f t="array" ref="S32">IF(OR($G32="",$P32=""),"",IFERROR(1/(1/INDEX(Map_Stats!$I$2:$I$825,MATCH($F32&amp;"|"&amp;$G32,Map_Stats!$A$2:$A$825,0))),$P32))</f>
        <v>0.457</v>
      </c>
      <c r="T32" s="18">
        <f>IF(OR($G32="",R32=""),"",IF($O32="",R32,(Q32*R32+Config!$B$4*$O32)/(Q32+Config!$B$4)))</f>
        <v>0.5292307692</v>
      </c>
      <c r="U32" s="11">
        <f>IF(S32="","",(Q32*S32+Config!$B$4*$P32)/(Q32+Config!$B$4))</f>
        <v>0.4596923077</v>
      </c>
      <c r="V32" s="17">
        <f>IF(OR(T32="",$J32=""),"",T32*$J32*($J32/Config!$B$10)^Config!$B$9)</f>
        <v>11.33612308</v>
      </c>
      <c r="W32" s="17">
        <f t="shared" si="1"/>
        <v>5.211128578</v>
      </c>
      <c r="X32" s="4">
        <f>IF($H32="",0,SUMIFS(Map_Stats!$F$2:$F$825,Map_Stats!$A$2:$A$825,$F32&amp;"|"&amp;$H32))</f>
        <v>9</v>
      </c>
      <c r="Y32" s="18">
        <f t="array" ref="Y32">IF($H32="","",IFERROR(1/(1/INDEX(Map_Stats!$K$2:$K$825,MATCH($F32&amp;"|"&amp;$H32,Map_Stats!$A$2:$A$825,0))),$O32))</f>
        <v>0.6</v>
      </c>
      <c r="Z32" s="11">
        <f t="array" ref="Z32">IF(OR($H32="",$P32=""),"",IFERROR(1/(1/INDEX(Map_Stats!$I$2:$I$825,MATCH($F32&amp;"|"&amp;$H32,Map_Stats!$A$2:$A$825,0))),$P32))</f>
        <v>0.448</v>
      </c>
      <c r="AA32" s="18">
        <f>IF(OR($H32="",Y32=""),"",IF($O32="",Y32,(X32*Y32+Config!$B$4*$O32)/(X32+Config!$B$4)))</f>
        <v>0.5857142857</v>
      </c>
      <c r="AB32" s="11">
        <f>IF(Z32="","",(X32*Z32+Config!$B$4*$P32)/(X32+Config!$B$4))</f>
        <v>0.4537142857</v>
      </c>
      <c r="AC32" s="17">
        <f>IF(OR(AA32="",$K32=""),"",AA32*$K32*($K32/Config!$B$10)^Config!$B$9)</f>
        <v>12.48157143</v>
      </c>
      <c r="AD32" s="17">
        <f t="shared" si="2"/>
        <v>5.663067265</v>
      </c>
      <c r="AE32" s="4">
        <f>IF($I32="",0,SUMIFS(Map_Stats!$F$2:$F$825,Map_Stats!$A$2:$A$825,$F32&amp;"|"&amp;$I32))</f>
        <v>4</v>
      </c>
      <c r="AF32" s="18">
        <f t="array" ref="AF32">IF($I32="","",IFERROR(1/(1/INDEX(Map_Stats!$K$2:$K$825,MATCH($F32&amp;"|"&amp;$I32,Map_Stats!$A$2:$A$825,0))),$O32))</f>
        <v>0.53</v>
      </c>
      <c r="AG32" s="11">
        <f t="array" ref="AG32">IF(OR($I32="",$P32=""),"",IFERROR(1/(1/INDEX(Map_Stats!$I$2:$I$825,MATCH($F32&amp;"|"&amp;$I32,Map_Stats!$A$2:$A$825,0))),$P32))</f>
        <v>0.462</v>
      </c>
      <c r="AH32" s="18">
        <f>IF(OR($I32="",AF32=""),"",IF($O32="",AF32,(AE32*AF32+Config!$B$4*$O32)/(AE32+Config!$B$4)))</f>
        <v>0.5466666667</v>
      </c>
      <c r="AI32" s="11">
        <f>IF(AG32="","",(AE32*AG32+Config!$B$4*$P32)/(AE32+Config!$B$4))</f>
        <v>0.4631111111</v>
      </c>
      <c r="AJ32" s="17">
        <f>IF(OR(AH32="",$L32=""),"",AH32*$L32*($L32/Config!$B$10)^Config!$B$9)</f>
        <v>11.7096</v>
      </c>
      <c r="AK32" s="17">
        <f t="shared" si="3"/>
        <v>5.422845867</v>
      </c>
      <c r="AL32" s="17">
        <f t="shared" si="4"/>
        <v>23.81769451</v>
      </c>
      <c r="AM32" s="17">
        <f t="shared" si="5"/>
        <v>29.33759995</v>
      </c>
      <c r="AN32" s="17">
        <f t="shared" si="6"/>
        <v>10.87419584</v>
      </c>
      <c r="AO32" s="17">
        <f t="shared" si="7"/>
        <v>13.43052538</v>
      </c>
      <c r="AP32" s="11">
        <f t="shared" si="8"/>
        <v>0.4565595482</v>
      </c>
      <c r="AQ32" s="4" t="str">
        <f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4" t="str">
        <f>IF($C32=Board!$B$2,COUNTIFS($C$2:$C$157,Board!$B$2,$AL$2:$AL$157,"&gt;"&amp;$AL32)+COUNTIFS($C$1:$C31,Board!$B$2,$AL$1:$AL31,$AL32)+1,"")</f>
        <v/>
      </c>
      <c r="AS32" s="4" t="str">
        <f t="array" ref="AS32">IFERROR(IF($D32=INDEX(Matches!$AD$5:$AD$22,MATCH($C32,Matches!$A$5:$A$22,0)),"A",IF($D32=INDEX(Matches!$AE$5:$AE$22,MATCH($C32,Matches!$A$5:$A$22,0)),"B","")),"")</f>
        <v>B</v>
      </c>
      <c r="AT32" s="11">
        <f t="array" ref="AT32">IF($AS32="","",IFERROR(IF($AS32="A",INDEX(Matches!$AI$5:$AI$22,MATCH($C32,Matches!$A$5:$A$22,0)),INDEX(Matches!$AJ$5:$AJ$22,MATCH($C32,Matches!$A$5:$A$22,0))),""))</f>
        <v>0.5024751275</v>
      </c>
      <c r="AU32" s="11">
        <f t="array" ref="AU32">IF($AS32="","",IFERROR(IF(INDEX(Matches!$AP$5:$AP$22,MATCH($C32,Matches!$A$5:$A$22,0))="","",IF($AS32="A",INDEX(Matches!$AP$5:$AP$22,MATCH($C32,Matches!$A$5:$A$22,0)),1-INDEX(Matches!$AP$5:$AP$22,MATCH($C32,Matches!$A$5:$A$22,0)))),""))</f>
        <v>0.5031099614</v>
      </c>
      <c r="AV32" s="18">
        <f>IF(OR($AU32="",$AT32=""),1,((Config!$B$14*$AU32+Config!$B$15*(1-$AU32))/(Config!$B$14*$AT32+Config!$B$15*(1-$AT32)))^Config!$B$13)</f>
        <v>1.000566046</v>
      </c>
      <c r="AW32" s="11">
        <f t="array" ref="AW32">IF($AS32="","",IFERROR(IF(INDEX(Matches!$AV$5:$AV$22,MATCH($C32,Matches!$A$5:$A$22,0))="","",IF($AS32="A",INDEX(Matches!$AV$5:$AV$22,MATCH($C32,Matches!$A$5:$A$22,0)),1-INDEX(Matches!$AV$5:$AV$22,MATCH($C32,Matches!$A$5:$A$22,0)))),""))</f>
        <v>0.5561640967</v>
      </c>
      <c r="AX32" s="18">
        <f>IF(OR($AW32="",$AT32=""),1,((Config!$B$14*$AW32+Config!$B$15*(1-$AW32))/(Config!$B$14*$AT32+Config!$B$15*(1-$AT32)))^Config!$B$13)</f>
        <v>1.047871494</v>
      </c>
      <c r="AY32" s="11">
        <f t="array" ref="AY32">IF($AS32="","",IFERROR(IF(INDEX(Matches!$BB$5:$BB$22,MATCH($C32,Matches!$A$5:$A$22,0))="","",IF($AS32="A",INDEX(Matches!$BB$5:$BB$22,MATCH($C32,Matches!$A$5:$A$22,0)),1-INDEX(Matches!$BB$5:$BB$22,MATCH($C32,Matches!$A$5:$A$22,0)))),""))</f>
        <v>0.5702201509</v>
      </c>
      <c r="AZ32" s="18">
        <f>IF(OR($AY32="",$AT32=""),1,((Config!$B$14*$AY32+Config!$B$15*(1-$AY32))/(Config!$B$14*$AT32+Config!$B$15*(1-$AT32)))^Config!$B$13)</f>
        <v>1.060404502</v>
      </c>
      <c r="BA32" s="17">
        <f t="shared" si="9"/>
        <v>11.34253985</v>
      </c>
      <c r="BB32" s="17">
        <f t="shared" si="10"/>
        <v>13.0790829</v>
      </c>
      <c r="BC32" s="17">
        <f t="shared" si="11"/>
        <v>12.41691256</v>
      </c>
      <c r="BD32" s="17">
        <f t="shared" si="12"/>
        <v>24.42162275</v>
      </c>
      <c r="BE32" s="17">
        <f t="shared" si="13"/>
        <v>30.27495533</v>
      </c>
      <c r="BF32" s="17">
        <f t="shared" si="14"/>
        <v>5.214078318</v>
      </c>
      <c r="BG32" s="17">
        <f t="shared" si="15"/>
        <v>5.934166755</v>
      </c>
      <c r="BH32" s="17">
        <f t="shared" si="16"/>
        <v>5.750410173</v>
      </c>
      <c r="BI32" s="17">
        <f t="shared" si="17"/>
        <v>11.14824507</v>
      </c>
      <c r="BJ32" s="17">
        <f t="shared" si="18"/>
        <v>13.85898843</v>
      </c>
      <c r="BK32" s="18">
        <f t="shared" si="19"/>
        <v>1.025356285</v>
      </c>
    </row>
    <row r="33" ht="15.75" customHeight="1">
      <c r="A33" s="4" t="s">
        <v>3150</v>
      </c>
      <c r="B33" s="4" t="s">
        <v>86</v>
      </c>
      <c r="C33" s="4" t="s">
        <v>1709</v>
      </c>
      <c r="D33" s="4" t="s">
        <v>1438</v>
      </c>
      <c r="E33" s="4" t="s">
        <v>1442</v>
      </c>
      <c r="F33" s="4" t="s">
        <v>1441</v>
      </c>
      <c r="G33" s="4" t="str">
        <f t="array" ref="G33">IFERROR(IF(INDEX(Matches!$W$5:$W$22,MATCH($C33,Matches!$A$5:$A$22,0))="","",INDEX(Matches!$W$5:$W$22,MATCH($C33,Matches!$A$5:$A$22,0))),"")</f>
        <v>Mirage</v>
      </c>
      <c r="H33" s="4" t="str">
        <f t="array" ref="H33">IFERROR(IF(INDEX(Matches!$X$5:$X$22,MATCH($C33,Matches!$A$5:$A$22,0))="","",INDEX(Matches!$X$5:$X$22,MATCH($C33,Matches!$A$5:$A$22,0))),"")</f>
        <v>Ancient</v>
      </c>
      <c r="I33" s="4" t="str">
        <f t="array" ref="I33">IFERROR(IF(INDEX(Matches!$Y$5:$Y$22,MATCH($C33,Matches!$A$5:$A$22,0))="","",INDEX(Matches!$Y$5:$Y$22,MATCH($C33,Matches!$A$5:$A$22,0))),"")</f>
        <v>Nuke</v>
      </c>
      <c r="J33" s="4">
        <f t="array" ref="J33">IFERROR(IF(INDEX(Matches!$Z$5:$Z$22,MATCH($C33,Matches!$A$5:$A$22,0))="","",INDEX(Matches!$Z$5:$Z$22,MATCH($C33,Matches!$A$5:$A$22,0))),"")</f>
        <v>21.42</v>
      </c>
      <c r="K33" s="4">
        <f t="array" ref="K33">IFERROR(IF(INDEX(Matches!$AA$5:$AA$22,MATCH($C33,Matches!$A$5:$A$22,0))="","",INDEX(Matches!$AA$5:$AA$22,MATCH($C33,Matches!$A$5:$A$22,0))),"")</f>
        <v>21.31</v>
      </c>
      <c r="L33" s="4">
        <f t="array" ref="L33">IFERROR(IF(INDEX(Matches!$AB$5:$AB$22,MATCH($C33,Matches!$A$5:$A$22,0))="","",INDEX(Matches!$AB$5:$AB$22,MATCH($C33,Matches!$A$5:$A$22,0))),"")</f>
        <v>21.42</v>
      </c>
      <c r="M33" s="11">
        <f t="array" ref="M33">IFERROR(IF(INDEX(Matches!$AC$5:$AC$22,MATCH($C33,Matches!$A$5:$A$22,0))="","",INDEX(Matches!$AC$5:$AC$22,MATCH($C33,Matches!$A$5:$A$22,0))),"")</f>
        <v>0.4714</v>
      </c>
      <c r="N33" s="4">
        <f t="array" ref="N33">IFERROR(INDEX(Players!$F$2:$F$127,MATCH($F33,Players!$A$2:$A$127,0)),0)</f>
        <v>39</v>
      </c>
      <c r="O33" s="18">
        <f t="array" ref="O33">IFERROR(1/(1/INDEX(Players!$H$2:$H$127,MATCH($F33,Players!$A$2:$A$127,0))),"")</f>
        <v>0.72</v>
      </c>
      <c r="P33" s="11">
        <f t="array" ref="P33">IFERROR(1/(1/INDEX(Players!$I$2:$I$127,MATCH($F33,Players!$A$2:$A$127,0))),"")</f>
        <v>0.461</v>
      </c>
      <c r="Q33" s="4">
        <f>IF($G33="",0,SUMIFS(Map_Stats!$F$2:$F$825,Map_Stats!$A$2:$A$825,$F33&amp;"|"&amp;$G33))</f>
        <v>9</v>
      </c>
      <c r="R33" s="18">
        <f t="array" ref="R33">IF($G33="","",IFERROR(1/(1/INDEX(Map_Stats!$K$2:$K$825,MATCH($F33&amp;"|"&amp;$G33,Map_Stats!$A$2:$A$825,0))),$O33))</f>
        <v>0.82</v>
      </c>
      <c r="S33" s="11">
        <f t="array" ref="S33">IF(OR($G33="",$P33=""),"",IFERROR(1/(1/INDEX(Map_Stats!$I$2:$I$825,MATCH($F33&amp;"|"&amp;$G33,Map_Stats!$A$2:$A$825,0))),$P33))</f>
        <v>0.41</v>
      </c>
      <c r="T33" s="18">
        <f>IF(OR($G33="",R33=""),"",IF($O33="",R33,(Q33*R33+Config!$B$4*$O33)/(Q33+Config!$B$4)))</f>
        <v>0.7842857143</v>
      </c>
      <c r="U33" s="11">
        <f>IF(S33="","",(Q33*S33+Config!$B$4*$P33)/(Q33+Config!$B$4))</f>
        <v>0.4282142857</v>
      </c>
      <c r="V33" s="17">
        <f>IF(OR(T33="",$J33=""),"",T33*$J33*($J33/Config!$B$10)^Config!$B$9)</f>
        <v>16.7994</v>
      </c>
      <c r="W33" s="17">
        <f t="shared" si="1"/>
        <v>7.193743071</v>
      </c>
      <c r="X33" s="4">
        <f>IF($H33="",0,SUMIFS(Map_Stats!$F$2:$F$825,Map_Stats!$A$2:$A$825,$F33&amp;"|"&amp;$H33))</f>
        <v>9</v>
      </c>
      <c r="Y33" s="18">
        <f t="array" ref="Y33">IF($H33="","",IFERROR(1/(1/INDEX(Map_Stats!$K$2:$K$825,MATCH($F33&amp;"|"&amp;$H33,Map_Stats!$A$2:$A$825,0))),$O33))</f>
        <v>0.65</v>
      </c>
      <c r="Z33" s="11">
        <f t="array" ref="Z33">IF(OR($H33="",$P33=""),"",IFERROR(1/(1/INDEX(Map_Stats!$I$2:$I$825,MATCH($F33&amp;"|"&amp;$H33,Map_Stats!$A$2:$A$825,0))),$P33))</f>
        <v>0.56</v>
      </c>
      <c r="AA33" s="18">
        <f>IF(OR($H33="",Y33=""),"",IF($O33="",Y33,(X33*Y33+Config!$B$4*$O33)/(X33+Config!$B$4)))</f>
        <v>0.675</v>
      </c>
      <c r="AB33" s="11">
        <f>IF(Z33="","",(X33*Z33+Config!$B$4*$P33)/(X33+Config!$B$4))</f>
        <v>0.5246428571</v>
      </c>
      <c r="AC33" s="17">
        <f>IF(OR(AA33="",$K33=""),"",AA33*$K33*($K33/Config!$B$10)^Config!$B$9)</f>
        <v>14.38425</v>
      </c>
      <c r="AD33" s="17">
        <f t="shared" si="2"/>
        <v>7.546594018</v>
      </c>
      <c r="AE33" s="4">
        <f>IF($I33="",0,SUMIFS(Map_Stats!$F$2:$F$825,Map_Stats!$A$2:$A$825,$F33&amp;"|"&amp;$I33))</f>
        <v>4</v>
      </c>
      <c r="AF33" s="18">
        <f t="array" ref="AF33">IF($I33="","",IFERROR(1/(1/INDEX(Map_Stats!$K$2:$K$825,MATCH($F33&amp;"|"&amp;$I33,Map_Stats!$A$2:$A$825,0))),$O33))</f>
        <v>0.75</v>
      </c>
      <c r="AG33" s="11">
        <f t="array" ref="AG33">IF(OR($I33="",$P33=""),"",IFERROR(1/(1/INDEX(Map_Stats!$I$2:$I$825,MATCH($F33&amp;"|"&amp;$I33,Map_Stats!$A$2:$A$825,0))),$P33))</f>
        <v>0.528</v>
      </c>
      <c r="AH33" s="18">
        <f>IF(OR($I33="",AF33=""),"",IF($O33="",AF33,(AE33*AF33+Config!$B$4*$O33)/(AE33+Config!$B$4)))</f>
        <v>0.7333333333</v>
      </c>
      <c r="AI33" s="11">
        <f>IF(AG33="","",(AE33*AG33+Config!$B$4*$P33)/(AE33+Config!$B$4))</f>
        <v>0.4907777778</v>
      </c>
      <c r="AJ33" s="17">
        <f>IF(OR(AH33="",$L33=""),"",AH33*$L33*($L33/Config!$B$10)^Config!$B$9)</f>
        <v>15.708</v>
      </c>
      <c r="AK33" s="17">
        <f t="shared" si="3"/>
        <v>7.709137333</v>
      </c>
      <c r="AL33" s="17">
        <f t="shared" si="4"/>
        <v>31.18365</v>
      </c>
      <c r="AM33" s="17">
        <f t="shared" si="5"/>
        <v>38.5884012</v>
      </c>
      <c r="AN33" s="17">
        <f t="shared" si="6"/>
        <v>14.74033709</v>
      </c>
      <c r="AO33" s="17">
        <f t="shared" si="7"/>
        <v>18.37442443</v>
      </c>
      <c r="AP33" s="11">
        <f t="shared" si="8"/>
        <v>0.4726944116</v>
      </c>
      <c r="AQ33" s="4" t="str">
        <f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4" t="str">
        <f>IF($C33=Board!$B$2,COUNTIFS($C$2:$C$157,Board!$B$2,$AL$2:$AL$157,"&gt;"&amp;$AL33)+COUNTIFS($C$1:$C32,Board!$B$2,$AL$1:$AL32,$AL33)+1,"")</f>
        <v/>
      </c>
      <c r="AS33" s="4" t="str">
        <f t="array" ref="AS33">IFERROR(IF($D33=INDEX(Matches!$AD$5:$AD$22,MATCH($C33,Matches!$A$5:$A$22,0)),"A",IF($D33=INDEX(Matches!$AE$5:$AE$22,MATCH($C33,Matches!$A$5:$A$22,0)),"B","")),"")</f>
        <v>B</v>
      </c>
      <c r="AT33" s="11">
        <f t="array" ref="AT33">IF($AS33="","",IFERROR(IF($AS33="A",INDEX(Matches!$AI$5:$AI$22,MATCH($C33,Matches!$A$5:$A$22,0)),INDEX(Matches!$AJ$5:$AJ$22,MATCH($C33,Matches!$A$5:$A$22,0))),""))</f>
        <v>0.5024751275</v>
      </c>
      <c r="AU33" s="11">
        <f t="array" ref="AU33">IF($AS33="","",IFERROR(IF(INDEX(Matches!$AP$5:$AP$22,MATCH($C33,Matches!$A$5:$A$22,0))="","",IF($AS33="A",INDEX(Matches!$AP$5:$AP$22,MATCH($C33,Matches!$A$5:$A$22,0)),1-INDEX(Matches!$AP$5:$AP$22,MATCH($C33,Matches!$A$5:$A$22,0)))),""))</f>
        <v>0.5031099614</v>
      </c>
      <c r="AV33" s="18">
        <f>IF(OR($AU33="",$AT33=""),1,((Config!$B$14*$AU33+Config!$B$15*(1-$AU33))/(Config!$B$14*$AT33+Config!$B$15*(1-$AT33)))^Config!$B$13)</f>
        <v>1.000566046</v>
      </c>
      <c r="AW33" s="11">
        <f t="array" ref="AW33">IF($AS33="","",IFERROR(IF(INDEX(Matches!$AV$5:$AV$22,MATCH($C33,Matches!$A$5:$A$22,0))="","",IF($AS33="A",INDEX(Matches!$AV$5:$AV$22,MATCH($C33,Matches!$A$5:$A$22,0)),1-INDEX(Matches!$AV$5:$AV$22,MATCH($C33,Matches!$A$5:$A$22,0)))),""))</f>
        <v>0.5561640967</v>
      </c>
      <c r="AX33" s="18">
        <f>IF(OR($AW33="",$AT33=""),1,((Config!$B$14*$AW33+Config!$B$15*(1-$AW33))/(Config!$B$14*$AT33+Config!$B$15*(1-$AT33)))^Config!$B$13)</f>
        <v>1.047871494</v>
      </c>
      <c r="AY33" s="11">
        <f t="array" ref="AY33">IF($AS33="","",IFERROR(IF(INDEX(Matches!$BB$5:$BB$22,MATCH($C33,Matches!$A$5:$A$22,0))="","",IF($AS33="A",INDEX(Matches!$BB$5:$BB$22,MATCH($C33,Matches!$A$5:$A$22,0)),1-INDEX(Matches!$BB$5:$BB$22,MATCH($C33,Matches!$A$5:$A$22,0)))),""))</f>
        <v>0.5702201509</v>
      </c>
      <c r="AZ33" s="18">
        <f>IF(OR($AY33="",$AT33=""),1,((Config!$B$14*$AY33+Config!$B$15*(1-$AY33))/(Config!$B$14*$AT33+Config!$B$15*(1-$AT33)))^Config!$B$13)</f>
        <v>1.060404502</v>
      </c>
      <c r="BA33" s="17">
        <f t="shared" si="9"/>
        <v>16.80890924</v>
      </c>
      <c r="BB33" s="17">
        <f t="shared" si="10"/>
        <v>15.07284554</v>
      </c>
      <c r="BC33" s="17">
        <f t="shared" si="11"/>
        <v>16.65683392</v>
      </c>
      <c r="BD33" s="17">
        <f t="shared" si="12"/>
        <v>31.88175478</v>
      </c>
      <c r="BE33" s="17">
        <f t="shared" si="13"/>
        <v>39.73378629</v>
      </c>
      <c r="BF33" s="17">
        <f t="shared" si="14"/>
        <v>7.197815064</v>
      </c>
      <c r="BG33" s="17">
        <f t="shared" si="15"/>
        <v>7.907860747</v>
      </c>
      <c r="BH33" s="17">
        <f t="shared" si="16"/>
        <v>8.174803938</v>
      </c>
      <c r="BI33" s="17">
        <f t="shared" si="17"/>
        <v>15.10567581</v>
      </c>
      <c r="BJ33" s="17">
        <f t="shared" si="18"/>
        <v>18.95927839</v>
      </c>
      <c r="BK33" s="18">
        <f t="shared" si="19"/>
        <v>1.022386885</v>
      </c>
    </row>
    <row r="34" ht="15.75" customHeight="1">
      <c r="A34" s="4" t="s">
        <v>3151</v>
      </c>
      <c r="B34" s="4" t="s">
        <v>86</v>
      </c>
      <c r="C34" s="4" t="s">
        <v>1709</v>
      </c>
      <c r="D34" s="4" t="s">
        <v>1438</v>
      </c>
      <c r="E34" s="4" t="s">
        <v>1445</v>
      </c>
      <c r="F34" s="4" t="s">
        <v>1444</v>
      </c>
      <c r="G34" s="4" t="str">
        <f t="array" ref="G34">IFERROR(IF(INDEX(Matches!$W$5:$W$22,MATCH($C34,Matches!$A$5:$A$22,0))="","",INDEX(Matches!$W$5:$W$22,MATCH($C34,Matches!$A$5:$A$22,0))),"")</f>
        <v>Mirage</v>
      </c>
      <c r="H34" s="4" t="str">
        <f t="array" ref="H34">IFERROR(IF(INDEX(Matches!$X$5:$X$22,MATCH($C34,Matches!$A$5:$A$22,0))="","",INDEX(Matches!$X$5:$X$22,MATCH($C34,Matches!$A$5:$A$22,0))),"")</f>
        <v>Ancient</v>
      </c>
      <c r="I34" s="4" t="str">
        <f t="array" ref="I34">IFERROR(IF(INDEX(Matches!$Y$5:$Y$22,MATCH($C34,Matches!$A$5:$A$22,0))="","",INDEX(Matches!$Y$5:$Y$22,MATCH($C34,Matches!$A$5:$A$22,0))),"")</f>
        <v>Nuke</v>
      </c>
      <c r="J34" s="4">
        <f t="array" ref="J34">IFERROR(IF(INDEX(Matches!$Z$5:$Z$22,MATCH($C34,Matches!$A$5:$A$22,0))="","",INDEX(Matches!$Z$5:$Z$22,MATCH($C34,Matches!$A$5:$A$22,0))),"")</f>
        <v>21.42</v>
      </c>
      <c r="K34" s="4">
        <f t="array" ref="K34">IFERROR(IF(INDEX(Matches!$AA$5:$AA$22,MATCH($C34,Matches!$A$5:$A$22,0))="","",INDEX(Matches!$AA$5:$AA$22,MATCH($C34,Matches!$A$5:$A$22,0))),"")</f>
        <v>21.31</v>
      </c>
      <c r="L34" s="4">
        <f t="array" ref="L34">IFERROR(IF(INDEX(Matches!$AB$5:$AB$22,MATCH($C34,Matches!$A$5:$A$22,0))="","",INDEX(Matches!$AB$5:$AB$22,MATCH($C34,Matches!$A$5:$A$22,0))),"")</f>
        <v>21.42</v>
      </c>
      <c r="M34" s="11">
        <f t="array" ref="M34">IFERROR(IF(INDEX(Matches!$AC$5:$AC$22,MATCH($C34,Matches!$A$5:$A$22,0))="","",INDEX(Matches!$AC$5:$AC$22,MATCH($C34,Matches!$A$5:$A$22,0))),"")</f>
        <v>0.4714</v>
      </c>
      <c r="N34" s="4">
        <f t="array" ref="N34">IFERROR(INDEX(Players!$F$2:$F$127,MATCH($F34,Players!$A$2:$A$127,0)),0)</f>
        <v>39</v>
      </c>
      <c r="O34" s="18">
        <f t="array" ref="O34">IFERROR(1/(1/INDEX(Players!$H$2:$H$127,MATCH($F34,Players!$A$2:$A$127,0))),"")</f>
        <v>0.74</v>
      </c>
      <c r="P34" s="11">
        <f t="array" ref="P34">IFERROR(1/(1/INDEX(Players!$I$2:$I$127,MATCH($F34,Players!$A$2:$A$127,0))),"")</f>
        <v>0.55</v>
      </c>
      <c r="Q34" s="4">
        <f>IF($G34="",0,SUMIFS(Map_Stats!$F$2:$F$825,Map_Stats!$A$2:$A$825,$F34&amp;"|"&amp;$G34))</f>
        <v>9</v>
      </c>
      <c r="R34" s="18">
        <f t="array" ref="R34">IF($G34="","",IFERROR(1/(1/INDEX(Map_Stats!$K$2:$K$825,MATCH($F34&amp;"|"&amp;$G34,Map_Stats!$A$2:$A$825,0))),$O34))</f>
        <v>0.7</v>
      </c>
      <c r="S34" s="11">
        <f t="array" ref="S34">IF(OR($G34="",$P34=""),"",IFERROR(1/(1/INDEX(Map_Stats!$I$2:$I$825,MATCH($F34&amp;"|"&amp;$G34,Map_Stats!$A$2:$A$825,0))),$P34))</f>
        <v>0.605</v>
      </c>
      <c r="T34" s="18">
        <f>IF(OR($G34="",R34=""),"",IF($O34="",R34,(Q34*R34+Config!$B$4*$O34)/(Q34+Config!$B$4)))</f>
        <v>0.7142857143</v>
      </c>
      <c r="U34" s="11">
        <f>IF(S34="","",(Q34*S34+Config!$B$4*$P34)/(Q34+Config!$B$4))</f>
        <v>0.5853571429</v>
      </c>
      <c r="V34" s="17">
        <f>IF(OR(T34="",$J34=""),"",T34*$J34*($J34/Config!$B$10)^Config!$B$9)</f>
        <v>15.3</v>
      </c>
      <c r="W34" s="17">
        <f t="shared" si="1"/>
        <v>8.955964286</v>
      </c>
      <c r="X34" s="4">
        <f>IF($H34="",0,SUMIFS(Map_Stats!$F$2:$F$825,Map_Stats!$A$2:$A$825,$F34&amp;"|"&amp;$H34))</f>
        <v>9</v>
      </c>
      <c r="Y34" s="18">
        <f t="array" ref="Y34">IF($H34="","",IFERROR(1/(1/INDEX(Map_Stats!$K$2:$K$825,MATCH($F34&amp;"|"&amp;$H34,Map_Stats!$A$2:$A$825,0))),$O34))</f>
        <v>0.77</v>
      </c>
      <c r="Z34" s="11">
        <f t="array" ref="Z34">IF(OR($H34="",$P34=""),"",IFERROR(1/(1/INDEX(Map_Stats!$I$2:$I$825,MATCH($F34&amp;"|"&amp;$H34,Map_Stats!$A$2:$A$825,0))),$P34))</f>
        <v>0.51</v>
      </c>
      <c r="AA34" s="18">
        <f>IF(OR($H34="",Y34=""),"",IF($O34="",Y34,(X34*Y34+Config!$B$4*$O34)/(X34+Config!$B$4)))</f>
        <v>0.7592857143</v>
      </c>
      <c r="AB34" s="11">
        <f>IF(Z34="","",(X34*Z34+Config!$B$4*$P34)/(X34+Config!$B$4))</f>
        <v>0.5242857143</v>
      </c>
      <c r="AC34" s="17">
        <f>IF(OR(AA34="",$K34=""),"",AA34*$K34*($K34/Config!$B$10)^Config!$B$9)</f>
        <v>16.18037857</v>
      </c>
      <c r="AD34" s="17">
        <f t="shared" si="2"/>
        <v>8.483141337</v>
      </c>
      <c r="AE34" s="4">
        <f>IF($I34="",0,SUMIFS(Map_Stats!$F$2:$F$825,Map_Stats!$A$2:$A$825,$F34&amp;"|"&amp;$I34))</f>
        <v>4</v>
      </c>
      <c r="AF34" s="18">
        <f t="array" ref="AF34">IF($I34="","",IFERROR(1/(1/INDEX(Map_Stats!$K$2:$K$825,MATCH($F34&amp;"|"&amp;$I34,Map_Stats!$A$2:$A$825,0))),$O34))</f>
        <v>0.72</v>
      </c>
      <c r="AG34" s="11">
        <f t="array" ref="AG34">IF(OR($I34="",$P34=""),"",IFERROR(1/(1/INDEX(Map_Stats!$I$2:$I$825,MATCH($F34&amp;"|"&amp;$I34,Map_Stats!$A$2:$A$825,0))),$P34))</f>
        <v>0.536</v>
      </c>
      <c r="AH34" s="18">
        <f>IF(OR($I34="",AF34=""),"",IF($O34="",AF34,(AE34*AF34+Config!$B$4*$O34)/(AE34+Config!$B$4)))</f>
        <v>0.7311111111</v>
      </c>
      <c r="AI34" s="11">
        <f>IF(AG34="","",(AE34*AG34+Config!$B$4*$P34)/(AE34+Config!$B$4))</f>
        <v>0.5437777778</v>
      </c>
      <c r="AJ34" s="17">
        <f>IF(OR(AH34="",$L34=""),"",AH34*$L34*($L34/Config!$B$10)^Config!$B$9)</f>
        <v>15.6604</v>
      </c>
      <c r="AK34" s="17">
        <f t="shared" si="3"/>
        <v>8.515777511</v>
      </c>
      <c r="AL34" s="17">
        <f t="shared" si="4"/>
        <v>31.48037857</v>
      </c>
      <c r="AM34" s="17">
        <f t="shared" si="5"/>
        <v>38.86269113</v>
      </c>
      <c r="AN34" s="17">
        <f t="shared" si="6"/>
        <v>17.43910562</v>
      </c>
      <c r="AO34" s="17">
        <f t="shared" si="7"/>
        <v>21.45344314</v>
      </c>
      <c r="AP34" s="11">
        <f t="shared" si="8"/>
        <v>0.5539674684</v>
      </c>
      <c r="AQ34" s="4" t="str">
        <f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4" t="str">
        <f>IF($C34=Board!$B$2,COUNTIFS($C$2:$C$157,Board!$B$2,$AL$2:$AL$157,"&gt;"&amp;$AL34)+COUNTIFS($C$1:$C33,Board!$B$2,$AL$1:$AL33,$AL34)+1,"")</f>
        <v/>
      </c>
      <c r="AS34" s="4" t="str">
        <f t="array" ref="AS34">IFERROR(IF($D34=INDEX(Matches!$AD$5:$AD$22,MATCH($C34,Matches!$A$5:$A$22,0)),"A",IF($D34=INDEX(Matches!$AE$5:$AE$22,MATCH($C34,Matches!$A$5:$A$22,0)),"B","")),"")</f>
        <v>B</v>
      </c>
      <c r="AT34" s="11">
        <f t="array" ref="AT34">IF($AS34="","",IFERROR(IF($AS34="A",INDEX(Matches!$AI$5:$AI$22,MATCH($C34,Matches!$A$5:$A$22,0)),INDEX(Matches!$AJ$5:$AJ$22,MATCH($C34,Matches!$A$5:$A$22,0))),""))</f>
        <v>0.5024751275</v>
      </c>
      <c r="AU34" s="11">
        <f t="array" ref="AU34">IF($AS34="","",IFERROR(IF(INDEX(Matches!$AP$5:$AP$22,MATCH($C34,Matches!$A$5:$A$22,0))="","",IF($AS34="A",INDEX(Matches!$AP$5:$AP$22,MATCH($C34,Matches!$A$5:$A$22,0)),1-INDEX(Matches!$AP$5:$AP$22,MATCH($C34,Matches!$A$5:$A$22,0)))),""))</f>
        <v>0.5031099614</v>
      </c>
      <c r="AV34" s="18">
        <f>IF(OR($AU34="",$AT34=""),1,((Config!$B$14*$AU34+Config!$B$15*(1-$AU34))/(Config!$B$14*$AT34+Config!$B$15*(1-$AT34)))^Config!$B$13)</f>
        <v>1.000566046</v>
      </c>
      <c r="AW34" s="11">
        <f t="array" ref="AW34">IF($AS34="","",IFERROR(IF(INDEX(Matches!$AV$5:$AV$22,MATCH($C34,Matches!$A$5:$A$22,0))="","",IF($AS34="A",INDEX(Matches!$AV$5:$AV$22,MATCH($C34,Matches!$A$5:$A$22,0)),1-INDEX(Matches!$AV$5:$AV$22,MATCH($C34,Matches!$A$5:$A$22,0)))),""))</f>
        <v>0.5561640967</v>
      </c>
      <c r="AX34" s="18">
        <f>IF(OR($AW34="",$AT34=""),1,((Config!$B$14*$AW34+Config!$B$15*(1-$AW34))/(Config!$B$14*$AT34+Config!$B$15*(1-$AT34)))^Config!$B$13)</f>
        <v>1.047871494</v>
      </c>
      <c r="AY34" s="11">
        <f t="array" ref="AY34">IF($AS34="","",IFERROR(IF(INDEX(Matches!$BB$5:$BB$22,MATCH($C34,Matches!$A$5:$A$22,0))="","",IF($AS34="A",INDEX(Matches!$BB$5:$BB$22,MATCH($C34,Matches!$A$5:$A$22,0)),1-INDEX(Matches!$BB$5:$BB$22,MATCH($C34,Matches!$A$5:$A$22,0)))),""))</f>
        <v>0.5702201509</v>
      </c>
      <c r="AZ34" s="18">
        <f>IF(OR($AY34="",$AT34=""),1,((Config!$B$14*$AY34+Config!$B$15*(1-$AY34))/(Config!$B$14*$AT34+Config!$B$15*(1-$AT34)))^Config!$B$13)</f>
        <v>1.060404502</v>
      </c>
      <c r="BA34" s="17">
        <f t="shared" si="9"/>
        <v>15.30866051</v>
      </c>
      <c r="BB34" s="17">
        <f t="shared" si="10"/>
        <v>16.95495747</v>
      </c>
      <c r="BC34" s="17">
        <f t="shared" si="11"/>
        <v>16.60635867</v>
      </c>
      <c r="BD34" s="17">
        <f t="shared" si="12"/>
        <v>32.26361798</v>
      </c>
      <c r="BE34" s="17">
        <f t="shared" si="13"/>
        <v>40.09185545</v>
      </c>
      <c r="BF34" s="17">
        <f t="shared" si="14"/>
        <v>8.961033777</v>
      </c>
      <c r="BG34" s="17">
        <f t="shared" si="15"/>
        <v>8.889241985</v>
      </c>
      <c r="BH34" s="17">
        <f t="shared" si="16"/>
        <v>9.030168815</v>
      </c>
      <c r="BI34" s="17">
        <f t="shared" si="17"/>
        <v>17.85027576</v>
      </c>
      <c r="BJ34" s="17">
        <f t="shared" si="18"/>
        <v>22.10709734</v>
      </c>
      <c r="BK34" s="18">
        <f t="shared" si="19"/>
        <v>1.024880241</v>
      </c>
    </row>
    <row r="35" ht="15.75" customHeight="1">
      <c r="A35" s="4" t="s">
        <v>3152</v>
      </c>
      <c r="B35" s="4" t="s">
        <v>86</v>
      </c>
      <c r="C35" s="4" t="s">
        <v>1709</v>
      </c>
      <c r="D35" s="4" t="s">
        <v>1438</v>
      </c>
      <c r="E35" s="4" t="s">
        <v>1448</v>
      </c>
      <c r="F35" s="4" t="s">
        <v>1447</v>
      </c>
      <c r="G35" s="4" t="str">
        <f t="array" ref="G35">IFERROR(IF(INDEX(Matches!$W$5:$W$22,MATCH($C35,Matches!$A$5:$A$22,0))="","",INDEX(Matches!$W$5:$W$22,MATCH($C35,Matches!$A$5:$A$22,0))),"")</f>
        <v>Mirage</v>
      </c>
      <c r="H35" s="4" t="str">
        <f t="array" ref="H35">IFERROR(IF(INDEX(Matches!$X$5:$X$22,MATCH($C35,Matches!$A$5:$A$22,0))="","",INDEX(Matches!$X$5:$X$22,MATCH($C35,Matches!$A$5:$A$22,0))),"")</f>
        <v>Ancient</v>
      </c>
      <c r="I35" s="4" t="str">
        <f t="array" ref="I35">IFERROR(IF(INDEX(Matches!$Y$5:$Y$22,MATCH($C35,Matches!$A$5:$A$22,0))="","",INDEX(Matches!$Y$5:$Y$22,MATCH($C35,Matches!$A$5:$A$22,0))),"")</f>
        <v>Nuke</v>
      </c>
      <c r="J35" s="4">
        <f t="array" ref="J35">IFERROR(IF(INDEX(Matches!$Z$5:$Z$22,MATCH($C35,Matches!$A$5:$A$22,0))="","",INDEX(Matches!$Z$5:$Z$22,MATCH($C35,Matches!$A$5:$A$22,0))),"")</f>
        <v>21.42</v>
      </c>
      <c r="K35" s="4">
        <f t="array" ref="K35">IFERROR(IF(INDEX(Matches!$AA$5:$AA$22,MATCH($C35,Matches!$A$5:$A$22,0))="","",INDEX(Matches!$AA$5:$AA$22,MATCH($C35,Matches!$A$5:$A$22,0))),"")</f>
        <v>21.31</v>
      </c>
      <c r="L35" s="4">
        <f t="array" ref="L35">IFERROR(IF(INDEX(Matches!$AB$5:$AB$22,MATCH($C35,Matches!$A$5:$A$22,0))="","",INDEX(Matches!$AB$5:$AB$22,MATCH($C35,Matches!$A$5:$A$22,0))),"")</f>
        <v>21.42</v>
      </c>
      <c r="M35" s="11">
        <f t="array" ref="M35">IFERROR(IF(INDEX(Matches!$AC$5:$AC$22,MATCH($C35,Matches!$A$5:$A$22,0))="","",INDEX(Matches!$AC$5:$AC$22,MATCH($C35,Matches!$A$5:$A$22,0))),"")</f>
        <v>0.4714</v>
      </c>
      <c r="N35" s="4">
        <f t="array" ref="N35">IFERROR(INDEX(Players!$F$2:$F$127,MATCH($F35,Players!$A$2:$A$127,0)),0)</f>
        <v>39</v>
      </c>
      <c r="O35" s="18">
        <f t="array" ref="O35">IFERROR(1/(1/INDEX(Players!$H$2:$H$127,MATCH($F35,Players!$A$2:$A$127,0))),"")</f>
        <v>0.63</v>
      </c>
      <c r="P35" s="11">
        <f t="array" ref="P35">IFERROR(1/(1/INDEX(Players!$I$2:$I$127,MATCH($F35,Players!$A$2:$A$127,0))),"")</f>
        <v>0.534</v>
      </c>
      <c r="Q35" s="4">
        <f>IF($G35="",0,SUMIFS(Map_Stats!$F$2:$F$825,Map_Stats!$A$2:$A$825,$F35&amp;"|"&amp;$G35))</f>
        <v>9</v>
      </c>
      <c r="R35" s="18">
        <f t="array" ref="R35">IF($G35="","",IFERROR(1/(1/INDEX(Map_Stats!$K$2:$K$825,MATCH($F35&amp;"|"&amp;$G35,Map_Stats!$A$2:$A$825,0))),$O35))</f>
        <v>0.68</v>
      </c>
      <c r="S35" s="11">
        <f t="array" ref="S35">IF(OR($G35="",$P35=""),"",IFERROR(1/(1/INDEX(Map_Stats!$I$2:$I$825,MATCH($F35&amp;"|"&amp;$G35,Map_Stats!$A$2:$A$825,0))),$P35))</f>
        <v>0.493</v>
      </c>
      <c r="T35" s="18">
        <f>IF(OR($G35="",R35=""),"",IF($O35="",R35,(Q35*R35+Config!$B$4*$O35)/(Q35+Config!$B$4)))</f>
        <v>0.6621428571</v>
      </c>
      <c r="U35" s="11">
        <f>IF(S35="","",(Q35*S35+Config!$B$4*$P35)/(Q35+Config!$B$4))</f>
        <v>0.5076428571</v>
      </c>
      <c r="V35" s="17">
        <f>IF(OR(T35="",$J35=""),"",T35*$J35*($J35/Config!$B$10)^Config!$B$9)</f>
        <v>14.1831</v>
      </c>
      <c r="W35" s="17">
        <f t="shared" si="1"/>
        <v>7.199949407</v>
      </c>
      <c r="X35" s="4">
        <f>IF($H35="",0,SUMIFS(Map_Stats!$F$2:$F$825,Map_Stats!$A$2:$A$825,$F35&amp;"|"&amp;$H35))</f>
        <v>9</v>
      </c>
      <c r="Y35" s="18">
        <f t="array" ref="Y35">IF($H35="","",IFERROR(1/(1/INDEX(Map_Stats!$K$2:$K$825,MATCH($F35&amp;"|"&amp;$H35,Map_Stats!$A$2:$A$825,0))),$O35))</f>
        <v>0.62</v>
      </c>
      <c r="Z35" s="11">
        <f t="array" ref="Z35">IF(OR($H35="",$P35=""),"",IFERROR(1/(1/INDEX(Map_Stats!$I$2:$I$825,MATCH($F35&amp;"|"&amp;$H35,Map_Stats!$A$2:$A$825,0))),$P35))</f>
        <v>0.492</v>
      </c>
      <c r="AA35" s="18">
        <f>IF(OR($H35="",Y35=""),"",IF($O35="",Y35,(X35*Y35+Config!$B$4*$O35)/(X35+Config!$B$4)))</f>
        <v>0.6235714286</v>
      </c>
      <c r="AB35" s="11">
        <f>IF(Z35="","",(X35*Z35+Config!$B$4*$P35)/(X35+Config!$B$4))</f>
        <v>0.507</v>
      </c>
      <c r="AC35" s="17">
        <f>IF(OR(AA35="",$K35=""),"",AA35*$K35*($K35/Config!$B$10)^Config!$B$9)</f>
        <v>13.28830714</v>
      </c>
      <c r="AD35" s="17">
        <f t="shared" si="2"/>
        <v>6.737171721</v>
      </c>
      <c r="AE35" s="4">
        <f>IF($I35="",0,SUMIFS(Map_Stats!$F$2:$F$825,Map_Stats!$A$2:$A$825,$F35&amp;"|"&amp;$I35))</f>
        <v>4</v>
      </c>
      <c r="AF35" s="18">
        <f t="array" ref="AF35">IF($I35="","",IFERROR(1/(1/INDEX(Map_Stats!$K$2:$K$825,MATCH($F35&amp;"|"&amp;$I35,Map_Stats!$A$2:$A$825,0))),$O35))</f>
        <v>0.72</v>
      </c>
      <c r="AG35" s="11">
        <f t="array" ref="AG35">IF(OR($I35="",$P35=""),"",IFERROR(1/(1/INDEX(Map_Stats!$I$2:$I$825,MATCH($F35&amp;"|"&amp;$I35,Map_Stats!$A$2:$A$825,0))),$P35))</f>
        <v>0.551</v>
      </c>
      <c r="AH35" s="18">
        <f>IF(OR($I35="",AF35=""),"",IF($O35="",AF35,(AE35*AF35+Config!$B$4*$O35)/(AE35+Config!$B$4)))</f>
        <v>0.67</v>
      </c>
      <c r="AI35" s="11">
        <f>IF(AG35="","",(AE35*AG35+Config!$B$4*$P35)/(AE35+Config!$B$4))</f>
        <v>0.5415555556</v>
      </c>
      <c r="AJ35" s="17">
        <f>IF(OR(AH35="",$L35=""),"",AH35*$L35*($L35/Config!$B$10)^Config!$B$9)</f>
        <v>14.3514</v>
      </c>
      <c r="AK35" s="17">
        <f t="shared" si="3"/>
        <v>7.7720804</v>
      </c>
      <c r="AL35" s="17">
        <f t="shared" si="4"/>
        <v>27.47140714</v>
      </c>
      <c r="AM35" s="17">
        <f t="shared" si="5"/>
        <v>34.2366571</v>
      </c>
      <c r="AN35" s="17">
        <f t="shared" si="6"/>
        <v>13.93712113</v>
      </c>
      <c r="AO35" s="17">
        <f t="shared" si="7"/>
        <v>17.60087983</v>
      </c>
      <c r="AP35" s="11">
        <f t="shared" si="8"/>
        <v>0.5073318981</v>
      </c>
      <c r="AQ35" s="4" t="str">
        <f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4" t="str">
        <f>IF($C35=Board!$B$2,COUNTIFS($C$2:$C$157,Board!$B$2,$AL$2:$AL$157,"&gt;"&amp;$AL35)+COUNTIFS($C$1:$C34,Board!$B$2,$AL$1:$AL34,$AL35)+1,"")</f>
        <v/>
      </c>
      <c r="AS35" s="4" t="str">
        <f t="array" ref="AS35">IFERROR(IF($D35=INDEX(Matches!$AD$5:$AD$22,MATCH($C35,Matches!$A$5:$A$22,0)),"A",IF($D35=INDEX(Matches!$AE$5:$AE$22,MATCH($C35,Matches!$A$5:$A$22,0)),"B","")),"")</f>
        <v>B</v>
      </c>
      <c r="AT35" s="11">
        <f t="array" ref="AT35">IF($AS35="","",IFERROR(IF($AS35="A",INDEX(Matches!$AI$5:$AI$22,MATCH($C35,Matches!$A$5:$A$22,0)),INDEX(Matches!$AJ$5:$AJ$22,MATCH($C35,Matches!$A$5:$A$22,0))),""))</f>
        <v>0.5024751275</v>
      </c>
      <c r="AU35" s="11">
        <f t="array" ref="AU35">IF($AS35="","",IFERROR(IF(INDEX(Matches!$AP$5:$AP$22,MATCH($C35,Matches!$A$5:$A$22,0))="","",IF($AS35="A",INDEX(Matches!$AP$5:$AP$22,MATCH($C35,Matches!$A$5:$A$22,0)),1-INDEX(Matches!$AP$5:$AP$22,MATCH($C35,Matches!$A$5:$A$22,0)))),""))</f>
        <v>0.5031099614</v>
      </c>
      <c r="AV35" s="18">
        <f>IF(OR($AU35="",$AT35=""),1,((Config!$B$14*$AU35+Config!$B$15*(1-$AU35))/(Config!$B$14*$AT35+Config!$B$15*(1-$AT35)))^Config!$B$13)</f>
        <v>1.000566046</v>
      </c>
      <c r="AW35" s="11">
        <f t="array" ref="AW35">IF($AS35="","",IFERROR(IF(INDEX(Matches!$AV$5:$AV$22,MATCH($C35,Matches!$A$5:$A$22,0))="","",IF($AS35="A",INDEX(Matches!$AV$5:$AV$22,MATCH($C35,Matches!$A$5:$A$22,0)),1-INDEX(Matches!$AV$5:$AV$22,MATCH($C35,Matches!$A$5:$A$22,0)))),""))</f>
        <v>0.5561640967</v>
      </c>
      <c r="AX35" s="18">
        <f>IF(OR($AW35="",$AT35=""),1,((Config!$B$14*$AW35+Config!$B$15*(1-$AW35))/(Config!$B$14*$AT35+Config!$B$15*(1-$AT35)))^Config!$B$13)</f>
        <v>1.047871494</v>
      </c>
      <c r="AY35" s="11">
        <f t="array" ref="AY35">IF($AS35="","",IFERROR(IF(INDEX(Matches!$BB$5:$BB$22,MATCH($C35,Matches!$A$5:$A$22,0))="","",IF($AS35="A",INDEX(Matches!$BB$5:$BB$22,MATCH($C35,Matches!$A$5:$A$22,0)),1-INDEX(Matches!$BB$5:$BB$22,MATCH($C35,Matches!$A$5:$A$22,0)))),""))</f>
        <v>0.5702201509</v>
      </c>
      <c r="AZ35" s="18">
        <f>IF(OR($AY35="",$AT35=""),1,((Config!$B$14*$AY35+Config!$B$15*(1-$AY35))/(Config!$B$14*$AT35+Config!$B$15*(1-$AT35)))^Config!$B$13)</f>
        <v>1.060404502</v>
      </c>
      <c r="BA35" s="17">
        <f t="shared" si="9"/>
        <v>14.19112829</v>
      </c>
      <c r="BB35" s="17">
        <f t="shared" si="10"/>
        <v>13.92443826</v>
      </c>
      <c r="BC35" s="17">
        <f t="shared" si="11"/>
        <v>15.21828918</v>
      </c>
      <c r="BD35" s="17">
        <f t="shared" si="12"/>
        <v>28.11556655</v>
      </c>
      <c r="BE35" s="17">
        <f t="shared" si="13"/>
        <v>35.28946807</v>
      </c>
      <c r="BF35" s="17">
        <f t="shared" si="14"/>
        <v>7.204024913</v>
      </c>
      <c r="BG35" s="17">
        <f t="shared" si="15"/>
        <v>7.059690196</v>
      </c>
      <c r="BH35" s="17">
        <f t="shared" si="16"/>
        <v>8.241549049</v>
      </c>
      <c r="BI35" s="17">
        <f t="shared" si="17"/>
        <v>14.26371511</v>
      </c>
      <c r="BJ35" s="17">
        <f t="shared" si="18"/>
        <v>18.14878133</v>
      </c>
      <c r="BK35" s="18">
        <f t="shared" si="19"/>
        <v>1.023448359</v>
      </c>
    </row>
    <row r="36" ht="15.75" customHeight="1">
      <c r="A36" s="4" t="s">
        <v>3153</v>
      </c>
      <c r="B36" s="4" t="s">
        <v>86</v>
      </c>
      <c r="C36" s="4" t="s">
        <v>1709</v>
      </c>
      <c r="D36" s="4" t="s">
        <v>1438</v>
      </c>
      <c r="E36" s="4" t="s">
        <v>1451</v>
      </c>
      <c r="F36" s="4" t="s">
        <v>1450</v>
      </c>
      <c r="G36" s="4" t="str">
        <f t="array" ref="G36">IFERROR(IF(INDEX(Matches!$W$5:$W$22,MATCH($C36,Matches!$A$5:$A$22,0))="","",INDEX(Matches!$W$5:$W$22,MATCH($C36,Matches!$A$5:$A$22,0))),"")</f>
        <v>Mirage</v>
      </c>
      <c r="H36" s="4" t="str">
        <f t="array" ref="H36">IFERROR(IF(INDEX(Matches!$X$5:$X$22,MATCH($C36,Matches!$A$5:$A$22,0))="","",INDEX(Matches!$X$5:$X$22,MATCH($C36,Matches!$A$5:$A$22,0))),"")</f>
        <v>Ancient</v>
      </c>
      <c r="I36" s="4" t="str">
        <f t="array" ref="I36">IFERROR(IF(INDEX(Matches!$Y$5:$Y$22,MATCH($C36,Matches!$A$5:$A$22,0))="","",INDEX(Matches!$Y$5:$Y$22,MATCH($C36,Matches!$A$5:$A$22,0))),"")</f>
        <v>Nuke</v>
      </c>
      <c r="J36" s="4">
        <f t="array" ref="J36">IFERROR(IF(INDEX(Matches!$Z$5:$Z$22,MATCH($C36,Matches!$A$5:$A$22,0))="","",INDEX(Matches!$Z$5:$Z$22,MATCH($C36,Matches!$A$5:$A$22,0))),"")</f>
        <v>21.42</v>
      </c>
      <c r="K36" s="4">
        <f t="array" ref="K36">IFERROR(IF(INDEX(Matches!$AA$5:$AA$22,MATCH($C36,Matches!$A$5:$A$22,0))="","",INDEX(Matches!$AA$5:$AA$22,MATCH($C36,Matches!$A$5:$A$22,0))),"")</f>
        <v>21.31</v>
      </c>
      <c r="L36" s="4">
        <f t="array" ref="L36">IFERROR(IF(INDEX(Matches!$AB$5:$AB$22,MATCH($C36,Matches!$A$5:$A$22,0))="","",INDEX(Matches!$AB$5:$AB$22,MATCH($C36,Matches!$A$5:$A$22,0))),"")</f>
        <v>21.42</v>
      </c>
      <c r="M36" s="11">
        <f t="array" ref="M36">IFERROR(IF(INDEX(Matches!$AC$5:$AC$22,MATCH($C36,Matches!$A$5:$A$22,0))="","",INDEX(Matches!$AC$5:$AC$22,MATCH($C36,Matches!$A$5:$A$22,0))),"")</f>
        <v>0.4714</v>
      </c>
      <c r="N36" s="4">
        <f t="array" ref="N36">IFERROR(INDEX(Players!$F$2:$F$127,MATCH($F36,Players!$A$2:$A$127,0)),0)</f>
        <v>39</v>
      </c>
      <c r="O36" s="18">
        <f t="array" ref="O36">IFERROR(1/(1/INDEX(Players!$H$2:$H$127,MATCH($F36,Players!$A$2:$A$127,0))),"")</f>
        <v>0.7</v>
      </c>
      <c r="P36" s="11">
        <f t="array" ref="P36">IFERROR(1/(1/INDEX(Players!$I$2:$I$127,MATCH($F36,Players!$A$2:$A$127,0))),"")</f>
        <v>0.338</v>
      </c>
      <c r="Q36" s="4">
        <f>IF($G36="",0,SUMIFS(Map_Stats!$F$2:$F$825,Map_Stats!$A$2:$A$825,$F36&amp;"|"&amp;$G36))</f>
        <v>9</v>
      </c>
      <c r="R36" s="18">
        <f t="array" ref="R36">IF($G36="","",IFERROR(1/(1/INDEX(Map_Stats!$K$2:$K$825,MATCH($F36&amp;"|"&amp;$G36,Map_Stats!$A$2:$A$825,0))),$O36))</f>
        <v>0.7</v>
      </c>
      <c r="S36" s="11">
        <f t="array" ref="S36">IF(OR($G36="",$P36=""),"",IFERROR(1/(1/INDEX(Map_Stats!$I$2:$I$825,MATCH($F36&amp;"|"&amp;$G36,Map_Stats!$A$2:$A$825,0))),$P36))</f>
        <v>0.304</v>
      </c>
      <c r="T36" s="18">
        <f>IF(OR($G36="",R36=""),"",IF($O36="",R36,(Q36*R36+Config!$B$4*$O36)/(Q36+Config!$B$4)))</f>
        <v>0.7</v>
      </c>
      <c r="U36" s="11">
        <f>IF(S36="","",(Q36*S36+Config!$B$4*$P36)/(Q36+Config!$B$4))</f>
        <v>0.3161428571</v>
      </c>
      <c r="V36" s="17">
        <f>IF(OR(T36="",$J36=""),"",T36*$J36*($J36/Config!$B$10)^Config!$B$9)</f>
        <v>14.994</v>
      </c>
      <c r="W36" s="17">
        <f t="shared" si="1"/>
        <v>4.740246</v>
      </c>
      <c r="X36" s="4">
        <f>IF($H36="",0,SUMIFS(Map_Stats!$F$2:$F$825,Map_Stats!$A$2:$A$825,$F36&amp;"|"&amp;$H36))</f>
        <v>9</v>
      </c>
      <c r="Y36" s="18">
        <f t="array" ref="Y36">IF($H36="","",IFERROR(1/(1/INDEX(Map_Stats!$K$2:$K$825,MATCH($F36&amp;"|"&amp;$H36,Map_Stats!$A$2:$A$825,0))),$O36))</f>
        <v>0.74</v>
      </c>
      <c r="Z36" s="11">
        <f t="array" ref="Z36">IF(OR($H36="",$P36=""),"",IFERROR(1/(1/INDEX(Map_Stats!$I$2:$I$825,MATCH($F36&amp;"|"&amp;$H36,Map_Stats!$A$2:$A$825,0))),$P36))</f>
        <v>0.377</v>
      </c>
      <c r="AA36" s="18">
        <f>IF(OR($H36="",Y36=""),"",IF($O36="",Y36,(X36*Y36+Config!$B$4*$O36)/(X36+Config!$B$4)))</f>
        <v>0.7257142857</v>
      </c>
      <c r="AB36" s="11">
        <f>IF(Z36="","",(X36*Z36+Config!$B$4*$P36)/(X36+Config!$B$4))</f>
        <v>0.3630714286</v>
      </c>
      <c r="AC36" s="17">
        <f>IF(OR(AA36="",$K36=""),"",AA36*$K36*($K36/Config!$B$10)^Config!$B$9)</f>
        <v>15.46497143</v>
      </c>
      <c r="AD36" s="17">
        <f t="shared" si="2"/>
        <v>5.614889269</v>
      </c>
      <c r="AE36" s="4">
        <f>IF($I36="",0,SUMIFS(Map_Stats!$F$2:$F$825,Map_Stats!$A$2:$A$825,$F36&amp;"|"&amp;$I36))</f>
        <v>4</v>
      </c>
      <c r="AF36" s="18">
        <f t="array" ref="AF36">IF($I36="","",IFERROR(1/(1/INDEX(Map_Stats!$K$2:$K$825,MATCH($F36&amp;"|"&amp;$I36,Map_Stats!$A$2:$A$825,0))),$O36))</f>
        <v>0.79</v>
      </c>
      <c r="AG36" s="11">
        <f t="array" ref="AG36">IF(OR($I36="",$P36=""),"",IFERROR(1/(1/INDEX(Map_Stats!$I$2:$I$825,MATCH($F36&amp;"|"&amp;$I36,Map_Stats!$A$2:$A$825,0))),$P36))</f>
        <v>0.316</v>
      </c>
      <c r="AH36" s="18">
        <f>IF(OR($I36="",AF36=""),"",IF($O36="",AF36,(AE36*AF36+Config!$B$4*$O36)/(AE36+Config!$B$4)))</f>
        <v>0.74</v>
      </c>
      <c r="AI36" s="11">
        <f>IF(AG36="","",(AE36*AG36+Config!$B$4*$P36)/(AE36+Config!$B$4))</f>
        <v>0.3282222222</v>
      </c>
      <c r="AJ36" s="17">
        <f>IF(OR(AH36="",$L36=""),"",AH36*$L36*($L36/Config!$B$10)^Config!$B$9)</f>
        <v>15.8508</v>
      </c>
      <c r="AK36" s="17">
        <f t="shared" si="3"/>
        <v>5.2025848</v>
      </c>
      <c r="AL36" s="17">
        <f t="shared" si="4"/>
        <v>30.45897143</v>
      </c>
      <c r="AM36" s="17">
        <f t="shared" si="5"/>
        <v>37.93103855</v>
      </c>
      <c r="AN36" s="17">
        <f t="shared" si="6"/>
        <v>10.35513527</v>
      </c>
      <c r="AO36" s="17">
        <f t="shared" si="7"/>
        <v>12.80763374</v>
      </c>
      <c r="AP36" s="11">
        <f t="shared" si="8"/>
        <v>0.3399699591</v>
      </c>
      <c r="AQ36" s="4" t="str">
        <f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4" t="str">
        <f>IF($C36=Board!$B$2,COUNTIFS($C$2:$C$157,Board!$B$2,$AL$2:$AL$157,"&gt;"&amp;$AL36)+COUNTIFS($C$1:$C35,Board!$B$2,$AL$1:$AL35,$AL36)+1,"")</f>
        <v/>
      </c>
      <c r="AS36" s="4" t="str">
        <f t="array" ref="AS36">IFERROR(IF($D36=INDEX(Matches!$AD$5:$AD$22,MATCH($C36,Matches!$A$5:$A$22,0)),"A",IF($D36=INDEX(Matches!$AE$5:$AE$22,MATCH($C36,Matches!$A$5:$A$22,0)),"B","")),"")</f>
        <v>B</v>
      </c>
      <c r="AT36" s="11">
        <f t="array" ref="AT36">IF($AS36="","",IFERROR(IF($AS36="A",INDEX(Matches!$AI$5:$AI$22,MATCH($C36,Matches!$A$5:$A$22,0)),INDEX(Matches!$AJ$5:$AJ$22,MATCH($C36,Matches!$A$5:$A$22,0))),""))</f>
        <v>0.5024751275</v>
      </c>
      <c r="AU36" s="11">
        <f t="array" ref="AU36">IF($AS36="","",IFERROR(IF(INDEX(Matches!$AP$5:$AP$22,MATCH($C36,Matches!$A$5:$A$22,0))="","",IF($AS36="A",INDEX(Matches!$AP$5:$AP$22,MATCH($C36,Matches!$A$5:$A$22,0)),1-INDEX(Matches!$AP$5:$AP$22,MATCH($C36,Matches!$A$5:$A$22,0)))),""))</f>
        <v>0.5031099614</v>
      </c>
      <c r="AV36" s="18">
        <f>IF(OR($AU36="",$AT36=""),1,((Config!$B$14*$AU36+Config!$B$15*(1-$AU36))/(Config!$B$14*$AT36+Config!$B$15*(1-$AT36)))^Config!$B$13)</f>
        <v>1.000566046</v>
      </c>
      <c r="AW36" s="11">
        <f t="array" ref="AW36">IF($AS36="","",IFERROR(IF(INDEX(Matches!$AV$5:$AV$22,MATCH($C36,Matches!$A$5:$A$22,0))="","",IF($AS36="A",INDEX(Matches!$AV$5:$AV$22,MATCH($C36,Matches!$A$5:$A$22,0)),1-INDEX(Matches!$AV$5:$AV$22,MATCH($C36,Matches!$A$5:$A$22,0)))),""))</f>
        <v>0.5561640967</v>
      </c>
      <c r="AX36" s="18">
        <f>IF(OR($AW36="",$AT36=""),1,((Config!$B$14*$AW36+Config!$B$15*(1-$AW36))/(Config!$B$14*$AT36+Config!$B$15*(1-$AT36)))^Config!$B$13)</f>
        <v>1.047871494</v>
      </c>
      <c r="AY36" s="11">
        <f t="array" ref="AY36">IF($AS36="","",IFERROR(IF(INDEX(Matches!$BB$5:$BB$22,MATCH($C36,Matches!$A$5:$A$22,0))="","",IF($AS36="A",INDEX(Matches!$BB$5:$BB$22,MATCH($C36,Matches!$A$5:$A$22,0)),1-INDEX(Matches!$BB$5:$BB$22,MATCH($C36,Matches!$A$5:$A$22,0)))),""))</f>
        <v>0.5702201509</v>
      </c>
      <c r="AZ36" s="18">
        <f>IF(OR($AY36="",$AT36=""),1,((Config!$B$14*$AY36+Config!$B$15*(1-$AY36))/(Config!$B$14*$AT36+Config!$B$15*(1-$AT36)))^Config!$B$13)</f>
        <v>1.060404502</v>
      </c>
      <c r="BA36" s="17">
        <f t="shared" si="9"/>
        <v>15.0024873</v>
      </c>
      <c r="BB36" s="17">
        <f t="shared" si="10"/>
        <v>16.20530271</v>
      </c>
      <c r="BC36" s="17">
        <f t="shared" si="11"/>
        <v>16.80825969</v>
      </c>
      <c r="BD36" s="17">
        <f t="shared" si="12"/>
        <v>31.20779001</v>
      </c>
      <c r="BE36" s="17">
        <f t="shared" si="13"/>
        <v>39.13120363</v>
      </c>
      <c r="BF36" s="17">
        <f t="shared" si="14"/>
        <v>4.742929199</v>
      </c>
      <c r="BG36" s="17">
        <f t="shared" si="15"/>
        <v>5.883682407</v>
      </c>
      <c r="BH36" s="17">
        <f t="shared" si="16"/>
        <v>5.516844346</v>
      </c>
      <c r="BI36" s="17">
        <f t="shared" si="17"/>
        <v>10.62661161</v>
      </c>
      <c r="BJ36" s="17">
        <f t="shared" si="18"/>
        <v>13.22725203</v>
      </c>
      <c r="BK36" s="18">
        <f t="shared" si="19"/>
        <v>1.0245845</v>
      </c>
    </row>
    <row r="37" ht="15.75" customHeight="1">
      <c r="A37" s="4" t="s">
        <v>3154</v>
      </c>
      <c r="B37" s="4" t="s">
        <v>86</v>
      </c>
      <c r="C37" s="4" t="s">
        <v>1234</v>
      </c>
      <c r="D37" s="4" t="s">
        <v>1241</v>
      </c>
      <c r="E37" s="4" t="s">
        <v>1313</v>
      </c>
      <c r="F37" s="4" t="s">
        <v>1312</v>
      </c>
      <c r="G37" s="4" t="str">
        <f t="array" ref="G37">IFERROR(IF(INDEX(Matches!$W$5:$W$22,MATCH($C37,Matches!$A$5:$A$22,0))="","",INDEX(Matches!$W$5:$W$22,MATCH($C37,Matches!$A$5:$A$22,0))),"")</f>
        <v>Ancient</v>
      </c>
      <c r="H37" s="4" t="str">
        <f t="array" ref="H37">IFERROR(IF(INDEX(Matches!$X$5:$X$22,MATCH($C37,Matches!$A$5:$A$22,0))="","",INDEX(Matches!$X$5:$X$22,MATCH($C37,Matches!$A$5:$A$22,0))),"")</f>
        <v>Nuke</v>
      </c>
      <c r="I37" s="4" t="str">
        <f t="array" ref="I37">IFERROR(IF(INDEX(Matches!$Y$5:$Y$22,MATCH($C37,Matches!$A$5:$A$22,0))="","",INDEX(Matches!$Y$5:$Y$22,MATCH($C37,Matches!$A$5:$A$22,0))),"")</f>
        <v>Mirage</v>
      </c>
      <c r="J37" s="4">
        <f t="array" ref="J37">IFERROR(IF(INDEX(Matches!$Z$5:$Z$22,MATCH($C37,Matches!$A$5:$A$22,0))="","",INDEX(Matches!$Z$5:$Z$22,MATCH($C37,Matches!$A$5:$A$22,0))),"")</f>
        <v>21.5</v>
      </c>
      <c r="K37" s="4">
        <f t="array" ref="K37">IFERROR(IF(INDEX(Matches!$AA$5:$AA$22,MATCH($C37,Matches!$A$5:$A$22,0))="","",INDEX(Matches!$AA$5:$AA$22,MATCH($C37,Matches!$A$5:$A$22,0))),"")</f>
        <v>21.5</v>
      </c>
      <c r="L37" s="4">
        <f t="array" ref="L37">IFERROR(IF(INDEX(Matches!$AB$5:$AB$22,MATCH($C37,Matches!$A$5:$A$22,0))="","",INDEX(Matches!$AB$5:$AB$22,MATCH($C37,Matches!$A$5:$A$22,0))),"")</f>
        <v>21.5</v>
      </c>
      <c r="M37" s="11">
        <f t="array" ref="M37">IFERROR(IF(INDEX(Matches!$AC$5:$AC$22,MATCH($C37,Matches!$A$5:$A$22,0))="","",INDEX(Matches!$AC$5:$AC$22,MATCH($C37,Matches!$A$5:$A$22,0))),"")</f>
        <v>0.5053</v>
      </c>
      <c r="N37" s="4">
        <f t="array" ref="N37">IFERROR(INDEX(Players!$F$2:$F$127,MATCH($F37,Players!$A$2:$A$127,0)),0)</f>
        <v>29</v>
      </c>
      <c r="O37" s="18">
        <f t="array" ref="O37">IFERROR(1/(1/INDEX(Players!$H$2:$H$127,MATCH($F37,Players!$A$2:$A$127,0))),"")</f>
        <v>0.76</v>
      </c>
      <c r="P37" s="11">
        <f t="array" ref="P37">IFERROR(1/(1/INDEX(Players!$I$2:$I$127,MATCH($F37,Players!$A$2:$A$127,0))),"")</f>
        <v>0.543</v>
      </c>
      <c r="Q37" s="4">
        <f>IF($G37="",0,SUMIFS(Map_Stats!$F$2:$F$825,Map_Stats!$A$2:$A$825,$F37&amp;"|"&amp;$G37))</f>
        <v>4</v>
      </c>
      <c r="R37" s="18">
        <f t="array" ref="R37">IF($G37="","",IFERROR(1/(1/INDEX(Map_Stats!$K$2:$K$825,MATCH($F37&amp;"|"&amp;$G37,Map_Stats!$A$2:$A$825,0))),$O37))</f>
        <v>0.76</v>
      </c>
      <c r="S37" s="11">
        <f t="array" ref="S37">IF(OR($G37="",$P37=""),"",IFERROR(1/(1/INDEX(Map_Stats!$I$2:$I$825,MATCH($F37&amp;"|"&amp;$G37,Map_Stats!$A$2:$A$825,0))),$P37))</f>
        <v>0.574</v>
      </c>
      <c r="T37" s="18">
        <f>IF(OR($G37="",R37=""),"",IF($O37="",R37,(Q37*R37+Config!$B$4*$O37)/(Q37+Config!$B$4)))</f>
        <v>0.76</v>
      </c>
      <c r="U37" s="11">
        <f>IF(S37="","",(Q37*S37+Config!$B$4*$P37)/(Q37+Config!$B$4))</f>
        <v>0.5567777778</v>
      </c>
      <c r="V37" s="17">
        <f>IF(OR(T37="",$J37=""),"",T37*$J37*($J37/Config!$B$10)^Config!$B$9)</f>
        <v>16.34</v>
      </c>
      <c r="W37" s="17">
        <f t="shared" si="1"/>
        <v>9.097748889</v>
      </c>
      <c r="X37" s="4">
        <f>IF($H37="",0,SUMIFS(Map_Stats!$F$2:$F$825,Map_Stats!$A$2:$A$825,$F37&amp;"|"&amp;$H37))</f>
        <v>6</v>
      </c>
      <c r="Y37" s="18">
        <f t="array" ref="Y37">IF($H37="","",IFERROR(1/(1/INDEX(Map_Stats!$K$2:$K$825,MATCH($F37&amp;"|"&amp;$H37,Map_Stats!$A$2:$A$825,0))),$O37))</f>
        <v>0.83</v>
      </c>
      <c r="Z37" s="11">
        <f t="array" ref="Z37">IF(OR($H37="",$P37=""),"",IFERROR(1/(1/INDEX(Map_Stats!$I$2:$I$825,MATCH($F37&amp;"|"&amp;$H37,Map_Stats!$A$2:$A$825,0))),$P37))</f>
        <v>0.634</v>
      </c>
      <c r="AA37" s="18">
        <f>IF(OR($H37="",Y37=""),"",IF($O37="",Y37,(X37*Y37+Config!$B$4*$O37)/(X37+Config!$B$4)))</f>
        <v>0.7981818182</v>
      </c>
      <c r="AB37" s="11">
        <f>IF(Z37="","",(X37*Z37+Config!$B$4*$P37)/(X37+Config!$B$4))</f>
        <v>0.5926363636</v>
      </c>
      <c r="AC37" s="17">
        <f>IF(OR(AA37="",$K37=""),"",AA37*$K37*($K37/Config!$B$10)^Config!$B$9)</f>
        <v>17.16090909</v>
      </c>
      <c r="AD37" s="17">
        <f t="shared" si="2"/>
        <v>10.17017876</v>
      </c>
      <c r="AE37" s="4">
        <f>IF($I37="",0,SUMIFS(Map_Stats!$F$2:$F$825,Map_Stats!$A$2:$A$825,$F37&amp;"|"&amp;$I37))</f>
        <v>8</v>
      </c>
      <c r="AF37" s="18">
        <f t="array" ref="AF37">IF($I37="","",IFERROR(1/(1/INDEX(Map_Stats!$K$2:$K$825,MATCH($F37&amp;"|"&amp;$I37,Map_Stats!$A$2:$A$825,0))),$O37))</f>
        <v>0.81</v>
      </c>
      <c r="AG37" s="11">
        <f t="array" ref="AG37">IF(OR($I37="",$P37=""),"",IFERROR(1/(1/INDEX(Map_Stats!$I$2:$I$825,MATCH($F37&amp;"|"&amp;$I37,Map_Stats!$A$2:$A$825,0))),$P37))</f>
        <v>0.429</v>
      </c>
      <c r="AH37" s="18">
        <f>IF(OR($I37="",AF37=""),"",IF($O37="",AF37,(AE37*AF37+Config!$B$4*$O37)/(AE37+Config!$B$4)))</f>
        <v>0.7907692308</v>
      </c>
      <c r="AI37" s="11">
        <f>IF(AG37="","",(AE37*AG37+Config!$B$4*$P37)/(AE37+Config!$B$4))</f>
        <v>0.4728461538</v>
      </c>
      <c r="AJ37" s="17">
        <f>IF(OR(AH37="",$L37=""),"",AH37*$L37*($L37/Config!$B$10)^Config!$B$9)</f>
        <v>17.00153846</v>
      </c>
      <c r="AK37" s="17">
        <f t="shared" si="3"/>
        <v>8.039112071</v>
      </c>
      <c r="AL37" s="17">
        <f t="shared" si="4"/>
        <v>33.50090909</v>
      </c>
      <c r="AM37" s="17">
        <f t="shared" si="5"/>
        <v>42.09178648</v>
      </c>
      <c r="AN37" s="17">
        <f t="shared" si="6"/>
        <v>19.26792765</v>
      </c>
      <c r="AO37" s="17">
        <f t="shared" si="7"/>
        <v>23.33009098</v>
      </c>
      <c r="AP37" s="11">
        <f t="shared" si="8"/>
        <v>0.5751464116</v>
      </c>
      <c r="AQ37" s="4" t="str">
        <f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4" t="str">
        <f>IF($C37=Board!$B$2,COUNTIFS($C$2:$C$157,Board!$B$2,$AL$2:$AL$157,"&gt;"&amp;$AL37)+COUNTIFS($C$1:$C36,Board!$B$2,$AL$1:$AL36,$AL37)+1,"")</f>
        <v/>
      </c>
      <c r="AS37" s="4" t="str">
        <f t="array" ref="AS37">IFERROR(IF($D37=INDEX(Matches!$AD$5:$AD$22,MATCH($C37,Matches!$A$5:$A$22,0)),"A",IF($D37=INDEX(Matches!$AE$5:$AE$22,MATCH($C37,Matches!$A$5:$A$22,0)),"B","")),"")</f>
        <v>A</v>
      </c>
      <c r="AT37" s="11">
        <f t="array" ref="AT37">IF($AS37="","",IFERROR(IF($AS37="A",INDEX(Matches!$AI$5:$AI$22,MATCH($C37,Matches!$A$5:$A$22,0)),INDEX(Matches!$AJ$5:$AJ$22,MATCH($C37,Matches!$A$5:$A$22,0))),""))</f>
        <v>0.5030856051</v>
      </c>
      <c r="AU37" s="11">
        <f t="array" ref="AU37">IF($AS37="","",IFERROR(IF(INDEX(Matches!$AP$5:$AP$22,MATCH($C37,Matches!$A$5:$A$22,0))="","",IF($AS37="A",INDEX(Matches!$AP$5:$AP$22,MATCH($C37,Matches!$A$5:$A$22,0)),1-INDEX(Matches!$AP$5:$AP$22,MATCH($C37,Matches!$A$5:$A$22,0)))),""))</f>
        <v>0.5014662757</v>
      </c>
      <c r="AV37" s="18">
        <f>IF(OR($AU37="",$AT37=""),1,((Config!$B$14*$AU37+Config!$B$15*(1-$AU37))/(Config!$B$14*$AT37+Config!$B$15*(1-$AT37)))^Config!$B$13)</f>
        <v>0.9985569187</v>
      </c>
      <c r="AW37" s="11">
        <f t="array" ref="AW37">IF($AS37="","",IFERROR(IF(INDEX(Matches!$AV$5:$AV$22,MATCH($C37,Matches!$A$5:$A$22,0))="","",IF($AS37="A",INDEX(Matches!$AV$5:$AV$22,MATCH($C37,Matches!$A$5:$A$22,0)),1-INDEX(Matches!$AV$5:$AV$22,MATCH($C37,Matches!$A$5:$A$22,0)))),""))</f>
        <v>0.4979081963</v>
      </c>
      <c r="AX37" s="18">
        <f>IF(OR($AW37="",$AT37=""),1,((Config!$B$14*$AW37+Config!$B$15*(1-$AW37))/(Config!$B$14*$AT37+Config!$B$15*(1-$AT37)))^Config!$B$13)</f>
        <v>0.9953861015</v>
      </c>
      <c r="AY37" s="11">
        <f t="array" ref="AY37">IF($AS37="","",IFERROR(IF(INDEX(Matches!$BB$5:$BB$22,MATCH($C37,Matches!$A$5:$A$22,0))="","",IF($AS37="A",INDEX(Matches!$BB$5:$BB$22,MATCH($C37,Matches!$A$5:$A$22,0)),1-INDEX(Matches!$BB$5:$BB$22,MATCH($C37,Matches!$A$5:$A$22,0)))),""))</f>
        <v>0.4755068866</v>
      </c>
      <c r="AZ37" s="18">
        <f>IF(OR($AY37="",$AT37=""),1,((Config!$B$14*$AY37+Config!$B$15*(1-$AY37))/(Config!$B$14*$AT37+Config!$B$15*(1-$AT37)))^Config!$B$13)</f>
        <v>0.9754229552</v>
      </c>
      <c r="BA37" s="17">
        <f t="shared" si="9"/>
        <v>16.31642005</v>
      </c>
      <c r="BB37" s="17">
        <f t="shared" si="10"/>
        <v>17.0817304</v>
      </c>
      <c r="BC37" s="17">
        <f t="shared" si="11"/>
        <v>16.58369089</v>
      </c>
      <c r="BD37" s="17">
        <f t="shared" si="12"/>
        <v>33.39815045</v>
      </c>
      <c r="BE37" s="17">
        <f t="shared" si="13"/>
        <v>41.77788946</v>
      </c>
      <c r="BF37" s="17">
        <f t="shared" si="14"/>
        <v>9.084620098</v>
      </c>
      <c r="BG37" s="17">
        <f t="shared" si="15"/>
        <v>10.12325459</v>
      </c>
      <c r="BH37" s="17">
        <f t="shared" si="16"/>
        <v>7.841534454</v>
      </c>
      <c r="BI37" s="17">
        <f t="shared" si="17"/>
        <v>19.20787469</v>
      </c>
      <c r="BJ37" s="17">
        <f t="shared" si="18"/>
        <v>23.17020205</v>
      </c>
      <c r="BK37" s="18">
        <f t="shared" si="19"/>
        <v>0.9969326611</v>
      </c>
    </row>
    <row r="38" ht="15.75" customHeight="1">
      <c r="A38" s="4" t="s">
        <v>3155</v>
      </c>
      <c r="B38" s="4" t="s">
        <v>86</v>
      </c>
      <c r="C38" s="4" t="s">
        <v>1234</v>
      </c>
      <c r="D38" s="4" t="s">
        <v>1241</v>
      </c>
      <c r="E38" s="4" t="s">
        <v>1317</v>
      </c>
      <c r="F38" s="4" t="s">
        <v>1316</v>
      </c>
      <c r="G38" s="4" t="str">
        <f t="array" ref="G38">IFERROR(IF(INDEX(Matches!$W$5:$W$22,MATCH($C38,Matches!$A$5:$A$22,0))="","",INDEX(Matches!$W$5:$W$22,MATCH($C38,Matches!$A$5:$A$22,0))),"")</f>
        <v>Ancient</v>
      </c>
      <c r="H38" s="4" t="str">
        <f t="array" ref="H38">IFERROR(IF(INDEX(Matches!$X$5:$X$22,MATCH($C38,Matches!$A$5:$A$22,0))="","",INDEX(Matches!$X$5:$X$22,MATCH($C38,Matches!$A$5:$A$22,0))),"")</f>
        <v>Nuke</v>
      </c>
      <c r="I38" s="4" t="str">
        <f t="array" ref="I38">IFERROR(IF(INDEX(Matches!$Y$5:$Y$22,MATCH($C38,Matches!$A$5:$A$22,0))="","",INDEX(Matches!$Y$5:$Y$22,MATCH($C38,Matches!$A$5:$A$22,0))),"")</f>
        <v>Mirage</v>
      </c>
      <c r="J38" s="4">
        <f t="array" ref="J38">IFERROR(IF(INDEX(Matches!$Z$5:$Z$22,MATCH($C38,Matches!$A$5:$A$22,0))="","",INDEX(Matches!$Z$5:$Z$22,MATCH($C38,Matches!$A$5:$A$22,0))),"")</f>
        <v>21.5</v>
      </c>
      <c r="K38" s="4">
        <f t="array" ref="K38">IFERROR(IF(INDEX(Matches!$AA$5:$AA$22,MATCH($C38,Matches!$A$5:$A$22,0))="","",INDEX(Matches!$AA$5:$AA$22,MATCH($C38,Matches!$A$5:$A$22,0))),"")</f>
        <v>21.5</v>
      </c>
      <c r="L38" s="4">
        <f t="array" ref="L38">IFERROR(IF(INDEX(Matches!$AB$5:$AB$22,MATCH($C38,Matches!$A$5:$A$22,0))="","",INDEX(Matches!$AB$5:$AB$22,MATCH($C38,Matches!$A$5:$A$22,0))),"")</f>
        <v>21.5</v>
      </c>
      <c r="M38" s="11">
        <f t="array" ref="M38">IFERROR(IF(INDEX(Matches!$AC$5:$AC$22,MATCH($C38,Matches!$A$5:$A$22,0))="","",INDEX(Matches!$AC$5:$AC$22,MATCH($C38,Matches!$A$5:$A$22,0))),"")</f>
        <v>0.5053</v>
      </c>
      <c r="N38" s="4">
        <f t="array" ref="N38">IFERROR(INDEX(Players!$F$2:$F$127,MATCH($F38,Players!$A$2:$A$127,0)),0)</f>
        <v>29</v>
      </c>
      <c r="O38" s="18">
        <f t="array" ref="O38">IFERROR(1/(1/INDEX(Players!$H$2:$H$127,MATCH($F38,Players!$A$2:$A$127,0))),"")</f>
        <v>0.67</v>
      </c>
      <c r="P38" s="11">
        <f t="array" ref="P38">IFERROR(1/(1/INDEX(Players!$I$2:$I$127,MATCH($F38,Players!$A$2:$A$127,0))),"")</f>
        <v>0.511</v>
      </c>
      <c r="Q38" s="4">
        <f>IF($G38="",0,SUMIFS(Map_Stats!$F$2:$F$825,Map_Stats!$A$2:$A$825,$F38&amp;"|"&amp;$G38))</f>
        <v>4</v>
      </c>
      <c r="R38" s="18">
        <f t="array" ref="R38">IF($G38="","",IFERROR(1/(1/INDEX(Map_Stats!$K$2:$K$825,MATCH($F38&amp;"|"&amp;$G38,Map_Stats!$A$2:$A$825,0))),$O38))</f>
        <v>0.76</v>
      </c>
      <c r="S38" s="11">
        <f t="array" ref="S38">IF(OR($G38="",$P38=""),"",IFERROR(1/(1/INDEX(Map_Stats!$I$2:$I$825,MATCH($F38&amp;"|"&amp;$G38,Map_Stats!$A$2:$A$825,0))),$P38))</f>
        <v>0.463</v>
      </c>
      <c r="T38" s="18">
        <f>IF(OR($G38="",R38=""),"",IF($O38="",R38,(Q38*R38+Config!$B$4*$O38)/(Q38+Config!$B$4)))</f>
        <v>0.71</v>
      </c>
      <c r="U38" s="11">
        <f>IF(S38="","",(Q38*S38+Config!$B$4*$P38)/(Q38+Config!$B$4))</f>
        <v>0.4896666667</v>
      </c>
      <c r="V38" s="17">
        <f>IF(OR(T38="",$J38=""),"",T38*$J38*($J38/Config!$B$10)^Config!$B$9)</f>
        <v>15.265</v>
      </c>
      <c r="W38" s="17">
        <f t="shared" si="1"/>
        <v>7.474761667</v>
      </c>
      <c r="X38" s="4">
        <f>IF($H38="",0,SUMIFS(Map_Stats!$F$2:$F$825,Map_Stats!$A$2:$A$825,$F38&amp;"|"&amp;$H38))</f>
        <v>6</v>
      </c>
      <c r="Y38" s="18">
        <f t="array" ref="Y38">IF($H38="","",IFERROR(1/(1/INDEX(Map_Stats!$K$2:$K$825,MATCH($F38&amp;"|"&amp;$H38,Map_Stats!$A$2:$A$825,0))),$O38))</f>
        <v>0.61</v>
      </c>
      <c r="Z38" s="11">
        <f t="array" ref="Z38">IF(OR($H38="",$P38=""),"",IFERROR(1/(1/INDEX(Map_Stats!$I$2:$I$825,MATCH($F38&amp;"|"&amp;$H38,Map_Stats!$A$2:$A$825,0))),$P38))</f>
        <v>0.515</v>
      </c>
      <c r="AA38" s="18">
        <f>IF(OR($H38="",Y38=""),"",IF($O38="",Y38,(X38*Y38+Config!$B$4*$O38)/(X38+Config!$B$4)))</f>
        <v>0.6372727273</v>
      </c>
      <c r="AB38" s="11">
        <f>IF(Z38="","",(X38*Z38+Config!$B$4*$P38)/(X38+Config!$B$4))</f>
        <v>0.5131818182</v>
      </c>
      <c r="AC38" s="17">
        <f>IF(OR(AA38="",$K38=""),"",AA38*$K38*($K38/Config!$B$10)^Config!$B$9)</f>
        <v>13.70136364</v>
      </c>
      <c r="AD38" s="17">
        <f t="shared" si="2"/>
        <v>7.031290702</v>
      </c>
      <c r="AE38" s="4">
        <f>IF($I38="",0,SUMIFS(Map_Stats!$F$2:$F$825,Map_Stats!$A$2:$A$825,$F38&amp;"|"&amp;$I38))</f>
        <v>8</v>
      </c>
      <c r="AF38" s="18">
        <f t="array" ref="AF38">IF($I38="","",IFERROR(1/(1/INDEX(Map_Stats!$K$2:$K$825,MATCH($F38&amp;"|"&amp;$I38,Map_Stats!$A$2:$A$825,0))),$O38))</f>
        <v>0.61</v>
      </c>
      <c r="AG38" s="11">
        <f t="array" ref="AG38">IF(OR($I38="",$P38=""),"",IFERROR(1/(1/INDEX(Map_Stats!$I$2:$I$825,MATCH($F38&amp;"|"&amp;$I38,Map_Stats!$A$2:$A$825,0))),$P38))</f>
        <v>0.52</v>
      </c>
      <c r="AH38" s="18">
        <f>IF(OR($I38="",AF38=""),"",IF($O38="",AF38,(AE38*AF38+Config!$B$4*$O38)/(AE38+Config!$B$4)))</f>
        <v>0.6330769231</v>
      </c>
      <c r="AI38" s="11">
        <f>IF(AG38="","",(AE38*AG38+Config!$B$4*$P38)/(AE38+Config!$B$4))</f>
        <v>0.5165384615</v>
      </c>
      <c r="AJ38" s="17">
        <f>IF(OR(AH38="",$L38=""),"",AH38*$L38*($L38/Config!$B$10)^Config!$B$9)</f>
        <v>13.61115385</v>
      </c>
      <c r="AK38" s="17">
        <f t="shared" si="3"/>
        <v>7.030684467</v>
      </c>
      <c r="AL38" s="17">
        <f t="shared" si="4"/>
        <v>28.96636364</v>
      </c>
      <c r="AM38" s="17">
        <f t="shared" si="5"/>
        <v>35.84407967</v>
      </c>
      <c r="AN38" s="17">
        <f t="shared" si="6"/>
        <v>14.50605237</v>
      </c>
      <c r="AO38" s="17">
        <f t="shared" si="7"/>
        <v>18.05865723</v>
      </c>
      <c r="AP38" s="11">
        <f t="shared" si="8"/>
        <v>0.5007895555</v>
      </c>
      <c r="AQ38" s="4" t="str">
        <f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4" t="str">
        <f>IF($C38=Board!$B$2,COUNTIFS($C$2:$C$157,Board!$B$2,$AL$2:$AL$157,"&gt;"&amp;$AL38)+COUNTIFS($C$1:$C37,Board!$B$2,$AL$1:$AL37,$AL38)+1,"")</f>
        <v/>
      </c>
      <c r="AS38" s="4" t="str">
        <f t="array" ref="AS38">IFERROR(IF($D38=INDEX(Matches!$AD$5:$AD$22,MATCH($C38,Matches!$A$5:$A$22,0)),"A",IF($D38=INDEX(Matches!$AE$5:$AE$22,MATCH($C38,Matches!$A$5:$A$22,0)),"B","")),"")</f>
        <v>A</v>
      </c>
      <c r="AT38" s="11">
        <f t="array" ref="AT38">IF($AS38="","",IFERROR(IF($AS38="A",INDEX(Matches!$AI$5:$AI$22,MATCH($C38,Matches!$A$5:$A$22,0)),INDEX(Matches!$AJ$5:$AJ$22,MATCH($C38,Matches!$A$5:$A$22,0))),""))</f>
        <v>0.5030856051</v>
      </c>
      <c r="AU38" s="11">
        <f t="array" ref="AU38">IF($AS38="","",IFERROR(IF(INDEX(Matches!$AP$5:$AP$22,MATCH($C38,Matches!$A$5:$A$22,0))="","",IF($AS38="A",INDEX(Matches!$AP$5:$AP$22,MATCH($C38,Matches!$A$5:$A$22,0)),1-INDEX(Matches!$AP$5:$AP$22,MATCH($C38,Matches!$A$5:$A$22,0)))),""))</f>
        <v>0.5014662757</v>
      </c>
      <c r="AV38" s="18">
        <f>IF(OR($AU38="",$AT38=""),1,((Config!$B$14*$AU38+Config!$B$15*(1-$AU38))/(Config!$B$14*$AT38+Config!$B$15*(1-$AT38)))^Config!$B$13)</f>
        <v>0.9985569187</v>
      </c>
      <c r="AW38" s="11">
        <f t="array" ref="AW38">IF($AS38="","",IFERROR(IF(INDEX(Matches!$AV$5:$AV$22,MATCH($C38,Matches!$A$5:$A$22,0))="","",IF($AS38="A",INDEX(Matches!$AV$5:$AV$22,MATCH($C38,Matches!$A$5:$A$22,0)),1-INDEX(Matches!$AV$5:$AV$22,MATCH($C38,Matches!$A$5:$A$22,0)))),""))</f>
        <v>0.4979081963</v>
      </c>
      <c r="AX38" s="18">
        <f>IF(OR($AW38="",$AT38=""),1,((Config!$B$14*$AW38+Config!$B$15*(1-$AW38))/(Config!$B$14*$AT38+Config!$B$15*(1-$AT38)))^Config!$B$13)</f>
        <v>0.9953861015</v>
      </c>
      <c r="AY38" s="11">
        <f t="array" ref="AY38">IF($AS38="","",IFERROR(IF(INDEX(Matches!$BB$5:$BB$22,MATCH($C38,Matches!$A$5:$A$22,0))="","",IF($AS38="A",INDEX(Matches!$BB$5:$BB$22,MATCH($C38,Matches!$A$5:$A$22,0)),1-INDEX(Matches!$BB$5:$BB$22,MATCH($C38,Matches!$A$5:$A$22,0)))),""))</f>
        <v>0.4755068866</v>
      </c>
      <c r="AZ38" s="18">
        <f>IF(OR($AY38="",$AT38=""),1,((Config!$B$14*$AY38+Config!$B$15*(1-$AY38))/(Config!$B$14*$AT38+Config!$B$15*(1-$AT38)))^Config!$B$13)</f>
        <v>0.9754229552</v>
      </c>
      <c r="BA38" s="17">
        <f t="shared" si="9"/>
        <v>15.24297136</v>
      </c>
      <c r="BB38" s="17">
        <f t="shared" si="10"/>
        <v>13.63814694</v>
      </c>
      <c r="BC38" s="17">
        <f t="shared" si="11"/>
        <v>13.27663191</v>
      </c>
      <c r="BD38" s="17">
        <f t="shared" si="12"/>
        <v>28.8811183</v>
      </c>
      <c r="BE38" s="17">
        <f t="shared" si="13"/>
        <v>35.5898004</v>
      </c>
      <c r="BF38" s="17">
        <f t="shared" si="14"/>
        <v>7.463974978</v>
      </c>
      <c r="BG38" s="17">
        <f t="shared" si="15"/>
        <v>6.998849041</v>
      </c>
      <c r="BH38" s="17">
        <f t="shared" si="16"/>
        <v>6.857891021</v>
      </c>
      <c r="BI38" s="17">
        <f t="shared" si="17"/>
        <v>14.46282402</v>
      </c>
      <c r="BJ38" s="17">
        <f t="shared" si="18"/>
        <v>17.92811635</v>
      </c>
      <c r="BK38" s="18">
        <f t="shared" si="19"/>
        <v>0.9970570922</v>
      </c>
    </row>
    <row r="39" ht="15.75" customHeight="1">
      <c r="A39" s="4" t="s">
        <v>3156</v>
      </c>
      <c r="B39" s="4" t="s">
        <v>86</v>
      </c>
      <c r="C39" s="4" t="s">
        <v>1234</v>
      </c>
      <c r="D39" s="4" t="s">
        <v>1241</v>
      </c>
      <c r="E39" s="4" t="s">
        <v>1320</v>
      </c>
      <c r="F39" s="4" t="s">
        <v>1319</v>
      </c>
      <c r="G39" s="4" t="str">
        <f t="array" ref="G39">IFERROR(IF(INDEX(Matches!$W$5:$W$22,MATCH($C39,Matches!$A$5:$A$22,0))="","",INDEX(Matches!$W$5:$W$22,MATCH($C39,Matches!$A$5:$A$22,0))),"")</f>
        <v>Ancient</v>
      </c>
      <c r="H39" s="4" t="str">
        <f t="array" ref="H39">IFERROR(IF(INDEX(Matches!$X$5:$X$22,MATCH($C39,Matches!$A$5:$A$22,0))="","",INDEX(Matches!$X$5:$X$22,MATCH($C39,Matches!$A$5:$A$22,0))),"")</f>
        <v>Nuke</v>
      </c>
      <c r="I39" s="4" t="str">
        <f t="array" ref="I39">IFERROR(IF(INDEX(Matches!$Y$5:$Y$22,MATCH($C39,Matches!$A$5:$A$22,0))="","",INDEX(Matches!$Y$5:$Y$22,MATCH($C39,Matches!$A$5:$A$22,0))),"")</f>
        <v>Mirage</v>
      </c>
      <c r="J39" s="4">
        <f t="array" ref="J39">IFERROR(IF(INDEX(Matches!$Z$5:$Z$22,MATCH($C39,Matches!$A$5:$A$22,0))="","",INDEX(Matches!$Z$5:$Z$22,MATCH($C39,Matches!$A$5:$A$22,0))),"")</f>
        <v>21.5</v>
      </c>
      <c r="K39" s="4">
        <f t="array" ref="K39">IFERROR(IF(INDEX(Matches!$AA$5:$AA$22,MATCH($C39,Matches!$A$5:$A$22,0))="","",INDEX(Matches!$AA$5:$AA$22,MATCH($C39,Matches!$A$5:$A$22,0))),"")</f>
        <v>21.5</v>
      </c>
      <c r="L39" s="4">
        <f t="array" ref="L39">IFERROR(IF(INDEX(Matches!$AB$5:$AB$22,MATCH($C39,Matches!$A$5:$A$22,0))="","",INDEX(Matches!$AB$5:$AB$22,MATCH($C39,Matches!$A$5:$A$22,0))),"")</f>
        <v>21.5</v>
      </c>
      <c r="M39" s="11">
        <f t="array" ref="M39">IFERROR(IF(INDEX(Matches!$AC$5:$AC$22,MATCH($C39,Matches!$A$5:$A$22,0))="","",INDEX(Matches!$AC$5:$AC$22,MATCH($C39,Matches!$A$5:$A$22,0))),"")</f>
        <v>0.5053</v>
      </c>
      <c r="N39" s="4">
        <f t="array" ref="N39">IFERROR(INDEX(Players!$F$2:$F$127,MATCH($F39,Players!$A$2:$A$127,0)),0)</f>
        <v>29</v>
      </c>
      <c r="O39" s="18">
        <f t="array" ref="O39">IFERROR(1/(1/INDEX(Players!$H$2:$H$127,MATCH($F39,Players!$A$2:$A$127,0))),"")</f>
        <v>0.61</v>
      </c>
      <c r="P39" s="11">
        <f t="array" ref="P39">IFERROR(1/(1/INDEX(Players!$I$2:$I$127,MATCH($F39,Players!$A$2:$A$127,0))),"")</f>
        <v>0.378</v>
      </c>
      <c r="Q39" s="4">
        <f>IF($G39="",0,SUMIFS(Map_Stats!$F$2:$F$825,Map_Stats!$A$2:$A$825,$F39&amp;"|"&amp;$G39))</f>
        <v>4</v>
      </c>
      <c r="R39" s="18">
        <f t="array" ref="R39">IF($G39="","",IFERROR(1/(1/INDEX(Map_Stats!$K$2:$K$825,MATCH($F39&amp;"|"&amp;$G39,Map_Stats!$A$2:$A$825,0))),$O39))</f>
        <v>0.68</v>
      </c>
      <c r="S39" s="11">
        <f t="array" ref="S39">IF(OR($G39="",$P39=""),"",IFERROR(1/(1/INDEX(Map_Stats!$I$2:$I$825,MATCH($F39&amp;"|"&amp;$G39,Map_Stats!$A$2:$A$825,0))),$P39))</f>
        <v>0.542</v>
      </c>
      <c r="T39" s="18">
        <f>IF(OR($G39="",R39=""),"",IF($O39="",R39,(Q39*R39+Config!$B$4*$O39)/(Q39+Config!$B$4)))</f>
        <v>0.6411111111</v>
      </c>
      <c r="U39" s="11">
        <f>IF(S39="","",(Q39*S39+Config!$B$4*$P39)/(Q39+Config!$B$4))</f>
        <v>0.4508888889</v>
      </c>
      <c r="V39" s="17">
        <f>IF(OR(T39="",$J39=""),"",T39*$J39*($J39/Config!$B$10)^Config!$B$9)</f>
        <v>13.78388889</v>
      </c>
      <c r="W39" s="17">
        <f t="shared" si="1"/>
        <v>6.215002346</v>
      </c>
      <c r="X39" s="4">
        <f>IF($H39="",0,SUMIFS(Map_Stats!$F$2:$F$825,Map_Stats!$A$2:$A$825,$F39&amp;"|"&amp;$H39))</f>
        <v>6</v>
      </c>
      <c r="Y39" s="18">
        <f t="array" ref="Y39">IF($H39="","",IFERROR(1/(1/INDEX(Map_Stats!$K$2:$K$825,MATCH($F39&amp;"|"&amp;$H39,Map_Stats!$A$2:$A$825,0))),$O39))</f>
        <v>0.61</v>
      </c>
      <c r="Z39" s="11">
        <f t="array" ref="Z39">IF(OR($H39="",$P39=""),"",IFERROR(1/(1/INDEX(Map_Stats!$I$2:$I$825,MATCH($F39&amp;"|"&amp;$H39,Map_Stats!$A$2:$A$825,0))),$P39))</f>
        <v>0.382</v>
      </c>
      <c r="AA39" s="18">
        <f>IF(OR($H39="",Y39=""),"",IF($O39="",Y39,(X39*Y39+Config!$B$4*$O39)/(X39+Config!$B$4)))</f>
        <v>0.61</v>
      </c>
      <c r="AB39" s="11">
        <f>IF(Z39="","",(X39*Z39+Config!$B$4*$P39)/(X39+Config!$B$4))</f>
        <v>0.3801818182</v>
      </c>
      <c r="AC39" s="17">
        <f>IF(OR(AA39="",$K39=""),"",AA39*$K39*($K39/Config!$B$10)^Config!$B$9)</f>
        <v>13.115</v>
      </c>
      <c r="AD39" s="17">
        <f t="shared" si="2"/>
        <v>4.986084545</v>
      </c>
      <c r="AE39" s="4">
        <f>IF($I39="",0,SUMIFS(Map_Stats!$F$2:$F$825,Map_Stats!$A$2:$A$825,$F39&amp;"|"&amp;$I39))</f>
        <v>8</v>
      </c>
      <c r="AF39" s="18">
        <f t="array" ref="AF39">IF($I39="","",IFERROR(1/(1/INDEX(Map_Stats!$K$2:$K$825,MATCH($F39&amp;"|"&amp;$I39,Map_Stats!$A$2:$A$825,0))),$O39))</f>
        <v>0.62</v>
      </c>
      <c r="AG39" s="11">
        <f t="array" ref="AG39">IF(OR($I39="",$P39=""),"",IFERROR(1/(1/INDEX(Map_Stats!$I$2:$I$825,MATCH($F39&amp;"|"&amp;$I39,Map_Stats!$A$2:$A$825,0))),$P39))</f>
        <v>0.311</v>
      </c>
      <c r="AH39" s="18">
        <f>IF(OR($I39="",AF39=""),"",IF($O39="",AF39,(AE39*AF39+Config!$B$4*$O39)/(AE39+Config!$B$4)))</f>
        <v>0.6161538462</v>
      </c>
      <c r="AI39" s="11">
        <f>IF(AG39="","",(AE39*AG39+Config!$B$4*$P39)/(AE39+Config!$B$4))</f>
        <v>0.3367692308</v>
      </c>
      <c r="AJ39" s="17">
        <f>IF(OR(AH39="",$L39=""),"",AH39*$L39*($L39/Config!$B$10)^Config!$B$9)</f>
        <v>13.24730769</v>
      </c>
      <c r="AK39" s="17">
        <f t="shared" si="3"/>
        <v>4.461285621</v>
      </c>
      <c r="AL39" s="17">
        <f t="shared" si="4"/>
        <v>26.89888889</v>
      </c>
      <c r="AM39" s="17">
        <f t="shared" si="5"/>
        <v>33.59275347</v>
      </c>
      <c r="AN39" s="17">
        <f t="shared" si="6"/>
        <v>11.20108689</v>
      </c>
      <c r="AO39" s="17">
        <f t="shared" si="7"/>
        <v>13.45537452</v>
      </c>
      <c r="AP39" s="11">
        <f t="shared" si="8"/>
        <v>0.4164144823</v>
      </c>
      <c r="AQ39" s="4" t="str">
        <f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4" t="str">
        <f>IF($C39=Board!$B$2,COUNTIFS($C$2:$C$157,Board!$B$2,$AL$2:$AL$157,"&gt;"&amp;$AL39)+COUNTIFS($C$1:$C38,Board!$B$2,$AL$1:$AL38,$AL39)+1,"")</f>
        <v/>
      </c>
      <c r="AS39" s="4" t="str">
        <f t="array" ref="AS39">IFERROR(IF($D39=INDEX(Matches!$AD$5:$AD$22,MATCH($C39,Matches!$A$5:$A$22,0)),"A",IF($D39=INDEX(Matches!$AE$5:$AE$22,MATCH($C39,Matches!$A$5:$A$22,0)),"B","")),"")</f>
        <v>A</v>
      </c>
      <c r="AT39" s="11">
        <f t="array" ref="AT39">IF($AS39="","",IFERROR(IF($AS39="A",INDEX(Matches!$AI$5:$AI$22,MATCH($C39,Matches!$A$5:$A$22,0)),INDEX(Matches!$AJ$5:$AJ$22,MATCH($C39,Matches!$A$5:$A$22,0))),""))</f>
        <v>0.5030856051</v>
      </c>
      <c r="AU39" s="11">
        <f t="array" ref="AU39">IF($AS39="","",IFERROR(IF(INDEX(Matches!$AP$5:$AP$22,MATCH($C39,Matches!$A$5:$A$22,0))="","",IF($AS39="A",INDEX(Matches!$AP$5:$AP$22,MATCH($C39,Matches!$A$5:$A$22,0)),1-INDEX(Matches!$AP$5:$AP$22,MATCH($C39,Matches!$A$5:$A$22,0)))),""))</f>
        <v>0.5014662757</v>
      </c>
      <c r="AV39" s="18">
        <f>IF(OR($AU39="",$AT39=""),1,((Config!$B$14*$AU39+Config!$B$15*(1-$AU39))/(Config!$B$14*$AT39+Config!$B$15*(1-$AT39)))^Config!$B$13)</f>
        <v>0.9985569187</v>
      </c>
      <c r="AW39" s="11">
        <f t="array" ref="AW39">IF($AS39="","",IFERROR(IF(INDEX(Matches!$AV$5:$AV$22,MATCH($C39,Matches!$A$5:$A$22,0))="","",IF($AS39="A",INDEX(Matches!$AV$5:$AV$22,MATCH($C39,Matches!$A$5:$A$22,0)),1-INDEX(Matches!$AV$5:$AV$22,MATCH($C39,Matches!$A$5:$A$22,0)))),""))</f>
        <v>0.4979081963</v>
      </c>
      <c r="AX39" s="18">
        <f>IF(OR($AW39="",$AT39=""),1,((Config!$B$14*$AW39+Config!$B$15*(1-$AW39))/(Config!$B$14*$AT39+Config!$B$15*(1-$AT39)))^Config!$B$13)</f>
        <v>0.9953861015</v>
      </c>
      <c r="AY39" s="11">
        <f t="array" ref="AY39">IF($AS39="","",IFERROR(IF(INDEX(Matches!$BB$5:$BB$22,MATCH($C39,Matches!$A$5:$A$22,0))="","",IF($AS39="A",INDEX(Matches!$BB$5:$BB$22,MATCH($C39,Matches!$A$5:$A$22,0)),1-INDEX(Matches!$BB$5:$BB$22,MATCH($C39,Matches!$A$5:$A$22,0)))),""))</f>
        <v>0.4755068866</v>
      </c>
      <c r="AZ39" s="18">
        <f>IF(OR($AY39="",$AT39=""),1,((Config!$B$14*$AY39+Config!$B$15*(1-$AY39))/(Config!$B$14*$AT39+Config!$B$15*(1-$AT39)))^Config!$B$13)</f>
        <v>0.9754229552</v>
      </c>
      <c r="BA39" s="17">
        <f t="shared" si="9"/>
        <v>13.76399762</v>
      </c>
      <c r="BB39" s="17">
        <f t="shared" si="10"/>
        <v>13.05448872</v>
      </c>
      <c r="BC39" s="17">
        <f t="shared" si="11"/>
        <v>12.92172802</v>
      </c>
      <c r="BD39" s="17">
        <f t="shared" si="12"/>
        <v>26.81848634</v>
      </c>
      <c r="BE39" s="17">
        <f t="shared" si="13"/>
        <v>33.34783551</v>
      </c>
      <c r="BF39" s="17">
        <f t="shared" si="14"/>
        <v>6.206033592</v>
      </c>
      <c r="BG39" s="17">
        <f t="shared" si="15"/>
        <v>4.963079258</v>
      </c>
      <c r="BH39" s="17">
        <f t="shared" si="16"/>
        <v>4.351640405</v>
      </c>
      <c r="BI39" s="17">
        <f t="shared" si="17"/>
        <v>11.16911285</v>
      </c>
      <c r="BJ39" s="17">
        <f t="shared" si="18"/>
        <v>13.36799675</v>
      </c>
      <c r="BK39" s="18">
        <f t="shared" si="19"/>
        <v>0.9970109341</v>
      </c>
    </row>
    <row r="40" ht="15.75" customHeight="1">
      <c r="A40" s="4" t="s">
        <v>3158</v>
      </c>
      <c r="B40" s="4" t="s">
        <v>86</v>
      </c>
      <c r="C40" s="4" t="s">
        <v>1234</v>
      </c>
      <c r="D40" s="4" t="s">
        <v>1242</v>
      </c>
      <c r="E40" s="4" t="s">
        <v>1356</v>
      </c>
      <c r="F40" s="4" t="s">
        <v>1355</v>
      </c>
      <c r="G40" s="4" t="str">
        <f t="array" ref="G40">IFERROR(IF(INDEX(Matches!$W$5:$W$22,MATCH($C40,Matches!$A$5:$A$22,0))="","",INDEX(Matches!$W$5:$W$22,MATCH($C40,Matches!$A$5:$A$22,0))),"")</f>
        <v>Ancient</v>
      </c>
      <c r="H40" s="4" t="str">
        <f t="array" ref="H40">IFERROR(IF(INDEX(Matches!$X$5:$X$22,MATCH($C40,Matches!$A$5:$A$22,0))="","",INDEX(Matches!$X$5:$X$22,MATCH($C40,Matches!$A$5:$A$22,0))),"")</f>
        <v>Nuke</v>
      </c>
      <c r="I40" s="4" t="str">
        <f t="array" ref="I40">IFERROR(IF(INDEX(Matches!$Y$5:$Y$22,MATCH($C40,Matches!$A$5:$A$22,0))="","",INDEX(Matches!$Y$5:$Y$22,MATCH($C40,Matches!$A$5:$A$22,0))),"")</f>
        <v>Mirage</v>
      </c>
      <c r="J40" s="4">
        <f t="array" ref="J40">IFERROR(IF(INDEX(Matches!$Z$5:$Z$22,MATCH($C40,Matches!$A$5:$A$22,0))="","",INDEX(Matches!$Z$5:$Z$22,MATCH($C40,Matches!$A$5:$A$22,0))),"")</f>
        <v>21.5</v>
      </c>
      <c r="K40" s="4">
        <f t="array" ref="K40">IFERROR(IF(INDEX(Matches!$AA$5:$AA$22,MATCH($C40,Matches!$A$5:$A$22,0))="","",INDEX(Matches!$AA$5:$AA$22,MATCH($C40,Matches!$A$5:$A$22,0))),"")</f>
        <v>21.5</v>
      </c>
      <c r="L40" s="4">
        <f t="array" ref="L40">IFERROR(IF(INDEX(Matches!$AB$5:$AB$22,MATCH($C40,Matches!$A$5:$A$22,0))="","",INDEX(Matches!$AB$5:$AB$22,MATCH($C40,Matches!$A$5:$A$22,0))),"")</f>
        <v>21.5</v>
      </c>
      <c r="M40" s="11">
        <f t="array" ref="M40">IFERROR(IF(INDEX(Matches!$AC$5:$AC$22,MATCH($C40,Matches!$A$5:$A$22,0))="","",INDEX(Matches!$AC$5:$AC$22,MATCH($C40,Matches!$A$5:$A$22,0))),"")</f>
        <v>0.5053</v>
      </c>
      <c r="N40" s="4">
        <f t="array" ref="N40">IFERROR(INDEX(Players!$F$2:$F$127,MATCH($F40,Players!$A$2:$A$127,0)),0)</f>
        <v>30</v>
      </c>
      <c r="O40" s="18">
        <f t="array" ref="O40">IFERROR(1/(1/INDEX(Players!$H$2:$H$127,MATCH($F40,Players!$A$2:$A$127,0))),"")</f>
        <v>0.72</v>
      </c>
      <c r="P40" s="11">
        <f t="array" ref="P40">IFERROR(1/(1/INDEX(Players!$I$2:$I$127,MATCH($F40,Players!$A$2:$A$127,0))),"")</f>
        <v>0.567</v>
      </c>
      <c r="Q40" s="4">
        <f>IF($G40="",0,SUMIFS(Map_Stats!$F$2:$F$825,Map_Stats!$A$2:$A$825,$F40&amp;"|"&amp;$G40))</f>
        <v>7</v>
      </c>
      <c r="R40" s="18">
        <f t="array" ref="R40">IF($G40="","",IFERROR(1/(1/INDEX(Map_Stats!$K$2:$K$825,MATCH($F40&amp;"|"&amp;$G40,Map_Stats!$A$2:$A$825,0))),$O40))</f>
        <v>0.76</v>
      </c>
      <c r="S40" s="11">
        <f t="array" ref="S40">IF(OR($G40="",$P40=""),"",IFERROR(1/(1/INDEX(Map_Stats!$I$2:$I$825,MATCH($F40&amp;"|"&amp;$G40,Map_Stats!$A$2:$A$825,0))),$P40))</f>
        <v>0.53</v>
      </c>
      <c r="T40" s="18">
        <f>IF(OR($G40="",R40=""),"",IF($O40="",R40,(Q40*R40+Config!$B$4*$O40)/(Q40+Config!$B$4)))</f>
        <v>0.7433333333</v>
      </c>
      <c r="U40" s="11">
        <f>IF(S40="","",(Q40*S40+Config!$B$4*$P40)/(Q40+Config!$B$4))</f>
        <v>0.5454166667</v>
      </c>
      <c r="V40" s="17">
        <f>IF(OR(T40="",$J40=""),"",T40*$J40*($J40/Config!$B$10)^Config!$B$9)</f>
        <v>15.98166667</v>
      </c>
      <c r="W40" s="17">
        <f t="shared" si="1"/>
        <v>8.716667361</v>
      </c>
      <c r="X40" s="4">
        <f>IF($H40="",0,SUMIFS(Map_Stats!$F$2:$F$825,Map_Stats!$A$2:$A$825,$F40&amp;"|"&amp;$H40))</f>
        <v>3</v>
      </c>
      <c r="Y40" s="18">
        <f t="array" ref="Y40">IF($H40="","",IFERROR(1/(1/INDEX(Map_Stats!$K$2:$K$825,MATCH($F40&amp;"|"&amp;$H40,Map_Stats!$A$2:$A$825,0))),$O40))</f>
        <v>0.81</v>
      </c>
      <c r="Z40" s="11">
        <f t="array" ref="Z40">IF(OR($H40="",$P40=""),"",IFERROR(1/(1/INDEX(Map_Stats!$I$2:$I$825,MATCH($F40&amp;"|"&amp;$H40,Map_Stats!$A$2:$A$825,0))),$P40))</f>
        <v>0.627</v>
      </c>
      <c r="AA40" s="18">
        <f>IF(OR($H40="",Y40=""),"",IF($O40="",Y40,(X40*Y40+Config!$B$4*$O40)/(X40+Config!$B$4)))</f>
        <v>0.75375</v>
      </c>
      <c r="AB40" s="11">
        <f>IF(Z40="","",(X40*Z40+Config!$B$4*$P40)/(X40+Config!$B$4))</f>
        <v>0.5895</v>
      </c>
      <c r="AC40" s="17">
        <f>IF(OR(AA40="",$K40=""),"",AA40*$K40*($K40/Config!$B$10)^Config!$B$9)</f>
        <v>16.205625</v>
      </c>
      <c r="AD40" s="17">
        <f t="shared" si="2"/>
        <v>9.553215938</v>
      </c>
      <c r="AE40" s="4">
        <f>IF($I40="",0,SUMIFS(Map_Stats!$F$2:$F$825,Map_Stats!$A$2:$A$825,$F40&amp;"|"&amp;$I40))</f>
        <v>5</v>
      </c>
      <c r="AF40" s="18">
        <f t="array" ref="AF40">IF($I40="","",IFERROR(1/(1/INDEX(Map_Stats!$K$2:$K$825,MATCH($F40&amp;"|"&amp;$I40,Map_Stats!$A$2:$A$825,0))),$O40))</f>
        <v>0.72</v>
      </c>
      <c r="AG40" s="11">
        <f t="array" ref="AG40">IF(OR($I40="",$P40=""),"",IFERROR(1/(1/INDEX(Map_Stats!$I$2:$I$825,MATCH($F40&amp;"|"&amp;$I40,Map_Stats!$A$2:$A$825,0))),$P40))</f>
        <v>0.627</v>
      </c>
      <c r="AH40" s="18">
        <f>IF(OR($I40="",AF40=""),"",IF($O40="",AF40,(AE40*AF40+Config!$B$4*$O40)/(AE40+Config!$B$4)))</f>
        <v>0.72</v>
      </c>
      <c r="AI40" s="11">
        <f>IF(AG40="","",(AE40*AG40+Config!$B$4*$P40)/(AE40+Config!$B$4))</f>
        <v>0.597</v>
      </c>
      <c r="AJ40" s="17">
        <f>IF(OR(AH40="",$L40=""),"",AH40*$L40*($L40/Config!$B$10)^Config!$B$9)</f>
        <v>15.48</v>
      </c>
      <c r="AK40" s="17">
        <f t="shared" si="3"/>
        <v>9.24156</v>
      </c>
      <c r="AL40" s="17">
        <f t="shared" si="4"/>
        <v>32.18729167</v>
      </c>
      <c r="AM40" s="17">
        <f t="shared" si="5"/>
        <v>40.00933567</v>
      </c>
      <c r="AN40" s="17">
        <f t="shared" si="6"/>
        <v>18.2698833</v>
      </c>
      <c r="AO40" s="17">
        <f t="shared" si="7"/>
        <v>22.93964357</v>
      </c>
      <c r="AP40" s="11">
        <f t="shared" si="8"/>
        <v>0.5676116987</v>
      </c>
      <c r="AQ40" s="4" t="str">
        <f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4" t="str">
        <f>IF($C40=Board!$B$2,COUNTIFS($C$2:$C$157,Board!$B$2,$AL$2:$AL$157,"&gt;"&amp;$AL40)+COUNTIFS($C$1:$C39,Board!$B$2,$AL$1:$AL39,$AL40)+1,"")</f>
        <v/>
      </c>
      <c r="AS40" s="4" t="str">
        <f t="array" ref="AS40">IFERROR(IF($D40=INDEX(Matches!$AD$5:$AD$22,MATCH($C40,Matches!$A$5:$A$22,0)),"A",IF($D40=INDEX(Matches!$AE$5:$AE$22,MATCH($C40,Matches!$A$5:$A$22,0)),"B","")),"")</f>
        <v>B</v>
      </c>
      <c r="AT40" s="11">
        <f t="array" ref="AT40">IF($AS40="","",IFERROR(IF($AS40="A",INDEX(Matches!$AI$5:$AI$22,MATCH($C40,Matches!$A$5:$A$22,0)),INDEX(Matches!$AJ$5:$AJ$22,MATCH($C40,Matches!$A$5:$A$22,0))),""))</f>
        <v>0.4999295969</v>
      </c>
      <c r="AU40" s="11">
        <f t="array" ref="AU40">IF($AS40="","",IFERROR(IF(INDEX(Matches!$AP$5:$AP$22,MATCH($C40,Matches!$A$5:$A$22,0))="","",IF($AS40="A",INDEX(Matches!$AP$5:$AP$22,MATCH($C40,Matches!$A$5:$A$22,0)),1-INDEX(Matches!$AP$5:$AP$22,MATCH($C40,Matches!$A$5:$A$22,0)))),""))</f>
        <v>0.4985337243</v>
      </c>
      <c r="AV40" s="18">
        <f>IF(OR($AU40="",$AT40=""),1,((Config!$B$14*$AU40+Config!$B$15*(1-$AU40))/(Config!$B$14*$AT40+Config!$B$15*(1-$AT40)))^Config!$B$13)</f>
        <v>0.9987525461</v>
      </c>
      <c r="AW40" s="11">
        <f t="array" ref="AW40">IF($AS40="","",IFERROR(IF(INDEX(Matches!$AV$5:$AV$22,MATCH($C40,Matches!$A$5:$A$22,0))="","",IF($AS40="A",INDEX(Matches!$AV$5:$AV$22,MATCH($C40,Matches!$A$5:$A$22,0)),1-INDEX(Matches!$AV$5:$AV$22,MATCH($C40,Matches!$A$5:$A$22,0)))),""))</f>
        <v>0.5020918037</v>
      </c>
      <c r="AX40" s="18">
        <f>IF(OR($AW40="",$AT40=""),1,((Config!$B$14*$AW40+Config!$B$15*(1-$AW40))/(Config!$B$14*$AT40+Config!$B$15*(1-$AT40)))^Config!$B$13)</f>
        <v>1.001932306</v>
      </c>
      <c r="AY40" s="11">
        <f t="array" ref="AY40">IF($AS40="","",IFERROR(IF(INDEX(Matches!$BB$5:$BB$22,MATCH($C40,Matches!$A$5:$A$22,0))="","",IF($AS40="A",INDEX(Matches!$BB$5:$BB$22,MATCH($C40,Matches!$A$5:$A$22,0)),1-INDEX(Matches!$BB$5:$BB$22,MATCH($C40,Matches!$A$5:$A$22,0)))),""))</f>
        <v>0.5244931134</v>
      </c>
      <c r="AZ40" s="18">
        <f>IF(OR($AY40="",$AT40=""),1,((Config!$B$14*$AY40+Config!$B$15*(1-$AY40))/(Config!$B$14*$AT40+Config!$B$15*(1-$AT40)))^Config!$B$13)</f>
        <v>1.021951758</v>
      </c>
      <c r="BA40" s="17">
        <f t="shared" si="9"/>
        <v>15.96173027</v>
      </c>
      <c r="BB40" s="17">
        <f t="shared" si="10"/>
        <v>16.23693923</v>
      </c>
      <c r="BC40" s="17">
        <f t="shared" si="11"/>
        <v>15.81981321</v>
      </c>
      <c r="BD40" s="17">
        <f t="shared" si="12"/>
        <v>32.19866951</v>
      </c>
      <c r="BE40" s="17">
        <f t="shared" si="13"/>
        <v>40.19242112</v>
      </c>
      <c r="BF40" s="17">
        <f t="shared" si="14"/>
        <v>8.70579372</v>
      </c>
      <c r="BG40" s="17">
        <f t="shared" si="15"/>
        <v>9.571675677</v>
      </c>
      <c r="BH40" s="17">
        <f t="shared" si="16"/>
        <v>9.444428484</v>
      </c>
      <c r="BI40" s="17">
        <f t="shared" si="17"/>
        <v>18.2774694</v>
      </c>
      <c r="BJ40" s="17">
        <f t="shared" si="18"/>
        <v>23.04973911</v>
      </c>
      <c r="BK40" s="18">
        <f t="shared" si="19"/>
        <v>1.000353489</v>
      </c>
    </row>
    <row r="41" ht="15.75" customHeight="1">
      <c r="A41" s="4" t="s">
        <v>3159</v>
      </c>
      <c r="B41" s="4" t="s">
        <v>86</v>
      </c>
      <c r="C41" s="4" t="s">
        <v>1234</v>
      </c>
      <c r="D41" s="4" t="s">
        <v>1242</v>
      </c>
      <c r="E41" s="4" t="s">
        <v>1360</v>
      </c>
      <c r="F41" s="4" t="s">
        <v>1359</v>
      </c>
      <c r="G41" s="4" t="str">
        <f t="array" ref="G41">IFERROR(IF(INDEX(Matches!$W$5:$W$22,MATCH($C41,Matches!$A$5:$A$22,0))="","",INDEX(Matches!$W$5:$W$22,MATCH($C41,Matches!$A$5:$A$22,0))),"")</f>
        <v>Ancient</v>
      </c>
      <c r="H41" s="4" t="str">
        <f t="array" ref="H41">IFERROR(IF(INDEX(Matches!$X$5:$X$22,MATCH($C41,Matches!$A$5:$A$22,0))="","",INDEX(Matches!$X$5:$X$22,MATCH($C41,Matches!$A$5:$A$22,0))),"")</f>
        <v>Nuke</v>
      </c>
      <c r="I41" s="4" t="str">
        <f t="array" ref="I41">IFERROR(IF(INDEX(Matches!$Y$5:$Y$22,MATCH($C41,Matches!$A$5:$A$22,0))="","",INDEX(Matches!$Y$5:$Y$22,MATCH($C41,Matches!$A$5:$A$22,0))),"")</f>
        <v>Mirage</v>
      </c>
      <c r="J41" s="4">
        <f t="array" ref="J41">IFERROR(IF(INDEX(Matches!$Z$5:$Z$22,MATCH($C41,Matches!$A$5:$A$22,0))="","",INDEX(Matches!$Z$5:$Z$22,MATCH($C41,Matches!$A$5:$A$22,0))),"")</f>
        <v>21.5</v>
      </c>
      <c r="K41" s="4">
        <f t="array" ref="K41">IFERROR(IF(INDEX(Matches!$AA$5:$AA$22,MATCH($C41,Matches!$A$5:$A$22,0))="","",INDEX(Matches!$AA$5:$AA$22,MATCH($C41,Matches!$A$5:$A$22,0))),"")</f>
        <v>21.5</v>
      </c>
      <c r="L41" s="4">
        <f t="array" ref="L41">IFERROR(IF(INDEX(Matches!$AB$5:$AB$22,MATCH($C41,Matches!$A$5:$A$22,0))="","",INDEX(Matches!$AB$5:$AB$22,MATCH($C41,Matches!$A$5:$A$22,0))),"")</f>
        <v>21.5</v>
      </c>
      <c r="M41" s="11">
        <f t="array" ref="M41">IFERROR(IF(INDEX(Matches!$AC$5:$AC$22,MATCH($C41,Matches!$A$5:$A$22,0))="","",INDEX(Matches!$AC$5:$AC$22,MATCH($C41,Matches!$A$5:$A$22,0))),"")</f>
        <v>0.5053</v>
      </c>
      <c r="N41" s="4">
        <f t="array" ref="N41">IFERROR(INDEX(Players!$F$2:$F$127,MATCH($F41,Players!$A$2:$A$127,0)),0)</f>
        <v>30</v>
      </c>
      <c r="O41" s="18">
        <f t="array" ref="O41">IFERROR(1/(1/INDEX(Players!$H$2:$H$127,MATCH($F41,Players!$A$2:$A$127,0))),"")</f>
        <v>0.64</v>
      </c>
      <c r="P41" s="11">
        <f t="array" ref="P41">IFERROR(1/(1/INDEX(Players!$I$2:$I$127,MATCH($F41,Players!$A$2:$A$127,0))),"")</f>
        <v>0.353</v>
      </c>
      <c r="Q41" s="4">
        <f>IF($G41="",0,SUMIFS(Map_Stats!$F$2:$F$825,Map_Stats!$A$2:$A$825,$F41&amp;"|"&amp;$G41))</f>
        <v>7</v>
      </c>
      <c r="R41" s="18">
        <f t="array" ref="R41">IF($G41="","",IFERROR(1/(1/INDEX(Map_Stats!$K$2:$K$825,MATCH($F41&amp;"|"&amp;$G41,Map_Stats!$A$2:$A$825,0))),$O41))</f>
        <v>0.58</v>
      </c>
      <c r="S41" s="11">
        <f t="array" ref="S41">IF(OR($G41="",$P41=""),"",IFERROR(1/(1/INDEX(Map_Stats!$I$2:$I$825,MATCH($F41&amp;"|"&amp;$G41,Map_Stats!$A$2:$A$825,0))),$P41))</f>
        <v>0.356</v>
      </c>
      <c r="T41" s="18">
        <f>IF(OR($G41="",R41=""),"",IF($O41="",R41,(Q41*R41+Config!$B$4*$O41)/(Q41+Config!$B$4)))</f>
        <v>0.605</v>
      </c>
      <c r="U41" s="11">
        <f>IF(S41="","",(Q41*S41+Config!$B$4*$P41)/(Q41+Config!$B$4))</f>
        <v>0.35475</v>
      </c>
      <c r="V41" s="17">
        <f>IF(OR(T41="",$J41=""),"",T41*$J41*($J41/Config!$B$10)^Config!$B$9)</f>
        <v>13.0075</v>
      </c>
      <c r="W41" s="17">
        <f t="shared" si="1"/>
        <v>4.614410625</v>
      </c>
      <c r="X41" s="4">
        <f>IF($H41="",0,SUMIFS(Map_Stats!$F$2:$F$825,Map_Stats!$A$2:$A$825,$F41&amp;"|"&amp;$H41))</f>
        <v>3</v>
      </c>
      <c r="Y41" s="18">
        <f t="array" ref="Y41">IF($H41="","",IFERROR(1/(1/INDEX(Map_Stats!$K$2:$K$825,MATCH($F41&amp;"|"&amp;$H41,Map_Stats!$A$2:$A$825,0))),$O41))</f>
        <v>0.73</v>
      </c>
      <c r="Z41" s="11">
        <f t="array" ref="Z41">IF(OR($H41="",$P41=""),"",IFERROR(1/(1/INDEX(Map_Stats!$I$2:$I$825,MATCH($F41&amp;"|"&amp;$H41,Map_Stats!$A$2:$A$825,0))),$P41))</f>
        <v>0.37</v>
      </c>
      <c r="AA41" s="18">
        <f>IF(OR($H41="",Y41=""),"",IF($O41="",Y41,(X41*Y41+Config!$B$4*$O41)/(X41+Config!$B$4)))</f>
        <v>0.67375</v>
      </c>
      <c r="AB41" s="11">
        <f>IF(Z41="","",(X41*Z41+Config!$B$4*$P41)/(X41+Config!$B$4))</f>
        <v>0.359375</v>
      </c>
      <c r="AC41" s="17">
        <f>IF(OR(AA41="",$K41=""),"",AA41*$K41*($K41/Config!$B$10)^Config!$B$9)</f>
        <v>14.485625</v>
      </c>
      <c r="AD41" s="17">
        <f t="shared" si="2"/>
        <v>5.205771484</v>
      </c>
      <c r="AE41" s="4">
        <f>IF($I41="",0,SUMIFS(Map_Stats!$F$2:$F$825,Map_Stats!$A$2:$A$825,$F41&amp;"|"&amp;$I41))</f>
        <v>5</v>
      </c>
      <c r="AF41" s="18">
        <f t="array" ref="AF41">IF($I41="","",IFERROR(1/(1/INDEX(Map_Stats!$K$2:$K$825,MATCH($F41&amp;"|"&amp;$I41,Map_Stats!$A$2:$A$825,0))),$O41))</f>
        <v>0.61</v>
      </c>
      <c r="AG41" s="11">
        <f t="array" ref="AG41">IF(OR($I41="",$P41=""),"",IFERROR(1/(1/INDEX(Map_Stats!$I$2:$I$825,MATCH($F41&amp;"|"&amp;$I41,Map_Stats!$A$2:$A$825,0))),$P41))</f>
        <v>0.291</v>
      </c>
      <c r="AH41" s="18">
        <f>IF(OR($I41="",AF41=""),"",IF($O41="",AF41,(AE41*AF41+Config!$B$4*$O41)/(AE41+Config!$B$4)))</f>
        <v>0.625</v>
      </c>
      <c r="AI41" s="11">
        <f>IF(AG41="","",(AE41*AG41+Config!$B$4*$P41)/(AE41+Config!$B$4))</f>
        <v>0.322</v>
      </c>
      <c r="AJ41" s="17">
        <f>IF(OR(AH41="",$L41=""),"",AH41*$L41*($L41/Config!$B$10)^Config!$B$9)</f>
        <v>13.4375</v>
      </c>
      <c r="AK41" s="17">
        <f t="shared" si="3"/>
        <v>4.326875</v>
      </c>
      <c r="AL41" s="17">
        <f t="shared" si="4"/>
        <v>27.493125</v>
      </c>
      <c r="AM41" s="17">
        <f t="shared" si="5"/>
        <v>34.28309375</v>
      </c>
      <c r="AN41" s="17">
        <f t="shared" si="6"/>
        <v>9.820182109</v>
      </c>
      <c r="AO41" s="17">
        <f t="shared" si="7"/>
        <v>12.00655205</v>
      </c>
      <c r="AP41" s="11">
        <f t="shared" si="8"/>
        <v>0.357186828</v>
      </c>
      <c r="AQ41" s="4" t="str">
        <f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4" t="str">
        <f>IF($C41=Board!$B$2,COUNTIFS($C$2:$C$157,Board!$B$2,$AL$2:$AL$157,"&gt;"&amp;$AL41)+COUNTIFS($C$1:$C40,Board!$B$2,$AL$1:$AL40,$AL41)+1,"")</f>
        <v/>
      </c>
      <c r="AS41" s="4" t="str">
        <f t="array" ref="AS41">IFERROR(IF($D41=INDEX(Matches!$AD$5:$AD$22,MATCH($C41,Matches!$A$5:$A$22,0)),"A",IF($D41=INDEX(Matches!$AE$5:$AE$22,MATCH($C41,Matches!$A$5:$A$22,0)),"B","")),"")</f>
        <v>B</v>
      </c>
      <c r="AT41" s="11">
        <f t="array" ref="AT41">IF($AS41="","",IFERROR(IF($AS41="A",INDEX(Matches!$AI$5:$AI$22,MATCH($C41,Matches!$A$5:$A$22,0)),INDEX(Matches!$AJ$5:$AJ$22,MATCH($C41,Matches!$A$5:$A$22,0))),""))</f>
        <v>0.4999295969</v>
      </c>
      <c r="AU41" s="11">
        <f t="array" ref="AU41">IF($AS41="","",IFERROR(IF(INDEX(Matches!$AP$5:$AP$22,MATCH($C41,Matches!$A$5:$A$22,0))="","",IF($AS41="A",INDEX(Matches!$AP$5:$AP$22,MATCH($C41,Matches!$A$5:$A$22,0)),1-INDEX(Matches!$AP$5:$AP$22,MATCH($C41,Matches!$A$5:$A$22,0)))),""))</f>
        <v>0.4985337243</v>
      </c>
      <c r="AV41" s="18">
        <f>IF(OR($AU41="",$AT41=""),1,((Config!$B$14*$AU41+Config!$B$15*(1-$AU41))/(Config!$B$14*$AT41+Config!$B$15*(1-$AT41)))^Config!$B$13)</f>
        <v>0.9987525461</v>
      </c>
      <c r="AW41" s="11">
        <f t="array" ref="AW41">IF($AS41="","",IFERROR(IF(INDEX(Matches!$AV$5:$AV$22,MATCH($C41,Matches!$A$5:$A$22,0))="","",IF($AS41="A",INDEX(Matches!$AV$5:$AV$22,MATCH($C41,Matches!$A$5:$A$22,0)),1-INDEX(Matches!$AV$5:$AV$22,MATCH($C41,Matches!$A$5:$A$22,0)))),""))</f>
        <v>0.5020918037</v>
      </c>
      <c r="AX41" s="18">
        <f>IF(OR($AW41="",$AT41=""),1,((Config!$B$14*$AW41+Config!$B$15*(1-$AW41))/(Config!$B$14*$AT41+Config!$B$15*(1-$AT41)))^Config!$B$13)</f>
        <v>1.001932306</v>
      </c>
      <c r="AY41" s="11">
        <f t="array" ref="AY41">IF($AS41="","",IFERROR(IF(INDEX(Matches!$BB$5:$BB$22,MATCH($C41,Matches!$A$5:$A$22,0))="","",IF($AS41="A",INDEX(Matches!$BB$5:$BB$22,MATCH($C41,Matches!$A$5:$A$22,0)),1-INDEX(Matches!$BB$5:$BB$22,MATCH($C41,Matches!$A$5:$A$22,0)))),""))</f>
        <v>0.5244931134</v>
      </c>
      <c r="AZ41" s="18">
        <f>IF(OR($AY41="",$AT41=""),1,((Config!$B$14*$AY41+Config!$B$15*(1-$AY41))/(Config!$B$14*$AT41+Config!$B$15*(1-$AT41)))^Config!$B$13)</f>
        <v>1.021951758</v>
      </c>
      <c r="BA41" s="17">
        <f t="shared" si="9"/>
        <v>12.99127374</v>
      </c>
      <c r="BB41" s="17">
        <f t="shared" si="10"/>
        <v>14.51361567</v>
      </c>
      <c r="BC41" s="17">
        <f t="shared" si="11"/>
        <v>13.73247674</v>
      </c>
      <c r="BD41" s="17">
        <f t="shared" si="12"/>
        <v>27.50488941</v>
      </c>
      <c r="BE41" s="17">
        <f t="shared" si="13"/>
        <v>34.44390991</v>
      </c>
      <c r="BF41" s="17">
        <f t="shared" si="14"/>
        <v>4.60865436</v>
      </c>
      <c r="BG41" s="17">
        <f t="shared" si="15"/>
        <v>5.21583063</v>
      </c>
      <c r="BH41" s="17">
        <f t="shared" si="16"/>
        <v>4.421857511</v>
      </c>
      <c r="BI41" s="17">
        <f t="shared" si="17"/>
        <v>9.82448499</v>
      </c>
      <c r="BJ41" s="17">
        <f t="shared" si="18"/>
        <v>12.05884959</v>
      </c>
      <c r="BK41" s="18">
        <f t="shared" si="19"/>
        <v>1.000427904</v>
      </c>
    </row>
    <row r="42" ht="15.75" customHeight="1">
      <c r="A42" s="4" t="s">
        <v>3160</v>
      </c>
      <c r="B42" s="4" t="s">
        <v>86</v>
      </c>
      <c r="C42" s="4" t="s">
        <v>1234</v>
      </c>
      <c r="D42" s="4" t="s">
        <v>1242</v>
      </c>
      <c r="E42" s="4" t="s">
        <v>1363</v>
      </c>
      <c r="F42" s="4" t="s">
        <v>1362</v>
      </c>
      <c r="G42" s="4" t="str">
        <f t="array" ref="G42">IFERROR(IF(INDEX(Matches!$W$5:$W$22,MATCH($C42,Matches!$A$5:$A$22,0))="","",INDEX(Matches!$W$5:$W$22,MATCH($C42,Matches!$A$5:$A$22,0))),"")</f>
        <v>Ancient</v>
      </c>
      <c r="H42" s="4" t="str">
        <f t="array" ref="H42">IFERROR(IF(INDEX(Matches!$X$5:$X$22,MATCH($C42,Matches!$A$5:$A$22,0))="","",INDEX(Matches!$X$5:$X$22,MATCH($C42,Matches!$A$5:$A$22,0))),"")</f>
        <v>Nuke</v>
      </c>
      <c r="I42" s="4" t="str">
        <f t="array" ref="I42">IFERROR(IF(INDEX(Matches!$Y$5:$Y$22,MATCH($C42,Matches!$A$5:$A$22,0))="","",INDEX(Matches!$Y$5:$Y$22,MATCH($C42,Matches!$A$5:$A$22,0))),"")</f>
        <v>Mirage</v>
      </c>
      <c r="J42" s="4">
        <f t="array" ref="J42">IFERROR(IF(INDEX(Matches!$Z$5:$Z$22,MATCH($C42,Matches!$A$5:$A$22,0))="","",INDEX(Matches!$Z$5:$Z$22,MATCH($C42,Matches!$A$5:$A$22,0))),"")</f>
        <v>21.5</v>
      </c>
      <c r="K42" s="4">
        <f t="array" ref="K42">IFERROR(IF(INDEX(Matches!$AA$5:$AA$22,MATCH($C42,Matches!$A$5:$A$22,0))="","",INDEX(Matches!$AA$5:$AA$22,MATCH($C42,Matches!$A$5:$A$22,0))),"")</f>
        <v>21.5</v>
      </c>
      <c r="L42" s="4">
        <f t="array" ref="L42">IFERROR(IF(INDEX(Matches!$AB$5:$AB$22,MATCH($C42,Matches!$A$5:$A$22,0))="","",INDEX(Matches!$AB$5:$AB$22,MATCH($C42,Matches!$A$5:$A$22,0))),"")</f>
        <v>21.5</v>
      </c>
      <c r="M42" s="11">
        <f t="array" ref="M42">IFERROR(IF(INDEX(Matches!$AC$5:$AC$22,MATCH($C42,Matches!$A$5:$A$22,0))="","",INDEX(Matches!$AC$5:$AC$22,MATCH($C42,Matches!$A$5:$A$22,0))),"")</f>
        <v>0.5053</v>
      </c>
      <c r="N42" s="4">
        <f t="array" ref="N42">IFERROR(INDEX(Players!$F$2:$F$127,MATCH($F42,Players!$A$2:$A$127,0)),0)</f>
        <v>30</v>
      </c>
      <c r="O42" s="18">
        <f t="array" ref="O42">IFERROR(1/(1/INDEX(Players!$H$2:$H$127,MATCH($F42,Players!$A$2:$A$127,0))),"")</f>
        <v>0.64</v>
      </c>
      <c r="P42" s="11">
        <f t="array" ref="P42">IFERROR(1/(1/INDEX(Players!$I$2:$I$127,MATCH($F42,Players!$A$2:$A$127,0))),"")</f>
        <v>0.471</v>
      </c>
      <c r="Q42" s="4">
        <f>IF($G42="",0,SUMIFS(Map_Stats!$F$2:$F$825,Map_Stats!$A$2:$A$825,$F42&amp;"|"&amp;$G42))</f>
        <v>7</v>
      </c>
      <c r="R42" s="18">
        <f t="array" ref="R42">IF($G42="","",IFERROR(1/(1/INDEX(Map_Stats!$K$2:$K$825,MATCH($F42&amp;"|"&amp;$G42,Map_Stats!$A$2:$A$825,0))),$O42))</f>
        <v>0.65</v>
      </c>
      <c r="S42" s="11">
        <f t="array" ref="S42">IF(OR($G42="",$P42=""),"",IFERROR(1/(1/INDEX(Map_Stats!$I$2:$I$825,MATCH($F42&amp;"|"&amp;$G42,Map_Stats!$A$2:$A$825,0))),$P42))</f>
        <v>0.504</v>
      </c>
      <c r="T42" s="18">
        <f>IF(OR($G42="",R42=""),"",IF($O42="",R42,(Q42*R42+Config!$B$4*$O42)/(Q42+Config!$B$4)))</f>
        <v>0.6458333333</v>
      </c>
      <c r="U42" s="11">
        <f>IF(S42="","",(Q42*S42+Config!$B$4*$P42)/(Q42+Config!$B$4))</f>
        <v>0.49025</v>
      </c>
      <c r="V42" s="17">
        <f>IF(OR(T42="",$J42=""),"",T42*$J42*($J42/Config!$B$10)^Config!$B$9)</f>
        <v>13.88541667</v>
      </c>
      <c r="W42" s="17">
        <f t="shared" si="1"/>
        <v>6.807325521</v>
      </c>
      <c r="X42" s="4">
        <f>IF($H42="",0,SUMIFS(Map_Stats!$F$2:$F$825,Map_Stats!$A$2:$A$825,$F42&amp;"|"&amp;$H42))</f>
        <v>3</v>
      </c>
      <c r="Y42" s="18">
        <f t="array" ref="Y42">IF($H42="","",IFERROR(1/(1/INDEX(Map_Stats!$K$2:$K$825,MATCH($F42&amp;"|"&amp;$H42,Map_Stats!$A$2:$A$825,0))),$O42))</f>
        <v>0.65</v>
      </c>
      <c r="Z42" s="11">
        <f t="array" ref="Z42">IF(OR($H42="",$P42=""),"",IFERROR(1/(1/INDEX(Map_Stats!$I$2:$I$825,MATCH($F42&amp;"|"&amp;$H42,Map_Stats!$A$2:$A$825,0))),$P42))</f>
        <v>0.512</v>
      </c>
      <c r="AA42" s="18">
        <f>IF(OR($H42="",Y42=""),"",IF($O42="",Y42,(X42*Y42+Config!$B$4*$O42)/(X42+Config!$B$4)))</f>
        <v>0.64375</v>
      </c>
      <c r="AB42" s="11">
        <f>IF(Z42="","",(X42*Z42+Config!$B$4*$P42)/(X42+Config!$B$4))</f>
        <v>0.486375</v>
      </c>
      <c r="AC42" s="17">
        <f>IF(OR(AA42="",$K42=""),"",AA42*$K42*($K42/Config!$B$10)^Config!$B$9)</f>
        <v>13.840625</v>
      </c>
      <c r="AD42" s="17">
        <f t="shared" si="2"/>
        <v>6.731733984</v>
      </c>
      <c r="AE42" s="4">
        <f>IF($I42="",0,SUMIFS(Map_Stats!$F$2:$F$825,Map_Stats!$A$2:$A$825,$F42&amp;"|"&amp;$I42))</f>
        <v>5</v>
      </c>
      <c r="AF42" s="18">
        <f t="array" ref="AF42">IF($I42="","",IFERROR(1/(1/INDEX(Map_Stats!$K$2:$K$825,MATCH($F42&amp;"|"&amp;$I42,Map_Stats!$A$2:$A$825,0))),$O42))</f>
        <v>0.6</v>
      </c>
      <c r="AG42" s="11">
        <f t="array" ref="AG42">IF(OR($I42="",$P42=""),"",IFERROR(1/(1/INDEX(Map_Stats!$I$2:$I$825,MATCH($F42&amp;"|"&amp;$I42,Map_Stats!$A$2:$A$825,0))),$P42))</f>
        <v>0.405</v>
      </c>
      <c r="AH42" s="18">
        <f>IF(OR($I42="",AF42=""),"",IF($O42="",AF42,(AE42*AF42+Config!$B$4*$O42)/(AE42+Config!$B$4)))</f>
        <v>0.62</v>
      </c>
      <c r="AI42" s="11">
        <f>IF(AG42="","",(AE42*AG42+Config!$B$4*$P42)/(AE42+Config!$B$4))</f>
        <v>0.438</v>
      </c>
      <c r="AJ42" s="17">
        <f>IF(OR(AH42="",$L42=""),"",AH42*$L42*($L42/Config!$B$10)^Config!$B$9)</f>
        <v>13.33</v>
      </c>
      <c r="AK42" s="17">
        <f t="shared" si="3"/>
        <v>5.83854</v>
      </c>
      <c r="AL42" s="17">
        <f t="shared" si="4"/>
        <v>27.72604167</v>
      </c>
      <c r="AM42" s="17">
        <f t="shared" si="5"/>
        <v>34.46169067</v>
      </c>
      <c r="AN42" s="17">
        <f t="shared" si="6"/>
        <v>13.53905951</v>
      </c>
      <c r="AO42" s="17">
        <f t="shared" si="7"/>
        <v>16.48927377</v>
      </c>
      <c r="AP42" s="11">
        <f t="shared" si="8"/>
        <v>0.48831563</v>
      </c>
      <c r="AQ42" s="4" t="str">
        <f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4" t="str">
        <f>IF($C42=Board!$B$2,COUNTIFS($C$2:$C$157,Board!$B$2,$AL$2:$AL$157,"&gt;"&amp;$AL42)+COUNTIFS($C$1:$C41,Board!$B$2,$AL$1:$AL41,$AL42)+1,"")</f>
        <v/>
      </c>
      <c r="AS42" s="4" t="str">
        <f t="array" ref="AS42">IFERROR(IF($D42=INDEX(Matches!$AD$5:$AD$22,MATCH($C42,Matches!$A$5:$A$22,0)),"A",IF($D42=INDEX(Matches!$AE$5:$AE$22,MATCH($C42,Matches!$A$5:$A$22,0)),"B","")),"")</f>
        <v>B</v>
      </c>
      <c r="AT42" s="11">
        <f t="array" ref="AT42">IF($AS42="","",IFERROR(IF($AS42="A",INDEX(Matches!$AI$5:$AI$22,MATCH($C42,Matches!$A$5:$A$22,0)),INDEX(Matches!$AJ$5:$AJ$22,MATCH($C42,Matches!$A$5:$A$22,0))),""))</f>
        <v>0.4999295969</v>
      </c>
      <c r="AU42" s="11">
        <f t="array" ref="AU42">IF($AS42="","",IFERROR(IF(INDEX(Matches!$AP$5:$AP$22,MATCH($C42,Matches!$A$5:$A$22,0))="","",IF($AS42="A",INDEX(Matches!$AP$5:$AP$22,MATCH($C42,Matches!$A$5:$A$22,0)),1-INDEX(Matches!$AP$5:$AP$22,MATCH($C42,Matches!$A$5:$A$22,0)))),""))</f>
        <v>0.4985337243</v>
      </c>
      <c r="AV42" s="18">
        <f>IF(OR($AU42="",$AT42=""),1,((Config!$B$14*$AU42+Config!$B$15*(1-$AU42))/(Config!$B$14*$AT42+Config!$B$15*(1-$AT42)))^Config!$B$13)</f>
        <v>0.9987525461</v>
      </c>
      <c r="AW42" s="11">
        <f t="array" ref="AW42">IF($AS42="","",IFERROR(IF(INDEX(Matches!$AV$5:$AV$22,MATCH($C42,Matches!$A$5:$A$22,0))="","",IF($AS42="A",INDEX(Matches!$AV$5:$AV$22,MATCH($C42,Matches!$A$5:$A$22,0)),1-INDEX(Matches!$AV$5:$AV$22,MATCH($C42,Matches!$A$5:$A$22,0)))),""))</f>
        <v>0.5020918037</v>
      </c>
      <c r="AX42" s="18">
        <f>IF(OR($AW42="",$AT42=""),1,((Config!$B$14*$AW42+Config!$B$15*(1-$AW42))/(Config!$B$14*$AT42+Config!$B$15*(1-$AT42)))^Config!$B$13)</f>
        <v>1.001932306</v>
      </c>
      <c r="AY42" s="11">
        <f t="array" ref="AY42">IF($AS42="","",IFERROR(IF(INDEX(Matches!$BB$5:$BB$22,MATCH($C42,Matches!$A$5:$A$22,0))="","",IF($AS42="A",INDEX(Matches!$BB$5:$BB$22,MATCH($C42,Matches!$A$5:$A$22,0)),1-INDEX(Matches!$BB$5:$BB$22,MATCH($C42,Matches!$A$5:$A$22,0)))),""))</f>
        <v>0.5244931134</v>
      </c>
      <c r="AZ42" s="18">
        <f>IF(OR($AY42="",$AT42=""),1,((Config!$B$14*$AY42+Config!$B$15*(1-$AY42))/(Config!$B$14*$AT42+Config!$B$15*(1-$AT42)))^Config!$B$13)</f>
        <v>1.021951758</v>
      </c>
      <c r="BA42" s="17">
        <f t="shared" si="9"/>
        <v>13.86809525</v>
      </c>
      <c r="BB42" s="17">
        <f t="shared" si="10"/>
        <v>13.86736933</v>
      </c>
      <c r="BC42" s="17">
        <f t="shared" si="11"/>
        <v>13.62261693</v>
      </c>
      <c r="BD42" s="17">
        <f t="shared" si="12"/>
        <v>27.73546458</v>
      </c>
      <c r="BE42" s="17">
        <f t="shared" si="13"/>
        <v>34.61897291</v>
      </c>
      <c r="BF42" s="17">
        <f t="shared" si="14"/>
        <v>6.798833696</v>
      </c>
      <c r="BG42" s="17">
        <f t="shared" si="15"/>
        <v>6.744741757</v>
      </c>
      <c r="BH42" s="17">
        <f t="shared" si="16"/>
        <v>5.966706214</v>
      </c>
      <c r="BI42" s="17">
        <f t="shared" si="17"/>
        <v>13.54357545</v>
      </c>
      <c r="BJ42" s="17">
        <f t="shared" si="18"/>
        <v>16.5585521</v>
      </c>
      <c r="BK42" s="18">
        <f t="shared" si="19"/>
        <v>1.000339858</v>
      </c>
    </row>
    <row r="43" ht="15.75" customHeight="1">
      <c r="A43" s="4" t="s">
        <v>3161</v>
      </c>
      <c r="B43" s="4" t="s">
        <v>86</v>
      </c>
      <c r="C43" s="4" t="s">
        <v>1234</v>
      </c>
      <c r="D43" s="4" t="s">
        <v>1242</v>
      </c>
      <c r="E43" s="4" t="s">
        <v>1366</v>
      </c>
      <c r="F43" s="4" t="s">
        <v>1365</v>
      </c>
      <c r="G43" s="4" t="str">
        <f t="array" ref="G43">IFERROR(IF(INDEX(Matches!$W$5:$W$22,MATCH($C43,Matches!$A$5:$A$22,0))="","",INDEX(Matches!$W$5:$W$22,MATCH($C43,Matches!$A$5:$A$22,0))),"")</f>
        <v>Ancient</v>
      </c>
      <c r="H43" s="4" t="str">
        <f t="array" ref="H43">IFERROR(IF(INDEX(Matches!$X$5:$X$22,MATCH($C43,Matches!$A$5:$A$22,0))="","",INDEX(Matches!$X$5:$X$22,MATCH($C43,Matches!$A$5:$A$22,0))),"")</f>
        <v>Nuke</v>
      </c>
      <c r="I43" s="4" t="str">
        <f t="array" ref="I43">IFERROR(IF(INDEX(Matches!$Y$5:$Y$22,MATCH($C43,Matches!$A$5:$A$22,0))="","",INDEX(Matches!$Y$5:$Y$22,MATCH($C43,Matches!$A$5:$A$22,0))),"")</f>
        <v>Mirage</v>
      </c>
      <c r="J43" s="4">
        <f t="array" ref="J43">IFERROR(IF(INDEX(Matches!$Z$5:$Z$22,MATCH($C43,Matches!$A$5:$A$22,0))="","",INDEX(Matches!$Z$5:$Z$22,MATCH($C43,Matches!$A$5:$A$22,0))),"")</f>
        <v>21.5</v>
      </c>
      <c r="K43" s="4">
        <f t="array" ref="K43">IFERROR(IF(INDEX(Matches!$AA$5:$AA$22,MATCH($C43,Matches!$A$5:$A$22,0))="","",INDEX(Matches!$AA$5:$AA$22,MATCH($C43,Matches!$A$5:$A$22,0))),"")</f>
        <v>21.5</v>
      </c>
      <c r="L43" s="4">
        <f t="array" ref="L43">IFERROR(IF(INDEX(Matches!$AB$5:$AB$22,MATCH($C43,Matches!$A$5:$A$22,0))="","",INDEX(Matches!$AB$5:$AB$22,MATCH($C43,Matches!$A$5:$A$22,0))),"")</f>
        <v>21.5</v>
      </c>
      <c r="M43" s="11">
        <f t="array" ref="M43">IFERROR(IF(INDEX(Matches!$AC$5:$AC$22,MATCH($C43,Matches!$A$5:$A$22,0))="","",INDEX(Matches!$AC$5:$AC$22,MATCH($C43,Matches!$A$5:$A$22,0))),"")</f>
        <v>0.5053</v>
      </c>
      <c r="N43" s="4">
        <f t="array" ref="N43">IFERROR(INDEX(Players!$F$2:$F$127,MATCH($F43,Players!$A$2:$A$127,0)),0)</f>
        <v>30</v>
      </c>
      <c r="O43" s="18">
        <f t="array" ref="O43">IFERROR(1/(1/INDEX(Players!$H$2:$H$127,MATCH($F43,Players!$A$2:$A$127,0))),"")</f>
        <v>0.69</v>
      </c>
      <c r="P43" s="11">
        <f t="array" ref="P43">IFERROR(1/(1/INDEX(Players!$I$2:$I$127,MATCH($F43,Players!$A$2:$A$127,0))),"")</f>
        <v>0.604</v>
      </c>
      <c r="Q43" s="4">
        <f>IF($G43="",0,SUMIFS(Map_Stats!$F$2:$F$825,Map_Stats!$A$2:$A$825,$F43&amp;"|"&amp;$G43))</f>
        <v>7</v>
      </c>
      <c r="R43" s="18">
        <f t="array" ref="R43">IF($G43="","",IFERROR(1/(1/INDEX(Map_Stats!$K$2:$K$825,MATCH($F43&amp;"|"&amp;$G43,Map_Stats!$A$2:$A$825,0))),$O43))</f>
        <v>0.71</v>
      </c>
      <c r="S43" s="11">
        <f t="array" ref="S43">IF(OR($G43="",$P43=""),"",IFERROR(1/(1/INDEX(Map_Stats!$I$2:$I$825,MATCH($F43&amp;"|"&amp;$G43,Map_Stats!$A$2:$A$825,0))),$P43))</f>
        <v>0.582</v>
      </c>
      <c r="T43" s="18">
        <f>IF(OR($G43="",R43=""),"",IF($O43="",R43,(Q43*R43+Config!$B$4*$O43)/(Q43+Config!$B$4)))</f>
        <v>0.7016666667</v>
      </c>
      <c r="U43" s="11">
        <f>IF(S43="","",(Q43*S43+Config!$B$4*$P43)/(Q43+Config!$B$4))</f>
        <v>0.5911666667</v>
      </c>
      <c r="V43" s="17">
        <f>IF(OR(T43="",$J43=""),"",T43*$J43*($J43/Config!$B$10)^Config!$B$9)</f>
        <v>15.08583333</v>
      </c>
      <c r="W43" s="17">
        <f t="shared" si="1"/>
        <v>8.918241806</v>
      </c>
      <c r="X43" s="4">
        <f>IF($H43="",0,SUMIFS(Map_Stats!$F$2:$F$825,Map_Stats!$A$2:$A$825,$F43&amp;"|"&amp;$H43))</f>
        <v>3</v>
      </c>
      <c r="Y43" s="18">
        <f t="array" ref="Y43">IF($H43="","",IFERROR(1/(1/INDEX(Map_Stats!$K$2:$K$825,MATCH($F43&amp;"|"&amp;$H43,Map_Stats!$A$2:$A$825,0))),$O43))</f>
        <v>0.76</v>
      </c>
      <c r="Z43" s="11">
        <f t="array" ref="Z43">IF(OR($H43="",$P43=""),"",IFERROR(1/(1/INDEX(Map_Stats!$I$2:$I$825,MATCH($F43&amp;"|"&amp;$H43,Map_Stats!$A$2:$A$825,0))),$P43))</f>
        <v>0.542</v>
      </c>
      <c r="AA43" s="18">
        <f>IF(OR($H43="",Y43=""),"",IF($O43="",Y43,(X43*Y43+Config!$B$4*$O43)/(X43+Config!$B$4)))</f>
        <v>0.71625</v>
      </c>
      <c r="AB43" s="11">
        <f>IF(Z43="","",(X43*Z43+Config!$B$4*$P43)/(X43+Config!$B$4))</f>
        <v>0.58075</v>
      </c>
      <c r="AC43" s="17">
        <f>IF(OR(AA43="",$K43=""),"",AA43*$K43*($K43/Config!$B$10)^Config!$B$9)</f>
        <v>15.399375</v>
      </c>
      <c r="AD43" s="17">
        <f t="shared" si="2"/>
        <v>8.943187031</v>
      </c>
      <c r="AE43" s="4">
        <f>IF($I43="",0,SUMIFS(Map_Stats!$F$2:$F$825,Map_Stats!$A$2:$A$825,$F43&amp;"|"&amp;$I43))</f>
        <v>5</v>
      </c>
      <c r="AF43" s="18">
        <f t="array" ref="AF43">IF($I43="","",IFERROR(1/(1/INDEX(Map_Stats!$K$2:$K$825,MATCH($F43&amp;"|"&amp;$I43,Map_Stats!$A$2:$A$825,0))),$O43))</f>
        <v>0.73</v>
      </c>
      <c r="AG43" s="11">
        <f t="array" ref="AG43">IF(OR($I43="",$P43=""),"",IFERROR(1/(1/INDEX(Map_Stats!$I$2:$I$825,MATCH($F43&amp;"|"&amp;$I43,Map_Stats!$A$2:$A$825,0))),$P43))</f>
        <v>0.592</v>
      </c>
      <c r="AH43" s="18">
        <f>IF(OR($I43="",AF43=""),"",IF($O43="",AF43,(AE43*AF43+Config!$B$4*$O43)/(AE43+Config!$B$4)))</f>
        <v>0.71</v>
      </c>
      <c r="AI43" s="11">
        <f>IF(AG43="","",(AE43*AG43+Config!$B$4*$P43)/(AE43+Config!$B$4))</f>
        <v>0.598</v>
      </c>
      <c r="AJ43" s="17">
        <f>IF(OR(AH43="",$L43=""),"",AH43*$L43*($L43/Config!$B$10)^Config!$B$9)</f>
        <v>15.265</v>
      </c>
      <c r="AK43" s="17">
        <f t="shared" si="3"/>
        <v>9.12847</v>
      </c>
      <c r="AL43" s="17">
        <f t="shared" si="4"/>
        <v>30.48520833</v>
      </c>
      <c r="AM43" s="17">
        <f t="shared" si="5"/>
        <v>38.19861283</v>
      </c>
      <c r="AN43" s="17">
        <f t="shared" si="6"/>
        <v>17.86142884</v>
      </c>
      <c r="AO43" s="17">
        <f t="shared" si="7"/>
        <v>22.47404473</v>
      </c>
      <c r="AP43" s="11">
        <f t="shared" si="8"/>
        <v>0.5859047654</v>
      </c>
      <c r="AQ43" s="4" t="str">
        <f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4" t="str">
        <f>IF($C43=Board!$B$2,COUNTIFS($C$2:$C$157,Board!$B$2,$AL$2:$AL$157,"&gt;"&amp;$AL43)+COUNTIFS($C$1:$C42,Board!$B$2,$AL$1:$AL42,$AL43)+1,"")</f>
        <v/>
      </c>
      <c r="AS43" s="4" t="str">
        <f t="array" ref="AS43">IFERROR(IF($D43=INDEX(Matches!$AD$5:$AD$22,MATCH($C43,Matches!$A$5:$A$22,0)),"A",IF($D43=INDEX(Matches!$AE$5:$AE$22,MATCH($C43,Matches!$A$5:$A$22,0)),"B","")),"")</f>
        <v>B</v>
      </c>
      <c r="AT43" s="11">
        <f t="array" ref="AT43">IF($AS43="","",IFERROR(IF($AS43="A",INDEX(Matches!$AI$5:$AI$22,MATCH($C43,Matches!$A$5:$A$22,0)),INDEX(Matches!$AJ$5:$AJ$22,MATCH($C43,Matches!$A$5:$A$22,0))),""))</f>
        <v>0.4999295969</v>
      </c>
      <c r="AU43" s="11">
        <f t="array" ref="AU43">IF($AS43="","",IFERROR(IF(INDEX(Matches!$AP$5:$AP$22,MATCH($C43,Matches!$A$5:$A$22,0))="","",IF($AS43="A",INDEX(Matches!$AP$5:$AP$22,MATCH($C43,Matches!$A$5:$A$22,0)),1-INDEX(Matches!$AP$5:$AP$22,MATCH($C43,Matches!$A$5:$A$22,0)))),""))</f>
        <v>0.4985337243</v>
      </c>
      <c r="AV43" s="18">
        <f>IF(OR($AU43="",$AT43=""),1,((Config!$B$14*$AU43+Config!$B$15*(1-$AU43))/(Config!$B$14*$AT43+Config!$B$15*(1-$AT43)))^Config!$B$13)</f>
        <v>0.9987525461</v>
      </c>
      <c r="AW43" s="11">
        <f t="array" ref="AW43">IF($AS43="","",IFERROR(IF(INDEX(Matches!$AV$5:$AV$22,MATCH($C43,Matches!$A$5:$A$22,0))="","",IF($AS43="A",INDEX(Matches!$AV$5:$AV$22,MATCH($C43,Matches!$A$5:$A$22,0)),1-INDEX(Matches!$AV$5:$AV$22,MATCH($C43,Matches!$A$5:$A$22,0)))),""))</f>
        <v>0.5020918037</v>
      </c>
      <c r="AX43" s="18">
        <f>IF(OR($AW43="",$AT43=""),1,((Config!$B$14*$AW43+Config!$B$15*(1-$AW43))/(Config!$B$14*$AT43+Config!$B$15*(1-$AT43)))^Config!$B$13)</f>
        <v>1.001932306</v>
      </c>
      <c r="AY43" s="11">
        <f t="array" ref="AY43">IF($AS43="","",IFERROR(IF(INDEX(Matches!$BB$5:$BB$22,MATCH($C43,Matches!$A$5:$A$22,0))="","",IF($AS43="A",INDEX(Matches!$BB$5:$BB$22,MATCH($C43,Matches!$A$5:$A$22,0)),1-INDEX(Matches!$BB$5:$BB$22,MATCH($C43,Matches!$A$5:$A$22,0)))),""))</f>
        <v>0.5244931134</v>
      </c>
      <c r="AZ43" s="18">
        <f>IF(OR($AY43="",$AT43=""),1,((Config!$B$14*$AY43+Config!$B$15*(1-$AY43))/(Config!$B$14*$AT43+Config!$B$15*(1-$AT43)))^Config!$B$13)</f>
        <v>1.021951758</v>
      </c>
      <c r="BA43" s="17">
        <f t="shared" si="9"/>
        <v>15.06701445</v>
      </c>
      <c r="BB43" s="17">
        <f t="shared" si="10"/>
        <v>15.42913131</v>
      </c>
      <c r="BC43" s="17">
        <f t="shared" si="11"/>
        <v>15.60009358</v>
      </c>
      <c r="BD43" s="17">
        <f t="shared" si="12"/>
        <v>30.49614576</v>
      </c>
      <c r="BE43" s="17">
        <f t="shared" si="13"/>
        <v>38.37887305</v>
      </c>
      <c r="BF43" s="17">
        <f t="shared" si="14"/>
        <v>8.90711671</v>
      </c>
      <c r="BG43" s="17">
        <f t="shared" si="15"/>
        <v>8.960468008</v>
      </c>
      <c r="BH43" s="17">
        <f t="shared" si="16"/>
        <v>9.32885596</v>
      </c>
      <c r="BI43" s="17">
        <f t="shared" si="17"/>
        <v>17.86758472</v>
      </c>
      <c r="BJ43" s="17">
        <f t="shared" si="18"/>
        <v>22.58145563</v>
      </c>
      <c r="BK43" s="18">
        <f t="shared" si="19"/>
        <v>1.000358778</v>
      </c>
    </row>
    <row r="44" ht="15.75" customHeight="1">
      <c r="A44" s="4" t="s">
        <v>3162</v>
      </c>
      <c r="B44" s="4" t="s">
        <v>86</v>
      </c>
      <c r="C44" s="4" t="s">
        <v>1234</v>
      </c>
      <c r="D44" s="4" t="s">
        <v>1242</v>
      </c>
      <c r="E44" s="4" t="s">
        <v>1369</v>
      </c>
      <c r="F44" s="4" t="s">
        <v>1368</v>
      </c>
      <c r="G44" s="4" t="str">
        <f t="array" ref="G44">IFERROR(IF(INDEX(Matches!$W$5:$W$22,MATCH($C44,Matches!$A$5:$A$22,0))="","",INDEX(Matches!$W$5:$W$22,MATCH($C44,Matches!$A$5:$A$22,0))),"")</f>
        <v>Ancient</v>
      </c>
      <c r="H44" s="4" t="str">
        <f t="array" ref="H44">IFERROR(IF(INDEX(Matches!$X$5:$X$22,MATCH($C44,Matches!$A$5:$A$22,0))="","",INDEX(Matches!$X$5:$X$22,MATCH($C44,Matches!$A$5:$A$22,0))),"")</f>
        <v>Nuke</v>
      </c>
      <c r="I44" s="4" t="str">
        <f t="array" ref="I44">IFERROR(IF(INDEX(Matches!$Y$5:$Y$22,MATCH($C44,Matches!$A$5:$A$22,0))="","",INDEX(Matches!$Y$5:$Y$22,MATCH($C44,Matches!$A$5:$A$22,0))),"")</f>
        <v>Mirage</v>
      </c>
      <c r="J44" s="4">
        <f t="array" ref="J44">IFERROR(IF(INDEX(Matches!$Z$5:$Z$22,MATCH($C44,Matches!$A$5:$A$22,0))="","",INDEX(Matches!$Z$5:$Z$22,MATCH($C44,Matches!$A$5:$A$22,0))),"")</f>
        <v>21.5</v>
      </c>
      <c r="K44" s="4">
        <f t="array" ref="K44">IFERROR(IF(INDEX(Matches!$AA$5:$AA$22,MATCH($C44,Matches!$A$5:$A$22,0))="","",INDEX(Matches!$AA$5:$AA$22,MATCH($C44,Matches!$A$5:$A$22,0))),"")</f>
        <v>21.5</v>
      </c>
      <c r="L44" s="4">
        <f t="array" ref="L44">IFERROR(IF(INDEX(Matches!$AB$5:$AB$22,MATCH($C44,Matches!$A$5:$A$22,0))="","",INDEX(Matches!$AB$5:$AB$22,MATCH($C44,Matches!$A$5:$A$22,0))),"")</f>
        <v>21.5</v>
      </c>
      <c r="M44" s="11">
        <f t="array" ref="M44">IFERROR(IF(INDEX(Matches!$AC$5:$AC$22,MATCH($C44,Matches!$A$5:$A$22,0))="","",INDEX(Matches!$AC$5:$AC$22,MATCH($C44,Matches!$A$5:$A$22,0))),"")</f>
        <v>0.5053</v>
      </c>
      <c r="N44" s="4">
        <f t="array" ref="N44">IFERROR(INDEX(Players!$F$2:$F$127,MATCH($F44,Players!$A$2:$A$127,0)),0)</f>
        <v>30</v>
      </c>
      <c r="O44" s="18">
        <f t="array" ref="O44">IFERROR(1/(1/INDEX(Players!$H$2:$H$127,MATCH($F44,Players!$A$2:$A$127,0))),"")</f>
        <v>0.59</v>
      </c>
      <c r="P44" s="11">
        <f t="array" ref="P44">IFERROR(1/(1/INDEX(Players!$I$2:$I$127,MATCH($F44,Players!$A$2:$A$127,0))),"")</f>
        <v>0.53</v>
      </c>
      <c r="Q44" s="4">
        <f>IF($G44="",0,SUMIFS(Map_Stats!$F$2:$F$825,Map_Stats!$A$2:$A$825,$F44&amp;"|"&amp;$G44))</f>
        <v>7</v>
      </c>
      <c r="R44" s="18">
        <f t="array" ref="R44">IF($G44="","",IFERROR(1/(1/INDEX(Map_Stats!$K$2:$K$825,MATCH($F44&amp;"|"&amp;$G44,Map_Stats!$A$2:$A$825,0))),$O44))</f>
        <v>0.55</v>
      </c>
      <c r="S44" s="11">
        <f t="array" ref="S44">IF(OR($G44="",$P44=""),"",IFERROR(1/(1/INDEX(Map_Stats!$I$2:$I$825,MATCH($F44&amp;"|"&amp;$G44,Map_Stats!$A$2:$A$825,0))),$P44))</f>
        <v>0.526</v>
      </c>
      <c r="T44" s="18">
        <f>IF(OR($G44="",R44=""),"",IF($O44="",R44,(Q44*R44+Config!$B$4*$O44)/(Q44+Config!$B$4)))</f>
        <v>0.5666666667</v>
      </c>
      <c r="U44" s="11">
        <f>IF(S44="","",(Q44*S44+Config!$B$4*$P44)/(Q44+Config!$B$4))</f>
        <v>0.5276666667</v>
      </c>
      <c r="V44" s="17">
        <f>IF(OR(T44="",$J44=""),"",T44*$J44*($J44/Config!$B$10)^Config!$B$9)</f>
        <v>12.18333333</v>
      </c>
      <c r="W44" s="17">
        <f t="shared" si="1"/>
        <v>6.428738889</v>
      </c>
      <c r="X44" s="4">
        <f>IF($H44="",0,SUMIFS(Map_Stats!$F$2:$F$825,Map_Stats!$A$2:$A$825,$F44&amp;"|"&amp;$H44))</f>
        <v>3</v>
      </c>
      <c r="Y44" s="18">
        <f t="array" ref="Y44">IF($H44="","",IFERROR(1/(1/INDEX(Map_Stats!$K$2:$K$825,MATCH($F44&amp;"|"&amp;$H44,Map_Stats!$A$2:$A$825,0))),$O44))</f>
        <v>0.71</v>
      </c>
      <c r="Z44" s="11">
        <f t="array" ref="Z44">IF(OR($H44="",$P44=""),"",IFERROR(1/(1/INDEX(Map_Stats!$I$2:$I$825,MATCH($F44&amp;"|"&amp;$H44,Map_Stats!$A$2:$A$825,0))),$P44))</f>
        <v>0.533</v>
      </c>
      <c r="AA44" s="18">
        <f>IF(OR($H44="",Y44=""),"",IF($O44="",Y44,(X44*Y44+Config!$B$4*$O44)/(X44+Config!$B$4)))</f>
        <v>0.635</v>
      </c>
      <c r="AB44" s="11">
        <f>IF(Z44="","",(X44*Z44+Config!$B$4*$P44)/(X44+Config!$B$4))</f>
        <v>0.531125</v>
      </c>
      <c r="AC44" s="17">
        <f>IF(OR(AA44="",$K44=""),"",AA44*$K44*($K44/Config!$B$10)^Config!$B$9)</f>
        <v>13.6525</v>
      </c>
      <c r="AD44" s="17">
        <f t="shared" si="2"/>
        <v>7.251184063</v>
      </c>
      <c r="AE44" s="4">
        <f>IF($I44="",0,SUMIFS(Map_Stats!$F$2:$F$825,Map_Stats!$A$2:$A$825,$F44&amp;"|"&amp;$I44))</f>
        <v>5</v>
      </c>
      <c r="AF44" s="18">
        <f t="array" ref="AF44">IF($I44="","",IFERROR(1/(1/INDEX(Map_Stats!$K$2:$K$825,MATCH($F44&amp;"|"&amp;$I44,Map_Stats!$A$2:$A$825,0))),$O44))</f>
        <v>0.65</v>
      </c>
      <c r="AG44" s="11">
        <f t="array" ref="AG44">IF(OR($I44="",$P44=""),"",IFERROR(1/(1/INDEX(Map_Stats!$I$2:$I$825,MATCH($F44&amp;"|"&amp;$I44,Map_Stats!$A$2:$A$825,0))),$P44))</f>
        <v>0.587</v>
      </c>
      <c r="AH44" s="18">
        <f>IF(OR($I44="",AF44=""),"",IF($O44="",AF44,(AE44*AF44+Config!$B$4*$O44)/(AE44+Config!$B$4)))</f>
        <v>0.62</v>
      </c>
      <c r="AI44" s="11">
        <f>IF(AG44="","",(AE44*AG44+Config!$B$4*$P44)/(AE44+Config!$B$4))</f>
        <v>0.5585</v>
      </c>
      <c r="AJ44" s="17">
        <f>IF(OR(AH44="",$L44=""),"",AH44*$L44*($L44/Config!$B$10)^Config!$B$9)</f>
        <v>13.33</v>
      </c>
      <c r="AK44" s="17">
        <f t="shared" si="3"/>
        <v>7.444805</v>
      </c>
      <c r="AL44" s="17">
        <f t="shared" si="4"/>
        <v>25.83583333</v>
      </c>
      <c r="AM44" s="17">
        <f t="shared" si="5"/>
        <v>32.57148233</v>
      </c>
      <c r="AN44" s="17">
        <f t="shared" si="6"/>
        <v>13.67992295</v>
      </c>
      <c r="AO44" s="17">
        <f t="shared" si="7"/>
        <v>17.44178292</v>
      </c>
      <c r="AP44" s="11">
        <f t="shared" si="8"/>
        <v>0.5294941632</v>
      </c>
      <c r="AQ44" s="4" t="str">
        <f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4" t="str">
        <f>IF($C44=Board!$B$2,COUNTIFS($C$2:$C$157,Board!$B$2,$AL$2:$AL$157,"&gt;"&amp;$AL44)+COUNTIFS($C$1:$C43,Board!$B$2,$AL$1:$AL43,$AL44)+1,"")</f>
        <v/>
      </c>
      <c r="AS44" s="4" t="str">
        <f t="array" ref="AS44">IFERROR(IF($D44=INDEX(Matches!$AD$5:$AD$22,MATCH($C44,Matches!$A$5:$A$22,0)),"A",IF($D44=INDEX(Matches!$AE$5:$AE$22,MATCH($C44,Matches!$A$5:$A$22,0)),"B","")),"")</f>
        <v>B</v>
      </c>
      <c r="AT44" s="11">
        <f t="array" ref="AT44">IF($AS44="","",IFERROR(IF($AS44="A",INDEX(Matches!$AI$5:$AI$22,MATCH($C44,Matches!$A$5:$A$22,0)),INDEX(Matches!$AJ$5:$AJ$22,MATCH($C44,Matches!$A$5:$A$22,0))),""))</f>
        <v>0.4999295969</v>
      </c>
      <c r="AU44" s="11">
        <f t="array" ref="AU44">IF($AS44="","",IFERROR(IF(INDEX(Matches!$AP$5:$AP$22,MATCH($C44,Matches!$A$5:$A$22,0))="","",IF($AS44="A",INDEX(Matches!$AP$5:$AP$22,MATCH($C44,Matches!$A$5:$A$22,0)),1-INDEX(Matches!$AP$5:$AP$22,MATCH($C44,Matches!$A$5:$A$22,0)))),""))</f>
        <v>0.4985337243</v>
      </c>
      <c r="AV44" s="18">
        <f>IF(OR($AU44="",$AT44=""),1,((Config!$B$14*$AU44+Config!$B$15*(1-$AU44))/(Config!$B$14*$AT44+Config!$B$15*(1-$AT44)))^Config!$B$13)</f>
        <v>0.9987525461</v>
      </c>
      <c r="AW44" s="11">
        <f t="array" ref="AW44">IF($AS44="","",IFERROR(IF(INDEX(Matches!$AV$5:$AV$22,MATCH($C44,Matches!$A$5:$A$22,0))="","",IF($AS44="A",INDEX(Matches!$AV$5:$AV$22,MATCH($C44,Matches!$A$5:$A$22,0)),1-INDEX(Matches!$AV$5:$AV$22,MATCH($C44,Matches!$A$5:$A$22,0)))),""))</f>
        <v>0.5020918037</v>
      </c>
      <c r="AX44" s="18">
        <f>IF(OR($AW44="",$AT44=""),1,((Config!$B$14*$AW44+Config!$B$15*(1-$AW44))/(Config!$B$14*$AT44+Config!$B$15*(1-$AT44)))^Config!$B$13)</f>
        <v>1.001932306</v>
      </c>
      <c r="AY44" s="11">
        <f t="array" ref="AY44">IF($AS44="","",IFERROR(IF(INDEX(Matches!$BB$5:$BB$22,MATCH($C44,Matches!$A$5:$A$22,0))="","",IF($AS44="A",INDEX(Matches!$BB$5:$BB$22,MATCH($C44,Matches!$A$5:$A$22,0)),1-INDEX(Matches!$BB$5:$BB$22,MATCH($C44,Matches!$A$5:$A$22,0)))),""))</f>
        <v>0.5244931134</v>
      </c>
      <c r="AZ44" s="18">
        <f>IF(OR($AY44="",$AT44=""),1,((Config!$B$14*$AY44+Config!$B$15*(1-$AY44))/(Config!$B$14*$AT44+Config!$B$15*(1-$AT44)))^Config!$B$13)</f>
        <v>1.021951758</v>
      </c>
      <c r="BA44" s="17">
        <f t="shared" si="9"/>
        <v>12.16813519</v>
      </c>
      <c r="BB44" s="17">
        <f t="shared" si="10"/>
        <v>13.67888081</v>
      </c>
      <c r="BC44" s="17">
        <f t="shared" si="11"/>
        <v>13.62261693</v>
      </c>
      <c r="BD44" s="17">
        <f t="shared" si="12"/>
        <v>25.847016</v>
      </c>
      <c r="BE44" s="17">
        <f t="shared" si="13"/>
        <v>32.73052433</v>
      </c>
      <c r="BF44" s="17">
        <f t="shared" si="14"/>
        <v>6.420719333</v>
      </c>
      <c r="BG44" s="17">
        <f t="shared" si="15"/>
        <v>7.265195572</v>
      </c>
      <c r="BH44" s="17">
        <f t="shared" si="16"/>
        <v>7.608231554</v>
      </c>
      <c r="BI44" s="17">
        <f t="shared" si="17"/>
        <v>13.6859149</v>
      </c>
      <c r="BJ44" s="17">
        <f t="shared" si="18"/>
        <v>17.53035431</v>
      </c>
      <c r="BK44" s="18">
        <f t="shared" si="19"/>
        <v>1.000432835</v>
      </c>
    </row>
    <row r="45" ht="15.75" customHeight="1">
      <c r="A45" s="4" t="s">
        <v>3164</v>
      </c>
      <c r="B45" s="4" t="s">
        <v>86</v>
      </c>
      <c r="C45" s="4" t="s">
        <v>7</v>
      </c>
      <c r="D45" s="4" t="s">
        <v>122</v>
      </c>
      <c r="E45" s="4" t="s">
        <v>1323</v>
      </c>
      <c r="F45" s="4" t="s">
        <v>1322</v>
      </c>
      <c r="G45" s="4" t="str">
        <f t="array" ref="G45">IFERROR(IF(INDEX(Matches!$W$5:$W$22,MATCH($C45,Matches!$A$5:$A$22,0))="","",INDEX(Matches!$W$5:$W$22,MATCH($C45,Matches!$A$5:$A$22,0))),"")</f>
        <v>Ancient</v>
      </c>
      <c r="H45" s="4" t="str">
        <f t="array" ref="H45">IFERROR(IF(INDEX(Matches!$X$5:$X$22,MATCH($C45,Matches!$A$5:$A$22,0))="","",INDEX(Matches!$X$5:$X$22,MATCH($C45,Matches!$A$5:$A$22,0))),"")</f>
        <v>Anubis</v>
      </c>
      <c r="I45" s="4" t="str">
        <f t="array" ref="I45">IFERROR(IF(INDEX(Matches!$Y$5:$Y$22,MATCH($C45,Matches!$A$5:$A$22,0))="","",INDEX(Matches!$Y$5:$Y$22,MATCH($C45,Matches!$A$5:$A$22,0))),"")</f>
        <v>Cache</v>
      </c>
      <c r="J45" s="4">
        <f t="array" ref="J45">IFERROR(IF(INDEX(Matches!$Z$5:$Z$22,MATCH($C45,Matches!$A$5:$A$22,0))="","",INDEX(Matches!$Z$5:$Z$22,MATCH($C45,Matches!$A$5:$A$22,0))),"")</f>
        <v>21.42</v>
      </c>
      <c r="K45" s="4">
        <f t="array" ref="K45">IFERROR(IF(INDEX(Matches!$AA$5:$AA$22,MATCH($C45,Matches!$A$5:$A$22,0))="","",INDEX(Matches!$AA$5:$AA$22,MATCH($C45,Matches!$A$5:$A$22,0))),"")</f>
        <v>21.31</v>
      </c>
      <c r="L45" s="4">
        <f t="array" ref="L45">IFERROR(IF(INDEX(Matches!$AB$5:$AB$22,MATCH($C45,Matches!$A$5:$A$22,0))="","",INDEX(Matches!$AB$5:$AB$22,MATCH($C45,Matches!$A$5:$A$22,0))),"")</f>
        <v>21.38</v>
      </c>
      <c r="M45" s="11">
        <f t="array" ref="M45">IFERROR(IF(INDEX(Matches!$AC$5:$AC$22,MATCH($C45,Matches!$A$5:$A$22,0))="","",INDEX(Matches!$AC$5:$AC$22,MATCH($C45,Matches!$A$5:$A$22,0))),"")</f>
        <v>0.4881</v>
      </c>
      <c r="N45" s="4">
        <f t="array" ref="N45">IFERROR(INDEX(Players!$F$2:$F$127,MATCH($F45,Players!$A$2:$A$127,0)),0)</f>
        <v>34</v>
      </c>
      <c r="O45" s="18">
        <f t="array" ref="O45">IFERROR(1/(1/INDEX(Players!$H$2:$H$127,MATCH($F45,Players!$A$2:$A$127,0))),"")</f>
        <v>0.6</v>
      </c>
      <c r="P45" s="11">
        <f t="array" ref="P45">IFERROR(1/(1/INDEX(Players!$I$2:$I$127,MATCH($F45,Players!$A$2:$A$127,0))),"")</f>
        <v>0.447</v>
      </c>
      <c r="Q45" s="4">
        <f>IF($G45="",0,SUMIFS(Map_Stats!$F$2:$F$825,Map_Stats!$A$2:$A$825,$F45&amp;"|"&amp;$G45))</f>
        <v>6</v>
      </c>
      <c r="R45" s="18">
        <f t="array" ref="R45">IF($G45="","",IFERROR(1/(1/INDEX(Map_Stats!$K$2:$K$825,MATCH($F45&amp;"|"&amp;$G45,Map_Stats!$A$2:$A$825,0))),$O45))</f>
        <v>0.56</v>
      </c>
      <c r="S45" s="11">
        <f t="array" ref="S45">IF(OR($G45="",$P45=""),"",IFERROR(1/(1/INDEX(Map_Stats!$I$2:$I$825,MATCH($F45&amp;"|"&amp;$G45,Map_Stats!$A$2:$A$825,0))),$P45))</f>
        <v>0.382</v>
      </c>
      <c r="T45" s="18">
        <f>IF(OR($G45="",R45=""),"",IF($O45="",R45,(Q45*R45+Config!$B$4*$O45)/(Q45+Config!$B$4)))</f>
        <v>0.5781818182</v>
      </c>
      <c r="U45" s="11">
        <f>IF(S45="","",(Q45*S45+Config!$B$4*$P45)/(Q45+Config!$B$4))</f>
        <v>0.4115454545</v>
      </c>
      <c r="V45" s="17">
        <f>IF(OR(T45="",$J45=""),"",T45*$J45*($J45/Config!$B$10)^Config!$B$9)</f>
        <v>12.38465455</v>
      </c>
      <c r="W45" s="17">
        <f t="shared" si="1"/>
        <v>5.096848284</v>
      </c>
      <c r="X45" s="4">
        <f>IF($H45="",0,SUMIFS(Map_Stats!$F$2:$F$825,Map_Stats!$A$2:$A$825,$F45&amp;"|"&amp;$H45))</f>
        <v>8</v>
      </c>
      <c r="Y45" s="18">
        <f t="array" ref="Y45">IF($H45="","",IFERROR(1/(1/INDEX(Map_Stats!$K$2:$K$825,MATCH($F45&amp;"|"&amp;$H45,Map_Stats!$A$2:$A$825,0))),$O45))</f>
        <v>0.63</v>
      </c>
      <c r="Z45" s="11">
        <f t="array" ref="Z45">IF(OR($H45="",$P45=""),"",IFERROR(1/(1/INDEX(Map_Stats!$I$2:$I$825,MATCH($F45&amp;"|"&amp;$H45,Map_Stats!$A$2:$A$825,0))),$P45))</f>
        <v>0.42</v>
      </c>
      <c r="AA45" s="18">
        <f>IF(OR($H45="",Y45=""),"",IF($O45="",Y45,(X45*Y45+Config!$B$4*$O45)/(X45+Config!$B$4)))</f>
        <v>0.6184615385</v>
      </c>
      <c r="AB45" s="11">
        <f>IF(Z45="","",(X45*Z45+Config!$B$4*$P45)/(X45+Config!$B$4))</f>
        <v>0.4303846154</v>
      </c>
      <c r="AC45" s="17">
        <f>IF(OR(AA45="",$K45=""),"",AA45*$K45*($K45/Config!$B$10)^Config!$B$9)</f>
        <v>13.17941538</v>
      </c>
      <c r="AD45" s="17">
        <f t="shared" si="2"/>
        <v>5.672217621</v>
      </c>
      <c r="AE45" s="4">
        <f>IF($I45="",0,SUMIFS(Map_Stats!$F$2:$F$825,Map_Stats!$A$2:$A$825,$F45&amp;"|"&amp;$I45))</f>
        <v>5</v>
      </c>
      <c r="AF45" s="18">
        <f t="array" ref="AF45">IF($I45="","",IFERROR(1/(1/INDEX(Map_Stats!$K$2:$K$825,MATCH($F45&amp;"|"&amp;$I45,Map_Stats!$A$2:$A$825,0))),$O45))</f>
        <v>0.52</v>
      </c>
      <c r="AG45" s="11">
        <f t="array" ref="AG45">IF(OR($I45="",$P45=""),"",IFERROR(1/(1/INDEX(Map_Stats!$I$2:$I$825,MATCH($F45&amp;"|"&amp;$I45,Map_Stats!$A$2:$A$825,0))),$P45))</f>
        <v>0.528</v>
      </c>
      <c r="AH45" s="18">
        <f>IF(OR($I45="",AF45=""),"",IF($O45="",AF45,(AE45*AF45+Config!$B$4*$O45)/(AE45+Config!$B$4)))</f>
        <v>0.56</v>
      </c>
      <c r="AI45" s="11">
        <f>IF(AG45="","",(AE45*AG45+Config!$B$4*$P45)/(AE45+Config!$B$4))</f>
        <v>0.4875</v>
      </c>
      <c r="AJ45" s="17">
        <f>IF(OR(AH45="",$L45=""),"",AH45*$L45*($L45/Config!$B$10)^Config!$B$9)</f>
        <v>11.9728</v>
      </c>
      <c r="AK45" s="17">
        <f t="shared" si="3"/>
        <v>5.83674</v>
      </c>
      <c r="AL45" s="17">
        <f t="shared" si="4"/>
        <v>25.56406993</v>
      </c>
      <c r="AM45" s="17">
        <f t="shared" si="5"/>
        <v>31.40799361</v>
      </c>
      <c r="AN45" s="17">
        <f t="shared" si="6"/>
        <v>10.76906591</v>
      </c>
      <c r="AO45" s="17">
        <f t="shared" si="7"/>
        <v>13.6179787</v>
      </c>
      <c r="AP45" s="11">
        <f t="shared" si="8"/>
        <v>0.4212578801</v>
      </c>
      <c r="AQ45" s="4" t="str">
        <f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4">
        <f>IF($C45=Board!$B$2,COUNTIFS($C$2:$C$157,Board!$B$2,$AL$2:$AL$157,"&gt;"&amp;$AL45)+COUNTIFS($C$1:$C44,Board!$B$2,$AL$1:$AL44,$AL45)+1,"")</f>
        <v>9</v>
      </c>
      <c r="AS45" s="4" t="str">
        <f t="array" ref="AS45">IFERROR(IF($D45=INDEX(Matches!$AD$5:$AD$22,MATCH($C45,Matches!$A$5:$A$22,0)),"A",IF($D45=INDEX(Matches!$AE$5:$AE$22,MATCH($C45,Matches!$A$5:$A$22,0)),"B","")),"")</f>
        <v>B</v>
      </c>
      <c r="AT45" s="11">
        <f t="array" ref="AT45">IF($AS45="","",IFERROR(IF($AS45="A",INDEX(Matches!$AI$5:$AI$22,MATCH($C45,Matches!$A$5:$A$22,0)),INDEX(Matches!$AJ$5:$AJ$22,MATCH($C45,Matches!$A$5:$A$22,0))),""))</f>
        <v>0.5312191136</v>
      </c>
      <c r="AU45" s="11">
        <f t="array" ref="AU45">IF($AS45="","",IFERROR(IF(INDEX(Matches!$AP$5:$AP$22,MATCH($C45,Matches!$A$5:$A$22,0))="","",IF($AS45="A",INDEX(Matches!$AP$5:$AP$22,MATCH($C45,Matches!$A$5:$A$22,0)),1-INDEX(Matches!$AP$5:$AP$22,MATCH($C45,Matches!$A$5:$A$22,0)))),""))</f>
        <v>0.490327311</v>
      </c>
      <c r="AV45" s="18">
        <f>IF(OR($AU45="",$AT45=""),1,((Config!$B$14*$AU45+Config!$B$15*(1-$AU45))/(Config!$B$14*$AT45+Config!$B$15*(1-$AT45)))^Config!$B$13)</f>
        <v>0.9644501563</v>
      </c>
      <c r="AW45" s="11">
        <f t="array" ref="AW45">IF($AS45="","",IFERROR(IF(INDEX(Matches!$AV$5:$AV$22,MATCH($C45,Matches!$A$5:$A$22,0))="","",IF($AS45="A",INDEX(Matches!$AV$5:$AV$22,MATCH($C45,Matches!$A$5:$A$22,0)),1-INDEX(Matches!$AV$5:$AV$22,MATCH($C45,Matches!$A$5:$A$22,0)))),""))</f>
        <v>0.5259593287</v>
      </c>
      <c r="AX45" s="18">
        <f>IF(OR($AW45="",$AT45=""),1,((Config!$B$14*$AW45+Config!$B$15*(1-$AW45))/(Config!$B$14*$AT45+Config!$B$15*(1-$AT45)))^Config!$B$13)</f>
        <v>0.9954273346</v>
      </c>
      <c r="AY45" s="11">
        <f t="array" ref="AY45">IF($AS45="","",IFERROR(IF(INDEX(Matches!$BB$5:$BB$22,MATCH($C45,Matches!$A$5:$A$22,0))="","",IF($AS45="A",INDEX(Matches!$BB$5:$BB$22,MATCH($C45,Matches!$A$5:$A$22,0)),1-INDEX(Matches!$BB$5:$BB$22,MATCH($C45,Matches!$A$5:$A$22,0)))),""))</f>
        <v>0.4724430276</v>
      </c>
      <c r="AZ45" s="18">
        <f>IF(OR($AY45="",$AT45=""),1,((Config!$B$14*$AY45+Config!$B$15*(1-$AY45))/(Config!$B$14*$AT45+Config!$B$15*(1-$AT45)))^Config!$B$13)</f>
        <v>0.9489022117</v>
      </c>
      <c r="BA45" s="17">
        <f t="shared" si="9"/>
        <v>11.94438201</v>
      </c>
      <c r="BB45" s="17">
        <f t="shared" si="10"/>
        <v>13.11915033</v>
      </c>
      <c r="BC45" s="17">
        <f t="shared" si="11"/>
        <v>11.3610164</v>
      </c>
      <c r="BD45" s="17">
        <f t="shared" si="12"/>
        <v>25.06353234</v>
      </c>
      <c r="BE45" s="17">
        <f t="shared" si="13"/>
        <v>30.60884444</v>
      </c>
      <c r="BF45" s="17">
        <f t="shared" si="14"/>
        <v>4.915656124</v>
      </c>
      <c r="BG45" s="17">
        <f t="shared" si="15"/>
        <v>5.646280468</v>
      </c>
      <c r="BH45" s="17">
        <f t="shared" si="16"/>
        <v>5.538495495</v>
      </c>
      <c r="BI45" s="17">
        <f t="shared" si="17"/>
        <v>10.56193659</v>
      </c>
      <c r="BJ45" s="17">
        <f t="shared" si="18"/>
        <v>13.26527624</v>
      </c>
      <c r="BK45" s="18">
        <f t="shared" si="19"/>
        <v>0.9804202699</v>
      </c>
    </row>
    <row r="46" ht="15.75" customHeight="1">
      <c r="A46" s="4" t="s">
        <v>3165</v>
      </c>
      <c r="B46" s="4" t="s">
        <v>86</v>
      </c>
      <c r="C46" s="4" t="s">
        <v>7</v>
      </c>
      <c r="D46" s="4" t="s">
        <v>122</v>
      </c>
      <c r="E46" s="4" t="s">
        <v>1327</v>
      </c>
      <c r="F46" s="4" t="s">
        <v>1326</v>
      </c>
      <c r="G46" s="4" t="str">
        <f t="array" ref="G46">IFERROR(IF(INDEX(Matches!$W$5:$W$22,MATCH($C46,Matches!$A$5:$A$22,0))="","",INDEX(Matches!$W$5:$W$22,MATCH($C46,Matches!$A$5:$A$22,0))),"")</f>
        <v>Ancient</v>
      </c>
      <c r="H46" s="4" t="str">
        <f t="array" ref="H46">IFERROR(IF(INDEX(Matches!$X$5:$X$22,MATCH($C46,Matches!$A$5:$A$22,0))="","",INDEX(Matches!$X$5:$X$22,MATCH($C46,Matches!$A$5:$A$22,0))),"")</f>
        <v>Anubis</v>
      </c>
      <c r="I46" s="4" t="str">
        <f t="array" ref="I46">IFERROR(IF(INDEX(Matches!$Y$5:$Y$22,MATCH($C46,Matches!$A$5:$A$22,0))="","",INDEX(Matches!$Y$5:$Y$22,MATCH($C46,Matches!$A$5:$A$22,0))),"")</f>
        <v>Cache</v>
      </c>
      <c r="J46" s="4">
        <f t="array" ref="J46">IFERROR(IF(INDEX(Matches!$Z$5:$Z$22,MATCH($C46,Matches!$A$5:$A$22,0))="","",INDEX(Matches!$Z$5:$Z$22,MATCH($C46,Matches!$A$5:$A$22,0))),"")</f>
        <v>21.42</v>
      </c>
      <c r="K46" s="4">
        <f t="array" ref="K46">IFERROR(IF(INDEX(Matches!$AA$5:$AA$22,MATCH($C46,Matches!$A$5:$A$22,0))="","",INDEX(Matches!$AA$5:$AA$22,MATCH($C46,Matches!$A$5:$A$22,0))),"")</f>
        <v>21.31</v>
      </c>
      <c r="L46" s="4">
        <f t="array" ref="L46">IFERROR(IF(INDEX(Matches!$AB$5:$AB$22,MATCH($C46,Matches!$A$5:$A$22,0))="","",INDEX(Matches!$AB$5:$AB$22,MATCH($C46,Matches!$A$5:$A$22,0))),"")</f>
        <v>21.38</v>
      </c>
      <c r="M46" s="11">
        <f t="array" ref="M46">IFERROR(IF(INDEX(Matches!$AC$5:$AC$22,MATCH($C46,Matches!$A$5:$A$22,0))="","",INDEX(Matches!$AC$5:$AC$22,MATCH($C46,Matches!$A$5:$A$22,0))),"")</f>
        <v>0.4881</v>
      </c>
      <c r="N46" s="4">
        <f t="array" ref="N46">IFERROR(INDEX(Players!$F$2:$F$127,MATCH($F46,Players!$A$2:$A$127,0)),0)</f>
        <v>34</v>
      </c>
      <c r="O46" s="18">
        <f t="array" ref="O46">IFERROR(1/(1/INDEX(Players!$H$2:$H$127,MATCH($F46,Players!$A$2:$A$127,0))),"")</f>
        <v>0.74</v>
      </c>
      <c r="P46" s="11">
        <f t="array" ref="P46">IFERROR(1/(1/INDEX(Players!$I$2:$I$127,MATCH($F46,Players!$A$2:$A$127,0))),"")</f>
        <v>0.525</v>
      </c>
      <c r="Q46" s="4">
        <f>IF($G46="",0,SUMIFS(Map_Stats!$F$2:$F$825,Map_Stats!$A$2:$A$825,$F46&amp;"|"&amp;$G46))</f>
        <v>6</v>
      </c>
      <c r="R46" s="18">
        <f t="array" ref="R46">IF($G46="","",IFERROR(1/(1/INDEX(Map_Stats!$K$2:$K$825,MATCH($F46&amp;"|"&amp;$G46,Map_Stats!$A$2:$A$825,0))),$O46))</f>
        <v>0.84</v>
      </c>
      <c r="S46" s="11">
        <f t="array" ref="S46">IF(OR($G46="",$P46=""),"",IFERROR(1/(1/INDEX(Map_Stats!$I$2:$I$825,MATCH($F46&amp;"|"&amp;$G46,Map_Stats!$A$2:$A$825,0))),$P46))</f>
        <v>0.465</v>
      </c>
      <c r="T46" s="18">
        <f>IF(OR($G46="",R46=""),"",IF($O46="",R46,(Q46*R46+Config!$B$4*$O46)/(Q46+Config!$B$4)))</f>
        <v>0.7945454545</v>
      </c>
      <c r="U46" s="11">
        <f>IF(S46="","",(Q46*S46+Config!$B$4*$P46)/(Q46+Config!$B$4))</f>
        <v>0.4922727273</v>
      </c>
      <c r="V46" s="17">
        <f>IF(OR(T46="",$J46=""),"",T46*$J46*($J46/Config!$B$10)^Config!$B$9)</f>
        <v>17.01916364</v>
      </c>
      <c r="W46" s="17">
        <f t="shared" si="1"/>
        <v>8.378070099</v>
      </c>
      <c r="X46" s="4">
        <f>IF($H46="",0,SUMIFS(Map_Stats!$F$2:$F$825,Map_Stats!$A$2:$A$825,$F46&amp;"|"&amp;$H46))</f>
        <v>8</v>
      </c>
      <c r="Y46" s="18">
        <f t="array" ref="Y46">IF($H46="","",IFERROR(1/(1/INDEX(Map_Stats!$K$2:$K$825,MATCH($F46&amp;"|"&amp;$H46,Map_Stats!$A$2:$A$825,0))),$O46))</f>
        <v>0.71</v>
      </c>
      <c r="Z46" s="11">
        <f t="array" ref="Z46">IF(OR($H46="",$P46=""),"",IFERROR(1/(1/INDEX(Map_Stats!$I$2:$I$825,MATCH($F46&amp;"|"&amp;$H46,Map_Stats!$A$2:$A$825,0))),$P46))</f>
        <v>0.526</v>
      </c>
      <c r="AA46" s="18">
        <f>IF(OR($H46="",Y46=""),"",IF($O46="",Y46,(X46*Y46+Config!$B$4*$O46)/(X46+Config!$B$4)))</f>
        <v>0.7215384615</v>
      </c>
      <c r="AB46" s="11">
        <f>IF(Z46="","",(X46*Z46+Config!$B$4*$P46)/(X46+Config!$B$4))</f>
        <v>0.5256153846</v>
      </c>
      <c r="AC46" s="17">
        <f>IF(OR(AA46="",$K46=""),"",AA46*$K46*($K46/Config!$B$10)^Config!$B$9)</f>
        <v>15.37598462</v>
      </c>
      <c r="AD46" s="17">
        <f t="shared" si="2"/>
        <v>8.081854067</v>
      </c>
      <c r="AE46" s="4">
        <f>IF($I46="",0,SUMIFS(Map_Stats!$F$2:$F$825,Map_Stats!$A$2:$A$825,$F46&amp;"|"&amp;$I46))</f>
        <v>5</v>
      </c>
      <c r="AF46" s="18">
        <f t="array" ref="AF46">IF($I46="","",IFERROR(1/(1/INDEX(Map_Stats!$K$2:$K$825,MATCH($F46&amp;"|"&amp;$I46,Map_Stats!$A$2:$A$825,0))),$O46))</f>
        <v>0.7</v>
      </c>
      <c r="AG46" s="11">
        <f t="array" ref="AG46">IF(OR($I46="",$P46=""),"",IFERROR(1/(1/INDEX(Map_Stats!$I$2:$I$825,MATCH($F46&amp;"|"&amp;$I46,Map_Stats!$A$2:$A$825,0))),$P46))</f>
        <v>0.507</v>
      </c>
      <c r="AH46" s="18">
        <f>IF(OR($I46="",AF46=""),"",IF($O46="",AF46,(AE46*AF46+Config!$B$4*$O46)/(AE46+Config!$B$4)))</f>
        <v>0.72</v>
      </c>
      <c r="AI46" s="11">
        <f>IF(AG46="","",(AE46*AG46+Config!$B$4*$P46)/(AE46+Config!$B$4))</f>
        <v>0.516</v>
      </c>
      <c r="AJ46" s="17">
        <f>IF(OR(AH46="",$L46=""),"",AH46*$L46*($L46/Config!$B$10)^Config!$B$9)</f>
        <v>15.3936</v>
      </c>
      <c r="AK46" s="17">
        <f t="shared" si="3"/>
        <v>7.9430976</v>
      </c>
      <c r="AL46" s="17">
        <f t="shared" si="4"/>
        <v>32.39514825</v>
      </c>
      <c r="AM46" s="17">
        <f t="shared" si="5"/>
        <v>39.90876441</v>
      </c>
      <c r="AN46" s="17">
        <f t="shared" si="6"/>
        <v>16.45992417</v>
      </c>
      <c r="AO46" s="17">
        <f t="shared" si="7"/>
        <v>20.33695011</v>
      </c>
      <c r="AP46" s="11">
        <f t="shared" si="8"/>
        <v>0.5080984362</v>
      </c>
      <c r="AQ46" s="4" t="str">
        <f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4">
        <f>IF($C46=Board!$B$2,COUNTIFS($C$2:$C$157,Board!$B$2,$AL$2:$AL$157,"&gt;"&amp;$AL46)+COUNTIFS($C$1:$C45,Board!$B$2,$AL$1:$AL45,$AL46)+1,"")</f>
        <v>3</v>
      </c>
      <c r="AS46" s="4" t="str">
        <f t="array" ref="AS46">IFERROR(IF($D46=INDEX(Matches!$AD$5:$AD$22,MATCH($C46,Matches!$A$5:$A$22,0)),"A",IF($D46=INDEX(Matches!$AE$5:$AE$22,MATCH($C46,Matches!$A$5:$A$22,0)),"B","")),"")</f>
        <v>B</v>
      </c>
      <c r="AT46" s="11">
        <f t="array" ref="AT46">IF($AS46="","",IFERROR(IF($AS46="A",INDEX(Matches!$AI$5:$AI$22,MATCH($C46,Matches!$A$5:$A$22,0)),INDEX(Matches!$AJ$5:$AJ$22,MATCH($C46,Matches!$A$5:$A$22,0))),""))</f>
        <v>0.5312191136</v>
      </c>
      <c r="AU46" s="11">
        <f t="array" ref="AU46">IF($AS46="","",IFERROR(IF(INDEX(Matches!$AP$5:$AP$22,MATCH($C46,Matches!$A$5:$A$22,0))="","",IF($AS46="A",INDEX(Matches!$AP$5:$AP$22,MATCH($C46,Matches!$A$5:$A$22,0)),1-INDEX(Matches!$AP$5:$AP$22,MATCH($C46,Matches!$A$5:$A$22,0)))),""))</f>
        <v>0.490327311</v>
      </c>
      <c r="AV46" s="18">
        <f>IF(OR($AU46="",$AT46=""),1,((Config!$B$14*$AU46+Config!$B$15*(1-$AU46))/(Config!$B$14*$AT46+Config!$B$15*(1-$AT46)))^Config!$B$13)</f>
        <v>0.9644501563</v>
      </c>
      <c r="AW46" s="11">
        <f t="array" ref="AW46">IF($AS46="","",IFERROR(IF(INDEX(Matches!$AV$5:$AV$22,MATCH($C46,Matches!$A$5:$A$22,0))="","",IF($AS46="A",INDEX(Matches!$AV$5:$AV$22,MATCH($C46,Matches!$A$5:$A$22,0)),1-INDEX(Matches!$AV$5:$AV$22,MATCH($C46,Matches!$A$5:$A$22,0)))),""))</f>
        <v>0.5259593287</v>
      </c>
      <c r="AX46" s="18">
        <f>IF(OR($AW46="",$AT46=""),1,((Config!$B$14*$AW46+Config!$B$15*(1-$AW46))/(Config!$B$14*$AT46+Config!$B$15*(1-$AT46)))^Config!$B$13)</f>
        <v>0.9954273346</v>
      </c>
      <c r="AY46" s="11">
        <f t="array" ref="AY46">IF($AS46="","",IFERROR(IF(INDEX(Matches!$BB$5:$BB$22,MATCH($C46,Matches!$A$5:$A$22,0))="","",IF($AS46="A",INDEX(Matches!$BB$5:$BB$22,MATCH($C46,Matches!$A$5:$A$22,0)),1-INDEX(Matches!$BB$5:$BB$22,MATCH($C46,Matches!$A$5:$A$22,0)))),""))</f>
        <v>0.4724430276</v>
      </c>
      <c r="AZ46" s="18">
        <f>IF(OR($AY46="",$AT46=""),1,((Config!$B$14*$AY46+Config!$B$15*(1-$AY46))/(Config!$B$14*$AT46+Config!$B$15*(1-$AT46)))^Config!$B$13)</f>
        <v>0.9489022117</v>
      </c>
      <c r="BA46" s="17">
        <f t="shared" si="9"/>
        <v>16.41413503</v>
      </c>
      <c r="BB46" s="17">
        <f t="shared" si="10"/>
        <v>15.30567538</v>
      </c>
      <c r="BC46" s="17">
        <f t="shared" si="11"/>
        <v>14.60702109</v>
      </c>
      <c r="BD46" s="17">
        <f t="shared" si="12"/>
        <v>31.71981041</v>
      </c>
      <c r="BE46" s="17">
        <f t="shared" si="13"/>
        <v>38.8494974</v>
      </c>
      <c r="BF46" s="17">
        <f t="shared" si="14"/>
        <v>8.080231017</v>
      </c>
      <c r="BG46" s="17">
        <f t="shared" si="15"/>
        <v>8.044898453</v>
      </c>
      <c r="BH46" s="17">
        <f t="shared" si="16"/>
        <v>7.537222881</v>
      </c>
      <c r="BI46" s="17">
        <f t="shared" si="17"/>
        <v>16.12512947</v>
      </c>
      <c r="BJ46" s="17">
        <f t="shared" si="18"/>
        <v>19.80404796</v>
      </c>
      <c r="BK46" s="18">
        <f t="shared" si="19"/>
        <v>0.9791531178</v>
      </c>
    </row>
    <row r="47" ht="15.75" customHeight="1">
      <c r="A47" s="4" t="s">
        <v>3167</v>
      </c>
      <c r="B47" s="4" t="s">
        <v>86</v>
      </c>
      <c r="C47" s="4" t="s">
        <v>7</v>
      </c>
      <c r="D47" s="4" t="s">
        <v>122</v>
      </c>
      <c r="E47" s="4" t="s">
        <v>1331</v>
      </c>
      <c r="F47" s="4" t="s">
        <v>1330</v>
      </c>
      <c r="G47" s="4" t="str">
        <f t="array" ref="G47">IFERROR(IF(INDEX(Matches!$W$5:$W$22,MATCH($C47,Matches!$A$5:$A$22,0))="","",INDEX(Matches!$W$5:$W$22,MATCH($C47,Matches!$A$5:$A$22,0))),"")</f>
        <v>Ancient</v>
      </c>
      <c r="H47" s="4" t="str">
        <f t="array" ref="H47">IFERROR(IF(INDEX(Matches!$X$5:$X$22,MATCH($C47,Matches!$A$5:$A$22,0))="","",INDEX(Matches!$X$5:$X$22,MATCH($C47,Matches!$A$5:$A$22,0))),"")</f>
        <v>Anubis</v>
      </c>
      <c r="I47" s="4" t="str">
        <f t="array" ref="I47">IFERROR(IF(INDEX(Matches!$Y$5:$Y$22,MATCH($C47,Matches!$A$5:$A$22,0))="","",INDEX(Matches!$Y$5:$Y$22,MATCH($C47,Matches!$A$5:$A$22,0))),"")</f>
        <v>Cache</v>
      </c>
      <c r="J47" s="4">
        <f t="array" ref="J47">IFERROR(IF(INDEX(Matches!$Z$5:$Z$22,MATCH($C47,Matches!$A$5:$A$22,0))="","",INDEX(Matches!$Z$5:$Z$22,MATCH($C47,Matches!$A$5:$A$22,0))),"")</f>
        <v>21.42</v>
      </c>
      <c r="K47" s="4">
        <f t="array" ref="K47">IFERROR(IF(INDEX(Matches!$AA$5:$AA$22,MATCH($C47,Matches!$A$5:$A$22,0))="","",INDEX(Matches!$AA$5:$AA$22,MATCH($C47,Matches!$A$5:$A$22,0))),"")</f>
        <v>21.31</v>
      </c>
      <c r="L47" s="4">
        <f t="array" ref="L47">IFERROR(IF(INDEX(Matches!$AB$5:$AB$22,MATCH($C47,Matches!$A$5:$A$22,0))="","",INDEX(Matches!$AB$5:$AB$22,MATCH($C47,Matches!$A$5:$A$22,0))),"")</f>
        <v>21.38</v>
      </c>
      <c r="M47" s="11">
        <f t="array" ref="M47">IFERROR(IF(INDEX(Matches!$AC$5:$AC$22,MATCH($C47,Matches!$A$5:$A$22,0))="","",INDEX(Matches!$AC$5:$AC$22,MATCH($C47,Matches!$A$5:$A$22,0))),"")</f>
        <v>0.4881</v>
      </c>
      <c r="N47" s="4">
        <f t="array" ref="N47">IFERROR(INDEX(Players!$F$2:$F$127,MATCH($F47,Players!$A$2:$A$127,0)),0)</f>
        <v>34</v>
      </c>
      <c r="O47" s="18">
        <f t="array" ref="O47">IFERROR(1/(1/INDEX(Players!$H$2:$H$127,MATCH($F47,Players!$A$2:$A$127,0))),"")</f>
        <v>0.65</v>
      </c>
      <c r="P47" s="11">
        <f t="array" ref="P47">IFERROR(1/(1/INDEX(Players!$I$2:$I$127,MATCH($F47,Players!$A$2:$A$127,0))),"")</f>
        <v>0.507</v>
      </c>
      <c r="Q47" s="4">
        <f>IF($G47="",0,SUMIFS(Map_Stats!$F$2:$F$825,Map_Stats!$A$2:$A$825,$F47&amp;"|"&amp;$G47))</f>
        <v>6</v>
      </c>
      <c r="R47" s="18">
        <f t="array" ref="R47">IF($G47="","",IFERROR(1/(1/INDEX(Map_Stats!$K$2:$K$825,MATCH($F47&amp;"|"&amp;$G47,Map_Stats!$A$2:$A$825,0))),$O47))</f>
        <v>0.61</v>
      </c>
      <c r="S47" s="11">
        <f t="array" ref="S47">IF(OR($G47="",$P47=""),"",IFERROR(1/(1/INDEX(Map_Stats!$I$2:$I$825,MATCH($F47&amp;"|"&amp;$G47,Map_Stats!$A$2:$A$825,0))),$P47))</f>
        <v>0.434</v>
      </c>
      <c r="T47" s="18">
        <f>IF(OR($G47="",R47=""),"",IF($O47="",R47,(Q47*R47+Config!$B$4*$O47)/(Q47+Config!$B$4)))</f>
        <v>0.6281818182</v>
      </c>
      <c r="U47" s="11">
        <f>IF(S47="","",(Q47*S47+Config!$B$4*$P47)/(Q47+Config!$B$4))</f>
        <v>0.4671818182</v>
      </c>
      <c r="V47" s="17">
        <f>IF(OR(T47="",$J47=""),"",T47*$J47*($J47/Config!$B$10)^Config!$B$9)</f>
        <v>13.45565455</v>
      </c>
      <c r="W47" s="17">
        <f t="shared" si="1"/>
        <v>6.286237155</v>
      </c>
      <c r="X47" s="4">
        <f>IF($H47="",0,SUMIFS(Map_Stats!$F$2:$F$825,Map_Stats!$A$2:$A$825,$F47&amp;"|"&amp;$H47))</f>
        <v>8</v>
      </c>
      <c r="Y47" s="18">
        <f t="array" ref="Y47">IF($H47="","",IFERROR(1/(1/INDEX(Map_Stats!$K$2:$K$825,MATCH($F47&amp;"|"&amp;$H47,Map_Stats!$A$2:$A$825,0))),$O47))</f>
        <v>0.58</v>
      </c>
      <c r="Z47" s="11">
        <f t="array" ref="Z47">IF(OR($H47="",$P47=""),"",IFERROR(1/(1/INDEX(Map_Stats!$I$2:$I$825,MATCH($F47&amp;"|"&amp;$H47,Map_Stats!$A$2:$A$825,0))),$P47))</f>
        <v>0.5</v>
      </c>
      <c r="AA47" s="18">
        <f>IF(OR($H47="",Y47=""),"",IF($O47="",Y47,(X47*Y47+Config!$B$4*$O47)/(X47+Config!$B$4)))</f>
        <v>0.6069230769</v>
      </c>
      <c r="AB47" s="11">
        <f>IF(Z47="","",(X47*Z47+Config!$B$4*$P47)/(X47+Config!$B$4))</f>
        <v>0.5026923077</v>
      </c>
      <c r="AC47" s="17">
        <f>IF(OR(AA47="",$K47=""),"",AA47*$K47*($K47/Config!$B$10)^Config!$B$9)</f>
        <v>12.93353077</v>
      </c>
      <c r="AD47" s="17">
        <f t="shared" si="2"/>
        <v>6.501586429</v>
      </c>
      <c r="AE47" s="4">
        <f>IF($I47="",0,SUMIFS(Map_Stats!$F$2:$F$825,Map_Stats!$A$2:$A$825,$F47&amp;"|"&amp;$I47))</f>
        <v>5</v>
      </c>
      <c r="AF47" s="18">
        <f t="array" ref="AF47">IF($I47="","",IFERROR(1/(1/INDEX(Map_Stats!$K$2:$K$825,MATCH($F47&amp;"|"&amp;$I47,Map_Stats!$A$2:$A$825,0))),$O47))</f>
        <v>0.61</v>
      </c>
      <c r="AG47" s="11">
        <f t="array" ref="AG47">IF(OR($I47="",$P47=""),"",IFERROR(1/(1/INDEX(Map_Stats!$I$2:$I$825,MATCH($F47&amp;"|"&amp;$I47,Map_Stats!$A$2:$A$825,0))),$P47))</f>
        <v>0.629</v>
      </c>
      <c r="AH47" s="18">
        <f>IF(OR($I47="",AF47=""),"",IF($O47="",AF47,(AE47*AF47+Config!$B$4*$O47)/(AE47+Config!$B$4)))</f>
        <v>0.63</v>
      </c>
      <c r="AI47" s="11">
        <f>IF(AG47="","",(AE47*AG47+Config!$B$4*$P47)/(AE47+Config!$B$4))</f>
        <v>0.568</v>
      </c>
      <c r="AJ47" s="17">
        <f>IF(OR(AH47="",$L47=""),"",AH47*$L47*($L47/Config!$B$10)^Config!$B$9)</f>
        <v>13.4694</v>
      </c>
      <c r="AK47" s="17">
        <f t="shared" si="3"/>
        <v>7.6506192</v>
      </c>
      <c r="AL47" s="17">
        <f t="shared" si="4"/>
        <v>26.38918531</v>
      </c>
      <c r="AM47" s="17">
        <f t="shared" si="5"/>
        <v>32.96359945</v>
      </c>
      <c r="AN47" s="17">
        <f t="shared" si="6"/>
        <v>12.78782358</v>
      </c>
      <c r="AO47" s="17">
        <f t="shared" si="7"/>
        <v>16.52209082</v>
      </c>
      <c r="AP47" s="11">
        <f t="shared" si="8"/>
        <v>0.4845857662</v>
      </c>
      <c r="AQ47" s="4" t="str">
        <f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4">
        <f>IF($C47=Board!$B$2,COUNTIFS($C$2:$C$157,Board!$B$2,$AL$2:$AL$157,"&gt;"&amp;$AL47)+COUNTIFS($C$1:$C46,Board!$B$2,$AL$1:$AL46,$AL47)+1,"")</f>
        <v>7</v>
      </c>
      <c r="AS47" s="4" t="str">
        <f t="array" ref="AS47">IFERROR(IF($D47=INDEX(Matches!$AD$5:$AD$22,MATCH($C47,Matches!$A$5:$A$22,0)),"A",IF($D47=INDEX(Matches!$AE$5:$AE$22,MATCH($C47,Matches!$A$5:$A$22,0)),"B","")),"")</f>
        <v>B</v>
      </c>
      <c r="AT47" s="11">
        <f t="array" ref="AT47">IF($AS47="","",IFERROR(IF($AS47="A",INDEX(Matches!$AI$5:$AI$22,MATCH($C47,Matches!$A$5:$A$22,0)),INDEX(Matches!$AJ$5:$AJ$22,MATCH($C47,Matches!$A$5:$A$22,0))),""))</f>
        <v>0.5312191136</v>
      </c>
      <c r="AU47" s="11">
        <f t="array" ref="AU47">IF($AS47="","",IFERROR(IF(INDEX(Matches!$AP$5:$AP$22,MATCH($C47,Matches!$A$5:$A$22,0))="","",IF($AS47="A",INDEX(Matches!$AP$5:$AP$22,MATCH($C47,Matches!$A$5:$A$22,0)),1-INDEX(Matches!$AP$5:$AP$22,MATCH($C47,Matches!$A$5:$A$22,0)))),""))</f>
        <v>0.490327311</v>
      </c>
      <c r="AV47" s="18">
        <f>IF(OR($AU47="",$AT47=""),1,((Config!$B$14*$AU47+Config!$B$15*(1-$AU47))/(Config!$B$14*$AT47+Config!$B$15*(1-$AT47)))^Config!$B$13)</f>
        <v>0.9644501563</v>
      </c>
      <c r="AW47" s="11">
        <f t="array" ref="AW47">IF($AS47="","",IFERROR(IF(INDEX(Matches!$AV$5:$AV$22,MATCH($C47,Matches!$A$5:$A$22,0))="","",IF($AS47="A",INDEX(Matches!$AV$5:$AV$22,MATCH($C47,Matches!$A$5:$A$22,0)),1-INDEX(Matches!$AV$5:$AV$22,MATCH($C47,Matches!$A$5:$A$22,0)))),""))</f>
        <v>0.5259593287</v>
      </c>
      <c r="AX47" s="18">
        <f>IF(OR($AW47="",$AT47=""),1,((Config!$B$14*$AW47+Config!$B$15*(1-$AW47))/(Config!$B$14*$AT47+Config!$B$15*(1-$AT47)))^Config!$B$13)</f>
        <v>0.9954273346</v>
      </c>
      <c r="AY47" s="11">
        <f t="array" ref="AY47">IF($AS47="","",IFERROR(IF(INDEX(Matches!$BB$5:$BB$22,MATCH($C47,Matches!$A$5:$A$22,0))="","",IF($AS47="A",INDEX(Matches!$BB$5:$BB$22,MATCH($C47,Matches!$A$5:$A$22,0)),1-INDEX(Matches!$BB$5:$BB$22,MATCH($C47,Matches!$A$5:$A$22,0)))),""))</f>
        <v>0.4724430276</v>
      </c>
      <c r="AZ47" s="18">
        <f>IF(OR($AY47="",$AT47=""),1,((Config!$B$14*$AY47+Config!$B$15*(1-$AY47))/(Config!$B$14*$AT47+Config!$B$15*(1-$AT47)))^Config!$B$13)</f>
        <v>0.9489022117</v>
      </c>
      <c r="BA47" s="17">
        <f t="shared" si="9"/>
        <v>12.97730813</v>
      </c>
      <c r="BB47" s="17">
        <f t="shared" si="10"/>
        <v>12.87439006</v>
      </c>
      <c r="BC47" s="17">
        <f t="shared" si="11"/>
        <v>12.78114345</v>
      </c>
      <c r="BD47" s="17">
        <f t="shared" si="12"/>
        <v>25.85169819</v>
      </c>
      <c r="BE47" s="17">
        <f t="shared" si="13"/>
        <v>32.09017431</v>
      </c>
      <c r="BF47" s="17">
        <f t="shared" si="14"/>
        <v>6.062762407</v>
      </c>
      <c r="BG47" s="17">
        <f t="shared" si="15"/>
        <v>6.47185685</v>
      </c>
      <c r="BH47" s="17">
        <f t="shared" si="16"/>
        <v>7.25968948</v>
      </c>
      <c r="BI47" s="17">
        <f t="shared" si="17"/>
        <v>12.53461926</v>
      </c>
      <c r="BJ47" s="17">
        <f t="shared" si="18"/>
        <v>16.07807369</v>
      </c>
      <c r="BK47" s="18">
        <f t="shared" si="19"/>
        <v>0.9796322956</v>
      </c>
    </row>
    <row r="48" ht="15.75" customHeight="1">
      <c r="A48" s="4" t="s">
        <v>3168</v>
      </c>
      <c r="B48" s="4" t="s">
        <v>86</v>
      </c>
      <c r="C48" s="4" t="s">
        <v>7</v>
      </c>
      <c r="D48" s="4" t="s">
        <v>122</v>
      </c>
      <c r="E48" s="4" t="s">
        <v>1334</v>
      </c>
      <c r="F48" s="4" t="s">
        <v>1333</v>
      </c>
      <c r="G48" s="4" t="str">
        <f t="array" ref="G48">IFERROR(IF(INDEX(Matches!$W$5:$W$22,MATCH($C48,Matches!$A$5:$A$22,0))="","",INDEX(Matches!$W$5:$W$22,MATCH($C48,Matches!$A$5:$A$22,0))),"")</f>
        <v>Ancient</v>
      </c>
      <c r="H48" s="4" t="str">
        <f t="array" ref="H48">IFERROR(IF(INDEX(Matches!$X$5:$X$22,MATCH($C48,Matches!$A$5:$A$22,0))="","",INDEX(Matches!$X$5:$X$22,MATCH($C48,Matches!$A$5:$A$22,0))),"")</f>
        <v>Anubis</v>
      </c>
      <c r="I48" s="4" t="str">
        <f t="array" ref="I48">IFERROR(IF(INDEX(Matches!$Y$5:$Y$22,MATCH($C48,Matches!$A$5:$A$22,0))="","",INDEX(Matches!$Y$5:$Y$22,MATCH($C48,Matches!$A$5:$A$22,0))),"")</f>
        <v>Cache</v>
      </c>
      <c r="J48" s="4">
        <f t="array" ref="J48">IFERROR(IF(INDEX(Matches!$Z$5:$Z$22,MATCH($C48,Matches!$A$5:$A$22,0))="","",INDEX(Matches!$Z$5:$Z$22,MATCH($C48,Matches!$A$5:$A$22,0))),"")</f>
        <v>21.42</v>
      </c>
      <c r="K48" s="4">
        <f t="array" ref="K48">IFERROR(IF(INDEX(Matches!$AA$5:$AA$22,MATCH($C48,Matches!$A$5:$A$22,0))="","",INDEX(Matches!$AA$5:$AA$22,MATCH($C48,Matches!$A$5:$A$22,0))),"")</f>
        <v>21.31</v>
      </c>
      <c r="L48" s="4">
        <f t="array" ref="L48">IFERROR(IF(INDEX(Matches!$AB$5:$AB$22,MATCH($C48,Matches!$A$5:$A$22,0))="","",INDEX(Matches!$AB$5:$AB$22,MATCH($C48,Matches!$A$5:$A$22,0))),"")</f>
        <v>21.38</v>
      </c>
      <c r="M48" s="11">
        <f t="array" ref="M48">IFERROR(IF(INDEX(Matches!$AC$5:$AC$22,MATCH($C48,Matches!$A$5:$A$22,0))="","",INDEX(Matches!$AC$5:$AC$22,MATCH($C48,Matches!$A$5:$A$22,0))),"")</f>
        <v>0.4881</v>
      </c>
      <c r="N48" s="4">
        <f t="array" ref="N48">IFERROR(INDEX(Players!$F$2:$F$127,MATCH($F48,Players!$A$2:$A$127,0)),0)</f>
        <v>34</v>
      </c>
      <c r="O48" s="18">
        <f t="array" ref="O48">IFERROR(1/(1/INDEX(Players!$H$2:$H$127,MATCH($F48,Players!$A$2:$A$127,0))),"")</f>
        <v>0.66</v>
      </c>
      <c r="P48" s="11">
        <f t="array" ref="P48">IFERROR(1/(1/INDEX(Players!$I$2:$I$127,MATCH($F48,Players!$A$2:$A$127,0))),"")</f>
        <v>0.529</v>
      </c>
      <c r="Q48" s="4">
        <f>IF($G48="",0,SUMIFS(Map_Stats!$F$2:$F$825,Map_Stats!$A$2:$A$825,$F48&amp;"|"&amp;$G48))</f>
        <v>6</v>
      </c>
      <c r="R48" s="18">
        <f t="array" ref="R48">IF($G48="","",IFERROR(1/(1/INDEX(Map_Stats!$K$2:$K$825,MATCH($F48&amp;"|"&amp;$G48,Map_Stats!$A$2:$A$825,0))),$O48))</f>
        <v>0.67</v>
      </c>
      <c r="S48" s="11">
        <f t="array" ref="S48">IF(OR($G48="",$P48=""),"",IFERROR(1/(1/INDEX(Map_Stats!$I$2:$I$825,MATCH($F48&amp;"|"&amp;$G48,Map_Stats!$A$2:$A$825,0))),$P48))</f>
        <v>0.511</v>
      </c>
      <c r="T48" s="18">
        <f>IF(OR($G48="",R48=""),"",IF($O48="",R48,(Q48*R48+Config!$B$4*$O48)/(Q48+Config!$B$4)))</f>
        <v>0.6654545455</v>
      </c>
      <c r="U48" s="11">
        <f>IF(S48="","",(Q48*S48+Config!$B$4*$P48)/(Q48+Config!$B$4))</f>
        <v>0.5191818182</v>
      </c>
      <c r="V48" s="17">
        <f>IF(OR(T48="",$J48=""),"",T48*$J48*($J48/Config!$B$10)^Config!$B$9)</f>
        <v>14.25403636</v>
      </c>
      <c r="W48" s="17">
        <f t="shared" si="1"/>
        <v>7.400436516</v>
      </c>
      <c r="X48" s="4">
        <f>IF($H48="",0,SUMIFS(Map_Stats!$F$2:$F$825,Map_Stats!$A$2:$A$825,$F48&amp;"|"&amp;$H48))</f>
        <v>8</v>
      </c>
      <c r="Y48" s="18">
        <f t="array" ref="Y48">IF($H48="","",IFERROR(1/(1/INDEX(Map_Stats!$K$2:$K$825,MATCH($F48&amp;"|"&amp;$H48,Map_Stats!$A$2:$A$825,0))),$O48))</f>
        <v>0.77</v>
      </c>
      <c r="Z48" s="11">
        <f t="array" ref="Z48">IF(OR($H48="",$P48=""),"",IFERROR(1/(1/INDEX(Map_Stats!$I$2:$I$825,MATCH($F48&amp;"|"&amp;$H48,Map_Stats!$A$2:$A$825,0))),$P48))</f>
        <v>0.503</v>
      </c>
      <c r="AA48" s="18">
        <f>IF(OR($H48="",Y48=""),"",IF($O48="",Y48,(X48*Y48+Config!$B$4*$O48)/(X48+Config!$B$4)))</f>
        <v>0.7276923077</v>
      </c>
      <c r="AB48" s="11">
        <f>IF(Z48="","",(X48*Z48+Config!$B$4*$P48)/(X48+Config!$B$4))</f>
        <v>0.513</v>
      </c>
      <c r="AC48" s="17">
        <f>IF(OR(AA48="",$K48=""),"",AA48*$K48*($K48/Config!$B$10)^Config!$B$9)</f>
        <v>15.50712308</v>
      </c>
      <c r="AD48" s="17">
        <f t="shared" si="2"/>
        <v>7.955154138</v>
      </c>
      <c r="AE48" s="4">
        <f>IF($I48="",0,SUMIFS(Map_Stats!$F$2:$F$825,Map_Stats!$A$2:$A$825,$F48&amp;"|"&amp;$I48))</f>
        <v>5</v>
      </c>
      <c r="AF48" s="18">
        <f t="array" ref="AF48">IF($I48="","",IFERROR(1/(1/INDEX(Map_Stats!$K$2:$K$825,MATCH($F48&amp;"|"&amp;$I48,Map_Stats!$A$2:$A$825,0))),$O48))</f>
        <v>0.56</v>
      </c>
      <c r="AG48" s="11">
        <f t="array" ref="AG48">IF(OR($I48="",$P48=""),"",IFERROR(1/(1/INDEX(Map_Stats!$I$2:$I$825,MATCH($F48&amp;"|"&amp;$I48,Map_Stats!$A$2:$A$825,0))),$P48))</f>
        <v>0.632</v>
      </c>
      <c r="AH48" s="18">
        <f>IF(OR($I48="",AF48=""),"",IF($O48="",AF48,(AE48*AF48+Config!$B$4*$O48)/(AE48+Config!$B$4)))</f>
        <v>0.61</v>
      </c>
      <c r="AI48" s="11">
        <f>IF(AG48="","",(AE48*AG48+Config!$B$4*$P48)/(AE48+Config!$B$4))</f>
        <v>0.5805</v>
      </c>
      <c r="AJ48" s="17">
        <f>IF(OR(AH48="",$L48=""),"",AH48*$L48*($L48/Config!$B$10)^Config!$B$9)</f>
        <v>13.0418</v>
      </c>
      <c r="AK48" s="17">
        <f t="shared" si="3"/>
        <v>7.5707649</v>
      </c>
      <c r="AL48" s="17">
        <f t="shared" si="4"/>
        <v>29.76115944</v>
      </c>
      <c r="AM48" s="17">
        <f t="shared" si="5"/>
        <v>36.12686202</v>
      </c>
      <c r="AN48" s="17">
        <f t="shared" si="6"/>
        <v>15.35559065</v>
      </c>
      <c r="AO48" s="17">
        <f t="shared" si="7"/>
        <v>19.050881</v>
      </c>
      <c r="AP48" s="11">
        <f t="shared" si="8"/>
        <v>0.5159607671</v>
      </c>
      <c r="AQ48" s="4" t="str">
        <f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4">
        <f>IF($C48=Board!$B$2,COUNTIFS($C$2:$C$157,Board!$B$2,$AL$2:$AL$157,"&gt;"&amp;$AL48)+COUNTIFS($C$1:$C47,Board!$B$2,$AL$1:$AL47,$AL48)+1,"")</f>
        <v>5</v>
      </c>
      <c r="AS48" s="4" t="str">
        <f t="array" ref="AS48">IFERROR(IF($D48=INDEX(Matches!$AD$5:$AD$22,MATCH($C48,Matches!$A$5:$A$22,0)),"A",IF($D48=INDEX(Matches!$AE$5:$AE$22,MATCH($C48,Matches!$A$5:$A$22,0)),"B","")),"")</f>
        <v>B</v>
      </c>
      <c r="AT48" s="11">
        <f t="array" ref="AT48">IF($AS48="","",IFERROR(IF($AS48="A",INDEX(Matches!$AI$5:$AI$22,MATCH($C48,Matches!$A$5:$A$22,0)),INDEX(Matches!$AJ$5:$AJ$22,MATCH($C48,Matches!$A$5:$A$22,0))),""))</f>
        <v>0.5312191136</v>
      </c>
      <c r="AU48" s="11">
        <f t="array" ref="AU48">IF($AS48="","",IFERROR(IF(INDEX(Matches!$AP$5:$AP$22,MATCH($C48,Matches!$A$5:$A$22,0))="","",IF($AS48="A",INDEX(Matches!$AP$5:$AP$22,MATCH($C48,Matches!$A$5:$A$22,0)),1-INDEX(Matches!$AP$5:$AP$22,MATCH($C48,Matches!$A$5:$A$22,0)))),""))</f>
        <v>0.490327311</v>
      </c>
      <c r="AV48" s="18">
        <f>IF(OR($AU48="",$AT48=""),1,((Config!$B$14*$AU48+Config!$B$15*(1-$AU48))/(Config!$B$14*$AT48+Config!$B$15*(1-$AT48)))^Config!$B$13)</f>
        <v>0.9644501563</v>
      </c>
      <c r="AW48" s="11">
        <f t="array" ref="AW48">IF($AS48="","",IFERROR(IF(INDEX(Matches!$AV$5:$AV$22,MATCH($C48,Matches!$A$5:$A$22,0))="","",IF($AS48="A",INDEX(Matches!$AV$5:$AV$22,MATCH($C48,Matches!$A$5:$A$22,0)),1-INDEX(Matches!$AV$5:$AV$22,MATCH($C48,Matches!$A$5:$A$22,0)))),""))</f>
        <v>0.5259593287</v>
      </c>
      <c r="AX48" s="18">
        <f>IF(OR($AW48="",$AT48=""),1,((Config!$B$14*$AW48+Config!$B$15*(1-$AW48))/(Config!$B$14*$AT48+Config!$B$15*(1-$AT48)))^Config!$B$13)</f>
        <v>0.9954273346</v>
      </c>
      <c r="AY48" s="11">
        <f t="array" ref="AY48">IF($AS48="","",IFERROR(IF(INDEX(Matches!$BB$5:$BB$22,MATCH($C48,Matches!$A$5:$A$22,0))="","",IF($AS48="A",INDEX(Matches!$BB$5:$BB$22,MATCH($C48,Matches!$A$5:$A$22,0)),1-INDEX(Matches!$BB$5:$BB$22,MATCH($C48,Matches!$A$5:$A$22,0)))),""))</f>
        <v>0.4724430276</v>
      </c>
      <c r="AZ48" s="18">
        <f>IF(OR($AY48="",$AT48=""),1,((Config!$B$14*$AY48+Config!$B$15*(1-$AY48))/(Config!$B$14*$AT48+Config!$B$15*(1-$AT48)))^Config!$B$13)</f>
        <v>0.9489022117</v>
      </c>
      <c r="BA48" s="17">
        <f t="shared" si="9"/>
        <v>13.7473076</v>
      </c>
      <c r="BB48" s="17">
        <f t="shared" si="10"/>
        <v>15.43621419</v>
      </c>
      <c r="BC48" s="17">
        <f t="shared" si="11"/>
        <v>12.37539286</v>
      </c>
      <c r="BD48" s="17">
        <f t="shared" si="12"/>
        <v>29.18352179</v>
      </c>
      <c r="BE48" s="17">
        <f t="shared" si="13"/>
        <v>35.22395105</v>
      </c>
      <c r="BF48" s="17">
        <f t="shared" si="14"/>
        <v>7.137352154</v>
      </c>
      <c r="BG48" s="17">
        <f t="shared" si="15"/>
        <v>7.91877788</v>
      </c>
      <c r="BH48" s="17">
        <f t="shared" si="16"/>
        <v>7.183915558</v>
      </c>
      <c r="BI48" s="17">
        <f t="shared" si="17"/>
        <v>15.05613003</v>
      </c>
      <c r="BJ48" s="17">
        <f t="shared" si="18"/>
        <v>18.56259922</v>
      </c>
      <c r="BK48" s="18">
        <f t="shared" si="19"/>
        <v>0.9805908889</v>
      </c>
    </row>
    <row r="49" ht="15.75" customHeight="1">
      <c r="A49" s="4" t="s">
        <v>3169</v>
      </c>
      <c r="B49" s="4" t="s">
        <v>86</v>
      </c>
      <c r="C49" s="4" t="s">
        <v>7</v>
      </c>
      <c r="D49" s="4" t="s">
        <v>122</v>
      </c>
      <c r="E49" s="4" t="s">
        <v>1337</v>
      </c>
      <c r="F49" s="4" t="s">
        <v>1336</v>
      </c>
      <c r="G49" s="4" t="str">
        <f t="array" ref="G49">IFERROR(IF(INDEX(Matches!$W$5:$W$22,MATCH($C49,Matches!$A$5:$A$22,0))="","",INDEX(Matches!$W$5:$W$22,MATCH($C49,Matches!$A$5:$A$22,0))),"")</f>
        <v>Ancient</v>
      </c>
      <c r="H49" s="4" t="str">
        <f t="array" ref="H49">IFERROR(IF(INDEX(Matches!$X$5:$X$22,MATCH($C49,Matches!$A$5:$A$22,0))="","",INDEX(Matches!$X$5:$X$22,MATCH($C49,Matches!$A$5:$A$22,0))),"")</f>
        <v>Anubis</v>
      </c>
      <c r="I49" s="4" t="str">
        <f t="array" ref="I49">IFERROR(IF(INDEX(Matches!$Y$5:$Y$22,MATCH($C49,Matches!$A$5:$A$22,0))="","",INDEX(Matches!$Y$5:$Y$22,MATCH($C49,Matches!$A$5:$A$22,0))),"")</f>
        <v>Cache</v>
      </c>
      <c r="J49" s="4">
        <f t="array" ref="J49">IFERROR(IF(INDEX(Matches!$Z$5:$Z$22,MATCH($C49,Matches!$A$5:$A$22,0))="","",INDEX(Matches!$Z$5:$Z$22,MATCH($C49,Matches!$A$5:$A$22,0))),"")</f>
        <v>21.42</v>
      </c>
      <c r="K49" s="4">
        <f t="array" ref="K49">IFERROR(IF(INDEX(Matches!$AA$5:$AA$22,MATCH($C49,Matches!$A$5:$A$22,0))="","",INDEX(Matches!$AA$5:$AA$22,MATCH($C49,Matches!$A$5:$A$22,0))),"")</f>
        <v>21.31</v>
      </c>
      <c r="L49" s="4">
        <f t="array" ref="L49">IFERROR(IF(INDEX(Matches!$AB$5:$AB$22,MATCH($C49,Matches!$A$5:$A$22,0))="","",INDEX(Matches!$AB$5:$AB$22,MATCH($C49,Matches!$A$5:$A$22,0))),"")</f>
        <v>21.38</v>
      </c>
      <c r="M49" s="11">
        <f t="array" ref="M49">IFERROR(IF(INDEX(Matches!$AC$5:$AC$22,MATCH($C49,Matches!$A$5:$A$22,0))="","",INDEX(Matches!$AC$5:$AC$22,MATCH($C49,Matches!$A$5:$A$22,0))),"")</f>
        <v>0.4881</v>
      </c>
      <c r="N49" s="4">
        <f t="array" ref="N49">IFERROR(INDEX(Players!$F$2:$F$127,MATCH($F49,Players!$A$2:$A$127,0)),0)</f>
        <v>30</v>
      </c>
      <c r="O49" s="18">
        <f t="array" ref="O49">IFERROR(1/(1/INDEX(Players!$H$2:$H$127,MATCH($F49,Players!$A$2:$A$127,0))),"")</f>
        <v>0.66</v>
      </c>
      <c r="P49" s="11">
        <f t="array" ref="P49">IFERROR(1/(1/INDEX(Players!$I$2:$I$127,MATCH($F49,Players!$A$2:$A$127,0))),"")</f>
        <v>0.387</v>
      </c>
      <c r="Q49" s="4">
        <f>IF($G49="",0,SUMIFS(Map_Stats!$F$2:$F$825,Map_Stats!$A$2:$A$825,$F49&amp;"|"&amp;$G49))</f>
        <v>6</v>
      </c>
      <c r="R49" s="18">
        <f t="array" ref="R49">IF($G49="","",IFERROR(1/(1/INDEX(Map_Stats!$K$2:$K$825,MATCH($F49&amp;"|"&amp;$G49,Map_Stats!$A$2:$A$825,0))),$O49))</f>
        <v>0.64</v>
      </c>
      <c r="S49" s="11">
        <f t="array" ref="S49">IF(OR($G49="",$P49=""),"",IFERROR(1/(1/INDEX(Map_Stats!$I$2:$I$825,MATCH($F49&amp;"|"&amp;$G49,Map_Stats!$A$2:$A$825,0))),$P49))</f>
        <v>0.337</v>
      </c>
      <c r="T49" s="18">
        <f>IF(OR($G49="",R49=""),"",IF($O49="",R49,(Q49*R49+Config!$B$4*$O49)/(Q49+Config!$B$4)))</f>
        <v>0.6490909091</v>
      </c>
      <c r="U49" s="11">
        <f>IF(S49="","",(Q49*S49+Config!$B$4*$P49)/(Q49+Config!$B$4))</f>
        <v>0.3597272727</v>
      </c>
      <c r="V49" s="17">
        <f>IF(OR(T49="",$J49=""),"",T49*$J49*($J49/Config!$B$10)^Config!$B$9)</f>
        <v>13.90352727</v>
      </c>
      <c r="W49" s="17">
        <f t="shared" si="1"/>
        <v>5.001477947</v>
      </c>
      <c r="X49" s="4">
        <f>IF($H49="",0,SUMIFS(Map_Stats!$F$2:$F$825,Map_Stats!$A$2:$A$825,$F49&amp;"|"&amp;$H49))</f>
        <v>6</v>
      </c>
      <c r="Y49" s="18">
        <f t="array" ref="Y49">IF($H49="","",IFERROR(1/(1/INDEX(Map_Stats!$K$2:$K$825,MATCH($F49&amp;"|"&amp;$H49,Map_Stats!$A$2:$A$825,0))),$O49))</f>
        <v>0.56</v>
      </c>
      <c r="Z49" s="11">
        <f t="array" ref="Z49">IF(OR($H49="",$P49=""),"",IFERROR(1/(1/INDEX(Map_Stats!$I$2:$I$825,MATCH($F49&amp;"|"&amp;$H49,Map_Stats!$A$2:$A$825,0))),$P49))</f>
        <v>0.316</v>
      </c>
      <c r="AA49" s="18">
        <f>IF(OR($H49="",Y49=""),"",IF($O49="",Y49,(X49*Y49+Config!$B$4*$O49)/(X49+Config!$B$4)))</f>
        <v>0.6054545455</v>
      </c>
      <c r="AB49" s="11">
        <f>IF(Z49="","",(X49*Z49+Config!$B$4*$P49)/(X49+Config!$B$4))</f>
        <v>0.3482727273</v>
      </c>
      <c r="AC49" s="17">
        <f>IF(OR(AA49="",$K49=""),"",AA49*$K49*($K49/Config!$B$10)^Config!$B$9)</f>
        <v>12.90223636</v>
      </c>
      <c r="AD49" s="17">
        <f t="shared" si="2"/>
        <v>4.493497046</v>
      </c>
      <c r="AE49" s="4">
        <f>IF($I49="",0,SUMIFS(Map_Stats!$F$2:$F$825,Map_Stats!$A$2:$A$825,$F49&amp;"|"&amp;$I49))</f>
        <v>3</v>
      </c>
      <c r="AF49" s="18">
        <f t="array" ref="AF49">IF($I49="","",IFERROR(1/(1/INDEX(Map_Stats!$K$2:$K$825,MATCH($F49&amp;"|"&amp;$I49,Map_Stats!$A$2:$A$825,0))),$O49))</f>
        <v>0.91</v>
      </c>
      <c r="AG49" s="11">
        <f t="array" ref="AG49">IF(OR($I49="",$P49=""),"",IFERROR(1/(1/INDEX(Map_Stats!$I$2:$I$825,MATCH($F49&amp;"|"&amp;$I49,Map_Stats!$A$2:$A$825,0))),$P49))</f>
        <v>0.429</v>
      </c>
      <c r="AH49" s="18">
        <f>IF(OR($I49="",AF49=""),"",IF($O49="",AF49,(AE49*AF49+Config!$B$4*$O49)/(AE49+Config!$B$4)))</f>
        <v>0.75375</v>
      </c>
      <c r="AI49" s="11">
        <f>IF(AG49="","",(AE49*AG49+Config!$B$4*$P49)/(AE49+Config!$B$4))</f>
        <v>0.40275</v>
      </c>
      <c r="AJ49" s="17">
        <f>IF(OR(AH49="",$L49=""),"",AH49*$L49*($L49/Config!$B$10)^Config!$B$9)</f>
        <v>16.115175</v>
      </c>
      <c r="AK49" s="17">
        <f t="shared" si="3"/>
        <v>6.490386731</v>
      </c>
      <c r="AL49" s="17">
        <f t="shared" si="4"/>
        <v>26.80576364</v>
      </c>
      <c r="AM49" s="17">
        <f t="shared" si="5"/>
        <v>34.67158055</v>
      </c>
      <c r="AN49" s="17">
        <f t="shared" si="6"/>
        <v>9.494974993</v>
      </c>
      <c r="AO49" s="17">
        <f t="shared" si="7"/>
        <v>12.66293276</v>
      </c>
      <c r="AP49" s="11">
        <f t="shared" si="8"/>
        <v>0.3542139341</v>
      </c>
      <c r="AQ49" s="4" t="str">
        <f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4">
        <f>IF($C49=Board!$B$2,COUNTIFS($C$2:$C$157,Board!$B$2,$AL$2:$AL$157,"&gt;"&amp;$AL49)+COUNTIFS($C$1:$C48,Board!$B$2,$AL$1:$AL48,$AL49)+1,"")</f>
        <v>6</v>
      </c>
      <c r="AS49" s="4" t="str">
        <f t="array" ref="AS49">IFERROR(IF($D49=INDEX(Matches!$AD$5:$AD$22,MATCH($C49,Matches!$A$5:$A$22,0)),"A",IF($D49=INDEX(Matches!$AE$5:$AE$22,MATCH($C49,Matches!$A$5:$A$22,0)),"B","")),"")</f>
        <v>B</v>
      </c>
      <c r="AT49" s="11">
        <f t="array" ref="AT49">IF($AS49="","",IFERROR(IF($AS49="A",INDEX(Matches!$AI$5:$AI$22,MATCH($C49,Matches!$A$5:$A$22,0)),INDEX(Matches!$AJ$5:$AJ$22,MATCH($C49,Matches!$A$5:$A$22,0))),""))</f>
        <v>0.5312191136</v>
      </c>
      <c r="AU49" s="11">
        <f t="array" ref="AU49">IF($AS49="","",IFERROR(IF(INDEX(Matches!$AP$5:$AP$22,MATCH($C49,Matches!$A$5:$A$22,0))="","",IF($AS49="A",INDEX(Matches!$AP$5:$AP$22,MATCH($C49,Matches!$A$5:$A$22,0)),1-INDEX(Matches!$AP$5:$AP$22,MATCH($C49,Matches!$A$5:$A$22,0)))),""))</f>
        <v>0.490327311</v>
      </c>
      <c r="AV49" s="18">
        <f>IF(OR($AU49="",$AT49=""),1,((Config!$B$14*$AU49+Config!$B$15*(1-$AU49))/(Config!$B$14*$AT49+Config!$B$15*(1-$AT49)))^Config!$B$13)</f>
        <v>0.9644501563</v>
      </c>
      <c r="AW49" s="11">
        <f t="array" ref="AW49">IF($AS49="","",IFERROR(IF(INDEX(Matches!$AV$5:$AV$22,MATCH($C49,Matches!$A$5:$A$22,0))="","",IF($AS49="A",INDEX(Matches!$AV$5:$AV$22,MATCH($C49,Matches!$A$5:$A$22,0)),1-INDEX(Matches!$AV$5:$AV$22,MATCH($C49,Matches!$A$5:$A$22,0)))),""))</f>
        <v>0.5259593287</v>
      </c>
      <c r="AX49" s="18">
        <f>IF(OR($AW49="",$AT49=""),1,((Config!$B$14*$AW49+Config!$B$15*(1-$AW49))/(Config!$B$14*$AT49+Config!$B$15*(1-$AT49)))^Config!$B$13)</f>
        <v>0.9954273346</v>
      </c>
      <c r="AY49" s="11">
        <f t="array" ref="AY49">IF($AS49="","",IFERROR(IF(INDEX(Matches!$BB$5:$BB$22,MATCH($C49,Matches!$A$5:$A$22,0))="","",IF($AS49="A",INDEX(Matches!$BB$5:$BB$22,MATCH($C49,Matches!$A$5:$A$22,0)),1-INDEX(Matches!$BB$5:$BB$22,MATCH($C49,Matches!$A$5:$A$22,0)))),""))</f>
        <v>0.4724430276</v>
      </c>
      <c r="AZ49" s="18">
        <f>IF(OR($AY49="",$AT49=""),1,((Config!$B$14*$AY49+Config!$B$15*(1-$AY49))/(Config!$B$14*$AT49+Config!$B$15*(1-$AT49)))^Config!$B$13)</f>
        <v>0.9489022117</v>
      </c>
      <c r="BA49" s="17">
        <f t="shared" si="9"/>
        <v>13.40925905</v>
      </c>
      <c r="BB49" s="17">
        <f t="shared" si="10"/>
        <v>12.84323875</v>
      </c>
      <c r="BC49" s="17">
        <f t="shared" si="11"/>
        <v>15.2917252</v>
      </c>
      <c r="BD49" s="17">
        <f t="shared" si="12"/>
        <v>26.25249781</v>
      </c>
      <c r="BE49" s="17">
        <f t="shared" si="13"/>
        <v>33.71638888</v>
      </c>
      <c r="BF49" s="17">
        <f t="shared" si="14"/>
        <v>4.823676188</v>
      </c>
      <c r="BG49" s="17">
        <f t="shared" si="15"/>
        <v>4.472949788</v>
      </c>
      <c r="BH49" s="17">
        <f t="shared" si="16"/>
        <v>6.158742324</v>
      </c>
      <c r="BI49" s="17">
        <f t="shared" si="17"/>
        <v>9.296625976</v>
      </c>
      <c r="BJ49" s="17">
        <f t="shared" si="18"/>
        <v>12.3027081</v>
      </c>
      <c r="BK49" s="18">
        <f t="shared" si="19"/>
        <v>0.9793601914</v>
      </c>
    </row>
    <row r="50" ht="15.75" customHeight="1">
      <c r="A50" s="4" t="s">
        <v>3170</v>
      </c>
      <c r="B50" s="4" t="s">
        <v>86</v>
      </c>
      <c r="C50" s="4" t="s">
        <v>7</v>
      </c>
      <c r="D50" s="4" t="s">
        <v>120</v>
      </c>
      <c r="E50" s="4" t="s">
        <v>1340</v>
      </c>
      <c r="F50" s="4" t="s">
        <v>1339</v>
      </c>
      <c r="G50" s="4" t="str">
        <f t="array" ref="G50">IFERROR(IF(INDEX(Matches!$W$5:$W$22,MATCH($C50,Matches!$A$5:$A$22,0))="","",INDEX(Matches!$W$5:$W$22,MATCH($C50,Matches!$A$5:$A$22,0))),"")</f>
        <v>Ancient</v>
      </c>
      <c r="H50" s="4" t="str">
        <f t="array" ref="H50">IFERROR(IF(INDEX(Matches!$X$5:$X$22,MATCH($C50,Matches!$A$5:$A$22,0))="","",INDEX(Matches!$X$5:$X$22,MATCH($C50,Matches!$A$5:$A$22,0))),"")</f>
        <v>Anubis</v>
      </c>
      <c r="I50" s="4" t="str">
        <f t="array" ref="I50">IFERROR(IF(INDEX(Matches!$Y$5:$Y$22,MATCH($C50,Matches!$A$5:$A$22,0))="","",INDEX(Matches!$Y$5:$Y$22,MATCH($C50,Matches!$A$5:$A$22,0))),"")</f>
        <v>Cache</v>
      </c>
      <c r="J50" s="4">
        <f t="array" ref="J50">IFERROR(IF(INDEX(Matches!$Z$5:$Z$22,MATCH($C50,Matches!$A$5:$A$22,0))="","",INDEX(Matches!$Z$5:$Z$22,MATCH($C50,Matches!$A$5:$A$22,0))),"")</f>
        <v>21.42</v>
      </c>
      <c r="K50" s="4">
        <f t="array" ref="K50">IFERROR(IF(INDEX(Matches!$AA$5:$AA$22,MATCH($C50,Matches!$A$5:$A$22,0))="","",INDEX(Matches!$AA$5:$AA$22,MATCH($C50,Matches!$A$5:$A$22,0))),"")</f>
        <v>21.31</v>
      </c>
      <c r="L50" s="4">
        <f t="array" ref="L50">IFERROR(IF(INDEX(Matches!$AB$5:$AB$22,MATCH($C50,Matches!$A$5:$A$22,0))="","",INDEX(Matches!$AB$5:$AB$22,MATCH($C50,Matches!$A$5:$A$22,0))),"")</f>
        <v>21.38</v>
      </c>
      <c r="M50" s="11">
        <f t="array" ref="M50">IFERROR(IF(INDEX(Matches!$AC$5:$AC$22,MATCH($C50,Matches!$A$5:$A$22,0))="","",INDEX(Matches!$AC$5:$AC$22,MATCH($C50,Matches!$A$5:$A$22,0))),"")</f>
        <v>0.4881</v>
      </c>
      <c r="N50" s="4">
        <f t="array" ref="N50">IFERROR(INDEX(Players!$F$2:$F$127,MATCH($F50,Players!$A$2:$A$127,0)),0)</f>
        <v>29</v>
      </c>
      <c r="O50" s="18">
        <f t="array" ref="O50">IFERROR(1/(1/INDEX(Players!$H$2:$H$127,MATCH($F50,Players!$A$2:$A$127,0))),"")</f>
        <v>0.8</v>
      </c>
      <c r="P50" s="11">
        <f t="array" ref="P50">IFERROR(1/(1/INDEX(Players!$I$2:$I$127,MATCH($F50,Players!$A$2:$A$127,0))),"")</f>
        <v>0.602</v>
      </c>
      <c r="Q50" s="4">
        <f>IF($G50="",0,SUMIFS(Map_Stats!$F$2:$F$825,Map_Stats!$A$2:$A$825,$F50&amp;"|"&amp;$G50))</f>
        <v>5</v>
      </c>
      <c r="R50" s="18">
        <f t="array" ref="R50">IF($G50="","",IFERROR(1/(1/INDEX(Map_Stats!$K$2:$K$825,MATCH($F50&amp;"|"&amp;$G50,Map_Stats!$A$2:$A$825,0))),$O50))</f>
        <v>0.85</v>
      </c>
      <c r="S50" s="11">
        <f t="array" ref="S50">IF(OR($G50="",$P50=""),"",IFERROR(1/(1/INDEX(Map_Stats!$I$2:$I$825,MATCH($F50&amp;"|"&amp;$G50,Map_Stats!$A$2:$A$825,0))),$P50))</f>
        <v>0.558</v>
      </c>
      <c r="T50" s="18">
        <f>IF(OR($G50="",R50=""),"",IF($O50="",R50,(Q50*R50+Config!$B$4*$O50)/(Q50+Config!$B$4)))</f>
        <v>0.825</v>
      </c>
      <c r="U50" s="11">
        <f>IF(S50="","",(Q50*S50+Config!$B$4*$P50)/(Q50+Config!$B$4))</f>
        <v>0.58</v>
      </c>
      <c r="V50" s="17">
        <f>IF(OR(T50="",$J50=""),"",T50*$J50*($J50/Config!$B$10)^Config!$B$9)</f>
        <v>17.6715</v>
      </c>
      <c r="W50" s="17">
        <f t="shared" si="1"/>
        <v>10.24947</v>
      </c>
      <c r="X50" s="4">
        <f>IF($H50="",0,SUMIFS(Map_Stats!$F$2:$F$825,Map_Stats!$A$2:$A$825,$F50&amp;"|"&amp;$H50))</f>
        <v>6</v>
      </c>
      <c r="Y50" s="18">
        <f t="array" ref="Y50">IF($H50="","",IFERROR(1/(1/INDEX(Map_Stats!$K$2:$K$825,MATCH($F50&amp;"|"&amp;$H50,Map_Stats!$A$2:$A$825,0))),$O50))</f>
        <v>0.79</v>
      </c>
      <c r="Z50" s="11">
        <f t="array" ref="Z50">IF(OR($H50="",$P50=""),"",IFERROR(1/(1/INDEX(Map_Stats!$I$2:$I$825,MATCH($F50&amp;"|"&amp;$H50,Map_Stats!$A$2:$A$825,0))),$P50))</f>
        <v>0.556</v>
      </c>
      <c r="AA50" s="18">
        <f>IF(OR($H50="",Y50=""),"",IF($O50="",Y50,(X50*Y50+Config!$B$4*$O50)/(X50+Config!$B$4)))</f>
        <v>0.7945454545</v>
      </c>
      <c r="AB50" s="11">
        <f>IF(Z50="","",(X50*Z50+Config!$B$4*$P50)/(X50+Config!$B$4))</f>
        <v>0.5769090909</v>
      </c>
      <c r="AC50" s="17">
        <f>IF(OR(AA50="",$K50=""),"",AA50*$K50*($K50/Config!$B$10)^Config!$B$9)</f>
        <v>16.93176364</v>
      </c>
      <c r="AD50" s="17">
        <f t="shared" si="2"/>
        <v>9.768088367</v>
      </c>
      <c r="AE50" s="4">
        <f>IF($I50="",0,SUMIFS(Map_Stats!$F$2:$F$825,Map_Stats!$A$2:$A$825,$F50&amp;"|"&amp;$I50))</f>
        <v>5</v>
      </c>
      <c r="AF50" s="18">
        <f t="array" ref="AF50">IF($I50="","",IFERROR(1/(1/INDEX(Map_Stats!$K$2:$K$825,MATCH($F50&amp;"|"&amp;$I50,Map_Stats!$A$2:$A$825,0))),$O50))</f>
        <v>0.77</v>
      </c>
      <c r="AG50" s="11">
        <f t="array" ref="AG50">IF(OR($I50="",$P50=""),"",IFERROR(1/(1/INDEX(Map_Stats!$I$2:$I$825,MATCH($F50&amp;"|"&amp;$I50,Map_Stats!$A$2:$A$825,0))),$P50))</f>
        <v>0.597</v>
      </c>
      <c r="AH50" s="18">
        <f>IF(OR($I50="",AF50=""),"",IF($O50="",AF50,(AE50*AF50+Config!$B$4*$O50)/(AE50+Config!$B$4)))</f>
        <v>0.785</v>
      </c>
      <c r="AI50" s="11">
        <f>IF(AG50="","",(AE50*AG50+Config!$B$4*$P50)/(AE50+Config!$B$4))</f>
        <v>0.5995</v>
      </c>
      <c r="AJ50" s="17">
        <f>IF(OR(AH50="",$L50=""),"",AH50*$L50*($L50/Config!$B$10)^Config!$B$9)</f>
        <v>16.7833</v>
      </c>
      <c r="AK50" s="17">
        <f t="shared" si="3"/>
        <v>10.06158835</v>
      </c>
      <c r="AL50" s="17">
        <f t="shared" si="4"/>
        <v>34.60326364</v>
      </c>
      <c r="AM50" s="17">
        <f t="shared" si="5"/>
        <v>42.79519237</v>
      </c>
      <c r="AN50" s="17">
        <f t="shared" si="6"/>
        <v>20.01755837</v>
      </c>
      <c r="AO50" s="17">
        <f t="shared" si="7"/>
        <v>24.92861964</v>
      </c>
      <c r="AP50" s="11">
        <f t="shared" si="8"/>
        <v>0.5784875836</v>
      </c>
      <c r="AQ50" s="4" t="str">
        <f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4">
        <f>IF($C50=Board!$B$2,COUNTIFS($C$2:$C$157,Board!$B$2,$AL$2:$AL$157,"&gt;"&amp;$AL50)+COUNTIFS($C$1:$C49,Board!$B$2,$AL$1:$AL49,$AL50)+1,"")</f>
        <v>1</v>
      </c>
      <c r="AS50" s="4" t="str">
        <f t="array" ref="AS50">IFERROR(IF($D50=INDEX(Matches!$AD$5:$AD$22,MATCH($C50,Matches!$A$5:$A$22,0)),"A",IF($D50=INDEX(Matches!$AE$5:$AE$22,MATCH($C50,Matches!$A$5:$A$22,0)),"B","")),"")</f>
        <v>A</v>
      </c>
      <c r="AT50" s="11">
        <f t="array" ref="AT50">IF($AS50="","",IFERROR(IF($AS50="A",INDEX(Matches!$AI$5:$AI$22,MATCH($C50,Matches!$A$5:$A$22,0)),INDEX(Matches!$AJ$5:$AJ$22,MATCH($C50,Matches!$A$5:$A$22,0))),""))</f>
        <v>0.5310960142</v>
      </c>
      <c r="AU50" s="11">
        <f t="array" ref="AU50">IF($AS50="","",IFERROR(IF(INDEX(Matches!$AP$5:$AP$22,MATCH($C50,Matches!$A$5:$A$22,0))="","",IF($AS50="A",INDEX(Matches!$AP$5:$AP$22,MATCH($C50,Matches!$A$5:$A$22,0)),1-INDEX(Matches!$AP$5:$AP$22,MATCH($C50,Matches!$A$5:$A$22,0)))),""))</f>
        <v>0.509672689</v>
      </c>
      <c r="AV50" s="18">
        <f>IF(OR($AU50="",$AT50=""),1,((Config!$B$14*$AU50+Config!$B$15*(1-$AU50))/(Config!$B$14*$AT50+Config!$B$15*(1-$AT50)))^Config!$B$13)</f>
        <v>0.981373348</v>
      </c>
      <c r="AW50" s="11">
        <f t="array" ref="AW50">IF($AS50="","",IFERROR(IF(INDEX(Matches!$AV$5:$AV$22,MATCH($C50,Matches!$A$5:$A$22,0))="","",IF($AS50="A",INDEX(Matches!$AV$5:$AV$22,MATCH($C50,Matches!$A$5:$A$22,0)),1-INDEX(Matches!$AV$5:$AV$22,MATCH($C50,Matches!$A$5:$A$22,0)))),""))</f>
        <v>0.4740406713</v>
      </c>
      <c r="AX50" s="18">
        <f>IF(OR($AW50="",$AT50=""),1,((Config!$B$14*$AW50+Config!$B$15*(1-$AW50))/(Config!$B$14*$AT50+Config!$B$15*(1-$AT50)))^Config!$B$13)</f>
        <v>0.9503928542</v>
      </c>
      <c r="AY50" s="11">
        <f t="array" ref="AY50">IF($AS50="","",IFERROR(IF(INDEX(Matches!$BB$5:$BB$22,MATCH($C50,Matches!$A$5:$A$22,0))="","",IF($AS50="A",INDEX(Matches!$BB$5:$BB$22,MATCH($C50,Matches!$A$5:$A$22,0)),1-INDEX(Matches!$BB$5:$BB$22,MATCH($C50,Matches!$A$5:$A$22,0)))),""))</f>
        <v>0.5275569724</v>
      </c>
      <c r="AZ50" s="18">
        <f>IF(OR($AY50="",$AT50=""),1,((Config!$B$14*$AY50+Config!$B$15*(1-$AY50))/(Config!$B$14*$AT50+Config!$B$15*(1-$AT50)))^Config!$B$13)</f>
        <v>0.9969229566</v>
      </c>
      <c r="BA50" s="17">
        <f t="shared" si="9"/>
        <v>17.34233912</v>
      </c>
      <c r="BB50" s="17">
        <f t="shared" si="10"/>
        <v>16.09182717</v>
      </c>
      <c r="BC50" s="17">
        <f t="shared" si="11"/>
        <v>16.73165706</v>
      </c>
      <c r="BD50" s="17">
        <f t="shared" si="12"/>
        <v>33.43416629</v>
      </c>
      <c r="BE50" s="17">
        <f t="shared" si="13"/>
        <v>41.6008881</v>
      </c>
      <c r="BF50" s="17">
        <f t="shared" si="14"/>
        <v>10.05855669</v>
      </c>
      <c r="BG50" s="17">
        <f t="shared" si="15"/>
        <v>9.283521383</v>
      </c>
      <c r="BH50" s="17">
        <f t="shared" si="16"/>
        <v>10.03062841</v>
      </c>
      <c r="BI50" s="17">
        <f t="shared" si="17"/>
        <v>19.34207807</v>
      </c>
      <c r="BJ50" s="17">
        <f t="shared" si="18"/>
        <v>24.2380278</v>
      </c>
      <c r="BK50" s="18">
        <f t="shared" si="19"/>
        <v>0.9662142461</v>
      </c>
    </row>
    <row r="51" ht="15.75" customHeight="1">
      <c r="A51" s="4" t="s">
        <v>3171</v>
      </c>
      <c r="B51" s="4" t="s">
        <v>86</v>
      </c>
      <c r="C51" s="4" t="s">
        <v>7</v>
      </c>
      <c r="D51" s="4" t="s">
        <v>120</v>
      </c>
      <c r="E51" s="4" t="s">
        <v>1344</v>
      </c>
      <c r="F51" s="4" t="s">
        <v>1343</v>
      </c>
      <c r="G51" s="4" t="str">
        <f t="array" ref="G51">IFERROR(IF(INDEX(Matches!$W$5:$W$22,MATCH($C51,Matches!$A$5:$A$22,0))="","",INDEX(Matches!$W$5:$W$22,MATCH($C51,Matches!$A$5:$A$22,0))),"")</f>
        <v>Ancient</v>
      </c>
      <c r="H51" s="4" t="str">
        <f t="array" ref="H51">IFERROR(IF(INDEX(Matches!$X$5:$X$22,MATCH($C51,Matches!$A$5:$A$22,0))="","",INDEX(Matches!$X$5:$X$22,MATCH($C51,Matches!$A$5:$A$22,0))),"")</f>
        <v>Anubis</v>
      </c>
      <c r="I51" s="4" t="str">
        <f t="array" ref="I51">IFERROR(IF(INDEX(Matches!$Y$5:$Y$22,MATCH($C51,Matches!$A$5:$A$22,0))="","",INDEX(Matches!$Y$5:$Y$22,MATCH($C51,Matches!$A$5:$A$22,0))),"")</f>
        <v>Cache</v>
      </c>
      <c r="J51" s="4">
        <f t="array" ref="J51">IFERROR(IF(INDEX(Matches!$Z$5:$Z$22,MATCH($C51,Matches!$A$5:$A$22,0))="","",INDEX(Matches!$Z$5:$Z$22,MATCH($C51,Matches!$A$5:$A$22,0))),"")</f>
        <v>21.42</v>
      </c>
      <c r="K51" s="4">
        <f t="array" ref="K51">IFERROR(IF(INDEX(Matches!$AA$5:$AA$22,MATCH($C51,Matches!$A$5:$A$22,0))="","",INDEX(Matches!$AA$5:$AA$22,MATCH($C51,Matches!$A$5:$A$22,0))),"")</f>
        <v>21.31</v>
      </c>
      <c r="L51" s="4">
        <f t="array" ref="L51">IFERROR(IF(INDEX(Matches!$AB$5:$AB$22,MATCH($C51,Matches!$A$5:$A$22,0))="","",INDEX(Matches!$AB$5:$AB$22,MATCH($C51,Matches!$A$5:$A$22,0))),"")</f>
        <v>21.38</v>
      </c>
      <c r="M51" s="11">
        <f t="array" ref="M51">IFERROR(IF(INDEX(Matches!$AC$5:$AC$22,MATCH($C51,Matches!$A$5:$A$22,0))="","",INDEX(Matches!$AC$5:$AC$22,MATCH($C51,Matches!$A$5:$A$22,0))),"")</f>
        <v>0.4881</v>
      </c>
      <c r="N51" s="4">
        <f t="array" ref="N51">IFERROR(INDEX(Players!$F$2:$F$127,MATCH($F51,Players!$A$2:$A$127,0)),0)</f>
        <v>29</v>
      </c>
      <c r="O51" s="18">
        <f t="array" ref="O51">IFERROR(1/(1/INDEX(Players!$H$2:$H$127,MATCH($F51,Players!$A$2:$A$127,0))),"")</f>
        <v>0.71</v>
      </c>
      <c r="P51" s="11">
        <f t="array" ref="P51">IFERROR(1/(1/INDEX(Players!$I$2:$I$127,MATCH($F51,Players!$A$2:$A$127,0))),"")</f>
        <v>0.573</v>
      </c>
      <c r="Q51" s="4">
        <f>IF($G51="",0,SUMIFS(Map_Stats!$F$2:$F$825,Map_Stats!$A$2:$A$825,$F51&amp;"|"&amp;$G51))</f>
        <v>5</v>
      </c>
      <c r="R51" s="18">
        <f t="array" ref="R51">IF($G51="","",IFERROR(1/(1/INDEX(Map_Stats!$K$2:$K$825,MATCH($F51&amp;"|"&amp;$G51,Map_Stats!$A$2:$A$825,0))),$O51))</f>
        <v>0.85</v>
      </c>
      <c r="S51" s="11">
        <f t="array" ref="S51">IF(OR($G51="",$P51=""),"",IFERROR(1/(1/INDEX(Map_Stats!$I$2:$I$825,MATCH($F51&amp;"|"&amp;$G51,Map_Stats!$A$2:$A$825,0))),$P51))</f>
        <v>0.547</v>
      </c>
      <c r="T51" s="18">
        <f>IF(OR($G51="",R51=""),"",IF($O51="",R51,(Q51*R51+Config!$B$4*$O51)/(Q51+Config!$B$4)))</f>
        <v>0.78</v>
      </c>
      <c r="U51" s="11">
        <f>IF(S51="","",(Q51*S51+Config!$B$4*$P51)/(Q51+Config!$B$4))</f>
        <v>0.56</v>
      </c>
      <c r="V51" s="17">
        <f>IF(OR(T51="",$J51=""),"",T51*$J51*($J51/Config!$B$10)^Config!$B$9)</f>
        <v>16.7076</v>
      </c>
      <c r="W51" s="17">
        <f t="shared" si="1"/>
        <v>9.356256</v>
      </c>
      <c r="X51" s="4">
        <f>IF($H51="",0,SUMIFS(Map_Stats!$F$2:$F$825,Map_Stats!$A$2:$A$825,$F51&amp;"|"&amp;$H51))</f>
        <v>6</v>
      </c>
      <c r="Y51" s="18">
        <f t="array" ref="Y51">IF($H51="","",IFERROR(1/(1/INDEX(Map_Stats!$K$2:$K$825,MATCH($F51&amp;"|"&amp;$H51,Map_Stats!$A$2:$A$825,0))),$O51))</f>
        <v>0.69</v>
      </c>
      <c r="Z51" s="11">
        <f t="array" ref="Z51">IF(OR($H51="",$P51=""),"",IFERROR(1/(1/INDEX(Map_Stats!$I$2:$I$825,MATCH($F51&amp;"|"&amp;$H51,Map_Stats!$A$2:$A$825,0))),$P51))</f>
        <v>0.565</v>
      </c>
      <c r="AA51" s="18">
        <f>IF(OR($H51="",Y51=""),"",IF($O51="",Y51,(X51*Y51+Config!$B$4*$O51)/(X51+Config!$B$4)))</f>
        <v>0.6990909091</v>
      </c>
      <c r="AB51" s="11">
        <f>IF(Z51="","",(X51*Z51+Config!$B$4*$P51)/(X51+Config!$B$4))</f>
        <v>0.5686363636</v>
      </c>
      <c r="AC51" s="17">
        <f>IF(OR(AA51="",$K51=""),"",AA51*$K51*($K51/Config!$B$10)^Config!$B$9)</f>
        <v>14.89762727</v>
      </c>
      <c r="AD51" s="17">
        <f t="shared" si="2"/>
        <v>8.471332599</v>
      </c>
      <c r="AE51" s="4">
        <f>IF($I51="",0,SUMIFS(Map_Stats!$F$2:$F$825,Map_Stats!$A$2:$A$825,$F51&amp;"|"&amp;$I51))</f>
        <v>5</v>
      </c>
      <c r="AF51" s="18">
        <f t="array" ref="AF51">IF($I51="","",IFERROR(1/(1/INDEX(Map_Stats!$K$2:$K$825,MATCH($F51&amp;"|"&amp;$I51,Map_Stats!$A$2:$A$825,0))),$O51))</f>
        <v>0.63</v>
      </c>
      <c r="AG51" s="11">
        <f t="array" ref="AG51">IF(OR($I51="",$P51=""),"",IFERROR(1/(1/INDEX(Map_Stats!$I$2:$I$825,MATCH($F51&amp;"|"&amp;$I51,Map_Stats!$A$2:$A$825,0))),$P51))</f>
        <v>0.492</v>
      </c>
      <c r="AH51" s="18">
        <f>IF(OR($I51="",AF51=""),"",IF($O51="",AF51,(AE51*AF51+Config!$B$4*$O51)/(AE51+Config!$B$4)))</f>
        <v>0.67</v>
      </c>
      <c r="AI51" s="11">
        <f>IF(AG51="","",(AE51*AG51+Config!$B$4*$P51)/(AE51+Config!$B$4))</f>
        <v>0.5325</v>
      </c>
      <c r="AJ51" s="17">
        <f>IF(OR(AH51="",$L51=""),"",AH51*$L51*($L51/Config!$B$10)^Config!$B$9)</f>
        <v>14.3246</v>
      </c>
      <c r="AK51" s="17">
        <f t="shared" si="3"/>
        <v>7.6278495</v>
      </c>
      <c r="AL51" s="17">
        <f t="shared" si="4"/>
        <v>31.60522727</v>
      </c>
      <c r="AM51" s="17">
        <f t="shared" si="5"/>
        <v>38.59706453</v>
      </c>
      <c r="AN51" s="17">
        <f t="shared" si="6"/>
        <v>17.8275886</v>
      </c>
      <c r="AO51" s="17">
        <f t="shared" si="7"/>
        <v>21.55074194</v>
      </c>
      <c r="AP51" s="11">
        <f t="shared" si="8"/>
        <v>0.5640708876</v>
      </c>
      <c r="AQ51" s="4" t="str">
        <f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4">
        <f>IF($C51=Board!$B$2,COUNTIFS($C$2:$C$157,Board!$B$2,$AL$2:$AL$157,"&gt;"&amp;$AL51)+COUNTIFS($C$1:$C50,Board!$B$2,$AL$1:$AL50,$AL51)+1,"")</f>
        <v>4</v>
      </c>
      <c r="AS51" s="4" t="str">
        <f t="array" ref="AS51">IFERROR(IF($D51=INDEX(Matches!$AD$5:$AD$22,MATCH($C51,Matches!$A$5:$A$22,0)),"A",IF($D51=INDEX(Matches!$AE$5:$AE$22,MATCH($C51,Matches!$A$5:$A$22,0)),"B","")),"")</f>
        <v>A</v>
      </c>
      <c r="AT51" s="11">
        <f t="array" ref="AT51">IF($AS51="","",IFERROR(IF($AS51="A",INDEX(Matches!$AI$5:$AI$22,MATCH($C51,Matches!$A$5:$A$22,0)),INDEX(Matches!$AJ$5:$AJ$22,MATCH($C51,Matches!$A$5:$A$22,0))),""))</f>
        <v>0.5310960142</v>
      </c>
      <c r="AU51" s="11">
        <f t="array" ref="AU51">IF($AS51="","",IFERROR(IF(INDEX(Matches!$AP$5:$AP$22,MATCH($C51,Matches!$A$5:$A$22,0))="","",IF($AS51="A",INDEX(Matches!$AP$5:$AP$22,MATCH($C51,Matches!$A$5:$A$22,0)),1-INDEX(Matches!$AP$5:$AP$22,MATCH($C51,Matches!$A$5:$A$22,0)))),""))</f>
        <v>0.509672689</v>
      </c>
      <c r="AV51" s="18">
        <f>IF(OR($AU51="",$AT51=""),1,((Config!$B$14*$AU51+Config!$B$15*(1-$AU51))/(Config!$B$14*$AT51+Config!$B$15*(1-$AT51)))^Config!$B$13)</f>
        <v>0.981373348</v>
      </c>
      <c r="AW51" s="11">
        <f t="array" ref="AW51">IF($AS51="","",IFERROR(IF(INDEX(Matches!$AV$5:$AV$22,MATCH($C51,Matches!$A$5:$A$22,0))="","",IF($AS51="A",INDEX(Matches!$AV$5:$AV$22,MATCH($C51,Matches!$A$5:$A$22,0)),1-INDEX(Matches!$AV$5:$AV$22,MATCH($C51,Matches!$A$5:$A$22,0)))),""))</f>
        <v>0.4740406713</v>
      </c>
      <c r="AX51" s="18">
        <f>IF(OR($AW51="",$AT51=""),1,((Config!$B$14*$AW51+Config!$B$15*(1-$AW51))/(Config!$B$14*$AT51+Config!$B$15*(1-$AT51)))^Config!$B$13)</f>
        <v>0.9503928542</v>
      </c>
      <c r="AY51" s="11">
        <f t="array" ref="AY51">IF($AS51="","",IFERROR(IF(INDEX(Matches!$BB$5:$BB$22,MATCH($C51,Matches!$A$5:$A$22,0))="","",IF($AS51="A",INDEX(Matches!$BB$5:$BB$22,MATCH($C51,Matches!$A$5:$A$22,0)),1-INDEX(Matches!$BB$5:$BB$22,MATCH($C51,Matches!$A$5:$A$22,0)))),""))</f>
        <v>0.5275569724</v>
      </c>
      <c r="AZ51" s="18">
        <f>IF(OR($AY51="",$AT51=""),1,((Config!$B$14*$AY51+Config!$B$15*(1-$AY51))/(Config!$B$14*$AT51+Config!$B$15*(1-$AT51)))^Config!$B$13)</f>
        <v>0.9969229566</v>
      </c>
      <c r="BA51" s="17">
        <f t="shared" si="9"/>
        <v>16.39639335</v>
      </c>
      <c r="BB51" s="17">
        <f t="shared" si="10"/>
        <v>14.1585985</v>
      </c>
      <c r="BC51" s="17">
        <f t="shared" si="11"/>
        <v>14.28052258</v>
      </c>
      <c r="BD51" s="17">
        <f t="shared" si="12"/>
        <v>30.55499185</v>
      </c>
      <c r="BE51" s="17">
        <f t="shared" si="13"/>
        <v>37.52531493</v>
      </c>
      <c r="BF51" s="17">
        <f t="shared" si="14"/>
        <v>9.181980275</v>
      </c>
      <c r="BG51" s="17">
        <f t="shared" si="15"/>
        <v>8.051093968</v>
      </c>
      <c r="BH51" s="17">
        <f t="shared" si="16"/>
        <v>7.604378276</v>
      </c>
      <c r="BI51" s="17">
        <f t="shared" si="17"/>
        <v>17.23307424</v>
      </c>
      <c r="BJ51" s="17">
        <f t="shared" si="18"/>
        <v>20.94477128</v>
      </c>
      <c r="BK51" s="18">
        <f t="shared" si="19"/>
        <v>0.9667701988</v>
      </c>
    </row>
    <row r="52" ht="15.75" customHeight="1">
      <c r="A52" s="4" t="s">
        <v>3173</v>
      </c>
      <c r="B52" s="4" t="s">
        <v>86</v>
      </c>
      <c r="C52" s="4" t="s">
        <v>7</v>
      </c>
      <c r="D52" s="4" t="s">
        <v>120</v>
      </c>
      <c r="E52" s="4" t="s">
        <v>1347</v>
      </c>
      <c r="F52" s="4" t="s">
        <v>1346</v>
      </c>
      <c r="G52" s="4" t="str">
        <f t="array" ref="G52">IFERROR(IF(INDEX(Matches!$W$5:$W$22,MATCH($C52,Matches!$A$5:$A$22,0))="","",INDEX(Matches!$W$5:$W$22,MATCH($C52,Matches!$A$5:$A$22,0))),"")</f>
        <v>Ancient</v>
      </c>
      <c r="H52" s="4" t="str">
        <f t="array" ref="H52">IFERROR(IF(INDEX(Matches!$X$5:$X$22,MATCH($C52,Matches!$A$5:$A$22,0))="","",INDEX(Matches!$X$5:$X$22,MATCH($C52,Matches!$A$5:$A$22,0))),"")</f>
        <v>Anubis</v>
      </c>
      <c r="I52" s="4" t="str">
        <f t="array" ref="I52">IFERROR(IF(INDEX(Matches!$Y$5:$Y$22,MATCH($C52,Matches!$A$5:$A$22,0))="","",INDEX(Matches!$Y$5:$Y$22,MATCH($C52,Matches!$A$5:$A$22,0))),"")</f>
        <v>Cache</v>
      </c>
      <c r="J52" s="4">
        <f t="array" ref="J52">IFERROR(IF(INDEX(Matches!$Z$5:$Z$22,MATCH($C52,Matches!$A$5:$A$22,0))="","",INDEX(Matches!$Z$5:$Z$22,MATCH($C52,Matches!$A$5:$A$22,0))),"")</f>
        <v>21.42</v>
      </c>
      <c r="K52" s="4">
        <f t="array" ref="K52">IFERROR(IF(INDEX(Matches!$AA$5:$AA$22,MATCH($C52,Matches!$A$5:$A$22,0))="","",INDEX(Matches!$AA$5:$AA$22,MATCH($C52,Matches!$A$5:$A$22,0))),"")</f>
        <v>21.31</v>
      </c>
      <c r="L52" s="4">
        <f t="array" ref="L52">IFERROR(IF(INDEX(Matches!$AB$5:$AB$22,MATCH($C52,Matches!$A$5:$A$22,0))="","",INDEX(Matches!$AB$5:$AB$22,MATCH($C52,Matches!$A$5:$A$22,0))),"")</f>
        <v>21.38</v>
      </c>
      <c r="M52" s="11">
        <f t="array" ref="M52">IFERROR(IF(INDEX(Matches!$AC$5:$AC$22,MATCH($C52,Matches!$A$5:$A$22,0))="","",INDEX(Matches!$AC$5:$AC$22,MATCH($C52,Matches!$A$5:$A$22,0))),"")</f>
        <v>0.4881</v>
      </c>
      <c r="N52" s="4">
        <f t="array" ref="N52">IFERROR(INDEX(Players!$F$2:$F$127,MATCH($F52,Players!$A$2:$A$127,0)),0)</f>
        <v>29</v>
      </c>
      <c r="O52" s="18">
        <f t="array" ref="O52">IFERROR(1/(1/INDEX(Players!$H$2:$H$127,MATCH($F52,Players!$A$2:$A$127,0))),"")</f>
        <v>0.56</v>
      </c>
      <c r="P52" s="11">
        <f t="array" ref="P52">IFERROR(1/(1/INDEX(Players!$I$2:$I$127,MATCH($F52,Players!$A$2:$A$127,0))),"")</f>
        <v>0.546</v>
      </c>
      <c r="Q52" s="4">
        <f>IF($G52="",0,SUMIFS(Map_Stats!$F$2:$F$825,Map_Stats!$A$2:$A$825,$F52&amp;"|"&amp;$G52))</f>
        <v>5</v>
      </c>
      <c r="R52" s="18">
        <f t="array" ref="R52">IF($G52="","",IFERROR(1/(1/INDEX(Map_Stats!$K$2:$K$825,MATCH($F52&amp;"|"&amp;$G52,Map_Stats!$A$2:$A$825,0))),$O52))</f>
        <v>0.58</v>
      </c>
      <c r="S52" s="11">
        <f t="array" ref="S52">IF(OR($G52="",$P52=""),"",IFERROR(1/(1/INDEX(Map_Stats!$I$2:$I$825,MATCH($F52&amp;"|"&amp;$G52,Map_Stats!$A$2:$A$825,0))),$P52))</f>
        <v>0.559</v>
      </c>
      <c r="T52" s="18">
        <f>IF(OR($G52="",R52=""),"",IF($O52="",R52,(Q52*R52+Config!$B$4*$O52)/(Q52+Config!$B$4)))</f>
        <v>0.57</v>
      </c>
      <c r="U52" s="11">
        <f>IF(S52="","",(Q52*S52+Config!$B$4*$P52)/(Q52+Config!$B$4))</f>
        <v>0.5525</v>
      </c>
      <c r="V52" s="17">
        <f>IF(OR(T52="",$J52=""),"",T52*$J52*($J52/Config!$B$10)^Config!$B$9)</f>
        <v>12.2094</v>
      </c>
      <c r="W52" s="17">
        <f t="shared" si="1"/>
        <v>6.7456935</v>
      </c>
      <c r="X52" s="4">
        <f>IF($H52="",0,SUMIFS(Map_Stats!$F$2:$F$825,Map_Stats!$A$2:$A$825,$F52&amp;"|"&amp;$H52))</f>
        <v>6</v>
      </c>
      <c r="Y52" s="18">
        <f t="array" ref="Y52">IF($H52="","",IFERROR(1/(1/INDEX(Map_Stats!$K$2:$K$825,MATCH($F52&amp;"|"&amp;$H52,Map_Stats!$A$2:$A$825,0))),$O52))</f>
        <v>0.53</v>
      </c>
      <c r="Z52" s="11">
        <f t="array" ref="Z52">IF(OR($H52="",$P52=""),"",IFERROR(1/(1/INDEX(Map_Stats!$I$2:$I$825,MATCH($F52&amp;"|"&amp;$H52,Map_Stats!$A$2:$A$825,0))),$P52))</f>
        <v>0.554</v>
      </c>
      <c r="AA52" s="18">
        <f>IF(OR($H52="",Y52=""),"",IF($O52="",Y52,(X52*Y52+Config!$B$4*$O52)/(X52+Config!$B$4)))</f>
        <v>0.5436363636</v>
      </c>
      <c r="AB52" s="11">
        <f>IF(Z52="","",(X52*Z52+Config!$B$4*$P52)/(X52+Config!$B$4))</f>
        <v>0.5503636364</v>
      </c>
      <c r="AC52" s="17">
        <f>IF(OR(AA52="",$K52=""),"",AA52*$K52*($K52/Config!$B$10)^Config!$B$9)</f>
        <v>11.58489091</v>
      </c>
      <c r="AD52" s="17">
        <f t="shared" si="2"/>
        <v>6.375902688</v>
      </c>
      <c r="AE52" s="4">
        <f>IF($I52="",0,SUMIFS(Map_Stats!$F$2:$F$825,Map_Stats!$A$2:$A$825,$F52&amp;"|"&amp;$I52))</f>
        <v>5</v>
      </c>
      <c r="AF52" s="18">
        <f t="array" ref="AF52">IF($I52="","",IFERROR(1/(1/INDEX(Map_Stats!$K$2:$K$825,MATCH($F52&amp;"|"&amp;$I52,Map_Stats!$A$2:$A$825,0))),$O52))</f>
        <v>0.47</v>
      </c>
      <c r="AG52" s="11">
        <f t="array" ref="AG52">IF(OR($I52="",$P52=""),"",IFERROR(1/(1/INDEX(Map_Stats!$I$2:$I$825,MATCH($F52&amp;"|"&amp;$I52,Map_Stats!$A$2:$A$825,0))),$P52))</f>
        <v>0.468</v>
      </c>
      <c r="AH52" s="18">
        <f>IF(OR($I52="",AF52=""),"",IF($O52="",AF52,(AE52*AF52+Config!$B$4*$O52)/(AE52+Config!$B$4)))</f>
        <v>0.515</v>
      </c>
      <c r="AI52" s="11">
        <f>IF(AG52="","",(AE52*AG52+Config!$B$4*$P52)/(AE52+Config!$B$4))</f>
        <v>0.507</v>
      </c>
      <c r="AJ52" s="17">
        <f>IF(OR(AH52="",$L52=""),"",AH52*$L52*($L52/Config!$B$10)^Config!$B$9)</f>
        <v>11.0107</v>
      </c>
      <c r="AK52" s="17">
        <f t="shared" si="3"/>
        <v>5.5824249</v>
      </c>
      <c r="AL52" s="17">
        <f t="shared" si="4"/>
        <v>23.79429091</v>
      </c>
      <c r="AM52" s="17">
        <f t="shared" si="5"/>
        <v>29.16861358</v>
      </c>
      <c r="AN52" s="17">
        <f t="shared" si="6"/>
        <v>13.12159619</v>
      </c>
      <c r="AO52" s="17">
        <f t="shared" si="7"/>
        <v>15.84637778</v>
      </c>
      <c r="AP52" s="11">
        <f t="shared" si="8"/>
        <v>0.5514598539</v>
      </c>
      <c r="AQ52" s="4" t="str">
        <f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4">
        <f>IF($C52=Board!$B$2,COUNTIFS($C$2:$C$157,Board!$B$2,$AL$2:$AL$157,"&gt;"&amp;$AL52)+COUNTIFS($C$1:$C51,Board!$B$2,$AL$1:$AL51,$AL52)+1,"")</f>
        <v>10</v>
      </c>
      <c r="AS52" s="4" t="str">
        <f t="array" ref="AS52">IFERROR(IF($D52=INDEX(Matches!$AD$5:$AD$22,MATCH($C52,Matches!$A$5:$A$22,0)),"A",IF($D52=INDEX(Matches!$AE$5:$AE$22,MATCH($C52,Matches!$A$5:$A$22,0)),"B","")),"")</f>
        <v>A</v>
      </c>
      <c r="AT52" s="11">
        <f t="array" ref="AT52">IF($AS52="","",IFERROR(IF($AS52="A",INDEX(Matches!$AI$5:$AI$22,MATCH($C52,Matches!$A$5:$A$22,0)),INDEX(Matches!$AJ$5:$AJ$22,MATCH($C52,Matches!$A$5:$A$22,0))),""))</f>
        <v>0.5310960142</v>
      </c>
      <c r="AU52" s="11">
        <f t="array" ref="AU52">IF($AS52="","",IFERROR(IF(INDEX(Matches!$AP$5:$AP$22,MATCH($C52,Matches!$A$5:$A$22,0))="","",IF($AS52="A",INDEX(Matches!$AP$5:$AP$22,MATCH($C52,Matches!$A$5:$A$22,0)),1-INDEX(Matches!$AP$5:$AP$22,MATCH($C52,Matches!$A$5:$A$22,0)))),""))</f>
        <v>0.509672689</v>
      </c>
      <c r="AV52" s="18">
        <f>IF(OR($AU52="",$AT52=""),1,((Config!$B$14*$AU52+Config!$B$15*(1-$AU52))/(Config!$B$14*$AT52+Config!$B$15*(1-$AT52)))^Config!$B$13)</f>
        <v>0.981373348</v>
      </c>
      <c r="AW52" s="11">
        <f t="array" ref="AW52">IF($AS52="","",IFERROR(IF(INDEX(Matches!$AV$5:$AV$22,MATCH($C52,Matches!$A$5:$A$22,0))="","",IF($AS52="A",INDEX(Matches!$AV$5:$AV$22,MATCH($C52,Matches!$A$5:$A$22,0)),1-INDEX(Matches!$AV$5:$AV$22,MATCH($C52,Matches!$A$5:$A$22,0)))),""))</f>
        <v>0.4740406713</v>
      </c>
      <c r="AX52" s="18">
        <f>IF(OR($AW52="",$AT52=""),1,((Config!$B$14*$AW52+Config!$B$15*(1-$AW52))/(Config!$B$14*$AT52+Config!$B$15*(1-$AT52)))^Config!$B$13)</f>
        <v>0.9503928542</v>
      </c>
      <c r="AY52" s="11">
        <f t="array" ref="AY52">IF($AS52="","",IFERROR(IF(INDEX(Matches!$BB$5:$BB$22,MATCH($C52,Matches!$A$5:$A$22,0))="","",IF($AS52="A",INDEX(Matches!$BB$5:$BB$22,MATCH($C52,Matches!$A$5:$A$22,0)),1-INDEX(Matches!$BB$5:$BB$22,MATCH($C52,Matches!$A$5:$A$22,0)))),""))</f>
        <v>0.5275569724</v>
      </c>
      <c r="AZ52" s="18">
        <f>IF(OR($AY52="",$AT52=""),1,((Config!$B$14*$AY52+Config!$B$15*(1-$AY52))/(Config!$B$14*$AT52+Config!$B$15*(1-$AT52)))^Config!$B$13)</f>
        <v>0.9969229566</v>
      </c>
      <c r="BA52" s="17">
        <f t="shared" si="9"/>
        <v>11.98197975</v>
      </c>
      <c r="BB52" s="17">
        <f t="shared" si="10"/>
        <v>11.01019754</v>
      </c>
      <c r="BC52" s="17">
        <f t="shared" si="11"/>
        <v>10.9768196</v>
      </c>
      <c r="BD52" s="17">
        <f t="shared" si="12"/>
        <v>22.99217729</v>
      </c>
      <c r="BE52" s="17">
        <f t="shared" si="13"/>
        <v>28.34996294</v>
      </c>
      <c r="BF52" s="17">
        <f t="shared" si="14"/>
        <v>6.620043814</v>
      </c>
      <c r="BG52" s="17">
        <f t="shared" si="15"/>
        <v>6.059612353</v>
      </c>
      <c r="BH52" s="17">
        <f t="shared" si="16"/>
        <v>5.565247536</v>
      </c>
      <c r="BI52" s="17">
        <f t="shared" si="17"/>
        <v>12.67965617</v>
      </c>
      <c r="BJ52" s="17">
        <f t="shared" si="18"/>
        <v>15.39605349</v>
      </c>
      <c r="BK52" s="18">
        <f t="shared" si="19"/>
        <v>0.9662896608</v>
      </c>
    </row>
    <row r="53" ht="15.75" customHeight="1">
      <c r="A53" s="4" t="s">
        <v>3174</v>
      </c>
      <c r="B53" s="4" t="s">
        <v>86</v>
      </c>
      <c r="C53" s="4" t="s">
        <v>7</v>
      </c>
      <c r="D53" s="4" t="s">
        <v>120</v>
      </c>
      <c r="E53" s="4" t="s">
        <v>1350</v>
      </c>
      <c r="F53" s="4" t="s">
        <v>1349</v>
      </c>
      <c r="G53" s="4" t="str">
        <f t="array" ref="G53">IFERROR(IF(INDEX(Matches!$W$5:$W$22,MATCH($C53,Matches!$A$5:$A$22,0))="","",INDEX(Matches!$W$5:$W$22,MATCH($C53,Matches!$A$5:$A$22,0))),"")</f>
        <v>Ancient</v>
      </c>
      <c r="H53" s="4" t="str">
        <f t="array" ref="H53">IFERROR(IF(INDEX(Matches!$X$5:$X$22,MATCH($C53,Matches!$A$5:$A$22,0))="","",INDEX(Matches!$X$5:$X$22,MATCH($C53,Matches!$A$5:$A$22,0))),"")</f>
        <v>Anubis</v>
      </c>
      <c r="I53" s="4" t="str">
        <f t="array" ref="I53">IFERROR(IF(INDEX(Matches!$Y$5:$Y$22,MATCH($C53,Matches!$A$5:$A$22,0))="","",INDEX(Matches!$Y$5:$Y$22,MATCH($C53,Matches!$A$5:$A$22,0))),"")</f>
        <v>Cache</v>
      </c>
      <c r="J53" s="4">
        <f t="array" ref="J53">IFERROR(IF(INDEX(Matches!$Z$5:$Z$22,MATCH($C53,Matches!$A$5:$A$22,0))="","",INDEX(Matches!$Z$5:$Z$22,MATCH($C53,Matches!$A$5:$A$22,0))),"")</f>
        <v>21.42</v>
      </c>
      <c r="K53" s="4">
        <f t="array" ref="K53">IFERROR(IF(INDEX(Matches!$AA$5:$AA$22,MATCH($C53,Matches!$A$5:$A$22,0))="","",INDEX(Matches!$AA$5:$AA$22,MATCH($C53,Matches!$A$5:$A$22,0))),"")</f>
        <v>21.31</v>
      </c>
      <c r="L53" s="4">
        <f t="array" ref="L53">IFERROR(IF(INDEX(Matches!$AB$5:$AB$22,MATCH($C53,Matches!$A$5:$A$22,0))="","",INDEX(Matches!$AB$5:$AB$22,MATCH($C53,Matches!$A$5:$A$22,0))),"")</f>
        <v>21.38</v>
      </c>
      <c r="M53" s="11">
        <f t="array" ref="M53">IFERROR(IF(INDEX(Matches!$AC$5:$AC$22,MATCH($C53,Matches!$A$5:$A$22,0))="","",INDEX(Matches!$AC$5:$AC$22,MATCH($C53,Matches!$A$5:$A$22,0))),"")</f>
        <v>0.4881</v>
      </c>
      <c r="N53" s="4">
        <f t="array" ref="N53">IFERROR(INDEX(Players!$F$2:$F$127,MATCH($F53,Players!$A$2:$A$127,0)),0)</f>
        <v>29</v>
      </c>
      <c r="O53" s="18">
        <f t="array" ref="O53">IFERROR(1/(1/INDEX(Players!$H$2:$H$127,MATCH($F53,Players!$A$2:$A$127,0))),"")</f>
        <v>0.61</v>
      </c>
      <c r="P53" s="11">
        <f t="array" ref="P53">IFERROR(1/(1/INDEX(Players!$I$2:$I$127,MATCH($F53,Players!$A$2:$A$127,0))),"")</f>
        <v>0.383</v>
      </c>
      <c r="Q53" s="4">
        <f>IF($G53="",0,SUMIFS(Map_Stats!$F$2:$F$825,Map_Stats!$A$2:$A$825,$F53&amp;"|"&amp;$G53))</f>
        <v>5</v>
      </c>
      <c r="R53" s="18">
        <f t="array" ref="R53">IF($G53="","",IFERROR(1/(1/INDEX(Map_Stats!$K$2:$K$825,MATCH($F53&amp;"|"&amp;$G53,Map_Stats!$A$2:$A$825,0))),$O53))</f>
        <v>0.64</v>
      </c>
      <c r="S53" s="11">
        <f t="array" ref="S53">IF(OR($G53="",$P53=""),"",IFERROR(1/(1/INDEX(Map_Stats!$I$2:$I$825,MATCH($F53&amp;"|"&amp;$G53,Map_Stats!$A$2:$A$825,0))),$P53))</f>
        <v>0.323</v>
      </c>
      <c r="T53" s="18">
        <f>IF(OR($G53="",R53=""),"",IF($O53="",R53,(Q53*R53+Config!$B$4*$O53)/(Q53+Config!$B$4)))</f>
        <v>0.625</v>
      </c>
      <c r="U53" s="11">
        <f>IF(S53="","",(Q53*S53+Config!$B$4*$P53)/(Q53+Config!$B$4))</f>
        <v>0.353</v>
      </c>
      <c r="V53" s="17">
        <f>IF(OR(T53="",$J53=""),"",T53*$J53*($J53/Config!$B$10)^Config!$B$9)</f>
        <v>13.3875</v>
      </c>
      <c r="W53" s="17">
        <f t="shared" si="1"/>
        <v>4.7257875</v>
      </c>
      <c r="X53" s="4">
        <f>IF($H53="",0,SUMIFS(Map_Stats!$F$2:$F$825,Map_Stats!$A$2:$A$825,$F53&amp;"|"&amp;$H53))</f>
        <v>6</v>
      </c>
      <c r="Y53" s="18">
        <f t="array" ref="Y53">IF($H53="","",IFERROR(1/(1/INDEX(Map_Stats!$K$2:$K$825,MATCH($F53&amp;"|"&amp;$H53,Map_Stats!$A$2:$A$825,0))),$O53))</f>
        <v>0.56</v>
      </c>
      <c r="Z53" s="11">
        <f t="array" ref="Z53">IF(OR($H53="",$P53=""),"",IFERROR(1/(1/INDEX(Map_Stats!$I$2:$I$825,MATCH($F53&amp;"|"&amp;$H53,Map_Stats!$A$2:$A$825,0))),$P53))</f>
        <v>0.299</v>
      </c>
      <c r="AA53" s="18">
        <f>IF(OR($H53="",Y53=""),"",IF($O53="",Y53,(X53*Y53+Config!$B$4*$O53)/(X53+Config!$B$4)))</f>
        <v>0.5827272727</v>
      </c>
      <c r="AB53" s="11">
        <f>IF(Z53="","",(X53*Z53+Config!$B$4*$P53)/(X53+Config!$B$4))</f>
        <v>0.3371818182</v>
      </c>
      <c r="AC53" s="17">
        <f>IF(OR(AA53="",$K53=""),"",AA53*$K53*($K53/Config!$B$10)^Config!$B$9)</f>
        <v>12.41791818</v>
      </c>
      <c r="AD53" s="17">
        <f t="shared" si="2"/>
        <v>4.187096231</v>
      </c>
      <c r="AE53" s="4">
        <f>IF($I53="",0,SUMIFS(Map_Stats!$F$2:$F$825,Map_Stats!$A$2:$A$825,$F53&amp;"|"&amp;$I53))</f>
        <v>5</v>
      </c>
      <c r="AF53" s="18">
        <f t="array" ref="AF53">IF($I53="","",IFERROR(1/(1/INDEX(Map_Stats!$K$2:$K$825,MATCH($F53&amp;"|"&amp;$I53,Map_Stats!$A$2:$A$825,0))),$O53))</f>
        <v>0.72</v>
      </c>
      <c r="AG53" s="11">
        <f t="array" ref="AG53">IF(OR($I53="",$P53=""),"",IFERROR(1/(1/INDEX(Map_Stats!$I$2:$I$825,MATCH($F53&amp;"|"&amp;$I53,Map_Stats!$A$2:$A$825,0))),$P53))</f>
        <v>0.542</v>
      </c>
      <c r="AH53" s="18">
        <f>IF(OR($I53="",AF53=""),"",IF($O53="",AF53,(AE53*AF53+Config!$B$4*$O53)/(AE53+Config!$B$4)))</f>
        <v>0.665</v>
      </c>
      <c r="AI53" s="11">
        <f>IF(AG53="","",(AE53*AG53+Config!$B$4*$P53)/(AE53+Config!$B$4))</f>
        <v>0.4625</v>
      </c>
      <c r="AJ53" s="17">
        <f>IF(OR(AH53="",$L53=""),"",AH53*$L53*($L53/Config!$B$10)^Config!$B$9)</f>
        <v>14.2177</v>
      </c>
      <c r="AK53" s="17">
        <f t="shared" si="3"/>
        <v>6.57568625</v>
      </c>
      <c r="AL53" s="17">
        <f t="shared" si="4"/>
        <v>25.80541818</v>
      </c>
      <c r="AM53" s="17">
        <f t="shared" si="5"/>
        <v>32.74507755</v>
      </c>
      <c r="AN53" s="17">
        <f t="shared" si="6"/>
        <v>8.912883731</v>
      </c>
      <c r="AO53" s="17">
        <f t="shared" si="7"/>
        <v>12.12247619</v>
      </c>
      <c r="AP53" s="11">
        <f t="shared" si="8"/>
        <v>0.3453880758</v>
      </c>
      <c r="AQ53" s="4" t="str">
        <f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4">
        <f>IF($C53=Board!$B$2,COUNTIFS($C$2:$C$157,Board!$B$2,$AL$2:$AL$157,"&gt;"&amp;$AL53)+COUNTIFS($C$1:$C52,Board!$B$2,$AL$1:$AL52,$AL53)+1,"")</f>
        <v>8</v>
      </c>
      <c r="AS53" s="4" t="str">
        <f t="array" ref="AS53">IFERROR(IF($D53=INDEX(Matches!$AD$5:$AD$22,MATCH($C53,Matches!$A$5:$A$22,0)),"A",IF($D53=INDEX(Matches!$AE$5:$AE$22,MATCH($C53,Matches!$A$5:$A$22,0)),"B","")),"")</f>
        <v>A</v>
      </c>
      <c r="AT53" s="11">
        <f t="array" ref="AT53">IF($AS53="","",IFERROR(IF($AS53="A",INDEX(Matches!$AI$5:$AI$22,MATCH($C53,Matches!$A$5:$A$22,0)),INDEX(Matches!$AJ$5:$AJ$22,MATCH($C53,Matches!$A$5:$A$22,0))),""))</f>
        <v>0.5310960142</v>
      </c>
      <c r="AU53" s="11">
        <f t="array" ref="AU53">IF($AS53="","",IFERROR(IF(INDEX(Matches!$AP$5:$AP$22,MATCH($C53,Matches!$A$5:$A$22,0))="","",IF($AS53="A",INDEX(Matches!$AP$5:$AP$22,MATCH($C53,Matches!$A$5:$A$22,0)),1-INDEX(Matches!$AP$5:$AP$22,MATCH($C53,Matches!$A$5:$A$22,0)))),""))</f>
        <v>0.509672689</v>
      </c>
      <c r="AV53" s="18">
        <f>IF(OR($AU53="",$AT53=""),1,((Config!$B$14*$AU53+Config!$B$15*(1-$AU53))/(Config!$B$14*$AT53+Config!$B$15*(1-$AT53)))^Config!$B$13)</f>
        <v>0.981373348</v>
      </c>
      <c r="AW53" s="11">
        <f t="array" ref="AW53">IF($AS53="","",IFERROR(IF(INDEX(Matches!$AV$5:$AV$22,MATCH($C53,Matches!$A$5:$A$22,0))="","",IF($AS53="A",INDEX(Matches!$AV$5:$AV$22,MATCH($C53,Matches!$A$5:$A$22,0)),1-INDEX(Matches!$AV$5:$AV$22,MATCH($C53,Matches!$A$5:$A$22,0)))),""))</f>
        <v>0.4740406713</v>
      </c>
      <c r="AX53" s="18">
        <f>IF(OR($AW53="",$AT53=""),1,((Config!$B$14*$AW53+Config!$B$15*(1-$AW53))/(Config!$B$14*$AT53+Config!$B$15*(1-$AT53)))^Config!$B$13)</f>
        <v>0.9503928542</v>
      </c>
      <c r="AY53" s="11">
        <f t="array" ref="AY53">IF($AS53="","",IFERROR(IF(INDEX(Matches!$BB$5:$BB$22,MATCH($C53,Matches!$A$5:$A$22,0))="","",IF($AS53="A",INDEX(Matches!$BB$5:$BB$22,MATCH($C53,Matches!$A$5:$A$22,0)),1-INDEX(Matches!$BB$5:$BB$22,MATCH($C53,Matches!$A$5:$A$22,0)))),""))</f>
        <v>0.5275569724</v>
      </c>
      <c r="AZ53" s="18">
        <f>IF(OR($AY53="",$AT53=""),1,((Config!$B$14*$AY53+Config!$B$15*(1-$AY53))/(Config!$B$14*$AT53+Config!$B$15*(1-$AT53)))^Config!$B$13)</f>
        <v>0.9969229566</v>
      </c>
      <c r="BA53" s="17">
        <f t="shared" si="9"/>
        <v>13.1381357</v>
      </c>
      <c r="BB53" s="17">
        <f t="shared" si="10"/>
        <v>11.8019007</v>
      </c>
      <c r="BC53" s="17">
        <f t="shared" si="11"/>
        <v>14.17395152</v>
      </c>
      <c r="BD53" s="17">
        <f t="shared" si="12"/>
        <v>24.9400364</v>
      </c>
      <c r="BE53" s="17">
        <f t="shared" si="13"/>
        <v>31.85834214</v>
      </c>
      <c r="BF53" s="17">
        <f t="shared" si="14"/>
        <v>4.637761901</v>
      </c>
      <c r="BG53" s="17">
        <f t="shared" si="15"/>
        <v>3.979386337</v>
      </c>
      <c r="BH53" s="17">
        <f t="shared" si="16"/>
        <v>6.555452578</v>
      </c>
      <c r="BI53" s="17">
        <f t="shared" si="17"/>
        <v>8.617148238</v>
      </c>
      <c r="BJ53" s="17">
        <f t="shared" si="18"/>
        <v>11.81686464</v>
      </c>
      <c r="BK53" s="18">
        <f t="shared" si="19"/>
        <v>0.966465113</v>
      </c>
    </row>
    <row r="54" ht="15.75" customHeight="1">
      <c r="A54" s="4" t="s">
        <v>3175</v>
      </c>
      <c r="B54" s="4" t="s">
        <v>86</v>
      </c>
      <c r="C54" s="4" t="s">
        <v>7</v>
      </c>
      <c r="D54" s="4" t="s">
        <v>120</v>
      </c>
      <c r="E54" s="4" t="s">
        <v>1353</v>
      </c>
      <c r="F54" s="4" t="s">
        <v>1352</v>
      </c>
      <c r="G54" s="4" t="str">
        <f t="array" ref="G54">IFERROR(IF(INDEX(Matches!$W$5:$W$22,MATCH($C54,Matches!$A$5:$A$22,0))="","",INDEX(Matches!$W$5:$W$22,MATCH($C54,Matches!$A$5:$A$22,0))),"")</f>
        <v>Ancient</v>
      </c>
      <c r="H54" s="4" t="str">
        <f t="array" ref="H54">IFERROR(IF(INDEX(Matches!$X$5:$X$22,MATCH($C54,Matches!$A$5:$A$22,0))="","",INDEX(Matches!$X$5:$X$22,MATCH($C54,Matches!$A$5:$A$22,0))),"")</f>
        <v>Anubis</v>
      </c>
      <c r="I54" s="4" t="str">
        <f t="array" ref="I54">IFERROR(IF(INDEX(Matches!$Y$5:$Y$22,MATCH($C54,Matches!$A$5:$A$22,0))="","",INDEX(Matches!$Y$5:$Y$22,MATCH($C54,Matches!$A$5:$A$22,0))),"")</f>
        <v>Cache</v>
      </c>
      <c r="J54" s="4">
        <f t="array" ref="J54">IFERROR(IF(INDEX(Matches!$Z$5:$Z$22,MATCH($C54,Matches!$A$5:$A$22,0))="","",INDEX(Matches!$Z$5:$Z$22,MATCH($C54,Matches!$A$5:$A$22,0))),"")</f>
        <v>21.42</v>
      </c>
      <c r="K54" s="4">
        <f t="array" ref="K54">IFERROR(IF(INDEX(Matches!$AA$5:$AA$22,MATCH($C54,Matches!$A$5:$A$22,0))="","",INDEX(Matches!$AA$5:$AA$22,MATCH($C54,Matches!$A$5:$A$22,0))),"")</f>
        <v>21.31</v>
      </c>
      <c r="L54" s="4">
        <f t="array" ref="L54">IFERROR(IF(INDEX(Matches!$AB$5:$AB$22,MATCH($C54,Matches!$A$5:$A$22,0))="","",INDEX(Matches!$AB$5:$AB$22,MATCH($C54,Matches!$A$5:$A$22,0))),"")</f>
        <v>21.38</v>
      </c>
      <c r="M54" s="11">
        <f t="array" ref="M54">IFERROR(IF(INDEX(Matches!$AC$5:$AC$22,MATCH($C54,Matches!$A$5:$A$22,0))="","",INDEX(Matches!$AC$5:$AC$22,MATCH($C54,Matches!$A$5:$A$22,0))),"")</f>
        <v>0.4881</v>
      </c>
      <c r="N54" s="4">
        <f t="array" ref="N54">IFERROR(INDEX(Players!$F$2:$F$127,MATCH($F54,Players!$A$2:$A$127,0)),0)</f>
        <v>29</v>
      </c>
      <c r="O54" s="18">
        <f t="array" ref="O54">IFERROR(1/(1/INDEX(Players!$H$2:$H$127,MATCH($F54,Players!$A$2:$A$127,0))),"")</f>
        <v>0.77</v>
      </c>
      <c r="P54" s="11">
        <f t="array" ref="P54">IFERROR(1/(1/INDEX(Players!$I$2:$I$127,MATCH($F54,Players!$A$2:$A$127,0))),"")</f>
        <v>0.544</v>
      </c>
      <c r="Q54" s="4">
        <f>IF($G54="",0,SUMIFS(Map_Stats!$F$2:$F$825,Map_Stats!$A$2:$A$825,$F54&amp;"|"&amp;$G54))</f>
        <v>5</v>
      </c>
      <c r="R54" s="18">
        <f t="array" ref="R54">IF($G54="","",IFERROR(1/(1/INDEX(Map_Stats!$K$2:$K$825,MATCH($F54&amp;"|"&amp;$G54,Map_Stats!$A$2:$A$825,0))),$O54))</f>
        <v>0.82</v>
      </c>
      <c r="S54" s="11">
        <f t="array" ref="S54">IF(OR($G54="",$P54=""),"",IFERROR(1/(1/INDEX(Map_Stats!$I$2:$I$825,MATCH($F54&amp;"|"&amp;$G54,Map_Stats!$A$2:$A$825,0))),$P54))</f>
        <v>0.602</v>
      </c>
      <c r="T54" s="18">
        <f>IF(OR($G54="",R54=""),"",IF($O54="",R54,(Q54*R54+Config!$B$4*$O54)/(Q54+Config!$B$4)))</f>
        <v>0.795</v>
      </c>
      <c r="U54" s="11">
        <f>IF(S54="","",(Q54*S54+Config!$B$4*$P54)/(Q54+Config!$B$4))</f>
        <v>0.573</v>
      </c>
      <c r="V54" s="17">
        <f>IF(OR(T54="",$J54=""),"",T54*$J54*($J54/Config!$B$10)^Config!$B$9)</f>
        <v>17.0289</v>
      </c>
      <c r="W54" s="17">
        <f t="shared" si="1"/>
        <v>9.7575597</v>
      </c>
      <c r="X54" s="4">
        <f>IF($H54="",0,SUMIFS(Map_Stats!$F$2:$F$825,Map_Stats!$A$2:$A$825,$F54&amp;"|"&amp;$H54))</f>
        <v>6</v>
      </c>
      <c r="Y54" s="18">
        <f t="array" ref="Y54">IF($H54="","",IFERROR(1/(1/INDEX(Map_Stats!$K$2:$K$825,MATCH($F54&amp;"|"&amp;$H54,Map_Stats!$A$2:$A$825,0))),$O54))</f>
        <v>0.73</v>
      </c>
      <c r="Z54" s="11">
        <f t="array" ref="Z54">IF(OR($H54="",$P54=""),"",IFERROR(1/(1/INDEX(Map_Stats!$I$2:$I$825,MATCH($F54&amp;"|"&amp;$H54,Map_Stats!$A$2:$A$825,0))),$P54))</f>
        <v>0.465</v>
      </c>
      <c r="AA54" s="18">
        <f>IF(OR($H54="",Y54=""),"",IF($O54="",Y54,(X54*Y54+Config!$B$4*$O54)/(X54+Config!$B$4)))</f>
        <v>0.7481818182</v>
      </c>
      <c r="AB54" s="11">
        <f>IF(Z54="","",(X54*Z54+Config!$B$4*$P54)/(X54+Config!$B$4))</f>
        <v>0.5009090909</v>
      </c>
      <c r="AC54" s="17">
        <f>IF(OR(AA54="",$K54=""),"",AA54*$K54*($K54/Config!$B$10)^Config!$B$9)</f>
        <v>15.94375455</v>
      </c>
      <c r="AD54" s="17">
        <f t="shared" si="2"/>
        <v>7.986371595</v>
      </c>
      <c r="AE54" s="4">
        <f>IF($I54="",0,SUMIFS(Map_Stats!$F$2:$F$825,Map_Stats!$A$2:$A$825,$F54&amp;"|"&amp;$I54))</f>
        <v>5</v>
      </c>
      <c r="AF54" s="18">
        <f t="array" ref="AF54">IF($I54="","",IFERROR(1/(1/INDEX(Map_Stats!$K$2:$K$825,MATCH($F54&amp;"|"&amp;$I54,Map_Stats!$A$2:$A$825,0))),$O54))</f>
        <v>0.88</v>
      </c>
      <c r="AG54" s="11">
        <f t="array" ref="AG54">IF(OR($I54="",$P54=""),"",IFERROR(1/(1/INDEX(Map_Stats!$I$2:$I$825,MATCH($F54&amp;"|"&amp;$I54,Map_Stats!$A$2:$A$825,0))),$P54))</f>
        <v>0.58</v>
      </c>
      <c r="AH54" s="18">
        <f>IF(OR($I54="",AF54=""),"",IF($O54="",AF54,(AE54*AF54+Config!$B$4*$O54)/(AE54+Config!$B$4)))</f>
        <v>0.825</v>
      </c>
      <c r="AI54" s="11">
        <f>IF(AG54="","",(AE54*AG54+Config!$B$4*$P54)/(AE54+Config!$B$4))</f>
        <v>0.562</v>
      </c>
      <c r="AJ54" s="17">
        <f>IF(OR(AH54="",$L54=""),"",AH54*$L54*($L54/Config!$B$10)^Config!$B$9)</f>
        <v>17.6385</v>
      </c>
      <c r="AK54" s="17">
        <f t="shared" si="3"/>
        <v>9.912837</v>
      </c>
      <c r="AL54" s="17">
        <f t="shared" si="4"/>
        <v>32.97265455</v>
      </c>
      <c r="AM54" s="17">
        <f t="shared" si="5"/>
        <v>41.5820064</v>
      </c>
      <c r="AN54" s="17">
        <f t="shared" si="6"/>
        <v>17.7439313</v>
      </c>
      <c r="AO54" s="17">
        <f t="shared" si="7"/>
        <v>22.58238703</v>
      </c>
      <c r="AP54" s="11">
        <f t="shared" si="8"/>
        <v>0.5381408182</v>
      </c>
      <c r="AQ54" s="4" t="str">
        <f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4">
        <f>IF($C54=Board!$B$2,COUNTIFS($C$2:$C$157,Board!$B$2,$AL$2:$AL$157,"&gt;"&amp;$AL54)+COUNTIFS($C$1:$C53,Board!$B$2,$AL$1:$AL53,$AL54)+1,"")</f>
        <v>2</v>
      </c>
      <c r="AS54" s="4" t="str">
        <f t="array" ref="AS54">IFERROR(IF($D54=INDEX(Matches!$AD$5:$AD$22,MATCH($C54,Matches!$A$5:$A$22,0)),"A",IF($D54=INDEX(Matches!$AE$5:$AE$22,MATCH($C54,Matches!$A$5:$A$22,0)),"B","")),"")</f>
        <v>A</v>
      </c>
      <c r="AT54" s="11">
        <f t="array" ref="AT54">IF($AS54="","",IFERROR(IF($AS54="A",INDEX(Matches!$AI$5:$AI$22,MATCH($C54,Matches!$A$5:$A$22,0)),INDEX(Matches!$AJ$5:$AJ$22,MATCH($C54,Matches!$A$5:$A$22,0))),""))</f>
        <v>0.5310960142</v>
      </c>
      <c r="AU54" s="11">
        <f t="array" ref="AU54">IF($AS54="","",IFERROR(IF(INDEX(Matches!$AP$5:$AP$22,MATCH($C54,Matches!$A$5:$A$22,0))="","",IF($AS54="A",INDEX(Matches!$AP$5:$AP$22,MATCH($C54,Matches!$A$5:$A$22,0)),1-INDEX(Matches!$AP$5:$AP$22,MATCH($C54,Matches!$A$5:$A$22,0)))),""))</f>
        <v>0.509672689</v>
      </c>
      <c r="AV54" s="18">
        <f>IF(OR($AU54="",$AT54=""),1,((Config!$B$14*$AU54+Config!$B$15*(1-$AU54))/(Config!$B$14*$AT54+Config!$B$15*(1-$AT54)))^Config!$B$13)</f>
        <v>0.981373348</v>
      </c>
      <c r="AW54" s="11">
        <f t="array" ref="AW54">IF($AS54="","",IFERROR(IF(INDEX(Matches!$AV$5:$AV$22,MATCH($C54,Matches!$A$5:$A$22,0))="","",IF($AS54="A",INDEX(Matches!$AV$5:$AV$22,MATCH($C54,Matches!$A$5:$A$22,0)),1-INDEX(Matches!$AV$5:$AV$22,MATCH($C54,Matches!$A$5:$A$22,0)))),""))</f>
        <v>0.4740406713</v>
      </c>
      <c r="AX54" s="18">
        <f>IF(OR($AW54="",$AT54=""),1,((Config!$B$14*$AW54+Config!$B$15*(1-$AW54))/(Config!$B$14*$AT54+Config!$B$15*(1-$AT54)))^Config!$B$13)</f>
        <v>0.9503928542</v>
      </c>
      <c r="AY54" s="11">
        <f t="array" ref="AY54">IF($AS54="","",IFERROR(IF(INDEX(Matches!$BB$5:$BB$22,MATCH($C54,Matches!$A$5:$A$22,0))="","",IF($AS54="A",INDEX(Matches!$BB$5:$BB$22,MATCH($C54,Matches!$A$5:$A$22,0)),1-INDEX(Matches!$BB$5:$BB$22,MATCH($C54,Matches!$A$5:$A$22,0)))),""))</f>
        <v>0.5275569724</v>
      </c>
      <c r="AZ54" s="18">
        <f>IF(OR($AY54="",$AT54=""),1,((Config!$B$14*$AY54+Config!$B$15*(1-$AY54))/(Config!$B$14*$AT54+Config!$B$15*(1-$AT54)))^Config!$B$13)</f>
        <v>0.9969229566</v>
      </c>
      <c r="BA54" s="17">
        <f t="shared" si="9"/>
        <v>16.71170861</v>
      </c>
      <c r="BB54" s="17">
        <f t="shared" si="10"/>
        <v>15.15283039</v>
      </c>
      <c r="BC54" s="17">
        <f t="shared" si="11"/>
        <v>17.58422557</v>
      </c>
      <c r="BD54" s="17">
        <f t="shared" si="12"/>
        <v>31.86453899</v>
      </c>
      <c r="BE54" s="17">
        <f t="shared" si="13"/>
        <v>40.4473995</v>
      </c>
      <c r="BF54" s="17">
        <f t="shared" si="14"/>
        <v>9.575809031</v>
      </c>
      <c r="BG54" s="17">
        <f t="shared" si="15"/>
        <v>7.590190495</v>
      </c>
      <c r="BH54" s="17">
        <f t="shared" si="16"/>
        <v>9.882334771</v>
      </c>
      <c r="BI54" s="17">
        <f t="shared" si="17"/>
        <v>17.16599953</v>
      </c>
      <c r="BJ54" s="17">
        <f t="shared" si="18"/>
        <v>21.98956713</v>
      </c>
      <c r="BK54" s="18">
        <f t="shared" si="19"/>
        <v>0.9663928923</v>
      </c>
    </row>
    <row r="55" ht="15.75" customHeight="1">
      <c r="A55" s="4" t="s">
        <v>3177</v>
      </c>
      <c r="B55" s="4" t="s">
        <v>86</v>
      </c>
      <c r="C55" s="4" t="s">
        <v>1090</v>
      </c>
      <c r="D55" s="4" t="s">
        <v>1095</v>
      </c>
      <c r="E55" s="4" t="s">
        <v>1372</v>
      </c>
      <c r="F55" s="4" t="s">
        <v>1371</v>
      </c>
      <c r="G55" s="4" t="str">
        <f t="array" ref="G55">IFERROR(IF(INDEX(Matches!$W$5:$W$22,MATCH($C55,Matches!$A$5:$A$22,0))="","",INDEX(Matches!$W$5:$W$22,MATCH($C55,Matches!$A$5:$A$22,0))),"")</f>
        <v>Cache</v>
      </c>
      <c r="H55" s="4" t="str">
        <f t="array" ref="H55">IFERROR(IF(INDEX(Matches!$X$5:$X$22,MATCH($C55,Matches!$A$5:$A$22,0))="","",INDEX(Matches!$X$5:$X$22,MATCH($C55,Matches!$A$5:$A$22,0))),"")</f>
        <v>Inferno</v>
      </c>
      <c r="I55" s="4" t="str">
        <f t="array" ref="I55">IFERROR(IF(INDEX(Matches!$Y$5:$Y$22,MATCH($C55,Matches!$A$5:$A$22,0))="","",INDEX(Matches!$Y$5:$Y$22,MATCH($C55,Matches!$A$5:$A$22,0))),"")</f>
        <v>Ancient</v>
      </c>
      <c r="J55" s="4">
        <f t="array" ref="J55">IFERROR(IF(INDEX(Matches!$Z$5:$Z$22,MATCH($C55,Matches!$A$5:$A$22,0))="","",INDEX(Matches!$Z$5:$Z$22,MATCH($C55,Matches!$A$5:$A$22,0))),"")</f>
        <v>21.5</v>
      </c>
      <c r="K55" s="4">
        <f t="array" ref="K55">IFERROR(IF(INDEX(Matches!$AA$5:$AA$22,MATCH($C55,Matches!$A$5:$A$22,0))="","",INDEX(Matches!$AA$5:$AA$22,MATCH($C55,Matches!$A$5:$A$22,0))),"")</f>
        <v>21.31</v>
      </c>
      <c r="L55" s="4">
        <f t="array" ref="L55">IFERROR(IF(INDEX(Matches!$AB$5:$AB$22,MATCH($C55,Matches!$A$5:$A$22,0))="","",INDEX(Matches!$AB$5:$AB$22,MATCH($C55,Matches!$A$5:$A$22,0))),"")</f>
        <v>21.42</v>
      </c>
      <c r="M55" s="11">
        <f t="array" ref="M55">IFERROR(IF(INDEX(Matches!$AC$5:$AC$22,MATCH($C55,Matches!$A$5:$A$22,0))="","",INDEX(Matches!$AC$5:$AC$22,MATCH($C55,Matches!$A$5:$A$22,0))),"")</f>
        <v>0.4973</v>
      </c>
      <c r="N55" s="4">
        <f t="array" ref="N55">IFERROR(INDEX(Players!$F$2:$F$127,MATCH($F55,Players!$A$2:$A$127,0)),0)</f>
        <v>36</v>
      </c>
      <c r="O55" s="18">
        <f t="array" ref="O55">IFERROR(1/(1/INDEX(Players!$H$2:$H$127,MATCH($F55,Players!$A$2:$A$127,0))),"")</f>
        <v>0.75</v>
      </c>
      <c r="P55" s="11">
        <f t="array" ref="P55">IFERROR(1/(1/INDEX(Players!$I$2:$I$127,MATCH($F55,Players!$A$2:$A$127,0))),"")</f>
        <v>0.503</v>
      </c>
      <c r="Q55" s="4">
        <f>IF($G55="",0,SUMIFS(Map_Stats!$F$2:$F$825,Map_Stats!$A$2:$A$825,$F55&amp;"|"&amp;$G55))</f>
        <v>8</v>
      </c>
      <c r="R55" s="18">
        <f t="array" ref="R55">IF($G55="","",IFERROR(1/(1/INDEX(Map_Stats!$K$2:$K$825,MATCH($F55&amp;"|"&amp;$G55,Map_Stats!$A$2:$A$825,0))),$O55))</f>
        <v>0.69</v>
      </c>
      <c r="S55" s="11">
        <f t="array" ref="S55">IF(OR($G55="",$P55=""),"",IFERROR(1/(1/INDEX(Map_Stats!$I$2:$I$825,MATCH($F55&amp;"|"&amp;$G55,Map_Stats!$A$2:$A$825,0))),$P55))</f>
        <v>0.544</v>
      </c>
      <c r="T55" s="18">
        <f>IF(OR($G55="",R55=""),"",IF($O55="",R55,(Q55*R55+Config!$B$4*$O55)/(Q55+Config!$B$4)))</f>
        <v>0.7130769231</v>
      </c>
      <c r="U55" s="11">
        <f>IF(S55="","",(Q55*S55+Config!$B$4*$P55)/(Q55+Config!$B$4))</f>
        <v>0.5282307692</v>
      </c>
      <c r="V55" s="17">
        <f>IF(OR(T55="",$J55=""),"",T55*$J55*($J55/Config!$B$10)^Config!$B$9)</f>
        <v>15.33115385</v>
      </c>
      <c r="W55" s="17">
        <f t="shared" si="1"/>
        <v>8.098387189</v>
      </c>
      <c r="X55" s="4">
        <f>IF($H55="",0,SUMIFS(Map_Stats!$F$2:$F$825,Map_Stats!$A$2:$A$825,$F55&amp;"|"&amp;$H55))</f>
        <v>7</v>
      </c>
      <c r="Y55" s="18">
        <f t="array" ref="Y55">IF($H55="","",IFERROR(1/(1/INDEX(Map_Stats!$K$2:$K$825,MATCH($F55&amp;"|"&amp;$H55,Map_Stats!$A$2:$A$825,0))),$O55))</f>
        <v>0.78</v>
      </c>
      <c r="Z55" s="11">
        <f t="array" ref="Z55">IF(OR($H55="",$P55=""),"",IFERROR(1/(1/INDEX(Map_Stats!$I$2:$I$825,MATCH($F55&amp;"|"&amp;$H55,Map_Stats!$A$2:$A$825,0))),$P55))</f>
        <v>0.517</v>
      </c>
      <c r="AA55" s="18">
        <f>IF(OR($H55="",Y55=""),"",IF($O55="",Y55,(X55*Y55+Config!$B$4*$O55)/(X55+Config!$B$4)))</f>
        <v>0.7675</v>
      </c>
      <c r="AB55" s="11">
        <f>IF(Z55="","",(X55*Z55+Config!$B$4*$P55)/(X55+Config!$B$4))</f>
        <v>0.5111666667</v>
      </c>
      <c r="AC55" s="17">
        <f>IF(OR(AA55="",$K55=""),"",AA55*$K55*($K55/Config!$B$10)^Config!$B$9)</f>
        <v>16.355425</v>
      </c>
      <c r="AD55" s="17">
        <f t="shared" si="2"/>
        <v>8.360348079</v>
      </c>
      <c r="AE55" s="4">
        <f>IF($I55="",0,SUMIFS(Map_Stats!$F$2:$F$825,Map_Stats!$A$2:$A$825,$F55&amp;"|"&amp;$I55))</f>
        <v>8</v>
      </c>
      <c r="AF55" s="18">
        <f t="array" ref="AF55">IF($I55="","",IFERROR(1/(1/INDEX(Map_Stats!$K$2:$K$825,MATCH($F55&amp;"|"&amp;$I55,Map_Stats!$A$2:$A$825,0))),$O55))</f>
        <v>0.85</v>
      </c>
      <c r="AG55" s="11">
        <f t="array" ref="AG55">IF(OR($I55="",$P55=""),"",IFERROR(1/(1/INDEX(Map_Stats!$I$2:$I$825,MATCH($F55&amp;"|"&amp;$I55,Map_Stats!$A$2:$A$825,0))),$P55))</f>
        <v>0.452</v>
      </c>
      <c r="AH55" s="18">
        <f>IF(OR($I55="",AF55=""),"",IF($O55="",AF55,(AE55*AF55+Config!$B$4*$O55)/(AE55+Config!$B$4)))</f>
        <v>0.8115384615</v>
      </c>
      <c r="AI55" s="11">
        <f>IF(AG55="","",(AE55*AG55+Config!$B$4*$P55)/(AE55+Config!$B$4))</f>
        <v>0.4716153846</v>
      </c>
      <c r="AJ55" s="17">
        <f>IF(OR(AH55="",$L55=""),"",AH55*$L55*($L55/Config!$B$10)^Config!$B$9)</f>
        <v>17.38315385</v>
      </c>
      <c r="AK55" s="17">
        <f t="shared" si="3"/>
        <v>8.198162787</v>
      </c>
      <c r="AL55" s="17">
        <f t="shared" si="4"/>
        <v>31.68657885</v>
      </c>
      <c r="AM55" s="17">
        <f t="shared" si="5"/>
        <v>40.33122125</v>
      </c>
      <c r="AN55" s="17">
        <f t="shared" si="6"/>
        <v>16.45873527</v>
      </c>
      <c r="AO55" s="17">
        <f t="shared" si="7"/>
        <v>20.53568162</v>
      </c>
      <c r="AP55" s="11">
        <f t="shared" si="8"/>
        <v>0.5194229187</v>
      </c>
      <c r="AQ55" s="4" t="str">
        <f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4" t="str">
        <f>IF($C55=Board!$B$2,COUNTIFS($C$2:$C$157,Board!$B$2,$AL$2:$AL$157,"&gt;"&amp;$AL55)+COUNTIFS($C$1:$C54,Board!$B$2,$AL$1:$AL54,$AL55)+1,"")</f>
        <v/>
      </c>
      <c r="AS55" s="4" t="str">
        <f t="array" ref="AS55">IFERROR(IF($D55=INDEX(Matches!$AD$5:$AD$22,MATCH($C55,Matches!$A$5:$A$22,0)),"A",IF($D55=INDEX(Matches!$AE$5:$AE$22,MATCH($C55,Matches!$A$5:$A$22,0)),"B","")),"")</f>
        <v>A</v>
      </c>
      <c r="AT55" s="11">
        <f t="array" ref="AT55">IF($AS55="","",IFERROR(IF($AS55="A",INDEX(Matches!$AI$5:$AI$22,MATCH($C55,Matches!$A$5:$A$22,0)),INDEX(Matches!$AJ$5:$AJ$22,MATCH($C55,Matches!$A$5:$A$22,0))),""))</f>
        <v>0.5498492587</v>
      </c>
      <c r="AU55" s="11">
        <f t="array" ref="AU55">IF($AS55="","",IFERROR(IF(INDEX(Matches!$AP$5:$AP$22,MATCH($C55,Matches!$A$5:$A$22,0))="","",IF($AS55="A",INDEX(Matches!$AP$5:$AP$22,MATCH($C55,Matches!$A$5:$A$22,0)),1-INDEX(Matches!$AP$5:$AP$22,MATCH($C55,Matches!$A$5:$A$22,0)))),""))</f>
        <v>0.4848270453</v>
      </c>
      <c r="AV55" s="18">
        <f>IF(OR($AU55="",$AT55=""),1,((Config!$B$14*$AU55+Config!$B$15*(1-$AU55))/(Config!$B$14*$AT55+Config!$B$15*(1-$AT55)))^Config!$B$13)</f>
        <v>0.9443730113</v>
      </c>
      <c r="AW55" s="11">
        <f t="array" ref="AW55">IF($AS55="","",IFERROR(IF(INDEX(Matches!$AV$5:$AV$22,MATCH($C55,Matches!$A$5:$A$22,0))="","",IF($AS55="A",INDEX(Matches!$AV$5:$AV$22,MATCH($C55,Matches!$A$5:$A$22,0)),1-INDEX(Matches!$AV$5:$AV$22,MATCH($C55,Matches!$A$5:$A$22,0)))),""))</f>
        <v>0.4608078663</v>
      </c>
      <c r="AX55" s="18">
        <f>IF(OR($AW55="",$AT55=""),1,((Config!$B$14*$AW55+Config!$B$15*(1-$AW55))/(Config!$B$14*$AT55+Config!$B$15*(1-$AT55)))^Config!$B$13)</f>
        <v>0.9238244245</v>
      </c>
      <c r="AY55" s="11">
        <f t="array" ref="AY55">IF($AS55="","",IFERROR(IF(INDEX(Matches!$BB$5:$BB$22,MATCH($C55,Matches!$A$5:$A$22,0))="","",IF($AS55="A",INDEX(Matches!$BB$5:$BB$22,MATCH($C55,Matches!$A$5:$A$22,0)),1-INDEX(Matches!$BB$5:$BB$22,MATCH($C55,Matches!$A$5:$A$22,0)))),""))</f>
        <v>0.4621660619</v>
      </c>
      <c r="AZ55" s="18">
        <f>IF(OR($AY55="",$AT55=""),1,((Config!$B$14*$AY55+Config!$B$15*(1-$AY55))/(Config!$B$14*$AT55+Config!$B$15*(1-$AT55)))^Config!$B$13)</f>
        <v>0.9249863709</v>
      </c>
      <c r="BA55" s="17">
        <f t="shared" si="9"/>
        <v>14.47832792</v>
      </c>
      <c r="BB55" s="17">
        <f t="shared" si="10"/>
        <v>15.10954109</v>
      </c>
      <c r="BC55" s="17">
        <f t="shared" si="11"/>
        <v>16.07918039</v>
      </c>
      <c r="BD55" s="17">
        <f t="shared" si="12"/>
        <v>29.58786901</v>
      </c>
      <c r="BE55" s="17">
        <f t="shared" si="13"/>
        <v>37.58404542</v>
      </c>
      <c r="BF55" s="17">
        <f t="shared" si="14"/>
        <v>7.647898297</v>
      </c>
      <c r="BG55" s="17">
        <f t="shared" si="15"/>
        <v>7.723493753</v>
      </c>
      <c r="BH55" s="17">
        <f t="shared" si="16"/>
        <v>7.583188845</v>
      </c>
      <c r="BI55" s="17">
        <f t="shared" si="17"/>
        <v>15.37139205</v>
      </c>
      <c r="BJ55" s="17">
        <f t="shared" si="18"/>
        <v>19.14251186</v>
      </c>
      <c r="BK55" s="18">
        <f t="shared" si="19"/>
        <v>0.9337666006</v>
      </c>
    </row>
    <row r="56" ht="15.75" customHeight="1">
      <c r="A56" s="4" t="s">
        <v>3178</v>
      </c>
      <c r="B56" s="4" t="s">
        <v>86</v>
      </c>
      <c r="C56" s="4" t="s">
        <v>1090</v>
      </c>
      <c r="D56" s="4" t="s">
        <v>1095</v>
      </c>
      <c r="E56" s="4" t="s">
        <v>1376</v>
      </c>
      <c r="F56" s="4" t="s">
        <v>1375</v>
      </c>
      <c r="G56" s="4" t="str">
        <f t="array" ref="G56">IFERROR(IF(INDEX(Matches!$W$5:$W$22,MATCH($C56,Matches!$A$5:$A$22,0))="","",INDEX(Matches!$W$5:$W$22,MATCH($C56,Matches!$A$5:$A$22,0))),"")</f>
        <v>Cache</v>
      </c>
      <c r="H56" s="4" t="str">
        <f t="array" ref="H56">IFERROR(IF(INDEX(Matches!$X$5:$X$22,MATCH($C56,Matches!$A$5:$A$22,0))="","",INDEX(Matches!$X$5:$X$22,MATCH($C56,Matches!$A$5:$A$22,0))),"")</f>
        <v>Inferno</v>
      </c>
      <c r="I56" s="4" t="str">
        <f t="array" ref="I56">IFERROR(IF(INDEX(Matches!$Y$5:$Y$22,MATCH($C56,Matches!$A$5:$A$22,0))="","",INDEX(Matches!$Y$5:$Y$22,MATCH($C56,Matches!$A$5:$A$22,0))),"")</f>
        <v>Ancient</v>
      </c>
      <c r="J56" s="4">
        <f t="array" ref="J56">IFERROR(IF(INDEX(Matches!$Z$5:$Z$22,MATCH($C56,Matches!$A$5:$A$22,0))="","",INDEX(Matches!$Z$5:$Z$22,MATCH($C56,Matches!$A$5:$A$22,0))),"")</f>
        <v>21.5</v>
      </c>
      <c r="K56" s="4">
        <f t="array" ref="K56">IFERROR(IF(INDEX(Matches!$AA$5:$AA$22,MATCH($C56,Matches!$A$5:$A$22,0))="","",INDEX(Matches!$AA$5:$AA$22,MATCH($C56,Matches!$A$5:$A$22,0))),"")</f>
        <v>21.31</v>
      </c>
      <c r="L56" s="4">
        <f t="array" ref="L56">IFERROR(IF(INDEX(Matches!$AB$5:$AB$22,MATCH($C56,Matches!$A$5:$A$22,0))="","",INDEX(Matches!$AB$5:$AB$22,MATCH($C56,Matches!$A$5:$A$22,0))),"")</f>
        <v>21.42</v>
      </c>
      <c r="M56" s="11">
        <f t="array" ref="M56">IFERROR(IF(INDEX(Matches!$AC$5:$AC$22,MATCH($C56,Matches!$A$5:$A$22,0))="","",INDEX(Matches!$AC$5:$AC$22,MATCH($C56,Matches!$A$5:$A$22,0))),"")</f>
        <v>0.4973</v>
      </c>
      <c r="N56" s="4">
        <f t="array" ref="N56">IFERROR(INDEX(Players!$F$2:$F$127,MATCH($F56,Players!$A$2:$A$127,0)),0)</f>
        <v>36</v>
      </c>
      <c r="O56" s="18">
        <f t="array" ref="O56">IFERROR(1/(1/INDEX(Players!$H$2:$H$127,MATCH($F56,Players!$A$2:$A$127,0))),"")</f>
        <v>0.57</v>
      </c>
      <c r="P56" s="11">
        <f t="array" ref="P56">IFERROR(1/(1/INDEX(Players!$I$2:$I$127,MATCH($F56,Players!$A$2:$A$127,0))),"")</f>
        <v>0.433</v>
      </c>
      <c r="Q56" s="4">
        <f>IF($G56="",0,SUMIFS(Map_Stats!$F$2:$F$825,Map_Stats!$A$2:$A$825,$F56&amp;"|"&amp;$G56))</f>
        <v>8</v>
      </c>
      <c r="R56" s="18">
        <f t="array" ref="R56">IF($G56="","",IFERROR(1/(1/INDEX(Map_Stats!$K$2:$K$825,MATCH($F56&amp;"|"&amp;$G56,Map_Stats!$A$2:$A$825,0))),$O56))</f>
        <v>0.58</v>
      </c>
      <c r="S56" s="11">
        <f t="array" ref="S56">IF(OR($G56="",$P56=""),"",IFERROR(1/(1/INDEX(Map_Stats!$I$2:$I$825,MATCH($F56&amp;"|"&amp;$G56,Map_Stats!$A$2:$A$825,0))),$P56))</f>
        <v>0.39</v>
      </c>
      <c r="T56" s="18">
        <f>IF(OR($G56="",R56=""),"",IF($O56="",R56,(Q56*R56+Config!$B$4*$O56)/(Q56+Config!$B$4)))</f>
        <v>0.5761538462</v>
      </c>
      <c r="U56" s="11">
        <f>IF(S56="","",(Q56*S56+Config!$B$4*$P56)/(Q56+Config!$B$4))</f>
        <v>0.4065384615</v>
      </c>
      <c r="V56" s="17">
        <f>IF(OR(T56="",$J56=""),"",T56*$J56*($J56/Config!$B$10)^Config!$B$9)</f>
        <v>12.38730769</v>
      </c>
      <c r="W56" s="17">
        <f t="shared" si="1"/>
        <v>5.035917012</v>
      </c>
      <c r="X56" s="4">
        <f>IF($H56="",0,SUMIFS(Map_Stats!$F$2:$F$825,Map_Stats!$A$2:$A$825,$F56&amp;"|"&amp;$H56))</f>
        <v>7</v>
      </c>
      <c r="Y56" s="18">
        <f t="array" ref="Y56">IF($H56="","",IFERROR(1/(1/INDEX(Map_Stats!$K$2:$K$825,MATCH($F56&amp;"|"&amp;$H56,Map_Stats!$A$2:$A$825,0))),$O56))</f>
        <v>0.47</v>
      </c>
      <c r="Z56" s="11">
        <f t="array" ref="Z56">IF(OR($H56="",$P56=""),"",IFERROR(1/(1/INDEX(Map_Stats!$I$2:$I$825,MATCH($F56&amp;"|"&amp;$H56,Map_Stats!$A$2:$A$825,0))),$P56))</f>
        <v>0.5</v>
      </c>
      <c r="AA56" s="18">
        <f>IF(OR($H56="",Y56=""),"",IF($O56="",Y56,(X56*Y56+Config!$B$4*$O56)/(X56+Config!$B$4)))</f>
        <v>0.5116666667</v>
      </c>
      <c r="AB56" s="11">
        <f>IF(Z56="","",(X56*Z56+Config!$B$4*$P56)/(X56+Config!$B$4))</f>
        <v>0.4720833333</v>
      </c>
      <c r="AC56" s="17">
        <f>IF(OR(AA56="",$K56=""),"",AA56*$K56*($K56/Config!$B$10)^Config!$B$9)</f>
        <v>10.90361667</v>
      </c>
      <c r="AD56" s="17">
        <f t="shared" si="2"/>
        <v>5.147415701</v>
      </c>
      <c r="AE56" s="4">
        <f>IF($I56="",0,SUMIFS(Map_Stats!$F$2:$F$825,Map_Stats!$A$2:$A$825,$F56&amp;"|"&amp;$I56))</f>
        <v>8</v>
      </c>
      <c r="AF56" s="18">
        <f t="array" ref="AF56">IF($I56="","",IFERROR(1/(1/INDEX(Map_Stats!$K$2:$K$825,MATCH($F56&amp;"|"&amp;$I56,Map_Stats!$A$2:$A$825,0))),$O56))</f>
        <v>0.6</v>
      </c>
      <c r="AG56" s="11">
        <f t="array" ref="AG56">IF(OR($I56="",$P56=""),"",IFERROR(1/(1/INDEX(Map_Stats!$I$2:$I$825,MATCH($F56&amp;"|"&amp;$I56,Map_Stats!$A$2:$A$825,0))),$P56))</f>
        <v>0.411</v>
      </c>
      <c r="AH56" s="18">
        <f>IF(OR($I56="",AF56=""),"",IF($O56="",AF56,(AE56*AF56+Config!$B$4*$O56)/(AE56+Config!$B$4)))</f>
        <v>0.5884615385</v>
      </c>
      <c r="AI56" s="11">
        <f>IF(AG56="","",(AE56*AG56+Config!$B$4*$P56)/(AE56+Config!$B$4))</f>
        <v>0.4194615385</v>
      </c>
      <c r="AJ56" s="17">
        <f>IF(OR(AH56="",$L56=""),"",AH56*$L56*($L56/Config!$B$10)^Config!$B$9)</f>
        <v>12.60484615</v>
      </c>
      <c r="AK56" s="17">
        <f t="shared" si="3"/>
        <v>5.28724816</v>
      </c>
      <c r="AL56" s="17">
        <f t="shared" si="4"/>
        <v>23.29092436</v>
      </c>
      <c r="AM56" s="17">
        <f t="shared" si="5"/>
        <v>29.55931435</v>
      </c>
      <c r="AN56" s="17">
        <f t="shared" si="6"/>
        <v>10.18333271</v>
      </c>
      <c r="AO56" s="17">
        <f t="shared" si="7"/>
        <v>12.81268122</v>
      </c>
      <c r="AP56" s="11">
        <f t="shared" si="8"/>
        <v>0.43722321</v>
      </c>
      <c r="AQ56" s="4" t="str">
        <f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4" t="str">
        <f>IF($C56=Board!$B$2,COUNTIFS($C$2:$C$157,Board!$B$2,$AL$2:$AL$157,"&gt;"&amp;$AL56)+COUNTIFS($C$1:$C55,Board!$B$2,$AL$1:$AL55,$AL56)+1,"")</f>
        <v/>
      </c>
      <c r="AS56" s="4" t="str">
        <f t="array" ref="AS56">IFERROR(IF($D56=INDEX(Matches!$AD$5:$AD$22,MATCH($C56,Matches!$A$5:$A$22,0)),"A",IF($D56=INDEX(Matches!$AE$5:$AE$22,MATCH($C56,Matches!$A$5:$A$22,0)),"B","")),"")</f>
        <v>A</v>
      </c>
      <c r="AT56" s="11">
        <f t="array" ref="AT56">IF($AS56="","",IFERROR(IF($AS56="A",INDEX(Matches!$AI$5:$AI$22,MATCH($C56,Matches!$A$5:$A$22,0)),INDEX(Matches!$AJ$5:$AJ$22,MATCH($C56,Matches!$A$5:$A$22,0))),""))</f>
        <v>0.5498492587</v>
      </c>
      <c r="AU56" s="11">
        <f t="array" ref="AU56">IF($AS56="","",IFERROR(IF(INDEX(Matches!$AP$5:$AP$22,MATCH($C56,Matches!$A$5:$A$22,0))="","",IF($AS56="A",INDEX(Matches!$AP$5:$AP$22,MATCH($C56,Matches!$A$5:$A$22,0)),1-INDEX(Matches!$AP$5:$AP$22,MATCH($C56,Matches!$A$5:$A$22,0)))),""))</f>
        <v>0.4848270453</v>
      </c>
      <c r="AV56" s="18">
        <f>IF(OR($AU56="",$AT56=""),1,((Config!$B$14*$AU56+Config!$B$15*(1-$AU56))/(Config!$B$14*$AT56+Config!$B$15*(1-$AT56)))^Config!$B$13)</f>
        <v>0.9443730113</v>
      </c>
      <c r="AW56" s="11">
        <f t="array" ref="AW56">IF($AS56="","",IFERROR(IF(INDEX(Matches!$AV$5:$AV$22,MATCH($C56,Matches!$A$5:$A$22,0))="","",IF($AS56="A",INDEX(Matches!$AV$5:$AV$22,MATCH($C56,Matches!$A$5:$A$22,0)),1-INDEX(Matches!$AV$5:$AV$22,MATCH($C56,Matches!$A$5:$A$22,0)))),""))</f>
        <v>0.4608078663</v>
      </c>
      <c r="AX56" s="18">
        <f>IF(OR($AW56="",$AT56=""),1,((Config!$B$14*$AW56+Config!$B$15*(1-$AW56))/(Config!$B$14*$AT56+Config!$B$15*(1-$AT56)))^Config!$B$13)</f>
        <v>0.9238244245</v>
      </c>
      <c r="AY56" s="11">
        <f t="array" ref="AY56">IF($AS56="","",IFERROR(IF(INDEX(Matches!$BB$5:$BB$22,MATCH($C56,Matches!$A$5:$A$22,0))="","",IF($AS56="A",INDEX(Matches!$BB$5:$BB$22,MATCH($C56,Matches!$A$5:$A$22,0)),1-INDEX(Matches!$BB$5:$BB$22,MATCH($C56,Matches!$A$5:$A$22,0)))),""))</f>
        <v>0.4621660619</v>
      </c>
      <c r="AZ56" s="18">
        <f>IF(OR($AY56="",$AT56=""),1,((Config!$B$14*$AY56+Config!$B$15*(1-$AY56))/(Config!$B$14*$AT56+Config!$B$15*(1-$AT56)))^Config!$B$13)</f>
        <v>0.9249863709</v>
      </c>
      <c r="BA56" s="17">
        <f t="shared" si="9"/>
        <v>11.69823907</v>
      </c>
      <c r="BB56" s="17">
        <f t="shared" si="10"/>
        <v>10.07302739</v>
      </c>
      <c r="BC56" s="17">
        <f t="shared" si="11"/>
        <v>11.6593109</v>
      </c>
      <c r="BD56" s="17">
        <f t="shared" si="12"/>
        <v>21.77126646</v>
      </c>
      <c r="BE56" s="17">
        <f t="shared" si="13"/>
        <v>27.56944177</v>
      </c>
      <c r="BF56" s="17">
        <f t="shared" si="14"/>
        <v>4.755784113</v>
      </c>
      <c r="BG56" s="17">
        <f t="shared" si="15"/>
        <v>4.755308348</v>
      </c>
      <c r="BH56" s="17">
        <f t="shared" si="16"/>
        <v>4.890632488</v>
      </c>
      <c r="BI56" s="17">
        <f t="shared" si="17"/>
        <v>9.511092461</v>
      </c>
      <c r="BJ56" s="17">
        <f t="shared" si="18"/>
        <v>11.943204</v>
      </c>
      <c r="BK56" s="18">
        <f t="shared" si="19"/>
        <v>0.9347532165</v>
      </c>
    </row>
    <row r="57" ht="15.75" customHeight="1">
      <c r="A57" s="4" t="s">
        <v>3179</v>
      </c>
      <c r="B57" s="4" t="s">
        <v>86</v>
      </c>
      <c r="C57" s="4" t="s">
        <v>1090</v>
      </c>
      <c r="D57" s="4" t="s">
        <v>1095</v>
      </c>
      <c r="E57" s="4" t="s">
        <v>1379</v>
      </c>
      <c r="F57" s="4" t="s">
        <v>1378</v>
      </c>
      <c r="G57" s="4" t="str">
        <f t="array" ref="G57">IFERROR(IF(INDEX(Matches!$W$5:$W$22,MATCH($C57,Matches!$A$5:$A$22,0))="","",INDEX(Matches!$W$5:$W$22,MATCH($C57,Matches!$A$5:$A$22,0))),"")</f>
        <v>Cache</v>
      </c>
      <c r="H57" s="4" t="str">
        <f t="array" ref="H57">IFERROR(IF(INDEX(Matches!$X$5:$X$22,MATCH($C57,Matches!$A$5:$A$22,0))="","",INDEX(Matches!$X$5:$X$22,MATCH($C57,Matches!$A$5:$A$22,0))),"")</f>
        <v>Inferno</v>
      </c>
      <c r="I57" s="4" t="str">
        <f t="array" ref="I57">IFERROR(IF(INDEX(Matches!$Y$5:$Y$22,MATCH($C57,Matches!$A$5:$A$22,0))="","",INDEX(Matches!$Y$5:$Y$22,MATCH($C57,Matches!$A$5:$A$22,0))),"")</f>
        <v>Ancient</v>
      </c>
      <c r="J57" s="4">
        <f t="array" ref="J57">IFERROR(IF(INDEX(Matches!$Z$5:$Z$22,MATCH($C57,Matches!$A$5:$A$22,0))="","",INDEX(Matches!$Z$5:$Z$22,MATCH($C57,Matches!$A$5:$A$22,0))),"")</f>
        <v>21.5</v>
      </c>
      <c r="K57" s="4">
        <f t="array" ref="K57">IFERROR(IF(INDEX(Matches!$AA$5:$AA$22,MATCH($C57,Matches!$A$5:$A$22,0))="","",INDEX(Matches!$AA$5:$AA$22,MATCH($C57,Matches!$A$5:$A$22,0))),"")</f>
        <v>21.31</v>
      </c>
      <c r="L57" s="4">
        <f t="array" ref="L57">IFERROR(IF(INDEX(Matches!$AB$5:$AB$22,MATCH($C57,Matches!$A$5:$A$22,0))="","",INDEX(Matches!$AB$5:$AB$22,MATCH($C57,Matches!$A$5:$A$22,0))),"")</f>
        <v>21.42</v>
      </c>
      <c r="M57" s="11">
        <f t="array" ref="M57">IFERROR(IF(INDEX(Matches!$AC$5:$AC$22,MATCH($C57,Matches!$A$5:$A$22,0))="","",INDEX(Matches!$AC$5:$AC$22,MATCH($C57,Matches!$A$5:$A$22,0))),"")</f>
        <v>0.4973</v>
      </c>
      <c r="N57" s="4">
        <f t="array" ref="N57">IFERROR(INDEX(Players!$F$2:$F$127,MATCH($F57,Players!$A$2:$A$127,0)),0)</f>
        <v>36</v>
      </c>
      <c r="O57" s="18">
        <f t="array" ref="O57">IFERROR(1/(1/INDEX(Players!$H$2:$H$127,MATCH($F57,Players!$A$2:$A$127,0))),"")</f>
        <v>0.69</v>
      </c>
      <c r="P57" s="11">
        <f t="array" ref="P57">IFERROR(1/(1/INDEX(Players!$I$2:$I$127,MATCH($F57,Players!$A$2:$A$127,0))),"")</f>
        <v>0.582</v>
      </c>
      <c r="Q57" s="4">
        <f>IF($G57="",0,SUMIFS(Map_Stats!$F$2:$F$825,Map_Stats!$A$2:$A$825,$F57&amp;"|"&amp;$G57))</f>
        <v>8</v>
      </c>
      <c r="R57" s="18">
        <f t="array" ref="R57">IF($G57="","",IFERROR(1/(1/INDEX(Map_Stats!$K$2:$K$825,MATCH($F57&amp;"|"&amp;$G57,Map_Stats!$A$2:$A$825,0))),$O57))</f>
        <v>0.76</v>
      </c>
      <c r="S57" s="11">
        <f t="array" ref="S57">IF(OR($G57="",$P57=""),"",IFERROR(1/(1/INDEX(Map_Stats!$I$2:$I$825,MATCH($F57&amp;"|"&amp;$G57,Map_Stats!$A$2:$A$825,0))),$P57))</f>
        <v>0.59</v>
      </c>
      <c r="T57" s="18">
        <f>IF(OR($G57="",R57=""),"",IF($O57="",R57,(Q57*R57+Config!$B$4*$O57)/(Q57+Config!$B$4)))</f>
        <v>0.7330769231</v>
      </c>
      <c r="U57" s="11">
        <f>IF(S57="","",(Q57*S57+Config!$B$4*$P57)/(Q57+Config!$B$4))</f>
        <v>0.5869230769</v>
      </c>
      <c r="V57" s="17">
        <f>IF(OR(T57="",$J57=""),"",T57*$J57*($J57/Config!$B$10)^Config!$B$9)</f>
        <v>15.76115385</v>
      </c>
      <c r="W57" s="17">
        <f t="shared" si="1"/>
        <v>9.250584911</v>
      </c>
      <c r="X57" s="4">
        <f>IF($H57="",0,SUMIFS(Map_Stats!$F$2:$F$825,Map_Stats!$A$2:$A$825,$F57&amp;"|"&amp;$H57))</f>
        <v>7</v>
      </c>
      <c r="Y57" s="18">
        <f t="array" ref="Y57">IF($H57="","",IFERROR(1/(1/INDEX(Map_Stats!$K$2:$K$825,MATCH($F57&amp;"|"&amp;$H57,Map_Stats!$A$2:$A$825,0))),$O57))</f>
        <v>0.63</v>
      </c>
      <c r="Z57" s="11">
        <f t="array" ref="Z57">IF(OR($H57="",$P57=""),"",IFERROR(1/(1/INDEX(Map_Stats!$I$2:$I$825,MATCH($F57&amp;"|"&amp;$H57,Map_Stats!$A$2:$A$825,0))),$P57))</f>
        <v>0.543</v>
      </c>
      <c r="AA57" s="18">
        <f>IF(OR($H57="",Y57=""),"",IF($O57="",Y57,(X57*Y57+Config!$B$4*$O57)/(X57+Config!$B$4)))</f>
        <v>0.655</v>
      </c>
      <c r="AB57" s="11">
        <f>IF(Z57="","",(X57*Z57+Config!$B$4*$P57)/(X57+Config!$B$4))</f>
        <v>0.55925</v>
      </c>
      <c r="AC57" s="17">
        <f>IF(OR(AA57="",$K57=""),"",AA57*$K57*($K57/Config!$B$10)^Config!$B$9)</f>
        <v>13.95805</v>
      </c>
      <c r="AD57" s="17">
        <f t="shared" si="2"/>
        <v>7.806039463</v>
      </c>
      <c r="AE57" s="4">
        <f>IF($I57="",0,SUMIFS(Map_Stats!$F$2:$F$825,Map_Stats!$A$2:$A$825,$F57&amp;"|"&amp;$I57))</f>
        <v>8</v>
      </c>
      <c r="AF57" s="18">
        <f t="array" ref="AF57">IF($I57="","",IFERROR(1/(1/INDEX(Map_Stats!$K$2:$K$825,MATCH($F57&amp;"|"&amp;$I57,Map_Stats!$A$2:$A$825,0))),$O57))</f>
        <v>0.7</v>
      </c>
      <c r="AG57" s="11">
        <f t="array" ref="AG57">IF(OR($I57="",$P57=""),"",IFERROR(1/(1/INDEX(Map_Stats!$I$2:$I$825,MATCH($F57&amp;"|"&amp;$I57,Map_Stats!$A$2:$A$825,0))),$P57))</f>
        <v>0.595</v>
      </c>
      <c r="AH57" s="18">
        <f>IF(OR($I57="",AF57=""),"",IF($O57="",AF57,(AE57*AF57+Config!$B$4*$O57)/(AE57+Config!$B$4)))</f>
        <v>0.6961538462</v>
      </c>
      <c r="AI57" s="11">
        <f>IF(AG57="","",(AE57*AG57+Config!$B$4*$P57)/(AE57+Config!$B$4))</f>
        <v>0.59</v>
      </c>
      <c r="AJ57" s="17">
        <f>IF(OR(AH57="",$L57=""),"",AH57*$L57*($L57/Config!$B$10)^Config!$B$9)</f>
        <v>14.91161538</v>
      </c>
      <c r="AK57" s="17">
        <f t="shared" si="3"/>
        <v>8.797853077</v>
      </c>
      <c r="AL57" s="17">
        <f t="shared" si="4"/>
        <v>29.71920385</v>
      </c>
      <c r="AM57" s="17">
        <f t="shared" si="5"/>
        <v>37.13475018</v>
      </c>
      <c r="AN57" s="17">
        <f t="shared" si="6"/>
        <v>17.05662437</v>
      </c>
      <c r="AO57" s="17">
        <f t="shared" si="7"/>
        <v>21.43179671</v>
      </c>
      <c r="AP57" s="11">
        <f t="shared" si="8"/>
        <v>0.5739260198</v>
      </c>
      <c r="AQ57" s="4" t="str">
        <f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4" t="str">
        <f>IF($C57=Board!$B$2,COUNTIFS($C$2:$C$157,Board!$B$2,$AL$2:$AL$157,"&gt;"&amp;$AL57)+COUNTIFS($C$1:$C56,Board!$B$2,$AL$1:$AL56,$AL57)+1,"")</f>
        <v/>
      </c>
      <c r="AS57" s="4" t="str">
        <f t="array" ref="AS57">IFERROR(IF($D57=INDEX(Matches!$AD$5:$AD$22,MATCH($C57,Matches!$A$5:$A$22,0)),"A",IF($D57=INDEX(Matches!$AE$5:$AE$22,MATCH($C57,Matches!$A$5:$A$22,0)),"B","")),"")</f>
        <v>A</v>
      </c>
      <c r="AT57" s="11">
        <f t="array" ref="AT57">IF($AS57="","",IFERROR(IF($AS57="A",INDEX(Matches!$AI$5:$AI$22,MATCH($C57,Matches!$A$5:$A$22,0)),INDEX(Matches!$AJ$5:$AJ$22,MATCH($C57,Matches!$A$5:$A$22,0))),""))</f>
        <v>0.5498492587</v>
      </c>
      <c r="AU57" s="11">
        <f t="array" ref="AU57">IF($AS57="","",IFERROR(IF(INDEX(Matches!$AP$5:$AP$22,MATCH($C57,Matches!$A$5:$A$22,0))="","",IF($AS57="A",INDEX(Matches!$AP$5:$AP$22,MATCH($C57,Matches!$A$5:$A$22,0)),1-INDEX(Matches!$AP$5:$AP$22,MATCH($C57,Matches!$A$5:$A$22,0)))),""))</f>
        <v>0.4848270453</v>
      </c>
      <c r="AV57" s="18">
        <f>IF(OR($AU57="",$AT57=""),1,((Config!$B$14*$AU57+Config!$B$15*(1-$AU57))/(Config!$B$14*$AT57+Config!$B$15*(1-$AT57)))^Config!$B$13)</f>
        <v>0.9443730113</v>
      </c>
      <c r="AW57" s="11">
        <f t="array" ref="AW57">IF($AS57="","",IFERROR(IF(INDEX(Matches!$AV$5:$AV$22,MATCH($C57,Matches!$A$5:$A$22,0))="","",IF($AS57="A",INDEX(Matches!$AV$5:$AV$22,MATCH($C57,Matches!$A$5:$A$22,0)),1-INDEX(Matches!$AV$5:$AV$22,MATCH($C57,Matches!$A$5:$A$22,0)))),""))</f>
        <v>0.4608078663</v>
      </c>
      <c r="AX57" s="18">
        <f>IF(OR($AW57="",$AT57=""),1,((Config!$B$14*$AW57+Config!$B$15*(1-$AW57))/(Config!$B$14*$AT57+Config!$B$15*(1-$AT57)))^Config!$B$13)</f>
        <v>0.9238244245</v>
      </c>
      <c r="AY57" s="11">
        <f t="array" ref="AY57">IF($AS57="","",IFERROR(IF(INDEX(Matches!$BB$5:$BB$22,MATCH($C57,Matches!$A$5:$A$22,0))="","",IF($AS57="A",INDEX(Matches!$BB$5:$BB$22,MATCH($C57,Matches!$A$5:$A$22,0)),1-INDEX(Matches!$BB$5:$BB$22,MATCH($C57,Matches!$A$5:$A$22,0)))),""))</f>
        <v>0.4621660619</v>
      </c>
      <c r="AZ57" s="18">
        <f>IF(OR($AY57="",$AT57=""),1,((Config!$B$14*$AY57+Config!$B$15*(1-$AY57))/(Config!$B$14*$AT57+Config!$B$15*(1-$AT57)))^Config!$B$13)</f>
        <v>0.9249863709</v>
      </c>
      <c r="BA57" s="17">
        <f t="shared" si="9"/>
        <v>14.88440832</v>
      </c>
      <c r="BB57" s="17">
        <f t="shared" si="10"/>
        <v>12.89478751</v>
      </c>
      <c r="BC57" s="17">
        <f t="shared" si="11"/>
        <v>13.793041</v>
      </c>
      <c r="BD57" s="17">
        <f t="shared" si="12"/>
        <v>27.77919583</v>
      </c>
      <c r="BE57" s="17">
        <f t="shared" si="13"/>
        <v>34.63847512</v>
      </c>
      <c r="BF57" s="17">
        <f t="shared" si="14"/>
        <v>8.736002729</v>
      </c>
      <c r="BG57" s="17">
        <f t="shared" si="15"/>
        <v>7.211409914</v>
      </c>
      <c r="BH57" s="17">
        <f t="shared" si="16"/>
        <v>8.13789419</v>
      </c>
      <c r="BI57" s="17">
        <f t="shared" si="17"/>
        <v>15.94741264</v>
      </c>
      <c r="BJ57" s="17">
        <f t="shared" si="18"/>
        <v>19.99438742</v>
      </c>
      <c r="BK57" s="18">
        <f t="shared" si="19"/>
        <v>0.934722073</v>
      </c>
    </row>
    <row r="58" ht="15.75" customHeight="1">
      <c r="A58" s="4" t="s">
        <v>3181</v>
      </c>
      <c r="B58" s="4" t="s">
        <v>86</v>
      </c>
      <c r="C58" s="4" t="s">
        <v>1090</v>
      </c>
      <c r="D58" s="4" t="s">
        <v>1095</v>
      </c>
      <c r="E58" s="4" t="s">
        <v>1382</v>
      </c>
      <c r="F58" s="4" t="s">
        <v>1381</v>
      </c>
      <c r="G58" s="4" t="str">
        <f t="array" ref="G58">IFERROR(IF(INDEX(Matches!$W$5:$W$22,MATCH($C58,Matches!$A$5:$A$22,0))="","",INDEX(Matches!$W$5:$W$22,MATCH($C58,Matches!$A$5:$A$22,0))),"")</f>
        <v>Cache</v>
      </c>
      <c r="H58" s="4" t="str">
        <f t="array" ref="H58">IFERROR(IF(INDEX(Matches!$X$5:$X$22,MATCH($C58,Matches!$A$5:$A$22,0))="","",INDEX(Matches!$X$5:$X$22,MATCH($C58,Matches!$A$5:$A$22,0))),"")</f>
        <v>Inferno</v>
      </c>
      <c r="I58" s="4" t="str">
        <f t="array" ref="I58">IFERROR(IF(INDEX(Matches!$Y$5:$Y$22,MATCH($C58,Matches!$A$5:$A$22,0))="","",INDEX(Matches!$Y$5:$Y$22,MATCH($C58,Matches!$A$5:$A$22,0))),"")</f>
        <v>Ancient</v>
      </c>
      <c r="J58" s="4">
        <f t="array" ref="J58">IFERROR(IF(INDEX(Matches!$Z$5:$Z$22,MATCH($C58,Matches!$A$5:$A$22,0))="","",INDEX(Matches!$Z$5:$Z$22,MATCH($C58,Matches!$A$5:$A$22,0))),"")</f>
        <v>21.5</v>
      </c>
      <c r="K58" s="4">
        <f t="array" ref="K58">IFERROR(IF(INDEX(Matches!$AA$5:$AA$22,MATCH($C58,Matches!$A$5:$A$22,0))="","",INDEX(Matches!$AA$5:$AA$22,MATCH($C58,Matches!$A$5:$A$22,0))),"")</f>
        <v>21.31</v>
      </c>
      <c r="L58" s="4">
        <f t="array" ref="L58">IFERROR(IF(INDEX(Matches!$AB$5:$AB$22,MATCH($C58,Matches!$A$5:$A$22,0))="","",INDEX(Matches!$AB$5:$AB$22,MATCH($C58,Matches!$A$5:$A$22,0))),"")</f>
        <v>21.42</v>
      </c>
      <c r="M58" s="11">
        <f t="array" ref="M58">IFERROR(IF(INDEX(Matches!$AC$5:$AC$22,MATCH($C58,Matches!$A$5:$A$22,0))="","",INDEX(Matches!$AC$5:$AC$22,MATCH($C58,Matches!$A$5:$A$22,0))),"")</f>
        <v>0.4973</v>
      </c>
      <c r="N58" s="4">
        <f t="array" ref="N58">IFERROR(INDEX(Players!$F$2:$F$127,MATCH($F58,Players!$A$2:$A$127,0)),0)</f>
        <v>36</v>
      </c>
      <c r="O58" s="18">
        <f t="array" ref="O58">IFERROR(1/(1/INDEX(Players!$H$2:$H$127,MATCH($F58,Players!$A$2:$A$127,0))),"")</f>
        <v>0.74</v>
      </c>
      <c r="P58" s="11">
        <f t="array" ref="P58">IFERROR(1/(1/INDEX(Players!$I$2:$I$127,MATCH($F58,Players!$A$2:$A$127,0))),"")</f>
        <v>0.369</v>
      </c>
      <c r="Q58" s="4">
        <f>IF($G58="",0,SUMIFS(Map_Stats!$F$2:$F$825,Map_Stats!$A$2:$A$825,$F58&amp;"|"&amp;$G58))</f>
        <v>8</v>
      </c>
      <c r="R58" s="18">
        <f t="array" ref="R58">IF($G58="","",IFERROR(1/(1/INDEX(Map_Stats!$K$2:$K$825,MATCH($F58&amp;"|"&amp;$G58,Map_Stats!$A$2:$A$825,0))),$O58))</f>
        <v>0.68</v>
      </c>
      <c r="S58" s="11">
        <f t="array" ref="S58">IF(OR($G58="",$P58=""),"",IFERROR(1/(1/INDEX(Map_Stats!$I$2:$I$825,MATCH($F58&amp;"|"&amp;$G58,Map_Stats!$A$2:$A$825,0))),$P58))</f>
        <v>0.331</v>
      </c>
      <c r="T58" s="18">
        <f>IF(OR($G58="",R58=""),"",IF($O58="",R58,(Q58*R58+Config!$B$4*$O58)/(Q58+Config!$B$4)))</f>
        <v>0.7030769231</v>
      </c>
      <c r="U58" s="11">
        <f>IF(S58="","",(Q58*S58+Config!$B$4*$P58)/(Q58+Config!$B$4))</f>
        <v>0.3456153846</v>
      </c>
      <c r="V58" s="17">
        <f>IF(OR(T58="",$J58=""),"",T58*$J58*($J58/Config!$B$10)^Config!$B$9)</f>
        <v>15.11615385</v>
      </c>
      <c r="W58" s="17">
        <f t="shared" si="1"/>
        <v>5.224375325</v>
      </c>
      <c r="X58" s="4">
        <f>IF($H58="",0,SUMIFS(Map_Stats!$F$2:$F$825,Map_Stats!$A$2:$A$825,$F58&amp;"|"&amp;$H58))</f>
        <v>7</v>
      </c>
      <c r="Y58" s="18">
        <f t="array" ref="Y58">IF($H58="","",IFERROR(1/(1/INDEX(Map_Stats!$K$2:$K$825,MATCH($F58&amp;"|"&amp;$H58,Map_Stats!$A$2:$A$825,0))),$O58))</f>
        <v>0.81</v>
      </c>
      <c r="Z58" s="11">
        <f t="array" ref="Z58">IF(OR($H58="",$P58=""),"",IFERROR(1/(1/INDEX(Map_Stats!$I$2:$I$825,MATCH($F58&amp;"|"&amp;$H58,Map_Stats!$A$2:$A$825,0))),$P58))</f>
        <v>0.383</v>
      </c>
      <c r="AA58" s="18">
        <f>IF(OR($H58="",Y58=""),"",IF($O58="",Y58,(X58*Y58+Config!$B$4*$O58)/(X58+Config!$B$4)))</f>
        <v>0.7808333333</v>
      </c>
      <c r="AB58" s="11">
        <f>IF(Z58="","",(X58*Z58+Config!$B$4*$P58)/(X58+Config!$B$4))</f>
        <v>0.3771666667</v>
      </c>
      <c r="AC58" s="17">
        <f>IF(OR(AA58="",$K58=""),"",AA58*$K58*($K58/Config!$B$10)^Config!$B$9)</f>
        <v>16.63955833</v>
      </c>
      <c r="AD58" s="17">
        <f t="shared" si="2"/>
        <v>6.275886751</v>
      </c>
      <c r="AE58" s="4">
        <f>IF($I58="",0,SUMIFS(Map_Stats!$F$2:$F$825,Map_Stats!$A$2:$A$825,$F58&amp;"|"&amp;$I58))</f>
        <v>8</v>
      </c>
      <c r="AF58" s="18">
        <f t="array" ref="AF58">IF($I58="","",IFERROR(1/(1/INDEX(Map_Stats!$K$2:$K$825,MATCH($F58&amp;"|"&amp;$I58,Map_Stats!$A$2:$A$825,0))),$O58))</f>
        <v>0.77</v>
      </c>
      <c r="AG58" s="11">
        <f t="array" ref="AG58">IF(OR($I58="",$P58=""),"",IFERROR(1/(1/INDEX(Map_Stats!$I$2:$I$825,MATCH($F58&amp;"|"&amp;$I58,Map_Stats!$A$2:$A$825,0))),$P58))</f>
        <v>0.336</v>
      </c>
      <c r="AH58" s="18">
        <f>IF(OR($I58="",AF58=""),"",IF($O58="",AF58,(AE58*AF58+Config!$B$4*$O58)/(AE58+Config!$B$4)))</f>
        <v>0.7584615385</v>
      </c>
      <c r="AI58" s="11">
        <f>IF(AG58="","",(AE58*AG58+Config!$B$4*$P58)/(AE58+Config!$B$4))</f>
        <v>0.3486923077</v>
      </c>
      <c r="AJ58" s="17">
        <f>IF(OR(AH58="",$L58=""),"",AH58*$L58*($L58/Config!$B$10)^Config!$B$9)</f>
        <v>16.24624615</v>
      </c>
      <c r="AK58" s="17">
        <f t="shared" si="3"/>
        <v>5.664941063</v>
      </c>
      <c r="AL58" s="17">
        <f t="shared" si="4"/>
        <v>31.75571218</v>
      </c>
      <c r="AM58" s="17">
        <f t="shared" si="5"/>
        <v>39.83497039</v>
      </c>
      <c r="AN58" s="17">
        <f t="shared" si="6"/>
        <v>11.50026208</v>
      </c>
      <c r="AO58" s="17">
        <f t="shared" si="7"/>
        <v>14.31743727</v>
      </c>
      <c r="AP58" s="11">
        <f t="shared" si="8"/>
        <v>0.3621478244</v>
      </c>
      <c r="AQ58" s="4" t="str">
        <f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4" t="str">
        <f>IF($C58=Board!$B$2,COUNTIFS($C$2:$C$157,Board!$B$2,$AL$2:$AL$157,"&gt;"&amp;$AL58)+COUNTIFS($C$1:$C57,Board!$B$2,$AL$1:$AL57,$AL58)+1,"")</f>
        <v/>
      </c>
      <c r="AS58" s="4" t="str">
        <f t="array" ref="AS58">IFERROR(IF($D58=INDEX(Matches!$AD$5:$AD$22,MATCH($C58,Matches!$A$5:$A$22,0)),"A",IF($D58=INDEX(Matches!$AE$5:$AE$22,MATCH($C58,Matches!$A$5:$A$22,0)),"B","")),"")</f>
        <v>A</v>
      </c>
      <c r="AT58" s="11">
        <f t="array" ref="AT58">IF($AS58="","",IFERROR(IF($AS58="A",INDEX(Matches!$AI$5:$AI$22,MATCH($C58,Matches!$A$5:$A$22,0)),INDEX(Matches!$AJ$5:$AJ$22,MATCH($C58,Matches!$A$5:$A$22,0))),""))</f>
        <v>0.5498492587</v>
      </c>
      <c r="AU58" s="11">
        <f t="array" ref="AU58">IF($AS58="","",IFERROR(IF(INDEX(Matches!$AP$5:$AP$22,MATCH($C58,Matches!$A$5:$A$22,0))="","",IF($AS58="A",INDEX(Matches!$AP$5:$AP$22,MATCH($C58,Matches!$A$5:$A$22,0)),1-INDEX(Matches!$AP$5:$AP$22,MATCH($C58,Matches!$A$5:$A$22,0)))),""))</f>
        <v>0.4848270453</v>
      </c>
      <c r="AV58" s="18">
        <f>IF(OR($AU58="",$AT58=""),1,((Config!$B$14*$AU58+Config!$B$15*(1-$AU58))/(Config!$B$14*$AT58+Config!$B$15*(1-$AT58)))^Config!$B$13)</f>
        <v>0.9443730113</v>
      </c>
      <c r="AW58" s="11">
        <f t="array" ref="AW58">IF($AS58="","",IFERROR(IF(INDEX(Matches!$AV$5:$AV$22,MATCH($C58,Matches!$A$5:$A$22,0))="","",IF($AS58="A",INDEX(Matches!$AV$5:$AV$22,MATCH($C58,Matches!$A$5:$A$22,0)),1-INDEX(Matches!$AV$5:$AV$22,MATCH($C58,Matches!$A$5:$A$22,0)))),""))</f>
        <v>0.4608078663</v>
      </c>
      <c r="AX58" s="18">
        <f>IF(OR($AW58="",$AT58=""),1,((Config!$B$14*$AW58+Config!$B$15*(1-$AW58))/(Config!$B$14*$AT58+Config!$B$15*(1-$AT58)))^Config!$B$13)</f>
        <v>0.9238244245</v>
      </c>
      <c r="AY58" s="11">
        <f t="array" ref="AY58">IF($AS58="","",IFERROR(IF(INDEX(Matches!$BB$5:$BB$22,MATCH($C58,Matches!$A$5:$A$22,0))="","",IF($AS58="A",INDEX(Matches!$BB$5:$BB$22,MATCH($C58,Matches!$A$5:$A$22,0)),1-INDEX(Matches!$BB$5:$BB$22,MATCH($C58,Matches!$A$5:$A$22,0)))),""))</f>
        <v>0.4621660619</v>
      </c>
      <c r="AZ58" s="18">
        <f>IF(OR($AY58="",$AT58=""),1,((Config!$B$14*$AY58+Config!$B$15*(1-$AY58))/(Config!$B$14*$AT58+Config!$B$15*(1-$AT58)))^Config!$B$13)</f>
        <v>0.9249863709</v>
      </c>
      <c r="BA58" s="17">
        <f t="shared" si="9"/>
        <v>14.27528773</v>
      </c>
      <c r="BB58" s="17">
        <f t="shared" si="10"/>
        <v>15.3720304</v>
      </c>
      <c r="BC58" s="17">
        <f t="shared" si="11"/>
        <v>15.02755627</v>
      </c>
      <c r="BD58" s="17">
        <f t="shared" si="12"/>
        <v>29.64731813</v>
      </c>
      <c r="BE58" s="17">
        <f t="shared" si="13"/>
        <v>37.12052186</v>
      </c>
      <c r="BF58" s="17">
        <f t="shared" si="14"/>
        <v>4.933759058</v>
      </c>
      <c r="BG58" s="17">
        <f t="shared" si="15"/>
        <v>5.797817466</v>
      </c>
      <c r="BH58" s="17">
        <f t="shared" si="16"/>
        <v>5.239993275</v>
      </c>
      <c r="BI58" s="17">
        <f t="shared" si="17"/>
        <v>10.73157652</v>
      </c>
      <c r="BJ58" s="17">
        <f t="shared" si="18"/>
        <v>13.33742518</v>
      </c>
      <c r="BK58" s="18">
        <f t="shared" si="19"/>
        <v>0.9336058332</v>
      </c>
    </row>
    <row r="59" ht="15.75" customHeight="1">
      <c r="A59" s="4" t="s">
        <v>3182</v>
      </c>
      <c r="B59" s="4" t="s">
        <v>86</v>
      </c>
      <c r="C59" s="4" t="s">
        <v>1090</v>
      </c>
      <c r="D59" s="4" t="s">
        <v>1095</v>
      </c>
      <c r="E59" s="4" t="s">
        <v>1385</v>
      </c>
      <c r="F59" s="4" t="s">
        <v>1384</v>
      </c>
      <c r="G59" s="4" t="str">
        <f t="array" ref="G59">IFERROR(IF(INDEX(Matches!$W$5:$W$22,MATCH($C59,Matches!$A$5:$A$22,0))="","",INDEX(Matches!$W$5:$W$22,MATCH($C59,Matches!$A$5:$A$22,0))),"")</f>
        <v>Cache</v>
      </c>
      <c r="H59" s="4" t="str">
        <f t="array" ref="H59">IFERROR(IF(INDEX(Matches!$X$5:$X$22,MATCH($C59,Matches!$A$5:$A$22,0))="","",INDEX(Matches!$X$5:$X$22,MATCH($C59,Matches!$A$5:$A$22,0))),"")</f>
        <v>Inferno</v>
      </c>
      <c r="I59" s="4" t="str">
        <f t="array" ref="I59">IFERROR(IF(INDEX(Matches!$Y$5:$Y$22,MATCH($C59,Matches!$A$5:$A$22,0))="","",INDEX(Matches!$Y$5:$Y$22,MATCH($C59,Matches!$A$5:$A$22,0))),"")</f>
        <v>Ancient</v>
      </c>
      <c r="J59" s="4">
        <f t="array" ref="J59">IFERROR(IF(INDEX(Matches!$Z$5:$Z$22,MATCH($C59,Matches!$A$5:$A$22,0))="","",INDEX(Matches!$Z$5:$Z$22,MATCH($C59,Matches!$A$5:$A$22,0))),"")</f>
        <v>21.5</v>
      </c>
      <c r="K59" s="4">
        <f t="array" ref="K59">IFERROR(IF(INDEX(Matches!$AA$5:$AA$22,MATCH($C59,Matches!$A$5:$A$22,0))="","",INDEX(Matches!$AA$5:$AA$22,MATCH($C59,Matches!$A$5:$A$22,0))),"")</f>
        <v>21.31</v>
      </c>
      <c r="L59" s="4">
        <f t="array" ref="L59">IFERROR(IF(INDEX(Matches!$AB$5:$AB$22,MATCH($C59,Matches!$A$5:$A$22,0))="","",INDEX(Matches!$AB$5:$AB$22,MATCH($C59,Matches!$A$5:$A$22,0))),"")</f>
        <v>21.42</v>
      </c>
      <c r="M59" s="11">
        <f t="array" ref="M59">IFERROR(IF(INDEX(Matches!$AC$5:$AC$22,MATCH($C59,Matches!$A$5:$A$22,0))="","",INDEX(Matches!$AC$5:$AC$22,MATCH($C59,Matches!$A$5:$A$22,0))),"")</f>
        <v>0.4973</v>
      </c>
      <c r="N59" s="4">
        <f t="array" ref="N59">IFERROR(INDEX(Players!$F$2:$F$127,MATCH($F59,Players!$A$2:$A$127,0)),0)</f>
        <v>36</v>
      </c>
      <c r="O59" s="18">
        <f t="array" ref="O59">IFERROR(1/(1/INDEX(Players!$H$2:$H$127,MATCH($F59,Players!$A$2:$A$127,0))),"")</f>
        <v>0.67</v>
      </c>
      <c r="P59" s="11">
        <f t="array" ref="P59">IFERROR(1/(1/INDEX(Players!$I$2:$I$127,MATCH($F59,Players!$A$2:$A$127,0))),"")</f>
        <v>0.565</v>
      </c>
      <c r="Q59" s="4">
        <f>IF($G59="",0,SUMIFS(Map_Stats!$F$2:$F$825,Map_Stats!$A$2:$A$825,$F59&amp;"|"&amp;$G59))</f>
        <v>8</v>
      </c>
      <c r="R59" s="18">
        <f t="array" ref="R59">IF($G59="","",IFERROR(1/(1/INDEX(Map_Stats!$K$2:$K$825,MATCH($F59&amp;"|"&amp;$G59,Map_Stats!$A$2:$A$825,0))),$O59))</f>
        <v>0.79</v>
      </c>
      <c r="S59" s="11">
        <f t="array" ref="S59">IF(OR($G59="",$P59=""),"",IFERROR(1/(1/INDEX(Map_Stats!$I$2:$I$825,MATCH($F59&amp;"|"&amp;$G59,Map_Stats!$A$2:$A$825,0))),$P59))</f>
        <v>0.517</v>
      </c>
      <c r="T59" s="18">
        <f>IF(OR($G59="",R59=""),"",IF($O59="",R59,(Q59*R59+Config!$B$4*$O59)/(Q59+Config!$B$4)))</f>
        <v>0.7438461538</v>
      </c>
      <c r="U59" s="11">
        <f>IF(S59="","",(Q59*S59+Config!$B$4*$P59)/(Q59+Config!$B$4))</f>
        <v>0.5354615385</v>
      </c>
      <c r="V59" s="17">
        <f>IF(OR(T59="",$J59=""),"",T59*$J59*($J59/Config!$B$10)^Config!$B$9)</f>
        <v>15.99269231</v>
      </c>
      <c r="W59" s="17">
        <f t="shared" si="1"/>
        <v>8.563471627</v>
      </c>
      <c r="X59" s="4">
        <f>IF($H59="",0,SUMIFS(Map_Stats!$F$2:$F$825,Map_Stats!$A$2:$A$825,$F59&amp;"|"&amp;$H59))</f>
        <v>7</v>
      </c>
      <c r="Y59" s="18">
        <f t="array" ref="Y59">IF($H59="","",IFERROR(1/(1/INDEX(Map_Stats!$K$2:$K$825,MATCH($F59&amp;"|"&amp;$H59,Map_Stats!$A$2:$A$825,0))),$O59))</f>
        <v>0.64</v>
      </c>
      <c r="Z59" s="11">
        <f t="array" ref="Z59">IF(OR($H59="",$P59=""),"",IFERROR(1/(1/INDEX(Map_Stats!$I$2:$I$825,MATCH($F59&amp;"|"&amp;$H59,Map_Stats!$A$2:$A$825,0))),$P59))</f>
        <v>0.604</v>
      </c>
      <c r="AA59" s="18">
        <f>IF(OR($H59="",Y59=""),"",IF($O59="",Y59,(X59*Y59+Config!$B$4*$O59)/(X59+Config!$B$4)))</f>
        <v>0.6525</v>
      </c>
      <c r="AB59" s="11">
        <f>IF(Z59="","",(X59*Z59+Config!$B$4*$P59)/(X59+Config!$B$4))</f>
        <v>0.58775</v>
      </c>
      <c r="AC59" s="17">
        <f>IF(OR(AA59="",$K59=""),"",AA59*$K59*($K59/Config!$B$10)^Config!$B$9)</f>
        <v>13.904775</v>
      </c>
      <c r="AD59" s="17">
        <f t="shared" si="2"/>
        <v>8.172531506</v>
      </c>
      <c r="AE59" s="4">
        <f>IF($I59="",0,SUMIFS(Map_Stats!$F$2:$F$825,Map_Stats!$A$2:$A$825,$F59&amp;"|"&amp;$I59))</f>
        <v>8</v>
      </c>
      <c r="AF59" s="18">
        <f t="array" ref="AF59">IF($I59="","",IFERROR(1/(1/INDEX(Map_Stats!$K$2:$K$825,MATCH($F59&amp;"|"&amp;$I59,Map_Stats!$A$2:$A$825,0))),$O59))</f>
        <v>0.62</v>
      </c>
      <c r="AG59" s="11">
        <f t="array" ref="AG59">IF(OR($I59="",$P59=""),"",IFERROR(1/(1/INDEX(Map_Stats!$I$2:$I$825,MATCH($F59&amp;"|"&amp;$I59,Map_Stats!$A$2:$A$825,0))),$P59))</f>
        <v>0.566</v>
      </c>
      <c r="AH59" s="18">
        <f>IF(OR($I59="",AF59=""),"",IF($O59="",AF59,(AE59*AF59+Config!$B$4*$O59)/(AE59+Config!$B$4)))</f>
        <v>0.6392307692</v>
      </c>
      <c r="AI59" s="11">
        <f>IF(AG59="","",(AE59*AG59+Config!$B$4*$P59)/(AE59+Config!$B$4))</f>
        <v>0.5656153846</v>
      </c>
      <c r="AJ59" s="17">
        <f>IF(OR(AH59="",$L59=""),"",AH59*$L59*($L59/Config!$B$10)^Config!$B$9)</f>
        <v>13.69232308</v>
      </c>
      <c r="AK59" s="17">
        <f t="shared" si="3"/>
        <v>7.744588583</v>
      </c>
      <c r="AL59" s="17">
        <f t="shared" si="4"/>
        <v>29.89746731</v>
      </c>
      <c r="AM59" s="17">
        <f t="shared" si="5"/>
        <v>36.70665957</v>
      </c>
      <c r="AN59" s="17">
        <f t="shared" si="6"/>
        <v>16.73600313</v>
      </c>
      <c r="AO59" s="17">
        <f t="shared" si="7"/>
        <v>20.58738704</v>
      </c>
      <c r="AP59" s="11">
        <f t="shared" si="8"/>
        <v>0.5597799627</v>
      </c>
      <c r="AQ59" s="4" t="str">
        <f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4" t="str">
        <f>IF($C59=Board!$B$2,COUNTIFS($C$2:$C$157,Board!$B$2,$AL$2:$AL$157,"&gt;"&amp;$AL59)+COUNTIFS($C$1:$C58,Board!$B$2,$AL$1:$AL58,$AL59)+1,"")</f>
        <v/>
      </c>
      <c r="AS59" s="4" t="str">
        <f t="array" ref="AS59">IFERROR(IF($D59=INDEX(Matches!$AD$5:$AD$22,MATCH($C59,Matches!$A$5:$A$22,0)),"A",IF($D59=INDEX(Matches!$AE$5:$AE$22,MATCH($C59,Matches!$A$5:$A$22,0)),"B","")),"")</f>
        <v>A</v>
      </c>
      <c r="AT59" s="11">
        <f t="array" ref="AT59">IF($AS59="","",IFERROR(IF($AS59="A",INDEX(Matches!$AI$5:$AI$22,MATCH($C59,Matches!$A$5:$A$22,0)),INDEX(Matches!$AJ$5:$AJ$22,MATCH($C59,Matches!$A$5:$A$22,0))),""))</f>
        <v>0.5498492587</v>
      </c>
      <c r="AU59" s="11">
        <f t="array" ref="AU59">IF($AS59="","",IFERROR(IF(INDEX(Matches!$AP$5:$AP$22,MATCH($C59,Matches!$A$5:$A$22,0))="","",IF($AS59="A",INDEX(Matches!$AP$5:$AP$22,MATCH($C59,Matches!$A$5:$A$22,0)),1-INDEX(Matches!$AP$5:$AP$22,MATCH($C59,Matches!$A$5:$A$22,0)))),""))</f>
        <v>0.4848270453</v>
      </c>
      <c r="AV59" s="18">
        <f>IF(OR($AU59="",$AT59=""),1,((Config!$B$14*$AU59+Config!$B$15*(1-$AU59))/(Config!$B$14*$AT59+Config!$B$15*(1-$AT59)))^Config!$B$13)</f>
        <v>0.9443730113</v>
      </c>
      <c r="AW59" s="11">
        <f t="array" ref="AW59">IF($AS59="","",IFERROR(IF(INDEX(Matches!$AV$5:$AV$22,MATCH($C59,Matches!$A$5:$A$22,0))="","",IF($AS59="A",INDEX(Matches!$AV$5:$AV$22,MATCH($C59,Matches!$A$5:$A$22,0)),1-INDEX(Matches!$AV$5:$AV$22,MATCH($C59,Matches!$A$5:$A$22,0)))),""))</f>
        <v>0.4608078663</v>
      </c>
      <c r="AX59" s="18">
        <f>IF(OR($AW59="",$AT59=""),1,((Config!$B$14*$AW59+Config!$B$15*(1-$AW59))/(Config!$B$14*$AT59+Config!$B$15*(1-$AT59)))^Config!$B$13)</f>
        <v>0.9238244245</v>
      </c>
      <c r="AY59" s="11">
        <f t="array" ref="AY59">IF($AS59="","",IFERROR(IF(INDEX(Matches!$BB$5:$BB$22,MATCH($C59,Matches!$A$5:$A$22,0))="","",IF($AS59="A",INDEX(Matches!$BB$5:$BB$22,MATCH($C59,Matches!$A$5:$A$22,0)),1-INDEX(Matches!$BB$5:$BB$22,MATCH($C59,Matches!$A$5:$A$22,0)))),""))</f>
        <v>0.4621660619</v>
      </c>
      <c r="AZ59" s="18">
        <f>IF(OR($AY59="",$AT59=""),1,((Config!$B$14*$AY59+Config!$B$15*(1-$AY59))/(Config!$B$14*$AT59+Config!$B$15*(1-$AT59)))^Config!$B$13)</f>
        <v>0.9249863709</v>
      </c>
      <c r="BA59" s="17">
        <f t="shared" si="9"/>
        <v>15.10306699</v>
      </c>
      <c r="BB59" s="17">
        <f t="shared" si="10"/>
        <v>12.84557076</v>
      </c>
      <c r="BC59" s="17">
        <f t="shared" si="11"/>
        <v>12.66521223</v>
      </c>
      <c r="BD59" s="17">
        <f t="shared" si="12"/>
        <v>27.94863776</v>
      </c>
      <c r="BE59" s="17">
        <f t="shared" si="13"/>
        <v>34.2470478</v>
      </c>
      <c r="BF59" s="17">
        <f t="shared" si="14"/>
        <v>8.087111488</v>
      </c>
      <c r="BG59" s="17">
        <f t="shared" si="15"/>
        <v>7.549984215</v>
      </c>
      <c r="BH59" s="17">
        <f t="shared" si="16"/>
        <v>7.163638888</v>
      </c>
      <c r="BI59" s="17">
        <f t="shared" si="17"/>
        <v>15.6370957</v>
      </c>
      <c r="BJ59" s="17">
        <f t="shared" si="18"/>
        <v>19.19957332</v>
      </c>
      <c r="BK59" s="18">
        <f t="shared" si="19"/>
        <v>0.9348162327</v>
      </c>
    </row>
    <row r="60" ht="15.75" customHeight="1">
      <c r="A60" s="4" t="s">
        <v>3183</v>
      </c>
      <c r="B60" s="4" t="s">
        <v>86</v>
      </c>
      <c r="C60" s="4" t="s">
        <v>1090</v>
      </c>
      <c r="D60" s="4" t="s">
        <v>1096</v>
      </c>
      <c r="E60" s="4" t="s">
        <v>1421</v>
      </c>
      <c r="F60" s="4" t="s">
        <v>1420</v>
      </c>
      <c r="G60" s="4" t="str">
        <f t="array" ref="G60">IFERROR(IF(INDEX(Matches!$W$5:$W$22,MATCH($C60,Matches!$A$5:$A$22,0))="","",INDEX(Matches!$W$5:$W$22,MATCH($C60,Matches!$A$5:$A$22,0))),"")</f>
        <v>Cache</v>
      </c>
      <c r="H60" s="4" t="str">
        <f t="array" ref="H60">IFERROR(IF(INDEX(Matches!$X$5:$X$22,MATCH($C60,Matches!$A$5:$A$22,0))="","",INDEX(Matches!$X$5:$X$22,MATCH($C60,Matches!$A$5:$A$22,0))),"")</f>
        <v>Inferno</v>
      </c>
      <c r="I60" s="4" t="str">
        <f t="array" ref="I60">IFERROR(IF(INDEX(Matches!$Y$5:$Y$22,MATCH($C60,Matches!$A$5:$A$22,0))="","",INDEX(Matches!$Y$5:$Y$22,MATCH($C60,Matches!$A$5:$A$22,0))),"")</f>
        <v>Ancient</v>
      </c>
      <c r="J60" s="4">
        <f t="array" ref="J60">IFERROR(IF(INDEX(Matches!$Z$5:$Z$22,MATCH($C60,Matches!$A$5:$A$22,0))="","",INDEX(Matches!$Z$5:$Z$22,MATCH($C60,Matches!$A$5:$A$22,0))),"")</f>
        <v>21.5</v>
      </c>
      <c r="K60" s="4">
        <f t="array" ref="K60">IFERROR(IF(INDEX(Matches!$AA$5:$AA$22,MATCH($C60,Matches!$A$5:$A$22,0))="","",INDEX(Matches!$AA$5:$AA$22,MATCH($C60,Matches!$A$5:$A$22,0))),"")</f>
        <v>21.31</v>
      </c>
      <c r="L60" s="4">
        <f t="array" ref="L60">IFERROR(IF(INDEX(Matches!$AB$5:$AB$22,MATCH($C60,Matches!$A$5:$A$22,0))="","",INDEX(Matches!$AB$5:$AB$22,MATCH($C60,Matches!$A$5:$A$22,0))),"")</f>
        <v>21.42</v>
      </c>
      <c r="M60" s="11">
        <f t="array" ref="M60">IFERROR(IF(INDEX(Matches!$AC$5:$AC$22,MATCH($C60,Matches!$A$5:$A$22,0))="","",INDEX(Matches!$AC$5:$AC$22,MATCH($C60,Matches!$A$5:$A$22,0))),"")</f>
        <v>0.4973</v>
      </c>
      <c r="N60" s="4">
        <f t="array" ref="N60">IFERROR(INDEX(Players!$F$2:$F$127,MATCH($F60,Players!$A$2:$A$127,0)),0)</f>
        <v>37</v>
      </c>
      <c r="O60" s="18">
        <f t="array" ref="O60">IFERROR(1/(1/INDEX(Players!$H$2:$H$127,MATCH($F60,Players!$A$2:$A$127,0))),"")</f>
        <v>0.76</v>
      </c>
      <c r="P60" s="11">
        <f t="array" ref="P60">IFERROR(1/(1/INDEX(Players!$I$2:$I$127,MATCH($F60,Players!$A$2:$A$127,0))),"")</f>
        <v>0.536</v>
      </c>
      <c r="Q60" s="4">
        <f>IF($G60="",0,SUMIFS(Map_Stats!$F$2:$F$825,Map_Stats!$A$2:$A$825,$F60&amp;"|"&amp;$G60))</f>
        <v>7</v>
      </c>
      <c r="R60" s="18">
        <f t="array" ref="R60">IF($G60="","",IFERROR(1/(1/INDEX(Map_Stats!$K$2:$K$825,MATCH($F60&amp;"|"&amp;$G60,Map_Stats!$A$2:$A$825,0))),$O60))</f>
        <v>0.87</v>
      </c>
      <c r="S60" s="11">
        <f t="array" ref="S60">IF(OR($G60="",$P60=""),"",IFERROR(1/(1/INDEX(Map_Stats!$I$2:$I$825,MATCH($F60&amp;"|"&amp;$G60,Map_Stats!$A$2:$A$825,0))),$P60))</f>
        <v>0.545</v>
      </c>
      <c r="T60" s="18">
        <f>IF(OR($G60="",R60=""),"",IF($O60="",R60,(Q60*R60+Config!$B$4*$O60)/(Q60+Config!$B$4)))</f>
        <v>0.8241666667</v>
      </c>
      <c r="U60" s="11">
        <f>IF(S60="","",(Q60*S60+Config!$B$4*$P60)/(Q60+Config!$B$4))</f>
        <v>0.54125</v>
      </c>
      <c r="V60" s="17">
        <f>IF(OR(T60="",$J60=""),"",T60*$J60*($J60/Config!$B$10)^Config!$B$9)</f>
        <v>17.71958333</v>
      </c>
      <c r="W60" s="17">
        <f t="shared" si="1"/>
        <v>9.590724479</v>
      </c>
      <c r="X60" s="4">
        <f>IF($H60="",0,SUMIFS(Map_Stats!$F$2:$F$825,Map_Stats!$A$2:$A$825,$F60&amp;"|"&amp;$H60))</f>
        <v>5</v>
      </c>
      <c r="Y60" s="18">
        <f t="array" ref="Y60">IF($H60="","",IFERROR(1/(1/INDEX(Map_Stats!$K$2:$K$825,MATCH($F60&amp;"|"&amp;$H60,Map_Stats!$A$2:$A$825,0))),$O60))</f>
        <v>0.88</v>
      </c>
      <c r="Z60" s="11">
        <f t="array" ref="Z60">IF(OR($H60="",$P60=""),"",IFERROR(1/(1/INDEX(Map_Stats!$I$2:$I$825,MATCH($F60&amp;"|"&amp;$H60,Map_Stats!$A$2:$A$825,0))),$P60))</f>
        <v>0.553</v>
      </c>
      <c r="AA60" s="18">
        <f>IF(OR($H60="",Y60=""),"",IF($O60="",Y60,(X60*Y60+Config!$B$4*$O60)/(X60+Config!$B$4)))</f>
        <v>0.82</v>
      </c>
      <c r="AB60" s="11">
        <f>IF(Z60="","",(X60*Z60+Config!$B$4*$P60)/(X60+Config!$B$4))</f>
        <v>0.5445</v>
      </c>
      <c r="AC60" s="17">
        <f>IF(OR(AA60="",$K60=""),"",AA60*$K60*($K60/Config!$B$10)^Config!$B$9)</f>
        <v>17.4742</v>
      </c>
      <c r="AD60" s="17">
        <f t="shared" si="2"/>
        <v>9.5147019</v>
      </c>
      <c r="AE60" s="4">
        <f>IF($I60="",0,SUMIFS(Map_Stats!$F$2:$F$825,Map_Stats!$A$2:$A$825,$F60&amp;"|"&amp;$I60))</f>
        <v>7</v>
      </c>
      <c r="AF60" s="18">
        <f t="array" ref="AF60">IF($I60="","",IFERROR(1/(1/INDEX(Map_Stats!$K$2:$K$825,MATCH($F60&amp;"|"&amp;$I60,Map_Stats!$A$2:$A$825,0))),$O60))</f>
        <v>0.75</v>
      </c>
      <c r="AG60" s="11">
        <f t="array" ref="AG60">IF(OR($I60="",$P60=""),"",IFERROR(1/(1/INDEX(Map_Stats!$I$2:$I$825,MATCH($F60&amp;"|"&amp;$I60,Map_Stats!$A$2:$A$825,0))),$P60))</f>
        <v>0.509</v>
      </c>
      <c r="AH60" s="18">
        <f>IF(OR($I60="",AF60=""),"",IF($O60="",AF60,(AE60*AF60+Config!$B$4*$O60)/(AE60+Config!$B$4)))</f>
        <v>0.7541666667</v>
      </c>
      <c r="AI60" s="11">
        <f>IF(AG60="","",(AE60*AG60+Config!$B$4*$P60)/(AE60+Config!$B$4))</f>
        <v>0.52025</v>
      </c>
      <c r="AJ60" s="17">
        <f>IF(OR(AH60="",$L60=""),"",AH60*$L60*($L60/Config!$B$10)^Config!$B$9)</f>
        <v>16.15425</v>
      </c>
      <c r="AK60" s="17">
        <f t="shared" si="3"/>
        <v>8.404248563</v>
      </c>
      <c r="AL60" s="17">
        <f t="shared" si="4"/>
        <v>35.19378333</v>
      </c>
      <c r="AM60" s="17">
        <f t="shared" si="5"/>
        <v>43.22729186</v>
      </c>
      <c r="AN60" s="17">
        <f t="shared" si="6"/>
        <v>19.10542638</v>
      </c>
      <c r="AO60" s="17">
        <f t="shared" si="7"/>
        <v>23.28485919</v>
      </c>
      <c r="AP60" s="11">
        <f t="shared" si="8"/>
        <v>0.5428636699</v>
      </c>
      <c r="AQ60" s="4" t="str">
        <f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4" t="str">
        <f>IF($C60=Board!$B$2,COUNTIFS($C$2:$C$157,Board!$B$2,$AL$2:$AL$157,"&gt;"&amp;$AL60)+COUNTIFS($C$1:$C59,Board!$B$2,$AL$1:$AL59,$AL60)+1,"")</f>
        <v/>
      </c>
      <c r="AS60" s="4" t="str">
        <f t="array" ref="AS60">IFERROR(IF($D60=INDEX(Matches!$AD$5:$AD$22,MATCH($C60,Matches!$A$5:$A$22,0)),"A",IF($D60=INDEX(Matches!$AE$5:$AE$22,MATCH($C60,Matches!$A$5:$A$22,0)),"B","")),"")</f>
        <v>B</v>
      </c>
      <c r="AT60" s="11">
        <f t="array" ref="AT60">IF($AS60="","",IFERROR(IF($AS60="A",INDEX(Matches!$AI$5:$AI$22,MATCH($C60,Matches!$A$5:$A$22,0)),INDEX(Matches!$AJ$5:$AJ$22,MATCH($C60,Matches!$A$5:$A$22,0))),""))</f>
        <v>0.562569722</v>
      </c>
      <c r="AU60" s="11">
        <f t="array" ref="AU60">IF($AS60="","",IFERROR(IF(INDEX(Matches!$AP$5:$AP$22,MATCH($C60,Matches!$A$5:$A$22,0))="","",IF($AS60="A",INDEX(Matches!$AP$5:$AP$22,MATCH($C60,Matches!$A$5:$A$22,0)),1-INDEX(Matches!$AP$5:$AP$22,MATCH($C60,Matches!$A$5:$A$22,0)))),""))</f>
        <v>0.5151729547</v>
      </c>
      <c r="AV60" s="18">
        <f>IF(OR($AU60="",$AT60=""),1,((Config!$B$14*$AU60+Config!$B$15*(1-$AU60))/(Config!$B$14*$AT60+Config!$B$15*(1-$AT60)))^Config!$B$13)</f>
        <v>0.9598882264</v>
      </c>
      <c r="AW60" s="11">
        <f t="array" ref="AW60">IF($AS60="","",IFERROR(IF(INDEX(Matches!$AV$5:$AV$22,MATCH($C60,Matches!$A$5:$A$22,0))="","",IF($AS60="A",INDEX(Matches!$AV$5:$AV$22,MATCH($C60,Matches!$A$5:$A$22,0)),1-INDEX(Matches!$AV$5:$AV$22,MATCH($C60,Matches!$A$5:$A$22,0)))),""))</f>
        <v>0.5391921337</v>
      </c>
      <c r="AX60" s="18">
        <f>IF(OR($AW60="",$AT60=""),1,((Config!$B$14*$AW60+Config!$B$15*(1-$AW60))/(Config!$B$14*$AT60+Config!$B$15*(1-$AT60)))^Config!$B$13)</f>
        <v>0.9802156015</v>
      </c>
      <c r="AY60" s="11">
        <f t="array" ref="AY60">IF($AS60="","",IFERROR(IF(INDEX(Matches!$BB$5:$BB$22,MATCH($C60,Matches!$A$5:$A$22,0))="","",IF($AS60="A",INDEX(Matches!$BB$5:$BB$22,MATCH($C60,Matches!$A$5:$A$22,0)),1-INDEX(Matches!$BB$5:$BB$22,MATCH($C60,Matches!$A$5:$A$22,0)))),""))</f>
        <v>0.5378339381</v>
      </c>
      <c r="AZ60" s="18">
        <f>IF(OR($AY60="",$AT60=""),1,((Config!$B$14*$AY60+Config!$B$15*(1-$AY60))/(Config!$B$14*$AT60+Config!$B$15*(1-$AT60)))^Config!$B$13)</f>
        <v>0.9790661638</v>
      </c>
      <c r="BA60" s="17">
        <f t="shared" si="9"/>
        <v>17.00881942</v>
      </c>
      <c r="BB60" s="17">
        <f t="shared" si="10"/>
        <v>17.12848346</v>
      </c>
      <c r="BC60" s="17">
        <f t="shared" si="11"/>
        <v>15.81607958</v>
      </c>
      <c r="BD60" s="17">
        <f t="shared" si="12"/>
        <v>34.13730288</v>
      </c>
      <c r="BE60" s="17">
        <f t="shared" si="13"/>
        <v>42.00263926</v>
      </c>
      <c r="BF60" s="17">
        <f t="shared" si="14"/>
        <v>9.20602351</v>
      </c>
      <c r="BG60" s="17">
        <f t="shared" si="15"/>
        <v>9.326459246</v>
      </c>
      <c r="BH60" s="17">
        <f t="shared" si="16"/>
        <v>8.2283154</v>
      </c>
      <c r="BI60" s="17">
        <f t="shared" si="17"/>
        <v>18.53248276</v>
      </c>
      <c r="BJ60" s="17">
        <f t="shared" si="18"/>
        <v>22.624424</v>
      </c>
      <c r="BK60" s="18">
        <f t="shared" si="19"/>
        <v>0.9699810492</v>
      </c>
    </row>
    <row r="61" ht="15.75" customHeight="1">
      <c r="A61" s="4" t="s">
        <v>3185</v>
      </c>
      <c r="B61" s="4" t="s">
        <v>86</v>
      </c>
      <c r="C61" s="4" t="s">
        <v>1090</v>
      </c>
      <c r="D61" s="4" t="s">
        <v>1096</v>
      </c>
      <c r="E61" s="4" t="s">
        <v>1425</v>
      </c>
      <c r="F61" s="4" t="s">
        <v>1424</v>
      </c>
      <c r="G61" s="4" t="str">
        <f t="array" ref="G61">IFERROR(IF(INDEX(Matches!$W$5:$W$22,MATCH($C61,Matches!$A$5:$A$22,0))="","",INDEX(Matches!$W$5:$W$22,MATCH($C61,Matches!$A$5:$A$22,0))),"")</f>
        <v>Cache</v>
      </c>
      <c r="H61" s="4" t="str">
        <f t="array" ref="H61">IFERROR(IF(INDEX(Matches!$X$5:$X$22,MATCH($C61,Matches!$A$5:$A$22,0))="","",INDEX(Matches!$X$5:$X$22,MATCH($C61,Matches!$A$5:$A$22,0))),"")</f>
        <v>Inferno</v>
      </c>
      <c r="I61" s="4" t="str">
        <f t="array" ref="I61">IFERROR(IF(INDEX(Matches!$Y$5:$Y$22,MATCH($C61,Matches!$A$5:$A$22,0))="","",INDEX(Matches!$Y$5:$Y$22,MATCH($C61,Matches!$A$5:$A$22,0))),"")</f>
        <v>Ancient</v>
      </c>
      <c r="J61" s="4">
        <f t="array" ref="J61">IFERROR(IF(INDEX(Matches!$Z$5:$Z$22,MATCH($C61,Matches!$A$5:$A$22,0))="","",INDEX(Matches!$Z$5:$Z$22,MATCH($C61,Matches!$A$5:$A$22,0))),"")</f>
        <v>21.5</v>
      </c>
      <c r="K61" s="4">
        <f t="array" ref="K61">IFERROR(IF(INDEX(Matches!$AA$5:$AA$22,MATCH($C61,Matches!$A$5:$A$22,0))="","",INDEX(Matches!$AA$5:$AA$22,MATCH($C61,Matches!$A$5:$A$22,0))),"")</f>
        <v>21.31</v>
      </c>
      <c r="L61" s="4">
        <f t="array" ref="L61">IFERROR(IF(INDEX(Matches!$AB$5:$AB$22,MATCH($C61,Matches!$A$5:$A$22,0))="","",INDEX(Matches!$AB$5:$AB$22,MATCH($C61,Matches!$A$5:$A$22,0))),"")</f>
        <v>21.42</v>
      </c>
      <c r="M61" s="11">
        <f t="array" ref="M61">IFERROR(IF(INDEX(Matches!$AC$5:$AC$22,MATCH($C61,Matches!$A$5:$A$22,0))="","",INDEX(Matches!$AC$5:$AC$22,MATCH($C61,Matches!$A$5:$A$22,0))),"")</f>
        <v>0.4973</v>
      </c>
      <c r="N61" s="4">
        <f t="array" ref="N61">IFERROR(INDEX(Players!$F$2:$F$127,MATCH($F61,Players!$A$2:$A$127,0)),0)</f>
        <v>37</v>
      </c>
      <c r="O61" s="18">
        <f t="array" ref="O61">IFERROR(1/(1/INDEX(Players!$H$2:$H$127,MATCH($F61,Players!$A$2:$A$127,0))),"")</f>
        <v>0.7</v>
      </c>
      <c r="P61" s="11">
        <f t="array" ref="P61">IFERROR(1/(1/INDEX(Players!$I$2:$I$127,MATCH($F61,Players!$A$2:$A$127,0))),"")</f>
        <v>0.547</v>
      </c>
      <c r="Q61" s="4">
        <f>IF($G61="",0,SUMIFS(Map_Stats!$F$2:$F$825,Map_Stats!$A$2:$A$825,$F61&amp;"|"&amp;$G61))</f>
        <v>7</v>
      </c>
      <c r="R61" s="18">
        <f t="array" ref="R61">IF($G61="","",IFERROR(1/(1/INDEX(Map_Stats!$K$2:$K$825,MATCH($F61&amp;"|"&amp;$G61,Map_Stats!$A$2:$A$825,0))),$O61))</f>
        <v>0.69</v>
      </c>
      <c r="S61" s="11">
        <f t="array" ref="S61">IF(OR($G61="",$P61=""),"",IFERROR(1/(1/INDEX(Map_Stats!$I$2:$I$825,MATCH($F61&amp;"|"&amp;$G61,Map_Stats!$A$2:$A$825,0))),$P61))</f>
        <v>0.526</v>
      </c>
      <c r="T61" s="18">
        <f>IF(OR($G61="",R61=""),"",IF($O61="",R61,(Q61*R61+Config!$B$4*$O61)/(Q61+Config!$B$4)))</f>
        <v>0.6941666667</v>
      </c>
      <c r="U61" s="11">
        <f>IF(S61="","",(Q61*S61+Config!$B$4*$P61)/(Q61+Config!$B$4))</f>
        <v>0.53475</v>
      </c>
      <c r="V61" s="17">
        <f>IF(OR(T61="",$J61=""),"",T61*$J61*($J61/Config!$B$10)^Config!$B$9)</f>
        <v>14.92458333</v>
      </c>
      <c r="W61" s="17">
        <f t="shared" si="1"/>
        <v>7.980920938</v>
      </c>
      <c r="X61" s="4">
        <f>IF($H61="",0,SUMIFS(Map_Stats!$F$2:$F$825,Map_Stats!$A$2:$A$825,$F61&amp;"|"&amp;$H61))</f>
        <v>5</v>
      </c>
      <c r="Y61" s="18">
        <f t="array" ref="Y61">IF($H61="","",IFERROR(1/(1/INDEX(Map_Stats!$K$2:$K$825,MATCH($F61&amp;"|"&amp;$H61,Map_Stats!$A$2:$A$825,0))),$O61))</f>
        <v>0.69</v>
      </c>
      <c r="Z61" s="11">
        <f t="array" ref="Z61">IF(OR($H61="",$P61=""),"",IFERROR(1/(1/INDEX(Map_Stats!$I$2:$I$825,MATCH($F61&amp;"|"&amp;$H61,Map_Stats!$A$2:$A$825,0))),$P61))</f>
        <v>0.537</v>
      </c>
      <c r="AA61" s="18">
        <f>IF(OR($H61="",Y61=""),"",IF($O61="",Y61,(X61*Y61+Config!$B$4*$O61)/(X61+Config!$B$4)))</f>
        <v>0.695</v>
      </c>
      <c r="AB61" s="11">
        <f>IF(Z61="","",(X61*Z61+Config!$B$4*$P61)/(X61+Config!$B$4))</f>
        <v>0.542</v>
      </c>
      <c r="AC61" s="17">
        <f>IF(OR(AA61="",$K61=""),"",AA61*$K61*($K61/Config!$B$10)^Config!$B$9)</f>
        <v>14.81045</v>
      </c>
      <c r="AD61" s="17">
        <f t="shared" si="2"/>
        <v>8.0272639</v>
      </c>
      <c r="AE61" s="4">
        <f>IF($I61="",0,SUMIFS(Map_Stats!$F$2:$F$825,Map_Stats!$A$2:$A$825,$F61&amp;"|"&amp;$I61))</f>
        <v>7</v>
      </c>
      <c r="AF61" s="18">
        <f t="array" ref="AF61">IF($I61="","",IFERROR(1/(1/INDEX(Map_Stats!$K$2:$K$825,MATCH($F61&amp;"|"&amp;$I61,Map_Stats!$A$2:$A$825,0))),$O61))</f>
        <v>0.66</v>
      </c>
      <c r="AG61" s="11">
        <f t="array" ref="AG61">IF(OR($I61="",$P61=""),"",IFERROR(1/(1/INDEX(Map_Stats!$I$2:$I$825,MATCH($F61&amp;"|"&amp;$I61,Map_Stats!$A$2:$A$825,0))),$P61))</f>
        <v>0.564</v>
      </c>
      <c r="AH61" s="18">
        <f>IF(OR($I61="",AF61=""),"",IF($O61="",AF61,(AE61*AF61+Config!$B$4*$O61)/(AE61+Config!$B$4)))</f>
        <v>0.6766666667</v>
      </c>
      <c r="AI61" s="11">
        <f>IF(AG61="","",(AE61*AG61+Config!$B$4*$P61)/(AE61+Config!$B$4))</f>
        <v>0.5569166667</v>
      </c>
      <c r="AJ61" s="17">
        <f>IF(OR(AH61="",$L61=""),"",AH61*$L61*($L61/Config!$B$10)^Config!$B$9)</f>
        <v>14.4942</v>
      </c>
      <c r="AK61" s="17">
        <f t="shared" si="3"/>
        <v>8.07206155</v>
      </c>
      <c r="AL61" s="17">
        <f t="shared" si="4"/>
        <v>29.73503333</v>
      </c>
      <c r="AM61" s="17">
        <f t="shared" si="5"/>
        <v>36.94299899</v>
      </c>
      <c r="AN61" s="17">
        <f t="shared" si="6"/>
        <v>16.00818484</v>
      </c>
      <c r="AO61" s="17">
        <f t="shared" si="7"/>
        <v>20.02242105</v>
      </c>
      <c r="AP61" s="11">
        <f t="shared" si="8"/>
        <v>0.538361086</v>
      </c>
      <c r="AQ61" s="4" t="str">
        <f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4" t="str">
        <f>IF($C61=Board!$B$2,COUNTIFS($C$2:$C$157,Board!$B$2,$AL$2:$AL$157,"&gt;"&amp;$AL61)+COUNTIFS($C$1:$C60,Board!$B$2,$AL$1:$AL60,$AL61)+1,"")</f>
        <v/>
      </c>
      <c r="AS61" s="4" t="str">
        <f t="array" ref="AS61">IFERROR(IF($D61=INDEX(Matches!$AD$5:$AD$22,MATCH($C61,Matches!$A$5:$A$22,0)),"A",IF($D61=INDEX(Matches!$AE$5:$AE$22,MATCH($C61,Matches!$A$5:$A$22,0)),"B","")),"")</f>
        <v>B</v>
      </c>
      <c r="AT61" s="11">
        <f t="array" ref="AT61">IF($AS61="","",IFERROR(IF($AS61="A",INDEX(Matches!$AI$5:$AI$22,MATCH($C61,Matches!$A$5:$A$22,0)),INDEX(Matches!$AJ$5:$AJ$22,MATCH($C61,Matches!$A$5:$A$22,0))),""))</f>
        <v>0.562569722</v>
      </c>
      <c r="AU61" s="11">
        <f t="array" ref="AU61">IF($AS61="","",IFERROR(IF(INDEX(Matches!$AP$5:$AP$22,MATCH($C61,Matches!$A$5:$A$22,0))="","",IF($AS61="A",INDEX(Matches!$AP$5:$AP$22,MATCH($C61,Matches!$A$5:$A$22,0)),1-INDEX(Matches!$AP$5:$AP$22,MATCH($C61,Matches!$A$5:$A$22,0)))),""))</f>
        <v>0.5151729547</v>
      </c>
      <c r="AV61" s="18">
        <f>IF(OR($AU61="",$AT61=""),1,((Config!$B$14*$AU61+Config!$B$15*(1-$AU61))/(Config!$B$14*$AT61+Config!$B$15*(1-$AT61)))^Config!$B$13)</f>
        <v>0.9598882264</v>
      </c>
      <c r="AW61" s="11">
        <f t="array" ref="AW61">IF($AS61="","",IFERROR(IF(INDEX(Matches!$AV$5:$AV$22,MATCH($C61,Matches!$A$5:$A$22,0))="","",IF($AS61="A",INDEX(Matches!$AV$5:$AV$22,MATCH($C61,Matches!$A$5:$A$22,0)),1-INDEX(Matches!$AV$5:$AV$22,MATCH($C61,Matches!$A$5:$A$22,0)))),""))</f>
        <v>0.5391921337</v>
      </c>
      <c r="AX61" s="18">
        <f>IF(OR($AW61="",$AT61=""),1,((Config!$B$14*$AW61+Config!$B$15*(1-$AW61))/(Config!$B$14*$AT61+Config!$B$15*(1-$AT61)))^Config!$B$13)</f>
        <v>0.9802156015</v>
      </c>
      <c r="AY61" s="11">
        <f t="array" ref="AY61">IF($AS61="","",IFERROR(IF(INDEX(Matches!$BB$5:$BB$22,MATCH($C61,Matches!$A$5:$A$22,0))="","",IF($AS61="A",INDEX(Matches!$BB$5:$BB$22,MATCH($C61,Matches!$A$5:$A$22,0)),1-INDEX(Matches!$BB$5:$BB$22,MATCH($C61,Matches!$A$5:$A$22,0)))),""))</f>
        <v>0.5378339381</v>
      </c>
      <c r="AZ61" s="18">
        <f>IF(OR($AY61="",$AT61=""),1,((Config!$B$14*$AY61+Config!$B$15*(1-$AY61))/(Config!$B$14*$AT61+Config!$B$15*(1-$AT61)))^Config!$B$13)</f>
        <v>0.9790661638</v>
      </c>
      <c r="BA61" s="17">
        <f t="shared" si="9"/>
        <v>14.32593183</v>
      </c>
      <c r="BB61" s="17">
        <f t="shared" si="10"/>
        <v>14.51743416</v>
      </c>
      <c r="BC61" s="17">
        <f t="shared" si="11"/>
        <v>14.19078079</v>
      </c>
      <c r="BD61" s="17">
        <f t="shared" si="12"/>
        <v>28.84336598</v>
      </c>
      <c r="BE61" s="17">
        <f t="shared" si="13"/>
        <v>35.90044127</v>
      </c>
      <c r="BF61" s="17">
        <f t="shared" si="14"/>
        <v>7.660792044</v>
      </c>
      <c r="BG61" s="17">
        <f t="shared" si="15"/>
        <v>7.868449312</v>
      </c>
      <c r="BH61" s="17">
        <f t="shared" si="16"/>
        <v>7.903082336</v>
      </c>
      <c r="BI61" s="17">
        <f t="shared" si="17"/>
        <v>15.52924136</v>
      </c>
      <c r="BJ61" s="17">
        <f t="shared" si="18"/>
        <v>19.4594442</v>
      </c>
      <c r="BK61" s="18">
        <f t="shared" si="19"/>
        <v>0.9700129022</v>
      </c>
    </row>
    <row r="62" ht="15.75" customHeight="1">
      <c r="A62" s="4" t="s">
        <v>3187</v>
      </c>
      <c r="B62" s="4" t="s">
        <v>86</v>
      </c>
      <c r="C62" s="4" t="s">
        <v>1090</v>
      </c>
      <c r="D62" s="4" t="s">
        <v>1096</v>
      </c>
      <c r="E62" s="4" t="s">
        <v>1428</v>
      </c>
      <c r="F62" s="4" t="s">
        <v>1427</v>
      </c>
      <c r="G62" s="4" t="str">
        <f t="array" ref="G62">IFERROR(IF(INDEX(Matches!$W$5:$W$22,MATCH($C62,Matches!$A$5:$A$22,0))="","",INDEX(Matches!$W$5:$W$22,MATCH($C62,Matches!$A$5:$A$22,0))),"")</f>
        <v>Cache</v>
      </c>
      <c r="H62" s="4" t="str">
        <f t="array" ref="H62">IFERROR(IF(INDEX(Matches!$X$5:$X$22,MATCH($C62,Matches!$A$5:$A$22,0))="","",INDEX(Matches!$X$5:$X$22,MATCH($C62,Matches!$A$5:$A$22,0))),"")</f>
        <v>Inferno</v>
      </c>
      <c r="I62" s="4" t="str">
        <f t="array" ref="I62">IFERROR(IF(INDEX(Matches!$Y$5:$Y$22,MATCH($C62,Matches!$A$5:$A$22,0))="","",INDEX(Matches!$Y$5:$Y$22,MATCH($C62,Matches!$A$5:$A$22,0))),"")</f>
        <v>Ancient</v>
      </c>
      <c r="J62" s="4">
        <f t="array" ref="J62">IFERROR(IF(INDEX(Matches!$Z$5:$Z$22,MATCH($C62,Matches!$A$5:$A$22,0))="","",INDEX(Matches!$Z$5:$Z$22,MATCH($C62,Matches!$A$5:$A$22,0))),"")</f>
        <v>21.5</v>
      </c>
      <c r="K62" s="4">
        <f t="array" ref="K62">IFERROR(IF(INDEX(Matches!$AA$5:$AA$22,MATCH($C62,Matches!$A$5:$A$22,0))="","",INDEX(Matches!$AA$5:$AA$22,MATCH($C62,Matches!$A$5:$A$22,0))),"")</f>
        <v>21.31</v>
      </c>
      <c r="L62" s="4">
        <f t="array" ref="L62">IFERROR(IF(INDEX(Matches!$AB$5:$AB$22,MATCH($C62,Matches!$A$5:$A$22,0))="","",INDEX(Matches!$AB$5:$AB$22,MATCH($C62,Matches!$A$5:$A$22,0))),"")</f>
        <v>21.42</v>
      </c>
      <c r="M62" s="11">
        <f t="array" ref="M62">IFERROR(IF(INDEX(Matches!$AC$5:$AC$22,MATCH($C62,Matches!$A$5:$A$22,0))="","",INDEX(Matches!$AC$5:$AC$22,MATCH($C62,Matches!$A$5:$A$22,0))),"")</f>
        <v>0.4973</v>
      </c>
      <c r="N62" s="4">
        <f t="array" ref="N62">IFERROR(INDEX(Players!$F$2:$F$127,MATCH($F62,Players!$A$2:$A$127,0)),0)</f>
        <v>37</v>
      </c>
      <c r="O62" s="18">
        <f t="array" ref="O62">IFERROR(1/(1/INDEX(Players!$H$2:$H$127,MATCH($F62,Players!$A$2:$A$127,0))),"")</f>
        <v>0.66</v>
      </c>
      <c r="P62" s="11">
        <f t="array" ref="P62">IFERROR(1/(1/INDEX(Players!$I$2:$I$127,MATCH($F62,Players!$A$2:$A$127,0))),"")</f>
        <v>0.386</v>
      </c>
      <c r="Q62" s="4">
        <f>IF($G62="",0,SUMIFS(Map_Stats!$F$2:$F$825,Map_Stats!$A$2:$A$825,$F62&amp;"|"&amp;$G62))</f>
        <v>7</v>
      </c>
      <c r="R62" s="18">
        <f t="array" ref="R62">IF($G62="","",IFERROR(1/(1/INDEX(Map_Stats!$K$2:$K$825,MATCH($F62&amp;"|"&amp;$G62,Map_Stats!$A$2:$A$825,0))),$O62))</f>
        <v>0.6</v>
      </c>
      <c r="S62" s="11">
        <f t="array" ref="S62">IF(OR($G62="",$P62=""),"",IFERROR(1/(1/INDEX(Map_Stats!$I$2:$I$825,MATCH($F62&amp;"|"&amp;$G62,Map_Stats!$A$2:$A$825,0))),$P62))</f>
        <v>0.417</v>
      </c>
      <c r="T62" s="18">
        <f>IF(OR($G62="",R62=""),"",IF($O62="",R62,(Q62*R62+Config!$B$4*$O62)/(Q62+Config!$B$4)))</f>
        <v>0.625</v>
      </c>
      <c r="U62" s="11">
        <f>IF(S62="","",(Q62*S62+Config!$B$4*$P62)/(Q62+Config!$B$4))</f>
        <v>0.4040833333</v>
      </c>
      <c r="V62" s="17">
        <f>IF(OR(T62="",$J62=""),"",T62*$J62*($J62/Config!$B$10)^Config!$B$9)</f>
        <v>13.4375</v>
      </c>
      <c r="W62" s="17">
        <f t="shared" si="1"/>
        <v>5.429869792</v>
      </c>
      <c r="X62" s="4">
        <f>IF($H62="",0,SUMIFS(Map_Stats!$F$2:$F$825,Map_Stats!$A$2:$A$825,$F62&amp;"|"&amp;$H62))</f>
        <v>5</v>
      </c>
      <c r="Y62" s="18">
        <f t="array" ref="Y62">IF($H62="","",IFERROR(1/(1/INDEX(Map_Stats!$K$2:$K$825,MATCH($F62&amp;"|"&amp;$H62,Map_Stats!$A$2:$A$825,0))),$O62))</f>
        <v>0.65</v>
      </c>
      <c r="Z62" s="11">
        <f t="array" ref="Z62">IF(OR($H62="",$P62=""),"",IFERROR(1/(1/INDEX(Map_Stats!$I$2:$I$825,MATCH($F62&amp;"|"&amp;$H62,Map_Stats!$A$2:$A$825,0))),$P62))</f>
        <v>0.492</v>
      </c>
      <c r="AA62" s="18">
        <f>IF(OR($H62="",Y62=""),"",IF($O62="",Y62,(X62*Y62+Config!$B$4*$O62)/(X62+Config!$B$4)))</f>
        <v>0.655</v>
      </c>
      <c r="AB62" s="11">
        <f>IF(Z62="","",(X62*Z62+Config!$B$4*$P62)/(X62+Config!$B$4))</f>
        <v>0.439</v>
      </c>
      <c r="AC62" s="17">
        <f>IF(OR(AA62="",$K62=""),"",AA62*$K62*($K62/Config!$B$10)^Config!$B$9)</f>
        <v>13.95805</v>
      </c>
      <c r="AD62" s="17">
        <f t="shared" si="2"/>
        <v>6.12758395</v>
      </c>
      <c r="AE62" s="4">
        <f>IF($I62="",0,SUMIFS(Map_Stats!$F$2:$F$825,Map_Stats!$A$2:$A$825,$F62&amp;"|"&amp;$I62))</f>
        <v>7</v>
      </c>
      <c r="AF62" s="18">
        <f t="array" ref="AF62">IF($I62="","",IFERROR(1/(1/INDEX(Map_Stats!$K$2:$K$825,MATCH($F62&amp;"|"&amp;$I62,Map_Stats!$A$2:$A$825,0))),$O62))</f>
        <v>0.73</v>
      </c>
      <c r="AG62" s="11">
        <f t="array" ref="AG62">IF(OR($I62="",$P62=""),"",IFERROR(1/(1/INDEX(Map_Stats!$I$2:$I$825,MATCH($F62&amp;"|"&amp;$I62,Map_Stats!$A$2:$A$825,0))),$P62))</f>
        <v>0.33</v>
      </c>
      <c r="AH62" s="18">
        <f>IF(OR($I62="",AF62=""),"",IF($O62="",AF62,(AE62*AF62+Config!$B$4*$O62)/(AE62+Config!$B$4)))</f>
        <v>0.7008333333</v>
      </c>
      <c r="AI62" s="11">
        <f>IF(AG62="","",(AE62*AG62+Config!$B$4*$P62)/(AE62+Config!$B$4))</f>
        <v>0.3533333333</v>
      </c>
      <c r="AJ62" s="17">
        <f>IF(OR(AH62="",$L62=""),"",AH62*$L62*($L62/Config!$B$10)^Config!$B$9)</f>
        <v>15.01185</v>
      </c>
      <c r="AK62" s="17">
        <f t="shared" si="3"/>
        <v>5.304187</v>
      </c>
      <c r="AL62" s="17">
        <f t="shared" si="4"/>
        <v>27.39555</v>
      </c>
      <c r="AM62" s="17">
        <f t="shared" si="5"/>
        <v>34.86094301</v>
      </c>
      <c r="AN62" s="17">
        <f t="shared" si="6"/>
        <v>11.55745374</v>
      </c>
      <c r="AO62" s="17">
        <f t="shared" si="7"/>
        <v>14.19522594</v>
      </c>
      <c r="AP62" s="11">
        <f t="shared" si="8"/>
        <v>0.421873397</v>
      </c>
      <c r="AQ62" s="4" t="str">
        <f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4" t="str">
        <f>IF($C62=Board!$B$2,COUNTIFS($C$2:$C$157,Board!$B$2,$AL$2:$AL$157,"&gt;"&amp;$AL62)+COUNTIFS($C$1:$C61,Board!$B$2,$AL$1:$AL61,$AL62)+1,"")</f>
        <v/>
      </c>
      <c r="AS62" s="4" t="str">
        <f t="array" ref="AS62">IFERROR(IF($D62=INDEX(Matches!$AD$5:$AD$22,MATCH($C62,Matches!$A$5:$A$22,0)),"A",IF($D62=INDEX(Matches!$AE$5:$AE$22,MATCH($C62,Matches!$A$5:$A$22,0)),"B","")),"")</f>
        <v>B</v>
      </c>
      <c r="AT62" s="11">
        <f t="array" ref="AT62">IF($AS62="","",IFERROR(IF($AS62="A",INDEX(Matches!$AI$5:$AI$22,MATCH($C62,Matches!$A$5:$A$22,0)),INDEX(Matches!$AJ$5:$AJ$22,MATCH($C62,Matches!$A$5:$A$22,0))),""))</f>
        <v>0.562569722</v>
      </c>
      <c r="AU62" s="11">
        <f t="array" ref="AU62">IF($AS62="","",IFERROR(IF(INDEX(Matches!$AP$5:$AP$22,MATCH($C62,Matches!$A$5:$A$22,0))="","",IF($AS62="A",INDEX(Matches!$AP$5:$AP$22,MATCH($C62,Matches!$A$5:$A$22,0)),1-INDEX(Matches!$AP$5:$AP$22,MATCH($C62,Matches!$A$5:$A$22,0)))),""))</f>
        <v>0.5151729547</v>
      </c>
      <c r="AV62" s="18">
        <f>IF(OR($AU62="",$AT62=""),1,((Config!$B$14*$AU62+Config!$B$15*(1-$AU62))/(Config!$B$14*$AT62+Config!$B$15*(1-$AT62)))^Config!$B$13)</f>
        <v>0.9598882264</v>
      </c>
      <c r="AW62" s="11">
        <f t="array" ref="AW62">IF($AS62="","",IFERROR(IF(INDEX(Matches!$AV$5:$AV$22,MATCH($C62,Matches!$A$5:$A$22,0))="","",IF($AS62="A",INDEX(Matches!$AV$5:$AV$22,MATCH($C62,Matches!$A$5:$A$22,0)),1-INDEX(Matches!$AV$5:$AV$22,MATCH($C62,Matches!$A$5:$A$22,0)))),""))</f>
        <v>0.5391921337</v>
      </c>
      <c r="AX62" s="18">
        <f>IF(OR($AW62="",$AT62=""),1,((Config!$B$14*$AW62+Config!$B$15*(1-$AW62))/(Config!$B$14*$AT62+Config!$B$15*(1-$AT62)))^Config!$B$13)</f>
        <v>0.9802156015</v>
      </c>
      <c r="AY62" s="11">
        <f t="array" ref="AY62">IF($AS62="","",IFERROR(IF(INDEX(Matches!$BB$5:$BB$22,MATCH($C62,Matches!$A$5:$A$22,0))="","",IF($AS62="A",INDEX(Matches!$BB$5:$BB$22,MATCH($C62,Matches!$A$5:$A$22,0)),1-INDEX(Matches!$BB$5:$BB$22,MATCH($C62,Matches!$A$5:$A$22,0)))),""))</f>
        <v>0.5378339381</v>
      </c>
      <c r="AZ62" s="18">
        <f>IF(OR($AY62="",$AT62=""),1,((Config!$B$14*$AY62+Config!$B$15*(1-$AY62))/(Config!$B$14*$AT62+Config!$B$15*(1-$AT62)))^Config!$B$13)</f>
        <v>0.9790661638</v>
      </c>
      <c r="BA62" s="17">
        <f t="shared" si="9"/>
        <v>12.89849804</v>
      </c>
      <c r="BB62" s="17">
        <f t="shared" si="10"/>
        <v>13.68189838</v>
      </c>
      <c r="BC62" s="17">
        <f t="shared" si="11"/>
        <v>14.69759439</v>
      </c>
      <c r="BD62" s="17">
        <f t="shared" si="12"/>
        <v>26.58039642</v>
      </c>
      <c r="BE62" s="17">
        <f t="shared" si="13"/>
        <v>33.88951011</v>
      </c>
      <c r="BF62" s="17">
        <f t="shared" si="14"/>
        <v>5.212068084</v>
      </c>
      <c r="BG62" s="17">
        <f t="shared" si="15"/>
        <v>6.006353388</v>
      </c>
      <c r="BH62" s="17">
        <f t="shared" si="16"/>
        <v>5.193150018</v>
      </c>
      <c r="BI62" s="17">
        <f t="shared" si="17"/>
        <v>11.21842147</v>
      </c>
      <c r="BJ62" s="17">
        <f t="shared" si="18"/>
        <v>13.80097498</v>
      </c>
      <c r="BK62" s="18">
        <f t="shared" si="19"/>
        <v>0.9702450369</v>
      </c>
    </row>
    <row r="63" ht="15.75" customHeight="1">
      <c r="A63" s="4" t="s">
        <v>3188</v>
      </c>
      <c r="B63" s="4" t="s">
        <v>86</v>
      </c>
      <c r="C63" s="4" t="s">
        <v>1090</v>
      </c>
      <c r="D63" s="4" t="s">
        <v>1096</v>
      </c>
      <c r="E63" s="4" t="s">
        <v>1431</v>
      </c>
      <c r="F63" s="4" t="s">
        <v>1430</v>
      </c>
      <c r="G63" s="4" t="str">
        <f t="array" ref="G63">IFERROR(IF(INDEX(Matches!$W$5:$W$22,MATCH($C63,Matches!$A$5:$A$22,0))="","",INDEX(Matches!$W$5:$W$22,MATCH($C63,Matches!$A$5:$A$22,0))),"")</f>
        <v>Cache</v>
      </c>
      <c r="H63" s="4" t="str">
        <f t="array" ref="H63">IFERROR(IF(INDEX(Matches!$X$5:$X$22,MATCH($C63,Matches!$A$5:$A$22,0))="","",INDEX(Matches!$X$5:$X$22,MATCH($C63,Matches!$A$5:$A$22,0))),"")</f>
        <v>Inferno</v>
      </c>
      <c r="I63" s="4" t="str">
        <f t="array" ref="I63">IFERROR(IF(INDEX(Matches!$Y$5:$Y$22,MATCH($C63,Matches!$A$5:$A$22,0))="","",INDEX(Matches!$Y$5:$Y$22,MATCH($C63,Matches!$A$5:$A$22,0))),"")</f>
        <v>Ancient</v>
      </c>
      <c r="J63" s="4">
        <f t="array" ref="J63">IFERROR(IF(INDEX(Matches!$Z$5:$Z$22,MATCH($C63,Matches!$A$5:$A$22,0))="","",INDEX(Matches!$Z$5:$Z$22,MATCH($C63,Matches!$A$5:$A$22,0))),"")</f>
        <v>21.5</v>
      </c>
      <c r="K63" s="4">
        <f t="array" ref="K63">IFERROR(IF(INDEX(Matches!$AA$5:$AA$22,MATCH($C63,Matches!$A$5:$A$22,0))="","",INDEX(Matches!$AA$5:$AA$22,MATCH($C63,Matches!$A$5:$A$22,0))),"")</f>
        <v>21.31</v>
      </c>
      <c r="L63" s="4">
        <f t="array" ref="L63">IFERROR(IF(INDEX(Matches!$AB$5:$AB$22,MATCH($C63,Matches!$A$5:$A$22,0))="","",INDEX(Matches!$AB$5:$AB$22,MATCH($C63,Matches!$A$5:$A$22,0))),"")</f>
        <v>21.42</v>
      </c>
      <c r="M63" s="11">
        <f t="array" ref="M63">IFERROR(IF(INDEX(Matches!$AC$5:$AC$22,MATCH($C63,Matches!$A$5:$A$22,0))="","",INDEX(Matches!$AC$5:$AC$22,MATCH($C63,Matches!$A$5:$A$22,0))),"")</f>
        <v>0.4973</v>
      </c>
      <c r="N63" s="4">
        <f t="array" ref="N63">IFERROR(INDEX(Players!$F$2:$F$127,MATCH($F63,Players!$A$2:$A$127,0)),0)</f>
        <v>37</v>
      </c>
      <c r="O63" s="18">
        <f t="array" ref="O63">IFERROR(1/(1/INDEX(Players!$H$2:$H$127,MATCH($F63,Players!$A$2:$A$127,0))),"")</f>
        <v>0.75</v>
      </c>
      <c r="P63" s="11">
        <f t="array" ref="P63">IFERROR(1/(1/INDEX(Players!$I$2:$I$127,MATCH($F63,Players!$A$2:$A$127,0))),"")</f>
        <v>0.594</v>
      </c>
      <c r="Q63" s="4">
        <f>IF($G63="",0,SUMIFS(Map_Stats!$F$2:$F$825,Map_Stats!$A$2:$A$825,$F63&amp;"|"&amp;$G63))</f>
        <v>7</v>
      </c>
      <c r="R63" s="18">
        <f t="array" ref="R63">IF($G63="","",IFERROR(1/(1/INDEX(Map_Stats!$K$2:$K$825,MATCH($F63&amp;"|"&amp;$G63,Map_Stats!$A$2:$A$825,0))),$O63))</f>
        <v>0.95</v>
      </c>
      <c r="S63" s="11">
        <f t="array" ref="S63">IF(OR($G63="",$P63=""),"",IFERROR(1/(1/INDEX(Map_Stats!$I$2:$I$825,MATCH($F63&amp;"|"&amp;$G63,Map_Stats!$A$2:$A$825,0))),$P63))</f>
        <v>0.612</v>
      </c>
      <c r="T63" s="18">
        <f>IF(OR($G63="",R63=""),"",IF($O63="",R63,(Q63*R63+Config!$B$4*$O63)/(Q63+Config!$B$4)))</f>
        <v>0.8666666667</v>
      </c>
      <c r="U63" s="11">
        <f>IF(S63="","",(Q63*S63+Config!$B$4*$P63)/(Q63+Config!$B$4))</f>
        <v>0.6045</v>
      </c>
      <c r="V63" s="17">
        <f>IF(OR(T63="",$J63=""),"",T63*$J63*($J63/Config!$B$10)^Config!$B$9)</f>
        <v>18.63333333</v>
      </c>
      <c r="W63" s="17">
        <f t="shared" si="1"/>
        <v>11.26385</v>
      </c>
      <c r="X63" s="4">
        <f>IF($H63="",0,SUMIFS(Map_Stats!$F$2:$F$825,Map_Stats!$A$2:$A$825,$F63&amp;"|"&amp;$H63))</f>
        <v>5</v>
      </c>
      <c r="Y63" s="18">
        <f t="array" ref="Y63">IF($H63="","",IFERROR(1/(1/INDEX(Map_Stats!$K$2:$K$825,MATCH($F63&amp;"|"&amp;$H63,Map_Stats!$A$2:$A$825,0))),$O63))</f>
        <v>0.62</v>
      </c>
      <c r="Z63" s="11">
        <f t="array" ref="Z63">IF(OR($H63="",$P63=""),"",IFERROR(1/(1/INDEX(Map_Stats!$I$2:$I$825,MATCH($F63&amp;"|"&amp;$H63,Map_Stats!$A$2:$A$825,0))),$P63))</f>
        <v>0.55</v>
      </c>
      <c r="AA63" s="18">
        <f>IF(OR($H63="",Y63=""),"",IF($O63="",Y63,(X63*Y63+Config!$B$4*$O63)/(X63+Config!$B$4)))</f>
        <v>0.685</v>
      </c>
      <c r="AB63" s="11">
        <f>IF(Z63="","",(X63*Z63+Config!$B$4*$P63)/(X63+Config!$B$4))</f>
        <v>0.572</v>
      </c>
      <c r="AC63" s="17">
        <f>IF(OR(AA63="",$K63=""),"",AA63*$K63*($K63/Config!$B$10)^Config!$B$9)</f>
        <v>14.59735</v>
      </c>
      <c r="AD63" s="17">
        <f t="shared" si="2"/>
        <v>8.3496842</v>
      </c>
      <c r="AE63" s="4">
        <f>IF($I63="",0,SUMIFS(Map_Stats!$F$2:$F$825,Map_Stats!$A$2:$A$825,$F63&amp;"|"&amp;$I63))</f>
        <v>7</v>
      </c>
      <c r="AF63" s="18">
        <f t="array" ref="AF63">IF($I63="","",IFERROR(1/(1/INDEX(Map_Stats!$K$2:$K$825,MATCH($F63&amp;"|"&amp;$I63,Map_Stats!$A$2:$A$825,0))),$O63))</f>
        <v>0.68</v>
      </c>
      <c r="AG63" s="11">
        <f t="array" ref="AG63">IF(OR($I63="",$P63=""),"",IFERROR(1/(1/INDEX(Map_Stats!$I$2:$I$825,MATCH($F63&amp;"|"&amp;$I63,Map_Stats!$A$2:$A$825,0))),$P63))</f>
        <v>0.596</v>
      </c>
      <c r="AH63" s="18">
        <f>IF(OR($I63="",AF63=""),"",IF($O63="",AF63,(AE63*AF63+Config!$B$4*$O63)/(AE63+Config!$B$4)))</f>
        <v>0.7091666667</v>
      </c>
      <c r="AI63" s="11">
        <f>IF(AG63="","",(AE63*AG63+Config!$B$4*$P63)/(AE63+Config!$B$4))</f>
        <v>0.5951666667</v>
      </c>
      <c r="AJ63" s="17">
        <f>IF(OR(AH63="",$L63=""),"",AH63*$L63*($L63/Config!$B$10)^Config!$B$9)</f>
        <v>15.19035</v>
      </c>
      <c r="AK63" s="17">
        <f t="shared" si="3"/>
        <v>9.040789975</v>
      </c>
      <c r="AL63" s="17">
        <f t="shared" si="4"/>
        <v>33.23068333</v>
      </c>
      <c r="AM63" s="17">
        <f t="shared" si="5"/>
        <v>40.78484439</v>
      </c>
      <c r="AN63" s="17">
        <f t="shared" si="6"/>
        <v>19.6135342</v>
      </c>
      <c r="AO63" s="17">
        <f t="shared" si="7"/>
        <v>24.10951905</v>
      </c>
      <c r="AP63" s="11">
        <f t="shared" si="8"/>
        <v>0.5902236196</v>
      </c>
      <c r="AQ63" s="4" t="str">
        <f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4" t="str">
        <f>IF($C63=Board!$B$2,COUNTIFS($C$2:$C$157,Board!$B$2,$AL$2:$AL$157,"&gt;"&amp;$AL63)+COUNTIFS($C$1:$C62,Board!$B$2,$AL$1:$AL62,$AL63)+1,"")</f>
        <v/>
      </c>
      <c r="AS63" s="4" t="str">
        <f t="array" ref="AS63">IFERROR(IF($D63=INDEX(Matches!$AD$5:$AD$22,MATCH($C63,Matches!$A$5:$A$22,0)),"A",IF($D63=INDEX(Matches!$AE$5:$AE$22,MATCH($C63,Matches!$A$5:$A$22,0)),"B","")),"")</f>
        <v>B</v>
      </c>
      <c r="AT63" s="11">
        <f t="array" ref="AT63">IF($AS63="","",IFERROR(IF($AS63="A",INDEX(Matches!$AI$5:$AI$22,MATCH($C63,Matches!$A$5:$A$22,0)),INDEX(Matches!$AJ$5:$AJ$22,MATCH($C63,Matches!$A$5:$A$22,0))),""))</f>
        <v>0.562569722</v>
      </c>
      <c r="AU63" s="11">
        <f t="array" ref="AU63">IF($AS63="","",IFERROR(IF(INDEX(Matches!$AP$5:$AP$22,MATCH($C63,Matches!$A$5:$A$22,0))="","",IF($AS63="A",INDEX(Matches!$AP$5:$AP$22,MATCH($C63,Matches!$A$5:$A$22,0)),1-INDEX(Matches!$AP$5:$AP$22,MATCH($C63,Matches!$A$5:$A$22,0)))),""))</f>
        <v>0.5151729547</v>
      </c>
      <c r="AV63" s="18">
        <f>IF(OR($AU63="",$AT63=""),1,((Config!$B$14*$AU63+Config!$B$15*(1-$AU63))/(Config!$B$14*$AT63+Config!$B$15*(1-$AT63)))^Config!$B$13)</f>
        <v>0.9598882264</v>
      </c>
      <c r="AW63" s="11">
        <f t="array" ref="AW63">IF($AS63="","",IFERROR(IF(INDEX(Matches!$AV$5:$AV$22,MATCH($C63,Matches!$A$5:$A$22,0))="","",IF($AS63="A",INDEX(Matches!$AV$5:$AV$22,MATCH($C63,Matches!$A$5:$A$22,0)),1-INDEX(Matches!$AV$5:$AV$22,MATCH($C63,Matches!$A$5:$A$22,0)))),""))</f>
        <v>0.5391921337</v>
      </c>
      <c r="AX63" s="18">
        <f>IF(OR($AW63="",$AT63=""),1,((Config!$B$14*$AW63+Config!$B$15*(1-$AW63))/(Config!$B$14*$AT63+Config!$B$15*(1-$AT63)))^Config!$B$13)</f>
        <v>0.9802156015</v>
      </c>
      <c r="AY63" s="11">
        <f t="array" ref="AY63">IF($AS63="","",IFERROR(IF(INDEX(Matches!$BB$5:$BB$22,MATCH($C63,Matches!$A$5:$A$22,0))="","",IF($AS63="A",INDEX(Matches!$BB$5:$BB$22,MATCH($C63,Matches!$A$5:$A$22,0)),1-INDEX(Matches!$BB$5:$BB$22,MATCH($C63,Matches!$A$5:$A$22,0)))),""))</f>
        <v>0.5378339381</v>
      </c>
      <c r="AZ63" s="18">
        <f>IF(OR($AY63="",$AT63=""),1,((Config!$B$14*$AY63+Config!$B$15*(1-$AY63))/(Config!$B$14*$AT63+Config!$B$15*(1-$AT63)))^Config!$B$13)</f>
        <v>0.9790661638</v>
      </c>
      <c r="BA63" s="17">
        <f t="shared" si="9"/>
        <v>17.88591729</v>
      </c>
      <c r="BB63" s="17">
        <f t="shared" si="10"/>
        <v>14.30855021</v>
      </c>
      <c r="BC63" s="17">
        <f t="shared" si="11"/>
        <v>14.8723577</v>
      </c>
      <c r="BD63" s="17">
        <f t="shared" si="12"/>
        <v>32.1944675</v>
      </c>
      <c r="BE63" s="17">
        <f t="shared" si="13"/>
        <v>39.59049098</v>
      </c>
      <c r="BF63" s="17">
        <f t="shared" si="14"/>
        <v>10.812037</v>
      </c>
      <c r="BG63" s="17">
        <f t="shared" si="15"/>
        <v>8.184490721</v>
      </c>
      <c r="BH63" s="17">
        <f t="shared" si="16"/>
        <v>8.851531558</v>
      </c>
      <c r="BI63" s="17">
        <f t="shared" si="17"/>
        <v>18.99652772</v>
      </c>
      <c r="BJ63" s="17">
        <f t="shared" si="18"/>
        <v>23.39839436</v>
      </c>
      <c r="BK63" s="18">
        <f t="shared" si="19"/>
        <v>0.9688174984</v>
      </c>
    </row>
    <row r="64" ht="15.75" customHeight="1">
      <c r="A64" s="4" t="s">
        <v>3189</v>
      </c>
      <c r="B64" s="4" t="s">
        <v>86</v>
      </c>
      <c r="C64" s="4" t="s">
        <v>1090</v>
      </c>
      <c r="D64" s="4" t="s">
        <v>1096</v>
      </c>
      <c r="E64" s="4" t="s">
        <v>1434</v>
      </c>
      <c r="F64" s="4" t="s">
        <v>1433</v>
      </c>
      <c r="G64" s="4" t="str">
        <f t="array" ref="G64">IFERROR(IF(INDEX(Matches!$W$5:$W$22,MATCH($C64,Matches!$A$5:$A$22,0))="","",INDEX(Matches!$W$5:$W$22,MATCH($C64,Matches!$A$5:$A$22,0))),"")</f>
        <v>Cache</v>
      </c>
      <c r="H64" s="4" t="str">
        <f t="array" ref="H64">IFERROR(IF(INDEX(Matches!$X$5:$X$22,MATCH($C64,Matches!$A$5:$A$22,0))="","",INDEX(Matches!$X$5:$X$22,MATCH($C64,Matches!$A$5:$A$22,0))),"")</f>
        <v>Inferno</v>
      </c>
      <c r="I64" s="4" t="str">
        <f t="array" ref="I64">IFERROR(IF(INDEX(Matches!$Y$5:$Y$22,MATCH($C64,Matches!$A$5:$A$22,0))="","",INDEX(Matches!$Y$5:$Y$22,MATCH($C64,Matches!$A$5:$A$22,0))),"")</f>
        <v>Ancient</v>
      </c>
      <c r="J64" s="4">
        <f t="array" ref="J64">IFERROR(IF(INDEX(Matches!$Z$5:$Z$22,MATCH($C64,Matches!$A$5:$A$22,0))="","",INDEX(Matches!$Z$5:$Z$22,MATCH($C64,Matches!$A$5:$A$22,0))),"")</f>
        <v>21.5</v>
      </c>
      <c r="K64" s="4">
        <f t="array" ref="K64">IFERROR(IF(INDEX(Matches!$AA$5:$AA$22,MATCH($C64,Matches!$A$5:$A$22,0))="","",INDEX(Matches!$AA$5:$AA$22,MATCH($C64,Matches!$A$5:$A$22,0))),"")</f>
        <v>21.31</v>
      </c>
      <c r="L64" s="4">
        <f t="array" ref="L64">IFERROR(IF(INDEX(Matches!$AB$5:$AB$22,MATCH($C64,Matches!$A$5:$A$22,0))="","",INDEX(Matches!$AB$5:$AB$22,MATCH($C64,Matches!$A$5:$A$22,0))),"")</f>
        <v>21.42</v>
      </c>
      <c r="M64" s="11">
        <f t="array" ref="M64">IFERROR(IF(INDEX(Matches!$AC$5:$AC$22,MATCH($C64,Matches!$A$5:$A$22,0))="","",INDEX(Matches!$AC$5:$AC$22,MATCH($C64,Matches!$A$5:$A$22,0))),"")</f>
        <v>0.4973</v>
      </c>
      <c r="N64" s="4">
        <f t="array" ref="N64">IFERROR(INDEX(Players!$F$2:$F$127,MATCH($F64,Players!$A$2:$A$127,0)),0)</f>
        <v>37</v>
      </c>
      <c r="O64" s="18">
        <f t="array" ref="O64">IFERROR(1/(1/INDEX(Players!$H$2:$H$127,MATCH($F64,Players!$A$2:$A$127,0))),"")</f>
        <v>0.66</v>
      </c>
      <c r="P64" s="11">
        <f t="array" ref="P64">IFERROR(1/(1/INDEX(Players!$I$2:$I$127,MATCH($F64,Players!$A$2:$A$127,0))),"")</f>
        <v>0.59</v>
      </c>
      <c r="Q64" s="4">
        <f>IF($G64="",0,SUMIFS(Map_Stats!$F$2:$F$825,Map_Stats!$A$2:$A$825,$F64&amp;"|"&amp;$G64))</f>
        <v>7</v>
      </c>
      <c r="R64" s="18">
        <f t="array" ref="R64">IF($G64="","",IFERROR(1/(1/INDEX(Map_Stats!$K$2:$K$825,MATCH($F64&amp;"|"&amp;$G64,Map_Stats!$A$2:$A$825,0))),$O64))</f>
        <v>0.7</v>
      </c>
      <c r="S64" s="11">
        <f t="array" ref="S64">IF(OR($G64="",$P64=""),"",IFERROR(1/(1/INDEX(Map_Stats!$I$2:$I$825,MATCH($F64&amp;"|"&amp;$G64,Map_Stats!$A$2:$A$825,0))),$P64))</f>
        <v>0.551</v>
      </c>
      <c r="T64" s="18">
        <f>IF(OR($G64="",R64=""),"",IF($O64="",R64,(Q64*R64+Config!$B$4*$O64)/(Q64+Config!$B$4)))</f>
        <v>0.6833333333</v>
      </c>
      <c r="U64" s="11">
        <f>IF(S64="","",(Q64*S64+Config!$B$4*$P64)/(Q64+Config!$B$4))</f>
        <v>0.56725</v>
      </c>
      <c r="V64" s="17">
        <f>IF(OR(T64="",$J64=""),"",T64*$J64*($J64/Config!$B$10)^Config!$B$9)</f>
        <v>14.69166667</v>
      </c>
      <c r="W64" s="17">
        <f t="shared" si="1"/>
        <v>8.333847917</v>
      </c>
      <c r="X64" s="4">
        <f>IF($H64="",0,SUMIFS(Map_Stats!$F$2:$F$825,Map_Stats!$A$2:$A$825,$F64&amp;"|"&amp;$H64))</f>
        <v>5</v>
      </c>
      <c r="Y64" s="18">
        <f t="array" ref="Y64">IF($H64="","",IFERROR(1/(1/INDEX(Map_Stats!$K$2:$K$825,MATCH($F64&amp;"|"&amp;$H64,Map_Stats!$A$2:$A$825,0))),$O64))</f>
        <v>0.77</v>
      </c>
      <c r="Z64" s="11">
        <f t="array" ref="Z64">IF(OR($H64="",$P64=""),"",IFERROR(1/(1/INDEX(Map_Stats!$I$2:$I$825,MATCH($F64&amp;"|"&amp;$H64,Map_Stats!$A$2:$A$825,0))),$P64))</f>
        <v>0.56</v>
      </c>
      <c r="AA64" s="18">
        <f>IF(OR($H64="",Y64=""),"",IF($O64="",Y64,(X64*Y64+Config!$B$4*$O64)/(X64+Config!$B$4)))</f>
        <v>0.715</v>
      </c>
      <c r="AB64" s="11">
        <f>IF(Z64="","",(X64*Z64+Config!$B$4*$P64)/(X64+Config!$B$4))</f>
        <v>0.575</v>
      </c>
      <c r="AC64" s="17">
        <f>IF(OR(AA64="",$K64=""),"",AA64*$K64*($K64/Config!$B$10)^Config!$B$9)</f>
        <v>15.23665</v>
      </c>
      <c r="AD64" s="17">
        <f t="shared" si="2"/>
        <v>8.76107375</v>
      </c>
      <c r="AE64" s="4">
        <f>IF($I64="",0,SUMIFS(Map_Stats!$F$2:$F$825,Map_Stats!$A$2:$A$825,$F64&amp;"|"&amp;$I64))</f>
        <v>7</v>
      </c>
      <c r="AF64" s="18">
        <f t="array" ref="AF64">IF($I64="","",IFERROR(1/(1/INDEX(Map_Stats!$K$2:$K$825,MATCH($F64&amp;"|"&amp;$I64,Map_Stats!$A$2:$A$825,0))),$O64))</f>
        <v>0.6</v>
      </c>
      <c r="AG64" s="11">
        <f t="array" ref="AG64">IF(OR($I64="",$P64=""),"",IFERROR(1/(1/INDEX(Map_Stats!$I$2:$I$825,MATCH($F64&amp;"|"&amp;$I64,Map_Stats!$A$2:$A$825,0))),$P64))</f>
        <v>0.663</v>
      </c>
      <c r="AH64" s="18">
        <f>IF(OR($I64="",AF64=""),"",IF($O64="",AF64,(AE64*AF64+Config!$B$4*$O64)/(AE64+Config!$B$4)))</f>
        <v>0.625</v>
      </c>
      <c r="AI64" s="11">
        <f>IF(AG64="","",(AE64*AG64+Config!$B$4*$P64)/(AE64+Config!$B$4))</f>
        <v>0.6325833333</v>
      </c>
      <c r="AJ64" s="17">
        <f>IF(OR(AH64="",$L64=""),"",AH64*$L64*($L64/Config!$B$10)^Config!$B$9)</f>
        <v>13.3875</v>
      </c>
      <c r="AK64" s="17">
        <f t="shared" si="3"/>
        <v>8.468709375</v>
      </c>
      <c r="AL64" s="17">
        <f t="shared" si="4"/>
        <v>29.92831667</v>
      </c>
      <c r="AM64" s="17">
        <f t="shared" si="5"/>
        <v>36.58592042</v>
      </c>
      <c r="AN64" s="17">
        <f t="shared" si="6"/>
        <v>17.09492167</v>
      </c>
      <c r="AO64" s="17">
        <f t="shared" si="7"/>
        <v>21.30641084</v>
      </c>
      <c r="AP64" s="11">
        <f t="shared" si="8"/>
        <v>0.5711955623</v>
      </c>
      <c r="AQ64" s="4" t="str">
        <f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4" t="str">
        <f>IF($C64=Board!$B$2,COUNTIFS($C$2:$C$157,Board!$B$2,$AL$2:$AL$157,"&gt;"&amp;$AL64)+COUNTIFS($C$1:$C63,Board!$B$2,$AL$1:$AL63,$AL64)+1,"")</f>
        <v/>
      </c>
      <c r="AS64" s="4" t="str">
        <f t="array" ref="AS64">IFERROR(IF($D64=INDEX(Matches!$AD$5:$AD$22,MATCH($C64,Matches!$A$5:$A$22,0)),"A",IF($D64=INDEX(Matches!$AE$5:$AE$22,MATCH($C64,Matches!$A$5:$A$22,0)),"B","")),"")</f>
        <v>B</v>
      </c>
      <c r="AT64" s="11">
        <f t="array" ref="AT64">IF($AS64="","",IFERROR(IF($AS64="A",INDEX(Matches!$AI$5:$AI$22,MATCH($C64,Matches!$A$5:$A$22,0)),INDEX(Matches!$AJ$5:$AJ$22,MATCH($C64,Matches!$A$5:$A$22,0))),""))</f>
        <v>0.562569722</v>
      </c>
      <c r="AU64" s="11">
        <f t="array" ref="AU64">IF($AS64="","",IFERROR(IF(INDEX(Matches!$AP$5:$AP$22,MATCH($C64,Matches!$A$5:$A$22,0))="","",IF($AS64="A",INDEX(Matches!$AP$5:$AP$22,MATCH($C64,Matches!$A$5:$A$22,0)),1-INDEX(Matches!$AP$5:$AP$22,MATCH($C64,Matches!$A$5:$A$22,0)))),""))</f>
        <v>0.5151729547</v>
      </c>
      <c r="AV64" s="18">
        <f>IF(OR($AU64="",$AT64=""),1,((Config!$B$14*$AU64+Config!$B$15*(1-$AU64))/(Config!$B$14*$AT64+Config!$B$15*(1-$AT64)))^Config!$B$13)</f>
        <v>0.9598882264</v>
      </c>
      <c r="AW64" s="11">
        <f t="array" ref="AW64">IF($AS64="","",IFERROR(IF(INDEX(Matches!$AV$5:$AV$22,MATCH($C64,Matches!$A$5:$A$22,0))="","",IF($AS64="A",INDEX(Matches!$AV$5:$AV$22,MATCH($C64,Matches!$A$5:$A$22,0)),1-INDEX(Matches!$AV$5:$AV$22,MATCH($C64,Matches!$A$5:$A$22,0)))),""))</f>
        <v>0.5391921337</v>
      </c>
      <c r="AX64" s="18">
        <f>IF(OR($AW64="",$AT64=""),1,((Config!$B$14*$AW64+Config!$B$15*(1-$AW64))/(Config!$B$14*$AT64+Config!$B$15*(1-$AT64)))^Config!$B$13)</f>
        <v>0.9802156015</v>
      </c>
      <c r="AY64" s="11">
        <f t="array" ref="AY64">IF($AS64="","",IFERROR(IF(INDEX(Matches!$BB$5:$BB$22,MATCH($C64,Matches!$A$5:$A$22,0))="","",IF($AS64="A",INDEX(Matches!$BB$5:$BB$22,MATCH($C64,Matches!$A$5:$A$22,0)),1-INDEX(Matches!$BB$5:$BB$22,MATCH($C64,Matches!$A$5:$A$22,0)))),""))</f>
        <v>0.5378339381</v>
      </c>
      <c r="AZ64" s="18">
        <f>IF(OR($AY64="",$AT64=""),1,((Config!$B$14*$AY64+Config!$B$15*(1-$AY64))/(Config!$B$14*$AT64+Config!$B$15*(1-$AT64)))^Config!$B$13)</f>
        <v>0.9790661638</v>
      </c>
      <c r="BA64" s="17">
        <f t="shared" si="9"/>
        <v>14.10235786</v>
      </c>
      <c r="BB64" s="17">
        <f t="shared" si="10"/>
        <v>14.93520205</v>
      </c>
      <c r="BC64" s="17">
        <f t="shared" si="11"/>
        <v>13.10724827</v>
      </c>
      <c r="BD64" s="17">
        <f t="shared" si="12"/>
        <v>29.0375599</v>
      </c>
      <c r="BE64" s="17">
        <f t="shared" si="13"/>
        <v>35.55579447</v>
      </c>
      <c r="BF64" s="17">
        <f t="shared" si="14"/>
        <v>7.999562496</v>
      </c>
      <c r="BG64" s="17">
        <f t="shared" si="15"/>
        <v>8.587741176</v>
      </c>
      <c r="BH64" s="17">
        <f t="shared" si="16"/>
        <v>8.2914268</v>
      </c>
      <c r="BI64" s="17">
        <f t="shared" si="17"/>
        <v>16.58730367</v>
      </c>
      <c r="BJ64" s="17">
        <f t="shared" si="18"/>
        <v>20.71063022</v>
      </c>
      <c r="BK64" s="18">
        <f t="shared" si="19"/>
        <v>0.9702369909</v>
      </c>
    </row>
    <row r="65" ht="15.75" customHeight="1">
      <c r="A65" s="4" t="s">
        <v>3190</v>
      </c>
      <c r="B65" s="4" t="s">
        <v>86</v>
      </c>
      <c r="C65" s="4" t="s">
        <v>1755</v>
      </c>
      <c r="D65" s="4" t="s">
        <v>1389</v>
      </c>
      <c r="E65" s="4" t="s">
        <v>1388</v>
      </c>
      <c r="F65" s="4" t="s">
        <v>1387</v>
      </c>
      <c r="G65" s="4" t="str">
        <f t="array" ref="G65">IFERROR(IF(INDEX(Matches!$W$5:$W$22,MATCH($C65,Matches!$A$5:$A$22,0))="","",INDEX(Matches!$W$5:$W$22,MATCH($C65,Matches!$A$5:$A$22,0))),"")</f>
        <v>Nuke</v>
      </c>
      <c r="H65" s="4" t="str">
        <f t="array" ref="H65">IFERROR(IF(INDEX(Matches!$X$5:$X$22,MATCH($C65,Matches!$A$5:$A$22,0))="","",INDEX(Matches!$X$5:$X$22,MATCH($C65,Matches!$A$5:$A$22,0))),"")</f>
        <v>Cache</v>
      </c>
      <c r="I65" s="4" t="str">
        <f t="array" ref="I65">IFERROR(IF(INDEX(Matches!$Y$5:$Y$22,MATCH($C65,Matches!$A$5:$A$22,0))="","",INDEX(Matches!$Y$5:$Y$22,MATCH($C65,Matches!$A$5:$A$22,0))),"")</f>
        <v>Ancient</v>
      </c>
      <c r="J65" s="4">
        <f t="array" ref="J65">IFERROR(IF(INDEX(Matches!$Z$5:$Z$22,MATCH($C65,Matches!$A$5:$A$22,0))="","",INDEX(Matches!$Z$5:$Z$22,MATCH($C65,Matches!$A$5:$A$22,0))),"")</f>
        <v>21.5</v>
      </c>
      <c r="K65" s="4">
        <f t="array" ref="K65">IFERROR(IF(INDEX(Matches!$AA$5:$AA$22,MATCH($C65,Matches!$A$5:$A$22,0))="","",INDEX(Matches!$AA$5:$AA$22,MATCH($C65,Matches!$A$5:$A$22,0))),"")</f>
        <v>21.5</v>
      </c>
      <c r="L65" s="4">
        <f t="array" ref="L65">IFERROR(IF(INDEX(Matches!$AB$5:$AB$22,MATCH($C65,Matches!$A$5:$A$22,0))="","",INDEX(Matches!$AB$5:$AB$22,MATCH($C65,Matches!$A$5:$A$22,0))),"")</f>
        <v>21.5</v>
      </c>
      <c r="M65" s="11">
        <f t="array" ref="M65">IFERROR(IF(INDEX(Matches!$AC$5:$AC$22,MATCH($C65,Matches!$A$5:$A$22,0))="","",INDEX(Matches!$AC$5:$AC$22,MATCH($C65,Matches!$A$5:$A$22,0))),"")</f>
        <v>0</v>
      </c>
      <c r="N65" s="4">
        <f t="array" ref="N65">IFERROR(INDEX(Players!$F$2:$F$127,MATCH($F65,Players!$A$2:$A$127,0)),0)</f>
        <v>31</v>
      </c>
      <c r="O65" s="18">
        <f t="array" ref="O65">IFERROR(1/(1/INDEX(Players!$H$2:$H$127,MATCH($F65,Players!$A$2:$A$127,0))),"")</f>
        <v>0.76</v>
      </c>
      <c r="P65" s="11">
        <f t="array" ref="P65">IFERROR(1/(1/INDEX(Players!$I$2:$I$127,MATCH($F65,Players!$A$2:$A$127,0))),"")</f>
        <v>0.625</v>
      </c>
      <c r="Q65" s="4">
        <f>IF($G65="",0,SUMIFS(Map_Stats!$F$2:$F$825,Map_Stats!$A$2:$A$825,$F65&amp;"|"&amp;$G65))</f>
        <v>4</v>
      </c>
      <c r="R65" s="18">
        <f t="array" ref="R65">IF($G65="","",IFERROR(1/(1/INDEX(Map_Stats!$K$2:$K$825,MATCH($F65&amp;"|"&amp;$G65,Map_Stats!$A$2:$A$825,0))),$O65))</f>
        <v>0.86</v>
      </c>
      <c r="S65" s="11">
        <f t="array" ref="S65">IF(OR($G65="",$P65=""),"",IFERROR(1/(1/INDEX(Map_Stats!$I$2:$I$825,MATCH($F65&amp;"|"&amp;$G65,Map_Stats!$A$2:$A$825,0))),$P65))</f>
        <v>0.581</v>
      </c>
      <c r="T65" s="18">
        <f>IF(OR($G65="",R65=""),"",IF($O65="",R65,(Q65*R65+Config!$B$4*$O65)/(Q65+Config!$B$4)))</f>
        <v>0.8044444444</v>
      </c>
      <c r="U65" s="11">
        <f>IF(S65="","",(Q65*S65+Config!$B$4*$P65)/(Q65+Config!$B$4))</f>
        <v>0.6054444444</v>
      </c>
      <c r="V65" s="17">
        <f>IF(OR(T65="",$J65=""),"",T65*$J65*($J65/Config!$B$10)^Config!$B$9)</f>
        <v>17.29555556</v>
      </c>
      <c r="W65" s="17">
        <f t="shared" si="1"/>
        <v>10.47149802</v>
      </c>
      <c r="X65" s="4">
        <f>IF($H65="",0,SUMIFS(Map_Stats!$F$2:$F$825,Map_Stats!$A$2:$A$825,$F65&amp;"|"&amp;$H65))</f>
        <v>7</v>
      </c>
      <c r="Y65" s="18">
        <f t="array" ref="Y65">IF($H65="","",IFERROR(1/(1/INDEX(Map_Stats!$K$2:$K$825,MATCH($F65&amp;"|"&amp;$H65,Map_Stats!$A$2:$A$825,0))),$O65))</f>
        <v>0.69</v>
      </c>
      <c r="Z65" s="11">
        <f t="array" ref="Z65">IF(OR($H65="",$P65=""),"",IFERROR(1/(1/INDEX(Map_Stats!$I$2:$I$825,MATCH($F65&amp;"|"&amp;$H65,Map_Stats!$A$2:$A$825,0))),$P65))</f>
        <v>0.667</v>
      </c>
      <c r="AA65" s="18">
        <f>IF(OR($H65="",Y65=""),"",IF($O65="",Y65,(X65*Y65+Config!$B$4*$O65)/(X65+Config!$B$4)))</f>
        <v>0.7191666667</v>
      </c>
      <c r="AB65" s="11">
        <f>IF(Z65="","",(X65*Z65+Config!$B$4*$P65)/(X65+Config!$B$4))</f>
        <v>0.6495</v>
      </c>
      <c r="AC65" s="17">
        <f>IF(OR(AA65="",$K65=""),"",AA65*$K65*($K65/Config!$B$10)^Config!$B$9)</f>
        <v>15.46208333</v>
      </c>
      <c r="AD65" s="17">
        <f t="shared" si="2"/>
        <v>10.04262313</v>
      </c>
      <c r="AE65" s="4">
        <f>IF($I65="",0,SUMIFS(Map_Stats!$F$2:$F$825,Map_Stats!$A$2:$A$825,$F65&amp;"|"&amp;$I65))</f>
        <v>9</v>
      </c>
      <c r="AF65" s="18">
        <f t="array" ref="AF65">IF($I65="","",IFERROR(1/(1/INDEX(Map_Stats!$K$2:$K$825,MATCH($F65&amp;"|"&amp;$I65,Map_Stats!$A$2:$A$825,0))),$O65))</f>
        <v>0.83</v>
      </c>
      <c r="AG65" s="11">
        <f t="array" ref="AG65">IF(OR($I65="",$P65=""),"",IFERROR(1/(1/INDEX(Map_Stats!$I$2:$I$825,MATCH($F65&amp;"|"&amp;$I65,Map_Stats!$A$2:$A$825,0))),$P65))</f>
        <v>0.592</v>
      </c>
      <c r="AH65" s="18">
        <f>IF(OR($I65="",AF65=""),"",IF($O65="",AF65,(AE65*AF65+Config!$B$4*$O65)/(AE65+Config!$B$4)))</f>
        <v>0.805</v>
      </c>
      <c r="AI65" s="11">
        <f>IF(AG65="","",(AE65*AG65+Config!$B$4*$P65)/(AE65+Config!$B$4))</f>
        <v>0.6037857143</v>
      </c>
      <c r="AJ65" s="17">
        <f>IF(OR(AH65="",$L65=""),"",AH65*$L65*($L65/Config!$B$10)^Config!$B$9)</f>
        <v>17.3075</v>
      </c>
      <c r="AK65" s="17">
        <f t="shared" si="3"/>
        <v>10.45002125</v>
      </c>
      <c r="AL65" s="17">
        <f t="shared" si="4"/>
        <v>32.75763889</v>
      </c>
      <c r="AM65" s="17">
        <f t="shared" si="5"/>
        <v>32.75763889</v>
      </c>
      <c r="AN65" s="17">
        <f t="shared" si="6"/>
        <v>20.51412115</v>
      </c>
      <c r="AO65" s="17">
        <f t="shared" si="7"/>
        <v>20.51412115</v>
      </c>
      <c r="AP65" s="11">
        <f t="shared" si="8"/>
        <v>0.6262393092</v>
      </c>
      <c r="AQ65" s="4" t="str">
        <f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4" t="str">
        <f>IF($C65=Board!$B$2,COUNTIFS($C$2:$C$157,Board!$B$2,$AL$2:$AL$157,"&gt;"&amp;$AL65)+COUNTIFS($C$1:$C64,Board!$B$2,$AL$1:$AL64,$AL65)+1,"")</f>
        <v/>
      </c>
      <c r="AS65" s="4" t="str">
        <f t="array" ref="AS65">IFERROR(IF($D65=INDEX(Matches!$AD$5:$AD$22,MATCH($C65,Matches!$A$5:$A$22,0)),"A",IF($D65=INDEX(Matches!$AE$5:$AE$22,MATCH($C65,Matches!$A$5:$A$22,0)),"B","")),"")</f>
        <v>A</v>
      </c>
      <c r="AT65" s="11">
        <f t="array" ref="AT65">IF($AS65="","",IFERROR(IF($AS65="A",INDEX(Matches!$AI$5:$AI$22,MATCH($C65,Matches!$A$5:$A$22,0)),INDEX(Matches!$AJ$5:$AJ$22,MATCH($C65,Matches!$A$5:$A$22,0))),""))</f>
        <v>0.5105955134</v>
      </c>
      <c r="AU65" s="11">
        <f t="array" ref="AU65">IF($AS65="","",IFERROR(IF(INDEX(Matches!$AP$5:$AP$22,MATCH($C65,Matches!$A$5:$A$22,0))="","",IF($AS65="A",INDEX(Matches!$AP$5:$AP$22,MATCH($C65,Matches!$A$5:$A$22,0)),1-INDEX(Matches!$AP$5:$AP$22,MATCH($C65,Matches!$A$5:$A$22,0)))),""))</f>
        <v>0.5515861055</v>
      </c>
      <c r="AV65" s="18">
        <f>IF(OR($AU65="",$AT65=""),1,((Config!$B$14*$AU65+Config!$B$15*(1-$AU65))/(Config!$B$14*$AT65+Config!$B$15*(1-$AT65)))^Config!$B$13)</f>
        <v>1.03628632</v>
      </c>
      <c r="AW65" s="11">
        <f t="array" ref="AW65">IF($AS65="","",IFERROR(IF(INDEX(Matches!$AV$5:$AV$22,MATCH($C65,Matches!$A$5:$A$22,0))="","",IF($AS65="A",INDEX(Matches!$AV$5:$AV$22,MATCH($C65,Matches!$A$5:$A$22,0)),1-INDEX(Matches!$AV$5:$AV$22,MATCH($C65,Matches!$A$5:$A$22,0)))),""))</f>
        <v>0.5119525833</v>
      </c>
      <c r="AX65" s="18">
        <f>IF(OR($AW65="",$AT65=""),1,((Config!$B$14*$AW65+Config!$B$15*(1-$AW65))/(Config!$B$14*$AT65+Config!$B$15*(1-$AT65)))^Config!$B$13)</f>
        <v>1.001201326</v>
      </c>
      <c r="AY65" s="11">
        <f t="array" ref="AY65">IF($AS65="","",IFERROR(IF(INDEX(Matches!$BB$5:$BB$22,MATCH($C65,Matches!$A$5:$A$22,0))="","",IF($AS65="A",INDEX(Matches!$BB$5:$BB$22,MATCH($C65,Matches!$A$5:$A$22,0)),1-INDEX(Matches!$BB$5:$BB$22,MATCH($C65,Matches!$A$5:$A$22,0)))),""))</f>
        <v>0.5600447716</v>
      </c>
      <c r="AZ65" s="18">
        <f>IF(OR($AY65="",$AT65=""),1,((Config!$B$14*$AY65+Config!$B$15*(1-$AY65))/(Config!$B$14*$AT65+Config!$B$15*(1-$AT65)))^Config!$B$13)</f>
        <v>1.04377423</v>
      </c>
      <c r="BA65" s="17">
        <f t="shared" si="9"/>
        <v>17.92314762</v>
      </c>
      <c r="BB65" s="17">
        <f t="shared" si="10"/>
        <v>15.48065834</v>
      </c>
      <c r="BC65" s="17">
        <f t="shared" si="11"/>
        <v>18.06512249</v>
      </c>
      <c r="BD65" s="17">
        <f t="shared" si="12"/>
        <v>33.40380596</v>
      </c>
      <c r="BE65" s="17">
        <f t="shared" si="13"/>
        <v>33.40380596</v>
      </c>
      <c r="BF65" s="17">
        <f t="shared" si="14"/>
        <v>10.85147015</v>
      </c>
      <c r="BG65" s="17">
        <f t="shared" si="15"/>
        <v>10.05468759</v>
      </c>
      <c r="BH65" s="17">
        <f t="shared" si="16"/>
        <v>10.90746288</v>
      </c>
      <c r="BI65" s="17">
        <f t="shared" si="17"/>
        <v>20.90615774</v>
      </c>
      <c r="BJ65" s="17">
        <f t="shared" si="18"/>
        <v>20.90615774</v>
      </c>
      <c r="BK65" s="18">
        <f t="shared" si="19"/>
        <v>1.019725691</v>
      </c>
    </row>
    <row r="66" ht="15.75" customHeight="1">
      <c r="A66" s="4" t="s">
        <v>3191</v>
      </c>
      <c r="B66" s="4" t="s">
        <v>86</v>
      </c>
      <c r="C66" s="4" t="s">
        <v>1755</v>
      </c>
      <c r="D66" s="4" t="s">
        <v>1389</v>
      </c>
      <c r="E66" s="4" t="s">
        <v>1393</v>
      </c>
      <c r="F66" s="4" t="s">
        <v>1392</v>
      </c>
      <c r="G66" s="4" t="str">
        <f t="array" ref="G66">IFERROR(IF(INDEX(Matches!$W$5:$W$22,MATCH($C66,Matches!$A$5:$A$22,0))="","",INDEX(Matches!$W$5:$W$22,MATCH($C66,Matches!$A$5:$A$22,0))),"")</f>
        <v>Nuke</v>
      </c>
      <c r="H66" s="4" t="str">
        <f t="array" ref="H66">IFERROR(IF(INDEX(Matches!$X$5:$X$22,MATCH($C66,Matches!$A$5:$A$22,0))="","",INDEX(Matches!$X$5:$X$22,MATCH($C66,Matches!$A$5:$A$22,0))),"")</f>
        <v>Cache</v>
      </c>
      <c r="I66" s="4" t="str">
        <f t="array" ref="I66">IFERROR(IF(INDEX(Matches!$Y$5:$Y$22,MATCH($C66,Matches!$A$5:$A$22,0))="","",INDEX(Matches!$Y$5:$Y$22,MATCH($C66,Matches!$A$5:$A$22,0))),"")</f>
        <v>Ancient</v>
      </c>
      <c r="J66" s="4">
        <f t="array" ref="J66">IFERROR(IF(INDEX(Matches!$Z$5:$Z$22,MATCH($C66,Matches!$A$5:$A$22,0))="","",INDEX(Matches!$Z$5:$Z$22,MATCH($C66,Matches!$A$5:$A$22,0))),"")</f>
        <v>21.5</v>
      </c>
      <c r="K66" s="4">
        <f t="array" ref="K66">IFERROR(IF(INDEX(Matches!$AA$5:$AA$22,MATCH($C66,Matches!$A$5:$A$22,0))="","",INDEX(Matches!$AA$5:$AA$22,MATCH($C66,Matches!$A$5:$A$22,0))),"")</f>
        <v>21.5</v>
      </c>
      <c r="L66" s="4">
        <f t="array" ref="L66">IFERROR(IF(INDEX(Matches!$AB$5:$AB$22,MATCH($C66,Matches!$A$5:$A$22,0))="","",INDEX(Matches!$AB$5:$AB$22,MATCH($C66,Matches!$A$5:$A$22,0))),"")</f>
        <v>21.5</v>
      </c>
      <c r="M66" s="11">
        <f t="array" ref="M66">IFERROR(IF(INDEX(Matches!$AC$5:$AC$22,MATCH($C66,Matches!$A$5:$A$22,0))="","",INDEX(Matches!$AC$5:$AC$22,MATCH($C66,Matches!$A$5:$A$22,0))),"")</f>
        <v>0</v>
      </c>
      <c r="N66" s="4">
        <f t="array" ref="N66">IFERROR(INDEX(Players!$F$2:$F$127,MATCH($F66,Players!$A$2:$A$127,0)),0)</f>
        <v>31</v>
      </c>
      <c r="O66" s="18">
        <f t="array" ref="O66">IFERROR(1/(1/INDEX(Players!$H$2:$H$127,MATCH($F66,Players!$A$2:$A$127,0))),"")</f>
        <v>0.61</v>
      </c>
      <c r="P66" s="11">
        <f t="array" ref="P66">IFERROR(1/(1/INDEX(Players!$I$2:$I$127,MATCH($F66,Players!$A$2:$A$127,0))),"")</f>
        <v>0.353</v>
      </c>
      <c r="Q66" s="4">
        <f>IF($G66="",0,SUMIFS(Map_Stats!$F$2:$F$825,Map_Stats!$A$2:$A$825,$F66&amp;"|"&amp;$G66))</f>
        <v>4</v>
      </c>
      <c r="R66" s="18">
        <f t="array" ref="R66">IF($G66="","",IFERROR(1/(1/INDEX(Map_Stats!$K$2:$K$825,MATCH($F66&amp;"|"&amp;$G66,Map_Stats!$A$2:$A$825,0))),$O66))</f>
        <v>0.59</v>
      </c>
      <c r="S66" s="11">
        <f t="array" ref="S66">IF(OR($G66="",$P66=""),"",IFERROR(1/(1/INDEX(Map_Stats!$I$2:$I$825,MATCH($F66&amp;"|"&amp;$G66,Map_Stats!$A$2:$A$825,0))),$P66))</f>
        <v>0.412</v>
      </c>
      <c r="T66" s="18">
        <f>IF(OR($G66="",R66=""),"",IF($O66="",R66,(Q66*R66+Config!$B$4*$O66)/(Q66+Config!$B$4)))</f>
        <v>0.6011111111</v>
      </c>
      <c r="U66" s="11">
        <f>IF(S66="","",(Q66*S66+Config!$B$4*$P66)/(Q66+Config!$B$4))</f>
        <v>0.3792222222</v>
      </c>
      <c r="V66" s="17">
        <f>IF(OR(T66="",$J66=""),"",T66*$J66*($J66/Config!$B$10)^Config!$B$9)</f>
        <v>12.92388889</v>
      </c>
      <c r="W66" s="17">
        <f t="shared" si="1"/>
        <v>4.901025864</v>
      </c>
      <c r="X66" s="4">
        <f>IF($H66="",0,SUMIFS(Map_Stats!$F$2:$F$825,Map_Stats!$A$2:$A$825,$F66&amp;"|"&amp;$H66))</f>
        <v>7</v>
      </c>
      <c r="Y66" s="18">
        <f t="array" ref="Y66">IF($H66="","",IFERROR(1/(1/INDEX(Map_Stats!$K$2:$K$825,MATCH($F66&amp;"|"&amp;$H66,Map_Stats!$A$2:$A$825,0))),$O66))</f>
        <v>0.62</v>
      </c>
      <c r="Z66" s="11">
        <f t="array" ref="Z66">IF(OR($H66="",$P66=""),"",IFERROR(1/(1/INDEX(Map_Stats!$I$2:$I$825,MATCH($F66&amp;"|"&amp;$H66,Map_Stats!$A$2:$A$825,0))),$P66))</f>
        <v>0.355</v>
      </c>
      <c r="AA66" s="18">
        <f>IF(OR($H66="",Y66=""),"",IF($O66="",Y66,(X66*Y66+Config!$B$4*$O66)/(X66+Config!$B$4)))</f>
        <v>0.6158333333</v>
      </c>
      <c r="AB66" s="11">
        <f>IF(Z66="","",(X66*Z66+Config!$B$4*$P66)/(X66+Config!$B$4))</f>
        <v>0.3541666667</v>
      </c>
      <c r="AC66" s="17">
        <f>IF(OR(AA66="",$K66=""),"",AA66*$K66*($K66/Config!$B$10)^Config!$B$9)</f>
        <v>13.24041667</v>
      </c>
      <c r="AD66" s="17">
        <f t="shared" si="2"/>
        <v>4.689314236</v>
      </c>
      <c r="AE66" s="4">
        <f>IF($I66="",0,SUMIFS(Map_Stats!$F$2:$F$825,Map_Stats!$A$2:$A$825,$F66&amp;"|"&amp;$I66))</f>
        <v>9</v>
      </c>
      <c r="AF66" s="18">
        <f t="array" ref="AF66">IF($I66="","",IFERROR(1/(1/INDEX(Map_Stats!$K$2:$K$825,MATCH($F66&amp;"|"&amp;$I66,Map_Stats!$A$2:$A$825,0))),$O66))</f>
        <v>0.59</v>
      </c>
      <c r="AG66" s="11">
        <f t="array" ref="AG66">IF(OR($I66="",$P66=""),"",IFERROR(1/(1/INDEX(Map_Stats!$I$2:$I$825,MATCH($F66&amp;"|"&amp;$I66,Map_Stats!$A$2:$A$825,0))),$P66))</f>
        <v>0.356</v>
      </c>
      <c r="AH66" s="18">
        <f>IF(OR($I66="",AF66=""),"",IF($O66="",AF66,(AE66*AF66+Config!$B$4*$O66)/(AE66+Config!$B$4)))</f>
        <v>0.5971428571</v>
      </c>
      <c r="AI66" s="11">
        <f>IF(AG66="","",(AE66*AG66+Config!$B$4*$P66)/(AE66+Config!$B$4))</f>
        <v>0.3549285714</v>
      </c>
      <c r="AJ66" s="17">
        <f>IF(OR(AH66="",$L66=""),"",AH66*$L66*($L66/Config!$B$10)^Config!$B$9)</f>
        <v>12.83857143</v>
      </c>
      <c r="AK66" s="17">
        <f t="shared" si="3"/>
        <v>4.556775816</v>
      </c>
      <c r="AL66" s="17">
        <f t="shared" si="4"/>
        <v>26.16430556</v>
      </c>
      <c r="AM66" s="17">
        <f t="shared" si="5"/>
        <v>26.16430556</v>
      </c>
      <c r="AN66" s="17">
        <f t="shared" si="6"/>
        <v>9.5903401</v>
      </c>
      <c r="AO66" s="17">
        <f t="shared" si="7"/>
        <v>9.5903401</v>
      </c>
      <c r="AP66" s="11">
        <f t="shared" si="8"/>
        <v>0.3665428872</v>
      </c>
      <c r="AQ66" s="4" t="str">
        <f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4" t="str">
        <f>IF($C66=Board!$B$2,COUNTIFS($C$2:$C$157,Board!$B$2,$AL$2:$AL$157,"&gt;"&amp;$AL66)+COUNTIFS($C$1:$C65,Board!$B$2,$AL$1:$AL65,$AL66)+1,"")</f>
        <v/>
      </c>
      <c r="AS66" s="4" t="str">
        <f t="array" ref="AS66">IFERROR(IF($D66=INDEX(Matches!$AD$5:$AD$22,MATCH($C66,Matches!$A$5:$A$22,0)),"A",IF($D66=INDEX(Matches!$AE$5:$AE$22,MATCH($C66,Matches!$A$5:$A$22,0)),"B","")),"")</f>
        <v>A</v>
      </c>
      <c r="AT66" s="11">
        <f t="array" ref="AT66">IF($AS66="","",IFERROR(IF($AS66="A",INDEX(Matches!$AI$5:$AI$22,MATCH($C66,Matches!$A$5:$A$22,0)),INDEX(Matches!$AJ$5:$AJ$22,MATCH($C66,Matches!$A$5:$A$22,0))),""))</f>
        <v>0.5105955134</v>
      </c>
      <c r="AU66" s="11">
        <f t="array" ref="AU66">IF($AS66="","",IFERROR(IF(INDEX(Matches!$AP$5:$AP$22,MATCH($C66,Matches!$A$5:$A$22,0))="","",IF($AS66="A",INDEX(Matches!$AP$5:$AP$22,MATCH($C66,Matches!$A$5:$A$22,0)),1-INDEX(Matches!$AP$5:$AP$22,MATCH($C66,Matches!$A$5:$A$22,0)))),""))</f>
        <v>0.5515861055</v>
      </c>
      <c r="AV66" s="18">
        <f>IF(OR($AU66="",$AT66=""),1,((Config!$B$14*$AU66+Config!$B$15*(1-$AU66))/(Config!$B$14*$AT66+Config!$B$15*(1-$AT66)))^Config!$B$13)</f>
        <v>1.03628632</v>
      </c>
      <c r="AW66" s="11">
        <f t="array" ref="AW66">IF($AS66="","",IFERROR(IF(INDEX(Matches!$AV$5:$AV$22,MATCH($C66,Matches!$A$5:$A$22,0))="","",IF($AS66="A",INDEX(Matches!$AV$5:$AV$22,MATCH($C66,Matches!$A$5:$A$22,0)),1-INDEX(Matches!$AV$5:$AV$22,MATCH($C66,Matches!$A$5:$A$22,0)))),""))</f>
        <v>0.5119525833</v>
      </c>
      <c r="AX66" s="18">
        <f>IF(OR($AW66="",$AT66=""),1,((Config!$B$14*$AW66+Config!$B$15*(1-$AW66))/(Config!$B$14*$AT66+Config!$B$15*(1-$AT66)))^Config!$B$13)</f>
        <v>1.001201326</v>
      </c>
      <c r="AY66" s="11">
        <f t="array" ref="AY66">IF($AS66="","",IFERROR(IF(INDEX(Matches!$BB$5:$BB$22,MATCH($C66,Matches!$A$5:$A$22,0))="","",IF($AS66="A",INDEX(Matches!$BB$5:$BB$22,MATCH($C66,Matches!$A$5:$A$22,0)),1-INDEX(Matches!$BB$5:$BB$22,MATCH($C66,Matches!$A$5:$A$22,0)))),""))</f>
        <v>0.5600447716</v>
      </c>
      <c r="AZ66" s="18">
        <f>IF(OR($AY66="",$AT66=""),1,((Config!$B$14*$AY66+Config!$B$15*(1-$AY66))/(Config!$B$14*$AT66+Config!$B$15*(1-$AT66)))^Config!$B$13)</f>
        <v>1.04377423</v>
      </c>
      <c r="BA66" s="17">
        <f t="shared" si="9"/>
        <v>13.39284926</v>
      </c>
      <c r="BB66" s="17">
        <f t="shared" si="10"/>
        <v>13.25632273</v>
      </c>
      <c r="BC66" s="17">
        <f t="shared" si="11"/>
        <v>13.40057001</v>
      </c>
      <c r="BD66" s="17">
        <f t="shared" si="12"/>
        <v>26.64917198</v>
      </c>
      <c r="BE66" s="17">
        <f t="shared" si="13"/>
        <v>26.64917198</v>
      </c>
      <c r="BF66" s="17">
        <f t="shared" si="14"/>
        <v>5.078866057</v>
      </c>
      <c r="BG66" s="17">
        <f t="shared" si="15"/>
        <v>4.694947632</v>
      </c>
      <c r="BH66" s="17">
        <f t="shared" si="16"/>
        <v>4.756245169</v>
      </c>
      <c r="BI66" s="17">
        <f t="shared" si="17"/>
        <v>9.773813689</v>
      </c>
      <c r="BJ66" s="17">
        <f t="shared" si="18"/>
        <v>9.773813689</v>
      </c>
      <c r="BK66" s="18">
        <f t="shared" si="19"/>
        <v>1.018531599</v>
      </c>
    </row>
    <row r="67" ht="15.75" customHeight="1">
      <c r="A67" s="4" t="s">
        <v>3192</v>
      </c>
      <c r="B67" s="4" t="s">
        <v>86</v>
      </c>
      <c r="C67" s="4" t="s">
        <v>1755</v>
      </c>
      <c r="D67" s="4" t="s">
        <v>1389</v>
      </c>
      <c r="E67" s="4" t="s">
        <v>1396</v>
      </c>
      <c r="F67" s="4" t="s">
        <v>1395</v>
      </c>
      <c r="G67" s="4" t="str">
        <f t="array" ref="G67">IFERROR(IF(INDEX(Matches!$W$5:$W$22,MATCH($C67,Matches!$A$5:$A$22,0))="","",INDEX(Matches!$W$5:$W$22,MATCH($C67,Matches!$A$5:$A$22,0))),"")</f>
        <v>Nuke</v>
      </c>
      <c r="H67" s="4" t="str">
        <f t="array" ref="H67">IFERROR(IF(INDEX(Matches!$X$5:$X$22,MATCH($C67,Matches!$A$5:$A$22,0))="","",INDEX(Matches!$X$5:$X$22,MATCH($C67,Matches!$A$5:$A$22,0))),"")</f>
        <v>Cache</v>
      </c>
      <c r="I67" s="4" t="str">
        <f t="array" ref="I67">IFERROR(IF(INDEX(Matches!$Y$5:$Y$22,MATCH($C67,Matches!$A$5:$A$22,0))="","",INDEX(Matches!$Y$5:$Y$22,MATCH($C67,Matches!$A$5:$A$22,0))),"")</f>
        <v>Ancient</v>
      </c>
      <c r="J67" s="4">
        <f t="array" ref="J67">IFERROR(IF(INDEX(Matches!$Z$5:$Z$22,MATCH($C67,Matches!$A$5:$A$22,0))="","",INDEX(Matches!$Z$5:$Z$22,MATCH($C67,Matches!$A$5:$A$22,0))),"")</f>
        <v>21.5</v>
      </c>
      <c r="K67" s="4">
        <f t="array" ref="K67">IFERROR(IF(INDEX(Matches!$AA$5:$AA$22,MATCH($C67,Matches!$A$5:$A$22,0))="","",INDEX(Matches!$AA$5:$AA$22,MATCH($C67,Matches!$A$5:$A$22,0))),"")</f>
        <v>21.5</v>
      </c>
      <c r="L67" s="4">
        <f t="array" ref="L67">IFERROR(IF(INDEX(Matches!$AB$5:$AB$22,MATCH($C67,Matches!$A$5:$A$22,0))="","",INDEX(Matches!$AB$5:$AB$22,MATCH($C67,Matches!$A$5:$A$22,0))),"")</f>
        <v>21.5</v>
      </c>
      <c r="M67" s="11">
        <f t="array" ref="M67">IFERROR(IF(INDEX(Matches!$AC$5:$AC$22,MATCH($C67,Matches!$A$5:$A$22,0))="","",INDEX(Matches!$AC$5:$AC$22,MATCH($C67,Matches!$A$5:$A$22,0))),"")</f>
        <v>0</v>
      </c>
      <c r="N67" s="4">
        <f t="array" ref="N67">IFERROR(INDEX(Players!$F$2:$F$127,MATCH($F67,Players!$A$2:$A$127,0)),0)</f>
        <v>37</v>
      </c>
      <c r="O67" s="18">
        <f t="array" ref="O67">IFERROR(1/(1/INDEX(Players!$H$2:$H$127,MATCH($F67,Players!$A$2:$A$127,0))),"")</f>
        <v>0.69</v>
      </c>
      <c r="P67" s="11">
        <f t="array" ref="P67">IFERROR(1/(1/INDEX(Players!$I$2:$I$127,MATCH($F67,Players!$A$2:$A$127,0))),"")</f>
        <v>0.523</v>
      </c>
      <c r="Q67" s="4">
        <f>IF($G67="",0,SUMIFS(Map_Stats!$F$2:$F$825,Map_Stats!$A$2:$A$825,$F67&amp;"|"&amp;$G67))</f>
        <v>5</v>
      </c>
      <c r="R67" s="18">
        <f t="array" ref="R67">IF($G67="","",IFERROR(1/(1/INDEX(Map_Stats!$K$2:$K$825,MATCH($F67&amp;"|"&amp;$G67,Map_Stats!$A$2:$A$825,0))),$O67))</f>
        <v>0.66</v>
      </c>
      <c r="S67" s="11">
        <f t="array" ref="S67">IF(OR($G67="",$P67=""),"",IFERROR(1/(1/INDEX(Map_Stats!$I$2:$I$825,MATCH($F67&amp;"|"&amp;$G67,Map_Stats!$A$2:$A$825,0))),$P67))</f>
        <v>0.529</v>
      </c>
      <c r="T67" s="18">
        <f>IF(OR($G67="",R67=""),"",IF($O67="",R67,(Q67*R67+Config!$B$4*$O67)/(Q67+Config!$B$4)))</f>
        <v>0.675</v>
      </c>
      <c r="U67" s="11">
        <f>IF(S67="","",(Q67*S67+Config!$B$4*$P67)/(Q67+Config!$B$4))</f>
        <v>0.526</v>
      </c>
      <c r="V67" s="17">
        <f>IF(OR(T67="",$J67=""),"",T67*$J67*($J67/Config!$B$10)^Config!$B$9)</f>
        <v>14.5125</v>
      </c>
      <c r="W67" s="17">
        <f t="shared" si="1"/>
        <v>7.633575</v>
      </c>
      <c r="X67" s="4">
        <f>IF($H67="",0,SUMIFS(Map_Stats!$F$2:$F$825,Map_Stats!$A$2:$A$825,$F67&amp;"|"&amp;$H67))</f>
        <v>8</v>
      </c>
      <c r="Y67" s="18">
        <f t="array" ref="Y67">IF($H67="","",IFERROR(1/(1/INDEX(Map_Stats!$K$2:$K$825,MATCH($F67&amp;"|"&amp;$H67,Map_Stats!$A$2:$A$825,0))),$O67))</f>
        <v>0.71</v>
      </c>
      <c r="Z67" s="11">
        <f t="array" ref="Z67">IF(OR($H67="",$P67=""),"",IFERROR(1/(1/INDEX(Map_Stats!$I$2:$I$825,MATCH($F67&amp;"|"&amp;$H67,Map_Stats!$A$2:$A$825,0))),$P67))</f>
        <v>0.522</v>
      </c>
      <c r="AA67" s="18">
        <f>IF(OR($H67="",Y67=""),"",IF($O67="",Y67,(X67*Y67+Config!$B$4*$O67)/(X67+Config!$B$4)))</f>
        <v>0.7023076923</v>
      </c>
      <c r="AB67" s="11">
        <f>IF(Z67="","",(X67*Z67+Config!$B$4*$P67)/(X67+Config!$B$4))</f>
        <v>0.5223846154</v>
      </c>
      <c r="AC67" s="17">
        <f>IF(OR(AA67="",$K67=""),"",AA67*$K67*($K67/Config!$B$10)^Config!$B$9)</f>
        <v>15.09961538</v>
      </c>
      <c r="AD67" s="17">
        <f t="shared" si="2"/>
        <v>7.887806775</v>
      </c>
      <c r="AE67" s="4">
        <f>IF($I67="",0,SUMIFS(Map_Stats!$F$2:$F$825,Map_Stats!$A$2:$A$825,$F67&amp;"|"&amp;$I67))</f>
        <v>11</v>
      </c>
      <c r="AF67" s="18">
        <f t="array" ref="AF67">IF($I67="","",IFERROR(1/(1/INDEX(Map_Stats!$K$2:$K$825,MATCH($F67&amp;"|"&amp;$I67,Map_Stats!$A$2:$A$825,0))),$O67))</f>
        <v>0.7</v>
      </c>
      <c r="AG67" s="11">
        <f t="array" ref="AG67">IF(OR($I67="",$P67=""),"",IFERROR(1/(1/INDEX(Map_Stats!$I$2:$I$825,MATCH($F67&amp;"|"&amp;$I67,Map_Stats!$A$2:$A$825,0))),$P67))</f>
        <v>0.535</v>
      </c>
      <c r="AH67" s="18">
        <f>IF(OR($I67="",AF67=""),"",IF($O67="",AF67,(AE67*AF67+Config!$B$4*$O67)/(AE67+Config!$B$4)))</f>
        <v>0.696875</v>
      </c>
      <c r="AI67" s="11">
        <f>IF(AG67="","",(AE67*AG67+Config!$B$4*$P67)/(AE67+Config!$B$4))</f>
        <v>0.53125</v>
      </c>
      <c r="AJ67" s="17">
        <f>IF(OR(AH67="",$L67=""),"",AH67*$L67*($L67/Config!$B$10)^Config!$B$9)</f>
        <v>14.9828125</v>
      </c>
      <c r="AK67" s="17">
        <f t="shared" si="3"/>
        <v>7.959619141</v>
      </c>
      <c r="AL67" s="17">
        <f t="shared" si="4"/>
        <v>29.61211538</v>
      </c>
      <c r="AM67" s="17">
        <f t="shared" si="5"/>
        <v>29.61211538</v>
      </c>
      <c r="AN67" s="17">
        <f t="shared" si="6"/>
        <v>15.52138178</v>
      </c>
      <c r="AO67" s="17">
        <f t="shared" si="7"/>
        <v>15.52138178</v>
      </c>
      <c r="AP67" s="11">
        <f t="shared" si="8"/>
        <v>0.5241564668</v>
      </c>
      <c r="AQ67" s="4" t="str">
        <f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4" t="str">
        <f>IF($C67=Board!$B$2,COUNTIFS($C$2:$C$157,Board!$B$2,$AL$2:$AL$157,"&gt;"&amp;$AL67)+COUNTIFS($C$1:$C66,Board!$B$2,$AL$1:$AL66,$AL67)+1,"")</f>
        <v/>
      </c>
      <c r="AS67" s="4" t="str">
        <f t="array" ref="AS67">IFERROR(IF($D67=INDEX(Matches!$AD$5:$AD$22,MATCH($C67,Matches!$A$5:$A$22,0)),"A",IF($D67=INDEX(Matches!$AE$5:$AE$22,MATCH($C67,Matches!$A$5:$A$22,0)),"B","")),"")</f>
        <v>A</v>
      </c>
      <c r="AT67" s="11">
        <f t="array" ref="AT67">IF($AS67="","",IFERROR(IF($AS67="A",INDEX(Matches!$AI$5:$AI$22,MATCH($C67,Matches!$A$5:$A$22,0)),INDEX(Matches!$AJ$5:$AJ$22,MATCH($C67,Matches!$A$5:$A$22,0))),""))</f>
        <v>0.5105955134</v>
      </c>
      <c r="AU67" s="11">
        <f t="array" ref="AU67">IF($AS67="","",IFERROR(IF(INDEX(Matches!$AP$5:$AP$22,MATCH($C67,Matches!$A$5:$A$22,0))="","",IF($AS67="A",INDEX(Matches!$AP$5:$AP$22,MATCH($C67,Matches!$A$5:$A$22,0)),1-INDEX(Matches!$AP$5:$AP$22,MATCH($C67,Matches!$A$5:$A$22,0)))),""))</f>
        <v>0.5515861055</v>
      </c>
      <c r="AV67" s="18">
        <f>IF(OR($AU67="",$AT67=""),1,((Config!$B$14*$AU67+Config!$B$15*(1-$AU67))/(Config!$B$14*$AT67+Config!$B$15*(1-$AT67)))^Config!$B$13)</f>
        <v>1.03628632</v>
      </c>
      <c r="AW67" s="11">
        <f t="array" ref="AW67">IF($AS67="","",IFERROR(IF(INDEX(Matches!$AV$5:$AV$22,MATCH($C67,Matches!$A$5:$A$22,0))="","",IF($AS67="A",INDEX(Matches!$AV$5:$AV$22,MATCH($C67,Matches!$A$5:$A$22,0)),1-INDEX(Matches!$AV$5:$AV$22,MATCH($C67,Matches!$A$5:$A$22,0)))),""))</f>
        <v>0.5119525833</v>
      </c>
      <c r="AX67" s="18">
        <f>IF(OR($AW67="",$AT67=""),1,((Config!$B$14*$AW67+Config!$B$15*(1-$AW67))/(Config!$B$14*$AT67+Config!$B$15*(1-$AT67)))^Config!$B$13)</f>
        <v>1.001201326</v>
      </c>
      <c r="AY67" s="11">
        <f t="array" ref="AY67">IF($AS67="","",IFERROR(IF(INDEX(Matches!$BB$5:$BB$22,MATCH($C67,Matches!$A$5:$A$22,0))="","",IF($AS67="A",INDEX(Matches!$BB$5:$BB$22,MATCH($C67,Matches!$A$5:$A$22,0)),1-INDEX(Matches!$BB$5:$BB$22,MATCH($C67,Matches!$A$5:$A$22,0)))),""))</f>
        <v>0.5600447716</v>
      </c>
      <c r="AZ67" s="18">
        <f>IF(OR($AY67="",$AT67=""),1,((Config!$B$14*$AY67+Config!$B$15*(1-$AY67))/(Config!$B$14*$AT67+Config!$B$15*(1-$AT67)))^Config!$B$13)</f>
        <v>1.04377423</v>
      </c>
      <c r="BA67" s="17">
        <f t="shared" si="9"/>
        <v>15.03910522</v>
      </c>
      <c r="BB67" s="17">
        <f t="shared" si="10"/>
        <v>15.11775495</v>
      </c>
      <c r="BC67" s="17">
        <f t="shared" si="11"/>
        <v>15.63867358</v>
      </c>
      <c r="BD67" s="17">
        <f t="shared" si="12"/>
        <v>30.15686017</v>
      </c>
      <c r="BE67" s="17">
        <f t="shared" si="13"/>
        <v>30.15686017</v>
      </c>
      <c r="BF67" s="17">
        <f t="shared" si="14"/>
        <v>7.910569344</v>
      </c>
      <c r="BG67" s="17">
        <f t="shared" si="15"/>
        <v>7.897282604</v>
      </c>
      <c r="BH67" s="17">
        <f t="shared" si="16"/>
        <v>8.308045339</v>
      </c>
      <c r="BI67" s="17">
        <f t="shared" si="17"/>
        <v>15.80785195</v>
      </c>
      <c r="BJ67" s="17">
        <f t="shared" si="18"/>
        <v>15.80785195</v>
      </c>
      <c r="BK67" s="18">
        <f t="shared" si="19"/>
        <v>1.01839601</v>
      </c>
    </row>
    <row r="68" ht="15.75" customHeight="1">
      <c r="A68" s="4" t="s">
        <v>3193</v>
      </c>
      <c r="B68" s="4" t="s">
        <v>86</v>
      </c>
      <c r="C68" s="4" t="s">
        <v>1755</v>
      </c>
      <c r="D68" s="4" t="s">
        <v>1389</v>
      </c>
      <c r="E68" s="4" t="s">
        <v>1399</v>
      </c>
      <c r="F68" s="4" t="s">
        <v>1398</v>
      </c>
      <c r="G68" s="4" t="str">
        <f t="array" ref="G68">IFERROR(IF(INDEX(Matches!$W$5:$W$22,MATCH($C68,Matches!$A$5:$A$22,0))="","",INDEX(Matches!$W$5:$W$22,MATCH($C68,Matches!$A$5:$A$22,0))),"")</f>
        <v>Nuke</v>
      </c>
      <c r="H68" s="4" t="str">
        <f t="array" ref="H68">IFERROR(IF(INDEX(Matches!$X$5:$X$22,MATCH($C68,Matches!$A$5:$A$22,0))="","",INDEX(Matches!$X$5:$X$22,MATCH($C68,Matches!$A$5:$A$22,0))),"")</f>
        <v>Cache</v>
      </c>
      <c r="I68" s="4" t="str">
        <f t="array" ref="I68">IFERROR(IF(INDEX(Matches!$Y$5:$Y$22,MATCH($C68,Matches!$A$5:$A$22,0))="","",INDEX(Matches!$Y$5:$Y$22,MATCH($C68,Matches!$A$5:$A$22,0))),"")</f>
        <v>Ancient</v>
      </c>
      <c r="J68" s="4">
        <f t="array" ref="J68">IFERROR(IF(INDEX(Matches!$Z$5:$Z$22,MATCH($C68,Matches!$A$5:$A$22,0))="","",INDEX(Matches!$Z$5:$Z$22,MATCH($C68,Matches!$A$5:$A$22,0))),"")</f>
        <v>21.5</v>
      </c>
      <c r="K68" s="4">
        <f t="array" ref="K68">IFERROR(IF(INDEX(Matches!$AA$5:$AA$22,MATCH($C68,Matches!$A$5:$A$22,0))="","",INDEX(Matches!$AA$5:$AA$22,MATCH($C68,Matches!$A$5:$A$22,0))),"")</f>
        <v>21.5</v>
      </c>
      <c r="L68" s="4">
        <f t="array" ref="L68">IFERROR(IF(INDEX(Matches!$AB$5:$AB$22,MATCH($C68,Matches!$A$5:$A$22,0))="","",INDEX(Matches!$AB$5:$AB$22,MATCH($C68,Matches!$A$5:$A$22,0))),"")</f>
        <v>21.5</v>
      </c>
      <c r="M68" s="11">
        <f t="array" ref="M68">IFERROR(IF(INDEX(Matches!$AC$5:$AC$22,MATCH($C68,Matches!$A$5:$A$22,0))="","",INDEX(Matches!$AC$5:$AC$22,MATCH($C68,Matches!$A$5:$A$22,0))),"")</f>
        <v>0</v>
      </c>
      <c r="N68" s="4">
        <f t="array" ref="N68">IFERROR(INDEX(Players!$F$2:$F$127,MATCH($F68,Players!$A$2:$A$127,0)),0)</f>
        <v>32</v>
      </c>
      <c r="O68" s="18">
        <f t="array" ref="O68">IFERROR(1/(1/INDEX(Players!$H$2:$H$127,MATCH($F68,Players!$A$2:$A$127,0))),"")</f>
        <v>0.61</v>
      </c>
      <c r="P68" s="11">
        <f t="array" ref="P68">IFERROR(1/(1/INDEX(Players!$I$2:$I$127,MATCH($F68,Players!$A$2:$A$127,0))),"")</f>
        <v>0.466</v>
      </c>
      <c r="Q68" s="4">
        <f>IF($G68="",0,SUMIFS(Map_Stats!$F$2:$F$825,Map_Stats!$A$2:$A$825,$F68&amp;"|"&amp;$G68))</f>
        <v>6</v>
      </c>
      <c r="R68" s="18">
        <f t="array" ref="R68">IF($G68="","",IFERROR(1/(1/INDEX(Map_Stats!$K$2:$K$825,MATCH($F68&amp;"|"&amp;$G68,Map_Stats!$A$2:$A$825,0))),$O68))</f>
        <v>0.59</v>
      </c>
      <c r="S68" s="11">
        <f t="array" ref="S68">IF(OR($G68="",$P68=""),"",IFERROR(1/(1/INDEX(Map_Stats!$I$2:$I$825,MATCH($F68&amp;"|"&amp;$G68,Map_Stats!$A$2:$A$825,0))),$P68))</f>
        <v>0.467</v>
      </c>
      <c r="T68" s="18">
        <f>IF(OR($G68="",R68=""),"",IF($O68="",R68,(Q68*R68+Config!$B$4*$O68)/(Q68+Config!$B$4)))</f>
        <v>0.5990909091</v>
      </c>
      <c r="U68" s="11">
        <f>IF(S68="","",(Q68*S68+Config!$B$4*$P68)/(Q68+Config!$B$4))</f>
        <v>0.4665454545</v>
      </c>
      <c r="V68" s="17">
        <f>IF(OR(T68="",$J68=""),"",T68*$J68*($J68/Config!$B$10)^Config!$B$9)</f>
        <v>12.88045455</v>
      </c>
      <c r="W68" s="17">
        <f t="shared" si="1"/>
        <v>6.009317521</v>
      </c>
      <c r="X68" s="4">
        <f>IF($H68="",0,SUMIFS(Map_Stats!$F$2:$F$825,Map_Stats!$A$2:$A$825,$F68&amp;"|"&amp;$H68))</f>
        <v>7</v>
      </c>
      <c r="Y68" s="18">
        <f t="array" ref="Y68">IF($H68="","",IFERROR(1/(1/INDEX(Map_Stats!$K$2:$K$825,MATCH($F68&amp;"|"&amp;$H68,Map_Stats!$A$2:$A$825,0))),$O68))</f>
        <v>0.65</v>
      </c>
      <c r="Z68" s="11">
        <f t="array" ref="Z68">IF(OR($H68="",$P68=""),"",IFERROR(1/(1/INDEX(Map_Stats!$I$2:$I$825,MATCH($F68&amp;"|"&amp;$H68,Map_Stats!$A$2:$A$825,0))),$P68))</f>
        <v>0.389</v>
      </c>
      <c r="AA68" s="18">
        <f>IF(OR($H68="",Y68=""),"",IF($O68="",Y68,(X68*Y68+Config!$B$4*$O68)/(X68+Config!$B$4)))</f>
        <v>0.6333333333</v>
      </c>
      <c r="AB68" s="11">
        <f>IF(Z68="","",(X68*Z68+Config!$B$4*$P68)/(X68+Config!$B$4))</f>
        <v>0.4210833333</v>
      </c>
      <c r="AC68" s="17">
        <f>IF(OR(AA68="",$K68=""),"",AA68*$K68*($K68/Config!$B$10)^Config!$B$9)</f>
        <v>13.61666667</v>
      </c>
      <c r="AD68" s="17">
        <f t="shared" si="2"/>
        <v>5.733751389</v>
      </c>
      <c r="AE68" s="4">
        <f>IF($I68="",0,SUMIFS(Map_Stats!$F$2:$F$825,Map_Stats!$A$2:$A$825,$F68&amp;"|"&amp;$I68))</f>
        <v>9</v>
      </c>
      <c r="AF68" s="18">
        <f t="array" ref="AF68">IF($I68="","",IFERROR(1/(1/INDEX(Map_Stats!$K$2:$K$825,MATCH($F68&amp;"|"&amp;$I68,Map_Stats!$A$2:$A$825,0))),$O68))</f>
        <v>0.63</v>
      </c>
      <c r="AG68" s="11">
        <f t="array" ref="AG68">IF(OR($I68="",$P68=""),"",IFERROR(1/(1/INDEX(Map_Stats!$I$2:$I$825,MATCH($F68&amp;"|"&amp;$I68,Map_Stats!$A$2:$A$825,0))),$P68))</f>
        <v>0.458</v>
      </c>
      <c r="AH68" s="18">
        <f>IF(OR($I68="",AF68=""),"",IF($O68="",AF68,(AE68*AF68+Config!$B$4*$O68)/(AE68+Config!$B$4)))</f>
        <v>0.6228571429</v>
      </c>
      <c r="AI68" s="11">
        <f>IF(AG68="","",(AE68*AG68+Config!$B$4*$P68)/(AE68+Config!$B$4))</f>
        <v>0.4608571429</v>
      </c>
      <c r="AJ68" s="17">
        <f>IF(OR(AH68="",$L68=""),"",AH68*$L68*($L68/Config!$B$10)^Config!$B$9)</f>
        <v>13.39142857</v>
      </c>
      <c r="AK68" s="17">
        <f t="shared" si="3"/>
        <v>6.17153551</v>
      </c>
      <c r="AL68" s="17">
        <f t="shared" si="4"/>
        <v>26.49712121</v>
      </c>
      <c r="AM68" s="17">
        <f t="shared" si="5"/>
        <v>26.49712121</v>
      </c>
      <c r="AN68" s="17">
        <f t="shared" si="6"/>
        <v>11.74306891</v>
      </c>
      <c r="AO68" s="17">
        <f t="shared" si="7"/>
        <v>11.74306891</v>
      </c>
      <c r="AP68" s="11">
        <f t="shared" si="8"/>
        <v>0.4431828203</v>
      </c>
      <c r="AQ68" s="4" t="str">
        <f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4" t="str">
        <f>IF($C68=Board!$B$2,COUNTIFS($C$2:$C$157,Board!$B$2,$AL$2:$AL$157,"&gt;"&amp;$AL68)+COUNTIFS($C$1:$C67,Board!$B$2,$AL$1:$AL67,$AL68)+1,"")</f>
        <v/>
      </c>
      <c r="AS68" s="4" t="str">
        <f t="array" ref="AS68">IFERROR(IF($D68=INDEX(Matches!$AD$5:$AD$22,MATCH($C68,Matches!$A$5:$A$22,0)),"A",IF($D68=INDEX(Matches!$AE$5:$AE$22,MATCH($C68,Matches!$A$5:$A$22,0)),"B","")),"")</f>
        <v>A</v>
      </c>
      <c r="AT68" s="11">
        <f t="array" ref="AT68">IF($AS68="","",IFERROR(IF($AS68="A",INDEX(Matches!$AI$5:$AI$22,MATCH($C68,Matches!$A$5:$A$22,0)),INDEX(Matches!$AJ$5:$AJ$22,MATCH($C68,Matches!$A$5:$A$22,0))),""))</f>
        <v>0.5105955134</v>
      </c>
      <c r="AU68" s="11">
        <f t="array" ref="AU68">IF($AS68="","",IFERROR(IF(INDEX(Matches!$AP$5:$AP$22,MATCH($C68,Matches!$A$5:$A$22,0))="","",IF($AS68="A",INDEX(Matches!$AP$5:$AP$22,MATCH($C68,Matches!$A$5:$A$22,0)),1-INDEX(Matches!$AP$5:$AP$22,MATCH($C68,Matches!$A$5:$A$22,0)))),""))</f>
        <v>0.5515861055</v>
      </c>
      <c r="AV68" s="18">
        <f>IF(OR($AU68="",$AT68=""),1,((Config!$B$14*$AU68+Config!$B$15*(1-$AU68))/(Config!$B$14*$AT68+Config!$B$15*(1-$AT68)))^Config!$B$13)</f>
        <v>1.03628632</v>
      </c>
      <c r="AW68" s="11">
        <f t="array" ref="AW68">IF($AS68="","",IFERROR(IF(INDEX(Matches!$AV$5:$AV$22,MATCH($C68,Matches!$A$5:$A$22,0))="","",IF($AS68="A",INDEX(Matches!$AV$5:$AV$22,MATCH($C68,Matches!$A$5:$A$22,0)),1-INDEX(Matches!$AV$5:$AV$22,MATCH($C68,Matches!$A$5:$A$22,0)))),""))</f>
        <v>0.5119525833</v>
      </c>
      <c r="AX68" s="18">
        <f>IF(OR($AW68="",$AT68=""),1,((Config!$B$14*$AW68+Config!$B$15*(1-$AW68))/(Config!$B$14*$AT68+Config!$B$15*(1-$AT68)))^Config!$B$13)</f>
        <v>1.001201326</v>
      </c>
      <c r="AY68" s="11">
        <f t="array" ref="AY68">IF($AS68="","",IFERROR(IF(INDEX(Matches!$BB$5:$BB$22,MATCH($C68,Matches!$A$5:$A$22,0))="","",IF($AS68="A",INDEX(Matches!$BB$5:$BB$22,MATCH($C68,Matches!$A$5:$A$22,0)),1-INDEX(Matches!$BB$5:$BB$22,MATCH($C68,Matches!$A$5:$A$22,0)))),""))</f>
        <v>0.5600447716</v>
      </c>
      <c r="AZ68" s="18">
        <f>IF(OR($AY68="",$AT68=""),1,((Config!$B$14*$AY68+Config!$B$15*(1-$AY68))/(Config!$B$14*$AT68+Config!$B$15*(1-$AT68)))^Config!$B$13)</f>
        <v>1.04377423</v>
      </c>
      <c r="BA68" s="17">
        <f t="shared" si="9"/>
        <v>13.34783884</v>
      </c>
      <c r="BB68" s="17">
        <f t="shared" si="10"/>
        <v>13.63302472</v>
      </c>
      <c r="BC68" s="17">
        <f t="shared" si="11"/>
        <v>13.97762805</v>
      </c>
      <c r="BD68" s="17">
        <f t="shared" si="12"/>
        <v>26.98086356</v>
      </c>
      <c r="BE68" s="17">
        <f t="shared" si="13"/>
        <v>26.98086356</v>
      </c>
      <c r="BF68" s="17">
        <f t="shared" si="14"/>
        <v>6.227373539</v>
      </c>
      <c r="BG68" s="17">
        <f t="shared" si="15"/>
        <v>5.740639495</v>
      </c>
      <c r="BH68" s="17">
        <f t="shared" si="16"/>
        <v>6.441689725</v>
      </c>
      <c r="BI68" s="17">
        <f t="shared" si="17"/>
        <v>11.96801303</v>
      </c>
      <c r="BJ68" s="17">
        <f t="shared" si="18"/>
        <v>11.96801303</v>
      </c>
      <c r="BK68" s="18">
        <f t="shared" si="19"/>
        <v>1.018256412</v>
      </c>
    </row>
    <row r="69" ht="15.75" customHeight="1">
      <c r="A69" s="4" t="s">
        <v>3194</v>
      </c>
      <c r="B69" s="4" t="s">
        <v>86</v>
      </c>
      <c r="C69" s="4" t="s">
        <v>1755</v>
      </c>
      <c r="D69" s="4" t="s">
        <v>1389</v>
      </c>
      <c r="E69" s="4" t="s">
        <v>1402</v>
      </c>
      <c r="F69" s="4" t="s">
        <v>1401</v>
      </c>
      <c r="G69" s="4" t="str">
        <f t="array" ref="G69">IFERROR(IF(INDEX(Matches!$W$5:$W$22,MATCH($C69,Matches!$A$5:$A$22,0))="","",INDEX(Matches!$W$5:$W$22,MATCH($C69,Matches!$A$5:$A$22,0))),"")</f>
        <v>Nuke</v>
      </c>
      <c r="H69" s="4" t="str">
        <f t="array" ref="H69">IFERROR(IF(INDEX(Matches!$X$5:$X$22,MATCH($C69,Matches!$A$5:$A$22,0))="","",INDEX(Matches!$X$5:$X$22,MATCH($C69,Matches!$A$5:$A$22,0))),"")</f>
        <v>Cache</v>
      </c>
      <c r="I69" s="4" t="str">
        <f t="array" ref="I69">IFERROR(IF(INDEX(Matches!$Y$5:$Y$22,MATCH($C69,Matches!$A$5:$A$22,0))="","",INDEX(Matches!$Y$5:$Y$22,MATCH($C69,Matches!$A$5:$A$22,0))),"")</f>
        <v>Ancient</v>
      </c>
      <c r="J69" s="4">
        <f t="array" ref="J69">IFERROR(IF(INDEX(Matches!$Z$5:$Z$22,MATCH($C69,Matches!$A$5:$A$22,0))="","",INDEX(Matches!$Z$5:$Z$22,MATCH($C69,Matches!$A$5:$A$22,0))),"")</f>
        <v>21.5</v>
      </c>
      <c r="K69" s="4">
        <f t="array" ref="K69">IFERROR(IF(INDEX(Matches!$AA$5:$AA$22,MATCH($C69,Matches!$A$5:$A$22,0))="","",INDEX(Matches!$AA$5:$AA$22,MATCH($C69,Matches!$A$5:$A$22,0))),"")</f>
        <v>21.5</v>
      </c>
      <c r="L69" s="4">
        <f t="array" ref="L69">IFERROR(IF(INDEX(Matches!$AB$5:$AB$22,MATCH($C69,Matches!$A$5:$A$22,0))="","",INDEX(Matches!$AB$5:$AB$22,MATCH($C69,Matches!$A$5:$A$22,0))),"")</f>
        <v>21.5</v>
      </c>
      <c r="M69" s="11">
        <f t="array" ref="M69">IFERROR(IF(INDEX(Matches!$AC$5:$AC$22,MATCH($C69,Matches!$A$5:$A$22,0))="","",INDEX(Matches!$AC$5:$AC$22,MATCH($C69,Matches!$A$5:$A$22,0))),"")</f>
        <v>0</v>
      </c>
      <c r="N69" s="4">
        <f t="array" ref="N69">IFERROR(INDEX(Players!$F$2:$F$127,MATCH($F69,Players!$A$2:$A$127,0)),0)</f>
        <v>31</v>
      </c>
      <c r="O69" s="18">
        <f t="array" ref="O69">IFERROR(1/(1/INDEX(Players!$H$2:$H$127,MATCH($F69,Players!$A$2:$A$127,0))),"")</f>
        <v>0.62</v>
      </c>
      <c r="P69" s="11">
        <f t="array" ref="P69">IFERROR(1/(1/INDEX(Players!$I$2:$I$127,MATCH($F69,Players!$A$2:$A$127,0))),"")</f>
        <v>0.553</v>
      </c>
      <c r="Q69" s="4">
        <f>IF($G69="",0,SUMIFS(Map_Stats!$F$2:$F$825,Map_Stats!$A$2:$A$825,$F69&amp;"|"&amp;$G69))</f>
        <v>4</v>
      </c>
      <c r="R69" s="18">
        <f t="array" ref="R69">IF($G69="","",IFERROR(1/(1/INDEX(Map_Stats!$K$2:$K$825,MATCH($F69&amp;"|"&amp;$G69,Map_Stats!$A$2:$A$825,0))),$O69))</f>
        <v>0.6</v>
      </c>
      <c r="S69" s="11">
        <f t="array" ref="S69">IF(OR($G69="",$P69=""),"",IFERROR(1/(1/INDEX(Map_Stats!$I$2:$I$825,MATCH($F69&amp;"|"&amp;$G69,Map_Stats!$A$2:$A$825,0))),$P69))</f>
        <v>0.596</v>
      </c>
      <c r="T69" s="18">
        <f>IF(OR($G69="",R69=""),"",IF($O69="",R69,(Q69*R69+Config!$B$4*$O69)/(Q69+Config!$B$4)))</f>
        <v>0.6111111111</v>
      </c>
      <c r="U69" s="11">
        <f>IF(S69="","",(Q69*S69+Config!$B$4*$P69)/(Q69+Config!$B$4))</f>
        <v>0.5721111111</v>
      </c>
      <c r="V69" s="17">
        <f>IF(OR(T69="",$J69=""),"",T69*$J69*($J69/Config!$B$10)^Config!$B$9)</f>
        <v>13.13888889</v>
      </c>
      <c r="W69" s="17">
        <f t="shared" si="1"/>
        <v>7.516904321</v>
      </c>
      <c r="X69" s="4">
        <f>IF($H69="",0,SUMIFS(Map_Stats!$F$2:$F$825,Map_Stats!$A$2:$A$825,$F69&amp;"|"&amp;$H69))</f>
        <v>7</v>
      </c>
      <c r="Y69" s="18">
        <f t="array" ref="Y69">IF($H69="","",IFERROR(1/(1/INDEX(Map_Stats!$K$2:$K$825,MATCH($F69&amp;"|"&amp;$H69,Map_Stats!$A$2:$A$825,0))),$O69))</f>
        <v>0.58</v>
      </c>
      <c r="Z69" s="11">
        <f t="array" ref="Z69">IF(OR($H69="",$P69=""),"",IFERROR(1/(1/INDEX(Map_Stats!$I$2:$I$825,MATCH($F69&amp;"|"&amp;$H69,Map_Stats!$A$2:$A$825,0))),$P69))</f>
        <v>0.53</v>
      </c>
      <c r="AA69" s="18">
        <f>IF(OR($H69="",Y69=""),"",IF($O69="",Y69,(X69*Y69+Config!$B$4*$O69)/(X69+Config!$B$4)))</f>
        <v>0.5966666667</v>
      </c>
      <c r="AB69" s="11">
        <f>IF(Z69="","",(X69*Z69+Config!$B$4*$P69)/(X69+Config!$B$4))</f>
        <v>0.5395833333</v>
      </c>
      <c r="AC69" s="17">
        <f>IF(OR(AA69="",$K69=""),"",AA69*$K69*($K69/Config!$B$10)^Config!$B$9)</f>
        <v>12.82833333</v>
      </c>
      <c r="AD69" s="17">
        <f t="shared" si="2"/>
        <v>6.921954861</v>
      </c>
      <c r="AE69" s="4">
        <f>IF($I69="",0,SUMIFS(Map_Stats!$F$2:$F$825,Map_Stats!$A$2:$A$825,$F69&amp;"|"&amp;$I69))</f>
        <v>9</v>
      </c>
      <c r="AF69" s="18">
        <f t="array" ref="AF69">IF($I69="","",IFERROR(1/(1/INDEX(Map_Stats!$K$2:$K$825,MATCH($F69&amp;"|"&amp;$I69,Map_Stats!$A$2:$A$825,0))),$O69))</f>
        <v>0.65</v>
      </c>
      <c r="AG69" s="11">
        <f t="array" ref="AG69">IF(OR($I69="",$P69=""),"",IFERROR(1/(1/INDEX(Map_Stats!$I$2:$I$825,MATCH($F69&amp;"|"&amp;$I69,Map_Stats!$A$2:$A$825,0))),$P69))</f>
        <v>0.538</v>
      </c>
      <c r="AH69" s="18">
        <f>IF(OR($I69="",AF69=""),"",IF($O69="",AF69,(AE69*AF69+Config!$B$4*$O69)/(AE69+Config!$B$4)))</f>
        <v>0.6392857143</v>
      </c>
      <c r="AI69" s="11">
        <f>IF(AG69="","",(AE69*AG69+Config!$B$4*$P69)/(AE69+Config!$B$4))</f>
        <v>0.5433571429</v>
      </c>
      <c r="AJ69" s="17">
        <f>IF(OR(AH69="",$L69=""),"",AH69*$L69*($L69/Config!$B$10)^Config!$B$9)</f>
        <v>13.74464286</v>
      </c>
      <c r="AK69" s="17">
        <f t="shared" si="3"/>
        <v>7.468249872</v>
      </c>
      <c r="AL69" s="17">
        <f t="shared" si="4"/>
        <v>25.96722222</v>
      </c>
      <c r="AM69" s="17">
        <f t="shared" si="5"/>
        <v>25.96722222</v>
      </c>
      <c r="AN69" s="17">
        <f t="shared" si="6"/>
        <v>14.43885918</v>
      </c>
      <c r="AO69" s="17">
        <f t="shared" si="7"/>
        <v>14.43885918</v>
      </c>
      <c r="AP69" s="11">
        <f t="shared" si="8"/>
        <v>0.5560417306</v>
      </c>
      <c r="AQ69" s="4" t="str">
        <f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4" t="str">
        <f>IF($C69=Board!$B$2,COUNTIFS($C$2:$C$157,Board!$B$2,$AL$2:$AL$157,"&gt;"&amp;$AL69)+COUNTIFS($C$1:$C68,Board!$B$2,$AL$1:$AL68,$AL69)+1,"")</f>
        <v/>
      </c>
      <c r="AS69" s="4" t="str">
        <f t="array" ref="AS69">IFERROR(IF($D69=INDEX(Matches!$AD$5:$AD$22,MATCH($C69,Matches!$A$5:$A$22,0)),"A",IF($D69=INDEX(Matches!$AE$5:$AE$22,MATCH($C69,Matches!$A$5:$A$22,0)),"B","")),"")</f>
        <v>A</v>
      </c>
      <c r="AT69" s="11">
        <f t="array" ref="AT69">IF($AS69="","",IFERROR(IF($AS69="A",INDEX(Matches!$AI$5:$AI$22,MATCH($C69,Matches!$A$5:$A$22,0)),INDEX(Matches!$AJ$5:$AJ$22,MATCH($C69,Matches!$A$5:$A$22,0))),""))</f>
        <v>0.5105955134</v>
      </c>
      <c r="AU69" s="11">
        <f t="array" ref="AU69">IF($AS69="","",IFERROR(IF(INDEX(Matches!$AP$5:$AP$22,MATCH($C69,Matches!$A$5:$A$22,0))="","",IF($AS69="A",INDEX(Matches!$AP$5:$AP$22,MATCH($C69,Matches!$A$5:$A$22,0)),1-INDEX(Matches!$AP$5:$AP$22,MATCH($C69,Matches!$A$5:$A$22,0)))),""))</f>
        <v>0.5515861055</v>
      </c>
      <c r="AV69" s="18">
        <f>IF(OR($AU69="",$AT69=""),1,((Config!$B$14*$AU69+Config!$B$15*(1-$AU69))/(Config!$B$14*$AT69+Config!$B$15*(1-$AT69)))^Config!$B$13)</f>
        <v>1.03628632</v>
      </c>
      <c r="AW69" s="11">
        <f t="array" ref="AW69">IF($AS69="","",IFERROR(IF(INDEX(Matches!$AV$5:$AV$22,MATCH($C69,Matches!$A$5:$A$22,0))="","",IF($AS69="A",INDEX(Matches!$AV$5:$AV$22,MATCH($C69,Matches!$A$5:$A$22,0)),1-INDEX(Matches!$AV$5:$AV$22,MATCH($C69,Matches!$A$5:$A$22,0)))),""))</f>
        <v>0.5119525833</v>
      </c>
      <c r="AX69" s="18">
        <f>IF(OR($AW69="",$AT69=""),1,((Config!$B$14*$AW69+Config!$B$15*(1-$AW69))/(Config!$B$14*$AT69+Config!$B$15*(1-$AT69)))^Config!$B$13)</f>
        <v>1.001201326</v>
      </c>
      <c r="AY69" s="11">
        <f t="array" ref="AY69">IF($AS69="","",IFERROR(IF(INDEX(Matches!$BB$5:$BB$22,MATCH($C69,Matches!$A$5:$A$22,0))="","",IF($AS69="A",INDEX(Matches!$BB$5:$BB$22,MATCH($C69,Matches!$A$5:$A$22,0)),1-INDEX(Matches!$BB$5:$BB$22,MATCH($C69,Matches!$A$5:$A$22,0)))),""))</f>
        <v>0.5600447716</v>
      </c>
      <c r="AZ69" s="18">
        <f>IF(OR($AY69="",$AT69=""),1,((Config!$B$14*$AY69+Config!$B$15*(1-$AY69))/(Config!$B$14*$AT69+Config!$B$15*(1-$AT69)))^Config!$B$13)</f>
        <v>1.04377423</v>
      </c>
      <c r="BA69" s="17">
        <f t="shared" si="9"/>
        <v>13.61565081</v>
      </c>
      <c r="BB69" s="17">
        <f t="shared" si="10"/>
        <v>12.84374435</v>
      </c>
      <c r="BC69" s="17">
        <f t="shared" si="11"/>
        <v>14.34630401</v>
      </c>
      <c r="BD69" s="17">
        <f t="shared" si="12"/>
        <v>26.45939516</v>
      </c>
      <c r="BE69" s="17">
        <f t="shared" si="13"/>
        <v>26.45939516</v>
      </c>
      <c r="BF69" s="17">
        <f t="shared" si="14"/>
        <v>7.789665116</v>
      </c>
      <c r="BG69" s="17">
        <f t="shared" si="15"/>
        <v>6.930270387</v>
      </c>
      <c r="BH69" s="17">
        <f t="shared" si="16"/>
        <v>7.79516676</v>
      </c>
      <c r="BI69" s="17">
        <f t="shared" si="17"/>
        <v>14.7199355</v>
      </c>
      <c r="BJ69" s="17">
        <f t="shared" si="18"/>
        <v>14.7199355</v>
      </c>
      <c r="BK69" s="18">
        <f t="shared" si="19"/>
        <v>1.018953623</v>
      </c>
    </row>
    <row r="70" ht="15.75" customHeight="1">
      <c r="A70" s="4" t="s">
        <v>3195</v>
      </c>
      <c r="B70" s="4" t="s">
        <v>86</v>
      </c>
      <c r="C70" s="4" t="s">
        <v>1755</v>
      </c>
      <c r="D70" s="4" t="s">
        <v>1565</v>
      </c>
      <c r="E70" s="4" t="s">
        <v>1564</v>
      </c>
      <c r="F70" s="4" t="s">
        <v>1563</v>
      </c>
      <c r="G70" s="4" t="str">
        <f t="array" ref="G70">IFERROR(IF(INDEX(Matches!$W$5:$W$22,MATCH($C70,Matches!$A$5:$A$22,0))="","",INDEX(Matches!$W$5:$W$22,MATCH($C70,Matches!$A$5:$A$22,0))),"")</f>
        <v>Nuke</v>
      </c>
      <c r="H70" s="4" t="str">
        <f t="array" ref="H70">IFERROR(IF(INDEX(Matches!$X$5:$X$22,MATCH($C70,Matches!$A$5:$A$22,0))="","",INDEX(Matches!$X$5:$X$22,MATCH($C70,Matches!$A$5:$A$22,0))),"")</f>
        <v>Cache</v>
      </c>
      <c r="I70" s="4" t="str">
        <f t="array" ref="I70">IFERROR(IF(INDEX(Matches!$Y$5:$Y$22,MATCH($C70,Matches!$A$5:$A$22,0))="","",INDEX(Matches!$Y$5:$Y$22,MATCH($C70,Matches!$A$5:$A$22,0))),"")</f>
        <v>Ancient</v>
      </c>
      <c r="J70" s="4">
        <f t="array" ref="J70">IFERROR(IF(INDEX(Matches!$Z$5:$Z$22,MATCH($C70,Matches!$A$5:$A$22,0))="","",INDEX(Matches!$Z$5:$Z$22,MATCH($C70,Matches!$A$5:$A$22,0))),"")</f>
        <v>21.5</v>
      </c>
      <c r="K70" s="4">
        <f t="array" ref="K70">IFERROR(IF(INDEX(Matches!$AA$5:$AA$22,MATCH($C70,Matches!$A$5:$A$22,0))="","",INDEX(Matches!$AA$5:$AA$22,MATCH($C70,Matches!$A$5:$A$22,0))),"")</f>
        <v>21.5</v>
      </c>
      <c r="L70" s="4">
        <f t="array" ref="L70">IFERROR(IF(INDEX(Matches!$AB$5:$AB$22,MATCH($C70,Matches!$A$5:$A$22,0))="","",INDEX(Matches!$AB$5:$AB$22,MATCH($C70,Matches!$A$5:$A$22,0))),"")</f>
        <v>21.5</v>
      </c>
      <c r="M70" s="11">
        <f t="array" ref="M70">IFERROR(IF(INDEX(Matches!$AC$5:$AC$22,MATCH($C70,Matches!$A$5:$A$22,0))="","",INDEX(Matches!$AC$5:$AC$22,MATCH($C70,Matches!$A$5:$A$22,0))),"")</f>
        <v>0</v>
      </c>
      <c r="N70" s="4">
        <f t="array" ref="N70">IFERROR(INDEX(Players!$F$2:$F$127,MATCH($F70,Players!$A$2:$A$127,0)),0)</f>
        <v>33</v>
      </c>
      <c r="O70" s="18">
        <f t="array" ref="O70">IFERROR(1/(1/INDEX(Players!$H$2:$H$127,MATCH($F70,Players!$A$2:$A$127,0))),"")</f>
        <v>0.72</v>
      </c>
      <c r="P70" s="11">
        <f t="array" ref="P70">IFERROR(1/(1/INDEX(Players!$I$2:$I$127,MATCH($F70,Players!$A$2:$A$127,0))),"")</f>
        <v>0.665</v>
      </c>
      <c r="Q70" s="4">
        <f>IF($G70="",0,SUMIFS(Map_Stats!$F$2:$F$825,Map_Stats!$A$2:$A$825,$F70&amp;"|"&amp;$G70))</f>
        <v>7</v>
      </c>
      <c r="R70" s="18">
        <f t="array" ref="R70">IF($G70="","",IFERROR(1/(1/INDEX(Map_Stats!$K$2:$K$825,MATCH($F70&amp;"|"&amp;$G70,Map_Stats!$A$2:$A$825,0))),$O70))</f>
        <v>0.68</v>
      </c>
      <c r="S70" s="11">
        <f t="array" ref="S70">IF(OR($G70="",$P70=""),"",IFERROR(1/(1/INDEX(Map_Stats!$I$2:$I$825,MATCH($F70&amp;"|"&amp;$G70,Map_Stats!$A$2:$A$825,0))),$P70))</f>
        <v>0.642</v>
      </c>
      <c r="T70" s="18">
        <f>IF(OR($G70="",R70=""),"",IF($O70="",R70,(Q70*R70+Config!$B$4*$O70)/(Q70+Config!$B$4)))</f>
        <v>0.6966666667</v>
      </c>
      <c r="U70" s="11">
        <f>IF(S70="","",(Q70*S70+Config!$B$4*$P70)/(Q70+Config!$B$4))</f>
        <v>0.6515833333</v>
      </c>
      <c r="V70" s="17">
        <f>IF(OR(T70="",$J70=""),"",T70*$J70*($J70/Config!$B$10)^Config!$B$9)</f>
        <v>14.97833333</v>
      </c>
      <c r="W70" s="17">
        <f t="shared" si="1"/>
        <v>9.759632361</v>
      </c>
      <c r="X70" s="4">
        <f>IF($H70="",0,SUMIFS(Map_Stats!$F$2:$F$825,Map_Stats!$A$2:$A$825,$F70&amp;"|"&amp;$H70))</f>
        <v>4</v>
      </c>
      <c r="Y70" s="18">
        <f t="array" ref="Y70">IF($H70="","",IFERROR(1/(1/INDEX(Map_Stats!$K$2:$K$825,MATCH($F70&amp;"|"&amp;$H70,Map_Stats!$A$2:$A$825,0))),$O70))</f>
        <v>0.74</v>
      </c>
      <c r="Z70" s="11">
        <f t="array" ref="Z70">IF(OR($H70="",$P70=""),"",IFERROR(1/(1/INDEX(Map_Stats!$I$2:$I$825,MATCH($F70&amp;"|"&amp;$H70,Map_Stats!$A$2:$A$825,0))),$P70))</f>
        <v>0.632</v>
      </c>
      <c r="AA70" s="18">
        <f>IF(OR($H70="",Y70=""),"",IF($O70="",Y70,(X70*Y70+Config!$B$4*$O70)/(X70+Config!$B$4)))</f>
        <v>0.7288888889</v>
      </c>
      <c r="AB70" s="11">
        <f>IF(Z70="","",(X70*Z70+Config!$B$4*$P70)/(X70+Config!$B$4))</f>
        <v>0.6503333333</v>
      </c>
      <c r="AC70" s="17">
        <f>IF(OR(AA70="",$K70=""),"",AA70*$K70*($K70/Config!$B$10)^Config!$B$9)</f>
        <v>15.67111111</v>
      </c>
      <c r="AD70" s="17">
        <f t="shared" si="2"/>
        <v>10.19144593</v>
      </c>
      <c r="AE70" s="4">
        <f>IF($I70="",0,SUMIFS(Map_Stats!$F$2:$F$825,Map_Stats!$A$2:$A$825,$F70&amp;"|"&amp;$I70))</f>
        <v>6</v>
      </c>
      <c r="AF70" s="18">
        <f t="array" ref="AF70">IF($I70="","",IFERROR(1/(1/INDEX(Map_Stats!$K$2:$K$825,MATCH($F70&amp;"|"&amp;$I70,Map_Stats!$A$2:$A$825,0))),$O70))</f>
        <v>0.64</v>
      </c>
      <c r="AG70" s="11">
        <f t="array" ref="AG70">IF(OR($I70="",$P70=""),"",IFERROR(1/(1/INDEX(Map_Stats!$I$2:$I$825,MATCH($F70&amp;"|"&amp;$I70,Map_Stats!$A$2:$A$825,0))),$P70))</f>
        <v>0.69</v>
      </c>
      <c r="AH70" s="18">
        <f>IF(OR($I70="",AF70=""),"",IF($O70="",AF70,(AE70*AF70+Config!$B$4*$O70)/(AE70+Config!$B$4)))</f>
        <v>0.6763636364</v>
      </c>
      <c r="AI70" s="11">
        <f>IF(AG70="","",(AE70*AG70+Config!$B$4*$P70)/(AE70+Config!$B$4))</f>
        <v>0.6786363636</v>
      </c>
      <c r="AJ70" s="17">
        <f>IF(OR(AH70="",$L70=""),"",AH70*$L70*($L70/Config!$B$10)^Config!$B$9)</f>
        <v>14.54181818</v>
      </c>
      <c r="AK70" s="17">
        <f t="shared" si="3"/>
        <v>9.868606612</v>
      </c>
      <c r="AL70" s="17">
        <f t="shared" si="4"/>
        <v>30.64944444</v>
      </c>
      <c r="AM70" s="17">
        <f t="shared" si="5"/>
        <v>30.64944444</v>
      </c>
      <c r="AN70" s="17">
        <f t="shared" si="6"/>
        <v>19.95107829</v>
      </c>
      <c r="AO70" s="17">
        <f t="shared" si="7"/>
        <v>19.95107829</v>
      </c>
      <c r="AP70" s="11">
        <f t="shared" si="8"/>
        <v>0.6509442063</v>
      </c>
      <c r="AQ70" s="4" t="str">
        <f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4" t="str">
        <f>IF($C70=Board!$B$2,COUNTIFS($C$2:$C$157,Board!$B$2,$AL$2:$AL$157,"&gt;"&amp;$AL70)+COUNTIFS($C$1:$C69,Board!$B$2,$AL$1:$AL69,$AL70)+1,"")</f>
        <v/>
      </c>
      <c r="AS70" s="4" t="str">
        <f t="array" ref="AS70">IFERROR(IF($D70=INDEX(Matches!$AD$5:$AD$22,MATCH($C70,Matches!$A$5:$A$22,0)),"A",IF($D70=INDEX(Matches!$AE$5:$AE$22,MATCH($C70,Matches!$A$5:$A$22,0)),"B","")),"")</f>
        <v>B</v>
      </c>
      <c r="AT70" s="11">
        <f t="array" ref="AT70">IF($AS70="","",IFERROR(IF($AS70="A",INDEX(Matches!$AI$5:$AI$22,MATCH($C70,Matches!$A$5:$A$22,0)),INDEX(Matches!$AJ$5:$AJ$22,MATCH($C70,Matches!$A$5:$A$22,0))),""))</f>
        <v>0.5227311331</v>
      </c>
      <c r="AU70" s="11">
        <f t="array" ref="AU70">IF($AS70="","",IFERROR(IF(INDEX(Matches!$AP$5:$AP$22,MATCH($C70,Matches!$A$5:$A$22,0))="","",IF($AS70="A",INDEX(Matches!$AP$5:$AP$22,MATCH($C70,Matches!$A$5:$A$22,0)),1-INDEX(Matches!$AP$5:$AP$22,MATCH($C70,Matches!$A$5:$A$22,0)))),""))</f>
        <v>0.4484138945</v>
      </c>
      <c r="AV70" s="18">
        <f>IF(OR($AU70="",$AT70=""),1,((Config!$B$14*$AU70+Config!$B$15*(1-$AU70))/(Config!$B$14*$AT70+Config!$B$15*(1-$AT70)))^Config!$B$13)</f>
        <v>0.9349109988</v>
      </c>
      <c r="AW70" s="11">
        <f t="array" ref="AW70">IF($AS70="","",IFERROR(IF(INDEX(Matches!$AV$5:$AV$22,MATCH($C70,Matches!$A$5:$A$22,0))="","",IF($AS70="A",INDEX(Matches!$AV$5:$AV$22,MATCH($C70,Matches!$A$5:$A$22,0)),1-INDEX(Matches!$AV$5:$AV$22,MATCH($C70,Matches!$A$5:$A$22,0)))),""))</f>
        <v>0.4880474167</v>
      </c>
      <c r="AX70" s="18">
        <f>IF(OR($AW70="",$AT70=""),1,((Config!$B$14*$AW70+Config!$B$15*(1-$AW70))/(Config!$B$14*$AT70+Config!$B$15*(1-$AT70)))^Config!$B$13)</f>
        <v>0.9696230848</v>
      </c>
      <c r="AY70" s="11">
        <f t="array" ref="AY70">IF($AS70="","",IFERROR(IF(INDEX(Matches!$BB$5:$BB$22,MATCH($C70,Matches!$A$5:$A$22,0))="","",IF($AS70="A",INDEX(Matches!$BB$5:$BB$22,MATCH($C70,Matches!$A$5:$A$22,0)),1-INDEX(Matches!$BB$5:$BB$22,MATCH($C70,Matches!$A$5:$A$22,0)))),""))</f>
        <v>0.4399552284</v>
      </c>
      <c r="AZ70" s="18">
        <f>IF(OR($AY70="",$AT70=""),1,((Config!$B$14*$AY70+Config!$B$15*(1-$AY70))/(Config!$B$14*$AT70+Config!$B$15*(1-$AT70)))^Config!$B$13)</f>
        <v>0.9275026754</v>
      </c>
      <c r="BA70" s="17">
        <f t="shared" si="9"/>
        <v>14.00340858</v>
      </c>
      <c r="BB70" s="17">
        <f t="shared" si="10"/>
        <v>15.1950711</v>
      </c>
      <c r="BC70" s="17">
        <f t="shared" si="11"/>
        <v>13.48757527</v>
      </c>
      <c r="BD70" s="17">
        <f t="shared" si="12"/>
        <v>29.19847967</v>
      </c>
      <c r="BE70" s="17">
        <f t="shared" si="13"/>
        <v>29.19847967</v>
      </c>
      <c r="BF70" s="17">
        <f t="shared" si="14"/>
        <v>9.124387638</v>
      </c>
      <c r="BG70" s="17">
        <f t="shared" si="15"/>
        <v>9.881861237</v>
      </c>
      <c r="BH70" s="17">
        <f t="shared" si="16"/>
        <v>9.153159035</v>
      </c>
      <c r="BI70" s="17">
        <f t="shared" si="17"/>
        <v>19.00624888</v>
      </c>
      <c r="BJ70" s="17">
        <f t="shared" si="18"/>
        <v>19.00624888</v>
      </c>
      <c r="BK70" s="18">
        <f t="shared" si="19"/>
        <v>0.9526593452</v>
      </c>
    </row>
    <row r="71" ht="15.75" customHeight="1">
      <c r="A71" s="4" t="s">
        <v>3196</v>
      </c>
      <c r="B71" s="4" t="s">
        <v>86</v>
      </c>
      <c r="C71" s="4" t="s">
        <v>1755</v>
      </c>
      <c r="D71" s="4" t="s">
        <v>1565</v>
      </c>
      <c r="E71" s="4" t="s">
        <v>1569</v>
      </c>
      <c r="F71" s="4" t="s">
        <v>1568</v>
      </c>
      <c r="G71" s="4" t="str">
        <f t="array" ref="G71">IFERROR(IF(INDEX(Matches!$W$5:$W$22,MATCH($C71,Matches!$A$5:$A$22,0))="","",INDEX(Matches!$W$5:$W$22,MATCH($C71,Matches!$A$5:$A$22,0))),"")</f>
        <v>Nuke</v>
      </c>
      <c r="H71" s="4" t="str">
        <f t="array" ref="H71">IFERROR(IF(INDEX(Matches!$X$5:$X$22,MATCH($C71,Matches!$A$5:$A$22,0))="","",INDEX(Matches!$X$5:$X$22,MATCH($C71,Matches!$A$5:$A$22,0))),"")</f>
        <v>Cache</v>
      </c>
      <c r="I71" s="4" t="str">
        <f t="array" ref="I71">IFERROR(IF(INDEX(Matches!$Y$5:$Y$22,MATCH($C71,Matches!$A$5:$A$22,0))="","",INDEX(Matches!$Y$5:$Y$22,MATCH($C71,Matches!$A$5:$A$22,0))),"")</f>
        <v>Ancient</v>
      </c>
      <c r="J71" s="4">
        <f t="array" ref="J71">IFERROR(IF(INDEX(Matches!$Z$5:$Z$22,MATCH($C71,Matches!$A$5:$A$22,0))="","",INDEX(Matches!$Z$5:$Z$22,MATCH($C71,Matches!$A$5:$A$22,0))),"")</f>
        <v>21.5</v>
      </c>
      <c r="K71" s="4">
        <f t="array" ref="K71">IFERROR(IF(INDEX(Matches!$AA$5:$AA$22,MATCH($C71,Matches!$A$5:$A$22,0))="","",INDEX(Matches!$AA$5:$AA$22,MATCH($C71,Matches!$A$5:$A$22,0))),"")</f>
        <v>21.5</v>
      </c>
      <c r="L71" s="4">
        <f t="array" ref="L71">IFERROR(IF(INDEX(Matches!$AB$5:$AB$22,MATCH($C71,Matches!$A$5:$A$22,0))="","",INDEX(Matches!$AB$5:$AB$22,MATCH($C71,Matches!$A$5:$A$22,0))),"")</f>
        <v>21.5</v>
      </c>
      <c r="M71" s="11">
        <f t="array" ref="M71">IFERROR(IF(INDEX(Matches!$AC$5:$AC$22,MATCH($C71,Matches!$A$5:$A$22,0))="","",INDEX(Matches!$AC$5:$AC$22,MATCH($C71,Matches!$A$5:$A$22,0))),"")</f>
        <v>0</v>
      </c>
      <c r="N71" s="4">
        <f t="array" ref="N71">IFERROR(INDEX(Players!$F$2:$F$127,MATCH($F71,Players!$A$2:$A$127,0)),0)</f>
        <v>35</v>
      </c>
      <c r="O71" s="18">
        <f t="array" ref="O71">IFERROR(1/(1/INDEX(Players!$H$2:$H$127,MATCH($F71,Players!$A$2:$A$127,0))),"")</f>
        <v>0.6</v>
      </c>
      <c r="P71" s="11">
        <f t="array" ref="P71">IFERROR(1/(1/INDEX(Players!$I$2:$I$127,MATCH($F71,Players!$A$2:$A$127,0))),"")</f>
        <v>0.548</v>
      </c>
      <c r="Q71" s="4">
        <f>IF($G71="",0,SUMIFS(Map_Stats!$F$2:$F$825,Map_Stats!$A$2:$A$825,$F71&amp;"|"&amp;$G71))</f>
        <v>6</v>
      </c>
      <c r="R71" s="18">
        <f t="array" ref="R71">IF($G71="","",IFERROR(1/(1/INDEX(Map_Stats!$K$2:$K$825,MATCH($F71&amp;"|"&amp;$G71,Map_Stats!$A$2:$A$825,0))),$O71))</f>
        <v>0.56</v>
      </c>
      <c r="S71" s="11">
        <f t="array" ref="S71">IF(OR($G71="",$P71=""),"",IFERROR(1/(1/INDEX(Map_Stats!$I$2:$I$825,MATCH($F71&amp;"|"&amp;$G71,Map_Stats!$A$2:$A$825,0))),$P71))</f>
        <v>0.593</v>
      </c>
      <c r="T71" s="18">
        <f>IF(OR($G71="",R71=""),"",IF($O71="",R71,(Q71*R71+Config!$B$4*$O71)/(Q71+Config!$B$4)))</f>
        <v>0.5781818182</v>
      </c>
      <c r="U71" s="11">
        <f>IF(S71="","",(Q71*S71+Config!$B$4*$P71)/(Q71+Config!$B$4))</f>
        <v>0.5725454545</v>
      </c>
      <c r="V71" s="17">
        <f>IF(OR(T71="",$J71=""),"",T71*$J71*($J71/Config!$B$10)^Config!$B$9)</f>
        <v>12.43090909</v>
      </c>
      <c r="W71" s="17">
        <f t="shared" si="1"/>
        <v>7.117260496</v>
      </c>
      <c r="X71" s="4">
        <f>IF($H71="",0,SUMIFS(Map_Stats!$F$2:$F$825,Map_Stats!$A$2:$A$825,$F71&amp;"|"&amp;$H71))</f>
        <v>1</v>
      </c>
      <c r="Y71" s="18">
        <f t="array" ref="Y71">IF($H71="","",IFERROR(1/(1/INDEX(Map_Stats!$K$2:$K$825,MATCH($F71&amp;"|"&amp;$H71,Map_Stats!$A$2:$A$825,0))),$O71))</f>
        <v>1</v>
      </c>
      <c r="Z71" s="11">
        <f t="array" ref="Z71">IF(OR($H71="",$P71=""),"",IFERROR(1/(1/INDEX(Map_Stats!$I$2:$I$825,MATCH($F71&amp;"|"&amp;$H71,Map_Stats!$A$2:$A$825,0))),$P71))</f>
        <v>0.688</v>
      </c>
      <c r="AA71" s="18">
        <f>IF(OR($H71="",Y71=""),"",IF($O71="",Y71,(X71*Y71+Config!$B$4*$O71)/(X71+Config!$B$4)))</f>
        <v>0.6666666667</v>
      </c>
      <c r="AB71" s="11">
        <f>IF(Z71="","",(X71*Z71+Config!$B$4*$P71)/(X71+Config!$B$4))</f>
        <v>0.5713333333</v>
      </c>
      <c r="AC71" s="17">
        <f>IF(OR(AA71="",$K71=""),"",AA71*$K71*($K71/Config!$B$10)^Config!$B$9)</f>
        <v>14.33333333</v>
      </c>
      <c r="AD71" s="17">
        <f t="shared" si="2"/>
        <v>8.189111111</v>
      </c>
      <c r="AE71" s="4">
        <f>IF($I71="",0,SUMIFS(Map_Stats!$F$2:$F$825,Map_Stats!$A$2:$A$825,$F71&amp;"|"&amp;$I71))</f>
        <v>7</v>
      </c>
      <c r="AF71" s="18">
        <f t="array" ref="AF71">IF($I71="","",IFERROR(1/(1/INDEX(Map_Stats!$K$2:$K$825,MATCH($F71&amp;"|"&amp;$I71,Map_Stats!$A$2:$A$825,0))),$O71))</f>
        <v>0.57</v>
      </c>
      <c r="AG71" s="11">
        <f t="array" ref="AG71">IF(OR($I71="",$P71=""),"",IFERROR(1/(1/INDEX(Map_Stats!$I$2:$I$825,MATCH($F71&amp;"|"&amp;$I71,Map_Stats!$A$2:$A$825,0))),$P71))</f>
        <v>0.512</v>
      </c>
      <c r="AH71" s="18">
        <f>IF(OR($I71="",AF71=""),"",IF($O71="",AF71,(AE71*AF71+Config!$B$4*$O71)/(AE71+Config!$B$4)))</f>
        <v>0.5825</v>
      </c>
      <c r="AI71" s="11">
        <f>IF(AG71="","",(AE71*AG71+Config!$B$4*$P71)/(AE71+Config!$B$4))</f>
        <v>0.527</v>
      </c>
      <c r="AJ71" s="17">
        <f>IF(OR(AH71="",$L71=""),"",AH71*$L71*($L71/Config!$B$10)^Config!$B$9)</f>
        <v>12.52375</v>
      </c>
      <c r="AK71" s="17">
        <f t="shared" si="3"/>
        <v>6.60001625</v>
      </c>
      <c r="AL71" s="17">
        <f t="shared" si="4"/>
        <v>26.76424242</v>
      </c>
      <c r="AM71" s="17">
        <f t="shared" si="5"/>
        <v>26.76424242</v>
      </c>
      <c r="AN71" s="17">
        <f t="shared" si="6"/>
        <v>15.30637161</v>
      </c>
      <c r="AO71" s="17">
        <f t="shared" si="7"/>
        <v>15.30637161</v>
      </c>
      <c r="AP71" s="11">
        <f t="shared" si="8"/>
        <v>0.5718963147</v>
      </c>
      <c r="AQ71" s="4" t="str">
        <f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4" t="str">
        <f>IF($C71=Board!$B$2,COUNTIFS($C$2:$C$157,Board!$B$2,$AL$2:$AL$157,"&gt;"&amp;$AL71)+COUNTIFS($C$1:$C70,Board!$B$2,$AL$1:$AL70,$AL71)+1,"")</f>
        <v/>
      </c>
      <c r="AS71" s="4" t="str">
        <f t="array" ref="AS71">IFERROR(IF($D71=INDEX(Matches!$AD$5:$AD$22,MATCH($C71,Matches!$A$5:$A$22,0)),"A",IF($D71=INDEX(Matches!$AE$5:$AE$22,MATCH($C71,Matches!$A$5:$A$22,0)),"B","")),"")</f>
        <v>B</v>
      </c>
      <c r="AT71" s="11">
        <f t="array" ref="AT71">IF($AS71="","",IFERROR(IF($AS71="A",INDEX(Matches!$AI$5:$AI$22,MATCH($C71,Matches!$A$5:$A$22,0)),INDEX(Matches!$AJ$5:$AJ$22,MATCH($C71,Matches!$A$5:$A$22,0))),""))</f>
        <v>0.5227311331</v>
      </c>
      <c r="AU71" s="11">
        <f t="array" ref="AU71">IF($AS71="","",IFERROR(IF(INDEX(Matches!$AP$5:$AP$22,MATCH($C71,Matches!$A$5:$A$22,0))="","",IF($AS71="A",INDEX(Matches!$AP$5:$AP$22,MATCH($C71,Matches!$A$5:$A$22,0)),1-INDEX(Matches!$AP$5:$AP$22,MATCH($C71,Matches!$A$5:$A$22,0)))),""))</f>
        <v>0.4484138945</v>
      </c>
      <c r="AV71" s="18">
        <f>IF(OR($AU71="",$AT71=""),1,((Config!$B$14*$AU71+Config!$B$15*(1-$AU71))/(Config!$B$14*$AT71+Config!$B$15*(1-$AT71)))^Config!$B$13)</f>
        <v>0.9349109988</v>
      </c>
      <c r="AW71" s="11">
        <f t="array" ref="AW71">IF($AS71="","",IFERROR(IF(INDEX(Matches!$AV$5:$AV$22,MATCH($C71,Matches!$A$5:$A$22,0))="","",IF($AS71="A",INDEX(Matches!$AV$5:$AV$22,MATCH($C71,Matches!$A$5:$A$22,0)),1-INDEX(Matches!$AV$5:$AV$22,MATCH($C71,Matches!$A$5:$A$22,0)))),""))</f>
        <v>0.4880474167</v>
      </c>
      <c r="AX71" s="18">
        <f>IF(OR($AW71="",$AT71=""),1,((Config!$B$14*$AW71+Config!$B$15*(1-$AW71))/(Config!$B$14*$AT71+Config!$B$15*(1-$AT71)))^Config!$B$13)</f>
        <v>0.9696230848</v>
      </c>
      <c r="AY71" s="11">
        <f t="array" ref="AY71">IF($AS71="","",IFERROR(IF(INDEX(Matches!$BB$5:$BB$22,MATCH($C71,Matches!$A$5:$A$22,0))="","",IF($AS71="A",INDEX(Matches!$BB$5:$BB$22,MATCH($C71,Matches!$A$5:$A$22,0)),1-INDEX(Matches!$BB$5:$BB$22,MATCH($C71,Matches!$A$5:$A$22,0)))),""))</f>
        <v>0.4399552284</v>
      </c>
      <c r="AZ71" s="18">
        <f>IF(OR($AY71="",$AT71=""),1,((Config!$B$14*$AY71+Config!$B$15*(1-$AY71))/(Config!$B$14*$AT71+Config!$B$15*(1-$AT71)))^Config!$B$13)</f>
        <v>0.9275026754</v>
      </c>
      <c r="BA71" s="17">
        <f t="shared" si="9"/>
        <v>11.62179363</v>
      </c>
      <c r="BB71" s="17">
        <f t="shared" si="10"/>
        <v>13.89793088</v>
      </c>
      <c r="BC71" s="17">
        <f t="shared" si="11"/>
        <v>11.61581163</v>
      </c>
      <c r="BD71" s="17">
        <f t="shared" si="12"/>
        <v>25.51972452</v>
      </c>
      <c r="BE71" s="17">
        <f t="shared" si="13"/>
        <v>25.51972452</v>
      </c>
      <c r="BF71" s="17">
        <f t="shared" si="14"/>
        <v>6.654005119</v>
      </c>
      <c r="BG71" s="17">
        <f t="shared" si="15"/>
        <v>7.940351177</v>
      </c>
      <c r="BH71" s="17">
        <f t="shared" si="16"/>
        <v>6.12153273</v>
      </c>
      <c r="BI71" s="17">
        <f t="shared" si="17"/>
        <v>14.5943563</v>
      </c>
      <c r="BJ71" s="17">
        <f t="shared" si="18"/>
        <v>14.5943563</v>
      </c>
      <c r="BK71" s="18">
        <f t="shared" si="19"/>
        <v>0.9535007235</v>
      </c>
    </row>
    <row r="72" ht="15.75" customHeight="1">
      <c r="A72" s="4" t="s">
        <v>3197</v>
      </c>
      <c r="B72" s="4" t="s">
        <v>86</v>
      </c>
      <c r="C72" s="4" t="s">
        <v>1755</v>
      </c>
      <c r="D72" s="4" t="s">
        <v>1565</v>
      </c>
      <c r="E72" s="4" t="s">
        <v>1572</v>
      </c>
      <c r="F72" s="4" t="s">
        <v>1571</v>
      </c>
      <c r="G72" s="4" t="str">
        <f t="array" ref="G72">IFERROR(IF(INDEX(Matches!$W$5:$W$22,MATCH($C72,Matches!$A$5:$A$22,0))="","",INDEX(Matches!$W$5:$W$22,MATCH($C72,Matches!$A$5:$A$22,0))),"")</f>
        <v>Nuke</v>
      </c>
      <c r="H72" s="4" t="str">
        <f t="array" ref="H72">IFERROR(IF(INDEX(Matches!$X$5:$X$22,MATCH($C72,Matches!$A$5:$A$22,0))="","",INDEX(Matches!$X$5:$X$22,MATCH($C72,Matches!$A$5:$A$22,0))),"")</f>
        <v>Cache</v>
      </c>
      <c r="I72" s="4" t="str">
        <f t="array" ref="I72">IFERROR(IF(INDEX(Matches!$Y$5:$Y$22,MATCH($C72,Matches!$A$5:$A$22,0))="","",INDEX(Matches!$Y$5:$Y$22,MATCH($C72,Matches!$A$5:$A$22,0))),"")</f>
        <v>Ancient</v>
      </c>
      <c r="J72" s="4">
        <f t="array" ref="J72">IFERROR(IF(INDEX(Matches!$Z$5:$Z$22,MATCH($C72,Matches!$A$5:$A$22,0))="","",INDEX(Matches!$Z$5:$Z$22,MATCH($C72,Matches!$A$5:$A$22,0))),"")</f>
        <v>21.5</v>
      </c>
      <c r="K72" s="4">
        <f t="array" ref="K72">IFERROR(IF(INDEX(Matches!$AA$5:$AA$22,MATCH($C72,Matches!$A$5:$A$22,0))="","",INDEX(Matches!$AA$5:$AA$22,MATCH($C72,Matches!$A$5:$A$22,0))),"")</f>
        <v>21.5</v>
      </c>
      <c r="L72" s="4">
        <f t="array" ref="L72">IFERROR(IF(INDEX(Matches!$AB$5:$AB$22,MATCH($C72,Matches!$A$5:$A$22,0))="","",INDEX(Matches!$AB$5:$AB$22,MATCH($C72,Matches!$A$5:$A$22,0))),"")</f>
        <v>21.5</v>
      </c>
      <c r="M72" s="11">
        <f t="array" ref="M72">IFERROR(IF(INDEX(Matches!$AC$5:$AC$22,MATCH($C72,Matches!$A$5:$A$22,0))="","",INDEX(Matches!$AC$5:$AC$22,MATCH($C72,Matches!$A$5:$A$22,0))),"")</f>
        <v>0</v>
      </c>
      <c r="N72" s="4">
        <f t="array" ref="N72">IFERROR(INDEX(Players!$F$2:$F$127,MATCH($F72,Players!$A$2:$A$127,0)),0)</f>
        <v>34</v>
      </c>
      <c r="O72" s="18">
        <f t="array" ref="O72">IFERROR(1/(1/INDEX(Players!$H$2:$H$127,MATCH($F72,Players!$A$2:$A$127,0))),"")</f>
        <v>0.79</v>
      </c>
      <c r="P72" s="11">
        <f t="array" ref="P72">IFERROR(1/(1/INDEX(Players!$I$2:$I$127,MATCH($F72,Players!$A$2:$A$127,0))),"")</f>
        <v>0.467</v>
      </c>
      <c r="Q72" s="4">
        <f>IF($G72="",0,SUMIFS(Map_Stats!$F$2:$F$825,Map_Stats!$A$2:$A$825,$F72&amp;"|"&amp;$G72))</f>
        <v>7</v>
      </c>
      <c r="R72" s="18">
        <f t="array" ref="R72">IF($G72="","",IFERROR(1/(1/INDEX(Map_Stats!$K$2:$K$825,MATCH($F72&amp;"|"&amp;$G72,Map_Stats!$A$2:$A$825,0))),$O72))</f>
        <v>0.8</v>
      </c>
      <c r="S72" s="11">
        <f t="array" ref="S72">IF(OR($G72="",$P72=""),"",IFERROR(1/(1/INDEX(Map_Stats!$I$2:$I$825,MATCH($F72&amp;"|"&amp;$G72,Map_Stats!$A$2:$A$825,0))),$P72))</f>
        <v>0.471</v>
      </c>
      <c r="T72" s="18">
        <f>IF(OR($G72="",R72=""),"",IF($O72="",R72,(Q72*R72+Config!$B$4*$O72)/(Q72+Config!$B$4)))</f>
        <v>0.7958333333</v>
      </c>
      <c r="U72" s="11">
        <f>IF(S72="","",(Q72*S72+Config!$B$4*$P72)/(Q72+Config!$B$4))</f>
        <v>0.4693333333</v>
      </c>
      <c r="V72" s="17">
        <f>IF(OR(T72="",$J72=""),"",T72*$J72*($J72/Config!$B$10)^Config!$B$9)</f>
        <v>17.11041667</v>
      </c>
      <c r="W72" s="17">
        <f t="shared" si="1"/>
        <v>8.030488889</v>
      </c>
      <c r="X72" s="4">
        <f>IF($H72="",0,SUMIFS(Map_Stats!$F$2:$F$825,Map_Stats!$A$2:$A$825,$F72&amp;"|"&amp;$H72))</f>
        <v>1</v>
      </c>
      <c r="Y72" s="18">
        <f t="array" ref="Y72">IF($H72="","",IFERROR(1/(1/INDEX(Map_Stats!$K$2:$K$825,MATCH($F72&amp;"|"&amp;$H72,Map_Stats!$A$2:$A$825,0))),$O72))</f>
        <v>0.88</v>
      </c>
      <c r="Z72" s="11">
        <f t="array" ref="Z72">IF(OR($H72="",$P72=""),"",IFERROR(1/(1/INDEX(Map_Stats!$I$2:$I$825,MATCH($F72&amp;"|"&amp;$H72,Map_Stats!$A$2:$A$825,0))),$P72))</f>
        <v>0.571</v>
      </c>
      <c r="AA72" s="18">
        <f>IF(OR($H72="",Y72=""),"",IF($O72="",Y72,(X72*Y72+Config!$B$4*$O72)/(X72+Config!$B$4)))</f>
        <v>0.805</v>
      </c>
      <c r="AB72" s="11">
        <f>IF(Z72="","",(X72*Z72+Config!$B$4*$P72)/(X72+Config!$B$4))</f>
        <v>0.4843333333</v>
      </c>
      <c r="AC72" s="17">
        <f>IF(OR(AA72="",$K72=""),"",AA72*$K72*($K72/Config!$B$10)^Config!$B$9)</f>
        <v>17.3075</v>
      </c>
      <c r="AD72" s="17">
        <f t="shared" si="2"/>
        <v>8.382599167</v>
      </c>
      <c r="AE72" s="4">
        <f>IF($I72="",0,SUMIFS(Map_Stats!$F$2:$F$825,Map_Stats!$A$2:$A$825,$F72&amp;"|"&amp;$I72))</f>
        <v>6</v>
      </c>
      <c r="AF72" s="18">
        <f t="array" ref="AF72">IF($I72="","",IFERROR(1/(1/INDEX(Map_Stats!$K$2:$K$825,MATCH($F72&amp;"|"&amp;$I72,Map_Stats!$A$2:$A$825,0))),$O72))</f>
        <v>0.86</v>
      </c>
      <c r="AG72" s="11">
        <f t="array" ref="AG72">IF(OR($I72="",$P72=""),"",IFERROR(1/(1/INDEX(Map_Stats!$I$2:$I$825,MATCH($F72&amp;"|"&amp;$I72,Map_Stats!$A$2:$A$825,0))),$P72))</f>
        <v>0.467</v>
      </c>
      <c r="AH72" s="18">
        <f>IF(OR($I72="",AF72=""),"",IF($O72="",AF72,(AE72*AF72+Config!$B$4*$O72)/(AE72+Config!$B$4)))</f>
        <v>0.8281818182</v>
      </c>
      <c r="AI72" s="11">
        <f>IF(AG72="","",(AE72*AG72+Config!$B$4*$P72)/(AE72+Config!$B$4))</f>
        <v>0.467</v>
      </c>
      <c r="AJ72" s="17">
        <f>IF(OR(AH72="",$L72=""),"",AH72*$L72*($L72/Config!$B$10)^Config!$B$9)</f>
        <v>17.80590909</v>
      </c>
      <c r="AK72" s="17">
        <f t="shared" si="3"/>
        <v>8.315359545</v>
      </c>
      <c r="AL72" s="17">
        <f t="shared" si="4"/>
        <v>34.41791667</v>
      </c>
      <c r="AM72" s="17">
        <f t="shared" si="5"/>
        <v>34.41791667</v>
      </c>
      <c r="AN72" s="17">
        <f t="shared" si="6"/>
        <v>16.41308806</v>
      </c>
      <c r="AO72" s="17">
        <f t="shared" si="7"/>
        <v>16.41308806</v>
      </c>
      <c r="AP72" s="11">
        <f t="shared" si="8"/>
        <v>0.4768762797</v>
      </c>
      <c r="AQ72" s="4" t="str">
        <f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4" t="str">
        <f>IF($C72=Board!$B$2,COUNTIFS($C$2:$C$157,Board!$B$2,$AL$2:$AL$157,"&gt;"&amp;$AL72)+COUNTIFS($C$1:$C71,Board!$B$2,$AL$1:$AL71,$AL72)+1,"")</f>
        <v/>
      </c>
      <c r="AS72" s="4" t="str">
        <f t="array" ref="AS72">IFERROR(IF($D72=INDEX(Matches!$AD$5:$AD$22,MATCH($C72,Matches!$A$5:$A$22,0)),"A",IF($D72=INDEX(Matches!$AE$5:$AE$22,MATCH($C72,Matches!$A$5:$A$22,0)),"B","")),"")</f>
        <v>B</v>
      </c>
      <c r="AT72" s="11">
        <f t="array" ref="AT72">IF($AS72="","",IFERROR(IF($AS72="A",INDEX(Matches!$AI$5:$AI$22,MATCH($C72,Matches!$A$5:$A$22,0)),INDEX(Matches!$AJ$5:$AJ$22,MATCH($C72,Matches!$A$5:$A$22,0))),""))</f>
        <v>0.5227311331</v>
      </c>
      <c r="AU72" s="11">
        <f t="array" ref="AU72">IF($AS72="","",IFERROR(IF(INDEX(Matches!$AP$5:$AP$22,MATCH($C72,Matches!$A$5:$A$22,0))="","",IF($AS72="A",INDEX(Matches!$AP$5:$AP$22,MATCH($C72,Matches!$A$5:$A$22,0)),1-INDEX(Matches!$AP$5:$AP$22,MATCH($C72,Matches!$A$5:$A$22,0)))),""))</f>
        <v>0.4484138945</v>
      </c>
      <c r="AV72" s="18">
        <f>IF(OR($AU72="",$AT72=""),1,((Config!$B$14*$AU72+Config!$B$15*(1-$AU72))/(Config!$B$14*$AT72+Config!$B$15*(1-$AT72)))^Config!$B$13)</f>
        <v>0.9349109988</v>
      </c>
      <c r="AW72" s="11">
        <f t="array" ref="AW72">IF($AS72="","",IFERROR(IF(INDEX(Matches!$AV$5:$AV$22,MATCH($C72,Matches!$A$5:$A$22,0))="","",IF($AS72="A",INDEX(Matches!$AV$5:$AV$22,MATCH($C72,Matches!$A$5:$A$22,0)),1-INDEX(Matches!$AV$5:$AV$22,MATCH($C72,Matches!$A$5:$A$22,0)))),""))</f>
        <v>0.4880474167</v>
      </c>
      <c r="AX72" s="18">
        <f>IF(OR($AW72="",$AT72=""),1,((Config!$B$14*$AW72+Config!$B$15*(1-$AW72))/(Config!$B$14*$AT72+Config!$B$15*(1-$AT72)))^Config!$B$13)</f>
        <v>0.9696230848</v>
      </c>
      <c r="AY72" s="11">
        <f t="array" ref="AY72">IF($AS72="","",IFERROR(IF(INDEX(Matches!$BB$5:$BB$22,MATCH($C72,Matches!$A$5:$A$22,0))="","",IF($AS72="A",INDEX(Matches!$BB$5:$BB$22,MATCH($C72,Matches!$A$5:$A$22,0)),1-INDEX(Matches!$BB$5:$BB$22,MATCH($C72,Matches!$A$5:$A$22,0)))),""))</f>
        <v>0.4399552284</v>
      </c>
      <c r="AZ72" s="18">
        <f>IF(OR($AY72="",$AT72=""),1,((Config!$B$14*$AY72+Config!$B$15*(1-$AY72))/(Config!$B$14*$AT72+Config!$B$15*(1-$AT72)))^Config!$B$13)</f>
        <v>0.9275026754</v>
      </c>
      <c r="BA72" s="17">
        <f t="shared" si="9"/>
        <v>15.99671674</v>
      </c>
      <c r="BB72" s="17">
        <f t="shared" si="10"/>
        <v>16.78175154</v>
      </c>
      <c r="BC72" s="17">
        <f t="shared" si="11"/>
        <v>16.51502832</v>
      </c>
      <c r="BD72" s="17">
        <f t="shared" si="12"/>
        <v>32.77846827</v>
      </c>
      <c r="BE72" s="17">
        <f t="shared" si="13"/>
        <v>32.77846827</v>
      </c>
      <c r="BF72" s="17">
        <f t="shared" si="14"/>
        <v>7.507792388</v>
      </c>
      <c r="BG72" s="17">
        <f t="shared" si="15"/>
        <v>8.127961662</v>
      </c>
      <c r="BH72" s="17">
        <f t="shared" si="16"/>
        <v>7.712518226</v>
      </c>
      <c r="BI72" s="17">
        <f t="shared" si="17"/>
        <v>15.63575405</v>
      </c>
      <c r="BJ72" s="17">
        <f t="shared" si="18"/>
        <v>15.63575405</v>
      </c>
      <c r="BK72" s="18">
        <f t="shared" si="19"/>
        <v>0.9523664257</v>
      </c>
    </row>
    <row r="73" ht="15.75" customHeight="1">
      <c r="A73" s="4" t="s">
        <v>3198</v>
      </c>
      <c r="B73" s="4" t="s">
        <v>86</v>
      </c>
      <c r="C73" s="4" t="s">
        <v>1755</v>
      </c>
      <c r="D73" s="4" t="s">
        <v>1565</v>
      </c>
      <c r="E73" s="4" t="s">
        <v>1575</v>
      </c>
      <c r="F73" s="4" t="s">
        <v>1574</v>
      </c>
      <c r="G73" s="4" t="str">
        <f t="array" ref="G73">IFERROR(IF(INDEX(Matches!$W$5:$W$22,MATCH($C73,Matches!$A$5:$A$22,0))="","",INDEX(Matches!$W$5:$W$22,MATCH($C73,Matches!$A$5:$A$22,0))),"")</f>
        <v>Nuke</v>
      </c>
      <c r="H73" s="4" t="str">
        <f t="array" ref="H73">IFERROR(IF(INDEX(Matches!$X$5:$X$22,MATCH($C73,Matches!$A$5:$A$22,0))="","",INDEX(Matches!$X$5:$X$22,MATCH($C73,Matches!$A$5:$A$22,0))),"")</f>
        <v>Cache</v>
      </c>
      <c r="I73" s="4" t="str">
        <f t="array" ref="I73">IFERROR(IF(INDEX(Matches!$Y$5:$Y$22,MATCH($C73,Matches!$A$5:$A$22,0))="","",INDEX(Matches!$Y$5:$Y$22,MATCH($C73,Matches!$A$5:$A$22,0))),"")</f>
        <v>Ancient</v>
      </c>
      <c r="J73" s="4">
        <f t="array" ref="J73">IFERROR(IF(INDEX(Matches!$Z$5:$Z$22,MATCH($C73,Matches!$A$5:$A$22,0))="","",INDEX(Matches!$Z$5:$Z$22,MATCH($C73,Matches!$A$5:$A$22,0))),"")</f>
        <v>21.5</v>
      </c>
      <c r="K73" s="4">
        <f t="array" ref="K73">IFERROR(IF(INDEX(Matches!$AA$5:$AA$22,MATCH($C73,Matches!$A$5:$A$22,0))="","",INDEX(Matches!$AA$5:$AA$22,MATCH($C73,Matches!$A$5:$A$22,0))),"")</f>
        <v>21.5</v>
      </c>
      <c r="L73" s="4">
        <f t="array" ref="L73">IFERROR(IF(INDEX(Matches!$AB$5:$AB$22,MATCH($C73,Matches!$A$5:$A$22,0))="","",INDEX(Matches!$AB$5:$AB$22,MATCH($C73,Matches!$A$5:$A$22,0))),"")</f>
        <v>21.5</v>
      </c>
      <c r="M73" s="11">
        <f t="array" ref="M73">IFERROR(IF(INDEX(Matches!$AC$5:$AC$22,MATCH($C73,Matches!$A$5:$A$22,0))="","",INDEX(Matches!$AC$5:$AC$22,MATCH($C73,Matches!$A$5:$A$22,0))),"")</f>
        <v>0</v>
      </c>
      <c r="N73" s="4">
        <f t="array" ref="N73">IFERROR(INDEX(Players!$F$2:$F$127,MATCH($F73,Players!$A$2:$A$127,0)),0)</f>
        <v>36</v>
      </c>
      <c r="O73" s="18">
        <f t="array" ref="O73">IFERROR(1/(1/INDEX(Players!$H$2:$H$127,MATCH($F73,Players!$A$2:$A$127,0))),"")</f>
        <v>0.71</v>
      </c>
      <c r="P73" s="11">
        <f t="array" ref="P73">IFERROR(1/(1/INDEX(Players!$I$2:$I$127,MATCH($F73,Players!$A$2:$A$127,0))),"")</f>
        <v>0.683</v>
      </c>
      <c r="Q73" s="4">
        <f>IF($G73="",0,SUMIFS(Map_Stats!$F$2:$F$825,Map_Stats!$A$2:$A$825,$F73&amp;"|"&amp;$G73))</f>
        <v>7</v>
      </c>
      <c r="R73" s="18">
        <f t="array" ref="R73">IF($G73="","",IFERROR(1/(1/INDEX(Map_Stats!$K$2:$K$825,MATCH($F73&amp;"|"&amp;$G73,Map_Stats!$A$2:$A$825,0))),$O73))</f>
        <v>0.63</v>
      </c>
      <c r="S73" s="11">
        <f t="array" ref="S73">IF(OR($G73="",$P73=""),"",IFERROR(1/(1/INDEX(Map_Stats!$I$2:$I$825,MATCH($F73&amp;"|"&amp;$G73,Map_Stats!$A$2:$A$825,0))),$P73))</f>
        <v>0.616</v>
      </c>
      <c r="T73" s="18">
        <f>IF(OR($G73="",R73=""),"",IF($O73="",R73,(Q73*R73+Config!$B$4*$O73)/(Q73+Config!$B$4)))</f>
        <v>0.6633333333</v>
      </c>
      <c r="U73" s="11">
        <f>IF(S73="","",(Q73*S73+Config!$B$4*$P73)/(Q73+Config!$B$4))</f>
        <v>0.6439166667</v>
      </c>
      <c r="V73" s="17">
        <f>IF(OR(T73="",$J73=""),"",T73*$J73*($J73/Config!$B$10)^Config!$B$9)</f>
        <v>14.26166667</v>
      </c>
      <c r="W73" s="17">
        <f t="shared" si="1"/>
        <v>9.183324861</v>
      </c>
      <c r="X73" s="4">
        <f>IF($H73="",0,SUMIFS(Map_Stats!$F$2:$F$825,Map_Stats!$A$2:$A$825,$F73&amp;"|"&amp;$H73))</f>
        <v>2</v>
      </c>
      <c r="Y73" s="18">
        <f t="array" ref="Y73">IF($H73="","",IFERROR(1/(1/INDEX(Map_Stats!$K$2:$K$825,MATCH($F73&amp;"|"&amp;$H73,Map_Stats!$A$2:$A$825,0))),$O73))</f>
        <v>0.61</v>
      </c>
      <c r="Z73" s="11">
        <f t="array" ref="Z73">IF(OR($H73="",$P73=""),"",IFERROR(1/(1/INDEX(Map_Stats!$I$2:$I$825,MATCH($F73&amp;"|"&amp;$H73,Map_Stats!$A$2:$A$825,0))),$P73))</f>
        <v>0.609</v>
      </c>
      <c r="AA73" s="18">
        <f>IF(OR($H73="",Y73=""),"",IF($O73="",Y73,(X73*Y73+Config!$B$4*$O73)/(X73+Config!$B$4)))</f>
        <v>0.6814285714</v>
      </c>
      <c r="AB73" s="11">
        <f>IF(Z73="","",(X73*Z73+Config!$B$4*$P73)/(X73+Config!$B$4))</f>
        <v>0.6618571429</v>
      </c>
      <c r="AC73" s="17">
        <f>IF(OR(AA73="",$K73=""),"",AA73*$K73*($K73/Config!$B$10)^Config!$B$9)</f>
        <v>14.65071429</v>
      </c>
      <c r="AD73" s="17">
        <f t="shared" si="2"/>
        <v>9.696679898</v>
      </c>
      <c r="AE73" s="4">
        <f>IF($I73="",0,SUMIFS(Map_Stats!$F$2:$F$825,Map_Stats!$A$2:$A$825,$F73&amp;"|"&amp;$I73))</f>
        <v>7</v>
      </c>
      <c r="AF73" s="18">
        <f t="array" ref="AF73">IF($I73="","",IFERROR(1/(1/INDEX(Map_Stats!$K$2:$K$825,MATCH($F73&amp;"|"&amp;$I73,Map_Stats!$A$2:$A$825,0))),$O73))</f>
        <v>0.76</v>
      </c>
      <c r="AG73" s="11">
        <f t="array" ref="AG73">IF(OR($I73="",$P73=""),"",IFERROR(1/(1/INDEX(Map_Stats!$I$2:$I$825,MATCH($F73&amp;"|"&amp;$I73,Map_Stats!$A$2:$A$825,0))),$P73))</f>
        <v>0.692</v>
      </c>
      <c r="AH73" s="18">
        <f>IF(OR($I73="",AF73=""),"",IF($O73="",AF73,(AE73*AF73+Config!$B$4*$O73)/(AE73+Config!$B$4)))</f>
        <v>0.7391666667</v>
      </c>
      <c r="AI73" s="11">
        <f>IF(AG73="","",(AE73*AG73+Config!$B$4*$P73)/(AE73+Config!$B$4))</f>
        <v>0.68825</v>
      </c>
      <c r="AJ73" s="17">
        <f>IF(OR(AH73="",$L73=""),"",AH73*$L73*($L73/Config!$B$10)^Config!$B$9)</f>
        <v>15.89208333</v>
      </c>
      <c r="AK73" s="17">
        <f t="shared" si="3"/>
        <v>10.93772635</v>
      </c>
      <c r="AL73" s="17">
        <f t="shared" si="4"/>
        <v>28.91238095</v>
      </c>
      <c r="AM73" s="17">
        <f t="shared" si="5"/>
        <v>28.91238095</v>
      </c>
      <c r="AN73" s="17">
        <f t="shared" si="6"/>
        <v>18.88000476</v>
      </c>
      <c r="AO73" s="17">
        <f t="shared" si="7"/>
        <v>18.88000476</v>
      </c>
      <c r="AP73" s="11">
        <f t="shared" si="8"/>
        <v>0.6530076091</v>
      </c>
      <c r="AQ73" s="4" t="str">
        <f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4" t="str">
        <f>IF($C73=Board!$B$2,COUNTIFS($C$2:$C$157,Board!$B$2,$AL$2:$AL$157,"&gt;"&amp;$AL73)+COUNTIFS($C$1:$C72,Board!$B$2,$AL$1:$AL72,$AL73)+1,"")</f>
        <v/>
      </c>
      <c r="AS73" s="4" t="str">
        <f t="array" ref="AS73">IFERROR(IF($D73=INDEX(Matches!$AD$5:$AD$22,MATCH($C73,Matches!$A$5:$A$22,0)),"A",IF($D73=INDEX(Matches!$AE$5:$AE$22,MATCH($C73,Matches!$A$5:$A$22,0)),"B","")),"")</f>
        <v>B</v>
      </c>
      <c r="AT73" s="11">
        <f t="array" ref="AT73">IF($AS73="","",IFERROR(IF($AS73="A",INDEX(Matches!$AI$5:$AI$22,MATCH($C73,Matches!$A$5:$A$22,0)),INDEX(Matches!$AJ$5:$AJ$22,MATCH($C73,Matches!$A$5:$A$22,0))),""))</f>
        <v>0.5227311331</v>
      </c>
      <c r="AU73" s="11">
        <f t="array" ref="AU73">IF($AS73="","",IFERROR(IF(INDEX(Matches!$AP$5:$AP$22,MATCH($C73,Matches!$A$5:$A$22,0))="","",IF($AS73="A",INDEX(Matches!$AP$5:$AP$22,MATCH($C73,Matches!$A$5:$A$22,0)),1-INDEX(Matches!$AP$5:$AP$22,MATCH($C73,Matches!$A$5:$A$22,0)))),""))</f>
        <v>0.4484138945</v>
      </c>
      <c r="AV73" s="18">
        <f>IF(OR($AU73="",$AT73=""),1,((Config!$B$14*$AU73+Config!$B$15*(1-$AU73))/(Config!$B$14*$AT73+Config!$B$15*(1-$AT73)))^Config!$B$13)</f>
        <v>0.9349109988</v>
      </c>
      <c r="AW73" s="11">
        <f t="array" ref="AW73">IF($AS73="","",IFERROR(IF(INDEX(Matches!$AV$5:$AV$22,MATCH($C73,Matches!$A$5:$A$22,0))="","",IF($AS73="A",INDEX(Matches!$AV$5:$AV$22,MATCH($C73,Matches!$A$5:$A$22,0)),1-INDEX(Matches!$AV$5:$AV$22,MATCH($C73,Matches!$A$5:$A$22,0)))),""))</f>
        <v>0.4880474167</v>
      </c>
      <c r="AX73" s="18">
        <f>IF(OR($AW73="",$AT73=""),1,((Config!$B$14*$AW73+Config!$B$15*(1-$AW73))/(Config!$B$14*$AT73+Config!$B$15*(1-$AT73)))^Config!$B$13)</f>
        <v>0.9696230848</v>
      </c>
      <c r="AY73" s="11">
        <f t="array" ref="AY73">IF($AS73="","",IFERROR(IF(INDEX(Matches!$BB$5:$BB$22,MATCH($C73,Matches!$A$5:$A$22,0))="","",IF($AS73="A",INDEX(Matches!$BB$5:$BB$22,MATCH($C73,Matches!$A$5:$A$22,0)),1-INDEX(Matches!$BB$5:$BB$22,MATCH($C73,Matches!$A$5:$A$22,0)))),""))</f>
        <v>0.4399552284</v>
      </c>
      <c r="AZ73" s="18">
        <f>IF(OR($AY73="",$AT73=""),1,((Config!$B$14*$AY73+Config!$B$15*(1-$AY73))/(Config!$B$14*$AT73+Config!$B$15*(1-$AT73)))^Config!$B$13)</f>
        <v>0.9275026754</v>
      </c>
      <c r="BA73" s="17">
        <f t="shared" si="9"/>
        <v>13.33338903</v>
      </c>
      <c r="BB73" s="17">
        <f t="shared" si="10"/>
        <v>14.20567078</v>
      </c>
      <c r="BC73" s="17">
        <f t="shared" si="11"/>
        <v>14.73994981</v>
      </c>
      <c r="BD73" s="17">
        <f t="shared" si="12"/>
        <v>27.53905981</v>
      </c>
      <c r="BE73" s="17">
        <f t="shared" si="13"/>
        <v>27.53905981</v>
      </c>
      <c r="BF73" s="17">
        <f t="shared" si="14"/>
        <v>8.585591418</v>
      </c>
      <c r="BG73" s="17">
        <f t="shared" si="15"/>
        <v>9.402124674</v>
      </c>
      <c r="BH73" s="17">
        <f t="shared" si="16"/>
        <v>10.14477046</v>
      </c>
      <c r="BI73" s="17">
        <f t="shared" si="17"/>
        <v>17.98771609</v>
      </c>
      <c r="BJ73" s="17">
        <f t="shared" si="18"/>
        <v>17.98771609</v>
      </c>
      <c r="BK73" s="18">
        <f t="shared" si="19"/>
        <v>0.9525005863</v>
      </c>
    </row>
    <row r="74" ht="15.75" customHeight="1">
      <c r="A74" s="4" t="s">
        <v>3199</v>
      </c>
      <c r="B74" s="4" t="s">
        <v>86</v>
      </c>
      <c r="C74" s="4" t="s">
        <v>1755</v>
      </c>
      <c r="D74" s="4" t="s">
        <v>1565</v>
      </c>
      <c r="E74" s="4" t="s">
        <v>1578</v>
      </c>
      <c r="F74" s="4" t="s">
        <v>1577</v>
      </c>
      <c r="G74" s="4" t="str">
        <f t="array" ref="G74">IFERROR(IF(INDEX(Matches!$W$5:$W$22,MATCH($C74,Matches!$A$5:$A$22,0))="","",INDEX(Matches!$W$5:$W$22,MATCH($C74,Matches!$A$5:$A$22,0))),"")</f>
        <v>Nuke</v>
      </c>
      <c r="H74" s="4" t="str">
        <f t="array" ref="H74">IFERROR(IF(INDEX(Matches!$X$5:$X$22,MATCH($C74,Matches!$A$5:$A$22,0))="","",INDEX(Matches!$X$5:$X$22,MATCH($C74,Matches!$A$5:$A$22,0))),"")</f>
        <v>Cache</v>
      </c>
      <c r="I74" s="4" t="str">
        <f t="array" ref="I74">IFERROR(IF(INDEX(Matches!$Y$5:$Y$22,MATCH($C74,Matches!$A$5:$A$22,0))="","",INDEX(Matches!$Y$5:$Y$22,MATCH($C74,Matches!$A$5:$A$22,0))),"")</f>
        <v>Ancient</v>
      </c>
      <c r="J74" s="4">
        <f t="array" ref="J74">IFERROR(IF(INDEX(Matches!$Z$5:$Z$22,MATCH($C74,Matches!$A$5:$A$22,0))="","",INDEX(Matches!$Z$5:$Z$22,MATCH($C74,Matches!$A$5:$A$22,0))),"")</f>
        <v>21.5</v>
      </c>
      <c r="K74" s="4">
        <f t="array" ref="K74">IFERROR(IF(INDEX(Matches!$AA$5:$AA$22,MATCH($C74,Matches!$A$5:$A$22,0))="","",INDEX(Matches!$AA$5:$AA$22,MATCH($C74,Matches!$A$5:$A$22,0))),"")</f>
        <v>21.5</v>
      </c>
      <c r="L74" s="4">
        <f t="array" ref="L74">IFERROR(IF(INDEX(Matches!$AB$5:$AB$22,MATCH($C74,Matches!$A$5:$A$22,0))="","",INDEX(Matches!$AB$5:$AB$22,MATCH($C74,Matches!$A$5:$A$22,0))),"")</f>
        <v>21.5</v>
      </c>
      <c r="M74" s="11">
        <f t="array" ref="M74">IFERROR(IF(INDEX(Matches!$AC$5:$AC$22,MATCH($C74,Matches!$A$5:$A$22,0))="","",INDEX(Matches!$AC$5:$AC$22,MATCH($C74,Matches!$A$5:$A$22,0))),"")</f>
        <v>0</v>
      </c>
      <c r="N74" s="4">
        <f t="array" ref="N74">IFERROR(INDEX(Players!$F$2:$F$127,MATCH($F74,Players!$A$2:$A$127,0)),0)</f>
        <v>35</v>
      </c>
      <c r="O74" s="18">
        <f t="array" ref="O74">IFERROR(1/(1/INDEX(Players!$H$2:$H$127,MATCH($F74,Players!$A$2:$A$127,0))),"")</f>
        <v>0.76</v>
      </c>
      <c r="P74" s="11">
        <f t="array" ref="P74">IFERROR(1/(1/INDEX(Players!$I$2:$I$127,MATCH($F74,Players!$A$2:$A$127,0))),"")</f>
        <v>0.382</v>
      </c>
      <c r="Q74" s="4">
        <f>IF($G74="",0,SUMIFS(Map_Stats!$F$2:$F$825,Map_Stats!$A$2:$A$825,$F74&amp;"|"&amp;$G74))</f>
        <v>6</v>
      </c>
      <c r="R74" s="18">
        <f t="array" ref="R74">IF($G74="","",IFERROR(1/(1/INDEX(Map_Stats!$K$2:$K$825,MATCH($F74&amp;"|"&amp;$G74,Map_Stats!$A$2:$A$825,0))),$O74))</f>
        <v>0.74</v>
      </c>
      <c r="S74" s="11">
        <f t="array" ref="S74">IF(OR($G74="",$P74=""),"",IFERROR(1/(1/INDEX(Map_Stats!$I$2:$I$825,MATCH($F74&amp;"|"&amp;$G74,Map_Stats!$A$2:$A$825,0))),$P74))</f>
        <v>0.345</v>
      </c>
      <c r="T74" s="18">
        <f>IF(OR($G74="",R74=""),"",IF($O74="",R74,(Q74*R74+Config!$B$4*$O74)/(Q74+Config!$B$4)))</f>
        <v>0.7490909091</v>
      </c>
      <c r="U74" s="11">
        <f>IF(S74="","",(Q74*S74+Config!$B$4*$P74)/(Q74+Config!$B$4))</f>
        <v>0.3618181818</v>
      </c>
      <c r="V74" s="17">
        <f>IF(OR(T74="",$J74=""),"",T74*$J74*($J74/Config!$B$10)^Config!$B$9)</f>
        <v>16.10545455</v>
      </c>
      <c r="W74" s="17">
        <f t="shared" si="1"/>
        <v>5.827246281</v>
      </c>
      <c r="X74" s="4">
        <f>IF($H74="",0,SUMIFS(Map_Stats!$F$2:$F$825,Map_Stats!$A$2:$A$825,$F74&amp;"|"&amp;$H74))</f>
        <v>1</v>
      </c>
      <c r="Y74" s="18">
        <f t="array" ref="Y74">IF($H74="","",IFERROR(1/(1/INDEX(Map_Stats!$K$2:$K$825,MATCH($F74&amp;"|"&amp;$H74,Map_Stats!$A$2:$A$825,0))),$O74))</f>
        <v>0.63</v>
      </c>
      <c r="Z74" s="11">
        <f t="array" ref="Z74">IF(OR($H74="",$P74=""),"",IFERROR(1/(1/INDEX(Map_Stats!$I$2:$I$825,MATCH($F74&amp;"|"&amp;$H74,Map_Stats!$A$2:$A$825,0))),$P74))</f>
        <v>0.4</v>
      </c>
      <c r="AA74" s="18">
        <f>IF(OR($H74="",Y74=""),"",IF($O74="",Y74,(X74*Y74+Config!$B$4*$O74)/(X74+Config!$B$4)))</f>
        <v>0.7383333333</v>
      </c>
      <c r="AB74" s="11">
        <f>IF(Z74="","",(X74*Z74+Config!$B$4*$P74)/(X74+Config!$B$4))</f>
        <v>0.385</v>
      </c>
      <c r="AC74" s="17">
        <f>IF(OR(AA74="",$K74=""),"",AA74*$K74*($K74/Config!$B$10)^Config!$B$9)</f>
        <v>15.87416667</v>
      </c>
      <c r="AD74" s="17">
        <f t="shared" si="2"/>
        <v>6.111554167</v>
      </c>
      <c r="AE74" s="4">
        <f>IF($I74="",0,SUMIFS(Map_Stats!$F$2:$F$825,Map_Stats!$A$2:$A$825,$F74&amp;"|"&amp;$I74))</f>
        <v>7</v>
      </c>
      <c r="AF74" s="18">
        <f t="array" ref="AF74">IF($I74="","",IFERROR(1/(1/INDEX(Map_Stats!$K$2:$K$825,MATCH($F74&amp;"|"&amp;$I74,Map_Stats!$A$2:$A$825,0))),$O74))</f>
        <v>0.74</v>
      </c>
      <c r="AG74" s="11">
        <f t="array" ref="AG74">IF(OR($I74="",$P74=""),"",IFERROR(1/(1/INDEX(Map_Stats!$I$2:$I$825,MATCH($F74&amp;"|"&amp;$I74,Map_Stats!$A$2:$A$825,0))),$P74))</f>
        <v>0.387</v>
      </c>
      <c r="AH74" s="18">
        <f>IF(OR($I74="",AF74=""),"",IF($O74="",AF74,(AE74*AF74+Config!$B$4*$O74)/(AE74+Config!$B$4)))</f>
        <v>0.7483333333</v>
      </c>
      <c r="AI74" s="11">
        <f>IF(AG74="","",(AE74*AG74+Config!$B$4*$P74)/(AE74+Config!$B$4))</f>
        <v>0.3849166667</v>
      </c>
      <c r="AJ74" s="17">
        <f>IF(OR(AH74="",$L74=""),"",AH74*$L74*($L74/Config!$B$10)^Config!$B$9)</f>
        <v>16.08916667</v>
      </c>
      <c r="AK74" s="17">
        <f t="shared" si="3"/>
        <v>6.192988403</v>
      </c>
      <c r="AL74" s="17">
        <f t="shared" si="4"/>
        <v>31.97962121</v>
      </c>
      <c r="AM74" s="17">
        <f t="shared" si="5"/>
        <v>31.97962121</v>
      </c>
      <c r="AN74" s="17">
        <f t="shared" si="6"/>
        <v>11.93880045</v>
      </c>
      <c r="AO74" s="17">
        <f t="shared" si="7"/>
        <v>11.93880045</v>
      </c>
      <c r="AP74" s="11">
        <f t="shared" si="8"/>
        <v>0.3733252614</v>
      </c>
      <c r="AQ74" s="4" t="str">
        <f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4" t="str">
        <f>IF($C74=Board!$B$2,COUNTIFS($C$2:$C$157,Board!$B$2,$AL$2:$AL$157,"&gt;"&amp;$AL74)+COUNTIFS($C$1:$C73,Board!$B$2,$AL$1:$AL73,$AL74)+1,"")</f>
        <v/>
      </c>
      <c r="AS74" s="4" t="str">
        <f t="array" ref="AS74">IFERROR(IF($D74=INDEX(Matches!$AD$5:$AD$22,MATCH($C74,Matches!$A$5:$A$22,0)),"A",IF($D74=INDEX(Matches!$AE$5:$AE$22,MATCH($C74,Matches!$A$5:$A$22,0)),"B","")),"")</f>
        <v>B</v>
      </c>
      <c r="AT74" s="11">
        <f t="array" ref="AT74">IF($AS74="","",IFERROR(IF($AS74="A",INDEX(Matches!$AI$5:$AI$22,MATCH($C74,Matches!$A$5:$A$22,0)),INDEX(Matches!$AJ$5:$AJ$22,MATCH($C74,Matches!$A$5:$A$22,0))),""))</f>
        <v>0.5227311331</v>
      </c>
      <c r="AU74" s="11">
        <f t="array" ref="AU74">IF($AS74="","",IFERROR(IF(INDEX(Matches!$AP$5:$AP$22,MATCH($C74,Matches!$A$5:$A$22,0))="","",IF($AS74="A",INDEX(Matches!$AP$5:$AP$22,MATCH($C74,Matches!$A$5:$A$22,0)),1-INDEX(Matches!$AP$5:$AP$22,MATCH($C74,Matches!$A$5:$A$22,0)))),""))</f>
        <v>0.4484138945</v>
      </c>
      <c r="AV74" s="18">
        <f>IF(OR($AU74="",$AT74=""),1,((Config!$B$14*$AU74+Config!$B$15*(1-$AU74))/(Config!$B$14*$AT74+Config!$B$15*(1-$AT74)))^Config!$B$13)</f>
        <v>0.9349109988</v>
      </c>
      <c r="AW74" s="11">
        <f t="array" ref="AW74">IF($AS74="","",IFERROR(IF(INDEX(Matches!$AV$5:$AV$22,MATCH($C74,Matches!$A$5:$A$22,0))="","",IF($AS74="A",INDEX(Matches!$AV$5:$AV$22,MATCH($C74,Matches!$A$5:$A$22,0)),1-INDEX(Matches!$AV$5:$AV$22,MATCH($C74,Matches!$A$5:$A$22,0)))),""))</f>
        <v>0.4880474167</v>
      </c>
      <c r="AX74" s="18">
        <f>IF(OR($AW74="",$AT74=""),1,((Config!$B$14*$AW74+Config!$B$15*(1-$AW74))/(Config!$B$14*$AT74+Config!$B$15*(1-$AT74)))^Config!$B$13)</f>
        <v>0.9696230848</v>
      </c>
      <c r="AY74" s="11">
        <f t="array" ref="AY74">IF($AS74="","",IFERROR(IF(INDEX(Matches!$BB$5:$BB$22,MATCH($C74,Matches!$A$5:$A$22,0))="","",IF($AS74="A",INDEX(Matches!$BB$5:$BB$22,MATCH($C74,Matches!$A$5:$A$22,0)),1-INDEX(Matches!$BB$5:$BB$22,MATCH($C74,Matches!$A$5:$A$22,0)))),""))</f>
        <v>0.4399552284</v>
      </c>
      <c r="AZ74" s="18">
        <f>IF(OR($AY74="",$AT74=""),1,((Config!$B$14*$AY74+Config!$B$15*(1-$AY74))/(Config!$B$14*$AT74+Config!$B$15*(1-$AT74)))^Config!$B$13)</f>
        <v>0.9275026754</v>
      </c>
      <c r="BA74" s="17">
        <f t="shared" si="9"/>
        <v>15.05716659</v>
      </c>
      <c r="BB74" s="17">
        <f t="shared" si="10"/>
        <v>15.39195845</v>
      </c>
      <c r="BC74" s="17">
        <f t="shared" si="11"/>
        <v>14.92274513</v>
      </c>
      <c r="BD74" s="17">
        <f t="shared" si="12"/>
        <v>30.44912505</v>
      </c>
      <c r="BE74" s="17">
        <f t="shared" si="13"/>
        <v>30.44912505</v>
      </c>
      <c r="BF74" s="17">
        <f t="shared" si="14"/>
        <v>5.447956641</v>
      </c>
      <c r="BG74" s="17">
        <f t="shared" si="15"/>
        <v>5.925904004</v>
      </c>
      <c r="BH74" s="17">
        <f t="shared" si="16"/>
        <v>5.744013313</v>
      </c>
      <c r="BI74" s="17">
        <f t="shared" si="17"/>
        <v>11.37386064</v>
      </c>
      <c r="BJ74" s="17">
        <f t="shared" si="18"/>
        <v>11.37386064</v>
      </c>
      <c r="BK74" s="18">
        <f t="shared" si="19"/>
        <v>0.9521415167</v>
      </c>
    </row>
    <row r="75" ht="15.75" customHeight="1">
      <c r="A75" s="4" t="s">
        <v>3200</v>
      </c>
      <c r="B75" s="4" t="s">
        <v>86</v>
      </c>
      <c r="C75" s="4" t="s">
        <v>993</v>
      </c>
      <c r="D75" s="4" t="s">
        <v>1013</v>
      </c>
      <c r="E75" s="4" t="s">
        <v>1405</v>
      </c>
      <c r="F75" s="4" t="s">
        <v>1404</v>
      </c>
      <c r="G75" s="4" t="str">
        <f t="array" ref="G75">IFERROR(IF(INDEX(Matches!$W$5:$W$22,MATCH($C75,Matches!$A$5:$A$22,0))="","",INDEX(Matches!$W$5:$W$22,MATCH($C75,Matches!$A$5:$A$22,0))),"")</f>
        <v>Nuke</v>
      </c>
      <c r="H75" s="4" t="str">
        <f t="array" ref="H75">IFERROR(IF(INDEX(Matches!$X$5:$X$22,MATCH($C75,Matches!$A$5:$A$22,0))="","",INDEX(Matches!$X$5:$X$22,MATCH($C75,Matches!$A$5:$A$22,0))),"")</f>
        <v>Mirage</v>
      </c>
      <c r="I75" s="4" t="str">
        <f t="array" ref="I75">IFERROR(IF(INDEX(Matches!$Y$5:$Y$22,MATCH($C75,Matches!$A$5:$A$22,0))="","",INDEX(Matches!$Y$5:$Y$22,MATCH($C75,Matches!$A$5:$A$22,0))),"")</f>
        <v/>
      </c>
      <c r="J75" s="4">
        <f t="array" ref="J75">IFERROR(IF(INDEX(Matches!$Z$5:$Z$22,MATCH($C75,Matches!$A$5:$A$22,0))="","",INDEX(Matches!$Z$5:$Z$22,MATCH($C75,Matches!$A$5:$A$22,0))),"")</f>
        <v>21.5</v>
      </c>
      <c r="K75" s="4">
        <f t="array" ref="K75">IFERROR(IF(INDEX(Matches!$AA$5:$AA$22,MATCH($C75,Matches!$A$5:$A$22,0))="","",INDEX(Matches!$AA$5:$AA$22,MATCH($C75,Matches!$A$5:$A$22,0))),"")</f>
        <v>21.5</v>
      </c>
      <c r="L75" s="4" t="str">
        <f t="array" ref="L75">IFERROR(IF(INDEX(Matches!$AB$5:$AB$22,MATCH($C75,Matches!$A$5:$A$22,0))="","",INDEX(Matches!$AB$5:$AB$22,MATCH($C75,Matches!$A$5:$A$22,0))),"")</f>
        <v/>
      </c>
      <c r="M75" s="11">
        <f t="array" ref="M75">IFERROR(IF(INDEX(Matches!$AC$5:$AC$22,MATCH($C75,Matches!$A$5:$A$22,0))="","",INDEX(Matches!$AC$5:$AC$22,MATCH($C75,Matches!$A$5:$A$22,0))),"")</f>
        <v>0</v>
      </c>
      <c r="N75" s="4">
        <f t="array" ref="N75">IFERROR(INDEX(Players!$F$2:$F$127,MATCH($F75,Players!$A$2:$A$127,0)),0)</f>
        <v>31</v>
      </c>
      <c r="O75" s="18">
        <f t="array" ref="O75">IFERROR(1/(1/INDEX(Players!$H$2:$H$127,MATCH($F75,Players!$A$2:$A$127,0))),"")</f>
        <v>0.69</v>
      </c>
      <c r="P75" s="11">
        <f t="array" ref="P75">IFERROR(1/(1/INDEX(Players!$I$2:$I$127,MATCH($F75,Players!$A$2:$A$127,0))),"")</f>
        <v>0.517</v>
      </c>
      <c r="Q75" s="4">
        <f>IF($G75="",0,SUMIFS(Map_Stats!$F$2:$F$825,Map_Stats!$A$2:$A$825,$F75&amp;"|"&amp;$G75))</f>
        <v>7</v>
      </c>
      <c r="R75" s="18">
        <f t="array" ref="R75">IF($G75="","",IFERROR(1/(1/INDEX(Map_Stats!$K$2:$K$825,MATCH($F75&amp;"|"&amp;$G75,Map_Stats!$A$2:$A$825,0))),$O75))</f>
        <v>0.67</v>
      </c>
      <c r="S75" s="11">
        <f t="array" ref="S75">IF(OR($G75="",$P75=""),"",IFERROR(1/(1/INDEX(Map_Stats!$I$2:$I$825,MATCH($F75&amp;"|"&amp;$G75,Map_Stats!$A$2:$A$825,0))),$P75))</f>
        <v>0.478</v>
      </c>
      <c r="T75" s="18">
        <f>IF(OR($G75="",R75=""),"",IF($O75="",R75,(Q75*R75+Config!$B$4*$O75)/(Q75+Config!$B$4)))</f>
        <v>0.6783333333</v>
      </c>
      <c r="U75" s="11">
        <f>IF(S75="","",(Q75*S75+Config!$B$4*$P75)/(Q75+Config!$B$4))</f>
        <v>0.49425</v>
      </c>
      <c r="V75" s="17">
        <f>IF(OR(T75="",$J75=""),"",T75*$J75*($J75/Config!$B$10)^Config!$B$9)</f>
        <v>14.58416667</v>
      </c>
      <c r="W75" s="17">
        <f t="shared" si="1"/>
        <v>7.208224375</v>
      </c>
      <c r="X75" s="4">
        <f>IF($H75="",0,SUMIFS(Map_Stats!$F$2:$F$825,Map_Stats!$A$2:$A$825,$F75&amp;"|"&amp;$H75))</f>
        <v>7</v>
      </c>
      <c r="Y75" s="18">
        <f t="array" ref="Y75">IF($H75="","",IFERROR(1/(1/INDEX(Map_Stats!$K$2:$K$825,MATCH($F75&amp;"|"&amp;$H75,Map_Stats!$A$2:$A$825,0))),$O75))</f>
        <v>0.68</v>
      </c>
      <c r="Z75" s="11">
        <f t="array" ref="Z75">IF(OR($H75="",$P75=""),"",IFERROR(1/(1/INDEX(Map_Stats!$I$2:$I$825,MATCH($F75&amp;"|"&amp;$H75,Map_Stats!$A$2:$A$825,0))),$P75))</f>
        <v>0.523</v>
      </c>
      <c r="AA75" s="18">
        <f>IF(OR($H75="",Y75=""),"",IF($O75="",Y75,(X75*Y75+Config!$B$4*$O75)/(X75+Config!$B$4)))</f>
        <v>0.6841666667</v>
      </c>
      <c r="AB75" s="11">
        <f>IF(Z75="","",(X75*Z75+Config!$B$4*$P75)/(X75+Config!$B$4))</f>
        <v>0.5205</v>
      </c>
      <c r="AC75" s="17">
        <f>IF(OR(AA75="",$K75=""),"",AA75*$K75*($K75/Config!$B$10)^Config!$B$9)</f>
        <v>14.70958333</v>
      </c>
      <c r="AD75" s="17">
        <f t="shared" si="2"/>
        <v>7.656338125</v>
      </c>
      <c r="AE75" s="4">
        <f>IF($I75="",0,SUMIFS(Map_Stats!$F$2:$F$825,Map_Stats!$A$2:$A$825,$F75&amp;"|"&amp;$I75))</f>
        <v>0</v>
      </c>
      <c r="AF75" s="18" t="str">
        <f t="array" ref="AF75">IF($I75="","",IFERROR(1/(1/INDEX(Map_Stats!$K$2:$K$825,MATCH($F75&amp;"|"&amp;$I75,Map_Stats!$A$2:$A$825,0))),$O75))</f>
        <v/>
      </c>
      <c r="AG75" s="11" t="str">
        <f t="array" ref="AG75">IF(OR($I75="",$P75=""),"",IFERROR(1/(1/INDEX(Map_Stats!$I$2:$I$825,MATCH($F75&amp;"|"&amp;$I75,Map_Stats!$A$2:$A$825,0))),$P75))</f>
        <v/>
      </c>
      <c r="AH75" s="18" t="str">
        <f>IF(OR($I75="",AF75=""),"",IF($O75="",AF75,(AE75*AF75+Config!$B$4*$O75)/(AE75+Config!$B$4)))</f>
        <v/>
      </c>
      <c r="AI75" s="11" t="str">
        <f>IF(AG75="","",(AE75*AG75+Config!$B$4*$P75)/(AE75+Config!$B$4))</f>
        <v/>
      </c>
      <c r="AJ75" s="17" t="str">
        <f>IF(OR(AH75="",$L75=""),"",AH75*$L75*($L75/Config!$B$10)^Config!$B$9)</f>
        <v/>
      </c>
      <c r="AK75" s="17" t="str">
        <f t="shared" si="3"/>
        <v/>
      </c>
      <c r="AL75" s="17">
        <f t="shared" si="4"/>
        <v>29.29375</v>
      </c>
      <c r="AM75" s="17">
        <f t="shared" si="5"/>
        <v>29.29375</v>
      </c>
      <c r="AN75" s="17">
        <f t="shared" si="6"/>
        <v>14.8645625</v>
      </c>
      <c r="AO75" s="17">
        <f t="shared" si="7"/>
        <v>14.8645625</v>
      </c>
      <c r="AP75" s="11">
        <f t="shared" si="8"/>
        <v>0.5074311927</v>
      </c>
      <c r="AQ75" s="4" t="str">
        <f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4" t="str">
        <f>IF($C75=Board!$B$2,COUNTIFS($C$2:$C$157,Board!$B$2,$AL$2:$AL$157,"&gt;"&amp;$AL75)+COUNTIFS($C$1:$C74,Board!$B$2,$AL$1:$AL74,$AL75)+1,"")</f>
        <v/>
      </c>
      <c r="AS75" s="4" t="str">
        <f t="array" ref="AS75">IFERROR(IF($D75=INDEX(Matches!$AD$5:$AD$22,MATCH($C75,Matches!$A$5:$A$22,0)),"A",IF($D75=INDEX(Matches!$AE$5:$AE$22,MATCH($C75,Matches!$A$5:$A$22,0)),"B","")),"")</f>
        <v>A</v>
      </c>
      <c r="AT75" s="11">
        <f t="array" ref="AT75">IF($AS75="","",IFERROR(IF($AS75="A",INDEX(Matches!$AI$5:$AI$22,MATCH($C75,Matches!$A$5:$A$22,0)),INDEX(Matches!$AJ$5:$AJ$22,MATCH($C75,Matches!$A$5:$A$22,0))),""))</f>
        <v>0.5021995832</v>
      </c>
      <c r="AU75" s="11">
        <f t="array" ref="AU75">IF($AS75="","",IFERROR(IF(INDEX(Matches!$AP$5:$AP$22,MATCH($C75,Matches!$A$5:$A$22,0))="","",IF($AS75="A",INDEX(Matches!$AP$5:$AP$22,MATCH($C75,Matches!$A$5:$A$22,0)),1-INDEX(Matches!$AP$5:$AP$22,MATCH($C75,Matches!$A$5:$A$22,0)))),""))</f>
        <v>0.5070676287</v>
      </c>
      <c r="AV75" s="18">
        <f>IF(OR($AU75="",$AT75=""),1,((Config!$B$14*$AU75+Config!$B$15*(1-$AU75))/(Config!$B$14*$AT75+Config!$B$15*(1-$AT75)))^Config!$B$13)</f>
        <v>1.004341634</v>
      </c>
      <c r="AW75" s="11">
        <f t="array" ref="AW75">IF($AS75="","",IFERROR(IF(INDEX(Matches!$AV$5:$AV$22,MATCH($C75,Matches!$A$5:$A$22,0))="","",IF($AS75="A",INDEX(Matches!$AV$5:$AV$22,MATCH($C75,Matches!$A$5:$A$22,0)),1-INDEX(Matches!$AV$5:$AV$22,MATCH($C75,Matches!$A$5:$A$22,0)))),""))</f>
        <v>0.600468443</v>
      </c>
      <c r="AX75" s="18">
        <f>IF(OR($AW75="",$AT75=""),1,((Config!$B$14*$AW75+Config!$B$15*(1-$AW75))/(Config!$B$14*$AT75+Config!$B$15*(1-$AT75)))^Config!$B$13)</f>
        <v>1.087642457</v>
      </c>
      <c r="AY75" s="11" t="str">
        <f t="array" ref="AY75">IF($AS75="","",IFERROR(IF(INDEX(Matches!$BB$5:$BB$22,MATCH($C75,Matches!$A$5:$A$22,0))="","",IF($AS75="A",INDEX(Matches!$BB$5:$BB$22,MATCH($C75,Matches!$A$5:$A$22,0)),1-INDEX(Matches!$BB$5:$BB$22,MATCH($C75,Matches!$A$5:$A$22,0)))),""))</f>
        <v/>
      </c>
      <c r="AZ75" s="18">
        <f>IF(OR($AY75="",$AT75=""),1,((Config!$B$14*$AY75+Config!$B$15*(1-$AY75))/(Config!$B$14*$AT75+Config!$B$15*(1-$AT75)))^Config!$B$13)</f>
        <v>1</v>
      </c>
      <c r="BA75" s="17">
        <f t="shared" si="9"/>
        <v>14.64748579</v>
      </c>
      <c r="BB75" s="17">
        <f t="shared" si="10"/>
        <v>15.99876736</v>
      </c>
      <c r="BC75" s="17" t="str">
        <f t="shared" si="11"/>
        <v/>
      </c>
      <c r="BD75" s="17">
        <f t="shared" si="12"/>
        <v>30.64625315</v>
      </c>
      <c r="BE75" s="17">
        <f t="shared" si="13"/>
        <v>30.64625315</v>
      </c>
      <c r="BF75" s="17">
        <f t="shared" si="14"/>
        <v>7.23951985</v>
      </c>
      <c r="BG75" s="17">
        <f t="shared" si="15"/>
        <v>8.32735841</v>
      </c>
      <c r="BH75" s="17" t="str">
        <f t="shared" si="16"/>
        <v/>
      </c>
      <c r="BI75" s="17">
        <f t="shared" si="17"/>
        <v>15.56687826</v>
      </c>
      <c r="BJ75" s="17">
        <f t="shared" si="18"/>
        <v>15.56687826</v>
      </c>
      <c r="BK75" s="18">
        <f t="shared" si="19"/>
        <v>1.046170366</v>
      </c>
    </row>
    <row r="76" ht="15.75" customHeight="1">
      <c r="A76" s="4" t="s">
        <v>3203</v>
      </c>
      <c r="B76" s="4" t="s">
        <v>86</v>
      </c>
      <c r="C76" s="4" t="s">
        <v>993</v>
      </c>
      <c r="D76" s="4" t="s">
        <v>1013</v>
      </c>
      <c r="E76" s="4" t="s">
        <v>1409</v>
      </c>
      <c r="F76" s="4" t="s">
        <v>1408</v>
      </c>
      <c r="G76" s="4" t="str">
        <f t="array" ref="G76">IFERROR(IF(INDEX(Matches!$W$5:$W$22,MATCH($C76,Matches!$A$5:$A$22,0))="","",INDEX(Matches!$W$5:$W$22,MATCH($C76,Matches!$A$5:$A$22,0))),"")</f>
        <v>Nuke</v>
      </c>
      <c r="H76" s="4" t="str">
        <f t="array" ref="H76">IFERROR(IF(INDEX(Matches!$X$5:$X$22,MATCH($C76,Matches!$A$5:$A$22,0))="","",INDEX(Matches!$X$5:$X$22,MATCH($C76,Matches!$A$5:$A$22,0))),"")</f>
        <v>Mirage</v>
      </c>
      <c r="I76" s="4" t="str">
        <f t="array" ref="I76">IFERROR(IF(INDEX(Matches!$Y$5:$Y$22,MATCH($C76,Matches!$A$5:$A$22,0))="","",INDEX(Matches!$Y$5:$Y$22,MATCH($C76,Matches!$A$5:$A$22,0))),"")</f>
        <v/>
      </c>
      <c r="J76" s="4">
        <f t="array" ref="J76">IFERROR(IF(INDEX(Matches!$Z$5:$Z$22,MATCH($C76,Matches!$A$5:$A$22,0))="","",INDEX(Matches!$Z$5:$Z$22,MATCH($C76,Matches!$A$5:$A$22,0))),"")</f>
        <v>21.5</v>
      </c>
      <c r="K76" s="4">
        <f t="array" ref="K76">IFERROR(IF(INDEX(Matches!$AA$5:$AA$22,MATCH($C76,Matches!$A$5:$A$22,0))="","",INDEX(Matches!$AA$5:$AA$22,MATCH($C76,Matches!$A$5:$A$22,0))),"")</f>
        <v>21.5</v>
      </c>
      <c r="L76" s="4" t="str">
        <f t="array" ref="L76">IFERROR(IF(INDEX(Matches!$AB$5:$AB$22,MATCH($C76,Matches!$A$5:$A$22,0))="","",INDEX(Matches!$AB$5:$AB$22,MATCH($C76,Matches!$A$5:$A$22,0))),"")</f>
        <v/>
      </c>
      <c r="M76" s="11">
        <f t="array" ref="M76">IFERROR(IF(INDEX(Matches!$AC$5:$AC$22,MATCH($C76,Matches!$A$5:$A$22,0))="","",INDEX(Matches!$AC$5:$AC$22,MATCH($C76,Matches!$A$5:$A$22,0))),"")</f>
        <v>0</v>
      </c>
      <c r="N76" s="4">
        <f t="array" ref="N76">IFERROR(INDEX(Players!$F$2:$F$127,MATCH($F76,Players!$A$2:$A$127,0)),0)</f>
        <v>27</v>
      </c>
      <c r="O76" s="18">
        <f t="array" ref="O76">IFERROR(1/(1/INDEX(Players!$H$2:$H$127,MATCH($F76,Players!$A$2:$A$127,0))),"")</f>
        <v>0.72</v>
      </c>
      <c r="P76" s="11">
        <f t="array" ref="P76">IFERROR(1/(1/INDEX(Players!$I$2:$I$127,MATCH($F76,Players!$A$2:$A$127,0))),"")</f>
        <v>0.66</v>
      </c>
      <c r="Q76" s="4">
        <f>IF($G76="",0,SUMIFS(Map_Stats!$F$2:$F$825,Map_Stats!$A$2:$A$825,$F76&amp;"|"&amp;$G76))</f>
        <v>7</v>
      </c>
      <c r="R76" s="18">
        <f t="array" ref="R76">IF($G76="","",IFERROR(1/(1/INDEX(Map_Stats!$K$2:$K$825,MATCH($F76&amp;"|"&amp;$G76,Map_Stats!$A$2:$A$825,0))),$O76))</f>
        <v>0.89</v>
      </c>
      <c r="S76" s="11">
        <f t="array" ref="S76">IF(OR($G76="",$P76=""),"",IFERROR(1/(1/INDEX(Map_Stats!$I$2:$I$825,MATCH($F76&amp;"|"&amp;$G76,Map_Stats!$A$2:$A$825,0))),$P76))</f>
        <v>0.675</v>
      </c>
      <c r="T76" s="18">
        <f>IF(OR($G76="",R76=""),"",IF($O76="",R76,(Q76*R76+Config!$B$4*$O76)/(Q76+Config!$B$4)))</f>
        <v>0.8191666667</v>
      </c>
      <c r="U76" s="11">
        <f>IF(S76="","",(Q76*S76+Config!$B$4*$P76)/(Q76+Config!$B$4))</f>
        <v>0.66875</v>
      </c>
      <c r="V76" s="17">
        <f>IF(OR(T76="",$J76=""),"",T76*$J76*($J76/Config!$B$10)^Config!$B$9)</f>
        <v>17.61208333</v>
      </c>
      <c r="W76" s="17">
        <f t="shared" si="1"/>
        <v>11.77808073</v>
      </c>
      <c r="X76" s="4">
        <f>IF($H76="",0,SUMIFS(Map_Stats!$F$2:$F$825,Map_Stats!$A$2:$A$825,$F76&amp;"|"&amp;$H76))</f>
        <v>8</v>
      </c>
      <c r="Y76" s="18">
        <f t="array" ref="Y76">IF($H76="","",IFERROR(1/(1/INDEX(Map_Stats!$K$2:$K$825,MATCH($F76&amp;"|"&amp;$H76,Map_Stats!$A$2:$A$825,0))),$O76))</f>
        <v>0.68</v>
      </c>
      <c r="Z76" s="11">
        <f t="array" ref="Z76">IF(OR($H76="",$P76=""),"",IFERROR(1/(1/INDEX(Map_Stats!$I$2:$I$825,MATCH($F76&amp;"|"&amp;$H76,Map_Stats!$A$2:$A$825,0))),$P76))</f>
        <v>0.656</v>
      </c>
      <c r="AA76" s="18">
        <f>IF(OR($H76="",Y76=""),"",IF($O76="",Y76,(X76*Y76+Config!$B$4*$O76)/(X76+Config!$B$4)))</f>
        <v>0.6953846154</v>
      </c>
      <c r="AB76" s="11">
        <f>IF(Z76="","",(X76*Z76+Config!$B$4*$P76)/(X76+Config!$B$4))</f>
        <v>0.6575384615</v>
      </c>
      <c r="AC76" s="17">
        <f>IF(OR(AA76="",$K76=""),"",AA76*$K76*($K76/Config!$B$10)^Config!$B$9)</f>
        <v>14.95076923</v>
      </c>
      <c r="AD76" s="17">
        <f t="shared" si="2"/>
        <v>9.830705799</v>
      </c>
      <c r="AE76" s="4">
        <f>IF($I76="",0,SUMIFS(Map_Stats!$F$2:$F$825,Map_Stats!$A$2:$A$825,$F76&amp;"|"&amp;$I76))</f>
        <v>0</v>
      </c>
      <c r="AF76" s="18" t="str">
        <f t="array" ref="AF76">IF($I76="","",IFERROR(1/(1/INDEX(Map_Stats!$K$2:$K$825,MATCH($F76&amp;"|"&amp;$I76,Map_Stats!$A$2:$A$825,0))),$O76))</f>
        <v/>
      </c>
      <c r="AG76" s="11" t="str">
        <f t="array" ref="AG76">IF(OR($I76="",$P76=""),"",IFERROR(1/(1/INDEX(Map_Stats!$I$2:$I$825,MATCH($F76&amp;"|"&amp;$I76,Map_Stats!$A$2:$A$825,0))),$P76))</f>
        <v/>
      </c>
      <c r="AH76" s="18" t="str">
        <f>IF(OR($I76="",AF76=""),"",IF($O76="",AF76,(AE76*AF76+Config!$B$4*$O76)/(AE76+Config!$B$4)))</f>
        <v/>
      </c>
      <c r="AI76" s="11" t="str">
        <f>IF(AG76="","",(AE76*AG76+Config!$B$4*$P76)/(AE76+Config!$B$4))</f>
        <v/>
      </c>
      <c r="AJ76" s="17" t="str">
        <f>IF(OR(AH76="",$L76=""),"",AH76*$L76*($L76/Config!$B$10)^Config!$B$9)</f>
        <v/>
      </c>
      <c r="AK76" s="17" t="str">
        <f t="shared" si="3"/>
        <v/>
      </c>
      <c r="AL76" s="17">
        <f t="shared" si="4"/>
        <v>32.56285256</v>
      </c>
      <c r="AM76" s="17">
        <f t="shared" si="5"/>
        <v>32.56285256</v>
      </c>
      <c r="AN76" s="17">
        <f t="shared" si="6"/>
        <v>21.60878653</v>
      </c>
      <c r="AO76" s="17">
        <f t="shared" si="7"/>
        <v>21.60878653</v>
      </c>
      <c r="AP76" s="11">
        <f t="shared" si="8"/>
        <v>0.6636023821</v>
      </c>
      <c r="AQ76" s="4" t="str">
        <f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4" t="str">
        <f>IF($C76=Board!$B$2,COUNTIFS($C$2:$C$157,Board!$B$2,$AL$2:$AL$157,"&gt;"&amp;$AL76)+COUNTIFS($C$1:$C75,Board!$B$2,$AL$1:$AL75,$AL76)+1,"")</f>
        <v/>
      </c>
      <c r="AS76" s="4" t="str">
        <f t="array" ref="AS76">IFERROR(IF($D76=INDEX(Matches!$AD$5:$AD$22,MATCH($C76,Matches!$A$5:$A$22,0)),"A",IF($D76=INDEX(Matches!$AE$5:$AE$22,MATCH($C76,Matches!$A$5:$A$22,0)),"B","")),"")</f>
        <v>A</v>
      </c>
      <c r="AT76" s="11">
        <f t="array" ref="AT76">IF($AS76="","",IFERROR(IF($AS76="A",INDEX(Matches!$AI$5:$AI$22,MATCH($C76,Matches!$A$5:$A$22,0)),INDEX(Matches!$AJ$5:$AJ$22,MATCH($C76,Matches!$A$5:$A$22,0))),""))</f>
        <v>0.5021995832</v>
      </c>
      <c r="AU76" s="11">
        <f t="array" ref="AU76">IF($AS76="","",IFERROR(IF(INDEX(Matches!$AP$5:$AP$22,MATCH($C76,Matches!$A$5:$A$22,0))="","",IF($AS76="A",INDEX(Matches!$AP$5:$AP$22,MATCH($C76,Matches!$A$5:$A$22,0)),1-INDEX(Matches!$AP$5:$AP$22,MATCH($C76,Matches!$A$5:$A$22,0)))),""))</f>
        <v>0.5070676287</v>
      </c>
      <c r="AV76" s="18">
        <f>IF(OR($AU76="",$AT76=""),1,((Config!$B$14*$AU76+Config!$B$15*(1-$AU76))/(Config!$B$14*$AT76+Config!$B$15*(1-$AT76)))^Config!$B$13)</f>
        <v>1.004341634</v>
      </c>
      <c r="AW76" s="11">
        <f t="array" ref="AW76">IF($AS76="","",IFERROR(IF(INDEX(Matches!$AV$5:$AV$22,MATCH($C76,Matches!$A$5:$A$22,0))="","",IF($AS76="A",INDEX(Matches!$AV$5:$AV$22,MATCH($C76,Matches!$A$5:$A$22,0)),1-INDEX(Matches!$AV$5:$AV$22,MATCH($C76,Matches!$A$5:$A$22,0)))),""))</f>
        <v>0.600468443</v>
      </c>
      <c r="AX76" s="18">
        <f>IF(OR($AW76="",$AT76=""),1,((Config!$B$14*$AW76+Config!$B$15*(1-$AW76))/(Config!$B$14*$AT76+Config!$B$15*(1-$AT76)))^Config!$B$13)</f>
        <v>1.087642457</v>
      </c>
      <c r="AY76" s="11" t="str">
        <f t="array" ref="AY76">IF($AS76="","",IFERROR(IF(INDEX(Matches!$BB$5:$BB$22,MATCH($C76,Matches!$A$5:$A$22,0))="","",IF($AS76="A",INDEX(Matches!$BB$5:$BB$22,MATCH($C76,Matches!$A$5:$A$22,0)),1-INDEX(Matches!$BB$5:$BB$22,MATCH($C76,Matches!$A$5:$A$22,0)))),""))</f>
        <v/>
      </c>
      <c r="AZ76" s="18">
        <f>IF(OR($AY76="",$AT76=""),1,((Config!$B$14*$AY76+Config!$B$15*(1-$AY76))/(Config!$B$14*$AT76+Config!$B$15*(1-$AT76)))^Config!$B$13)</f>
        <v>1</v>
      </c>
      <c r="BA76" s="17">
        <f t="shared" si="9"/>
        <v>17.68854856</v>
      </c>
      <c r="BB76" s="17">
        <f t="shared" si="10"/>
        <v>16.26109138</v>
      </c>
      <c r="BC76" s="17" t="str">
        <f t="shared" si="11"/>
        <v/>
      </c>
      <c r="BD76" s="17">
        <f t="shared" si="12"/>
        <v>33.94963994</v>
      </c>
      <c r="BE76" s="17">
        <f t="shared" si="13"/>
        <v>33.94963994</v>
      </c>
      <c r="BF76" s="17">
        <f t="shared" si="14"/>
        <v>11.82921685</v>
      </c>
      <c r="BG76" s="17">
        <f t="shared" si="15"/>
        <v>10.69229301</v>
      </c>
      <c r="BH76" s="17" t="str">
        <f t="shared" si="16"/>
        <v/>
      </c>
      <c r="BI76" s="17">
        <f t="shared" si="17"/>
        <v>22.52150986</v>
      </c>
      <c r="BJ76" s="17">
        <f t="shared" si="18"/>
        <v>22.52150986</v>
      </c>
      <c r="BK76" s="18">
        <f t="shared" si="19"/>
        <v>1.042588019</v>
      </c>
    </row>
    <row r="77" ht="15.75" customHeight="1">
      <c r="A77" s="4" t="s">
        <v>3204</v>
      </c>
      <c r="B77" s="4" t="s">
        <v>86</v>
      </c>
      <c r="C77" s="4" t="s">
        <v>993</v>
      </c>
      <c r="D77" s="4" t="s">
        <v>1013</v>
      </c>
      <c r="E77" s="4" t="s">
        <v>1412</v>
      </c>
      <c r="F77" s="4" t="s">
        <v>1411</v>
      </c>
      <c r="G77" s="4" t="str">
        <f t="array" ref="G77">IFERROR(IF(INDEX(Matches!$W$5:$W$22,MATCH($C77,Matches!$A$5:$A$22,0))="","",INDEX(Matches!$W$5:$W$22,MATCH($C77,Matches!$A$5:$A$22,0))),"")</f>
        <v>Nuke</v>
      </c>
      <c r="H77" s="4" t="str">
        <f t="array" ref="H77">IFERROR(IF(INDEX(Matches!$X$5:$X$22,MATCH($C77,Matches!$A$5:$A$22,0))="","",INDEX(Matches!$X$5:$X$22,MATCH($C77,Matches!$A$5:$A$22,0))),"")</f>
        <v>Mirage</v>
      </c>
      <c r="I77" s="4" t="str">
        <f t="array" ref="I77">IFERROR(IF(INDEX(Matches!$Y$5:$Y$22,MATCH($C77,Matches!$A$5:$A$22,0))="","",INDEX(Matches!$Y$5:$Y$22,MATCH($C77,Matches!$A$5:$A$22,0))),"")</f>
        <v/>
      </c>
      <c r="J77" s="4">
        <f t="array" ref="J77">IFERROR(IF(INDEX(Matches!$Z$5:$Z$22,MATCH($C77,Matches!$A$5:$A$22,0))="","",INDEX(Matches!$Z$5:$Z$22,MATCH($C77,Matches!$A$5:$A$22,0))),"")</f>
        <v>21.5</v>
      </c>
      <c r="K77" s="4">
        <f t="array" ref="K77">IFERROR(IF(INDEX(Matches!$AA$5:$AA$22,MATCH($C77,Matches!$A$5:$A$22,0))="","",INDEX(Matches!$AA$5:$AA$22,MATCH($C77,Matches!$A$5:$A$22,0))),"")</f>
        <v>21.5</v>
      </c>
      <c r="L77" s="4" t="str">
        <f t="array" ref="L77">IFERROR(IF(INDEX(Matches!$AB$5:$AB$22,MATCH($C77,Matches!$A$5:$A$22,0))="","",INDEX(Matches!$AB$5:$AB$22,MATCH($C77,Matches!$A$5:$A$22,0))),"")</f>
        <v/>
      </c>
      <c r="M77" s="11">
        <f t="array" ref="M77">IFERROR(IF(INDEX(Matches!$AC$5:$AC$22,MATCH($C77,Matches!$A$5:$A$22,0))="","",INDEX(Matches!$AC$5:$AC$22,MATCH($C77,Matches!$A$5:$A$22,0))),"")</f>
        <v>0</v>
      </c>
      <c r="N77" s="4">
        <f t="array" ref="N77">IFERROR(INDEX(Players!$F$2:$F$127,MATCH($F77,Players!$A$2:$A$127,0)),0)</f>
        <v>27</v>
      </c>
      <c r="O77" s="18">
        <f t="array" ref="O77">IFERROR(1/(1/INDEX(Players!$H$2:$H$127,MATCH($F77,Players!$A$2:$A$127,0))),"")</f>
        <v>0.77</v>
      </c>
      <c r="P77" s="11">
        <f t="array" ref="P77">IFERROR(1/(1/INDEX(Players!$I$2:$I$127,MATCH($F77,Players!$A$2:$A$127,0))),"")</f>
        <v>0.315</v>
      </c>
      <c r="Q77" s="4">
        <f>IF($G77="",0,SUMIFS(Map_Stats!$F$2:$F$825,Map_Stats!$A$2:$A$825,$F77&amp;"|"&amp;$G77))</f>
        <v>7</v>
      </c>
      <c r="R77" s="18">
        <f t="array" ref="R77">IF($G77="","",IFERROR(1/(1/INDEX(Map_Stats!$K$2:$K$825,MATCH($F77&amp;"|"&amp;$G77,Map_Stats!$A$2:$A$825,0))),$O77))</f>
        <v>0.79</v>
      </c>
      <c r="S77" s="11">
        <f t="array" ref="S77">IF(OR($G77="",$P77=""),"",IFERROR(1/(1/INDEX(Map_Stats!$I$2:$I$825,MATCH($F77&amp;"|"&amp;$G77,Map_Stats!$A$2:$A$825,0))),$P77))</f>
        <v>0.286</v>
      </c>
      <c r="T77" s="18">
        <f>IF(OR($G77="",R77=""),"",IF($O77="",R77,(Q77*R77+Config!$B$4*$O77)/(Q77+Config!$B$4)))</f>
        <v>0.7816666667</v>
      </c>
      <c r="U77" s="11">
        <f>IF(S77="","",(Q77*S77+Config!$B$4*$P77)/(Q77+Config!$B$4))</f>
        <v>0.2980833333</v>
      </c>
      <c r="V77" s="17">
        <f>IF(OR(T77="",$J77=""),"",T77*$J77*($J77/Config!$B$10)^Config!$B$9)</f>
        <v>16.80583333</v>
      </c>
      <c r="W77" s="17">
        <f t="shared" si="1"/>
        <v>5.009538819</v>
      </c>
      <c r="X77" s="4">
        <f>IF($H77="",0,SUMIFS(Map_Stats!$F$2:$F$825,Map_Stats!$A$2:$A$825,$F77&amp;"|"&amp;$H77))</f>
        <v>8</v>
      </c>
      <c r="Y77" s="18">
        <f t="array" ref="Y77">IF($H77="","",IFERROR(1/(1/INDEX(Map_Stats!$K$2:$K$825,MATCH($F77&amp;"|"&amp;$H77,Map_Stats!$A$2:$A$825,0))),$O77))</f>
        <v>0.86</v>
      </c>
      <c r="Z77" s="11">
        <f t="array" ref="Z77">IF(OR($H77="",$P77=""),"",IFERROR(1/(1/INDEX(Map_Stats!$I$2:$I$825,MATCH($F77&amp;"|"&amp;$H77,Map_Stats!$A$2:$A$825,0))),$P77))</f>
        <v>0.345</v>
      </c>
      <c r="AA77" s="18">
        <f>IF(OR($H77="",Y77=""),"",IF($O77="",Y77,(X77*Y77+Config!$B$4*$O77)/(X77+Config!$B$4)))</f>
        <v>0.8253846154</v>
      </c>
      <c r="AB77" s="11">
        <f>IF(Z77="","",(X77*Z77+Config!$B$4*$P77)/(X77+Config!$B$4))</f>
        <v>0.3334615385</v>
      </c>
      <c r="AC77" s="17">
        <f>IF(OR(AA77="",$K77=""),"",AA77*$K77*($K77/Config!$B$10)^Config!$B$9)</f>
        <v>17.74576923</v>
      </c>
      <c r="AD77" s="17">
        <f t="shared" si="2"/>
        <v>5.917531509</v>
      </c>
      <c r="AE77" s="4">
        <f>IF($I77="",0,SUMIFS(Map_Stats!$F$2:$F$825,Map_Stats!$A$2:$A$825,$F77&amp;"|"&amp;$I77))</f>
        <v>0</v>
      </c>
      <c r="AF77" s="18" t="str">
        <f t="array" ref="AF77">IF($I77="","",IFERROR(1/(1/INDEX(Map_Stats!$K$2:$K$825,MATCH($F77&amp;"|"&amp;$I77,Map_Stats!$A$2:$A$825,0))),$O77))</f>
        <v/>
      </c>
      <c r="AG77" s="11" t="str">
        <f t="array" ref="AG77">IF(OR($I77="",$P77=""),"",IFERROR(1/(1/INDEX(Map_Stats!$I$2:$I$825,MATCH($F77&amp;"|"&amp;$I77,Map_Stats!$A$2:$A$825,0))),$P77))</f>
        <v/>
      </c>
      <c r="AH77" s="18" t="str">
        <f>IF(OR($I77="",AF77=""),"",IF($O77="",AF77,(AE77*AF77+Config!$B$4*$O77)/(AE77+Config!$B$4)))</f>
        <v/>
      </c>
      <c r="AI77" s="11" t="str">
        <f>IF(AG77="","",(AE77*AG77+Config!$B$4*$P77)/(AE77+Config!$B$4))</f>
        <v/>
      </c>
      <c r="AJ77" s="17" t="str">
        <f>IF(OR(AH77="",$L77=""),"",AH77*$L77*($L77/Config!$B$10)^Config!$B$9)</f>
        <v/>
      </c>
      <c r="AK77" s="17" t="str">
        <f t="shared" si="3"/>
        <v/>
      </c>
      <c r="AL77" s="17">
        <f t="shared" si="4"/>
        <v>34.55160256</v>
      </c>
      <c r="AM77" s="17">
        <f t="shared" si="5"/>
        <v>34.55160256</v>
      </c>
      <c r="AN77" s="17">
        <f t="shared" si="6"/>
        <v>10.92707033</v>
      </c>
      <c r="AO77" s="17">
        <f t="shared" si="7"/>
        <v>10.92707033</v>
      </c>
      <c r="AP77" s="11">
        <f t="shared" si="8"/>
        <v>0.3162536472</v>
      </c>
      <c r="AQ77" s="4" t="str">
        <f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4" t="str">
        <f>IF($C77=Board!$B$2,COUNTIFS($C$2:$C$157,Board!$B$2,$AL$2:$AL$157,"&gt;"&amp;$AL77)+COUNTIFS($C$1:$C76,Board!$B$2,$AL$1:$AL76,$AL77)+1,"")</f>
        <v/>
      </c>
      <c r="AS77" s="4" t="str">
        <f t="array" ref="AS77">IFERROR(IF($D77=INDEX(Matches!$AD$5:$AD$22,MATCH($C77,Matches!$A$5:$A$22,0)),"A",IF($D77=INDEX(Matches!$AE$5:$AE$22,MATCH($C77,Matches!$A$5:$A$22,0)),"B","")),"")</f>
        <v>A</v>
      </c>
      <c r="AT77" s="11">
        <f t="array" ref="AT77">IF($AS77="","",IFERROR(IF($AS77="A",INDEX(Matches!$AI$5:$AI$22,MATCH($C77,Matches!$A$5:$A$22,0)),INDEX(Matches!$AJ$5:$AJ$22,MATCH($C77,Matches!$A$5:$A$22,0))),""))</f>
        <v>0.5021995832</v>
      </c>
      <c r="AU77" s="11">
        <f t="array" ref="AU77">IF($AS77="","",IFERROR(IF(INDEX(Matches!$AP$5:$AP$22,MATCH($C77,Matches!$A$5:$A$22,0))="","",IF($AS77="A",INDEX(Matches!$AP$5:$AP$22,MATCH($C77,Matches!$A$5:$A$22,0)),1-INDEX(Matches!$AP$5:$AP$22,MATCH($C77,Matches!$A$5:$A$22,0)))),""))</f>
        <v>0.5070676287</v>
      </c>
      <c r="AV77" s="18">
        <f>IF(OR($AU77="",$AT77=""),1,((Config!$B$14*$AU77+Config!$B$15*(1-$AU77))/(Config!$B$14*$AT77+Config!$B$15*(1-$AT77)))^Config!$B$13)</f>
        <v>1.004341634</v>
      </c>
      <c r="AW77" s="11">
        <f t="array" ref="AW77">IF($AS77="","",IFERROR(IF(INDEX(Matches!$AV$5:$AV$22,MATCH($C77,Matches!$A$5:$A$22,0))="","",IF($AS77="A",INDEX(Matches!$AV$5:$AV$22,MATCH($C77,Matches!$A$5:$A$22,0)),1-INDEX(Matches!$AV$5:$AV$22,MATCH($C77,Matches!$A$5:$A$22,0)))),""))</f>
        <v>0.600468443</v>
      </c>
      <c r="AX77" s="18">
        <f>IF(OR($AW77="",$AT77=""),1,((Config!$B$14*$AW77+Config!$B$15*(1-$AW77))/(Config!$B$14*$AT77+Config!$B$15*(1-$AT77)))^Config!$B$13)</f>
        <v>1.087642457</v>
      </c>
      <c r="AY77" s="11" t="str">
        <f t="array" ref="AY77">IF($AS77="","",IFERROR(IF(INDEX(Matches!$BB$5:$BB$22,MATCH($C77,Matches!$A$5:$A$22,0))="","",IF($AS77="A",INDEX(Matches!$BB$5:$BB$22,MATCH($C77,Matches!$A$5:$A$22,0)),1-INDEX(Matches!$BB$5:$BB$22,MATCH($C77,Matches!$A$5:$A$22,0)))),""))</f>
        <v/>
      </c>
      <c r="AZ77" s="18">
        <f>IF(OR($AY77="",$AT77=""),1,((Config!$B$14*$AY77+Config!$B$15*(1-$AY77))/(Config!$B$14*$AT77+Config!$B$15*(1-$AT77)))^Config!$B$13)</f>
        <v>1</v>
      </c>
      <c r="BA77" s="17">
        <f t="shared" si="9"/>
        <v>16.87879812</v>
      </c>
      <c r="BB77" s="17">
        <f t="shared" si="10"/>
        <v>19.30105205</v>
      </c>
      <c r="BC77" s="17" t="str">
        <f t="shared" si="11"/>
        <v/>
      </c>
      <c r="BD77" s="17">
        <f t="shared" si="12"/>
        <v>36.17985017</v>
      </c>
      <c r="BE77" s="17">
        <f t="shared" si="13"/>
        <v>36.17985017</v>
      </c>
      <c r="BF77" s="17">
        <f t="shared" si="14"/>
        <v>5.031288406</v>
      </c>
      <c r="BG77" s="17">
        <f t="shared" si="15"/>
        <v>6.43615851</v>
      </c>
      <c r="BH77" s="17" t="str">
        <f t="shared" si="16"/>
        <v/>
      </c>
      <c r="BI77" s="17">
        <f t="shared" si="17"/>
        <v>11.46744692</v>
      </c>
      <c r="BJ77" s="17">
        <f t="shared" si="18"/>
        <v>11.46744692</v>
      </c>
      <c r="BK77" s="18">
        <f t="shared" si="19"/>
        <v>1.047125096</v>
      </c>
    </row>
    <row r="78" ht="15.75" customHeight="1">
      <c r="A78" s="4" t="s">
        <v>3205</v>
      </c>
      <c r="B78" s="4" t="s">
        <v>86</v>
      </c>
      <c r="C78" s="4" t="s">
        <v>993</v>
      </c>
      <c r="D78" s="4" t="s">
        <v>1013</v>
      </c>
      <c r="E78" s="4" t="s">
        <v>1415</v>
      </c>
      <c r="F78" s="4" t="s">
        <v>1414</v>
      </c>
      <c r="G78" s="4" t="str">
        <f t="array" ref="G78">IFERROR(IF(INDEX(Matches!$W$5:$W$22,MATCH($C78,Matches!$A$5:$A$22,0))="","",INDEX(Matches!$W$5:$W$22,MATCH($C78,Matches!$A$5:$A$22,0))),"")</f>
        <v>Nuke</v>
      </c>
      <c r="H78" s="4" t="str">
        <f t="array" ref="H78">IFERROR(IF(INDEX(Matches!$X$5:$X$22,MATCH($C78,Matches!$A$5:$A$22,0))="","",INDEX(Matches!$X$5:$X$22,MATCH($C78,Matches!$A$5:$A$22,0))),"")</f>
        <v>Mirage</v>
      </c>
      <c r="I78" s="4" t="str">
        <f t="array" ref="I78">IFERROR(IF(INDEX(Matches!$Y$5:$Y$22,MATCH($C78,Matches!$A$5:$A$22,0))="","",INDEX(Matches!$Y$5:$Y$22,MATCH($C78,Matches!$A$5:$A$22,0))),"")</f>
        <v/>
      </c>
      <c r="J78" s="4">
        <f t="array" ref="J78">IFERROR(IF(INDEX(Matches!$Z$5:$Z$22,MATCH($C78,Matches!$A$5:$A$22,0))="","",INDEX(Matches!$Z$5:$Z$22,MATCH($C78,Matches!$A$5:$A$22,0))),"")</f>
        <v>21.5</v>
      </c>
      <c r="K78" s="4">
        <f t="array" ref="K78">IFERROR(IF(INDEX(Matches!$AA$5:$AA$22,MATCH($C78,Matches!$A$5:$A$22,0))="","",INDEX(Matches!$AA$5:$AA$22,MATCH($C78,Matches!$A$5:$A$22,0))),"")</f>
        <v>21.5</v>
      </c>
      <c r="L78" s="4" t="str">
        <f t="array" ref="L78">IFERROR(IF(INDEX(Matches!$AB$5:$AB$22,MATCH($C78,Matches!$A$5:$A$22,0))="","",INDEX(Matches!$AB$5:$AB$22,MATCH($C78,Matches!$A$5:$A$22,0))),"")</f>
        <v/>
      </c>
      <c r="M78" s="11">
        <f t="array" ref="M78">IFERROR(IF(INDEX(Matches!$AC$5:$AC$22,MATCH($C78,Matches!$A$5:$A$22,0))="","",INDEX(Matches!$AC$5:$AC$22,MATCH($C78,Matches!$A$5:$A$22,0))),"")</f>
        <v>0</v>
      </c>
      <c r="N78" s="4">
        <f t="array" ref="N78">IFERROR(INDEX(Players!$F$2:$F$127,MATCH($F78,Players!$A$2:$A$127,0)),0)</f>
        <v>27</v>
      </c>
      <c r="O78" s="18">
        <f t="array" ref="O78">IFERROR(1/(1/INDEX(Players!$H$2:$H$127,MATCH($F78,Players!$A$2:$A$127,0))),"")</f>
        <v>0.58</v>
      </c>
      <c r="P78" s="11">
        <f t="array" ref="P78">IFERROR(1/(1/INDEX(Players!$I$2:$I$127,MATCH($F78,Players!$A$2:$A$127,0))),"")</f>
        <v>0.667</v>
      </c>
      <c r="Q78" s="4">
        <f>IF($G78="",0,SUMIFS(Map_Stats!$F$2:$F$825,Map_Stats!$A$2:$A$825,$F78&amp;"|"&amp;$G78))</f>
        <v>7</v>
      </c>
      <c r="R78" s="18">
        <f t="array" ref="R78">IF($G78="","",IFERROR(1/(1/INDEX(Map_Stats!$K$2:$K$825,MATCH($F78&amp;"|"&amp;$G78,Map_Stats!$A$2:$A$825,0))),$O78))</f>
        <v>0.64</v>
      </c>
      <c r="S78" s="11">
        <f t="array" ref="S78">IF(OR($G78="",$P78=""),"",IFERROR(1/(1/INDEX(Map_Stats!$I$2:$I$825,MATCH($F78&amp;"|"&amp;$G78,Map_Stats!$A$2:$A$825,0))),$P78))</f>
        <v>0.714</v>
      </c>
      <c r="T78" s="18">
        <f>IF(OR($G78="",R78=""),"",IF($O78="",R78,(Q78*R78+Config!$B$4*$O78)/(Q78+Config!$B$4)))</f>
        <v>0.615</v>
      </c>
      <c r="U78" s="11">
        <f>IF(S78="","",(Q78*S78+Config!$B$4*$P78)/(Q78+Config!$B$4))</f>
        <v>0.6944166667</v>
      </c>
      <c r="V78" s="17">
        <f>IF(OR(T78="",$J78=""),"",T78*$J78*($J78/Config!$B$10)^Config!$B$9)</f>
        <v>13.2225</v>
      </c>
      <c r="W78" s="17">
        <f t="shared" si="1"/>
        <v>9.181924375</v>
      </c>
      <c r="X78" s="4">
        <f>IF($H78="",0,SUMIFS(Map_Stats!$F$2:$F$825,Map_Stats!$A$2:$A$825,$F78&amp;"|"&amp;$H78))</f>
        <v>8</v>
      </c>
      <c r="Y78" s="18">
        <f t="array" ref="Y78">IF($H78="","",IFERROR(1/(1/INDEX(Map_Stats!$K$2:$K$825,MATCH($F78&amp;"|"&amp;$H78,Map_Stats!$A$2:$A$825,0))),$O78))</f>
        <v>0.52</v>
      </c>
      <c r="Z78" s="11">
        <f t="array" ref="Z78">IF(OR($H78="",$P78=""),"",IFERROR(1/(1/INDEX(Map_Stats!$I$2:$I$825,MATCH($F78&amp;"|"&amp;$H78,Map_Stats!$A$2:$A$825,0))),$P78))</f>
        <v>0.65</v>
      </c>
      <c r="AA78" s="18">
        <f>IF(OR($H78="",Y78=""),"",IF($O78="",Y78,(X78*Y78+Config!$B$4*$O78)/(X78+Config!$B$4)))</f>
        <v>0.5430769231</v>
      </c>
      <c r="AB78" s="11">
        <f>IF(Z78="","",(X78*Z78+Config!$B$4*$P78)/(X78+Config!$B$4))</f>
        <v>0.6565384615</v>
      </c>
      <c r="AC78" s="17">
        <f>IF(OR(AA78="",$K78=""),"",AA78*$K78*($K78/Config!$B$10)^Config!$B$9)</f>
        <v>11.67615385</v>
      </c>
      <c r="AD78" s="17">
        <f t="shared" si="2"/>
        <v>7.665844083</v>
      </c>
      <c r="AE78" s="4">
        <f>IF($I78="",0,SUMIFS(Map_Stats!$F$2:$F$825,Map_Stats!$A$2:$A$825,$F78&amp;"|"&amp;$I78))</f>
        <v>0</v>
      </c>
      <c r="AF78" s="18" t="str">
        <f t="array" ref="AF78">IF($I78="","",IFERROR(1/(1/INDEX(Map_Stats!$K$2:$K$825,MATCH($F78&amp;"|"&amp;$I78,Map_Stats!$A$2:$A$825,0))),$O78))</f>
        <v/>
      </c>
      <c r="AG78" s="11" t="str">
        <f t="array" ref="AG78">IF(OR($I78="",$P78=""),"",IFERROR(1/(1/INDEX(Map_Stats!$I$2:$I$825,MATCH($F78&amp;"|"&amp;$I78,Map_Stats!$A$2:$A$825,0))),$P78))</f>
        <v/>
      </c>
      <c r="AH78" s="18" t="str">
        <f>IF(OR($I78="",AF78=""),"",IF($O78="",AF78,(AE78*AF78+Config!$B$4*$O78)/(AE78+Config!$B$4)))</f>
        <v/>
      </c>
      <c r="AI78" s="11" t="str">
        <f>IF(AG78="","",(AE78*AG78+Config!$B$4*$P78)/(AE78+Config!$B$4))</f>
        <v/>
      </c>
      <c r="AJ78" s="17" t="str">
        <f>IF(OR(AH78="",$L78=""),"",AH78*$L78*($L78/Config!$B$10)^Config!$B$9)</f>
        <v/>
      </c>
      <c r="AK78" s="17" t="str">
        <f t="shared" si="3"/>
        <v/>
      </c>
      <c r="AL78" s="17">
        <f t="shared" si="4"/>
        <v>24.89865385</v>
      </c>
      <c r="AM78" s="17">
        <f t="shared" si="5"/>
        <v>24.89865385</v>
      </c>
      <c r="AN78" s="17">
        <f t="shared" si="6"/>
        <v>16.84776846</v>
      </c>
      <c r="AO78" s="17">
        <f t="shared" si="7"/>
        <v>16.84776846</v>
      </c>
      <c r="AP78" s="11">
        <f t="shared" si="8"/>
        <v>0.6766537887</v>
      </c>
      <c r="AQ78" s="4" t="str">
        <f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4" t="str">
        <f>IF($C78=Board!$B$2,COUNTIFS($C$2:$C$157,Board!$B$2,$AL$2:$AL$157,"&gt;"&amp;$AL78)+COUNTIFS($C$1:$C77,Board!$B$2,$AL$1:$AL77,$AL78)+1,"")</f>
        <v/>
      </c>
      <c r="AS78" s="4" t="str">
        <f t="array" ref="AS78">IFERROR(IF($D78=INDEX(Matches!$AD$5:$AD$22,MATCH($C78,Matches!$A$5:$A$22,0)),"A",IF($D78=INDEX(Matches!$AE$5:$AE$22,MATCH($C78,Matches!$A$5:$A$22,0)),"B","")),"")</f>
        <v>A</v>
      </c>
      <c r="AT78" s="11">
        <f t="array" ref="AT78">IF($AS78="","",IFERROR(IF($AS78="A",INDEX(Matches!$AI$5:$AI$22,MATCH($C78,Matches!$A$5:$A$22,0)),INDEX(Matches!$AJ$5:$AJ$22,MATCH($C78,Matches!$A$5:$A$22,0))),""))</f>
        <v>0.5021995832</v>
      </c>
      <c r="AU78" s="11">
        <f t="array" ref="AU78">IF($AS78="","",IFERROR(IF(INDEX(Matches!$AP$5:$AP$22,MATCH($C78,Matches!$A$5:$A$22,0))="","",IF($AS78="A",INDEX(Matches!$AP$5:$AP$22,MATCH($C78,Matches!$A$5:$A$22,0)),1-INDEX(Matches!$AP$5:$AP$22,MATCH($C78,Matches!$A$5:$A$22,0)))),""))</f>
        <v>0.5070676287</v>
      </c>
      <c r="AV78" s="18">
        <f>IF(OR($AU78="",$AT78=""),1,((Config!$B$14*$AU78+Config!$B$15*(1-$AU78))/(Config!$B$14*$AT78+Config!$B$15*(1-$AT78)))^Config!$B$13)</f>
        <v>1.004341634</v>
      </c>
      <c r="AW78" s="11">
        <f t="array" ref="AW78">IF($AS78="","",IFERROR(IF(INDEX(Matches!$AV$5:$AV$22,MATCH($C78,Matches!$A$5:$A$22,0))="","",IF($AS78="A",INDEX(Matches!$AV$5:$AV$22,MATCH($C78,Matches!$A$5:$A$22,0)),1-INDEX(Matches!$AV$5:$AV$22,MATCH($C78,Matches!$A$5:$A$22,0)))),""))</f>
        <v>0.600468443</v>
      </c>
      <c r="AX78" s="18">
        <f>IF(OR($AW78="",$AT78=""),1,((Config!$B$14*$AW78+Config!$B$15*(1-$AW78))/(Config!$B$14*$AT78+Config!$B$15*(1-$AT78)))^Config!$B$13)</f>
        <v>1.087642457</v>
      </c>
      <c r="AY78" s="11" t="str">
        <f t="array" ref="AY78">IF($AS78="","",IFERROR(IF(INDEX(Matches!$BB$5:$BB$22,MATCH($C78,Matches!$A$5:$A$22,0))="","",IF($AS78="A",INDEX(Matches!$BB$5:$BB$22,MATCH($C78,Matches!$A$5:$A$22,0)),1-INDEX(Matches!$BB$5:$BB$22,MATCH($C78,Matches!$A$5:$A$22,0)))),""))</f>
        <v/>
      </c>
      <c r="AZ78" s="18">
        <f>IF(OR($AY78="",$AT78=""),1,((Config!$B$14*$AY78+Config!$B$15*(1-$AY78))/(Config!$B$14*$AT78+Config!$B$15*(1-$AT78)))^Config!$B$13)</f>
        <v>1</v>
      </c>
      <c r="BA78" s="17">
        <f t="shared" si="9"/>
        <v>13.27990726</v>
      </c>
      <c r="BB78" s="17">
        <f t="shared" si="10"/>
        <v>12.69948066</v>
      </c>
      <c r="BC78" s="17" t="str">
        <f t="shared" si="11"/>
        <v/>
      </c>
      <c r="BD78" s="17">
        <f t="shared" si="12"/>
        <v>25.97938792</v>
      </c>
      <c r="BE78" s="17">
        <f t="shared" si="13"/>
        <v>25.97938792</v>
      </c>
      <c r="BF78" s="17">
        <f t="shared" si="14"/>
        <v>9.221788934</v>
      </c>
      <c r="BG78" s="17">
        <f t="shared" si="15"/>
        <v>8.337697494</v>
      </c>
      <c r="BH78" s="17" t="str">
        <f t="shared" si="16"/>
        <v/>
      </c>
      <c r="BI78" s="17">
        <f t="shared" si="17"/>
        <v>17.55948643</v>
      </c>
      <c r="BJ78" s="17">
        <f t="shared" si="18"/>
        <v>17.55948643</v>
      </c>
      <c r="BK78" s="18">
        <f t="shared" si="19"/>
        <v>1.043405321</v>
      </c>
    </row>
    <row r="79" ht="15.75" customHeight="1">
      <c r="A79" s="4" t="s">
        <v>3206</v>
      </c>
      <c r="B79" s="4" t="s">
        <v>86</v>
      </c>
      <c r="C79" s="4" t="s">
        <v>993</v>
      </c>
      <c r="D79" s="4" t="s">
        <v>1013</v>
      </c>
      <c r="E79" s="4" t="s">
        <v>1418</v>
      </c>
      <c r="F79" s="4" t="s">
        <v>1417</v>
      </c>
      <c r="G79" s="4" t="str">
        <f t="array" ref="G79">IFERROR(IF(INDEX(Matches!$W$5:$W$22,MATCH($C79,Matches!$A$5:$A$22,0))="","",INDEX(Matches!$W$5:$W$22,MATCH($C79,Matches!$A$5:$A$22,0))),"")</f>
        <v>Nuke</v>
      </c>
      <c r="H79" s="4" t="str">
        <f t="array" ref="H79">IFERROR(IF(INDEX(Matches!$X$5:$X$22,MATCH($C79,Matches!$A$5:$A$22,0))="","",INDEX(Matches!$X$5:$X$22,MATCH($C79,Matches!$A$5:$A$22,0))),"")</f>
        <v>Mirage</v>
      </c>
      <c r="I79" s="4" t="str">
        <f t="array" ref="I79">IFERROR(IF(INDEX(Matches!$Y$5:$Y$22,MATCH($C79,Matches!$A$5:$A$22,0))="","",INDEX(Matches!$Y$5:$Y$22,MATCH($C79,Matches!$A$5:$A$22,0))),"")</f>
        <v/>
      </c>
      <c r="J79" s="4">
        <f t="array" ref="J79">IFERROR(IF(INDEX(Matches!$Z$5:$Z$22,MATCH($C79,Matches!$A$5:$A$22,0))="","",INDEX(Matches!$Z$5:$Z$22,MATCH($C79,Matches!$A$5:$A$22,0))),"")</f>
        <v>21.5</v>
      </c>
      <c r="K79" s="4">
        <f t="array" ref="K79">IFERROR(IF(INDEX(Matches!$AA$5:$AA$22,MATCH($C79,Matches!$A$5:$A$22,0))="","",INDEX(Matches!$AA$5:$AA$22,MATCH($C79,Matches!$A$5:$A$22,0))),"")</f>
        <v>21.5</v>
      </c>
      <c r="L79" s="4" t="str">
        <f t="array" ref="L79">IFERROR(IF(INDEX(Matches!$AB$5:$AB$22,MATCH($C79,Matches!$A$5:$A$22,0))="","",INDEX(Matches!$AB$5:$AB$22,MATCH($C79,Matches!$A$5:$A$22,0))),"")</f>
        <v/>
      </c>
      <c r="M79" s="11">
        <f t="array" ref="M79">IFERROR(IF(INDEX(Matches!$AC$5:$AC$22,MATCH($C79,Matches!$A$5:$A$22,0))="","",INDEX(Matches!$AC$5:$AC$22,MATCH($C79,Matches!$A$5:$A$22,0))),"")</f>
        <v>0</v>
      </c>
      <c r="N79" s="4">
        <f t="array" ref="N79">IFERROR(INDEX(Players!$F$2:$F$127,MATCH($F79,Players!$A$2:$A$127,0)),0)</f>
        <v>27</v>
      </c>
      <c r="O79" s="18">
        <f t="array" ref="O79">IFERROR(1/(1/INDEX(Players!$H$2:$H$127,MATCH($F79,Players!$A$2:$A$127,0))),"")</f>
        <v>0.69</v>
      </c>
      <c r="P79" s="11">
        <f t="array" ref="P79">IFERROR(1/(1/INDEX(Players!$I$2:$I$127,MATCH($F79,Players!$A$2:$A$127,0))),"")</f>
        <v>0.554</v>
      </c>
      <c r="Q79" s="4">
        <f>IF($G79="",0,SUMIFS(Map_Stats!$F$2:$F$825,Map_Stats!$A$2:$A$825,$F79&amp;"|"&amp;$G79))</f>
        <v>7</v>
      </c>
      <c r="R79" s="18">
        <f t="array" ref="R79">IF($G79="","",IFERROR(1/(1/INDEX(Map_Stats!$K$2:$K$825,MATCH($F79&amp;"|"&amp;$G79,Map_Stats!$A$2:$A$825,0))),$O79))</f>
        <v>0.74</v>
      </c>
      <c r="S79" s="11">
        <f t="array" ref="S79">IF(OR($G79="",$P79=""),"",IFERROR(1/(1/INDEX(Map_Stats!$I$2:$I$825,MATCH($F79&amp;"|"&amp;$G79,Map_Stats!$A$2:$A$825,0))),$P79))</f>
        <v>0.619</v>
      </c>
      <c r="T79" s="18">
        <f>IF(OR($G79="",R79=""),"",IF($O79="",R79,(Q79*R79+Config!$B$4*$O79)/(Q79+Config!$B$4)))</f>
        <v>0.7191666667</v>
      </c>
      <c r="U79" s="11">
        <f>IF(S79="","",(Q79*S79+Config!$B$4*$P79)/(Q79+Config!$B$4))</f>
        <v>0.5919166667</v>
      </c>
      <c r="V79" s="17">
        <f>IF(OR(T79="",$J79=""),"",T79*$J79*($J79/Config!$B$10)^Config!$B$9)</f>
        <v>15.46208333</v>
      </c>
      <c r="W79" s="17">
        <f t="shared" si="1"/>
        <v>9.152264826</v>
      </c>
      <c r="X79" s="4">
        <f>IF($H79="",0,SUMIFS(Map_Stats!$F$2:$F$825,Map_Stats!$A$2:$A$825,$F79&amp;"|"&amp;$H79))</f>
        <v>8</v>
      </c>
      <c r="Y79" s="18">
        <f t="array" ref="Y79">IF($H79="","",IFERROR(1/(1/INDEX(Map_Stats!$K$2:$K$825,MATCH($F79&amp;"|"&amp;$H79,Map_Stats!$A$2:$A$825,0))),$O79))</f>
        <v>0.75</v>
      </c>
      <c r="Z79" s="11">
        <f t="array" ref="Z79">IF(OR($H79="",$P79=""),"",IFERROR(1/(1/INDEX(Map_Stats!$I$2:$I$825,MATCH($F79&amp;"|"&amp;$H79,Map_Stats!$A$2:$A$825,0))),$P79))</f>
        <v>0.458</v>
      </c>
      <c r="AA79" s="18">
        <f>IF(OR($H79="",Y79=""),"",IF($O79="",Y79,(X79*Y79+Config!$B$4*$O79)/(X79+Config!$B$4)))</f>
        <v>0.7269230769</v>
      </c>
      <c r="AB79" s="11">
        <f>IF(Z79="","",(X79*Z79+Config!$B$4*$P79)/(X79+Config!$B$4))</f>
        <v>0.4949230769</v>
      </c>
      <c r="AC79" s="17">
        <f>IF(OR(AA79="",$K79=""),"",AA79*$K79*($K79/Config!$B$10)^Config!$B$9)</f>
        <v>15.62884615</v>
      </c>
      <c r="AD79" s="17">
        <f t="shared" si="2"/>
        <v>7.735076627</v>
      </c>
      <c r="AE79" s="4">
        <f>IF($I79="",0,SUMIFS(Map_Stats!$F$2:$F$825,Map_Stats!$A$2:$A$825,$F79&amp;"|"&amp;$I79))</f>
        <v>0</v>
      </c>
      <c r="AF79" s="18" t="str">
        <f t="array" ref="AF79">IF($I79="","",IFERROR(1/(1/INDEX(Map_Stats!$K$2:$K$825,MATCH($F79&amp;"|"&amp;$I79,Map_Stats!$A$2:$A$825,0))),$O79))</f>
        <v/>
      </c>
      <c r="AG79" s="11" t="str">
        <f t="array" ref="AG79">IF(OR($I79="",$P79=""),"",IFERROR(1/(1/INDEX(Map_Stats!$I$2:$I$825,MATCH($F79&amp;"|"&amp;$I79,Map_Stats!$A$2:$A$825,0))),$P79))</f>
        <v/>
      </c>
      <c r="AH79" s="18" t="str">
        <f>IF(OR($I79="",AF79=""),"",IF($O79="",AF79,(AE79*AF79+Config!$B$4*$O79)/(AE79+Config!$B$4)))</f>
        <v/>
      </c>
      <c r="AI79" s="11" t="str">
        <f>IF(AG79="","",(AE79*AG79+Config!$B$4*$P79)/(AE79+Config!$B$4))</f>
        <v/>
      </c>
      <c r="AJ79" s="17" t="str">
        <f>IF(OR(AH79="",$L79=""),"",AH79*$L79*($L79/Config!$B$10)^Config!$B$9)</f>
        <v/>
      </c>
      <c r="AK79" s="17" t="str">
        <f t="shared" si="3"/>
        <v/>
      </c>
      <c r="AL79" s="17">
        <f t="shared" si="4"/>
        <v>31.09092949</v>
      </c>
      <c r="AM79" s="17">
        <f t="shared" si="5"/>
        <v>31.09092949</v>
      </c>
      <c r="AN79" s="17">
        <f t="shared" si="6"/>
        <v>16.88734145</v>
      </c>
      <c r="AO79" s="17">
        <f t="shared" si="7"/>
        <v>16.88734145</v>
      </c>
      <c r="AP79" s="11">
        <f t="shared" si="8"/>
        <v>0.5431597489</v>
      </c>
      <c r="AQ79" s="4" t="str">
        <f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4" t="str">
        <f>IF($C79=Board!$B$2,COUNTIFS($C$2:$C$157,Board!$B$2,$AL$2:$AL$157,"&gt;"&amp;$AL79)+COUNTIFS($C$1:$C78,Board!$B$2,$AL$1:$AL78,$AL79)+1,"")</f>
        <v/>
      </c>
      <c r="AS79" s="4" t="str">
        <f t="array" ref="AS79">IFERROR(IF($D79=INDEX(Matches!$AD$5:$AD$22,MATCH($C79,Matches!$A$5:$A$22,0)),"A",IF($D79=INDEX(Matches!$AE$5:$AE$22,MATCH($C79,Matches!$A$5:$A$22,0)),"B","")),"")</f>
        <v>A</v>
      </c>
      <c r="AT79" s="11">
        <f t="array" ref="AT79">IF($AS79="","",IFERROR(IF($AS79="A",INDEX(Matches!$AI$5:$AI$22,MATCH($C79,Matches!$A$5:$A$22,0)),INDEX(Matches!$AJ$5:$AJ$22,MATCH($C79,Matches!$A$5:$A$22,0))),""))</f>
        <v>0.5021995832</v>
      </c>
      <c r="AU79" s="11">
        <f t="array" ref="AU79">IF($AS79="","",IFERROR(IF(INDEX(Matches!$AP$5:$AP$22,MATCH($C79,Matches!$A$5:$A$22,0))="","",IF($AS79="A",INDEX(Matches!$AP$5:$AP$22,MATCH($C79,Matches!$A$5:$A$22,0)),1-INDEX(Matches!$AP$5:$AP$22,MATCH($C79,Matches!$A$5:$A$22,0)))),""))</f>
        <v>0.5070676287</v>
      </c>
      <c r="AV79" s="18">
        <f>IF(OR($AU79="",$AT79=""),1,((Config!$B$14*$AU79+Config!$B$15*(1-$AU79))/(Config!$B$14*$AT79+Config!$B$15*(1-$AT79)))^Config!$B$13)</f>
        <v>1.004341634</v>
      </c>
      <c r="AW79" s="11">
        <f t="array" ref="AW79">IF($AS79="","",IFERROR(IF(INDEX(Matches!$AV$5:$AV$22,MATCH($C79,Matches!$A$5:$A$22,0))="","",IF($AS79="A",INDEX(Matches!$AV$5:$AV$22,MATCH($C79,Matches!$A$5:$A$22,0)),1-INDEX(Matches!$AV$5:$AV$22,MATCH($C79,Matches!$A$5:$A$22,0)))),""))</f>
        <v>0.600468443</v>
      </c>
      <c r="AX79" s="18">
        <f>IF(OR($AW79="",$AT79=""),1,((Config!$B$14*$AW79+Config!$B$15*(1-$AW79))/(Config!$B$14*$AT79+Config!$B$15*(1-$AT79)))^Config!$B$13)</f>
        <v>1.087642457</v>
      </c>
      <c r="AY79" s="11" t="str">
        <f t="array" ref="AY79">IF($AS79="","",IFERROR(IF(INDEX(Matches!$BB$5:$BB$22,MATCH($C79,Matches!$A$5:$A$22,0))="","",IF($AS79="A",INDEX(Matches!$BB$5:$BB$22,MATCH($C79,Matches!$A$5:$A$22,0)),1-INDEX(Matches!$BB$5:$BB$22,MATCH($C79,Matches!$A$5:$A$22,0)))),""))</f>
        <v/>
      </c>
      <c r="AZ79" s="18">
        <f>IF(OR($AY79="",$AT79=""),1,((Config!$B$14*$AY79+Config!$B$15*(1-$AY79))/(Config!$B$14*$AT79+Config!$B$15*(1-$AT79)))^Config!$B$13)</f>
        <v>1</v>
      </c>
      <c r="BA79" s="17">
        <f t="shared" si="9"/>
        <v>15.52921405</v>
      </c>
      <c r="BB79" s="17">
        <f t="shared" si="10"/>
        <v>16.99859663</v>
      </c>
      <c r="BC79" s="17" t="str">
        <f t="shared" si="11"/>
        <v/>
      </c>
      <c r="BD79" s="17">
        <f t="shared" si="12"/>
        <v>32.52781068</v>
      </c>
      <c r="BE79" s="17">
        <f t="shared" si="13"/>
        <v>32.52781068</v>
      </c>
      <c r="BF79" s="17">
        <f t="shared" si="14"/>
        <v>9.192000614</v>
      </c>
      <c r="BG79" s="17">
        <f t="shared" si="15"/>
        <v>8.412997748</v>
      </c>
      <c r="BH79" s="17" t="str">
        <f t="shared" si="16"/>
        <v/>
      </c>
      <c r="BI79" s="17">
        <f t="shared" si="17"/>
        <v>17.60499836</v>
      </c>
      <c r="BJ79" s="17">
        <f t="shared" si="18"/>
        <v>17.60499836</v>
      </c>
      <c r="BK79" s="18">
        <f t="shared" si="19"/>
        <v>1.046215447</v>
      </c>
    </row>
    <row r="80" ht="15.75" customHeight="1">
      <c r="A80" s="4" t="s">
        <v>3208</v>
      </c>
      <c r="B80" s="4" t="s">
        <v>86</v>
      </c>
      <c r="C80" s="4" t="s">
        <v>1152</v>
      </c>
      <c r="D80" s="4" t="s">
        <v>1156</v>
      </c>
      <c r="E80" s="4" t="s">
        <v>1473</v>
      </c>
      <c r="F80" s="4" t="s">
        <v>1472</v>
      </c>
      <c r="G80" s="4" t="str">
        <f t="array" ref="G80">IFERROR(IF(INDEX(Matches!$W$5:$W$22,MATCH($C80,Matches!$A$5:$A$22,0))="","",INDEX(Matches!$W$5:$W$22,MATCH($C80,Matches!$A$5:$A$22,0))),"")</f>
        <v>Inferno</v>
      </c>
      <c r="H80" s="4" t="str">
        <f t="array" ref="H80">IFERROR(IF(INDEX(Matches!$X$5:$X$22,MATCH($C80,Matches!$A$5:$A$22,0))="","",INDEX(Matches!$X$5:$X$22,MATCH($C80,Matches!$A$5:$A$22,0))),"")</f>
        <v>Ancient</v>
      </c>
      <c r="I80" s="4" t="str">
        <f t="array" ref="I80">IFERROR(IF(INDEX(Matches!$Y$5:$Y$22,MATCH($C80,Matches!$A$5:$A$22,0))="","",INDEX(Matches!$Y$5:$Y$22,MATCH($C80,Matches!$A$5:$A$22,0))),"")</f>
        <v>Dust2</v>
      </c>
      <c r="J80" s="4">
        <f t="array" ref="J80">IFERROR(IF(INDEX(Matches!$Z$5:$Z$22,MATCH($C80,Matches!$A$5:$A$22,0))="","",INDEX(Matches!$Z$5:$Z$22,MATCH($C80,Matches!$A$5:$A$22,0))),"")</f>
        <v>21.5</v>
      </c>
      <c r="K80" s="4">
        <f t="array" ref="K80">IFERROR(IF(INDEX(Matches!$AA$5:$AA$22,MATCH($C80,Matches!$A$5:$A$22,0))="","",INDEX(Matches!$AA$5:$AA$22,MATCH($C80,Matches!$A$5:$A$22,0))),"")</f>
        <v>21.38</v>
      </c>
      <c r="L80" s="4">
        <f t="array" ref="L80">IFERROR(IF(INDEX(Matches!$AB$5:$AB$22,MATCH($C80,Matches!$A$5:$A$22,0))="","",INDEX(Matches!$AB$5:$AB$22,MATCH($C80,Matches!$A$5:$A$22,0))),"")</f>
        <v>21.5</v>
      </c>
      <c r="M80" s="11">
        <f t="array" ref="M80">IFERROR(IF(INDEX(Matches!$AC$5:$AC$22,MATCH($C80,Matches!$A$5:$A$22,0))="","",INDEX(Matches!$AC$5:$AC$22,MATCH($C80,Matches!$A$5:$A$22,0))),"")</f>
        <v>0.5006</v>
      </c>
      <c r="N80" s="4">
        <f t="array" ref="N80">IFERROR(INDEX(Players!$F$2:$F$127,MATCH($F80,Players!$A$2:$A$127,0)),0)</f>
        <v>41</v>
      </c>
      <c r="O80" s="18">
        <f t="array" ref="O80">IFERROR(1/(1/INDEX(Players!$H$2:$H$127,MATCH($F80,Players!$A$2:$A$127,0))),"")</f>
        <v>0.71</v>
      </c>
      <c r="P80" s="11">
        <f t="array" ref="P80">IFERROR(1/(1/INDEX(Players!$I$2:$I$127,MATCH($F80,Players!$A$2:$A$127,0))),"")</f>
        <v>0.32</v>
      </c>
      <c r="Q80" s="4">
        <f>IF($G80="",0,SUMIFS(Map_Stats!$F$2:$F$825,Map_Stats!$A$2:$A$825,$F80&amp;"|"&amp;$G80))</f>
        <v>8</v>
      </c>
      <c r="R80" s="18">
        <f t="array" ref="R80">IF($G80="","",IFERROR(1/(1/INDEX(Map_Stats!$K$2:$K$825,MATCH($F80&amp;"|"&amp;$G80,Map_Stats!$A$2:$A$825,0))),$O80))</f>
        <v>0.73</v>
      </c>
      <c r="S80" s="11">
        <f t="array" ref="S80">IF(OR($G80="",$P80=""),"",IFERROR(1/(1/INDEX(Map_Stats!$I$2:$I$825,MATCH($F80&amp;"|"&amp;$G80,Map_Stats!$A$2:$A$825,0))),$P80))</f>
        <v>0.325</v>
      </c>
      <c r="T80" s="18">
        <f>IF(OR($G80="",R80=""),"",IF($O80="",R80,(Q80*R80+Config!$B$4*$O80)/(Q80+Config!$B$4)))</f>
        <v>0.7223076923</v>
      </c>
      <c r="U80" s="11">
        <f>IF(S80="","",(Q80*S80+Config!$B$4*$P80)/(Q80+Config!$B$4))</f>
        <v>0.3230769231</v>
      </c>
      <c r="V80" s="17">
        <f>IF(OR(T80="",$J80=""),"",T80*$J80*($J80/Config!$B$10)^Config!$B$9)</f>
        <v>15.52961538</v>
      </c>
      <c r="W80" s="17">
        <f t="shared" si="1"/>
        <v>5.017260355</v>
      </c>
      <c r="X80" s="4">
        <f>IF($H80="",0,SUMIFS(Map_Stats!$F$2:$F$825,Map_Stats!$A$2:$A$825,$F80&amp;"|"&amp;$H80))</f>
        <v>9</v>
      </c>
      <c r="Y80" s="18">
        <f t="array" ref="Y80">IF($H80="","",IFERROR(1/(1/INDEX(Map_Stats!$K$2:$K$825,MATCH($F80&amp;"|"&amp;$H80,Map_Stats!$A$2:$A$825,0))),$O80))</f>
        <v>0.74</v>
      </c>
      <c r="Z80" s="11">
        <f t="array" ref="Z80">IF(OR($H80="",$P80=""),"",IFERROR(1/(1/INDEX(Map_Stats!$I$2:$I$825,MATCH($F80&amp;"|"&amp;$H80,Map_Stats!$A$2:$A$825,0))),$P80))</f>
        <v>0.29</v>
      </c>
      <c r="AA80" s="18">
        <f>IF(OR($H80="",Y80=""),"",IF($O80="",Y80,(X80*Y80+Config!$B$4*$O80)/(X80+Config!$B$4)))</f>
        <v>0.7292857143</v>
      </c>
      <c r="AB80" s="11">
        <f>IF(Z80="","",(X80*Z80+Config!$B$4*$P80)/(X80+Config!$B$4))</f>
        <v>0.3007142857</v>
      </c>
      <c r="AC80" s="17">
        <f>IF(OR(AA80="",$K80=""),"",AA80*$K80*($K80/Config!$B$10)^Config!$B$9)</f>
        <v>15.59212857</v>
      </c>
      <c r="AD80" s="17">
        <f t="shared" si="2"/>
        <v>4.688775806</v>
      </c>
      <c r="AE80" s="4">
        <f>IF($I80="",0,SUMIFS(Map_Stats!$F$2:$F$825,Map_Stats!$A$2:$A$825,$F80&amp;"|"&amp;$I80))</f>
        <v>9</v>
      </c>
      <c r="AF80" s="18">
        <f t="array" ref="AF80">IF($I80="","",IFERROR(1/(1/INDEX(Map_Stats!$K$2:$K$825,MATCH($F80&amp;"|"&amp;$I80,Map_Stats!$A$2:$A$825,0))),$O80))</f>
        <v>0.58</v>
      </c>
      <c r="AG80" s="11">
        <f t="array" ref="AG80">IF(OR($I80="",$P80=""),"",IFERROR(1/(1/INDEX(Map_Stats!$I$2:$I$825,MATCH($F80&amp;"|"&amp;$I80,Map_Stats!$A$2:$A$825,0))),$P80))</f>
        <v>0.328</v>
      </c>
      <c r="AH80" s="18">
        <f>IF(OR($I80="",AF80=""),"",IF($O80="",AF80,(AE80*AF80+Config!$B$4*$O80)/(AE80+Config!$B$4)))</f>
        <v>0.6264285714</v>
      </c>
      <c r="AI80" s="11">
        <f>IF(AG80="","",(AE80*AG80+Config!$B$4*$P80)/(AE80+Config!$B$4))</f>
        <v>0.3251428571</v>
      </c>
      <c r="AJ80" s="17">
        <f>IF(OR(AH80="",$L80=""),"",AH80*$L80*($L80/Config!$B$10)^Config!$B$9)</f>
        <v>13.46821429</v>
      </c>
      <c r="AK80" s="17">
        <f t="shared" si="3"/>
        <v>4.379093673</v>
      </c>
      <c r="AL80" s="17">
        <f t="shared" si="4"/>
        <v>31.12174396</v>
      </c>
      <c r="AM80" s="17">
        <f t="shared" si="5"/>
        <v>37.86393203</v>
      </c>
      <c r="AN80" s="17">
        <f t="shared" si="6"/>
        <v>9.706036161</v>
      </c>
      <c r="AO80" s="17">
        <f t="shared" si="7"/>
        <v>11.89821045</v>
      </c>
      <c r="AP80" s="11">
        <f t="shared" si="8"/>
        <v>0.3118731449</v>
      </c>
      <c r="AQ80" s="4" t="str">
        <f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4" t="str">
        <f>IF($C80=Board!$B$2,COUNTIFS($C$2:$C$157,Board!$B$2,$AL$2:$AL$157,"&gt;"&amp;$AL80)+COUNTIFS($C$1:$C79,Board!$B$2,$AL$1:$AL79,$AL80)+1,"")</f>
        <v/>
      </c>
      <c r="AS80" s="4" t="str">
        <f t="array" ref="AS80">IFERROR(IF($D80=INDEX(Matches!$AD$5:$AD$22,MATCH($C80,Matches!$A$5:$A$22,0)),"A",IF($D80=INDEX(Matches!$AE$5:$AE$22,MATCH($C80,Matches!$A$5:$A$22,0)),"B","")),"")</f>
        <v>A</v>
      </c>
      <c r="AT80" s="11">
        <f t="array" ref="AT80">IF($AS80="","",IFERROR(IF($AS80="A",INDEX(Matches!$AI$5:$AI$22,MATCH($C80,Matches!$A$5:$A$22,0)),INDEX(Matches!$AJ$5:$AJ$22,MATCH($C80,Matches!$A$5:$A$22,0))),""))</f>
        <v>0.5221270225</v>
      </c>
      <c r="AU80" s="11">
        <f t="array" ref="AU80">IF($AS80="","",IFERROR(IF(INDEX(Matches!$AP$5:$AP$22,MATCH($C80,Matches!$A$5:$A$22,0))="","",IF($AS80="A",INDEX(Matches!$AP$5:$AP$22,MATCH($C80,Matches!$A$5:$A$22,0)),1-INDEX(Matches!$AP$5:$AP$22,MATCH($C80,Matches!$A$5:$A$22,0)))),""))</f>
        <v>0.506534909</v>
      </c>
      <c r="AV80" s="18">
        <f>IF(OR($AU80="",$AT80=""),1,((Config!$B$14*$AU80+Config!$B$15*(1-$AU80))/(Config!$B$14*$AT80+Config!$B$15*(1-$AT80)))^Config!$B$13)</f>
        <v>0.9863367859</v>
      </c>
      <c r="AW80" s="11">
        <f t="array" ref="AW80">IF($AS80="","",IFERROR(IF(INDEX(Matches!$AV$5:$AV$22,MATCH($C80,Matches!$A$5:$A$22,0))="","",IF($AS80="A",INDEX(Matches!$AV$5:$AV$22,MATCH($C80,Matches!$A$5:$A$22,0)),1-INDEX(Matches!$AV$5:$AV$22,MATCH($C80,Matches!$A$5:$A$22,0)))),""))</f>
        <v>0.518463932</v>
      </c>
      <c r="AX80" s="18">
        <f>IF(OR($AW80="",$AT80=""),1,((Config!$B$14*$AW80+Config!$B$15*(1-$AW80))/(Config!$B$14*$AT80+Config!$B$15*(1-$AT80)))^Config!$B$13)</f>
        <v>0.9967900702</v>
      </c>
      <c r="AY80" s="11">
        <f t="array" ref="AY80">IF($AS80="","",IFERROR(IF(INDEX(Matches!$BB$5:$BB$22,MATCH($C80,Matches!$A$5:$A$22,0))="","",IF($AS80="A",INDEX(Matches!$BB$5:$BB$22,MATCH($C80,Matches!$A$5:$A$22,0)),1-INDEX(Matches!$BB$5:$BB$22,MATCH($C80,Matches!$A$5:$A$22,0)))),""))</f>
        <v>0.5248199446</v>
      </c>
      <c r="AZ80" s="18">
        <f>IF(OR($AY80="",$AT80=""),1,((Config!$B$14*$AY80+Config!$B$15*(1-$AY80))/(Config!$B$14*$AT80+Config!$B$15*(1-$AT80)))^Config!$B$13)</f>
        <v>1.002359781</v>
      </c>
      <c r="BA80" s="17">
        <f t="shared" si="9"/>
        <v>15.31743092</v>
      </c>
      <c r="BB80" s="17">
        <f t="shared" si="10"/>
        <v>15.54207893</v>
      </c>
      <c r="BC80" s="17">
        <f t="shared" si="11"/>
        <v>13.49999632</v>
      </c>
      <c r="BD80" s="17">
        <f t="shared" si="12"/>
        <v>30.85950986</v>
      </c>
      <c r="BE80" s="17">
        <f t="shared" si="13"/>
        <v>37.61760802</v>
      </c>
      <c r="BF80" s="17">
        <f t="shared" si="14"/>
        <v>4.948708453</v>
      </c>
      <c r="BG80" s="17">
        <f t="shared" si="15"/>
        <v>4.673725165</v>
      </c>
      <c r="BH80" s="17">
        <f t="shared" si="16"/>
        <v>4.389427375</v>
      </c>
      <c r="BI80" s="17">
        <f t="shared" si="17"/>
        <v>9.622433617</v>
      </c>
      <c r="BJ80" s="17">
        <f t="shared" si="18"/>
        <v>11.81978096</v>
      </c>
      <c r="BK80" s="18">
        <f t="shared" si="19"/>
        <v>0.9915739266</v>
      </c>
    </row>
    <row r="81" ht="15.75" customHeight="1">
      <c r="A81" s="4" t="s">
        <v>3209</v>
      </c>
      <c r="B81" s="4" t="s">
        <v>86</v>
      </c>
      <c r="C81" s="4" t="s">
        <v>1152</v>
      </c>
      <c r="D81" s="4" t="s">
        <v>1156</v>
      </c>
      <c r="E81" s="4" t="s">
        <v>1477</v>
      </c>
      <c r="F81" s="4" t="s">
        <v>1476</v>
      </c>
      <c r="G81" s="4" t="str">
        <f t="array" ref="G81">IFERROR(IF(INDEX(Matches!$W$5:$W$22,MATCH($C81,Matches!$A$5:$A$22,0))="","",INDEX(Matches!$W$5:$W$22,MATCH($C81,Matches!$A$5:$A$22,0))),"")</f>
        <v>Inferno</v>
      </c>
      <c r="H81" s="4" t="str">
        <f t="array" ref="H81">IFERROR(IF(INDEX(Matches!$X$5:$X$22,MATCH($C81,Matches!$A$5:$A$22,0))="","",INDEX(Matches!$X$5:$X$22,MATCH($C81,Matches!$A$5:$A$22,0))),"")</f>
        <v>Ancient</v>
      </c>
      <c r="I81" s="4" t="str">
        <f t="array" ref="I81">IFERROR(IF(INDEX(Matches!$Y$5:$Y$22,MATCH($C81,Matches!$A$5:$A$22,0))="","",INDEX(Matches!$Y$5:$Y$22,MATCH($C81,Matches!$A$5:$A$22,0))),"")</f>
        <v>Dust2</v>
      </c>
      <c r="J81" s="4">
        <f t="array" ref="J81">IFERROR(IF(INDEX(Matches!$Z$5:$Z$22,MATCH($C81,Matches!$A$5:$A$22,0))="","",INDEX(Matches!$Z$5:$Z$22,MATCH($C81,Matches!$A$5:$A$22,0))),"")</f>
        <v>21.5</v>
      </c>
      <c r="K81" s="4">
        <f t="array" ref="K81">IFERROR(IF(INDEX(Matches!$AA$5:$AA$22,MATCH($C81,Matches!$A$5:$A$22,0))="","",INDEX(Matches!$AA$5:$AA$22,MATCH($C81,Matches!$A$5:$A$22,0))),"")</f>
        <v>21.38</v>
      </c>
      <c r="L81" s="4">
        <f t="array" ref="L81">IFERROR(IF(INDEX(Matches!$AB$5:$AB$22,MATCH($C81,Matches!$A$5:$A$22,0))="","",INDEX(Matches!$AB$5:$AB$22,MATCH($C81,Matches!$A$5:$A$22,0))),"")</f>
        <v>21.5</v>
      </c>
      <c r="M81" s="11">
        <f t="array" ref="M81">IFERROR(IF(INDEX(Matches!$AC$5:$AC$22,MATCH($C81,Matches!$A$5:$A$22,0))="","",INDEX(Matches!$AC$5:$AC$22,MATCH($C81,Matches!$A$5:$A$22,0))),"")</f>
        <v>0.5006</v>
      </c>
      <c r="N81" s="4">
        <f t="array" ref="N81">IFERROR(INDEX(Players!$F$2:$F$127,MATCH($F81,Players!$A$2:$A$127,0)),0)</f>
        <v>41</v>
      </c>
      <c r="O81" s="18">
        <f t="array" ref="O81">IFERROR(1/(1/INDEX(Players!$H$2:$H$127,MATCH($F81,Players!$A$2:$A$127,0))),"")</f>
        <v>0.72</v>
      </c>
      <c r="P81" s="11">
        <f t="array" ref="P81">IFERROR(1/(1/INDEX(Players!$I$2:$I$127,MATCH($F81,Players!$A$2:$A$127,0))),"")</f>
        <v>0.519</v>
      </c>
      <c r="Q81" s="4">
        <f>IF($G81="",0,SUMIFS(Map_Stats!$F$2:$F$825,Map_Stats!$A$2:$A$825,$F81&amp;"|"&amp;$G81))</f>
        <v>8</v>
      </c>
      <c r="R81" s="18">
        <f t="array" ref="R81">IF($G81="","",IFERROR(1/(1/INDEX(Map_Stats!$K$2:$K$825,MATCH($F81&amp;"|"&amp;$G81,Map_Stats!$A$2:$A$825,0))),$O81))</f>
        <v>0.66</v>
      </c>
      <c r="S81" s="11">
        <f t="array" ref="S81">IF(OR($G81="",$P81=""),"",IFERROR(1/(1/INDEX(Map_Stats!$I$2:$I$825,MATCH($F81&amp;"|"&amp;$G81,Map_Stats!$A$2:$A$825,0))),$P81))</f>
        <v>0.541</v>
      </c>
      <c r="T81" s="18">
        <f>IF(OR($G81="",R81=""),"",IF($O81="",R81,(Q81*R81+Config!$B$4*$O81)/(Q81+Config!$B$4)))</f>
        <v>0.6830769231</v>
      </c>
      <c r="U81" s="11">
        <f>IF(S81="","",(Q81*S81+Config!$B$4*$P81)/(Q81+Config!$B$4))</f>
        <v>0.5325384615</v>
      </c>
      <c r="V81" s="17">
        <f>IF(OR(T81="",$J81=""),"",T81*$J81*($J81/Config!$B$10)^Config!$B$9)</f>
        <v>14.68615385</v>
      </c>
      <c r="W81" s="17">
        <f t="shared" si="1"/>
        <v>7.820941775</v>
      </c>
      <c r="X81" s="4">
        <f>IF($H81="",0,SUMIFS(Map_Stats!$F$2:$F$825,Map_Stats!$A$2:$A$825,$F81&amp;"|"&amp;$H81))</f>
        <v>9</v>
      </c>
      <c r="Y81" s="18">
        <f t="array" ref="Y81">IF($H81="","",IFERROR(1/(1/INDEX(Map_Stats!$K$2:$K$825,MATCH($F81&amp;"|"&amp;$H81,Map_Stats!$A$2:$A$825,0))),$O81))</f>
        <v>0.77</v>
      </c>
      <c r="Z81" s="11">
        <f t="array" ref="Z81">IF(OR($H81="",$P81=""),"",IFERROR(1/(1/INDEX(Map_Stats!$I$2:$I$825,MATCH($F81&amp;"|"&amp;$H81,Map_Stats!$A$2:$A$825,0))),$P81))</f>
        <v>0.527</v>
      </c>
      <c r="AA81" s="18">
        <f>IF(OR($H81="",Y81=""),"",IF($O81="",Y81,(X81*Y81+Config!$B$4*$O81)/(X81+Config!$B$4)))</f>
        <v>0.7521428571</v>
      </c>
      <c r="AB81" s="11">
        <f>IF(Z81="","",(X81*Z81+Config!$B$4*$P81)/(X81+Config!$B$4))</f>
        <v>0.5241428571</v>
      </c>
      <c r="AC81" s="17">
        <f>IF(OR(AA81="",$K81=""),"",AA81*$K81*($K81/Config!$B$10)^Config!$B$9)</f>
        <v>16.08081429</v>
      </c>
      <c r="AD81" s="17">
        <f t="shared" si="2"/>
        <v>8.428643945</v>
      </c>
      <c r="AE81" s="4">
        <f>IF($I81="",0,SUMIFS(Map_Stats!$F$2:$F$825,Map_Stats!$A$2:$A$825,$F81&amp;"|"&amp;$I81))</f>
        <v>9</v>
      </c>
      <c r="AF81" s="18">
        <f t="array" ref="AF81">IF($I81="","",IFERROR(1/(1/INDEX(Map_Stats!$K$2:$K$825,MATCH($F81&amp;"|"&amp;$I81,Map_Stats!$A$2:$A$825,0))),$O81))</f>
        <v>0.67</v>
      </c>
      <c r="AG81" s="11">
        <f t="array" ref="AG81">IF(OR($I81="",$P81=""),"",IFERROR(1/(1/INDEX(Map_Stats!$I$2:$I$825,MATCH($F81&amp;"|"&amp;$I81,Map_Stats!$A$2:$A$825,0))),$P81))</f>
        <v>0.504</v>
      </c>
      <c r="AH81" s="18">
        <f>IF(OR($I81="",AF81=""),"",IF($O81="",AF81,(AE81*AF81+Config!$B$4*$O81)/(AE81+Config!$B$4)))</f>
        <v>0.6878571429</v>
      </c>
      <c r="AI81" s="11">
        <f>IF(AG81="","",(AE81*AG81+Config!$B$4*$P81)/(AE81+Config!$B$4))</f>
        <v>0.5093571429</v>
      </c>
      <c r="AJ81" s="17">
        <f>IF(OR(AH81="",$L81=""),"",AH81*$L81*($L81/Config!$B$10)^Config!$B$9)</f>
        <v>14.78892857</v>
      </c>
      <c r="AK81" s="17">
        <f t="shared" si="3"/>
        <v>7.532846403</v>
      </c>
      <c r="AL81" s="17">
        <f t="shared" si="4"/>
        <v>30.76696813</v>
      </c>
      <c r="AM81" s="17">
        <f t="shared" si="5"/>
        <v>38.17030577</v>
      </c>
      <c r="AN81" s="17">
        <f t="shared" si="6"/>
        <v>16.24958572</v>
      </c>
      <c r="AO81" s="17">
        <f t="shared" si="7"/>
        <v>20.02052863</v>
      </c>
      <c r="AP81" s="11">
        <f t="shared" si="8"/>
        <v>0.5281503738</v>
      </c>
      <c r="AQ81" s="4" t="str">
        <f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4" t="str">
        <f>IF($C81=Board!$B$2,COUNTIFS($C$2:$C$157,Board!$B$2,$AL$2:$AL$157,"&gt;"&amp;$AL81)+COUNTIFS($C$1:$C80,Board!$B$2,$AL$1:$AL80,$AL81)+1,"")</f>
        <v/>
      </c>
      <c r="AS81" s="4" t="str">
        <f t="array" ref="AS81">IFERROR(IF($D81=INDEX(Matches!$AD$5:$AD$22,MATCH($C81,Matches!$A$5:$A$22,0)),"A",IF($D81=INDEX(Matches!$AE$5:$AE$22,MATCH($C81,Matches!$A$5:$A$22,0)),"B","")),"")</f>
        <v>A</v>
      </c>
      <c r="AT81" s="11">
        <f t="array" ref="AT81">IF($AS81="","",IFERROR(IF($AS81="A",INDEX(Matches!$AI$5:$AI$22,MATCH($C81,Matches!$A$5:$A$22,0)),INDEX(Matches!$AJ$5:$AJ$22,MATCH($C81,Matches!$A$5:$A$22,0))),""))</f>
        <v>0.5221270225</v>
      </c>
      <c r="AU81" s="11">
        <f t="array" ref="AU81">IF($AS81="","",IFERROR(IF(INDEX(Matches!$AP$5:$AP$22,MATCH($C81,Matches!$A$5:$A$22,0))="","",IF($AS81="A",INDEX(Matches!$AP$5:$AP$22,MATCH($C81,Matches!$A$5:$A$22,0)),1-INDEX(Matches!$AP$5:$AP$22,MATCH($C81,Matches!$A$5:$A$22,0)))),""))</f>
        <v>0.506534909</v>
      </c>
      <c r="AV81" s="18">
        <f>IF(OR($AU81="",$AT81=""),1,((Config!$B$14*$AU81+Config!$B$15*(1-$AU81))/(Config!$B$14*$AT81+Config!$B$15*(1-$AT81)))^Config!$B$13)</f>
        <v>0.9863367859</v>
      </c>
      <c r="AW81" s="11">
        <f t="array" ref="AW81">IF($AS81="","",IFERROR(IF(INDEX(Matches!$AV$5:$AV$22,MATCH($C81,Matches!$A$5:$A$22,0))="","",IF($AS81="A",INDEX(Matches!$AV$5:$AV$22,MATCH($C81,Matches!$A$5:$A$22,0)),1-INDEX(Matches!$AV$5:$AV$22,MATCH($C81,Matches!$A$5:$A$22,0)))),""))</f>
        <v>0.518463932</v>
      </c>
      <c r="AX81" s="18">
        <f>IF(OR($AW81="",$AT81=""),1,((Config!$B$14*$AW81+Config!$B$15*(1-$AW81))/(Config!$B$14*$AT81+Config!$B$15*(1-$AT81)))^Config!$B$13)</f>
        <v>0.9967900702</v>
      </c>
      <c r="AY81" s="11">
        <f t="array" ref="AY81">IF($AS81="","",IFERROR(IF(INDEX(Matches!$BB$5:$BB$22,MATCH($C81,Matches!$A$5:$A$22,0))="","",IF($AS81="A",INDEX(Matches!$BB$5:$BB$22,MATCH($C81,Matches!$A$5:$A$22,0)),1-INDEX(Matches!$BB$5:$BB$22,MATCH($C81,Matches!$A$5:$A$22,0)))),""))</f>
        <v>0.5248199446</v>
      </c>
      <c r="AZ81" s="18">
        <f>IF(OR($AY81="",$AT81=""),1,((Config!$B$14*$AY81+Config!$B$15*(1-$AY81))/(Config!$B$14*$AT81+Config!$B$15*(1-$AT81)))^Config!$B$13)</f>
        <v>1.002359781</v>
      </c>
      <c r="BA81" s="17">
        <f t="shared" si="9"/>
        <v>14.48549378</v>
      </c>
      <c r="BB81" s="17">
        <f t="shared" si="10"/>
        <v>16.029196</v>
      </c>
      <c r="BC81" s="17">
        <f t="shared" si="11"/>
        <v>14.8238272</v>
      </c>
      <c r="BD81" s="17">
        <f t="shared" si="12"/>
        <v>30.51468978</v>
      </c>
      <c r="BE81" s="17">
        <f t="shared" si="13"/>
        <v>37.93549768</v>
      </c>
      <c r="BF81" s="17">
        <f t="shared" si="14"/>
        <v>7.714082573</v>
      </c>
      <c r="BG81" s="17">
        <f t="shared" si="15"/>
        <v>8.401588589</v>
      </c>
      <c r="BH81" s="17">
        <f t="shared" si="16"/>
        <v>7.55062227</v>
      </c>
      <c r="BI81" s="17">
        <f t="shared" si="17"/>
        <v>16.11567116</v>
      </c>
      <c r="BJ81" s="17">
        <f t="shared" si="18"/>
        <v>19.89551267</v>
      </c>
      <c r="BK81" s="18">
        <f t="shared" si="19"/>
        <v>0.9918003507</v>
      </c>
    </row>
    <row r="82" ht="15.75" customHeight="1">
      <c r="A82" s="4" t="s">
        <v>3210</v>
      </c>
      <c r="B82" s="4" t="s">
        <v>86</v>
      </c>
      <c r="C82" s="4" t="s">
        <v>1152</v>
      </c>
      <c r="D82" s="4" t="s">
        <v>1156</v>
      </c>
      <c r="E82" s="4" t="s">
        <v>1480</v>
      </c>
      <c r="F82" s="4" t="s">
        <v>1479</v>
      </c>
      <c r="G82" s="4" t="str">
        <f t="array" ref="G82">IFERROR(IF(INDEX(Matches!$W$5:$W$22,MATCH($C82,Matches!$A$5:$A$22,0))="","",INDEX(Matches!$W$5:$W$22,MATCH($C82,Matches!$A$5:$A$22,0))),"")</f>
        <v>Inferno</v>
      </c>
      <c r="H82" s="4" t="str">
        <f t="array" ref="H82">IFERROR(IF(INDEX(Matches!$X$5:$X$22,MATCH($C82,Matches!$A$5:$A$22,0))="","",INDEX(Matches!$X$5:$X$22,MATCH($C82,Matches!$A$5:$A$22,0))),"")</f>
        <v>Ancient</v>
      </c>
      <c r="I82" s="4" t="str">
        <f t="array" ref="I82">IFERROR(IF(INDEX(Matches!$Y$5:$Y$22,MATCH($C82,Matches!$A$5:$A$22,0))="","",INDEX(Matches!$Y$5:$Y$22,MATCH($C82,Matches!$A$5:$A$22,0))),"")</f>
        <v>Dust2</v>
      </c>
      <c r="J82" s="4">
        <f t="array" ref="J82">IFERROR(IF(INDEX(Matches!$Z$5:$Z$22,MATCH($C82,Matches!$A$5:$A$22,0))="","",INDEX(Matches!$Z$5:$Z$22,MATCH($C82,Matches!$A$5:$A$22,0))),"")</f>
        <v>21.5</v>
      </c>
      <c r="K82" s="4">
        <f t="array" ref="K82">IFERROR(IF(INDEX(Matches!$AA$5:$AA$22,MATCH($C82,Matches!$A$5:$A$22,0))="","",INDEX(Matches!$AA$5:$AA$22,MATCH($C82,Matches!$A$5:$A$22,0))),"")</f>
        <v>21.38</v>
      </c>
      <c r="L82" s="4">
        <f t="array" ref="L82">IFERROR(IF(INDEX(Matches!$AB$5:$AB$22,MATCH($C82,Matches!$A$5:$A$22,0))="","",INDEX(Matches!$AB$5:$AB$22,MATCH($C82,Matches!$A$5:$A$22,0))),"")</f>
        <v>21.5</v>
      </c>
      <c r="M82" s="11">
        <f t="array" ref="M82">IFERROR(IF(INDEX(Matches!$AC$5:$AC$22,MATCH($C82,Matches!$A$5:$A$22,0))="","",INDEX(Matches!$AC$5:$AC$22,MATCH($C82,Matches!$A$5:$A$22,0))),"")</f>
        <v>0.5006</v>
      </c>
      <c r="N82" s="4">
        <f t="array" ref="N82">IFERROR(INDEX(Players!$F$2:$F$127,MATCH($F82,Players!$A$2:$A$127,0)),0)</f>
        <v>41</v>
      </c>
      <c r="O82" s="18">
        <f t="array" ref="O82">IFERROR(1/(1/INDEX(Players!$H$2:$H$127,MATCH($F82,Players!$A$2:$A$127,0))),"")</f>
        <v>0.69</v>
      </c>
      <c r="P82" s="11">
        <f t="array" ref="P82">IFERROR(1/(1/INDEX(Players!$I$2:$I$127,MATCH($F82,Players!$A$2:$A$127,0))),"")</f>
        <v>0.519</v>
      </c>
      <c r="Q82" s="4">
        <f>IF($G82="",0,SUMIFS(Map_Stats!$F$2:$F$825,Map_Stats!$A$2:$A$825,$F82&amp;"|"&amp;$G82))</f>
        <v>8</v>
      </c>
      <c r="R82" s="18">
        <f t="array" ref="R82">IF($G82="","",IFERROR(1/(1/INDEX(Map_Stats!$K$2:$K$825,MATCH($F82&amp;"|"&amp;$G82,Map_Stats!$A$2:$A$825,0))),$O82))</f>
        <v>0.66</v>
      </c>
      <c r="S82" s="11">
        <f t="array" ref="S82">IF(OR($G82="",$P82=""),"",IFERROR(1/(1/INDEX(Map_Stats!$I$2:$I$825,MATCH($F82&amp;"|"&amp;$G82,Map_Stats!$A$2:$A$825,0))),$P82))</f>
        <v>0.532</v>
      </c>
      <c r="T82" s="18">
        <f>IF(OR($G82="",R82=""),"",IF($O82="",R82,(Q82*R82+Config!$B$4*$O82)/(Q82+Config!$B$4)))</f>
        <v>0.6715384615</v>
      </c>
      <c r="U82" s="11">
        <f>IF(S82="","",(Q82*S82+Config!$B$4*$P82)/(Q82+Config!$B$4))</f>
        <v>0.527</v>
      </c>
      <c r="V82" s="17">
        <f>IF(OR(T82="",$J82=""),"",T82*$J82*($J82/Config!$B$10)^Config!$B$9)</f>
        <v>14.43807692</v>
      </c>
      <c r="W82" s="17">
        <f t="shared" si="1"/>
        <v>7.608866538</v>
      </c>
      <c r="X82" s="4">
        <f>IF($H82="",0,SUMIFS(Map_Stats!$F$2:$F$825,Map_Stats!$A$2:$A$825,$F82&amp;"|"&amp;$H82))</f>
        <v>9</v>
      </c>
      <c r="Y82" s="18">
        <f t="array" ref="Y82">IF($H82="","",IFERROR(1/(1/INDEX(Map_Stats!$K$2:$K$825,MATCH($F82&amp;"|"&amp;$H82,Map_Stats!$A$2:$A$825,0))),$O82))</f>
        <v>0.63</v>
      </c>
      <c r="Z82" s="11">
        <f t="array" ref="Z82">IF(OR($H82="",$P82=""),"",IFERROR(1/(1/INDEX(Map_Stats!$I$2:$I$825,MATCH($F82&amp;"|"&amp;$H82,Map_Stats!$A$2:$A$825,0))),$P82))</f>
        <v>0.516</v>
      </c>
      <c r="AA82" s="18">
        <f>IF(OR($H82="",Y82=""),"",IF($O82="",Y82,(X82*Y82+Config!$B$4*$O82)/(X82+Config!$B$4)))</f>
        <v>0.6514285714</v>
      </c>
      <c r="AB82" s="11">
        <f>IF(Z82="","",(X82*Z82+Config!$B$4*$P82)/(X82+Config!$B$4))</f>
        <v>0.5170714286</v>
      </c>
      <c r="AC82" s="17">
        <f>IF(OR(AA82="",$K82=""),"",AA82*$K82*($K82/Config!$B$10)^Config!$B$9)</f>
        <v>13.92754286</v>
      </c>
      <c r="AD82" s="17">
        <f t="shared" si="2"/>
        <v>7.201534482</v>
      </c>
      <c r="AE82" s="4">
        <f>IF($I82="",0,SUMIFS(Map_Stats!$F$2:$F$825,Map_Stats!$A$2:$A$825,$F82&amp;"|"&amp;$I82))</f>
        <v>9</v>
      </c>
      <c r="AF82" s="18">
        <f t="array" ref="AF82">IF($I82="","",IFERROR(1/(1/INDEX(Map_Stats!$K$2:$K$825,MATCH($F82&amp;"|"&amp;$I82,Map_Stats!$A$2:$A$825,0))),$O82))</f>
        <v>0.66</v>
      </c>
      <c r="AG82" s="11">
        <f t="array" ref="AG82">IF(OR($I82="",$P82=""),"",IFERROR(1/(1/INDEX(Map_Stats!$I$2:$I$825,MATCH($F82&amp;"|"&amp;$I82,Map_Stats!$A$2:$A$825,0))),$P82))</f>
        <v>0.529</v>
      </c>
      <c r="AH82" s="18">
        <f>IF(OR($I82="",AF82=""),"",IF($O82="",AF82,(AE82*AF82+Config!$B$4*$O82)/(AE82+Config!$B$4)))</f>
        <v>0.6707142857</v>
      </c>
      <c r="AI82" s="11">
        <f>IF(AG82="","",(AE82*AG82+Config!$B$4*$P82)/(AE82+Config!$B$4))</f>
        <v>0.5254285714</v>
      </c>
      <c r="AJ82" s="17">
        <f>IF(OR(AH82="",$L82=""),"",AH82*$L82*($L82/Config!$B$10)^Config!$B$9)</f>
        <v>14.42035714</v>
      </c>
      <c r="AK82" s="17">
        <f t="shared" si="3"/>
        <v>7.576867653</v>
      </c>
      <c r="AL82" s="17">
        <f t="shared" si="4"/>
        <v>28.36561978</v>
      </c>
      <c r="AM82" s="17">
        <f t="shared" si="5"/>
        <v>35.58445057</v>
      </c>
      <c r="AN82" s="17">
        <f t="shared" si="6"/>
        <v>14.81040102</v>
      </c>
      <c r="AO82" s="17">
        <f t="shared" si="7"/>
        <v>18.60338097</v>
      </c>
      <c r="AP82" s="11">
        <f t="shared" si="8"/>
        <v>0.5221250632</v>
      </c>
      <c r="AQ82" s="4" t="str">
        <f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4" t="str">
        <f>IF($C82=Board!$B$2,COUNTIFS($C$2:$C$157,Board!$B$2,$AL$2:$AL$157,"&gt;"&amp;$AL82)+COUNTIFS($C$1:$C81,Board!$B$2,$AL$1:$AL81,$AL82)+1,"")</f>
        <v/>
      </c>
      <c r="AS82" s="4" t="str">
        <f t="array" ref="AS82">IFERROR(IF($D82=INDEX(Matches!$AD$5:$AD$22,MATCH($C82,Matches!$A$5:$A$22,0)),"A",IF($D82=INDEX(Matches!$AE$5:$AE$22,MATCH($C82,Matches!$A$5:$A$22,0)),"B","")),"")</f>
        <v>A</v>
      </c>
      <c r="AT82" s="11">
        <f t="array" ref="AT82">IF($AS82="","",IFERROR(IF($AS82="A",INDEX(Matches!$AI$5:$AI$22,MATCH($C82,Matches!$A$5:$A$22,0)),INDEX(Matches!$AJ$5:$AJ$22,MATCH($C82,Matches!$A$5:$A$22,0))),""))</f>
        <v>0.5221270225</v>
      </c>
      <c r="AU82" s="11">
        <f t="array" ref="AU82">IF($AS82="","",IFERROR(IF(INDEX(Matches!$AP$5:$AP$22,MATCH($C82,Matches!$A$5:$A$22,0))="","",IF($AS82="A",INDEX(Matches!$AP$5:$AP$22,MATCH($C82,Matches!$A$5:$A$22,0)),1-INDEX(Matches!$AP$5:$AP$22,MATCH($C82,Matches!$A$5:$A$22,0)))),""))</f>
        <v>0.506534909</v>
      </c>
      <c r="AV82" s="18">
        <f>IF(OR($AU82="",$AT82=""),1,((Config!$B$14*$AU82+Config!$B$15*(1-$AU82))/(Config!$B$14*$AT82+Config!$B$15*(1-$AT82)))^Config!$B$13)</f>
        <v>0.9863367859</v>
      </c>
      <c r="AW82" s="11">
        <f t="array" ref="AW82">IF($AS82="","",IFERROR(IF(INDEX(Matches!$AV$5:$AV$22,MATCH($C82,Matches!$A$5:$A$22,0))="","",IF($AS82="A",INDEX(Matches!$AV$5:$AV$22,MATCH($C82,Matches!$A$5:$A$22,0)),1-INDEX(Matches!$AV$5:$AV$22,MATCH($C82,Matches!$A$5:$A$22,0)))),""))</f>
        <v>0.518463932</v>
      </c>
      <c r="AX82" s="18">
        <f>IF(OR($AW82="",$AT82=""),1,((Config!$B$14*$AW82+Config!$B$15*(1-$AW82))/(Config!$B$14*$AT82+Config!$B$15*(1-$AT82)))^Config!$B$13)</f>
        <v>0.9967900702</v>
      </c>
      <c r="AY82" s="11">
        <f t="array" ref="AY82">IF($AS82="","",IFERROR(IF(INDEX(Matches!$BB$5:$BB$22,MATCH($C82,Matches!$A$5:$A$22,0))="","",IF($AS82="A",INDEX(Matches!$BB$5:$BB$22,MATCH($C82,Matches!$A$5:$A$22,0)),1-INDEX(Matches!$BB$5:$BB$22,MATCH($C82,Matches!$A$5:$A$22,0)))),""))</f>
        <v>0.5248199446</v>
      </c>
      <c r="AZ82" s="18">
        <f>IF(OR($AY82="",$AT82=""),1,((Config!$B$14*$AY82+Config!$B$15*(1-$AY82))/(Config!$B$14*$AT82+Config!$B$15*(1-$AT82)))^Config!$B$13)</f>
        <v>1.002359781</v>
      </c>
      <c r="BA82" s="17">
        <f t="shared" si="9"/>
        <v>14.24080639</v>
      </c>
      <c r="BB82" s="17">
        <f t="shared" si="10"/>
        <v>13.88283642</v>
      </c>
      <c r="BC82" s="17">
        <f t="shared" si="11"/>
        <v>14.45438603</v>
      </c>
      <c r="BD82" s="17">
        <f t="shared" si="12"/>
        <v>28.12364281</v>
      </c>
      <c r="BE82" s="17">
        <f t="shared" si="13"/>
        <v>35.35950845</v>
      </c>
      <c r="BF82" s="17">
        <f t="shared" si="14"/>
        <v>7.504904966</v>
      </c>
      <c r="BG82" s="17">
        <f t="shared" si="15"/>
        <v>7.178418061</v>
      </c>
      <c r="BH82" s="17">
        <f t="shared" si="16"/>
        <v>7.5947474</v>
      </c>
      <c r="BI82" s="17">
        <f t="shared" si="17"/>
        <v>14.68332303</v>
      </c>
      <c r="BJ82" s="17">
        <f t="shared" si="18"/>
        <v>18.48525358</v>
      </c>
      <c r="BK82" s="18">
        <f t="shared" si="19"/>
        <v>0.9914693572</v>
      </c>
    </row>
    <row r="83" ht="15.75" customHeight="1">
      <c r="A83" s="4" t="s">
        <v>3211</v>
      </c>
      <c r="B83" s="4" t="s">
        <v>86</v>
      </c>
      <c r="C83" s="4" t="s">
        <v>1152</v>
      </c>
      <c r="D83" s="4" t="s">
        <v>1156</v>
      </c>
      <c r="E83" s="4" t="s">
        <v>1483</v>
      </c>
      <c r="F83" s="4" t="s">
        <v>1482</v>
      </c>
      <c r="G83" s="4" t="str">
        <f t="array" ref="G83">IFERROR(IF(INDEX(Matches!$W$5:$W$22,MATCH($C83,Matches!$A$5:$A$22,0))="","",INDEX(Matches!$W$5:$W$22,MATCH($C83,Matches!$A$5:$A$22,0))),"")</f>
        <v>Inferno</v>
      </c>
      <c r="H83" s="4" t="str">
        <f t="array" ref="H83">IFERROR(IF(INDEX(Matches!$X$5:$X$22,MATCH($C83,Matches!$A$5:$A$22,0))="","",INDEX(Matches!$X$5:$X$22,MATCH($C83,Matches!$A$5:$A$22,0))),"")</f>
        <v>Ancient</v>
      </c>
      <c r="I83" s="4" t="str">
        <f t="array" ref="I83">IFERROR(IF(INDEX(Matches!$Y$5:$Y$22,MATCH($C83,Matches!$A$5:$A$22,0))="","",INDEX(Matches!$Y$5:$Y$22,MATCH($C83,Matches!$A$5:$A$22,0))),"")</f>
        <v>Dust2</v>
      </c>
      <c r="J83" s="4">
        <f t="array" ref="J83">IFERROR(IF(INDEX(Matches!$Z$5:$Z$22,MATCH($C83,Matches!$A$5:$A$22,0))="","",INDEX(Matches!$Z$5:$Z$22,MATCH($C83,Matches!$A$5:$A$22,0))),"")</f>
        <v>21.5</v>
      </c>
      <c r="K83" s="4">
        <f t="array" ref="K83">IFERROR(IF(INDEX(Matches!$AA$5:$AA$22,MATCH($C83,Matches!$A$5:$A$22,0))="","",INDEX(Matches!$AA$5:$AA$22,MATCH($C83,Matches!$A$5:$A$22,0))),"")</f>
        <v>21.38</v>
      </c>
      <c r="L83" s="4">
        <f t="array" ref="L83">IFERROR(IF(INDEX(Matches!$AB$5:$AB$22,MATCH($C83,Matches!$A$5:$A$22,0))="","",INDEX(Matches!$AB$5:$AB$22,MATCH($C83,Matches!$A$5:$A$22,0))),"")</f>
        <v>21.5</v>
      </c>
      <c r="M83" s="11">
        <f t="array" ref="M83">IFERROR(IF(INDEX(Matches!$AC$5:$AC$22,MATCH($C83,Matches!$A$5:$A$22,0))="","",INDEX(Matches!$AC$5:$AC$22,MATCH($C83,Matches!$A$5:$A$22,0))),"")</f>
        <v>0.5006</v>
      </c>
      <c r="N83" s="4">
        <f t="array" ref="N83">IFERROR(INDEX(Players!$F$2:$F$127,MATCH($F83,Players!$A$2:$A$127,0)),0)</f>
        <v>41</v>
      </c>
      <c r="O83" s="18">
        <f t="array" ref="O83">IFERROR(1/(1/INDEX(Players!$H$2:$H$127,MATCH($F83,Players!$A$2:$A$127,0))),"")</f>
        <v>0.65</v>
      </c>
      <c r="P83" s="11">
        <f t="array" ref="P83">IFERROR(1/(1/INDEX(Players!$I$2:$I$127,MATCH($F83,Players!$A$2:$A$127,0))),"")</f>
        <v>0.547</v>
      </c>
      <c r="Q83" s="4">
        <f>IF($G83="",0,SUMIFS(Map_Stats!$F$2:$F$825,Map_Stats!$A$2:$A$825,$F83&amp;"|"&amp;$G83))</f>
        <v>8</v>
      </c>
      <c r="R83" s="18">
        <f t="array" ref="R83">IF($G83="","",IFERROR(1/(1/INDEX(Map_Stats!$K$2:$K$825,MATCH($F83&amp;"|"&amp;$G83,Map_Stats!$A$2:$A$825,0))),$O83))</f>
        <v>0.64</v>
      </c>
      <c r="S83" s="11">
        <f t="array" ref="S83">IF(OR($G83="",$P83=""),"",IFERROR(1/(1/INDEX(Map_Stats!$I$2:$I$825,MATCH($F83&amp;"|"&amp;$G83,Map_Stats!$A$2:$A$825,0))),$P83))</f>
        <v>0.566</v>
      </c>
      <c r="T83" s="18">
        <f>IF(OR($G83="",R83=""),"",IF($O83="",R83,(Q83*R83+Config!$B$4*$O83)/(Q83+Config!$B$4)))</f>
        <v>0.6438461538</v>
      </c>
      <c r="U83" s="11">
        <f>IF(S83="","",(Q83*S83+Config!$B$4*$P83)/(Q83+Config!$B$4))</f>
        <v>0.5586923077</v>
      </c>
      <c r="V83" s="17">
        <f>IF(OR(T83="",$J83=""),"",T83*$J83*($J83/Config!$B$10)^Config!$B$9)</f>
        <v>13.84269231</v>
      </c>
      <c r="W83" s="17">
        <f t="shared" si="1"/>
        <v>7.73380571</v>
      </c>
      <c r="X83" s="4">
        <f>IF($H83="",0,SUMIFS(Map_Stats!$F$2:$F$825,Map_Stats!$A$2:$A$825,$F83&amp;"|"&amp;$H83))</f>
        <v>9</v>
      </c>
      <c r="Y83" s="18">
        <f t="array" ref="Y83">IF($H83="","",IFERROR(1/(1/INDEX(Map_Stats!$K$2:$K$825,MATCH($F83&amp;"|"&amp;$H83,Map_Stats!$A$2:$A$825,0))),$O83))</f>
        <v>0.73</v>
      </c>
      <c r="Z83" s="11">
        <f t="array" ref="Z83">IF(OR($H83="",$P83=""),"",IFERROR(1/(1/INDEX(Map_Stats!$I$2:$I$825,MATCH($F83&amp;"|"&amp;$H83,Map_Stats!$A$2:$A$825,0))),$P83))</f>
        <v>0.549</v>
      </c>
      <c r="AA83" s="18">
        <f>IF(OR($H83="",Y83=""),"",IF($O83="",Y83,(X83*Y83+Config!$B$4*$O83)/(X83+Config!$B$4)))</f>
        <v>0.7014285714</v>
      </c>
      <c r="AB83" s="11">
        <f>IF(Z83="","",(X83*Z83+Config!$B$4*$P83)/(X83+Config!$B$4))</f>
        <v>0.5482857143</v>
      </c>
      <c r="AC83" s="17">
        <f>IF(OR(AA83="",$K83=""),"",AA83*$K83*($K83/Config!$B$10)^Config!$B$9)</f>
        <v>14.99654286</v>
      </c>
      <c r="AD83" s="17">
        <f t="shared" si="2"/>
        <v>8.222390212</v>
      </c>
      <c r="AE83" s="4">
        <f>IF($I83="",0,SUMIFS(Map_Stats!$F$2:$F$825,Map_Stats!$A$2:$A$825,$F83&amp;"|"&amp;$I83))</f>
        <v>9</v>
      </c>
      <c r="AF83" s="18">
        <f t="array" ref="AF83">IF($I83="","",IFERROR(1/(1/INDEX(Map_Stats!$K$2:$K$825,MATCH($F83&amp;"|"&amp;$I83,Map_Stats!$A$2:$A$825,0))),$O83))</f>
        <v>0.55</v>
      </c>
      <c r="AG83" s="11">
        <f t="array" ref="AG83">IF(OR($I83="",$P83=""),"",IFERROR(1/(1/INDEX(Map_Stats!$I$2:$I$825,MATCH($F83&amp;"|"&amp;$I83,Map_Stats!$A$2:$A$825,0))),$P83))</f>
        <v>0.617</v>
      </c>
      <c r="AH83" s="18">
        <f>IF(OR($I83="",AF83=""),"",IF($O83="",AF83,(AE83*AF83+Config!$B$4*$O83)/(AE83+Config!$B$4)))</f>
        <v>0.5857142857</v>
      </c>
      <c r="AI83" s="11">
        <f>IF(AG83="","",(AE83*AG83+Config!$B$4*$P83)/(AE83+Config!$B$4))</f>
        <v>0.592</v>
      </c>
      <c r="AJ83" s="17">
        <f>IF(OR(AH83="",$L83=""),"",AH83*$L83*($L83/Config!$B$10)^Config!$B$9)</f>
        <v>12.59285714</v>
      </c>
      <c r="AK83" s="17">
        <f t="shared" si="3"/>
        <v>7.454971429</v>
      </c>
      <c r="AL83" s="17">
        <f t="shared" si="4"/>
        <v>28.83923516</v>
      </c>
      <c r="AM83" s="17">
        <f t="shared" si="5"/>
        <v>35.14321945</v>
      </c>
      <c r="AN83" s="17">
        <f t="shared" si="6"/>
        <v>15.95619592</v>
      </c>
      <c r="AO83" s="17">
        <f t="shared" si="7"/>
        <v>19.68815462</v>
      </c>
      <c r="AP83" s="11">
        <f t="shared" si="8"/>
        <v>0.5532808284</v>
      </c>
      <c r="AQ83" s="4" t="str">
        <f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4" t="str">
        <f>IF($C83=Board!$B$2,COUNTIFS($C$2:$C$157,Board!$B$2,$AL$2:$AL$157,"&gt;"&amp;$AL83)+COUNTIFS($C$1:$C82,Board!$B$2,$AL$1:$AL82,$AL83)+1,"")</f>
        <v/>
      </c>
      <c r="AS83" s="4" t="str">
        <f t="array" ref="AS83">IFERROR(IF($D83=INDEX(Matches!$AD$5:$AD$22,MATCH($C83,Matches!$A$5:$A$22,0)),"A",IF($D83=INDEX(Matches!$AE$5:$AE$22,MATCH($C83,Matches!$A$5:$A$22,0)),"B","")),"")</f>
        <v>A</v>
      </c>
      <c r="AT83" s="11">
        <f t="array" ref="AT83">IF($AS83="","",IFERROR(IF($AS83="A",INDEX(Matches!$AI$5:$AI$22,MATCH($C83,Matches!$A$5:$A$22,0)),INDEX(Matches!$AJ$5:$AJ$22,MATCH($C83,Matches!$A$5:$A$22,0))),""))</f>
        <v>0.5221270225</v>
      </c>
      <c r="AU83" s="11">
        <f t="array" ref="AU83">IF($AS83="","",IFERROR(IF(INDEX(Matches!$AP$5:$AP$22,MATCH($C83,Matches!$A$5:$A$22,0))="","",IF($AS83="A",INDEX(Matches!$AP$5:$AP$22,MATCH($C83,Matches!$A$5:$A$22,0)),1-INDEX(Matches!$AP$5:$AP$22,MATCH($C83,Matches!$A$5:$A$22,0)))),""))</f>
        <v>0.506534909</v>
      </c>
      <c r="AV83" s="18">
        <f>IF(OR($AU83="",$AT83=""),1,((Config!$B$14*$AU83+Config!$B$15*(1-$AU83))/(Config!$B$14*$AT83+Config!$B$15*(1-$AT83)))^Config!$B$13)</f>
        <v>0.9863367859</v>
      </c>
      <c r="AW83" s="11">
        <f t="array" ref="AW83">IF($AS83="","",IFERROR(IF(INDEX(Matches!$AV$5:$AV$22,MATCH($C83,Matches!$A$5:$A$22,0))="","",IF($AS83="A",INDEX(Matches!$AV$5:$AV$22,MATCH($C83,Matches!$A$5:$A$22,0)),1-INDEX(Matches!$AV$5:$AV$22,MATCH($C83,Matches!$A$5:$A$22,0)))),""))</f>
        <v>0.518463932</v>
      </c>
      <c r="AX83" s="18">
        <f>IF(OR($AW83="",$AT83=""),1,((Config!$B$14*$AW83+Config!$B$15*(1-$AW83))/(Config!$B$14*$AT83+Config!$B$15*(1-$AT83)))^Config!$B$13)</f>
        <v>0.9967900702</v>
      </c>
      <c r="AY83" s="11">
        <f t="array" ref="AY83">IF($AS83="","",IFERROR(IF(INDEX(Matches!$BB$5:$BB$22,MATCH($C83,Matches!$A$5:$A$22,0))="","",IF($AS83="A",INDEX(Matches!$BB$5:$BB$22,MATCH($C83,Matches!$A$5:$A$22,0)),1-INDEX(Matches!$BB$5:$BB$22,MATCH($C83,Matches!$A$5:$A$22,0)))),""))</f>
        <v>0.5248199446</v>
      </c>
      <c r="AZ83" s="18">
        <f>IF(OR($AY83="",$AT83=""),1,((Config!$B$14*$AY83+Config!$B$15*(1-$AY83))/(Config!$B$14*$AT83+Config!$B$15*(1-$AT83)))^Config!$B$13)</f>
        <v>1.002359781</v>
      </c>
      <c r="BA83" s="17">
        <f t="shared" si="9"/>
        <v>13.65355664</v>
      </c>
      <c r="BB83" s="17">
        <f t="shared" si="10"/>
        <v>14.94840501</v>
      </c>
      <c r="BC83" s="17">
        <f t="shared" si="11"/>
        <v>12.62257353</v>
      </c>
      <c r="BD83" s="17">
        <f t="shared" si="12"/>
        <v>28.60196165</v>
      </c>
      <c r="BE83" s="17">
        <f t="shared" si="13"/>
        <v>34.92082195</v>
      </c>
      <c r="BF83" s="17">
        <f t="shared" si="14"/>
        <v>7.628137067</v>
      </c>
      <c r="BG83" s="17">
        <f t="shared" si="15"/>
        <v>8.195996917</v>
      </c>
      <c r="BH83" s="17">
        <f t="shared" si="16"/>
        <v>7.472563528</v>
      </c>
      <c r="BI83" s="17">
        <f t="shared" si="17"/>
        <v>15.82413398</v>
      </c>
      <c r="BJ83" s="17">
        <f t="shared" si="18"/>
        <v>19.56489929</v>
      </c>
      <c r="BK83" s="18">
        <f t="shared" si="19"/>
        <v>0.9917725447</v>
      </c>
    </row>
    <row r="84" ht="15.75" customHeight="1">
      <c r="A84" s="4" t="s">
        <v>3212</v>
      </c>
      <c r="B84" s="4" t="s">
        <v>86</v>
      </c>
      <c r="C84" s="4" t="s">
        <v>1152</v>
      </c>
      <c r="D84" s="4" t="s">
        <v>1156</v>
      </c>
      <c r="E84" s="4" t="s">
        <v>1486</v>
      </c>
      <c r="F84" s="4" t="s">
        <v>1485</v>
      </c>
      <c r="G84" s="4" t="str">
        <f t="array" ref="G84">IFERROR(IF(INDEX(Matches!$W$5:$W$22,MATCH($C84,Matches!$A$5:$A$22,0))="","",INDEX(Matches!$W$5:$W$22,MATCH($C84,Matches!$A$5:$A$22,0))),"")</f>
        <v>Inferno</v>
      </c>
      <c r="H84" s="4" t="str">
        <f t="array" ref="H84">IFERROR(IF(INDEX(Matches!$X$5:$X$22,MATCH($C84,Matches!$A$5:$A$22,0))="","",INDEX(Matches!$X$5:$X$22,MATCH($C84,Matches!$A$5:$A$22,0))),"")</f>
        <v>Ancient</v>
      </c>
      <c r="I84" s="4" t="str">
        <f t="array" ref="I84">IFERROR(IF(INDEX(Matches!$Y$5:$Y$22,MATCH($C84,Matches!$A$5:$A$22,0))="","",INDEX(Matches!$Y$5:$Y$22,MATCH($C84,Matches!$A$5:$A$22,0))),"")</f>
        <v>Dust2</v>
      </c>
      <c r="J84" s="4">
        <f t="array" ref="J84">IFERROR(IF(INDEX(Matches!$Z$5:$Z$22,MATCH($C84,Matches!$A$5:$A$22,0))="","",INDEX(Matches!$Z$5:$Z$22,MATCH($C84,Matches!$A$5:$A$22,0))),"")</f>
        <v>21.5</v>
      </c>
      <c r="K84" s="4">
        <f t="array" ref="K84">IFERROR(IF(INDEX(Matches!$AA$5:$AA$22,MATCH($C84,Matches!$A$5:$A$22,0))="","",INDEX(Matches!$AA$5:$AA$22,MATCH($C84,Matches!$A$5:$A$22,0))),"")</f>
        <v>21.38</v>
      </c>
      <c r="L84" s="4">
        <f t="array" ref="L84">IFERROR(IF(INDEX(Matches!$AB$5:$AB$22,MATCH($C84,Matches!$A$5:$A$22,0))="","",INDEX(Matches!$AB$5:$AB$22,MATCH($C84,Matches!$A$5:$A$22,0))),"")</f>
        <v>21.5</v>
      </c>
      <c r="M84" s="11">
        <f t="array" ref="M84">IFERROR(IF(INDEX(Matches!$AC$5:$AC$22,MATCH($C84,Matches!$A$5:$A$22,0))="","",INDEX(Matches!$AC$5:$AC$22,MATCH($C84,Matches!$A$5:$A$22,0))),"")</f>
        <v>0.5006</v>
      </c>
      <c r="N84" s="4">
        <f t="array" ref="N84">IFERROR(INDEX(Players!$F$2:$F$127,MATCH($F84,Players!$A$2:$A$127,0)),0)</f>
        <v>41</v>
      </c>
      <c r="O84" s="18">
        <f t="array" ref="O84">IFERROR(1/(1/INDEX(Players!$H$2:$H$127,MATCH($F84,Players!$A$2:$A$127,0))),"")</f>
        <v>0.69</v>
      </c>
      <c r="P84" s="11">
        <f t="array" ref="P84">IFERROR(1/(1/INDEX(Players!$I$2:$I$127,MATCH($F84,Players!$A$2:$A$127,0))),"")</f>
        <v>0.57</v>
      </c>
      <c r="Q84" s="4">
        <f>IF($G84="",0,SUMIFS(Map_Stats!$F$2:$F$825,Map_Stats!$A$2:$A$825,$F84&amp;"|"&amp;$G84))</f>
        <v>8</v>
      </c>
      <c r="R84" s="18">
        <f t="array" ref="R84">IF($G84="","",IFERROR(1/(1/INDEX(Map_Stats!$K$2:$K$825,MATCH($F84&amp;"|"&amp;$G84,Map_Stats!$A$2:$A$825,0))),$O84))</f>
        <v>0.85</v>
      </c>
      <c r="S84" s="11">
        <f t="array" ref="S84">IF(OR($G84="",$P84=""),"",IFERROR(1/(1/INDEX(Map_Stats!$I$2:$I$825,MATCH($F84&amp;"|"&amp;$G84,Map_Stats!$A$2:$A$825,0))),$P84))</f>
        <v>0.539</v>
      </c>
      <c r="T84" s="18">
        <f>IF(OR($G84="",R84=""),"",IF($O84="",R84,(Q84*R84+Config!$B$4*$O84)/(Q84+Config!$B$4)))</f>
        <v>0.7884615385</v>
      </c>
      <c r="U84" s="11">
        <f>IF(S84="","",(Q84*S84+Config!$B$4*$P84)/(Q84+Config!$B$4))</f>
        <v>0.5509230769</v>
      </c>
      <c r="V84" s="17">
        <f>IF(OR(T84="",$J84=""),"",T84*$J84*($J84/Config!$B$10)^Config!$B$9)</f>
        <v>16.95192308</v>
      </c>
      <c r="W84" s="17">
        <f t="shared" si="1"/>
        <v>9.339205621</v>
      </c>
      <c r="X84" s="4">
        <f>IF($H84="",0,SUMIFS(Map_Stats!$F$2:$F$825,Map_Stats!$A$2:$A$825,$F84&amp;"|"&amp;$H84))</f>
        <v>9</v>
      </c>
      <c r="Y84" s="18">
        <f t="array" ref="Y84">IF($H84="","",IFERROR(1/(1/INDEX(Map_Stats!$K$2:$K$825,MATCH($F84&amp;"|"&amp;$H84,Map_Stats!$A$2:$A$825,0))),$O84))</f>
        <v>0.63</v>
      </c>
      <c r="Z84" s="11">
        <f t="array" ref="Z84">IF(OR($H84="",$P84=""),"",IFERROR(1/(1/INDEX(Map_Stats!$I$2:$I$825,MATCH($F84&amp;"|"&amp;$H84,Map_Stats!$A$2:$A$825,0))),$P84))</f>
        <v>0.548</v>
      </c>
      <c r="AA84" s="18">
        <f>IF(OR($H84="",Y84=""),"",IF($O84="",Y84,(X84*Y84+Config!$B$4*$O84)/(X84+Config!$B$4)))</f>
        <v>0.6514285714</v>
      </c>
      <c r="AB84" s="11">
        <f>IF(Z84="","",(X84*Z84+Config!$B$4*$P84)/(X84+Config!$B$4))</f>
        <v>0.5558571429</v>
      </c>
      <c r="AC84" s="17">
        <f>IF(OR(AA84="",$K84=""),"",AA84*$K84*($K84/Config!$B$10)^Config!$B$9)</f>
        <v>13.92754286</v>
      </c>
      <c r="AD84" s="17">
        <f t="shared" si="2"/>
        <v>7.74172418</v>
      </c>
      <c r="AE84" s="4">
        <f>IF($I84="",0,SUMIFS(Map_Stats!$F$2:$F$825,Map_Stats!$A$2:$A$825,$F84&amp;"|"&amp;$I84))</f>
        <v>9</v>
      </c>
      <c r="AF84" s="18">
        <f t="array" ref="AF84">IF($I84="","",IFERROR(1/(1/INDEX(Map_Stats!$K$2:$K$825,MATCH($F84&amp;"|"&amp;$I84,Map_Stats!$A$2:$A$825,0))),$O84))</f>
        <v>0.64</v>
      </c>
      <c r="AG84" s="11">
        <f t="array" ref="AG84">IF(OR($I84="",$P84=""),"",IFERROR(1/(1/INDEX(Map_Stats!$I$2:$I$825,MATCH($F84&amp;"|"&amp;$I84,Map_Stats!$A$2:$A$825,0))),$P84))</f>
        <v>0.615</v>
      </c>
      <c r="AH84" s="18">
        <f>IF(OR($I84="",AF84=""),"",IF($O84="",AF84,(AE84*AF84+Config!$B$4*$O84)/(AE84+Config!$B$4)))</f>
        <v>0.6578571429</v>
      </c>
      <c r="AI84" s="11">
        <f>IF(AG84="","",(AE84*AG84+Config!$B$4*$P84)/(AE84+Config!$B$4))</f>
        <v>0.5989285714</v>
      </c>
      <c r="AJ84" s="17">
        <f>IF(OR(AH84="",$L84=""),"",AH84*$L84*($L84/Config!$B$10)^Config!$B$9)</f>
        <v>14.14392857</v>
      </c>
      <c r="AK84" s="17">
        <f t="shared" si="3"/>
        <v>8.471202934</v>
      </c>
      <c r="AL84" s="17">
        <f t="shared" si="4"/>
        <v>30.87946593</v>
      </c>
      <c r="AM84" s="17">
        <f t="shared" si="5"/>
        <v>37.95991658</v>
      </c>
      <c r="AN84" s="17">
        <f t="shared" si="6"/>
        <v>17.0809298</v>
      </c>
      <c r="AO84" s="17">
        <f t="shared" si="7"/>
        <v>21.32161399</v>
      </c>
      <c r="AP84" s="11">
        <f t="shared" si="8"/>
        <v>0.5531484851</v>
      </c>
      <c r="AQ84" s="4" t="str">
        <f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4" t="str">
        <f>IF($C84=Board!$B$2,COUNTIFS($C$2:$C$157,Board!$B$2,$AL$2:$AL$157,"&gt;"&amp;$AL84)+COUNTIFS($C$1:$C83,Board!$B$2,$AL$1:$AL83,$AL84)+1,"")</f>
        <v/>
      </c>
      <c r="AS84" s="4" t="str">
        <f t="array" ref="AS84">IFERROR(IF($D84=INDEX(Matches!$AD$5:$AD$22,MATCH($C84,Matches!$A$5:$A$22,0)),"A",IF($D84=INDEX(Matches!$AE$5:$AE$22,MATCH($C84,Matches!$A$5:$A$22,0)),"B","")),"")</f>
        <v>A</v>
      </c>
      <c r="AT84" s="11">
        <f t="array" ref="AT84">IF($AS84="","",IFERROR(IF($AS84="A",INDEX(Matches!$AI$5:$AI$22,MATCH($C84,Matches!$A$5:$A$22,0)),INDEX(Matches!$AJ$5:$AJ$22,MATCH($C84,Matches!$A$5:$A$22,0))),""))</f>
        <v>0.5221270225</v>
      </c>
      <c r="AU84" s="11">
        <f t="array" ref="AU84">IF($AS84="","",IFERROR(IF(INDEX(Matches!$AP$5:$AP$22,MATCH($C84,Matches!$A$5:$A$22,0))="","",IF($AS84="A",INDEX(Matches!$AP$5:$AP$22,MATCH($C84,Matches!$A$5:$A$22,0)),1-INDEX(Matches!$AP$5:$AP$22,MATCH($C84,Matches!$A$5:$A$22,0)))),""))</f>
        <v>0.506534909</v>
      </c>
      <c r="AV84" s="18">
        <f>IF(OR($AU84="",$AT84=""),1,((Config!$B$14*$AU84+Config!$B$15*(1-$AU84))/(Config!$B$14*$AT84+Config!$B$15*(1-$AT84)))^Config!$B$13)</f>
        <v>0.9863367859</v>
      </c>
      <c r="AW84" s="11">
        <f t="array" ref="AW84">IF($AS84="","",IFERROR(IF(INDEX(Matches!$AV$5:$AV$22,MATCH($C84,Matches!$A$5:$A$22,0))="","",IF($AS84="A",INDEX(Matches!$AV$5:$AV$22,MATCH($C84,Matches!$A$5:$A$22,0)),1-INDEX(Matches!$AV$5:$AV$22,MATCH($C84,Matches!$A$5:$A$22,0)))),""))</f>
        <v>0.518463932</v>
      </c>
      <c r="AX84" s="18">
        <f>IF(OR($AW84="",$AT84=""),1,((Config!$B$14*$AW84+Config!$B$15*(1-$AW84))/(Config!$B$14*$AT84+Config!$B$15*(1-$AT84)))^Config!$B$13)</f>
        <v>0.9967900702</v>
      </c>
      <c r="AY84" s="11">
        <f t="array" ref="AY84">IF($AS84="","",IFERROR(IF(INDEX(Matches!$BB$5:$BB$22,MATCH($C84,Matches!$A$5:$A$22,0))="","",IF($AS84="A",INDEX(Matches!$BB$5:$BB$22,MATCH($C84,Matches!$A$5:$A$22,0)),1-INDEX(Matches!$BB$5:$BB$22,MATCH($C84,Matches!$A$5:$A$22,0)))),""))</f>
        <v>0.5248199446</v>
      </c>
      <c r="AZ84" s="18">
        <f>IF(OR($AY84="",$AT84=""),1,((Config!$B$14*$AY84+Config!$B$15*(1-$AY84))/(Config!$B$14*$AT84+Config!$B$15*(1-$AT84)))^Config!$B$13)</f>
        <v>1.002359781</v>
      </c>
      <c r="BA84" s="17">
        <f t="shared" si="9"/>
        <v>16.72030532</v>
      </c>
      <c r="BB84" s="17">
        <f t="shared" si="10"/>
        <v>13.88283642</v>
      </c>
      <c r="BC84" s="17">
        <f t="shared" si="11"/>
        <v>14.17730514</v>
      </c>
      <c r="BD84" s="17">
        <f t="shared" si="12"/>
        <v>30.60314174</v>
      </c>
      <c r="BE84" s="17">
        <f t="shared" si="13"/>
        <v>37.7003007</v>
      </c>
      <c r="BF84" s="17">
        <f t="shared" si="14"/>
        <v>9.211602055</v>
      </c>
      <c r="BG84" s="17">
        <f t="shared" si="15"/>
        <v>7.716873788</v>
      </c>
      <c r="BH84" s="17">
        <f t="shared" si="16"/>
        <v>8.491193116</v>
      </c>
      <c r="BI84" s="17">
        <f t="shared" si="17"/>
        <v>16.92847584</v>
      </c>
      <c r="BJ84" s="17">
        <f t="shared" si="18"/>
        <v>21.17916712</v>
      </c>
      <c r="BK84" s="18">
        <f t="shared" si="19"/>
        <v>0.991051523</v>
      </c>
    </row>
    <row r="85" ht="15.75" customHeight="1">
      <c r="A85" s="4" t="s">
        <v>3213</v>
      </c>
      <c r="B85" s="4" t="s">
        <v>86</v>
      </c>
      <c r="C85" s="4" t="s">
        <v>1152</v>
      </c>
      <c r="D85" s="4" t="s">
        <v>1157</v>
      </c>
      <c r="E85" s="4" t="s">
        <v>1505</v>
      </c>
      <c r="F85" s="4" t="s">
        <v>1504</v>
      </c>
      <c r="G85" s="4" t="str">
        <f t="array" ref="G85">IFERROR(IF(INDEX(Matches!$W$5:$W$22,MATCH($C85,Matches!$A$5:$A$22,0))="","",INDEX(Matches!$W$5:$W$22,MATCH($C85,Matches!$A$5:$A$22,0))),"")</f>
        <v>Inferno</v>
      </c>
      <c r="H85" s="4" t="str">
        <f t="array" ref="H85">IFERROR(IF(INDEX(Matches!$X$5:$X$22,MATCH($C85,Matches!$A$5:$A$22,0))="","",INDEX(Matches!$X$5:$X$22,MATCH($C85,Matches!$A$5:$A$22,0))),"")</f>
        <v>Ancient</v>
      </c>
      <c r="I85" s="4" t="str">
        <f t="array" ref="I85">IFERROR(IF(INDEX(Matches!$Y$5:$Y$22,MATCH($C85,Matches!$A$5:$A$22,0))="","",INDEX(Matches!$Y$5:$Y$22,MATCH($C85,Matches!$A$5:$A$22,0))),"")</f>
        <v>Dust2</v>
      </c>
      <c r="J85" s="4">
        <f t="array" ref="J85">IFERROR(IF(INDEX(Matches!$Z$5:$Z$22,MATCH($C85,Matches!$A$5:$A$22,0))="","",INDEX(Matches!$Z$5:$Z$22,MATCH($C85,Matches!$A$5:$A$22,0))),"")</f>
        <v>21.5</v>
      </c>
      <c r="K85" s="4">
        <f t="array" ref="K85">IFERROR(IF(INDEX(Matches!$AA$5:$AA$22,MATCH($C85,Matches!$A$5:$A$22,0))="","",INDEX(Matches!$AA$5:$AA$22,MATCH($C85,Matches!$A$5:$A$22,0))),"")</f>
        <v>21.38</v>
      </c>
      <c r="L85" s="4">
        <f t="array" ref="L85">IFERROR(IF(INDEX(Matches!$AB$5:$AB$22,MATCH($C85,Matches!$A$5:$A$22,0))="","",INDEX(Matches!$AB$5:$AB$22,MATCH($C85,Matches!$A$5:$A$22,0))),"")</f>
        <v>21.5</v>
      </c>
      <c r="M85" s="11">
        <f t="array" ref="M85">IFERROR(IF(INDEX(Matches!$AC$5:$AC$22,MATCH($C85,Matches!$A$5:$A$22,0))="","",INDEX(Matches!$AC$5:$AC$22,MATCH($C85,Matches!$A$5:$A$22,0))),"")</f>
        <v>0.5006</v>
      </c>
      <c r="N85" s="4">
        <f t="array" ref="N85">IFERROR(INDEX(Players!$F$2:$F$127,MATCH($F85,Players!$A$2:$A$127,0)),0)</f>
        <v>35</v>
      </c>
      <c r="O85" s="18">
        <f t="array" ref="O85">IFERROR(1/(1/INDEX(Players!$H$2:$H$127,MATCH($F85,Players!$A$2:$A$127,0))),"")</f>
        <v>0.71</v>
      </c>
      <c r="P85" s="11">
        <f t="array" ref="P85">IFERROR(1/(1/INDEX(Players!$I$2:$I$127,MATCH($F85,Players!$A$2:$A$127,0))),"")</f>
        <v>0.582</v>
      </c>
      <c r="Q85" s="4">
        <f>IF($G85="",0,SUMIFS(Map_Stats!$F$2:$F$825,Map_Stats!$A$2:$A$825,$F85&amp;"|"&amp;$G85))</f>
        <v>4</v>
      </c>
      <c r="R85" s="18">
        <f t="array" ref="R85">IF($G85="","",IFERROR(1/(1/INDEX(Map_Stats!$K$2:$K$825,MATCH($F85&amp;"|"&amp;$G85,Map_Stats!$A$2:$A$825,0))),$O85))</f>
        <v>0.78</v>
      </c>
      <c r="S85" s="11">
        <f t="array" ref="S85">IF(OR($G85="",$P85=""),"",IFERROR(1/(1/INDEX(Map_Stats!$I$2:$I$825,MATCH($F85&amp;"|"&amp;$G85,Map_Stats!$A$2:$A$825,0))),$P85))</f>
        <v>0.574</v>
      </c>
      <c r="T85" s="18">
        <f>IF(OR($G85="",R85=""),"",IF($O85="",R85,(Q85*R85+Config!$B$4*$O85)/(Q85+Config!$B$4)))</f>
        <v>0.7411111111</v>
      </c>
      <c r="U85" s="11">
        <f>IF(S85="","",(Q85*S85+Config!$B$4*$P85)/(Q85+Config!$B$4))</f>
        <v>0.5784444444</v>
      </c>
      <c r="V85" s="17">
        <f>IF(OR(T85="",$J85=""),"",T85*$J85*($J85/Config!$B$10)^Config!$B$9)</f>
        <v>15.93388889</v>
      </c>
      <c r="W85" s="17">
        <f t="shared" si="1"/>
        <v>9.216869506</v>
      </c>
      <c r="X85" s="4">
        <f>IF($H85="",0,SUMIFS(Map_Stats!$F$2:$F$825,Map_Stats!$A$2:$A$825,$F85&amp;"|"&amp;$H85))</f>
        <v>4</v>
      </c>
      <c r="Y85" s="18">
        <f t="array" ref="Y85">IF($H85="","",IFERROR(1/(1/INDEX(Map_Stats!$K$2:$K$825,MATCH($F85&amp;"|"&amp;$H85,Map_Stats!$A$2:$A$825,0))),$O85))</f>
        <v>0.75</v>
      </c>
      <c r="Z85" s="11">
        <f t="array" ref="Z85">IF(OR($H85="",$P85=""),"",IFERROR(1/(1/INDEX(Map_Stats!$I$2:$I$825,MATCH($F85&amp;"|"&amp;$H85,Map_Stats!$A$2:$A$825,0))),$P85))</f>
        <v>0.549</v>
      </c>
      <c r="AA85" s="18">
        <f>IF(OR($H85="",Y85=""),"",IF($O85="",Y85,(X85*Y85+Config!$B$4*$O85)/(X85+Config!$B$4)))</f>
        <v>0.7277777778</v>
      </c>
      <c r="AB85" s="11">
        <f>IF(Z85="","",(X85*Z85+Config!$B$4*$P85)/(X85+Config!$B$4))</f>
        <v>0.5673333333</v>
      </c>
      <c r="AC85" s="17">
        <f>IF(OR(AA85="",$K85=""),"",AA85*$K85*($K85/Config!$B$10)^Config!$B$9)</f>
        <v>15.55988889</v>
      </c>
      <c r="AD85" s="17">
        <f t="shared" si="2"/>
        <v>8.82764363</v>
      </c>
      <c r="AE85" s="4">
        <f>IF($I85="",0,SUMIFS(Map_Stats!$F$2:$F$825,Map_Stats!$A$2:$A$825,$F85&amp;"|"&amp;$I85))</f>
        <v>9</v>
      </c>
      <c r="AF85" s="18">
        <f t="array" ref="AF85">IF($I85="","",IFERROR(1/(1/INDEX(Map_Stats!$K$2:$K$825,MATCH($F85&amp;"|"&amp;$I85,Map_Stats!$A$2:$A$825,0))),$O85))</f>
        <v>0.7</v>
      </c>
      <c r="AG85" s="11">
        <f t="array" ref="AG85">IF(OR($I85="",$P85=""),"",IFERROR(1/(1/INDEX(Map_Stats!$I$2:$I$825,MATCH($F85&amp;"|"&amp;$I85,Map_Stats!$A$2:$A$825,0))),$P85))</f>
        <v>0.674</v>
      </c>
      <c r="AH85" s="18">
        <f>IF(OR($I85="",AF85=""),"",IF($O85="",AF85,(AE85*AF85+Config!$B$4*$O85)/(AE85+Config!$B$4)))</f>
        <v>0.7035714286</v>
      </c>
      <c r="AI85" s="11">
        <f>IF(AG85="","",(AE85*AG85+Config!$B$4*$P85)/(AE85+Config!$B$4))</f>
        <v>0.6411428571</v>
      </c>
      <c r="AJ85" s="17">
        <f>IF(OR(AH85="",$L85=""),"",AH85*$L85*($L85/Config!$B$10)^Config!$B$9)</f>
        <v>15.12678571</v>
      </c>
      <c r="AK85" s="17">
        <f t="shared" si="3"/>
        <v>9.698430612</v>
      </c>
      <c r="AL85" s="17">
        <f t="shared" si="4"/>
        <v>31.49377778</v>
      </c>
      <c r="AM85" s="17">
        <f t="shared" si="5"/>
        <v>39.06624671</v>
      </c>
      <c r="AN85" s="17">
        <f t="shared" si="6"/>
        <v>18.04451314</v>
      </c>
      <c r="AO85" s="17">
        <f t="shared" si="7"/>
        <v>22.8995475</v>
      </c>
      <c r="AP85" s="11">
        <f t="shared" si="8"/>
        <v>0.5729548631</v>
      </c>
      <c r="AQ85" s="4" t="str">
        <f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4" t="str">
        <f>IF($C85=Board!$B$2,COUNTIFS($C$2:$C$157,Board!$B$2,$AL$2:$AL$157,"&gt;"&amp;$AL85)+COUNTIFS($C$1:$C84,Board!$B$2,$AL$1:$AL84,$AL85)+1,"")</f>
        <v/>
      </c>
      <c r="AS85" s="4" t="str">
        <f t="array" ref="AS85">IFERROR(IF($D85=INDEX(Matches!$AD$5:$AD$22,MATCH($C85,Matches!$A$5:$A$22,0)),"A",IF($D85=INDEX(Matches!$AE$5:$AE$22,MATCH($C85,Matches!$A$5:$A$22,0)),"B","")),"")</f>
        <v>B</v>
      </c>
      <c r="AT85" s="11">
        <f t="array" ref="AT85">IF($AS85="","",IFERROR(IF($AS85="A",INDEX(Matches!$AI$5:$AI$22,MATCH($C85,Matches!$A$5:$A$22,0)),INDEX(Matches!$AJ$5:$AJ$22,MATCH($C85,Matches!$A$5:$A$22,0))),""))</f>
        <v>0.51811275</v>
      </c>
      <c r="AU85" s="11">
        <f t="array" ref="AU85">IF($AS85="","",IFERROR(IF(INDEX(Matches!$AP$5:$AP$22,MATCH($C85,Matches!$A$5:$A$22,0))="","",IF($AS85="A",INDEX(Matches!$AP$5:$AP$22,MATCH($C85,Matches!$A$5:$A$22,0)),1-INDEX(Matches!$AP$5:$AP$22,MATCH($C85,Matches!$A$5:$A$22,0)))),""))</f>
        <v>0.493465091</v>
      </c>
      <c r="AV85" s="18">
        <f>IF(OR($AU85="",$AT85=""),1,((Config!$B$14*$AU85+Config!$B$15*(1-$AU85))/(Config!$B$14*$AT85+Config!$B$15*(1-$AT85)))^Config!$B$13)</f>
        <v>0.9783252567</v>
      </c>
      <c r="AW85" s="11">
        <f t="array" ref="AW85">IF($AS85="","",IFERROR(IF(INDEX(Matches!$AV$5:$AV$22,MATCH($C85,Matches!$A$5:$A$22,0))="","",IF($AS85="A",INDEX(Matches!$AV$5:$AV$22,MATCH($C85,Matches!$A$5:$A$22,0)),1-INDEX(Matches!$AV$5:$AV$22,MATCH($C85,Matches!$A$5:$A$22,0)))),""))</f>
        <v>0.481536068</v>
      </c>
      <c r="AX85" s="18">
        <f>IF(OR($AW85="",$AT85=""),1,((Config!$B$14*$AW85+Config!$B$15*(1-$AW85))/(Config!$B$14*$AT85+Config!$B$15*(1-$AT85)))^Config!$B$13)</f>
        <v>0.9678350715</v>
      </c>
      <c r="AY85" s="11">
        <f t="array" ref="AY85">IF($AS85="","",IFERROR(IF(INDEX(Matches!$BB$5:$BB$22,MATCH($C85,Matches!$A$5:$A$22,0))="","",IF($AS85="A",INDEX(Matches!$BB$5:$BB$22,MATCH($C85,Matches!$A$5:$A$22,0)),1-INDEX(Matches!$BB$5:$BB$22,MATCH($C85,Matches!$A$5:$A$22,0)))),""))</f>
        <v>0.4751800554</v>
      </c>
      <c r="AZ85" s="18">
        <f>IF(OR($AY85="",$AT85=""),1,((Config!$B$14*$AY85+Config!$B$15*(1-$AY85))/(Config!$B$14*$AT85+Config!$B$15*(1-$AT85)))^Config!$B$13)</f>
        <v>0.9622456992</v>
      </c>
      <c r="BA85" s="17">
        <f t="shared" si="9"/>
        <v>15.58852594</v>
      </c>
      <c r="BB85" s="17">
        <f t="shared" si="10"/>
        <v>15.05940617</v>
      </c>
      <c r="BC85" s="17">
        <f t="shared" si="11"/>
        <v>14.5556845</v>
      </c>
      <c r="BD85" s="17">
        <f t="shared" si="12"/>
        <v>30.64793211</v>
      </c>
      <c r="BE85" s="17">
        <f t="shared" si="13"/>
        <v>37.93450777</v>
      </c>
      <c r="BF85" s="17">
        <f t="shared" si="14"/>
        <v>9.017096226</v>
      </c>
      <c r="BG85" s="17">
        <f t="shared" si="15"/>
        <v>8.543703103</v>
      </c>
      <c r="BH85" s="17">
        <f t="shared" si="16"/>
        <v>9.332273146</v>
      </c>
      <c r="BI85" s="17">
        <f t="shared" si="17"/>
        <v>17.56079933</v>
      </c>
      <c r="BJ85" s="17">
        <f t="shared" si="18"/>
        <v>22.23253527</v>
      </c>
      <c r="BK85" s="18">
        <f t="shared" si="19"/>
        <v>0.9731424515</v>
      </c>
    </row>
    <row r="86" ht="15.75" customHeight="1">
      <c r="A86" s="4" t="s">
        <v>3216</v>
      </c>
      <c r="B86" s="4" t="s">
        <v>86</v>
      </c>
      <c r="C86" s="4" t="s">
        <v>1152</v>
      </c>
      <c r="D86" s="4" t="s">
        <v>1157</v>
      </c>
      <c r="E86" s="4" t="s">
        <v>1509</v>
      </c>
      <c r="F86" s="4" t="s">
        <v>1508</v>
      </c>
      <c r="G86" s="4" t="str">
        <f t="array" ref="G86">IFERROR(IF(INDEX(Matches!$W$5:$W$22,MATCH($C86,Matches!$A$5:$A$22,0))="","",INDEX(Matches!$W$5:$W$22,MATCH($C86,Matches!$A$5:$A$22,0))),"")</f>
        <v>Inferno</v>
      </c>
      <c r="H86" s="4" t="str">
        <f t="array" ref="H86">IFERROR(IF(INDEX(Matches!$X$5:$X$22,MATCH($C86,Matches!$A$5:$A$22,0))="","",INDEX(Matches!$X$5:$X$22,MATCH($C86,Matches!$A$5:$A$22,0))),"")</f>
        <v>Ancient</v>
      </c>
      <c r="I86" s="4" t="str">
        <f t="array" ref="I86">IFERROR(IF(INDEX(Matches!$Y$5:$Y$22,MATCH($C86,Matches!$A$5:$A$22,0))="","",INDEX(Matches!$Y$5:$Y$22,MATCH($C86,Matches!$A$5:$A$22,0))),"")</f>
        <v>Dust2</v>
      </c>
      <c r="J86" s="4">
        <f t="array" ref="J86">IFERROR(IF(INDEX(Matches!$Z$5:$Z$22,MATCH($C86,Matches!$A$5:$A$22,0))="","",INDEX(Matches!$Z$5:$Z$22,MATCH($C86,Matches!$A$5:$A$22,0))),"")</f>
        <v>21.5</v>
      </c>
      <c r="K86" s="4">
        <f t="array" ref="K86">IFERROR(IF(INDEX(Matches!$AA$5:$AA$22,MATCH($C86,Matches!$A$5:$A$22,0))="","",INDEX(Matches!$AA$5:$AA$22,MATCH($C86,Matches!$A$5:$A$22,0))),"")</f>
        <v>21.38</v>
      </c>
      <c r="L86" s="4">
        <f t="array" ref="L86">IFERROR(IF(INDEX(Matches!$AB$5:$AB$22,MATCH($C86,Matches!$A$5:$A$22,0))="","",INDEX(Matches!$AB$5:$AB$22,MATCH($C86,Matches!$A$5:$A$22,0))),"")</f>
        <v>21.5</v>
      </c>
      <c r="M86" s="11">
        <f t="array" ref="M86">IFERROR(IF(INDEX(Matches!$AC$5:$AC$22,MATCH($C86,Matches!$A$5:$A$22,0))="","",INDEX(Matches!$AC$5:$AC$22,MATCH($C86,Matches!$A$5:$A$22,0))),"")</f>
        <v>0.5006</v>
      </c>
      <c r="N86" s="4">
        <f t="array" ref="N86">IFERROR(INDEX(Players!$F$2:$F$127,MATCH($F86,Players!$A$2:$A$127,0)),0)</f>
        <v>36</v>
      </c>
      <c r="O86" s="18">
        <f t="array" ref="O86">IFERROR(1/(1/INDEX(Players!$H$2:$H$127,MATCH($F86,Players!$A$2:$A$127,0))),"")</f>
        <v>0.74</v>
      </c>
      <c r="P86" s="11">
        <f t="array" ref="P86">IFERROR(1/(1/INDEX(Players!$I$2:$I$127,MATCH($F86,Players!$A$2:$A$127,0))),"")</f>
        <v>0.523</v>
      </c>
      <c r="Q86" s="4">
        <f>IF($G86="",0,SUMIFS(Map_Stats!$F$2:$F$825,Map_Stats!$A$2:$A$825,$F86&amp;"|"&amp;$G86))</f>
        <v>4</v>
      </c>
      <c r="R86" s="18">
        <f t="array" ref="R86">IF($G86="","",IFERROR(1/(1/INDEX(Map_Stats!$K$2:$K$825,MATCH($F86&amp;"|"&amp;$G86,Map_Stats!$A$2:$A$825,0))),$O86))</f>
        <v>0.79</v>
      </c>
      <c r="S86" s="11">
        <f t="array" ref="S86">IF(OR($G86="",$P86=""),"",IFERROR(1/(1/INDEX(Map_Stats!$I$2:$I$825,MATCH($F86&amp;"|"&amp;$G86,Map_Stats!$A$2:$A$825,0))),$P86))</f>
        <v>0.548</v>
      </c>
      <c r="T86" s="18">
        <f>IF(OR($G86="",R86=""),"",IF($O86="",R86,(Q86*R86+Config!$B$4*$O86)/(Q86+Config!$B$4)))</f>
        <v>0.7622222222</v>
      </c>
      <c r="U86" s="11">
        <f>IF(S86="","",(Q86*S86+Config!$B$4*$P86)/(Q86+Config!$B$4))</f>
        <v>0.5341111111</v>
      </c>
      <c r="V86" s="17">
        <f>IF(OR(T86="",$J86=""),"",T86*$J86*($J86/Config!$B$10)^Config!$B$9)</f>
        <v>16.38777778</v>
      </c>
      <c r="W86" s="17">
        <f t="shared" si="1"/>
        <v>8.752894198</v>
      </c>
      <c r="X86" s="4">
        <f>IF($H86="",0,SUMIFS(Map_Stats!$F$2:$F$825,Map_Stats!$A$2:$A$825,$F86&amp;"|"&amp;$H86))</f>
        <v>5</v>
      </c>
      <c r="Y86" s="18">
        <f t="array" ref="Y86">IF($H86="","",IFERROR(1/(1/INDEX(Map_Stats!$K$2:$K$825,MATCH($F86&amp;"|"&amp;$H86,Map_Stats!$A$2:$A$825,0))),$O86))</f>
        <v>0.62</v>
      </c>
      <c r="Z86" s="11">
        <f t="array" ref="Z86">IF(OR($H86="",$P86=""),"",IFERROR(1/(1/INDEX(Map_Stats!$I$2:$I$825,MATCH($F86&amp;"|"&amp;$H86,Map_Stats!$A$2:$A$825,0))),$P86))</f>
        <v>0.589</v>
      </c>
      <c r="AA86" s="18">
        <f>IF(OR($H86="",Y86=""),"",IF($O86="",Y86,(X86*Y86+Config!$B$4*$O86)/(X86+Config!$B$4)))</f>
        <v>0.68</v>
      </c>
      <c r="AB86" s="11">
        <f>IF(Z86="","",(X86*Z86+Config!$B$4*$P86)/(X86+Config!$B$4))</f>
        <v>0.556</v>
      </c>
      <c r="AC86" s="17">
        <f>IF(OR(AA86="",$K86=""),"",AA86*$K86*($K86/Config!$B$10)^Config!$B$9)</f>
        <v>14.5384</v>
      </c>
      <c r="AD86" s="17">
        <f t="shared" si="2"/>
        <v>8.0833504</v>
      </c>
      <c r="AE86" s="4">
        <f>IF($I86="",0,SUMIFS(Map_Stats!$F$2:$F$825,Map_Stats!$A$2:$A$825,$F86&amp;"|"&amp;$I86))</f>
        <v>9</v>
      </c>
      <c r="AF86" s="18">
        <f t="array" ref="AF86">IF($I86="","",IFERROR(1/(1/INDEX(Map_Stats!$K$2:$K$825,MATCH($F86&amp;"|"&amp;$I86,Map_Stats!$A$2:$A$825,0))),$O86))</f>
        <v>0.79</v>
      </c>
      <c r="AG86" s="11">
        <f t="array" ref="AG86">IF(OR($I86="",$P86=""),"",IFERROR(1/(1/INDEX(Map_Stats!$I$2:$I$825,MATCH($F86&amp;"|"&amp;$I86,Map_Stats!$A$2:$A$825,0))),$P86))</f>
        <v>0.472</v>
      </c>
      <c r="AH86" s="18">
        <f>IF(OR($I86="",AF86=""),"",IF($O86="",AF86,(AE86*AF86+Config!$B$4*$O86)/(AE86+Config!$B$4)))</f>
        <v>0.7721428571</v>
      </c>
      <c r="AI86" s="11">
        <f>IF(AG86="","",(AE86*AG86+Config!$B$4*$P86)/(AE86+Config!$B$4))</f>
        <v>0.4902142857</v>
      </c>
      <c r="AJ86" s="17">
        <f>IF(OR(AH86="",$L86=""),"",AH86*$L86*($L86/Config!$B$10)^Config!$B$9)</f>
        <v>16.60107143</v>
      </c>
      <c r="AK86" s="17">
        <f t="shared" si="3"/>
        <v>8.138082372</v>
      </c>
      <c r="AL86" s="17">
        <f t="shared" si="4"/>
        <v>30.92617778</v>
      </c>
      <c r="AM86" s="17">
        <f t="shared" si="5"/>
        <v>39.23667413</v>
      </c>
      <c r="AN86" s="17">
        <f t="shared" si="6"/>
        <v>16.8362446</v>
      </c>
      <c r="AO86" s="17">
        <f t="shared" si="7"/>
        <v>20.91016863</v>
      </c>
      <c r="AP86" s="11">
        <f t="shared" si="8"/>
        <v>0.5444010805</v>
      </c>
      <c r="AQ86" s="4" t="str">
        <f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4" t="str">
        <f>IF($C86=Board!$B$2,COUNTIFS($C$2:$C$157,Board!$B$2,$AL$2:$AL$157,"&gt;"&amp;$AL86)+COUNTIFS($C$1:$C85,Board!$B$2,$AL$1:$AL85,$AL86)+1,"")</f>
        <v/>
      </c>
      <c r="AS86" s="4" t="str">
        <f t="array" ref="AS86">IFERROR(IF($D86=INDEX(Matches!$AD$5:$AD$22,MATCH($C86,Matches!$A$5:$A$22,0)),"A",IF($D86=INDEX(Matches!$AE$5:$AE$22,MATCH($C86,Matches!$A$5:$A$22,0)),"B","")),"")</f>
        <v>B</v>
      </c>
      <c r="AT86" s="11">
        <f t="array" ref="AT86">IF($AS86="","",IFERROR(IF($AS86="A",INDEX(Matches!$AI$5:$AI$22,MATCH($C86,Matches!$A$5:$A$22,0)),INDEX(Matches!$AJ$5:$AJ$22,MATCH($C86,Matches!$A$5:$A$22,0))),""))</f>
        <v>0.51811275</v>
      </c>
      <c r="AU86" s="11">
        <f t="array" ref="AU86">IF($AS86="","",IFERROR(IF(INDEX(Matches!$AP$5:$AP$22,MATCH($C86,Matches!$A$5:$A$22,0))="","",IF($AS86="A",INDEX(Matches!$AP$5:$AP$22,MATCH($C86,Matches!$A$5:$A$22,0)),1-INDEX(Matches!$AP$5:$AP$22,MATCH($C86,Matches!$A$5:$A$22,0)))),""))</f>
        <v>0.493465091</v>
      </c>
      <c r="AV86" s="18">
        <f>IF(OR($AU86="",$AT86=""),1,((Config!$B$14*$AU86+Config!$B$15*(1-$AU86))/(Config!$B$14*$AT86+Config!$B$15*(1-$AT86)))^Config!$B$13)</f>
        <v>0.9783252567</v>
      </c>
      <c r="AW86" s="11">
        <f t="array" ref="AW86">IF($AS86="","",IFERROR(IF(INDEX(Matches!$AV$5:$AV$22,MATCH($C86,Matches!$A$5:$A$22,0))="","",IF($AS86="A",INDEX(Matches!$AV$5:$AV$22,MATCH($C86,Matches!$A$5:$A$22,0)),1-INDEX(Matches!$AV$5:$AV$22,MATCH($C86,Matches!$A$5:$A$22,0)))),""))</f>
        <v>0.481536068</v>
      </c>
      <c r="AX86" s="18">
        <f>IF(OR($AW86="",$AT86=""),1,((Config!$B$14*$AW86+Config!$B$15*(1-$AW86))/(Config!$B$14*$AT86+Config!$B$15*(1-$AT86)))^Config!$B$13)</f>
        <v>0.9678350715</v>
      </c>
      <c r="AY86" s="11">
        <f t="array" ref="AY86">IF($AS86="","",IFERROR(IF(INDEX(Matches!$BB$5:$BB$22,MATCH($C86,Matches!$A$5:$A$22,0))="","",IF($AS86="A",INDEX(Matches!$BB$5:$BB$22,MATCH($C86,Matches!$A$5:$A$22,0)),1-INDEX(Matches!$BB$5:$BB$22,MATCH($C86,Matches!$A$5:$A$22,0)))),""))</f>
        <v>0.4751800554</v>
      </c>
      <c r="AZ86" s="18">
        <f>IF(OR($AY86="",$AT86=""),1,((Config!$B$14*$AY86+Config!$B$15*(1-$AY86))/(Config!$B$14*$AT86+Config!$B$15*(1-$AT86)))^Config!$B$13)</f>
        <v>0.9622456992</v>
      </c>
      <c r="BA86" s="17">
        <f t="shared" si="9"/>
        <v>16.0325769</v>
      </c>
      <c r="BB86" s="17">
        <f t="shared" si="10"/>
        <v>14.0707734</v>
      </c>
      <c r="BC86" s="17">
        <f t="shared" si="11"/>
        <v>15.97430958</v>
      </c>
      <c r="BD86" s="17">
        <f t="shared" si="12"/>
        <v>30.1033503</v>
      </c>
      <c r="BE86" s="17">
        <f t="shared" si="13"/>
        <v>38.10008968</v>
      </c>
      <c r="BF86" s="17">
        <f t="shared" si="14"/>
        <v>8.563177463</v>
      </c>
      <c r="BG86" s="17">
        <f t="shared" si="15"/>
        <v>7.823350012</v>
      </c>
      <c r="BH86" s="17">
        <f t="shared" si="16"/>
        <v>7.830834763</v>
      </c>
      <c r="BI86" s="17">
        <f t="shared" si="17"/>
        <v>16.38652747</v>
      </c>
      <c r="BJ86" s="17">
        <f t="shared" si="18"/>
        <v>20.30664336</v>
      </c>
      <c r="BK86" s="18">
        <f t="shared" si="19"/>
        <v>0.9733938193</v>
      </c>
    </row>
    <row r="87" ht="15.75" customHeight="1">
      <c r="A87" s="4" t="s">
        <v>3218</v>
      </c>
      <c r="B87" s="4" t="s">
        <v>86</v>
      </c>
      <c r="C87" s="4" t="s">
        <v>1152</v>
      </c>
      <c r="D87" s="4" t="s">
        <v>1157</v>
      </c>
      <c r="E87" s="4" t="s">
        <v>1512</v>
      </c>
      <c r="F87" s="4" t="s">
        <v>1511</v>
      </c>
      <c r="G87" s="4" t="str">
        <f t="array" ref="G87">IFERROR(IF(INDEX(Matches!$W$5:$W$22,MATCH($C87,Matches!$A$5:$A$22,0))="","",INDEX(Matches!$W$5:$W$22,MATCH($C87,Matches!$A$5:$A$22,0))),"")</f>
        <v>Inferno</v>
      </c>
      <c r="H87" s="4" t="str">
        <f t="array" ref="H87">IFERROR(IF(INDEX(Matches!$X$5:$X$22,MATCH($C87,Matches!$A$5:$A$22,0))="","",INDEX(Matches!$X$5:$X$22,MATCH($C87,Matches!$A$5:$A$22,0))),"")</f>
        <v>Ancient</v>
      </c>
      <c r="I87" s="4" t="str">
        <f t="array" ref="I87">IFERROR(IF(INDEX(Matches!$Y$5:$Y$22,MATCH($C87,Matches!$A$5:$A$22,0))="","",INDEX(Matches!$Y$5:$Y$22,MATCH($C87,Matches!$A$5:$A$22,0))),"")</f>
        <v>Dust2</v>
      </c>
      <c r="J87" s="4">
        <f t="array" ref="J87">IFERROR(IF(INDEX(Matches!$Z$5:$Z$22,MATCH($C87,Matches!$A$5:$A$22,0))="","",INDEX(Matches!$Z$5:$Z$22,MATCH($C87,Matches!$A$5:$A$22,0))),"")</f>
        <v>21.5</v>
      </c>
      <c r="K87" s="4">
        <f t="array" ref="K87">IFERROR(IF(INDEX(Matches!$AA$5:$AA$22,MATCH($C87,Matches!$A$5:$A$22,0))="","",INDEX(Matches!$AA$5:$AA$22,MATCH($C87,Matches!$A$5:$A$22,0))),"")</f>
        <v>21.38</v>
      </c>
      <c r="L87" s="4">
        <f t="array" ref="L87">IFERROR(IF(INDEX(Matches!$AB$5:$AB$22,MATCH($C87,Matches!$A$5:$A$22,0))="","",INDEX(Matches!$AB$5:$AB$22,MATCH($C87,Matches!$A$5:$A$22,0))),"")</f>
        <v>21.5</v>
      </c>
      <c r="M87" s="11">
        <f t="array" ref="M87">IFERROR(IF(INDEX(Matches!$AC$5:$AC$22,MATCH($C87,Matches!$A$5:$A$22,0))="","",INDEX(Matches!$AC$5:$AC$22,MATCH($C87,Matches!$A$5:$A$22,0))),"")</f>
        <v>0.5006</v>
      </c>
      <c r="N87" s="4">
        <f t="array" ref="N87">IFERROR(INDEX(Players!$F$2:$F$127,MATCH($F87,Players!$A$2:$A$127,0)),0)</f>
        <v>35</v>
      </c>
      <c r="O87" s="18">
        <f t="array" ref="O87">IFERROR(1/(1/INDEX(Players!$H$2:$H$127,MATCH($F87,Players!$A$2:$A$127,0))),"")</f>
        <v>0.6</v>
      </c>
      <c r="P87" s="11">
        <f t="array" ref="P87">IFERROR(1/(1/INDEX(Players!$I$2:$I$127,MATCH($F87,Players!$A$2:$A$127,0))),"")</f>
        <v>0.511</v>
      </c>
      <c r="Q87" s="4">
        <f>IF($G87="",0,SUMIFS(Map_Stats!$F$2:$F$825,Map_Stats!$A$2:$A$825,$F87&amp;"|"&amp;$G87))</f>
        <v>4</v>
      </c>
      <c r="R87" s="18">
        <f t="array" ref="R87">IF($G87="","",IFERROR(1/(1/INDEX(Map_Stats!$K$2:$K$825,MATCH($F87&amp;"|"&amp;$G87,Map_Stats!$A$2:$A$825,0))),$O87))</f>
        <v>0.58</v>
      </c>
      <c r="S87" s="11">
        <f t="array" ref="S87">IF(OR($G87="",$P87=""),"",IFERROR(1/(1/INDEX(Map_Stats!$I$2:$I$825,MATCH($F87&amp;"|"&amp;$G87,Map_Stats!$A$2:$A$825,0))),$P87))</f>
        <v>0.511</v>
      </c>
      <c r="T87" s="18">
        <f>IF(OR($G87="",R87=""),"",IF($O87="",R87,(Q87*R87+Config!$B$4*$O87)/(Q87+Config!$B$4)))</f>
        <v>0.5911111111</v>
      </c>
      <c r="U87" s="11">
        <f>IF(S87="","",(Q87*S87+Config!$B$4*$P87)/(Q87+Config!$B$4))</f>
        <v>0.511</v>
      </c>
      <c r="V87" s="17">
        <f>IF(OR(T87="",$J87=""),"",T87*$J87*($J87/Config!$B$10)^Config!$B$9)</f>
        <v>12.70888889</v>
      </c>
      <c r="W87" s="17">
        <f t="shared" si="1"/>
        <v>6.494242222</v>
      </c>
      <c r="X87" s="4">
        <f>IF($H87="",0,SUMIFS(Map_Stats!$F$2:$F$825,Map_Stats!$A$2:$A$825,$F87&amp;"|"&amp;$H87))</f>
        <v>4</v>
      </c>
      <c r="Y87" s="18">
        <f t="array" ref="Y87">IF($H87="","",IFERROR(1/(1/INDEX(Map_Stats!$K$2:$K$825,MATCH($F87&amp;"|"&amp;$H87,Map_Stats!$A$2:$A$825,0))),$O87))</f>
        <v>0.68</v>
      </c>
      <c r="Z87" s="11">
        <f t="array" ref="Z87">IF(OR($H87="",$P87=""),"",IFERROR(1/(1/INDEX(Map_Stats!$I$2:$I$825,MATCH($F87&amp;"|"&amp;$H87,Map_Stats!$A$2:$A$825,0))),$P87))</f>
        <v>0.554</v>
      </c>
      <c r="AA87" s="18">
        <f>IF(OR($H87="",Y87=""),"",IF($O87="",Y87,(X87*Y87+Config!$B$4*$O87)/(X87+Config!$B$4)))</f>
        <v>0.6355555556</v>
      </c>
      <c r="AB87" s="11">
        <f>IF(Z87="","",(X87*Z87+Config!$B$4*$P87)/(X87+Config!$B$4))</f>
        <v>0.5301111111</v>
      </c>
      <c r="AC87" s="17">
        <f>IF(OR(AA87="",$K87=""),"",AA87*$K87*($K87/Config!$B$10)^Config!$B$9)</f>
        <v>13.58817778</v>
      </c>
      <c r="AD87" s="17">
        <f t="shared" si="2"/>
        <v>7.20324402</v>
      </c>
      <c r="AE87" s="4">
        <f>IF($I87="",0,SUMIFS(Map_Stats!$F$2:$F$825,Map_Stats!$A$2:$A$825,$F87&amp;"|"&amp;$I87))</f>
        <v>9</v>
      </c>
      <c r="AF87" s="18">
        <f t="array" ref="AF87">IF($I87="","",IFERROR(1/(1/INDEX(Map_Stats!$K$2:$K$825,MATCH($F87&amp;"|"&amp;$I87,Map_Stats!$A$2:$A$825,0))),$O87))</f>
        <v>0.54</v>
      </c>
      <c r="AG87" s="11">
        <f t="array" ref="AG87">IF(OR($I87="",$P87=""),"",IFERROR(1/(1/INDEX(Map_Stats!$I$2:$I$825,MATCH($F87&amp;"|"&amp;$I87,Map_Stats!$A$2:$A$825,0))),$P87))</f>
        <v>0.482</v>
      </c>
      <c r="AH87" s="18">
        <f>IF(OR($I87="",AF87=""),"",IF($O87="",AF87,(AE87*AF87+Config!$B$4*$O87)/(AE87+Config!$B$4)))</f>
        <v>0.5614285714</v>
      </c>
      <c r="AI87" s="11">
        <f>IF(AG87="","",(AE87*AG87+Config!$B$4*$P87)/(AE87+Config!$B$4))</f>
        <v>0.4923571429</v>
      </c>
      <c r="AJ87" s="17">
        <f>IF(OR(AH87="",$L87=""),"",AH87*$L87*($L87/Config!$B$10)^Config!$B$9)</f>
        <v>12.07071429</v>
      </c>
      <c r="AK87" s="17">
        <f t="shared" si="3"/>
        <v>5.943102398</v>
      </c>
      <c r="AL87" s="17">
        <f t="shared" si="4"/>
        <v>26.29706667</v>
      </c>
      <c r="AM87" s="17">
        <f t="shared" si="5"/>
        <v>32.33966624</v>
      </c>
      <c r="AN87" s="17">
        <f t="shared" si="6"/>
        <v>13.69748624</v>
      </c>
      <c r="AO87" s="17">
        <f t="shared" si="7"/>
        <v>16.6726033</v>
      </c>
      <c r="AP87" s="11">
        <f t="shared" si="8"/>
        <v>0.5208750624</v>
      </c>
      <c r="AQ87" s="4" t="str">
        <f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4" t="str">
        <f>IF($C87=Board!$B$2,COUNTIFS($C$2:$C$157,Board!$B$2,$AL$2:$AL$157,"&gt;"&amp;$AL87)+COUNTIFS($C$1:$C86,Board!$B$2,$AL$1:$AL86,$AL87)+1,"")</f>
        <v/>
      </c>
      <c r="AS87" s="4" t="str">
        <f t="array" ref="AS87">IFERROR(IF($D87=INDEX(Matches!$AD$5:$AD$22,MATCH($C87,Matches!$A$5:$A$22,0)),"A",IF($D87=INDEX(Matches!$AE$5:$AE$22,MATCH($C87,Matches!$A$5:$A$22,0)),"B","")),"")</f>
        <v>B</v>
      </c>
      <c r="AT87" s="11">
        <f t="array" ref="AT87">IF($AS87="","",IFERROR(IF($AS87="A",INDEX(Matches!$AI$5:$AI$22,MATCH($C87,Matches!$A$5:$A$22,0)),INDEX(Matches!$AJ$5:$AJ$22,MATCH($C87,Matches!$A$5:$A$22,0))),""))</f>
        <v>0.51811275</v>
      </c>
      <c r="AU87" s="11">
        <f t="array" ref="AU87">IF($AS87="","",IFERROR(IF(INDEX(Matches!$AP$5:$AP$22,MATCH($C87,Matches!$A$5:$A$22,0))="","",IF($AS87="A",INDEX(Matches!$AP$5:$AP$22,MATCH($C87,Matches!$A$5:$A$22,0)),1-INDEX(Matches!$AP$5:$AP$22,MATCH($C87,Matches!$A$5:$A$22,0)))),""))</f>
        <v>0.493465091</v>
      </c>
      <c r="AV87" s="18">
        <f>IF(OR($AU87="",$AT87=""),1,((Config!$B$14*$AU87+Config!$B$15*(1-$AU87))/(Config!$B$14*$AT87+Config!$B$15*(1-$AT87)))^Config!$B$13)</f>
        <v>0.9783252567</v>
      </c>
      <c r="AW87" s="11">
        <f t="array" ref="AW87">IF($AS87="","",IFERROR(IF(INDEX(Matches!$AV$5:$AV$22,MATCH($C87,Matches!$A$5:$A$22,0))="","",IF($AS87="A",INDEX(Matches!$AV$5:$AV$22,MATCH($C87,Matches!$A$5:$A$22,0)),1-INDEX(Matches!$AV$5:$AV$22,MATCH($C87,Matches!$A$5:$A$22,0)))),""))</f>
        <v>0.481536068</v>
      </c>
      <c r="AX87" s="18">
        <f>IF(OR($AW87="",$AT87=""),1,((Config!$B$14*$AW87+Config!$B$15*(1-$AW87))/(Config!$B$14*$AT87+Config!$B$15*(1-$AT87)))^Config!$B$13)</f>
        <v>0.9678350715</v>
      </c>
      <c r="AY87" s="11">
        <f t="array" ref="AY87">IF($AS87="","",IFERROR(IF(INDEX(Matches!$BB$5:$BB$22,MATCH($C87,Matches!$A$5:$A$22,0))="","",IF($AS87="A",INDEX(Matches!$BB$5:$BB$22,MATCH($C87,Matches!$A$5:$A$22,0)),1-INDEX(Matches!$BB$5:$BB$22,MATCH($C87,Matches!$A$5:$A$22,0)))),""))</f>
        <v>0.4751800554</v>
      </c>
      <c r="AZ87" s="18">
        <f>IF(OR($AY87="",$AT87=""),1,((Config!$B$14*$AY87+Config!$B$15*(1-$AY87))/(Config!$B$14*$AT87+Config!$B$15*(1-$AT87)))^Config!$B$13)</f>
        <v>0.9622456992</v>
      </c>
      <c r="BA87" s="17">
        <f t="shared" si="9"/>
        <v>12.43342698</v>
      </c>
      <c r="BB87" s="17">
        <f t="shared" si="10"/>
        <v>13.15111501</v>
      </c>
      <c r="BC87" s="17">
        <f t="shared" si="11"/>
        <v>11.61499291</v>
      </c>
      <c r="BD87" s="17">
        <f t="shared" si="12"/>
        <v>25.584542</v>
      </c>
      <c r="BE87" s="17">
        <f t="shared" si="13"/>
        <v>31.39900745</v>
      </c>
      <c r="BF87" s="17">
        <f t="shared" si="14"/>
        <v>6.353481189</v>
      </c>
      <c r="BG87" s="17">
        <f t="shared" si="15"/>
        <v>6.971552191</v>
      </c>
      <c r="BH87" s="17">
        <f t="shared" si="16"/>
        <v>5.718724722</v>
      </c>
      <c r="BI87" s="17">
        <f t="shared" si="17"/>
        <v>13.32503338</v>
      </c>
      <c r="BJ87" s="17">
        <f t="shared" si="18"/>
        <v>16.18782698</v>
      </c>
      <c r="BK87" s="18">
        <f t="shared" si="19"/>
        <v>0.9729047852</v>
      </c>
    </row>
    <row r="88" ht="15.75" customHeight="1">
      <c r="A88" s="4" t="s">
        <v>3219</v>
      </c>
      <c r="B88" s="4" t="s">
        <v>86</v>
      </c>
      <c r="C88" s="4" t="s">
        <v>566</v>
      </c>
      <c r="D88" s="4" t="s">
        <v>578</v>
      </c>
      <c r="E88" s="4" t="s">
        <v>1489</v>
      </c>
      <c r="F88" s="4" t="s">
        <v>1488</v>
      </c>
      <c r="G88" s="4" t="str">
        <f t="array" ref="G88">IFERROR(IF(INDEX(Matches!$W$5:$W$22,MATCH($C88,Matches!$A$5:$A$22,0))="","",INDEX(Matches!$W$5:$W$22,MATCH($C88,Matches!$A$5:$A$22,0))),"")</f>
        <v>Cache</v>
      </c>
      <c r="H88" s="4" t="str">
        <f t="array" ref="H88">IFERROR(IF(INDEX(Matches!$X$5:$X$22,MATCH($C88,Matches!$A$5:$A$22,0))="","",INDEX(Matches!$X$5:$X$22,MATCH($C88,Matches!$A$5:$A$22,0))),"")</f>
        <v>Mirage</v>
      </c>
      <c r="I88" s="4" t="str">
        <f t="array" ref="I88">IFERROR(IF(INDEX(Matches!$Y$5:$Y$22,MATCH($C88,Matches!$A$5:$A$22,0))="","",INDEX(Matches!$Y$5:$Y$22,MATCH($C88,Matches!$A$5:$A$22,0))),"")</f>
        <v>Nuke</v>
      </c>
      <c r="J88" s="4">
        <f t="array" ref="J88">IFERROR(IF(INDEX(Matches!$Z$5:$Z$22,MATCH($C88,Matches!$A$5:$A$22,0))="","",INDEX(Matches!$Z$5:$Z$22,MATCH($C88,Matches!$A$5:$A$22,0))),"")</f>
        <v>21.5</v>
      </c>
      <c r="K88" s="4">
        <f t="array" ref="K88">IFERROR(IF(INDEX(Matches!$AA$5:$AA$22,MATCH($C88,Matches!$A$5:$A$22,0))="","",INDEX(Matches!$AA$5:$AA$22,MATCH($C88,Matches!$A$5:$A$22,0))),"")</f>
        <v>21.5</v>
      </c>
      <c r="L88" s="4">
        <f t="array" ref="L88">IFERROR(IF(INDEX(Matches!$AB$5:$AB$22,MATCH($C88,Matches!$A$5:$A$22,0))="","",INDEX(Matches!$AB$5:$AB$22,MATCH($C88,Matches!$A$5:$A$22,0))),"")</f>
        <v>21.5</v>
      </c>
      <c r="M88" s="11">
        <f t="array" ref="M88">IFERROR(IF(INDEX(Matches!$AC$5:$AC$22,MATCH($C88,Matches!$A$5:$A$22,0))="","",INDEX(Matches!$AC$5:$AC$22,MATCH($C88,Matches!$A$5:$A$22,0))),"")</f>
        <v>0.5048</v>
      </c>
      <c r="N88" s="4">
        <f t="array" ref="N88">IFERROR(INDEX(Players!$F$2:$F$127,MATCH($F88,Players!$A$2:$A$127,0)),0)</f>
        <v>30</v>
      </c>
      <c r="O88" s="18">
        <f t="array" ref="O88">IFERROR(1/(1/INDEX(Players!$H$2:$H$127,MATCH($F88,Players!$A$2:$A$127,0))),"")</f>
        <v>0.72</v>
      </c>
      <c r="P88" s="11">
        <f t="array" ref="P88">IFERROR(1/(1/INDEX(Players!$I$2:$I$127,MATCH($F88,Players!$A$2:$A$127,0))),"")</f>
        <v>0.532</v>
      </c>
      <c r="Q88" s="4">
        <f>IF($G88="",0,SUMIFS(Map_Stats!$F$2:$F$825,Map_Stats!$A$2:$A$825,$F88&amp;"|"&amp;$G88))</f>
        <v>7</v>
      </c>
      <c r="R88" s="18">
        <f t="array" ref="R88">IF($G88="","",IFERROR(1/(1/INDEX(Map_Stats!$K$2:$K$825,MATCH($F88&amp;"|"&amp;$G88,Map_Stats!$A$2:$A$825,0))),$O88))</f>
        <v>0.66</v>
      </c>
      <c r="S88" s="11">
        <f t="array" ref="S88">IF(OR($G88="",$P88=""),"",IFERROR(1/(1/INDEX(Map_Stats!$I$2:$I$825,MATCH($F88&amp;"|"&amp;$G88,Map_Stats!$A$2:$A$825,0))),$P88))</f>
        <v>0.567</v>
      </c>
      <c r="T88" s="18">
        <f>IF(OR($G88="",R88=""),"",IF($O88="",R88,(Q88*R88+Config!$B$4*$O88)/(Q88+Config!$B$4)))</f>
        <v>0.685</v>
      </c>
      <c r="U88" s="11">
        <f>IF(S88="","",(Q88*S88+Config!$B$4*$P88)/(Q88+Config!$B$4))</f>
        <v>0.5524166667</v>
      </c>
      <c r="V88" s="17">
        <f>IF(OR(T88="",$J88=""),"",T88*$J88*($J88/Config!$B$10)^Config!$B$9)</f>
        <v>14.7275</v>
      </c>
      <c r="W88" s="17">
        <f t="shared" si="1"/>
        <v>8.135716458</v>
      </c>
      <c r="X88" s="4">
        <f>IF($H88="",0,SUMIFS(Map_Stats!$F$2:$F$825,Map_Stats!$A$2:$A$825,$F88&amp;"|"&amp;$H88))</f>
        <v>4</v>
      </c>
      <c r="Y88" s="18">
        <f t="array" ref="Y88">IF($H88="","",IFERROR(1/(1/INDEX(Map_Stats!$K$2:$K$825,MATCH($F88&amp;"|"&amp;$H88,Map_Stats!$A$2:$A$825,0))),$O88))</f>
        <v>0.99</v>
      </c>
      <c r="Z88" s="11">
        <f t="array" ref="Z88">IF(OR($H88="",$P88=""),"",IFERROR(1/(1/INDEX(Map_Stats!$I$2:$I$825,MATCH($F88&amp;"|"&amp;$H88,Map_Stats!$A$2:$A$825,0))),$P88))</f>
        <v>0.494</v>
      </c>
      <c r="AA88" s="18">
        <f>IF(OR($H88="",Y88=""),"",IF($O88="",Y88,(X88*Y88+Config!$B$4*$O88)/(X88+Config!$B$4)))</f>
        <v>0.84</v>
      </c>
      <c r="AB88" s="11">
        <f>IF(Z88="","",(X88*Z88+Config!$B$4*$P88)/(X88+Config!$B$4))</f>
        <v>0.5151111111</v>
      </c>
      <c r="AC88" s="17">
        <f>IF(OR(AA88="",$K88=""),"",AA88*$K88*($K88/Config!$B$10)^Config!$B$9)</f>
        <v>18.06</v>
      </c>
      <c r="AD88" s="17">
        <f t="shared" si="2"/>
        <v>9.302906667</v>
      </c>
      <c r="AE88" s="4">
        <f>IF($I88="",0,SUMIFS(Map_Stats!$F$2:$F$825,Map_Stats!$A$2:$A$825,$F88&amp;"|"&amp;$I88))</f>
        <v>5</v>
      </c>
      <c r="AF88" s="18">
        <f t="array" ref="AF88">IF($I88="","",IFERROR(1/(1/INDEX(Map_Stats!$K$2:$K$825,MATCH($F88&amp;"|"&amp;$I88,Map_Stats!$A$2:$A$825,0))),$O88))</f>
        <v>0.6</v>
      </c>
      <c r="AG88" s="11">
        <f t="array" ref="AG88">IF(OR($I88="",$P88=""),"",IFERROR(1/(1/INDEX(Map_Stats!$I$2:$I$825,MATCH($F88&amp;"|"&amp;$I88,Map_Stats!$A$2:$A$825,0))),$P88))</f>
        <v>0.6</v>
      </c>
      <c r="AH88" s="18">
        <f>IF(OR($I88="",AF88=""),"",IF($O88="",AF88,(AE88*AF88+Config!$B$4*$O88)/(AE88+Config!$B$4)))</f>
        <v>0.66</v>
      </c>
      <c r="AI88" s="11">
        <f>IF(AG88="","",(AE88*AG88+Config!$B$4*$P88)/(AE88+Config!$B$4))</f>
        <v>0.566</v>
      </c>
      <c r="AJ88" s="17">
        <f>IF(OR(AH88="",$L88=""),"",AH88*$L88*($L88/Config!$B$10)^Config!$B$9)</f>
        <v>14.19</v>
      </c>
      <c r="AK88" s="17">
        <f t="shared" si="3"/>
        <v>8.03154</v>
      </c>
      <c r="AL88" s="17">
        <f t="shared" si="4"/>
        <v>32.7875</v>
      </c>
      <c r="AM88" s="17">
        <f t="shared" si="5"/>
        <v>39.950612</v>
      </c>
      <c r="AN88" s="17">
        <f t="shared" si="6"/>
        <v>17.43862313</v>
      </c>
      <c r="AO88" s="17">
        <f t="shared" si="7"/>
        <v>21.49294452</v>
      </c>
      <c r="AP88" s="11">
        <f t="shared" si="8"/>
        <v>0.5318680328</v>
      </c>
      <c r="AQ88" s="4" t="str">
        <f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4" t="str">
        <f>IF($C88=Board!$B$2,COUNTIFS($C$2:$C$157,Board!$B$2,$AL$2:$AL$157,"&gt;"&amp;$AL88)+COUNTIFS($C$1:$C87,Board!$B$2,$AL$1:$AL87,$AL88)+1,"")</f>
        <v/>
      </c>
      <c r="AS88" s="4" t="str">
        <f t="array" ref="AS88">IFERROR(IF($D88=INDEX(Matches!$AD$5:$AD$22,MATCH($C88,Matches!$A$5:$A$22,0)),"A",IF($D88=INDEX(Matches!$AE$5:$AE$22,MATCH($C88,Matches!$A$5:$A$22,0)),"B","")),"")</f>
        <v>A</v>
      </c>
      <c r="AT88" s="11">
        <f t="array" ref="AT88">IF($AS88="","",IFERROR(IF($AS88="A",INDEX(Matches!$AI$5:$AI$22,MATCH($C88,Matches!$A$5:$A$22,0)),INDEX(Matches!$AJ$5:$AJ$22,MATCH($C88,Matches!$A$5:$A$22,0))),""))</f>
        <v>0.5254458432</v>
      </c>
      <c r="AU88" s="11">
        <f t="array" ref="AU88">IF($AS88="","",IFERROR(IF(INDEX(Matches!$AP$5:$AP$22,MATCH($C88,Matches!$A$5:$A$22,0))="","",IF($AS88="A",INDEX(Matches!$AP$5:$AP$22,MATCH($C88,Matches!$A$5:$A$22,0)),1-INDEX(Matches!$AP$5:$AP$22,MATCH($C88,Matches!$A$5:$A$22,0)))),""))</f>
        <v>0.5132554294</v>
      </c>
      <c r="AV88" s="18">
        <f>IF(OR($AU88="",$AT88=""),1,((Config!$B$14*$AU88+Config!$B$15*(1-$AU88))/(Config!$B$14*$AT88+Config!$B$15*(1-$AT88)))^Config!$B$13)</f>
        <v>0.9893486383</v>
      </c>
      <c r="AW88" s="11">
        <f t="array" ref="AW88">IF($AS88="","",IFERROR(IF(INDEX(Matches!$AV$5:$AV$22,MATCH($C88,Matches!$A$5:$A$22,0))="","",IF($AS88="A",INDEX(Matches!$AV$5:$AV$22,MATCH($C88,Matches!$A$5:$A$22,0)),1-INDEX(Matches!$AV$5:$AV$22,MATCH($C88,Matches!$A$5:$A$22,0)))),""))</f>
        <v>0.5015789538</v>
      </c>
      <c r="AX88" s="18">
        <f>IF(OR($AW88="",$AT88=""),1,((Config!$B$14*$AW88+Config!$B$15*(1-$AW88))/(Config!$B$14*$AT88+Config!$B$15*(1-$AT88)))^Config!$B$13)</f>
        <v>0.9791463296</v>
      </c>
      <c r="AY88" s="11">
        <f t="array" ref="AY88">IF($AS88="","",IFERROR(IF(INDEX(Matches!$BB$5:$BB$22,MATCH($C88,Matches!$A$5:$A$22,0))="","",IF($AS88="A",INDEX(Matches!$BB$5:$BB$22,MATCH($C88,Matches!$A$5:$A$22,0)),1-INDEX(Matches!$BB$5:$BB$22,MATCH($C88,Matches!$A$5:$A$22,0)))),""))</f>
        <v>0.4658514689</v>
      </c>
      <c r="AZ88" s="18">
        <f>IF(OR($AY88="",$AT88=""),1,((Config!$B$14*$AY88+Config!$B$15*(1-$AY88))/(Config!$B$14*$AT88+Config!$B$15*(1-$AT88)))^Config!$B$13)</f>
        <v>0.947929476</v>
      </c>
      <c r="BA88" s="17">
        <f t="shared" si="9"/>
        <v>14.57063207</v>
      </c>
      <c r="BB88" s="17">
        <f t="shared" si="10"/>
        <v>17.68338271</v>
      </c>
      <c r="BC88" s="17">
        <f t="shared" si="11"/>
        <v>13.45111926</v>
      </c>
      <c r="BD88" s="17">
        <f t="shared" si="12"/>
        <v>32.25401478</v>
      </c>
      <c r="BE88" s="17">
        <f t="shared" si="13"/>
        <v>39.04413979</v>
      </c>
      <c r="BF88" s="17">
        <f t="shared" si="14"/>
        <v>8.04906</v>
      </c>
      <c r="BG88" s="17">
        <f t="shared" si="15"/>
        <v>9.108906917</v>
      </c>
      <c r="BH88" s="17">
        <f t="shared" si="16"/>
        <v>7.613333503</v>
      </c>
      <c r="BI88" s="17">
        <f t="shared" si="17"/>
        <v>17.15796692</v>
      </c>
      <c r="BJ88" s="17">
        <f t="shared" si="18"/>
        <v>21.00117767</v>
      </c>
      <c r="BK88" s="18">
        <f t="shared" si="19"/>
        <v>0.983729006</v>
      </c>
    </row>
    <row r="89" ht="15.75" customHeight="1">
      <c r="A89" s="4" t="s">
        <v>3220</v>
      </c>
      <c r="B89" s="4" t="s">
        <v>86</v>
      </c>
      <c r="C89" s="4" t="s">
        <v>566</v>
      </c>
      <c r="D89" s="4" t="s">
        <v>578</v>
      </c>
      <c r="E89" s="4" t="s">
        <v>1493</v>
      </c>
      <c r="F89" s="4" t="s">
        <v>1492</v>
      </c>
      <c r="G89" s="4" t="str">
        <f t="array" ref="G89">IFERROR(IF(INDEX(Matches!$W$5:$W$22,MATCH($C89,Matches!$A$5:$A$22,0))="","",INDEX(Matches!$W$5:$W$22,MATCH($C89,Matches!$A$5:$A$22,0))),"")</f>
        <v>Cache</v>
      </c>
      <c r="H89" s="4" t="str">
        <f t="array" ref="H89">IFERROR(IF(INDEX(Matches!$X$5:$X$22,MATCH($C89,Matches!$A$5:$A$22,0))="","",INDEX(Matches!$X$5:$X$22,MATCH($C89,Matches!$A$5:$A$22,0))),"")</f>
        <v>Mirage</v>
      </c>
      <c r="I89" s="4" t="str">
        <f t="array" ref="I89">IFERROR(IF(INDEX(Matches!$Y$5:$Y$22,MATCH($C89,Matches!$A$5:$A$22,0))="","",INDEX(Matches!$Y$5:$Y$22,MATCH($C89,Matches!$A$5:$A$22,0))),"")</f>
        <v>Nuke</v>
      </c>
      <c r="J89" s="4">
        <f t="array" ref="J89">IFERROR(IF(INDEX(Matches!$Z$5:$Z$22,MATCH($C89,Matches!$A$5:$A$22,0))="","",INDEX(Matches!$Z$5:$Z$22,MATCH($C89,Matches!$A$5:$A$22,0))),"")</f>
        <v>21.5</v>
      </c>
      <c r="K89" s="4">
        <f t="array" ref="K89">IFERROR(IF(INDEX(Matches!$AA$5:$AA$22,MATCH($C89,Matches!$A$5:$A$22,0))="","",INDEX(Matches!$AA$5:$AA$22,MATCH($C89,Matches!$A$5:$A$22,0))),"")</f>
        <v>21.5</v>
      </c>
      <c r="L89" s="4">
        <f t="array" ref="L89">IFERROR(IF(INDEX(Matches!$AB$5:$AB$22,MATCH($C89,Matches!$A$5:$A$22,0))="","",INDEX(Matches!$AB$5:$AB$22,MATCH($C89,Matches!$A$5:$A$22,0))),"")</f>
        <v>21.5</v>
      </c>
      <c r="M89" s="11">
        <f t="array" ref="M89">IFERROR(IF(INDEX(Matches!$AC$5:$AC$22,MATCH($C89,Matches!$A$5:$A$22,0))="","",INDEX(Matches!$AC$5:$AC$22,MATCH($C89,Matches!$A$5:$A$22,0))),"")</f>
        <v>0.5048</v>
      </c>
      <c r="N89" s="4">
        <f t="array" ref="N89">IFERROR(INDEX(Players!$F$2:$F$127,MATCH($F89,Players!$A$2:$A$127,0)),0)</f>
        <v>30</v>
      </c>
      <c r="O89" s="18">
        <f t="array" ref="O89">IFERROR(1/(1/INDEX(Players!$H$2:$H$127,MATCH($F89,Players!$A$2:$A$127,0))),"")</f>
        <v>0.69</v>
      </c>
      <c r="P89" s="11">
        <f t="array" ref="P89">IFERROR(1/(1/INDEX(Players!$I$2:$I$127,MATCH($F89,Players!$A$2:$A$127,0))),"")</f>
        <v>0.527</v>
      </c>
      <c r="Q89" s="4">
        <f>IF($G89="",0,SUMIFS(Map_Stats!$F$2:$F$825,Map_Stats!$A$2:$A$825,$F89&amp;"|"&amp;$G89))</f>
        <v>7</v>
      </c>
      <c r="R89" s="18">
        <f t="array" ref="R89">IF($G89="","",IFERROR(1/(1/INDEX(Map_Stats!$K$2:$K$825,MATCH($F89&amp;"|"&amp;$G89,Map_Stats!$A$2:$A$825,0))),$O89))</f>
        <v>0.66</v>
      </c>
      <c r="S89" s="11">
        <f t="array" ref="S89">IF(OR($G89="",$P89=""),"",IFERROR(1/(1/INDEX(Map_Stats!$I$2:$I$825,MATCH($F89&amp;"|"&amp;$G89,Map_Stats!$A$2:$A$825,0))),$P89))</f>
        <v>0.49</v>
      </c>
      <c r="T89" s="18">
        <f>IF(OR($G89="",R89=""),"",IF($O89="",R89,(Q89*R89+Config!$B$4*$O89)/(Q89+Config!$B$4)))</f>
        <v>0.6725</v>
      </c>
      <c r="U89" s="11">
        <f>IF(S89="","",(Q89*S89+Config!$B$4*$P89)/(Q89+Config!$B$4))</f>
        <v>0.5054166667</v>
      </c>
      <c r="V89" s="17">
        <f>IF(OR(T89="",$J89=""),"",T89*$J89*($J89/Config!$B$10)^Config!$B$9)</f>
        <v>14.45875</v>
      </c>
      <c r="W89" s="17">
        <f t="shared" si="1"/>
        <v>7.307693229</v>
      </c>
      <c r="X89" s="4">
        <f>IF($H89="",0,SUMIFS(Map_Stats!$F$2:$F$825,Map_Stats!$A$2:$A$825,$F89&amp;"|"&amp;$H89))</f>
        <v>4</v>
      </c>
      <c r="Y89" s="18">
        <f t="array" ref="Y89">IF($H89="","",IFERROR(1/(1/INDEX(Map_Stats!$K$2:$K$825,MATCH($F89&amp;"|"&amp;$H89,Map_Stats!$A$2:$A$825,0))),$O89))</f>
        <v>0.8</v>
      </c>
      <c r="Z89" s="11">
        <f t="array" ref="Z89">IF(OR($H89="",$P89=""),"",IFERROR(1/(1/INDEX(Map_Stats!$I$2:$I$825,MATCH($F89&amp;"|"&amp;$H89,Map_Stats!$A$2:$A$825,0))),$P89))</f>
        <v>0.576</v>
      </c>
      <c r="AA89" s="18">
        <f>IF(OR($H89="",Y89=""),"",IF($O89="",Y89,(X89*Y89+Config!$B$4*$O89)/(X89+Config!$B$4)))</f>
        <v>0.7388888889</v>
      </c>
      <c r="AB89" s="11">
        <f>IF(Z89="","",(X89*Z89+Config!$B$4*$P89)/(X89+Config!$B$4))</f>
        <v>0.5487777778</v>
      </c>
      <c r="AC89" s="17">
        <f>IF(OR(AA89="",$K89=""),"",AA89*$K89*($K89/Config!$B$10)^Config!$B$9)</f>
        <v>15.88611111</v>
      </c>
      <c r="AD89" s="17">
        <f t="shared" si="2"/>
        <v>8.717944753</v>
      </c>
      <c r="AE89" s="4">
        <f>IF($I89="",0,SUMIFS(Map_Stats!$F$2:$F$825,Map_Stats!$A$2:$A$825,$F89&amp;"|"&amp;$I89))</f>
        <v>5</v>
      </c>
      <c r="AF89" s="18">
        <f t="array" ref="AF89">IF($I89="","",IFERROR(1/(1/INDEX(Map_Stats!$K$2:$K$825,MATCH($F89&amp;"|"&amp;$I89,Map_Stats!$A$2:$A$825,0))),$O89))</f>
        <v>0.6</v>
      </c>
      <c r="AG89" s="11">
        <f t="array" ref="AG89">IF(OR($I89="",$P89=""),"",IFERROR(1/(1/INDEX(Map_Stats!$I$2:$I$825,MATCH($F89&amp;"|"&amp;$I89,Map_Stats!$A$2:$A$825,0))),$P89))</f>
        <v>0.538</v>
      </c>
      <c r="AH89" s="18">
        <f>IF(OR($I89="",AF89=""),"",IF($O89="",AF89,(AE89*AF89+Config!$B$4*$O89)/(AE89+Config!$B$4)))</f>
        <v>0.645</v>
      </c>
      <c r="AI89" s="11">
        <f>IF(AG89="","",(AE89*AG89+Config!$B$4*$P89)/(AE89+Config!$B$4))</f>
        <v>0.5325</v>
      </c>
      <c r="AJ89" s="17">
        <f>IF(OR(AH89="",$L89=""),"",AH89*$L89*($L89/Config!$B$10)^Config!$B$9)</f>
        <v>13.8675</v>
      </c>
      <c r="AK89" s="17">
        <f t="shared" si="3"/>
        <v>7.38444375</v>
      </c>
      <c r="AL89" s="17">
        <f t="shared" si="4"/>
        <v>30.34486111</v>
      </c>
      <c r="AM89" s="17">
        <f t="shared" si="5"/>
        <v>37.34517511</v>
      </c>
      <c r="AN89" s="17">
        <f t="shared" si="6"/>
        <v>16.02563798</v>
      </c>
      <c r="AO89" s="17">
        <f t="shared" si="7"/>
        <v>19.75330519</v>
      </c>
      <c r="AP89" s="11">
        <f t="shared" si="8"/>
        <v>0.5281170319</v>
      </c>
      <c r="AQ89" s="4" t="str">
        <f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4" t="str">
        <f>IF($C89=Board!$B$2,COUNTIFS($C$2:$C$157,Board!$B$2,$AL$2:$AL$157,"&gt;"&amp;$AL89)+COUNTIFS($C$1:$C88,Board!$B$2,$AL$1:$AL88,$AL89)+1,"")</f>
        <v/>
      </c>
      <c r="AS89" s="4" t="str">
        <f t="array" ref="AS89">IFERROR(IF($D89=INDEX(Matches!$AD$5:$AD$22,MATCH($C89,Matches!$A$5:$A$22,0)),"A",IF($D89=INDEX(Matches!$AE$5:$AE$22,MATCH($C89,Matches!$A$5:$A$22,0)),"B","")),"")</f>
        <v>A</v>
      </c>
      <c r="AT89" s="11">
        <f t="array" ref="AT89">IF($AS89="","",IFERROR(IF($AS89="A",INDEX(Matches!$AI$5:$AI$22,MATCH($C89,Matches!$A$5:$A$22,0)),INDEX(Matches!$AJ$5:$AJ$22,MATCH($C89,Matches!$A$5:$A$22,0))),""))</f>
        <v>0.5254458432</v>
      </c>
      <c r="AU89" s="11">
        <f t="array" ref="AU89">IF($AS89="","",IFERROR(IF(INDEX(Matches!$AP$5:$AP$22,MATCH($C89,Matches!$A$5:$A$22,0))="","",IF($AS89="A",INDEX(Matches!$AP$5:$AP$22,MATCH($C89,Matches!$A$5:$A$22,0)),1-INDEX(Matches!$AP$5:$AP$22,MATCH($C89,Matches!$A$5:$A$22,0)))),""))</f>
        <v>0.5132554294</v>
      </c>
      <c r="AV89" s="18">
        <f>IF(OR($AU89="",$AT89=""),1,((Config!$B$14*$AU89+Config!$B$15*(1-$AU89))/(Config!$B$14*$AT89+Config!$B$15*(1-$AT89)))^Config!$B$13)</f>
        <v>0.9893486383</v>
      </c>
      <c r="AW89" s="11">
        <f t="array" ref="AW89">IF($AS89="","",IFERROR(IF(INDEX(Matches!$AV$5:$AV$22,MATCH($C89,Matches!$A$5:$A$22,0))="","",IF($AS89="A",INDEX(Matches!$AV$5:$AV$22,MATCH($C89,Matches!$A$5:$A$22,0)),1-INDEX(Matches!$AV$5:$AV$22,MATCH($C89,Matches!$A$5:$A$22,0)))),""))</f>
        <v>0.5015789538</v>
      </c>
      <c r="AX89" s="18">
        <f>IF(OR($AW89="",$AT89=""),1,((Config!$B$14*$AW89+Config!$B$15*(1-$AW89))/(Config!$B$14*$AT89+Config!$B$15*(1-$AT89)))^Config!$B$13)</f>
        <v>0.9791463296</v>
      </c>
      <c r="AY89" s="11">
        <f t="array" ref="AY89">IF($AS89="","",IFERROR(IF(INDEX(Matches!$BB$5:$BB$22,MATCH($C89,Matches!$A$5:$A$22,0))="","",IF($AS89="A",INDEX(Matches!$BB$5:$BB$22,MATCH($C89,Matches!$A$5:$A$22,0)),1-INDEX(Matches!$BB$5:$BB$22,MATCH($C89,Matches!$A$5:$A$22,0)))),""))</f>
        <v>0.4658514689</v>
      </c>
      <c r="AZ89" s="18">
        <f>IF(OR($AY89="",$AT89=""),1,((Config!$B$14*$AY89+Config!$B$15*(1-$AY89))/(Config!$B$14*$AT89+Config!$B$15*(1-$AT89)))^Config!$B$13)</f>
        <v>0.947929476</v>
      </c>
      <c r="BA89" s="17">
        <f t="shared" si="9"/>
        <v>14.30474462</v>
      </c>
      <c r="BB89" s="17">
        <f t="shared" si="10"/>
        <v>15.55482739</v>
      </c>
      <c r="BC89" s="17">
        <f t="shared" si="11"/>
        <v>13.14541201</v>
      </c>
      <c r="BD89" s="17">
        <f t="shared" si="12"/>
        <v>29.85957201</v>
      </c>
      <c r="BE89" s="17">
        <f t="shared" si="13"/>
        <v>36.49537599</v>
      </c>
      <c r="BF89" s="17">
        <f t="shared" si="14"/>
        <v>7.229856346</v>
      </c>
      <c r="BG89" s="17">
        <f t="shared" si="15"/>
        <v>8.536143607</v>
      </c>
      <c r="BH89" s="17">
        <f t="shared" si="16"/>
        <v>6.999931894</v>
      </c>
      <c r="BI89" s="17">
        <f t="shared" si="17"/>
        <v>15.76599995</v>
      </c>
      <c r="BJ89" s="17">
        <f t="shared" si="18"/>
        <v>19.29956557</v>
      </c>
      <c r="BK89" s="18">
        <f t="shared" si="19"/>
        <v>0.9840075359</v>
      </c>
    </row>
    <row r="90" ht="15.75" customHeight="1">
      <c r="A90" s="4" t="s">
        <v>3221</v>
      </c>
      <c r="B90" s="4" t="s">
        <v>86</v>
      </c>
      <c r="C90" s="4" t="s">
        <v>566</v>
      </c>
      <c r="D90" s="4" t="s">
        <v>578</v>
      </c>
      <c r="E90" s="4" t="s">
        <v>1496</v>
      </c>
      <c r="F90" s="4" t="s">
        <v>1495</v>
      </c>
      <c r="G90" s="4" t="str">
        <f t="array" ref="G90">IFERROR(IF(INDEX(Matches!$W$5:$W$22,MATCH($C90,Matches!$A$5:$A$22,0))="","",INDEX(Matches!$W$5:$W$22,MATCH($C90,Matches!$A$5:$A$22,0))),"")</f>
        <v>Cache</v>
      </c>
      <c r="H90" s="4" t="str">
        <f t="array" ref="H90">IFERROR(IF(INDEX(Matches!$X$5:$X$22,MATCH($C90,Matches!$A$5:$A$22,0))="","",INDEX(Matches!$X$5:$X$22,MATCH($C90,Matches!$A$5:$A$22,0))),"")</f>
        <v>Mirage</v>
      </c>
      <c r="I90" s="4" t="str">
        <f t="array" ref="I90">IFERROR(IF(INDEX(Matches!$Y$5:$Y$22,MATCH($C90,Matches!$A$5:$A$22,0))="","",INDEX(Matches!$Y$5:$Y$22,MATCH($C90,Matches!$A$5:$A$22,0))),"")</f>
        <v>Nuke</v>
      </c>
      <c r="J90" s="4">
        <f t="array" ref="J90">IFERROR(IF(INDEX(Matches!$Z$5:$Z$22,MATCH($C90,Matches!$A$5:$A$22,0))="","",INDEX(Matches!$Z$5:$Z$22,MATCH($C90,Matches!$A$5:$A$22,0))),"")</f>
        <v>21.5</v>
      </c>
      <c r="K90" s="4">
        <f t="array" ref="K90">IFERROR(IF(INDEX(Matches!$AA$5:$AA$22,MATCH($C90,Matches!$A$5:$A$22,0))="","",INDEX(Matches!$AA$5:$AA$22,MATCH($C90,Matches!$A$5:$A$22,0))),"")</f>
        <v>21.5</v>
      </c>
      <c r="L90" s="4">
        <f t="array" ref="L90">IFERROR(IF(INDEX(Matches!$AB$5:$AB$22,MATCH($C90,Matches!$A$5:$A$22,0))="","",INDEX(Matches!$AB$5:$AB$22,MATCH($C90,Matches!$A$5:$A$22,0))),"")</f>
        <v>21.5</v>
      </c>
      <c r="M90" s="11">
        <f t="array" ref="M90">IFERROR(IF(INDEX(Matches!$AC$5:$AC$22,MATCH($C90,Matches!$A$5:$A$22,0))="","",INDEX(Matches!$AC$5:$AC$22,MATCH($C90,Matches!$A$5:$A$22,0))),"")</f>
        <v>0.5048</v>
      </c>
      <c r="N90" s="4">
        <f t="array" ref="N90">IFERROR(INDEX(Players!$F$2:$F$127,MATCH($F90,Players!$A$2:$A$127,0)),0)</f>
        <v>30</v>
      </c>
      <c r="O90" s="18">
        <f t="array" ref="O90">IFERROR(1/(1/INDEX(Players!$H$2:$H$127,MATCH($F90,Players!$A$2:$A$127,0))),"")</f>
        <v>0.62</v>
      </c>
      <c r="P90" s="11">
        <f t="array" ref="P90">IFERROR(1/(1/INDEX(Players!$I$2:$I$127,MATCH($F90,Players!$A$2:$A$127,0))),"")</f>
        <v>0.543</v>
      </c>
      <c r="Q90" s="4">
        <f>IF($G90="",0,SUMIFS(Map_Stats!$F$2:$F$825,Map_Stats!$A$2:$A$825,$F90&amp;"|"&amp;$G90))</f>
        <v>7</v>
      </c>
      <c r="R90" s="18">
        <f t="array" ref="R90">IF($G90="","",IFERROR(1/(1/INDEX(Map_Stats!$K$2:$K$825,MATCH($F90&amp;"|"&amp;$G90,Map_Stats!$A$2:$A$825,0))),$O90))</f>
        <v>0.55</v>
      </c>
      <c r="S90" s="11">
        <f t="array" ref="S90">IF(OR($G90="",$P90=""),"",IFERROR(1/(1/INDEX(Map_Stats!$I$2:$I$825,MATCH($F90&amp;"|"&amp;$G90,Map_Stats!$A$2:$A$825,0))),$P90))</f>
        <v>0.506</v>
      </c>
      <c r="T90" s="18">
        <f>IF(OR($G90="",R90=""),"",IF($O90="",R90,(Q90*R90+Config!$B$4*$O90)/(Q90+Config!$B$4)))</f>
        <v>0.5791666667</v>
      </c>
      <c r="U90" s="11">
        <f>IF(S90="","",(Q90*S90+Config!$B$4*$P90)/(Q90+Config!$B$4))</f>
        <v>0.5214166667</v>
      </c>
      <c r="V90" s="17">
        <f>IF(OR(T90="",$J90=""),"",T90*$J90*($J90/Config!$B$10)^Config!$B$9)</f>
        <v>12.45208333</v>
      </c>
      <c r="W90" s="17">
        <f t="shared" si="1"/>
        <v>6.492723785</v>
      </c>
      <c r="X90" s="4">
        <f>IF($H90="",0,SUMIFS(Map_Stats!$F$2:$F$825,Map_Stats!$A$2:$A$825,$F90&amp;"|"&amp;$H90))</f>
        <v>4</v>
      </c>
      <c r="Y90" s="18">
        <f t="array" ref="Y90">IF($H90="","",IFERROR(1/(1/INDEX(Map_Stats!$K$2:$K$825,MATCH($F90&amp;"|"&amp;$H90,Map_Stats!$A$2:$A$825,0))),$O90))</f>
        <v>0.54</v>
      </c>
      <c r="Z90" s="11">
        <f t="array" ref="Z90">IF(OR($H90="",$P90=""),"",IFERROR(1/(1/INDEX(Map_Stats!$I$2:$I$825,MATCH($F90&amp;"|"&amp;$H90,Map_Stats!$A$2:$A$825,0))),$P90))</f>
        <v>0.5</v>
      </c>
      <c r="AA90" s="18">
        <f>IF(OR($H90="",Y90=""),"",IF($O90="",Y90,(X90*Y90+Config!$B$4*$O90)/(X90+Config!$B$4)))</f>
        <v>0.5844444444</v>
      </c>
      <c r="AB90" s="11">
        <f>IF(Z90="","",(X90*Z90+Config!$B$4*$P90)/(X90+Config!$B$4))</f>
        <v>0.5238888889</v>
      </c>
      <c r="AC90" s="17">
        <f>IF(OR(AA90="",$K90=""),"",AA90*$K90*($K90/Config!$B$10)^Config!$B$9)</f>
        <v>12.56555556</v>
      </c>
      <c r="AD90" s="17">
        <f t="shared" si="2"/>
        <v>6.582954938</v>
      </c>
      <c r="AE90" s="4">
        <f>IF($I90="",0,SUMIFS(Map_Stats!$F$2:$F$825,Map_Stats!$A$2:$A$825,$F90&amp;"|"&amp;$I90))</f>
        <v>5</v>
      </c>
      <c r="AF90" s="18">
        <f t="array" ref="AF90">IF($I90="","",IFERROR(1/(1/INDEX(Map_Stats!$K$2:$K$825,MATCH($F90&amp;"|"&amp;$I90,Map_Stats!$A$2:$A$825,0))),$O90))</f>
        <v>0.73</v>
      </c>
      <c r="AG90" s="11">
        <f t="array" ref="AG90">IF(OR($I90="",$P90=""),"",IFERROR(1/(1/INDEX(Map_Stats!$I$2:$I$825,MATCH($F90&amp;"|"&amp;$I90,Map_Stats!$A$2:$A$825,0))),$P90))</f>
        <v>0.575</v>
      </c>
      <c r="AH90" s="18">
        <f>IF(OR($I90="",AF90=""),"",IF($O90="",AF90,(AE90*AF90+Config!$B$4*$O90)/(AE90+Config!$B$4)))</f>
        <v>0.675</v>
      </c>
      <c r="AI90" s="11">
        <f>IF(AG90="","",(AE90*AG90+Config!$B$4*$P90)/(AE90+Config!$B$4))</f>
        <v>0.559</v>
      </c>
      <c r="AJ90" s="17">
        <f>IF(OR(AH90="",$L90=""),"",AH90*$L90*($L90/Config!$B$10)^Config!$B$9)</f>
        <v>14.5125</v>
      </c>
      <c r="AK90" s="17">
        <f t="shared" si="3"/>
        <v>8.1124875</v>
      </c>
      <c r="AL90" s="17">
        <f t="shared" si="4"/>
        <v>25.01763889</v>
      </c>
      <c r="AM90" s="17">
        <f t="shared" si="5"/>
        <v>32.34354889</v>
      </c>
      <c r="AN90" s="17">
        <f t="shared" si="6"/>
        <v>13.07567872</v>
      </c>
      <c r="AO90" s="17">
        <f t="shared" si="7"/>
        <v>17.17086241</v>
      </c>
      <c r="AP90" s="11">
        <f t="shared" si="8"/>
        <v>0.5226583844</v>
      </c>
      <c r="AQ90" s="4" t="str">
        <f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4" t="str">
        <f>IF($C90=Board!$B$2,COUNTIFS($C$2:$C$157,Board!$B$2,$AL$2:$AL$157,"&gt;"&amp;$AL90)+COUNTIFS($C$1:$C89,Board!$B$2,$AL$1:$AL89,$AL90)+1,"")</f>
        <v/>
      </c>
      <c r="AS90" s="4" t="str">
        <f t="array" ref="AS90">IFERROR(IF($D90=INDEX(Matches!$AD$5:$AD$22,MATCH($C90,Matches!$A$5:$A$22,0)),"A",IF($D90=INDEX(Matches!$AE$5:$AE$22,MATCH($C90,Matches!$A$5:$A$22,0)),"B","")),"")</f>
        <v>A</v>
      </c>
      <c r="AT90" s="11">
        <f t="array" ref="AT90">IF($AS90="","",IFERROR(IF($AS90="A",INDEX(Matches!$AI$5:$AI$22,MATCH($C90,Matches!$A$5:$A$22,0)),INDEX(Matches!$AJ$5:$AJ$22,MATCH($C90,Matches!$A$5:$A$22,0))),""))</f>
        <v>0.5254458432</v>
      </c>
      <c r="AU90" s="11">
        <f t="array" ref="AU90">IF($AS90="","",IFERROR(IF(INDEX(Matches!$AP$5:$AP$22,MATCH($C90,Matches!$A$5:$A$22,0))="","",IF($AS90="A",INDEX(Matches!$AP$5:$AP$22,MATCH($C90,Matches!$A$5:$A$22,0)),1-INDEX(Matches!$AP$5:$AP$22,MATCH($C90,Matches!$A$5:$A$22,0)))),""))</f>
        <v>0.5132554294</v>
      </c>
      <c r="AV90" s="18">
        <f>IF(OR($AU90="",$AT90=""),1,((Config!$B$14*$AU90+Config!$B$15*(1-$AU90))/(Config!$B$14*$AT90+Config!$B$15*(1-$AT90)))^Config!$B$13)</f>
        <v>0.9893486383</v>
      </c>
      <c r="AW90" s="11">
        <f t="array" ref="AW90">IF($AS90="","",IFERROR(IF(INDEX(Matches!$AV$5:$AV$22,MATCH($C90,Matches!$A$5:$A$22,0))="","",IF($AS90="A",INDEX(Matches!$AV$5:$AV$22,MATCH($C90,Matches!$A$5:$A$22,0)),1-INDEX(Matches!$AV$5:$AV$22,MATCH($C90,Matches!$A$5:$A$22,0)))),""))</f>
        <v>0.5015789538</v>
      </c>
      <c r="AX90" s="18">
        <f>IF(OR($AW90="",$AT90=""),1,((Config!$B$14*$AW90+Config!$B$15*(1-$AW90))/(Config!$B$14*$AT90+Config!$B$15*(1-$AT90)))^Config!$B$13)</f>
        <v>0.9791463296</v>
      </c>
      <c r="AY90" s="11">
        <f t="array" ref="AY90">IF($AS90="","",IFERROR(IF(INDEX(Matches!$BB$5:$BB$22,MATCH($C90,Matches!$A$5:$A$22,0))="","",IF($AS90="A",INDEX(Matches!$BB$5:$BB$22,MATCH($C90,Matches!$A$5:$A$22,0)),1-INDEX(Matches!$BB$5:$BB$22,MATCH($C90,Matches!$A$5:$A$22,0)))),""))</f>
        <v>0.4658514689</v>
      </c>
      <c r="AZ90" s="18">
        <f>IF(OR($AY90="",$AT90=""),1,((Config!$B$14*$AY90+Config!$B$15*(1-$AY90))/(Config!$B$14*$AT90+Config!$B$15*(1-$AT90)))^Config!$B$13)</f>
        <v>0.947929476</v>
      </c>
      <c r="BA90" s="17">
        <f t="shared" si="9"/>
        <v>12.31945169</v>
      </c>
      <c r="BB90" s="17">
        <f t="shared" si="10"/>
        <v>12.3035176</v>
      </c>
      <c r="BC90" s="17">
        <f t="shared" si="11"/>
        <v>13.75682652</v>
      </c>
      <c r="BD90" s="17">
        <f t="shared" si="12"/>
        <v>24.62296929</v>
      </c>
      <c r="BE90" s="17">
        <f t="shared" si="13"/>
        <v>31.56741532</v>
      </c>
      <c r="BF90" s="17">
        <f t="shared" si="14"/>
        <v>6.423567435</v>
      </c>
      <c r="BG90" s="17">
        <f t="shared" si="15"/>
        <v>6.445676166</v>
      </c>
      <c r="BH90" s="17">
        <f t="shared" si="16"/>
        <v>7.690066025</v>
      </c>
      <c r="BI90" s="17">
        <f t="shared" si="17"/>
        <v>12.8692436</v>
      </c>
      <c r="BJ90" s="17">
        <f t="shared" si="18"/>
        <v>16.75118893</v>
      </c>
      <c r="BK90" s="18">
        <f t="shared" si="19"/>
        <v>0.9842243467</v>
      </c>
    </row>
    <row r="91" ht="15.75" customHeight="1">
      <c r="A91" s="4" t="s">
        <v>3222</v>
      </c>
      <c r="B91" s="4" t="s">
        <v>86</v>
      </c>
      <c r="C91" s="4" t="s">
        <v>566</v>
      </c>
      <c r="D91" s="4" t="s">
        <v>578</v>
      </c>
      <c r="E91" s="4" t="s">
        <v>1499</v>
      </c>
      <c r="F91" s="4" t="s">
        <v>1498</v>
      </c>
      <c r="G91" s="4" t="str">
        <f t="array" ref="G91">IFERROR(IF(INDEX(Matches!$W$5:$W$22,MATCH($C91,Matches!$A$5:$A$22,0))="","",INDEX(Matches!$W$5:$W$22,MATCH($C91,Matches!$A$5:$A$22,0))),"")</f>
        <v>Cache</v>
      </c>
      <c r="H91" s="4" t="str">
        <f t="array" ref="H91">IFERROR(IF(INDEX(Matches!$X$5:$X$22,MATCH($C91,Matches!$A$5:$A$22,0))="","",INDEX(Matches!$X$5:$X$22,MATCH($C91,Matches!$A$5:$A$22,0))),"")</f>
        <v>Mirage</v>
      </c>
      <c r="I91" s="4" t="str">
        <f t="array" ref="I91">IFERROR(IF(INDEX(Matches!$Y$5:$Y$22,MATCH($C91,Matches!$A$5:$A$22,0))="","",INDEX(Matches!$Y$5:$Y$22,MATCH($C91,Matches!$A$5:$A$22,0))),"")</f>
        <v>Nuke</v>
      </c>
      <c r="J91" s="4">
        <f t="array" ref="J91">IFERROR(IF(INDEX(Matches!$Z$5:$Z$22,MATCH($C91,Matches!$A$5:$A$22,0))="","",INDEX(Matches!$Z$5:$Z$22,MATCH($C91,Matches!$A$5:$A$22,0))),"")</f>
        <v>21.5</v>
      </c>
      <c r="K91" s="4">
        <f t="array" ref="K91">IFERROR(IF(INDEX(Matches!$AA$5:$AA$22,MATCH($C91,Matches!$A$5:$A$22,0))="","",INDEX(Matches!$AA$5:$AA$22,MATCH($C91,Matches!$A$5:$A$22,0))),"")</f>
        <v>21.5</v>
      </c>
      <c r="L91" s="4">
        <f t="array" ref="L91">IFERROR(IF(INDEX(Matches!$AB$5:$AB$22,MATCH($C91,Matches!$A$5:$A$22,0))="","",INDEX(Matches!$AB$5:$AB$22,MATCH($C91,Matches!$A$5:$A$22,0))),"")</f>
        <v>21.5</v>
      </c>
      <c r="M91" s="11">
        <f t="array" ref="M91">IFERROR(IF(INDEX(Matches!$AC$5:$AC$22,MATCH($C91,Matches!$A$5:$A$22,0))="","",INDEX(Matches!$AC$5:$AC$22,MATCH($C91,Matches!$A$5:$A$22,0))),"")</f>
        <v>0.5048</v>
      </c>
      <c r="N91" s="4">
        <f t="array" ref="N91">IFERROR(INDEX(Players!$F$2:$F$127,MATCH($F91,Players!$A$2:$A$127,0)),0)</f>
        <v>30</v>
      </c>
      <c r="O91" s="18">
        <f t="array" ref="O91">IFERROR(1/(1/INDEX(Players!$H$2:$H$127,MATCH($F91,Players!$A$2:$A$127,0))),"")</f>
        <v>0.75</v>
      </c>
      <c r="P91" s="11">
        <f t="array" ref="P91">IFERROR(1/(1/INDEX(Players!$I$2:$I$127,MATCH($F91,Players!$A$2:$A$127,0))),"")</f>
        <v>0.308</v>
      </c>
      <c r="Q91" s="4">
        <f>IF($G91="",0,SUMIFS(Map_Stats!$F$2:$F$825,Map_Stats!$A$2:$A$825,$F91&amp;"|"&amp;$G91))</f>
        <v>7</v>
      </c>
      <c r="R91" s="18">
        <f t="array" ref="R91">IF($G91="","",IFERROR(1/(1/INDEX(Map_Stats!$K$2:$K$825,MATCH($F91&amp;"|"&amp;$G91,Map_Stats!$A$2:$A$825,0))),$O91))</f>
        <v>0.75</v>
      </c>
      <c r="S91" s="11">
        <f t="array" ref="S91">IF(OR($G91="",$P91=""),"",IFERROR(1/(1/INDEX(Map_Stats!$I$2:$I$825,MATCH($F91&amp;"|"&amp;$G91,Map_Stats!$A$2:$A$825,0))),$P91))</f>
        <v>0.318</v>
      </c>
      <c r="T91" s="18">
        <f>IF(OR($G91="",R91=""),"",IF($O91="",R91,(Q91*R91+Config!$B$4*$O91)/(Q91+Config!$B$4)))</f>
        <v>0.75</v>
      </c>
      <c r="U91" s="11">
        <f>IF(S91="","",(Q91*S91+Config!$B$4*$P91)/(Q91+Config!$B$4))</f>
        <v>0.3138333333</v>
      </c>
      <c r="V91" s="17">
        <f>IF(OR(T91="",$J91=""),"",T91*$J91*($J91/Config!$B$10)^Config!$B$9)</f>
        <v>16.125</v>
      </c>
      <c r="W91" s="17">
        <f t="shared" si="1"/>
        <v>5.0605625</v>
      </c>
      <c r="X91" s="4">
        <f>IF($H91="",0,SUMIFS(Map_Stats!$F$2:$F$825,Map_Stats!$A$2:$A$825,$F91&amp;"|"&amp;$H91))</f>
        <v>4</v>
      </c>
      <c r="Y91" s="18">
        <f t="array" ref="Y91">IF($H91="","",IFERROR(1/(1/INDEX(Map_Stats!$K$2:$K$825,MATCH($F91&amp;"|"&amp;$H91,Map_Stats!$A$2:$A$825,0))),$O91))</f>
        <v>0.76</v>
      </c>
      <c r="Z91" s="11">
        <f t="array" ref="Z91">IF(OR($H91="",$P91=""),"",IFERROR(1/(1/INDEX(Map_Stats!$I$2:$I$825,MATCH($F91&amp;"|"&amp;$H91,Map_Stats!$A$2:$A$825,0))),$P91))</f>
        <v>0.29</v>
      </c>
      <c r="AA91" s="18">
        <f>IF(OR($H91="",Y91=""),"",IF($O91="",Y91,(X91*Y91+Config!$B$4*$O91)/(X91+Config!$B$4)))</f>
        <v>0.7544444444</v>
      </c>
      <c r="AB91" s="11">
        <f>IF(Z91="","",(X91*Z91+Config!$B$4*$P91)/(X91+Config!$B$4))</f>
        <v>0.3</v>
      </c>
      <c r="AC91" s="17">
        <f>IF(OR(AA91="",$K91=""),"",AA91*$K91*($K91/Config!$B$10)^Config!$B$9)</f>
        <v>16.22055556</v>
      </c>
      <c r="AD91" s="17">
        <f t="shared" si="2"/>
        <v>4.866166667</v>
      </c>
      <c r="AE91" s="4">
        <f>IF($I91="",0,SUMIFS(Map_Stats!$F$2:$F$825,Map_Stats!$A$2:$A$825,$F91&amp;"|"&amp;$I91))</f>
        <v>5</v>
      </c>
      <c r="AF91" s="18">
        <f t="array" ref="AF91">IF($I91="","",IFERROR(1/(1/INDEX(Map_Stats!$K$2:$K$825,MATCH($F91&amp;"|"&amp;$I91,Map_Stats!$A$2:$A$825,0))),$O91))</f>
        <v>0.8</v>
      </c>
      <c r="AG91" s="11">
        <f t="array" ref="AG91">IF(OR($I91="",$P91=""),"",IFERROR(1/(1/INDEX(Map_Stats!$I$2:$I$825,MATCH($F91&amp;"|"&amp;$I91,Map_Stats!$A$2:$A$825,0))),$P91))</f>
        <v>0.345</v>
      </c>
      <c r="AH91" s="18">
        <f>IF(OR($I91="",AF91=""),"",IF($O91="",AF91,(AE91*AF91+Config!$B$4*$O91)/(AE91+Config!$B$4)))</f>
        <v>0.775</v>
      </c>
      <c r="AI91" s="11">
        <f>IF(AG91="","",(AE91*AG91+Config!$B$4*$P91)/(AE91+Config!$B$4))</f>
        <v>0.3265</v>
      </c>
      <c r="AJ91" s="17">
        <f>IF(OR(AH91="",$L91=""),"",AH91*$L91*($L91/Config!$B$10)^Config!$B$9)</f>
        <v>16.6625</v>
      </c>
      <c r="AK91" s="17">
        <f t="shared" si="3"/>
        <v>5.44030625</v>
      </c>
      <c r="AL91" s="17">
        <f t="shared" si="4"/>
        <v>32.34555556</v>
      </c>
      <c r="AM91" s="17">
        <f t="shared" si="5"/>
        <v>40.75678556</v>
      </c>
      <c r="AN91" s="17">
        <f t="shared" si="6"/>
        <v>9.926729167</v>
      </c>
      <c r="AO91" s="17">
        <f t="shared" si="7"/>
        <v>12.67299576</v>
      </c>
      <c r="AP91" s="11">
        <f t="shared" si="8"/>
        <v>0.3068962334</v>
      </c>
      <c r="AQ91" s="4" t="str">
        <f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4" t="str">
        <f>IF($C91=Board!$B$2,COUNTIFS($C$2:$C$157,Board!$B$2,$AL$2:$AL$157,"&gt;"&amp;$AL91)+COUNTIFS($C$1:$C90,Board!$B$2,$AL$1:$AL90,$AL91)+1,"")</f>
        <v/>
      </c>
      <c r="AS91" s="4" t="str">
        <f t="array" ref="AS91">IFERROR(IF($D91=INDEX(Matches!$AD$5:$AD$22,MATCH($C91,Matches!$A$5:$A$22,0)),"A",IF($D91=INDEX(Matches!$AE$5:$AE$22,MATCH($C91,Matches!$A$5:$A$22,0)),"B","")),"")</f>
        <v>A</v>
      </c>
      <c r="AT91" s="11">
        <f t="array" ref="AT91">IF($AS91="","",IFERROR(IF($AS91="A",INDEX(Matches!$AI$5:$AI$22,MATCH($C91,Matches!$A$5:$A$22,0)),INDEX(Matches!$AJ$5:$AJ$22,MATCH($C91,Matches!$A$5:$A$22,0))),""))</f>
        <v>0.5254458432</v>
      </c>
      <c r="AU91" s="11">
        <f t="array" ref="AU91">IF($AS91="","",IFERROR(IF(INDEX(Matches!$AP$5:$AP$22,MATCH($C91,Matches!$A$5:$A$22,0))="","",IF($AS91="A",INDEX(Matches!$AP$5:$AP$22,MATCH($C91,Matches!$A$5:$A$22,0)),1-INDEX(Matches!$AP$5:$AP$22,MATCH($C91,Matches!$A$5:$A$22,0)))),""))</f>
        <v>0.5132554294</v>
      </c>
      <c r="AV91" s="18">
        <f>IF(OR($AU91="",$AT91=""),1,((Config!$B$14*$AU91+Config!$B$15*(1-$AU91))/(Config!$B$14*$AT91+Config!$B$15*(1-$AT91)))^Config!$B$13)</f>
        <v>0.9893486383</v>
      </c>
      <c r="AW91" s="11">
        <f t="array" ref="AW91">IF($AS91="","",IFERROR(IF(INDEX(Matches!$AV$5:$AV$22,MATCH($C91,Matches!$A$5:$A$22,0))="","",IF($AS91="A",INDEX(Matches!$AV$5:$AV$22,MATCH($C91,Matches!$A$5:$A$22,0)),1-INDEX(Matches!$AV$5:$AV$22,MATCH($C91,Matches!$A$5:$A$22,0)))),""))</f>
        <v>0.5015789538</v>
      </c>
      <c r="AX91" s="18">
        <f>IF(OR($AW91="",$AT91=""),1,((Config!$B$14*$AW91+Config!$B$15*(1-$AW91))/(Config!$B$14*$AT91+Config!$B$15*(1-$AT91)))^Config!$B$13)</f>
        <v>0.9791463296</v>
      </c>
      <c r="AY91" s="11">
        <f t="array" ref="AY91">IF($AS91="","",IFERROR(IF(INDEX(Matches!$BB$5:$BB$22,MATCH($C91,Matches!$A$5:$A$22,0))="","",IF($AS91="A",INDEX(Matches!$BB$5:$BB$22,MATCH($C91,Matches!$A$5:$A$22,0)),1-INDEX(Matches!$BB$5:$BB$22,MATCH($C91,Matches!$A$5:$A$22,0)))),""))</f>
        <v>0.4658514689</v>
      </c>
      <c r="AZ91" s="18">
        <f>IF(OR($AY91="",$AT91=""),1,((Config!$B$14*$AY91+Config!$B$15*(1-$AY91))/(Config!$B$14*$AT91+Config!$B$15*(1-$AT91)))^Config!$B$13)</f>
        <v>0.947929476</v>
      </c>
      <c r="BA91" s="17">
        <f t="shared" si="9"/>
        <v>15.95324679</v>
      </c>
      <c r="BB91" s="17">
        <f t="shared" si="10"/>
        <v>15.88229744</v>
      </c>
      <c r="BC91" s="17">
        <f t="shared" si="11"/>
        <v>15.79487489</v>
      </c>
      <c r="BD91" s="17">
        <f t="shared" si="12"/>
        <v>31.83554423</v>
      </c>
      <c r="BE91" s="17">
        <f t="shared" si="13"/>
        <v>39.80879708</v>
      </c>
      <c r="BF91" s="17">
        <f t="shared" si="14"/>
        <v>5.006660619</v>
      </c>
      <c r="BG91" s="17">
        <f t="shared" si="15"/>
        <v>4.764689231</v>
      </c>
      <c r="BH91" s="17">
        <f t="shared" si="16"/>
        <v>5.157026653</v>
      </c>
      <c r="BI91" s="17">
        <f t="shared" si="17"/>
        <v>9.771349849</v>
      </c>
      <c r="BJ91" s="17">
        <f t="shared" si="18"/>
        <v>12.3746169</v>
      </c>
      <c r="BK91" s="18">
        <f t="shared" si="19"/>
        <v>0.9842324141</v>
      </c>
    </row>
    <row r="92" ht="15.75" customHeight="1">
      <c r="A92" s="4" t="s">
        <v>3223</v>
      </c>
      <c r="B92" s="4" t="s">
        <v>86</v>
      </c>
      <c r="C92" s="4" t="s">
        <v>566</v>
      </c>
      <c r="D92" s="4" t="s">
        <v>578</v>
      </c>
      <c r="E92" s="4" t="s">
        <v>1502</v>
      </c>
      <c r="F92" s="4" t="s">
        <v>1501</v>
      </c>
      <c r="G92" s="4" t="str">
        <f t="array" ref="G92">IFERROR(IF(INDEX(Matches!$W$5:$W$22,MATCH($C92,Matches!$A$5:$A$22,0))="","",INDEX(Matches!$W$5:$W$22,MATCH($C92,Matches!$A$5:$A$22,0))),"")</f>
        <v>Cache</v>
      </c>
      <c r="H92" s="4" t="str">
        <f t="array" ref="H92">IFERROR(IF(INDEX(Matches!$X$5:$X$22,MATCH($C92,Matches!$A$5:$A$22,0))="","",INDEX(Matches!$X$5:$X$22,MATCH($C92,Matches!$A$5:$A$22,0))),"")</f>
        <v>Mirage</v>
      </c>
      <c r="I92" s="4" t="str">
        <f t="array" ref="I92">IFERROR(IF(INDEX(Matches!$Y$5:$Y$22,MATCH($C92,Matches!$A$5:$A$22,0))="","",INDEX(Matches!$Y$5:$Y$22,MATCH($C92,Matches!$A$5:$A$22,0))),"")</f>
        <v>Nuke</v>
      </c>
      <c r="J92" s="4">
        <f t="array" ref="J92">IFERROR(IF(INDEX(Matches!$Z$5:$Z$22,MATCH($C92,Matches!$A$5:$A$22,0))="","",INDEX(Matches!$Z$5:$Z$22,MATCH($C92,Matches!$A$5:$A$22,0))),"")</f>
        <v>21.5</v>
      </c>
      <c r="K92" s="4">
        <f t="array" ref="K92">IFERROR(IF(INDEX(Matches!$AA$5:$AA$22,MATCH($C92,Matches!$A$5:$A$22,0))="","",INDEX(Matches!$AA$5:$AA$22,MATCH($C92,Matches!$A$5:$A$22,0))),"")</f>
        <v>21.5</v>
      </c>
      <c r="L92" s="4">
        <f t="array" ref="L92">IFERROR(IF(INDEX(Matches!$AB$5:$AB$22,MATCH($C92,Matches!$A$5:$A$22,0))="","",INDEX(Matches!$AB$5:$AB$22,MATCH($C92,Matches!$A$5:$A$22,0))),"")</f>
        <v>21.5</v>
      </c>
      <c r="M92" s="11">
        <f t="array" ref="M92">IFERROR(IF(INDEX(Matches!$AC$5:$AC$22,MATCH($C92,Matches!$A$5:$A$22,0))="","",INDEX(Matches!$AC$5:$AC$22,MATCH($C92,Matches!$A$5:$A$22,0))),"")</f>
        <v>0.5048</v>
      </c>
      <c r="N92" s="4">
        <f t="array" ref="N92">IFERROR(INDEX(Players!$F$2:$F$127,MATCH($F92,Players!$A$2:$A$127,0)),0)</f>
        <v>30</v>
      </c>
      <c r="O92" s="18">
        <f t="array" ref="O92">IFERROR(1/(1/INDEX(Players!$H$2:$H$127,MATCH($F92,Players!$A$2:$A$127,0))),"")</f>
        <v>0.66</v>
      </c>
      <c r="P92" s="11">
        <f t="array" ref="P92">IFERROR(1/(1/INDEX(Players!$I$2:$I$127,MATCH($F92,Players!$A$2:$A$127,0))),"")</f>
        <v>0.578</v>
      </c>
      <c r="Q92" s="4">
        <f>IF($G92="",0,SUMIFS(Map_Stats!$F$2:$F$825,Map_Stats!$A$2:$A$825,$F92&amp;"|"&amp;$G92))</f>
        <v>7</v>
      </c>
      <c r="R92" s="18">
        <f t="array" ref="R92">IF($G92="","",IFERROR(1/(1/INDEX(Map_Stats!$K$2:$K$825,MATCH($F92&amp;"|"&amp;$G92,Map_Stats!$A$2:$A$825,0))),$O92))</f>
        <v>0.68</v>
      </c>
      <c r="S92" s="11">
        <f t="array" ref="S92">IF(OR($G92="",$P92=""),"",IFERROR(1/(1/INDEX(Map_Stats!$I$2:$I$825,MATCH($F92&amp;"|"&amp;$G92,Map_Stats!$A$2:$A$825,0))),$P92))</f>
        <v>0.64</v>
      </c>
      <c r="T92" s="18">
        <f>IF(OR($G92="",R92=""),"",IF($O92="",R92,(Q92*R92+Config!$B$4*$O92)/(Q92+Config!$B$4)))</f>
        <v>0.6716666667</v>
      </c>
      <c r="U92" s="11">
        <f>IF(S92="","",(Q92*S92+Config!$B$4*$P92)/(Q92+Config!$B$4))</f>
        <v>0.6141666667</v>
      </c>
      <c r="V92" s="17">
        <f>IF(OR(T92="",$J92=""),"",T92*$J92*($J92/Config!$B$10)^Config!$B$9)</f>
        <v>14.44083333</v>
      </c>
      <c r="W92" s="17">
        <f t="shared" si="1"/>
        <v>8.869078472</v>
      </c>
      <c r="X92" s="4">
        <f>IF($H92="",0,SUMIFS(Map_Stats!$F$2:$F$825,Map_Stats!$A$2:$A$825,$F92&amp;"|"&amp;$H92))</f>
        <v>4</v>
      </c>
      <c r="Y92" s="18">
        <f t="array" ref="Y92">IF($H92="","",IFERROR(1/(1/INDEX(Map_Stats!$K$2:$K$825,MATCH($F92&amp;"|"&amp;$H92,Map_Stats!$A$2:$A$825,0))),$O92))</f>
        <v>0.66</v>
      </c>
      <c r="Z92" s="11">
        <f t="array" ref="Z92">IF(OR($H92="",$P92=""),"",IFERROR(1/(1/INDEX(Map_Stats!$I$2:$I$825,MATCH($F92&amp;"|"&amp;$H92,Map_Stats!$A$2:$A$825,0))),$P92))</f>
        <v>0.593</v>
      </c>
      <c r="AA92" s="18">
        <f>IF(OR($H92="",Y92=""),"",IF($O92="",Y92,(X92*Y92+Config!$B$4*$O92)/(X92+Config!$B$4)))</f>
        <v>0.66</v>
      </c>
      <c r="AB92" s="11">
        <f>IF(Z92="","",(X92*Z92+Config!$B$4*$P92)/(X92+Config!$B$4))</f>
        <v>0.5846666667</v>
      </c>
      <c r="AC92" s="17">
        <f>IF(OR(AA92="",$K92=""),"",AA92*$K92*($K92/Config!$B$10)^Config!$B$9)</f>
        <v>14.19</v>
      </c>
      <c r="AD92" s="17">
        <f t="shared" si="2"/>
        <v>8.29642</v>
      </c>
      <c r="AE92" s="4">
        <f>IF($I92="",0,SUMIFS(Map_Stats!$F$2:$F$825,Map_Stats!$A$2:$A$825,$F92&amp;"|"&amp;$I92))</f>
        <v>5</v>
      </c>
      <c r="AF92" s="18">
        <f t="array" ref="AF92">IF($I92="","",IFERROR(1/(1/INDEX(Map_Stats!$K$2:$K$825,MATCH($F92&amp;"|"&amp;$I92,Map_Stats!$A$2:$A$825,0))),$O92))</f>
        <v>0.79</v>
      </c>
      <c r="AG92" s="11">
        <f t="array" ref="AG92">IF(OR($I92="",$P92=""),"",IFERROR(1/(1/INDEX(Map_Stats!$I$2:$I$825,MATCH($F92&amp;"|"&amp;$I92,Map_Stats!$A$2:$A$825,0))),$P92))</f>
        <v>0.512</v>
      </c>
      <c r="AH92" s="18">
        <f>IF(OR($I92="",AF92=""),"",IF($O92="",AF92,(AE92*AF92+Config!$B$4*$O92)/(AE92+Config!$B$4)))</f>
        <v>0.725</v>
      </c>
      <c r="AI92" s="11">
        <f>IF(AG92="","",(AE92*AG92+Config!$B$4*$P92)/(AE92+Config!$B$4))</f>
        <v>0.545</v>
      </c>
      <c r="AJ92" s="17">
        <f>IF(OR(AH92="",$L92=""),"",AH92*$L92*($L92/Config!$B$10)^Config!$B$9)</f>
        <v>15.5875</v>
      </c>
      <c r="AK92" s="17">
        <f t="shared" si="3"/>
        <v>8.4951875</v>
      </c>
      <c r="AL92" s="17">
        <f t="shared" si="4"/>
        <v>28.63083333</v>
      </c>
      <c r="AM92" s="17">
        <f t="shared" si="5"/>
        <v>36.49940333</v>
      </c>
      <c r="AN92" s="17">
        <f t="shared" si="6"/>
        <v>17.16549847</v>
      </c>
      <c r="AO92" s="17">
        <f t="shared" si="7"/>
        <v>21.45386912</v>
      </c>
      <c r="AP92" s="11">
        <f t="shared" si="8"/>
        <v>0.5995458907</v>
      </c>
      <c r="AQ92" s="4" t="str">
        <f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4" t="str">
        <f>IF($C92=Board!$B$2,COUNTIFS($C$2:$C$157,Board!$B$2,$AL$2:$AL$157,"&gt;"&amp;$AL92)+COUNTIFS($C$1:$C91,Board!$B$2,$AL$1:$AL91,$AL92)+1,"")</f>
        <v/>
      </c>
      <c r="AS92" s="4" t="str">
        <f t="array" ref="AS92">IFERROR(IF($D92=INDEX(Matches!$AD$5:$AD$22,MATCH($C92,Matches!$A$5:$A$22,0)),"A",IF($D92=INDEX(Matches!$AE$5:$AE$22,MATCH($C92,Matches!$A$5:$A$22,0)),"B","")),"")</f>
        <v>A</v>
      </c>
      <c r="AT92" s="11">
        <f t="array" ref="AT92">IF($AS92="","",IFERROR(IF($AS92="A",INDEX(Matches!$AI$5:$AI$22,MATCH($C92,Matches!$A$5:$A$22,0)),INDEX(Matches!$AJ$5:$AJ$22,MATCH($C92,Matches!$A$5:$A$22,0))),""))</f>
        <v>0.5254458432</v>
      </c>
      <c r="AU92" s="11">
        <f t="array" ref="AU92">IF($AS92="","",IFERROR(IF(INDEX(Matches!$AP$5:$AP$22,MATCH($C92,Matches!$A$5:$A$22,0))="","",IF($AS92="A",INDEX(Matches!$AP$5:$AP$22,MATCH($C92,Matches!$A$5:$A$22,0)),1-INDEX(Matches!$AP$5:$AP$22,MATCH($C92,Matches!$A$5:$A$22,0)))),""))</f>
        <v>0.5132554294</v>
      </c>
      <c r="AV92" s="18">
        <f>IF(OR($AU92="",$AT92=""),1,((Config!$B$14*$AU92+Config!$B$15*(1-$AU92))/(Config!$B$14*$AT92+Config!$B$15*(1-$AT92)))^Config!$B$13)</f>
        <v>0.9893486383</v>
      </c>
      <c r="AW92" s="11">
        <f t="array" ref="AW92">IF($AS92="","",IFERROR(IF(INDEX(Matches!$AV$5:$AV$22,MATCH($C92,Matches!$A$5:$A$22,0))="","",IF($AS92="A",INDEX(Matches!$AV$5:$AV$22,MATCH($C92,Matches!$A$5:$A$22,0)),1-INDEX(Matches!$AV$5:$AV$22,MATCH($C92,Matches!$A$5:$A$22,0)))),""))</f>
        <v>0.5015789538</v>
      </c>
      <c r="AX92" s="18">
        <f>IF(OR($AW92="",$AT92=""),1,((Config!$B$14*$AW92+Config!$B$15*(1-$AW92))/(Config!$B$14*$AT92+Config!$B$15*(1-$AT92)))^Config!$B$13)</f>
        <v>0.9791463296</v>
      </c>
      <c r="AY92" s="11">
        <f t="array" ref="AY92">IF($AS92="","",IFERROR(IF(INDEX(Matches!$BB$5:$BB$22,MATCH($C92,Matches!$A$5:$A$22,0))="","",IF($AS92="A",INDEX(Matches!$BB$5:$BB$22,MATCH($C92,Matches!$A$5:$A$22,0)),1-INDEX(Matches!$BB$5:$BB$22,MATCH($C92,Matches!$A$5:$A$22,0)))),""))</f>
        <v>0.4658514689</v>
      </c>
      <c r="AZ92" s="18">
        <f>IF(OR($AY92="",$AT92=""),1,((Config!$B$14*$AY92+Config!$B$15*(1-$AY92))/(Config!$B$14*$AT92+Config!$B$15*(1-$AT92)))^Config!$B$13)</f>
        <v>0.947929476</v>
      </c>
      <c r="BA92" s="17">
        <f t="shared" si="9"/>
        <v>14.28701879</v>
      </c>
      <c r="BB92" s="17">
        <f t="shared" si="10"/>
        <v>13.89408642</v>
      </c>
      <c r="BC92" s="17">
        <f t="shared" si="11"/>
        <v>14.77585071</v>
      </c>
      <c r="BD92" s="17">
        <f t="shared" si="12"/>
        <v>28.18110521</v>
      </c>
      <c r="BE92" s="17">
        <f t="shared" si="13"/>
        <v>35.63995465</v>
      </c>
      <c r="BF92" s="17">
        <f t="shared" si="14"/>
        <v>8.77461071</v>
      </c>
      <c r="BG92" s="17">
        <f t="shared" si="15"/>
        <v>8.123409192</v>
      </c>
      <c r="BH92" s="17">
        <f t="shared" si="16"/>
        <v>8.052838635</v>
      </c>
      <c r="BI92" s="17">
        <f t="shared" si="17"/>
        <v>16.8980199</v>
      </c>
      <c r="BJ92" s="17">
        <f t="shared" si="18"/>
        <v>20.96309284</v>
      </c>
      <c r="BK92" s="18">
        <f t="shared" si="19"/>
        <v>0.9842921749</v>
      </c>
    </row>
    <row r="93" ht="15.75" customHeight="1">
      <c r="A93" s="4" t="s">
        <v>3224</v>
      </c>
      <c r="B93" s="4" t="s">
        <v>86</v>
      </c>
      <c r="C93" s="4" t="s">
        <v>566</v>
      </c>
      <c r="D93" s="4" t="s">
        <v>580</v>
      </c>
      <c r="E93" s="4" t="s">
        <v>1532</v>
      </c>
      <c r="F93" s="4" t="s">
        <v>1531</v>
      </c>
      <c r="G93" s="4" t="str">
        <f t="array" ref="G93">IFERROR(IF(INDEX(Matches!$W$5:$W$22,MATCH($C93,Matches!$A$5:$A$22,0))="","",INDEX(Matches!$W$5:$W$22,MATCH($C93,Matches!$A$5:$A$22,0))),"")</f>
        <v>Cache</v>
      </c>
      <c r="H93" s="4" t="str">
        <f t="array" ref="H93">IFERROR(IF(INDEX(Matches!$X$5:$X$22,MATCH($C93,Matches!$A$5:$A$22,0))="","",INDEX(Matches!$X$5:$X$22,MATCH($C93,Matches!$A$5:$A$22,0))),"")</f>
        <v>Mirage</v>
      </c>
      <c r="I93" s="4" t="str">
        <f t="array" ref="I93">IFERROR(IF(INDEX(Matches!$Y$5:$Y$22,MATCH($C93,Matches!$A$5:$A$22,0))="","",INDEX(Matches!$Y$5:$Y$22,MATCH($C93,Matches!$A$5:$A$22,0))),"")</f>
        <v>Nuke</v>
      </c>
      <c r="J93" s="4">
        <f t="array" ref="J93">IFERROR(IF(INDEX(Matches!$Z$5:$Z$22,MATCH($C93,Matches!$A$5:$A$22,0))="","",INDEX(Matches!$Z$5:$Z$22,MATCH($C93,Matches!$A$5:$A$22,0))),"")</f>
        <v>21.5</v>
      </c>
      <c r="K93" s="4">
        <f t="array" ref="K93">IFERROR(IF(INDEX(Matches!$AA$5:$AA$22,MATCH($C93,Matches!$A$5:$A$22,0))="","",INDEX(Matches!$AA$5:$AA$22,MATCH($C93,Matches!$A$5:$A$22,0))),"")</f>
        <v>21.5</v>
      </c>
      <c r="L93" s="4">
        <f t="array" ref="L93">IFERROR(IF(INDEX(Matches!$AB$5:$AB$22,MATCH($C93,Matches!$A$5:$A$22,0))="","",INDEX(Matches!$AB$5:$AB$22,MATCH($C93,Matches!$A$5:$A$22,0))),"")</f>
        <v>21.5</v>
      </c>
      <c r="M93" s="11">
        <f t="array" ref="M93">IFERROR(IF(INDEX(Matches!$AC$5:$AC$22,MATCH($C93,Matches!$A$5:$A$22,0))="","",INDEX(Matches!$AC$5:$AC$22,MATCH($C93,Matches!$A$5:$A$22,0))),"")</f>
        <v>0.5048</v>
      </c>
      <c r="N93" s="4">
        <f t="array" ref="N93">IFERROR(INDEX(Players!$F$2:$F$127,MATCH($F93,Players!$A$2:$A$127,0)),0)</f>
        <v>31</v>
      </c>
      <c r="O93" s="18">
        <f t="array" ref="O93">IFERROR(1/(1/INDEX(Players!$H$2:$H$127,MATCH($F93,Players!$A$2:$A$127,0))),"")</f>
        <v>0.8</v>
      </c>
      <c r="P93" s="11">
        <f t="array" ref="P93">IFERROR(1/(1/INDEX(Players!$I$2:$I$127,MATCH($F93,Players!$A$2:$A$127,0))),"")</f>
        <v>0.573</v>
      </c>
      <c r="Q93" s="4">
        <f>IF($G93="",0,SUMIFS(Map_Stats!$F$2:$F$825,Map_Stats!$A$2:$A$825,$F93&amp;"|"&amp;$G93))</f>
        <v>6</v>
      </c>
      <c r="R93" s="18">
        <f t="array" ref="R93">IF($G93="","",IFERROR(1/(1/INDEX(Map_Stats!$K$2:$K$825,MATCH($F93&amp;"|"&amp;$G93,Map_Stats!$A$2:$A$825,0))),$O93))</f>
        <v>0.85</v>
      </c>
      <c r="S93" s="11">
        <f t="array" ref="S93">IF(OR($G93="",$P93=""),"",IFERROR(1/(1/INDEX(Map_Stats!$I$2:$I$825,MATCH($F93&amp;"|"&amp;$G93,Map_Stats!$A$2:$A$825,0))),$P93))</f>
        <v>0.527</v>
      </c>
      <c r="T93" s="18">
        <f>IF(OR($G93="",R93=""),"",IF($O93="",R93,(Q93*R93+Config!$B$4*$O93)/(Q93+Config!$B$4)))</f>
        <v>0.8272727273</v>
      </c>
      <c r="U93" s="11">
        <f>IF(S93="","",(Q93*S93+Config!$B$4*$P93)/(Q93+Config!$B$4))</f>
        <v>0.5479090909</v>
      </c>
      <c r="V93" s="17">
        <f>IF(OR(T93="",$J93=""),"",T93*$J93*($J93/Config!$B$10)^Config!$B$9)</f>
        <v>17.78636364</v>
      </c>
      <c r="W93" s="17">
        <f t="shared" si="1"/>
        <v>9.745310331</v>
      </c>
      <c r="X93" s="4">
        <f>IF($H93="",0,SUMIFS(Map_Stats!$F$2:$F$825,Map_Stats!$A$2:$A$825,$F93&amp;"|"&amp;$H93))</f>
        <v>7</v>
      </c>
      <c r="Y93" s="18">
        <f t="array" ref="Y93">IF($H93="","",IFERROR(1/(1/INDEX(Map_Stats!$K$2:$K$825,MATCH($F93&amp;"|"&amp;$H93,Map_Stats!$A$2:$A$825,0))),$O93))</f>
        <v>0.85</v>
      </c>
      <c r="Z93" s="11">
        <f t="array" ref="Z93">IF(OR($H93="",$P93=""),"",IFERROR(1/(1/INDEX(Map_Stats!$I$2:$I$825,MATCH($F93&amp;"|"&amp;$H93,Map_Stats!$A$2:$A$825,0))),$P93))</f>
        <v>0.582</v>
      </c>
      <c r="AA93" s="18">
        <f>IF(OR($H93="",Y93=""),"",IF($O93="",Y93,(X93*Y93+Config!$B$4*$O93)/(X93+Config!$B$4)))</f>
        <v>0.8291666667</v>
      </c>
      <c r="AB93" s="11">
        <f>IF(Z93="","",(X93*Z93+Config!$B$4*$P93)/(X93+Config!$B$4))</f>
        <v>0.57825</v>
      </c>
      <c r="AC93" s="17">
        <f>IF(OR(AA93="",$K93=""),"",AA93*$K93*($K93/Config!$B$10)^Config!$B$9)</f>
        <v>17.82708333</v>
      </c>
      <c r="AD93" s="17">
        <f t="shared" si="2"/>
        <v>10.30851094</v>
      </c>
      <c r="AE93" s="4">
        <f>IF($I93="",0,SUMIFS(Map_Stats!$F$2:$F$825,Map_Stats!$A$2:$A$825,$F93&amp;"|"&amp;$I93))</f>
        <v>6</v>
      </c>
      <c r="AF93" s="18">
        <f t="array" ref="AF93">IF($I93="","",IFERROR(1/(1/INDEX(Map_Stats!$K$2:$K$825,MATCH($F93&amp;"|"&amp;$I93,Map_Stats!$A$2:$A$825,0))),$O93))</f>
        <v>0.72</v>
      </c>
      <c r="AG93" s="11">
        <f t="array" ref="AG93">IF(OR($I93="",$P93=""),"",IFERROR(1/(1/INDEX(Map_Stats!$I$2:$I$825,MATCH($F93&amp;"|"&amp;$I93,Map_Stats!$A$2:$A$825,0))),$P93))</f>
        <v>0.5</v>
      </c>
      <c r="AH93" s="18">
        <f>IF(OR($I93="",AF93=""),"",IF($O93="",AF93,(AE93*AF93+Config!$B$4*$O93)/(AE93+Config!$B$4)))</f>
        <v>0.7563636364</v>
      </c>
      <c r="AI93" s="11">
        <f>IF(AG93="","",(AE93*AG93+Config!$B$4*$P93)/(AE93+Config!$B$4))</f>
        <v>0.5331818182</v>
      </c>
      <c r="AJ93" s="17">
        <f>IF(OR(AH93="",$L93=""),"",AH93*$L93*($L93/Config!$B$10)^Config!$B$9)</f>
        <v>16.26181818</v>
      </c>
      <c r="AK93" s="17">
        <f t="shared" si="3"/>
        <v>8.670505785</v>
      </c>
      <c r="AL93" s="17">
        <f t="shared" si="4"/>
        <v>35.61344697</v>
      </c>
      <c r="AM93" s="17">
        <f t="shared" si="5"/>
        <v>43.82241279</v>
      </c>
      <c r="AN93" s="17">
        <f t="shared" si="6"/>
        <v>20.05382127</v>
      </c>
      <c r="AO93" s="17">
        <f t="shared" si="7"/>
        <v>24.43069259</v>
      </c>
      <c r="AP93" s="11">
        <f t="shared" si="8"/>
        <v>0.563096891</v>
      </c>
      <c r="AQ93" s="4" t="str">
        <f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4" t="str">
        <f>IF($C93=Board!$B$2,COUNTIFS($C$2:$C$157,Board!$B$2,$AL$2:$AL$157,"&gt;"&amp;$AL93)+COUNTIFS($C$1:$C92,Board!$B$2,$AL$1:$AL92,$AL93)+1,"")</f>
        <v/>
      </c>
      <c r="AS93" s="4" t="str">
        <f t="array" ref="AS93">IFERROR(IF($D93=INDEX(Matches!$AD$5:$AD$22,MATCH($C93,Matches!$A$5:$A$22,0)),"A",IF($D93=INDEX(Matches!$AE$5:$AE$22,MATCH($C93,Matches!$A$5:$A$22,0)),"B","")),"")</f>
        <v>B</v>
      </c>
      <c r="AT93" s="11">
        <f t="array" ref="AT93">IF($AS93="","",IFERROR(IF($AS93="A",INDEX(Matches!$AI$5:$AI$22,MATCH($C93,Matches!$A$5:$A$22,0)),INDEX(Matches!$AJ$5:$AJ$22,MATCH($C93,Matches!$A$5:$A$22,0))),""))</f>
        <v>0.5592853653</v>
      </c>
      <c r="AU93" s="11">
        <f t="array" ref="AU93">IF($AS93="","",IFERROR(IF(INDEX(Matches!$AP$5:$AP$22,MATCH($C93,Matches!$A$5:$A$22,0))="","",IF($AS93="A",INDEX(Matches!$AP$5:$AP$22,MATCH($C93,Matches!$A$5:$A$22,0)),1-INDEX(Matches!$AP$5:$AP$22,MATCH($C93,Matches!$A$5:$A$22,0)))),""))</f>
        <v>0.4867445706</v>
      </c>
      <c r="AV93" s="18">
        <f>IF(OR($AU93="",$AT93=""),1,((Config!$B$14*$AU93+Config!$B$15*(1-$AU93))/(Config!$B$14*$AT93+Config!$B$15*(1-$AT93)))^Config!$B$13)</f>
        <v>0.9384377797</v>
      </c>
      <c r="AW93" s="11">
        <f t="array" ref="AW93">IF($AS93="","",IFERROR(IF(INDEX(Matches!$AV$5:$AV$22,MATCH($C93,Matches!$A$5:$A$22,0))="","",IF($AS93="A",INDEX(Matches!$AV$5:$AV$22,MATCH($C93,Matches!$A$5:$A$22,0)),1-INDEX(Matches!$AV$5:$AV$22,MATCH($C93,Matches!$A$5:$A$22,0)))),""))</f>
        <v>0.4984210462</v>
      </c>
      <c r="AX93" s="18">
        <f>IF(OR($AW93="",$AT93=""),1,((Config!$B$14*$AW93+Config!$B$15*(1-$AW93))/(Config!$B$14*$AT93+Config!$B$15*(1-$AT93)))^Config!$B$13)</f>
        <v>0.9483470972</v>
      </c>
      <c r="AY93" s="11">
        <f t="array" ref="AY93">IF($AS93="","",IFERROR(IF(INDEX(Matches!$BB$5:$BB$22,MATCH($C93,Matches!$A$5:$A$22,0))="","",IF($AS93="A",INDEX(Matches!$BB$5:$BB$22,MATCH($C93,Matches!$A$5:$A$22,0)),1-INDEX(Matches!$BB$5:$BB$22,MATCH($C93,Matches!$A$5:$A$22,0)))),""))</f>
        <v>0.5341485311</v>
      </c>
      <c r="AZ93" s="18">
        <f>IF(OR($AY93="",$AT93=""),1,((Config!$B$14*$AY93+Config!$B$15*(1-$AY93))/(Config!$B$14*$AT93+Config!$B$15*(1-$AT93)))^Config!$B$13)</f>
        <v>0.9786674611</v>
      </c>
      <c r="BA93" s="17">
        <f t="shared" si="9"/>
        <v>16.6913956</v>
      </c>
      <c r="BB93" s="17">
        <f t="shared" si="10"/>
        <v>16.90626273</v>
      </c>
      <c r="BC93" s="17">
        <f t="shared" si="11"/>
        <v>15.91491231</v>
      </c>
      <c r="BD93" s="17">
        <f t="shared" si="12"/>
        <v>33.59765833</v>
      </c>
      <c r="BE93" s="17">
        <f t="shared" si="13"/>
        <v>41.63150607</v>
      </c>
      <c r="BF93" s="17">
        <f t="shared" si="14"/>
        <v>9.145367389</v>
      </c>
      <c r="BG93" s="17">
        <f t="shared" si="15"/>
        <v>9.776046424</v>
      </c>
      <c r="BH93" s="17">
        <f t="shared" si="16"/>
        <v>8.485541883</v>
      </c>
      <c r="BI93" s="17">
        <f t="shared" si="17"/>
        <v>18.92141381</v>
      </c>
      <c r="BJ93" s="17">
        <f t="shared" si="18"/>
        <v>23.20491536</v>
      </c>
      <c r="BK93" s="18">
        <f t="shared" si="19"/>
        <v>0.9433981035</v>
      </c>
    </row>
    <row r="94" ht="15.75" customHeight="1">
      <c r="A94" s="4" t="s">
        <v>3225</v>
      </c>
      <c r="B94" s="4" t="s">
        <v>86</v>
      </c>
      <c r="C94" s="4" t="s">
        <v>566</v>
      </c>
      <c r="D94" s="4" t="s">
        <v>580</v>
      </c>
      <c r="E94" s="4" t="s">
        <v>1536</v>
      </c>
      <c r="F94" s="4" t="s">
        <v>1535</v>
      </c>
      <c r="G94" s="4" t="str">
        <f t="array" ref="G94">IFERROR(IF(INDEX(Matches!$W$5:$W$22,MATCH($C94,Matches!$A$5:$A$22,0))="","",INDEX(Matches!$W$5:$W$22,MATCH($C94,Matches!$A$5:$A$22,0))),"")</f>
        <v>Cache</v>
      </c>
      <c r="H94" s="4" t="str">
        <f t="array" ref="H94">IFERROR(IF(INDEX(Matches!$X$5:$X$22,MATCH($C94,Matches!$A$5:$A$22,0))="","",INDEX(Matches!$X$5:$X$22,MATCH($C94,Matches!$A$5:$A$22,0))),"")</f>
        <v>Mirage</v>
      </c>
      <c r="I94" s="4" t="str">
        <f t="array" ref="I94">IFERROR(IF(INDEX(Matches!$Y$5:$Y$22,MATCH($C94,Matches!$A$5:$A$22,0))="","",INDEX(Matches!$Y$5:$Y$22,MATCH($C94,Matches!$A$5:$A$22,0))),"")</f>
        <v>Nuke</v>
      </c>
      <c r="J94" s="4">
        <f t="array" ref="J94">IFERROR(IF(INDEX(Matches!$Z$5:$Z$22,MATCH($C94,Matches!$A$5:$A$22,0))="","",INDEX(Matches!$Z$5:$Z$22,MATCH($C94,Matches!$A$5:$A$22,0))),"")</f>
        <v>21.5</v>
      </c>
      <c r="K94" s="4">
        <f t="array" ref="K94">IFERROR(IF(INDEX(Matches!$AA$5:$AA$22,MATCH($C94,Matches!$A$5:$A$22,0))="","",INDEX(Matches!$AA$5:$AA$22,MATCH($C94,Matches!$A$5:$A$22,0))),"")</f>
        <v>21.5</v>
      </c>
      <c r="L94" s="4">
        <f t="array" ref="L94">IFERROR(IF(INDEX(Matches!$AB$5:$AB$22,MATCH($C94,Matches!$A$5:$A$22,0))="","",INDEX(Matches!$AB$5:$AB$22,MATCH($C94,Matches!$A$5:$A$22,0))),"")</f>
        <v>21.5</v>
      </c>
      <c r="M94" s="11">
        <f t="array" ref="M94">IFERROR(IF(INDEX(Matches!$AC$5:$AC$22,MATCH($C94,Matches!$A$5:$A$22,0))="","",INDEX(Matches!$AC$5:$AC$22,MATCH($C94,Matches!$A$5:$A$22,0))),"")</f>
        <v>0.5048</v>
      </c>
      <c r="N94" s="4">
        <f t="array" ref="N94">IFERROR(INDEX(Players!$F$2:$F$127,MATCH($F94,Players!$A$2:$A$127,0)),0)</f>
        <v>31</v>
      </c>
      <c r="O94" s="18">
        <f t="array" ref="O94">IFERROR(1/(1/INDEX(Players!$H$2:$H$127,MATCH($F94,Players!$A$2:$A$127,0))),"")</f>
        <v>0.7</v>
      </c>
      <c r="P94" s="11">
        <f t="array" ref="P94">IFERROR(1/(1/INDEX(Players!$I$2:$I$127,MATCH($F94,Players!$A$2:$A$127,0))),"")</f>
        <v>0.343</v>
      </c>
      <c r="Q94" s="4">
        <f>IF($G94="",0,SUMIFS(Map_Stats!$F$2:$F$825,Map_Stats!$A$2:$A$825,$F94&amp;"|"&amp;$G94))</f>
        <v>6</v>
      </c>
      <c r="R94" s="18">
        <f t="array" ref="R94">IF($G94="","",IFERROR(1/(1/INDEX(Map_Stats!$K$2:$K$825,MATCH($F94&amp;"|"&amp;$G94,Map_Stats!$A$2:$A$825,0))),$O94))</f>
        <v>0.74</v>
      </c>
      <c r="S94" s="11">
        <f t="array" ref="S94">IF(OR($G94="",$P94=""),"",IFERROR(1/(1/INDEX(Map_Stats!$I$2:$I$825,MATCH($F94&amp;"|"&amp;$G94,Map_Stats!$A$2:$A$825,0))),$P94))</f>
        <v>0.448</v>
      </c>
      <c r="T94" s="18">
        <f>IF(OR($G94="",R94=""),"",IF($O94="",R94,(Q94*R94+Config!$B$4*$O94)/(Q94+Config!$B$4)))</f>
        <v>0.7218181818</v>
      </c>
      <c r="U94" s="11">
        <f>IF(S94="","",(Q94*S94+Config!$B$4*$P94)/(Q94+Config!$B$4))</f>
        <v>0.4002727273</v>
      </c>
      <c r="V94" s="17">
        <f>IF(OR(T94="",$J94=""),"",T94*$J94*($J94/Config!$B$10)^Config!$B$9)</f>
        <v>15.51909091</v>
      </c>
      <c r="W94" s="17">
        <f t="shared" si="1"/>
        <v>6.211868843</v>
      </c>
      <c r="X94" s="4">
        <f>IF($H94="",0,SUMIFS(Map_Stats!$F$2:$F$825,Map_Stats!$A$2:$A$825,$F94&amp;"|"&amp;$H94))</f>
        <v>7</v>
      </c>
      <c r="Y94" s="18">
        <f t="array" ref="Y94">IF($H94="","",IFERROR(1/(1/INDEX(Map_Stats!$K$2:$K$825,MATCH($F94&amp;"|"&amp;$H94,Map_Stats!$A$2:$A$825,0))),$O94))</f>
        <v>0.65</v>
      </c>
      <c r="Z94" s="11">
        <f t="array" ref="Z94">IF(OR($H94="",$P94=""),"",IFERROR(1/(1/INDEX(Map_Stats!$I$2:$I$825,MATCH($F94&amp;"|"&amp;$H94,Map_Stats!$A$2:$A$825,0))),$P94))</f>
        <v>0.315</v>
      </c>
      <c r="AA94" s="18">
        <f>IF(OR($H94="",Y94=""),"",IF($O94="",Y94,(X94*Y94+Config!$B$4*$O94)/(X94+Config!$B$4)))</f>
        <v>0.6708333333</v>
      </c>
      <c r="AB94" s="11">
        <f>IF(Z94="","",(X94*Z94+Config!$B$4*$P94)/(X94+Config!$B$4))</f>
        <v>0.3266666667</v>
      </c>
      <c r="AC94" s="17">
        <f>IF(OR(AA94="",$K94=""),"",AA94*$K94*($K94/Config!$B$10)^Config!$B$9)</f>
        <v>14.42291667</v>
      </c>
      <c r="AD94" s="17">
        <f t="shared" si="2"/>
        <v>4.711486111</v>
      </c>
      <c r="AE94" s="4">
        <f>IF($I94="",0,SUMIFS(Map_Stats!$F$2:$F$825,Map_Stats!$A$2:$A$825,$F94&amp;"|"&amp;$I94))</f>
        <v>6</v>
      </c>
      <c r="AF94" s="18">
        <f t="array" ref="AF94">IF($I94="","",IFERROR(1/(1/INDEX(Map_Stats!$K$2:$K$825,MATCH($F94&amp;"|"&amp;$I94,Map_Stats!$A$2:$A$825,0))),$O94))</f>
        <v>0.67</v>
      </c>
      <c r="AG94" s="11">
        <f t="array" ref="AG94">IF(OR($I94="",$P94=""),"",IFERROR(1/(1/INDEX(Map_Stats!$I$2:$I$825,MATCH($F94&amp;"|"&amp;$I94,Map_Stats!$A$2:$A$825,0))),$P94))</f>
        <v>0.256</v>
      </c>
      <c r="AH94" s="18">
        <f>IF(OR($I94="",AF94=""),"",IF($O94="",AF94,(AE94*AF94+Config!$B$4*$O94)/(AE94+Config!$B$4)))</f>
        <v>0.6836363636</v>
      </c>
      <c r="AI94" s="11">
        <f>IF(AG94="","",(AE94*AG94+Config!$B$4*$P94)/(AE94+Config!$B$4))</f>
        <v>0.2955454545</v>
      </c>
      <c r="AJ94" s="17">
        <f>IF(OR(AH94="",$L94=""),"",AH94*$L94*($L94/Config!$B$10)^Config!$B$9)</f>
        <v>14.69818182</v>
      </c>
      <c r="AK94" s="17">
        <f t="shared" si="3"/>
        <v>4.343980826</v>
      </c>
      <c r="AL94" s="17">
        <f t="shared" si="4"/>
        <v>29.94200758</v>
      </c>
      <c r="AM94" s="17">
        <f t="shared" si="5"/>
        <v>37.36164976</v>
      </c>
      <c r="AN94" s="17">
        <f t="shared" si="6"/>
        <v>10.92335495</v>
      </c>
      <c r="AO94" s="17">
        <f t="shared" si="7"/>
        <v>13.11619648</v>
      </c>
      <c r="AP94" s="11">
        <f t="shared" si="8"/>
        <v>0.3648170526</v>
      </c>
      <c r="AQ94" s="4" t="str">
        <f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4" t="str">
        <f>IF($C94=Board!$B$2,COUNTIFS($C$2:$C$157,Board!$B$2,$AL$2:$AL$157,"&gt;"&amp;$AL94)+COUNTIFS($C$1:$C93,Board!$B$2,$AL$1:$AL93,$AL94)+1,"")</f>
        <v/>
      </c>
      <c r="AS94" s="4" t="str">
        <f t="array" ref="AS94">IFERROR(IF($D94=INDEX(Matches!$AD$5:$AD$22,MATCH($C94,Matches!$A$5:$A$22,0)),"A",IF($D94=INDEX(Matches!$AE$5:$AE$22,MATCH($C94,Matches!$A$5:$A$22,0)),"B","")),"")</f>
        <v>B</v>
      </c>
      <c r="AT94" s="11">
        <f t="array" ref="AT94">IF($AS94="","",IFERROR(IF($AS94="A",INDEX(Matches!$AI$5:$AI$22,MATCH($C94,Matches!$A$5:$A$22,0)),INDEX(Matches!$AJ$5:$AJ$22,MATCH($C94,Matches!$A$5:$A$22,0))),""))</f>
        <v>0.5592853653</v>
      </c>
      <c r="AU94" s="11">
        <f t="array" ref="AU94">IF($AS94="","",IFERROR(IF(INDEX(Matches!$AP$5:$AP$22,MATCH($C94,Matches!$A$5:$A$22,0))="","",IF($AS94="A",INDEX(Matches!$AP$5:$AP$22,MATCH($C94,Matches!$A$5:$A$22,0)),1-INDEX(Matches!$AP$5:$AP$22,MATCH($C94,Matches!$A$5:$A$22,0)))),""))</f>
        <v>0.4867445706</v>
      </c>
      <c r="AV94" s="18">
        <f>IF(OR($AU94="",$AT94=""),1,((Config!$B$14*$AU94+Config!$B$15*(1-$AU94))/(Config!$B$14*$AT94+Config!$B$15*(1-$AT94)))^Config!$B$13)</f>
        <v>0.9384377797</v>
      </c>
      <c r="AW94" s="11">
        <f t="array" ref="AW94">IF($AS94="","",IFERROR(IF(INDEX(Matches!$AV$5:$AV$22,MATCH($C94,Matches!$A$5:$A$22,0))="","",IF($AS94="A",INDEX(Matches!$AV$5:$AV$22,MATCH($C94,Matches!$A$5:$A$22,0)),1-INDEX(Matches!$AV$5:$AV$22,MATCH($C94,Matches!$A$5:$A$22,0)))),""))</f>
        <v>0.4984210462</v>
      </c>
      <c r="AX94" s="18">
        <f>IF(OR($AW94="",$AT94=""),1,((Config!$B$14*$AW94+Config!$B$15*(1-$AW94))/(Config!$B$14*$AT94+Config!$B$15*(1-$AT94)))^Config!$B$13)</f>
        <v>0.9483470972</v>
      </c>
      <c r="AY94" s="11">
        <f t="array" ref="AY94">IF($AS94="","",IFERROR(IF(INDEX(Matches!$BB$5:$BB$22,MATCH($C94,Matches!$A$5:$A$22,0))="","",IF($AS94="A",INDEX(Matches!$BB$5:$BB$22,MATCH($C94,Matches!$A$5:$A$22,0)),1-INDEX(Matches!$BB$5:$BB$22,MATCH($C94,Matches!$A$5:$A$22,0)))),""))</f>
        <v>0.5341485311</v>
      </c>
      <c r="AZ94" s="18">
        <f>IF(OR($AY94="",$AT94=""),1,((Config!$B$14*$AY94+Config!$B$15*(1-$AY94))/(Config!$B$14*$AT94+Config!$B$15*(1-$AT94)))^Config!$B$13)</f>
        <v>0.9786674611</v>
      </c>
      <c r="BA94" s="17">
        <f t="shared" si="9"/>
        <v>14.56370122</v>
      </c>
      <c r="BB94" s="17">
        <f t="shared" si="10"/>
        <v>13.67793115</v>
      </c>
      <c r="BC94" s="17">
        <f t="shared" si="11"/>
        <v>14.38463228</v>
      </c>
      <c r="BD94" s="17">
        <f t="shared" si="12"/>
        <v>28.24163237</v>
      </c>
      <c r="BE94" s="17">
        <f t="shared" si="13"/>
        <v>35.50299475</v>
      </c>
      <c r="BF94" s="17">
        <f t="shared" si="14"/>
        <v>5.829452405</v>
      </c>
      <c r="BG94" s="17">
        <f t="shared" si="15"/>
        <v>4.468124177</v>
      </c>
      <c r="BH94" s="17">
        <f t="shared" si="16"/>
        <v>4.251312686</v>
      </c>
      <c r="BI94" s="17">
        <f t="shared" si="17"/>
        <v>10.29757658</v>
      </c>
      <c r="BJ94" s="17">
        <f t="shared" si="18"/>
        <v>12.44363923</v>
      </c>
      <c r="BK94" s="18">
        <f t="shared" si="19"/>
        <v>0.9432110488</v>
      </c>
    </row>
    <row r="95" ht="15.75" customHeight="1">
      <c r="A95" s="4" t="s">
        <v>3226</v>
      </c>
      <c r="B95" s="4" t="s">
        <v>86</v>
      </c>
      <c r="C95" s="4" t="s">
        <v>566</v>
      </c>
      <c r="D95" s="4" t="s">
        <v>580</v>
      </c>
      <c r="E95" s="4" t="s">
        <v>1539</v>
      </c>
      <c r="F95" s="4" t="s">
        <v>1538</v>
      </c>
      <c r="G95" s="4" t="str">
        <f t="array" ref="G95">IFERROR(IF(INDEX(Matches!$W$5:$W$22,MATCH($C95,Matches!$A$5:$A$22,0))="","",INDEX(Matches!$W$5:$W$22,MATCH($C95,Matches!$A$5:$A$22,0))),"")</f>
        <v>Cache</v>
      </c>
      <c r="H95" s="4" t="str">
        <f t="array" ref="H95">IFERROR(IF(INDEX(Matches!$X$5:$X$22,MATCH($C95,Matches!$A$5:$A$22,0))="","",INDEX(Matches!$X$5:$X$22,MATCH($C95,Matches!$A$5:$A$22,0))),"")</f>
        <v>Mirage</v>
      </c>
      <c r="I95" s="4" t="str">
        <f t="array" ref="I95">IFERROR(IF(INDEX(Matches!$Y$5:$Y$22,MATCH($C95,Matches!$A$5:$A$22,0))="","",INDEX(Matches!$Y$5:$Y$22,MATCH($C95,Matches!$A$5:$A$22,0))),"")</f>
        <v>Nuke</v>
      </c>
      <c r="J95" s="4">
        <f t="array" ref="J95">IFERROR(IF(INDEX(Matches!$Z$5:$Z$22,MATCH($C95,Matches!$A$5:$A$22,0))="","",INDEX(Matches!$Z$5:$Z$22,MATCH($C95,Matches!$A$5:$A$22,0))),"")</f>
        <v>21.5</v>
      </c>
      <c r="K95" s="4">
        <f t="array" ref="K95">IFERROR(IF(INDEX(Matches!$AA$5:$AA$22,MATCH($C95,Matches!$A$5:$A$22,0))="","",INDEX(Matches!$AA$5:$AA$22,MATCH($C95,Matches!$A$5:$A$22,0))),"")</f>
        <v>21.5</v>
      </c>
      <c r="L95" s="4">
        <f t="array" ref="L95">IFERROR(IF(INDEX(Matches!$AB$5:$AB$22,MATCH($C95,Matches!$A$5:$A$22,0))="","",INDEX(Matches!$AB$5:$AB$22,MATCH($C95,Matches!$A$5:$A$22,0))),"")</f>
        <v>21.5</v>
      </c>
      <c r="M95" s="11">
        <f t="array" ref="M95">IFERROR(IF(INDEX(Matches!$AC$5:$AC$22,MATCH($C95,Matches!$A$5:$A$22,0))="","",INDEX(Matches!$AC$5:$AC$22,MATCH($C95,Matches!$A$5:$A$22,0))),"")</f>
        <v>0.5048</v>
      </c>
      <c r="N95" s="4">
        <f t="array" ref="N95">IFERROR(INDEX(Players!$F$2:$F$127,MATCH($F95,Players!$A$2:$A$127,0)),0)</f>
        <v>31</v>
      </c>
      <c r="O95" s="18">
        <f t="array" ref="O95">IFERROR(1/(1/INDEX(Players!$H$2:$H$127,MATCH($F95,Players!$A$2:$A$127,0))),"")</f>
        <v>0.58</v>
      </c>
      <c r="P95" s="11">
        <f t="array" ref="P95">IFERROR(1/(1/INDEX(Players!$I$2:$I$127,MATCH($F95,Players!$A$2:$A$127,0))),"")</f>
        <v>0.537</v>
      </c>
      <c r="Q95" s="4">
        <f>IF($G95="",0,SUMIFS(Map_Stats!$F$2:$F$825,Map_Stats!$A$2:$A$825,$F95&amp;"|"&amp;$G95))</f>
        <v>6</v>
      </c>
      <c r="R95" s="18">
        <f t="array" ref="R95">IF($G95="","",IFERROR(1/(1/INDEX(Map_Stats!$K$2:$K$825,MATCH($F95&amp;"|"&amp;$G95,Map_Stats!$A$2:$A$825,0))),$O95))</f>
        <v>0.56</v>
      </c>
      <c r="S95" s="11">
        <f t="array" ref="S95">IF(OR($G95="",$P95=""),"",IFERROR(1/(1/INDEX(Map_Stats!$I$2:$I$825,MATCH($F95&amp;"|"&amp;$G95,Map_Stats!$A$2:$A$825,0))),$P95))</f>
        <v>0.528</v>
      </c>
      <c r="T95" s="18">
        <f>IF(OR($G95="",R95=""),"",IF($O95="",R95,(Q95*R95+Config!$B$4*$O95)/(Q95+Config!$B$4)))</f>
        <v>0.5690909091</v>
      </c>
      <c r="U95" s="11">
        <f>IF(S95="","",(Q95*S95+Config!$B$4*$P95)/(Q95+Config!$B$4))</f>
        <v>0.5320909091</v>
      </c>
      <c r="V95" s="17">
        <f>IF(OR(T95="",$J95=""),"",T95*$J95*($J95/Config!$B$10)^Config!$B$9)</f>
        <v>12.23545455</v>
      </c>
      <c r="W95" s="17">
        <f t="shared" si="1"/>
        <v>6.510374132</v>
      </c>
      <c r="X95" s="4">
        <f>IF($H95="",0,SUMIFS(Map_Stats!$F$2:$F$825,Map_Stats!$A$2:$A$825,$F95&amp;"|"&amp;$H95))</f>
        <v>7</v>
      </c>
      <c r="Y95" s="18">
        <f t="array" ref="Y95">IF($H95="","",IFERROR(1/(1/INDEX(Map_Stats!$K$2:$K$825,MATCH($F95&amp;"|"&amp;$H95,Map_Stats!$A$2:$A$825,0))),$O95))</f>
        <v>0.5</v>
      </c>
      <c r="Z95" s="11">
        <f t="array" ref="Z95">IF(OR($H95="",$P95=""),"",IFERROR(1/(1/INDEX(Map_Stats!$I$2:$I$825,MATCH($F95&amp;"|"&amp;$H95,Map_Stats!$A$2:$A$825,0))),$P95))</f>
        <v>0.482</v>
      </c>
      <c r="AA95" s="18">
        <f>IF(OR($H95="",Y95=""),"",IF($O95="",Y95,(X95*Y95+Config!$B$4*$O95)/(X95+Config!$B$4)))</f>
        <v>0.5333333333</v>
      </c>
      <c r="AB95" s="11">
        <f>IF(Z95="","",(X95*Z95+Config!$B$4*$P95)/(X95+Config!$B$4))</f>
        <v>0.5049166667</v>
      </c>
      <c r="AC95" s="17">
        <f>IF(OR(AA95="",$K95=""),"",AA95*$K95*($K95/Config!$B$10)^Config!$B$9)</f>
        <v>11.46666667</v>
      </c>
      <c r="AD95" s="17">
        <f t="shared" si="2"/>
        <v>5.789711111</v>
      </c>
      <c r="AE95" s="4">
        <f>IF($I95="",0,SUMIFS(Map_Stats!$F$2:$F$825,Map_Stats!$A$2:$A$825,$F95&amp;"|"&amp;$I95))</f>
        <v>6</v>
      </c>
      <c r="AF95" s="18">
        <f t="array" ref="AF95">IF($I95="","",IFERROR(1/(1/INDEX(Map_Stats!$K$2:$K$825,MATCH($F95&amp;"|"&amp;$I95,Map_Stats!$A$2:$A$825,0))),$O95))</f>
        <v>0.74</v>
      </c>
      <c r="AG95" s="11">
        <f t="array" ref="AG95">IF(OR($I95="",$P95=""),"",IFERROR(1/(1/INDEX(Map_Stats!$I$2:$I$825,MATCH($F95&amp;"|"&amp;$I95,Map_Stats!$A$2:$A$825,0))),$P95))</f>
        <v>0.484</v>
      </c>
      <c r="AH95" s="18">
        <f>IF(OR($I95="",AF95=""),"",IF($O95="",AF95,(AE95*AF95+Config!$B$4*$O95)/(AE95+Config!$B$4)))</f>
        <v>0.6672727273</v>
      </c>
      <c r="AI95" s="11">
        <f>IF(AG95="","",(AE95*AG95+Config!$B$4*$P95)/(AE95+Config!$B$4))</f>
        <v>0.5080909091</v>
      </c>
      <c r="AJ95" s="17">
        <f>IF(OR(AH95="",$L95=""),"",AH95*$L95*($L95/Config!$B$10)^Config!$B$9)</f>
        <v>14.34636364</v>
      </c>
      <c r="AK95" s="17">
        <f t="shared" si="3"/>
        <v>7.289256942</v>
      </c>
      <c r="AL95" s="17">
        <f t="shared" si="4"/>
        <v>23.70212121</v>
      </c>
      <c r="AM95" s="17">
        <f t="shared" si="5"/>
        <v>30.94416558</v>
      </c>
      <c r="AN95" s="17">
        <f t="shared" si="6"/>
        <v>12.30008524</v>
      </c>
      <c r="AO95" s="17">
        <f t="shared" si="7"/>
        <v>15.97970215</v>
      </c>
      <c r="AP95" s="11">
        <f t="shared" si="8"/>
        <v>0.5189444916</v>
      </c>
      <c r="AQ95" s="4" t="str">
        <f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4" t="str">
        <f>IF($C95=Board!$B$2,COUNTIFS($C$2:$C$157,Board!$B$2,$AL$2:$AL$157,"&gt;"&amp;$AL95)+COUNTIFS($C$1:$C94,Board!$B$2,$AL$1:$AL94,$AL95)+1,"")</f>
        <v/>
      </c>
      <c r="AS95" s="4" t="str">
        <f t="array" ref="AS95">IFERROR(IF($D95=INDEX(Matches!$AD$5:$AD$22,MATCH($C95,Matches!$A$5:$A$22,0)),"A",IF($D95=INDEX(Matches!$AE$5:$AE$22,MATCH($C95,Matches!$A$5:$A$22,0)),"B","")),"")</f>
        <v>B</v>
      </c>
      <c r="AT95" s="11">
        <f t="array" ref="AT95">IF($AS95="","",IFERROR(IF($AS95="A",INDEX(Matches!$AI$5:$AI$22,MATCH($C95,Matches!$A$5:$A$22,0)),INDEX(Matches!$AJ$5:$AJ$22,MATCH($C95,Matches!$A$5:$A$22,0))),""))</f>
        <v>0.5592853653</v>
      </c>
      <c r="AU95" s="11">
        <f t="array" ref="AU95">IF($AS95="","",IFERROR(IF(INDEX(Matches!$AP$5:$AP$22,MATCH($C95,Matches!$A$5:$A$22,0))="","",IF($AS95="A",INDEX(Matches!$AP$5:$AP$22,MATCH($C95,Matches!$A$5:$A$22,0)),1-INDEX(Matches!$AP$5:$AP$22,MATCH($C95,Matches!$A$5:$A$22,0)))),""))</f>
        <v>0.4867445706</v>
      </c>
      <c r="AV95" s="18">
        <f>IF(OR($AU95="",$AT95=""),1,((Config!$B$14*$AU95+Config!$B$15*(1-$AU95))/(Config!$B$14*$AT95+Config!$B$15*(1-$AT95)))^Config!$B$13)</f>
        <v>0.9384377797</v>
      </c>
      <c r="AW95" s="11">
        <f t="array" ref="AW95">IF($AS95="","",IFERROR(IF(INDEX(Matches!$AV$5:$AV$22,MATCH($C95,Matches!$A$5:$A$22,0))="","",IF($AS95="A",INDEX(Matches!$AV$5:$AV$22,MATCH($C95,Matches!$A$5:$A$22,0)),1-INDEX(Matches!$AV$5:$AV$22,MATCH($C95,Matches!$A$5:$A$22,0)))),""))</f>
        <v>0.4984210462</v>
      </c>
      <c r="AX95" s="18">
        <f>IF(OR($AW95="",$AT95=""),1,((Config!$B$14*$AW95+Config!$B$15*(1-$AW95))/(Config!$B$14*$AT95+Config!$B$15*(1-$AT95)))^Config!$B$13)</f>
        <v>0.9483470972</v>
      </c>
      <c r="AY95" s="11">
        <f t="array" ref="AY95">IF($AS95="","",IFERROR(IF(INDEX(Matches!$BB$5:$BB$22,MATCH($C95,Matches!$A$5:$A$22,0))="","",IF($AS95="A",INDEX(Matches!$BB$5:$BB$22,MATCH($C95,Matches!$A$5:$A$22,0)),1-INDEX(Matches!$BB$5:$BB$22,MATCH($C95,Matches!$A$5:$A$22,0)))),""))</f>
        <v>0.5341485311</v>
      </c>
      <c r="AZ95" s="18">
        <f>IF(OR($AY95="",$AT95=""),1,((Config!$B$14*$AY95+Config!$B$15*(1-$AY95))/(Config!$B$14*$AT95+Config!$B$15*(1-$AT95)))^Config!$B$13)</f>
        <v>0.9786674611</v>
      </c>
      <c r="BA95" s="17">
        <f t="shared" si="9"/>
        <v>11.4822128</v>
      </c>
      <c r="BB95" s="17">
        <f t="shared" si="10"/>
        <v>10.87438005</v>
      </c>
      <c r="BC95" s="17">
        <f t="shared" si="11"/>
        <v>14.04031928</v>
      </c>
      <c r="BD95" s="17">
        <f t="shared" si="12"/>
        <v>22.35659284</v>
      </c>
      <c r="BE95" s="17">
        <f t="shared" si="13"/>
        <v>29.44414602</v>
      </c>
      <c r="BF95" s="17">
        <f t="shared" si="14"/>
        <v>6.109581046</v>
      </c>
      <c r="BG95" s="17">
        <f t="shared" si="15"/>
        <v>5.490655726</v>
      </c>
      <c r="BH95" s="17">
        <f t="shared" si="16"/>
        <v>7.133758585</v>
      </c>
      <c r="BI95" s="17">
        <f t="shared" si="17"/>
        <v>11.60023677</v>
      </c>
      <c r="BJ95" s="17">
        <f t="shared" si="18"/>
        <v>15.2013581</v>
      </c>
      <c r="BK95" s="18">
        <f t="shared" si="19"/>
        <v>0.9432317321</v>
      </c>
    </row>
    <row r="96" ht="15.75" customHeight="1">
      <c r="A96" s="4" t="s">
        <v>3227</v>
      </c>
      <c r="B96" s="4" t="s">
        <v>86</v>
      </c>
      <c r="C96" s="4" t="s">
        <v>566</v>
      </c>
      <c r="D96" s="4" t="s">
        <v>580</v>
      </c>
      <c r="E96" s="4" t="s">
        <v>1542</v>
      </c>
      <c r="F96" s="4" t="s">
        <v>1541</v>
      </c>
      <c r="G96" s="4" t="str">
        <f t="array" ref="G96">IFERROR(IF(INDEX(Matches!$W$5:$W$22,MATCH($C96,Matches!$A$5:$A$22,0))="","",INDEX(Matches!$W$5:$W$22,MATCH($C96,Matches!$A$5:$A$22,0))),"")</f>
        <v>Cache</v>
      </c>
      <c r="H96" s="4" t="str">
        <f t="array" ref="H96">IFERROR(IF(INDEX(Matches!$X$5:$X$22,MATCH($C96,Matches!$A$5:$A$22,0))="","",INDEX(Matches!$X$5:$X$22,MATCH($C96,Matches!$A$5:$A$22,0))),"")</f>
        <v>Mirage</v>
      </c>
      <c r="I96" s="4" t="str">
        <f t="array" ref="I96">IFERROR(IF(INDEX(Matches!$Y$5:$Y$22,MATCH($C96,Matches!$A$5:$A$22,0))="","",INDEX(Matches!$Y$5:$Y$22,MATCH($C96,Matches!$A$5:$A$22,0))),"")</f>
        <v>Nuke</v>
      </c>
      <c r="J96" s="4">
        <f t="array" ref="J96">IFERROR(IF(INDEX(Matches!$Z$5:$Z$22,MATCH($C96,Matches!$A$5:$A$22,0))="","",INDEX(Matches!$Z$5:$Z$22,MATCH($C96,Matches!$A$5:$A$22,0))),"")</f>
        <v>21.5</v>
      </c>
      <c r="K96" s="4">
        <f t="array" ref="K96">IFERROR(IF(INDEX(Matches!$AA$5:$AA$22,MATCH($C96,Matches!$A$5:$A$22,0))="","",INDEX(Matches!$AA$5:$AA$22,MATCH($C96,Matches!$A$5:$A$22,0))),"")</f>
        <v>21.5</v>
      </c>
      <c r="L96" s="4">
        <f t="array" ref="L96">IFERROR(IF(INDEX(Matches!$AB$5:$AB$22,MATCH($C96,Matches!$A$5:$A$22,0))="","",INDEX(Matches!$AB$5:$AB$22,MATCH($C96,Matches!$A$5:$A$22,0))),"")</f>
        <v>21.5</v>
      </c>
      <c r="M96" s="11">
        <f t="array" ref="M96">IFERROR(IF(INDEX(Matches!$AC$5:$AC$22,MATCH($C96,Matches!$A$5:$A$22,0))="","",INDEX(Matches!$AC$5:$AC$22,MATCH($C96,Matches!$A$5:$A$22,0))),"")</f>
        <v>0.5048</v>
      </c>
      <c r="N96" s="4">
        <f t="array" ref="N96">IFERROR(INDEX(Players!$F$2:$F$127,MATCH($F96,Players!$A$2:$A$127,0)),0)</f>
        <v>38</v>
      </c>
      <c r="O96" s="18">
        <f t="array" ref="O96">IFERROR(1/(1/INDEX(Players!$H$2:$H$127,MATCH($F96,Players!$A$2:$A$127,0))),"")</f>
        <v>0.73</v>
      </c>
      <c r="P96" s="11">
        <f t="array" ref="P96">IFERROR(1/(1/INDEX(Players!$I$2:$I$127,MATCH($F96,Players!$A$2:$A$127,0))),"")</f>
        <v>0.678</v>
      </c>
      <c r="Q96" s="4">
        <f>IF($G96="",0,SUMIFS(Map_Stats!$F$2:$F$825,Map_Stats!$A$2:$A$825,$F96&amp;"|"&amp;$G96))</f>
        <v>7</v>
      </c>
      <c r="R96" s="18">
        <f t="array" ref="R96">IF($G96="","",IFERROR(1/(1/INDEX(Map_Stats!$K$2:$K$825,MATCH($F96&amp;"|"&amp;$G96,Map_Stats!$A$2:$A$825,0))),$O96))</f>
        <v>0.66</v>
      </c>
      <c r="S96" s="11">
        <f t="array" ref="S96">IF(OR($G96="",$P96=""),"",IFERROR(1/(1/INDEX(Map_Stats!$I$2:$I$825,MATCH($F96&amp;"|"&amp;$G96,Map_Stats!$A$2:$A$825,0))),$P96))</f>
        <v>0.644</v>
      </c>
      <c r="T96" s="18">
        <f>IF(OR($G96="",R96=""),"",IF($O96="",R96,(Q96*R96+Config!$B$4*$O96)/(Q96+Config!$B$4)))</f>
        <v>0.6891666667</v>
      </c>
      <c r="U96" s="11">
        <f>IF(S96="","",(Q96*S96+Config!$B$4*$P96)/(Q96+Config!$B$4))</f>
        <v>0.6581666667</v>
      </c>
      <c r="V96" s="17">
        <f>IF(OR(T96="",$J96=""),"",T96*$J96*($J96/Config!$B$10)^Config!$B$9)</f>
        <v>14.81708333</v>
      </c>
      <c r="W96" s="17">
        <f t="shared" si="1"/>
        <v>9.752110347</v>
      </c>
      <c r="X96" s="4">
        <f>IF($H96="",0,SUMIFS(Map_Stats!$F$2:$F$825,Map_Stats!$A$2:$A$825,$F96&amp;"|"&amp;$H96))</f>
        <v>6</v>
      </c>
      <c r="Y96" s="18">
        <f t="array" ref="Y96">IF($H96="","",IFERROR(1/(1/INDEX(Map_Stats!$K$2:$K$825,MATCH($F96&amp;"|"&amp;$H96,Map_Stats!$A$2:$A$825,0))),$O96))</f>
        <v>0.86</v>
      </c>
      <c r="Z96" s="11">
        <f t="array" ref="Z96">IF(OR($H96="",$P96=""),"",IFERROR(1/(1/INDEX(Map_Stats!$I$2:$I$825,MATCH($F96&amp;"|"&amp;$H96,Map_Stats!$A$2:$A$825,0))),$P96))</f>
        <v>0.681</v>
      </c>
      <c r="AA96" s="18">
        <f>IF(OR($H96="",Y96=""),"",IF($O96="",Y96,(X96*Y96+Config!$B$4*$O96)/(X96+Config!$B$4)))</f>
        <v>0.8009090909</v>
      </c>
      <c r="AB96" s="11">
        <f>IF(Z96="","",(X96*Z96+Config!$B$4*$P96)/(X96+Config!$B$4))</f>
        <v>0.6796363636</v>
      </c>
      <c r="AC96" s="17">
        <f>IF(OR(AA96="",$K96=""),"",AA96*$K96*($K96/Config!$B$10)^Config!$B$9)</f>
        <v>17.21954545</v>
      </c>
      <c r="AD96" s="17">
        <f t="shared" si="2"/>
        <v>11.70302926</v>
      </c>
      <c r="AE96" s="4">
        <f>IF($I96="",0,SUMIFS(Map_Stats!$F$2:$F$825,Map_Stats!$A$2:$A$825,$F96&amp;"|"&amp;$I96))</f>
        <v>7</v>
      </c>
      <c r="AF96" s="18">
        <f t="array" ref="AF96">IF($I96="","",IFERROR(1/(1/INDEX(Map_Stats!$K$2:$K$825,MATCH($F96&amp;"|"&amp;$I96,Map_Stats!$A$2:$A$825,0))),$O96))</f>
        <v>0.74</v>
      </c>
      <c r="AG96" s="11">
        <f t="array" ref="AG96">IF(OR($I96="",$P96=""),"",IFERROR(1/(1/INDEX(Map_Stats!$I$2:$I$825,MATCH($F96&amp;"|"&amp;$I96,Map_Stats!$A$2:$A$825,0))),$P96))</f>
        <v>0.68</v>
      </c>
      <c r="AH96" s="18">
        <f>IF(OR($I96="",AF96=""),"",IF($O96="",AF96,(AE96*AF96+Config!$B$4*$O96)/(AE96+Config!$B$4)))</f>
        <v>0.7358333333</v>
      </c>
      <c r="AI96" s="11">
        <f>IF(AG96="","",(AE96*AG96+Config!$B$4*$P96)/(AE96+Config!$B$4))</f>
        <v>0.6791666667</v>
      </c>
      <c r="AJ96" s="17">
        <f>IF(OR(AH96="",$L96=""),"",AH96*$L96*($L96/Config!$B$10)^Config!$B$9)</f>
        <v>15.82041667</v>
      </c>
      <c r="AK96" s="17">
        <f t="shared" si="3"/>
        <v>10.74469965</v>
      </c>
      <c r="AL96" s="17">
        <f t="shared" si="4"/>
        <v>32.03662879</v>
      </c>
      <c r="AM96" s="17">
        <f t="shared" si="5"/>
        <v>40.02277512</v>
      </c>
      <c r="AN96" s="17">
        <f t="shared" si="6"/>
        <v>21.4551396</v>
      </c>
      <c r="AO96" s="17">
        <f t="shared" si="7"/>
        <v>26.87906399</v>
      </c>
      <c r="AP96" s="11">
        <f t="shared" si="8"/>
        <v>0.6697065333</v>
      </c>
      <c r="AQ96" s="4" t="str">
        <f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4" t="str">
        <f>IF($C96=Board!$B$2,COUNTIFS($C$2:$C$157,Board!$B$2,$AL$2:$AL$157,"&gt;"&amp;$AL96)+COUNTIFS($C$1:$C95,Board!$B$2,$AL$1:$AL95,$AL96)+1,"")</f>
        <v/>
      </c>
      <c r="AS96" s="4" t="str">
        <f t="array" ref="AS96">IFERROR(IF($D96=INDEX(Matches!$AD$5:$AD$22,MATCH($C96,Matches!$A$5:$A$22,0)),"A",IF($D96=INDEX(Matches!$AE$5:$AE$22,MATCH($C96,Matches!$A$5:$A$22,0)),"B","")),"")</f>
        <v>B</v>
      </c>
      <c r="AT96" s="11">
        <f t="array" ref="AT96">IF($AS96="","",IFERROR(IF($AS96="A",INDEX(Matches!$AI$5:$AI$22,MATCH($C96,Matches!$A$5:$A$22,0)),INDEX(Matches!$AJ$5:$AJ$22,MATCH($C96,Matches!$A$5:$A$22,0))),""))</f>
        <v>0.5592853653</v>
      </c>
      <c r="AU96" s="11">
        <f t="array" ref="AU96">IF($AS96="","",IFERROR(IF(INDEX(Matches!$AP$5:$AP$22,MATCH($C96,Matches!$A$5:$A$22,0))="","",IF($AS96="A",INDEX(Matches!$AP$5:$AP$22,MATCH($C96,Matches!$A$5:$A$22,0)),1-INDEX(Matches!$AP$5:$AP$22,MATCH($C96,Matches!$A$5:$A$22,0)))),""))</f>
        <v>0.4867445706</v>
      </c>
      <c r="AV96" s="18">
        <f>IF(OR($AU96="",$AT96=""),1,((Config!$B$14*$AU96+Config!$B$15*(1-$AU96))/(Config!$B$14*$AT96+Config!$B$15*(1-$AT96)))^Config!$B$13)</f>
        <v>0.9384377797</v>
      </c>
      <c r="AW96" s="11">
        <f t="array" ref="AW96">IF($AS96="","",IFERROR(IF(INDEX(Matches!$AV$5:$AV$22,MATCH($C96,Matches!$A$5:$A$22,0))="","",IF($AS96="A",INDEX(Matches!$AV$5:$AV$22,MATCH($C96,Matches!$A$5:$A$22,0)),1-INDEX(Matches!$AV$5:$AV$22,MATCH($C96,Matches!$A$5:$A$22,0)))),""))</f>
        <v>0.4984210462</v>
      </c>
      <c r="AX96" s="18">
        <f>IF(OR($AW96="",$AT96=""),1,((Config!$B$14*$AW96+Config!$B$15*(1-$AW96))/(Config!$B$14*$AT96+Config!$B$15*(1-$AT96)))^Config!$B$13)</f>
        <v>0.9483470972</v>
      </c>
      <c r="AY96" s="11">
        <f t="array" ref="AY96">IF($AS96="","",IFERROR(IF(INDEX(Matches!$BB$5:$BB$22,MATCH($C96,Matches!$A$5:$A$22,0))="","",IF($AS96="A",INDEX(Matches!$BB$5:$BB$22,MATCH($C96,Matches!$A$5:$A$22,0)),1-INDEX(Matches!$BB$5:$BB$22,MATCH($C96,Matches!$A$5:$A$22,0)))),""))</f>
        <v>0.5341485311</v>
      </c>
      <c r="AZ96" s="18">
        <f>IF(OR($AY96="",$AT96=""),1,((Config!$B$14*$AY96+Config!$B$15*(1-$AY96))/(Config!$B$14*$AT96+Config!$B$15*(1-$AT96)))^Config!$B$13)</f>
        <v>0.9786674611</v>
      </c>
      <c r="BA96" s="17">
        <f t="shared" si="9"/>
        <v>13.90491078</v>
      </c>
      <c r="BB96" s="17">
        <f t="shared" si="10"/>
        <v>16.33010595</v>
      </c>
      <c r="BC96" s="17">
        <f t="shared" si="11"/>
        <v>15.48292701</v>
      </c>
      <c r="BD96" s="17">
        <f t="shared" si="12"/>
        <v>30.23501673</v>
      </c>
      <c r="BE96" s="17">
        <f t="shared" si="13"/>
        <v>38.05079829</v>
      </c>
      <c r="BF96" s="17">
        <f t="shared" si="14"/>
        <v>9.151748782</v>
      </c>
      <c r="BG96" s="17">
        <f t="shared" si="15"/>
        <v>11.09853382</v>
      </c>
      <c r="BH96" s="17">
        <f t="shared" si="16"/>
        <v>10.51548793</v>
      </c>
      <c r="BI96" s="17">
        <f t="shared" si="17"/>
        <v>20.2502826</v>
      </c>
      <c r="BJ96" s="17">
        <f t="shared" si="18"/>
        <v>25.55850091</v>
      </c>
      <c r="BK96" s="18">
        <f t="shared" si="19"/>
        <v>0.9437639938</v>
      </c>
    </row>
    <row r="97" ht="15.75" customHeight="1">
      <c r="A97" s="4" t="s">
        <v>3228</v>
      </c>
      <c r="B97" s="4" t="s">
        <v>86</v>
      </c>
      <c r="C97" s="4" t="s">
        <v>566</v>
      </c>
      <c r="D97" s="4" t="s">
        <v>580</v>
      </c>
      <c r="E97" s="4" t="s">
        <v>1545</v>
      </c>
      <c r="F97" s="4" t="s">
        <v>1544</v>
      </c>
      <c r="G97" s="4" t="str">
        <f t="array" ref="G97">IFERROR(IF(INDEX(Matches!$W$5:$W$22,MATCH($C97,Matches!$A$5:$A$22,0))="","",INDEX(Matches!$W$5:$W$22,MATCH($C97,Matches!$A$5:$A$22,0))),"")</f>
        <v>Cache</v>
      </c>
      <c r="H97" s="4" t="str">
        <f t="array" ref="H97">IFERROR(IF(INDEX(Matches!$X$5:$X$22,MATCH($C97,Matches!$A$5:$A$22,0))="","",INDEX(Matches!$X$5:$X$22,MATCH($C97,Matches!$A$5:$A$22,0))),"")</f>
        <v>Mirage</v>
      </c>
      <c r="I97" s="4" t="str">
        <f t="array" ref="I97">IFERROR(IF(INDEX(Matches!$Y$5:$Y$22,MATCH($C97,Matches!$A$5:$A$22,0))="","",INDEX(Matches!$Y$5:$Y$22,MATCH($C97,Matches!$A$5:$A$22,0))),"")</f>
        <v>Nuke</v>
      </c>
      <c r="J97" s="4">
        <f t="array" ref="J97">IFERROR(IF(INDEX(Matches!$Z$5:$Z$22,MATCH($C97,Matches!$A$5:$A$22,0))="","",INDEX(Matches!$Z$5:$Z$22,MATCH($C97,Matches!$A$5:$A$22,0))),"")</f>
        <v>21.5</v>
      </c>
      <c r="K97" s="4">
        <f t="array" ref="K97">IFERROR(IF(INDEX(Matches!$AA$5:$AA$22,MATCH($C97,Matches!$A$5:$A$22,0))="","",INDEX(Matches!$AA$5:$AA$22,MATCH($C97,Matches!$A$5:$A$22,0))),"")</f>
        <v>21.5</v>
      </c>
      <c r="L97" s="4">
        <f t="array" ref="L97">IFERROR(IF(INDEX(Matches!$AB$5:$AB$22,MATCH($C97,Matches!$A$5:$A$22,0))="","",INDEX(Matches!$AB$5:$AB$22,MATCH($C97,Matches!$A$5:$A$22,0))),"")</f>
        <v>21.5</v>
      </c>
      <c r="M97" s="11">
        <f t="array" ref="M97">IFERROR(IF(INDEX(Matches!$AC$5:$AC$22,MATCH($C97,Matches!$A$5:$A$22,0))="","",INDEX(Matches!$AC$5:$AC$22,MATCH($C97,Matches!$A$5:$A$22,0))),"")</f>
        <v>0.5048</v>
      </c>
      <c r="N97" s="4">
        <f t="array" ref="N97">IFERROR(INDEX(Players!$F$2:$F$127,MATCH($F97,Players!$A$2:$A$127,0)),0)</f>
        <v>31</v>
      </c>
      <c r="O97" s="18">
        <f t="array" ref="O97">IFERROR(1/(1/INDEX(Players!$H$2:$H$127,MATCH($F97,Players!$A$2:$A$127,0))),"")</f>
        <v>0.71</v>
      </c>
      <c r="P97" s="11">
        <f t="array" ref="P97">IFERROR(1/(1/INDEX(Players!$I$2:$I$127,MATCH($F97,Players!$A$2:$A$127,0))),"")</f>
        <v>0.506</v>
      </c>
      <c r="Q97" s="4">
        <f>IF($G97="",0,SUMIFS(Map_Stats!$F$2:$F$825,Map_Stats!$A$2:$A$825,$F97&amp;"|"&amp;$G97))</f>
        <v>6</v>
      </c>
      <c r="R97" s="18">
        <f t="array" ref="R97">IF($G97="","",IFERROR(1/(1/INDEX(Map_Stats!$K$2:$K$825,MATCH($F97&amp;"|"&amp;$G97,Map_Stats!$A$2:$A$825,0))),$O97))</f>
        <v>0.68</v>
      </c>
      <c r="S97" s="11">
        <f t="array" ref="S97">IF(OR($G97="",$P97=""),"",IFERROR(1/(1/INDEX(Map_Stats!$I$2:$I$825,MATCH($F97&amp;"|"&amp;$G97,Map_Stats!$A$2:$A$825,0))),$P97))</f>
        <v>0.557</v>
      </c>
      <c r="T97" s="18">
        <f>IF(OR($G97="",R97=""),"",IF($O97="",R97,(Q97*R97+Config!$B$4*$O97)/(Q97+Config!$B$4)))</f>
        <v>0.6936363636</v>
      </c>
      <c r="U97" s="11">
        <f>IF(S97="","",(Q97*S97+Config!$B$4*$P97)/(Q97+Config!$B$4))</f>
        <v>0.5338181818</v>
      </c>
      <c r="V97" s="17">
        <f>IF(OR(T97="",$J97=""),"",T97*$J97*($J97/Config!$B$10)^Config!$B$9)</f>
        <v>14.91318182</v>
      </c>
      <c r="W97" s="17">
        <f t="shared" si="1"/>
        <v>7.960927603</v>
      </c>
      <c r="X97" s="4">
        <f>IF($H97="",0,SUMIFS(Map_Stats!$F$2:$F$825,Map_Stats!$A$2:$A$825,$F97&amp;"|"&amp;$H97))</f>
        <v>7</v>
      </c>
      <c r="Y97" s="18">
        <f t="array" ref="Y97">IF($H97="","",IFERROR(1/(1/INDEX(Map_Stats!$K$2:$K$825,MATCH($F97&amp;"|"&amp;$H97,Map_Stats!$A$2:$A$825,0))),$O97))</f>
        <v>0.74</v>
      </c>
      <c r="Z97" s="11">
        <f t="array" ref="Z97">IF(OR($H97="",$P97=""),"",IFERROR(1/(1/INDEX(Map_Stats!$I$2:$I$825,MATCH($F97&amp;"|"&amp;$H97,Map_Stats!$A$2:$A$825,0))),$P97))</f>
        <v>0.541</v>
      </c>
      <c r="AA97" s="18">
        <f>IF(OR($H97="",Y97=""),"",IF($O97="",Y97,(X97*Y97+Config!$B$4*$O97)/(X97+Config!$B$4)))</f>
        <v>0.7275</v>
      </c>
      <c r="AB97" s="11">
        <f>IF(Z97="","",(X97*Z97+Config!$B$4*$P97)/(X97+Config!$B$4))</f>
        <v>0.5264166667</v>
      </c>
      <c r="AC97" s="17">
        <f>IF(OR(AA97="",$K97=""),"",AA97*$K97*($K97/Config!$B$10)^Config!$B$9)</f>
        <v>15.64125</v>
      </c>
      <c r="AD97" s="17">
        <f t="shared" si="2"/>
        <v>8.233814688</v>
      </c>
      <c r="AE97" s="4">
        <f>IF($I97="",0,SUMIFS(Map_Stats!$F$2:$F$825,Map_Stats!$A$2:$A$825,$F97&amp;"|"&amp;$I97))</f>
        <v>6</v>
      </c>
      <c r="AF97" s="18">
        <f t="array" ref="AF97">IF($I97="","",IFERROR(1/(1/INDEX(Map_Stats!$K$2:$K$825,MATCH($F97&amp;"|"&amp;$I97,Map_Stats!$A$2:$A$825,0))),$O97))</f>
        <v>0.59</v>
      </c>
      <c r="AG97" s="11">
        <f t="array" ref="AG97">IF(OR($I97="",$P97=""),"",IFERROR(1/(1/INDEX(Map_Stats!$I$2:$I$825,MATCH($F97&amp;"|"&amp;$I97,Map_Stats!$A$2:$A$825,0))),$P97))</f>
        <v>0.438</v>
      </c>
      <c r="AH97" s="18">
        <f>IF(OR($I97="",AF97=""),"",IF($O97="",AF97,(AE97*AF97+Config!$B$4*$O97)/(AE97+Config!$B$4)))</f>
        <v>0.6445454545</v>
      </c>
      <c r="AI97" s="11">
        <f>IF(AG97="","",(AE97*AG97+Config!$B$4*$P97)/(AE97+Config!$B$4))</f>
        <v>0.4689090909</v>
      </c>
      <c r="AJ97" s="17">
        <f>IF(OR(AH97="",$L97=""),"",AH97*$L97*($L97/Config!$B$10)^Config!$B$9)</f>
        <v>13.85772727</v>
      </c>
      <c r="AK97" s="17">
        <f t="shared" si="3"/>
        <v>6.498014298</v>
      </c>
      <c r="AL97" s="17">
        <f t="shared" si="4"/>
        <v>30.55443182</v>
      </c>
      <c r="AM97" s="17">
        <f t="shared" si="5"/>
        <v>37.54981255</v>
      </c>
      <c r="AN97" s="17">
        <f t="shared" si="6"/>
        <v>16.19474229</v>
      </c>
      <c r="AO97" s="17">
        <f t="shared" si="7"/>
        <v>19.47493991</v>
      </c>
      <c r="AP97" s="11">
        <f t="shared" si="8"/>
        <v>0.5300292405</v>
      </c>
      <c r="AQ97" s="4" t="str">
        <f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4" t="str">
        <f>IF($C97=Board!$B$2,COUNTIFS($C$2:$C$157,Board!$B$2,$AL$2:$AL$157,"&gt;"&amp;$AL97)+COUNTIFS($C$1:$C96,Board!$B$2,$AL$1:$AL96,$AL97)+1,"")</f>
        <v/>
      </c>
      <c r="AS97" s="4" t="str">
        <f t="array" ref="AS97">IFERROR(IF($D97=INDEX(Matches!$AD$5:$AD$22,MATCH($C97,Matches!$A$5:$A$22,0)),"A",IF($D97=INDEX(Matches!$AE$5:$AE$22,MATCH($C97,Matches!$A$5:$A$22,0)),"B","")),"")</f>
        <v>B</v>
      </c>
      <c r="AT97" s="11">
        <f t="array" ref="AT97">IF($AS97="","",IFERROR(IF($AS97="A",INDEX(Matches!$AI$5:$AI$22,MATCH($C97,Matches!$A$5:$A$22,0)),INDEX(Matches!$AJ$5:$AJ$22,MATCH($C97,Matches!$A$5:$A$22,0))),""))</f>
        <v>0.5592853653</v>
      </c>
      <c r="AU97" s="11">
        <f t="array" ref="AU97">IF($AS97="","",IFERROR(IF(INDEX(Matches!$AP$5:$AP$22,MATCH($C97,Matches!$A$5:$A$22,0))="","",IF($AS97="A",INDEX(Matches!$AP$5:$AP$22,MATCH($C97,Matches!$A$5:$A$22,0)),1-INDEX(Matches!$AP$5:$AP$22,MATCH($C97,Matches!$A$5:$A$22,0)))),""))</f>
        <v>0.4867445706</v>
      </c>
      <c r="AV97" s="18">
        <f>IF(OR($AU97="",$AT97=""),1,((Config!$B$14*$AU97+Config!$B$15*(1-$AU97))/(Config!$B$14*$AT97+Config!$B$15*(1-$AT97)))^Config!$B$13)</f>
        <v>0.9384377797</v>
      </c>
      <c r="AW97" s="11">
        <f t="array" ref="AW97">IF($AS97="","",IFERROR(IF(INDEX(Matches!$AV$5:$AV$22,MATCH($C97,Matches!$A$5:$A$22,0))="","",IF($AS97="A",INDEX(Matches!$AV$5:$AV$22,MATCH($C97,Matches!$A$5:$A$22,0)),1-INDEX(Matches!$AV$5:$AV$22,MATCH($C97,Matches!$A$5:$A$22,0)))),""))</f>
        <v>0.4984210462</v>
      </c>
      <c r="AX97" s="18">
        <f>IF(OR($AW97="",$AT97=""),1,((Config!$B$14*$AW97+Config!$B$15*(1-$AW97))/(Config!$B$14*$AT97+Config!$B$15*(1-$AT97)))^Config!$B$13)</f>
        <v>0.9483470972</v>
      </c>
      <c r="AY97" s="11">
        <f t="array" ref="AY97">IF($AS97="","",IFERROR(IF(INDEX(Matches!$BB$5:$BB$22,MATCH($C97,Matches!$A$5:$A$22,0))="","",IF($AS97="A",INDEX(Matches!$BB$5:$BB$22,MATCH($C97,Matches!$A$5:$A$22,0)),1-INDEX(Matches!$BB$5:$BB$22,MATCH($C97,Matches!$A$5:$A$22,0)))),""))</f>
        <v>0.5341485311</v>
      </c>
      <c r="AZ97" s="18">
        <f>IF(OR($AY97="",$AT97=""),1,((Config!$B$14*$AY97+Config!$B$15*(1-$AY97))/(Config!$B$14*$AT97+Config!$B$15*(1-$AT97)))^Config!$B$13)</f>
        <v>0.9786674611</v>
      </c>
      <c r="BA97" s="17">
        <f t="shared" si="9"/>
        <v>13.99509323</v>
      </c>
      <c r="BB97" s="17">
        <f t="shared" si="10"/>
        <v>14.83333403</v>
      </c>
      <c r="BC97" s="17">
        <f t="shared" si="11"/>
        <v>13.56210677</v>
      </c>
      <c r="BD97" s="17">
        <f t="shared" si="12"/>
        <v>28.82842727</v>
      </c>
      <c r="BE97" s="17">
        <f t="shared" si="13"/>
        <v>35.67457876</v>
      </c>
      <c r="BF97" s="17">
        <f t="shared" si="14"/>
        <v>7.470835224</v>
      </c>
      <c r="BG97" s="17">
        <f t="shared" si="15"/>
        <v>7.808514258</v>
      </c>
      <c r="BH97" s="17">
        <f t="shared" si="16"/>
        <v>6.359395155</v>
      </c>
      <c r="BI97" s="17">
        <f t="shared" si="17"/>
        <v>15.27934948</v>
      </c>
      <c r="BJ97" s="17">
        <f t="shared" si="18"/>
        <v>18.48957216</v>
      </c>
      <c r="BK97" s="18">
        <f t="shared" si="19"/>
        <v>0.9435105008</v>
      </c>
    </row>
    <row r="98" ht="15.75" customHeight="1">
      <c r="A98" s="4" t="s">
        <v>3229</v>
      </c>
      <c r="B98" s="4" t="s">
        <v>86</v>
      </c>
      <c r="C98" s="4" t="s">
        <v>1794</v>
      </c>
      <c r="D98" s="4" t="s">
        <v>1013</v>
      </c>
      <c r="E98" s="4" t="s">
        <v>1405</v>
      </c>
      <c r="F98" s="4" t="s">
        <v>1404</v>
      </c>
      <c r="G98" s="4" t="str">
        <f t="array" ref="G98">IFERROR(IF(INDEX(Matches!$W$5:$W$22,MATCH($C98,Matches!$A$5:$A$22,0))="","",INDEX(Matches!$W$5:$W$22,MATCH($C98,Matches!$A$5:$A$22,0))),"")</f>
        <v>Ancient</v>
      </c>
      <c r="H98" s="4" t="str">
        <f t="array" ref="H98">IFERROR(IF(INDEX(Matches!$X$5:$X$22,MATCH($C98,Matches!$A$5:$A$22,0))="","",INDEX(Matches!$X$5:$X$22,MATCH($C98,Matches!$A$5:$A$22,0))),"")</f>
        <v>Mirage</v>
      </c>
      <c r="I98" s="4" t="str">
        <f t="array" ref="I98">IFERROR(IF(INDEX(Matches!$Y$5:$Y$22,MATCH($C98,Matches!$A$5:$A$22,0))="","",INDEX(Matches!$Y$5:$Y$22,MATCH($C98,Matches!$A$5:$A$22,0))),"")</f>
        <v/>
      </c>
      <c r="J98" s="4">
        <f t="array" ref="J98">IFERROR(IF(INDEX(Matches!$Z$5:$Z$22,MATCH($C98,Matches!$A$5:$A$22,0))="","",INDEX(Matches!$Z$5:$Z$22,MATCH($C98,Matches!$A$5:$A$22,0))),"")</f>
        <v>21.05</v>
      </c>
      <c r="K98" s="4">
        <f t="array" ref="K98">IFERROR(IF(INDEX(Matches!$AA$5:$AA$22,MATCH($C98,Matches!$A$5:$A$22,0))="","",INDEX(Matches!$AA$5:$AA$22,MATCH($C98,Matches!$A$5:$A$22,0))),"")</f>
        <v>21.5</v>
      </c>
      <c r="L98" s="4" t="str">
        <f t="array" ref="L98">IFERROR(IF(INDEX(Matches!$AB$5:$AB$22,MATCH($C98,Matches!$A$5:$A$22,0))="","",INDEX(Matches!$AB$5:$AB$22,MATCH($C98,Matches!$A$5:$A$22,0))),"")</f>
        <v/>
      </c>
      <c r="M98" s="11">
        <f t="array" ref="M98">IFERROR(IF(INDEX(Matches!$AC$5:$AC$22,MATCH($C98,Matches!$A$5:$A$22,0))="","",INDEX(Matches!$AC$5:$AC$22,MATCH($C98,Matches!$A$5:$A$22,0))),"")</f>
        <v>0</v>
      </c>
      <c r="N98" s="4">
        <f t="array" ref="N98">IFERROR(INDEX(Players!$F$2:$F$127,MATCH($F98,Players!$A$2:$A$127,0)),0)</f>
        <v>31</v>
      </c>
      <c r="O98" s="18">
        <f t="array" ref="O98">IFERROR(1/(1/INDEX(Players!$H$2:$H$127,MATCH($F98,Players!$A$2:$A$127,0))),"")</f>
        <v>0.69</v>
      </c>
      <c r="P98" s="11">
        <f t="array" ref="P98">IFERROR(1/(1/INDEX(Players!$I$2:$I$127,MATCH($F98,Players!$A$2:$A$127,0))),"")</f>
        <v>0.517</v>
      </c>
      <c r="Q98" s="4">
        <f>IF($G98="",0,SUMIFS(Map_Stats!$F$2:$F$825,Map_Stats!$A$2:$A$825,$F98&amp;"|"&amp;$G98))</f>
        <v>5</v>
      </c>
      <c r="R98" s="18">
        <f t="array" ref="R98">IF($G98="","",IFERROR(1/(1/INDEX(Map_Stats!$K$2:$K$825,MATCH($F98&amp;"|"&amp;$G98,Map_Stats!$A$2:$A$825,0))),$O98))</f>
        <v>0.61</v>
      </c>
      <c r="S98" s="11">
        <f t="array" ref="S98">IF(OR($G98="",$P98=""),"",IFERROR(1/(1/INDEX(Map_Stats!$I$2:$I$825,MATCH($F98&amp;"|"&amp;$G98,Map_Stats!$A$2:$A$825,0))),$P98))</f>
        <v>0.455</v>
      </c>
      <c r="T98" s="18">
        <f>IF(OR($G98="",R98=""),"",IF($O98="",R98,(Q98*R98+Config!$B$4*$O98)/(Q98+Config!$B$4)))</f>
        <v>0.65</v>
      </c>
      <c r="U98" s="11">
        <f>IF(S98="","",(Q98*S98+Config!$B$4*$P98)/(Q98+Config!$B$4))</f>
        <v>0.486</v>
      </c>
      <c r="V98" s="17">
        <f>IF(OR(T98="",$J98=""),"",T98*$J98*($J98/Config!$B$10)^Config!$B$9)</f>
        <v>13.6825</v>
      </c>
      <c r="W98" s="17">
        <f t="shared" si="1"/>
        <v>6.649695</v>
      </c>
      <c r="X98" s="4">
        <f>IF($H98="",0,SUMIFS(Map_Stats!$F$2:$F$825,Map_Stats!$A$2:$A$825,$F98&amp;"|"&amp;$H98))</f>
        <v>7</v>
      </c>
      <c r="Y98" s="18">
        <f t="array" ref="Y98">IF($H98="","",IFERROR(1/(1/INDEX(Map_Stats!$K$2:$K$825,MATCH($F98&amp;"|"&amp;$H98,Map_Stats!$A$2:$A$825,0))),$O98))</f>
        <v>0.68</v>
      </c>
      <c r="Z98" s="11">
        <f t="array" ref="Z98">IF(OR($H98="",$P98=""),"",IFERROR(1/(1/INDEX(Map_Stats!$I$2:$I$825,MATCH($F98&amp;"|"&amp;$H98,Map_Stats!$A$2:$A$825,0))),$P98))</f>
        <v>0.523</v>
      </c>
      <c r="AA98" s="18">
        <f>IF(OR($H98="",Y98=""),"",IF($O98="",Y98,(X98*Y98+Config!$B$4*$O98)/(X98+Config!$B$4)))</f>
        <v>0.6841666667</v>
      </c>
      <c r="AB98" s="11">
        <f>IF(Z98="","",(X98*Z98+Config!$B$4*$P98)/(X98+Config!$B$4))</f>
        <v>0.5205</v>
      </c>
      <c r="AC98" s="17">
        <f>IF(OR(AA98="",$K98=""),"",AA98*$K98*($K98/Config!$B$10)^Config!$B$9)</f>
        <v>14.70958333</v>
      </c>
      <c r="AD98" s="17">
        <f t="shared" si="2"/>
        <v>7.656338125</v>
      </c>
      <c r="AE98" s="4">
        <f>IF($I98="",0,SUMIFS(Map_Stats!$F$2:$F$825,Map_Stats!$A$2:$A$825,$F98&amp;"|"&amp;$I98))</f>
        <v>0</v>
      </c>
      <c r="AF98" s="18" t="str">
        <f t="array" ref="AF98">IF($I98="","",IFERROR(1/(1/INDEX(Map_Stats!$K$2:$K$825,MATCH($F98&amp;"|"&amp;$I98,Map_Stats!$A$2:$A$825,0))),$O98))</f>
        <v/>
      </c>
      <c r="AG98" s="11" t="str">
        <f t="array" ref="AG98">IF(OR($I98="",$P98=""),"",IFERROR(1/(1/INDEX(Map_Stats!$I$2:$I$825,MATCH($F98&amp;"|"&amp;$I98,Map_Stats!$A$2:$A$825,0))),$P98))</f>
        <v/>
      </c>
      <c r="AH98" s="18" t="str">
        <f>IF(OR($I98="",AF98=""),"",IF($O98="",AF98,(AE98*AF98+Config!$B$4*$O98)/(AE98+Config!$B$4)))</f>
        <v/>
      </c>
      <c r="AI98" s="11" t="str">
        <f>IF(AG98="","",(AE98*AG98+Config!$B$4*$P98)/(AE98+Config!$B$4))</f>
        <v/>
      </c>
      <c r="AJ98" s="17" t="str">
        <f>IF(OR(AH98="",$L98=""),"",AH98*$L98*($L98/Config!$B$10)^Config!$B$9)</f>
        <v/>
      </c>
      <c r="AK98" s="17" t="str">
        <f t="shared" si="3"/>
        <v/>
      </c>
      <c r="AL98" s="17">
        <f t="shared" si="4"/>
        <v>28.39208333</v>
      </c>
      <c r="AM98" s="17">
        <f t="shared" si="5"/>
        <v>28.39208333</v>
      </c>
      <c r="AN98" s="17">
        <f t="shared" si="6"/>
        <v>14.30603313</v>
      </c>
      <c r="AO98" s="17">
        <f t="shared" si="7"/>
        <v>14.30603313</v>
      </c>
      <c r="AP98" s="11">
        <f t="shared" si="8"/>
        <v>0.5038740186</v>
      </c>
      <c r="AQ98" s="4" t="str">
        <f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4" t="str">
        <f>IF($C98=Board!$B$2,COUNTIFS($C$2:$C$157,Board!$B$2,$AL$2:$AL$157,"&gt;"&amp;$AL98)+COUNTIFS($C$1:$C97,Board!$B$2,$AL$1:$AL97,$AL98)+1,"")</f>
        <v/>
      </c>
      <c r="AS98" s="4" t="str">
        <f t="array" ref="AS98">IFERROR(IF($D98=INDEX(Matches!$AD$5:$AD$22,MATCH($C98,Matches!$A$5:$A$22,0)),"A",IF($D98=INDEX(Matches!$AE$5:$AE$22,MATCH($C98,Matches!$A$5:$A$22,0)),"B","")),"")</f>
        <v>B</v>
      </c>
      <c r="AT98" s="11">
        <f t="array" ref="AT98">IF($AS98="","",IFERROR(IF($AS98="A",INDEX(Matches!$AI$5:$AI$22,MATCH($C98,Matches!$A$5:$A$22,0)),INDEX(Matches!$AJ$5:$AJ$22,MATCH($C98,Matches!$A$5:$A$22,0))),""))</f>
        <v>0.5021995832</v>
      </c>
      <c r="AU98" s="11">
        <f t="array" ref="AU98">IF($AS98="","",IFERROR(IF(INDEX(Matches!$AP$5:$AP$22,MATCH($C98,Matches!$A$5:$A$22,0))="","",IF($AS98="A",INDEX(Matches!$AP$5:$AP$22,MATCH($C98,Matches!$A$5:$A$22,0)),1-INDEX(Matches!$AP$5:$AP$22,MATCH($C98,Matches!$A$5:$A$22,0)))),""))</f>
        <v>0.4584666887</v>
      </c>
      <c r="AV98" s="18">
        <f>IF(OR($AU98="",$AT98=""),1,((Config!$B$14*$AU98+Config!$B$15*(1-$AU98))/(Config!$B$14*$AT98+Config!$B$15*(1-$AT98)))^Config!$B$13)</f>
        <v>0.9609962064</v>
      </c>
      <c r="AW98" s="11">
        <f t="array" ref="AW98">IF($AS98="","",IFERROR(IF(INDEX(Matches!$AV$5:$AV$22,MATCH($C98,Matches!$A$5:$A$22,0))="","",IF($AS98="A",INDEX(Matches!$AV$5:$AV$22,MATCH($C98,Matches!$A$5:$A$22,0)),1-INDEX(Matches!$AV$5:$AV$22,MATCH($C98,Matches!$A$5:$A$22,0)))),""))</f>
        <v>0.4878218039</v>
      </c>
      <c r="AX98" s="18">
        <f>IF(OR($AW98="",$AT98=""),1,((Config!$B$14*$AW98+Config!$B$15*(1-$AW98))/(Config!$B$14*$AT98+Config!$B$15*(1-$AT98)))^Config!$B$13)</f>
        <v>0.9871769764</v>
      </c>
      <c r="AY98" s="11" t="str">
        <f t="array" ref="AY98">IF($AS98="","",IFERROR(IF(INDEX(Matches!$BB$5:$BB$22,MATCH($C98,Matches!$A$5:$A$22,0))="","",IF($AS98="A",INDEX(Matches!$BB$5:$BB$22,MATCH($C98,Matches!$A$5:$A$22,0)),1-INDEX(Matches!$BB$5:$BB$22,MATCH($C98,Matches!$A$5:$A$22,0)))),""))</f>
        <v/>
      </c>
      <c r="AZ98" s="18">
        <f>IF(OR($AY98="",$AT98=""),1,((Config!$B$14*$AY98+Config!$B$15*(1-$AY98))/(Config!$B$14*$AT98+Config!$B$15*(1-$AT98)))^Config!$B$13)</f>
        <v>1</v>
      </c>
      <c r="BA98" s="17">
        <f t="shared" si="9"/>
        <v>13.14883059</v>
      </c>
      <c r="BB98" s="17">
        <f t="shared" si="10"/>
        <v>14.520962</v>
      </c>
      <c r="BC98" s="17" t="str">
        <f t="shared" si="11"/>
        <v/>
      </c>
      <c r="BD98" s="17">
        <f t="shared" si="12"/>
        <v>27.66979259</v>
      </c>
      <c r="BE98" s="17">
        <f t="shared" si="13"/>
        <v>27.66979259</v>
      </c>
      <c r="BF98" s="17">
        <f t="shared" si="14"/>
        <v>6.390331668</v>
      </c>
      <c r="BG98" s="17">
        <f t="shared" si="15"/>
        <v>7.55816072</v>
      </c>
      <c r="BH98" s="17" t="str">
        <f t="shared" si="16"/>
        <v/>
      </c>
      <c r="BI98" s="17">
        <f t="shared" si="17"/>
        <v>13.94849239</v>
      </c>
      <c r="BJ98" s="17">
        <f t="shared" si="18"/>
        <v>13.94849239</v>
      </c>
      <c r="BK98" s="18">
        <f t="shared" si="19"/>
        <v>0.9745601359</v>
      </c>
    </row>
    <row r="99" ht="15.75" customHeight="1">
      <c r="A99" s="4" t="s">
        <v>3230</v>
      </c>
      <c r="B99" s="4" t="s">
        <v>86</v>
      </c>
      <c r="C99" s="4" t="s">
        <v>1794</v>
      </c>
      <c r="D99" s="4" t="s">
        <v>1013</v>
      </c>
      <c r="E99" s="4" t="s">
        <v>1409</v>
      </c>
      <c r="F99" s="4" t="s">
        <v>1408</v>
      </c>
      <c r="G99" s="4" t="str">
        <f t="array" ref="G99">IFERROR(IF(INDEX(Matches!$W$5:$W$22,MATCH($C99,Matches!$A$5:$A$22,0))="","",INDEX(Matches!$W$5:$W$22,MATCH($C99,Matches!$A$5:$A$22,0))),"")</f>
        <v>Ancient</v>
      </c>
      <c r="H99" s="4" t="str">
        <f t="array" ref="H99">IFERROR(IF(INDEX(Matches!$X$5:$X$22,MATCH($C99,Matches!$A$5:$A$22,0))="","",INDEX(Matches!$X$5:$X$22,MATCH($C99,Matches!$A$5:$A$22,0))),"")</f>
        <v>Mirage</v>
      </c>
      <c r="I99" s="4" t="str">
        <f t="array" ref="I99">IFERROR(IF(INDEX(Matches!$Y$5:$Y$22,MATCH($C99,Matches!$A$5:$A$22,0))="","",INDEX(Matches!$Y$5:$Y$22,MATCH($C99,Matches!$A$5:$A$22,0))),"")</f>
        <v/>
      </c>
      <c r="J99" s="4">
        <f t="array" ref="J99">IFERROR(IF(INDEX(Matches!$Z$5:$Z$22,MATCH($C99,Matches!$A$5:$A$22,0))="","",INDEX(Matches!$Z$5:$Z$22,MATCH($C99,Matches!$A$5:$A$22,0))),"")</f>
        <v>21.05</v>
      </c>
      <c r="K99" s="4">
        <f t="array" ref="K99">IFERROR(IF(INDEX(Matches!$AA$5:$AA$22,MATCH($C99,Matches!$A$5:$A$22,0))="","",INDEX(Matches!$AA$5:$AA$22,MATCH($C99,Matches!$A$5:$A$22,0))),"")</f>
        <v>21.5</v>
      </c>
      <c r="L99" s="4" t="str">
        <f t="array" ref="L99">IFERROR(IF(INDEX(Matches!$AB$5:$AB$22,MATCH($C99,Matches!$A$5:$A$22,0))="","",INDEX(Matches!$AB$5:$AB$22,MATCH($C99,Matches!$A$5:$A$22,0))),"")</f>
        <v/>
      </c>
      <c r="M99" s="11">
        <f t="array" ref="M99">IFERROR(IF(INDEX(Matches!$AC$5:$AC$22,MATCH($C99,Matches!$A$5:$A$22,0))="","",INDEX(Matches!$AC$5:$AC$22,MATCH($C99,Matches!$A$5:$A$22,0))),"")</f>
        <v>0</v>
      </c>
      <c r="N99" s="4">
        <f t="array" ref="N99">IFERROR(INDEX(Players!$F$2:$F$127,MATCH($F99,Players!$A$2:$A$127,0)),0)</f>
        <v>27</v>
      </c>
      <c r="O99" s="18">
        <f t="array" ref="O99">IFERROR(1/(1/INDEX(Players!$H$2:$H$127,MATCH($F99,Players!$A$2:$A$127,0))),"")</f>
        <v>0.72</v>
      </c>
      <c r="P99" s="11">
        <f t="array" ref="P99">IFERROR(1/(1/INDEX(Players!$I$2:$I$127,MATCH($F99,Players!$A$2:$A$127,0))),"")</f>
        <v>0.66</v>
      </c>
      <c r="Q99" s="4">
        <f>IF($G99="",0,SUMIFS(Map_Stats!$F$2:$F$825,Map_Stats!$A$2:$A$825,$F99&amp;"|"&amp;$G99))</f>
        <v>2</v>
      </c>
      <c r="R99" s="18">
        <f t="array" ref="R99">IF($G99="","",IFERROR(1/(1/INDEX(Map_Stats!$K$2:$K$825,MATCH($F99&amp;"|"&amp;$G99,Map_Stats!$A$2:$A$825,0))),$O99))</f>
        <v>0.62</v>
      </c>
      <c r="S99" s="11">
        <f t="array" ref="S99">IF(OR($G99="",$P99=""),"",IFERROR(1/(1/INDEX(Map_Stats!$I$2:$I$825,MATCH($F99&amp;"|"&amp;$G99,Map_Stats!$A$2:$A$825,0))),$P99))</f>
        <v>0.692</v>
      </c>
      <c r="T99" s="18">
        <f>IF(OR($G99="",R99=""),"",IF($O99="",R99,(Q99*R99+Config!$B$4*$O99)/(Q99+Config!$B$4)))</f>
        <v>0.6914285714</v>
      </c>
      <c r="U99" s="11">
        <f>IF(S99="","",(Q99*S99+Config!$B$4*$P99)/(Q99+Config!$B$4))</f>
        <v>0.6691428571</v>
      </c>
      <c r="V99" s="17">
        <f>IF(OR(T99="",$J99=""),"",T99*$J99*($J99/Config!$B$10)^Config!$B$9)</f>
        <v>14.55457143</v>
      </c>
      <c r="W99" s="17">
        <f t="shared" si="1"/>
        <v>9.73908751</v>
      </c>
      <c r="X99" s="4">
        <f>IF($H99="",0,SUMIFS(Map_Stats!$F$2:$F$825,Map_Stats!$A$2:$A$825,$F99&amp;"|"&amp;$H99))</f>
        <v>8</v>
      </c>
      <c r="Y99" s="18">
        <f t="array" ref="Y99">IF($H99="","",IFERROR(1/(1/INDEX(Map_Stats!$K$2:$K$825,MATCH($F99&amp;"|"&amp;$H99,Map_Stats!$A$2:$A$825,0))),$O99))</f>
        <v>0.68</v>
      </c>
      <c r="Z99" s="11">
        <f t="array" ref="Z99">IF(OR($H99="",$P99=""),"",IFERROR(1/(1/INDEX(Map_Stats!$I$2:$I$825,MATCH($F99&amp;"|"&amp;$H99,Map_Stats!$A$2:$A$825,0))),$P99))</f>
        <v>0.656</v>
      </c>
      <c r="AA99" s="18">
        <f>IF(OR($H99="",Y99=""),"",IF($O99="",Y99,(X99*Y99+Config!$B$4*$O99)/(X99+Config!$B$4)))</f>
        <v>0.6953846154</v>
      </c>
      <c r="AB99" s="11">
        <f>IF(Z99="","",(X99*Z99+Config!$B$4*$P99)/(X99+Config!$B$4))</f>
        <v>0.6575384615</v>
      </c>
      <c r="AC99" s="17">
        <f>IF(OR(AA99="",$K99=""),"",AA99*$K99*($K99/Config!$B$10)^Config!$B$9)</f>
        <v>14.95076923</v>
      </c>
      <c r="AD99" s="17">
        <f t="shared" si="2"/>
        <v>9.830705799</v>
      </c>
      <c r="AE99" s="4">
        <f>IF($I99="",0,SUMIFS(Map_Stats!$F$2:$F$825,Map_Stats!$A$2:$A$825,$F99&amp;"|"&amp;$I99))</f>
        <v>0</v>
      </c>
      <c r="AF99" s="18" t="str">
        <f t="array" ref="AF99">IF($I99="","",IFERROR(1/(1/INDEX(Map_Stats!$K$2:$K$825,MATCH($F99&amp;"|"&amp;$I99,Map_Stats!$A$2:$A$825,0))),$O99))</f>
        <v/>
      </c>
      <c r="AG99" s="11" t="str">
        <f t="array" ref="AG99">IF(OR($I99="",$P99=""),"",IFERROR(1/(1/INDEX(Map_Stats!$I$2:$I$825,MATCH($F99&amp;"|"&amp;$I99,Map_Stats!$A$2:$A$825,0))),$P99))</f>
        <v/>
      </c>
      <c r="AH99" s="18" t="str">
        <f>IF(OR($I99="",AF99=""),"",IF($O99="",AF99,(AE99*AF99+Config!$B$4*$O99)/(AE99+Config!$B$4)))</f>
        <v/>
      </c>
      <c r="AI99" s="11" t="str">
        <f>IF(AG99="","",(AE99*AG99+Config!$B$4*$P99)/(AE99+Config!$B$4))</f>
        <v/>
      </c>
      <c r="AJ99" s="17" t="str">
        <f>IF(OR(AH99="",$L99=""),"",AH99*$L99*($L99/Config!$B$10)^Config!$B$9)</f>
        <v/>
      </c>
      <c r="AK99" s="17" t="str">
        <f t="shared" si="3"/>
        <v/>
      </c>
      <c r="AL99" s="17">
        <f t="shared" si="4"/>
        <v>29.50534066</v>
      </c>
      <c r="AM99" s="17">
        <f t="shared" si="5"/>
        <v>29.50534066</v>
      </c>
      <c r="AN99" s="17">
        <f t="shared" si="6"/>
        <v>19.56979331</v>
      </c>
      <c r="AO99" s="17">
        <f t="shared" si="7"/>
        <v>19.56979331</v>
      </c>
      <c r="AP99" s="11">
        <f t="shared" si="8"/>
        <v>0.6632627474</v>
      </c>
      <c r="AQ99" s="4" t="str">
        <f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4" t="str">
        <f>IF($C99=Board!$B$2,COUNTIFS($C$2:$C$157,Board!$B$2,$AL$2:$AL$157,"&gt;"&amp;$AL99)+COUNTIFS($C$1:$C98,Board!$B$2,$AL$1:$AL98,$AL99)+1,"")</f>
        <v/>
      </c>
      <c r="AS99" s="4" t="str">
        <f t="array" ref="AS99">IFERROR(IF($D99=INDEX(Matches!$AD$5:$AD$22,MATCH($C99,Matches!$A$5:$A$22,0)),"A",IF($D99=INDEX(Matches!$AE$5:$AE$22,MATCH($C99,Matches!$A$5:$A$22,0)),"B","")),"")</f>
        <v>B</v>
      </c>
      <c r="AT99" s="11">
        <f t="array" ref="AT99">IF($AS99="","",IFERROR(IF($AS99="A",INDEX(Matches!$AI$5:$AI$22,MATCH($C99,Matches!$A$5:$A$22,0)),INDEX(Matches!$AJ$5:$AJ$22,MATCH($C99,Matches!$A$5:$A$22,0))),""))</f>
        <v>0.5021995832</v>
      </c>
      <c r="AU99" s="11">
        <f t="array" ref="AU99">IF($AS99="","",IFERROR(IF(INDEX(Matches!$AP$5:$AP$22,MATCH($C99,Matches!$A$5:$A$22,0))="","",IF($AS99="A",INDEX(Matches!$AP$5:$AP$22,MATCH($C99,Matches!$A$5:$A$22,0)),1-INDEX(Matches!$AP$5:$AP$22,MATCH($C99,Matches!$A$5:$A$22,0)))),""))</f>
        <v>0.4584666887</v>
      </c>
      <c r="AV99" s="18">
        <f>IF(OR($AU99="",$AT99=""),1,((Config!$B$14*$AU99+Config!$B$15*(1-$AU99))/(Config!$B$14*$AT99+Config!$B$15*(1-$AT99)))^Config!$B$13)</f>
        <v>0.9609962064</v>
      </c>
      <c r="AW99" s="11">
        <f t="array" ref="AW99">IF($AS99="","",IFERROR(IF(INDEX(Matches!$AV$5:$AV$22,MATCH($C99,Matches!$A$5:$A$22,0))="","",IF($AS99="A",INDEX(Matches!$AV$5:$AV$22,MATCH($C99,Matches!$A$5:$A$22,0)),1-INDEX(Matches!$AV$5:$AV$22,MATCH($C99,Matches!$A$5:$A$22,0)))),""))</f>
        <v>0.4878218039</v>
      </c>
      <c r="AX99" s="18">
        <f>IF(OR($AW99="",$AT99=""),1,((Config!$B$14*$AW99+Config!$B$15*(1-$AW99))/(Config!$B$14*$AT99+Config!$B$15*(1-$AT99)))^Config!$B$13)</f>
        <v>0.9871769764</v>
      </c>
      <c r="AY99" s="11" t="str">
        <f t="array" ref="AY99">IF($AS99="","",IFERROR(IF(INDEX(Matches!$BB$5:$BB$22,MATCH($C99,Matches!$A$5:$A$22,0))="","",IF($AS99="A",INDEX(Matches!$BB$5:$BB$22,MATCH($C99,Matches!$A$5:$A$22,0)),1-INDEX(Matches!$BB$5:$BB$22,MATCH($C99,Matches!$A$5:$A$22,0)))),""))</f>
        <v/>
      </c>
      <c r="AZ99" s="18">
        <f>IF(OR($AY99="",$AT99=""),1,((Config!$B$14*$AY99+Config!$B$15*(1-$AY99))/(Config!$B$14*$AT99+Config!$B$15*(1-$AT99)))^Config!$B$13)</f>
        <v>1</v>
      </c>
      <c r="BA99" s="17">
        <f t="shared" si="9"/>
        <v>13.98688793</v>
      </c>
      <c r="BB99" s="17">
        <f t="shared" si="10"/>
        <v>14.75905516</v>
      </c>
      <c r="BC99" s="17" t="str">
        <f t="shared" si="11"/>
        <v/>
      </c>
      <c r="BD99" s="17">
        <f t="shared" si="12"/>
        <v>28.74594309</v>
      </c>
      <c r="BE99" s="17">
        <f t="shared" si="13"/>
        <v>28.74594309</v>
      </c>
      <c r="BF99" s="17">
        <f t="shared" si="14"/>
        <v>9.359226151</v>
      </c>
      <c r="BG99" s="17">
        <f t="shared" si="15"/>
        <v>9.704646426</v>
      </c>
      <c r="BH99" s="17" t="str">
        <f t="shared" si="16"/>
        <v/>
      </c>
      <c r="BI99" s="17">
        <f t="shared" si="17"/>
        <v>19.06387258</v>
      </c>
      <c r="BJ99" s="17">
        <f t="shared" si="18"/>
        <v>19.06387258</v>
      </c>
      <c r="BK99" s="18">
        <f t="shared" si="19"/>
        <v>0.9742623691</v>
      </c>
    </row>
    <row r="100" ht="15.75" customHeight="1">
      <c r="A100" s="4" t="s">
        <v>3231</v>
      </c>
      <c r="B100" s="4" t="s">
        <v>86</v>
      </c>
      <c r="C100" s="4" t="s">
        <v>1794</v>
      </c>
      <c r="D100" s="4" t="s">
        <v>1013</v>
      </c>
      <c r="E100" s="4" t="s">
        <v>1412</v>
      </c>
      <c r="F100" s="4" t="s">
        <v>1411</v>
      </c>
      <c r="G100" s="4" t="str">
        <f t="array" ref="G100">IFERROR(IF(INDEX(Matches!$W$5:$W$22,MATCH($C100,Matches!$A$5:$A$22,0))="","",INDEX(Matches!$W$5:$W$22,MATCH($C100,Matches!$A$5:$A$22,0))),"")</f>
        <v>Ancient</v>
      </c>
      <c r="H100" s="4" t="str">
        <f t="array" ref="H100">IFERROR(IF(INDEX(Matches!$X$5:$X$22,MATCH($C100,Matches!$A$5:$A$22,0))="","",INDEX(Matches!$X$5:$X$22,MATCH($C100,Matches!$A$5:$A$22,0))),"")</f>
        <v>Mirage</v>
      </c>
      <c r="I100" s="4" t="str">
        <f t="array" ref="I100">IFERROR(IF(INDEX(Matches!$Y$5:$Y$22,MATCH($C100,Matches!$A$5:$A$22,0))="","",INDEX(Matches!$Y$5:$Y$22,MATCH($C100,Matches!$A$5:$A$22,0))),"")</f>
        <v/>
      </c>
      <c r="J100" s="4">
        <f t="array" ref="J100">IFERROR(IF(INDEX(Matches!$Z$5:$Z$22,MATCH($C100,Matches!$A$5:$A$22,0))="","",INDEX(Matches!$Z$5:$Z$22,MATCH($C100,Matches!$A$5:$A$22,0))),"")</f>
        <v>21.05</v>
      </c>
      <c r="K100" s="4">
        <f t="array" ref="K100">IFERROR(IF(INDEX(Matches!$AA$5:$AA$22,MATCH($C100,Matches!$A$5:$A$22,0))="","",INDEX(Matches!$AA$5:$AA$22,MATCH($C100,Matches!$A$5:$A$22,0))),"")</f>
        <v>21.5</v>
      </c>
      <c r="L100" s="4" t="str">
        <f t="array" ref="L100">IFERROR(IF(INDEX(Matches!$AB$5:$AB$22,MATCH($C100,Matches!$A$5:$A$22,0))="","",INDEX(Matches!$AB$5:$AB$22,MATCH($C100,Matches!$A$5:$A$22,0))),"")</f>
        <v/>
      </c>
      <c r="M100" s="11">
        <f t="array" ref="M100">IFERROR(IF(INDEX(Matches!$AC$5:$AC$22,MATCH($C100,Matches!$A$5:$A$22,0))="","",INDEX(Matches!$AC$5:$AC$22,MATCH($C100,Matches!$A$5:$A$22,0))),"")</f>
        <v>0</v>
      </c>
      <c r="N100" s="4">
        <f t="array" ref="N100">IFERROR(INDEX(Players!$F$2:$F$127,MATCH($F100,Players!$A$2:$A$127,0)),0)</f>
        <v>27</v>
      </c>
      <c r="O100" s="18">
        <f t="array" ref="O100">IFERROR(1/(1/INDEX(Players!$H$2:$H$127,MATCH($F100,Players!$A$2:$A$127,0))),"")</f>
        <v>0.77</v>
      </c>
      <c r="P100" s="11">
        <f t="array" ref="P100">IFERROR(1/(1/INDEX(Players!$I$2:$I$127,MATCH($F100,Players!$A$2:$A$127,0))),"")</f>
        <v>0.315</v>
      </c>
      <c r="Q100" s="4">
        <f>IF($G100="",0,SUMIFS(Map_Stats!$F$2:$F$825,Map_Stats!$A$2:$A$825,$F100&amp;"|"&amp;$G100))</f>
        <v>2</v>
      </c>
      <c r="R100" s="18">
        <f t="array" ref="R100">IF($G100="","",IFERROR(1/(1/INDEX(Map_Stats!$K$2:$K$825,MATCH($F100&amp;"|"&amp;$G100,Map_Stats!$A$2:$A$825,0))),$O100))</f>
        <v>0.74</v>
      </c>
      <c r="S100" s="11">
        <f t="array" ref="S100">IF(OR($G100="",$P100=""),"",IFERROR(1/(1/INDEX(Map_Stats!$I$2:$I$825,MATCH($F100&amp;"|"&amp;$G100,Map_Stats!$A$2:$A$825,0))),$P100))</f>
        <v>0.387</v>
      </c>
      <c r="T100" s="18">
        <f>IF(OR($G100="",R100=""),"",IF($O100="",R100,(Q100*R100+Config!$B$4*$O100)/(Q100+Config!$B$4)))</f>
        <v>0.7614285714</v>
      </c>
      <c r="U100" s="11">
        <f>IF(S100="","",(Q100*S100+Config!$B$4*$P100)/(Q100+Config!$B$4))</f>
        <v>0.3355714286</v>
      </c>
      <c r="V100" s="17">
        <f>IF(OR(T100="",$J100=""),"",T100*$J100*($J100/Config!$B$10)^Config!$B$9)</f>
        <v>16.02807143</v>
      </c>
      <c r="W100" s="17">
        <f t="shared" si="1"/>
        <v>5.378562827</v>
      </c>
      <c r="X100" s="4">
        <f>IF($H100="",0,SUMIFS(Map_Stats!$F$2:$F$825,Map_Stats!$A$2:$A$825,$F100&amp;"|"&amp;$H100))</f>
        <v>8</v>
      </c>
      <c r="Y100" s="18">
        <f t="array" ref="Y100">IF($H100="","",IFERROR(1/(1/INDEX(Map_Stats!$K$2:$K$825,MATCH($F100&amp;"|"&amp;$H100,Map_Stats!$A$2:$A$825,0))),$O100))</f>
        <v>0.86</v>
      </c>
      <c r="Z100" s="11">
        <f t="array" ref="Z100">IF(OR($H100="",$P100=""),"",IFERROR(1/(1/INDEX(Map_Stats!$I$2:$I$825,MATCH($F100&amp;"|"&amp;$H100,Map_Stats!$A$2:$A$825,0))),$P100))</f>
        <v>0.345</v>
      </c>
      <c r="AA100" s="18">
        <f>IF(OR($H100="",Y100=""),"",IF($O100="",Y100,(X100*Y100+Config!$B$4*$O100)/(X100+Config!$B$4)))</f>
        <v>0.8253846154</v>
      </c>
      <c r="AB100" s="11">
        <f>IF(Z100="","",(X100*Z100+Config!$B$4*$P100)/(X100+Config!$B$4))</f>
        <v>0.3334615385</v>
      </c>
      <c r="AC100" s="17">
        <f>IF(OR(AA100="",$K100=""),"",AA100*$K100*($K100/Config!$B$10)^Config!$B$9)</f>
        <v>17.74576923</v>
      </c>
      <c r="AD100" s="17">
        <f t="shared" si="2"/>
        <v>5.917531509</v>
      </c>
      <c r="AE100" s="4">
        <f>IF($I100="",0,SUMIFS(Map_Stats!$F$2:$F$825,Map_Stats!$A$2:$A$825,$F100&amp;"|"&amp;$I100))</f>
        <v>0</v>
      </c>
      <c r="AF100" s="18" t="str">
        <f t="array" ref="AF100">IF($I100="","",IFERROR(1/(1/INDEX(Map_Stats!$K$2:$K$825,MATCH($F100&amp;"|"&amp;$I100,Map_Stats!$A$2:$A$825,0))),$O100))</f>
        <v/>
      </c>
      <c r="AG100" s="11" t="str">
        <f t="array" ref="AG100">IF(OR($I100="",$P100=""),"",IFERROR(1/(1/INDEX(Map_Stats!$I$2:$I$825,MATCH($F100&amp;"|"&amp;$I100,Map_Stats!$A$2:$A$825,0))),$P100))</f>
        <v/>
      </c>
      <c r="AH100" s="18" t="str">
        <f>IF(OR($I100="",AF100=""),"",IF($O100="",AF100,(AE100*AF100+Config!$B$4*$O100)/(AE100+Config!$B$4)))</f>
        <v/>
      </c>
      <c r="AI100" s="11" t="str">
        <f>IF(AG100="","",(AE100*AG100+Config!$B$4*$P100)/(AE100+Config!$B$4))</f>
        <v/>
      </c>
      <c r="AJ100" s="17" t="str">
        <f>IF(OR(AH100="",$L100=""),"",AH100*$L100*($L100/Config!$B$10)^Config!$B$9)</f>
        <v/>
      </c>
      <c r="AK100" s="17" t="str">
        <f t="shared" si="3"/>
        <v/>
      </c>
      <c r="AL100" s="17">
        <f t="shared" si="4"/>
        <v>33.77384066</v>
      </c>
      <c r="AM100" s="17">
        <f t="shared" si="5"/>
        <v>33.77384066</v>
      </c>
      <c r="AN100" s="17">
        <f t="shared" si="6"/>
        <v>11.29609434</v>
      </c>
      <c r="AO100" s="17">
        <f t="shared" si="7"/>
        <v>11.29609434</v>
      </c>
      <c r="AP100" s="11">
        <f t="shared" si="8"/>
        <v>0.3344628303</v>
      </c>
      <c r="AQ100" s="4" t="str">
        <f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4" t="str">
        <f>IF($C100=Board!$B$2,COUNTIFS($C$2:$C$157,Board!$B$2,$AL$2:$AL$157,"&gt;"&amp;$AL100)+COUNTIFS($C$1:$C99,Board!$B$2,$AL$1:$AL99,$AL100)+1,"")</f>
        <v/>
      </c>
      <c r="AS100" s="4" t="str">
        <f t="array" ref="AS100">IFERROR(IF($D100=INDEX(Matches!$AD$5:$AD$22,MATCH($C100,Matches!$A$5:$A$22,0)),"A",IF($D100=INDEX(Matches!$AE$5:$AE$22,MATCH($C100,Matches!$A$5:$A$22,0)),"B","")),"")</f>
        <v>B</v>
      </c>
      <c r="AT100" s="11">
        <f t="array" ref="AT100">IF($AS100="","",IFERROR(IF($AS100="A",INDEX(Matches!$AI$5:$AI$22,MATCH($C100,Matches!$A$5:$A$22,0)),INDEX(Matches!$AJ$5:$AJ$22,MATCH($C100,Matches!$A$5:$A$22,0))),""))</f>
        <v>0.5021995832</v>
      </c>
      <c r="AU100" s="11">
        <f t="array" ref="AU100">IF($AS100="","",IFERROR(IF(INDEX(Matches!$AP$5:$AP$22,MATCH($C100,Matches!$A$5:$A$22,0))="","",IF($AS100="A",INDEX(Matches!$AP$5:$AP$22,MATCH($C100,Matches!$A$5:$A$22,0)),1-INDEX(Matches!$AP$5:$AP$22,MATCH($C100,Matches!$A$5:$A$22,0)))),""))</f>
        <v>0.4584666887</v>
      </c>
      <c r="AV100" s="18">
        <f>IF(OR($AU100="",$AT100=""),1,((Config!$B$14*$AU100+Config!$B$15*(1-$AU100))/(Config!$B$14*$AT100+Config!$B$15*(1-$AT100)))^Config!$B$13)</f>
        <v>0.9609962064</v>
      </c>
      <c r="AW100" s="11">
        <f t="array" ref="AW100">IF($AS100="","",IFERROR(IF(INDEX(Matches!$AV$5:$AV$22,MATCH($C100,Matches!$A$5:$A$22,0))="","",IF($AS100="A",INDEX(Matches!$AV$5:$AV$22,MATCH($C100,Matches!$A$5:$A$22,0)),1-INDEX(Matches!$AV$5:$AV$22,MATCH($C100,Matches!$A$5:$A$22,0)))),""))</f>
        <v>0.4878218039</v>
      </c>
      <c r="AX100" s="18">
        <f>IF(OR($AW100="",$AT100=""),1,((Config!$B$14*$AW100+Config!$B$15*(1-$AW100))/(Config!$B$14*$AT100+Config!$B$15*(1-$AT100)))^Config!$B$13)</f>
        <v>0.9871769764</v>
      </c>
      <c r="AY100" s="11" t="str">
        <f t="array" ref="AY100">IF($AS100="","",IFERROR(IF(INDEX(Matches!$BB$5:$BB$22,MATCH($C100,Matches!$A$5:$A$22,0))="","",IF($AS100="A",INDEX(Matches!$BB$5:$BB$22,MATCH($C100,Matches!$A$5:$A$22,0)),1-INDEX(Matches!$BB$5:$BB$22,MATCH($C100,Matches!$A$5:$A$22,0)))),""))</f>
        <v/>
      </c>
      <c r="AZ100" s="18">
        <f>IF(OR($AY100="",$AT100=""),1,((Config!$B$14*$AY100+Config!$B$15*(1-$AY100))/(Config!$B$14*$AT100+Config!$B$15*(1-$AT100)))^Config!$B$13)</f>
        <v>1</v>
      </c>
      <c r="BA100" s="17">
        <f t="shared" si="9"/>
        <v>15.40291584</v>
      </c>
      <c r="BB100" s="17">
        <f t="shared" si="10"/>
        <v>17.51821481</v>
      </c>
      <c r="BC100" s="17" t="str">
        <f t="shared" si="11"/>
        <v/>
      </c>
      <c r="BD100" s="17">
        <f t="shared" si="12"/>
        <v>32.92113065</v>
      </c>
      <c r="BE100" s="17">
        <f t="shared" si="13"/>
        <v>32.92113065</v>
      </c>
      <c r="BF100" s="17">
        <f t="shared" si="14"/>
        <v>5.168778472</v>
      </c>
      <c r="BG100" s="17">
        <f t="shared" si="15"/>
        <v>5.841650863</v>
      </c>
      <c r="BH100" s="17" t="str">
        <f t="shared" si="16"/>
        <v/>
      </c>
      <c r="BI100" s="17">
        <f t="shared" si="17"/>
        <v>11.01042933</v>
      </c>
      <c r="BJ100" s="17">
        <f t="shared" si="18"/>
        <v>11.01042933</v>
      </c>
      <c r="BK100" s="18">
        <f t="shared" si="19"/>
        <v>0.9747523529</v>
      </c>
    </row>
    <row r="101" ht="15.75" customHeight="1">
      <c r="A101" s="4" t="s">
        <v>3232</v>
      </c>
      <c r="B101" s="4" t="s">
        <v>86</v>
      </c>
      <c r="C101" s="4" t="s">
        <v>1794</v>
      </c>
      <c r="D101" s="4" t="s">
        <v>1013</v>
      </c>
      <c r="E101" s="4" t="s">
        <v>1415</v>
      </c>
      <c r="F101" s="4" t="s">
        <v>1414</v>
      </c>
      <c r="G101" s="4" t="str">
        <f t="array" ref="G101">IFERROR(IF(INDEX(Matches!$W$5:$W$22,MATCH($C101,Matches!$A$5:$A$22,0))="","",INDEX(Matches!$W$5:$W$22,MATCH($C101,Matches!$A$5:$A$22,0))),"")</f>
        <v>Ancient</v>
      </c>
      <c r="H101" s="4" t="str">
        <f t="array" ref="H101">IFERROR(IF(INDEX(Matches!$X$5:$X$22,MATCH($C101,Matches!$A$5:$A$22,0))="","",INDEX(Matches!$X$5:$X$22,MATCH($C101,Matches!$A$5:$A$22,0))),"")</f>
        <v>Mirage</v>
      </c>
      <c r="I101" s="4" t="str">
        <f t="array" ref="I101">IFERROR(IF(INDEX(Matches!$Y$5:$Y$22,MATCH($C101,Matches!$A$5:$A$22,0))="","",INDEX(Matches!$Y$5:$Y$22,MATCH($C101,Matches!$A$5:$A$22,0))),"")</f>
        <v/>
      </c>
      <c r="J101" s="4">
        <f t="array" ref="J101">IFERROR(IF(INDEX(Matches!$Z$5:$Z$22,MATCH($C101,Matches!$A$5:$A$22,0))="","",INDEX(Matches!$Z$5:$Z$22,MATCH($C101,Matches!$A$5:$A$22,0))),"")</f>
        <v>21.05</v>
      </c>
      <c r="K101" s="4">
        <f t="array" ref="K101">IFERROR(IF(INDEX(Matches!$AA$5:$AA$22,MATCH($C101,Matches!$A$5:$A$22,0))="","",INDEX(Matches!$AA$5:$AA$22,MATCH($C101,Matches!$A$5:$A$22,0))),"")</f>
        <v>21.5</v>
      </c>
      <c r="L101" s="4" t="str">
        <f t="array" ref="L101">IFERROR(IF(INDEX(Matches!$AB$5:$AB$22,MATCH($C101,Matches!$A$5:$A$22,0))="","",INDEX(Matches!$AB$5:$AB$22,MATCH($C101,Matches!$A$5:$A$22,0))),"")</f>
        <v/>
      </c>
      <c r="M101" s="11">
        <f t="array" ref="M101">IFERROR(IF(INDEX(Matches!$AC$5:$AC$22,MATCH($C101,Matches!$A$5:$A$22,0))="","",INDEX(Matches!$AC$5:$AC$22,MATCH($C101,Matches!$A$5:$A$22,0))),"")</f>
        <v>0</v>
      </c>
      <c r="N101" s="4">
        <f t="array" ref="N101">IFERROR(INDEX(Players!$F$2:$F$127,MATCH($F101,Players!$A$2:$A$127,0)),0)</f>
        <v>27</v>
      </c>
      <c r="O101" s="18">
        <f t="array" ref="O101">IFERROR(1/(1/INDEX(Players!$H$2:$H$127,MATCH($F101,Players!$A$2:$A$127,0))),"")</f>
        <v>0.58</v>
      </c>
      <c r="P101" s="11">
        <f t="array" ref="P101">IFERROR(1/(1/INDEX(Players!$I$2:$I$127,MATCH($F101,Players!$A$2:$A$127,0))),"")</f>
        <v>0.667</v>
      </c>
      <c r="Q101" s="4">
        <f>IF($G101="",0,SUMIFS(Map_Stats!$F$2:$F$825,Map_Stats!$A$2:$A$825,$F101&amp;"|"&amp;$G101))</f>
        <v>2</v>
      </c>
      <c r="R101" s="18">
        <f t="array" ref="R101">IF($G101="","",IFERROR(1/(1/INDEX(Map_Stats!$K$2:$K$825,MATCH($F101&amp;"|"&amp;$G101,Map_Stats!$A$2:$A$825,0))),$O101))</f>
        <v>0.57</v>
      </c>
      <c r="S101" s="11">
        <f t="array" ref="S101">IF(OR($G101="",$P101=""),"",IFERROR(1/(1/INDEX(Map_Stats!$I$2:$I$825,MATCH($F101&amp;"|"&amp;$G101,Map_Stats!$A$2:$A$825,0))),$P101))</f>
        <v>0.75</v>
      </c>
      <c r="T101" s="18">
        <f>IF(OR($G101="",R101=""),"",IF($O101="",R101,(Q101*R101+Config!$B$4*$O101)/(Q101+Config!$B$4)))</f>
        <v>0.5771428571</v>
      </c>
      <c r="U101" s="11">
        <f>IF(S101="","",(Q101*S101+Config!$B$4*$P101)/(Q101+Config!$B$4))</f>
        <v>0.6907142857</v>
      </c>
      <c r="V101" s="17">
        <f>IF(OR(T101="",$J101=""),"",T101*$J101*($J101/Config!$B$10)^Config!$B$9)</f>
        <v>12.14885714</v>
      </c>
      <c r="W101" s="17">
        <f t="shared" si="1"/>
        <v>8.391389184</v>
      </c>
      <c r="X101" s="4">
        <f>IF($H101="",0,SUMIFS(Map_Stats!$F$2:$F$825,Map_Stats!$A$2:$A$825,$F101&amp;"|"&amp;$H101))</f>
        <v>8</v>
      </c>
      <c r="Y101" s="18">
        <f t="array" ref="Y101">IF($H101="","",IFERROR(1/(1/INDEX(Map_Stats!$K$2:$K$825,MATCH($F101&amp;"|"&amp;$H101,Map_Stats!$A$2:$A$825,0))),$O101))</f>
        <v>0.52</v>
      </c>
      <c r="Z101" s="11">
        <f t="array" ref="Z101">IF(OR($H101="",$P101=""),"",IFERROR(1/(1/INDEX(Map_Stats!$I$2:$I$825,MATCH($F101&amp;"|"&amp;$H101,Map_Stats!$A$2:$A$825,0))),$P101))</f>
        <v>0.65</v>
      </c>
      <c r="AA101" s="18">
        <f>IF(OR($H101="",Y101=""),"",IF($O101="",Y101,(X101*Y101+Config!$B$4*$O101)/(X101+Config!$B$4)))</f>
        <v>0.5430769231</v>
      </c>
      <c r="AB101" s="11">
        <f>IF(Z101="","",(X101*Z101+Config!$B$4*$P101)/(X101+Config!$B$4))</f>
        <v>0.6565384615</v>
      </c>
      <c r="AC101" s="17">
        <f>IF(OR(AA101="",$K101=""),"",AA101*$K101*($K101/Config!$B$10)^Config!$B$9)</f>
        <v>11.67615385</v>
      </c>
      <c r="AD101" s="17">
        <f t="shared" si="2"/>
        <v>7.665844083</v>
      </c>
      <c r="AE101" s="4">
        <f>IF($I101="",0,SUMIFS(Map_Stats!$F$2:$F$825,Map_Stats!$A$2:$A$825,$F101&amp;"|"&amp;$I101))</f>
        <v>0</v>
      </c>
      <c r="AF101" s="18" t="str">
        <f t="array" ref="AF101">IF($I101="","",IFERROR(1/(1/INDEX(Map_Stats!$K$2:$K$825,MATCH($F101&amp;"|"&amp;$I101,Map_Stats!$A$2:$A$825,0))),$O101))</f>
        <v/>
      </c>
      <c r="AG101" s="11" t="str">
        <f t="array" ref="AG101">IF(OR($I101="",$P101=""),"",IFERROR(1/(1/INDEX(Map_Stats!$I$2:$I$825,MATCH($F101&amp;"|"&amp;$I101,Map_Stats!$A$2:$A$825,0))),$P101))</f>
        <v/>
      </c>
      <c r="AH101" s="18" t="str">
        <f>IF(OR($I101="",AF101=""),"",IF($O101="",AF101,(AE101*AF101+Config!$B$4*$O101)/(AE101+Config!$B$4)))</f>
        <v/>
      </c>
      <c r="AI101" s="11" t="str">
        <f>IF(AG101="","",(AE101*AG101+Config!$B$4*$P101)/(AE101+Config!$B$4))</f>
        <v/>
      </c>
      <c r="AJ101" s="17" t="str">
        <f>IF(OR(AH101="",$L101=""),"",AH101*$L101*($L101/Config!$B$10)^Config!$B$9)</f>
        <v/>
      </c>
      <c r="AK101" s="17" t="str">
        <f t="shared" si="3"/>
        <v/>
      </c>
      <c r="AL101" s="17">
        <f t="shared" si="4"/>
        <v>23.82501099</v>
      </c>
      <c r="AM101" s="17">
        <f t="shared" si="5"/>
        <v>23.82501099</v>
      </c>
      <c r="AN101" s="17">
        <f t="shared" si="6"/>
        <v>16.05723327</v>
      </c>
      <c r="AO101" s="17">
        <f t="shared" si="7"/>
        <v>16.05723327</v>
      </c>
      <c r="AP101" s="11">
        <f t="shared" si="8"/>
        <v>0.6739654086</v>
      </c>
      <c r="AQ101" s="4" t="str">
        <f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4" t="str">
        <f>IF($C101=Board!$B$2,COUNTIFS($C$2:$C$157,Board!$B$2,$AL$2:$AL$157,"&gt;"&amp;$AL101)+COUNTIFS($C$1:$C100,Board!$B$2,$AL$1:$AL100,$AL101)+1,"")</f>
        <v/>
      </c>
      <c r="AS101" s="4" t="str">
        <f t="array" ref="AS101">IFERROR(IF($D101=INDEX(Matches!$AD$5:$AD$22,MATCH($C101,Matches!$A$5:$A$22,0)),"A",IF($D101=INDEX(Matches!$AE$5:$AE$22,MATCH($C101,Matches!$A$5:$A$22,0)),"B","")),"")</f>
        <v>B</v>
      </c>
      <c r="AT101" s="11">
        <f t="array" ref="AT101">IF($AS101="","",IFERROR(IF($AS101="A",INDEX(Matches!$AI$5:$AI$22,MATCH($C101,Matches!$A$5:$A$22,0)),INDEX(Matches!$AJ$5:$AJ$22,MATCH($C101,Matches!$A$5:$A$22,0))),""))</f>
        <v>0.5021995832</v>
      </c>
      <c r="AU101" s="11">
        <f t="array" ref="AU101">IF($AS101="","",IFERROR(IF(INDEX(Matches!$AP$5:$AP$22,MATCH($C101,Matches!$A$5:$A$22,0))="","",IF($AS101="A",INDEX(Matches!$AP$5:$AP$22,MATCH($C101,Matches!$A$5:$A$22,0)),1-INDEX(Matches!$AP$5:$AP$22,MATCH($C101,Matches!$A$5:$A$22,0)))),""))</f>
        <v>0.4584666887</v>
      </c>
      <c r="AV101" s="18">
        <f>IF(OR($AU101="",$AT101=""),1,((Config!$B$14*$AU101+Config!$B$15*(1-$AU101))/(Config!$B$14*$AT101+Config!$B$15*(1-$AT101)))^Config!$B$13)</f>
        <v>0.9609962064</v>
      </c>
      <c r="AW101" s="11">
        <f t="array" ref="AW101">IF($AS101="","",IFERROR(IF(INDEX(Matches!$AV$5:$AV$22,MATCH($C101,Matches!$A$5:$A$22,0))="","",IF($AS101="A",INDEX(Matches!$AV$5:$AV$22,MATCH($C101,Matches!$A$5:$A$22,0)),1-INDEX(Matches!$AV$5:$AV$22,MATCH($C101,Matches!$A$5:$A$22,0)))),""))</f>
        <v>0.4878218039</v>
      </c>
      <c r="AX101" s="18">
        <f>IF(OR($AW101="",$AT101=""),1,((Config!$B$14*$AW101+Config!$B$15*(1-$AW101))/(Config!$B$14*$AT101+Config!$B$15*(1-$AT101)))^Config!$B$13)</f>
        <v>0.9871769764</v>
      </c>
      <c r="AY101" s="11" t="str">
        <f t="array" ref="AY101">IF($AS101="","",IFERROR(IF(INDEX(Matches!$BB$5:$BB$22,MATCH($C101,Matches!$A$5:$A$22,0))="","",IF($AS101="A",INDEX(Matches!$BB$5:$BB$22,MATCH($C101,Matches!$A$5:$A$22,0)),1-INDEX(Matches!$BB$5:$BB$22,MATCH($C101,Matches!$A$5:$A$22,0)))),""))</f>
        <v/>
      </c>
      <c r="AZ101" s="18">
        <f>IF(OR($AY101="",$AT101=""),1,((Config!$B$14*$AY101+Config!$B$15*(1-$AY101))/(Config!$B$14*$AT101+Config!$B$15*(1-$AT101)))^Config!$B$13)</f>
        <v>1</v>
      </c>
      <c r="BA101" s="17">
        <f t="shared" si="9"/>
        <v>11.67500563</v>
      </c>
      <c r="BB101" s="17">
        <f t="shared" si="10"/>
        <v>11.52643025</v>
      </c>
      <c r="BC101" s="17" t="str">
        <f t="shared" si="11"/>
        <v/>
      </c>
      <c r="BD101" s="17">
        <f t="shared" si="12"/>
        <v>23.20143588</v>
      </c>
      <c r="BE101" s="17">
        <f t="shared" si="13"/>
        <v>23.20143588</v>
      </c>
      <c r="BF101" s="17">
        <f t="shared" si="14"/>
        <v>8.064093172</v>
      </c>
      <c r="BG101" s="17">
        <f t="shared" si="15"/>
        <v>7.567544783</v>
      </c>
      <c r="BH101" s="17" t="str">
        <f t="shared" si="16"/>
        <v/>
      </c>
      <c r="BI101" s="17">
        <f t="shared" si="17"/>
        <v>15.63163795</v>
      </c>
      <c r="BJ101" s="17">
        <f t="shared" si="18"/>
        <v>15.63163795</v>
      </c>
      <c r="BK101" s="18">
        <f t="shared" si="19"/>
        <v>0.9738268698</v>
      </c>
    </row>
    <row r="102" ht="15.75" customHeight="1">
      <c r="A102" s="4" t="s">
        <v>3233</v>
      </c>
      <c r="B102" s="4" t="s">
        <v>86</v>
      </c>
      <c r="C102" s="4" t="s">
        <v>1794</v>
      </c>
      <c r="D102" s="4" t="s">
        <v>1013</v>
      </c>
      <c r="E102" s="4" t="s">
        <v>1418</v>
      </c>
      <c r="F102" s="4" t="s">
        <v>1417</v>
      </c>
      <c r="G102" s="4" t="str">
        <f t="array" ref="G102">IFERROR(IF(INDEX(Matches!$W$5:$W$22,MATCH($C102,Matches!$A$5:$A$22,0))="","",INDEX(Matches!$W$5:$W$22,MATCH($C102,Matches!$A$5:$A$22,0))),"")</f>
        <v>Ancient</v>
      </c>
      <c r="H102" s="4" t="str">
        <f t="array" ref="H102">IFERROR(IF(INDEX(Matches!$X$5:$X$22,MATCH($C102,Matches!$A$5:$A$22,0))="","",INDEX(Matches!$X$5:$X$22,MATCH($C102,Matches!$A$5:$A$22,0))),"")</f>
        <v>Mirage</v>
      </c>
      <c r="I102" s="4" t="str">
        <f t="array" ref="I102">IFERROR(IF(INDEX(Matches!$Y$5:$Y$22,MATCH($C102,Matches!$A$5:$A$22,0))="","",INDEX(Matches!$Y$5:$Y$22,MATCH($C102,Matches!$A$5:$A$22,0))),"")</f>
        <v/>
      </c>
      <c r="J102" s="4">
        <f t="array" ref="J102">IFERROR(IF(INDEX(Matches!$Z$5:$Z$22,MATCH($C102,Matches!$A$5:$A$22,0))="","",INDEX(Matches!$Z$5:$Z$22,MATCH($C102,Matches!$A$5:$A$22,0))),"")</f>
        <v>21.05</v>
      </c>
      <c r="K102" s="4">
        <f t="array" ref="K102">IFERROR(IF(INDEX(Matches!$AA$5:$AA$22,MATCH($C102,Matches!$A$5:$A$22,0))="","",INDEX(Matches!$AA$5:$AA$22,MATCH($C102,Matches!$A$5:$A$22,0))),"")</f>
        <v>21.5</v>
      </c>
      <c r="L102" s="4" t="str">
        <f t="array" ref="L102">IFERROR(IF(INDEX(Matches!$AB$5:$AB$22,MATCH($C102,Matches!$A$5:$A$22,0))="","",INDEX(Matches!$AB$5:$AB$22,MATCH($C102,Matches!$A$5:$A$22,0))),"")</f>
        <v/>
      </c>
      <c r="M102" s="11">
        <f t="array" ref="M102">IFERROR(IF(INDEX(Matches!$AC$5:$AC$22,MATCH($C102,Matches!$A$5:$A$22,0))="","",INDEX(Matches!$AC$5:$AC$22,MATCH($C102,Matches!$A$5:$A$22,0))),"")</f>
        <v>0</v>
      </c>
      <c r="N102" s="4">
        <f t="array" ref="N102">IFERROR(INDEX(Players!$F$2:$F$127,MATCH($F102,Players!$A$2:$A$127,0)),0)</f>
        <v>27</v>
      </c>
      <c r="O102" s="18">
        <f t="array" ref="O102">IFERROR(1/(1/INDEX(Players!$H$2:$H$127,MATCH($F102,Players!$A$2:$A$127,0))),"")</f>
        <v>0.69</v>
      </c>
      <c r="P102" s="11">
        <f t="array" ref="P102">IFERROR(1/(1/INDEX(Players!$I$2:$I$127,MATCH($F102,Players!$A$2:$A$127,0))),"")</f>
        <v>0.554</v>
      </c>
      <c r="Q102" s="4">
        <f>IF($G102="",0,SUMIFS(Map_Stats!$F$2:$F$825,Map_Stats!$A$2:$A$825,$F102&amp;"|"&amp;$G102))</f>
        <v>2</v>
      </c>
      <c r="R102" s="18">
        <f t="array" ref="R102">IF($G102="","",IFERROR(1/(1/INDEX(Map_Stats!$K$2:$K$825,MATCH($F102&amp;"|"&amp;$G102,Map_Stats!$A$2:$A$825,0))),$O102))</f>
        <v>0.79</v>
      </c>
      <c r="S102" s="11">
        <f t="array" ref="S102">IF(OR($G102="",$P102=""),"",IFERROR(1/(1/INDEX(Map_Stats!$I$2:$I$825,MATCH($F102&amp;"|"&amp;$G102,Map_Stats!$A$2:$A$825,0))),$P102))</f>
        <v>0.697</v>
      </c>
      <c r="T102" s="18">
        <f>IF(OR($G102="",R102=""),"",IF($O102="",R102,(Q102*R102+Config!$B$4*$O102)/(Q102+Config!$B$4)))</f>
        <v>0.7185714286</v>
      </c>
      <c r="U102" s="11">
        <f>IF(S102="","",(Q102*S102+Config!$B$4*$P102)/(Q102+Config!$B$4))</f>
        <v>0.5948571429</v>
      </c>
      <c r="V102" s="17">
        <f>IF(OR(T102="",$J102=""),"",T102*$J102*($J102/Config!$B$10)^Config!$B$9)</f>
        <v>15.12592857</v>
      </c>
      <c r="W102" s="17">
        <f t="shared" si="1"/>
        <v>8.997766653</v>
      </c>
      <c r="X102" s="4">
        <f>IF($H102="",0,SUMIFS(Map_Stats!$F$2:$F$825,Map_Stats!$A$2:$A$825,$F102&amp;"|"&amp;$H102))</f>
        <v>8</v>
      </c>
      <c r="Y102" s="18">
        <f t="array" ref="Y102">IF($H102="","",IFERROR(1/(1/INDEX(Map_Stats!$K$2:$K$825,MATCH($F102&amp;"|"&amp;$H102,Map_Stats!$A$2:$A$825,0))),$O102))</f>
        <v>0.75</v>
      </c>
      <c r="Z102" s="11">
        <f t="array" ref="Z102">IF(OR($H102="",$P102=""),"",IFERROR(1/(1/INDEX(Map_Stats!$I$2:$I$825,MATCH($F102&amp;"|"&amp;$H102,Map_Stats!$A$2:$A$825,0))),$P102))</f>
        <v>0.458</v>
      </c>
      <c r="AA102" s="18">
        <f>IF(OR($H102="",Y102=""),"",IF($O102="",Y102,(X102*Y102+Config!$B$4*$O102)/(X102+Config!$B$4)))</f>
        <v>0.7269230769</v>
      </c>
      <c r="AB102" s="11">
        <f>IF(Z102="","",(X102*Z102+Config!$B$4*$P102)/(X102+Config!$B$4))</f>
        <v>0.4949230769</v>
      </c>
      <c r="AC102" s="17">
        <f>IF(OR(AA102="",$K102=""),"",AA102*$K102*($K102/Config!$B$10)^Config!$B$9)</f>
        <v>15.62884615</v>
      </c>
      <c r="AD102" s="17">
        <f t="shared" si="2"/>
        <v>7.735076627</v>
      </c>
      <c r="AE102" s="4">
        <f>IF($I102="",0,SUMIFS(Map_Stats!$F$2:$F$825,Map_Stats!$A$2:$A$825,$F102&amp;"|"&amp;$I102))</f>
        <v>0</v>
      </c>
      <c r="AF102" s="18" t="str">
        <f t="array" ref="AF102">IF($I102="","",IFERROR(1/(1/INDEX(Map_Stats!$K$2:$K$825,MATCH($F102&amp;"|"&amp;$I102,Map_Stats!$A$2:$A$825,0))),$O102))</f>
        <v/>
      </c>
      <c r="AG102" s="11" t="str">
        <f t="array" ref="AG102">IF(OR($I102="",$P102=""),"",IFERROR(1/(1/INDEX(Map_Stats!$I$2:$I$825,MATCH($F102&amp;"|"&amp;$I102,Map_Stats!$A$2:$A$825,0))),$P102))</f>
        <v/>
      </c>
      <c r="AH102" s="18" t="str">
        <f>IF(OR($I102="",AF102=""),"",IF($O102="",AF102,(AE102*AF102+Config!$B$4*$O102)/(AE102+Config!$B$4)))</f>
        <v/>
      </c>
      <c r="AI102" s="11" t="str">
        <f>IF(AG102="","",(AE102*AG102+Config!$B$4*$P102)/(AE102+Config!$B$4))</f>
        <v/>
      </c>
      <c r="AJ102" s="17" t="str">
        <f>IF(OR(AH102="",$L102=""),"",AH102*$L102*($L102/Config!$B$10)^Config!$B$9)</f>
        <v/>
      </c>
      <c r="AK102" s="17" t="str">
        <f t="shared" si="3"/>
        <v/>
      </c>
      <c r="AL102" s="17">
        <f t="shared" si="4"/>
        <v>30.75477473</v>
      </c>
      <c r="AM102" s="17">
        <f t="shared" si="5"/>
        <v>30.75477473</v>
      </c>
      <c r="AN102" s="17">
        <f t="shared" si="6"/>
        <v>16.73284328</v>
      </c>
      <c r="AO102" s="17">
        <f t="shared" si="7"/>
        <v>16.73284328</v>
      </c>
      <c r="AP102" s="11">
        <f t="shared" si="8"/>
        <v>0.5440730238</v>
      </c>
      <c r="AQ102" s="4" t="str">
        <f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4" t="str">
        <f>IF($C102=Board!$B$2,COUNTIFS($C$2:$C$157,Board!$B$2,$AL$2:$AL$157,"&gt;"&amp;$AL102)+COUNTIFS($C$1:$C101,Board!$B$2,$AL$1:$AL101,$AL102)+1,"")</f>
        <v/>
      </c>
      <c r="AS102" s="4" t="str">
        <f t="array" ref="AS102">IFERROR(IF($D102=INDEX(Matches!$AD$5:$AD$22,MATCH($C102,Matches!$A$5:$A$22,0)),"A",IF($D102=INDEX(Matches!$AE$5:$AE$22,MATCH($C102,Matches!$A$5:$A$22,0)),"B","")),"")</f>
        <v>B</v>
      </c>
      <c r="AT102" s="11">
        <f t="array" ref="AT102">IF($AS102="","",IFERROR(IF($AS102="A",INDEX(Matches!$AI$5:$AI$22,MATCH($C102,Matches!$A$5:$A$22,0)),INDEX(Matches!$AJ$5:$AJ$22,MATCH($C102,Matches!$A$5:$A$22,0))),""))</f>
        <v>0.5021995832</v>
      </c>
      <c r="AU102" s="11">
        <f t="array" ref="AU102">IF($AS102="","",IFERROR(IF(INDEX(Matches!$AP$5:$AP$22,MATCH($C102,Matches!$A$5:$A$22,0))="","",IF($AS102="A",INDEX(Matches!$AP$5:$AP$22,MATCH($C102,Matches!$A$5:$A$22,0)),1-INDEX(Matches!$AP$5:$AP$22,MATCH($C102,Matches!$A$5:$A$22,0)))),""))</f>
        <v>0.4584666887</v>
      </c>
      <c r="AV102" s="18">
        <f>IF(OR($AU102="",$AT102=""),1,((Config!$B$14*$AU102+Config!$B$15*(1-$AU102))/(Config!$B$14*$AT102+Config!$B$15*(1-$AT102)))^Config!$B$13)</f>
        <v>0.9609962064</v>
      </c>
      <c r="AW102" s="11">
        <f t="array" ref="AW102">IF($AS102="","",IFERROR(IF(INDEX(Matches!$AV$5:$AV$22,MATCH($C102,Matches!$A$5:$A$22,0))="","",IF($AS102="A",INDEX(Matches!$AV$5:$AV$22,MATCH($C102,Matches!$A$5:$A$22,0)),1-INDEX(Matches!$AV$5:$AV$22,MATCH($C102,Matches!$A$5:$A$22,0)))),""))</f>
        <v>0.4878218039</v>
      </c>
      <c r="AX102" s="18">
        <f>IF(OR($AW102="",$AT102=""),1,((Config!$B$14*$AW102+Config!$B$15*(1-$AW102))/(Config!$B$14*$AT102+Config!$B$15*(1-$AT102)))^Config!$B$13)</f>
        <v>0.9871769764</v>
      </c>
      <c r="AY102" s="11" t="str">
        <f t="array" ref="AY102">IF($AS102="","",IFERROR(IF(INDEX(Matches!$BB$5:$BB$22,MATCH($C102,Matches!$A$5:$A$22,0))="","",IF($AS102="A",INDEX(Matches!$BB$5:$BB$22,MATCH($C102,Matches!$A$5:$A$22,0)),1-INDEX(Matches!$BB$5:$BB$22,MATCH($C102,Matches!$A$5:$A$22,0)))),""))</f>
        <v/>
      </c>
      <c r="AZ102" s="18">
        <f>IF(OR($AY102="",$AT102=""),1,((Config!$B$14*$AY102+Config!$B$15*(1-$AY102))/(Config!$B$14*$AT102+Config!$B$15*(1-$AT102)))^Config!$B$13)</f>
        <v>1</v>
      </c>
      <c r="BA102" s="17">
        <f t="shared" si="9"/>
        <v>14.53595997</v>
      </c>
      <c r="BB102" s="17">
        <f t="shared" si="10"/>
        <v>15.42843709</v>
      </c>
      <c r="BC102" s="17" t="str">
        <f t="shared" si="11"/>
        <v/>
      </c>
      <c r="BD102" s="17">
        <f t="shared" si="12"/>
        <v>29.96439707</v>
      </c>
      <c r="BE102" s="17">
        <f t="shared" si="13"/>
        <v>29.96439707</v>
      </c>
      <c r="BF102" s="17">
        <f t="shared" si="14"/>
        <v>8.646819619</v>
      </c>
      <c r="BG102" s="17">
        <f t="shared" si="15"/>
        <v>7.635889557</v>
      </c>
      <c r="BH102" s="17" t="str">
        <f t="shared" si="16"/>
        <v/>
      </c>
      <c r="BI102" s="17">
        <f t="shared" si="17"/>
        <v>16.28270918</v>
      </c>
      <c r="BJ102" s="17">
        <f t="shared" si="18"/>
        <v>16.28270918</v>
      </c>
      <c r="BK102" s="18">
        <f t="shared" si="19"/>
        <v>0.9743006519</v>
      </c>
    </row>
    <row r="103" ht="15.75" customHeight="1">
      <c r="A103" s="4" t="s">
        <v>3234</v>
      </c>
      <c r="B103" s="4" t="s">
        <v>86</v>
      </c>
      <c r="C103" s="4" t="s">
        <v>1794</v>
      </c>
      <c r="D103" s="4" t="s">
        <v>858</v>
      </c>
      <c r="E103" s="4" t="s">
        <v>1519</v>
      </c>
      <c r="F103" s="4" t="s">
        <v>1518</v>
      </c>
      <c r="G103" s="4" t="str">
        <f t="array" ref="G103">IFERROR(IF(INDEX(Matches!$W$5:$W$22,MATCH($C103,Matches!$A$5:$A$22,0))="","",INDEX(Matches!$W$5:$W$22,MATCH($C103,Matches!$A$5:$A$22,0))),"")</f>
        <v>Ancient</v>
      </c>
      <c r="H103" s="4" t="str">
        <f t="array" ref="H103">IFERROR(IF(INDEX(Matches!$X$5:$X$22,MATCH($C103,Matches!$A$5:$A$22,0))="","",INDEX(Matches!$X$5:$X$22,MATCH($C103,Matches!$A$5:$A$22,0))),"")</f>
        <v>Mirage</v>
      </c>
      <c r="I103" s="4" t="str">
        <f t="array" ref="I103">IFERROR(IF(INDEX(Matches!$Y$5:$Y$22,MATCH($C103,Matches!$A$5:$A$22,0))="","",INDEX(Matches!$Y$5:$Y$22,MATCH($C103,Matches!$A$5:$A$22,0))),"")</f>
        <v/>
      </c>
      <c r="J103" s="4">
        <f t="array" ref="J103">IFERROR(IF(INDEX(Matches!$Z$5:$Z$22,MATCH($C103,Matches!$A$5:$A$22,0))="","",INDEX(Matches!$Z$5:$Z$22,MATCH($C103,Matches!$A$5:$A$22,0))),"")</f>
        <v>21.05</v>
      </c>
      <c r="K103" s="4">
        <f t="array" ref="K103">IFERROR(IF(INDEX(Matches!$AA$5:$AA$22,MATCH($C103,Matches!$A$5:$A$22,0))="","",INDEX(Matches!$AA$5:$AA$22,MATCH($C103,Matches!$A$5:$A$22,0))),"")</f>
        <v>21.5</v>
      </c>
      <c r="L103" s="4" t="str">
        <f t="array" ref="L103">IFERROR(IF(INDEX(Matches!$AB$5:$AB$22,MATCH($C103,Matches!$A$5:$A$22,0))="","",INDEX(Matches!$AB$5:$AB$22,MATCH($C103,Matches!$A$5:$A$22,0))),"")</f>
        <v/>
      </c>
      <c r="M103" s="11">
        <f t="array" ref="M103">IFERROR(IF(INDEX(Matches!$AC$5:$AC$22,MATCH($C103,Matches!$A$5:$A$22,0))="","",INDEX(Matches!$AC$5:$AC$22,MATCH($C103,Matches!$A$5:$A$22,0))),"")</f>
        <v>0</v>
      </c>
      <c r="N103" s="4">
        <f t="array" ref="N103">IFERROR(INDEX(Players!$F$2:$F$127,MATCH($F103,Players!$A$2:$A$127,0)),0)</f>
        <v>35</v>
      </c>
      <c r="O103" s="18">
        <f t="array" ref="O103">IFERROR(1/(1/INDEX(Players!$H$2:$H$127,MATCH($F103,Players!$A$2:$A$127,0))),"")</f>
        <v>0.66</v>
      </c>
      <c r="P103" s="11">
        <f t="array" ref="P103">IFERROR(1/(1/INDEX(Players!$I$2:$I$127,MATCH($F103,Players!$A$2:$A$127,0))),"")</f>
        <v>0.53</v>
      </c>
      <c r="Q103" s="4">
        <f>IF($G103="",0,SUMIFS(Map_Stats!$F$2:$F$825,Map_Stats!$A$2:$A$825,$F103&amp;"|"&amp;$G103))</f>
        <v>11</v>
      </c>
      <c r="R103" s="18">
        <f t="array" ref="R103">IF($G103="","",IFERROR(1/(1/INDEX(Map_Stats!$K$2:$K$825,MATCH($F103&amp;"|"&amp;$G103,Map_Stats!$A$2:$A$825,0))),$O103))</f>
        <v>0.67</v>
      </c>
      <c r="S103" s="11">
        <f t="array" ref="S103">IF(OR($G103="",$P103=""),"",IFERROR(1/(1/INDEX(Map_Stats!$I$2:$I$825,MATCH($F103&amp;"|"&amp;$G103,Map_Stats!$A$2:$A$825,0))),$P103))</f>
        <v>0.474</v>
      </c>
      <c r="T103" s="18">
        <f>IF(OR($G103="",R103=""),"",IF($O103="",R103,(Q103*R103+Config!$B$4*$O103)/(Q103+Config!$B$4)))</f>
        <v>0.666875</v>
      </c>
      <c r="U103" s="11">
        <f>IF(S103="","",(Q103*S103+Config!$B$4*$P103)/(Q103+Config!$B$4))</f>
        <v>0.4915</v>
      </c>
      <c r="V103" s="17">
        <f>IF(OR(T103="",$J103=""),"",T103*$J103*($J103/Config!$B$10)^Config!$B$9)</f>
        <v>14.03771875</v>
      </c>
      <c r="W103" s="17">
        <f t="shared" si="1"/>
        <v>6.899538766</v>
      </c>
      <c r="X103" s="4">
        <f>IF($H103="",0,SUMIFS(Map_Stats!$F$2:$F$825,Map_Stats!$A$2:$A$825,$F103&amp;"|"&amp;$H103))</f>
        <v>4</v>
      </c>
      <c r="Y103" s="18">
        <f t="array" ref="Y103">IF($H103="","",IFERROR(1/(1/INDEX(Map_Stats!$K$2:$K$825,MATCH($F103&amp;"|"&amp;$H103,Map_Stats!$A$2:$A$825,0))),$O103))</f>
        <v>0.67</v>
      </c>
      <c r="Z103" s="11">
        <f t="array" ref="Z103">IF(OR($H103="",$P103=""),"",IFERROR(1/(1/INDEX(Map_Stats!$I$2:$I$825,MATCH($F103&amp;"|"&amp;$H103,Map_Stats!$A$2:$A$825,0))),$P103))</f>
        <v>0.603</v>
      </c>
      <c r="AA103" s="18">
        <f>IF(OR($H103="",Y103=""),"",IF($O103="",Y103,(X103*Y103+Config!$B$4*$O103)/(X103+Config!$B$4)))</f>
        <v>0.6644444444</v>
      </c>
      <c r="AB103" s="11">
        <f>IF(Z103="","",(X103*Z103+Config!$B$4*$P103)/(X103+Config!$B$4))</f>
        <v>0.5624444444</v>
      </c>
      <c r="AC103" s="17">
        <f>IF(OR(AA103="",$K103=""),"",AA103*$K103*($K103/Config!$B$10)^Config!$B$9)</f>
        <v>14.28555556</v>
      </c>
      <c r="AD103" s="17">
        <f t="shared" si="2"/>
        <v>8.034831358</v>
      </c>
      <c r="AE103" s="4">
        <f>IF($I103="",0,SUMIFS(Map_Stats!$F$2:$F$825,Map_Stats!$A$2:$A$825,$F103&amp;"|"&amp;$I103))</f>
        <v>0</v>
      </c>
      <c r="AF103" s="18" t="str">
        <f t="array" ref="AF103">IF($I103="","",IFERROR(1/(1/INDEX(Map_Stats!$K$2:$K$825,MATCH($F103&amp;"|"&amp;$I103,Map_Stats!$A$2:$A$825,0))),$O103))</f>
        <v/>
      </c>
      <c r="AG103" s="11" t="str">
        <f t="array" ref="AG103">IF(OR($I103="",$P103=""),"",IFERROR(1/(1/INDEX(Map_Stats!$I$2:$I$825,MATCH($F103&amp;"|"&amp;$I103,Map_Stats!$A$2:$A$825,0))),$P103))</f>
        <v/>
      </c>
      <c r="AH103" s="18" t="str">
        <f>IF(OR($I103="",AF103=""),"",IF($O103="",AF103,(AE103*AF103+Config!$B$4*$O103)/(AE103+Config!$B$4)))</f>
        <v/>
      </c>
      <c r="AI103" s="11" t="str">
        <f>IF(AG103="","",(AE103*AG103+Config!$B$4*$P103)/(AE103+Config!$B$4))</f>
        <v/>
      </c>
      <c r="AJ103" s="17" t="str">
        <f>IF(OR(AH103="",$L103=""),"",AH103*$L103*($L103/Config!$B$10)^Config!$B$9)</f>
        <v/>
      </c>
      <c r="AK103" s="17" t="str">
        <f t="shared" si="3"/>
        <v/>
      </c>
      <c r="AL103" s="17">
        <f t="shared" si="4"/>
        <v>28.32327431</v>
      </c>
      <c r="AM103" s="17">
        <f t="shared" si="5"/>
        <v>28.32327431</v>
      </c>
      <c r="AN103" s="17">
        <f t="shared" si="6"/>
        <v>14.93437012</v>
      </c>
      <c r="AO103" s="17">
        <f t="shared" si="7"/>
        <v>14.93437012</v>
      </c>
      <c r="AP103" s="11">
        <f t="shared" si="8"/>
        <v>0.5272826144</v>
      </c>
      <c r="AQ103" s="4" t="str">
        <f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4" t="str">
        <f>IF($C103=Board!$B$2,COUNTIFS($C$2:$C$157,Board!$B$2,$AL$2:$AL$157,"&gt;"&amp;$AL103)+COUNTIFS($C$1:$C102,Board!$B$2,$AL$1:$AL102,$AL103)+1,"")</f>
        <v/>
      </c>
      <c r="AS103" s="4" t="str">
        <f t="array" ref="AS103">IFERROR(IF($D103=INDEX(Matches!$AD$5:$AD$22,MATCH($C103,Matches!$A$5:$A$22,0)),"A",IF($D103=INDEX(Matches!$AE$5:$AE$22,MATCH($C103,Matches!$A$5:$A$22,0)),"B","")),"")</f>
        <v>A</v>
      </c>
      <c r="AT103" s="11">
        <f t="array" ref="AT103">IF($AS103="","",IFERROR(IF($AS103="A",INDEX(Matches!$AI$5:$AI$22,MATCH($C103,Matches!$A$5:$A$22,0)),INDEX(Matches!$AJ$5:$AJ$22,MATCH($C103,Matches!$A$5:$A$22,0))),""))</f>
        <v>0.4862840163</v>
      </c>
      <c r="AU103" s="11">
        <f t="array" ref="AU103">IF($AS103="","",IFERROR(IF(INDEX(Matches!$AP$5:$AP$22,MATCH($C103,Matches!$A$5:$A$22,0))="","",IF($AS103="A",INDEX(Matches!$AP$5:$AP$22,MATCH($C103,Matches!$A$5:$A$22,0)),1-INDEX(Matches!$AP$5:$AP$22,MATCH($C103,Matches!$A$5:$A$22,0)))),""))</f>
        <v>0.5415333113</v>
      </c>
      <c r="AV103" s="18">
        <f>IF(OR($AU103="",$AT103=""),1,((Config!$B$14*$AU103+Config!$B$15*(1-$AU103))/(Config!$B$14*$AT103+Config!$B$15*(1-$AT103)))^Config!$B$13)</f>
        <v>1.049984361</v>
      </c>
      <c r="AW103" s="11">
        <f t="array" ref="AW103">IF($AS103="","",IFERROR(IF(INDEX(Matches!$AV$5:$AV$22,MATCH($C103,Matches!$A$5:$A$22,0))="","",IF($AS103="A",INDEX(Matches!$AV$5:$AV$22,MATCH($C103,Matches!$A$5:$A$22,0)),1-INDEX(Matches!$AV$5:$AV$22,MATCH($C103,Matches!$A$5:$A$22,0)))),""))</f>
        <v>0.5121781961</v>
      </c>
      <c r="AX103" s="18">
        <f>IF(OR($AW103="",$AT103=""),1,((Config!$B$14*$AW103+Config!$B$15*(1-$AW103))/(Config!$B$14*$AT103+Config!$B$15*(1-$AT103)))^Config!$B$13)</f>
        <v>1.023426616</v>
      </c>
      <c r="AY103" s="11" t="str">
        <f t="array" ref="AY103">IF($AS103="","",IFERROR(IF(INDEX(Matches!$BB$5:$BB$22,MATCH($C103,Matches!$A$5:$A$22,0))="","",IF($AS103="A",INDEX(Matches!$BB$5:$BB$22,MATCH($C103,Matches!$A$5:$A$22,0)),1-INDEX(Matches!$BB$5:$BB$22,MATCH($C103,Matches!$A$5:$A$22,0)))),""))</f>
        <v/>
      </c>
      <c r="AZ103" s="18">
        <f>IF(OR($AY103="",$AT103=""),1,((Config!$B$14*$AY103+Config!$B$15*(1-$AY103))/(Config!$B$14*$AT103+Config!$B$15*(1-$AT103)))^Config!$B$13)</f>
        <v>1</v>
      </c>
      <c r="BA103" s="17">
        <f t="shared" si="9"/>
        <v>14.73938515</v>
      </c>
      <c r="BB103" s="17">
        <f t="shared" si="10"/>
        <v>14.62021778</v>
      </c>
      <c r="BC103" s="17" t="str">
        <f t="shared" si="11"/>
        <v/>
      </c>
      <c r="BD103" s="17">
        <f t="shared" si="12"/>
        <v>29.35960293</v>
      </c>
      <c r="BE103" s="17">
        <f t="shared" si="13"/>
        <v>29.35960293</v>
      </c>
      <c r="BF103" s="17">
        <f t="shared" si="14"/>
        <v>7.244407799</v>
      </c>
      <c r="BG103" s="17">
        <f t="shared" si="15"/>
        <v>8.223060267</v>
      </c>
      <c r="BH103" s="17" t="str">
        <f t="shared" si="16"/>
        <v/>
      </c>
      <c r="BI103" s="17">
        <f t="shared" si="17"/>
        <v>15.46746807</v>
      </c>
      <c r="BJ103" s="17">
        <f t="shared" si="18"/>
        <v>15.46746807</v>
      </c>
      <c r="BK103" s="18">
        <f t="shared" si="19"/>
        <v>1.036589294</v>
      </c>
    </row>
    <row r="104" ht="15.75" customHeight="1">
      <c r="A104" s="4" t="s">
        <v>3235</v>
      </c>
      <c r="B104" s="4" t="s">
        <v>86</v>
      </c>
      <c r="C104" s="4" t="s">
        <v>1794</v>
      </c>
      <c r="D104" s="4" t="s">
        <v>858</v>
      </c>
      <c r="E104" s="4" t="s">
        <v>1523</v>
      </c>
      <c r="F104" s="4" t="s">
        <v>1522</v>
      </c>
      <c r="G104" s="4" t="str">
        <f t="array" ref="G104">IFERROR(IF(INDEX(Matches!$W$5:$W$22,MATCH($C104,Matches!$A$5:$A$22,0))="","",INDEX(Matches!$W$5:$W$22,MATCH($C104,Matches!$A$5:$A$22,0))),"")</f>
        <v>Ancient</v>
      </c>
      <c r="H104" s="4" t="str">
        <f t="array" ref="H104">IFERROR(IF(INDEX(Matches!$X$5:$X$22,MATCH($C104,Matches!$A$5:$A$22,0))="","",INDEX(Matches!$X$5:$X$22,MATCH($C104,Matches!$A$5:$A$22,0))),"")</f>
        <v>Mirage</v>
      </c>
      <c r="I104" s="4" t="str">
        <f t="array" ref="I104">IFERROR(IF(INDEX(Matches!$Y$5:$Y$22,MATCH($C104,Matches!$A$5:$A$22,0))="","",INDEX(Matches!$Y$5:$Y$22,MATCH($C104,Matches!$A$5:$A$22,0))),"")</f>
        <v/>
      </c>
      <c r="J104" s="4">
        <f t="array" ref="J104">IFERROR(IF(INDEX(Matches!$Z$5:$Z$22,MATCH($C104,Matches!$A$5:$A$22,0))="","",INDEX(Matches!$Z$5:$Z$22,MATCH($C104,Matches!$A$5:$A$22,0))),"")</f>
        <v>21.05</v>
      </c>
      <c r="K104" s="4">
        <f t="array" ref="K104">IFERROR(IF(INDEX(Matches!$AA$5:$AA$22,MATCH($C104,Matches!$A$5:$A$22,0))="","",INDEX(Matches!$AA$5:$AA$22,MATCH($C104,Matches!$A$5:$A$22,0))),"")</f>
        <v>21.5</v>
      </c>
      <c r="L104" s="4" t="str">
        <f t="array" ref="L104">IFERROR(IF(INDEX(Matches!$AB$5:$AB$22,MATCH($C104,Matches!$A$5:$A$22,0))="","",INDEX(Matches!$AB$5:$AB$22,MATCH($C104,Matches!$A$5:$A$22,0))),"")</f>
        <v/>
      </c>
      <c r="M104" s="11">
        <f t="array" ref="M104">IFERROR(IF(INDEX(Matches!$AC$5:$AC$22,MATCH($C104,Matches!$A$5:$A$22,0))="","",INDEX(Matches!$AC$5:$AC$22,MATCH($C104,Matches!$A$5:$A$22,0))),"")</f>
        <v>0</v>
      </c>
      <c r="N104" s="4">
        <f t="array" ref="N104">IFERROR(INDEX(Players!$F$2:$F$127,MATCH($F104,Players!$A$2:$A$127,0)),0)</f>
        <v>37</v>
      </c>
      <c r="O104" s="18">
        <f t="array" ref="O104">IFERROR(1/(1/INDEX(Players!$H$2:$H$127,MATCH($F104,Players!$A$2:$A$127,0))),"")</f>
        <v>0.67</v>
      </c>
      <c r="P104" s="11">
        <f t="array" ref="P104">IFERROR(1/(1/INDEX(Players!$I$2:$I$127,MATCH($F104,Players!$A$2:$A$127,0))),"")</f>
        <v>0.478</v>
      </c>
      <c r="Q104" s="4">
        <f>IF($G104="",0,SUMIFS(Map_Stats!$F$2:$F$825,Map_Stats!$A$2:$A$825,$F104&amp;"|"&amp;$G104))</f>
        <v>8</v>
      </c>
      <c r="R104" s="18">
        <f t="array" ref="R104">IF($G104="","",IFERROR(1/(1/INDEX(Map_Stats!$K$2:$K$825,MATCH($F104&amp;"|"&amp;$G104,Map_Stats!$A$2:$A$825,0))),$O104))</f>
        <v>0.67</v>
      </c>
      <c r="S104" s="11">
        <f t="array" ref="S104">IF(OR($G104="",$P104=""),"",IFERROR(1/(1/INDEX(Map_Stats!$I$2:$I$825,MATCH($F104&amp;"|"&amp;$G104,Map_Stats!$A$2:$A$825,0))),$P104))</f>
        <v>0.427</v>
      </c>
      <c r="T104" s="18">
        <f>IF(OR($G104="",R104=""),"",IF($O104="",R104,(Q104*R104+Config!$B$4*$O104)/(Q104+Config!$B$4)))</f>
        <v>0.67</v>
      </c>
      <c r="U104" s="11">
        <f>IF(S104="","",(Q104*S104+Config!$B$4*$P104)/(Q104+Config!$B$4))</f>
        <v>0.4466153846</v>
      </c>
      <c r="V104" s="17">
        <f>IF(OR(T104="",$J104=""),"",T104*$J104*($J104/Config!$B$10)^Config!$B$9)</f>
        <v>14.1035</v>
      </c>
      <c r="W104" s="17">
        <f t="shared" si="1"/>
        <v>6.298840077</v>
      </c>
      <c r="X104" s="4">
        <f>IF($H104="",0,SUMIFS(Map_Stats!$F$2:$F$825,Map_Stats!$A$2:$A$825,$F104&amp;"|"&amp;$H104))</f>
        <v>6</v>
      </c>
      <c r="Y104" s="18">
        <f t="array" ref="Y104">IF($H104="","",IFERROR(1/(1/INDEX(Map_Stats!$K$2:$K$825,MATCH($F104&amp;"|"&amp;$H104,Map_Stats!$A$2:$A$825,0))),$O104))</f>
        <v>0.61</v>
      </c>
      <c r="Z104" s="11">
        <f t="array" ref="Z104">IF(OR($H104="",$P104=""),"",IFERROR(1/(1/INDEX(Map_Stats!$I$2:$I$825,MATCH($F104&amp;"|"&amp;$H104,Map_Stats!$A$2:$A$825,0))),$P104))</f>
        <v>0.44</v>
      </c>
      <c r="AA104" s="18">
        <f>IF(OR($H104="",Y104=""),"",IF($O104="",Y104,(X104*Y104+Config!$B$4*$O104)/(X104+Config!$B$4)))</f>
        <v>0.6372727273</v>
      </c>
      <c r="AB104" s="11">
        <f>IF(Z104="","",(X104*Z104+Config!$B$4*$P104)/(X104+Config!$B$4))</f>
        <v>0.4572727273</v>
      </c>
      <c r="AC104" s="17">
        <f>IF(OR(AA104="",$K104=""),"",AA104*$K104*($K104/Config!$B$10)^Config!$B$9)</f>
        <v>13.70136364</v>
      </c>
      <c r="AD104" s="17">
        <f t="shared" si="2"/>
        <v>6.265259917</v>
      </c>
      <c r="AE104" s="4">
        <f>IF($I104="",0,SUMIFS(Map_Stats!$F$2:$F$825,Map_Stats!$A$2:$A$825,$F104&amp;"|"&amp;$I104))</f>
        <v>0</v>
      </c>
      <c r="AF104" s="18" t="str">
        <f t="array" ref="AF104">IF($I104="","",IFERROR(1/(1/INDEX(Map_Stats!$K$2:$K$825,MATCH($F104&amp;"|"&amp;$I104,Map_Stats!$A$2:$A$825,0))),$O104))</f>
        <v/>
      </c>
      <c r="AG104" s="11" t="str">
        <f t="array" ref="AG104">IF(OR($I104="",$P104=""),"",IFERROR(1/(1/INDEX(Map_Stats!$I$2:$I$825,MATCH($F104&amp;"|"&amp;$I104,Map_Stats!$A$2:$A$825,0))),$P104))</f>
        <v/>
      </c>
      <c r="AH104" s="18" t="str">
        <f>IF(OR($I104="",AF104=""),"",IF($O104="",AF104,(AE104*AF104+Config!$B$4*$O104)/(AE104+Config!$B$4)))</f>
        <v/>
      </c>
      <c r="AI104" s="11" t="str">
        <f>IF(AG104="","",(AE104*AG104+Config!$B$4*$P104)/(AE104+Config!$B$4))</f>
        <v/>
      </c>
      <c r="AJ104" s="17" t="str">
        <f>IF(OR(AH104="",$L104=""),"",AH104*$L104*($L104/Config!$B$10)^Config!$B$9)</f>
        <v/>
      </c>
      <c r="AK104" s="17" t="str">
        <f t="shared" si="3"/>
        <v/>
      </c>
      <c r="AL104" s="17">
        <f t="shared" si="4"/>
        <v>27.80486364</v>
      </c>
      <c r="AM104" s="17">
        <f t="shared" si="5"/>
        <v>27.80486364</v>
      </c>
      <c r="AN104" s="17">
        <f t="shared" si="6"/>
        <v>12.56409999</v>
      </c>
      <c r="AO104" s="17">
        <f t="shared" si="7"/>
        <v>12.56409999</v>
      </c>
      <c r="AP104" s="11">
        <f t="shared" si="8"/>
        <v>0.4518669884</v>
      </c>
      <c r="AQ104" s="4" t="str">
        <f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4" t="str">
        <f>IF($C104=Board!$B$2,COUNTIFS($C$2:$C$157,Board!$B$2,$AL$2:$AL$157,"&gt;"&amp;$AL104)+COUNTIFS($C$1:$C103,Board!$B$2,$AL$1:$AL103,$AL104)+1,"")</f>
        <v/>
      </c>
      <c r="AS104" s="4" t="str">
        <f t="array" ref="AS104">IFERROR(IF($D104=INDEX(Matches!$AD$5:$AD$22,MATCH($C104,Matches!$A$5:$A$22,0)),"A",IF($D104=INDEX(Matches!$AE$5:$AE$22,MATCH($C104,Matches!$A$5:$A$22,0)),"B","")),"")</f>
        <v>A</v>
      </c>
      <c r="AT104" s="11">
        <f t="array" ref="AT104">IF($AS104="","",IFERROR(IF($AS104="A",INDEX(Matches!$AI$5:$AI$22,MATCH($C104,Matches!$A$5:$A$22,0)),INDEX(Matches!$AJ$5:$AJ$22,MATCH($C104,Matches!$A$5:$A$22,0))),""))</f>
        <v>0.4862840163</v>
      </c>
      <c r="AU104" s="11">
        <f t="array" ref="AU104">IF($AS104="","",IFERROR(IF(INDEX(Matches!$AP$5:$AP$22,MATCH($C104,Matches!$A$5:$A$22,0))="","",IF($AS104="A",INDEX(Matches!$AP$5:$AP$22,MATCH($C104,Matches!$A$5:$A$22,0)),1-INDEX(Matches!$AP$5:$AP$22,MATCH($C104,Matches!$A$5:$A$22,0)))),""))</f>
        <v>0.5415333113</v>
      </c>
      <c r="AV104" s="18">
        <f>IF(OR($AU104="",$AT104=""),1,((Config!$B$14*$AU104+Config!$B$15*(1-$AU104))/(Config!$B$14*$AT104+Config!$B$15*(1-$AT104)))^Config!$B$13)</f>
        <v>1.049984361</v>
      </c>
      <c r="AW104" s="11">
        <f t="array" ref="AW104">IF($AS104="","",IFERROR(IF(INDEX(Matches!$AV$5:$AV$22,MATCH($C104,Matches!$A$5:$A$22,0))="","",IF($AS104="A",INDEX(Matches!$AV$5:$AV$22,MATCH($C104,Matches!$A$5:$A$22,0)),1-INDEX(Matches!$AV$5:$AV$22,MATCH($C104,Matches!$A$5:$A$22,0)))),""))</f>
        <v>0.5121781961</v>
      </c>
      <c r="AX104" s="18">
        <f>IF(OR($AW104="",$AT104=""),1,((Config!$B$14*$AW104+Config!$B$15*(1-$AW104))/(Config!$B$14*$AT104+Config!$B$15*(1-$AT104)))^Config!$B$13)</f>
        <v>1.023426616</v>
      </c>
      <c r="AY104" s="11" t="str">
        <f t="array" ref="AY104">IF($AS104="","",IFERROR(IF(INDEX(Matches!$BB$5:$BB$22,MATCH($C104,Matches!$A$5:$A$22,0))="","",IF($AS104="A",INDEX(Matches!$BB$5:$BB$22,MATCH($C104,Matches!$A$5:$A$22,0)),1-INDEX(Matches!$BB$5:$BB$22,MATCH($C104,Matches!$A$5:$A$22,0)))),""))</f>
        <v/>
      </c>
      <c r="AZ104" s="18">
        <f>IF(OR($AY104="",$AT104=""),1,((Config!$B$14*$AY104+Config!$B$15*(1-$AY104))/(Config!$B$14*$AT104+Config!$B$15*(1-$AT104)))^Config!$B$13)</f>
        <v>1</v>
      </c>
      <c r="BA104" s="17">
        <f t="shared" si="9"/>
        <v>14.80845443</v>
      </c>
      <c r="BB104" s="17">
        <f t="shared" si="10"/>
        <v>14.02234022</v>
      </c>
      <c r="BC104" s="17" t="str">
        <f t="shared" si="11"/>
        <v/>
      </c>
      <c r="BD104" s="17">
        <f t="shared" si="12"/>
        <v>28.83079465</v>
      </c>
      <c r="BE104" s="17">
        <f t="shared" si="13"/>
        <v>28.83079465</v>
      </c>
      <c r="BF104" s="17">
        <f t="shared" si="14"/>
        <v>6.61368357</v>
      </c>
      <c r="BG104" s="17">
        <f t="shared" si="15"/>
        <v>6.412033756</v>
      </c>
      <c r="BH104" s="17" t="str">
        <f t="shared" si="16"/>
        <v/>
      </c>
      <c r="BI104" s="17">
        <f t="shared" si="17"/>
        <v>13.02571733</v>
      </c>
      <c r="BJ104" s="17">
        <f t="shared" si="18"/>
        <v>13.02571733</v>
      </c>
      <c r="BK104" s="18">
        <f t="shared" si="19"/>
        <v>1.036897538</v>
      </c>
    </row>
    <row r="105" ht="15.75" customHeight="1">
      <c r="A105" s="4" t="s">
        <v>3236</v>
      </c>
      <c r="B105" s="4" t="s">
        <v>86</v>
      </c>
      <c r="C105" s="4" t="s">
        <v>1794</v>
      </c>
      <c r="D105" s="4" t="s">
        <v>858</v>
      </c>
      <c r="E105" s="4" t="s">
        <v>1526</v>
      </c>
      <c r="F105" s="4" t="s">
        <v>1525</v>
      </c>
      <c r="G105" s="4" t="str">
        <f t="array" ref="G105">IFERROR(IF(INDEX(Matches!$W$5:$W$22,MATCH($C105,Matches!$A$5:$A$22,0))="","",INDEX(Matches!$W$5:$W$22,MATCH($C105,Matches!$A$5:$A$22,0))),"")</f>
        <v>Ancient</v>
      </c>
      <c r="H105" s="4" t="str">
        <f t="array" ref="H105">IFERROR(IF(INDEX(Matches!$X$5:$X$22,MATCH($C105,Matches!$A$5:$A$22,0))="","",INDEX(Matches!$X$5:$X$22,MATCH($C105,Matches!$A$5:$A$22,0))),"")</f>
        <v>Mirage</v>
      </c>
      <c r="I105" s="4" t="str">
        <f t="array" ref="I105">IFERROR(IF(INDEX(Matches!$Y$5:$Y$22,MATCH($C105,Matches!$A$5:$A$22,0))="","",INDEX(Matches!$Y$5:$Y$22,MATCH($C105,Matches!$A$5:$A$22,0))),"")</f>
        <v/>
      </c>
      <c r="J105" s="4">
        <f t="array" ref="J105">IFERROR(IF(INDEX(Matches!$Z$5:$Z$22,MATCH($C105,Matches!$A$5:$A$22,0))="","",INDEX(Matches!$Z$5:$Z$22,MATCH($C105,Matches!$A$5:$A$22,0))),"")</f>
        <v>21.05</v>
      </c>
      <c r="K105" s="4">
        <f t="array" ref="K105">IFERROR(IF(INDEX(Matches!$AA$5:$AA$22,MATCH($C105,Matches!$A$5:$A$22,0))="","",INDEX(Matches!$AA$5:$AA$22,MATCH($C105,Matches!$A$5:$A$22,0))),"")</f>
        <v>21.5</v>
      </c>
      <c r="L105" s="4" t="str">
        <f t="array" ref="L105">IFERROR(IF(INDEX(Matches!$AB$5:$AB$22,MATCH($C105,Matches!$A$5:$A$22,0))="","",INDEX(Matches!$AB$5:$AB$22,MATCH($C105,Matches!$A$5:$A$22,0))),"")</f>
        <v/>
      </c>
      <c r="M105" s="11">
        <f t="array" ref="M105">IFERROR(IF(INDEX(Matches!$AC$5:$AC$22,MATCH($C105,Matches!$A$5:$A$22,0))="","",INDEX(Matches!$AC$5:$AC$22,MATCH($C105,Matches!$A$5:$A$22,0))),"")</f>
        <v>0</v>
      </c>
      <c r="N105" s="4">
        <f t="array" ref="N105">IFERROR(INDEX(Players!$F$2:$F$127,MATCH($F105,Players!$A$2:$A$127,0)),0)</f>
        <v>37</v>
      </c>
      <c r="O105" s="18">
        <f t="array" ref="O105">IFERROR(1/(1/INDEX(Players!$H$2:$H$127,MATCH($F105,Players!$A$2:$A$127,0))),"")</f>
        <v>0.64</v>
      </c>
      <c r="P105" s="11">
        <f t="array" ref="P105">IFERROR(1/(1/INDEX(Players!$I$2:$I$127,MATCH($F105,Players!$A$2:$A$127,0))),"")</f>
        <v>0.625</v>
      </c>
      <c r="Q105" s="4">
        <f>IF($G105="",0,SUMIFS(Map_Stats!$F$2:$F$825,Map_Stats!$A$2:$A$825,$F105&amp;"|"&amp;$G105))</f>
        <v>8</v>
      </c>
      <c r="R105" s="18">
        <f t="array" ref="R105">IF($G105="","",IFERROR(1/(1/INDEX(Map_Stats!$K$2:$K$825,MATCH($F105&amp;"|"&amp;$G105,Map_Stats!$A$2:$A$825,0))),$O105))</f>
        <v>0.65</v>
      </c>
      <c r="S105" s="11">
        <f t="array" ref="S105">IF(OR($G105="",$P105=""),"",IFERROR(1/(1/INDEX(Map_Stats!$I$2:$I$825,MATCH($F105&amp;"|"&amp;$G105,Map_Stats!$A$2:$A$825,0))),$P105))</f>
        <v>0.651</v>
      </c>
      <c r="T105" s="18">
        <f>IF(OR($G105="",R105=""),"",IF($O105="",R105,(Q105*R105+Config!$B$4*$O105)/(Q105+Config!$B$4)))</f>
        <v>0.6461538462</v>
      </c>
      <c r="U105" s="11">
        <f>IF(S105="","",(Q105*S105+Config!$B$4*$P105)/(Q105+Config!$B$4))</f>
        <v>0.641</v>
      </c>
      <c r="V105" s="17">
        <f>IF(OR(T105="",$J105=""),"",T105*$J105*($J105/Config!$B$10)^Config!$B$9)</f>
        <v>13.60153846</v>
      </c>
      <c r="W105" s="17">
        <f t="shared" si="1"/>
        <v>8.718586154</v>
      </c>
      <c r="X105" s="4">
        <f>IF($H105="",0,SUMIFS(Map_Stats!$F$2:$F$825,Map_Stats!$A$2:$A$825,$F105&amp;"|"&amp;$H105))</f>
        <v>6</v>
      </c>
      <c r="Y105" s="18">
        <f t="array" ref="Y105">IF($H105="","",IFERROR(1/(1/INDEX(Map_Stats!$K$2:$K$825,MATCH($F105&amp;"|"&amp;$H105,Map_Stats!$A$2:$A$825,0))),$O105))</f>
        <v>0.65</v>
      </c>
      <c r="Z105" s="11">
        <f t="array" ref="Z105">IF(OR($H105="",$P105=""),"",IFERROR(1/(1/INDEX(Map_Stats!$I$2:$I$825,MATCH($F105&amp;"|"&amp;$H105,Map_Stats!$A$2:$A$825,0))),$P105))</f>
        <v>0.625</v>
      </c>
      <c r="AA105" s="18">
        <f>IF(OR($H105="",Y105=""),"",IF($O105="",Y105,(X105*Y105+Config!$B$4*$O105)/(X105+Config!$B$4)))</f>
        <v>0.6454545455</v>
      </c>
      <c r="AB105" s="11">
        <f>IF(Z105="","",(X105*Z105+Config!$B$4*$P105)/(X105+Config!$B$4))</f>
        <v>0.625</v>
      </c>
      <c r="AC105" s="17">
        <f>IF(OR(AA105="",$K105=""),"",AA105*$K105*($K105/Config!$B$10)^Config!$B$9)</f>
        <v>13.87727273</v>
      </c>
      <c r="AD105" s="17">
        <f t="shared" si="2"/>
        <v>8.673295455</v>
      </c>
      <c r="AE105" s="4">
        <f>IF($I105="",0,SUMIFS(Map_Stats!$F$2:$F$825,Map_Stats!$A$2:$A$825,$F105&amp;"|"&amp;$I105))</f>
        <v>0</v>
      </c>
      <c r="AF105" s="18" t="str">
        <f t="array" ref="AF105">IF($I105="","",IFERROR(1/(1/INDEX(Map_Stats!$K$2:$K$825,MATCH($F105&amp;"|"&amp;$I105,Map_Stats!$A$2:$A$825,0))),$O105))</f>
        <v/>
      </c>
      <c r="AG105" s="11" t="str">
        <f t="array" ref="AG105">IF(OR($I105="",$P105=""),"",IFERROR(1/(1/INDEX(Map_Stats!$I$2:$I$825,MATCH($F105&amp;"|"&amp;$I105,Map_Stats!$A$2:$A$825,0))),$P105))</f>
        <v/>
      </c>
      <c r="AH105" s="18" t="str">
        <f>IF(OR($I105="",AF105=""),"",IF($O105="",AF105,(AE105*AF105+Config!$B$4*$O105)/(AE105+Config!$B$4)))</f>
        <v/>
      </c>
      <c r="AI105" s="11" t="str">
        <f>IF(AG105="","",(AE105*AG105+Config!$B$4*$P105)/(AE105+Config!$B$4))</f>
        <v/>
      </c>
      <c r="AJ105" s="17" t="str">
        <f>IF(OR(AH105="",$L105=""),"",AH105*$L105*($L105/Config!$B$10)^Config!$B$9)</f>
        <v/>
      </c>
      <c r="AK105" s="17" t="str">
        <f t="shared" si="3"/>
        <v/>
      </c>
      <c r="AL105" s="17">
        <f t="shared" si="4"/>
        <v>27.47881119</v>
      </c>
      <c r="AM105" s="17">
        <f t="shared" si="5"/>
        <v>27.47881119</v>
      </c>
      <c r="AN105" s="17">
        <f t="shared" si="6"/>
        <v>17.39188161</v>
      </c>
      <c r="AO105" s="17">
        <f t="shared" si="7"/>
        <v>17.39188161</v>
      </c>
      <c r="AP105" s="11">
        <f t="shared" si="8"/>
        <v>0.6329197245</v>
      </c>
      <c r="AQ105" s="4" t="str">
        <f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4" t="str">
        <f>IF($C105=Board!$B$2,COUNTIFS($C$2:$C$157,Board!$B$2,$AL$2:$AL$157,"&gt;"&amp;$AL105)+COUNTIFS($C$1:$C104,Board!$B$2,$AL$1:$AL104,$AL105)+1,"")</f>
        <v/>
      </c>
      <c r="AS105" s="4" t="str">
        <f t="array" ref="AS105">IFERROR(IF($D105=INDEX(Matches!$AD$5:$AD$22,MATCH($C105,Matches!$A$5:$A$22,0)),"A",IF($D105=INDEX(Matches!$AE$5:$AE$22,MATCH($C105,Matches!$A$5:$A$22,0)),"B","")),"")</f>
        <v>A</v>
      </c>
      <c r="AT105" s="11">
        <f t="array" ref="AT105">IF($AS105="","",IFERROR(IF($AS105="A",INDEX(Matches!$AI$5:$AI$22,MATCH($C105,Matches!$A$5:$A$22,0)),INDEX(Matches!$AJ$5:$AJ$22,MATCH($C105,Matches!$A$5:$A$22,0))),""))</f>
        <v>0.4862840163</v>
      </c>
      <c r="AU105" s="11">
        <f t="array" ref="AU105">IF($AS105="","",IFERROR(IF(INDEX(Matches!$AP$5:$AP$22,MATCH($C105,Matches!$A$5:$A$22,0))="","",IF($AS105="A",INDEX(Matches!$AP$5:$AP$22,MATCH($C105,Matches!$A$5:$A$22,0)),1-INDEX(Matches!$AP$5:$AP$22,MATCH($C105,Matches!$A$5:$A$22,0)))),""))</f>
        <v>0.5415333113</v>
      </c>
      <c r="AV105" s="18">
        <f>IF(OR($AU105="",$AT105=""),1,((Config!$B$14*$AU105+Config!$B$15*(1-$AU105))/(Config!$B$14*$AT105+Config!$B$15*(1-$AT105)))^Config!$B$13)</f>
        <v>1.049984361</v>
      </c>
      <c r="AW105" s="11">
        <f t="array" ref="AW105">IF($AS105="","",IFERROR(IF(INDEX(Matches!$AV$5:$AV$22,MATCH($C105,Matches!$A$5:$A$22,0))="","",IF($AS105="A",INDEX(Matches!$AV$5:$AV$22,MATCH($C105,Matches!$A$5:$A$22,0)),1-INDEX(Matches!$AV$5:$AV$22,MATCH($C105,Matches!$A$5:$A$22,0)))),""))</f>
        <v>0.5121781961</v>
      </c>
      <c r="AX105" s="18">
        <f>IF(OR($AW105="",$AT105=""),1,((Config!$B$14*$AW105+Config!$B$15*(1-$AW105))/(Config!$B$14*$AT105+Config!$B$15*(1-$AT105)))^Config!$B$13)</f>
        <v>1.023426616</v>
      </c>
      <c r="AY105" s="11" t="str">
        <f t="array" ref="AY105">IF($AS105="","",IFERROR(IF(INDEX(Matches!$BB$5:$BB$22,MATCH($C105,Matches!$A$5:$A$22,0))="","",IF($AS105="A",INDEX(Matches!$BB$5:$BB$22,MATCH($C105,Matches!$A$5:$A$22,0)),1-INDEX(Matches!$BB$5:$BB$22,MATCH($C105,Matches!$A$5:$A$22,0)))),""))</f>
        <v/>
      </c>
      <c r="AZ105" s="18">
        <f>IF(OR($AY105="",$AT105=""),1,((Config!$B$14*$AY105+Config!$B$15*(1-$AY105))/(Config!$B$14*$AT105+Config!$B$15*(1-$AT105)))^Config!$B$13)</f>
        <v>1</v>
      </c>
      <c r="BA105" s="17">
        <f t="shared" si="9"/>
        <v>14.28140266</v>
      </c>
      <c r="BB105" s="17">
        <f t="shared" si="10"/>
        <v>14.20237027</v>
      </c>
      <c r="BC105" s="17" t="str">
        <f t="shared" si="11"/>
        <v/>
      </c>
      <c r="BD105" s="17">
        <f t="shared" si="12"/>
        <v>28.48377293</v>
      </c>
      <c r="BE105" s="17">
        <f t="shared" si="13"/>
        <v>28.48377293</v>
      </c>
      <c r="BF105" s="17">
        <f t="shared" si="14"/>
        <v>9.154379108</v>
      </c>
      <c r="BG105" s="17">
        <f t="shared" si="15"/>
        <v>8.876481417</v>
      </c>
      <c r="BH105" s="17" t="str">
        <f t="shared" si="16"/>
        <v/>
      </c>
      <c r="BI105" s="17">
        <f t="shared" si="17"/>
        <v>18.03086053</v>
      </c>
      <c r="BJ105" s="17">
        <f t="shared" si="18"/>
        <v>18.03086053</v>
      </c>
      <c r="BK105" s="18">
        <f t="shared" si="19"/>
        <v>1.036572242</v>
      </c>
    </row>
    <row r="106" ht="15.75" customHeight="1">
      <c r="A106" s="4" t="s">
        <v>3237</v>
      </c>
      <c r="B106" s="4" t="s">
        <v>86</v>
      </c>
      <c r="C106" s="4" t="s">
        <v>1794</v>
      </c>
      <c r="D106" s="4" t="s">
        <v>858</v>
      </c>
      <c r="E106" s="4" t="s">
        <v>1515</v>
      </c>
      <c r="F106" s="4" t="s">
        <v>1514</v>
      </c>
      <c r="G106" s="4" t="str">
        <f t="array" ref="G106">IFERROR(IF(INDEX(Matches!$W$5:$W$22,MATCH($C106,Matches!$A$5:$A$22,0))="","",INDEX(Matches!$W$5:$W$22,MATCH($C106,Matches!$A$5:$A$22,0))),"")</f>
        <v>Ancient</v>
      </c>
      <c r="H106" s="4" t="str">
        <f t="array" ref="H106">IFERROR(IF(INDEX(Matches!$X$5:$X$22,MATCH($C106,Matches!$A$5:$A$22,0))="","",INDEX(Matches!$X$5:$X$22,MATCH($C106,Matches!$A$5:$A$22,0))),"")</f>
        <v>Mirage</v>
      </c>
      <c r="I106" s="4" t="str">
        <f t="array" ref="I106">IFERROR(IF(INDEX(Matches!$Y$5:$Y$22,MATCH($C106,Matches!$A$5:$A$22,0))="","",INDEX(Matches!$Y$5:$Y$22,MATCH($C106,Matches!$A$5:$A$22,0))),"")</f>
        <v/>
      </c>
      <c r="J106" s="4">
        <f t="array" ref="J106">IFERROR(IF(INDEX(Matches!$Z$5:$Z$22,MATCH($C106,Matches!$A$5:$A$22,0))="","",INDEX(Matches!$Z$5:$Z$22,MATCH($C106,Matches!$A$5:$A$22,0))),"")</f>
        <v>21.05</v>
      </c>
      <c r="K106" s="4">
        <f t="array" ref="K106">IFERROR(IF(INDEX(Matches!$AA$5:$AA$22,MATCH($C106,Matches!$A$5:$A$22,0))="","",INDEX(Matches!$AA$5:$AA$22,MATCH($C106,Matches!$A$5:$A$22,0))),"")</f>
        <v>21.5</v>
      </c>
      <c r="L106" s="4" t="str">
        <f t="array" ref="L106">IFERROR(IF(INDEX(Matches!$AB$5:$AB$22,MATCH($C106,Matches!$A$5:$A$22,0))="","",INDEX(Matches!$AB$5:$AB$22,MATCH($C106,Matches!$A$5:$A$22,0))),"")</f>
        <v/>
      </c>
      <c r="M106" s="11">
        <f t="array" ref="M106">IFERROR(IF(INDEX(Matches!$AC$5:$AC$22,MATCH($C106,Matches!$A$5:$A$22,0))="","",INDEX(Matches!$AC$5:$AC$22,MATCH($C106,Matches!$A$5:$A$22,0))),"")</f>
        <v>0</v>
      </c>
      <c r="N106" s="4">
        <f t="array" ref="N106">IFERROR(INDEX(Players!$F$2:$F$127,MATCH($F106,Players!$A$2:$A$127,0)),0)</f>
        <v>37</v>
      </c>
      <c r="O106" s="18">
        <f t="array" ref="O106">IFERROR(1/(1/INDEX(Players!$H$2:$H$127,MATCH($F106,Players!$A$2:$A$127,0))),"")</f>
        <v>0.74</v>
      </c>
      <c r="P106" s="11">
        <f t="array" ref="P106">IFERROR(1/(1/INDEX(Players!$I$2:$I$127,MATCH($F106,Players!$A$2:$A$127,0))),"")</f>
        <v>0.44</v>
      </c>
      <c r="Q106" s="4">
        <f>IF($G106="",0,SUMIFS(Map_Stats!$F$2:$F$825,Map_Stats!$A$2:$A$825,$F106&amp;"|"&amp;$G106))</f>
        <v>8</v>
      </c>
      <c r="R106" s="18">
        <f t="array" ref="R106">IF($G106="","",IFERROR(1/(1/INDEX(Map_Stats!$K$2:$K$825,MATCH($F106&amp;"|"&amp;$G106,Map_Stats!$A$2:$A$825,0))),$O106))</f>
        <v>0.85</v>
      </c>
      <c r="S106" s="11">
        <f t="array" ref="S106">IF(OR($G106="",$P106=""),"",IFERROR(1/(1/INDEX(Map_Stats!$I$2:$I$825,MATCH($F106&amp;"|"&amp;$G106,Map_Stats!$A$2:$A$825,0))),$P106))</f>
        <v>0.42</v>
      </c>
      <c r="T106" s="18">
        <f>IF(OR($G106="",R106=""),"",IF($O106="",R106,(Q106*R106+Config!$B$4*$O106)/(Q106+Config!$B$4)))</f>
        <v>0.8076923077</v>
      </c>
      <c r="U106" s="11">
        <f>IF(S106="","",(Q106*S106+Config!$B$4*$P106)/(Q106+Config!$B$4))</f>
        <v>0.4276923077</v>
      </c>
      <c r="V106" s="17">
        <f>IF(OR(T106="",$J106=""),"",T106*$J106*($J106/Config!$B$10)^Config!$B$9)</f>
        <v>17.00192308</v>
      </c>
      <c r="W106" s="17">
        <f t="shared" si="1"/>
        <v>7.271591716</v>
      </c>
      <c r="X106" s="4">
        <f>IF($H106="",0,SUMIFS(Map_Stats!$F$2:$F$825,Map_Stats!$A$2:$A$825,$F106&amp;"|"&amp;$H106))</f>
        <v>6</v>
      </c>
      <c r="Y106" s="18">
        <f t="array" ref="Y106">IF($H106="","",IFERROR(1/(1/INDEX(Map_Stats!$K$2:$K$825,MATCH($F106&amp;"|"&amp;$H106,Map_Stats!$A$2:$A$825,0))),$O106))</f>
        <v>0.87</v>
      </c>
      <c r="Z106" s="11">
        <f t="array" ref="Z106">IF(OR($H106="",$P106=""),"",IFERROR(1/(1/INDEX(Map_Stats!$I$2:$I$825,MATCH($F106&amp;"|"&amp;$H106,Map_Stats!$A$2:$A$825,0))),$P106))</f>
        <v>0.477</v>
      </c>
      <c r="AA106" s="18">
        <f>IF(OR($H106="",Y106=""),"",IF($O106="",Y106,(X106*Y106+Config!$B$4*$O106)/(X106+Config!$B$4)))</f>
        <v>0.8109090909</v>
      </c>
      <c r="AB106" s="11">
        <f>IF(Z106="","",(X106*Z106+Config!$B$4*$P106)/(X106+Config!$B$4))</f>
        <v>0.4601818182</v>
      </c>
      <c r="AC106" s="17">
        <f>IF(OR(AA106="",$K106=""),"",AA106*$K106*($K106/Config!$B$10)^Config!$B$9)</f>
        <v>17.43454545</v>
      </c>
      <c r="AD106" s="17">
        <f t="shared" si="2"/>
        <v>8.023060826</v>
      </c>
      <c r="AE106" s="4">
        <f>IF($I106="",0,SUMIFS(Map_Stats!$F$2:$F$825,Map_Stats!$A$2:$A$825,$F106&amp;"|"&amp;$I106))</f>
        <v>0</v>
      </c>
      <c r="AF106" s="18" t="str">
        <f t="array" ref="AF106">IF($I106="","",IFERROR(1/(1/INDEX(Map_Stats!$K$2:$K$825,MATCH($F106&amp;"|"&amp;$I106,Map_Stats!$A$2:$A$825,0))),$O106))</f>
        <v/>
      </c>
      <c r="AG106" s="11" t="str">
        <f t="array" ref="AG106">IF(OR($I106="",$P106=""),"",IFERROR(1/(1/INDEX(Map_Stats!$I$2:$I$825,MATCH($F106&amp;"|"&amp;$I106,Map_Stats!$A$2:$A$825,0))),$P106))</f>
        <v/>
      </c>
      <c r="AH106" s="18" t="str">
        <f>IF(OR($I106="",AF106=""),"",IF($O106="",AF106,(AE106*AF106+Config!$B$4*$O106)/(AE106+Config!$B$4)))</f>
        <v/>
      </c>
      <c r="AI106" s="11" t="str">
        <f>IF(AG106="","",(AE106*AG106+Config!$B$4*$P106)/(AE106+Config!$B$4))</f>
        <v/>
      </c>
      <c r="AJ106" s="17" t="str">
        <f>IF(OR(AH106="",$L106=""),"",AH106*$L106*($L106/Config!$B$10)^Config!$B$9)</f>
        <v/>
      </c>
      <c r="AK106" s="17" t="str">
        <f t="shared" si="3"/>
        <v/>
      </c>
      <c r="AL106" s="17">
        <f t="shared" si="4"/>
        <v>34.43646853</v>
      </c>
      <c r="AM106" s="17">
        <f t="shared" si="5"/>
        <v>34.43646853</v>
      </c>
      <c r="AN106" s="17">
        <f t="shared" si="6"/>
        <v>15.29465254</v>
      </c>
      <c r="AO106" s="17">
        <f t="shared" si="7"/>
        <v>15.29465254</v>
      </c>
      <c r="AP106" s="11">
        <f t="shared" si="8"/>
        <v>0.4441411444</v>
      </c>
      <c r="AQ106" s="4" t="str">
        <f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4" t="str">
        <f>IF($C106=Board!$B$2,COUNTIFS($C$2:$C$157,Board!$B$2,$AL$2:$AL$157,"&gt;"&amp;$AL106)+COUNTIFS($C$1:$C105,Board!$B$2,$AL$1:$AL105,$AL106)+1,"")</f>
        <v/>
      </c>
      <c r="AS106" s="4" t="str">
        <f t="array" ref="AS106">IFERROR(IF($D106=INDEX(Matches!$AD$5:$AD$22,MATCH($C106,Matches!$A$5:$A$22,0)),"A",IF($D106=INDEX(Matches!$AE$5:$AE$22,MATCH($C106,Matches!$A$5:$A$22,0)),"B","")),"")</f>
        <v>A</v>
      </c>
      <c r="AT106" s="11">
        <f t="array" ref="AT106">IF($AS106="","",IFERROR(IF($AS106="A",INDEX(Matches!$AI$5:$AI$22,MATCH($C106,Matches!$A$5:$A$22,0)),INDEX(Matches!$AJ$5:$AJ$22,MATCH($C106,Matches!$A$5:$A$22,0))),""))</f>
        <v>0.4862840163</v>
      </c>
      <c r="AU106" s="11">
        <f t="array" ref="AU106">IF($AS106="","",IFERROR(IF(INDEX(Matches!$AP$5:$AP$22,MATCH($C106,Matches!$A$5:$A$22,0))="","",IF($AS106="A",INDEX(Matches!$AP$5:$AP$22,MATCH($C106,Matches!$A$5:$A$22,0)),1-INDEX(Matches!$AP$5:$AP$22,MATCH($C106,Matches!$A$5:$A$22,0)))),""))</f>
        <v>0.5415333113</v>
      </c>
      <c r="AV106" s="18">
        <f>IF(OR($AU106="",$AT106=""),1,((Config!$B$14*$AU106+Config!$B$15*(1-$AU106))/(Config!$B$14*$AT106+Config!$B$15*(1-$AT106)))^Config!$B$13)</f>
        <v>1.049984361</v>
      </c>
      <c r="AW106" s="11">
        <f t="array" ref="AW106">IF($AS106="","",IFERROR(IF(INDEX(Matches!$AV$5:$AV$22,MATCH($C106,Matches!$A$5:$A$22,0))="","",IF($AS106="A",INDEX(Matches!$AV$5:$AV$22,MATCH($C106,Matches!$A$5:$A$22,0)),1-INDEX(Matches!$AV$5:$AV$22,MATCH($C106,Matches!$A$5:$A$22,0)))),""))</f>
        <v>0.5121781961</v>
      </c>
      <c r="AX106" s="18">
        <f>IF(OR($AW106="",$AT106=""),1,((Config!$B$14*$AW106+Config!$B$15*(1-$AW106))/(Config!$B$14*$AT106+Config!$B$15*(1-$AT106)))^Config!$B$13)</f>
        <v>1.023426616</v>
      </c>
      <c r="AY106" s="11" t="str">
        <f t="array" ref="AY106">IF($AS106="","",IFERROR(IF(INDEX(Matches!$BB$5:$BB$22,MATCH($C106,Matches!$A$5:$A$22,0))="","",IF($AS106="A",INDEX(Matches!$BB$5:$BB$22,MATCH($C106,Matches!$A$5:$A$22,0)),1-INDEX(Matches!$BB$5:$BB$22,MATCH($C106,Matches!$A$5:$A$22,0)))),""))</f>
        <v/>
      </c>
      <c r="AZ106" s="18">
        <f>IF(OR($AY106="",$AT106=""),1,((Config!$B$14*$AY106+Config!$B$15*(1-$AY106))/(Config!$B$14*$AT106+Config!$B$15*(1-$AT106)))^Config!$B$13)</f>
        <v>1</v>
      </c>
      <c r="BA106" s="17">
        <f t="shared" si="9"/>
        <v>17.85175333</v>
      </c>
      <c r="BB106" s="17">
        <f t="shared" si="10"/>
        <v>17.84297786</v>
      </c>
      <c r="BC106" s="17" t="str">
        <f t="shared" si="11"/>
        <v/>
      </c>
      <c r="BD106" s="17">
        <f t="shared" si="12"/>
        <v>35.69473119</v>
      </c>
      <c r="BE106" s="17">
        <f t="shared" si="13"/>
        <v>35.69473119</v>
      </c>
      <c r="BF106" s="17">
        <f t="shared" si="14"/>
        <v>7.635057578</v>
      </c>
      <c r="BG106" s="17">
        <f t="shared" si="15"/>
        <v>8.211013992</v>
      </c>
      <c r="BH106" s="17" t="str">
        <f t="shared" si="16"/>
        <v/>
      </c>
      <c r="BI106" s="17">
        <f t="shared" si="17"/>
        <v>15.84607157</v>
      </c>
      <c r="BJ106" s="17">
        <f t="shared" si="18"/>
        <v>15.84607157</v>
      </c>
      <c r="BK106" s="18">
        <f t="shared" si="19"/>
        <v>1.036538667</v>
      </c>
    </row>
    <row r="107" ht="15.75" customHeight="1">
      <c r="A107" s="4" t="s">
        <v>3238</v>
      </c>
      <c r="B107" s="4" t="s">
        <v>86</v>
      </c>
      <c r="C107" s="4" t="s">
        <v>1794</v>
      </c>
      <c r="D107" s="4" t="s">
        <v>858</v>
      </c>
      <c r="E107" s="4" t="s">
        <v>1529</v>
      </c>
      <c r="F107" s="4" t="s">
        <v>1528</v>
      </c>
      <c r="G107" s="4" t="str">
        <f t="array" ref="G107">IFERROR(IF(INDEX(Matches!$W$5:$W$22,MATCH($C107,Matches!$A$5:$A$22,0))="","",INDEX(Matches!$W$5:$W$22,MATCH($C107,Matches!$A$5:$A$22,0))),"")</f>
        <v>Ancient</v>
      </c>
      <c r="H107" s="4" t="str">
        <f t="array" ref="H107">IFERROR(IF(INDEX(Matches!$X$5:$X$22,MATCH($C107,Matches!$A$5:$A$22,0))="","",INDEX(Matches!$X$5:$X$22,MATCH($C107,Matches!$A$5:$A$22,0))),"")</f>
        <v>Mirage</v>
      </c>
      <c r="I107" s="4" t="str">
        <f t="array" ref="I107">IFERROR(IF(INDEX(Matches!$Y$5:$Y$22,MATCH($C107,Matches!$A$5:$A$22,0))="","",INDEX(Matches!$Y$5:$Y$22,MATCH($C107,Matches!$A$5:$A$22,0))),"")</f>
        <v/>
      </c>
      <c r="J107" s="4">
        <f t="array" ref="J107">IFERROR(IF(INDEX(Matches!$Z$5:$Z$22,MATCH($C107,Matches!$A$5:$A$22,0))="","",INDEX(Matches!$Z$5:$Z$22,MATCH($C107,Matches!$A$5:$A$22,0))),"")</f>
        <v>21.05</v>
      </c>
      <c r="K107" s="4">
        <f t="array" ref="K107">IFERROR(IF(INDEX(Matches!$AA$5:$AA$22,MATCH($C107,Matches!$A$5:$A$22,0))="","",INDEX(Matches!$AA$5:$AA$22,MATCH($C107,Matches!$A$5:$A$22,0))),"")</f>
        <v>21.5</v>
      </c>
      <c r="L107" s="4" t="str">
        <f t="array" ref="L107">IFERROR(IF(INDEX(Matches!$AB$5:$AB$22,MATCH($C107,Matches!$A$5:$A$22,0))="","",INDEX(Matches!$AB$5:$AB$22,MATCH($C107,Matches!$A$5:$A$22,0))),"")</f>
        <v/>
      </c>
      <c r="M107" s="11">
        <f t="array" ref="M107">IFERROR(IF(INDEX(Matches!$AC$5:$AC$22,MATCH($C107,Matches!$A$5:$A$22,0))="","",INDEX(Matches!$AC$5:$AC$22,MATCH($C107,Matches!$A$5:$A$22,0))),"")</f>
        <v>0</v>
      </c>
      <c r="N107" s="4">
        <f t="array" ref="N107">IFERROR(INDEX(Players!$F$2:$F$127,MATCH($F107,Players!$A$2:$A$127,0)),0)</f>
        <v>37</v>
      </c>
      <c r="O107" s="18">
        <f t="array" ref="O107">IFERROR(1/(1/INDEX(Players!$H$2:$H$127,MATCH($F107,Players!$A$2:$A$127,0))),"")</f>
        <v>0.57</v>
      </c>
      <c r="P107" s="11">
        <f t="array" ref="P107">IFERROR(1/(1/INDEX(Players!$I$2:$I$127,MATCH($F107,Players!$A$2:$A$127,0))),"")</f>
        <v>0.545</v>
      </c>
      <c r="Q107" s="4">
        <f>IF($G107="",0,SUMIFS(Map_Stats!$F$2:$F$825,Map_Stats!$A$2:$A$825,$F107&amp;"|"&amp;$G107))</f>
        <v>8</v>
      </c>
      <c r="R107" s="18">
        <f t="array" ref="R107">IF($G107="","",IFERROR(1/(1/INDEX(Map_Stats!$K$2:$K$825,MATCH($F107&amp;"|"&amp;$G107,Map_Stats!$A$2:$A$825,0))),$O107))</f>
        <v>0.57</v>
      </c>
      <c r="S107" s="11">
        <f t="array" ref="S107">IF(OR($G107="",$P107=""),"",IFERROR(1/(1/INDEX(Map_Stats!$I$2:$I$825,MATCH($F107&amp;"|"&amp;$G107,Map_Stats!$A$2:$A$825,0))),$P107))</f>
        <v>0.634</v>
      </c>
      <c r="T107" s="18">
        <f>IF(OR($G107="",R107=""),"",IF($O107="",R107,(Q107*R107+Config!$B$4*$O107)/(Q107+Config!$B$4)))</f>
        <v>0.57</v>
      </c>
      <c r="U107" s="11">
        <f>IF(S107="","",(Q107*S107+Config!$B$4*$P107)/(Q107+Config!$B$4))</f>
        <v>0.5997692308</v>
      </c>
      <c r="V107" s="17">
        <f>IF(OR(T107="",$J107=""),"",T107*$J107*($J107/Config!$B$10)^Config!$B$9)</f>
        <v>11.9985</v>
      </c>
      <c r="W107" s="17">
        <f t="shared" si="1"/>
        <v>7.196331115</v>
      </c>
      <c r="X107" s="4">
        <f>IF($H107="",0,SUMIFS(Map_Stats!$F$2:$F$825,Map_Stats!$A$2:$A$825,$F107&amp;"|"&amp;$H107))</f>
        <v>6</v>
      </c>
      <c r="Y107" s="18">
        <f t="array" ref="Y107">IF($H107="","",IFERROR(1/(1/INDEX(Map_Stats!$K$2:$K$825,MATCH($F107&amp;"|"&amp;$H107,Map_Stats!$A$2:$A$825,0))),$O107))</f>
        <v>0.56</v>
      </c>
      <c r="Z107" s="11">
        <f t="array" ref="Z107">IF(OR($H107="",$P107=""),"",IFERROR(1/(1/INDEX(Map_Stats!$I$2:$I$825,MATCH($F107&amp;"|"&amp;$H107,Map_Stats!$A$2:$A$825,0))),$P107))</f>
        <v>0.58</v>
      </c>
      <c r="AA107" s="18">
        <f>IF(OR($H107="",Y107=""),"",IF($O107="",Y107,(X107*Y107+Config!$B$4*$O107)/(X107+Config!$B$4)))</f>
        <v>0.5645454545</v>
      </c>
      <c r="AB107" s="11">
        <f>IF(Z107="","",(X107*Z107+Config!$B$4*$P107)/(X107+Config!$B$4))</f>
        <v>0.5640909091</v>
      </c>
      <c r="AC107" s="17">
        <f>IF(OR(AA107="",$K107=""),"",AA107*$K107*($K107/Config!$B$10)^Config!$B$9)</f>
        <v>12.13772727</v>
      </c>
      <c r="AD107" s="17">
        <f t="shared" si="2"/>
        <v>6.846781612</v>
      </c>
      <c r="AE107" s="4">
        <f>IF($I107="",0,SUMIFS(Map_Stats!$F$2:$F$825,Map_Stats!$A$2:$A$825,$F107&amp;"|"&amp;$I107))</f>
        <v>0</v>
      </c>
      <c r="AF107" s="18" t="str">
        <f t="array" ref="AF107">IF($I107="","",IFERROR(1/(1/INDEX(Map_Stats!$K$2:$K$825,MATCH($F107&amp;"|"&amp;$I107,Map_Stats!$A$2:$A$825,0))),$O107))</f>
        <v/>
      </c>
      <c r="AG107" s="11" t="str">
        <f t="array" ref="AG107">IF(OR($I107="",$P107=""),"",IFERROR(1/(1/INDEX(Map_Stats!$I$2:$I$825,MATCH($F107&amp;"|"&amp;$I107,Map_Stats!$A$2:$A$825,0))),$P107))</f>
        <v/>
      </c>
      <c r="AH107" s="18" t="str">
        <f>IF(OR($I107="",AF107=""),"",IF($O107="",AF107,(AE107*AF107+Config!$B$4*$O107)/(AE107+Config!$B$4)))</f>
        <v/>
      </c>
      <c r="AI107" s="11" t="str">
        <f>IF(AG107="","",(AE107*AG107+Config!$B$4*$P107)/(AE107+Config!$B$4))</f>
        <v/>
      </c>
      <c r="AJ107" s="17" t="str">
        <f>IF(OR(AH107="",$L107=""),"",AH107*$L107*($L107/Config!$B$10)^Config!$B$9)</f>
        <v/>
      </c>
      <c r="AK107" s="17" t="str">
        <f t="shared" si="3"/>
        <v/>
      </c>
      <c r="AL107" s="17">
        <f t="shared" si="4"/>
        <v>24.13622727</v>
      </c>
      <c r="AM107" s="17">
        <f t="shared" si="5"/>
        <v>24.13622727</v>
      </c>
      <c r="AN107" s="17">
        <f t="shared" si="6"/>
        <v>14.04311273</v>
      </c>
      <c r="AO107" s="17">
        <f t="shared" si="7"/>
        <v>14.04311273</v>
      </c>
      <c r="AP107" s="11">
        <f t="shared" si="8"/>
        <v>0.5818271666</v>
      </c>
      <c r="AQ107" s="4" t="str">
        <f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4" t="str">
        <f>IF($C107=Board!$B$2,COUNTIFS($C$2:$C$157,Board!$B$2,$AL$2:$AL$157,"&gt;"&amp;$AL107)+COUNTIFS($C$1:$C106,Board!$B$2,$AL$1:$AL106,$AL107)+1,"")</f>
        <v/>
      </c>
      <c r="AS107" s="4" t="str">
        <f t="array" ref="AS107">IFERROR(IF($D107=INDEX(Matches!$AD$5:$AD$22,MATCH($C107,Matches!$A$5:$A$22,0)),"A",IF($D107=INDEX(Matches!$AE$5:$AE$22,MATCH($C107,Matches!$A$5:$A$22,0)),"B","")),"")</f>
        <v>A</v>
      </c>
      <c r="AT107" s="11">
        <f t="array" ref="AT107">IF($AS107="","",IFERROR(IF($AS107="A",INDEX(Matches!$AI$5:$AI$22,MATCH($C107,Matches!$A$5:$A$22,0)),INDEX(Matches!$AJ$5:$AJ$22,MATCH($C107,Matches!$A$5:$A$22,0))),""))</f>
        <v>0.4862840163</v>
      </c>
      <c r="AU107" s="11">
        <f t="array" ref="AU107">IF($AS107="","",IFERROR(IF(INDEX(Matches!$AP$5:$AP$22,MATCH($C107,Matches!$A$5:$A$22,0))="","",IF($AS107="A",INDEX(Matches!$AP$5:$AP$22,MATCH($C107,Matches!$A$5:$A$22,0)),1-INDEX(Matches!$AP$5:$AP$22,MATCH($C107,Matches!$A$5:$A$22,0)))),""))</f>
        <v>0.5415333113</v>
      </c>
      <c r="AV107" s="18">
        <f>IF(OR($AU107="",$AT107=""),1,((Config!$B$14*$AU107+Config!$B$15*(1-$AU107))/(Config!$B$14*$AT107+Config!$B$15*(1-$AT107)))^Config!$B$13)</f>
        <v>1.049984361</v>
      </c>
      <c r="AW107" s="11">
        <f t="array" ref="AW107">IF($AS107="","",IFERROR(IF(INDEX(Matches!$AV$5:$AV$22,MATCH($C107,Matches!$A$5:$A$22,0))="","",IF($AS107="A",INDEX(Matches!$AV$5:$AV$22,MATCH($C107,Matches!$A$5:$A$22,0)),1-INDEX(Matches!$AV$5:$AV$22,MATCH($C107,Matches!$A$5:$A$22,0)))),""))</f>
        <v>0.5121781961</v>
      </c>
      <c r="AX107" s="18">
        <f>IF(OR($AW107="",$AT107=""),1,((Config!$B$14*$AW107+Config!$B$15*(1-$AW107))/(Config!$B$14*$AT107+Config!$B$15*(1-$AT107)))^Config!$B$13)</f>
        <v>1.023426616</v>
      </c>
      <c r="AY107" s="11" t="str">
        <f t="array" ref="AY107">IF($AS107="","",IFERROR(IF(INDEX(Matches!$BB$5:$BB$22,MATCH($C107,Matches!$A$5:$A$22,0))="","",IF($AS107="A",INDEX(Matches!$BB$5:$BB$22,MATCH($C107,Matches!$A$5:$A$22,0)),1-INDEX(Matches!$BB$5:$BB$22,MATCH($C107,Matches!$A$5:$A$22,0)))),""))</f>
        <v/>
      </c>
      <c r="AZ107" s="18">
        <f>IF(OR($AY107="",$AT107=""),1,((Config!$B$14*$AY107+Config!$B$15*(1-$AY107))/(Config!$B$14*$AT107+Config!$B$15*(1-$AT107)))^Config!$B$13)</f>
        <v>1</v>
      </c>
      <c r="BA107" s="17">
        <f t="shared" si="9"/>
        <v>12.59823735</v>
      </c>
      <c r="BB107" s="17">
        <f t="shared" si="10"/>
        <v>12.42207315</v>
      </c>
      <c r="BC107" s="17" t="str">
        <f t="shared" si="11"/>
        <v/>
      </c>
      <c r="BD107" s="17">
        <f t="shared" si="12"/>
        <v>25.0203105</v>
      </c>
      <c r="BE107" s="17">
        <f t="shared" si="13"/>
        <v>25.0203105</v>
      </c>
      <c r="BF107" s="17">
        <f t="shared" si="14"/>
        <v>7.556035125</v>
      </c>
      <c r="BG107" s="17">
        <f t="shared" si="15"/>
        <v>7.007178536</v>
      </c>
      <c r="BH107" s="17" t="str">
        <f t="shared" si="16"/>
        <v/>
      </c>
      <c r="BI107" s="17">
        <f t="shared" si="17"/>
        <v>14.56321366</v>
      </c>
      <c r="BJ107" s="17">
        <f t="shared" si="18"/>
        <v>14.56321366</v>
      </c>
      <c r="BK107" s="18">
        <f t="shared" si="19"/>
        <v>1.036628891</v>
      </c>
    </row>
    <row r="108" ht="15.75" customHeight="1">
      <c r="A108" s="4" t="s">
        <v>3239</v>
      </c>
      <c r="B108" s="4" t="s">
        <v>86</v>
      </c>
      <c r="C108" s="4" t="s">
        <v>1462</v>
      </c>
      <c r="D108" s="4" t="s">
        <v>858</v>
      </c>
      <c r="E108" s="4" t="s">
        <v>1519</v>
      </c>
      <c r="F108" s="4" t="s">
        <v>1518</v>
      </c>
      <c r="G108" s="4" t="str">
        <f t="array" ref="G108">IFERROR(IF(INDEX(Matches!$W$5:$W$22,MATCH($C108,Matches!$A$5:$A$22,0))="","",INDEX(Matches!$W$5:$W$22,MATCH($C108,Matches!$A$5:$A$22,0))),"")</f>
        <v>Ancient</v>
      </c>
      <c r="H108" s="4" t="str">
        <f t="array" ref="H108">IFERROR(IF(INDEX(Matches!$X$5:$X$22,MATCH($C108,Matches!$A$5:$A$22,0))="","",INDEX(Matches!$X$5:$X$22,MATCH($C108,Matches!$A$5:$A$22,0))),"")</f>
        <v>Nuke</v>
      </c>
      <c r="I108" s="4" t="str">
        <f t="array" ref="I108">IFERROR(IF(INDEX(Matches!$Y$5:$Y$22,MATCH($C108,Matches!$A$5:$A$22,0))="","",INDEX(Matches!$Y$5:$Y$22,MATCH($C108,Matches!$A$5:$A$22,0))),"")</f>
        <v/>
      </c>
      <c r="J108" s="4">
        <f t="array" ref="J108">IFERROR(IF(INDEX(Matches!$Z$5:$Z$22,MATCH($C108,Matches!$A$5:$A$22,0))="","",INDEX(Matches!$Z$5:$Z$22,MATCH($C108,Matches!$A$5:$A$22,0))),"")</f>
        <v>21.5</v>
      </c>
      <c r="K108" s="4">
        <f t="array" ref="K108">IFERROR(IF(INDEX(Matches!$AA$5:$AA$22,MATCH($C108,Matches!$A$5:$A$22,0))="","",INDEX(Matches!$AA$5:$AA$22,MATCH($C108,Matches!$A$5:$A$22,0))),"")</f>
        <v>21.5</v>
      </c>
      <c r="L108" s="4" t="str">
        <f t="array" ref="L108">IFERROR(IF(INDEX(Matches!$AB$5:$AB$22,MATCH($C108,Matches!$A$5:$A$22,0))="","",INDEX(Matches!$AB$5:$AB$22,MATCH($C108,Matches!$A$5:$A$22,0))),"")</f>
        <v/>
      </c>
      <c r="M108" s="11">
        <f t="array" ref="M108">IFERROR(IF(INDEX(Matches!$AC$5:$AC$22,MATCH($C108,Matches!$A$5:$A$22,0))="","",INDEX(Matches!$AC$5:$AC$22,MATCH($C108,Matches!$A$5:$A$22,0))),"")</f>
        <v>0</v>
      </c>
      <c r="N108" s="4">
        <f t="array" ref="N108">IFERROR(INDEX(Players!$F$2:$F$127,MATCH($F108,Players!$A$2:$A$127,0)),0)</f>
        <v>35</v>
      </c>
      <c r="O108" s="18">
        <f t="array" ref="O108">IFERROR(1/(1/INDEX(Players!$H$2:$H$127,MATCH($F108,Players!$A$2:$A$127,0))),"")</f>
        <v>0.66</v>
      </c>
      <c r="P108" s="11">
        <f t="array" ref="P108">IFERROR(1/(1/INDEX(Players!$I$2:$I$127,MATCH($F108,Players!$A$2:$A$127,0))),"")</f>
        <v>0.53</v>
      </c>
      <c r="Q108" s="4">
        <f>IF($G108="",0,SUMIFS(Map_Stats!$F$2:$F$825,Map_Stats!$A$2:$A$825,$F108&amp;"|"&amp;$G108))</f>
        <v>11</v>
      </c>
      <c r="R108" s="18">
        <f t="array" ref="R108">IF($G108="","",IFERROR(1/(1/INDEX(Map_Stats!$K$2:$K$825,MATCH($F108&amp;"|"&amp;$G108,Map_Stats!$A$2:$A$825,0))),$O108))</f>
        <v>0.67</v>
      </c>
      <c r="S108" s="11">
        <f t="array" ref="S108">IF(OR($G108="",$P108=""),"",IFERROR(1/(1/INDEX(Map_Stats!$I$2:$I$825,MATCH($F108&amp;"|"&amp;$G108,Map_Stats!$A$2:$A$825,0))),$P108))</f>
        <v>0.474</v>
      </c>
      <c r="T108" s="18">
        <f>IF(OR($G108="",R108=""),"",IF($O108="",R108,(Q108*R108+Config!$B$4*$O108)/(Q108+Config!$B$4)))</f>
        <v>0.666875</v>
      </c>
      <c r="U108" s="11">
        <f>IF(S108="","",(Q108*S108+Config!$B$4*$P108)/(Q108+Config!$B$4))</f>
        <v>0.4915</v>
      </c>
      <c r="V108" s="17">
        <f>IF(OR(T108="",$J108=""),"",T108*$J108*($J108/Config!$B$10)^Config!$B$9)</f>
        <v>14.3378125</v>
      </c>
      <c r="W108" s="17">
        <f t="shared" si="1"/>
        <v>7.047034844</v>
      </c>
      <c r="X108" s="4">
        <f>IF($H108="",0,SUMIFS(Map_Stats!$F$2:$F$825,Map_Stats!$A$2:$A$825,$F108&amp;"|"&amp;$H108))</f>
        <v>5</v>
      </c>
      <c r="Y108" s="18">
        <f t="array" ref="Y108">IF($H108="","",IFERROR(1/(1/INDEX(Map_Stats!$K$2:$K$825,MATCH($F108&amp;"|"&amp;$H108,Map_Stats!$A$2:$A$825,0))),$O108))</f>
        <v>0.57</v>
      </c>
      <c r="Z108" s="11">
        <f t="array" ref="Z108">IF(OR($H108="",$P108=""),"",IFERROR(1/(1/INDEX(Map_Stats!$I$2:$I$825,MATCH($F108&amp;"|"&amp;$H108,Map_Stats!$A$2:$A$825,0))),$P108))</f>
        <v>0.542</v>
      </c>
      <c r="AA108" s="18">
        <f>IF(OR($H108="",Y108=""),"",IF($O108="",Y108,(X108*Y108+Config!$B$4*$O108)/(X108+Config!$B$4)))</f>
        <v>0.615</v>
      </c>
      <c r="AB108" s="11">
        <f>IF(Z108="","",(X108*Z108+Config!$B$4*$P108)/(X108+Config!$B$4))</f>
        <v>0.536</v>
      </c>
      <c r="AC108" s="17">
        <f>IF(OR(AA108="",$K108=""),"",AA108*$K108*($K108/Config!$B$10)^Config!$B$9)</f>
        <v>13.2225</v>
      </c>
      <c r="AD108" s="17">
        <f t="shared" si="2"/>
        <v>7.08726</v>
      </c>
      <c r="AE108" s="4">
        <f>IF($I108="",0,SUMIFS(Map_Stats!$F$2:$F$825,Map_Stats!$A$2:$A$825,$F108&amp;"|"&amp;$I108))</f>
        <v>0</v>
      </c>
      <c r="AF108" s="18" t="str">
        <f t="array" ref="AF108">IF($I108="","",IFERROR(1/(1/INDEX(Map_Stats!$K$2:$K$825,MATCH($F108&amp;"|"&amp;$I108,Map_Stats!$A$2:$A$825,0))),$O108))</f>
        <v/>
      </c>
      <c r="AG108" s="11" t="str">
        <f t="array" ref="AG108">IF(OR($I108="",$P108=""),"",IFERROR(1/(1/INDEX(Map_Stats!$I$2:$I$825,MATCH($F108&amp;"|"&amp;$I108,Map_Stats!$A$2:$A$825,0))),$P108))</f>
        <v/>
      </c>
      <c r="AH108" s="18" t="str">
        <f>IF(OR($I108="",AF108=""),"",IF($O108="",AF108,(AE108*AF108+Config!$B$4*$O108)/(AE108+Config!$B$4)))</f>
        <v/>
      </c>
      <c r="AI108" s="11" t="str">
        <f>IF(AG108="","",(AE108*AG108+Config!$B$4*$P108)/(AE108+Config!$B$4))</f>
        <v/>
      </c>
      <c r="AJ108" s="17" t="str">
        <f>IF(OR(AH108="",$L108=""),"",AH108*$L108*($L108/Config!$B$10)^Config!$B$9)</f>
        <v/>
      </c>
      <c r="AK108" s="17" t="str">
        <f t="shared" si="3"/>
        <v/>
      </c>
      <c r="AL108" s="17">
        <f t="shared" si="4"/>
        <v>27.5603125</v>
      </c>
      <c r="AM108" s="17">
        <f t="shared" si="5"/>
        <v>27.5603125</v>
      </c>
      <c r="AN108" s="17">
        <f t="shared" si="6"/>
        <v>14.13429484</v>
      </c>
      <c r="AO108" s="17">
        <f t="shared" si="7"/>
        <v>14.13429484</v>
      </c>
      <c r="AP108" s="11">
        <f t="shared" si="8"/>
        <v>0.5128495856</v>
      </c>
      <c r="AQ108" s="4" t="str">
        <f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4" t="str">
        <f>IF($C108=Board!$B$2,COUNTIFS($C$2:$C$157,Board!$B$2,$AL$2:$AL$157,"&gt;"&amp;$AL108)+COUNTIFS($C$1:$C107,Board!$B$2,$AL$1:$AL107,$AL108)+1,"")</f>
        <v/>
      </c>
      <c r="AS108" s="4" t="str">
        <f t="array" ref="AS108">IFERROR(IF($D108=INDEX(Matches!$AD$5:$AD$22,MATCH($C108,Matches!$A$5:$A$22,0)),"A",IF($D108=INDEX(Matches!$AE$5:$AE$22,MATCH($C108,Matches!$A$5:$A$22,0)),"B","")),"")</f>
        <v>A</v>
      </c>
      <c r="AT108" s="11">
        <f t="array" ref="AT108">IF($AS108="","",IFERROR(IF($AS108="A",INDEX(Matches!$AI$5:$AI$22,MATCH($C108,Matches!$A$5:$A$22,0)),INDEX(Matches!$AJ$5:$AJ$22,MATCH($C108,Matches!$A$5:$A$22,0))),""))</f>
        <v>0.4862840163</v>
      </c>
      <c r="AU108" s="11">
        <f t="array" ref="AU108">IF($AS108="","",IFERROR(IF(INDEX(Matches!$AP$5:$AP$22,MATCH($C108,Matches!$A$5:$A$22,0))="","",IF($AS108="A",INDEX(Matches!$AP$5:$AP$22,MATCH($C108,Matches!$A$5:$A$22,0)),1-INDEX(Matches!$AP$5:$AP$22,MATCH($C108,Matches!$A$5:$A$22,0)))),""))</f>
        <v>0.6473283146</v>
      </c>
      <c r="AV108" s="18">
        <f>IF(OR($AU108="",$AT108=""),1,((Config!$B$14*$AU108+Config!$B$15*(1-$AU108))/(Config!$B$14*$AT108+Config!$B$15*(1-$AT108)))^Config!$B$13)</f>
        <v>1.145697719</v>
      </c>
      <c r="AW108" s="11">
        <f t="array" ref="AW108">IF($AS108="","",IFERROR(IF(INDEX(Matches!$AV$5:$AV$22,MATCH($C108,Matches!$A$5:$A$22,0))="","",IF($AS108="A",INDEX(Matches!$AV$5:$AV$22,MATCH($C108,Matches!$A$5:$A$22,0)),1-INDEX(Matches!$AV$5:$AV$22,MATCH($C108,Matches!$A$5:$A$22,0)))),""))</f>
        <v>0.5243796417</v>
      </c>
      <c r="AX108" s="18">
        <f>IF(OR($AW108="",$AT108=""),1,((Config!$B$14*$AW108+Config!$B$15*(1-$AW108))/(Config!$B$14*$AT108+Config!$B$15*(1-$AT108)))^Config!$B$13)</f>
        <v>1.034465335</v>
      </c>
      <c r="AY108" s="11" t="str">
        <f t="array" ref="AY108">IF($AS108="","",IFERROR(IF(INDEX(Matches!$BB$5:$BB$22,MATCH($C108,Matches!$A$5:$A$22,0))="","",IF($AS108="A",INDEX(Matches!$BB$5:$BB$22,MATCH($C108,Matches!$A$5:$A$22,0)),1-INDEX(Matches!$BB$5:$BB$22,MATCH($C108,Matches!$A$5:$A$22,0)))),""))</f>
        <v/>
      </c>
      <c r="AZ108" s="18">
        <f>IF(OR($AY108="",$AT108=""),1,((Config!$B$14*$AY108+Config!$B$15*(1-$AY108))/(Config!$B$14*$AT108+Config!$B$15*(1-$AT108)))^Config!$B$13)</f>
        <v>1</v>
      </c>
      <c r="BA108" s="17">
        <f t="shared" si="9"/>
        <v>16.42679908</v>
      </c>
      <c r="BB108" s="17">
        <f t="shared" si="10"/>
        <v>13.6782179</v>
      </c>
      <c r="BC108" s="17" t="str">
        <f t="shared" si="11"/>
        <v/>
      </c>
      <c r="BD108" s="17">
        <f t="shared" si="12"/>
        <v>30.10501698</v>
      </c>
      <c r="BE108" s="17">
        <f t="shared" si="13"/>
        <v>30.10501698</v>
      </c>
      <c r="BF108" s="17">
        <f t="shared" si="14"/>
        <v>8.073771749</v>
      </c>
      <c r="BG108" s="17">
        <f t="shared" si="15"/>
        <v>7.331524792</v>
      </c>
      <c r="BH108" s="17" t="str">
        <f t="shared" si="16"/>
        <v/>
      </c>
      <c r="BI108" s="17">
        <f t="shared" si="17"/>
        <v>15.40529654</v>
      </c>
      <c r="BJ108" s="17">
        <f t="shared" si="18"/>
        <v>15.40529654</v>
      </c>
      <c r="BK108" s="18">
        <f t="shared" si="19"/>
        <v>1.092332207</v>
      </c>
    </row>
    <row r="109" ht="15.75" customHeight="1">
      <c r="A109" s="4" t="s">
        <v>3240</v>
      </c>
      <c r="B109" s="4" t="s">
        <v>86</v>
      </c>
      <c r="C109" s="4" t="s">
        <v>1462</v>
      </c>
      <c r="D109" s="4" t="s">
        <v>858</v>
      </c>
      <c r="E109" s="4" t="s">
        <v>1523</v>
      </c>
      <c r="F109" s="4" t="s">
        <v>1522</v>
      </c>
      <c r="G109" s="4" t="str">
        <f t="array" ref="G109">IFERROR(IF(INDEX(Matches!$W$5:$W$22,MATCH($C109,Matches!$A$5:$A$22,0))="","",INDEX(Matches!$W$5:$W$22,MATCH($C109,Matches!$A$5:$A$22,0))),"")</f>
        <v>Ancient</v>
      </c>
      <c r="H109" s="4" t="str">
        <f t="array" ref="H109">IFERROR(IF(INDEX(Matches!$X$5:$X$22,MATCH($C109,Matches!$A$5:$A$22,0))="","",INDEX(Matches!$X$5:$X$22,MATCH($C109,Matches!$A$5:$A$22,0))),"")</f>
        <v>Nuke</v>
      </c>
      <c r="I109" s="4" t="str">
        <f t="array" ref="I109">IFERROR(IF(INDEX(Matches!$Y$5:$Y$22,MATCH($C109,Matches!$A$5:$A$22,0))="","",INDEX(Matches!$Y$5:$Y$22,MATCH($C109,Matches!$A$5:$A$22,0))),"")</f>
        <v/>
      </c>
      <c r="J109" s="4">
        <f t="array" ref="J109">IFERROR(IF(INDEX(Matches!$Z$5:$Z$22,MATCH($C109,Matches!$A$5:$A$22,0))="","",INDEX(Matches!$Z$5:$Z$22,MATCH($C109,Matches!$A$5:$A$22,0))),"")</f>
        <v>21.5</v>
      </c>
      <c r="K109" s="4">
        <f t="array" ref="K109">IFERROR(IF(INDEX(Matches!$AA$5:$AA$22,MATCH($C109,Matches!$A$5:$A$22,0))="","",INDEX(Matches!$AA$5:$AA$22,MATCH($C109,Matches!$A$5:$A$22,0))),"")</f>
        <v>21.5</v>
      </c>
      <c r="L109" s="4" t="str">
        <f t="array" ref="L109">IFERROR(IF(INDEX(Matches!$AB$5:$AB$22,MATCH($C109,Matches!$A$5:$A$22,0))="","",INDEX(Matches!$AB$5:$AB$22,MATCH($C109,Matches!$A$5:$A$22,0))),"")</f>
        <v/>
      </c>
      <c r="M109" s="11">
        <f t="array" ref="M109">IFERROR(IF(INDEX(Matches!$AC$5:$AC$22,MATCH($C109,Matches!$A$5:$A$22,0))="","",INDEX(Matches!$AC$5:$AC$22,MATCH($C109,Matches!$A$5:$A$22,0))),"")</f>
        <v>0</v>
      </c>
      <c r="N109" s="4">
        <f t="array" ref="N109">IFERROR(INDEX(Players!$F$2:$F$127,MATCH($F109,Players!$A$2:$A$127,0)),0)</f>
        <v>37</v>
      </c>
      <c r="O109" s="18">
        <f t="array" ref="O109">IFERROR(1/(1/INDEX(Players!$H$2:$H$127,MATCH($F109,Players!$A$2:$A$127,0))),"")</f>
        <v>0.67</v>
      </c>
      <c r="P109" s="11">
        <f t="array" ref="P109">IFERROR(1/(1/INDEX(Players!$I$2:$I$127,MATCH($F109,Players!$A$2:$A$127,0))),"")</f>
        <v>0.478</v>
      </c>
      <c r="Q109" s="4">
        <f>IF($G109="",0,SUMIFS(Map_Stats!$F$2:$F$825,Map_Stats!$A$2:$A$825,$F109&amp;"|"&amp;$G109))</f>
        <v>8</v>
      </c>
      <c r="R109" s="18">
        <f t="array" ref="R109">IF($G109="","",IFERROR(1/(1/INDEX(Map_Stats!$K$2:$K$825,MATCH($F109&amp;"|"&amp;$G109,Map_Stats!$A$2:$A$825,0))),$O109))</f>
        <v>0.67</v>
      </c>
      <c r="S109" s="11">
        <f t="array" ref="S109">IF(OR($G109="",$P109=""),"",IFERROR(1/(1/INDEX(Map_Stats!$I$2:$I$825,MATCH($F109&amp;"|"&amp;$G109,Map_Stats!$A$2:$A$825,0))),$P109))</f>
        <v>0.427</v>
      </c>
      <c r="T109" s="18">
        <f>IF(OR($G109="",R109=""),"",IF($O109="",R109,(Q109*R109+Config!$B$4*$O109)/(Q109+Config!$B$4)))</f>
        <v>0.67</v>
      </c>
      <c r="U109" s="11">
        <f>IF(S109="","",(Q109*S109+Config!$B$4*$P109)/(Q109+Config!$B$4))</f>
        <v>0.4466153846</v>
      </c>
      <c r="V109" s="17">
        <f>IF(OR(T109="",$J109=""),"",T109*$J109*($J109/Config!$B$10)^Config!$B$9)</f>
        <v>14.405</v>
      </c>
      <c r="W109" s="17">
        <f t="shared" si="1"/>
        <v>6.433494615</v>
      </c>
      <c r="X109" s="4">
        <f>IF($H109="",0,SUMIFS(Map_Stats!$F$2:$F$825,Map_Stats!$A$2:$A$825,$F109&amp;"|"&amp;$H109))</f>
        <v>5</v>
      </c>
      <c r="Y109" s="18">
        <f t="array" ref="Y109">IF($H109="","",IFERROR(1/(1/INDEX(Map_Stats!$K$2:$K$825,MATCH($F109&amp;"|"&amp;$H109,Map_Stats!$A$2:$A$825,0))),$O109))</f>
        <v>0.62</v>
      </c>
      <c r="Z109" s="11">
        <f t="array" ref="Z109">IF(OR($H109="",$P109=""),"",IFERROR(1/(1/INDEX(Map_Stats!$I$2:$I$825,MATCH($F109&amp;"|"&amp;$H109,Map_Stats!$A$2:$A$825,0))),$P109))</f>
        <v>0.53</v>
      </c>
      <c r="AA109" s="18">
        <f>IF(OR($H109="",Y109=""),"",IF($O109="",Y109,(X109*Y109+Config!$B$4*$O109)/(X109+Config!$B$4)))</f>
        <v>0.645</v>
      </c>
      <c r="AB109" s="11">
        <f>IF(Z109="","",(X109*Z109+Config!$B$4*$P109)/(X109+Config!$B$4))</f>
        <v>0.504</v>
      </c>
      <c r="AC109" s="17">
        <f>IF(OR(AA109="",$K109=""),"",AA109*$K109*($K109/Config!$B$10)^Config!$B$9)</f>
        <v>13.8675</v>
      </c>
      <c r="AD109" s="17">
        <f t="shared" si="2"/>
        <v>6.98922</v>
      </c>
      <c r="AE109" s="4">
        <f>IF($I109="",0,SUMIFS(Map_Stats!$F$2:$F$825,Map_Stats!$A$2:$A$825,$F109&amp;"|"&amp;$I109))</f>
        <v>0</v>
      </c>
      <c r="AF109" s="18" t="str">
        <f t="array" ref="AF109">IF($I109="","",IFERROR(1/(1/INDEX(Map_Stats!$K$2:$K$825,MATCH($F109&amp;"|"&amp;$I109,Map_Stats!$A$2:$A$825,0))),$O109))</f>
        <v/>
      </c>
      <c r="AG109" s="11" t="str">
        <f t="array" ref="AG109">IF(OR($I109="",$P109=""),"",IFERROR(1/(1/INDEX(Map_Stats!$I$2:$I$825,MATCH($F109&amp;"|"&amp;$I109,Map_Stats!$A$2:$A$825,0))),$P109))</f>
        <v/>
      </c>
      <c r="AH109" s="18" t="str">
        <f>IF(OR($I109="",AF109=""),"",IF($O109="",AF109,(AE109*AF109+Config!$B$4*$O109)/(AE109+Config!$B$4)))</f>
        <v/>
      </c>
      <c r="AI109" s="11" t="str">
        <f>IF(AG109="","",(AE109*AG109+Config!$B$4*$P109)/(AE109+Config!$B$4))</f>
        <v/>
      </c>
      <c r="AJ109" s="17" t="str">
        <f>IF(OR(AH109="",$L109=""),"",AH109*$L109*($L109/Config!$B$10)^Config!$B$9)</f>
        <v/>
      </c>
      <c r="AK109" s="17" t="str">
        <f t="shared" si="3"/>
        <v/>
      </c>
      <c r="AL109" s="17">
        <f t="shared" si="4"/>
        <v>28.2725</v>
      </c>
      <c r="AM109" s="17">
        <f t="shared" si="5"/>
        <v>28.2725</v>
      </c>
      <c r="AN109" s="17">
        <f t="shared" si="6"/>
        <v>13.42271462</v>
      </c>
      <c r="AO109" s="17">
        <f t="shared" si="7"/>
        <v>13.42271462</v>
      </c>
      <c r="AP109" s="11">
        <f t="shared" si="8"/>
        <v>0.4747622112</v>
      </c>
      <c r="AQ109" s="4" t="str">
        <f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4" t="str">
        <f>IF($C109=Board!$B$2,COUNTIFS($C$2:$C$157,Board!$B$2,$AL$2:$AL$157,"&gt;"&amp;$AL109)+COUNTIFS($C$1:$C108,Board!$B$2,$AL$1:$AL108,$AL109)+1,"")</f>
        <v/>
      </c>
      <c r="AS109" s="4" t="str">
        <f t="array" ref="AS109">IFERROR(IF($D109=INDEX(Matches!$AD$5:$AD$22,MATCH($C109,Matches!$A$5:$A$22,0)),"A",IF($D109=INDEX(Matches!$AE$5:$AE$22,MATCH($C109,Matches!$A$5:$A$22,0)),"B","")),"")</f>
        <v>A</v>
      </c>
      <c r="AT109" s="11">
        <f t="array" ref="AT109">IF($AS109="","",IFERROR(IF($AS109="A",INDEX(Matches!$AI$5:$AI$22,MATCH($C109,Matches!$A$5:$A$22,0)),INDEX(Matches!$AJ$5:$AJ$22,MATCH($C109,Matches!$A$5:$A$22,0))),""))</f>
        <v>0.4862840163</v>
      </c>
      <c r="AU109" s="11">
        <f t="array" ref="AU109">IF($AS109="","",IFERROR(IF(INDEX(Matches!$AP$5:$AP$22,MATCH($C109,Matches!$A$5:$A$22,0))="","",IF($AS109="A",INDEX(Matches!$AP$5:$AP$22,MATCH($C109,Matches!$A$5:$A$22,0)),1-INDEX(Matches!$AP$5:$AP$22,MATCH($C109,Matches!$A$5:$A$22,0)))),""))</f>
        <v>0.6473283146</v>
      </c>
      <c r="AV109" s="18">
        <f>IF(OR($AU109="",$AT109=""),1,((Config!$B$14*$AU109+Config!$B$15*(1-$AU109))/(Config!$B$14*$AT109+Config!$B$15*(1-$AT109)))^Config!$B$13)</f>
        <v>1.145697719</v>
      </c>
      <c r="AW109" s="11">
        <f t="array" ref="AW109">IF($AS109="","",IFERROR(IF(INDEX(Matches!$AV$5:$AV$22,MATCH($C109,Matches!$A$5:$A$22,0))="","",IF($AS109="A",INDEX(Matches!$AV$5:$AV$22,MATCH($C109,Matches!$A$5:$A$22,0)),1-INDEX(Matches!$AV$5:$AV$22,MATCH($C109,Matches!$A$5:$A$22,0)))),""))</f>
        <v>0.5243796417</v>
      </c>
      <c r="AX109" s="18">
        <f>IF(OR($AW109="",$AT109=""),1,((Config!$B$14*$AW109+Config!$B$15*(1-$AW109))/(Config!$B$14*$AT109+Config!$B$15*(1-$AT109)))^Config!$B$13)</f>
        <v>1.034465335</v>
      </c>
      <c r="AY109" s="11" t="str">
        <f t="array" ref="AY109">IF($AS109="","",IFERROR(IF(INDEX(Matches!$BB$5:$BB$22,MATCH($C109,Matches!$A$5:$A$22,0))="","",IF($AS109="A",INDEX(Matches!$BB$5:$BB$22,MATCH($C109,Matches!$A$5:$A$22,0)),1-INDEX(Matches!$BB$5:$BB$22,MATCH($C109,Matches!$A$5:$A$22,0)))),""))</f>
        <v/>
      </c>
      <c r="AZ109" s="18">
        <f>IF(OR($AY109="",$AT109=""),1,((Config!$B$14*$AY109+Config!$B$15*(1-$AY109))/(Config!$B$14*$AT109+Config!$B$15*(1-$AT109)))^Config!$B$13)</f>
        <v>1</v>
      </c>
      <c r="BA109" s="17">
        <f t="shared" si="9"/>
        <v>16.50377565</v>
      </c>
      <c r="BB109" s="17">
        <f t="shared" si="10"/>
        <v>14.34544804</v>
      </c>
      <c r="BC109" s="17" t="str">
        <f t="shared" si="11"/>
        <v/>
      </c>
      <c r="BD109" s="17">
        <f t="shared" si="12"/>
        <v>30.84922368</v>
      </c>
      <c r="BE109" s="17">
        <f t="shared" si="13"/>
        <v>30.84922368</v>
      </c>
      <c r="BF109" s="17">
        <f t="shared" si="14"/>
        <v>7.370840108</v>
      </c>
      <c r="BG109" s="17">
        <f t="shared" si="15"/>
        <v>7.230105811</v>
      </c>
      <c r="BH109" s="17" t="str">
        <f t="shared" si="16"/>
        <v/>
      </c>
      <c r="BI109" s="17">
        <f t="shared" si="17"/>
        <v>14.60094592</v>
      </c>
      <c r="BJ109" s="17">
        <f t="shared" si="18"/>
        <v>14.60094592</v>
      </c>
      <c r="BK109" s="18">
        <f t="shared" si="19"/>
        <v>1.091138869</v>
      </c>
    </row>
    <row r="110" ht="15.75" customHeight="1">
      <c r="A110" s="4" t="s">
        <v>3241</v>
      </c>
      <c r="B110" s="4" t="s">
        <v>86</v>
      </c>
      <c r="C110" s="4" t="s">
        <v>1462</v>
      </c>
      <c r="D110" s="4" t="s">
        <v>858</v>
      </c>
      <c r="E110" s="4" t="s">
        <v>1526</v>
      </c>
      <c r="F110" s="4" t="s">
        <v>1525</v>
      </c>
      <c r="G110" s="4" t="str">
        <f t="array" ref="G110">IFERROR(IF(INDEX(Matches!$W$5:$W$22,MATCH($C110,Matches!$A$5:$A$22,0))="","",INDEX(Matches!$W$5:$W$22,MATCH($C110,Matches!$A$5:$A$22,0))),"")</f>
        <v>Ancient</v>
      </c>
      <c r="H110" s="4" t="str">
        <f t="array" ref="H110">IFERROR(IF(INDEX(Matches!$X$5:$X$22,MATCH($C110,Matches!$A$5:$A$22,0))="","",INDEX(Matches!$X$5:$X$22,MATCH($C110,Matches!$A$5:$A$22,0))),"")</f>
        <v>Nuke</v>
      </c>
      <c r="I110" s="4" t="str">
        <f t="array" ref="I110">IFERROR(IF(INDEX(Matches!$Y$5:$Y$22,MATCH($C110,Matches!$A$5:$A$22,0))="","",INDEX(Matches!$Y$5:$Y$22,MATCH($C110,Matches!$A$5:$A$22,0))),"")</f>
        <v/>
      </c>
      <c r="J110" s="4">
        <f t="array" ref="J110">IFERROR(IF(INDEX(Matches!$Z$5:$Z$22,MATCH($C110,Matches!$A$5:$A$22,0))="","",INDEX(Matches!$Z$5:$Z$22,MATCH($C110,Matches!$A$5:$A$22,0))),"")</f>
        <v>21.5</v>
      </c>
      <c r="K110" s="4">
        <f t="array" ref="K110">IFERROR(IF(INDEX(Matches!$AA$5:$AA$22,MATCH($C110,Matches!$A$5:$A$22,0))="","",INDEX(Matches!$AA$5:$AA$22,MATCH($C110,Matches!$A$5:$A$22,0))),"")</f>
        <v>21.5</v>
      </c>
      <c r="L110" s="4" t="str">
        <f t="array" ref="L110">IFERROR(IF(INDEX(Matches!$AB$5:$AB$22,MATCH($C110,Matches!$A$5:$A$22,0))="","",INDEX(Matches!$AB$5:$AB$22,MATCH($C110,Matches!$A$5:$A$22,0))),"")</f>
        <v/>
      </c>
      <c r="M110" s="11">
        <f t="array" ref="M110">IFERROR(IF(INDEX(Matches!$AC$5:$AC$22,MATCH($C110,Matches!$A$5:$A$22,0))="","",INDEX(Matches!$AC$5:$AC$22,MATCH($C110,Matches!$A$5:$A$22,0))),"")</f>
        <v>0</v>
      </c>
      <c r="N110" s="4">
        <f t="array" ref="N110">IFERROR(INDEX(Players!$F$2:$F$127,MATCH($F110,Players!$A$2:$A$127,0)),0)</f>
        <v>37</v>
      </c>
      <c r="O110" s="18">
        <f t="array" ref="O110">IFERROR(1/(1/INDEX(Players!$H$2:$H$127,MATCH($F110,Players!$A$2:$A$127,0))),"")</f>
        <v>0.64</v>
      </c>
      <c r="P110" s="11">
        <f t="array" ref="P110">IFERROR(1/(1/INDEX(Players!$I$2:$I$127,MATCH($F110,Players!$A$2:$A$127,0))),"")</f>
        <v>0.625</v>
      </c>
      <c r="Q110" s="4">
        <f>IF($G110="",0,SUMIFS(Map_Stats!$F$2:$F$825,Map_Stats!$A$2:$A$825,$F110&amp;"|"&amp;$G110))</f>
        <v>8</v>
      </c>
      <c r="R110" s="18">
        <f t="array" ref="R110">IF($G110="","",IFERROR(1/(1/INDEX(Map_Stats!$K$2:$K$825,MATCH($F110&amp;"|"&amp;$G110,Map_Stats!$A$2:$A$825,0))),$O110))</f>
        <v>0.65</v>
      </c>
      <c r="S110" s="11">
        <f t="array" ref="S110">IF(OR($G110="",$P110=""),"",IFERROR(1/(1/INDEX(Map_Stats!$I$2:$I$825,MATCH($F110&amp;"|"&amp;$G110,Map_Stats!$A$2:$A$825,0))),$P110))</f>
        <v>0.651</v>
      </c>
      <c r="T110" s="18">
        <f>IF(OR($G110="",R110=""),"",IF($O110="",R110,(Q110*R110+Config!$B$4*$O110)/(Q110+Config!$B$4)))</f>
        <v>0.6461538462</v>
      </c>
      <c r="U110" s="11">
        <f>IF(S110="","",(Q110*S110+Config!$B$4*$P110)/(Q110+Config!$B$4))</f>
        <v>0.641</v>
      </c>
      <c r="V110" s="17">
        <f>IF(OR(T110="",$J110=""),"",T110*$J110*($J110/Config!$B$10)^Config!$B$9)</f>
        <v>13.89230769</v>
      </c>
      <c r="W110" s="17">
        <f t="shared" si="1"/>
        <v>8.904969231</v>
      </c>
      <c r="X110" s="4">
        <f>IF($H110="",0,SUMIFS(Map_Stats!$F$2:$F$825,Map_Stats!$A$2:$A$825,$F110&amp;"|"&amp;$H110))</f>
        <v>5</v>
      </c>
      <c r="Y110" s="18">
        <f t="array" ref="Y110">IF($H110="","",IFERROR(1/(1/INDEX(Map_Stats!$K$2:$K$825,MATCH($F110&amp;"|"&amp;$H110,Map_Stats!$A$2:$A$825,0))),$O110))</f>
        <v>0.74</v>
      </c>
      <c r="Z110" s="11">
        <f t="array" ref="Z110">IF(OR($H110="",$P110=""),"",IFERROR(1/(1/INDEX(Map_Stats!$I$2:$I$825,MATCH($F110&amp;"|"&amp;$H110,Map_Stats!$A$2:$A$825,0))),$P110))</f>
        <v>0.608</v>
      </c>
      <c r="AA110" s="18">
        <f>IF(OR($H110="",Y110=""),"",IF($O110="",Y110,(X110*Y110+Config!$B$4*$O110)/(X110+Config!$B$4)))</f>
        <v>0.69</v>
      </c>
      <c r="AB110" s="11">
        <f>IF(Z110="","",(X110*Z110+Config!$B$4*$P110)/(X110+Config!$B$4))</f>
        <v>0.6165</v>
      </c>
      <c r="AC110" s="17">
        <f>IF(OR(AA110="",$K110=""),"",AA110*$K110*($K110/Config!$B$10)^Config!$B$9)</f>
        <v>14.835</v>
      </c>
      <c r="AD110" s="17">
        <f t="shared" si="2"/>
        <v>9.1457775</v>
      </c>
      <c r="AE110" s="4">
        <f>IF($I110="",0,SUMIFS(Map_Stats!$F$2:$F$825,Map_Stats!$A$2:$A$825,$F110&amp;"|"&amp;$I110))</f>
        <v>0</v>
      </c>
      <c r="AF110" s="18" t="str">
        <f t="array" ref="AF110">IF($I110="","",IFERROR(1/(1/INDEX(Map_Stats!$K$2:$K$825,MATCH($F110&amp;"|"&amp;$I110,Map_Stats!$A$2:$A$825,0))),$O110))</f>
        <v/>
      </c>
      <c r="AG110" s="11" t="str">
        <f t="array" ref="AG110">IF(OR($I110="",$P110=""),"",IFERROR(1/(1/INDEX(Map_Stats!$I$2:$I$825,MATCH($F110&amp;"|"&amp;$I110,Map_Stats!$A$2:$A$825,0))),$P110))</f>
        <v/>
      </c>
      <c r="AH110" s="18" t="str">
        <f>IF(OR($I110="",AF110=""),"",IF($O110="",AF110,(AE110*AF110+Config!$B$4*$O110)/(AE110+Config!$B$4)))</f>
        <v/>
      </c>
      <c r="AI110" s="11" t="str">
        <f>IF(AG110="","",(AE110*AG110+Config!$B$4*$P110)/(AE110+Config!$B$4))</f>
        <v/>
      </c>
      <c r="AJ110" s="17" t="str">
        <f>IF(OR(AH110="",$L110=""),"",AH110*$L110*($L110/Config!$B$10)^Config!$B$9)</f>
        <v/>
      </c>
      <c r="AK110" s="17" t="str">
        <f t="shared" si="3"/>
        <v/>
      </c>
      <c r="AL110" s="17">
        <f t="shared" si="4"/>
        <v>28.72730769</v>
      </c>
      <c r="AM110" s="17">
        <f t="shared" si="5"/>
        <v>28.72730769</v>
      </c>
      <c r="AN110" s="17">
        <f t="shared" si="6"/>
        <v>18.05074673</v>
      </c>
      <c r="AO110" s="17">
        <f t="shared" si="7"/>
        <v>18.05074673</v>
      </c>
      <c r="AP110" s="11">
        <f t="shared" si="8"/>
        <v>0.6283480138</v>
      </c>
      <c r="AQ110" s="4" t="str">
        <f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4" t="str">
        <f>IF($C110=Board!$B$2,COUNTIFS($C$2:$C$157,Board!$B$2,$AL$2:$AL$157,"&gt;"&amp;$AL110)+COUNTIFS($C$1:$C109,Board!$B$2,$AL$1:$AL109,$AL110)+1,"")</f>
        <v/>
      </c>
      <c r="AS110" s="4" t="str">
        <f t="array" ref="AS110">IFERROR(IF($D110=INDEX(Matches!$AD$5:$AD$22,MATCH($C110,Matches!$A$5:$A$22,0)),"A",IF($D110=INDEX(Matches!$AE$5:$AE$22,MATCH($C110,Matches!$A$5:$A$22,0)),"B","")),"")</f>
        <v>A</v>
      </c>
      <c r="AT110" s="11">
        <f t="array" ref="AT110">IF($AS110="","",IFERROR(IF($AS110="A",INDEX(Matches!$AI$5:$AI$22,MATCH($C110,Matches!$A$5:$A$22,0)),INDEX(Matches!$AJ$5:$AJ$22,MATCH($C110,Matches!$A$5:$A$22,0))),""))</f>
        <v>0.4862840163</v>
      </c>
      <c r="AU110" s="11">
        <f t="array" ref="AU110">IF($AS110="","",IFERROR(IF(INDEX(Matches!$AP$5:$AP$22,MATCH($C110,Matches!$A$5:$A$22,0))="","",IF($AS110="A",INDEX(Matches!$AP$5:$AP$22,MATCH($C110,Matches!$A$5:$A$22,0)),1-INDEX(Matches!$AP$5:$AP$22,MATCH($C110,Matches!$A$5:$A$22,0)))),""))</f>
        <v>0.6473283146</v>
      </c>
      <c r="AV110" s="18">
        <f>IF(OR($AU110="",$AT110=""),1,((Config!$B$14*$AU110+Config!$B$15*(1-$AU110))/(Config!$B$14*$AT110+Config!$B$15*(1-$AT110)))^Config!$B$13)</f>
        <v>1.145697719</v>
      </c>
      <c r="AW110" s="11">
        <f t="array" ref="AW110">IF($AS110="","",IFERROR(IF(INDEX(Matches!$AV$5:$AV$22,MATCH($C110,Matches!$A$5:$A$22,0))="","",IF($AS110="A",INDEX(Matches!$AV$5:$AV$22,MATCH($C110,Matches!$A$5:$A$22,0)),1-INDEX(Matches!$AV$5:$AV$22,MATCH($C110,Matches!$A$5:$A$22,0)))),""))</f>
        <v>0.5243796417</v>
      </c>
      <c r="AX110" s="18">
        <f>IF(OR($AW110="",$AT110=""),1,((Config!$B$14*$AW110+Config!$B$15*(1-$AW110))/(Config!$B$14*$AT110+Config!$B$15*(1-$AT110)))^Config!$B$13)</f>
        <v>1.034465335</v>
      </c>
      <c r="AY110" s="11" t="str">
        <f t="array" ref="AY110">IF($AS110="","",IFERROR(IF(INDEX(Matches!$BB$5:$BB$22,MATCH($C110,Matches!$A$5:$A$22,0))="","",IF($AS110="A",INDEX(Matches!$BB$5:$BB$22,MATCH($C110,Matches!$A$5:$A$22,0)),1-INDEX(Matches!$BB$5:$BB$22,MATCH($C110,Matches!$A$5:$A$22,0)))),""))</f>
        <v/>
      </c>
      <c r="AZ110" s="18">
        <f>IF(OR($AY110="",$AT110=""),1,((Config!$B$14*$AY110+Config!$B$15*(1-$AY110))/(Config!$B$14*$AT110+Config!$B$15*(1-$AT110)))^Config!$B$13)</f>
        <v>1</v>
      </c>
      <c r="BA110" s="17">
        <f t="shared" si="9"/>
        <v>15.91638524</v>
      </c>
      <c r="BB110" s="17">
        <f t="shared" si="10"/>
        <v>15.34629325</v>
      </c>
      <c r="BC110" s="17" t="str">
        <f t="shared" si="11"/>
        <v/>
      </c>
      <c r="BD110" s="17">
        <f t="shared" si="12"/>
        <v>31.26267849</v>
      </c>
      <c r="BE110" s="17">
        <f t="shared" si="13"/>
        <v>31.26267849</v>
      </c>
      <c r="BF110" s="17">
        <f t="shared" si="14"/>
        <v>10.20240294</v>
      </c>
      <c r="BG110" s="17">
        <f t="shared" si="15"/>
        <v>9.460989788</v>
      </c>
      <c r="BH110" s="17" t="str">
        <f t="shared" si="16"/>
        <v/>
      </c>
      <c r="BI110" s="17">
        <f t="shared" si="17"/>
        <v>19.66339273</v>
      </c>
      <c r="BJ110" s="17">
        <f t="shared" si="18"/>
        <v>19.66339273</v>
      </c>
      <c r="BK110" s="18">
        <f t="shared" si="19"/>
        <v>1.088256471</v>
      </c>
    </row>
    <row r="111" ht="15.75" customHeight="1">
      <c r="A111" s="4" t="s">
        <v>3242</v>
      </c>
      <c r="B111" s="4" t="s">
        <v>86</v>
      </c>
      <c r="C111" s="4" t="s">
        <v>1462</v>
      </c>
      <c r="D111" s="4" t="s">
        <v>858</v>
      </c>
      <c r="E111" s="4" t="s">
        <v>1515</v>
      </c>
      <c r="F111" s="4" t="s">
        <v>1514</v>
      </c>
      <c r="G111" s="4" t="str">
        <f t="array" ref="G111">IFERROR(IF(INDEX(Matches!$W$5:$W$22,MATCH($C111,Matches!$A$5:$A$22,0))="","",INDEX(Matches!$W$5:$W$22,MATCH($C111,Matches!$A$5:$A$22,0))),"")</f>
        <v>Ancient</v>
      </c>
      <c r="H111" s="4" t="str">
        <f t="array" ref="H111">IFERROR(IF(INDEX(Matches!$X$5:$X$22,MATCH($C111,Matches!$A$5:$A$22,0))="","",INDEX(Matches!$X$5:$X$22,MATCH($C111,Matches!$A$5:$A$22,0))),"")</f>
        <v>Nuke</v>
      </c>
      <c r="I111" s="4" t="str">
        <f t="array" ref="I111">IFERROR(IF(INDEX(Matches!$Y$5:$Y$22,MATCH($C111,Matches!$A$5:$A$22,0))="","",INDEX(Matches!$Y$5:$Y$22,MATCH($C111,Matches!$A$5:$A$22,0))),"")</f>
        <v/>
      </c>
      <c r="J111" s="4">
        <f t="array" ref="J111">IFERROR(IF(INDEX(Matches!$Z$5:$Z$22,MATCH($C111,Matches!$A$5:$A$22,0))="","",INDEX(Matches!$Z$5:$Z$22,MATCH($C111,Matches!$A$5:$A$22,0))),"")</f>
        <v>21.5</v>
      </c>
      <c r="K111" s="4">
        <f t="array" ref="K111">IFERROR(IF(INDEX(Matches!$AA$5:$AA$22,MATCH($C111,Matches!$A$5:$A$22,0))="","",INDEX(Matches!$AA$5:$AA$22,MATCH($C111,Matches!$A$5:$A$22,0))),"")</f>
        <v>21.5</v>
      </c>
      <c r="L111" s="4" t="str">
        <f t="array" ref="L111">IFERROR(IF(INDEX(Matches!$AB$5:$AB$22,MATCH($C111,Matches!$A$5:$A$22,0))="","",INDEX(Matches!$AB$5:$AB$22,MATCH($C111,Matches!$A$5:$A$22,0))),"")</f>
        <v/>
      </c>
      <c r="M111" s="11">
        <f t="array" ref="M111">IFERROR(IF(INDEX(Matches!$AC$5:$AC$22,MATCH($C111,Matches!$A$5:$A$22,0))="","",INDEX(Matches!$AC$5:$AC$22,MATCH($C111,Matches!$A$5:$A$22,0))),"")</f>
        <v>0</v>
      </c>
      <c r="N111" s="4">
        <f t="array" ref="N111">IFERROR(INDEX(Players!$F$2:$F$127,MATCH($F111,Players!$A$2:$A$127,0)),0)</f>
        <v>37</v>
      </c>
      <c r="O111" s="18">
        <f t="array" ref="O111">IFERROR(1/(1/INDEX(Players!$H$2:$H$127,MATCH($F111,Players!$A$2:$A$127,0))),"")</f>
        <v>0.74</v>
      </c>
      <c r="P111" s="11">
        <f t="array" ref="P111">IFERROR(1/(1/INDEX(Players!$I$2:$I$127,MATCH($F111,Players!$A$2:$A$127,0))),"")</f>
        <v>0.44</v>
      </c>
      <c r="Q111" s="4">
        <f>IF($G111="",0,SUMIFS(Map_Stats!$F$2:$F$825,Map_Stats!$A$2:$A$825,$F111&amp;"|"&amp;$G111))</f>
        <v>8</v>
      </c>
      <c r="R111" s="18">
        <f t="array" ref="R111">IF($G111="","",IFERROR(1/(1/INDEX(Map_Stats!$K$2:$K$825,MATCH($F111&amp;"|"&amp;$G111,Map_Stats!$A$2:$A$825,0))),$O111))</f>
        <v>0.85</v>
      </c>
      <c r="S111" s="11">
        <f t="array" ref="S111">IF(OR($G111="",$P111=""),"",IFERROR(1/(1/INDEX(Map_Stats!$I$2:$I$825,MATCH($F111&amp;"|"&amp;$G111,Map_Stats!$A$2:$A$825,0))),$P111))</f>
        <v>0.42</v>
      </c>
      <c r="T111" s="18">
        <f>IF(OR($G111="",R111=""),"",IF($O111="",R111,(Q111*R111+Config!$B$4*$O111)/(Q111+Config!$B$4)))</f>
        <v>0.8076923077</v>
      </c>
      <c r="U111" s="11">
        <f>IF(S111="","",(Q111*S111+Config!$B$4*$P111)/(Q111+Config!$B$4))</f>
        <v>0.4276923077</v>
      </c>
      <c r="V111" s="17">
        <f>IF(OR(T111="",$J111=""),"",T111*$J111*($J111/Config!$B$10)^Config!$B$9)</f>
        <v>17.36538462</v>
      </c>
      <c r="W111" s="17">
        <f t="shared" si="1"/>
        <v>7.42704142</v>
      </c>
      <c r="X111" s="4">
        <f>IF($H111="",0,SUMIFS(Map_Stats!$F$2:$F$825,Map_Stats!$A$2:$A$825,$F111&amp;"|"&amp;$H111))</f>
        <v>5</v>
      </c>
      <c r="Y111" s="18">
        <f t="array" ref="Y111">IF($H111="","",IFERROR(1/(1/INDEX(Map_Stats!$K$2:$K$825,MATCH($F111&amp;"|"&amp;$H111,Map_Stats!$A$2:$A$825,0))),$O111))</f>
        <v>0.69</v>
      </c>
      <c r="Z111" s="11">
        <f t="array" ref="Z111">IF(OR($H111="",$P111=""),"",IFERROR(1/(1/INDEX(Map_Stats!$I$2:$I$825,MATCH($F111&amp;"|"&amp;$H111,Map_Stats!$A$2:$A$825,0))),$P111))</f>
        <v>0.541</v>
      </c>
      <c r="AA111" s="18">
        <f>IF(OR($H111="",Y111=""),"",IF($O111="",Y111,(X111*Y111+Config!$B$4*$O111)/(X111+Config!$B$4)))</f>
        <v>0.715</v>
      </c>
      <c r="AB111" s="11">
        <f>IF(Z111="","",(X111*Z111+Config!$B$4*$P111)/(X111+Config!$B$4))</f>
        <v>0.4905</v>
      </c>
      <c r="AC111" s="17">
        <f>IF(OR(AA111="",$K111=""),"",AA111*$K111*($K111/Config!$B$10)^Config!$B$9)</f>
        <v>15.3725</v>
      </c>
      <c r="AD111" s="17">
        <f t="shared" si="2"/>
        <v>7.54021125</v>
      </c>
      <c r="AE111" s="4">
        <f>IF($I111="",0,SUMIFS(Map_Stats!$F$2:$F$825,Map_Stats!$A$2:$A$825,$F111&amp;"|"&amp;$I111))</f>
        <v>0</v>
      </c>
      <c r="AF111" s="18" t="str">
        <f t="array" ref="AF111">IF($I111="","",IFERROR(1/(1/INDEX(Map_Stats!$K$2:$K$825,MATCH($F111&amp;"|"&amp;$I111,Map_Stats!$A$2:$A$825,0))),$O111))</f>
        <v/>
      </c>
      <c r="AG111" s="11" t="str">
        <f t="array" ref="AG111">IF(OR($I111="",$P111=""),"",IFERROR(1/(1/INDEX(Map_Stats!$I$2:$I$825,MATCH($F111&amp;"|"&amp;$I111,Map_Stats!$A$2:$A$825,0))),$P111))</f>
        <v/>
      </c>
      <c r="AH111" s="18" t="str">
        <f>IF(OR($I111="",AF111=""),"",IF($O111="",AF111,(AE111*AF111+Config!$B$4*$O111)/(AE111+Config!$B$4)))</f>
        <v/>
      </c>
      <c r="AI111" s="11" t="str">
        <f>IF(AG111="","",(AE111*AG111+Config!$B$4*$P111)/(AE111+Config!$B$4))</f>
        <v/>
      </c>
      <c r="AJ111" s="17" t="str">
        <f>IF(OR(AH111="",$L111=""),"",AH111*$L111*($L111/Config!$B$10)^Config!$B$9)</f>
        <v/>
      </c>
      <c r="AK111" s="17" t="str">
        <f t="shared" si="3"/>
        <v/>
      </c>
      <c r="AL111" s="17">
        <f t="shared" si="4"/>
        <v>32.73788462</v>
      </c>
      <c r="AM111" s="17">
        <f t="shared" si="5"/>
        <v>32.73788462</v>
      </c>
      <c r="AN111" s="17">
        <f t="shared" si="6"/>
        <v>14.96725267</v>
      </c>
      <c r="AO111" s="17">
        <f t="shared" si="7"/>
        <v>14.96725267</v>
      </c>
      <c r="AP111" s="11">
        <f t="shared" si="8"/>
        <v>0.4571844774</v>
      </c>
      <c r="AQ111" s="4" t="str">
        <f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4" t="str">
        <f>IF($C111=Board!$B$2,COUNTIFS($C$2:$C$157,Board!$B$2,$AL$2:$AL$157,"&gt;"&amp;$AL111)+COUNTIFS($C$1:$C110,Board!$B$2,$AL$1:$AL110,$AL111)+1,"")</f>
        <v/>
      </c>
      <c r="AS111" s="4" t="str">
        <f t="array" ref="AS111">IFERROR(IF($D111=INDEX(Matches!$AD$5:$AD$22,MATCH($C111,Matches!$A$5:$A$22,0)),"A",IF($D111=INDEX(Matches!$AE$5:$AE$22,MATCH($C111,Matches!$A$5:$A$22,0)),"B","")),"")</f>
        <v>A</v>
      </c>
      <c r="AT111" s="11">
        <f t="array" ref="AT111">IF($AS111="","",IFERROR(IF($AS111="A",INDEX(Matches!$AI$5:$AI$22,MATCH($C111,Matches!$A$5:$A$22,0)),INDEX(Matches!$AJ$5:$AJ$22,MATCH($C111,Matches!$A$5:$A$22,0))),""))</f>
        <v>0.4862840163</v>
      </c>
      <c r="AU111" s="11">
        <f t="array" ref="AU111">IF($AS111="","",IFERROR(IF(INDEX(Matches!$AP$5:$AP$22,MATCH($C111,Matches!$A$5:$A$22,0))="","",IF($AS111="A",INDEX(Matches!$AP$5:$AP$22,MATCH($C111,Matches!$A$5:$A$22,0)),1-INDEX(Matches!$AP$5:$AP$22,MATCH($C111,Matches!$A$5:$A$22,0)))),""))</f>
        <v>0.6473283146</v>
      </c>
      <c r="AV111" s="18">
        <f>IF(OR($AU111="",$AT111=""),1,((Config!$B$14*$AU111+Config!$B$15*(1-$AU111))/(Config!$B$14*$AT111+Config!$B$15*(1-$AT111)))^Config!$B$13)</f>
        <v>1.145697719</v>
      </c>
      <c r="AW111" s="11">
        <f t="array" ref="AW111">IF($AS111="","",IFERROR(IF(INDEX(Matches!$AV$5:$AV$22,MATCH($C111,Matches!$A$5:$A$22,0))="","",IF($AS111="A",INDEX(Matches!$AV$5:$AV$22,MATCH($C111,Matches!$A$5:$A$22,0)),1-INDEX(Matches!$AV$5:$AV$22,MATCH($C111,Matches!$A$5:$A$22,0)))),""))</f>
        <v>0.5243796417</v>
      </c>
      <c r="AX111" s="18">
        <f>IF(OR($AW111="",$AT111=""),1,((Config!$B$14*$AW111+Config!$B$15*(1-$AW111))/(Config!$B$14*$AT111+Config!$B$15*(1-$AT111)))^Config!$B$13)</f>
        <v>1.034465335</v>
      </c>
      <c r="AY111" s="11" t="str">
        <f t="array" ref="AY111">IF($AS111="","",IFERROR(IF(INDEX(Matches!$BB$5:$BB$22,MATCH($C111,Matches!$A$5:$A$22,0))="","",IF($AS111="A",INDEX(Matches!$BB$5:$BB$22,MATCH($C111,Matches!$A$5:$A$22,0)),1-INDEX(Matches!$BB$5:$BB$22,MATCH($C111,Matches!$A$5:$A$22,0)))),""))</f>
        <v/>
      </c>
      <c r="AZ111" s="18">
        <f>IF(OR($AY111="",$AT111=""),1,((Config!$B$14*$AY111+Config!$B$15*(1-$AY111))/(Config!$B$14*$AT111+Config!$B$15*(1-$AT111)))^Config!$B$13)</f>
        <v>1</v>
      </c>
      <c r="BA111" s="17">
        <f t="shared" si="9"/>
        <v>19.89548155</v>
      </c>
      <c r="BB111" s="17">
        <f t="shared" si="10"/>
        <v>15.90231837</v>
      </c>
      <c r="BC111" s="17" t="str">
        <f t="shared" si="11"/>
        <v/>
      </c>
      <c r="BD111" s="17">
        <f t="shared" si="12"/>
        <v>35.79779992</v>
      </c>
      <c r="BE111" s="17">
        <f t="shared" si="13"/>
        <v>35.79779992</v>
      </c>
      <c r="BF111" s="17">
        <f t="shared" si="14"/>
        <v>8.509144416</v>
      </c>
      <c r="BG111" s="17">
        <f t="shared" si="15"/>
        <v>7.800087159</v>
      </c>
      <c r="BH111" s="17" t="str">
        <f t="shared" si="16"/>
        <v/>
      </c>
      <c r="BI111" s="17">
        <f t="shared" si="17"/>
        <v>16.30923158</v>
      </c>
      <c r="BJ111" s="17">
        <f t="shared" si="18"/>
        <v>16.30923158</v>
      </c>
      <c r="BK111" s="18">
        <f t="shared" si="19"/>
        <v>1.093467105</v>
      </c>
    </row>
    <row r="112" ht="15.75" customHeight="1">
      <c r="A112" s="4" t="s">
        <v>3243</v>
      </c>
      <c r="B112" s="4" t="s">
        <v>86</v>
      </c>
      <c r="C112" s="4" t="s">
        <v>1462</v>
      </c>
      <c r="D112" s="4" t="s">
        <v>858</v>
      </c>
      <c r="E112" s="4" t="s">
        <v>1529</v>
      </c>
      <c r="F112" s="4" t="s">
        <v>1528</v>
      </c>
      <c r="G112" s="4" t="str">
        <f t="array" ref="G112">IFERROR(IF(INDEX(Matches!$W$5:$W$22,MATCH($C112,Matches!$A$5:$A$22,0))="","",INDEX(Matches!$W$5:$W$22,MATCH($C112,Matches!$A$5:$A$22,0))),"")</f>
        <v>Ancient</v>
      </c>
      <c r="H112" s="4" t="str">
        <f t="array" ref="H112">IFERROR(IF(INDEX(Matches!$X$5:$X$22,MATCH($C112,Matches!$A$5:$A$22,0))="","",INDEX(Matches!$X$5:$X$22,MATCH($C112,Matches!$A$5:$A$22,0))),"")</f>
        <v>Nuke</v>
      </c>
      <c r="I112" s="4" t="str">
        <f t="array" ref="I112">IFERROR(IF(INDEX(Matches!$Y$5:$Y$22,MATCH($C112,Matches!$A$5:$A$22,0))="","",INDEX(Matches!$Y$5:$Y$22,MATCH($C112,Matches!$A$5:$A$22,0))),"")</f>
        <v/>
      </c>
      <c r="J112" s="4">
        <f t="array" ref="J112">IFERROR(IF(INDEX(Matches!$Z$5:$Z$22,MATCH($C112,Matches!$A$5:$A$22,0))="","",INDEX(Matches!$Z$5:$Z$22,MATCH($C112,Matches!$A$5:$A$22,0))),"")</f>
        <v>21.5</v>
      </c>
      <c r="K112" s="4">
        <f t="array" ref="K112">IFERROR(IF(INDEX(Matches!$AA$5:$AA$22,MATCH($C112,Matches!$A$5:$A$22,0))="","",INDEX(Matches!$AA$5:$AA$22,MATCH($C112,Matches!$A$5:$A$22,0))),"")</f>
        <v>21.5</v>
      </c>
      <c r="L112" s="4" t="str">
        <f t="array" ref="L112">IFERROR(IF(INDEX(Matches!$AB$5:$AB$22,MATCH($C112,Matches!$A$5:$A$22,0))="","",INDEX(Matches!$AB$5:$AB$22,MATCH($C112,Matches!$A$5:$A$22,0))),"")</f>
        <v/>
      </c>
      <c r="M112" s="11">
        <f t="array" ref="M112">IFERROR(IF(INDEX(Matches!$AC$5:$AC$22,MATCH($C112,Matches!$A$5:$A$22,0))="","",INDEX(Matches!$AC$5:$AC$22,MATCH($C112,Matches!$A$5:$A$22,0))),"")</f>
        <v>0</v>
      </c>
      <c r="N112" s="4">
        <f t="array" ref="N112">IFERROR(INDEX(Players!$F$2:$F$127,MATCH($F112,Players!$A$2:$A$127,0)),0)</f>
        <v>37</v>
      </c>
      <c r="O112" s="18">
        <f t="array" ref="O112">IFERROR(1/(1/INDEX(Players!$H$2:$H$127,MATCH($F112,Players!$A$2:$A$127,0))),"")</f>
        <v>0.57</v>
      </c>
      <c r="P112" s="11">
        <f t="array" ref="P112">IFERROR(1/(1/INDEX(Players!$I$2:$I$127,MATCH($F112,Players!$A$2:$A$127,0))),"")</f>
        <v>0.545</v>
      </c>
      <c r="Q112" s="4">
        <f>IF($G112="",0,SUMIFS(Map_Stats!$F$2:$F$825,Map_Stats!$A$2:$A$825,$F112&amp;"|"&amp;$G112))</f>
        <v>8</v>
      </c>
      <c r="R112" s="18">
        <f t="array" ref="R112">IF($G112="","",IFERROR(1/(1/INDEX(Map_Stats!$K$2:$K$825,MATCH($F112&amp;"|"&amp;$G112,Map_Stats!$A$2:$A$825,0))),$O112))</f>
        <v>0.57</v>
      </c>
      <c r="S112" s="11">
        <f t="array" ref="S112">IF(OR($G112="",$P112=""),"",IFERROR(1/(1/INDEX(Map_Stats!$I$2:$I$825,MATCH($F112&amp;"|"&amp;$G112,Map_Stats!$A$2:$A$825,0))),$P112))</f>
        <v>0.634</v>
      </c>
      <c r="T112" s="18">
        <f>IF(OR($G112="",R112=""),"",IF($O112="",R112,(Q112*R112+Config!$B$4*$O112)/(Q112+Config!$B$4)))</f>
        <v>0.57</v>
      </c>
      <c r="U112" s="11">
        <f>IF(S112="","",(Q112*S112+Config!$B$4*$P112)/(Q112+Config!$B$4))</f>
        <v>0.5997692308</v>
      </c>
      <c r="V112" s="17">
        <f>IF(OR(T112="",$J112=""),"",T112*$J112*($J112/Config!$B$10)^Config!$B$9)</f>
        <v>12.255</v>
      </c>
      <c r="W112" s="17">
        <f t="shared" si="1"/>
        <v>7.350171923</v>
      </c>
      <c r="X112" s="4">
        <f>IF($H112="",0,SUMIFS(Map_Stats!$F$2:$F$825,Map_Stats!$A$2:$A$825,$F112&amp;"|"&amp;$H112))</f>
        <v>5</v>
      </c>
      <c r="Y112" s="18">
        <f t="array" ref="Y112">IF($H112="","",IFERROR(1/(1/INDEX(Map_Stats!$K$2:$K$825,MATCH($F112&amp;"|"&amp;$H112,Map_Stats!$A$2:$A$825,0))),$O112))</f>
        <v>0.44</v>
      </c>
      <c r="Z112" s="11">
        <f t="array" ref="Z112">IF(OR($H112="",$P112=""),"",IFERROR(1/(1/INDEX(Map_Stats!$I$2:$I$825,MATCH($F112&amp;"|"&amp;$H112,Map_Stats!$A$2:$A$825,0))),$P112))</f>
        <v>0.489</v>
      </c>
      <c r="AA112" s="18">
        <f>IF(OR($H112="",Y112=""),"",IF($O112="",Y112,(X112*Y112+Config!$B$4*$O112)/(X112+Config!$B$4)))</f>
        <v>0.505</v>
      </c>
      <c r="AB112" s="11">
        <f>IF(Z112="","",(X112*Z112+Config!$B$4*$P112)/(X112+Config!$B$4))</f>
        <v>0.517</v>
      </c>
      <c r="AC112" s="17">
        <f>IF(OR(AA112="",$K112=""),"",AA112*$K112*($K112/Config!$B$10)^Config!$B$9)</f>
        <v>10.8575</v>
      </c>
      <c r="AD112" s="17">
        <f t="shared" si="2"/>
        <v>5.6133275</v>
      </c>
      <c r="AE112" s="4">
        <f>IF($I112="",0,SUMIFS(Map_Stats!$F$2:$F$825,Map_Stats!$A$2:$A$825,$F112&amp;"|"&amp;$I112))</f>
        <v>0</v>
      </c>
      <c r="AF112" s="18" t="str">
        <f t="array" ref="AF112">IF($I112="","",IFERROR(1/(1/INDEX(Map_Stats!$K$2:$K$825,MATCH($F112&amp;"|"&amp;$I112,Map_Stats!$A$2:$A$825,0))),$O112))</f>
        <v/>
      </c>
      <c r="AG112" s="11" t="str">
        <f t="array" ref="AG112">IF(OR($I112="",$P112=""),"",IFERROR(1/(1/INDEX(Map_Stats!$I$2:$I$825,MATCH($F112&amp;"|"&amp;$I112,Map_Stats!$A$2:$A$825,0))),$P112))</f>
        <v/>
      </c>
      <c r="AH112" s="18" t="str">
        <f>IF(OR($I112="",AF112=""),"",IF($O112="",AF112,(AE112*AF112+Config!$B$4*$O112)/(AE112+Config!$B$4)))</f>
        <v/>
      </c>
      <c r="AI112" s="11" t="str">
        <f>IF(AG112="","",(AE112*AG112+Config!$B$4*$P112)/(AE112+Config!$B$4))</f>
        <v/>
      </c>
      <c r="AJ112" s="17" t="str">
        <f>IF(OR(AH112="",$L112=""),"",AH112*$L112*($L112/Config!$B$10)^Config!$B$9)</f>
        <v/>
      </c>
      <c r="AK112" s="17" t="str">
        <f t="shared" si="3"/>
        <v/>
      </c>
      <c r="AL112" s="17">
        <f t="shared" si="4"/>
        <v>23.1125</v>
      </c>
      <c r="AM112" s="17">
        <f t="shared" si="5"/>
        <v>23.1125</v>
      </c>
      <c r="AN112" s="17">
        <f t="shared" si="6"/>
        <v>12.96349942</v>
      </c>
      <c r="AO112" s="17">
        <f t="shared" si="7"/>
        <v>12.96349942</v>
      </c>
      <c r="AP112" s="11">
        <f t="shared" si="8"/>
        <v>0.560886941</v>
      </c>
      <c r="AQ112" s="4" t="str">
        <f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4" t="str">
        <f>IF($C112=Board!$B$2,COUNTIFS($C$2:$C$157,Board!$B$2,$AL$2:$AL$157,"&gt;"&amp;$AL112)+COUNTIFS($C$1:$C111,Board!$B$2,$AL$1:$AL111,$AL112)+1,"")</f>
        <v/>
      </c>
      <c r="AS112" s="4" t="str">
        <f t="array" ref="AS112">IFERROR(IF($D112=INDEX(Matches!$AD$5:$AD$22,MATCH($C112,Matches!$A$5:$A$22,0)),"A",IF($D112=INDEX(Matches!$AE$5:$AE$22,MATCH($C112,Matches!$A$5:$A$22,0)),"B","")),"")</f>
        <v>A</v>
      </c>
      <c r="AT112" s="11">
        <f t="array" ref="AT112">IF($AS112="","",IFERROR(IF($AS112="A",INDEX(Matches!$AI$5:$AI$22,MATCH($C112,Matches!$A$5:$A$22,0)),INDEX(Matches!$AJ$5:$AJ$22,MATCH($C112,Matches!$A$5:$A$22,0))),""))</f>
        <v>0.4862840163</v>
      </c>
      <c r="AU112" s="11">
        <f t="array" ref="AU112">IF($AS112="","",IFERROR(IF(INDEX(Matches!$AP$5:$AP$22,MATCH($C112,Matches!$A$5:$A$22,0))="","",IF($AS112="A",INDEX(Matches!$AP$5:$AP$22,MATCH($C112,Matches!$A$5:$A$22,0)),1-INDEX(Matches!$AP$5:$AP$22,MATCH($C112,Matches!$A$5:$A$22,0)))),""))</f>
        <v>0.6473283146</v>
      </c>
      <c r="AV112" s="18">
        <f>IF(OR($AU112="",$AT112=""),1,((Config!$B$14*$AU112+Config!$B$15*(1-$AU112))/(Config!$B$14*$AT112+Config!$B$15*(1-$AT112)))^Config!$B$13)</f>
        <v>1.145697719</v>
      </c>
      <c r="AW112" s="11">
        <f t="array" ref="AW112">IF($AS112="","",IFERROR(IF(INDEX(Matches!$AV$5:$AV$22,MATCH($C112,Matches!$A$5:$A$22,0))="","",IF($AS112="A",INDEX(Matches!$AV$5:$AV$22,MATCH($C112,Matches!$A$5:$A$22,0)),1-INDEX(Matches!$AV$5:$AV$22,MATCH($C112,Matches!$A$5:$A$22,0)))),""))</f>
        <v>0.5243796417</v>
      </c>
      <c r="AX112" s="18">
        <f>IF(OR($AW112="",$AT112=""),1,((Config!$B$14*$AW112+Config!$B$15*(1-$AW112))/(Config!$B$14*$AT112+Config!$B$15*(1-$AT112)))^Config!$B$13)</f>
        <v>1.034465335</v>
      </c>
      <c r="AY112" s="11" t="str">
        <f t="array" ref="AY112">IF($AS112="","",IFERROR(IF(INDEX(Matches!$BB$5:$BB$22,MATCH($C112,Matches!$A$5:$A$22,0))="","",IF($AS112="A",INDEX(Matches!$BB$5:$BB$22,MATCH($C112,Matches!$A$5:$A$22,0)),1-INDEX(Matches!$BB$5:$BB$22,MATCH($C112,Matches!$A$5:$A$22,0)))),""))</f>
        <v/>
      </c>
      <c r="AZ112" s="18">
        <f>IF(OR($AY112="",$AT112=""),1,((Config!$B$14*$AY112+Config!$B$15*(1-$AY112))/(Config!$B$14*$AT112+Config!$B$15*(1-$AT112)))^Config!$B$13)</f>
        <v>1</v>
      </c>
      <c r="BA112" s="17">
        <f t="shared" si="9"/>
        <v>14.04052555</v>
      </c>
      <c r="BB112" s="17">
        <f t="shared" si="10"/>
        <v>11.23170738</v>
      </c>
      <c r="BC112" s="17" t="str">
        <f t="shared" si="11"/>
        <v/>
      </c>
      <c r="BD112" s="17">
        <f t="shared" si="12"/>
        <v>25.27223293</v>
      </c>
      <c r="BE112" s="17">
        <f t="shared" si="13"/>
        <v>25.27223293</v>
      </c>
      <c r="BF112" s="17">
        <f t="shared" si="14"/>
        <v>8.421075209</v>
      </c>
      <c r="BG112" s="17">
        <f t="shared" si="15"/>
        <v>5.806792714</v>
      </c>
      <c r="BH112" s="17" t="str">
        <f t="shared" si="16"/>
        <v/>
      </c>
      <c r="BI112" s="17">
        <f t="shared" si="17"/>
        <v>14.22786792</v>
      </c>
      <c r="BJ112" s="17">
        <f t="shared" si="18"/>
        <v>14.22786792</v>
      </c>
      <c r="BK112" s="18">
        <f t="shared" si="19"/>
        <v>1.093444367</v>
      </c>
    </row>
    <row r="113" ht="15.75" customHeight="1">
      <c r="A113" s="4" t="s">
        <v>3244</v>
      </c>
      <c r="B113" s="4" t="s">
        <v>86</v>
      </c>
      <c r="C113" s="4" t="s">
        <v>1160</v>
      </c>
      <c r="D113" s="4" t="s">
        <v>1013</v>
      </c>
      <c r="E113" s="4" t="s">
        <v>1405</v>
      </c>
      <c r="F113" s="4" t="s">
        <v>1404</v>
      </c>
      <c r="G113" s="4" t="str">
        <f t="array" ref="G113">IFERROR(IF(INDEX(Matches!$W$5:$W$22,MATCH($C113,Matches!$A$5:$A$22,0))="","",INDEX(Matches!$W$5:$W$22,MATCH($C113,Matches!$A$5:$A$22,0))),"")</f>
        <v>Nuke</v>
      </c>
      <c r="H113" s="4" t="str">
        <f t="array" ref="H113">IFERROR(IF(INDEX(Matches!$X$5:$X$22,MATCH($C113,Matches!$A$5:$A$22,0))="","",INDEX(Matches!$X$5:$X$22,MATCH($C113,Matches!$A$5:$A$22,0))),"")</f>
        <v>Dust2</v>
      </c>
      <c r="I113" s="4" t="str">
        <f t="array" ref="I113">IFERROR(IF(INDEX(Matches!$Y$5:$Y$22,MATCH($C113,Matches!$A$5:$A$22,0))="","",INDEX(Matches!$Y$5:$Y$22,MATCH($C113,Matches!$A$5:$A$22,0))),"")</f>
        <v/>
      </c>
      <c r="J113" s="4">
        <f t="array" ref="J113">IFERROR(IF(INDEX(Matches!$Z$5:$Z$22,MATCH($C113,Matches!$A$5:$A$22,0))="","",INDEX(Matches!$Z$5:$Z$22,MATCH($C113,Matches!$A$5:$A$22,0))),"")</f>
        <v>21.36</v>
      </c>
      <c r="K113" s="4">
        <f t="array" ref="K113">IFERROR(IF(INDEX(Matches!$AA$5:$AA$22,MATCH($C113,Matches!$A$5:$A$22,0))="","",INDEX(Matches!$AA$5:$AA$22,MATCH($C113,Matches!$A$5:$A$22,0))),"")</f>
        <v>21.5</v>
      </c>
      <c r="L113" s="4" t="str">
        <f t="array" ref="L113">IFERROR(IF(INDEX(Matches!$AB$5:$AB$22,MATCH($C113,Matches!$A$5:$A$22,0))="","",INDEX(Matches!$AB$5:$AB$22,MATCH($C113,Matches!$A$5:$A$22,0))),"")</f>
        <v/>
      </c>
      <c r="M113" s="11">
        <f t="array" ref="M113">IFERROR(IF(INDEX(Matches!$AC$5:$AC$22,MATCH($C113,Matches!$A$5:$A$22,0))="","",INDEX(Matches!$AC$5:$AC$22,MATCH($C113,Matches!$A$5:$A$22,0))),"")</f>
        <v>0</v>
      </c>
      <c r="N113" s="4">
        <f t="array" ref="N113">IFERROR(INDEX(Players!$F$2:$F$127,MATCH($F113,Players!$A$2:$A$127,0)),0)</f>
        <v>31</v>
      </c>
      <c r="O113" s="18">
        <f t="array" ref="O113">IFERROR(1/(1/INDEX(Players!$H$2:$H$127,MATCH($F113,Players!$A$2:$A$127,0))),"")</f>
        <v>0.69</v>
      </c>
      <c r="P113" s="11">
        <f t="array" ref="P113">IFERROR(1/(1/INDEX(Players!$I$2:$I$127,MATCH($F113,Players!$A$2:$A$127,0))),"")</f>
        <v>0.517</v>
      </c>
      <c r="Q113" s="4">
        <f>IF($G113="",0,SUMIFS(Map_Stats!$F$2:$F$825,Map_Stats!$A$2:$A$825,$F113&amp;"|"&amp;$G113))</f>
        <v>7</v>
      </c>
      <c r="R113" s="18">
        <f t="array" ref="R113">IF($G113="","",IFERROR(1/(1/INDEX(Map_Stats!$K$2:$K$825,MATCH($F113&amp;"|"&amp;$G113,Map_Stats!$A$2:$A$825,0))),$O113))</f>
        <v>0.67</v>
      </c>
      <c r="S113" s="11">
        <f t="array" ref="S113">IF(OR($G113="",$P113=""),"",IFERROR(1/(1/INDEX(Map_Stats!$I$2:$I$825,MATCH($F113&amp;"|"&amp;$G113,Map_Stats!$A$2:$A$825,0))),$P113))</f>
        <v>0.478</v>
      </c>
      <c r="T113" s="18">
        <f>IF(OR($G113="",R113=""),"",IF($O113="",R113,(Q113*R113+Config!$B$4*$O113)/(Q113+Config!$B$4)))</f>
        <v>0.6783333333</v>
      </c>
      <c r="U113" s="11">
        <f>IF(S113="","",(Q113*S113+Config!$B$4*$P113)/(Q113+Config!$B$4))</f>
        <v>0.49425</v>
      </c>
      <c r="V113" s="17">
        <f>IF(OR(T113="",$J113=""),"",T113*$J113*($J113/Config!$B$10)^Config!$B$9)</f>
        <v>14.4892</v>
      </c>
      <c r="W113" s="17">
        <f t="shared" si="1"/>
        <v>7.1612871</v>
      </c>
      <c r="X113" s="4">
        <f>IF($H113="",0,SUMIFS(Map_Stats!$F$2:$F$825,Map_Stats!$A$2:$A$825,$F113&amp;"|"&amp;$H113))</f>
        <v>6</v>
      </c>
      <c r="Y113" s="18">
        <f t="array" ref="Y113">IF($H113="","",IFERROR(1/(1/INDEX(Map_Stats!$K$2:$K$825,MATCH($F113&amp;"|"&amp;$H113,Map_Stats!$A$2:$A$825,0))),$O113))</f>
        <v>0.84</v>
      </c>
      <c r="Z113" s="11">
        <f t="array" ref="Z113">IF(OR($H113="",$P113=""),"",IFERROR(1/(1/INDEX(Map_Stats!$I$2:$I$825,MATCH($F113&amp;"|"&amp;$H113,Map_Stats!$A$2:$A$825,0))),$P113))</f>
        <v>0.553</v>
      </c>
      <c r="AA113" s="18">
        <f>IF(OR($H113="",Y113=""),"",IF($O113="",Y113,(X113*Y113+Config!$B$4*$O113)/(X113+Config!$B$4)))</f>
        <v>0.7718181818</v>
      </c>
      <c r="AB113" s="11">
        <f>IF(Z113="","",(X113*Z113+Config!$B$4*$P113)/(X113+Config!$B$4))</f>
        <v>0.5366363636</v>
      </c>
      <c r="AC113" s="17">
        <f>IF(OR(AA113="",$K113=""),"",AA113*$K113*($K113/Config!$B$10)^Config!$B$9)</f>
        <v>16.59409091</v>
      </c>
      <c r="AD113" s="17">
        <f t="shared" si="2"/>
        <v>8.904992603</v>
      </c>
      <c r="AE113" s="4">
        <f>IF($I113="",0,SUMIFS(Map_Stats!$F$2:$F$825,Map_Stats!$A$2:$A$825,$F113&amp;"|"&amp;$I113))</f>
        <v>0</v>
      </c>
      <c r="AF113" s="18" t="str">
        <f t="array" ref="AF113">IF($I113="","",IFERROR(1/(1/INDEX(Map_Stats!$K$2:$K$825,MATCH($F113&amp;"|"&amp;$I113,Map_Stats!$A$2:$A$825,0))),$O113))</f>
        <v/>
      </c>
      <c r="AG113" s="11" t="str">
        <f t="array" ref="AG113">IF(OR($I113="",$P113=""),"",IFERROR(1/(1/INDEX(Map_Stats!$I$2:$I$825,MATCH($F113&amp;"|"&amp;$I113,Map_Stats!$A$2:$A$825,0))),$P113))</f>
        <v/>
      </c>
      <c r="AH113" s="18" t="str">
        <f>IF(OR($I113="",AF113=""),"",IF($O113="",AF113,(AE113*AF113+Config!$B$4*$O113)/(AE113+Config!$B$4)))</f>
        <v/>
      </c>
      <c r="AI113" s="11" t="str">
        <f>IF(AG113="","",(AE113*AG113+Config!$B$4*$P113)/(AE113+Config!$B$4))</f>
        <v/>
      </c>
      <c r="AJ113" s="17" t="str">
        <f>IF(OR(AH113="",$L113=""),"",AH113*$L113*($L113/Config!$B$10)^Config!$B$9)</f>
        <v/>
      </c>
      <c r="AK113" s="17" t="str">
        <f t="shared" si="3"/>
        <v/>
      </c>
      <c r="AL113" s="17">
        <f t="shared" si="4"/>
        <v>31.08329091</v>
      </c>
      <c r="AM113" s="17">
        <f t="shared" si="5"/>
        <v>31.08329091</v>
      </c>
      <c r="AN113" s="17">
        <f t="shared" si="6"/>
        <v>16.0662797</v>
      </c>
      <c r="AO113" s="17">
        <f t="shared" si="7"/>
        <v>16.0662797</v>
      </c>
      <c r="AP113" s="11">
        <f t="shared" si="8"/>
        <v>0.5168783367</v>
      </c>
      <c r="AQ113" s="4" t="str">
        <f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4" t="str">
        <f>IF($C113=Board!$B$2,COUNTIFS($C$2:$C$157,Board!$B$2,$AL$2:$AL$157,"&gt;"&amp;$AL113)+COUNTIFS($C$1:$C112,Board!$B$2,$AL$1:$AL112,$AL113)+1,"")</f>
        <v/>
      </c>
      <c r="AS113" s="4" t="str">
        <f t="array" ref="AS113">IFERROR(IF($D113=INDEX(Matches!$AD$5:$AD$22,MATCH($C113,Matches!$A$5:$A$22,0)),"A",IF($D113=INDEX(Matches!$AE$5:$AE$22,MATCH($C113,Matches!$A$5:$A$22,0)),"B","")),"")</f>
        <v>B</v>
      </c>
      <c r="AT113" s="11">
        <f t="array" ref="AT113">IF($AS113="","",IFERROR(IF($AS113="A",INDEX(Matches!$AI$5:$AI$22,MATCH($C113,Matches!$A$5:$A$22,0)),INDEX(Matches!$AJ$5:$AJ$22,MATCH($C113,Matches!$A$5:$A$22,0))),""))</f>
        <v>0.5021995832</v>
      </c>
      <c r="AU113" s="11">
        <f t="array" ref="AU113">IF($AS113="","",IFERROR(IF(INDEX(Matches!$AP$5:$AP$22,MATCH($C113,Matches!$A$5:$A$22,0))="","",IF($AS113="A",INDEX(Matches!$AP$5:$AP$22,MATCH($C113,Matches!$A$5:$A$22,0)),1-INDEX(Matches!$AP$5:$AP$22,MATCH($C113,Matches!$A$5:$A$22,0)))),""))</f>
        <v>0.4648610246</v>
      </c>
      <c r="AV113" s="18">
        <f>IF(OR($AU113="",$AT113=""),1,((Config!$B$14*$AU113+Config!$B$15*(1-$AU113))/(Config!$B$14*$AT113+Config!$B$15*(1-$AT113)))^Config!$B$13)</f>
        <v>0.9666990842</v>
      </c>
      <c r="AW113" s="11">
        <f t="array" ref="AW113">IF($AS113="","",IFERROR(IF(INDEX(Matches!$AV$5:$AV$22,MATCH($C113,Matches!$A$5:$A$22,0))="","",IF($AS113="A",INDEX(Matches!$AV$5:$AV$22,MATCH($C113,Matches!$A$5:$A$22,0)),1-INDEX(Matches!$AV$5:$AV$22,MATCH($C113,Matches!$A$5:$A$22,0)))),""))</f>
        <v>0.4745047259</v>
      </c>
      <c r="AX113" s="18">
        <f>IF(OR($AW113="",$AT113=""),1,((Config!$B$14*$AW113+Config!$B$15*(1-$AW113))/(Config!$B$14*$AT113+Config!$B$15*(1-$AT113)))^Config!$B$13)</f>
        <v>0.9752999541</v>
      </c>
      <c r="AY113" s="11" t="str">
        <f t="array" ref="AY113">IF($AS113="","",IFERROR(IF(INDEX(Matches!$BB$5:$BB$22,MATCH($C113,Matches!$A$5:$A$22,0))="","",IF($AS113="A",INDEX(Matches!$BB$5:$BB$22,MATCH($C113,Matches!$A$5:$A$22,0)),1-INDEX(Matches!$BB$5:$BB$22,MATCH($C113,Matches!$A$5:$A$22,0)))),""))</f>
        <v/>
      </c>
      <c r="AZ113" s="18">
        <f>IF(OR($AY113="",$AT113=""),1,((Config!$B$14*$AY113+Config!$B$15*(1-$AY113))/(Config!$B$14*$AT113+Config!$B$15*(1-$AT113)))^Config!$B$13)</f>
        <v>1</v>
      </c>
      <c r="BA113" s="17">
        <f t="shared" si="9"/>
        <v>14.00669637</v>
      </c>
      <c r="BB113" s="17">
        <f t="shared" si="10"/>
        <v>16.1842161</v>
      </c>
      <c r="BC113" s="17" t="str">
        <f t="shared" si="11"/>
        <v/>
      </c>
      <c r="BD113" s="17">
        <f t="shared" si="12"/>
        <v>30.19091247</v>
      </c>
      <c r="BE113" s="17">
        <f t="shared" si="13"/>
        <v>30.19091247</v>
      </c>
      <c r="BF113" s="17">
        <f t="shared" si="14"/>
        <v>6.922809681</v>
      </c>
      <c r="BG113" s="17">
        <f t="shared" si="15"/>
        <v>8.685038877</v>
      </c>
      <c r="BH113" s="17" t="str">
        <f t="shared" si="16"/>
        <v/>
      </c>
      <c r="BI113" s="17">
        <f t="shared" si="17"/>
        <v>15.60784856</v>
      </c>
      <c r="BJ113" s="17">
        <f t="shared" si="18"/>
        <v>15.60784856</v>
      </c>
      <c r="BK113" s="18">
        <f t="shared" si="19"/>
        <v>0.971290735</v>
      </c>
    </row>
    <row r="114" ht="15.75" customHeight="1">
      <c r="A114" s="4" t="s">
        <v>3245</v>
      </c>
      <c r="B114" s="4" t="s">
        <v>86</v>
      </c>
      <c r="C114" s="4" t="s">
        <v>1160</v>
      </c>
      <c r="D114" s="4" t="s">
        <v>1013</v>
      </c>
      <c r="E114" s="4" t="s">
        <v>1409</v>
      </c>
      <c r="F114" s="4" t="s">
        <v>1408</v>
      </c>
      <c r="G114" s="4" t="str">
        <f t="array" ref="G114">IFERROR(IF(INDEX(Matches!$W$5:$W$22,MATCH($C114,Matches!$A$5:$A$22,0))="","",INDEX(Matches!$W$5:$W$22,MATCH($C114,Matches!$A$5:$A$22,0))),"")</f>
        <v>Nuke</v>
      </c>
      <c r="H114" s="4" t="str">
        <f t="array" ref="H114">IFERROR(IF(INDEX(Matches!$X$5:$X$22,MATCH($C114,Matches!$A$5:$A$22,0))="","",INDEX(Matches!$X$5:$X$22,MATCH($C114,Matches!$A$5:$A$22,0))),"")</f>
        <v>Dust2</v>
      </c>
      <c r="I114" s="4" t="str">
        <f t="array" ref="I114">IFERROR(IF(INDEX(Matches!$Y$5:$Y$22,MATCH($C114,Matches!$A$5:$A$22,0))="","",INDEX(Matches!$Y$5:$Y$22,MATCH($C114,Matches!$A$5:$A$22,0))),"")</f>
        <v/>
      </c>
      <c r="J114" s="4">
        <f t="array" ref="J114">IFERROR(IF(INDEX(Matches!$Z$5:$Z$22,MATCH($C114,Matches!$A$5:$A$22,0))="","",INDEX(Matches!$Z$5:$Z$22,MATCH($C114,Matches!$A$5:$A$22,0))),"")</f>
        <v>21.36</v>
      </c>
      <c r="K114" s="4">
        <f t="array" ref="K114">IFERROR(IF(INDEX(Matches!$AA$5:$AA$22,MATCH($C114,Matches!$A$5:$A$22,0))="","",INDEX(Matches!$AA$5:$AA$22,MATCH($C114,Matches!$A$5:$A$22,0))),"")</f>
        <v>21.5</v>
      </c>
      <c r="L114" s="4" t="str">
        <f t="array" ref="L114">IFERROR(IF(INDEX(Matches!$AB$5:$AB$22,MATCH($C114,Matches!$A$5:$A$22,0))="","",INDEX(Matches!$AB$5:$AB$22,MATCH($C114,Matches!$A$5:$A$22,0))),"")</f>
        <v/>
      </c>
      <c r="M114" s="11">
        <f t="array" ref="M114">IFERROR(IF(INDEX(Matches!$AC$5:$AC$22,MATCH($C114,Matches!$A$5:$A$22,0))="","",INDEX(Matches!$AC$5:$AC$22,MATCH($C114,Matches!$A$5:$A$22,0))),"")</f>
        <v>0</v>
      </c>
      <c r="N114" s="4">
        <f t="array" ref="N114">IFERROR(INDEX(Players!$F$2:$F$127,MATCH($F114,Players!$A$2:$A$127,0)),0)</f>
        <v>27</v>
      </c>
      <c r="O114" s="18">
        <f t="array" ref="O114">IFERROR(1/(1/INDEX(Players!$H$2:$H$127,MATCH($F114,Players!$A$2:$A$127,0))),"")</f>
        <v>0.72</v>
      </c>
      <c r="P114" s="11">
        <f t="array" ref="P114">IFERROR(1/(1/INDEX(Players!$I$2:$I$127,MATCH($F114,Players!$A$2:$A$127,0))),"")</f>
        <v>0.66</v>
      </c>
      <c r="Q114" s="4">
        <f>IF($G114="",0,SUMIFS(Map_Stats!$F$2:$F$825,Map_Stats!$A$2:$A$825,$F114&amp;"|"&amp;$G114))</f>
        <v>7</v>
      </c>
      <c r="R114" s="18">
        <f t="array" ref="R114">IF($G114="","",IFERROR(1/(1/INDEX(Map_Stats!$K$2:$K$825,MATCH($F114&amp;"|"&amp;$G114,Map_Stats!$A$2:$A$825,0))),$O114))</f>
        <v>0.89</v>
      </c>
      <c r="S114" s="11">
        <f t="array" ref="S114">IF(OR($G114="",$P114=""),"",IFERROR(1/(1/INDEX(Map_Stats!$I$2:$I$825,MATCH($F114&amp;"|"&amp;$G114,Map_Stats!$A$2:$A$825,0))),$P114))</f>
        <v>0.675</v>
      </c>
      <c r="T114" s="18">
        <f>IF(OR($G114="",R114=""),"",IF($O114="",R114,(Q114*R114+Config!$B$4*$O114)/(Q114+Config!$B$4)))</f>
        <v>0.8191666667</v>
      </c>
      <c r="U114" s="11">
        <f>IF(S114="","",(Q114*S114+Config!$B$4*$P114)/(Q114+Config!$B$4))</f>
        <v>0.66875</v>
      </c>
      <c r="V114" s="17">
        <f>IF(OR(T114="",$J114=""),"",T114*$J114*($J114/Config!$B$10)^Config!$B$9)</f>
        <v>17.4974</v>
      </c>
      <c r="W114" s="17">
        <f t="shared" si="1"/>
        <v>11.70138625</v>
      </c>
      <c r="X114" s="4">
        <f>IF($H114="",0,SUMIFS(Map_Stats!$F$2:$F$825,Map_Stats!$A$2:$A$825,$F114&amp;"|"&amp;$H114))</f>
        <v>6</v>
      </c>
      <c r="Y114" s="18">
        <f t="array" ref="Y114">IF($H114="","",IFERROR(1/(1/INDEX(Map_Stats!$K$2:$K$825,MATCH($F114&amp;"|"&amp;$H114,Map_Stats!$A$2:$A$825,0))),$O114))</f>
        <v>0.68</v>
      </c>
      <c r="Z114" s="11">
        <f t="array" ref="Z114">IF(OR($H114="",$P114=""),"",IFERROR(1/(1/INDEX(Map_Stats!$I$2:$I$825,MATCH($F114&amp;"|"&amp;$H114,Map_Stats!$A$2:$A$825,0))),$P114))</f>
        <v>0.682</v>
      </c>
      <c r="AA114" s="18">
        <f>IF(OR($H114="",Y114=""),"",IF($O114="",Y114,(X114*Y114+Config!$B$4*$O114)/(X114+Config!$B$4)))</f>
        <v>0.6981818182</v>
      </c>
      <c r="AB114" s="11">
        <f>IF(Z114="","",(X114*Z114+Config!$B$4*$P114)/(X114+Config!$B$4))</f>
        <v>0.672</v>
      </c>
      <c r="AC114" s="17">
        <f>IF(OR(AA114="",$K114=""),"",AA114*$K114*($K114/Config!$B$10)^Config!$B$9)</f>
        <v>15.01090909</v>
      </c>
      <c r="AD114" s="17">
        <f t="shared" si="2"/>
        <v>10.08733091</v>
      </c>
      <c r="AE114" s="4">
        <f>IF($I114="",0,SUMIFS(Map_Stats!$F$2:$F$825,Map_Stats!$A$2:$A$825,$F114&amp;"|"&amp;$I114))</f>
        <v>0</v>
      </c>
      <c r="AF114" s="18" t="str">
        <f t="array" ref="AF114">IF($I114="","",IFERROR(1/(1/INDEX(Map_Stats!$K$2:$K$825,MATCH($F114&amp;"|"&amp;$I114,Map_Stats!$A$2:$A$825,0))),$O114))</f>
        <v/>
      </c>
      <c r="AG114" s="11" t="str">
        <f t="array" ref="AG114">IF(OR($I114="",$P114=""),"",IFERROR(1/(1/INDEX(Map_Stats!$I$2:$I$825,MATCH($F114&amp;"|"&amp;$I114,Map_Stats!$A$2:$A$825,0))),$P114))</f>
        <v/>
      </c>
      <c r="AH114" s="18" t="str">
        <f>IF(OR($I114="",AF114=""),"",IF($O114="",AF114,(AE114*AF114+Config!$B$4*$O114)/(AE114+Config!$B$4)))</f>
        <v/>
      </c>
      <c r="AI114" s="11" t="str">
        <f>IF(AG114="","",(AE114*AG114+Config!$B$4*$P114)/(AE114+Config!$B$4))</f>
        <v/>
      </c>
      <c r="AJ114" s="17" t="str">
        <f>IF(OR(AH114="",$L114=""),"",AH114*$L114*($L114/Config!$B$10)^Config!$B$9)</f>
        <v/>
      </c>
      <c r="AK114" s="17" t="str">
        <f t="shared" si="3"/>
        <v/>
      </c>
      <c r="AL114" s="17">
        <f t="shared" si="4"/>
        <v>32.50830909</v>
      </c>
      <c r="AM114" s="17">
        <f t="shared" si="5"/>
        <v>32.50830909</v>
      </c>
      <c r="AN114" s="17">
        <f t="shared" si="6"/>
        <v>21.78871716</v>
      </c>
      <c r="AO114" s="17">
        <f t="shared" si="7"/>
        <v>21.78871716</v>
      </c>
      <c r="AP114" s="11">
        <f t="shared" si="8"/>
        <v>0.6702507072</v>
      </c>
      <c r="AQ114" s="4" t="str">
        <f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4" t="str">
        <f>IF($C114=Board!$B$2,COUNTIFS($C$2:$C$157,Board!$B$2,$AL$2:$AL$157,"&gt;"&amp;$AL114)+COUNTIFS($C$1:$C113,Board!$B$2,$AL$1:$AL113,$AL114)+1,"")</f>
        <v/>
      </c>
      <c r="AS114" s="4" t="str">
        <f t="array" ref="AS114">IFERROR(IF($D114=INDEX(Matches!$AD$5:$AD$22,MATCH($C114,Matches!$A$5:$A$22,0)),"A",IF($D114=INDEX(Matches!$AE$5:$AE$22,MATCH($C114,Matches!$A$5:$A$22,0)),"B","")),"")</f>
        <v>B</v>
      </c>
      <c r="AT114" s="11">
        <f t="array" ref="AT114">IF($AS114="","",IFERROR(IF($AS114="A",INDEX(Matches!$AI$5:$AI$22,MATCH($C114,Matches!$A$5:$A$22,0)),INDEX(Matches!$AJ$5:$AJ$22,MATCH($C114,Matches!$A$5:$A$22,0))),""))</f>
        <v>0.5021995832</v>
      </c>
      <c r="AU114" s="11">
        <f t="array" ref="AU114">IF($AS114="","",IFERROR(IF(INDEX(Matches!$AP$5:$AP$22,MATCH($C114,Matches!$A$5:$A$22,0))="","",IF($AS114="A",INDEX(Matches!$AP$5:$AP$22,MATCH($C114,Matches!$A$5:$A$22,0)),1-INDEX(Matches!$AP$5:$AP$22,MATCH($C114,Matches!$A$5:$A$22,0)))),""))</f>
        <v>0.4648610246</v>
      </c>
      <c r="AV114" s="18">
        <f>IF(OR($AU114="",$AT114=""),1,((Config!$B$14*$AU114+Config!$B$15*(1-$AU114))/(Config!$B$14*$AT114+Config!$B$15*(1-$AT114)))^Config!$B$13)</f>
        <v>0.9666990842</v>
      </c>
      <c r="AW114" s="11">
        <f t="array" ref="AW114">IF($AS114="","",IFERROR(IF(INDEX(Matches!$AV$5:$AV$22,MATCH($C114,Matches!$A$5:$A$22,0))="","",IF($AS114="A",INDEX(Matches!$AV$5:$AV$22,MATCH($C114,Matches!$A$5:$A$22,0)),1-INDEX(Matches!$AV$5:$AV$22,MATCH($C114,Matches!$A$5:$A$22,0)))),""))</f>
        <v>0.4745047259</v>
      </c>
      <c r="AX114" s="18">
        <f>IF(OR($AW114="",$AT114=""),1,((Config!$B$14*$AW114+Config!$B$15*(1-$AW114))/(Config!$B$14*$AT114+Config!$B$15*(1-$AT114)))^Config!$B$13)</f>
        <v>0.9752999541</v>
      </c>
      <c r="AY114" s="11" t="str">
        <f t="array" ref="AY114">IF($AS114="","",IFERROR(IF(INDEX(Matches!$BB$5:$BB$22,MATCH($C114,Matches!$A$5:$A$22,0))="","",IF($AS114="A",INDEX(Matches!$BB$5:$BB$22,MATCH($C114,Matches!$A$5:$A$22,0)),1-INDEX(Matches!$BB$5:$BB$22,MATCH($C114,Matches!$A$5:$A$22,0)))),""))</f>
        <v/>
      </c>
      <c r="AZ114" s="18">
        <f>IF(OR($AY114="",$AT114=""),1,((Config!$B$14*$AY114+Config!$B$15*(1-$AY114))/(Config!$B$14*$AT114+Config!$B$15*(1-$AT114)))^Config!$B$13)</f>
        <v>1</v>
      </c>
      <c r="BA114" s="17">
        <f t="shared" si="9"/>
        <v>16.91472056</v>
      </c>
      <c r="BB114" s="17">
        <f t="shared" si="10"/>
        <v>14.64013895</v>
      </c>
      <c r="BC114" s="17" t="str">
        <f t="shared" si="11"/>
        <v/>
      </c>
      <c r="BD114" s="17">
        <f t="shared" si="12"/>
        <v>31.5548595</v>
      </c>
      <c r="BE114" s="17">
        <f t="shared" si="13"/>
        <v>31.5548595</v>
      </c>
      <c r="BF114" s="17">
        <f t="shared" si="14"/>
        <v>11.31171937</v>
      </c>
      <c r="BG114" s="17">
        <f t="shared" si="15"/>
        <v>9.838173373</v>
      </c>
      <c r="BH114" s="17" t="str">
        <f t="shared" si="16"/>
        <v/>
      </c>
      <c r="BI114" s="17">
        <f t="shared" si="17"/>
        <v>21.14989274</v>
      </c>
      <c r="BJ114" s="17">
        <f t="shared" si="18"/>
        <v>21.14989274</v>
      </c>
      <c r="BK114" s="18">
        <f t="shared" si="19"/>
        <v>0.9706705881</v>
      </c>
    </row>
    <row r="115" ht="15.75" customHeight="1">
      <c r="A115" s="4" t="s">
        <v>3246</v>
      </c>
      <c r="B115" s="4" t="s">
        <v>86</v>
      </c>
      <c r="C115" s="4" t="s">
        <v>1160</v>
      </c>
      <c r="D115" s="4" t="s">
        <v>1013</v>
      </c>
      <c r="E115" s="4" t="s">
        <v>1412</v>
      </c>
      <c r="F115" s="4" t="s">
        <v>1411</v>
      </c>
      <c r="G115" s="4" t="str">
        <f t="array" ref="G115">IFERROR(IF(INDEX(Matches!$W$5:$W$22,MATCH($C115,Matches!$A$5:$A$22,0))="","",INDEX(Matches!$W$5:$W$22,MATCH($C115,Matches!$A$5:$A$22,0))),"")</f>
        <v>Nuke</v>
      </c>
      <c r="H115" s="4" t="str">
        <f t="array" ref="H115">IFERROR(IF(INDEX(Matches!$X$5:$X$22,MATCH($C115,Matches!$A$5:$A$22,0))="","",INDEX(Matches!$X$5:$X$22,MATCH($C115,Matches!$A$5:$A$22,0))),"")</f>
        <v>Dust2</v>
      </c>
      <c r="I115" s="4" t="str">
        <f t="array" ref="I115">IFERROR(IF(INDEX(Matches!$Y$5:$Y$22,MATCH($C115,Matches!$A$5:$A$22,0))="","",INDEX(Matches!$Y$5:$Y$22,MATCH($C115,Matches!$A$5:$A$22,0))),"")</f>
        <v/>
      </c>
      <c r="J115" s="4">
        <f t="array" ref="J115">IFERROR(IF(INDEX(Matches!$Z$5:$Z$22,MATCH($C115,Matches!$A$5:$A$22,0))="","",INDEX(Matches!$Z$5:$Z$22,MATCH($C115,Matches!$A$5:$A$22,0))),"")</f>
        <v>21.36</v>
      </c>
      <c r="K115" s="4">
        <f t="array" ref="K115">IFERROR(IF(INDEX(Matches!$AA$5:$AA$22,MATCH($C115,Matches!$A$5:$A$22,0))="","",INDEX(Matches!$AA$5:$AA$22,MATCH($C115,Matches!$A$5:$A$22,0))),"")</f>
        <v>21.5</v>
      </c>
      <c r="L115" s="4" t="str">
        <f t="array" ref="L115">IFERROR(IF(INDEX(Matches!$AB$5:$AB$22,MATCH($C115,Matches!$A$5:$A$22,0))="","",INDEX(Matches!$AB$5:$AB$22,MATCH($C115,Matches!$A$5:$A$22,0))),"")</f>
        <v/>
      </c>
      <c r="M115" s="11">
        <f t="array" ref="M115">IFERROR(IF(INDEX(Matches!$AC$5:$AC$22,MATCH($C115,Matches!$A$5:$A$22,0))="","",INDEX(Matches!$AC$5:$AC$22,MATCH($C115,Matches!$A$5:$A$22,0))),"")</f>
        <v>0</v>
      </c>
      <c r="N115" s="4">
        <f t="array" ref="N115">IFERROR(INDEX(Players!$F$2:$F$127,MATCH($F115,Players!$A$2:$A$127,0)),0)</f>
        <v>27</v>
      </c>
      <c r="O115" s="18">
        <f t="array" ref="O115">IFERROR(1/(1/INDEX(Players!$H$2:$H$127,MATCH($F115,Players!$A$2:$A$127,0))),"")</f>
        <v>0.77</v>
      </c>
      <c r="P115" s="11">
        <f t="array" ref="P115">IFERROR(1/(1/INDEX(Players!$I$2:$I$127,MATCH($F115,Players!$A$2:$A$127,0))),"")</f>
        <v>0.315</v>
      </c>
      <c r="Q115" s="4">
        <f>IF($G115="",0,SUMIFS(Map_Stats!$F$2:$F$825,Map_Stats!$A$2:$A$825,$F115&amp;"|"&amp;$G115))</f>
        <v>7</v>
      </c>
      <c r="R115" s="18">
        <f t="array" ref="R115">IF($G115="","",IFERROR(1/(1/INDEX(Map_Stats!$K$2:$K$825,MATCH($F115&amp;"|"&amp;$G115,Map_Stats!$A$2:$A$825,0))),$O115))</f>
        <v>0.79</v>
      </c>
      <c r="S115" s="11">
        <f t="array" ref="S115">IF(OR($G115="",$P115=""),"",IFERROR(1/(1/INDEX(Map_Stats!$I$2:$I$825,MATCH($F115&amp;"|"&amp;$G115,Map_Stats!$A$2:$A$825,0))),$P115))</f>
        <v>0.286</v>
      </c>
      <c r="T115" s="18">
        <f>IF(OR($G115="",R115=""),"",IF($O115="",R115,(Q115*R115+Config!$B$4*$O115)/(Q115+Config!$B$4)))</f>
        <v>0.7816666667</v>
      </c>
      <c r="U115" s="11">
        <f>IF(S115="","",(Q115*S115+Config!$B$4*$P115)/(Q115+Config!$B$4))</f>
        <v>0.2980833333</v>
      </c>
      <c r="V115" s="17">
        <f>IF(OR(T115="",$J115=""),"",T115*$J115*($J115/Config!$B$10)^Config!$B$9)</f>
        <v>16.6964</v>
      </c>
      <c r="W115" s="17">
        <f t="shared" si="1"/>
        <v>4.976918567</v>
      </c>
      <c r="X115" s="4">
        <f>IF($H115="",0,SUMIFS(Map_Stats!$F$2:$F$825,Map_Stats!$A$2:$A$825,$F115&amp;"|"&amp;$H115))</f>
        <v>6</v>
      </c>
      <c r="Y115" s="18">
        <f t="array" ref="Y115">IF($H115="","",IFERROR(1/(1/INDEX(Map_Stats!$K$2:$K$825,MATCH($F115&amp;"|"&amp;$H115,Map_Stats!$A$2:$A$825,0))),$O115))</f>
        <v>0.68</v>
      </c>
      <c r="Z115" s="11">
        <f t="array" ref="Z115">IF(OR($H115="",$P115=""),"",IFERROR(1/(1/INDEX(Map_Stats!$I$2:$I$825,MATCH($F115&amp;"|"&amp;$H115,Map_Stats!$A$2:$A$825,0))),$P115))</f>
        <v>0.318</v>
      </c>
      <c r="AA115" s="18">
        <f>IF(OR($H115="",Y115=""),"",IF($O115="",Y115,(X115*Y115+Config!$B$4*$O115)/(X115+Config!$B$4)))</f>
        <v>0.7209090909</v>
      </c>
      <c r="AB115" s="11">
        <f>IF(Z115="","",(X115*Z115+Config!$B$4*$P115)/(X115+Config!$B$4))</f>
        <v>0.3166363636</v>
      </c>
      <c r="AC115" s="17">
        <f>IF(OR(AA115="",$K115=""),"",AA115*$K115*($K115/Config!$B$10)^Config!$B$9)</f>
        <v>15.49954545</v>
      </c>
      <c r="AD115" s="17">
        <f t="shared" si="2"/>
        <v>4.907719711</v>
      </c>
      <c r="AE115" s="4">
        <f>IF($I115="",0,SUMIFS(Map_Stats!$F$2:$F$825,Map_Stats!$A$2:$A$825,$F115&amp;"|"&amp;$I115))</f>
        <v>0</v>
      </c>
      <c r="AF115" s="18" t="str">
        <f t="array" ref="AF115">IF($I115="","",IFERROR(1/(1/INDEX(Map_Stats!$K$2:$K$825,MATCH($F115&amp;"|"&amp;$I115,Map_Stats!$A$2:$A$825,0))),$O115))</f>
        <v/>
      </c>
      <c r="AG115" s="11" t="str">
        <f t="array" ref="AG115">IF(OR($I115="",$P115=""),"",IFERROR(1/(1/INDEX(Map_Stats!$I$2:$I$825,MATCH($F115&amp;"|"&amp;$I115,Map_Stats!$A$2:$A$825,0))),$P115))</f>
        <v/>
      </c>
      <c r="AH115" s="18" t="str">
        <f>IF(OR($I115="",AF115=""),"",IF($O115="",AF115,(AE115*AF115+Config!$B$4*$O115)/(AE115+Config!$B$4)))</f>
        <v/>
      </c>
      <c r="AI115" s="11" t="str">
        <f>IF(AG115="","",(AE115*AG115+Config!$B$4*$P115)/(AE115+Config!$B$4))</f>
        <v/>
      </c>
      <c r="AJ115" s="17" t="str">
        <f>IF(OR(AH115="",$L115=""),"",AH115*$L115*($L115/Config!$B$10)^Config!$B$9)</f>
        <v/>
      </c>
      <c r="AK115" s="17" t="str">
        <f t="shared" si="3"/>
        <v/>
      </c>
      <c r="AL115" s="17">
        <f t="shared" si="4"/>
        <v>32.19594545</v>
      </c>
      <c r="AM115" s="17">
        <f t="shared" si="5"/>
        <v>32.19594545</v>
      </c>
      <c r="AN115" s="17">
        <f t="shared" si="6"/>
        <v>9.884638277</v>
      </c>
      <c r="AO115" s="17">
        <f t="shared" si="7"/>
        <v>9.884638277</v>
      </c>
      <c r="AP115" s="11">
        <f t="shared" si="8"/>
        <v>0.3070150026</v>
      </c>
      <c r="AQ115" s="4" t="str">
        <f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4" t="str">
        <f>IF($C115=Board!$B$2,COUNTIFS($C$2:$C$157,Board!$B$2,$AL$2:$AL$157,"&gt;"&amp;$AL115)+COUNTIFS($C$1:$C114,Board!$B$2,$AL$1:$AL114,$AL115)+1,"")</f>
        <v/>
      </c>
      <c r="AS115" s="4" t="str">
        <f t="array" ref="AS115">IFERROR(IF($D115=INDEX(Matches!$AD$5:$AD$22,MATCH($C115,Matches!$A$5:$A$22,0)),"A",IF($D115=INDEX(Matches!$AE$5:$AE$22,MATCH($C115,Matches!$A$5:$A$22,0)),"B","")),"")</f>
        <v>B</v>
      </c>
      <c r="AT115" s="11">
        <f t="array" ref="AT115">IF($AS115="","",IFERROR(IF($AS115="A",INDEX(Matches!$AI$5:$AI$22,MATCH($C115,Matches!$A$5:$A$22,0)),INDEX(Matches!$AJ$5:$AJ$22,MATCH($C115,Matches!$A$5:$A$22,0))),""))</f>
        <v>0.5021995832</v>
      </c>
      <c r="AU115" s="11">
        <f t="array" ref="AU115">IF($AS115="","",IFERROR(IF(INDEX(Matches!$AP$5:$AP$22,MATCH($C115,Matches!$A$5:$A$22,0))="","",IF($AS115="A",INDEX(Matches!$AP$5:$AP$22,MATCH($C115,Matches!$A$5:$A$22,0)),1-INDEX(Matches!$AP$5:$AP$22,MATCH($C115,Matches!$A$5:$A$22,0)))),""))</f>
        <v>0.4648610246</v>
      </c>
      <c r="AV115" s="18">
        <f>IF(OR($AU115="",$AT115=""),1,((Config!$B$14*$AU115+Config!$B$15*(1-$AU115))/(Config!$B$14*$AT115+Config!$B$15*(1-$AT115)))^Config!$B$13)</f>
        <v>0.9666990842</v>
      </c>
      <c r="AW115" s="11">
        <f t="array" ref="AW115">IF($AS115="","",IFERROR(IF(INDEX(Matches!$AV$5:$AV$22,MATCH($C115,Matches!$A$5:$A$22,0))="","",IF($AS115="A",INDEX(Matches!$AV$5:$AV$22,MATCH($C115,Matches!$A$5:$A$22,0)),1-INDEX(Matches!$AV$5:$AV$22,MATCH($C115,Matches!$A$5:$A$22,0)))),""))</f>
        <v>0.4745047259</v>
      </c>
      <c r="AX115" s="18">
        <f>IF(OR($AW115="",$AT115=""),1,((Config!$B$14*$AW115+Config!$B$15*(1-$AW115))/(Config!$B$14*$AT115+Config!$B$15*(1-$AT115)))^Config!$B$13)</f>
        <v>0.9752999541</v>
      </c>
      <c r="AY115" s="11" t="str">
        <f t="array" ref="AY115">IF($AS115="","",IFERROR(IF(INDEX(Matches!$BB$5:$BB$22,MATCH($C115,Matches!$A$5:$A$22,0))="","",IF($AS115="A",INDEX(Matches!$BB$5:$BB$22,MATCH($C115,Matches!$A$5:$A$22,0)),1-INDEX(Matches!$BB$5:$BB$22,MATCH($C115,Matches!$A$5:$A$22,0)))),""))</f>
        <v/>
      </c>
      <c r="AZ115" s="18">
        <f>IF(OR($AY115="",$AT115=""),1,((Config!$B$14*$AY115+Config!$B$15*(1-$AY115))/(Config!$B$14*$AT115+Config!$B$15*(1-$AT115)))^Config!$B$13)</f>
        <v>1</v>
      </c>
      <c r="BA115" s="17">
        <f t="shared" si="9"/>
        <v>16.14039459</v>
      </c>
      <c r="BB115" s="17">
        <f t="shared" si="10"/>
        <v>15.11670597</v>
      </c>
      <c r="BC115" s="17" t="str">
        <f t="shared" si="11"/>
        <v/>
      </c>
      <c r="BD115" s="17">
        <f t="shared" si="12"/>
        <v>31.25710056</v>
      </c>
      <c r="BE115" s="17">
        <f t="shared" si="13"/>
        <v>31.25710056</v>
      </c>
      <c r="BF115" s="17">
        <f t="shared" si="14"/>
        <v>4.81118262</v>
      </c>
      <c r="BG115" s="17">
        <f t="shared" si="15"/>
        <v>4.786498809</v>
      </c>
      <c r="BH115" s="17" t="str">
        <f t="shared" si="16"/>
        <v/>
      </c>
      <c r="BI115" s="17">
        <f t="shared" si="17"/>
        <v>9.597681429</v>
      </c>
      <c r="BJ115" s="17">
        <f t="shared" si="18"/>
        <v>9.597681429</v>
      </c>
      <c r="BK115" s="18">
        <f t="shared" si="19"/>
        <v>0.9708396544</v>
      </c>
    </row>
    <row r="116" ht="15.75" customHeight="1">
      <c r="A116" s="4" t="s">
        <v>3247</v>
      </c>
      <c r="B116" s="4" t="s">
        <v>86</v>
      </c>
      <c r="C116" s="4" t="s">
        <v>1160</v>
      </c>
      <c r="D116" s="4" t="s">
        <v>1013</v>
      </c>
      <c r="E116" s="4" t="s">
        <v>1415</v>
      </c>
      <c r="F116" s="4" t="s">
        <v>1414</v>
      </c>
      <c r="G116" s="4" t="str">
        <f t="array" ref="G116">IFERROR(IF(INDEX(Matches!$W$5:$W$22,MATCH($C116,Matches!$A$5:$A$22,0))="","",INDEX(Matches!$W$5:$W$22,MATCH($C116,Matches!$A$5:$A$22,0))),"")</f>
        <v>Nuke</v>
      </c>
      <c r="H116" s="4" t="str">
        <f t="array" ref="H116">IFERROR(IF(INDEX(Matches!$X$5:$X$22,MATCH($C116,Matches!$A$5:$A$22,0))="","",INDEX(Matches!$X$5:$X$22,MATCH($C116,Matches!$A$5:$A$22,0))),"")</f>
        <v>Dust2</v>
      </c>
      <c r="I116" s="4" t="str">
        <f t="array" ref="I116">IFERROR(IF(INDEX(Matches!$Y$5:$Y$22,MATCH($C116,Matches!$A$5:$A$22,0))="","",INDEX(Matches!$Y$5:$Y$22,MATCH($C116,Matches!$A$5:$A$22,0))),"")</f>
        <v/>
      </c>
      <c r="J116" s="4">
        <f t="array" ref="J116">IFERROR(IF(INDEX(Matches!$Z$5:$Z$22,MATCH($C116,Matches!$A$5:$A$22,0))="","",INDEX(Matches!$Z$5:$Z$22,MATCH($C116,Matches!$A$5:$A$22,0))),"")</f>
        <v>21.36</v>
      </c>
      <c r="K116" s="4">
        <f t="array" ref="K116">IFERROR(IF(INDEX(Matches!$AA$5:$AA$22,MATCH($C116,Matches!$A$5:$A$22,0))="","",INDEX(Matches!$AA$5:$AA$22,MATCH($C116,Matches!$A$5:$A$22,0))),"")</f>
        <v>21.5</v>
      </c>
      <c r="L116" s="4" t="str">
        <f t="array" ref="L116">IFERROR(IF(INDEX(Matches!$AB$5:$AB$22,MATCH($C116,Matches!$A$5:$A$22,0))="","",INDEX(Matches!$AB$5:$AB$22,MATCH($C116,Matches!$A$5:$A$22,0))),"")</f>
        <v/>
      </c>
      <c r="M116" s="11">
        <f t="array" ref="M116">IFERROR(IF(INDEX(Matches!$AC$5:$AC$22,MATCH($C116,Matches!$A$5:$A$22,0))="","",INDEX(Matches!$AC$5:$AC$22,MATCH($C116,Matches!$A$5:$A$22,0))),"")</f>
        <v>0</v>
      </c>
      <c r="N116" s="4">
        <f t="array" ref="N116">IFERROR(INDEX(Players!$F$2:$F$127,MATCH($F116,Players!$A$2:$A$127,0)),0)</f>
        <v>27</v>
      </c>
      <c r="O116" s="18">
        <f t="array" ref="O116">IFERROR(1/(1/INDEX(Players!$H$2:$H$127,MATCH($F116,Players!$A$2:$A$127,0))),"")</f>
        <v>0.58</v>
      </c>
      <c r="P116" s="11">
        <f t="array" ref="P116">IFERROR(1/(1/INDEX(Players!$I$2:$I$127,MATCH($F116,Players!$A$2:$A$127,0))),"")</f>
        <v>0.667</v>
      </c>
      <c r="Q116" s="4">
        <f>IF($G116="",0,SUMIFS(Map_Stats!$F$2:$F$825,Map_Stats!$A$2:$A$825,$F116&amp;"|"&amp;$G116))</f>
        <v>7</v>
      </c>
      <c r="R116" s="18">
        <f t="array" ref="R116">IF($G116="","",IFERROR(1/(1/INDEX(Map_Stats!$K$2:$K$825,MATCH($F116&amp;"|"&amp;$G116,Map_Stats!$A$2:$A$825,0))),$O116))</f>
        <v>0.64</v>
      </c>
      <c r="S116" s="11">
        <f t="array" ref="S116">IF(OR($G116="",$P116=""),"",IFERROR(1/(1/INDEX(Map_Stats!$I$2:$I$825,MATCH($F116&amp;"|"&amp;$G116,Map_Stats!$A$2:$A$825,0))),$P116))</f>
        <v>0.714</v>
      </c>
      <c r="T116" s="18">
        <f>IF(OR($G116="",R116=""),"",IF($O116="",R116,(Q116*R116+Config!$B$4*$O116)/(Q116+Config!$B$4)))</f>
        <v>0.615</v>
      </c>
      <c r="U116" s="11">
        <f>IF(S116="","",(Q116*S116+Config!$B$4*$P116)/(Q116+Config!$B$4))</f>
        <v>0.6944166667</v>
      </c>
      <c r="V116" s="17">
        <f>IF(OR(T116="",$J116=""),"",T116*$J116*($J116/Config!$B$10)^Config!$B$9)</f>
        <v>13.1364</v>
      </c>
      <c r="W116" s="17">
        <f t="shared" si="1"/>
        <v>9.1221351</v>
      </c>
      <c r="X116" s="4">
        <f>IF($H116="",0,SUMIFS(Map_Stats!$F$2:$F$825,Map_Stats!$A$2:$A$825,$F116&amp;"|"&amp;$H116))</f>
        <v>6</v>
      </c>
      <c r="Y116" s="18">
        <f t="array" ref="Y116">IF($H116="","",IFERROR(1/(1/INDEX(Map_Stats!$K$2:$K$825,MATCH($F116&amp;"|"&amp;$H116,Map_Stats!$A$2:$A$825,0))),$O116))</f>
        <v>0.6</v>
      </c>
      <c r="Z116" s="11">
        <f t="array" ref="Z116">IF(OR($H116="",$P116=""),"",IFERROR(1/(1/INDEX(Map_Stats!$I$2:$I$825,MATCH($F116&amp;"|"&amp;$H116,Map_Stats!$A$2:$A$825,0))),$P116))</f>
        <v>0.718</v>
      </c>
      <c r="AA116" s="18">
        <f>IF(OR($H116="",Y116=""),"",IF($O116="",Y116,(X116*Y116+Config!$B$4*$O116)/(X116+Config!$B$4)))</f>
        <v>0.5909090909</v>
      </c>
      <c r="AB116" s="11">
        <f>IF(Z116="","",(X116*Z116+Config!$B$4*$P116)/(X116+Config!$B$4))</f>
        <v>0.6948181818</v>
      </c>
      <c r="AC116" s="17">
        <f>IF(OR(AA116="",$K116=""),"",AA116*$K116*($K116/Config!$B$10)^Config!$B$9)</f>
        <v>12.70454545</v>
      </c>
      <c r="AD116" s="17">
        <f t="shared" si="2"/>
        <v>8.827349174</v>
      </c>
      <c r="AE116" s="4">
        <f>IF($I116="",0,SUMIFS(Map_Stats!$F$2:$F$825,Map_Stats!$A$2:$A$825,$F116&amp;"|"&amp;$I116))</f>
        <v>0</v>
      </c>
      <c r="AF116" s="18" t="str">
        <f t="array" ref="AF116">IF($I116="","",IFERROR(1/(1/INDEX(Map_Stats!$K$2:$K$825,MATCH($F116&amp;"|"&amp;$I116,Map_Stats!$A$2:$A$825,0))),$O116))</f>
        <v/>
      </c>
      <c r="AG116" s="11" t="str">
        <f t="array" ref="AG116">IF(OR($I116="",$P116=""),"",IFERROR(1/(1/INDEX(Map_Stats!$I$2:$I$825,MATCH($F116&amp;"|"&amp;$I116,Map_Stats!$A$2:$A$825,0))),$P116))</f>
        <v/>
      </c>
      <c r="AH116" s="18" t="str">
        <f>IF(OR($I116="",AF116=""),"",IF($O116="",AF116,(AE116*AF116+Config!$B$4*$O116)/(AE116+Config!$B$4)))</f>
        <v/>
      </c>
      <c r="AI116" s="11" t="str">
        <f>IF(AG116="","",(AE116*AG116+Config!$B$4*$P116)/(AE116+Config!$B$4))</f>
        <v/>
      </c>
      <c r="AJ116" s="17" t="str">
        <f>IF(OR(AH116="",$L116=""),"",AH116*$L116*($L116/Config!$B$10)^Config!$B$9)</f>
        <v/>
      </c>
      <c r="AK116" s="17" t="str">
        <f t="shared" si="3"/>
        <v/>
      </c>
      <c r="AL116" s="17">
        <f t="shared" si="4"/>
        <v>25.84094545</v>
      </c>
      <c r="AM116" s="17">
        <f t="shared" si="5"/>
        <v>25.84094545</v>
      </c>
      <c r="AN116" s="17">
        <f t="shared" si="6"/>
        <v>17.94948427</v>
      </c>
      <c r="AO116" s="17">
        <f t="shared" si="7"/>
        <v>17.94948427</v>
      </c>
      <c r="AP116" s="11">
        <f t="shared" si="8"/>
        <v>0.6946140692</v>
      </c>
      <c r="AQ116" s="4" t="str">
        <f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4" t="str">
        <f>IF($C116=Board!$B$2,COUNTIFS($C$2:$C$157,Board!$B$2,$AL$2:$AL$157,"&gt;"&amp;$AL116)+COUNTIFS($C$1:$C115,Board!$B$2,$AL$1:$AL115,$AL116)+1,"")</f>
        <v/>
      </c>
      <c r="AS116" s="4" t="str">
        <f t="array" ref="AS116">IFERROR(IF($D116=INDEX(Matches!$AD$5:$AD$22,MATCH($C116,Matches!$A$5:$A$22,0)),"A",IF($D116=INDEX(Matches!$AE$5:$AE$22,MATCH($C116,Matches!$A$5:$A$22,0)),"B","")),"")</f>
        <v>B</v>
      </c>
      <c r="AT116" s="11">
        <f t="array" ref="AT116">IF($AS116="","",IFERROR(IF($AS116="A",INDEX(Matches!$AI$5:$AI$22,MATCH($C116,Matches!$A$5:$A$22,0)),INDEX(Matches!$AJ$5:$AJ$22,MATCH($C116,Matches!$A$5:$A$22,0))),""))</f>
        <v>0.5021995832</v>
      </c>
      <c r="AU116" s="11">
        <f t="array" ref="AU116">IF($AS116="","",IFERROR(IF(INDEX(Matches!$AP$5:$AP$22,MATCH($C116,Matches!$A$5:$A$22,0))="","",IF($AS116="A",INDEX(Matches!$AP$5:$AP$22,MATCH($C116,Matches!$A$5:$A$22,0)),1-INDEX(Matches!$AP$5:$AP$22,MATCH($C116,Matches!$A$5:$A$22,0)))),""))</f>
        <v>0.4648610246</v>
      </c>
      <c r="AV116" s="18">
        <f>IF(OR($AU116="",$AT116=""),1,((Config!$B$14*$AU116+Config!$B$15*(1-$AU116))/(Config!$B$14*$AT116+Config!$B$15*(1-$AT116)))^Config!$B$13)</f>
        <v>0.9666990842</v>
      </c>
      <c r="AW116" s="11">
        <f t="array" ref="AW116">IF($AS116="","",IFERROR(IF(INDEX(Matches!$AV$5:$AV$22,MATCH($C116,Matches!$A$5:$A$22,0))="","",IF($AS116="A",INDEX(Matches!$AV$5:$AV$22,MATCH($C116,Matches!$A$5:$A$22,0)),1-INDEX(Matches!$AV$5:$AV$22,MATCH($C116,Matches!$A$5:$A$22,0)))),""))</f>
        <v>0.4745047259</v>
      </c>
      <c r="AX116" s="18">
        <f>IF(OR($AW116="",$AT116=""),1,((Config!$B$14*$AW116+Config!$B$15*(1-$AW116))/(Config!$B$14*$AT116+Config!$B$15*(1-$AT116)))^Config!$B$13)</f>
        <v>0.9752999541</v>
      </c>
      <c r="AY116" s="11" t="str">
        <f t="array" ref="AY116">IF($AS116="","",IFERROR(IF(INDEX(Matches!$BB$5:$BB$22,MATCH($C116,Matches!$A$5:$A$22,0))="","",IF($AS116="A",INDEX(Matches!$BB$5:$BB$22,MATCH($C116,Matches!$A$5:$A$22,0)),1-INDEX(Matches!$BB$5:$BB$22,MATCH($C116,Matches!$A$5:$A$22,0)))),""))</f>
        <v/>
      </c>
      <c r="AZ116" s="18">
        <f>IF(OR($AY116="",$AT116=""),1,((Config!$B$14*$AY116+Config!$B$15*(1-$AY116))/(Config!$B$14*$AT116+Config!$B$15*(1-$AT116)))^Config!$B$13)</f>
        <v>1</v>
      </c>
      <c r="BA116" s="17">
        <f t="shared" si="9"/>
        <v>12.69894585</v>
      </c>
      <c r="BB116" s="17">
        <f t="shared" si="10"/>
        <v>12.3907426</v>
      </c>
      <c r="BC116" s="17" t="str">
        <f t="shared" si="11"/>
        <v/>
      </c>
      <c r="BD116" s="17">
        <f t="shared" si="12"/>
        <v>25.08968845</v>
      </c>
      <c r="BE116" s="17">
        <f t="shared" si="13"/>
        <v>25.08968845</v>
      </c>
      <c r="BF116" s="17">
        <f t="shared" si="14"/>
        <v>8.818359647</v>
      </c>
      <c r="BG116" s="17">
        <f t="shared" si="15"/>
        <v>8.609313244</v>
      </c>
      <c r="BH116" s="17" t="str">
        <f t="shared" si="16"/>
        <v/>
      </c>
      <c r="BI116" s="17">
        <f t="shared" si="17"/>
        <v>17.42767289</v>
      </c>
      <c r="BJ116" s="17">
        <f t="shared" si="18"/>
        <v>17.42767289</v>
      </c>
      <c r="BK116" s="18">
        <f t="shared" si="19"/>
        <v>0.9709276502</v>
      </c>
    </row>
    <row r="117" ht="15.75" customHeight="1">
      <c r="A117" s="4" t="s">
        <v>3248</v>
      </c>
      <c r="B117" s="4" t="s">
        <v>86</v>
      </c>
      <c r="C117" s="4" t="s">
        <v>1160</v>
      </c>
      <c r="D117" s="4" t="s">
        <v>1013</v>
      </c>
      <c r="E117" s="4" t="s">
        <v>1418</v>
      </c>
      <c r="F117" s="4" t="s">
        <v>1417</v>
      </c>
      <c r="G117" s="4" t="str">
        <f t="array" ref="G117">IFERROR(IF(INDEX(Matches!$W$5:$W$22,MATCH($C117,Matches!$A$5:$A$22,0))="","",INDEX(Matches!$W$5:$W$22,MATCH($C117,Matches!$A$5:$A$22,0))),"")</f>
        <v>Nuke</v>
      </c>
      <c r="H117" s="4" t="str">
        <f t="array" ref="H117">IFERROR(IF(INDEX(Matches!$X$5:$X$22,MATCH($C117,Matches!$A$5:$A$22,0))="","",INDEX(Matches!$X$5:$X$22,MATCH($C117,Matches!$A$5:$A$22,0))),"")</f>
        <v>Dust2</v>
      </c>
      <c r="I117" s="4" t="str">
        <f t="array" ref="I117">IFERROR(IF(INDEX(Matches!$Y$5:$Y$22,MATCH($C117,Matches!$A$5:$A$22,0))="","",INDEX(Matches!$Y$5:$Y$22,MATCH($C117,Matches!$A$5:$A$22,0))),"")</f>
        <v/>
      </c>
      <c r="J117" s="4">
        <f t="array" ref="J117">IFERROR(IF(INDEX(Matches!$Z$5:$Z$22,MATCH($C117,Matches!$A$5:$A$22,0))="","",INDEX(Matches!$Z$5:$Z$22,MATCH($C117,Matches!$A$5:$A$22,0))),"")</f>
        <v>21.36</v>
      </c>
      <c r="K117" s="4">
        <f t="array" ref="K117">IFERROR(IF(INDEX(Matches!$AA$5:$AA$22,MATCH($C117,Matches!$A$5:$A$22,0))="","",INDEX(Matches!$AA$5:$AA$22,MATCH($C117,Matches!$A$5:$A$22,0))),"")</f>
        <v>21.5</v>
      </c>
      <c r="L117" s="4" t="str">
        <f t="array" ref="L117">IFERROR(IF(INDEX(Matches!$AB$5:$AB$22,MATCH($C117,Matches!$A$5:$A$22,0))="","",INDEX(Matches!$AB$5:$AB$22,MATCH($C117,Matches!$A$5:$A$22,0))),"")</f>
        <v/>
      </c>
      <c r="M117" s="11">
        <f t="array" ref="M117">IFERROR(IF(INDEX(Matches!$AC$5:$AC$22,MATCH($C117,Matches!$A$5:$A$22,0))="","",INDEX(Matches!$AC$5:$AC$22,MATCH($C117,Matches!$A$5:$A$22,0))),"")</f>
        <v>0</v>
      </c>
      <c r="N117" s="4">
        <f t="array" ref="N117">IFERROR(INDEX(Players!$F$2:$F$127,MATCH($F117,Players!$A$2:$A$127,0)),0)</f>
        <v>27</v>
      </c>
      <c r="O117" s="18">
        <f t="array" ref="O117">IFERROR(1/(1/INDEX(Players!$H$2:$H$127,MATCH($F117,Players!$A$2:$A$127,0))),"")</f>
        <v>0.69</v>
      </c>
      <c r="P117" s="11">
        <f t="array" ref="P117">IFERROR(1/(1/INDEX(Players!$I$2:$I$127,MATCH($F117,Players!$A$2:$A$127,0))),"")</f>
        <v>0.554</v>
      </c>
      <c r="Q117" s="4">
        <f>IF($G117="",0,SUMIFS(Map_Stats!$F$2:$F$825,Map_Stats!$A$2:$A$825,$F117&amp;"|"&amp;$G117))</f>
        <v>7</v>
      </c>
      <c r="R117" s="18">
        <f t="array" ref="R117">IF($G117="","",IFERROR(1/(1/INDEX(Map_Stats!$K$2:$K$825,MATCH($F117&amp;"|"&amp;$G117,Map_Stats!$A$2:$A$825,0))),$O117))</f>
        <v>0.74</v>
      </c>
      <c r="S117" s="11">
        <f t="array" ref="S117">IF(OR($G117="",$P117=""),"",IFERROR(1/(1/INDEX(Map_Stats!$I$2:$I$825,MATCH($F117&amp;"|"&amp;$G117,Map_Stats!$A$2:$A$825,0))),$P117))</f>
        <v>0.619</v>
      </c>
      <c r="T117" s="18">
        <f>IF(OR($G117="",R117=""),"",IF($O117="",R117,(Q117*R117+Config!$B$4*$O117)/(Q117+Config!$B$4)))</f>
        <v>0.7191666667</v>
      </c>
      <c r="U117" s="11">
        <f>IF(S117="","",(Q117*S117+Config!$B$4*$P117)/(Q117+Config!$B$4))</f>
        <v>0.5919166667</v>
      </c>
      <c r="V117" s="17">
        <f>IF(OR(T117="",$J117=""),"",T117*$J117*($J117/Config!$B$10)^Config!$B$9)</f>
        <v>15.3614</v>
      </c>
      <c r="W117" s="17">
        <f t="shared" si="1"/>
        <v>9.092668683</v>
      </c>
      <c r="X117" s="4">
        <f>IF($H117="",0,SUMIFS(Map_Stats!$F$2:$F$825,Map_Stats!$A$2:$A$825,$F117&amp;"|"&amp;$H117))</f>
        <v>6</v>
      </c>
      <c r="Y117" s="18">
        <f t="array" ref="Y117">IF($H117="","",IFERROR(1/(1/INDEX(Map_Stats!$K$2:$K$825,MATCH($F117&amp;"|"&amp;$H117,Map_Stats!$A$2:$A$825,0))),$O117))</f>
        <v>0.53</v>
      </c>
      <c r="Z117" s="11">
        <f t="array" ref="Z117">IF(OR($H117="",$P117=""),"",IFERROR(1/(1/INDEX(Map_Stats!$I$2:$I$825,MATCH($F117&amp;"|"&amp;$H117,Map_Stats!$A$2:$A$825,0))),$P117))</f>
        <v>0.681</v>
      </c>
      <c r="AA117" s="18">
        <f>IF(OR($H117="",Y117=""),"",IF($O117="",Y117,(X117*Y117+Config!$B$4*$O117)/(X117+Config!$B$4)))</f>
        <v>0.6027272727</v>
      </c>
      <c r="AB117" s="11">
        <f>IF(Z117="","",(X117*Z117+Config!$B$4*$P117)/(X117+Config!$B$4))</f>
        <v>0.6232727273</v>
      </c>
      <c r="AC117" s="17">
        <f>IF(OR(AA117="",$K117=""),"",AA117*$K117*($K117/Config!$B$10)^Config!$B$9)</f>
        <v>12.95863636</v>
      </c>
      <c r="AD117" s="17">
        <f t="shared" si="2"/>
        <v>8.076764628</v>
      </c>
      <c r="AE117" s="4">
        <f>IF($I117="",0,SUMIFS(Map_Stats!$F$2:$F$825,Map_Stats!$A$2:$A$825,$F117&amp;"|"&amp;$I117))</f>
        <v>0</v>
      </c>
      <c r="AF117" s="18" t="str">
        <f t="array" ref="AF117">IF($I117="","",IFERROR(1/(1/INDEX(Map_Stats!$K$2:$K$825,MATCH($F117&amp;"|"&amp;$I117,Map_Stats!$A$2:$A$825,0))),$O117))</f>
        <v/>
      </c>
      <c r="AG117" s="11" t="str">
        <f t="array" ref="AG117">IF(OR($I117="",$P117=""),"",IFERROR(1/(1/INDEX(Map_Stats!$I$2:$I$825,MATCH($F117&amp;"|"&amp;$I117,Map_Stats!$A$2:$A$825,0))),$P117))</f>
        <v/>
      </c>
      <c r="AH117" s="18" t="str">
        <f>IF(OR($I117="",AF117=""),"",IF($O117="",AF117,(AE117*AF117+Config!$B$4*$O117)/(AE117+Config!$B$4)))</f>
        <v/>
      </c>
      <c r="AI117" s="11" t="str">
        <f>IF(AG117="","",(AE117*AG117+Config!$B$4*$P117)/(AE117+Config!$B$4))</f>
        <v/>
      </c>
      <c r="AJ117" s="17" t="str">
        <f>IF(OR(AH117="",$L117=""),"",AH117*$L117*($L117/Config!$B$10)^Config!$B$9)</f>
        <v/>
      </c>
      <c r="AK117" s="17" t="str">
        <f t="shared" si="3"/>
        <v/>
      </c>
      <c r="AL117" s="17">
        <f t="shared" si="4"/>
        <v>28.32003636</v>
      </c>
      <c r="AM117" s="17">
        <f t="shared" si="5"/>
        <v>28.32003636</v>
      </c>
      <c r="AN117" s="17">
        <f t="shared" si="6"/>
        <v>17.16943331</v>
      </c>
      <c r="AO117" s="17">
        <f t="shared" si="7"/>
        <v>17.16943331</v>
      </c>
      <c r="AP117" s="11">
        <f t="shared" si="8"/>
        <v>0.6062645221</v>
      </c>
      <c r="AQ117" s="4" t="str">
        <f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4" t="str">
        <f>IF($C117=Board!$B$2,COUNTIFS($C$2:$C$157,Board!$B$2,$AL$2:$AL$157,"&gt;"&amp;$AL117)+COUNTIFS($C$1:$C116,Board!$B$2,$AL$1:$AL116,$AL117)+1,"")</f>
        <v/>
      </c>
      <c r="AS117" s="4" t="str">
        <f t="array" ref="AS117">IFERROR(IF($D117=INDEX(Matches!$AD$5:$AD$22,MATCH($C117,Matches!$A$5:$A$22,0)),"A",IF($D117=INDEX(Matches!$AE$5:$AE$22,MATCH($C117,Matches!$A$5:$A$22,0)),"B","")),"")</f>
        <v>B</v>
      </c>
      <c r="AT117" s="11">
        <f t="array" ref="AT117">IF($AS117="","",IFERROR(IF($AS117="A",INDEX(Matches!$AI$5:$AI$22,MATCH($C117,Matches!$A$5:$A$22,0)),INDEX(Matches!$AJ$5:$AJ$22,MATCH($C117,Matches!$A$5:$A$22,0))),""))</f>
        <v>0.5021995832</v>
      </c>
      <c r="AU117" s="11">
        <f t="array" ref="AU117">IF($AS117="","",IFERROR(IF(INDEX(Matches!$AP$5:$AP$22,MATCH($C117,Matches!$A$5:$A$22,0))="","",IF($AS117="A",INDEX(Matches!$AP$5:$AP$22,MATCH($C117,Matches!$A$5:$A$22,0)),1-INDEX(Matches!$AP$5:$AP$22,MATCH($C117,Matches!$A$5:$A$22,0)))),""))</f>
        <v>0.4648610246</v>
      </c>
      <c r="AV117" s="18">
        <f>IF(OR($AU117="",$AT117=""),1,((Config!$B$14*$AU117+Config!$B$15*(1-$AU117))/(Config!$B$14*$AT117+Config!$B$15*(1-$AT117)))^Config!$B$13)</f>
        <v>0.9666990842</v>
      </c>
      <c r="AW117" s="11">
        <f t="array" ref="AW117">IF($AS117="","",IFERROR(IF(INDEX(Matches!$AV$5:$AV$22,MATCH($C117,Matches!$A$5:$A$22,0))="","",IF($AS117="A",INDEX(Matches!$AV$5:$AV$22,MATCH($C117,Matches!$A$5:$A$22,0)),1-INDEX(Matches!$AV$5:$AV$22,MATCH($C117,Matches!$A$5:$A$22,0)))),""))</f>
        <v>0.4745047259</v>
      </c>
      <c r="AX117" s="18">
        <f>IF(OR($AW117="",$AT117=""),1,((Config!$B$14*$AW117+Config!$B$15*(1-$AW117))/(Config!$B$14*$AT117+Config!$B$15*(1-$AT117)))^Config!$B$13)</f>
        <v>0.9752999541</v>
      </c>
      <c r="AY117" s="11" t="str">
        <f t="array" ref="AY117">IF($AS117="","",IFERROR(IF(INDEX(Matches!$BB$5:$BB$22,MATCH($C117,Matches!$A$5:$A$22,0))="","",IF($AS117="A",INDEX(Matches!$BB$5:$BB$22,MATCH($C117,Matches!$A$5:$A$22,0)),1-INDEX(Matches!$BB$5:$BB$22,MATCH($C117,Matches!$A$5:$A$22,0)))),""))</f>
        <v/>
      </c>
      <c r="AZ117" s="18">
        <f>IF(OR($AY117="",$AT117=""),1,((Config!$B$14*$AY117+Config!$B$15*(1-$AY117))/(Config!$B$14*$AT117+Config!$B$15*(1-$AT117)))^Config!$B$13)</f>
        <v>1</v>
      </c>
      <c r="BA117" s="17">
        <f t="shared" si="9"/>
        <v>14.84985131</v>
      </c>
      <c r="BB117" s="17">
        <f t="shared" si="10"/>
        <v>12.63855745</v>
      </c>
      <c r="BC117" s="17" t="str">
        <f t="shared" si="11"/>
        <v/>
      </c>
      <c r="BD117" s="17">
        <f t="shared" si="12"/>
        <v>27.48840876</v>
      </c>
      <c r="BE117" s="17">
        <f t="shared" si="13"/>
        <v>27.48840876</v>
      </c>
      <c r="BF117" s="17">
        <f t="shared" si="14"/>
        <v>8.789874489</v>
      </c>
      <c r="BG117" s="17">
        <f t="shared" si="15"/>
        <v>7.877268171</v>
      </c>
      <c r="BH117" s="17" t="str">
        <f t="shared" si="16"/>
        <v/>
      </c>
      <c r="BI117" s="17">
        <f t="shared" si="17"/>
        <v>16.66714266</v>
      </c>
      <c r="BJ117" s="17">
        <f t="shared" si="18"/>
        <v>16.66714266</v>
      </c>
      <c r="BK117" s="18">
        <f t="shared" si="19"/>
        <v>0.9706346563</v>
      </c>
    </row>
    <row r="118" ht="15.75" customHeight="1">
      <c r="A118" s="4" t="s">
        <v>3249</v>
      </c>
      <c r="B118" s="4" t="s">
        <v>86</v>
      </c>
      <c r="C118" s="4" t="s">
        <v>1160</v>
      </c>
      <c r="D118" s="4" t="s">
        <v>856</v>
      </c>
      <c r="E118" s="4" t="s">
        <v>1548</v>
      </c>
      <c r="F118" s="4" t="s">
        <v>1547</v>
      </c>
      <c r="G118" s="4" t="str">
        <f t="array" ref="G118">IFERROR(IF(INDEX(Matches!$W$5:$W$22,MATCH($C118,Matches!$A$5:$A$22,0))="","",INDEX(Matches!$W$5:$W$22,MATCH($C118,Matches!$A$5:$A$22,0))),"")</f>
        <v>Nuke</v>
      </c>
      <c r="H118" s="4" t="str">
        <f t="array" ref="H118">IFERROR(IF(INDEX(Matches!$X$5:$X$22,MATCH($C118,Matches!$A$5:$A$22,0))="","",INDEX(Matches!$X$5:$X$22,MATCH($C118,Matches!$A$5:$A$22,0))),"")</f>
        <v>Dust2</v>
      </c>
      <c r="I118" s="4" t="str">
        <f t="array" ref="I118">IFERROR(IF(INDEX(Matches!$Y$5:$Y$22,MATCH($C118,Matches!$A$5:$A$22,0))="","",INDEX(Matches!$Y$5:$Y$22,MATCH($C118,Matches!$A$5:$A$22,0))),"")</f>
        <v/>
      </c>
      <c r="J118" s="4">
        <f t="array" ref="J118">IFERROR(IF(INDEX(Matches!$Z$5:$Z$22,MATCH($C118,Matches!$A$5:$A$22,0))="","",INDEX(Matches!$Z$5:$Z$22,MATCH($C118,Matches!$A$5:$A$22,0))),"")</f>
        <v>21.36</v>
      </c>
      <c r="K118" s="4">
        <f t="array" ref="K118">IFERROR(IF(INDEX(Matches!$AA$5:$AA$22,MATCH($C118,Matches!$A$5:$A$22,0))="","",INDEX(Matches!$AA$5:$AA$22,MATCH($C118,Matches!$A$5:$A$22,0))),"")</f>
        <v>21.5</v>
      </c>
      <c r="L118" s="4" t="str">
        <f t="array" ref="L118">IFERROR(IF(INDEX(Matches!$AB$5:$AB$22,MATCH($C118,Matches!$A$5:$A$22,0))="","",INDEX(Matches!$AB$5:$AB$22,MATCH($C118,Matches!$A$5:$A$22,0))),"")</f>
        <v/>
      </c>
      <c r="M118" s="11">
        <f t="array" ref="M118">IFERROR(IF(INDEX(Matches!$AC$5:$AC$22,MATCH($C118,Matches!$A$5:$A$22,0))="","",INDEX(Matches!$AC$5:$AC$22,MATCH($C118,Matches!$A$5:$A$22,0))),"")</f>
        <v>0</v>
      </c>
      <c r="N118" s="4">
        <f t="array" ref="N118">IFERROR(INDEX(Players!$F$2:$F$127,MATCH($F118,Players!$A$2:$A$127,0)),0)</f>
        <v>27</v>
      </c>
      <c r="O118" s="18">
        <f t="array" ref="O118">IFERROR(1/(1/INDEX(Players!$H$2:$H$127,MATCH($F118,Players!$A$2:$A$127,0))),"")</f>
        <v>0.72</v>
      </c>
      <c r="P118" s="11">
        <f t="array" ref="P118">IFERROR(1/(1/INDEX(Players!$I$2:$I$127,MATCH($F118,Players!$A$2:$A$127,0))),"")</f>
        <v>0.514</v>
      </c>
      <c r="Q118" s="4">
        <f>IF($G118="",0,SUMIFS(Map_Stats!$F$2:$F$825,Map_Stats!$A$2:$A$825,$F118&amp;"|"&amp;$G118))</f>
        <v>5</v>
      </c>
      <c r="R118" s="18">
        <f t="array" ref="R118">IF($G118="","",IFERROR(1/(1/INDEX(Map_Stats!$K$2:$K$825,MATCH($F118&amp;"|"&amp;$G118,Map_Stats!$A$2:$A$825,0))),$O118))</f>
        <v>0.73</v>
      </c>
      <c r="S118" s="11">
        <f t="array" ref="S118">IF(OR($G118="",$P118=""),"",IFERROR(1/(1/INDEX(Map_Stats!$I$2:$I$825,MATCH($F118&amp;"|"&amp;$G118,Map_Stats!$A$2:$A$825,0))),$P118))</f>
        <v>0.567</v>
      </c>
      <c r="T118" s="18">
        <f>IF(OR($G118="",R118=""),"",IF($O118="",R118,(Q118*R118+Config!$B$4*$O118)/(Q118+Config!$B$4)))</f>
        <v>0.725</v>
      </c>
      <c r="U118" s="11">
        <f>IF(S118="","",(Q118*S118+Config!$B$4*$P118)/(Q118+Config!$B$4))</f>
        <v>0.5405</v>
      </c>
      <c r="V118" s="17">
        <f>IF(OR(T118="",$J118=""),"",T118*$J118*($J118/Config!$B$10)^Config!$B$9)</f>
        <v>15.486</v>
      </c>
      <c r="W118" s="17">
        <f t="shared" si="1"/>
        <v>8.370183</v>
      </c>
      <c r="X118" s="4">
        <f>IF($H118="",0,SUMIFS(Map_Stats!$F$2:$F$825,Map_Stats!$A$2:$A$825,$F118&amp;"|"&amp;$H118))</f>
        <v>5</v>
      </c>
      <c r="Y118" s="18">
        <f t="array" ref="Y118">IF($H118="","",IFERROR(1/(1/INDEX(Map_Stats!$K$2:$K$825,MATCH($F118&amp;"|"&amp;$H118,Map_Stats!$A$2:$A$825,0))),$O118))</f>
        <v>0.69</v>
      </c>
      <c r="Z118" s="11">
        <f t="array" ref="Z118">IF(OR($H118="",$P118=""),"",IFERROR(1/(1/INDEX(Map_Stats!$I$2:$I$825,MATCH($F118&amp;"|"&amp;$H118,Map_Stats!$A$2:$A$825,0))),$P118))</f>
        <v>0.439</v>
      </c>
      <c r="AA118" s="18">
        <f>IF(OR($H118="",Y118=""),"",IF($O118="",Y118,(X118*Y118+Config!$B$4*$O118)/(X118+Config!$B$4)))</f>
        <v>0.705</v>
      </c>
      <c r="AB118" s="11">
        <f>IF(Z118="","",(X118*Z118+Config!$B$4*$P118)/(X118+Config!$B$4))</f>
        <v>0.4765</v>
      </c>
      <c r="AC118" s="17">
        <f>IF(OR(AA118="",$K118=""),"",AA118*$K118*($K118/Config!$B$10)^Config!$B$9)</f>
        <v>15.1575</v>
      </c>
      <c r="AD118" s="17">
        <f t="shared" si="2"/>
        <v>7.22254875</v>
      </c>
      <c r="AE118" s="4">
        <f>IF($I118="",0,SUMIFS(Map_Stats!$F$2:$F$825,Map_Stats!$A$2:$A$825,$F118&amp;"|"&amp;$I118))</f>
        <v>0</v>
      </c>
      <c r="AF118" s="18" t="str">
        <f t="array" ref="AF118">IF($I118="","",IFERROR(1/(1/INDEX(Map_Stats!$K$2:$K$825,MATCH($F118&amp;"|"&amp;$I118,Map_Stats!$A$2:$A$825,0))),$O118))</f>
        <v/>
      </c>
      <c r="AG118" s="11" t="str">
        <f t="array" ref="AG118">IF(OR($I118="",$P118=""),"",IFERROR(1/(1/INDEX(Map_Stats!$I$2:$I$825,MATCH($F118&amp;"|"&amp;$I118,Map_Stats!$A$2:$A$825,0))),$P118))</f>
        <v/>
      </c>
      <c r="AH118" s="18" t="str">
        <f>IF(OR($I118="",AF118=""),"",IF($O118="",AF118,(AE118*AF118+Config!$B$4*$O118)/(AE118+Config!$B$4)))</f>
        <v/>
      </c>
      <c r="AI118" s="11" t="str">
        <f>IF(AG118="","",(AE118*AG118+Config!$B$4*$P118)/(AE118+Config!$B$4))</f>
        <v/>
      </c>
      <c r="AJ118" s="17" t="str">
        <f>IF(OR(AH118="",$L118=""),"",AH118*$L118*($L118/Config!$B$10)^Config!$B$9)</f>
        <v/>
      </c>
      <c r="AK118" s="17" t="str">
        <f t="shared" si="3"/>
        <v/>
      </c>
      <c r="AL118" s="17">
        <f t="shared" si="4"/>
        <v>30.6435</v>
      </c>
      <c r="AM118" s="17">
        <f t="shared" si="5"/>
        <v>30.6435</v>
      </c>
      <c r="AN118" s="17">
        <f t="shared" si="6"/>
        <v>15.59273175</v>
      </c>
      <c r="AO118" s="17">
        <f t="shared" si="7"/>
        <v>15.59273175</v>
      </c>
      <c r="AP118" s="11">
        <f t="shared" si="8"/>
        <v>0.5088430418</v>
      </c>
      <c r="AQ118" s="4" t="str">
        <f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4" t="str">
        <f>IF($C118=Board!$B$2,COUNTIFS($C$2:$C$157,Board!$B$2,$AL$2:$AL$157,"&gt;"&amp;$AL118)+COUNTIFS($C$1:$C117,Board!$B$2,$AL$1:$AL117,$AL118)+1,"")</f>
        <v/>
      </c>
      <c r="AS118" s="4" t="str">
        <f t="array" ref="AS118">IFERROR(IF($D118=INDEX(Matches!$AD$5:$AD$22,MATCH($C118,Matches!$A$5:$A$22,0)),"A",IF($D118=INDEX(Matches!$AE$5:$AE$22,MATCH($C118,Matches!$A$5:$A$22,0)),"B","")),"")</f>
        <v>A</v>
      </c>
      <c r="AT118" s="11">
        <f t="array" ref="AT118">IF($AS118="","",IFERROR(IF($AS118="A",INDEX(Matches!$AI$5:$AI$22,MATCH($C118,Matches!$A$5:$A$22,0)),INDEX(Matches!$AJ$5:$AJ$22,MATCH($C118,Matches!$A$5:$A$22,0))),""))</f>
        <v>0.5464339904</v>
      </c>
      <c r="AU118" s="11">
        <f t="array" ref="AU118">IF($AS118="","",IFERROR(IF(INDEX(Matches!$AP$5:$AP$22,MATCH($C118,Matches!$A$5:$A$22,0))="","",IF($AS118="A",INDEX(Matches!$AP$5:$AP$22,MATCH($C118,Matches!$A$5:$A$22,0)),1-INDEX(Matches!$AP$5:$AP$22,MATCH($C118,Matches!$A$5:$A$22,0)))),""))</f>
        <v>0.5351389754</v>
      </c>
      <c r="AV118" s="18">
        <f>IF(OR($AU118="",$AT118=""),1,((Config!$B$14*$AU118+Config!$B$15*(1-$AU118))/(Config!$B$14*$AT118+Config!$B$15*(1-$AT118)))^Config!$B$13)</f>
        <v>0.9903087145</v>
      </c>
      <c r="AW118" s="11">
        <f t="array" ref="AW118">IF($AS118="","",IFERROR(IF(INDEX(Matches!$AV$5:$AV$22,MATCH($C118,Matches!$A$5:$A$22,0))="","",IF($AS118="A",INDEX(Matches!$AV$5:$AV$22,MATCH($C118,Matches!$A$5:$A$22,0)),1-INDEX(Matches!$AV$5:$AV$22,MATCH($C118,Matches!$A$5:$A$22,0)))),""))</f>
        <v>0.5254952741</v>
      </c>
      <c r="AX118" s="18">
        <f>IF(OR($AW118="",$AT118=""),1,((Config!$B$14*$AW118+Config!$B$15*(1-$AW118))/(Config!$B$14*$AT118+Config!$B$15*(1-$AT118)))^Config!$B$13)</f>
        <v>0.9820342799</v>
      </c>
      <c r="AY118" s="11" t="str">
        <f t="array" ref="AY118">IF($AS118="","",IFERROR(IF(INDEX(Matches!$BB$5:$BB$22,MATCH($C118,Matches!$A$5:$A$22,0))="","",IF($AS118="A",INDEX(Matches!$BB$5:$BB$22,MATCH($C118,Matches!$A$5:$A$22,0)),1-INDEX(Matches!$BB$5:$BB$22,MATCH($C118,Matches!$A$5:$A$22,0)))),""))</f>
        <v/>
      </c>
      <c r="AZ118" s="18">
        <f>IF(OR($AY118="",$AT118=""),1,((Config!$B$14*$AY118+Config!$B$15*(1-$AY118))/(Config!$B$14*$AT118+Config!$B$15*(1-$AT118)))^Config!$B$13)</f>
        <v>1</v>
      </c>
      <c r="BA118" s="17">
        <f t="shared" si="9"/>
        <v>15.33592075</v>
      </c>
      <c r="BB118" s="17">
        <f t="shared" si="10"/>
        <v>14.8851846</v>
      </c>
      <c r="BC118" s="17" t="str">
        <f t="shared" si="11"/>
        <v/>
      </c>
      <c r="BD118" s="17">
        <f t="shared" si="12"/>
        <v>30.22110535</v>
      </c>
      <c r="BE118" s="17">
        <f t="shared" si="13"/>
        <v>30.22110535</v>
      </c>
      <c r="BF118" s="17">
        <f t="shared" si="14"/>
        <v>8.289065167</v>
      </c>
      <c r="BG118" s="17">
        <f t="shared" si="15"/>
        <v>7.092790461</v>
      </c>
      <c r="BH118" s="17" t="str">
        <f t="shared" si="16"/>
        <v/>
      </c>
      <c r="BI118" s="17">
        <f t="shared" si="17"/>
        <v>15.38185563</v>
      </c>
      <c r="BJ118" s="17">
        <f t="shared" si="18"/>
        <v>15.38185563</v>
      </c>
      <c r="BK118" s="18">
        <f t="shared" si="19"/>
        <v>0.9862158484</v>
      </c>
    </row>
    <row r="119" ht="15.75" customHeight="1">
      <c r="A119" s="4" t="s">
        <v>3250</v>
      </c>
      <c r="B119" s="4" t="s">
        <v>86</v>
      </c>
      <c r="C119" s="4" t="s">
        <v>1160</v>
      </c>
      <c r="D119" s="4" t="s">
        <v>856</v>
      </c>
      <c r="E119" s="4" t="s">
        <v>1552</v>
      </c>
      <c r="F119" s="4" t="s">
        <v>1551</v>
      </c>
      <c r="G119" s="4" t="str">
        <f t="array" ref="G119">IFERROR(IF(INDEX(Matches!$W$5:$W$22,MATCH($C119,Matches!$A$5:$A$22,0))="","",INDEX(Matches!$W$5:$W$22,MATCH($C119,Matches!$A$5:$A$22,0))),"")</f>
        <v>Nuke</v>
      </c>
      <c r="H119" s="4" t="str">
        <f t="array" ref="H119">IFERROR(IF(INDEX(Matches!$X$5:$X$22,MATCH($C119,Matches!$A$5:$A$22,0))="","",INDEX(Matches!$X$5:$X$22,MATCH($C119,Matches!$A$5:$A$22,0))),"")</f>
        <v>Dust2</v>
      </c>
      <c r="I119" s="4" t="str">
        <f t="array" ref="I119">IFERROR(IF(INDEX(Matches!$Y$5:$Y$22,MATCH($C119,Matches!$A$5:$A$22,0))="","",INDEX(Matches!$Y$5:$Y$22,MATCH($C119,Matches!$A$5:$A$22,0))),"")</f>
        <v/>
      </c>
      <c r="J119" s="4">
        <f t="array" ref="J119">IFERROR(IF(INDEX(Matches!$Z$5:$Z$22,MATCH($C119,Matches!$A$5:$A$22,0))="","",INDEX(Matches!$Z$5:$Z$22,MATCH($C119,Matches!$A$5:$A$22,0))),"")</f>
        <v>21.36</v>
      </c>
      <c r="K119" s="4">
        <f t="array" ref="K119">IFERROR(IF(INDEX(Matches!$AA$5:$AA$22,MATCH($C119,Matches!$A$5:$A$22,0))="","",INDEX(Matches!$AA$5:$AA$22,MATCH($C119,Matches!$A$5:$A$22,0))),"")</f>
        <v>21.5</v>
      </c>
      <c r="L119" s="4" t="str">
        <f t="array" ref="L119">IFERROR(IF(INDEX(Matches!$AB$5:$AB$22,MATCH($C119,Matches!$A$5:$A$22,0))="","",INDEX(Matches!$AB$5:$AB$22,MATCH($C119,Matches!$A$5:$A$22,0))),"")</f>
        <v/>
      </c>
      <c r="M119" s="11">
        <f t="array" ref="M119">IFERROR(IF(INDEX(Matches!$AC$5:$AC$22,MATCH($C119,Matches!$A$5:$A$22,0))="","",INDEX(Matches!$AC$5:$AC$22,MATCH($C119,Matches!$A$5:$A$22,0))),"")</f>
        <v>0</v>
      </c>
      <c r="N119" s="4">
        <f t="array" ref="N119">IFERROR(INDEX(Players!$F$2:$F$127,MATCH($F119,Players!$A$2:$A$127,0)),0)</f>
        <v>27</v>
      </c>
      <c r="O119" s="18">
        <f t="array" ref="O119">IFERROR(1/(1/INDEX(Players!$H$2:$H$127,MATCH($F119,Players!$A$2:$A$127,0))),"")</f>
        <v>0.74</v>
      </c>
      <c r="P119" s="11">
        <f t="array" ref="P119">IFERROR(1/(1/INDEX(Players!$I$2:$I$127,MATCH($F119,Players!$A$2:$A$127,0))),"")</f>
        <v>0.348</v>
      </c>
      <c r="Q119" s="4">
        <f>IF($G119="",0,SUMIFS(Map_Stats!$F$2:$F$825,Map_Stats!$A$2:$A$825,$F119&amp;"|"&amp;$G119))</f>
        <v>5</v>
      </c>
      <c r="R119" s="18">
        <f t="array" ref="R119">IF($G119="","",IFERROR(1/(1/INDEX(Map_Stats!$K$2:$K$825,MATCH($F119&amp;"|"&amp;$G119,Map_Stats!$A$2:$A$825,0))),$O119))</f>
        <v>0.77</v>
      </c>
      <c r="S119" s="11">
        <f t="array" ref="S119">IF(OR($G119="",$P119=""),"",IFERROR(1/(1/INDEX(Map_Stats!$I$2:$I$825,MATCH($F119&amp;"|"&amp;$G119,Map_Stats!$A$2:$A$825,0))),$P119))</f>
        <v>0.363</v>
      </c>
      <c r="T119" s="18">
        <f>IF(OR($G119="",R119=""),"",IF($O119="",R119,(Q119*R119+Config!$B$4*$O119)/(Q119+Config!$B$4)))</f>
        <v>0.755</v>
      </c>
      <c r="U119" s="11">
        <f>IF(S119="","",(Q119*S119+Config!$B$4*$P119)/(Q119+Config!$B$4))</f>
        <v>0.3555</v>
      </c>
      <c r="V119" s="17">
        <f>IF(OR(T119="",$J119=""),"",T119*$J119*($J119/Config!$B$10)^Config!$B$9)</f>
        <v>16.1268</v>
      </c>
      <c r="W119" s="17">
        <f t="shared" si="1"/>
        <v>5.7330774</v>
      </c>
      <c r="X119" s="4">
        <f>IF($H119="",0,SUMIFS(Map_Stats!$F$2:$F$825,Map_Stats!$A$2:$A$825,$F119&amp;"|"&amp;$H119))</f>
        <v>5</v>
      </c>
      <c r="Y119" s="18">
        <f t="array" ref="Y119">IF($H119="","",IFERROR(1/(1/INDEX(Map_Stats!$K$2:$K$825,MATCH($F119&amp;"|"&amp;$H119,Map_Stats!$A$2:$A$825,0))),$O119))</f>
        <v>0.78</v>
      </c>
      <c r="Z119" s="11">
        <f t="array" ref="Z119">IF(OR($H119="",$P119=""),"",IFERROR(1/(1/INDEX(Map_Stats!$I$2:$I$825,MATCH($F119&amp;"|"&amp;$H119,Map_Stats!$A$2:$A$825,0))),$P119))</f>
        <v>0.347</v>
      </c>
      <c r="AA119" s="18">
        <f>IF(OR($H119="",Y119=""),"",IF($O119="",Y119,(X119*Y119+Config!$B$4*$O119)/(X119+Config!$B$4)))</f>
        <v>0.76</v>
      </c>
      <c r="AB119" s="11">
        <f>IF(Z119="","",(X119*Z119+Config!$B$4*$P119)/(X119+Config!$B$4))</f>
        <v>0.3475</v>
      </c>
      <c r="AC119" s="17">
        <f>IF(OR(AA119="",$K119=""),"",AA119*$K119*($K119/Config!$B$10)^Config!$B$9)</f>
        <v>16.34</v>
      </c>
      <c r="AD119" s="17">
        <f t="shared" si="2"/>
        <v>5.67815</v>
      </c>
      <c r="AE119" s="4">
        <f>IF($I119="",0,SUMIFS(Map_Stats!$F$2:$F$825,Map_Stats!$A$2:$A$825,$F119&amp;"|"&amp;$I119))</f>
        <v>0</v>
      </c>
      <c r="AF119" s="18" t="str">
        <f t="array" ref="AF119">IF($I119="","",IFERROR(1/(1/INDEX(Map_Stats!$K$2:$K$825,MATCH($F119&amp;"|"&amp;$I119,Map_Stats!$A$2:$A$825,0))),$O119))</f>
        <v/>
      </c>
      <c r="AG119" s="11" t="str">
        <f t="array" ref="AG119">IF(OR($I119="",$P119=""),"",IFERROR(1/(1/INDEX(Map_Stats!$I$2:$I$825,MATCH($F119&amp;"|"&amp;$I119,Map_Stats!$A$2:$A$825,0))),$P119))</f>
        <v/>
      </c>
      <c r="AH119" s="18" t="str">
        <f>IF(OR($I119="",AF119=""),"",IF($O119="",AF119,(AE119*AF119+Config!$B$4*$O119)/(AE119+Config!$B$4)))</f>
        <v/>
      </c>
      <c r="AI119" s="11" t="str">
        <f>IF(AG119="","",(AE119*AG119+Config!$B$4*$P119)/(AE119+Config!$B$4))</f>
        <v/>
      </c>
      <c r="AJ119" s="17" t="str">
        <f>IF(OR(AH119="",$L119=""),"",AH119*$L119*($L119/Config!$B$10)^Config!$B$9)</f>
        <v/>
      </c>
      <c r="AK119" s="17" t="str">
        <f t="shared" si="3"/>
        <v/>
      </c>
      <c r="AL119" s="17">
        <f t="shared" si="4"/>
        <v>32.4668</v>
      </c>
      <c r="AM119" s="17">
        <f t="shared" si="5"/>
        <v>32.4668</v>
      </c>
      <c r="AN119" s="17">
        <f t="shared" si="6"/>
        <v>11.4112274</v>
      </c>
      <c r="AO119" s="17">
        <f t="shared" si="7"/>
        <v>11.4112274</v>
      </c>
      <c r="AP119" s="11">
        <f t="shared" si="8"/>
        <v>0.3514737332</v>
      </c>
      <c r="AQ119" s="4" t="str">
        <f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4" t="str">
        <f>IF($C119=Board!$B$2,COUNTIFS($C$2:$C$157,Board!$B$2,$AL$2:$AL$157,"&gt;"&amp;$AL119)+COUNTIFS($C$1:$C118,Board!$B$2,$AL$1:$AL118,$AL119)+1,"")</f>
        <v/>
      </c>
      <c r="AS119" s="4" t="str">
        <f t="array" ref="AS119">IFERROR(IF($D119=INDEX(Matches!$AD$5:$AD$22,MATCH($C119,Matches!$A$5:$A$22,0)),"A",IF($D119=INDEX(Matches!$AE$5:$AE$22,MATCH($C119,Matches!$A$5:$A$22,0)),"B","")),"")</f>
        <v>A</v>
      </c>
      <c r="AT119" s="11">
        <f t="array" ref="AT119">IF($AS119="","",IFERROR(IF($AS119="A",INDEX(Matches!$AI$5:$AI$22,MATCH($C119,Matches!$A$5:$A$22,0)),INDEX(Matches!$AJ$5:$AJ$22,MATCH($C119,Matches!$A$5:$A$22,0))),""))</f>
        <v>0.5464339904</v>
      </c>
      <c r="AU119" s="11">
        <f t="array" ref="AU119">IF($AS119="","",IFERROR(IF(INDEX(Matches!$AP$5:$AP$22,MATCH($C119,Matches!$A$5:$A$22,0))="","",IF($AS119="A",INDEX(Matches!$AP$5:$AP$22,MATCH($C119,Matches!$A$5:$A$22,0)),1-INDEX(Matches!$AP$5:$AP$22,MATCH($C119,Matches!$A$5:$A$22,0)))),""))</f>
        <v>0.5351389754</v>
      </c>
      <c r="AV119" s="18">
        <f>IF(OR($AU119="",$AT119=""),1,((Config!$B$14*$AU119+Config!$B$15*(1-$AU119))/(Config!$B$14*$AT119+Config!$B$15*(1-$AT119)))^Config!$B$13)</f>
        <v>0.9903087145</v>
      </c>
      <c r="AW119" s="11">
        <f t="array" ref="AW119">IF($AS119="","",IFERROR(IF(INDEX(Matches!$AV$5:$AV$22,MATCH($C119,Matches!$A$5:$A$22,0))="","",IF($AS119="A",INDEX(Matches!$AV$5:$AV$22,MATCH($C119,Matches!$A$5:$A$22,0)),1-INDEX(Matches!$AV$5:$AV$22,MATCH($C119,Matches!$A$5:$A$22,0)))),""))</f>
        <v>0.5254952741</v>
      </c>
      <c r="AX119" s="18">
        <f>IF(OR($AW119="",$AT119=""),1,((Config!$B$14*$AW119+Config!$B$15*(1-$AW119))/(Config!$B$14*$AT119+Config!$B$15*(1-$AT119)))^Config!$B$13)</f>
        <v>0.9820342799</v>
      </c>
      <c r="AY119" s="11" t="str">
        <f t="array" ref="AY119">IF($AS119="","",IFERROR(IF(INDEX(Matches!$BB$5:$BB$22,MATCH($C119,Matches!$A$5:$A$22,0))="","",IF($AS119="A",INDEX(Matches!$BB$5:$BB$22,MATCH($C119,Matches!$A$5:$A$22,0)),1-INDEX(Matches!$BB$5:$BB$22,MATCH($C119,Matches!$A$5:$A$22,0)))),""))</f>
        <v/>
      </c>
      <c r="AZ119" s="18">
        <f>IF(OR($AY119="",$AT119=""),1,((Config!$B$14*$AY119+Config!$B$15*(1-$AY119))/(Config!$B$14*$AT119+Config!$B$15*(1-$AT119)))^Config!$B$13)</f>
        <v>1</v>
      </c>
      <c r="BA119" s="17">
        <f t="shared" si="9"/>
        <v>15.97051058</v>
      </c>
      <c r="BB119" s="17">
        <f t="shared" si="10"/>
        <v>16.04644013</v>
      </c>
      <c r="BC119" s="17" t="str">
        <f t="shared" si="11"/>
        <v/>
      </c>
      <c r="BD119" s="17">
        <f t="shared" si="12"/>
        <v>32.01695071</v>
      </c>
      <c r="BE119" s="17">
        <f t="shared" si="13"/>
        <v>32.01695071</v>
      </c>
      <c r="BF119" s="17">
        <f t="shared" si="14"/>
        <v>5.67751651</v>
      </c>
      <c r="BG119" s="17">
        <f t="shared" si="15"/>
        <v>5.576137947</v>
      </c>
      <c r="BH119" s="17" t="str">
        <f t="shared" si="16"/>
        <v/>
      </c>
      <c r="BI119" s="17">
        <f t="shared" si="17"/>
        <v>11.25365446</v>
      </c>
      <c r="BJ119" s="17">
        <f t="shared" si="18"/>
        <v>11.25365446</v>
      </c>
      <c r="BK119" s="18">
        <f t="shared" si="19"/>
        <v>0.9861443293</v>
      </c>
    </row>
    <row r="120" ht="15.75" customHeight="1">
      <c r="A120" s="4" t="s">
        <v>3251</v>
      </c>
      <c r="B120" s="4" t="s">
        <v>86</v>
      </c>
      <c r="C120" s="4" t="s">
        <v>1160</v>
      </c>
      <c r="D120" s="4" t="s">
        <v>856</v>
      </c>
      <c r="E120" s="4" t="s">
        <v>1555</v>
      </c>
      <c r="F120" s="4" t="s">
        <v>1554</v>
      </c>
      <c r="G120" s="4" t="str">
        <f t="array" ref="G120">IFERROR(IF(INDEX(Matches!$W$5:$W$22,MATCH($C120,Matches!$A$5:$A$22,0))="","",INDEX(Matches!$W$5:$W$22,MATCH($C120,Matches!$A$5:$A$22,0))),"")</f>
        <v>Nuke</v>
      </c>
      <c r="H120" s="4" t="str">
        <f t="array" ref="H120">IFERROR(IF(INDEX(Matches!$X$5:$X$22,MATCH($C120,Matches!$A$5:$A$22,0))="","",INDEX(Matches!$X$5:$X$22,MATCH($C120,Matches!$A$5:$A$22,0))),"")</f>
        <v>Dust2</v>
      </c>
      <c r="I120" s="4" t="str">
        <f t="array" ref="I120">IFERROR(IF(INDEX(Matches!$Y$5:$Y$22,MATCH($C120,Matches!$A$5:$A$22,0))="","",INDEX(Matches!$Y$5:$Y$22,MATCH($C120,Matches!$A$5:$A$22,0))),"")</f>
        <v/>
      </c>
      <c r="J120" s="4">
        <f t="array" ref="J120">IFERROR(IF(INDEX(Matches!$Z$5:$Z$22,MATCH($C120,Matches!$A$5:$A$22,0))="","",INDEX(Matches!$Z$5:$Z$22,MATCH($C120,Matches!$A$5:$A$22,0))),"")</f>
        <v>21.36</v>
      </c>
      <c r="K120" s="4">
        <f t="array" ref="K120">IFERROR(IF(INDEX(Matches!$AA$5:$AA$22,MATCH($C120,Matches!$A$5:$A$22,0))="","",INDEX(Matches!$AA$5:$AA$22,MATCH($C120,Matches!$A$5:$A$22,0))),"")</f>
        <v>21.5</v>
      </c>
      <c r="L120" s="4" t="str">
        <f t="array" ref="L120">IFERROR(IF(INDEX(Matches!$AB$5:$AB$22,MATCH($C120,Matches!$A$5:$A$22,0))="","",INDEX(Matches!$AB$5:$AB$22,MATCH($C120,Matches!$A$5:$A$22,0))),"")</f>
        <v/>
      </c>
      <c r="M120" s="11">
        <f t="array" ref="M120">IFERROR(IF(INDEX(Matches!$AC$5:$AC$22,MATCH($C120,Matches!$A$5:$A$22,0))="","",INDEX(Matches!$AC$5:$AC$22,MATCH($C120,Matches!$A$5:$A$22,0))),"")</f>
        <v>0</v>
      </c>
      <c r="N120" s="4">
        <f t="array" ref="N120">IFERROR(INDEX(Players!$F$2:$F$127,MATCH($F120,Players!$A$2:$A$127,0)),0)</f>
        <v>27</v>
      </c>
      <c r="O120" s="18">
        <f t="array" ref="O120">IFERROR(1/(1/INDEX(Players!$H$2:$H$127,MATCH($F120,Players!$A$2:$A$127,0))),"")</f>
        <v>0.7</v>
      </c>
      <c r="P120" s="11">
        <f t="array" ref="P120">IFERROR(1/(1/INDEX(Players!$I$2:$I$127,MATCH($F120,Players!$A$2:$A$127,0))),"")</f>
        <v>0.587</v>
      </c>
      <c r="Q120" s="4">
        <f>IF($G120="",0,SUMIFS(Map_Stats!$F$2:$F$825,Map_Stats!$A$2:$A$825,$F120&amp;"|"&amp;$G120))</f>
        <v>5</v>
      </c>
      <c r="R120" s="18">
        <f t="array" ref="R120">IF($G120="","",IFERROR(1/(1/INDEX(Map_Stats!$K$2:$K$825,MATCH($F120&amp;"|"&amp;$G120,Map_Stats!$A$2:$A$825,0))),$O120))</f>
        <v>0.7</v>
      </c>
      <c r="S120" s="11">
        <f t="array" ref="S120">IF(OR($G120="",$P120=""),"",IFERROR(1/(1/INDEX(Map_Stats!$I$2:$I$825,MATCH($F120&amp;"|"&amp;$G120,Map_Stats!$A$2:$A$825,0))),$P120))</f>
        <v>0.624</v>
      </c>
      <c r="T120" s="18">
        <f>IF(OR($G120="",R120=""),"",IF($O120="",R120,(Q120*R120+Config!$B$4*$O120)/(Q120+Config!$B$4)))</f>
        <v>0.7</v>
      </c>
      <c r="U120" s="11">
        <f>IF(S120="","",(Q120*S120+Config!$B$4*$P120)/(Q120+Config!$B$4))</f>
        <v>0.6055</v>
      </c>
      <c r="V120" s="17">
        <f>IF(OR(T120="",$J120=""),"",T120*$J120*($J120/Config!$B$10)^Config!$B$9)</f>
        <v>14.952</v>
      </c>
      <c r="W120" s="17">
        <f t="shared" si="1"/>
        <v>9.053436</v>
      </c>
      <c r="X120" s="4">
        <f>IF($H120="",0,SUMIFS(Map_Stats!$F$2:$F$825,Map_Stats!$A$2:$A$825,$F120&amp;"|"&amp;$H120))</f>
        <v>5</v>
      </c>
      <c r="Y120" s="18">
        <f t="array" ref="Y120">IF($H120="","",IFERROR(1/(1/INDEX(Map_Stats!$K$2:$K$825,MATCH($F120&amp;"|"&amp;$H120,Map_Stats!$A$2:$A$825,0))),$O120))</f>
        <v>0.55</v>
      </c>
      <c r="Z120" s="11">
        <f t="array" ref="Z120">IF(OR($H120="",$P120=""),"",IFERROR(1/(1/INDEX(Map_Stats!$I$2:$I$825,MATCH($F120&amp;"|"&amp;$H120,Map_Stats!$A$2:$A$825,0))),$P120))</f>
        <v>0.642</v>
      </c>
      <c r="AA120" s="18">
        <f>IF(OR($H120="",Y120=""),"",IF($O120="",Y120,(X120*Y120+Config!$B$4*$O120)/(X120+Config!$B$4)))</f>
        <v>0.625</v>
      </c>
      <c r="AB120" s="11">
        <f>IF(Z120="","",(X120*Z120+Config!$B$4*$P120)/(X120+Config!$B$4))</f>
        <v>0.6145</v>
      </c>
      <c r="AC120" s="17">
        <f>IF(OR(AA120="",$K120=""),"",AA120*$K120*($K120/Config!$B$10)^Config!$B$9)</f>
        <v>13.4375</v>
      </c>
      <c r="AD120" s="17">
        <f t="shared" si="2"/>
        <v>8.25734375</v>
      </c>
      <c r="AE120" s="4">
        <f>IF($I120="",0,SUMIFS(Map_Stats!$F$2:$F$825,Map_Stats!$A$2:$A$825,$F120&amp;"|"&amp;$I120))</f>
        <v>0</v>
      </c>
      <c r="AF120" s="18" t="str">
        <f t="array" ref="AF120">IF($I120="","",IFERROR(1/(1/INDEX(Map_Stats!$K$2:$K$825,MATCH($F120&amp;"|"&amp;$I120,Map_Stats!$A$2:$A$825,0))),$O120))</f>
        <v/>
      </c>
      <c r="AG120" s="11" t="str">
        <f t="array" ref="AG120">IF(OR($I120="",$P120=""),"",IFERROR(1/(1/INDEX(Map_Stats!$I$2:$I$825,MATCH($F120&amp;"|"&amp;$I120,Map_Stats!$A$2:$A$825,0))),$P120))</f>
        <v/>
      </c>
      <c r="AH120" s="18" t="str">
        <f>IF(OR($I120="",AF120=""),"",IF($O120="",AF120,(AE120*AF120+Config!$B$4*$O120)/(AE120+Config!$B$4)))</f>
        <v/>
      </c>
      <c r="AI120" s="11" t="str">
        <f>IF(AG120="","",(AE120*AG120+Config!$B$4*$P120)/(AE120+Config!$B$4))</f>
        <v/>
      </c>
      <c r="AJ120" s="17" t="str">
        <f>IF(OR(AH120="",$L120=""),"",AH120*$L120*($L120/Config!$B$10)^Config!$B$9)</f>
        <v/>
      </c>
      <c r="AK120" s="17" t="str">
        <f t="shared" si="3"/>
        <v/>
      </c>
      <c r="AL120" s="17">
        <f t="shared" si="4"/>
        <v>28.3895</v>
      </c>
      <c r="AM120" s="17">
        <f t="shared" si="5"/>
        <v>28.3895</v>
      </c>
      <c r="AN120" s="17">
        <f t="shared" si="6"/>
        <v>17.31077975</v>
      </c>
      <c r="AO120" s="17">
        <f t="shared" si="7"/>
        <v>17.31077975</v>
      </c>
      <c r="AP120" s="11">
        <f t="shared" si="8"/>
        <v>0.6097599377</v>
      </c>
      <c r="AQ120" s="4" t="str">
        <f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4" t="str">
        <f>IF($C120=Board!$B$2,COUNTIFS($C$2:$C$157,Board!$B$2,$AL$2:$AL$157,"&gt;"&amp;$AL120)+COUNTIFS($C$1:$C119,Board!$B$2,$AL$1:$AL119,$AL120)+1,"")</f>
        <v/>
      </c>
      <c r="AS120" s="4" t="str">
        <f t="array" ref="AS120">IFERROR(IF($D120=INDEX(Matches!$AD$5:$AD$22,MATCH($C120,Matches!$A$5:$A$22,0)),"A",IF($D120=INDEX(Matches!$AE$5:$AE$22,MATCH($C120,Matches!$A$5:$A$22,0)),"B","")),"")</f>
        <v>A</v>
      </c>
      <c r="AT120" s="11">
        <f t="array" ref="AT120">IF($AS120="","",IFERROR(IF($AS120="A",INDEX(Matches!$AI$5:$AI$22,MATCH($C120,Matches!$A$5:$A$22,0)),INDEX(Matches!$AJ$5:$AJ$22,MATCH($C120,Matches!$A$5:$A$22,0))),""))</f>
        <v>0.5464339904</v>
      </c>
      <c r="AU120" s="11">
        <f t="array" ref="AU120">IF($AS120="","",IFERROR(IF(INDEX(Matches!$AP$5:$AP$22,MATCH($C120,Matches!$A$5:$A$22,0))="","",IF($AS120="A",INDEX(Matches!$AP$5:$AP$22,MATCH($C120,Matches!$A$5:$A$22,0)),1-INDEX(Matches!$AP$5:$AP$22,MATCH($C120,Matches!$A$5:$A$22,0)))),""))</f>
        <v>0.5351389754</v>
      </c>
      <c r="AV120" s="18">
        <f>IF(OR($AU120="",$AT120=""),1,((Config!$B$14*$AU120+Config!$B$15*(1-$AU120))/(Config!$B$14*$AT120+Config!$B$15*(1-$AT120)))^Config!$B$13)</f>
        <v>0.9903087145</v>
      </c>
      <c r="AW120" s="11">
        <f t="array" ref="AW120">IF($AS120="","",IFERROR(IF(INDEX(Matches!$AV$5:$AV$22,MATCH($C120,Matches!$A$5:$A$22,0))="","",IF($AS120="A",INDEX(Matches!$AV$5:$AV$22,MATCH($C120,Matches!$A$5:$A$22,0)),1-INDEX(Matches!$AV$5:$AV$22,MATCH($C120,Matches!$A$5:$A$22,0)))),""))</f>
        <v>0.5254952741</v>
      </c>
      <c r="AX120" s="18">
        <f>IF(OR($AW120="",$AT120=""),1,((Config!$B$14*$AW120+Config!$B$15*(1-$AW120))/(Config!$B$14*$AT120+Config!$B$15*(1-$AT120)))^Config!$B$13)</f>
        <v>0.9820342799</v>
      </c>
      <c r="AY120" s="11" t="str">
        <f t="array" ref="AY120">IF($AS120="","",IFERROR(IF(INDEX(Matches!$BB$5:$BB$22,MATCH($C120,Matches!$A$5:$A$22,0))="","",IF($AS120="A",INDEX(Matches!$BB$5:$BB$22,MATCH($C120,Matches!$A$5:$A$22,0)),1-INDEX(Matches!$BB$5:$BB$22,MATCH($C120,Matches!$A$5:$A$22,0)))),""))</f>
        <v/>
      </c>
      <c r="AZ120" s="18">
        <f>IF(OR($AY120="",$AT120=""),1,((Config!$B$14*$AY120+Config!$B$15*(1-$AY120))/(Config!$B$14*$AT120+Config!$B$15*(1-$AT120)))^Config!$B$13)</f>
        <v>1</v>
      </c>
      <c r="BA120" s="17">
        <f t="shared" si="9"/>
        <v>14.8070959</v>
      </c>
      <c r="BB120" s="17">
        <f t="shared" si="10"/>
        <v>13.19608564</v>
      </c>
      <c r="BC120" s="17" t="str">
        <f t="shared" si="11"/>
        <v/>
      </c>
      <c r="BD120" s="17">
        <f t="shared" si="12"/>
        <v>28.00318154</v>
      </c>
      <c r="BE120" s="17">
        <f t="shared" si="13"/>
        <v>28.00318154</v>
      </c>
      <c r="BF120" s="17">
        <f t="shared" si="14"/>
        <v>8.965696567</v>
      </c>
      <c r="BG120" s="17">
        <f t="shared" si="15"/>
        <v>8.108994624</v>
      </c>
      <c r="BH120" s="17" t="str">
        <f t="shared" si="16"/>
        <v/>
      </c>
      <c r="BI120" s="17">
        <f t="shared" si="17"/>
        <v>17.07469119</v>
      </c>
      <c r="BJ120" s="17">
        <f t="shared" si="18"/>
        <v>17.07469119</v>
      </c>
      <c r="BK120" s="18">
        <f t="shared" si="19"/>
        <v>0.9863922061</v>
      </c>
    </row>
    <row r="121" ht="15.75" customHeight="1">
      <c r="A121" s="4" t="s">
        <v>3252</v>
      </c>
      <c r="B121" s="4" t="s">
        <v>86</v>
      </c>
      <c r="C121" s="4" t="s">
        <v>1160</v>
      </c>
      <c r="D121" s="4" t="s">
        <v>856</v>
      </c>
      <c r="E121" s="4" t="s">
        <v>1558</v>
      </c>
      <c r="F121" s="4" t="s">
        <v>1557</v>
      </c>
      <c r="G121" s="4" t="str">
        <f t="array" ref="G121">IFERROR(IF(INDEX(Matches!$W$5:$W$22,MATCH($C121,Matches!$A$5:$A$22,0))="","",INDEX(Matches!$W$5:$W$22,MATCH($C121,Matches!$A$5:$A$22,0))),"")</f>
        <v>Nuke</v>
      </c>
      <c r="H121" s="4" t="str">
        <f t="array" ref="H121">IFERROR(IF(INDEX(Matches!$X$5:$X$22,MATCH($C121,Matches!$A$5:$A$22,0))="","",INDEX(Matches!$X$5:$X$22,MATCH($C121,Matches!$A$5:$A$22,0))),"")</f>
        <v>Dust2</v>
      </c>
      <c r="I121" s="4" t="str">
        <f t="array" ref="I121">IFERROR(IF(INDEX(Matches!$Y$5:$Y$22,MATCH($C121,Matches!$A$5:$A$22,0))="","",INDEX(Matches!$Y$5:$Y$22,MATCH($C121,Matches!$A$5:$A$22,0))),"")</f>
        <v/>
      </c>
      <c r="J121" s="4">
        <f t="array" ref="J121">IFERROR(IF(INDEX(Matches!$Z$5:$Z$22,MATCH($C121,Matches!$A$5:$A$22,0))="","",INDEX(Matches!$Z$5:$Z$22,MATCH($C121,Matches!$A$5:$A$22,0))),"")</f>
        <v>21.36</v>
      </c>
      <c r="K121" s="4">
        <f t="array" ref="K121">IFERROR(IF(INDEX(Matches!$AA$5:$AA$22,MATCH($C121,Matches!$A$5:$A$22,0))="","",INDEX(Matches!$AA$5:$AA$22,MATCH($C121,Matches!$A$5:$A$22,0))),"")</f>
        <v>21.5</v>
      </c>
      <c r="L121" s="4" t="str">
        <f t="array" ref="L121">IFERROR(IF(INDEX(Matches!$AB$5:$AB$22,MATCH($C121,Matches!$A$5:$A$22,0))="","",INDEX(Matches!$AB$5:$AB$22,MATCH($C121,Matches!$A$5:$A$22,0))),"")</f>
        <v/>
      </c>
      <c r="M121" s="11">
        <f t="array" ref="M121">IFERROR(IF(INDEX(Matches!$AC$5:$AC$22,MATCH($C121,Matches!$A$5:$A$22,0))="","",INDEX(Matches!$AC$5:$AC$22,MATCH($C121,Matches!$A$5:$A$22,0))),"")</f>
        <v>0</v>
      </c>
      <c r="N121" s="4">
        <f t="array" ref="N121">IFERROR(INDEX(Players!$F$2:$F$127,MATCH($F121,Players!$A$2:$A$127,0)),0)</f>
        <v>27</v>
      </c>
      <c r="O121" s="18">
        <f t="array" ref="O121">IFERROR(1/(1/INDEX(Players!$H$2:$H$127,MATCH($F121,Players!$A$2:$A$127,0))),"")</f>
        <v>0.63</v>
      </c>
      <c r="P121" s="11">
        <f t="array" ref="P121">IFERROR(1/(1/INDEX(Players!$I$2:$I$127,MATCH($F121,Players!$A$2:$A$127,0))),"")</f>
        <v>0.51</v>
      </c>
      <c r="Q121" s="4">
        <f>IF($G121="",0,SUMIFS(Map_Stats!$F$2:$F$825,Map_Stats!$A$2:$A$825,$F121&amp;"|"&amp;$G121))</f>
        <v>5</v>
      </c>
      <c r="R121" s="18">
        <f t="array" ref="R121">IF($G121="","",IFERROR(1/(1/INDEX(Map_Stats!$K$2:$K$825,MATCH($F121&amp;"|"&amp;$G121,Map_Stats!$A$2:$A$825,0))),$O121))</f>
        <v>0.54</v>
      </c>
      <c r="S121" s="11">
        <f t="array" ref="S121">IF(OR($G121="",$P121=""),"",IFERROR(1/(1/INDEX(Map_Stats!$I$2:$I$825,MATCH($F121&amp;"|"&amp;$G121,Map_Stats!$A$2:$A$825,0))),$P121))</f>
        <v>0.521</v>
      </c>
      <c r="T121" s="18">
        <f>IF(OR($G121="",R121=""),"",IF($O121="",R121,(Q121*R121+Config!$B$4*$O121)/(Q121+Config!$B$4)))</f>
        <v>0.585</v>
      </c>
      <c r="U121" s="11">
        <f>IF(S121="","",(Q121*S121+Config!$B$4*$P121)/(Q121+Config!$B$4))</f>
        <v>0.5155</v>
      </c>
      <c r="V121" s="17">
        <f>IF(OR(T121="",$J121=""),"",T121*$J121*($J121/Config!$B$10)^Config!$B$9)</f>
        <v>12.4956</v>
      </c>
      <c r="W121" s="17">
        <f t="shared" si="1"/>
        <v>6.4414818</v>
      </c>
      <c r="X121" s="4">
        <f>IF($H121="",0,SUMIFS(Map_Stats!$F$2:$F$825,Map_Stats!$A$2:$A$825,$F121&amp;"|"&amp;$H121))</f>
        <v>5</v>
      </c>
      <c r="Y121" s="18">
        <f t="array" ref="Y121">IF($H121="","",IFERROR(1/(1/INDEX(Map_Stats!$K$2:$K$825,MATCH($F121&amp;"|"&amp;$H121,Map_Stats!$A$2:$A$825,0))),$O121))</f>
        <v>0.73</v>
      </c>
      <c r="Z121" s="11">
        <f t="array" ref="Z121">IF(OR($H121="",$P121=""),"",IFERROR(1/(1/INDEX(Map_Stats!$I$2:$I$825,MATCH($F121&amp;"|"&amp;$H121,Map_Stats!$A$2:$A$825,0))),$P121))</f>
        <v>0.557</v>
      </c>
      <c r="AA121" s="18">
        <f>IF(OR($H121="",Y121=""),"",IF($O121="",Y121,(X121*Y121+Config!$B$4*$O121)/(X121+Config!$B$4)))</f>
        <v>0.68</v>
      </c>
      <c r="AB121" s="11">
        <f>IF(Z121="","",(X121*Z121+Config!$B$4*$P121)/(X121+Config!$B$4))</f>
        <v>0.5335</v>
      </c>
      <c r="AC121" s="17">
        <f>IF(OR(AA121="",$K121=""),"",AA121*$K121*($K121/Config!$B$10)^Config!$B$9)</f>
        <v>14.62</v>
      </c>
      <c r="AD121" s="17">
        <f t="shared" si="2"/>
        <v>7.79977</v>
      </c>
      <c r="AE121" s="4">
        <f>IF($I121="",0,SUMIFS(Map_Stats!$F$2:$F$825,Map_Stats!$A$2:$A$825,$F121&amp;"|"&amp;$I121))</f>
        <v>0</v>
      </c>
      <c r="AF121" s="18" t="str">
        <f t="array" ref="AF121">IF($I121="","",IFERROR(1/(1/INDEX(Map_Stats!$K$2:$K$825,MATCH($F121&amp;"|"&amp;$I121,Map_Stats!$A$2:$A$825,0))),$O121))</f>
        <v/>
      </c>
      <c r="AG121" s="11" t="str">
        <f t="array" ref="AG121">IF(OR($I121="",$P121=""),"",IFERROR(1/(1/INDEX(Map_Stats!$I$2:$I$825,MATCH($F121&amp;"|"&amp;$I121,Map_Stats!$A$2:$A$825,0))),$P121))</f>
        <v/>
      </c>
      <c r="AH121" s="18" t="str">
        <f>IF(OR($I121="",AF121=""),"",IF($O121="",AF121,(AE121*AF121+Config!$B$4*$O121)/(AE121+Config!$B$4)))</f>
        <v/>
      </c>
      <c r="AI121" s="11" t="str">
        <f>IF(AG121="","",(AE121*AG121+Config!$B$4*$P121)/(AE121+Config!$B$4))</f>
        <v/>
      </c>
      <c r="AJ121" s="17" t="str">
        <f>IF(OR(AH121="",$L121=""),"",AH121*$L121*($L121/Config!$B$10)^Config!$B$9)</f>
        <v/>
      </c>
      <c r="AK121" s="17" t="str">
        <f t="shared" si="3"/>
        <v/>
      </c>
      <c r="AL121" s="17">
        <f t="shared" si="4"/>
        <v>27.1156</v>
      </c>
      <c r="AM121" s="17">
        <f t="shared" si="5"/>
        <v>27.1156</v>
      </c>
      <c r="AN121" s="17">
        <f t="shared" si="6"/>
        <v>14.2412518</v>
      </c>
      <c r="AO121" s="17">
        <f t="shared" si="7"/>
        <v>14.2412518</v>
      </c>
      <c r="AP121" s="11">
        <f t="shared" si="8"/>
        <v>0.5252051144</v>
      </c>
      <c r="AQ121" s="4" t="str">
        <f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4" t="str">
        <f>IF($C121=Board!$B$2,COUNTIFS($C$2:$C$157,Board!$B$2,$AL$2:$AL$157,"&gt;"&amp;$AL121)+COUNTIFS($C$1:$C120,Board!$B$2,$AL$1:$AL120,$AL121)+1,"")</f>
        <v/>
      </c>
      <c r="AS121" s="4" t="str">
        <f t="array" ref="AS121">IFERROR(IF($D121=INDEX(Matches!$AD$5:$AD$22,MATCH($C121,Matches!$A$5:$A$22,0)),"A",IF($D121=INDEX(Matches!$AE$5:$AE$22,MATCH($C121,Matches!$A$5:$A$22,0)),"B","")),"")</f>
        <v>A</v>
      </c>
      <c r="AT121" s="11">
        <f t="array" ref="AT121">IF($AS121="","",IFERROR(IF($AS121="A",INDEX(Matches!$AI$5:$AI$22,MATCH($C121,Matches!$A$5:$A$22,0)),INDEX(Matches!$AJ$5:$AJ$22,MATCH($C121,Matches!$A$5:$A$22,0))),""))</f>
        <v>0.5464339904</v>
      </c>
      <c r="AU121" s="11">
        <f t="array" ref="AU121">IF($AS121="","",IFERROR(IF(INDEX(Matches!$AP$5:$AP$22,MATCH($C121,Matches!$A$5:$A$22,0))="","",IF($AS121="A",INDEX(Matches!$AP$5:$AP$22,MATCH($C121,Matches!$A$5:$A$22,0)),1-INDEX(Matches!$AP$5:$AP$22,MATCH($C121,Matches!$A$5:$A$22,0)))),""))</f>
        <v>0.5351389754</v>
      </c>
      <c r="AV121" s="18">
        <f>IF(OR($AU121="",$AT121=""),1,((Config!$B$14*$AU121+Config!$B$15*(1-$AU121))/(Config!$B$14*$AT121+Config!$B$15*(1-$AT121)))^Config!$B$13)</f>
        <v>0.9903087145</v>
      </c>
      <c r="AW121" s="11">
        <f t="array" ref="AW121">IF($AS121="","",IFERROR(IF(INDEX(Matches!$AV$5:$AV$22,MATCH($C121,Matches!$A$5:$A$22,0))="","",IF($AS121="A",INDEX(Matches!$AV$5:$AV$22,MATCH($C121,Matches!$A$5:$A$22,0)),1-INDEX(Matches!$AV$5:$AV$22,MATCH($C121,Matches!$A$5:$A$22,0)))),""))</f>
        <v>0.5254952741</v>
      </c>
      <c r="AX121" s="18">
        <f>IF(OR($AW121="",$AT121=""),1,((Config!$B$14*$AW121+Config!$B$15*(1-$AW121))/(Config!$B$14*$AT121+Config!$B$15*(1-$AT121)))^Config!$B$13)</f>
        <v>0.9820342799</v>
      </c>
      <c r="AY121" s="11" t="str">
        <f t="array" ref="AY121">IF($AS121="","",IFERROR(IF(INDEX(Matches!$BB$5:$BB$22,MATCH($C121,Matches!$A$5:$A$22,0))="","",IF($AS121="A",INDEX(Matches!$BB$5:$BB$22,MATCH($C121,Matches!$A$5:$A$22,0)),1-INDEX(Matches!$BB$5:$BB$22,MATCH($C121,Matches!$A$5:$A$22,0)))),""))</f>
        <v/>
      </c>
      <c r="AZ121" s="18">
        <f>IF(OR($AY121="",$AT121=""),1,((Config!$B$14*$AY121+Config!$B$15*(1-$AY121))/(Config!$B$14*$AT121+Config!$B$15*(1-$AT121)))^Config!$B$13)</f>
        <v>1</v>
      </c>
      <c r="BA121" s="17">
        <f t="shared" si="9"/>
        <v>12.37450157</v>
      </c>
      <c r="BB121" s="17">
        <f t="shared" si="10"/>
        <v>14.35734117</v>
      </c>
      <c r="BC121" s="17" t="str">
        <f t="shared" si="11"/>
        <v/>
      </c>
      <c r="BD121" s="17">
        <f t="shared" si="12"/>
        <v>26.73184275</v>
      </c>
      <c r="BE121" s="17">
        <f t="shared" si="13"/>
        <v>26.73184275</v>
      </c>
      <c r="BF121" s="17">
        <f t="shared" si="14"/>
        <v>6.379055561</v>
      </c>
      <c r="BG121" s="17">
        <f t="shared" si="15"/>
        <v>7.659641516</v>
      </c>
      <c r="BH121" s="17" t="str">
        <f t="shared" si="16"/>
        <v/>
      </c>
      <c r="BI121" s="17">
        <f t="shared" si="17"/>
        <v>14.03869708</v>
      </c>
      <c r="BJ121" s="17">
        <f t="shared" si="18"/>
        <v>14.03869708</v>
      </c>
      <c r="BK121" s="18">
        <f t="shared" si="19"/>
        <v>0.9858473626</v>
      </c>
    </row>
    <row r="122" ht="15.75" customHeight="1">
      <c r="A122" s="4" t="s">
        <v>3253</v>
      </c>
      <c r="B122" s="4" t="s">
        <v>86</v>
      </c>
      <c r="C122" s="4" t="s">
        <v>1160</v>
      </c>
      <c r="D122" s="4" t="s">
        <v>856</v>
      </c>
      <c r="E122" s="4" t="s">
        <v>1561</v>
      </c>
      <c r="F122" s="4" t="s">
        <v>1560</v>
      </c>
      <c r="G122" s="4" t="str">
        <f t="array" ref="G122">IFERROR(IF(INDEX(Matches!$W$5:$W$22,MATCH($C122,Matches!$A$5:$A$22,0))="","",INDEX(Matches!$W$5:$W$22,MATCH($C122,Matches!$A$5:$A$22,0))),"")</f>
        <v>Nuke</v>
      </c>
      <c r="H122" s="4" t="str">
        <f t="array" ref="H122">IFERROR(IF(INDEX(Matches!$X$5:$X$22,MATCH($C122,Matches!$A$5:$A$22,0))="","",INDEX(Matches!$X$5:$X$22,MATCH($C122,Matches!$A$5:$A$22,0))),"")</f>
        <v>Dust2</v>
      </c>
      <c r="I122" s="4" t="str">
        <f t="array" ref="I122">IFERROR(IF(INDEX(Matches!$Y$5:$Y$22,MATCH($C122,Matches!$A$5:$A$22,0))="","",INDEX(Matches!$Y$5:$Y$22,MATCH($C122,Matches!$A$5:$A$22,0))),"")</f>
        <v/>
      </c>
      <c r="J122" s="4">
        <f t="array" ref="J122">IFERROR(IF(INDEX(Matches!$Z$5:$Z$22,MATCH($C122,Matches!$A$5:$A$22,0))="","",INDEX(Matches!$Z$5:$Z$22,MATCH($C122,Matches!$A$5:$A$22,0))),"")</f>
        <v>21.36</v>
      </c>
      <c r="K122" s="4">
        <f t="array" ref="K122">IFERROR(IF(INDEX(Matches!$AA$5:$AA$22,MATCH($C122,Matches!$A$5:$A$22,0))="","",INDEX(Matches!$AA$5:$AA$22,MATCH($C122,Matches!$A$5:$A$22,0))),"")</f>
        <v>21.5</v>
      </c>
      <c r="L122" s="4" t="str">
        <f t="array" ref="L122">IFERROR(IF(INDEX(Matches!$AB$5:$AB$22,MATCH($C122,Matches!$A$5:$A$22,0))="","",INDEX(Matches!$AB$5:$AB$22,MATCH($C122,Matches!$A$5:$A$22,0))),"")</f>
        <v/>
      </c>
      <c r="M122" s="11">
        <f t="array" ref="M122">IFERROR(IF(INDEX(Matches!$AC$5:$AC$22,MATCH($C122,Matches!$A$5:$A$22,0))="","",INDEX(Matches!$AC$5:$AC$22,MATCH($C122,Matches!$A$5:$A$22,0))),"")</f>
        <v>0</v>
      </c>
      <c r="N122" s="4">
        <f t="array" ref="N122">IFERROR(INDEX(Players!$F$2:$F$127,MATCH($F122,Players!$A$2:$A$127,0)),0)</f>
        <v>27</v>
      </c>
      <c r="O122" s="18">
        <f t="array" ref="O122">IFERROR(1/(1/INDEX(Players!$H$2:$H$127,MATCH($F122,Players!$A$2:$A$127,0))),"")</f>
        <v>0.68</v>
      </c>
      <c r="P122" s="11">
        <f t="array" ref="P122">IFERROR(1/(1/INDEX(Players!$I$2:$I$127,MATCH($F122,Players!$A$2:$A$127,0))),"")</f>
        <v>0.505</v>
      </c>
      <c r="Q122" s="4">
        <f>IF($G122="",0,SUMIFS(Map_Stats!$F$2:$F$825,Map_Stats!$A$2:$A$825,$F122&amp;"|"&amp;$G122))</f>
        <v>5</v>
      </c>
      <c r="R122" s="18">
        <f t="array" ref="R122">IF($G122="","",IFERROR(1/(1/INDEX(Map_Stats!$K$2:$K$825,MATCH($F122&amp;"|"&amp;$G122,Map_Stats!$A$2:$A$825,0))),$O122))</f>
        <v>0.65</v>
      </c>
      <c r="S122" s="11">
        <f t="array" ref="S122">IF(OR($G122="",$P122=""),"",IFERROR(1/(1/INDEX(Map_Stats!$I$2:$I$825,MATCH($F122&amp;"|"&amp;$G122,Map_Stats!$A$2:$A$825,0))),$P122))</f>
        <v>0.453</v>
      </c>
      <c r="T122" s="18">
        <f>IF(OR($G122="",R122=""),"",IF($O122="",R122,(Q122*R122+Config!$B$4*$O122)/(Q122+Config!$B$4)))</f>
        <v>0.665</v>
      </c>
      <c r="U122" s="11">
        <f>IF(S122="","",(Q122*S122+Config!$B$4*$P122)/(Q122+Config!$B$4))</f>
        <v>0.479</v>
      </c>
      <c r="V122" s="17">
        <f>IF(OR(T122="",$J122=""),"",T122*$J122*($J122/Config!$B$10)^Config!$B$9)</f>
        <v>14.2044</v>
      </c>
      <c r="W122" s="17">
        <f t="shared" si="1"/>
        <v>6.8039076</v>
      </c>
      <c r="X122" s="4">
        <f>IF($H122="",0,SUMIFS(Map_Stats!$F$2:$F$825,Map_Stats!$A$2:$A$825,$F122&amp;"|"&amp;$H122))</f>
        <v>5</v>
      </c>
      <c r="Y122" s="18">
        <f t="array" ref="Y122">IF($H122="","",IFERROR(1/(1/INDEX(Map_Stats!$K$2:$K$825,MATCH($F122&amp;"|"&amp;$H122,Map_Stats!$A$2:$A$825,0))),$O122))</f>
        <v>0.73</v>
      </c>
      <c r="Z122" s="11">
        <f t="array" ref="Z122">IF(OR($H122="",$P122=""),"",IFERROR(1/(1/INDEX(Map_Stats!$I$2:$I$825,MATCH($F122&amp;"|"&amp;$H122,Map_Stats!$A$2:$A$825,0))),$P122))</f>
        <v>0.5</v>
      </c>
      <c r="AA122" s="18">
        <f>IF(OR($H122="",Y122=""),"",IF($O122="",Y122,(X122*Y122+Config!$B$4*$O122)/(X122+Config!$B$4)))</f>
        <v>0.705</v>
      </c>
      <c r="AB122" s="11">
        <f>IF(Z122="","",(X122*Z122+Config!$B$4*$P122)/(X122+Config!$B$4))</f>
        <v>0.5025</v>
      </c>
      <c r="AC122" s="17">
        <f>IF(OR(AA122="",$K122=""),"",AA122*$K122*($K122/Config!$B$10)^Config!$B$9)</f>
        <v>15.1575</v>
      </c>
      <c r="AD122" s="17">
        <f t="shared" si="2"/>
        <v>7.61664375</v>
      </c>
      <c r="AE122" s="4">
        <f>IF($I122="",0,SUMIFS(Map_Stats!$F$2:$F$825,Map_Stats!$A$2:$A$825,$F122&amp;"|"&amp;$I122))</f>
        <v>0</v>
      </c>
      <c r="AF122" s="18" t="str">
        <f t="array" ref="AF122">IF($I122="","",IFERROR(1/(1/INDEX(Map_Stats!$K$2:$K$825,MATCH($F122&amp;"|"&amp;$I122,Map_Stats!$A$2:$A$825,0))),$O122))</f>
        <v/>
      </c>
      <c r="AG122" s="11" t="str">
        <f t="array" ref="AG122">IF(OR($I122="",$P122=""),"",IFERROR(1/(1/INDEX(Map_Stats!$I$2:$I$825,MATCH($F122&amp;"|"&amp;$I122,Map_Stats!$A$2:$A$825,0))),$P122))</f>
        <v/>
      </c>
      <c r="AH122" s="18" t="str">
        <f>IF(OR($I122="",AF122=""),"",IF($O122="",AF122,(AE122*AF122+Config!$B$4*$O122)/(AE122+Config!$B$4)))</f>
        <v/>
      </c>
      <c r="AI122" s="11" t="str">
        <f>IF(AG122="","",(AE122*AG122+Config!$B$4*$P122)/(AE122+Config!$B$4))</f>
        <v/>
      </c>
      <c r="AJ122" s="17" t="str">
        <f>IF(OR(AH122="",$L122=""),"",AH122*$L122*($L122/Config!$B$10)^Config!$B$9)</f>
        <v/>
      </c>
      <c r="AK122" s="17" t="str">
        <f t="shared" si="3"/>
        <v/>
      </c>
      <c r="AL122" s="17">
        <f t="shared" si="4"/>
        <v>29.3619</v>
      </c>
      <c r="AM122" s="17">
        <f t="shared" si="5"/>
        <v>29.3619</v>
      </c>
      <c r="AN122" s="17">
        <f t="shared" si="6"/>
        <v>14.42055135</v>
      </c>
      <c r="AO122" s="17">
        <f t="shared" si="7"/>
        <v>14.42055135</v>
      </c>
      <c r="AP122" s="11">
        <f t="shared" si="8"/>
        <v>0.4911314101</v>
      </c>
      <c r="AQ122" s="4" t="str">
        <f>TRIM(IF($N122&lt;Config!$B$12,"thin sample ("&amp;$N122&amp;" maps) · ","")&amp;IF(AND($G122&lt;&gt;"",Q122=0),"M1 unplayed→overall KPR · ","")&amp;IF(AND($H122&lt;&gt;"",X122=0),"M2 unplayed→overall KPR · ","")&amp;IF($O122="","no PickFinder stats",""))</f>
        <v/>
      </c>
      <c r="AR122" s="4" t="str">
        <f>IF($C122=Board!$B$2,COUNTIFS($C$2:$C$157,Board!$B$2,$AL$2:$AL$157,"&gt;"&amp;$AL122)+COUNTIFS($C$1:$C121,Board!$B$2,$AL$1:$AL121,$AL122)+1,"")</f>
        <v/>
      </c>
      <c r="AS122" s="4" t="str">
        <f t="array" ref="AS122">IFERROR(IF($D122=INDEX(Matches!$AD$5:$AD$22,MATCH($C122,Matches!$A$5:$A$22,0)),"A",IF($D122=INDEX(Matches!$AE$5:$AE$22,MATCH($C122,Matches!$A$5:$A$22,0)),"B","")),"")</f>
        <v>A</v>
      </c>
      <c r="AT122" s="11">
        <f t="array" ref="AT122">IF($AS122="","",IFERROR(IF($AS122="A",INDEX(Matches!$AI$5:$AI$22,MATCH($C122,Matches!$A$5:$A$22,0)),INDEX(Matches!$AJ$5:$AJ$22,MATCH($C122,Matches!$A$5:$A$22,0))),""))</f>
        <v>0.5464339904</v>
      </c>
      <c r="AU122" s="11">
        <f t="array" ref="AU122">IF($AS122="","",IFERROR(IF(INDEX(Matches!$AP$5:$AP$22,MATCH($C122,Matches!$A$5:$A$22,0))="","",IF($AS122="A",INDEX(Matches!$AP$5:$AP$22,MATCH($C122,Matches!$A$5:$A$22,0)),1-INDEX(Matches!$AP$5:$AP$22,MATCH($C122,Matches!$A$5:$A$22,0)))),""))</f>
        <v>0.5351389754</v>
      </c>
      <c r="AV122" s="18">
        <f>IF(OR($AU122="",$AT122=""),1,((Config!$B$14*$AU122+Config!$B$15*(1-$AU122))/(Config!$B$14*$AT122+Config!$B$15*(1-$AT122)))^Config!$B$13)</f>
        <v>0.9903087145</v>
      </c>
      <c r="AW122" s="11">
        <f t="array" ref="AW122">IF($AS122="","",IFERROR(IF(INDEX(Matches!$AV$5:$AV$22,MATCH($C122,Matches!$A$5:$A$22,0))="","",IF($AS122="A",INDEX(Matches!$AV$5:$AV$22,MATCH($C122,Matches!$A$5:$A$22,0)),1-INDEX(Matches!$AV$5:$AV$22,MATCH($C122,Matches!$A$5:$A$22,0)))),""))</f>
        <v>0.5254952741</v>
      </c>
      <c r="AX122" s="18">
        <f>IF(OR($AW122="",$AT122=""),1,((Config!$B$14*$AW122+Config!$B$15*(1-$AW122))/(Config!$B$14*$AT122+Config!$B$15*(1-$AT122)))^Config!$B$13)</f>
        <v>0.9820342799</v>
      </c>
      <c r="AY122" s="11" t="str">
        <f t="array" ref="AY122">IF($AS122="","",IFERROR(IF(INDEX(Matches!$BB$5:$BB$22,MATCH($C122,Matches!$A$5:$A$22,0))="","",IF($AS122="A",INDEX(Matches!$BB$5:$BB$22,MATCH($C122,Matches!$A$5:$A$22,0)),1-INDEX(Matches!$BB$5:$BB$22,MATCH($C122,Matches!$A$5:$A$22,0)))),""))</f>
        <v/>
      </c>
      <c r="AZ122" s="18">
        <f>IF(OR($AY122="",$AT122=""),1,((Config!$B$14*$AY122+Config!$B$15*(1-$AY122))/(Config!$B$14*$AT122+Config!$B$15*(1-$AT122)))^Config!$B$13)</f>
        <v>1</v>
      </c>
      <c r="BA122" s="17">
        <f t="shared" si="9"/>
        <v>14.0667411</v>
      </c>
      <c r="BB122" s="17">
        <f t="shared" si="10"/>
        <v>14.8851846</v>
      </c>
      <c r="BC122" s="17" t="str">
        <f t="shared" si="11"/>
        <v/>
      </c>
      <c r="BD122" s="17">
        <f t="shared" si="12"/>
        <v>28.9519257</v>
      </c>
      <c r="BE122" s="17">
        <f t="shared" si="13"/>
        <v>28.9519257</v>
      </c>
      <c r="BF122" s="17">
        <f t="shared" si="14"/>
        <v>6.737968989</v>
      </c>
      <c r="BG122" s="17">
        <f t="shared" si="15"/>
        <v>7.479805261</v>
      </c>
      <c r="BH122" s="17" t="str">
        <f t="shared" si="16"/>
        <v/>
      </c>
      <c r="BI122" s="17">
        <f t="shared" si="17"/>
        <v>14.21777425</v>
      </c>
      <c r="BJ122" s="17">
        <f t="shared" si="18"/>
        <v>14.21777425</v>
      </c>
      <c r="BK122" s="18">
        <f t="shared" si="19"/>
        <v>0.9860372014</v>
      </c>
    </row>
    <row r="123" ht="15.75" customHeight="1">
      <c r="A123" s="4" t="s">
        <v>3254</v>
      </c>
      <c r="B123" s="4" t="s">
        <v>86</v>
      </c>
      <c r="C123" s="4" t="s">
        <v>838</v>
      </c>
      <c r="D123" s="4" t="s">
        <v>858</v>
      </c>
      <c r="E123" s="4" t="s">
        <v>1519</v>
      </c>
      <c r="F123" s="4" t="s">
        <v>1518</v>
      </c>
      <c r="G123" s="4" t="str">
        <f t="array" ref="G123">IFERROR(IF(INDEX(Matches!$W$5:$W$22,MATCH($C123,Matches!$A$5:$A$22,0))="","",INDEX(Matches!$W$5:$W$22,MATCH($C123,Matches!$A$5:$A$22,0))),"")</f>
        <v>Ancient</v>
      </c>
      <c r="H123" s="4" t="str">
        <f t="array" ref="H123">IFERROR(IF(INDEX(Matches!$X$5:$X$22,MATCH($C123,Matches!$A$5:$A$22,0))="","",INDEX(Matches!$X$5:$X$22,MATCH($C123,Matches!$A$5:$A$22,0))),"")</f>
        <v>Nuke</v>
      </c>
      <c r="I123" s="4" t="str">
        <f t="array" ref="I123">IFERROR(IF(INDEX(Matches!$Y$5:$Y$22,MATCH($C123,Matches!$A$5:$A$22,0))="","",INDEX(Matches!$Y$5:$Y$22,MATCH($C123,Matches!$A$5:$A$22,0))),"")</f>
        <v/>
      </c>
      <c r="J123" s="4">
        <f t="array" ref="J123">IFERROR(IF(INDEX(Matches!$Z$5:$Z$22,MATCH($C123,Matches!$A$5:$A$22,0))="","",INDEX(Matches!$Z$5:$Z$22,MATCH($C123,Matches!$A$5:$A$22,0))),"")</f>
        <v>21.5</v>
      </c>
      <c r="K123" s="4">
        <f t="array" ref="K123">IFERROR(IF(INDEX(Matches!$AA$5:$AA$22,MATCH($C123,Matches!$A$5:$A$22,0))="","",INDEX(Matches!$AA$5:$AA$22,MATCH($C123,Matches!$A$5:$A$22,0))),"")</f>
        <v>21.5</v>
      </c>
      <c r="L123" s="4" t="str">
        <f t="array" ref="L123">IFERROR(IF(INDEX(Matches!$AB$5:$AB$22,MATCH($C123,Matches!$A$5:$A$22,0))="","",INDEX(Matches!$AB$5:$AB$22,MATCH($C123,Matches!$A$5:$A$22,0))),"")</f>
        <v/>
      </c>
      <c r="M123" s="11">
        <f t="array" ref="M123">IFERROR(IF(INDEX(Matches!$AC$5:$AC$22,MATCH($C123,Matches!$A$5:$A$22,0))="","",INDEX(Matches!$AC$5:$AC$22,MATCH($C123,Matches!$A$5:$A$22,0))),"")</f>
        <v>0</v>
      </c>
      <c r="N123" s="4">
        <f t="array" ref="N123">IFERROR(INDEX(Players!$F$2:$F$127,MATCH($F123,Players!$A$2:$A$127,0)),0)</f>
        <v>35</v>
      </c>
      <c r="O123" s="18">
        <f t="array" ref="O123">IFERROR(1/(1/INDEX(Players!$H$2:$H$127,MATCH($F123,Players!$A$2:$A$127,0))),"")</f>
        <v>0.66</v>
      </c>
      <c r="P123" s="11">
        <f t="array" ref="P123">IFERROR(1/(1/INDEX(Players!$I$2:$I$127,MATCH($F123,Players!$A$2:$A$127,0))),"")</f>
        <v>0.53</v>
      </c>
      <c r="Q123" s="4">
        <f>IF($G123="",0,SUMIFS(Map_Stats!$F$2:$F$825,Map_Stats!$A$2:$A$825,$F123&amp;"|"&amp;$G123))</f>
        <v>11</v>
      </c>
      <c r="R123" s="18">
        <f t="array" ref="R123">IF($G123="","",IFERROR(1/(1/INDEX(Map_Stats!$K$2:$K$825,MATCH($F123&amp;"|"&amp;$G123,Map_Stats!$A$2:$A$825,0))),$O123))</f>
        <v>0.67</v>
      </c>
      <c r="S123" s="11">
        <f t="array" ref="S123">IF(OR($G123="",$P123=""),"",IFERROR(1/(1/INDEX(Map_Stats!$I$2:$I$825,MATCH($F123&amp;"|"&amp;$G123,Map_Stats!$A$2:$A$825,0))),$P123))</f>
        <v>0.474</v>
      </c>
      <c r="T123" s="18">
        <f>IF(OR($G123="",R123=""),"",IF($O123="",R123,(Q123*R123+Config!$B$4*$O123)/(Q123+Config!$B$4)))</f>
        <v>0.666875</v>
      </c>
      <c r="U123" s="11">
        <f>IF(S123="","",(Q123*S123+Config!$B$4*$P123)/(Q123+Config!$B$4))</f>
        <v>0.4915</v>
      </c>
      <c r="V123" s="17">
        <f>IF(OR(T123="",$J123=""),"",T123*$J123*($J123/Config!$B$10)^Config!$B$9)</f>
        <v>14.3378125</v>
      </c>
      <c r="W123" s="17">
        <f t="shared" si="1"/>
        <v>7.047034844</v>
      </c>
      <c r="X123" s="4">
        <f>IF($H123="",0,SUMIFS(Map_Stats!$F$2:$F$825,Map_Stats!$A$2:$A$825,$F123&amp;"|"&amp;$H123))</f>
        <v>5</v>
      </c>
      <c r="Y123" s="18">
        <f t="array" ref="Y123">IF($H123="","",IFERROR(1/(1/INDEX(Map_Stats!$K$2:$K$825,MATCH($F123&amp;"|"&amp;$H123,Map_Stats!$A$2:$A$825,0))),$O123))</f>
        <v>0.57</v>
      </c>
      <c r="Z123" s="11">
        <f t="array" ref="Z123">IF(OR($H123="",$P123=""),"",IFERROR(1/(1/INDEX(Map_Stats!$I$2:$I$825,MATCH($F123&amp;"|"&amp;$H123,Map_Stats!$A$2:$A$825,0))),$P123))</f>
        <v>0.542</v>
      </c>
      <c r="AA123" s="18">
        <f>IF(OR($H123="",Y123=""),"",IF($O123="",Y123,(X123*Y123+Config!$B$4*$O123)/(X123+Config!$B$4)))</f>
        <v>0.615</v>
      </c>
      <c r="AB123" s="11">
        <f>IF(Z123="","",(X123*Z123+Config!$B$4*$P123)/(X123+Config!$B$4))</f>
        <v>0.536</v>
      </c>
      <c r="AC123" s="17">
        <f>IF(OR(AA123="",$K123=""),"",AA123*$K123*($K123/Config!$B$10)^Config!$B$9)</f>
        <v>13.2225</v>
      </c>
      <c r="AD123" s="17">
        <f t="shared" si="2"/>
        <v>7.08726</v>
      </c>
      <c r="AE123" s="4">
        <f>IF($I123="",0,SUMIFS(Map_Stats!$F$2:$F$825,Map_Stats!$A$2:$A$825,$F123&amp;"|"&amp;$I123))</f>
        <v>0</v>
      </c>
      <c r="AF123" s="18" t="str">
        <f t="array" ref="AF123">IF($I123="","",IFERROR(1/(1/INDEX(Map_Stats!$K$2:$K$825,MATCH($F123&amp;"|"&amp;$I123,Map_Stats!$A$2:$A$825,0))),$O123))</f>
        <v/>
      </c>
      <c r="AG123" s="11" t="str">
        <f t="array" ref="AG123">IF(OR($I123="",$P123=""),"",IFERROR(1/(1/INDEX(Map_Stats!$I$2:$I$825,MATCH($F123&amp;"|"&amp;$I123,Map_Stats!$A$2:$A$825,0))),$P123))</f>
        <v/>
      </c>
      <c r="AH123" s="18" t="str">
        <f>IF(OR($I123="",AF123=""),"",IF($O123="",AF123,(AE123*AF123+Config!$B$4*$O123)/(AE123+Config!$B$4)))</f>
        <v/>
      </c>
      <c r="AI123" s="11" t="str">
        <f>IF(AG123="","",(AE123*AG123+Config!$B$4*$P123)/(AE123+Config!$B$4))</f>
        <v/>
      </c>
      <c r="AJ123" s="17" t="str">
        <f>IF(OR(AH123="",$L123=""),"",AH123*$L123*($L123/Config!$B$10)^Config!$B$9)</f>
        <v/>
      </c>
      <c r="AK123" s="17" t="str">
        <f t="shared" si="3"/>
        <v/>
      </c>
      <c r="AL123" s="17">
        <f t="shared" si="4"/>
        <v>27.5603125</v>
      </c>
      <c r="AM123" s="17">
        <f t="shared" si="5"/>
        <v>27.5603125</v>
      </c>
      <c r="AN123" s="17">
        <f t="shared" si="6"/>
        <v>14.13429484</v>
      </c>
      <c r="AO123" s="17">
        <f t="shared" si="7"/>
        <v>14.13429484</v>
      </c>
      <c r="AP123" s="11">
        <f t="shared" si="8"/>
        <v>0.5128495856</v>
      </c>
      <c r="AQ123" s="4" t="str">
        <f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4" t="str">
        <f>IF($C123=Board!$B$2,COUNTIFS($C$2:$C$157,Board!$B$2,$AL$2:$AL$157,"&gt;"&amp;$AL123)+COUNTIFS($C$1:$C122,Board!$B$2,$AL$1:$AL122,$AL123)+1,"")</f>
        <v/>
      </c>
      <c r="AS123" s="4" t="str">
        <f t="array" ref="AS123">IFERROR(IF($D123=INDEX(Matches!$AD$5:$AD$22,MATCH($C123,Matches!$A$5:$A$22,0)),"A",IF($D123=INDEX(Matches!$AE$5:$AE$22,MATCH($C123,Matches!$A$5:$A$22,0)),"B","")),"")</f>
        <v>B</v>
      </c>
      <c r="AT123" s="11">
        <f t="array" ref="AT123">IF($AS123="","",IFERROR(IF($AS123="A",INDEX(Matches!$AI$5:$AI$22,MATCH($C123,Matches!$A$5:$A$22,0)),INDEX(Matches!$AJ$5:$AJ$22,MATCH($C123,Matches!$A$5:$A$22,0))),""))</f>
        <v>0.4862840163</v>
      </c>
      <c r="AU123" s="11">
        <f t="array" ref="AU123">IF($AS123="","",IFERROR(IF(INDEX(Matches!$AP$5:$AP$22,MATCH($C123,Matches!$A$5:$A$22,0))="","",IF($AS123="A",INDEX(Matches!$AP$5:$AP$22,MATCH($C123,Matches!$A$5:$A$22,0)),1-INDEX(Matches!$AP$5:$AP$22,MATCH($C123,Matches!$A$5:$A$22,0)))),""))</f>
        <v>0.5017536113</v>
      </c>
      <c r="AV123" s="18">
        <f>IF(OR($AU123="",$AT123=""),1,((Config!$B$14*$AU123+Config!$B$15*(1-$AU123))/(Config!$B$14*$AT123+Config!$B$15*(1-$AT123)))^Config!$B$13)</f>
        <v>1.013995433</v>
      </c>
      <c r="AW123" s="11">
        <f t="array" ref="AW123">IF($AS123="","",IFERROR(IF(INDEX(Matches!$AV$5:$AV$22,MATCH($C123,Matches!$A$5:$A$22,0))="","",IF($AS123="A",INDEX(Matches!$AV$5:$AV$22,MATCH($C123,Matches!$A$5:$A$22,0)),1-INDEX(Matches!$AV$5:$AV$22,MATCH($C123,Matches!$A$5:$A$22,0)))),""))</f>
        <v>0.4895908656</v>
      </c>
      <c r="AX123" s="18">
        <f>IF(OR($AW123="",$AT123=""),1,((Config!$B$14*$AW123+Config!$B$15*(1-$AW123))/(Config!$B$14*$AT123+Config!$B$15*(1-$AT123)))^Config!$B$13)</f>
        <v>1.002991726</v>
      </c>
      <c r="AY123" s="11" t="str">
        <f t="array" ref="AY123">IF($AS123="","",IFERROR(IF(INDEX(Matches!$BB$5:$BB$22,MATCH($C123,Matches!$A$5:$A$22,0))="","",IF($AS123="A",INDEX(Matches!$BB$5:$BB$22,MATCH($C123,Matches!$A$5:$A$22,0)),1-INDEX(Matches!$BB$5:$BB$22,MATCH($C123,Matches!$A$5:$A$22,0)))),""))</f>
        <v/>
      </c>
      <c r="AZ123" s="18">
        <f>IF(OR($AY123="",$AT123=""),1,((Config!$B$14*$AY123+Config!$B$15*(1-$AY123))/(Config!$B$14*$AT123+Config!$B$15*(1-$AT123)))^Config!$B$13)</f>
        <v>1</v>
      </c>
      <c r="BA123" s="17">
        <f t="shared" si="9"/>
        <v>14.5384764</v>
      </c>
      <c r="BB123" s="17">
        <f t="shared" si="10"/>
        <v>13.2620581</v>
      </c>
      <c r="BC123" s="17" t="str">
        <f t="shared" si="11"/>
        <v/>
      </c>
      <c r="BD123" s="17">
        <f t="shared" si="12"/>
        <v>27.80053449</v>
      </c>
      <c r="BE123" s="17">
        <f t="shared" si="13"/>
        <v>27.80053449</v>
      </c>
      <c r="BF123" s="17">
        <f t="shared" si="14"/>
        <v>7.145661149</v>
      </c>
      <c r="BG123" s="17">
        <f t="shared" si="15"/>
        <v>7.10846314</v>
      </c>
      <c r="BH123" s="17" t="str">
        <f t="shared" si="16"/>
        <v/>
      </c>
      <c r="BI123" s="17">
        <f t="shared" si="17"/>
        <v>14.25412429</v>
      </c>
      <c r="BJ123" s="17">
        <f t="shared" si="18"/>
        <v>14.25412429</v>
      </c>
      <c r="BK123" s="18">
        <f t="shared" si="19"/>
        <v>1.008716229</v>
      </c>
    </row>
    <row r="124" ht="15.75" customHeight="1">
      <c r="A124" s="4" t="s">
        <v>3255</v>
      </c>
      <c r="B124" s="4" t="s">
        <v>86</v>
      </c>
      <c r="C124" s="4" t="s">
        <v>838</v>
      </c>
      <c r="D124" s="4" t="s">
        <v>858</v>
      </c>
      <c r="E124" s="4" t="s">
        <v>1523</v>
      </c>
      <c r="F124" s="4" t="s">
        <v>1522</v>
      </c>
      <c r="G124" s="4" t="str">
        <f t="array" ref="G124">IFERROR(IF(INDEX(Matches!$W$5:$W$22,MATCH($C124,Matches!$A$5:$A$22,0))="","",INDEX(Matches!$W$5:$W$22,MATCH($C124,Matches!$A$5:$A$22,0))),"")</f>
        <v>Ancient</v>
      </c>
      <c r="H124" s="4" t="str">
        <f t="array" ref="H124">IFERROR(IF(INDEX(Matches!$X$5:$X$22,MATCH($C124,Matches!$A$5:$A$22,0))="","",INDEX(Matches!$X$5:$X$22,MATCH($C124,Matches!$A$5:$A$22,0))),"")</f>
        <v>Nuke</v>
      </c>
      <c r="I124" s="4" t="str">
        <f t="array" ref="I124">IFERROR(IF(INDEX(Matches!$Y$5:$Y$22,MATCH($C124,Matches!$A$5:$A$22,0))="","",INDEX(Matches!$Y$5:$Y$22,MATCH($C124,Matches!$A$5:$A$22,0))),"")</f>
        <v/>
      </c>
      <c r="J124" s="4">
        <f t="array" ref="J124">IFERROR(IF(INDEX(Matches!$Z$5:$Z$22,MATCH($C124,Matches!$A$5:$A$22,0))="","",INDEX(Matches!$Z$5:$Z$22,MATCH($C124,Matches!$A$5:$A$22,0))),"")</f>
        <v>21.5</v>
      </c>
      <c r="K124" s="4">
        <f t="array" ref="K124">IFERROR(IF(INDEX(Matches!$AA$5:$AA$22,MATCH($C124,Matches!$A$5:$A$22,0))="","",INDEX(Matches!$AA$5:$AA$22,MATCH($C124,Matches!$A$5:$A$22,0))),"")</f>
        <v>21.5</v>
      </c>
      <c r="L124" s="4" t="str">
        <f t="array" ref="L124">IFERROR(IF(INDEX(Matches!$AB$5:$AB$22,MATCH($C124,Matches!$A$5:$A$22,0))="","",INDEX(Matches!$AB$5:$AB$22,MATCH($C124,Matches!$A$5:$A$22,0))),"")</f>
        <v/>
      </c>
      <c r="M124" s="11">
        <f t="array" ref="M124">IFERROR(IF(INDEX(Matches!$AC$5:$AC$22,MATCH($C124,Matches!$A$5:$A$22,0))="","",INDEX(Matches!$AC$5:$AC$22,MATCH($C124,Matches!$A$5:$A$22,0))),"")</f>
        <v>0</v>
      </c>
      <c r="N124" s="4">
        <f t="array" ref="N124">IFERROR(INDEX(Players!$F$2:$F$127,MATCH($F124,Players!$A$2:$A$127,0)),0)</f>
        <v>37</v>
      </c>
      <c r="O124" s="18">
        <f t="array" ref="O124">IFERROR(1/(1/INDEX(Players!$H$2:$H$127,MATCH($F124,Players!$A$2:$A$127,0))),"")</f>
        <v>0.67</v>
      </c>
      <c r="P124" s="11">
        <f t="array" ref="P124">IFERROR(1/(1/INDEX(Players!$I$2:$I$127,MATCH($F124,Players!$A$2:$A$127,0))),"")</f>
        <v>0.478</v>
      </c>
      <c r="Q124" s="4">
        <f>IF($G124="",0,SUMIFS(Map_Stats!$F$2:$F$825,Map_Stats!$A$2:$A$825,$F124&amp;"|"&amp;$G124))</f>
        <v>8</v>
      </c>
      <c r="R124" s="18">
        <f t="array" ref="R124">IF($G124="","",IFERROR(1/(1/INDEX(Map_Stats!$K$2:$K$825,MATCH($F124&amp;"|"&amp;$G124,Map_Stats!$A$2:$A$825,0))),$O124))</f>
        <v>0.67</v>
      </c>
      <c r="S124" s="11">
        <f t="array" ref="S124">IF(OR($G124="",$P124=""),"",IFERROR(1/(1/INDEX(Map_Stats!$I$2:$I$825,MATCH($F124&amp;"|"&amp;$G124,Map_Stats!$A$2:$A$825,0))),$P124))</f>
        <v>0.427</v>
      </c>
      <c r="T124" s="18">
        <f>IF(OR($G124="",R124=""),"",IF($O124="",R124,(Q124*R124+Config!$B$4*$O124)/(Q124+Config!$B$4)))</f>
        <v>0.67</v>
      </c>
      <c r="U124" s="11">
        <f>IF(S124="","",(Q124*S124+Config!$B$4*$P124)/(Q124+Config!$B$4))</f>
        <v>0.4466153846</v>
      </c>
      <c r="V124" s="17">
        <f>IF(OR(T124="",$J124=""),"",T124*$J124*($J124/Config!$B$10)^Config!$B$9)</f>
        <v>14.405</v>
      </c>
      <c r="W124" s="17">
        <f t="shared" si="1"/>
        <v>6.433494615</v>
      </c>
      <c r="X124" s="4">
        <f>IF($H124="",0,SUMIFS(Map_Stats!$F$2:$F$825,Map_Stats!$A$2:$A$825,$F124&amp;"|"&amp;$H124))</f>
        <v>5</v>
      </c>
      <c r="Y124" s="18">
        <f t="array" ref="Y124">IF($H124="","",IFERROR(1/(1/INDEX(Map_Stats!$K$2:$K$825,MATCH($F124&amp;"|"&amp;$H124,Map_Stats!$A$2:$A$825,0))),$O124))</f>
        <v>0.62</v>
      </c>
      <c r="Z124" s="11">
        <f t="array" ref="Z124">IF(OR($H124="",$P124=""),"",IFERROR(1/(1/INDEX(Map_Stats!$I$2:$I$825,MATCH($F124&amp;"|"&amp;$H124,Map_Stats!$A$2:$A$825,0))),$P124))</f>
        <v>0.53</v>
      </c>
      <c r="AA124" s="18">
        <f>IF(OR($H124="",Y124=""),"",IF($O124="",Y124,(X124*Y124+Config!$B$4*$O124)/(X124+Config!$B$4)))</f>
        <v>0.645</v>
      </c>
      <c r="AB124" s="11">
        <f>IF(Z124="","",(X124*Z124+Config!$B$4*$P124)/(X124+Config!$B$4))</f>
        <v>0.504</v>
      </c>
      <c r="AC124" s="17">
        <f>IF(OR(AA124="",$K124=""),"",AA124*$K124*($K124/Config!$B$10)^Config!$B$9)</f>
        <v>13.8675</v>
      </c>
      <c r="AD124" s="17">
        <f t="shared" si="2"/>
        <v>6.98922</v>
      </c>
      <c r="AE124" s="4">
        <f>IF($I124="",0,SUMIFS(Map_Stats!$F$2:$F$825,Map_Stats!$A$2:$A$825,$F124&amp;"|"&amp;$I124))</f>
        <v>0</v>
      </c>
      <c r="AF124" s="18" t="str">
        <f t="array" ref="AF124">IF($I124="","",IFERROR(1/(1/INDEX(Map_Stats!$K$2:$K$825,MATCH($F124&amp;"|"&amp;$I124,Map_Stats!$A$2:$A$825,0))),$O124))</f>
        <v/>
      </c>
      <c r="AG124" s="11" t="str">
        <f t="array" ref="AG124">IF(OR($I124="",$P124=""),"",IFERROR(1/(1/INDEX(Map_Stats!$I$2:$I$825,MATCH($F124&amp;"|"&amp;$I124,Map_Stats!$A$2:$A$825,0))),$P124))</f>
        <v/>
      </c>
      <c r="AH124" s="18" t="str">
        <f>IF(OR($I124="",AF124=""),"",IF($O124="",AF124,(AE124*AF124+Config!$B$4*$O124)/(AE124+Config!$B$4)))</f>
        <v/>
      </c>
      <c r="AI124" s="11" t="str">
        <f>IF(AG124="","",(AE124*AG124+Config!$B$4*$P124)/(AE124+Config!$B$4))</f>
        <v/>
      </c>
      <c r="AJ124" s="17" t="str">
        <f>IF(OR(AH124="",$L124=""),"",AH124*$L124*($L124/Config!$B$10)^Config!$B$9)</f>
        <v/>
      </c>
      <c r="AK124" s="17" t="str">
        <f t="shared" si="3"/>
        <v/>
      </c>
      <c r="AL124" s="17">
        <f t="shared" si="4"/>
        <v>28.2725</v>
      </c>
      <c r="AM124" s="17">
        <f t="shared" si="5"/>
        <v>28.2725</v>
      </c>
      <c r="AN124" s="17">
        <f t="shared" si="6"/>
        <v>13.42271462</v>
      </c>
      <c r="AO124" s="17">
        <f t="shared" si="7"/>
        <v>13.42271462</v>
      </c>
      <c r="AP124" s="11">
        <f t="shared" si="8"/>
        <v>0.4747622112</v>
      </c>
      <c r="AQ124" s="4" t="str">
        <f>TRIM(IF($N124&lt;Config!$B$12,"thin sample ("&amp;$N124&amp;" maps) · ","")&amp;IF(AND($G124&lt;&gt;"",Q124=0),"M1 unplayed→overall KPR · ","")&amp;IF(AND($H124&lt;&gt;"",X124=0),"M2 unplayed→overall KPR · ","")&amp;IF($O124="","no PickFinder stats",""))</f>
        <v/>
      </c>
      <c r="AR124" s="4" t="str">
        <f>IF($C124=Board!$B$2,COUNTIFS($C$2:$C$157,Board!$B$2,$AL$2:$AL$157,"&gt;"&amp;$AL124)+COUNTIFS($C$1:$C123,Board!$B$2,$AL$1:$AL123,$AL124)+1,"")</f>
        <v/>
      </c>
      <c r="AS124" s="4" t="str">
        <f t="array" ref="AS124">IFERROR(IF($D124=INDEX(Matches!$AD$5:$AD$22,MATCH($C124,Matches!$A$5:$A$22,0)),"A",IF($D124=INDEX(Matches!$AE$5:$AE$22,MATCH($C124,Matches!$A$5:$A$22,0)),"B","")),"")</f>
        <v>B</v>
      </c>
      <c r="AT124" s="11">
        <f t="array" ref="AT124">IF($AS124="","",IFERROR(IF($AS124="A",INDEX(Matches!$AI$5:$AI$22,MATCH($C124,Matches!$A$5:$A$22,0)),INDEX(Matches!$AJ$5:$AJ$22,MATCH($C124,Matches!$A$5:$A$22,0))),""))</f>
        <v>0.4862840163</v>
      </c>
      <c r="AU124" s="11">
        <f t="array" ref="AU124">IF($AS124="","",IFERROR(IF(INDEX(Matches!$AP$5:$AP$22,MATCH($C124,Matches!$A$5:$A$22,0))="","",IF($AS124="A",INDEX(Matches!$AP$5:$AP$22,MATCH($C124,Matches!$A$5:$A$22,0)),1-INDEX(Matches!$AP$5:$AP$22,MATCH($C124,Matches!$A$5:$A$22,0)))),""))</f>
        <v>0.5017536113</v>
      </c>
      <c r="AV124" s="18">
        <f>IF(OR($AU124="",$AT124=""),1,((Config!$B$14*$AU124+Config!$B$15*(1-$AU124))/(Config!$B$14*$AT124+Config!$B$15*(1-$AT124)))^Config!$B$13)</f>
        <v>1.013995433</v>
      </c>
      <c r="AW124" s="11">
        <f t="array" ref="AW124">IF($AS124="","",IFERROR(IF(INDEX(Matches!$AV$5:$AV$22,MATCH($C124,Matches!$A$5:$A$22,0))="","",IF($AS124="A",INDEX(Matches!$AV$5:$AV$22,MATCH($C124,Matches!$A$5:$A$22,0)),1-INDEX(Matches!$AV$5:$AV$22,MATCH($C124,Matches!$A$5:$A$22,0)))),""))</f>
        <v>0.4895908656</v>
      </c>
      <c r="AX124" s="18">
        <f>IF(OR($AW124="",$AT124=""),1,((Config!$B$14*$AW124+Config!$B$15*(1-$AW124))/(Config!$B$14*$AT124+Config!$B$15*(1-$AT124)))^Config!$B$13)</f>
        <v>1.002991726</v>
      </c>
      <c r="AY124" s="11" t="str">
        <f t="array" ref="AY124">IF($AS124="","",IFERROR(IF(INDEX(Matches!$BB$5:$BB$22,MATCH($C124,Matches!$A$5:$A$22,0))="","",IF($AS124="A",INDEX(Matches!$BB$5:$BB$22,MATCH($C124,Matches!$A$5:$A$22,0)),1-INDEX(Matches!$BB$5:$BB$22,MATCH($C124,Matches!$A$5:$A$22,0)))),""))</f>
        <v/>
      </c>
      <c r="AZ124" s="18">
        <f>IF(OR($AY124="",$AT124=""),1,((Config!$B$14*$AY124+Config!$B$15*(1-$AY124))/(Config!$B$14*$AT124+Config!$B$15*(1-$AT124)))^Config!$B$13)</f>
        <v>1</v>
      </c>
      <c r="BA124" s="17">
        <f t="shared" si="9"/>
        <v>14.60660421</v>
      </c>
      <c r="BB124" s="17">
        <f t="shared" si="10"/>
        <v>13.90898776</v>
      </c>
      <c r="BC124" s="17" t="str">
        <f t="shared" si="11"/>
        <v/>
      </c>
      <c r="BD124" s="17">
        <f t="shared" si="12"/>
        <v>28.51559197</v>
      </c>
      <c r="BE124" s="17">
        <f t="shared" si="13"/>
        <v>28.51559197</v>
      </c>
      <c r="BF124" s="17">
        <f t="shared" si="14"/>
        <v>6.523534159</v>
      </c>
      <c r="BG124" s="17">
        <f t="shared" si="15"/>
        <v>7.010129831</v>
      </c>
      <c r="BH124" s="17" t="str">
        <f t="shared" si="16"/>
        <v/>
      </c>
      <c r="BI124" s="17">
        <f t="shared" si="17"/>
        <v>13.53366399</v>
      </c>
      <c r="BJ124" s="17">
        <f t="shared" si="18"/>
        <v>13.53366399</v>
      </c>
      <c r="BK124" s="18">
        <f t="shared" si="19"/>
        <v>1.008598178</v>
      </c>
    </row>
    <row r="125" ht="15.75" customHeight="1">
      <c r="A125" s="4" t="s">
        <v>3256</v>
      </c>
      <c r="B125" s="4" t="s">
        <v>86</v>
      </c>
      <c r="C125" s="4" t="s">
        <v>838</v>
      </c>
      <c r="D125" s="4" t="s">
        <v>858</v>
      </c>
      <c r="E125" s="4" t="s">
        <v>1526</v>
      </c>
      <c r="F125" s="4" t="s">
        <v>1525</v>
      </c>
      <c r="G125" s="4" t="str">
        <f t="array" ref="G125">IFERROR(IF(INDEX(Matches!$W$5:$W$22,MATCH($C125,Matches!$A$5:$A$22,0))="","",INDEX(Matches!$W$5:$W$22,MATCH($C125,Matches!$A$5:$A$22,0))),"")</f>
        <v>Ancient</v>
      </c>
      <c r="H125" s="4" t="str">
        <f t="array" ref="H125">IFERROR(IF(INDEX(Matches!$X$5:$X$22,MATCH($C125,Matches!$A$5:$A$22,0))="","",INDEX(Matches!$X$5:$X$22,MATCH($C125,Matches!$A$5:$A$22,0))),"")</f>
        <v>Nuke</v>
      </c>
      <c r="I125" s="4" t="str">
        <f t="array" ref="I125">IFERROR(IF(INDEX(Matches!$Y$5:$Y$22,MATCH($C125,Matches!$A$5:$A$22,0))="","",INDEX(Matches!$Y$5:$Y$22,MATCH($C125,Matches!$A$5:$A$22,0))),"")</f>
        <v/>
      </c>
      <c r="J125" s="4">
        <f t="array" ref="J125">IFERROR(IF(INDEX(Matches!$Z$5:$Z$22,MATCH($C125,Matches!$A$5:$A$22,0))="","",INDEX(Matches!$Z$5:$Z$22,MATCH($C125,Matches!$A$5:$A$22,0))),"")</f>
        <v>21.5</v>
      </c>
      <c r="K125" s="4">
        <f t="array" ref="K125">IFERROR(IF(INDEX(Matches!$AA$5:$AA$22,MATCH($C125,Matches!$A$5:$A$22,0))="","",INDEX(Matches!$AA$5:$AA$22,MATCH($C125,Matches!$A$5:$A$22,0))),"")</f>
        <v>21.5</v>
      </c>
      <c r="L125" s="4" t="str">
        <f t="array" ref="L125">IFERROR(IF(INDEX(Matches!$AB$5:$AB$22,MATCH($C125,Matches!$A$5:$A$22,0))="","",INDEX(Matches!$AB$5:$AB$22,MATCH($C125,Matches!$A$5:$A$22,0))),"")</f>
        <v/>
      </c>
      <c r="M125" s="11">
        <f t="array" ref="M125">IFERROR(IF(INDEX(Matches!$AC$5:$AC$22,MATCH($C125,Matches!$A$5:$A$22,0))="","",INDEX(Matches!$AC$5:$AC$22,MATCH($C125,Matches!$A$5:$A$22,0))),"")</f>
        <v>0</v>
      </c>
      <c r="N125" s="4">
        <f t="array" ref="N125">IFERROR(INDEX(Players!$F$2:$F$127,MATCH($F125,Players!$A$2:$A$127,0)),0)</f>
        <v>37</v>
      </c>
      <c r="O125" s="18">
        <f t="array" ref="O125">IFERROR(1/(1/INDEX(Players!$H$2:$H$127,MATCH($F125,Players!$A$2:$A$127,0))),"")</f>
        <v>0.64</v>
      </c>
      <c r="P125" s="11">
        <f t="array" ref="P125">IFERROR(1/(1/INDEX(Players!$I$2:$I$127,MATCH($F125,Players!$A$2:$A$127,0))),"")</f>
        <v>0.625</v>
      </c>
      <c r="Q125" s="4">
        <f>IF($G125="",0,SUMIFS(Map_Stats!$F$2:$F$825,Map_Stats!$A$2:$A$825,$F125&amp;"|"&amp;$G125))</f>
        <v>8</v>
      </c>
      <c r="R125" s="18">
        <f t="array" ref="R125">IF($G125="","",IFERROR(1/(1/INDEX(Map_Stats!$K$2:$K$825,MATCH($F125&amp;"|"&amp;$G125,Map_Stats!$A$2:$A$825,0))),$O125))</f>
        <v>0.65</v>
      </c>
      <c r="S125" s="11">
        <f t="array" ref="S125">IF(OR($G125="",$P125=""),"",IFERROR(1/(1/INDEX(Map_Stats!$I$2:$I$825,MATCH($F125&amp;"|"&amp;$G125,Map_Stats!$A$2:$A$825,0))),$P125))</f>
        <v>0.651</v>
      </c>
      <c r="T125" s="18">
        <f>IF(OR($G125="",R125=""),"",IF($O125="",R125,(Q125*R125+Config!$B$4*$O125)/(Q125+Config!$B$4)))</f>
        <v>0.6461538462</v>
      </c>
      <c r="U125" s="11">
        <f>IF(S125="","",(Q125*S125+Config!$B$4*$P125)/(Q125+Config!$B$4))</f>
        <v>0.641</v>
      </c>
      <c r="V125" s="17">
        <f>IF(OR(T125="",$J125=""),"",T125*$J125*($J125/Config!$B$10)^Config!$B$9)</f>
        <v>13.89230769</v>
      </c>
      <c r="W125" s="17">
        <f t="shared" si="1"/>
        <v>8.904969231</v>
      </c>
      <c r="X125" s="4">
        <f>IF($H125="",0,SUMIFS(Map_Stats!$F$2:$F$825,Map_Stats!$A$2:$A$825,$F125&amp;"|"&amp;$H125))</f>
        <v>5</v>
      </c>
      <c r="Y125" s="18">
        <f t="array" ref="Y125">IF($H125="","",IFERROR(1/(1/INDEX(Map_Stats!$K$2:$K$825,MATCH($F125&amp;"|"&amp;$H125,Map_Stats!$A$2:$A$825,0))),$O125))</f>
        <v>0.74</v>
      </c>
      <c r="Z125" s="11">
        <f t="array" ref="Z125">IF(OR($H125="",$P125=""),"",IFERROR(1/(1/INDEX(Map_Stats!$I$2:$I$825,MATCH($F125&amp;"|"&amp;$H125,Map_Stats!$A$2:$A$825,0))),$P125))</f>
        <v>0.608</v>
      </c>
      <c r="AA125" s="18">
        <f>IF(OR($H125="",Y125=""),"",IF($O125="",Y125,(X125*Y125+Config!$B$4*$O125)/(X125+Config!$B$4)))</f>
        <v>0.69</v>
      </c>
      <c r="AB125" s="11">
        <f>IF(Z125="","",(X125*Z125+Config!$B$4*$P125)/(X125+Config!$B$4))</f>
        <v>0.6165</v>
      </c>
      <c r="AC125" s="17">
        <f>IF(OR(AA125="",$K125=""),"",AA125*$K125*($K125/Config!$B$10)^Config!$B$9)</f>
        <v>14.835</v>
      </c>
      <c r="AD125" s="17">
        <f t="shared" si="2"/>
        <v>9.1457775</v>
      </c>
      <c r="AE125" s="4">
        <f>IF($I125="",0,SUMIFS(Map_Stats!$F$2:$F$825,Map_Stats!$A$2:$A$825,$F125&amp;"|"&amp;$I125))</f>
        <v>0</v>
      </c>
      <c r="AF125" s="18" t="str">
        <f t="array" ref="AF125">IF($I125="","",IFERROR(1/(1/INDEX(Map_Stats!$K$2:$K$825,MATCH($F125&amp;"|"&amp;$I125,Map_Stats!$A$2:$A$825,0))),$O125))</f>
        <v/>
      </c>
      <c r="AG125" s="11" t="str">
        <f t="array" ref="AG125">IF(OR($I125="",$P125=""),"",IFERROR(1/(1/INDEX(Map_Stats!$I$2:$I$825,MATCH($F125&amp;"|"&amp;$I125,Map_Stats!$A$2:$A$825,0))),$P125))</f>
        <v/>
      </c>
      <c r="AH125" s="18" t="str">
        <f>IF(OR($I125="",AF125=""),"",IF($O125="",AF125,(AE125*AF125+Config!$B$4*$O125)/(AE125+Config!$B$4)))</f>
        <v/>
      </c>
      <c r="AI125" s="11" t="str">
        <f>IF(AG125="","",(AE125*AG125+Config!$B$4*$P125)/(AE125+Config!$B$4))</f>
        <v/>
      </c>
      <c r="AJ125" s="17" t="str">
        <f>IF(OR(AH125="",$L125=""),"",AH125*$L125*($L125/Config!$B$10)^Config!$B$9)</f>
        <v/>
      </c>
      <c r="AK125" s="17" t="str">
        <f t="shared" si="3"/>
        <v/>
      </c>
      <c r="AL125" s="17">
        <f t="shared" si="4"/>
        <v>28.72730769</v>
      </c>
      <c r="AM125" s="17">
        <f t="shared" si="5"/>
        <v>28.72730769</v>
      </c>
      <c r="AN125" s="17">
        <f t="shared" si="6"/>
        <v>18.05074673</v>
      </c>
      <c r="AO125" s="17">
        <f t="shared" si="7"/>
        <v>18.05074673</v>
      </c>
      <c r="AP125" s="11">
        <f t="shared" si="8"/>
        <v>0.6283480138</v>
      </c>
      <c r="AQ125" s="4" t="str">
        <f>TRIM(IF($N125&lt;Config!$B$12,"thin sample ("&amp;$N125&amp;" maps) · ","")&amp;IF(AND($G125&lt;&gt;"",Q125=0),"M1 unplayed→overall KPR · ","")&amp;IF(AND($H125&lt;&gt;"",X125=0),"M2 unplayed→overall KPR · ","")&amp;IF($O125="","no PickFinder stats",""))</f>
        <v/>
      </c>
      <c r="AR125" s="4" t="str">
        <f>IF($C125=Board!$B$2,COUNTIFS($C$2:$C$157,Board!$B$2,$AL$2:$AL$157,"&gt;"&amp;$AL125)+COUNTIFS($C$1:$C124,Board!$B$2,$AL$1:$AL124,$AL125)+1,"")</f>
        <v/>
      </c>
      <c r="AS125" s="4" t="str">
        <f t="array" ref="AS125">IFERROR(IF($D125=INDEX(Matches!$AD$5:$AD$22,MATCH($C125,Matches!$A$5:$A$22,0)),"A",IF($D125=INDEX(Matches!$AE$5:$AE$22,MATCH($C125,Matches!$A$5:$A$22,0)),"B","")),"")</f>
        <v>B</v>
      </c>
      <c r="AT125" s="11">
        <f t="array" ref="AT125">IF($AS125="","",IFERROR(IF($AS125="A",INDEX(Matches!$AI$5:$AI$22,MATCH($C125,Matches!$A$5:$A$22,0)),INDEX(Matches!$AJ$5:$AJ$22,MATCH($C125,Matches!$A$5:$A$22,0))),""))</f>
        <v>0.4862840163</v>
      </c>
      <c r="AU125" s="11">
        <f t="array" ref="AU125">IF($AS125="","",IFERROR(IF(INDEX(Matches!$AP$5:$AP$22,MATCH($C125,Matches!$A$5:$A$22,0))="","",IF($AS125="A",INDEX(Matches!$AP$5:$AP$22,MATCH($C125,Matches!$A$5:$A$22,0)),1-INDEX(Matches!$AP$5:$AP$22,MATCH($C125,Matches!$A$5:$A$22,0)))),""))</f>
        <v>0.5017536113</v>
      </c>
      <c r="AV125" s="18">
        <f>IF(OR($AU125="",$AT125=""),1,((Config!$B$14*$AU125+Config!$B$15*(1-$AU125))/(Config!$B$14*$AT125+Config!$B$15*(1-$AT125)))^Config!$B$13)</f>
        <v>1.013995433</v>
      </c>
      <c r="AW125" s="11">
        <f t="array" ref="AW125">IF($AS125="","",IFERROR(IF(INDEX(Matches!$AV$5:$AV$22,MATCH($C125,Matches!$A$5:$A$22,0))="","",IF($AS125="A",INDEX(Matches!$AV$5:$AV$22,MATCH($C125,Matches!$A$5:$A$22,0)),1-INDEX(Matches!$AV$5:$AV$22,MATCH($C125,Matches!$A$5:$A$22,0)))),""))</f>
        <v>0.4895908656</v>
      </c>
      <c r="AX125" s="18">
        <f>IF(OR($AW125="",$AT125=""),1,((Config!$B$14*$AW125+Config!$B$15*(1-$AW125))/(Config!$B$14*$AT125+Config!$B$15*(1-$AT125)))^Config!$B$13)</f>
        <v>1.002991726</v>
      </c>
      <c r="AY125" s="11" t="str">
        <f t="array" ref="AY125">IF($AS125="","",IFERROR(IF(INDEX(Matches!$BB$5:$BB$22,MATCH($C125,Matches!$A$5:$A$22,0))="","",IF($AS125="A",INDEX(Matches!$BB$5:$BB$22,MATCH($C125,Matches!$A$5:$A$22,0)),1-INDEX(Matches!$BB$5:$BB$22,MATCH($C125,Matches!$A$5:$A$22,0)))),""))</f>
        <v/>
      </c>
      <c r="AZ125" s="18">
        <f>IF(OR($AY125="",$AT125=""),1,((Config!$B$14*$AY125+Config!$B$15*(1-$AY125))/(Config!$B$14*$AT125+Config!$B$15*(1-$AT125)))^Config!$B$13)</f>
        <v>1</v>
      </c>
      <c r="BA125" s="17">
        <f t="shared" si="9"/>
        <v>14.08673656</v>
      </c>
      <c r="BB125" s="17">
        <f t="shared" si="10"/>
        <v>14.87938225</v>
      </c>
      <c r="BC125" s="17" t="str">
        <f t="shared" si="11"/>
        <v/>
      </c>
      <c r="BD125" s="17">
        <f t="shared" si="12"/>
        <v>28.96611881</v>
      </c>
      <c r="BE125" s="17">
        <f t="shared" si="13"/>
        <v>28.96611881</v>
      </c>
      <c r="BF125" s="17">
        <f t="shared" si="14"/>
        <v>9.029598132</v>
      </c>
      <c r="BG125" s="17">
        <f t="shared" si="15"/>
        <v>9.17313916</v>
      </c>
      <c r="BH125" s="17" t="str">
        <f t="shared" si="16"/>
        <v/>
      </c>
      <c r="BI125" s="17">
        <f t="shared" si="17"/>
        <v>18.20273729</v>
      </c>
      <c r="BJ125" s="17">
        <f t="shared" si="18"/>
        <v>18.20273729</v>
      </c>
      <c r="BK125" s="18">
        <f t="shared" si="19"/>
        <v>1.008313035</v>
      </c>
    </row>
    <row r="126" ht="15.75" customHeight="1">
      <c r="A126" s="4" t="s">
        <v>3257</v>
      </c>
      <c r="B126" s="4" t="s">
        <v>86</v>
      </c>
      <c r="C126" s="4" t="s">
        <v>838</v>
      </c>
      <c r="D126" s="4" t="s">
        <v>858</v>
      </c>
      <c r="E126" s="4" t="s">
        <v>1515</v>
      </c>
      <c r="F126" s="4" t="s">
        <v>1514</v>
      </c>
      <c r="G126" s="4" t="str">
        <f t="array" ref="G126">IFERROR(IF(INDEX(Matches!$W$5:$W$22,MATCH($C126,Matches!$A$5:$A$22,0))="","",INDEX(Matches!$W$5:$W$22,MATCH($C126,Matches!$A$5:$A$22,0))),"")</f>
        <v>Ancient</v>
      </c>
      <c r="H126" s="4" t="str">
        <f t="array" ref="H126">IFERROR(IF(INDEX(Matches!$X$5:$X$22,MATCH($C126,Matches!$A$5:$A$22,0))="","",INDEX(Matches!$X$5:$X$22,MATCH($C126,Matches!$A$5:$A$22,0))),"")</f>
        <v>Nuke</v>
      </c>
      <c r="I126" s="4" t="str">
        <f t="array" ref="I126">IFERROR(IF(INDEX(Matches!$Y$5:$Y$22,MATCH($C126,Matches!$A$5:$A$22,0))="","",INDEX(Matches!$Y$5:$Y$22,MATCH($C126,Matches!$A$5:$A$22,0))),"")</f>
        <v/>
      </c>
      <c r="J126" s="4">
        <f t="array" ref="J126">IFERROR(IF(INDEX(Matches!$Z$5:$Z$22,MATCH($C126,Matches!$A$5:$A$22,0))="","",INDEX(Matches!$Z$5:$Z$22,MATCH($C126,Matches!$A$5:$A$22,0))),"")</f>
        <v>21.5</v>
      </c>
      <c r="K126" s="4">
        <f t="array" ref="K126">IFERROR(IF(INDEX(Matches!$AA$5:$AA$22,MATCH($C126,Matches!$A$5:$A$22,0))="","",INDEX(Matches!$AA$5:$AA$22,MATCH($C126,Matches!$A$5:$A$22,0))),"")</f>
        <v>21.5</v>
      </c>
      <c r="L126" s="4" t="str">
        <f t="array" ref="L126">IFERROR(IF(INDEX(Matches!$AB$5:$AB$22,MATCH($C126,Matches!$A$5:$A$22,0))="","",INDEX(Matches!$AB$5:$AB$22,MATCH($C126,Matches!$A$5:$A$22,0))),"")</f>
        <v/>
      </c>
      <c r="M126" s="11">
        <f t="array" ref="M126">IFERROR(IF(INDEX(Matches!$AC$5:$AC$22,MATCH($C126,Matches!$A$5:$A$22,0))="","",INDEX(Matches!$AC$5:$AC$22,MATCH($C126,Matches!$A$5:$A$22,0))),"")</f>
        <v>0</v>
      </c>
      <c r="N126" s="4">
        <f t="array" ref="N126">IFERROR(INDEX(Players!$F$2:$F$127,MATCH($F126,Players!$A$2:$A$127,0)),0)</f>
        <v>37</v>
      </c>
      <c r="O126" s="18">
        <f t="array" ref="O126">IFERROR(1/(1/INDEX(Players!$H$2:$H$127,MATCH($F126,Players!$A$2:$A$127,0))),"")</f>
        <v>0.74</v>
      </c>
      <c r="P126" s="11">
        <f t="array" ref="P126">IFERROR(1/(1/INDEX(Players!$I$2:$I$127,MATCH($F126,Players!$A$2:$A$127,0))),"")</f>
        <v>0.44</v>
      </c>
      <c r="Q126" s="4">
        <f>IF($G126="",0,SUMIFS(Map_Stats!$F$2:$F$825,Map_Stats!$A$2:$A$825,$F126&amp;"|"&amp;$G126))</f>
        <v>8</v>
      </c>
      <c r="R126" s="18">
        <f t="array" ref="R126">IF($G126="","",IFERROR(1/(1/INDEX(Map_Stats!$K$2:$K$825,MATCH($F126&amp;"|"&amp;$G126,Map_Stats!$A$2:$A$825,0))),$O126))</f>
        <v>0.85</v>
      </c>
      <c r="S126" s="11">
        <f t="array" ref="S126">IF(OR($G126="",$P126=""),"",IFERROR(1/(1/INDEX(Map_Stats!$I$2:$I$825,MATCH($F126&amp;"|"&amp;$G126,Map_Stats!$A$2:$A$825,0))),$P126))</f>
        <v>0.42</v>
      </c>
      <c r="T126" s="18">
        <f>IF(OR($G126="",R126=""),"",IF($O126="",R126,(Q126*R126+Config!$B$4*$O126)/(Q126+Config!$B$4)))</f>
        <v>0.8076923077</v>
      </c>
      <c r="U126" s="11">
        <f>IF(S126="","",(Q126*S126+Config!$B$4*$P126)/(Q126+Config!$B$4))</f>
        <v>0.4276923077</v>
      </c>
      <c r="V126" s="17">
        <f>IF(OR(T126="",$J126=""),"",T126*$J126*($J126/Config!$B$10)^Config!$B$9)</f>
        <v>17.36538462</v>
      </c>
      <c r="W126" s="17">
        <f t="shared" si="1"/>
        <v>7.42704142</v>
      </c>
      <c r="X126" s="4">
        <f>IF($H126="",0,SUMIFS(Map_Stats!$F$2:$F$825,Map_Stats!$A$2:$A$825,$F126&amp;"|"&amp;$H126))</f>
        <v>5</v>
      </c>
      <c r="Y126" s="18">
        <f t="array" ref="Y126">IF($H126="","",IFERROR(1/(1/INDEX(Map_Stats!$K$2:$K$825,MATCH($F126&amp;"|"&amp;$H126,Map_Stats!$A$2:$A$825,0))),$O126))</f>
        <v>0.69</v>
      </c>
      <c r="Z126" s="11">
        <f t="array" ref="Z126">IF(OR($H126="",$P126=""),"",IFERROR(1/(1/INDEX(Map_Stats!$I$2:$I$825,MATCH($F126&amp;"|"&amp;$H126,Map_Stats!$A$2:$A$825,0))),$P126))</f>
        <v>0.541</v>
      </c>
      <c r="AA126" s="18">
        <f>IF(OR($H126="",Y126=""),"",IF($O126="",Y126,(X126*Y126+Config!$B$4*$O126)/(X126+Config!$B$4)))</f>
        <v>0.715</v>
      </c>
      <c r="AB126" s="11">
        <f>IF(Z126="","",(X126*Z126+Config!$B$4*$P126)/(X126+Config!$B$4))</f>
        <v>0.4905</v>
      </c>
      <c r="AC126" s="17">
        <f>IF(OR(AA126="",$K126=""),"",AA126*$K126*($K126/Config!$B$10)^Config!$B$9)</f>
        <v>15.3725</v>
      </c>
      <c r="AD126" s="17">
        <f t="shared" si="2"/>
        <v>7.54021125</v>
      </c>
      <c r="AE126" s="4">
        <f>IF($I126="",0,SUMIFS(Map_Stats!$F$2:$F$825,Map_Stats!$A$2:$A$825,$F126&amp;"|"&amp;$I126))</f>
        <v>0</v>
      </c>
      <c r="AF126" s="18" t="str">
        <f t="array" ref="AF126">IF($I126="","",IFERROR(1/(1/INDEX(Map_Stats!$K$2:$K$825,MATCH($F126&amp;"|"&amp;$I126,Map_Stats!$A$2:$A$825,0))),$O126))</f>
        <v/>
      </c>
      <c r="AG126" s="11" t="str">
        <f t="array" ref="AG126">IF(OR($I126="",$P126=""),"",IFERROR(1/(1/INDEX(Map_Stats!$I$2:$I$825,MATCH($F126&amp;"|"&amp;$I126,Map_Stats!$A$2:$A$825,0))),$P126))</f>
        <v/>
      </c>
      <c r="AH126" s="18" t="str">
        <f>IF(OR($I126="",AF126=""),"",IF($O126="",AF126,(AE126*AF126+Config!$B$4*$O126)/(AE126+Config!$B$4)))</f>
        <v/>
      </c>
      <c r="AI126" s="11" t="str">
        <f>IF(AG126="","",(AE126*AG126+Config!$B$4*$P126)/(AE126+Config!$B$4))</f>
        <v/>
      </c>
      <c r="AJ126" s="17" t="str">
        <f>IF(OR(AH126="",$L126=""),"",AH126*$L126*($L126/Config!$B$10)^Config!$B$9)</f>
        <v/>
      </c>
      <c r="AK126" s="17" t="str">
        <f t="shared" si="3"/>
        <v/>
      </c>
      <c r="AL126" s="17">
        <f t="shared" si="4"/>
        <v>32.73788462</v>
      </c>
      <c r="AM126" s="17">
        <f t="shared" si="5"/>
        <v>32.73788462</v>
      </c>
      <c r="AN126" s="17">
        <f t="shared" si="6"/>
        <v>14.96725267</v>
      </c>
      <c r="AO126" s="17">
        <f t="shared" si="7"/>
        <v>14.96725267</v>
      </c>
      <c r="AP126" s="11">
        <f t="shared" si="8"/>
        <v>0.4571844774</v>
      </c>
      <c r="AQ126" s="4" t="str">
        <f>TRIM(IF($N126&lt;Config!$B$12,"thin sample ("&amp;$N126&amp;" maps) · ","")&amp;IF(AND($G126&lt;&gt;"",Q126=0),"M1 unplayed→overall KPR · ","")&amp;IF(AND($H126&lt;&gt;"",X126=0),"M2 unplayed→overall KPR · ","")&amp;IF($O126="","no PickFinder stats",""))</f>
        <v/>
      </c>
      <c r="AR126" s="4" t="str">
        <f>IF($C126=Board!$B$2,COUNTIFS($C$2:$C$157,Board!$B$2,$AL$2:$AL$157,"&gt;"&amp;$AL126)+COUNTIFS($C$1:$C125,Board!$B$2,$AL$1:$AL125,$AL126)+1,"")</f>
        <v/>
      </c>
      <c r="AS126" s="4" t="str">
        <f t="array" ref="AS126">IFERROR(IF($D126=INDEX(Matches!$AD$5:$AD$22,MATCH($C126,Matches!$A$5:$A$22,0)),"A",IF($D126=INDEX(Matches!$AE$5:$AE$22,MATCH($C126,Matches!$A$5:$A$22,0)),"B","")),"")</f>
        <v>B</v>
      </c>
      <c r="AT126" s="11">
        <f t="array" ref="AT126">IF($AS126="","",IFERROR(IF($AS126="A",INDEX(Matches!$AI$5:$AI$22,MATCH($C126,Matches!$A$5:$A$22,0)),INDEX(Matches!$AJ$5:$AJ$22,MATCH($C126,Matches!$A$5:$A$22,0))),""))</f>
        <v>0.4862840163</v>
      </c>
      <c r="AU126" s="11">
        <f t="array" ref="AU126">IF($AS126="","",IFERROR(IF(INDEX(Matches!$AP$5:$AP$22,MATCH($C126,Matches!$A$5:$A$22,0))="","",IF($AS126="A",INDEX(Matches!$AP$5:$AP$22,MATCH($C126,Matches!$A$5:$A$22,0)),1-INDEX(Matches!$AP$5:$AP$22,MATCH($C126,Matches!$A$5:$A$22,0)))),""))</f>
        <v>0.5017536113</v>
      </c>
      <c r="AV126" s="18">
        <f>IF(OR($AU126="",$AT126=""),1,((Config!$B$14*$AU126+Config!$B$15*(1-$AU126))/(Config!$B$14*$AT126+Config!$B$15*(1-$AT126)))^Config!$B$13)</f>
        <v>1.013995433</v>
      </c>
      <c r="AW126" s="11">
        <f t="array" ref="AW126">IF($AS126="","",IFERROR(IF(INDEX(Matches!$AV$5:$AV$22,MATCH($C126,Matches!$A$5:$A$22,0))="","",IF($AS126="A",INDEX(Matches!$AV$5:$AV$22,MATCH($C126,Matches!$A$5:$A$22,0)),1-INDEX(Matches!$AV$5:$AV$22,MATCH($C126,Matches!$A$5:$A$22,0)))),""))</f>
        <v>0.4895908656</v>
      </c>
      <c r="AX126" s="18">
        <f>IF(OR($AW126="",$AT126=""),1,((Config!$B$14*$AW126+Config!$B$15*(1-$AW126))/(Config!$B$14*$AT126+Config!$B$15*(1-$AT126)))^Config!$B$13)</f>
        <v>1.002991726</v>
      </c>
      <c r="AY126" s="11" t="str">
        <f t="array" ref="AY126">IF($AS126="","",IFERROR(IF(INDEX(Matches!$BB$5:$BB$22,MATCH($C126,Matches!$A$5:$A$22,0))="","",IF($AS126="A",INDEX(Matches!$BB$5:$BB$22,MATCH($C126,Matches!$A$5:$A$22,0)),1-INDEX(Matches!$BB$5:$BB$22,MATCH($C126,Matches!$A$5:$A$22,0)))),""))</f>
        <v/>
      </c>
      <c r="AZ126" s="18">
        <f>IF(OR($AY126="",$AT126=""),1,((Config!$B$14*$AY126+Config!$B$15*(1-$AY126))/(Config!$B$14*$AT126+Config!$B$15*(1-$AT126)))^Config!$B$13)</f>
        <v>1</v>
      </c>
      <c r="BA126" s="17">
        <f t="shared" si="9"/>
        <v>17.60842069</v>
      </c>
      <c r="BB126" s="17">
        <f t="shared" si="10"/>
        <v>15.41849031</v>
      </c>
      <c r="BC126" s="17" t="str">
        <f t="shared" si="11"/>
        <v/>
      </c>
      <c r="BD126" s="17">
        <f t="shared" si="12"/>
        <v>33.026911</v>
      </c>
      <c r="BE126" s="17">
        <f t="shared" si="13"/>
        <v>33.026911</v>
      </c>
      <c r="BF126" s="17">
        <f t="shared" si="14"/>
        <v>7.530986082</v>
      </c>
      <c r="BG126" s="17">
        <f t="shared" si="15"/>
        <v>7.562769496</v>
      </c>
      <c r="BH126" s="17" t="str">
        <f t="shared" si="16"/>
        <v/>
      </c>
      <c r="BI126" s="17">
        <f t="shared" si="17"/>
        <v>15.09375558</v>
      </c>
      <c r="BJ126" s="17">
        <f t="shared" si="18"/>
        <v>15.09375558</v>
      </c>
      <c r="BK126" s="18">
        <f t="shared" si="19"/>
        <v>1.008828499</v>
      </c>
    </row>
    <row r="127" ht="15.75" customHeight="1">
      <c r="A127" s="4" t="s">
        <v>3258</v>
      </c>
      <c r="B127" s="4" t="s">
        <v>86</v>
      </c>
      <c r="C127" s="4" t="s">
        <v>838</v>
      </c>
      <c r="D127" s="4" t="s">
        <v>858</v>
      </c>
      <c r="E127" s="4" t="s">
        <v>1529</v>
      </c>
      <c r="F127" s="4" t="s">
        <v>1528</v>
      </c>
      <c r="G127" s="4" t="str">
        <f t="array" ref="G127">IFERROR(IF(INDEX(Matches!$W$5:$W$22,MATCH($C127,Matches!$A$5:$A$22,0))="","",INDEX(Matches!$W$5:$W$22,MATCH($C127,Matches!$A$5:$A$22,0))),"")</f>
        <v>Ancient</v>
      </c>
      <c r="H127" s="4" t="str">
        <f t="array" ref="H127">IFERROR(IF(INDEX(Matches!$X$5:$X$22,MATCH($C127,Matches!$A$5:$A$22,0))="","",INDEX(Matches!$X$5:$X$22,MATCH($C127,Matches!$A$5:$A$22,0))),"")</f>
        <v>Nuke</v>
      </c>
      <c r="I127" s="4" t="str">
        <f t="array" ref="I127">IFERROR(IF(INDEX(Matches!$Y$5:$Y$22,MATCH($C127,Matches!$A$5:$A$22,0))="","",INDEX(Matches!$Y$5:$Y$22,MATCH($C127,Matches!$A$5:$A$22,0))),"")</f>
        <v/>
      </c>
      <c r="J127" s="4">
        <f t="array" ref="J127">IFERROR(IF(INDEX(Matches!$Z$5:$Z$22,MATCH($C127,Matches!$A$5:$A$22,0))="","",INDEX(Matches!$Z$5:$Z$22,MATCH($C127,Matches!$A$5:$A$22,0))),"")</f>
        <v>21.5</v>
      </c>
      <c r="K127" s="4">
        <f t="array" ref="K127">IFERROR(IF(INDEX(Matches!$AA$5:$AA$22,MATCH($C127,Matches!$A$5:$A$22,0))="","",INDEX(Matches!$AA$5:$AA$22,MATCH($C127,Matches!$A$5:$A$22,0))),"")</f>
        <v>21.5</v>
      </c>
      <c r="L127" s="4" t="str">
        <f t="array" ref="L127">IFERROR(IF(INDEX(Matches!$AB$5:$AB$22,MATCH($C127,Matches!$A$5:$A$22,0))="","",INDEX(Matches!$AB$5:$AB$22,MATCH($C127,Matches!$A$5:$A$22,0))),"")</f>
        <v/>
      </c>
      <c r="M127" s="11">
        <f t="array" ref="M127">IFERROR(IF(INDEX(Matches!$AC$5:$AC$22,MATCH($C127,Matches!$A$5:$A$22,0))="","",INDEX(Matches!$AC$5:$AC$22,MATCH($C127,Matches!$A$5:$A$22,0))),"")</f>
        <v>0</v>
      </c>
      <c r="N127" s="4">
        <f t="array" ref="N127">IFERROR(INDEX(Players!$F$2:$F$127,MATCH($F127,Players!$A$2:$A$127,0)),0)</f>
        <v>37</v>
      </c>
      <c r="O127" s="18">
        <f t="array" ref="O127">IFERROR(1/(1/INDEX(Players!$H$2:$H$127,MATCH($F127,Players!$A$2:$A$127,0))),"")</f>
        <v>0.57</v>
      </c>
      <c r="P127" s="11">
        <f t="array" ref="P127">IFERROR(1/(1/INDEX(Players!$I$2:$I$127,MATCH($F127,Players!$A$2:$A$127,0))),"")</f>
        <v>0.545</v>
      </c>
      <c r="Q127" s="4">
        <f>IF($G127="",0,SUMIFS(Map_Stats!$F$2:$F$825,Map_Stats!$A$2:$A$825,$F127&amp;"|"&amp;$G127))</f>
        <v>8</v>
      </c>
      <c r="R127" s="18">
        <f t="array" ref="R127">IF($G127="","",IFERROR(1/(1/INDEX(Map_Stats!$K$2:$K$825,MATCH($F127&amp;"|"&amp;$G127,Map_Stats!$A$2:$A$825,0))),$O127))</f>
        <v>0.57</v>
      </c>
      <c r="S127" s="11">
        <f t="array" ref="S127">IF(OR($G127="",$P127=""),"",IFERROR(1/(1/INDEX(Map_Stats!$I$2:$I$825,MATCH($F127&amp;"|"&amp;$G127,Map_Stats!$A$2:$A$825,0))),$P127))</f>
        <v>0.634</v>
      </c>
      <c r="T127" s="18">
        <f>IF(OR($G127="",R127=""),"",IF($O127="",R127,(Q127*R127+Config!$B$4*$O127)/(Q127+Config!$B$4)))</f>
        <v>0.57</v>
      </c>
      <c r="U127" s="11">
        <f>IF(S127="","",(Q127*S127+Config!$B$4*$P127)/(Q127+Config!$B$4))</f>
        <v>0.5997692308</v>
      </c>
      <c r="V127" s="17">
        <f>IF(OR(T127="",$J127=""),"",T127*$J127*($J127/Config!$B$10)^Config!$B$9)</f>
        <v>12.255</v>
      </c>
      <c r="W127" s="17">
        <f t="shared" si="1"/>
        <v>7.350171923</v>
      </c>
      <c r="X127" s="4">
        <f>IF($H127="",0,SUMIFS(Map_Stats!$F$2:$F$825,Map_Stats!$A$2:$A$825,$F127&amp;"|"&amp;$H127))</f>
        <v>5</v>
      </c>
      <c r="Y127" s="18">
        <f t="array" ref="Y127">IF($H127="","",IFERROR(1/(1/INDEX(Map_Stats!$K$2:$K$825,MATCH($F127&amp;"|"&amp;$H127,Map_Stats!$A$2:$A$825,0))),$O127))</f>
        <v>0.44</v>
      </c>
      <c r="Z127" s="11">
        <f t="array" ref="Z127">IF(OR($H127="",$P127=""),"",IFERROR(1/(1/INDEX(Map_Stats!$I$2:$I$825,MATCH($F127&amp;"|"&amp;$H127,Map_Stats!$A$2:$A$825,0))),$P127))</f>
        <v>0.489</v>
      </c>
      <c r="AA127" s="18">
        <f>IF(OR($H127="",Y127=""),"",IF($O127="",Y127,(X127*Y127+Config!$B$4*$O127)/(X127+Config!$B$4)))</f>
        <v>0.505</v>
      </c>
      <c r="AB127" s="11">
        <f>IF(Z127="","",(X127*Z127+Config!$B$4*$P127)/(X127+Config!$B$4))</f>
        <v>0.517</v>
      </c>
      <c r="AC127" s="17">
        <f>IF(OR(AA127="",$K127=""),"",AA127*$K127*($K127/Config!$B$10)^Config!$B$9)</f>
        <v>10.8575</v>
      </c>
      <c r="AD127" s="17">
        <f t="shared" si="2"/>
        <v>5.6133275</v>
      </c>
      <c r="AE127" s="4">
        <f>IF($I127="",0,SUMIFS(Map_Stats!$F$2:$F$825,Map_Stats!$A$2:$A$825,$F127&amp;"|"&amp;$I127))</f>
        <v>0</v>
      </c>
      <c r="AF127" s="18" t="str">
        <f t="array" ref="AF127">IF($I127="","",IFERROR(1/(1/INDEX(Map_Stats!$K$2:$K$825,MATCH($F127&amp;"|"&amp;$I127,Map_Stats!$A$2:$A$825,0))),$O127))</f>
        <v/>
      </c>
      <c r="AG127" s="11" t="str">
        <f t="array" ref="AG127">IF(OR($I127="",$P127=""),"",IFERROR(1/(1/INDEX(Map_Stats!$I$2:$I$825,MATCH($F127&amp;"|"&amp;$I127,Map_Stats!$A$2:$A$825,0))),$P127))</f>
        <v/>
      </c>
      <c r="AH127" s="18" t="str">
        <f>IF(OR($I127="",AF127=""),"",IF($O127="",AF127,(AE127*AF127+Config!$B$4*$O127)/(AE127+Config!$B$4)))</f>
        <v/>
      </c>
      <c r="AI127" s="11" t="str">
        <f>IF(AG127="","",(AE127*AG127+Config!$B$4*$P127)/(AE127+Config!$B$4))</f>
        <v/>
      </c>
      <c r="AJ127" s="17" t="str">
        <f>IF(OR(AH127="",$L127=""),"",AH127*$L127*($L127/Config!$B$10)^Config!$B$9)</f>
        <v/>
      </c>
      <c r="AK127" s="17" t="str">
        <f t="shared" si="3"/>
        <v/>
      </c>
      <c r="AL127" s="17">
        <f t="shared" si="4"/>
        <v>23.1125</v>
      </c>
      <c r="AM127" s="17">
        <f t="shared" si="5"/>
        <v>23.1125</v>
      </c>
      <c r="AN127" s="17">
        <f t="shared" si="6"/>
        <v>12.96349942</v>
      </c>
      <c r="AO127" s="17">
        <f t="shared" si="7"/>
        <v>12.96349942</v>
      </c>
      <c r="AP127" s="11">
        <f t="shared" si="8"/>
        <v>0.560886941</v>
      </c>
      <c r="AQ127" s="4" t="str">
        <f>TRIM(IF($N127&lt;Config!$B$12,"thin sample ("&amp;$N127&amp;" maps) · ","")&amp;IF(AND($G127&lt;&gt;"",Q127=0),"M1 unplayed→overall KPR · ","")&amp;IF(AND($H127&lt;&gt;"",X127=0),"M2 unplayed→overall KPR · ","")&amp;IF($O127="","no PickFinder stats",""))</f>
        <v/>
      </c>
      <c r="AR127" s="4" t="str">
        <f>IF($C127=Board!$B$2,COUNTIFS($C$2:$C$157,Board!$B$2,$AL$2:$AL$157,"&gt;"&amp;$AL127)+COUNTIFS($C$1:$C126,Board!$B$2,$AL$1:$AL126,$AL127)+1,"")</f>
        <v/>
      </c>
      <c r="AS127" s="4" t="str">
        <f t="array" ref="AS127">IFERROR(IF($D127=INDEX(Matches!$AD$5:$AD$22,MATCH($C127,Matches!$A$5:$A$22,0)),"A",IF($D127=INDEX(Matches!$AE$5:$AE$22,MATCH($C127,Matches!$A$5:$A$22,0)),"B","")),"")</f>
        <v>B</v>
      </c>
      <c r="AT127" s="11">
        <f t="array" ref="AT127">IF($AS127="","",IFERROR(IF($AS127="A",INDEX(Matches!$AI$5:$AI$22,MATCH($C127,Matches!$A$5:$A$22,0)),INDEX(Matches!$AJ$5:$AJ$22,MATCH($C127,Matches!$A$5:$A$22,0))),""))</f>
        <v>0.4862840163</v>
      </c>
      <c r="AU127" s="11">
        <f t="array" ref="AU127">IF($AS127="","",IFERROR(IF(INDEX(Matches!$AP$5:$AP$22,MATCH($C127,Matches!$A$5:$A$22,0))="","",IF($AS127="A",INDEX(Matches!$AP$5:$AP$22,MATCH($C127,Matches!$A$5:$A$22,0)),1-INDEX(Matches!$AP$5:$AP$22,MATCH($C127,Matches!$A$5:$A$22,0)))),""))</f>
        <v>0.5017536113</v>
      </c>
      <c r="AV127" s="18">
        <f>IF(OR($AU127="",$AT127=""),1,((Config!$B$14*$AU127+Config!$B$15*(1-$AU127))/(Config!$B$14*$AT127+Config!$B$15*(1-$AT127)))^Config!$B$13)</f>
        <v>1.013995433</v>
      </c>
      <c r="AW127" s="11">
        <f t="array" ref="AW127">IF($AS127="","",IFERROR(IF(INDEX(Matches!$AV$5:$AV$22,MATCH($C127,Matches!$A$5:$A$22,0))="","",IF($AS127="A",INDEX(Matches!$AV$5:$AV$22,MATCH($C127,Matches!$A$5:$A$22,0)),1-INDEX(Matches!$AV$5:$AV$22,MATCH($C127,Matches!$A$5:$A$22,0)))),""))</f>
        <v>0.4895908656</v>
      </c>
      <c r="AX127" s="18">
        <f>IF(OR($AW127="",$AT127=""),1,((Config!$B$14*$AW127+Config!$B$15*(1-$AW127))/(Config!$B$14*$AT127+Config!$B$15*(1-$AT127)))^Config!$B$13)</f>
        <v>1.002991726</v>
      </c>
      <c r="AY127" s="11" t="str">
        <f t="array" ref="AY127">IF($AS127="","",IFERROR(IF(INDEX(Matches!$BB$5:$BB$22,MATCH($C127,Matches!$A$5:$A$22,0))="","",IF($AS127="A",INDEX(Matches!$BB$5:$BB$22,MATCH($C127,Matches!$A$5:$A$22,0)),1-INDEX(Matches!$BB$5:$BB$22,MATCH($C127,Matches!$A$5:$A$22,0)))),""))</f>
        <v/>
      </c>
      <c r="AZ127" s="18">
        <f>IF(OR($AY127="",$AT127=""),1,((Config!$B$14*$AY127+Config!$B$15*(1-$AY127))/(Config!$B$14*$AT127+Config!$B$15*(1-$AT127)))^Config!$B$13)</f>
        <v>1</v>
      </c>
      <c r="BA127" s="17">
        <f t="shared" si="9"/>
        <v>12.42651403</v>
      </c>
      <c r="BB127" s="17">
        <f t="shared" si="10"/>
        <v>10.88998266</v>
      </c>
      <c r="BC127" s="17" t="str">
        <f t="shared" si="11"/>
        <v/>
      </c>
      <c r="BD127" s="17">
        <f t="shared" si="12"/>
        <v>23.3164967</v>
      </c>
      <c r="BE127" s="17">
        <f t="shared" si="13"/>
        <v>23.3164967</v>
      </c>
      <c r="BF127" s="17">
        <f t="shared" si="14"/>
        <v>7.453040763</v>
      </c>
      <c r="BG127" s="17">
        <f t="shared" si="15"/>
        <v>5.630121038</v>
      </c>
      <c r="BH127" s="17" t="str">
        <f t="shared" si="16"/>
        <v/>
      </c>
      <c r="BI127" s="17">
        <f t="shared" si="17"/>
        <v>13.0831618</v>
      </c>
      <c r="BJ127" s="17">
        <f t="shared" si="18"/>
        <v>13.0831618</v>
      </c>
      <c r="BK127" s="18">
        <f t="shared" si="19"/>
        <v>1.00882625</v>
      </c>
    </row>
    <row r="128" ht="15.75" customHeight="1">
      <c r="A128" s="4" t="s">
        <v>3259</v>
      </c>
      <c r="B128" s="4" t="s">
        <v>86</v>
      </c>
      <c r="C128" s="4" t="s">
        <v>838</v>
      </c>
      <c r="D128" s="4" t="s">
        <v>856</v>
      </c>
      <c r="E128" s="4" t="s">
        <v>1548</v>
      </c>
      <c r="F128" s="4" t="s">
        <v>1547</v>
      </c>
      <c r="G128" s="4" t="str">
        <f t="array" ref="G128">IFERROR(IF(INDEX(Matches!$W$5:$W$22,MATCH($C128,Matches!$A$5:$A$22,0))="","",INDEX(Matches!$W$5:$W$22,MATCH($C128,Matches!$A$5:$A$22,0))),"")</f>
        <v>Ancient</v>
      </c>
      <c r="H128" s="4" t="str">
        <f t="array" ref="H128">IFERROR(IF(INDEX(Matches!$X$5:$X$22,MATCH($C128,Matches!$A$5:$A$22,0))="","",INDEX(Matches!$X$5:$X$22,MATCH($C128,Matches!$A$5:$A$22,0))),"")</f>
        <v>Nuke</v>
      </c>
      <c r="I128" s="4" t="str">
        <f t="array" ref="I128">IFERROR(IF(INDEX(Matches!$Y$5:$Y$22,MATCH($C128,Matches!$A$5:$A$22,0))="","",INDEX(Matches!$Y$5:$Y$22,MATCH($C128,Matches!$A$5:$A$22,0))),"")</f>
        <v/>
      </c>
      <c r="J128" s="4">
        <f t="array" ref="J128">IFERROR(IF(INDEX(Matches!$Z$5:$Z$22,MATCH($C128,Matches!$A$5:$A$22,0))="","",INDEX(Matches!$Z$5:$Z$22,MATCH($C128,Matches!$A$5:$A$22,0))),"")</f>
        <v>21.5</v>
      </c>
      <c r="K128" s="4">
        <f t="array" ref="K128">IFERROR(IF(INDEX(Matches!$AA$5:$AA$22,MATCH($C128,Matches!$A$5:$A$22,0))="","",INDEX(Matches!$AA$5:$AA$22,MATCH($C128,Matches!$A$5:$A$22,0))),"")</f>
        <v>21.5</v>
      </c>
      <c r="L128" s="4" t="str">
        <f t="array" ref="L128">IFERROR(IF(INDEX(Matches!$AB$5:$AB$22,MATCH($C128,Matches!$A$5:$A$22,0))="","",INDEX(Matches!$AB$5:$AB$22,MATCH($C128,Matches!$A$5:$A$22,0))),"")</f>
        <v/>
      </c>
      <c r="M128" s="11">
        <f t="array" ref="M128">IFERROR(IF(INDEX(Matches!$AC$5:$AC$22,MATCH($C128,Matches!$A$5:$A$22,0))="","",INDEX(Matches!$AC$5:$AC$22,MATCH($C128,Matches!$A$5:$A$22,0))),"")</f>
        <v>0</v>
      </c>
      <c r="N128" s="4">
        <f t="array" ref="N128">IFERROR(INDEX(Players!$F$2:$F$127,MATCH($F128,Players!$A$2:$A$127,0)),0)</f>
        <v>27</v>
      </c>
      <c r="O128" s="18">
        <f t="array" ref="O128">IFERROR(1/(1/INDEX(Players!$H$2:$H$127,MATCH($F128,Players!$A$2:$A$127,0))),"")</f>
        <v>0.72</v>
      </c>
      <c r="P128" s="11">
        <f t="array" ref="P128">IFERROR(1/(1/INDEX(Players!$I$2:$I$127,MATCH($F128,Players!$A$2:$A$127,0))),"")</f>
        <v>0.514</v>
      </c>
      <c r="Q128" s="4">
        <f>IF($G128="",0,SUMIFS(Map_Stats!$F$2:$F$825,Map_Stats!$A$2:$A$825,$F128&amp;"|"&amp;$G128))</f>
        <v>9</v>
      </c>
      <c r="R128" s="18">
        <f t="array" ref="R128">IF($G128="","",IFERROR(1/(1/INDEX(Map_Stats!$K$2:$K$825,MATCH($F128&amp;"|"&amp;$G128,Map_Stats!$A$2:$A$825,0))),$O128))</f>
        <v>0.81</v>
      </c>
      <c r="S128" s="11">
        <f t="array" ref="S128">IF(OR($G128="",$P128=""),"",IFERROR(1/(1/INDEX(Map_Stats!$I$2:$I$825,MATCH($F128&amp;"|"&amp;$G128,Map_Stats!$A$2:$A$825,0))),$P128))</f>
        <v>0.48</v>
      </c>
      <c r="T128" s="18">
        <f>IF(OR($G128="",R128=""),"",IF($O128="",R128,(Q128*R128+Config!$B$4*$O128)/(Q128+Config!$B$4)))</f>
        <v>0.7778571429</v>
      </c>
      <c r="U128" s="11">
        <f>IF(S128="","",(Q128*S128+Config!$B$4*$P128)/(Q128+Config!$B$4))</f>
        <v>0.4921428571</v>
      </c>
      <c r="V128" s="17">
        <f>IF(OR(T128="",$J128=""),"",T128*$J128*($J128/Config!$B$10)^Config!$B$9)</f>
        <v>16.72392857</v>
      </c>
      <c r="W128" s="17">
        <f t="shared" si="1"/>
        <v>8.23056199</v>
      </c>
      <c r="X128" s="4">
        <f>IF($H128="",0,SUMIFS(Map_Stats!$F$2:$F$825,Map_Stats!$A$2:$A$825,$F128&amp;"|"&amp;$H128))</f>
        <v>5</v>
      </c>
      <c r="Y128" s="18">
        <f t="array" ref="Y128">IF($H128="","",IFERROR(1/(1/INDEX(Map_Stats!$K$2:$K$825,MATCH($F128&amp;"|"&amp;$H128,Map_Stats!$A$2:$A$825,0))),$O128))</f>
        <v>0.73</v>
      </c>
      <c r="Z128" s="11">
        <f t="array" ref="Z128">IF(OR($H128="",$P128=""),"",IFERROR(1/(1/INDEX(Map_Stats!$I$2:$I$825,MATCH($F128&amp;"|"&amp;$H128,Map_Stats!$A$2:$A$825,0))),$P128))</f>
        <v>0.567</v>
      </c>
      <c r="AA128" s="18">
        <f>IF(OR($H128="",Y128=""),"",IF($O128="",Y128,(X128*Y128+Config!$B$4*$O128)/(X128+Config!$B$4)))</f>
        <v>0.725</v>
      </c>
      <c r="AB128" s="11">
        <f>IF(Z128="","",(X128*Z128+Config!$B$4*$P128)/(X128+Config!$B$4))</f>
        <v>0.5405</v>
      </c>
      <c r="AC128" s="17">
        <f>IF(OR(AA128="",$K128=""),"",AA128*$K128*($K128/Config!$B$10)^Config!$B$9)</f>
        <v>15.5875</v>
      </c>
      <c r="AD128" s="17">
        <f t="shared" si="2"/>
        <v>8.42504375</v>
      </c>
      <c r="AE128" s="4">
        <f>IF($I128="",0,SUMIFS(Map_Stats!$F$2:$F$825,Map_Stats!$A$2:$A$825,$F128&amp;"|"&amp;$I128))</f>
        <v>0</v>
      </c>
      <c r="AF128" s="18" t="str">
        <f t="array" ref="AF128">IF($I128="","",IFERROR(1/(1/INDEX(Map_Stats!$K$2:$K$825,MATCH($F128&amp;"|"&amp;$I128,Map_Stats!$A$2:$A$825,0))),$O128))</f>
        <v/>
      </c>
      <c r="AG128" s="11" t="str">
        <f t="array" ref="AG128">IF(OR($I128="",$P128=""),"",IFERROR(1/(1/INDEX(Map_Stats!$I$2:$I$825,MATCH($F128&amp;"|"&amp;$I128,Map_Stats!$A$2:$A$825,0))),$P128))</f>
        <v/>
      </c>
      <c r="AH128" s="18" t="str">
        <f>IF(OR($I128="",AF128=""),"",IF($O128="",AF128,(AE128*AF128+Config!$B$4*$O128)/(AE128+Config!$B$4)))</f>
        <v/>
      </c>
      <c r="AI128" s="11" t="str">
        <f>IF(AG128="","",(AE128*AG128+Config!$B$4*$P128)/(AE128+Config!$B$4))</f>
        <v/>
      </c>
      <c r="AJ128" s="17" t="str">
        <f>IF(OR(AH128="",$L128=""),"",AH128*$L128*($L128/Config!$B$10)^Config!$B$9)</f>
        <v/>
      </c>
      <c r="AK128" s="17" t="str">
        <f t="shared" si="3"/>
        <v/>
      </c>
      <c r="AL128" s="17">
        <f t="shared" si="4"/>
        <v>32.31142857</v>
      </c>
      <c r="AM128" s="17">
        <f t="shared" si="5"/>
        <v>32.31142857</v>
      </c>
      <c r="AN128" s="17">
        <f t="shared" si="6"/>
        <v>16.65560574</v>
      </c>
      <c r="AO128" s="17">
        <f t="shared" si="7"/>
        <v>16.65560574</v>
      </c>
      <c r="AP128" s="11">
        <f t="shared" si="8"/>
        <v>0.5154710416</v>
      </c>
      <c r="AQ128" s="4" t="str">
        <f>TRIM(IF($N128&lt;Config!$B$12,"thin sample ("&amp;$N128&amp;" maps) · ","")&amp;IF(AND($G128&lt;&gt;"",Q128=0),"M1 unplayed→overall KPR · ","")&amp;IF(AND($H128&lt;&gt;"",X128=0),"M2 unplayed→overall KPR · ","")&amp;IF($O128="","no PickFinder stats",""))</f>
        <v/>
      </c>
      <c r="AR128" s="4" t="str">
        <f>IF($C128=Board!$B$2,COUNTIFS($C$2:$C$157,Board!$B$2,$AL$2:$AL$157,"&gt;"&amp;$AL128)+COUNTIFS($C$1:$C127,Board!$B$2,$AL$1:$AL127,$AL128)+1,"")</f>
        <v/>
      </c>
      <c r="AS128" s="4" t="str">
        <f t="array" ref="AS128">IFERROR(IF($D128=INDEX(Matches!$AD$5:$AD$22,MATCH($C128,Matches!$A$5:$A$22,0)),"A",IF($D128=INDEX(Matches!$AE$5:$AE$22,MATCH($C128,Matches!$A$5:$A$22,0)),"B","")),"")</f>
        <v>A</v>
      </c>
      <c r="AT128" s="11">
        <f t="array" ref="AT128">IF($AS128="","",IFERROR(IF($AS128="A",INDEX(Matches!$AI$5:$AI$22,MATCH($C128,Matches!$A$5:$A$22,0)),INDEX(Matches!$AJ$5:$AJ$22,MATCH($C128,Matches!$A$5:$A$22,0))),""))</f>
        <v>0.5464339904</v>
      </c>
      <c r="AU128" s="11">
        <f t="array" ref="AU128">IF($AS128="","",IFERROR(IF(INDEX(Matches!$AP$5:$AP$22,MATCH($C128,Matches!$A$5:$A$22,0))="","",IF($AS128="A",INDEX(Matches!$AP$5:$AP$22,MATCH($C128,Matches!$A$5:$A$22,0)),1-INDEX(Matches!$AP$5:$AP$22,MATCH($C128,Matches!$A$5:$A$22,0)))),""))</f>
        <v>0.4982463887</v>
      </c>
      <c r="AV128" s="18">
        <f>IF(OR($AU128="",$AT128=""),1,((Config!$B$14*$AU128+Config!$B$15*(1-$AU128))/(Config!$B$14*$AT128+Config!$B$15*(1-$AT128)))^Config!$B$13)</f>
        <v>0.958654344</v>
      </c>
      <c r="AW128" s="11">
        <f t="array" ref="AW128">IF($AS128="","",IFERROR(IF(INDEX(Matches!$AV$5:$AV$22,MATCH($C128,Matches!$A$5:$A$22,0))="","",IF($AS128="A",INDEX(Matches!$AV$5:$AV$22,MATCH($C128,Matches!$A$5:$A$22,0)),1-INDEX(Matches!$AV$5:$AV$22,MATCH($C128,Matches!$A$5:$A$22,0)))),""))</f>
        <v>0.5104091344</v>
      </c>
      <c r="AX128" s="18">
        <f>IF(OR($AW128="",$AT128=""),1,((Config!$B$14*$AW128+Config!$B$15*(1-$AW128))/(Config!$B$14*$AT128+Config!$B$15*(1-$AT128)))^Config!$B$13)</f>
        <v>0.9690901549</v>
      </c>
      <c r="AY128" s="11" t="str">
        <f t="array" ref="AY128">IF($AS128="","",IFERROR(IF(INDEX(Matches!$BB$5:$BB$22,MATCH($C128,Matches!$A$5:$A$22,0))="","",IF($AS128="A",INDEX(Matches!$BB$5:$BB$22,MATCH($C128,Matches!$A$5:$A$22,0)),1-INDEX(Matches!$BB$5:$BB$22,MATCH($C128,Matches!$A$5:$A$22,0)))),""))</f>
        <v/>
      </c>
      <c r="AZ128" s="18">
        <f>IF(OR($AY128="",$AT128=""),1,((Config!$B$14*$AY128+Config!$B$15*(1-$AY128))/(Config!$B$14*$AT128+Config!$B$15*(1-$AT128)))^Config!$B$13)</f>
        <v>1</v>
      </c>
      <c r="BA128" s="17">
        <f t="shared" si="9"/>
        <v>16.03246677</v>
      </c>
      <c r="BB128" s="17">
        <f t="shared" si="10"/>
        <v>15.10569279</v>
      </c>
      <c r="BC128" s="17" t="str">
        <f t="shared" si="11"/>
        <v/>
      </c>
      <c r="BD128" s="17">
        <f t="shared" si="12"/>
        <v>31.13815956</v>
      </c>
      <c r="BE128" s="17">
        <f t="shared" si="13"/>
        <v>31.13815956</v>
      </c>
      <c r="BF128" s="17">
        <f t="shared" si="14"/>
        <v>7.890264005</v>
      </c>
      <c r="BG128" s="17">
        <f t="shared" si="15"/>
        <v>8.164626952</v>
      </c>
      <c r="BH128" s="17" t="str">
        <f t="shared" si="16"/>
        <v/>
      </c>
      <c r="BI128" s="17">
        <f t="shared" si="17"/>
        <v>16.05489096</v>
      </c>
      <c r="BJ128" s="17">
        <f t="shared" si="18"/>
        <v>16.05489096</v>
      </c>
      <c r="BK128" s="18">
        <f t="shared" si="19"/>
        <v>0.9636887299</v>
      </c>
    </row>
    <row r="129" ht="15.75" customHeight="1">
      <c r="A129" s="4" t="s">
        <v>3260</v>
      </c>
      <c r="B129" s="4" t="s">
        <v>86</v>
      </c>
      <c r="C129" s="4" t="s">
        <v>838</v>
      </c>
      <c r="D129" s="4" t="s">
        <v>856</v>
      </c>
      <c r="E129" s="4" t="s">
        <v>1552</v>
      </c>
      <c r="F129" s="4" t="s">
        <v>1551</v>
      </c>
      <c r="G129" s="4" t="str">
        <f t="array" ref="G129">IFERROR(IF(INDEX(Matches!$W$5:$W$22,MATCH($C129,Matches!$A$5:$A$22,0))="","",INDEX(Matches!$W$5:$W$22,MATCH($C129,Matches!$A$5:$A$22,0))),"")</f>
        <v>Ancient</v>
      </c>
      <c r="H129" s="4" t="str">
        <f t="array" ref="H129">IFERROR(IF(INDEX(Matches!$X$5:$X$22,MATCH($C129,Matches!$A$5:$A$22,0))="","",INDEX(Matches!$X$5:$X$22,MATCH($C129,Matches!$A$5:$A$22,0))),"")</f>
        <v>Nuke</v>
      </c>
      <c r="I129" s="4" t="str">
        <f t="array" ref="I129">IFERROR(IF(INDEX(Matches!$Y$5:$Y$22,MATCH($C129,Matches!$A$5:$A$22,0))="","",INDEX(Matches!$Y$5:$Y$22,MATCH($C129,Matches!$A$5:$A$22,0))),"")</f>
        <v/>
      </c>
      <c r="J129" s="4">
        <f t="array" ref="J129">IFERROR(IF(INDEX(Matches!$Z$5:$Z$22,MATCH($C129,Matches!$A$5:$A$22,0))="","",INDEX(Matches!$Z$5:$Z$22,MATCH($C129,Matches!$A$5:$A$22,0))),"")</f>
        <v>21.5</v>
      </c>
      <c r="K129" s="4">
        <f t="array" ref="K129">IFERROR(IF(INDEX(Matches!$AA$5:$AA$22,MATCH($C129,Matches!$A$5:$A$22,0))="","",INDEX(Matches!$AA$5:$AA$22,MATCH($C129,Matches!$A$5:$A$22,0))),"")</f>
        <v>21.5</v>
      </c>
      <c r="L129" s="4" t="str">
        <f t="array" ref="L129">IFERROR(IF(INDEX(Matches!$AB$5:$AB$22,MATCH($C129,Matches!$A$5:$A$22,0))="","",INDEX(Matches!$AB$5:$AB$22,MATCH($C129,Matches!$A$5:$A$22,0))),"")</f>
        <v/>
      </c>
      <c r="M129" s="11">
        <f t="array" ref="M129">IFERROR(IF(INDEX(Matches!$AC$5:$AC$22,MATCH($C129,Matches!$A$5:$A$22,0))="","",INDEX(Matches!$AC$5:$AC$22,MATCH($C129,Matches!$A$5:$A$22,0))),"")</f>
        <v>0</v>
      </c>
      <c r="N129" s="4">
        <f t="array" ref="N129">IFERROR(INDEX(Players!$F$2:$F$127,MATCH($F129,Players!$A$2:$A$127,0)),0)</f>
        <v>27</v>
      </c>
      <c r="O129" s="18">
        <f t="array" ref="O129">IFERROR(1/(1/INDEX(Players!$H$2:$H$127,MATCH($F129,Players!$A$2:$A$127,0))),"")</f>
        <v>0.74</v>
      </c>
      <c r="P129" s="11">
        <f t="array" ref="P129">IFERROR(1/(1/INDEX(Players!$I$2:$I$127,MATCH($F129,Players!$A$2:$A$127,0))),"")</f>
        <v>0.348</v>
      </c>
      <c r="Q129" s="4">
        <f>IF($G129="",0,SUMIFS(Map_Stats!$F$2:$F$825,Map_Stats!$A$2:$A$825,$F129&amp;"|"&amp;$G129))</f>
        <v>9</v>
      </c>
      <c r="R129" s="18">
        <f t="array" ref="R129">IF($G129="","",IFERROR(1/(1/INDEX(Map_Stats!$K$2:$K$825,MATCH($F129&amp;"|"&amp;$G129,Map_Stats!$A$2:$A$825,0))),$O129))</f>
        <v>0.66</v>
      </c>
      <c r="S129" s="11">
        <f t="array" ref="S129">IF(OR($G129="",$P129=""),"",IFERROR(1/(1/INDEX(Map_Stats!$I$2:$I$825,MATCH($F129&amp;"|"&amp;$G129,Map_Stats!$A$2:$A$825,0))),$P129))</f>
        <v>0.398</v>
      </c>
      <c r="T129" s="18">
        <f>IF(OR($G129="",R129=""),"",IF($O129="",R129,(Q129*R129+Config!$B$4*$O129)/(Q129+Config!$B$4)))</f>
        <v>0.6885714286</v>
      </c>
      <c r="U129" s="11">
        <f>IF(S129="","",(Q129*S129+Config!$B$4*$P129)/(Q129+Config!$B$4))</f>
        <v>0.3801428571</v>
      </c>
      <c r="V129" s="17">
        <f>IF(OR(T129="",$J129=""),"",T129*$J129*($J129/Config!$B$10)^Config!$B$9)</f>
        <v>14.80428571</v>
      </c>
      <c r="W129" s="17">
        <f t="shared" si="1"/>
        <v>5.627743469</v>
      </c>
      <c r="X129" s="4">
        <f>IF($H129="",0,SUMIFS(Map_Stats!$F$2:$F$825,Map_Stats!$A$2:$A$825,$F129&amp;"|"&amp;$H129))</f>
        <v>5</v>
      </c>
      <c r="Y129" s="18">
        <f t="array" ref="Y129">IF($H129="","",IFERROR(1/(1/INDEX(Map_Stats!$K$2:$K$825,MATCH($F129&amp;"|"&amp;$H129,Map_Stats!$A$2:$A$825,0))),$O129))</f>
        <v>0.77</v>
      </c>
      <c r="Z129" s="11">
        <f t="array" ref="Z129">IF(OR($H129="",$P129=""),"",IFERROR(1/(1/INDEX(Map_Stats!$I$2:$I$825,MATCH($F129&amp;"|"&amp;$H129,Map_Stats!$A$2:$A$825,0))),$P129))</f>
        <v>0.363</v>
      </c>
      <c r="AA129" s="18">
        <f>IF(OR($H129="",Y129=""),"",IF($O129="",Y129,(X129*Y129+Config!$B$4*$O129)/(X129+Config!$B$4)))</f>
        <v>0.755</v>
      </c>
      <c r="AB129" s="11">
        <f>IF(Z129="","",(X129*Z129+Config!$B$4*$P129)/(X129+Config!$B$4))</f>
        <v>0.3555</v>
      </c>
      <c r="AC129" s="17">
        <f>IF(OR(AA129="",$K129=""),"",AA129*$K129*($K129/Config!$B$10)^Config!$B$9)</f>
        <v>16.2325</v>
      </c>
      <c r="AD129" s="17">
        <f t="shared" si="2"/>
        <v>5.77065375</v>
      </c>
      <c r="AE129" s="4">
        <f>IF($I129="",0,SUMIFS(Map_Stats!$F$2:$F$825,Map_Stats!$A$2:$A$825,$F129&amp;"|"&amp;$I129))</f>
        <v>0</v>
      </c>
      <c r="AF129" s="18" t="str">
        <f t="array" ref="AF129">IF($I129="","",IFERROR(1/(1/INDEX(Map_Stats!$K$2:$K$825,MATCH($F129&amp;"|"&amp;$I129,Map_Stats!$A$2:$A$825,0))),$O129))</f>
        <v/>
      </c>
      <c r="AG129" s="11" t="str">
        <f t="array" ref="AG129">IF(OR($I129="",$P129=""),"",IFERROR(1/(1/INDEX(Map_Stats!$I$2:$I$825,MATCH($F129&amp;"|"&amp;$I129,Map_Stats!$A$2:$A$825,0))),$P129))</f>
        <v/>
      </c>
      <c r="AH129" s="18" t="str">
        <f>IF(OR($I129="",AF129=""),"",IF($O129="",AF129,(AE129*AF129+Config!$B$4*$O129)/(AE129+Config!$B$4)))</f>
        <v/>
      </c>
      <c r="AI129" s="11" t="str">
        <f>IF(AG129="","",(AE129*AG129+Config!$B$4*$P129)/(AE129+Config!$B$4))</f>
        <v/>
      </c>
      <c r="AJ129" s="17" t="str">
        <f>IF(OR(AH129="",$L129=""),"",AH129*$L129*($L129/Config!$B$10)^Config!$B$9)</f>
        <v/>
      </c>
      <c r="AK129" s="17" t="str">
        <f t="shared" si="3"/>
        <v/>
      </c>
      <c r="AL129" s="17">
        <f t="shared" si="4"/>
        <v>31.03678571</v>
      </c>
      <c r="AM129" s="17">
        <f t="shared" si="5"/>
        <v>31.03678571</v>
      </c>
      <c r="AN129" s="17">
        <f t="shared" si="6"/>
        <v>11.39839722</v>
      </c>
      <c r="AO129" s="17">
        <f t="shared" si="7"/>
        <v>11.39839722</v>
      </c>
      <c r="AP129" s="11">
        <f t="shared" si="8"/>
        <v>0.3672544356</v>
      </c>
      <c r="AQ129" s="4" t="str">
        <f>TRIM(IF($N129&lt;Config!$B$12,"thin sample ("&amp;$N129&amp;" maps) · ","")&amp;IF(AND($G129&lt;&gt;"",Q129=0),"M1 unplayed→overall KPR · ","")&amp;IF(AND($H129&lt;&gt;"",X129=0),"M2 unplayed→overall KPR · ","")&amp;IF($O129="","no PickFinder stats",""))</f>
        <v/>
      </c>
      <c r="AR129" s="4" t="str">
        <f>IF($C129=Board!$B$2,COUNTIFS($C$2:$C$157,Board!$B$2,$AL$2:$AL$157,"&gt;"&amp;$AL129)+COUNTIFS($C$1:$C128,Board!$B$2,$AL$1:$AL128,$AL129)+1,"")</f>
        <v/>
      </c>
      <c r="AS129" s="4" t="str">
        <f t="array" ref="AS129">IFERROR(IF($D129=INDEX(Matches!$AD$5:$AD$22,MATCH($C129,Matches!$A$5:$A$22,0)),"A",IF($D129=INDEX(Matches!$AE$5:$AE$22,MATCH($C129,Matches!$A$5:$A$22,0)),"B","")),"")</f>
        <v>A</v>
      </c>
      <c r="AT129" s="11">
        <f t="array" ref="AT129">IF($AS129="","",IFERROR(IF($AS129="A",INDEX(Matches!$AI$5:$AI$22,MATCH($C129,Matches!$A$5:$A$22,0)),INDEX(Matches!$AJ$5:$AJ$22,MATCH($C129,Matches!$A$5:$A$22,0))),""))</f>
        <v>0.5464339904</v>
      </c>
      <c r="AU129" s="11">
        <f t="array" ref="AU129">IF($AS129="","",IFERROR(IF(INDEX(Matches!$AP$5:$AP$22,MATCH($C129,Matches!$A$5:$A$22,0))="","",IF($AS129="A",INDEX(Matches!$AP$5:$AP$22,MATCH($C129,Matches!$A$5:$A$22,0)),1-INDEX(Matches!$AP$5:$AP$22,MATCH($C129,Matches!$A$5:$A$22,0)))),""))</f>
        <v>0.4982463887</v>
      </c>
      <c r="AV129" s="18">
        <f>IF(OR($AU129="",$AT129=""),1,((Config!$B$14*$AU129+Config!$B$15*(1-$AU129))/(Config!$B$14*$AT129+Config!$B$15*(1-$AT129)))^Config!$B$13)</f>
        <v>0.958654344</v>
      </c>
      <c r="AW129" s="11">
        <f t="array" ref="AW129">IF($AS129="","",IFERROR(IF(INDEX(Matches!$AV$5:$AV$22,MATCH($C129,Matches!$A$5:$A$22,0))="","",IF($AS129="A",INDEX(Matches!$AV$5:$AV$22,MATCH($C129,Matches!$A$5:$A$22,0)),1-INDEX(Matches!$AV$5:$AV$22,MATCH($C129,Matches!$A$5:$A$22,0)))),""))</f>
        <v>0.5104091344</v>
      </c>
      <c r="AX129" s="18">
        <f>IF(OR($AW129="",$AT129=""),1,((Config!$B$14*$AW129+Config!$B$15*(1-$AW129))/(Config!$B$14*$AT129+Config!$B$15*(1-$AT129)))^Config!$B$13)</f>
        <v>0.9690901549</v>
      </c>
      <c r="AY129" s="11" t="str">
        <f t="array" ref="AY129">IF($AS129="","",IFERROR(IF(INDEX(Matches!$BB$5:$BB$22,MATCH($C129,Matches!$A$5:$A$22,0))="","",IF($AS129="A",INDEX(Matches!$BB$5:$BB$22,MATCH($C129,Matches!$A$5:$A$22,0)),1-INDEX(Matches!$BB$5:$BB$22,MATCH($C129,Matches!$A$5:$A$22,0)))),""))</f>
        <v/>
      </c>
      <c r="AZ129" s="18">
        <f>IF(OR($AY129="",$AT129=""),1,((Config!$B$14*$AY129+Config!$B$15*(1-$AY129))/(Config!$B$14*$AT129+Config!$B$15*(1-$AT129)))^Config!$B$13)</f>
        <v>1</v>
      </c>
      <c r="BA129" s="17">
        <f t="shared" si="9"/>
        <v>14.19219281</v>
      </c>
      <c r="BB129" s="17">
        <f t="shared" si="10"/>
        <v>15.73075594</v>
      </c>
      <c r="BC129" s="17" t="str">
        <f t="shared" si="11"/>
        <v/>
      </c>
      <c r="BD129" s="17">
        <f t="shared" si="12"/>
        <v>29.92294875</v>
      </c>
      <c r="BE129" s="17">
        <f t="shared" si="13"/>
        <v>29.92294875</v>
      </c>
      <c r="BF129" s="17">
        <f t="shared" si="14"/>
        <v>5.395060724</v>
      </c>
      <c r="BG129" s="17">
        <f t="shared" si="15"/>
        <v>5.592283736</v>
      </c>
      <c r="BH129" s="17" t="str">
        <f t="shared" si="16"/>
        <v/>
      </c>
      <c r="BI129" s="17">
        <f t="shared" si="17"/>
        <v>10.98734446</v>
      </c>
      <c r="BJ129" s="17">
        <f t="shared" si="18"/>
        <v>10.98734446</v>
      </c>
      <c r="BK129" s="18">
        <f t="shared" si="19"/>
        <v>0.9641123609</v>
      </c>
    </row>
    <row r="130" ht="15.75" customHeight="1">
      <c r="A130" s="4" t="s">
        <v>3261</v>
      </c>
      <c r="B130" s="4" t="s">
        <v>86</v>
      </c>
      <c r="C130" s="4" t="s">
        <v>838</v>
      </c>
      <c r="D130" s="4" t="s">
        <v>856</v>
      </c>
      <c r="E130" s="4" t="s">
        <v>1555</v>
      </c>
      <c r="F130" s="4" t="s">
        <v>1554</v>
      </c>
      <c r="G130" s="4" t="str">
        <f t="array" ref="G130">IFERROR(IF(INDEX(Matches!$W$5:$W$22,MATCH($C130,Matches!$A$5:$A$22,0))="","",INDEX(Matches!$W$5:$W$22,MATCH($C130,Matches!$A$5:$A$22,0))),"")</f>
        <v>Ancient</v>
      </c>
      <c r="H130" s="4" t="str">
        <f t="array" ref="H130">IFERROR(IF(INDEX(Matches!$X$5:$X$22,MATCH($C130,Matches!$A$5:$A$22,0))="","",INDEX(Matches!$X$5:$X$22,MATCH($C130,Matches!$A$5:$A$22,0))),"")</f>
        <v>Nuke</v>
      </c>
      <c r="I130" s="4" t="str">
        <f t="array" ref="I130">IFERROR(IF(INDEX(Matches!$Y$5:$Y$22,MATCH($C130,Matches!$A$5:$A$22,0))="","",INDEX(Matches!$Y$5:$Y$22,MATCH($C130,Matches!$A$5:$A$22,0))),"")</f>
        <v/>
      </c>
      <c r="J130" s="4">
        <f t="array" ref="J130">IFERROR(IF(INDEX(Matches!$Z$5:$Z$22,MATCH($C130,Matches!$A$5:$A$22,0))="","",INDEX(Matches!$Z$5:$Z$22,MATCH($C130,Matches!$A$5:$A$22,0))),"")</f>
        <v>21.5</v>
      </c>
      <c r="K130" s="4">
        <f t="array" ref="K130">IFERROR(IF(INDEX(Matches!$AA$5:$AA$22,MATCH($C130,Matches!$A$5:$A$22,0))="","",INDEX(Matches!$AA$5:$AA$22,MATCH($C130,Matches!$A$5:$A$22,0))),"")</f>
        <v>21.5</v>
      </c>
      <c r="L130" s="4" t="str">
        <f t="array" ref="L130">IFERROR(IF(INDEX(Matches!$AB$5:$AB$22,MATCH($C130,Matches!$A$5:$A$22,0))="","",INDEX(Matches!$AB$5:$AB$22,MATCH($C130,Matches!$A$5:$A$22,0))),"")</f>
        <v/>
      </c>
      <c r="M130" s="11">
        <f t="array" ref="M130">IFERROR(IF(INDEX(Matches!$AC$5:$AC$22,MATCH($C130,Matches!$A$5:$A$22,0))="","",INDEX(Matches!$AC$5:$AC$22,MATCH($C130,Matches!$A$5:$A$22,0))),"")</f>
        <v>0</v>
      </c>
      <c r="N130" s="4">
        <f t="array" ref="N130">IFERROR(INDEX(Players!$F$2:$F$127,MATCH($F130,Players!$A$2:$A$127,0)),0)</f>
        <v>27</v>
      </c>
      <c r="O130" s="18">
        <f t="array" ref="O130">IFERROR(1/(1/INDEX(Players!$H$2:$H$127,MATCH($F130,Players!$A$2:$A$127,0))),"")</f>
        <v>0.7</v>
      </c>
      <c r="P130" s="11">
        <f t="array" ref="P130">IFERROR(1/(1/INDEX(Players!$I$2:$I$127,MATCH($F130,Players!$A$2:$A$127,0))),"")</f>
        <v>0.587</v>
      </c>
      <c r="Q130" s="4">
        <f>IF($G130="",0,SUMIFS(Map_Stats!$F$2:$F$825,Map_Stats!$A$2:$A$825,$F130&amp;"|"&amp;$G130))</f>
        <v>9</v>
      </c>
      <c r="R130" s="18">
        <f t="array" ref="R130">IF($G130="","",IFERROR(1/(1/INDEX(Map_Stats!$K$2:$K$825,MATCH($F130&amp;"|"&amp;$G130,Map_Stats!$A$2:$A$825,0))),$O130))</f>
        <v>0.86</v>
      </c>
      <c r="S130" s="11">
        <f t="array" ref="S130">IF(OR($G130="",$P130=""),"",IFERROR(1/(1/INDEX(Map_Stats!$I$2:$I$825,MATCH($F130&amp;"|"&amp;$G130,Map_Stats!$A$2:$A$825,0))),$P130))</f>
        <v>0.541</v>
      </c>
      <c r="T130" s="18">
        <f>IF(OR($G130="",R130=""),"",IF($O130="",R130,(Q130*R130+Config!$B$4*$O130)/(Q130+Config!$B$4)))</f>
        <v>0.8028571429</v>
      </c>
      <c r="U130" s="11">
        <f>IF(S130="","",(Q130*S130+Config!$B$4*$P130)/(Q130+Config!$B$4))</f>
        <v>0.5574285714</v>
      </c>
      <c r="V130" s="17">
        <f>IF(OR(T130="",$J130=""),"",T130*$J130*($J130/Config!$B$10)^Config!$B$9)</f>
        <v>17.26142857</v>
      </c>
      <c r="W130" s="17">
        <f t="shared" si="1"/>
        <v>9.622013469</v>
      </c>
      <c r="X130" s="4">
        <f>IF($H130="",0,SUMIFS(Map_Stats!$F$2:$F$825,Map_Stats!$A$2:$A$825,$F130&amp;"|"&amp;$H130))</f>
        <v>5</v>
      </c>
      <c r="Y130" s="18">
        <f t="array" ref="Y130">IF($H130="","",IFERROR(1/(1/INDEX(Map_Stats!$K$2:$K$825,MATCH($F130&amp;"|"&amp;$H130,Map_Stats!$A$2:$A$825,0))),$O130))</f>
        <v>0.7</v>
      </c>
      <c r="Z130" s="11">
        <f t="array" ref="Z130">IF(OR($H130="",$P130=""),"",IFERROR(1/(1/INDEX(Map_Stats!$I$2:$I$825,MATCH($F130&amp;"|"&amp;$H130,Map_Stats!$A$2:$A$825,0))),$P130))</f>
        <v>0.624</v>
      </c>
      <c r="AA130" s="18">
        <f>IF(OR($H130="",Y130=""),"",IF($O130="",Y130,(X130*Y130+Config!$B$4*$O130)/(X130+Config!$B$4)))</f>
        <v>0.7</v>
      </c>
      <c r="AB130" s="11">
        <f>IF(Z130="","",(X130*Z130+Config!$B$4*$P130)/(X130+Config!$B$4))</f>
        <v>0.6055</v>
      </c>
      <c r="AC130" s="17">
        <f>IF(OR(AA130="",$K130=""),"",AA130*$K130*($K130/Config!$B$10)^Config!$B$9)</f>
        <v>15.05</v>
      </c>
      <c r="AD130" s="17">
        <f t="shared" si="2"/>
        <v>9.112775</v>
      </c>
      <c r="AE130" s="4">
        <f>IF($I130="",0,SUMIFS(Map_Stats!$F$2:$F$825,Map_Stats!$A$2:$A$825,$F130&amp;"|"&amp;$I130))</f>
        <v>0</v>
      </c>
      <c r="AF130" s="18" t="str">
        <f t="array" ref="AF130">IF($I130="","",IFERROR(1/(1/INDEX(Map_Stats!$K$2:$K$825,MATCH($F130&amp;"|"&amp;$I130,Map_Stats!$A$2:$A$825,0))),$O130))</f>
        <v/>
      </c>
      <c r="AG130" s="11" t="str">
        <f t="array" ref="AG130">IF(OR($I130="",$P130=""),"",IFERROR(1/(1/INDEX(Map_Stats!$I$2:$I$825,MATCH($F130&amp;"|"&amp;$I130,Map_Stats!$A$2:$A$825,0))),$P130))</f>
        <v/>
      </c>
      <c r="AH130" s="18" t="str">
        <f>IF(OR($I130="",AF130=""),"",IF($O130="",AF130,(AE130*AF130+Config!$B$4*$O130)/(AE130+Config!$B$4)))</f>
        <v/>
      </c>
      <c r="AI130" s="11" t="str">
        <f>IF(AG130="","",(AE130*AG130+Config!$B$4*$P130)/(AE130+Config!$B$4))</f>
        <v/>
      </c>
      <c r="AJ130" s="17" t="str">
        <f>IF(OR(AH130="",$L130=""),"",AH130*$L130*($L130/Config!$B$10)^Config!$B$9)</f>
        <v/>
      </c>
      <c r="AK130" s="17" t="str">
        <f t="shared" si="3"/>
        <v/>
      </c>
      <c r="AL130" s="17">
        <f t="shared" si="4"/>
        <v>32.31142857</v>
      </c>
      <c r="AM130" s="17">
        <f t="shared" si="5"/>
        <v>32.31142857</v>
      </c>
      <c r="AN130" s="17">
        <f t="shared" si="6"/>
        <v>18.73478847</v>
      </c>
      <c r="AO130" s="17">
        <f t="shared" si="7"/>
        <v>18.73478847</v>
      </c>
      <c r="AP130" s="11">
        <f t="shared" si="8"/>
        <v>0.5798192558</v>
      </c>
      <c r="AQ130" s="4" t="str">
        <f>TRIM(IF($N130&lt;Config!$B$12,"thin sample ("&amp;$N130&amp;" maps) · ","")&amp;IF(AND($G130&lt;&gt;"",Q130=0),"M1 unplayed→overall KPR · ","")&amp;IF(AND($H130&lt;&gt;"",X130=0),"M2 unplayed→overall KPR · ","")&amp;IF($O130="","no PickFinder stats",""))</f>
        <v/>
      </c>
      <c r="AR130" s="4" t="str">
        <f>IF($C130=Board!$B$2,COUNTIFS($C$2:$C$157,Board!$B$2,$AL$2:$AL$157,"&gt;"&amp;$AL130)+COUNTIFS($C$1:$C129,Board!$B$2,$AL$1:$AL129,$AL130)+1,"")</f>
        <v/>
      </c>
      <c r="AS130" s="4" t="str">
        <f t="array" ref="AS130">IFERROR(IF($D130=INDEX(Matches!$AD$5:$AD$22,MATCH($C130,Matches!$A$5:$A$22,0)),"A",IF($D130=INDEX(Matches!$AE$5:$AE$22,MATCH($C130,Matches!$A$5:$A$22,0)),"B","")),"")</f>
        <v>A</v>
      </c>
      <c r="AT130" s="11">
        <f t="array" ref="AT130">IF($AS130="","",IFERROR(IF($AS130="A",INDEX(Matches!$AI$5:$AI$22,MATCH($C130,Matches!$A$5:$A$22,0)),INDEX(Matches!$AJ$5:$AJ$22,MATCH($C130,Matches!$A$5:$A$22,0))),""))</f>
        <v>0.5464339904</v>
      </c>
      <c r="AU130" s="11">
        <f t="array" ref="AU130">IF($AS130="","",IFERROR(IF(INDEX(Matches!$AP$5:$AP$22,MATCH($C130,Matches!$A$5:$A$22,0))="","",IF($AS130="A",INDEX(Matches!$AP$5:$AP$22,MATCH($C130,Matches!$A$5:$A$22,0)),1-INDEX(Matches!$AP$5:$AP$22,MATCH($C130,Matches!$A$5:$A$22,0)))),""))</f>
        <v>0.4982463887</v>
      </c>
      <c r="AV130" s="18">
        <f>IF(OR($AU130="",$AT130=""),1,((Config!$B$14*$AU130+Config!$B$15*(1-$AU130))/(Config!$B$14*$AT130+Config!$B$15*(1-$AT130)))^Config!$B$13)</f>
        <v>0.958654344</v>
      </c>
      <c r="AW130" s="11">
        <f t="array" ref="AW130">IF($AS130="","",IFERROR(IF(INDEX(Matches!$AV$5:$AV$22,MATCH($C130,Matches!$A$5:$A$22,0))="","",IF($AS130="A",INDEX(Matches!$AV$5:$AV$22,MATCH($C130,Matches!$A$5:$A$22,0)),1-INDEX(Matches!$AV$5:$AV$22,MATCH($C130,Matches!$A$5:$A$22,0)))),""))</f>
        <v>0.5104091344</v>
      </c>
      <c r="AX130" s="18">
        <f>IF(OR($AW130="",$AT130=""),1,((Config!$B$14*$AW130+Config!$B$15*(1-$AW130))/(Config!$B$14*$AT130+Config!$B$15*(1-$AT130)))^Config!$B$13)</f>
        <v>0.9690901549</v>
      </c>
      <c r="AY130" s="11" t="str">
        <f t="array" ref="AY130">IF($AS130="","",IFERROR(IF(INDEX(Matches!$BB$5:$BB$22,MATCH($C130,Matches!$A$5:$A$22,0))="","",IF($AS130="A",INDEX(Matches!$BB$5:$BB$22,MATCH($C130,Matches!$A$5:$A$22,0)),1-INDEX(Matches!$BB$5:$BB$22,MATCH($C130,Matches!$A$5:$A$22,0)))),""))</f>
        <v/>
      </c>
      <c r="AZ130" s="18">
        <f>IF(OR($AY130="",$AT130=""),1,((Config!$B$14*$AY130+Config!$B$15*(1-$AY130))/(Config!$B$14*$AT130+Config!$B$15*(1-$AT130)))^Config!$B$13)</f>
        <v>1</v>
      </c>
      <c r="BA130" s="17">
        <f t="shared" si="9"/>
        <v>16.54774348</v>
      </c>
      <c r="BB130" s="17">
        <f t="shared" si="10"/>
        <v>14.58480683</v>
      </c>
      <c r="BC130" s="17" t="str">
        <f t="shared" si="11"/>
        <v/>
      </c>
      <c r="BD130" s="17">
        <f t="shared" si="12"/>
        <v>31.13255031</v>
      </c>
      <c r="BE130" s="17">
        <f t="shared" si="13"/>
        <v>31.13255031</v>
      </c>
      <c r="BF130" s="17">
        <f t="shared" si="14"/>
        <v>9.22418501</v>
      </c>
      <c r="BG130" s="17">
        <f t="shared" si="15"/>
        <v>8.831100536</v>
      </c>
      <c r="BH130" s="17" t="str">
        <f t="shared" si="16"/>
        <v/>
      </c>
      <c r="BI130" s="17">
        <f t="shared" si="17"/>
        <v>18.05528555</v>
      </c>
      <c r="BJ130" s="17">
        <f t="shared" si="18"/>
        <v>18.05528555</v>
      </c>
      <c r="BK130" s="18">
        <f t="shared" si="19"/>
        <v>0.9635151304</v>
      </c>
    </row>
    <row r="131" ht="15.75" customHeight="1">
      <c r="A131" s="4" t="s">
        <v>3262</v>
      </c>
      <c r="B131" s="4" t="s">
        <v>86</v>
      </c>
      <c r="C131" s="4" t="s">
        <v>838</v>
      </c>
      <c r="D131" s="4" t="s">
        <v>856</v>
      </c>
      <c r="E131" s="4" t="s">
        <v>1558</v>
      </c>
      <c r="F131" s="4" t="s">
        <v>1557</v>
      </c>
      <c r="G131" s="4" t="str">
        <f t="array" ref="G131">IFERROR(IF(INDEX(Matches!$W$5:$W$22,MATCH($C131,Matches!$A$5:$A$22,0))="","",INDEX(Matches!$W$5:$W$22,MATCH($C131,Matches!$A$5:$A$22,0))),"")</f>
        <v>Ancient</v>
      </c>
      <c r="H131" s="4" t="str">
        <f t="array" ref="H131">IFERROR(IF(INDEX(Matches!$X$5:$X$22,MATCH($C131,Matches!$A$5:$A$22,0))="","",INDEX(Matches!$X$5:$X$22,MATCH($C131,Matches!$A$5:$A$22,0))),"")</f>
        <v>Nuke</v>
      </c>
      <c r="I131" s="4" t="str">
        <f t="array" ref="I131">IFERROR(IF(INDEX(Matches!$Y$5:$Y$22,MATCH($C131,Matches!$A$5:$A$22,0))="","",INDEX(Matches!$Y$5:$Y$22,MATCH($C131,Matches!$A$5:$A$22,0))),"")</f>
        <v/>
      </c>
      <c r="J131" s="4">
        <f t="array" ref="J131">IFERROR(IF(INDEX(Matches!$Z$5:$Z$22,MATCH($C131,Matches!$A$5:$A$22,0))="","",INDEX(Matches!$Z$5:$Z$22,MATCH($C131,Matches!$A$5:$A$22,0))),"")</f>
        <v>21.5</v>
      </c>
      <c r="K131" s="4">
        <f t="array" ref="K131">IFERROR(IF(INDEX(Matches!$AA$5:$AA$22,MATCH($C131,Matches!$A$5:$A$22,0))="","",INDEX(Matches!$AA$5:$AA$22,MATCH($C131,Matches!$A$5:$A$22,0))),"")</f>
        <v>21.5</v>
      </c>
      <c r="L131" s="4" t="str">
        <f t="array" ref="L131">IFERROR(IF(INDEX(Matches!$AB$5:$AB$22,MATCH($C131,Matches!$A$5:$A$22,0))="","",INDEX(Matches!$AB$5:$AB$22,MATCH($C131,Matches!$A$5:$A$22,0))),"")</f>
        <v/>
      </c>
      <c r="M131" s="11">
        <f t="array" ref="M131">IFERROR(IF(INDEX(Matches!$AC$5:$AC$22,MATCH($C131,Matches!$A$5:$A$22,0))="","",INDEX(Matches!$AC$5:$AC$22,MATCH($C131,Matches!$A$5:$A$22,0))),"")</f>
        <v>0</v>
      </c>
      <c r="N131" s="4">
        <f t="array" ref="N131">IFERROR(INDEX(Players!$F$2:$F$127,MATCH($F131,Players!$A$2:$A$127,0)),0)</f>
        <v>27</v>
      </c>
      <c r="O131" s="18">
        <f t="array" ref="O131">IFERROR(1/(1/INDEX(Players!$H$2:$H$127,MATCH($F131,Players!$A$2:$A$127,0))),"")</f>
        <v>0.63</v>
      </c>
      <c r="P131" s="11">
        <f t="array" ref="P131">IFERROR(1/(1/INDEX(Players!$I$2:$I$127,MATCH($F131,Players!$A$2:$A$127,0))),"")</f>
        <v>0.51</v>
      </c>
      <c r="Q131" s="4">
        <f>IF($G131="",0,SUMIFS(Map_Stats!$F$2:$F$825,Map_Stats!$A$2:$A$825,$F131&amp;"|"&amp;$G131))</f>
        <v>9</v>
      </c>
      <c r="R131" s="18">
        <f t="array" ref="R131">IF($G131="","",IFERROR(1/(1/INDEX(Map_Stats!$K$2:$K$825,MATCH($F131&amp;"|"&amp;$G131,Map_Stats!$A$2:$A$825,0))),$O131))</f>
        <v>0.71</v>
      </c>
      <c r="S131" s="11">
        <f t="array" ref="S131">IF(OR($G131="",$P131=""),"",IFERROR(1/(1/INDEX(Map_Stats!$I$2:$I$825,MATCH($F131&amp;"|"&amp;$G131,Map_Stats!$A$2:$A$825,0))),$P131))</f>
        <v>0.458</v>
      </c>
      <c r="T131" s="18">
        <f>IF(OR($G131="",R131=""),"",IF($O131="",R131,(Q131*R131+Config!$B$4*$O131)/(Q131+Config!$B$4)))</f>
        <v>0.6814285714</v>
      </c>
      <c r="U131" s="11">
        <f>IF(S131="","",(Q131*S131+Config!$B$4*$P131)/(Q131+Config!$B$4))</f>
        <v>0.4765714286</v>
      </c>
      <c r="V131" s="17">
        <f>IF(OR(T131="",$J131=""),"",T131*$J131*($J131/Config!$B$10)^Config!$B$9)</f>
        <v>14.65071429</v>
      </c>
      <c r="W131" s="17">
        <f t="shared" si="1"/>
        <v>6.982111837</v>
      </c>
      <c r="X131" s="4">
        <f>IF($H131="",0,SUMIFS(Map_Stats!$F$2:$F$825,Map_Stats!$A$2:$A$825,$F131&amp;"|"&amp;$H131))</f>
        <v>5</v>
      </c>
      <c r="Y131" s="18">
        <f t="array" ref="Y131">IF($H131="","",IFERROR(1/(1/INDEX(Map_Stats!$K$2:$K$825,MATCH($F131&amp;"|"&amp;$H131,Map_Stats!$A$2:$A$825,0))),$O131))</f>
        <v>0.54</v>
      </c>
      <c r="Z131" s="11">
        <f t="array" ref="Z131">IF(OR($H131="",$P131=""),"",IFERROR(1/(1/INDEX(Map_Stats!$I$2:$I$825,MATCH($F131&amp;"|"&amp;$H131,Map_Stats!$A$2:$A$825,0))),$P131))</f>
        <v>0.521</v>
      </c>
      <c r="AA131" s="18">
        <f>IF(OR($H131="",Y131=""),"",IF($O131="",Y131,(X131*Y131+Config!$B$4*$O131)/(X131+Config!$B$4)))</f>
        <v>0.585</v>
      </c>
      <c r="AB131" s="11">
        <f>IF(Z131="","",(X131*Z131+Config!$B$4*$P131)/(X131+Config!$B$4))</f>
        <v>0.5155</v>
      </c>
      <c r="AC131" s="17">
        <f>IF(OR(AA131="",$K131=""),"",AA131*$K131*($K131/Config!$B$10)^Config!$B$9)</f>
        <v>12.5775</v>
      </c>
      <c r="AD131" s="17">
        <f t="shared" si="2"/>
        <v>6.48370125</v>
      </c>
      <c r="AE131" s="4">
        <f>IF($I131="",0,SUMIFS(Map_Stats!$F$2:$F$825,Map_Stats!$A$2:$A$825,$F131&amp;"|"&amp;$I131))</f>
        <v>0</v>
      </c>
      <c r="AF131" s="18" t="str">
        <f t="array" ref="AF131">IF($I131="","",IFERROR(1/(1/INDEX(Map_Stats!$K$2:$K$825,MATCH($F131&amp;"|"&amp;$I131,Map_Stats!$A$2:$A$825,0))),$O131))</f>
        <v/>
      </c>
      <c r="AG131" s="11" t="str">
        <f t="array" ref="AG131">IF(OR($I131="",$P131=""),"",IFERROR(1/(1/INDEX(Map_Stats!$I$2:$I$825,MATCH($F131&amp;"|"&amp;$I131,Map_Stats!$A$2:$A$825,0))),$P131))</f>
        <v/>
      </c>
      <c r="AH131" s="18" t="str">
        <f>IF(OR($I131="",AF131=""),"",IF($O131="",AF131,(AE131*AF131+Config!$B$4*$O131)/(AE131+Config!$B$4)))</f>
        <v/>
      </c>
      <c r="AI131" s="11" t="str">
        <f>IF(AG131="","",(AE131*AG131+Config!$B$4*$P131)/(AE131+Config!$B$4))</f>
        <v/>
      </c>
      <c r="AJ131" s="17" t="str">
        <f>IF(OR(AH131="",$L131=""),"",AH131*$L131*($L131/Config!$B$10)^Config!$B$9)</f>
        <v/>
      </c>
      <c r="AK131" s="17" t="str">
        <f t="shared" si="3"/>
        <v/>
      </c>
      <c r="AL131" s="17">
        <f t="shared" si="4"/>
        <v>27.22821429</v>
      </c>
      <c r="AM131" s="17">
        <f t="shared" si="5"/>
        <v>27.22821429</v>
      </c>
      <c r="AN131" s="17">
        <f t="shared" si="6"/>
        <v>13.46581309</v>
      </c>
      <c r="AO131" s="17">
        <f t="shared" si="7"/>
        <v>13.46581309</v>
      </c>
      <c r="AP131" s="11">
        <f t="shared" si="8"/>
        <v>0.4945536621</v>
      </c>
      <c r="AQ131" s="4" t="str">
        <f>TRIM(IF($N131&lt;Config!$B$12,"thin sample ("&amp;$N131&amp;" maps) · ","")&amp;IF(AND($G131&lt;&gt;"",Q131=0),"M1 unplayed→overall KPR · ","")&amp;IF(AND($H131&lt;&gt;"",X131=0),"M2 unplayed→overall KPR · ","")&amp;IF($O131="","no PickFinder stats",""))</f>
        <v/>
      </c>
      <c r="AR131" s="4" t="str">
        <f>IF($C131=Board!$B$2,COUNTIFS($C$2:$C$157,Board!$B$2,$AL$2:$AL$157,"&gt;"&amp;$AL131)+COUNTIFS($C$1:$C130,Board!$B$2,$AL$1:$AL130,$AL131)+1,"")</f>
        <v/>
      </c>
      <c r="AS131" s="4" t="str">
        <f t="array" ref="AS131">IFERROR(IF($D131=INDEX(Matches!$AD$5:$AD$22,MATCH($C131,Matches!$A$5:$A$22,0)),"A",IF($D131=INDEX(Matches!$AE$5:$AE$22,MATCH($C131,Matches!$A$5:$A$22,0)),"B","")),"")</f>
        <v>A</v>
      </c>
      <c r="AT131" s="11">
        <f t="array" ref="AT131">IF($AS131="","",IFERROR(IF($AS131="A",INDEX(Matches!$AI$5:$AI$22,MATCH($C131,Matches!$A$5:$A$22,0)),INDEX(Matches!$AJ$5:$AJ$22,MATCH($C131,Matches!$A$5:$A$22,0))),""))</f>
        <v>0.5464339904</v>
      </c>
      <c r="AU131" s="11">
        <f t="array" ref="AU131">IF($AS131="","",IFERROR(IF(INDEX(Matches!$AP$5:$AP$22,MATCH($C131,Matches!$A$5:$A$22,0))="","",IF($AS131="A",INDEX(Matches!$AP$5:$AP$22,MATCH($C131,Matches!$A$5:$A$22,0)),1-INDEX(Matches!$AP$5:$AP$22,MATCH($C131,Matches!$A$5:$A$22,0)))),""))</f>
        <v>0.4982463887</v>
      </c>
      <c r="AV131" s="18">
        <f>IF(OR($AU131="",$AT131=""),1,((Config!$B$14*$AU131+Config!$B$15*(1-$AU131))/(Config!$B$14*$AT131+Config!$B$15*(1-$AT131)))^Config!$B$13)</f>
        <v>0.958654344</v>
      </c>
      <c r="AW131" s="11">
        <f t="array" ref="AW131">IF($AS131="","",IFERROR(IF(INDEX(Matches!$AV$5:$AV$22,MATCH($C131,Matches!$A$5:$A$22,0))="","",IF($AS131="A",INDEX(Matches!$AV$5:$AV$22,MATCH($C131,Matches!$A$5:$A$22,0)),1-INDEX(Matches!$AV$5:$AV$22,MATCH($C131,Matches!$A$5:$A$22,0)))),""))</f>
        <v>0.5104091344</v>
      </c>
      <c r="AX131" s="18">
        <f>IF(OR($AW131="",$AT131=""),1,((Config!$B$14*$AW131+Config!$B$15*(1-$AW131))/(Config!$B$14*$AT131+Config!$B$15*(1-$AT131)))^Config!$B$13)</f>
        <v>0.9690901549</v>
      </c>
      <c r="AY131" s="11" t="str">
        <f t="array" ref="AY131">IF($AS131="","",IFERROR(IF(INDEX(Matches!$BB$5:$BB$22,MATCH($C131,Matches!$A$5:$A$22,0))="","",IF($AS131="A",INDEX(Matches!$BB$5:$BB$22,MATCH($C131,Matches!$A$5:$A$22,0)),1-INDEX(Matches!$BB$5:$BB$22,MATCH($C131,Matches!$A$5:$A$22,0)))),""))</f>
        <v/>
      </c>
      <c r="AZ131" s="18">
        <f>IF(OR($AY131="",$AT131=""),1,((Config!$B$14*$AY131+Config!$B$15*(1-$AY131))/(Config!$B$14*$AT131+Config!$B$15*(1-$AT131)))^Config!$B$13)</f>
        <v>1</v>
      </c>
      <c r="BA131" s="17">
        <f t="shared" si="9"/>
        <v>14.04497089</v>
      </c>
      <c r="BB131" s="17">
        <f t="shared" si="10"/>
        <v>12.18873142</v>
      </c>
      <c r="BC131" s="17" t="str">
        <f t="shared" si="11"/>
        <v/>
      </c>
      <c r="BD131" s="17">
        <f t="shared" si="12"/>
        <v>26.23370232</v>
      </c>
      <c r="BE131" s="17">
        <f t="shared" si="13"/>
        <v>26.23370232</v>
      </c>
      <c r="BF131" s="17">
        <f t="shared" si="14"/>
        <v>6.693431842</v>
      </c>
      <c r="BG131" s="17">
        <f t="shared" si="15"/>
        <v>6.283291048</v>
      </c>
      <c r="BH131" s="17" t="str">
        <f t="shared" si="16"/>
        <v/>
      </c>
      <c r="BI131" s="17">
        <f t="shared" si="17"/>
        <v>12.97672289</v>
      </c>
      <c r="BJ131" s="17">
        <f t="shared" si="18"/>
        <v>12.97672289</v>
      </c>
      <c r="BK131" s="18">
        <f t="shared" si="19"/>
        <v>0.963474947</v>
      </c>
    </row>
    <row r="132" ht="15.75" customHeight="1">
      <c r="A132" s="4" t="s">
        <v>3263</v>
      </c>
      <c r="B132" s="4" t="s">
        <v>86</v>
      </c>
      <c r="C132" s="4" t="s">
        <v>838</v>
      </c>
      <c r="D132" s="4" t="s">
        <v>856</v>
      </c>
      <c r="E132" s="4" t="s">
        <v>1561</v>
      </c>
      <c r="F132" s="4" t="s">
        <v>1560</v>
      </c>
      <c r="G132" s="4" t="str">
        <f t="array" ref="G132">IFERROR(IF(INDEX(Matches!$W$5:$W$22,MATCH($C132,Matches!$A$5:$A$22,0))="","",INDEX(Matches!$W$5:$W$22,MATCH($C132,Matches!$A$5:$A$22,0))),"")</f>
        <v>Ancient</v>
      </c>
      <c r="H132" s="4" t="str">
        <f t="array" ref="H132">IFERROR(IF(INDEX(Matches!$X$5:$X$22,MATCH($C132,Matches!$A$5:$A$22,0))="","",INDEX(Matches!$X$5:$X$22,MATCH($C132,Matches!$A$5:$A$22,0))),"")</f>
        <v>Nuke</v>
      </c>
      <c r="I132" s="4" t="str">
        <f t="array" ref="I132">IFERROR(IF(INDEX(Matches!$Y$5:$Y$22,MATCH($C132,Matches!$A$5:$A$22,0))="","",INDEX(Matches!$Y$5:$Y$22,MATCH($C132,Matches!$A$5:$A$22,0))),"")</f>
        <v/>
      </c>
      <c r="J132" s="4">
        <f t="array" ref="J132">IFERROR(IF(INDEX(Matches!$Z$5:$Z$22,MATCH($C132,Matches!$A$5:$A$22,0))="","",INDEX(Matches!$Z$5:$Z$22,MATCH($C132,Matches!$A$5:$A$22,0))),"")</f>
        <v>21.5</v>
      </c>
      <c r="K132" s="4">
        <f t="array" ref="K132">IFERROR(IF(INDEX(Matches!$AA$5:$AA$22,MATCH($C132,Matches!$A$5:$A$22,0))="","",INDEX(Matches!$AA$5:$AA$22,MATCH($C132,Matches!$A$5:$A$22,0))),"")</f>
        <v>21.5</v>
      </c>
      <c r="L132" s="4" t="str">
        <f t="array" ref="L132">IFERROR(IF(INDEX(Matches!$AB$5:$AB$22,MATCH($C132,Matches!$A$5:$A$22,0))="","",INDEX(Matches!$AB$5:$AB$22,MATCH($C132,Matches!$A$5:$A$22,0))),"")</f>
        <v/>
      </c>
      <c r="M132" s="11">
        <f t="array" ref="M132">IFERROR(IF(INDEX(Matches!$AC$5:$AC$22,MATCH($C132,Matches!$A$5:$A$22,0))="","",INDEX(Matches!$AC$5:$AC$22,MATCH($C132,Matches!$A$5:$A$22,0))),"")</f>
        <v>0</v>
      </c>
      <c r="N132" s="4">
        <f t="array" ref="N132">IFERROR(INDEX(Players!$F$2:$F$127,MATCH($F132,Players!$A$2:$A$127,0)),0)</f>
        <v>27</v>
      </c>
      <c r="O132" s="18">
        <f t="array" ref="O132">IFERROR(1/(1/INDEX(Players!$H$2:$H$127,MATCH($F132,Players!$A$2:$A$127,0))),"")</f>
        <v>0.68</v>
      </c>
      <c r="P132" s="11">
        <f t="array" ref="P132">IFERROR(1/(1/INDEX(Players!$I$2:$I$127,MATCH($F132,Players!$A$2:$A$127,0))),"")</f>
        <v>0.505</v>
      </c>
      <c r="Q132" s="4">
        <f>IF($G132="",0,SUMIFS(Map_Stats!$F$2:$F$825,Map_Stats!$A$2:$A$825,$F132&amp;"|"&amp;$G132))</f>
        <v>9</v>
      </c>
      <c r="R132" s="18">
        <f t="array" ref="R132">IF($G132="","",IFERROR(1/(1/INDEX(Map_Stats!$K$2:$K$825,MATCH($F132&amp;"|"&amp;$G132,Map_Stats!$A$2:$A$825,0))),$O132))</f>
        <v>0.63</v>
      </c>
      <c r="S132" s="11">
        <f t="array" ref="S132">IF(OR($G132="",$P132=""),"",IFERROR(1/(1/INDEX(Map_Stats!$I$2:$I$825,MATCH($F132&amp;"|"&amp;$G132,Map_Stats!$A$2:$A$825,0))),$P132))</f>
        <v>0.479</v>
      </c>
      <c r="T132" s="18">
        <f>IF(OR($G132="",R132=""),"",IF($O132="",R132,(Q132*R132+Config!$B$4*$O132)/(Q132+Config!$B$4)))</f>
        <v>0.6478571429</v>
      </c>
      <c r="U132" s="11">
        <f>IF(S132="","",(Q132*S132+Config!$B$4*$P132)/(Q132+Config!$B$4))</f>
        <v>0.4882857143</v>
      </c>
      <c r="V132" s="17">
        <f>IF(OR(T132="",$J132=""),"",T132*$J132*($J132/Config!$B$10)^Config!$B$9)</f>
        <v>13.92892857</v>
      </c>
      <c r="W132" s="17">
        <f t="shared" si="1"/>
        <v>6.801296837</v>
      </c>
      <c r="X132" s="4">
        <f>IF($H132="",0,SUMIFS(Map_Stats!$F$2:$F$825,Map_Stats!$A$2:$A$825,$F132&amp;"|"&amp;$H132))</f>
        <v>5</v>
      </c>
      <c r="Y132" s="18">
        <f t="array" ref="Y132">IF($H132="","",IFERROR(1/(1/INDEX(Map_Stats!$K$2:$K$825,MATCH($F132&amp;"|"&amp;$H132,Map_Stats!$A$2:$A$825,0))),$O132))</f>
        <v>0.65</v>
      </c>
      <c r="Z132" s="11">
        <f t="array" ref="Z132">IF(OR($H132="",$P132=""),"",IFERROR(1/(1/INDEX(Map_Stats!$I$2:$I$825,MATCH($F132&amp;"|"&amp;$H132,Map_Stats!$A$2:$A$825,0))),$P132))</f>
        <v>0.453</v>
      </c>
      <c r="AA132" s="18">
        <f>IF(OR($H132="",Y132=""),"",IF($O132="",Y132,(X132*Y132+Config!$B$4*$O132)/(X132+Config!$B$4)))</f>
        <v>0.665</v>
      </c>
      <c r="AB132" s="11">
        <f>IF(Z132="","",(X132*Z132+Config!$B$4*$P132)/(X132+Config!$B$4))</f>
        <v>0.479</v>
      </c>
      <c r="AC132" s="17">
        <f>IF(OR(AA132="",$K132=""),"",AA132*$K132*($K132/Config!$B$10)^Config!$B$9)</f>
        <v>14.2975</v>
      </c>
      <c r="AD132" s="17">
        <f t="shared" si="2"/>
        <v>6.8485025</v>
      </c>
      <c r="AE132" s="4">
        <f>IF($I132="",0,SUMIFS(Map_Stats!$F$2:$F$825,Map_Stats!$A$2:$A$825,$F132&amp;"|"&amp;$I132))</f>
        <v>0</v>
      </c>
      <c r="AF132" s="18" t="str">
        <f t="array" ref="AF132">IF($I132="","",IFERROR(1/(1/INDEX(Map_Stats!$K$2:$K$825,MATCH($F132&amp;"|"&amp;$I132,Map_Stats!$A$2:$A$825,0))),$O132))</f>
        <v/>
      </c>
      <c r="AG132" s="11" t="str">
        <f t="array" ref="AG132">IF(OR($I132="",$P132=""),"",IFERROR(1/(1/INDEX(Map_Stats!$I$2:$I$825,MATCH($F132&amp;"|"&amp;$I132,Map_Stats!$A$2:$A$825,0))),$P132))</f>
        <v/>
      </c>
      <c r="AH132" s="18" t="str">
        <f>IF(OR($I132="",AF132=""),"",IF($O132="",AF132,(AE132*AF132+Config!$B$4*$O132)/(AE132+Config!$B$4)))</f>
        <v/>
      </c>
      <c r="AI132" s="11" t="str">
        <f>IF(AG132="","",(AE132*AG132+Config!$B$4*$P132)/(AE132+Config!$B$4))</f>
        <v/>
      </c>
      <c r="AJ132" s="17" t="str">
        <f>IF(OR(AH132="",$L132=""),"",AH132*$L132*($L132/Config!$B$10)^Config!$B$9)</f>
        <v/>
      </c>
      <c r="AK132" s="17" t="str">
        <f t="shared" si="3"/>
        <v/>
      </c>
      <c r="AL132" s="17">
        <f t="shared" si="4"/>
        <v>28.22642857</v>
      </c>
      <c r="AM132" s="17">
        <f t="shared" si="5"/>
        <v>28.22642857</v>
      </c>
      <c r="AN132" s="17">
        <f t="shared" si="6"/>
        <v>13.64979934</v>
      </c>
      <c r="AO132" s="17">
        <f t="shared" si="7"/>
        <v>13.64979934</v>
      </c>
      <c r="AP132" s="11">
        <f t="shared" si="8"/>
        <v>0.4835822322</v>
      </c>
      <c r="AQ132" s="4" t="str">
        <f>TRIM(IF($N132&lt;Config!$B$12,"thin sample ("&amp;$N132&amp;" maps) · ","")&amp;IF(AND($G132&lt;&gt;"",Q132=0),"M1 unplayed→overall KPR · ","")&amp;IF(AND($H132&lt;&gt;"",X132=0),"M2 unplayed→overall KPR · ","")&amp;IF($O132="","no PickFinder stats",""))</f>
        <v/>
      </c>
      <c r="AR132" s="4" t="str">
        <f>IF($C132=Board!$B$2,COUNTIFS($C$2:$C$157,Board!$B$2,$AL$2:$AL$157,"&gt;"&amp;$AL132)+COUNTIFS($C$1:$C131,Board!$B$2,$AL$1:$AL131,$AL132)+1,"")</f>
        <v/>
      </c>
      <c r="AS132" s="4" t="str">
        <f t="array" ref="AS132">IFERROR(IF($D132=INDEX(Matches!$AD$5:$AD$22,MATCH($C132,Matches!$A$5:$A$22,0)),"A",IF($D132=INDEX(Matches!$AE$5:$AE$22,MATCH($C132,Matches!$A$5:$A$22,0)),"B","")),"")</f>
        <v>A</v>
      </c>
      <c r="AT132" s="11">
        <f t="array" ref="AT132">IF($AS132="","",IFERROR(IF($AS132="A",INDEX(Matches!$AI$5:$AI$22,MATCH($C132,Matches!$A$5:$A$22,0)),INDEX(Matches!$AJ$5:$AJ$22,MATCH($C132,Matches!$A$5:$A$22,0))),""))</f>
        <v>0.5464339904</v>
      </c>
      <c r="AU132" s="11">
        <f t="array" ref="AU132">IF($AS132="","",IFERROR(IF(INDEX(Matches!$AP$5:$AP$22,MATCH($C132,Matches!$A$5:$A$22,0))="","",IF($AS132="A",INDEX(Matches!$AP$5:$AP$22,MATCH($C132,Matches!$A$5:$A$22,0)),1-INDEX(Matches!$AP$5:$AP$22,MATCH($C132,Matches!$A$5:$A$22,0)))),""))</f>
        <v>0.4982463887</v>
      </c>
      <c r="AV132" s="18">
        <f>IF(OR($AU132="",$AT132=""),1,((Config!$B$14*$AU132+Config!$B$15*(1-$AU132))/(Config!$B$14*$AT132+Config!$B$15*(1-$AT132)))^Config!$B$13)</f>
        <v>0.958654344</v>
      </c>
      <c r="AW132" s="11">
        <f t="array" ref="AW132">IF($AS132="","",IFERROR(IF(INDEX(Matches!$AV$5:$AV$22,MATCH($C132,Matches!$A$5:$A$22,0))="","",IF($AS132="A",INDEX(Matches!$AV$5:$AV$22,MATCH($C132,Matches!$A$5:$A$22,0)),1-INDEX(Matches!$AV$5:$AV$22,MATCH($C132,Matches!$A$5:$A$22,0)))),""))</f>
        <v>0.5104091344</v>
      </c>
      <c r="AX132" s="18">
        <f>IF(OR($AW132="",$AT132=""),1,((Config!$B$14*$AW132+Config!$B$15*(1-$AW132))/(Config!$B$14*$AT132+Config!$B$15*(1-$AT132)))^Config!$B$13)</f>
        <v>0.9690901549</v>
      </c>
      <c r="AY132" s="11" t="str">
        <f t="array" ref="AY132">IF($AS132="","",IFERROR(IF(INDEX(Matches!$BB$5:$BB$22,MATCH($C132,Matches!$A$5:$A$22,0))="","",IF($AS132="A",INDEX(Matches!$BB$5:$BB$22,MATCH($C132,Matches!$A$5:$A$22,0)),1-INDEX(Matches!$BB$5:$BB$22,MATCH($C132,Matches!$A$5:$A$22,0)))),""))</f>
        <v/>
      </c>
      <c r="AZ132" s="18">
        <f>IF(OR($AY132="",$AT132=""),1,((Config!$B$14*$AY132+Config!$B$15*(1-$AY132))/(Config!$B$14*$AT132+Config!$B$15*(1-$AT132)))^Config!$B$13)</f>
        <v>1</v>
      </c>
      <c r="BA132" s="17">
        <f t="shared" si="9"/>
        <v>13.35302788</v>
      </c>
      <c r="BB132" s="17">
        <f t="shared" si="10"/>
        <v>13.85556649</v>
      </c>
      <c r="BC132" s="17" t="str">
        <f t="shared" si="11"/>
        <v/>
      </c>
      <c r="BD132" s="17">
        <f t="shared" si="12"/>
        <v>27.20859437</v>
      </c>
      <c r="BE132" s="17">
        <f t="shared" si="13"/>
        <v>27.20859437</v>
      </c>
      <c r="BF132" s="17">
        <f t="shared" si="14"/>
        <v>6.520092757</v>
      </c>
      <c r="BG132" s="17">
        <f t="shared" si="15"/>
        <v>6.636816348</v>
      </c>
      <c r="BH132" s="17" t="str">
        <f t="shared" si="16"/>
        <v/>
      </c>
      <c r="BI132" s="17">
        <f t="shared" si="17"/>
        <v>13.15690911</v>
      </c>
      <c r="BJ132" s="17">
        <f t="shared" si="18"/>
        <v>13.15690911</v>
      </c>
      <c r="BK132" s="18">
        <f t="shared" si="19"/>
        <v>0.9639403831</v>
      </c>
    </row>
    <row r="133" ht="15.75" customHeight="1">
      <c r="A133" s="4" t="s">
        <v>3264</v>
      </c>
      <c r="B133" s="4" t="s">
        <v>86</v>
      </c>
      <c r="C133" s="4" t="s">
        <v>1648</v>
      </c>
      <c r="D133" s="4" t="s">
        <v>856</v>
      </c>
      <c r="E133" s="4" t="s">
        <v>1548</v>
      </c>
      <c r="F133" s="4" t="s">
        <v>1547</v>
      </c>
      <c r="G133" s="4" t="str">
        <f t="array" ref="G133">IFERROR(IF(INDEX(Matches!$W$5:$W$22,MATCH($C133,Matches!$A$5:$A$22,0))="","",INDEX(Matches!$W$5:$W$22,MATCH($C133,Matches!$A$5:$A$22,0))),"")</f>
        <v>Ancient</v>
      </c>
      <c r="H133" s="4" t="str">
        <f t="array" ref="H133">IFERROR(IF(INDEX(Matches!$X$5:$X$22,MATCH($C133,Matches!$A$5:$A$22,0))="","",INDEX(Matches!$X$5:$X$22,MATCH($C133,Matches!$A$5:$A$22,0))),"")</f>
        <v>Nuke</v>
      </c>
      <c r="I133" s="4" t="str">
        <f t="array" ref="I133">IFERROR(IF(INDEX(Matches!$Y$5:$Y$22,MATCH($C133,Matches!$A$5:$A$22,0))="","",INDEX(Matches!$Y$5:$Y$22,MATCH($C133,Matches!$A$5:$A$22,0))),"")</f>
        <v/>
      </c>
      <c r="J133" s="4">
        <f t="array" ref="J133">IFERROR(IF(INDEX(Matches!$Z$5:$Z$22,MATCH($C133,Matches!$A$5:$A$22,0))="","",INDEX(Matches!$Z$5:$Z$22,MATCH($C133,Matches!$A$5:$A$22,0))),"")</f>
        <v>21.5</v>
      </c>
      <c r="K133" s="4">
        <f t="array" ref="K133">IFERROR(IF(INDEX(Matches!$AA$5:$AA$22,MATCH($C133,Matches!$A$5:$A$22,0))="","",INDEX(Matches!$AA$5:$AA$22,MATCH($C133,Matches!$A$5:$A$22,0))),"")</f>
        <v>21.5</v>
      </c>
      <c r="L133" s="4" t="str">
        <f t="array" ref="L133">IFERROR(IF(INDEX(Matches!$AB$5:$AB$22,MATCH($C133,Matches!$A$5:$A$22,0))="","",INDEX(Matches!$AB$5:$AB$22,MATCH($C133,Matches!$A$5:$A$22,0))),"")</f>
        <v/>
      </c>
      <c r="M133" s="11">
        <f t="array" ref="M133">IFERROR(IF(INDEX(Matches!$AC$5:$AC$22,MATCH($C133,Matches!$A$5:$A$22,0))="","",INDEX(Matches!$AC$5:$AC$22,MATCH($C133,Matches!$A$5:$A$22,0))),"")</f>
        <v>0</v>
      </c>
      <c r="N133" s="4">
        <f t="array" ref="N133">IFERROR(INDEX(Players!$F$2:$F$127,MATCH($F133,Players!$A$2:$A$127,0)),0)</f>
        <v>27</v>
      </c>
      <c r="O133" s="18">
        <f t="array" ref="O133">IFERROR(1/(1/INDEX(Players!$H$2:$H$127,MATCH($F133,Players!$A$2:$A$127,0))),"")</f>
        <v>0.72</v>
      </c>
      <c r="P133" s="11">
        <f t="array" ref="P133">IFERROR(1/(1/INDEX(Players!$I$2:$I$127,MATCH($F133,Players!$A$2:$A$127,0))),"")</f>
        <v>0.514</v>
      </c>
      <c r="Q133" s="4">
        <f>IF($G133="",0,SUMIFS(Map_Stats!$F$2:$F$825,Map_Stats!$A$2:$A$825,$F133&amp;"|"&amp;$G133))</f>
        <v>9</v>
      </c>
      <c r="R133" s="18">
        <f t="array" ref="R133">IF($G133="","",IFERROR(1/(1/INDEX(Map_Stats!$K$2:$K$825,MATCH($F133&amp;"|"&amp;$G133,Map_Stats!$A$2:$A$825,0))),$O133))</f>
        <v>0.81</v>
      </c>
      <c r="S133" s="11">
        <f t="array" ref="S133">IF(OR($G133="",$P133=""),"",IFERROR(1/(1/INDEX(Map_Stats!$I$2:$I$825,MATCH($F133&amp;"|"&amp;$G133,Map_Stats!$A$2:$A$825,0))),$P133))</f>
        <v>0.48</v>
      </c>
      <c r="T133" s="18">
        <f>IF(OR($G133="",R133=""),"",IF($O133="",R133,(Q133*R133+Config!$B$4*$O133)/(Q133+Config!$B$4)))</f>
        <v>0.7778571429</v>
      </c>
      <c r="U133" s="11">
        <f>IF(S133="","",(Q133*S133+Config!$B$4*$P133)/(Q133+Config!$B$4))</f>
        <v>0.4921428571</v>
      </c>
      <c r="V133" s="17">
        <f>IF(OR(T133="",$J133=""),"",T133*$J133*($J133/Config!$B$10)^Config!$B$9)</f>
        <v>16.72392857</v>
      </c>
      <c r="W133" s="17">
        <f t="shared" si="1"/>
        <v>8.23056199</v>
      </c>
      <c r="X133" s="4">
        <f>IF($H133="",0,SUMIFS(Map_Stats!$F$2:$F$825,Map_Stats!$A$2:$A$825,$F133&amp;"|"&amp;$H133))</f>
        <v>5</v>
      </c>
      <c r="Y133" s="18">
        <f t="array" ref="Y133">IF($H133="","",IFERROR(1/(1/INDEX(Map_Stats!$K$2:$K$825,MATCH($F133&amp;"|"&amp;$H133,Map_Stats!$A$2:$A$825,0))),$O133))</f>
        <v>0.73</v>
      </c>
      <c r="Z133" s="11">
        <f t="array" ref="Z133">IF(OR($H133="",$P133=""),"",IFERROR(1/(1/INDEX(Map_Stats!$I$2:$I$825,MATCH($F133&amp;"|"&amp;$H133,Map_Stats!$A$2:$A$825,0))),$P133))</f>
        <v>0.567</v>
      </c>
      <c r="AA133" s="18">
        <f>IF(OR($H133="",Y133=""),"",IF($O133="",Y133,(X133*Y133+Config!$B$4*$O133)/(X133+Config!$B$4)))</f>
        <v>0.725</v>
      </c>
      <c r="AB133" s="11">
        <f>IF(Z133="","",(X133*Z133+Config!$B$4*$P133)/(X133+Config!$B$4))</f>
        <v>0.5405</v>
      </c>
      <c r="AC133" s="17">
        <f>IF(OR(AA133="",$K133=""),"",AA133*$K133*($K133/Config!$B$10)^Config!$B$9)</f>
        <v>15.5875</v>
      </c>
      <c r="AD133" s="17">
        <f t="shared" si="2"/>
        <v>8.42504375</v>
      </c>
      <c r="AE133" s="4">
        <f>IF($I133="",0,SUMIFS(Map_Stats!$F$2:$F$825,Map_Stats!$A$2:$A$825,$F133&amp;"|"&amp;$I133))</f>
        <v>0</v>
      </c>
      <c r="AF133" s="18" t="str">
        <f t="array" ref="AF133">IF($I133="","",IFERROR(1/(1/INDEX(Map_Stats!$K$2:$K$825,MATCH($F133&amp;"|"&amp;$I133,Map_Stats!$A$2:$A$825,0))),$O133))</f>
        <v/>
      </c>
      <c r="AG133" s="11" t="str">
        <f t="array" ref="AG133">IF(OR($I133="",$P133=""),"",IFERROR(1/(1/INDEX(Map_Stats!$I$2:$I$825,MATCH($F133&amp;"|"&amp;$I133,Map_Stats!$A$2:$A$825,0))),$P133))</f>
        <v/>
      </c>
      <c r="AH133" s="18" t="str">
        <f>IF(OR($I133="",AF133=""),"",IF($O133="",AF133,(AE133*AF133+Config!$B$4*$O133)/(AE133+Config!$B$4)))</f>
        <v/>
      </c>
      <c r="AI133" s="11" t="str">
        <f>IF(AG133="","",(AE133*AG133+Config!$B$4*$P133)/(AE133+Config!$B$4))</f>
        <v/>
      </c>
      <c r="AJ133" s="17" t="str">
        <f>IF(OR(AH133="",$L133=""),"",AH133*$L133*($L133/Config!$B$10)^Config!$B$9)</f>
        <v/>
      </c>
      <c r="AK133" s="17" t="str">
        <f t="shared" si="3"/>
        <v/>
      </c>
      <c r="AL133" s="17">
        <f t="shared" si="4"/>
        <v>32.31142857</v>
      </c>
      <c r="AM133" s="17">
        <f t="shared" si="5"/>
        <v>32.31142857</v>
      </c>
      <c r="AN133" s="17">
        <f t="shared" si="6"/>
        <v>16.65560574</v>
      </c>
      <c r="AO133" s="17">
        <f t="shared" si="7"/>
        <v>16.65560574</v>
      </c>
      <c r="AP133" s="11">
        <f t="shared" si="8"/>
        <v>0.5154710416</v>
      </c>
      <c r="AQ133" s="4" t="str">
        <f>TRIM(IF($N133&lt;Config!$B$12,"thin sample ("&amp;$N133&amp;" maps) · ","")&amp;IF(AND($G133&lt;&gt;"",Q133=0),"M1 unplayed→overall KPR · ","")&amp;IF(AND($H133&lt;&gt;"",X133=0),"M2 unplayed→overall KPR · ","")&amp;IF($O133="","no PickFinder stats",""))</f>
        <v/>
      </c>
      <c r="AR133" s="4" t="str">
        <f>IF($C133=Board!$B$2,COUNTIFS($C$2:$C$157,Board!$B$2,$AL$2:$AL$157,"&gt;"&amp;$AL133)+COUNTIFS($C$1:$C132,Board!$B$2,$AL$1:$AL132,$AL133)+1,"")</f>
        <v/>
      </c>
      <c r="AS133" s="4" t="str">
        <f t="array" ref="AS133">IFERROR(IF($D133=INDEX(Matches!$AD$5:$AD$22,MATCH($C133,Matches!$A$5:$A$22,0)),"A",IF($D133=INDEX(Matches!$AE$5:$AE$22,MATCH($C133,Matches!$A$5:$A$22,0)),"B","")),"")</f>
        <v>A</v>
      </c>
      <c r="AT133" s="11">
        <f t="array" ref="AT133">IF($AS133="","",IFERROR(IF($AS133="A",INDEX(Matches!$AI$5:$AI$22,MATCH($C133,Matches!$A$5:$A$22,0)),INDEX(Matches!$AJ$5:$AJ$22,MATCH($C133,Matches!$A$5:$A$22,0))),""))</f>
        <v>0.5464339904</v>
      </c>
      <c r="AU133" s="11">
        <f t="array" ref="AU133">IF($AS133="","",IFERROR(IF(INDEX(Matches!$AP$5:$AP$22,MATCH($C133,Matches!$A$5:$A$22,0))="","",IF($AS133="A",INDEX(Matches!$AP$5:$AP$22,MATCH($C133,Matches!$A$5:$A$22,0)),1-INDEX(Matches!$AP$5:$AP$22,MATCH($C133,Matches!$A$5:$A$22,0)))),""))</f>
        <v>0.6408890126</v>
      </c>
      <c r="AV133" s="18">
        <f>IF(OR($AU133="",$AT133=""),1,((Config!$B$14*$AU133+Config!$B$15*(1-$AU133))/(Config!$B$14*$AT133+Config!$B$15*(1-$AT133)))^Config!$B$13)</f>
        <v>1.081043769</v>
      </c>
      <c r="AW133" s="11">
        <f t="array" ref="AW133">IF($AS133="","",IFERROR(IF(INDEX(Matches!$AV$5:$AV$22,MATCH($C133,Matches!$A$5:$A$22,0))="","",IF($AS133="A",INDEX(Matches!$AV$5:$AV$22,MATCH($C133,Matches!$A$5:$A$22,0)),1-INDEX(Matches!$AV$5:$AV$22,MATCH($C133,Matches!$A$5:$A$22,0)))),""))</f>
        <v>0.5377465446</v>
      </c>
      <c r="AX133" s="18">
        <f>IF(OR($AW133="",$AT133=""),1,((Config!$B$14*$AW133+Config!$B$15*(1-$AW133))/(Config!$B$14*$AT133+Config!$B$15*(1-$AT133)))^Config!$B$13)</f>
        <v>0.9925460464</v>
      </c>
      <c r="AY133" s="11" t="str">
        <f t="array" ref="AY133">IF($AS133="","",IFERROR(IF(INDEX(Matches!$BB$5:$BB$22,MATCH($C133,Matches!$A$5:$A$22,0))="","",IF($AS133="A",INDEX(Matches!$BB$5:$BB$22,MATCH($C133,Matches!$A$5:$A$22,0)),1-INDEX(Matches!$BB$5:$BB$22,MATCH($C133,Matches!$A$5:$A$22,0)))),""))</f>
        <v/>
      </c>
      <c r="AZ133" s="18">
        <f>IF(OR($AY133="",$AT133=""),1,((Config!$B$14*$AY133+Config!$B$15*(1-$AY133))/(Config!$B$14*$AT133+Config!$B$15*(1-$AT133)))^Config!$B$13)</f>
        <v>1</v>
      </c>
      <c r="BA133" s="17">
        <f t="shared" si="9"/>
        <v>18.07929877</v>
      </c>
      <c r="BB133" s="17">
        <f t="shared" si="10"/>
        <v>15.4713115</v>
      </c>
      <c r="BC133" s="17" t="str">
        <f t="shared" si="11"/>
        <v/>
      </c>
      <c r="BD133" s="17">
        <f t="shared" si="12"/>
        <v>33.55061027</v>
      </c>
      <c r="BE133" s="17">
        <f t="shared" si="13"/>
        <v>33.55061027</v>
      </c>
      <c r="BF133" s="17">
        <f t="shared" si="14"/>
        <v>8.897597753</v>
      </c>
      <c r="BG133" s="17">
        <f t="shared" si="15"/>
        <v>8.362243865</v>
      </c>
      <c r="BH133" s="17" t="str">
        <f t="shared" si="16"/>
        <v/>
      </c>
      <c r="BI133" s="17">
        <f t="shared" si="17"/>
        <v>17.25984162</v>
      </c>
      <c r="BJ133" s="17">
        <f t="shared" si="18"/>
        <v>17.25984162</v>
      </c>
      <c r="BK133" s="18">
        <f t="shared" si="19"/>
        <v>1.038351189</v>
      </c>
    </row>
    <row r="134" ht="15.75" customHeight="1">
      <c r="A134" s="4" t="s">
        <v>3265</v>
      </c>
      <c r="B134" s="4" t="s">
        <v>86</v>
      </c>
      <c r="C134" s="4" t="s">
        <v>1648</v>
      </c>
      <c r="D134" s="4" t="s">
        <v>856</v>
      </c>
      <c r="E134" s="4" t="s">
        <v>1552</v>
      </c>
      <c r="F134" s="4" t="s">
        <v>1551</v>
      </c>
      <c r="G134" s="4" t="str">
        <f t="array" ref="G134">IFERROR(IF(INDEX(Matches!$W$5:$W$22,MATCH($C134,Matches!$A$5:$A$22,0))="","",INDEX(Matches!$W$5:$W$22,MATCH($C134,Matches!$A$5:$A$22,0))),"")</f>
        <v>Ancient</v>
      </c>
      <c r="H134" s="4" t="str">
        <f t="array" ref="H134">IFERROR(IF(INDEX(Matches!$X$5:$X$22,MATCH($C134,Matches!$A$5:$A$22,0))="","",INDEX(Matches!$X$5:$X$22,MATCH($C134,Matches!$A$5:$A$22,0))),"")</f>
        <v>Nuke</v>
      </c>
      <c r="I134" s="4" t="str">
        <f t="array" ref="I134">IFERROR(IF(INDEX(Matches!$Y$5:$Y$22,MATCH($C134,Matches!$A$5:$A$22,0))="","",INDEX(Matches!$Y$5:$Y$22,MATCH($C134,Matches!$A$5:$A$22,0))),"")</f>
        <v/>
      </c>
      <c r="J134" s="4">
        <f t="array" ref="J134">IFERROR(IF(INDEX(Matches!$Z$5:$Z$22,MATCH($C134,Matches!$A$5:$A$22,0))="","",INDEX(Matches!$Z$5:$Z$22,MATCH($C134,Matches!$A$5:$A$22,0))),"")</f>
        <v>21.5</v>
      </c>
      <c r="K134" s="4">
        <f t="array" ref="K134">IFERROR(IF(INDEX(Matches!$AA$5:$AA$22,MATCH($C134,Matches!$A$5:$A$22,0))="","",INDEX(Matches!$AA$5:$AA$22,MATCH($C134,Matches!$A$5:$A$22,0))),"")</f>
        <v>21.5</v>
      </c>
      <c r="L134" s="4" t="str">
        <f t="array" ref="L134">IFERROR(IF(INDEX(Matches!$AB$5:$AB$22,MATCH($C134,Matches!$A$5:$A$22,0))="","",INDEX(Matches!$AB$5:$AB$22,MATCH($C134,Matches!$A$5:$A$22,0))),"")</f>
        <v/>
      </c>
      <c r="M134" s="11">
        <f t="array" ref="M134">IFERROR(IF(INDEX(Matches!$AC$5:$AC$22,MATCH($C134,Matches!$A$5:$A$22,0))="","",INDEX(Matches!$AC$5:$AC$22,MATCH($C134,Matches!$A$5:$A$22,0))),"")</f>
        <v>0</v>
      </c>
      <c r="N134" s="4">
        <f t="array" ref="N134">IFERROR(INDEX(Players!$F$2:$F$127,MATCH($F134,Players!$A$2:$A$127,0)),0)</f>
        <v>27</v>
      </c>
      <c r="O134" s="18">
        <f t="array" ref="O134">IFERROR(1/(1/INDEX(Players!$H$2:$H$127,MATCH($F134,Players!$A$2:$A$127,0))),"")</f>
        <v>0.74</v>
      </c>
      <c r="P134" s="11">
        <f t="array" ref="P134">IFERROR(1/(1/INDEX(Players!$I$2:$I$127,MATCH($F134,Players!$A$2:$A$127,0))),"")</f>
        <v>0.348</v>
      </c>
      <c r="Q134" s="4">
        <f>IF($G134="",0,SUMIFS(Map_Stats!$F$2:$F$825,Map_Stats!$A$2:$A$825,$F134&amp;"|"&amp;$G134))</f>
        <v>9</v>
      </c>
      <c r="R134" s="18">
        <f t="array" ref="R134">IF($G134="","",IFERROR(1/(1/INDEX(Map_Stats!$K$2:$K$825,MATCH($F134&amp;"|"&amp;$G134,Map_Stats!$A$2:$A$825,0))),$O134))</f>
        <v>0.66</v>
      </c>
      <c r="S134" s="11">
        <f t="array" ref="S134">IF(OR($G134="",$P134=""),"",IFERROR(1/(1/INDEX(Map_Stats!$I$2:$I$825,MATCH($F134&amp;"|"&amp;$G134,Map_Stats!$A$2:$A$825,0))),$P134))</f>
        <v>0.398</v>
      </c>
      <c r="T134" s="18">
        <f>IF(OR($G134="",R134=""),"",IF($O134="",R134,(Q134*R134+Config!$B$4*$O134)/(Q134+Config!$B$4)))</f>
        <v>0.6885714286</v>
      </c>
      <c r="U134" s="11">
        <f>IF(S134="","",(Q134*S134+Config!$B$4*$P134)/(Q134+Config!$B$4))</f>
        <v>0.3801428571</v>
      </c>
      <c r="V134" s="17">
        <f>IF(OR(T134="",$J134=""),"",T134*$J134*($J134/Config!$B$10)^Config!$B$9)</f>
        <v>14.80428571</v>
      </c>
      <c r="W134" s="17">
        <f t="shared" si="1"/>
        <v>5.627743469</v>
      </c>
      <c r="X134" s="4">
        <f>IF($H134="",0,SUMIFS(Map_Stats!$F$2:$F$825,Map_Stats!$A$2:$A$825,$F134&amp;"|"&amp;$H134))</f>
        <v>5</v>
      </c>
      <c r="Y134" s="18">
        <f t="array" ref="Y134">IF($H134="","",IFERROR(1/(1/INDEX(Map_Stats!$K$2:$K$825,MATCH($F134&amp;"|"&amp;$H134,Map_Stats!$A$2:$A$825,0))),$O134))</f>
        <v>0.77</v>
      </c>
      <c r="Z134" s="11">
        <f t="array" ref="Z134">IF(OR($H134="",$P134=""),"",IFERROR(1/(1/INDEX(Map_Stats!$I$2:$I$825,MATCH($F134&amp;"|"&amp;$H134,Map_Stats!$A$2:$A$825,0))),$P134))</f>
        <v>0.363</v>
      </c>
      <c r="AA134" s="18">
        <f>IF(OR($H134="",Y134=""),"",IF($O134="",Y134,(X134*Y134+Config!$B$4*$O134)/(X134+Config!$B$4)))</f>
        <v>0.755</v>
      </c>
      <c r="AB134" s="11">
        <f>IF(Z134="","",(X134*Z134+Config!$B$4*$P134)/(X134+Config!$B$4))</f>
        <v>0.3555</v>
      </c>
      <c r="AC134" s="17">
        <f>IF(OR(AA134="",$K134=""),"",AA134*$K134*($K134/Config!$B$10)^Config!$B$9)</f>
        <v>16.2325</v>
      </c>
      <c r="AD134" s="17">
        <f t="shared" si="2"/>
        <v>5.77065375</v>
      </c>
      <c r="AE134" s="4">
        <f>IF($I134="",0,SUMIFS(Map_Stats!$F$2:$F$825,Map_Stats!$A$2:$A$825,$F134&amp;"|"&amp;$I134))</f>
        <v>0</v>
      </c>
      <c r="AF134" s="18" t="str">
        <f t="array" ref="AF134">IF($I134="","",IFERROR(1/(1/INDEX(Map_Stats!$K$2:$K$825,MATCH($F134&amp;"|"&amp;$I134,Map_Stats!$A$2:$A$825,0))),$O134))</f>
        <v/>
      </c>
      <c r="AG134" s="11" t="str">
        <f t="array" ref="AG134">IF(OR($I134="",$P134=""),"",IFERROR(1/(1/INDEX(Map_Stats!$I$2:$I$825,MATCH($F134&amp;"|"&amp;$I134,Map_Stats!$A$2:$A$825,0))),$P134))</f>
        <v/>
      </c>
      <c r="AH134" s="18" t="str">
        <f>IF(OR($I134="",AF134=""),"",IF($O134="",AF134,(AE134*AF134+Config!$B$4*$O134)/(AE134+Config!$B$4)))</f>
        <v/>
      </c>
      <c r="AI134" s="11" t="str">
        <f>IF(AG134="","",(AE134*AG134+Config!$B$4*$P134)/(AE134+Config!$B$4))</f>
        <v/>
      </c>
      <c r="AJ134" s="17" t="str">
        <f>IF(OR(AH134="",$L134=""),"",AH134*$L134*($L134/Config!$B$10)^Config!$B$9)</f>
        <v/>
      </c>
      <c r="AK134" s="17" t="str">
        <f t="shared" si="3"/>
        <v/>
      </c>
      <c r="AL134" s="17">
        <f t="shared" si="4"/>
        <v>31.03678571</v>
      </c>
      <c r="AM134" s="17">
        <f t="shared" si="5"/>
        <v>31.03678571</v>
      </c>
      <c r="AN134" s="17">
        <f t="shared" si="6"/>
        <v>11.39839722</v>
      </c>
      <c r="AO134" s="17">
        <f t="shared" si="7"/>
        <v>11.39839722</v>
      </c>
      <c r="AP134" s="11">
        <f t="shared" si="8"/>
        <v>0.3672544356</v>
      </c>
      <c r="AQ134" s="4" t="str">
        <f>TRIM(IF($N134&lt;Config!$B$12,"thin sample ("&amp;$N134&amp;" maps) · ","")&amp;IF(AND($G134&lt;&gt;"",Q134=0),"M1 unplayed→overall KPR · ","")&amp;IF(AND($H134&lt;&gt;"",X134=0),"M2 unplayed→overall KPR · ","")&amp;IF($O134="","no PickFinder stats",""))</f>
        <v/>
      </c>
      <c r="AR134" s="4" t="str">
        <f>IF($C134=Board!$B$2,COUNTIFS($C$2:$C$157,Board!$B$2,$AL$2:$AL$157,"&gt;"&amp;$AL134)+COUNTIFS($C$1:$C133,Board!$B$2,$AL$1:$AL133,$AL134)+1,"")</f>
        <v/>
      </c>
      <c r="AS134" s="4" t="str">
        <f t="array" ref="AS134">IFERROR(IF($D134=INDEX(Matches!$AD$5:$AD$22,MATCH($C134,Matches!$A$5:$A$22,0)),"A",IF($D134=INDEX(Matches!$AE$5:$AE$22,MATCH($C134,Matches!$A$5:$A$22,0)),"B","")),"")</f>
        <v>A</v>
      </c>
      <c r="AT134" s="11">
        <f t="array" ref="AT134">IF($AS134="","",IFERROR(IF($AS134="A",INDEX(Matches!$AI$5:$AI$22,MATCH($C134,Matches!$A$5:$A$22,0)),INDEX(Matches!$AJ$5:$AJ$22,MATCH($C134,Matches!$A$5:$A$22,0))),""))</f>
        <v>0.5464339904</v>
      </c>
      <c r="AU134" s="11">
        <f t="array" ref="AU134">IF($AS134="","",IFERROR(IF(INDEX(Matches!$AP$5:$AP$22,MATCH($C134,Matches!$A$5:$A$22,0))="","",IF($AS134="A",INDEX(Matches!$AP$5:$AP$22,MATCH($C134,Matches!$A$5:$A$22,0)),1-INDEX(Matches!$AP$5:$AP$22,MATCH($C134,Matches!$A$5:$A$22,0)))),""))</f>
        <v>0.6408890126</v>
      </c>
      <c r="AV134" s="18">
        <f>IF(OR($AU134="",$AT134=""),1,((Config!$B$14*$AU134+Config!$B$15*(1-$AU134))/(Config!$B$14*$AT134+Config!$B$15*(1-$AT134)))^Config!$B$13)</f>
        <v>1.081043769</v>
      </c>
      <c r="AW134" s="11">
        <f t="array" ref="AW134">IF($AS134="","",IFERROR(IF(INDEX(Matches!$AV$5:$AV$22,MATCH($C134,Matches!$A$5:$A$22,0))="","",IF($AS134="A",INDEX(Matches!$AV$5:$AV$22,MATCH($C134,Matches!$A$5:$A$22,0)),1-INDEX(Matches!$AV$5:$AV$22,MATCH($C134,Matches!$A$5:$A$22,0)))),""))</f>
        <v>0.5377465446</v>
      </c>
      <c r="AX134" s="18">
        <f>IF(OR($AW134="",$AT134=""),1,((Config!$B$14*$AW134+Config!$B$15*(1-$AW134))/(Config!$B$14*$AT134+Config!$B$15*(1-$AT134)))^Config!$B$13)</f>
        <v>0.9925460464</v>
      </c>
      <c r="AY134" s="11" t="str">
        <f t="array" ref="AY134">IF($AS134="","",IFERROR(IF(INDEX(Matches!$BB$5:$BB$22,MATCH($C134,Matches!$A$5:$A$22,0))="","",IF($AS134="A",INDEX(Matches!$BB$5:$BB$22,MATCH($C134,Matches!$A$5:$A$22,0)),1-INDEX(Matches!$BB$5:$BB$22,MATCH($C134,Matches!$A$5:$A$22,0)))),""))</f>
        <v/>
      </c>
      <c r="AZ134" s="18">
        <f>IF(OR($AY134="",$AT134=""),1,((Config!$B$14*$AY134+Config!$B$15*(1-$AY134))/(Config!$B$14*$AT134+Config!$B$15*(1-$AT134)))^Config!$B$13)</f>
        <v>1</v>
      </c>
      <c r="BA134" s="17">
        <f t="shared" si="9"/>
        <v>16.00408082</v>
      </c>
      <c r="BB134" s="17">
        <f t="shared" si="10"/>
        <v>16.1115037</v>
      </c>
      <c r="BC134" s="17" t="str">
        <f t="shared" si="11"/>
        <v/>
      </c>
      <c r="BD134" s="17">
        <f t="shared" si="12"/>
        <v>32.11558452</v>
      </c>
      <c r="BE134" s="17">
        <f t="shared" si="13"/>
        <v>32.11558452</v>
      </c>
      <c r="BF134" s="17">
        <f t="shared" si="14"/>
        <v>6.08383701</v>
      </c>
      <c r="BG134" s="17">
        <f t="shared" si="15"/>
        <v>5.727639565</v>
      </c>
      <c r="BH134" s="17" t="str">
        <f t="shared" si="16"/>
        <v/>
      </c>
      <c r="BI134" s="17">
        <f t="shared" si="17"/>
        <v>11.81147657</v>
      </c>
      <c r="BJ134" s="17">
        <f t="shared" si="18"/>
        <v>11.81147657</v>
      </c>
      <c r="BK134" s="18">
        <f t="shared" si="19"/>
        <v>1.034758716</v>
      </c>
    </row>
    <row r="135" ht="15.75" customHeight="1">
      <c r="A135" s="4" t="s">
        <v>3266</v>
      </c>
      <c r="B135" s="4" t="s">
        <v>86</v>
      </c>
      <c r="C135" s="4" t="s">
        <v>1648</v>
      </c>
      <c r="D135" s="4" t="s">
        <v>856</v>
      </c>
      <c r="E135" s="4" t="s">
        <v>1555</v>
      </c>
      <c r="F135" s="4" t="s">
        <v>1554</v>
      </c>
      <c r="G135" s="4" t="str">
        <f t="array" ref="G135">IFERROR(IF(INDEX(Matches!$W$5:$W$22,MATCH($C135,Matches!$A$5:$A$22,0))="","",INDEX(Matches!$W$5:$W$22,MATCH($C135,Matches!$A$5:$A$22,0))),"")</f>
        <v>Ancient</v>
      </c>
      <c r="H135" s="4" t="str">
        <f t="array" ref="H135">IFERROR(IF(INDEX(Matches!$X$5:$X$22,MATCH($C135,Matches!$A$5:$A$22,0))="","",INDEX(Matches!$X$5:$X$22,MATCH($C135,Matches!$A$5:$A$22,0))),"")</f>
        <v>Nuke</v>
      </c>
      <c r="I135" s="4" t="str">
        <f t="array" ref="I135">IFERROR(IF(INDEX(Matches!$Y$5:$Y$22,MATCH($C135,Matches!$A$5:$A$22,0))="","",INDEX(Matches!$Y$5:$Y$22,MATCH($C135,Matches!$A$5:$A$22,0))),"")</f>
        <v/>
      </c>
      <c r="J135" s="4">
        <f t="array" ref="J135">IFERROR(IF(INDEX(Matches!$Z$5:$Z$22,MATCH($C135,Matches!$A$5:$A$22,0))="","",INDEX(Matches!$Z$5:$Z$22,MATCH($C135,Matches!$A$5:$A$22,0))),"")</f>
        <v>21.5</v>
      </c>
      <c r="K135" s="4">
        <f t="array" ref="K135">IFERROR(IF(INDEX(Matches!$AA$5:$AA$22,MATCH($C135,Matches!$A$5:$A$22,0))="","",INDEX(Matches!$AA$5:$AA$22,MATCH($C135,Matches!$A$5:$A$22,0))),"")</f>
        <v>21.5</v>
      </c>
      <c r="L135" s="4" t="str">
        <f t="array" ref="L135">IFERROR(IF(INDEX(Matches!$AB$5:$AB$22,MATCH($C135,Matches!$A$5:$A$22,0))="","",INDEX(Matches!$AB$5:$AB$22,MATCH($C135,Matches!$A$5:$A$22,0))),"")</f>
        <v/>
      </c>
      <c r="M135" s="11">
        <f t="array" ref="M135">IFERROR(IF(INDEX(Matches!$AC$5:$AC$22,MATCH($C135,Matches!$A$5:$A$22,0))="","",INDEX(Matches!$AC$5:$AC$22,MATCH($C135,Matches!$A$5:$A$22,0))),"")</f>
        <v>0</v>
      </c>
      <c r="N135" s="4">
        <f t="array" ref="N135">IFERROR(INDEX(Players!$F$2:$F$127,MATCH($F135,Players!$A$2:$A$127,0)),0)</f>
        <v>27</v>
      </c>
      <c r="O135" s="18">
        <f t="array" ref="O135">IFERROR(1/(1/INDEX(Players!$H$2:$H$127,MATCH($F135,Players!$A$2:$A$127,0))),"")</f>
        <v>0.7</v>
      </c>
      <c r="P135" s="11">
        <f t="array" ref="P135">IFERROR(1/(1/INDEX(Players!$I$2:$I$127,MATCH($F135,Players!$A$2:$A$127,0))),"")</f>
        <v>0.587</v>
      </c>
      <c r="Q135" s="4">
        <f>IF($G135="",0,SUMIFS(Map_Stats!$F$2:$F$825,Map_Stats!$A$2:$A$825,$F135&amp;"|"&amp;$G135))</f>
        <v>9</v>
      </c>
      <c r="R135" s="18">
        <f t="array" ref="R135">IF($G135="","",IFERROR(1/(1/INDEX(Map_Stats!$K$2:$K$825,MATCH($F135&amp;"|"&amp;$G135,Map_Stats!$A$2:$A$825,0))),$O135))</f>
        <v>0.86</v>
      </c>
      <c r="S135" s="11">
        <f t="array" ref="S135">IF(OR($G135="",$P135=""),"",IFERROR(1/(1/INDEX(Map_Stats!$I$2:$I$825,MATCH($F135&amp;"|"&amp;$G135,Map_Stats!$A$2:$A$825,0))),$P135))</f>
        <v>0.541</v>
      </c>
      <c r="T135" s="18">
        <f>IF(OR($G135="",R135=""),"",IF($O135="",R135,(Q135*R135+Config!$B$4*$O135)/(Q135+Config!$B$4)))</f>
        <v>0.8028571429</v>
      </c>
      <c r="U135" s="11">
        <f>IF(S135="","",(Q135*S135+Config!$B$4*$P135)/(Q135+Config!$B$4))</f>
        <v>0.5574285714</v>
      </c>
      <c r="V135" s="17">
        <f>IF(OR(T135="",$J135=""),"",T135*$J135*($J135/Config!$B$10)^Config!$B$9)</f>
        <v>17.26142857</v>
      </c>
      <c r="W135" s="17">
        <f t="shared" si="1"/>
        <v>9.622013469</v>
      </c>
      <c r="X135" s="4">
        <f>IF($H135="",0,SUMIFS(Map_Stats!$F$2:$F$825,Map_Stats!$A$2:$A$825,$F135&amp;"|"&amp;$H135))</f>
        <v>5</v>
      </c>
      <c r="Y135" s="18">
        <f t="array" ref="Y135">IF($H135="","",IFERROR(1/(1/INDEX(Map_Stats!$K$2:$K$825,MATCH($F135&amp;"|"&amp;$H135,Map_Stats!$A$2:$A$825,0))),$O135))</f>
        <v>0.7</v>
      </c>
      <c r="Z135" s="11">
        <f t="array" ref="Z135">IF(OR($H135="",$P135=""),"",IFERROR(1/(1/INDEX(Map_Stats!$I$2:$I$825,MATCH($F135&amp;"|"&amp;$H135,Map_Stats!$A$2:$A$825,0))),$P135))</f>
        <v>0.624</v>
      </c>
      <c r="AA135" s="18">
        <f>IF(OR($H135="",Y135=""),"",IF($O135="",Y135,(X135*Y135+Config!$B$4*$O135)/(X135+Config!$B$4)))</f>
        <v>0.7</v>
      </c>
      <c r="AB135" s="11">
        <f>IF(Z135="","",(X135*Z135+Config!$B$4*$P135)/(X135+Config!$B$4))</f>
        <v>0.6055</v>
      </c>
      <c r="AC135" s="17">
        <f>IF(OR(AA135="",$K135=""),"",AA135*$K135*($K135/Config!$B$10)^Config!$B$9)</f>
        <v>15.05</v>
      </c>
      <c r="AD135" s="17">
        <f t="shared" si="2"/>
        <v>9.112775</v>
      </c>
      <c r="AE135" s="4">
        <f>IF($I135="",0,SUMIFS(Map_Stats!$F$2:$F$825,Map_Stats!$A$2:$A$825,$F135&amp;"|"&amp;$I135))</f>
        <v>0</v>
      </c>
      <c r="AF135" s="18" t="str">
        <f t="array" ref="AF135">IF($I135="","",IFERROR(1/(1/INDEX(Map_Stats!$K$2:$K$825,MATCH($F135&amp;"|"&amp;$I135,Map_Stats!$A$2:$A$825,0))),$O135))</f>
        <v/>
      </c>
      <c r="AG135" s="11" t="str">
        <f t="array" ref="AG135">IF(OR($I135="",$P135=""),"",IFERROR(1/(1/INDEX(Map_Stats!$I$2:$I$825,MATCH($F135&amp;"|"&amp;$I135,Map_Stats!$A$2:$A$825,0))),$P135))</f>
        <v/>
      </c>
      <c r="AH135" s="18" t="str">
        <f>IF(OR($I135="",AF135=""),"",IF($O135="",AF135,(AE135*AF135+Config!$B$4*$O135)/(AE135+Config!$B$4)))</f>
        <v/>
      </c>
      <c r="AI135" s="11" t="str">
        <f>IF(AG135="","",(AE135*AG135+Config!$B$4*$P135)/(AE135+Config!$B$4))</f>
        <v/>
      </c>
      <c r="AJ135" s="17" t="str">
        <f>IF(OR(AH135="",$L135=""),"",AH135*$L135*($L135/Config!$B$10)^Config!$B$9)</f>
        <v/>
      </c>
      <c r="AK135" s="17" t="str">
        <f t="shared" si="3"/>
        <v/>
      </c>
      <c r="AL135" s="17">
        <f t="shared" si="4"/>
        <v>32.31142857</v>
      </c>
      <c r="AM135" s="17">
        <f t="shared" si="5"/>
        <v>32.31142857</v>
      </c>
      <c r="AN135" s="17">
        <f t="shared" si="6"/>
        <v>18.73478847</v>
      </c>
      <c r="AO135" s="17">
        <f t="shared" si="7"/>
        <v>18.73478847</v>
      </c>
      <c r="AP135" s="11">
        <f t="shared" si="8"/>
        <v>0.5798192558</v>
      </c>
      <c r="AQ135" s="4" t="str">
        <f>TRIM(IF($N135&lt;Config!$B$12,"thin sample ("&amp;$N135&amp;" maps) · ","")&amp;IF(AND($G135&lt;&gt;"",Q135=0),"M1 unplayed→overall KPR · ","")&amp;IF(AND($H135&lt;&gt;"",X135=0),"M2 unplayed→overall KPR · ","")&amp;IF($O135="","no PickFinder stats",""))</f>
        <v/>
      </c>
      <c r="AR135" s="4" t="str">
        <f>IF($C135=Board!$B$2,COUNTIFS($C$2:$C$157,Board!$B$2,$AL$2:$AL$157,"&gt;"&amp;$AL135)+COUNTIFS($C$1:$C134,Board!$B$2,$AL$1:$AL134,$AL135)+1,"")</f>
        <v/>
      </c>
      <c r="AS135" s="4" t="str">
        <f t="array" ref="AS135">IFERROR(IF($D135=INDEX(Matches!$AD$5:$AD$22,MATCH($C135,Matches!$A$5:$A$22,0)),"A",IF($D135=INDEX(Matches!$AE$5:$AE$22,MATCH($C135,Matches!$A$5:$A$22,0)),"B","")),"")</f>
        <v>A</v>
      </c>
      <c r="AT135" s="11">
        <f t="array" ref="AT135">IF($AS135="","",IFERROR(IF($AS135="A",INDEX(Matches!$AI$5:$AI$22,MATCH($C135,Matches!$A$5:$A$22,0)),INDEX(Matches!$AJ$5:$AJ$22,MATCH($C135,Matches!$A$5:$A$22,0))),""))</f>
        <v>0.5464339904</v>
      </c>
      <c r="AU135" s="11">
        <f t="array" ref="AU135">IF($AS135="","",IFERROR(IF(INDEX(Matches!$AP$5:$AP$22,MATCH($C135,Matches!$A$5:$A$22,0))="","",IF($AS135="A",INDEX(Matches!$AP$5:$AP$22,MATCH($C135,Matches!$A$5:$A$22,0)),1-INDEX(Matches!$AP$5:$AP$22,MATCH($C135,Matches!$A$5:$A$22,0)))),""))</f>
        <v>0.6408890126</v>
      </c>
      <c r="AV135" s="18">
        <f>IF(OR($AU135="",$AT135=""),1,((Config!$B$14*$AU135+Config!$B$15*(1-$AU135))/(Config!$B$14*$AT135+Config!$B$15*(1-$AT135)))^Config!$B$13)</f>
        <v>1.081043769</v>
      </c>
      <c r="AW135" s="11">
        <f t="array" ref="AW135">IF($AS135="","",IFERROR(IF(INDEX(Matches!$AV$5:$AV$22,MATCH($C135,Matches!$A$5:$A$22,0))="","",IF($AS135="A",INDEX(Matches!$AV$5:$AV$22,MATCH($C135,Matches!$A$5:$A$22,0)),1-INDEX(Matches!$AV$5:$AV$22,MATCH($C135,Matches!$A$5:$A$22,0)))),""))</f>
        <v>0.5377465446</v>
      </c>
      <c r="AX135" s="18">
        <f>IF(OR($AW135="",$AT135=""),1,((Config!$B$14*$AW135+Config!$B$15*(1-$AW135))/(Config!$B$14*$AT135+Config!$B$15*(1-$AT135)))^Config!$B$13)</f>
        <v>0.9925460464</v>
      </c>
      <c r="AY135" s="11" t="str">
        <f t="array" ref="AY135">IF($AS135="","",IFERROR(IF(INDEX(Matches!$BB$5:$BB$22,MATCH($C135,Matches!$A$5:$A$22,0))="","",IF($AS135="A",INDEX(Matches!$BB$5:$BB$22,MATCH($C135,Matches!$A$5:$A$22,0)),1-INDEX(Matches!$BB$5:$BB$22,MATCH($C135,Matches!$A$5:$A$22,0)))),""))</f>
        <v/>
      </c>
      <c r="AZ135" s="18">
        <f>IF(OR($AY135="",$AT135=""),1,((Config!$B$14*$AY135+Config!$B$15*(1-$AY135))/(Config!$B$14*$AT135+Config!$B$15*(1-$AT135)))^Config!$B$13)</f>
        <v>1</v>
      </c>
      <c r="BA135" s="17">
        <f t="shared" si="9"/>
        <v>18.6603598</v>
      </c>
      <c r="BB135" s="17">
        <f t="shared" si="10"/>
        <v>14.937818</v>
      </c>
      <c r="BC135" s="17" t="str">
        <f t="shared" si="11"/>
        <v/>
      </c>
      <c r="BD135" s="17">
        <f t="shared" si="12"/>
        <v>33.5981778</v>
      </c>
      <c r="BE135" s="17">
        <f t="shared" si="13"/>
        <v>33.5981778</v>
      </c>
      <c r="BF135" s="17">
        <f t="shared" si="14"/>
        <v>10.4018177</v>
      </c>
      <c r="BG135" s="17">
        <f t="shared" si="15"/>
        <v>9.044848798</v>
      </c>
      <c r="BH135" s="17" t="str">
        <f t="shared" si="16"/>
        <v/>
      </c>
      <c r="BI135" s="17">
        <f t="shared" si="17"/>
        <v>19.4466665</v>
      </c>
      <c r="BJ135" s="17">
        <f t="shared" si="18"/>
        <v>19.4466665</v>
      </c>
      <c r="BK135" s="18">
        <f t="shared" si="19"/>
        <v>1.039823347</v>
      </c>
    </row>
    <row r="136" ht="15.75" customHeight="1">
      <c r="A136" s="4" t="s">
        <v>3267</v>
      </c>
      <c r="B136" s="4" t="s">
        <v>86</v>
      </c>
      <c r="C136" s="4" t="s">
        <v>1648</v>
      </c>
      <c r="D136" s="4" t="s">
        <v>856</v>
      </c>
      <c r="E136" s="4" t="s">
        <v>1558</v>
      </c>
      <c r="F136" s="4" t="s">
        <v>1557</v>
      </c>
      <c r="G136" s="4" t="str">
        <f t="array" ref="G136">IFERROR(IF(INDEX(Matches!$W$5:$W$22,MATCH($C136,Matches!$A$5:$A$22,0))="","",INDEX(Matches!$W$5:$W$22,MATCH($C136,Matches!$A$5:$A$22,0))),"")</f>
        <v>Ancient</v>
      </c>
      <c r="H136" s="4" t="str">
        <f t="array" ref="H136">IFERROR(IF(INDEX(Matches!$X$5:$X$22,MATCH($C136,Matches!$A$5:$A$22,0))="","",INDEX(Matches!$X$5:$X$22,MATCH($C136,Matches!$A$5:$A$22,0))),"")</f>
        <v>Nuke</v>
      </c>
      <c r="I136" s="4" t="str">
        <f t="array" ref="I136">IFERROR(IF(INDEX(Matches!$Y$5:$Y$22,MATCH($C136,Matches!$A$5:$A$22,0))="","",INDEX(Matches!$Y$5:$Y$22,MATCH($C136,Matches!$A$5:$A$22,0))),"")</f>
        <v/>
      </c>
      <c r="J136" s="4">
        <f t="array" ref="J136">IFERROR(IF(INDEX(Matches!$Z$5:$Z$22,MATCH($C136,Matches!$A$5:$A$22,0))="","",INDEX(Matches!$Z$5:$Z$22,MATCH($C136,Matches!$A$5:$A$22,0))),"")</f>
        <v>21.5</v>
      </c>
      <c r="K136" s="4">
        <f t="array" ref="K136">IFERROR(IF(INDEX(Matches!$AA$5:$AA$22,MATCH($C136,Matches!$A$5:$A$22,0))="","",INDEX(Matches!$AA$5:$AA$22,MATCH($C136,Matches!$A$5:$A$22,0))),"")</f>
        <v>21.5</v>
      </c>
      <c r="L136" s="4" t="str">
        <f t="array" ref="L136">IFERROR(IF(INDEX(Matches!$AB$5:$AB$22,MATCH($C136,Matches!$A$5:$A$22,0))="","",INDEX(Matches!$AB$5:$AB$22,MATCH($C136,Matches!$A$5:$A$22,0))),"")</f>
        <v/>
      </c>
      <c r="M136" s="11">
        <f t="array" ref="M136">IFERROR(IF(INDEX(Matches!$AC$5:$AC$22,MATCH($C136,Matches!$A$5:$A$22,0))="","",INDEX(Matches!$AC$5:$AC$22,MATCH($C136,Matches!$A$5:$A$22,0))),"")</f>
        <v>0</v>
      </c>
      <c r="N136" s="4">
        <f t="array" ref="N136">IFERROR(INDEX(Players!$F$2:$F$127,MATCH($F136,Players!$A$2:$A$127,0)),0)</f>
        <v>27</v>
      </c>
      <c r="O136" s="18">
        <f t="array" ref="O136">IFERROR(1/(1/INDEX(Players!$H$2:$H$127,MATCH($F136,Players!$A$2:$A$127,0))),"")</f>
        <v>0.63</v>
      </c>
      <c r="P136" s="11">
        <f t="array" ref="P136">IFERROR(1/(1/INDEX(Players!$I$2:$I$127,MATCH($F136,Players!$A$2:$A$127,0))),"")</f>
        <v>0.51</v>
      </c>
      <c r="Q136" s="4">
        <f>IF($G136="",0,SUMIFS(Map_Stats!$F$2:$F$825,Map_Stats!$A$2:$A$825,$F136&amp;"|"&amp;$G136))</f>
        <v>9</v>
      </c>
      <c r="R136" s="18">
        <f t="array" ref="R136">IF($G136="","",IFERROR(1/(1/INDEX(Map_Stats!$K$2:$K$825,MATCH($F136&amp;"|"&amp;$G136,Map_Stats!$A$2:$A$825,0))),$O136))</f>
        <v>0.71</v>
      </c>
      <c r="S136" s="11">
        <f t="array" ref="S136">IF(OR($G136="",$P136=""),"",IFERROR(1/(1/INDEX(Map_Stats!$I$2:$I$825,MATCH($F136&amp;"|"&amp;$G136,Map_Stats!$A$2:$A$825,0))),$P136))</f>
        <v>0.458</v>
      </c>
      <c r="T136" s="18">
        <f>IF(OR($G136="",R136=""),"",IF($O136="",R136,(Q136*R136+Config!$B$4*$O136)/(Q136+Config!$B$4)))</f>
        <v>0.6814285714</v>
      </c>
      <c r="U136" s="11">
        <f>IF(S136="","",(Q136*S136+Config!$B$4*$P136)/(Q136+Config!$B$4))</f>
        <v>0.4765714286</v>
      </c>
      <c r="V136" s="17">
        <f>IF(OR(T136="",$J136=""),"",T136*$J136*($J136/Config!$B$10)^Config!$B$9)</f>
        <v>14.65071429</v>
      </c>
      <c r="W136" s="17">
        <f t="shared" si="1"/>
        <v>6.982111837</v>
      </c>
      <c r="X136" s="4">
        <f>IF($H136="",0,SUMIFS(Map_Stats!$F$2:$F$825,Map_Stats!$A$2:$A$825,$F136&amp;"|"&amp;$H136))</f>
        <v>5</v>
      </c>
      <c r="Y136" s="18">
        <f t="array" ref="Y136">IF($H136="","",IFERROR(1/(1/INDEX(Map_Stats!$K$2:$K$825,MATCH($F136&amp;"|"&amp;$H136,Map_Stats!$A$2:$A$825,0))),$O136))</f>
        <v>0.54</v>
      </c>
      <c r="Z136" s="11">
        <f t="array" ref="Z136">IF(OR($H136="",$P136=""),"",IFERROR(1/(1/INDEX(Map_Stats!$I$2:$I$825,MATCH($F136&amp;"|"&amp;$H136,Map_Stats!$A$2:$A$825,0))),$P136))</f>
        <v>0.521</v>
      </c>
      <c r="AA136" s="18">
        <f>IF(OR($H136="",Y136=""),"",IF($O136="",Y136,(X136*Y136+Config!$B$4*$O136)/(X136+Config!$B$4)))</f>
        <v>0.585</v>
      </c>
      <c r="AB136" s="11">
        <f>IF(Z136="","",(X136*Z136+Config!$B$4*$P136)/(X136+Config!$B$4))</f>
        <v>0.5155</v>
      </c>
      <c r="AC136" s="17">
        <f>IF(OR(AA136="",$K136=""),"",AA136*$K136*($K136/Config!$B$10)^Config!$B$9)</f>
        <v>12.5775</v>
      </c>
      <c r="AD136" s="17">
        <f t="shared" si="2"/>
        <v>6.48370125</v>
      </c>
      <c r="AE136" s="4">
        <f>IF($I136="",0,SUMIFS(Map_Stats!$F$2:$F$825,Map_Stats!$A$2:$A$825,$F136&amp;"|"&amp;$I136))</f>
        <v>0</v>
      </c>
      <c r="AF136" s="18" t="str">
        <f t="array" ref="AF136">IF($I136="","",IFERROR(1/(1/INDEX(Map_Stats!$K$2:$K$825,MATCH($F136&amp;"|"&amp;$I136,Map_Stats!$A$2:$A$825,0))),$O136))</f>
        <v/>
      </c>
      <c r="AG136" s="11" t="str">
        <f t="array" ref="AG136">IF(OR($I136="",$P136=""),"",IFERROR(1/(1/INDEX(Map_Stats!$I$2:$I$825,MATCH($F136&amp;"|"&amp;$I136,Map_Stats!$A$2:$A$825,0))),$P136))</f>
        <v/>
      </c>
      <c r="AH136" s="18" t="str">
        <f>IF(OR($I136="",AF136=""),"",IF($O136="",AF136,(AE136*AF136+Config!$B$4*$O136)/(AE136+Config!$B$4)))</f>
        <v/>
      </c>
      <c r="AI136" s="11" t="str">
        <f>IF(AG136="","",(AE136*AG136+Config!$B$4*$P136)/(AE136+Config!$B$4))</f>
        <v/>
      </c>
      <c r="AJ136" s="17" t="str">
        <f>IF(OR(AH136="",$L136=""),"",AH136*$L136*($L136/Config!$B$10)^Config!$B$9)</f>
        <v/>
      </c>
      <c r="AK136" s="17" t="str">
        <f t="shared" si="3"/>
        <v/>
      </c>
      <c r="AL136" s="17">
        <f t="shared" si="4"/>
        <v>27.22821429</v>
      </c>
      <c r="AM136" s="17">
        <f t="shared" si="5"/>
        <v>27.22821429</v>
      </c>
      <c r="AN136" s="17">
        <f t="shared" si="6"/>
        <v>13.46581309</v>
      </c>
      <c r="AO136" s="17">
        <f t="shared" si="7"/>
        <v>13.46581309</v>
      </c>
      <c r="AP136" s="11">
        <f t="shared" si="8"/>
        <v>0.4945536621</v>
      </c>
      <c r="AQ136" s="4" t="str">
        <f>TRIM(IF($N136&lt;Config!$B$12,"thin sample ("&amp;$N136&amp;" maps) · ","")&amp;IF(AND($G136&lt;&gt;"",Q136=0),"M1 unplayed→overall KPR · ","")&amp;IF(AND($H136&lt;&gt;"",X136=0),"M2 unplayed→overall KPR · ","")&amp;IF($O136="","no PickFinder stats",""))</f>
        <v/>
      </c>
      <c r="AR136" s="4" t="str">
        <f>IF($C136=Board!$B$2,COUNTIFS($C$2:$C$157,Board!$B$2,$AL$2:$AL$157,"&gt;"&amp;$AL136)+COUNTIFS($C$1:$C135,Board!$B$2,$AL$1:$AL135,$AL136)+1,"")</f>
        <v/>
      </c>
      <c r="AS136" s="4" t="str">
        <f t="array" ref="AS136">IFERROR(IF($D136=INDEX(Matches!$AD$5:$AD$22,MATCH($C136,Matches!$A$5:$A$22,0)),"A",IF($D136=INDEX(Matches!$AE$5:$AE$22,MATCH($C136,Matches!$A$5:$A$22,0)),"B","")),"")</f>
        <v>A</v>
      </c>
      <c r="AT136" s="11">
        <f t="array" ref="AT136">IF($AS136="","",IFERROR(IF($AS136="A",INDEX(Matches!$AI$5:$AI$22,MATCH($C136,Matches!$A$5:$A$22,0)),INDEX(Matches!$AJ$5:$AJ$22,MATCH($C136,Matches!$A$5:$A$22,0))),""))</f>
        <v>0.5464339904</v>
      </c>
      <c r="AU136" s="11">
        <f t="array" ref="AU136">IF($AS136="","",IFERROR(IF(INDEX(Matches!$AP$5:$AP$22,MATCH($C136,Matches!$A$5:$A$22,0))="","",IF($AS136="A",INDEX(Matches!$AP$5:$AP$22,MATCH($C136,Matches!$A$5:$A$22,0)),1-INDEX(Matches!$AP$5:$AP$22,MATCH($C136,Matches!$A$5:$A$22,0)))),""))</f>
        <v>0.6408890126</v>
      </c>
      <c r="AV136" s="18">
        <f>IF(OR($AU136="",$AT136=""),1,((Config!$B$14*$AU136+Config!$B$15*(1-$AU136))/(Config!$B$14*$AT136+Config!$B$15*(1-$AT136)))^Config!$B$13)</f>
        <v>1.081043769</v>
      </c>
      <c r="AW136" s="11">
        <f t="array" ref="AW136">IF($AS136="","",IFERROR(IF(INDEX(Matches!$AV$5:$AV$22,MATCH($C136,Matches!$A$5:$A$22,0))="","",IF($AS136="A",INDEX(Matches!$AV$5:$AV$22,MATCH($C136,Matches!$A$5:$A$22,0)),1-INDEX(Matches!$AV$5:$AV$22,MATCH($C136,Matches!$A$5:$A$22,0)))),""))</f>
        <v>0.5377465446</v>
      </c>
      <c r="AX136" s="18">
        <f>IF(OR($AW136="",$AT136=""),1,((Config!$B$14*$AW136+Config!$B$15*(1-$AW136))/(Config!$B$14*$AT136+Config!$B$15*(1-$AT136)))^Config!$B$13)</f>
        <v>0.9925460464</v>
      </c>
      <c r="AY136" s="11" t="str">
        <f t="array" ref="AY136">IF($AS136="","",IFERROR(IF(INDEX(Matches!$BB$5:$BB$22,MATCH($C136,Matches!$A$5:$A$22,0))="","",IF($AS136="A",INDEX(Matches!$BB$5:$BB$22,MATCH($C136,Matches!$A$5:$A$22,0)),1-INDEX(Matches!$BB$5:$BB$22,MATCH($C136,Matches!$A$5:$A$22,0)))),""))</f>
        <v/>
      </c>
      <c r="AZ136" s="18">
        <f>IF(OR($AY136="",$AT136=""),1,((Config!$B$14*$AY136+Config!$B$15*(1-$AY136))/(Config!$B$14*$AT136+Config!$B$15*(1-$AT136)))^Config!$B$13)</f>
        <v>1</v>
      </c>
      <c r="BA136" s="17">
        <f t="shared" si="9"/>
        <v>15.83806339</v>
      </c>
      <c r="BB136" s="17">
        <f t="shared" si="10"/>
        <v>12.4837479</v>
      </c>
      <c r="BC136" s="17" t="str">
        <f t="shared" si="11"/>
        <v/>
      </c>
      <c r="BD136" s="17">
        <f t="shared" si="12"/>
        <v>28.32181129</v>
      </c>
      <c r="BE136" s="17">
        <f t="shared" si="13"/>
        <v>28.32181129</v>
      </c>
      <c r="BF136" s="17">
        <f t="shared" si="14"/>
        <v>7.547968494</v>
      </c>
      <c r="BG136" s="17">
        <f t="shared" si="15"/>
        <v>6.435372042</v>
      </c>
      <c r="BH136" s="17" t="str">
        <f t="shared" si="16"/>
        <v/>
      </c>
      <c r="BI136" s="17">
        <f t="shared" si="17"/>
        <v>13.98334054</v>
      </c>
      <c r="BJ136" s="17">
        <f t="shared" si="18"/>
        <v>13.98334054</v>
      </c>
      <c r="BK136" s="18">
        <f t="shared" si="19"/>
        <v>1.04016411</v>
      </c>
    </row>
    <row r="137" ht="15.75" customHeight="1">
      <c r="A137" s="4" t="s">
        <v>3268</v>
      </c>
      <c r="B137" s="4" t="s">
        <v>86</v>
      </c>
      <c r="C137" s="4" t="s">
        <v>1648</v>
      </c>
      <c r="D137" s="4" t="s">
        <v>856</v>
      </c>
      <c r="E137" s="4" t="s">
        <v>1561</v>
      </c>
      <c r="F137" s="4" t="s">
        <v>1560</v>
      </c>
      <c r="G137" s="4" t="str">
        <f t="array" ref="G137">IFERROR(IF(INDEX(Matches!$W$5:$W$22,MATCH($C137,Matches!$A$5:$A$22,0))="","",INDEX(Matches!$W$5:$W$22,MATCH($C137,Matches!$A$5:$A$22,0))),"")</f>
        <v>Ancient</v>
      </c>
      <c r="H137" s="4" t="str">
        <f t="array" ref="H137">IFERROR(IF(INDEX(Matches!$X$5:$X$22,MATCH($C137,Matches!$A$5:$A$22,0))="","",INDEX(Matches!$X$5:$X$22,MATCH($C137,Matches!$A$5:$A$22,0))),"")</f>
        <v>Nuke</v>
      </c>
      <c r="I137" s="4" t="str">
        <f t="array" ref="I137">IFERROR(IF(INDEX(Matches!$Y$5:$Y$22,MATCH($C137,Matches!$A$5:$A$22,0))="","",INDEX(Matches!$Y$5:$Y$22,MATCH($C137,Matches!$A$5:$A$22,0))),"")</f>
        <v/>
      </c>
      <c r="J137" s="4">
        <f t="array" ref="J137">IFERROR(IF(INDEX(Matches!$Z$5:$Z$22,MATCH($C137,Matches!$A$5:$A$22,0))="","",INDEX(Matches!$Z$5:$Z$22,MATCH($C137,Matches!$A$5:$A$22,0))),"")</f>
        <v>21.5</v>
      </c>
      <c r="K137" s="4">
        <f t="array" ref="K137">IFERROR(IF(INDEX(Matches!$AA$5:$AA$22,MATCH($C137,Matches!$A$5:$A$22,0))="","",INDEX(Matches!$AA$5:$AA$22,MATCH($C137,Matches!$A$5:$A$22,0))),"")</f>
        <v>21.5</v>
      </c>
      <c r="L137" s="4" t="str">
        <f t="array" ref="L137">IFERROR(IF(INDEX(Matches!$AB$5:$AB$22,MATCH($C137,Matches!$A$5:$A$22,0))="","",INDEX(Matches!$AB$5:$AB$22,MATCH($C137,Matches!$A$5:$A$22,0))),"")</f>
        <v/>
      </c>
      <c r="M137" s="11">
        <f t="array" ref="M137">IFERROR(IF(INDEX(Matches!$AC$5:$AC$22,MATCH($C137,Matches!$A$5:$A$22,0))="","",INDEX(Matches!$AC$5:$AC$22,MATCH($C137,Matches!$A$5:$A$22,0))),"")</f>
        <v>0</v>
      </c>
      <c r="N137" s="4">
        <f t="array" ref="N137">IFERROR(INDEX(Players!$F$2:$F$127,MATCH($F137,Players!$A$2:$A$127,0)),0)</f>
        <v>27</v>
      </c>
      <c r="O137" s="18">
        <f t="array" ref="O137">IFERROR(1/(1/INDEX(Players!$H$2:$H$127,MATCH($F137,Players!$A$2:$A$127,0))),"")</f>
        <v>0.68</v>
      </c>
      <c r="P137" s="11">
        <f t="array" ref="P137">IFERROR(1/(1/INDEX(Players!$I$2:$I$127,MATCH($F137,Players!$A$2:$A$127,0))),"")</f>
        <v>0.505</v>
      </c>
      <c r="Q137" s="4">
        <f>IF($G137="",0,SUMIFS(Map_Stats!$F$2:$F$825,Map_Stats!$A$2:$A$825,$F137&amp;"|"&amp;$G137))</f>
        <v>9</v>
      </c>
      <c r="R137" s="18">
        <f t="array" ref="R137">IF($G137="","",IFERROR(1/(1/INDEX(Map_Stats!$K$2:$K$825,MATCH($F137&amp;"|"&amp;$G137,Map_Stats!$A$2:$A$825,0))),$O137))</f>
        <v>0.63</v>
      </c>
      <c r="S137" s="11">
        <f t="array" ref="S137">IF(OR($G137="",$P137=""),"",IFERROR(1/(1/INDEX(Map_Stats!$I$2:$I$825,MATCH($F137&amp;"|"&amp;$G137,Map_Stats!$A$2:$A$825,0))),$P137))</f>
        <v>0.479</v>
      </c>
      <c r="T137" s="18">
        <f>IF(OR($G137="",R137=""),"",IF($O137="",R137,(Q137*R137+Config!$B$4*$O137)/(Q137+Config!$B$4)))</f>
        <v>0.6478571429</v>
      </c>
      <c r="U137" s="11">
        <f>IF(S137="","",(Q137*S137+Config!$B$4*$P137)/(Q137+Config!$B$4))</f>
        <v>0.4882857143</v>
      </c>
      <c r="V137" s="17">
        <f>IF(OR(T137="",$J137=""),"",T137*$J137*($J137/Config!$B$10)^Config!$B$9)</f>
        <v>13.92892857</v>
      </c>
      <c r="W137" s="17">
        <f t="shared" si="1"/>
        <v>6.801296837</v>
      </c>
      <c r="X137" s="4">
        <f>IF($H137="",0,SUMIFS(Map_Stats!$F$2:$F$825,Map_Stats!$A$2:$A$825,$F137&amp;"|"&amp;$H137))</f>
        <v>5</v>
      </c>
      <c r="Y137" s="18">
        <f t="array" ref="Y137">IF($H137="","",IFERROR(1/(1/INDEX(Map_Stats!$K$2:$K$825,MATCH($F137&amp;"|"&amp;$H137,Map_Stats!$A$2:$A$825,0))),$O137))</f>
        <v>0.65</v>
      </c>
      <c r="Z137" s="11">
        <f t="array" ref="Z137">IF(OR($H137="",$P137=""),"",IFERROR(1/(1/INDEX(Map_Stats!$I$2:$I$825,MATCH($F137&amp;"|"&amp;$H137,Map_Stats!$A$2:$A$825,0))),$P137))</f>
        <v>0.453</v>
      </c>
      <c r="AA137" s="18">
        <f>IF(OR($H137="",Y137=""),"",IF($O137="",Y137,(X137*Y137+Config!$B$4*$O137)/(X137+Config!$B$4)))</f>
        <v>0.665</v>
      </c>
      <c r="AB137" s="11">
        <f>IF(Z137="","",(X137*Z137+Config!$B$4*$P137)/(X137+Config!$B$4))</f>
        <v>0.479</v>
      </c>
      <c r="AC137" s="17">
        <f>IF(OR(AA137="",$K137=""),"",AA137*$K137*($K137/Config!$B$10)^Config!$B$9)</f>
        <v>14.2975</v>
      </c>
      <c r="AD137" s="17">
        <f t="shared" si="2"/>
        <v>6.8485025</v>
      </c>
      <c r="AE137" s="4">
        <f>IF($I137="",0,SUMIFS(Map_Stats!$F$2:$F$825,Map_Stats!$A$2:$A$825,$F137&amp;"|"&amp;$I137))</f>
        <v>0</v>
      </c>
      <c r="AF137" s="18" t="str">
        <f t="array" ref="AF137">IF($I137="","",IFERROR(1/(1/INDEX(Map_Stats!$K$2:$K$825,MATCH($F137&amp;"|"&amp;$I137,Map_Stats!$A$2:$A$825,0))),$O137))</f>
        <v/>
      </c>
      <c r="AG137" s="11" t="str">
        <f t="array" ref="AG137">IF(OR($I137="",$P137=""),"",IFERROR(1/(1/INDEX(Map_Stats!$I$2:$I$825,MATCH($F137&amp;"|"&amp;$I137,Map_Stats!$A$2:$A$825,0))),$P137))</f>
        <v/>
      </c>
      <c r="AH137" s="18" t="str">
        <f>IF(OR($I137="",AF137=""),"",IF($O137="",AF137,(AE137*AF137+Config!$B$4*$O137)/(AE137+Config!$B$4)))</f>
        <v/>
      </c>
      <c r="AI137" s="11" t="str">
        <f>IF(AG137="","",(AE137*AG137+Config!$B$4*$P137)/(AE137+Config!$B$4))</f>
        <v/>
      </c>
      <c r="AJ137" s="17" t="str">
        <f>IF(OR(AH137="",$L137=""),"",AH137*$L137*($L137/Config!$B$10)^Config!$B$9)</f>
        <v/>
      </c>
      <c r="AK137" s="17" t="str">
        <f t="shared" si="3"/>
        <v/>
      </c>
      <c r="AL137" s="17">
        <f t="shared" si="4"/>
        <v>28.22642857</v>
      </c>
      <c r="AM137" s="17">
        <f t="shared" si="5"/>
        <v>28.22642857</v>
      </c>
      <c r="AN137" s="17">
        <f t="shared" si="6"/>
        <v>13.64979934</v>
      </c>
      <c r="AO137" s="17">
        <f t="shared" si="7"/>
        <v>13.64979934</v>
      </c>
      <c r="AP137" s="11">
        <f t="shared" si="8"/>
        <v>0.4835822322</v>
      </c>
      <c r="AQ137" s="4" t="str">
        <f>TRIM(IF($N137&lt;Config!$B$12,"thin sample ("&amp;$N137&amp;" maps) · ","")&amp;IF(AND($G137&lt;&gt;"",Q137=0),"M1 unplayed→overall KPR · ","")&amp;IF(AND($H137&lt;&gt;"",X137=0),"M2 unplayed→overall KPR · ","")&amp;IF($O137="","no PickFinder stats",""))</f>
        <v/>
      </c>
      <c r="AR137" s="4" t="str">
        <f>IF($C137=Board!$B$2,COUNTIFS($C$2:$C$157,Board!$B$2,$AL$2:$AL$157,"&gt;"&amp;$AL137)+COUNTIFS($C$1:$C136,Board!$B$2,$AL$1:$AL136,$AL137)+1,"")</f>
        <v/>
      </c>
      <c r="AS137" s="4" t="str">
        <f t="array" ref="AS137">IFERROR(IF($D137=INDEX(Matches!$AD$5:$AD$22,MATCH($C137,Matches!$A$5:$A$22,0)),"A",IF($D137=INDEX(Matches!$AE$5:$AE$22,MATCH($C137,Matches!$A$5:$A$22,0)),"B","")),"")</f>
        <v>A</v>
      </c>
      <c r="AT137" s="11">
        <f t="array" ref="AT137">IF($AS137="","",IFERROR(IF($AS137="A",INDEX(Matches!$AI$5:$AI$22,MATCH($C137,Matches!$A$5:$A$22,0)),INDEX(Matches!$AJ$5:$AJ$22,MATCH($C137,Matches!$A$5:$A$22,0))),""))</f>
        <v>0.5464339904</v>
      </c>
      <c r="AU137" s="11">
        <f t="array" ref="AU137">IF($AS137="","",IFERROR(IF(INDEX(Matches!$AP$5:$AP$22,MATCH($C137,Matches!$A$5:$A$22,0))="","",IF($AS137="A",INDEX(Matches!$AP$5:$AP$22,MATCH($C137,Matches!$A$5:$A$22,0)),1-INDEX(Matches!$AP$5:$AP$22,MATCH($C137,Matches!$A$5:$A$22,0)))),""))</f>
        <v>0.6408890126</v>
      </c>
      <c r="AV137" s="18">
        <f>IF(OR($AU137="",$AT137=""),1,((Config!$B$14*$AU137+Config!$B$15*(1-$AU137))/(Config!$B$14*$AT137+Config!$B$15*(1-$AT137)))^Config!$B$13)</f>
        <v>1.081043769</v>
      </c>
      <c r="AW137" s="11">
        <f t="array" ref="AW137">IF($AS137="","",IFERROR(IF(INDEX(Matches!$AV$5:$AV$22,MATCH($C137,Matches!$A$5:$A$22,0))="","",IF($AS137="A",INDEX(Matches!$AV$5:$AV$22,MATCH($C137,Matches!$A$5:$A$22,0)),1-INDEX(Matches!$AV$5:$AV$22,MATCH($C137,Matches!$A$5:$A$22,0)))),""))</f>
        <v>0.5377465446</v>
      </c>
      <c r="AX137" s="18">
        <f>IF(OR($AW137="",$AT137=""),1,((Config!$B$14*$AW137+Config!$B$15*(1-$AW137))/(Config!$B$14*$AT137+Config!$B$15*(1-$AT137)))^Config!$B$13)</f>
        <v>0.9925460464</v>
      </c>
      <c r="AY137" s="11" t="str">
        <f t="array" ref="AY137">IF($AS137="","",IFERROR(IF(INDEX(Matches!$BB$5:$BB$22,MATCH($C137,Matches!$A$5:$A$22,0))="","",IF($AS137="A",INDEX(Matches!$BB$5:$BB$22,MATCH($C137,Matches!$A$5:$A$22,0)),1-INDEX(Matches!$BB$5:$BB$22,MATCH($C137,Matches!$A$5:$A$22,0)))),""))</f>
        <v/>
      </c>
      <c r="AZ137" s="18">
        <f>IF(OR($AY137="",$AT137=""),1,((Config!$B$14*$AY137+Config!$B$15*(1-$AY137))/(Config!$B$14*$AT137+Config!$B$15*(1-$AT137)))^Config!$B$13)</f>
        <v>1</v>
      </c>
      <c r="BA137" s="17">
        <f t="shared" si="9"/>
        <v>15.05778144</v>
      </c>
      <c r="BB137" s="17">
        <f t="shared" si="10"/>
        <v>14.1909271</v>
      </c>
      <c r="BC137" s="17" t="str">
        <f t="shared" si="11"/>
        <v/>
      </c>
      <c r="BD137" s="17">
        <f t="shared" si="12"/>
        <v>29.24870854</v>
      </c>
      <c r="BE137" s="17">
        <f t="shared" si="13"/>
        <v>29.24870854</v>
      </c>
      <c r="BF137" s="17">
        <f t="shared" si="14"/>
        <v>7.352499565</v>
      </c>
      <c r="BG137" s="17">
        <f t="shared" si="15"/>
        <v>6.79745408</v>
      </c>
      <c r="BH137" s="17" t="str">
        <f t="shared" si="16"/>
        <v/>
      </c>
      <c r="BI137" s="17">
        <f t="shared" si="17"/>
        <v>14.14995365</v>
      </c>
      <c r="BJ137" s="17">
        <f t="shared" si="18"/>
        <v>14.14995365</v>
      </c>
      <c r="BK137" s="18">
        <f t="shared" si="19"/>
        <v>1.036217121</v>
      </c>
    </row>
    <row r="138" ht="15.75" customHeight="1">
      <c r="A138" s="4" t="s">
        <v>3270</v>
      </c>
      <c r="B138" s="4" t="s">
        <v>1582</v>
      </c>
      <c r="C138" s="4" t="s">
        <v>1833</v>
      </c>
      <c r="D138" s="4" t="s">
        <v>368</v>
      </c>
      <c r="E138" s="4" t="s">
        <v>1581</v>
      </c>
      <c r="F138" s="4" t="s">
        <v>1580</v>
      </c>
      <c r="G138" s="4" t="str">
        <f t="array" ref="G138">IFERROR(IF(INDEX(Matches!$W$5:$W$22,MATCH($C138,Matches!$A$5:$A$22,0))="","",INDEX(Matches!$W$5:$W$22,MATCH($C138,Matches!$A$5:$A$22,0))),"")</f>
        <v>Sunset</v>
      </c>
      <c r="H138" s="4" t="str">
        <f t="array" ref="H138">IFERROR(IF(INDEX(Matches!$X$5:$X$22,MATCH($C138,Matches!$A$5:$A$22,0))="","",INDEX(Matches!$X$5:$X$22,MATCH($C138,Matches!$A$5:$A$22,0))),"")</f>
        <v>Ascent</v>
      </c>
      <c r="I138" s="4" t="str">
        <f t="array" ref="I138">IFERROR(IF(INDEX(Matches!$Y$5:$Y$22,MATCH($C138,Matches!$A$5:$A$22,0))="","",INDEX(Matches!$Y$5:$Y$22,MATCH($C138,Matches!$A$5:$A$22,0))),"")</f>
        <v>Split</v>
      </c>
      <c r="J138" s="4">
        <f t="array" ref="J138">IFERROR(IF(INDEX(Matches!$Z$5:$Z$22,MATCH($C138,Matches!$A$5:$A$22,0))="","",INDEX(Matches!$Z$5:$Z$22,MATCH($C138,Matches!$A$5:$A$22,0))),"")</f>
        <v>21.57</v>
      </c>
      <c r="K138" s="4">
        <f t="array" ref="K138">IFERROR(IF(INDEX(Matches!$AA$5:$AA$22,MATCH($C138,Matches!$A$5:$A$22,0))="","",INDEX(Matches!$AA$5:$AA$22,MATCH($C138,Matches!$A$5:$A$22,0))),"")</f>
        <v>21.57</v>
      </c>
      <c r="L138" s="4">
        <f t="array" ref="L138">IFERROR(IF(INDEX(Matches!$AB$5:$AB$22,MATCH($C138,Matches!$A$5:$A$22,0))="","",INDEX(Matches!$AB$5:$AB$22,MATCH($C138,Matches!$A$5:$A$22,0))),"")</f>
        <v>22.5</v>
      </c>
      <c r="M138" s="11">
        <f t="array" ref="M138">IFERROR(IF(INDEX(Matches!$AC$5:$AC$22,MATCH($C138,Matches!$A$5:$A$22,0))="","",INDEX(Matches!$AC$5:$AC$22,MATCH($C138,Matches!$A$5:$A$22,0))),"")</f>
        <v>0.4774</v>
      </c>
      <c r="N138" s="4">
        <f t="array" ref="N138">IFERROR(INDEX(Players!$F$2:$F$127,MATCH($F138,Players!$A$2:$A$127,0)),0)</f>
        <v>39</v>
      </c>
      <c r="O138" s="18">
        <f t="array" ref="O138">IFERROR(1/(1/INDEX(Players!$H$2:$H$127,MATCH($F138,Players!$A$2:$A$127,0))),"")</f>
        <v>0.78</v>
      </c>
      <c r="P138" s="11" t="str">
        <f t="array" ref="P138">IFERROR(1/(1/INDEX(Players!$I$2:$I$127,MATCH($F138,Players!$A$2:$A$127,0))),"")</f>
        <v/>
      </c>
      <c r="Q138" s="4">
        <f>IF($G138="",0,SUMIFS(Map_Stats!$F$2:$F$825,Map_Stats!$A$2:$A$825,$F138&amp;"|"&amp;$G138))</f>
        <v>8</v>
      </c>
      <c r="R138" s="18">
        <f t="array" ref="R138">IF($G138="","",IFERROR(1/(1/INDEX(Map_Stats!$K$2:$K$825,MATCH($F138&amp;"|"&amp;$G138,Map_Stats!$A$2:$A$825,0))),$O138))</f>
        <v>0.8528255528</v>
      </c>
      <c r="S138" s="11" t="str">
        <f t="array" ref="S138">IF(OR($G138="",$P138=""),"",IFERROR(1/(1/INDEX(Map_Stats!$I$2:$I$825,MATCH($F138&amp;"|"&amp;$G138,Map_Stats!$A$2:$A$825,0))),$P138))</f>
        <v/>
      </c>
      <c r="T138" s="18">
        <f>IF(OR($G138="",R138=""),"",IF($O138="",R138,(Q138*R138+Config!$B$4*$O138)/(Q138+Config!$B$4)))</f>
        <v>0.8248157248</v>
      </c>
      <c r="U138" s="11" t="str">
        <f>IF(S138="","",(Q138*S138+Config!$B$4*$P138)/(Q138+Config!$B$4))</f>
        <v/>
      </c>
      <c r="V138" s="17">
        <f>IF(OR(T138="",$J138=""),"",T138*$J138*($J138/Config!$B$11)^Config!$B$9)</f>
        <v>17.79127518</v>
      </c>
      <c r="W138" s="17" t="str">
        <f t="shared" si="1"/>
        <v/>
      </c>
      <c r="X138" s="4">
        <f>IF($H138="",0,SUMIFS(Map_Stats!$F$2:$F$825,Map_Stats!$A$2:$A$825,$F138&amp;"|"&amp;$H138))</f>
        <v>7</v>
      </c>
      <c r="Y138" s="18">
        <f t="array" ref="Y138">IF($H138="","",IFERROR(1/(1/INDEX(Map_Stats!$K$2:$K$825,MATCH($F138&amp;"|"&amp;$H138,Map_Stats!$A$2:$A$825,0))),$O138))</f>
        <v>0.9726044226</v>
      </c>
      <c r="Z138" s="11" t="str">
        <f t="array" ref="Z138">IF(OR($H138="",$P138=""),"",IFERROR(1/(1/INDEX(Map_Stats!$I$2:$I$825,MATCH($F138&amp;"|"&amp;$H138,Map_Stats!$A$2:$A$825,0))),$P138))</f>
        <v/>
      </c>
      <c r="AA138" s="18">
        <f>IF(OR($H138="",Y138=""),"",IF($O138="",Y138,(X138*Y138+Config!$B$4*$O138)/(X138+Config!$B$4)))</f>
        <v>0.8923525799</v>
      </c>
      <c r="AB138" s="11" t="str">
        <f>IF(Z138="","",(X138*Z138+Config!$B$4*$P138)/(X138+Config!$B$4))</f>
        <v/>
      </c>
      <c r="AC138" s="17">
        <f>IF(OR(AA138="",$K138=""),"",AA138*$K138*($K138/Config!$B$11)^Config!$B$9)</f>
        <v>19.24804515</v>
      </c>
      <c r="AD138" s="17" t="str">
        <f t="shared" si="2"/>
        <v/>
      </c>
      <c r="AE138" s="4">
        <f>IF($I138="",0,SUMIFS(Map_Stats!$F$2:$F$825,Map_Stats!$A$2:$A$825,$F138&amp;"|"&amp;$I138))</f>
        <v>4</v>
      </c>
      <c r="AF138" s="18">
        <f t="array" ref="AF138">IF($I138="","",IFERROR(1/(1/INDEX(Map_Stats!$K$2:$K$825,MATCH($F138&amp;"|"&amp;$I138,Map_Stats!$A$2:$A$825,0))),$O138))</f>
        <v>0.8049140049</v>
      </c>
      <c r="AG138" s="11" t="str">
        <f t="array" ref="AG138">IF(OR($I138="",$P138=""),"",IFERROR(1/(1/INDEX(Map_Stats!$I$2:$I$825,MATCH($F138&amp;"|"&amp;$I138,Map_Stats!$A$2:$A$825,0))),$P138))</f>
        <v/>
      </c>
      <c r="AH138" s="18">
        <f>IF(OR($I138="",AF138=""),"",IF($O138="",AF138,(AE138*AF138+Config!$B$4*$O138)/(AE138+Config!$B$4)))</f>
        <v>0.7910728911</v>
      </c>
      <c r="AI138" s="11" t="str">
        <f>IF(AG138="","",(AE138*AG138+Config!$B$4*$P138)/(AE138+Config!$B$4))</f>
        <v/>
      </c>
      <c r="AJ138" s="17">
        <f>IF(OR(AH138="",$L138=""),"",AH138*$L138*($L138/Config!$B$11)^Config!$B$9)</f>
        <v>17.79914005</v>
      </c>
      <c r="AK138" s="17" t="str">
        <f t="shared" si="3"/>
        <v/>
      </c>
      <c r="AL138" s="17">
        <f t="shared" si="4"/>
        <v>37.03932033</v>
      </c>
      <c r="AM138" s="17">
        <f t="shared" si="5"/>
        <v>45.53662979</v>
      </c>
      <c r="AN138" s="17" t="str">
        <f t="shared" si="6"/>
        <v/>
      </c>
      <c r="AO138" s="17" t="str">
        <f t="shared" si="7"/>
        <v/>
      </c>
      <c r="AP138" s="11">
        <f t="shared" si="8"/>
        <v>0</v>
      </c>
      <c r="AQ138" s="4" t="str">
        <f>TRIM(IF($N138&lt;Config!$B$12,"thin sample ("&amp;$N138&amp;" maps) · ","")&amp;IF(AND($G138&lt;&gt;"",Q138=0),"M1 unplayed→overall KPR · ","")&amp;IF(AND($H138&lt;&gt;"",X138=0),"M2 unplayed→overall KPR · ","")&amp;IF($O138="","no PickFinder stats",""))</f>
        <v/>
      </c>
      <c r="AR138" s="4" t="str">
        <f>IF($C138=Board!$B$2,COUNTIFS($C$2:$C$157,Board!$B$2,$AL$2:$AL$157,"&gt;"&amp;$AL138)+COUNTIFS($C$1:$C137,Board!$B$2,$AL$1:$AL137,$AL138)+1,"")</f>
        <v/>
      </c>
      <c r="AS138" s="4" t="str">
        <f t="array" ref="AS138">IFERROR(IF($D138=INDEX(Matches!$AD$5:$AD$22,MATCH($C138,Matches!$A$5:$A$22,0)),"A",IF($D138=INDEX(Matches!$AE$5:$AE$22,MATCH($C138,Matches!$A$5:$A$22,0)),"B","")),"")</f>
        <v>A</v>
      </c>
      <c r="AT138" s="11" t="str">
        <f t="array" ref="AT138">IF($AS138="","",IFERROR(IF($AS138="A",INDEX(Matches!$AI$5:$AI$22,MATCH($C138,Matches!$A$5:$A$22,0)),INDEX(Matches!$AJ$5:$AJ$22,MATCH($C138,Matches!$A$5:$A$22,0))),""))</f>
        <v/>
      </c>
      <c r="AU138" s="11" t="str">
        <f t="array" ref="AU138">IF($AS138="","",IFERROR(IF(INDEX(Matches!$AP$5:$AP$22,MATCH($C138,Matches!$A$5:$A$22,0))="","",IF($AS138="A",INDEX(Matches!$AP$5:$AP$22,MATCH($C138,Matches!$A$5:$A$22,0)),1-INDEX(Matches!$AP$5:$AP$22,MATCH($C138,Matches!$A$5:$A$22,0)))),""))</f>
        <v/>
      </c>
      <c r="AV138" s="18">
        <f>IF(OR($AU138="",$AT138=""),1,((Config!$B$14*$AU138+Config!$B$15*(1-$AU138))/(Config!$B$14*$AT138+Config!$B$15*(1-$AT138)))^Config!$B$13)</f>
        <v>1</v>
      </c>
      <c r="AW138" s="11" t="str">
        <f t="array" ref="AW138">IF($AS138="","",IFERROR(IF(INDEX(Matches!$AV$5:$AV$22,MATCH($C138,Matches!$A$5:$A$22,0))="","",IF($AS138="A",INDEX(Matches!$AV$5:$AV$22,MATCH($C138,Matches!$A$5:$A$22,0)),1-INDEX(Matches!$AV$5:$AV$22,MATCH($C138,Matches!$A$5:$A$22,0)))),""))</f>
        <v/>
      </c>
      <c r="AX138" s="18">
        <f>IF(OR($AW138="",$AT138=""),1,((Config!$B$14*$AW138+Config!$B$15*(1-$AW138))/(Config!$B$14*$AT138+Config!$B$15*(1-$AT138)))^Config!$B$13)</f>
        <v>1</v>
      </c>
      <c r="AY138" s="11" t="str">
        <f t="array" ref="AY138">IF($AS138="","",IFERROR(IF(INDEX(Matches!$BB$5:$BB$22,MATCH($C138,Matches!$A$5:$A$22,0))="","",IF($AS138="A",INDEX(Matches!$BB$5:$BB$22,MATCH($C138,Matches!$A$5:$A$22,0)),1-INDEX(Matches!$BB$5:$BB$22,MATCH($C138,Matches!$A$5:$A$22,0)))),""))</f>
        <v/>
      </c>
      <c r="AZ138" s="18">
        <f>IF(OR($AY138="",$AT138=""),1,((Config!$B$14*$AY138+Config!$B$15*(1-$AY138))/(Config!$B$14*$AT138+Config!$B$15*(1-$AT138)))^Config!$B$13)</f>
        <v>1</v>
      </c>
      <c r="BA138" s="17">
        <f t="shared" si="9"/>
        <v>17.79127518</v>
      </c>
      <c r="BB138" s="17">
        <f t="shared" si="10"/>
        <v>19.24804515</v>
      </c>
      <c r="BC138" s="17">
        <f t="shared" si="11"/>
        <v>17.79914005</v>
      </c>
      <c r="BD138" s="17">
        <f t="shared" si="12"/>
        <v>37.03932033</v>
      </c>
      <c r="BE138" s="17">
        <f t="shared" si="13"/>
        <v>45.53662979</v>
      </c>
      <c r="BF138" s="17" t="str">
        <f t="shared" si="14"/>
        <v/>
      </c>
      <c r="BG138" s="17" t="str">
        <f t="shared" si="15"/>
        <v/>
      </c>
      <c r="BH138" s="17" t="str">
        <f t="shared" si="16"/>
        <v/>
      </c>
      <c r="BI138" s="17" t="str">
        <f t="shared" si="17"/>
        <v/>
      </c>
      <c r="BJ138" s="17" t="str">
        <f t="shared" si="18"/>
        <v/>
      </c>
      <c r="BK138" s="18">
        <f t="shared" si="19"/>
        <v>1</v>
      </c>
    </row>
    <row r="139" ht="15.75" customHeight="1">
      <c r="A139" s="4" t="s">
        <v>3272</v>
      </c>
      <c r="B139" s="4" t="s">
        <v>1582</v>
      </c>
      <c r="C139" s="4" t="s">
        <v>1833</v>
      </c>
      <c r="D139" s="4" t="s">
        <v>368</v>
      </c>
      <c r="E139" s="4" t="s">
        <v>1586</v>
      </c>
      <c r="F139" s="4" t="s">
        <v>1585</v>
      </c>
      <c r="G139" s="4" t="str">
        <f t="array" ref="G139">IFERROR(IF(INDEX(Matches!$W$5:$W$22,MATCH($C139,Matches!$A$5:$A$22,0))="","",INDEX(Matches!$W$5:$W$22,MATCH($C139,Matches!$A$5:$A$22,0))),"")</f>
        <v>Sunset</v>
      </c>
      <c r="H139" s="4" t="str">
        <f t="array" ref="H139">IFERROR(IF(INDEX(Matches!$X$5:$X$22,MATCH($C139,Matches!$A$5:$A$22,0))="","",INDEX(Matches!$X$5:$X$22,MATCH($C139,Matches!$A$5:$A$22,0))),"")</f>
        <v>Ascent</v>
      </c>
      <c r="I139" s="4" t="str">
        <f t="array" ref="I139">IFERROR(IF(INDEX(Matches!$Y$5:$Y$22,MATCH($C139,Matches!$A$5:$A$22,0))="","",INDEX(Matches!$Y$5:$Y$22,MATCH($C139,Matches!$A$5:$A$22,0))),"")</f>
        <v>Split</v>
      </c>
      <c r="J139" s="4">
        <f t="array" ref="J139">IFERROR(IF(INDEX(Matches!$Z$5:$Z$22,MATCH($C139,Matches!$A$5:$A$22,0))="","",INDEX(Matches!$Z$5:$Z$22,MATCH($C139,Matches!$A$5:$A$22,0))),"")</f>
        <v>21.57</v>
      </c>
      <c r="K139" s="4">
        <f t="array" ref="K139">IFERROR(IF(INDEX(Matches!$AA$5:$AA$22,MATCH($C139,Matches!$A$5:$A$22,0))="","",INDEX(Matches!$AA$5:$AA$22,MATCH($C139,Matches!$A$5:$A$22,0))),"")</f>
        <v>21.57</v>
      </c>
      <c r="L139" s="4">
        <f t="array" ref="L139">IFERROR(IF(INDEX(Matches!$AB$5:$AB$22,MATCH($C139,Matches!$A$5:$A$22,0))="","",INDEX(Matches!$AB$5:$AB$22,MATCH($C139,Matches!$A$5:$A$22,0))),"")</f>
        <v>22.5</v>
      </c>
      <c r="M139" s="11">
        <f t="array" ref="M139">IFERROR(IF(INDEX(Matches!$AC$5:$AC$22,MATCH($C139,Matches!$A$5:$A$22,0))="","",INDEX(Matches!$AC$5:$AC$22,MATCH($C139,Matches!$A$5:$A$22,0))),"")</f>
        <v>0.4774</v>
      </c>
      <c r="N139" s="4">
        <f t="array" ref="N139">IFERROR(INDEX(Players!$F$2:$F$127,MATCH($F139,Players!$A$2:$A$127,0)),0)</f>
        <v>39</v>
      </c>
      <c r="O139" s="18">
        <f t="array" ref="O139">IFERROR(1/(1/INDEX(Players!$H$2:$H$127,MATCH($F139,Players!$A$2:$A$127,0))),"")</f>
        <v>0.68</v>
      </c>
      <c r="P139" s="11" t="str">
        <f t="array" ref="P139">IFERROR(1/(1/INDEX(Players!$I$2:$I$127,MATCH($F139,Players!$A$2:$A$127,0))),"")</f>
        <v/>
      </c>
      <c r="Q139" s="4">
        <f>IF($G139="",0,SUMIFS(Map_Stats!$F$2:$F$825,Map_Stats!$A$2:$A$825,$F139&amp;"|"&amp;$G139))</f>
        <v>8</v>
      </c>
      <c r="R139" s="18">
        <f t="array" ref="R139">IF($G139="","",IFERROR(1/(1/INDEX(Map_Stats!$K$2:$K$825,MATCH($F139&amp;"|"&amp;$G139,Map_Stats!$A$2:$A$825,0))),$O139))</f>
        <v>0.7433004231</v>
      </c>
      <c r="S139" s="11" t="str">
        <f t="array" ref="S139">IF(OR($G139="",$P139=""),"",IFERROR(1/(1/INDEX(Map_Stats!$I$2:$I$825,MATCH($F139&amp;"|"&amp;$G139,Map_Stats!$A$2:$A$825,0))),$P139))</f>
        <v/>
      </c>
      <c r="T139" s="18">
        <f>IF(OR($G139="",R139=""),"",IF($O139="",R139,(Q139*R139+Config!$B$4*$O139)/(Q139+Config!$B$4)))</f>
        <v>0.7189541065</v>
      </c>
      <c r="U139" s="11" t="str">
        <f>IF(S139="","",(Q139*S139+Config!$B$4*$P139)/(Q139+Config!$B$4))</f>
        <v/>
      </c>
      <c r="V139" s="17">
        <f>IF(OR(T139="",$J139=""),"",T139*$J139*($J139/Config!$B$11)^Config!$B$9)</f>
        <v>15.50784008</v>
      </c>
      <c r="W139" s="17" t="str">
        <f t="shared" si="1"/>
        <v/>
      </c>
      <c r="X139" s="4">
        <f>IF($H139="",0,SUMIFS(Map_Stats!$F$2:$F$825,Map_Stats!$A$2:$A$825,$F139&amp;"|"&amp;$H139))</f>
        <v>7</v>
      </c>
      <c r="Y139" s="18">
        <f t="array" ref="Y139">IF($H139="","",IFERROR(1/(1/INDEX(Map_Stats!$K$2:$K$825,MATCH($F139&amp;"|"&amp;$H139,Map_Stats!$A$2:$A$825,0))),$O139))</f>
        <v>0.7001410437</v>
      </c>
      <c r="Z139" s="11" t="str">
        <f t="array" ref="Z139">IF(OR($H139="",$P139=""),"",IFERROR(1/(1/INDEX(Map_Stats!$I$2:$I$825,MATCH($F139&amp;"|"&amp;$H139,Map_Stats!$A$2:$A$825,0))),$P139))</f>
        <v/>
      </c>
      <c r="AA139" s="18">
        <f>IF(OR($H139="",Y139=""),"",IF($O139="",Y139,(X139*Y139+Config!$B$4*$O139)/(X139+Config!$B$4)))</f>
        <v>0.6917489422</v>
      </c>
      <c r="AB139" s="11" t="str">
        <f>IF(Z139="","",(X139*Z139+Config!$B$4*$P139)/(X139+Config!$B$4))</f>
        <v/>
      </c>
      <c r="AC139" s="17">
        <f>IF(OR(AA139="",$K139=""),"",AA139*$K139*($K139/Config!$B$11)^Config!$B$9)</f>
        <v>14.92102468</v>
      </c>
      <c r="AD139" s="17" t="str">
        <f t="shared" si="2"/>
        <v/>
      </c>
      <c r="AE139" s="4">
        <f>IF($I139="",0,SUMIFS(Map_Stats!$F$2:$F$825,Map_Stats!$A$2:$A$825,$F139&amp;"|"&amp;$I139))</f>
        <v>4</v>
      </c>
      <c r="AF139" s="18">
        <f t="array" ref="AF139">IF($I139="","",IFERROR(1/(1/INDEX(Map_Stats!$K$2:$K$825,MATCH($F139&amp;"|"&amp;$I139,Map_Stats!$A$2:$A$825,0))),$O139))</f>
        <v>0.6138222849</v>
      </c>
      <c r="AG139" s="11" t="str">
        <f t="array" ref="AG139">IF(OR($I139="",$P139=""),"",IFERROR(1/(1/INDEX(Map_Stats!$I$2:$I$825,MATCH($F139&amp;"|"&amp;$I139,Map_Stats!$A$2:$A$825,0))),$P139))</f>
        <v/>
      </c>
      <c r="AH139" s="18">
        <f>IF(OR($I139="",AF139=""),"",IF($O139="",AF139,(AE139*AF139+Config!$B$4*$O139)/(AE139+Config!$B$4)))</f>
        <v>0.6505876822</v>
      </c>
      <c r="AI139" s="11" t="str">
        <f>IF(AG139="","",(AE139*AG139+Config!$B$4*$P139)/(AE139+Config!$B$4))</f>
        <v/>
      </c>
      <c r="AJ139" s="17">
        <f>IF(OR(AH139="",$L139=""),"",AH139*$L139*($L139/Config!$B$11)^Config!$B$9)</f>
        <v>14.63822285</v>
      </c>
      <c r="AK139" s="17" t="str">
        <f t="shared" si="3"/>
        <v/>
      </c>
      <c r="AL139" s="17">
        <f t="shared" si="4"/>
        <v>30.42886476</v>
      </c>
      <c r="AM139" s="17">
        <f t="shared" si="5"/>
        <v>37.41715235</v>
      </c>
      <c r="AN139" s="17" t="str">
        <f t="shared" si="6"/>
        <v/>
      </c>
      <c r="AO139" s="17" t="str">
        <f t="shared" si="7"/>
        <v/>
      </c>
      <c r="AP139" s="11">
        <f t="shared" si="8"/>
        <v>0</v>
      </c>
      <c r="AQ139" s="4" t="str">
        <f>TRIM(IF($N139&lt;Config!$B$12,"thin sample ("&amp;$N139&amp;" maps) · ","")&amp;IF(AND($G139&lt;&gt;"",Q139=0),"M1 unplayed→overall KPR · ","")&amp;IF(AND($H139&lt;&gt;"",X139=0),"M2 unplayed→overall KPR · ","")&amp;IF($O139="","no PickFinder stats",""))</f>
        <v/>
      </c>
      <c r="AR139" s="4" t="str">
        <f>IF($C139=Board!$B$2,COUNTIFS($C$2:$C$157,Board!$B$2,$AL$2:$AL$157,"&gt;"&amp;$AL139)+COUNTIFS($C$1:$C138,Board!$B$2,$AL$1:$AL138,$AL139)+1,"")</f>
        <v/>
      </c>
      <c r="AS139" s="4" t="str">
        <f t="array" ref="AS139">IFERROR(IF($D139=INDEX(Matches!$AD$5:$AD$22,MATCH($C139,Matches!$A$5:$A$22,0)),"A",IF($D139=INDEX(Matches!$AE$5:$AE$22,MATCH($C139,Matches!$A$5:$A$22,0)),"B","")),"")</f>
        <v>A</v>
      </c>
      <c r="AT139" s="11" t="str">
        <f t="array" ref="AT139">IF($AS139="","",IFERROR(IF($AS139="A",INDEX(Matches!$AI$5:$AI$22,MATCH($C139,Matches!$A$5:$A$22,0)),INDEX(Matches!$AJ$5:$AJ$22,MATCH($C139,Matches!$A$5:$A$22,0))),""))</f>
        <v/>
      </c>
      <c r="AU139" s="11" t="str">
        <f t="array" ref="AU139">IF($AS139="","",IFERROR(IF(INDEX(Matches!$AP$5:$AP$22,MATCH($C139,Matches!$A$5:$A$22,0))="","",IF($AS139="A",INDEX(Matches!$AP$5:$AP$22,MATCH($C139,Matches!$A$5:$A$22,0)),1-INDEX(Matches!$AP$5:$AP$22,MATCH($C139,Matches!$A$5:$A$22,0)))),""))</f>
        <v/>
      </c>
      <c r="AV139" s="18">
        <f>IF(OR($AU139="",$AT139=""),1,((Config!$B$14*$AU139+Config!$B$15*(1-$AU139))/(Config!$B$14*$AT139+Config!$B$15*(1-$AT139)))^Config!$B$13)</f>
        <v>1</v>
      </c>
      <c r="AW139" s="11" t="str">
        <f t="array" ref="AW139">IF($AS139="","",IFERROR(IF(INDEX(Matches!$AV$5:$AV$22,MATCH($C139,Matches!$A$5:$A$22,0))="","",IF($AS139="A",INDEX(Matches!$AV$5:$AV$22,MATCH($C139,Matches!$A$5:$A$22,0)),1-INDEX(Matches!$AV$5:$AV$22,MATCH($C139,Matches!$A$5:$A$22,0)))),""))</f>
        <v/>
      </c>
      <c r="AX139" s="18">
        <f>IF(OR($AW139="",$AT139=""),1,((Config!$B$14*$AW139+Config!$B$15*(1-$AW139))/(Config!$B$14*$AT139+Config!$B$15*(1-$AT139)))^Config!$B$13)</f>
        <v>1</v>
      </c>
      <c r="AY139" s="11" t="str">
        <f t="array" ref="AY139">IF($AS139="","",IFERROR(IF(INDEX(Matches!$BB$5:$BB$22,MATCH($C139,Matches!$A$5:$A$22,0))="","",IF($AS139="A",INDEX(Matches!$BB$5:$BB$22,MATCH($C139,Matches!$A$5:$A$22,0)),1-INDEX(Matches!$BB$5:$BB$22,MATCH($C139,Matches!$A$5:$A$22,0)))),""))</f>
        <v/>
      </c>
      <c r="AZ139" s="18">
        <f>IF(OR($AY139="",$AT139=""),1,((Config!$B$14*$AY139+Config!$B$15*(1-$AY139))/(Config!$B$14*$AT139+Config!$B$15*(1-$AT139)))^Config!$B$13)</f>
        <v>1</v>
      </c>
      <c r="BA139" s="17">
        <f t="shared" si="9"/>
        <v>15.50784008</v>
      </c>
      <c r="BB139" s="17">
        <f t="shared" si="10"/>
        <v>14.92102468</v>
      </c>
      <c r="BC139" s="17">
        <f t="shared" si="11"/>
        <v>14.63822285</v>
      </c>
      <c r="BD139" s="17">
        <f t="shared" si="12"/>
        <v>30.42886476</v>
      </c>
      <c r="BE139" s="17">
        <f t="shared" si="13"/>
        <v>37.41715235</v>
      </c>
      <c r="BF139" s="17" t="str">
        <f t="shared" si="14"/>
        <v/>
      </c>
      <c r="BG139" s="17" t="str">
        <f t="shared" si="15"/>
        <v/>
      </c>
      <c r="BH139" s="17" t="str">
        <f t="shared" si="16"/>
        <v/>
      </c>
      <c r="BI139" s="17" t="str">
        <f t="shared" si="17"/>
        <v/>
      </c>
      <c r="BJ139" s="17" t="str">
        <f t="shared" si="18"/>
        <v/>
      </c>
      <c r="BK139" s="18">
        <f t="shared" si="19"/>
        <v>1</v>
      </c>
    </row>
    <row r="140" ht="15.75" customHeight="1">
      <c r="A140" s="4" t="s">
        <v>3274</v>
      </c>
      <c r="B140" s="4" t="s">
        <v>1582</v>
      </c>
      <c r="C140" s="4" t="s">
        <v>1833</v>
      </c>
      <c r="D140" s="4" t="s">
        <v>368</v>
      </c>
      <c r="E140" s="4" t="s">
        <v>1589</v>
      </c>
      <c r="F140" s="4" t="s">
        <v>1588</v>
      </c>
      <c r="G140" s="4" t="str">
        <f t="array" ref="G140">IFERROR(IF(INDEX(Matches!$W$5:$W$22,MATCH($C140,Matches!$A$5:$A$22,0))="","",INDEX(Matches!$W$5:$W$22,MATCH($C140,Matches!$A$5:$A$22,0))),"")</f>
        <v>Sunset</v>
      </c>
      <c r="H140" s="4" t="str">
        <f t="array" ref="H140">IFERROR(IF(INDEX(Matches!$X$5:$X$22,MATCH($C140,Matches!$A$5:$A$22,0))="","",INDEX(Matches!$X$5:$X$22,MATCH($C140,Matches!$A$5:$A$22,0))),"")</f>
        <v>Ascent</v>
      </c>
      <c r="I140" s="4" t="str">
        <f t="array" ref="I140">IFERROR(IF(INDEX(Matches!$Y$5:$Y$22,MATCH($C140,Matches!$A$5:$A$22,0))="","",INDEX(Matches!$Y$5:$Y$22,MATCH($C140,Matches!$A$5:$A$22,0))),"")</f>
        <v>Split</v>
      </c>
      <c r="J140" s="4">
        <f t="array" ref="J140">IFERROR(IF(INDEX(Matches!$Z$5:$Z$22,MATCH($C140,Matches!$A$5:$A$22,0))="","",INDEX(Matches!$Z$5:$Z$22,MATCH($C140,Matches!$A$5:$A$22,0))),"")</f>
        <v>21.57</v>
      </c>
      <c r="K140" s="4">
        <f t="array" ref="K140">IFERROR(IF(INDEX(Matches!$AA$5:$AA$22,MATCH($C140,Matches!$A$5:$A$22,0))="","",INDEX(Matches!$AA$5:$AA$22,MATCH($C140,Matches!$A$5:$A$22,0))),"")</f>
        <v>21.57</v>
      </c>
      <c r="L140" s="4">
        <f t="array" ref="L140">IFERROR(IF(INDEX(Matches!$AB$5:$AB$22,MATCH($C140,Matches!$A$5:$A$22,0))="","",INDEX(Matches!$AB$5:$AB$22,MATCH($C140,Matches!$A$5:$A$22,0))),"")</f>
        <v>22.5</v>
      </c>
      <c r="M140" s="11">
        <f t="array" ref="M140">IFERROR(IF(INDEX(Matches!$AC$5:$AC$22,MATCH($C140,Matches!$A$5:$A$22,0))="","",INDEX(Matches!$AC$5:$AC$22,MATCH($C140,Matches!$A$5:$A$22,0))),"")</f>
        <v>0.4774</v>
      </c>
      <c r="N140" s="4">
        <f t="array" ref="N140">IFERROR(INDEX(Players!$F$2:$F$127,MATCH($F140,Players!$A$2:$A$127,0)),0)</f>
        <v>39</v>
      </c>
      <c r="O140" s="18">
        <f t="array" ref="O140">IFERROR(1/(1/INDEX(Players!$H$2:$H$127,MATCH($F140,Players!$A$2:$A$127,0))),"")</f>
        <v>0.75</v>
      </c>
      <c r="P140" s="11" t="str">
        <f t="array" ref="P140">IFERROR(1/(1/INDEX(Players!$I$2:$I$127,MATCH($F140,Players!$A$2:$A$127,0))),"")</f>
        <v/>
      </c>
      <c r="Q140" s="4">
        <f>IF($G140="",0,SUMIFS(Map_Stats!$F$2:$F$825,Map_Stats!$A$2:$A$825,$F140&amp;"|"&amp;$G140))</f>
        <v>8</v>
      </c>
      <c r="R140" s="18">
        <f t="array" ref="R140">IF($G140="","",IFERROR(1/(1/INDEX(Map_Stats!$K$2:$K$825,MATCH($F140&amp;"|"&amp;$G140,Map_Stats!$A$2:$A$825,0))),$O140))</f>
        <v>0.8988585923</v>
      </c>
      <c r="S140" s="11" t="str">
        <f t="array" ref="S140">IF(OR($G140="",$P140=""),"",IFERROR(1/(1/INDEX(Map_Stats!$I$2:$I$825,MATCH($F140&amp;"|"&amp;$G140,Map_Stats!$A$2:$A$825,0))),$P140))</f>
        <v/>
      </c>
      <c r="T140" s="18">
        <f>IF(OR($G140="",R140=""),"",IF($O140="",R140,(Q140*R140+Config!$B$4*$O140)/(Q140+Config!$B$4)))</f>
        <v>0.8416052875</v>
      </c>
      <c r="U140" s="11" t="str">
        <f>IF(S140="","",(Q140*S140+Config!$B$4*$P140)/(Q140+Config!$B$4))</f>
        <v/>
      </c>
      <c r="V140" s="17">
        <f>IF(OR(T140="",$J140=""),"",T140*$J140*($J140/Config!$B$11)^Config!$B$9)</f>
        <v>18.15342605</v>
      </c>
      <c r="W140" s="17" t="str">
        <f t="shared" si="1"/>
        <v/>
      </c>
      <c r="X140" s="4">
        <f>IF($H140="",0,SUMIFS(Map_Stats!$F$2:$F$825,Map_Stats!$A$2:$A$825,$F140&amp;"|"&amp;$H140))</f>
        <v>7</v>
      </c>
      <c r="Y140" s="18">
        <f t="array" ref="Y140">IF($H140="","",IFERROR(1/(1/INDEX(Map_Stats!$K$2:$K$825,MATCH($F140&amp;"|"&amp;$H140,Map_Stats!$A$2:$A$825,0))),$O140))</f>
        <v>0.9083703234</v>
      </c>
      <c r="Z140" s="11" t="str">
        <f t="array" ref="Z140">IF(OR($H140="",$P140=""),"",IFERROR(1/(1/INDEX(Map_Stats!$I$2:$I$825,MATCH($F140&amp;"|"&amp;$H140,Map_Stats!$A$2:$A$825,0))),$P140))</f>
        <v/>
      </c>
      <c r="AA140" s="18">
        <f>IF(OR($H140="",Y140=""),"",IF($O140="",Y140,(X140*Y140+Config!$B$4*$O140)/(X140+Config!$B$4)))</f>
        <v>0.8423826886</v>
      </c>
      <c r="AB140" s="11" t="str">
        <f>IF(Z140="","",(X140*Z140+Config!$B$4*$P140)/(X140+Config!$B$4))</f>
        <v/>
      </c>
      <c r="AC140" s="17">
        <f>IF(OR(AA140="",$K140=""),"",AA140*$K140*($K140/Config!$B$11)^Config!$B$9)</f>
        <v>18.17019459</v>
      </c>
      <c r="AD140" s="17" t="str">
        <f t="shared" si="2"/>
        <v/>
      </c>
      <c r="AE140" s="4">
        <f>IF($I140="",0,SUMIFS(Map_Stats!$F$2:$F$825,Map_Stats!$A$2:$A$825,$F140&amp;"|"&amp;$I140))</f>
        <v>4</v>
      </c>
      <c r="AF140" s="18">
        <f t="array" ref="AF140">IF($I140="","",IFERROR(1/(1/INDEX(Map_Stats!$K$2:$K$825,MATCH($F140&amp;"|"&amp;$I140,Map_Stats!$A$2:$A$825,0))),$O140))</f>
        <v>0.7133798351</v>
      </c>
      <c r="AG140" s="11" t="str">
        <f t="array" ref="AG140">IF(OR($I140="",$P140=""),"",IFERROR(1/(1/INDEX(Map_Stats!$I$2:$I$825,MATCH($F140&amp;"|"&amp;$I140,Map_Stats!$A$2:$A$825,0))),$P140))</f>
        <v/>
      </c>
      <c r="AH140" s="18">
        <f>IF(OR($I140="",AF140=""),"",IF($O140="",AF140,(AE140*AF140+Config!$B$4*$O140)/(AE140+Config!$B$4)))</f>
        <v>0.7337243712</v>
      </c>
      <c r="AI140" s="11" t="str">
        <f>IF(AG140="","",(AE140*AG140+Config!$B$4*$P140)/(AE140+Config!$B$4))</f>
        <v/>
      </c>
      <c r="AJ140" s="17">
        <f>IF(OR(AH140="",$L140=""),"",AH140*$L140*($L140/Config!$B$11)^Config!$B$9)</f>
        <v>16.50879835</v>
      </c>
      <c r="AK140" s="17" t="str">
        <f t="shared" si="3"/>
        <v/>
      </c>
      <c r="AL140" s="17">
        <f t="shared" si="4"/>
        <v>36.32362065</v>
      </c>
      <c r="AM140" s="17">
        <f t="shared" si="5"/>
        <v>44.20492098</v>
      </c>
      <c r="AN140" s="17" t="str">
        <f t="shared" si="6"/>
        <v/>
      </c>
      <c r="AO140" s="17" t="str">
        <f t="shared" si="7"/>
        <v/>
      </c>
      <c r="AP140" s="11">
        <f t="shared" si="8"/>
        <v>0</v>
      </c>
      <c r="AQ140" s="4" t="str">
        <f>TRIM(IF($N140&lt;Config!$B$12,"thin sample ("&amp;$N140&amp;" maps) · ","")&amp;IF(AND($G140&lt;&gt;"",Q140=0),"M1 unplayed→overall KPR · ","")&amp;IF(AND($H140&lt;&gt;"",X140=0),"M2 unplayed→overall KPR · ","")&amp;IF($O140="","no PickFinder stats",""))</f>
        <v/>
      </c>
      <c r="AR140" s="4" t="str">
        <f>IF($C140=Board!$B$2,COUNTIFS($C$2:$C$157,Board!$B$2,$AL$2:$AL$157,"&gt;"&amp;$AL140)+COUNTIFS($C$1:$C139,Board!$B$2,$AL$1:$AL139,$AL140)+1,"")</f>
        <v/>
      </c>
      <c r="AS140" s="4" t="str">
        <f t="array" ref="AS140">IFERROR(IF($D140=INDEX(Matches!$AD$5:$AD$22,MATCH($C140,Matches!$A$5:$A$22,0)),"A",IF($D140=INDEX(Matches!$AE$5:$AE$22,MATCH($C140,Matches!$A$5:$A$22,0)),"B","")),"")</f>
        <v>A</v>
      </c>
      <c r="AT140" s="11" t="str">
        <f t="array" ref="AT140">IF($AS140="","",IFERROR(IF($AS140="A",INDEX(Matches!$AI$5:$AI$22,MATCH($C140,Matches!$A$5:$A$22,0)),INDEX(Matches!$AJ$5:$AJ$22,MATCH($C140,Matches!$A$5:$A$22,0))),""))</f>
        <v/>
      </c>
      <c r="AU140" s="11" t="str">
        <f t="array" ref="AU140">IF($AS140="","",IFERROR(IF(INDEX(Matches!$AP$5:$AP$22,MATCH($C140,Matches!$A$5:$A$22,0))="","",IF($AS140="A",INDEX(Matches!$AP$5:$AP$22,MATCH($C140,Matches!$A$5:$A$22,0)),1-INDEX(Matches!$AP$5:$AP$22,MATCH($C140,Matches!$A$5:$A$22,0)))),""))</f>
        <v/>
      </c>
      <c r="AV140" s="18">
        <f>IF(OR($AU140="",$AT140=""),1,((Config!$B$14*$AU140+Config!$B$15*(1-$AU140))/(Config!$B$14*$AT140+Config!$B$15*(1-$AT140)))^Config!$B$13)</f>
        <v>1</v>
      </c>
      <c r="AW140" s="11" t="str">
        <f t="array" ref="AW140">IF($AS140="","",IFERROR(IF(INDEX(Matches!$AV$5:$AV$22,MATCH($C140,Matches!$A$5:$A$22,0))="","",IF($AS140="A",INDEX(Matches!$AV$5:$AV$22,MATCH($C140,Matches!$A$5:$A$22,0)),1-INDEX(Matches!$AV$5:$AV$22,MATCH($C140,Matches!$A$5:$A$22,0)))),""))</f>
        <v/>
      </c>
      <c r="AX140" s="18">
        <f>IF(OR($AW140="",$AT140=""),1,((Config!$B$14*$AW140+Config!$B$15*(1-$AW140))/(Config!$B$14*$AT140+Config!$B$15*(1-$AT140)))^Config!$B$13)</f>
        <v>1</v>
      </c>
      <c r="AY140" s="11" t="str">
        <f t="array" ref="AY140">IF($AS140="","",IFERROR(IF(INDEX(Matches!$BB$5:$BB$22,MATCH($C140,Matches!$A$5:$A$22,0))="","",IF($AS140="A",INDEX(Matches!$BB$5:$BB$22,MATCH($C140,Matches!$A$5:$A$22,0)),1-INDEX(Matches!$BB$5:$BB$22,MATCH($C140,Matches!$A$5:$A$22,0)))),""))</f>
        <v/>
      </c>
      <c r="AZ140" s="18">
        <f>IF(OR($AY140="",$AT140=""),1,((Config!$B$14*$AY140+Config!$B$15*(1-$AY140))/(Config!$B$14*$AT140+Config!$B$15*(1-$AT140)))^Config!$B$13)</f>
        <v>1</v>
      </c>
      <c r="BA140" s="17">
        <f t="shared" si="9"/>
        <v>18.15342605</v>
      </c>
      <c r="BB140" s="17">
        <f t="shared" si="10"/>
        <v>18.17019459</v>
      </c>
      <c r="BC140" s="17">
        <f t="shared" si="11"/>
        <v>16.50879835</v>
      </c>
      <c r="BD140" s="17">
        <f t="shared" si="12"/>
        <v>36.32362065</v>
      </c>
      <c r="BE140" s="17">
        <f t="shared" si="13"/>
        <v>44.20492098</v>
      </c>
      <c r="BF140" s="17" t="str">
        <f t="shared" si="14"/>
        <v/>
      </c>
      <c r="BG140" s="17" t="str">
        <f t="shared" si="15"/>
        <v/>
      </c>
      <c r="BH140" s="17" t="str">
        <f t="shared" si="16"/>
        <v/>
      </c>
      <c r="BI140" s="17" t="str">
        <f t="shared" si="17"/>
        <v/>
      </c>
      <c r="BJ140" s="17" t="str">
        <f t="shared" si="18"/>
        <v/>
      </c>
      <c r="BK140" s="18">
        <f t="shared" si="19"/>
        <v>1</v>
      </c>
    </row>
    <row r="141" ht="15.75" customHeight="1">
      <c r="A141" s="4" t="s">
        <v>3275</v>
      </c>
      <c r="B141" s="4" t="s">
        <v>1582</v>
      </c>
      <c r="C141" s="4" t="s">
        <v>1833</v>
      </c>
      <c r="D141" s="4" t="s">
        <v>368</v>
      </c>
      <c r="E141" s="4" t="s">
        <v>1592</v>
      </c>
      <c r="F141" s="4" t="s">
        <v>1591</v>
      </c>
      <c r="G141" s="4" t="str">
        <f t="array" ref="G141">IFERROR(IF(INDEX(Matches!$W$5:$W$22,MATCH($C141,Matches!$A$5:$A$22,0))="","",INDEX(Matches!$W$5:$W$22,MATCH($C141,Matches!$A$5:$A$22,0))),"")</f>
        <v>Sunset</v>
      </c>
      <c r="H141" s="4" t="str">
        <f t="array" ref="H141">IFERROR(IF(INDEX(Matches!$X$5:$X$22,MATCH($C141,Matches!$A$5:$A$22,0))="","",INDEX(Matches!$X$5:$X$22,MATCH($C141,Matches!$A$5:$A$22,0))),"")</f>
        <v>Ascent</v>
      </c>
      <c r="I141" s="4" t="str">
        <f t="array" ref="I141">IFERROR(IF(INDEX(Matches!$Y$5:$Y$22,MATCH($C141,Matches!$A$5:$A$22,0))="","",INDEX(Matches!$Y$5:$Y$22,MATCH($C141,Matches!$A$5:$A$22,0))),"")</f>
        <v>Split</v>
      </c>
      <c r="J141" s="4">
        <f t="array" ref="J141">IFERROR(IF(INDEX(Matches!$Z$5:$Z$22,MATCH($C141,Matches!$A$5:$A$22,0))="","",INDEX(Matches!$Z$5:$Z$22,MATCH($C141,Matches!$A$5:$A$22,0))),"")</f>
        <v>21.57</v>
      </c>
      <c r="K141" s="4">
        <f t="array" ref="K141">IFERROR(IF(INDEX(Matches!$AA$5:$AA$22,MATCH($C141,Matches!$A$5:$A$22,0))="","",INDEX(Matches!$AA$5:$AA$22,MATCH($C141,Matches!$A$5:$A$22,0))),"")</f>
        <v>21.57</v>
      </c>
      <c r="L141" s="4">
        <f t="array" ref="L141">IFERROR(IF(INDEX(Matches!$AB$5:$AB$22,MATCH($C141,Matches!$A$5:$A$22,0))="","",INDEX(Matches!$AB$5:$AB$22,MATCH($C141,Matches!$A$5:$A$22,0))),"")</f>
        <v>22.5</v>
      </c>
      <c r="M141" s="11">
        <f t="array" ref="M141">IFERROR(IF(INDEX(Matches!$AC$5:$AC$22,MATCH($C141,Matches!$A$5:$A$22,0))="","",INDEX(Matches!$AC$5:$AC$22,MATCH($C141,Matches!$A$5:$A$22,0))),"")</f>
        <v>0.4774</v>
      </c>
      <c r="N141" s="4">
        <f t="array" ref="N141">IFERROR(INDEX(Players!$F$2:$F$127,MATCH($F141,Players!$A$2:$A$127,0)),0)</f>
        <v>39</v>
      </c>
      <c r="O141" s="18">
        <f t="array" ref="O141">IFERROR(1/(1/INDEX(Players!$H$2:$H$127,MATCH($F141,Players!$A$2:$A$127,0))),"")</f>
        <v>0.77</v>
      </c>
      <c r="P141" s="11" t="str">
        <f t="array" ref="P141">IFERROR(1/(1/INDEX(Players!$I$2:$I$127,MATCH($F141,Players!$A$2:$A$127,0))),"")</f>
        <v/>
      </c>
      <c r="Q141" s="4">
        <f>IF($G141="",0,SUMIFS(Map_Stats!$F$2:$F$825,Map_Stats!$A$2:$A$825,$F141&amp;"|"&amp;$G141))</f>
        <v>8</v>
      </c>
      <c r="R141" s="18">
        <f t="array" ref="R141">IF($G141="","",IFERROR(1/(1/INDEX(Map_Stats!$K$2:$K$825,MATCH($F141&amp;"|"&amp;$G141,Map_Stats!$A$2:$A$825,0))),$O141))</f>
        <v>0.7925764192</v>
      </c>
      <c r="S141" s="11" t="str">
        <f t="array" ref="S141">IF(OR($G141="",$P141=""),"",IFERROR(1/(1/INDEX(Map_Stats!$I$2:$I$825,MATCH($F141&amp;"|"&amp;$G141,Map_Stats!$A$2:$A$825,0))),$P141))</f>
        <v/>
      </c>
      <c r="T141" s="18">
        <f>IF(OR($G141="",R141=""),"",IF($O141="",R141,(Q141*R141+Config!$B$4*$O141)/(Q141+Config!$B$4)))</f>
        <v>0.7838931811</v>
      </c>
      <c r="U141" s="11" t="str">
        <f>IF(S141="","",(Q141*S141+Config!$B$4*$P141)/(Q141+Config!$B$4))</f>
        <v/>
      </c>
      <c r="V141" s="17">
        <f>IF(OR(T141="",$J141=""),"",T141*$J141*($J141/Config!$B$11)^Config!$B$9)</f>
        <v>16.90857592</v>
      </c>
      <c r="W141" s="17" t="str">
        <f t="shared" si="1"/>
        <v/>
      </c>
      <c r="X141" s="4">
        <f>IF($H141="",0,SUMIFS(Map_Stats!$F$2:$F$825,Map_Stats!$A$2:$A$825,$F141&amp;"|"&amp;$H141))</f>
        <v>7</v>
      </c>
      <c r="Y141" s="18">
        <f t="array" ref="Y141">IF($H141="","",IFERROR(1/(1/INDEX(Map_Stats!$K$2:$K$825,MATCH($F141&amp;"|"&amp;$H141,Map_Stats!$A$2:$A$825,0))),$O141))</f>
        <v>0.9270742358</v>
      </c>
      <c r="Z141" s="11" t="str">
        <f t="array" ref="Z141">IF(OR($H141="",$P141=""),"",IFERROR(1/(1/INDEX(Map_Stats!$I$2:$I$825,MATCH($F141&amp;"|"&amp;$H141,Map_Stats!$A$2:$A$825,0))),$P141))</f>
        <v/>
      </c>
      <c r="AA141" s="18">
        <f>IF(OR($H141="",Y141=""),"",IF($O141="",Y141,(X141*Y141+Config!$B$4*$O141)/(X141+Config!$B$4)))</f>
        <v>0.8616266376</v>
      </c>
      <c r="AB141" s="11" t="str">
        <f>IF(Z141="","",(X141*Z141+Config!$B$4*$P141)/(X141+Config!$B$4))</f>
        <v/>
      </c>
      <c r="AC141" s="17">
        <f>IF(OR(AA141="",$K141=""),"",AA141*$K141*($K141/Config!$B$11)^Config!$B$9)</f>
        <v>18.58528657</v>
      </c>
      <c r="AD141" s="17" t="str">
        <f t="shared" si="2"/>
        <v/>
      </c>
      <c r="AE141" s="4">
        <f>IF($I141="",0,SUMIFS(Map_Stats!$F$2:$F$825,Map_Stats!$A$2:$A$825,$F141&amp;"|"&amp;$I141))</f>
        <v>4</v>
      </c>
      <c r="AF141" s="18">
        <f t="array" ref="AF141">IF($I141="","",IFERROR(1/(1/INDEX(Map_Stats!$K$2:$K$825,MATCH($F141&amp;"|"&amp;$I141,Map_Stats!$A$2:$A$825,0))),$O141))</f>
        <v>0.7925764192</v>
      </c>
      <c r="AG141" s="11" t="str">
        <f t="array" ref="AG141">IF(OR($I141="",$P141=""),"",IFERROR(1/(1/INDEX(Map_Stats!$I$2:$I$825,MATCH($F141&amp;"|"&amp;$I141,Map_Stats!$A$2:$A$825,0))),$P141))</f>
        <v/>
      </c>
      <c r="AH141" s="18">
        <f>IF(OR($I141="",AF141=""),"",IF($O141="",AF141,(AE141*AF141+Config!$B$4*$O141)/(AE141+Config!$B$4)))</f>
        <v>0.7800339641</v>
      </c>
      <c r="AI141" s="11" t="str">
        <f>IF(AG141="","",(AE141*AG141+Config!$B$4*$P141)/(AE141+Config!$B$4))</f>
        <v/>
      </c>
      <c r="AJ141" s="17">
        <f>IF(OR(AH141="",$L141=""),"",AH141*$L141*($L141/Config!$B$11)^Config!$B$9)</f>
        <v>17.55076419</v>
      </c>
      <c r="AK141" s="17" t="str">
        <f t="shared" si="3"/>
        <v/>
      </c>
      <c r="AL141" s="17">
        <f t="shared" si="4"/>
        <v>35.49386249</v>
      </c>
      <c r="AM141" s="17">
        <f t="shared" si="5"/>
        <v>43.87259731</v>
      </c>
      <c r="AN141" s="17" t="str">
        <f t="shared" si="6"/>
        <v/>
      </c>
      <c r="AO141" s="17" t="str">
        <f t="shared" si="7"/>
        <v/>
      </c>
      <c r="AP141" s="11">
        <f t="shared" si="8"/>
        <v>0</v>
      </c>
      <c r="AQ141" s="4" t="str">
        <f>TRIM(IF($N141&lt;Config!$B$12,"thin sample ("&amp;$N141&amp;" maps) · ","")&amp;IF(AND($G141&lt;&gt;"",Q141=0),"M1 unplayed→overall KPR · ","")&amp;IF(AND($H141&lt;&gt;"",X141=0),"M2 unplayed→overall KPR · ","")&amp;IF($O141="","no PickFinder stats",""))</f>
        <v/>
      </c>
      <c r="AR141" s="4" t="str">
        <f>IF($C141=Board!$B$2,COUNTIFS($C$2:$C$157,Board!$B$2,$AL$2:$AL$157,"&gt;"&amp;$AL141)+COUNTIFS($C$1:$C140,Board!$B$2,$AL$1:$AL140,$AL141)+1,"")</f>
        <v/>
      </c>
      <c r="AS141" s="4" t="str">
        <f t="array" ref="AS141">IFERROR(IF($D141=INDEX(Matches!$AD$5:$AD$22,MATCH($C141,Matches!$A$5:$A$22,0)),"A",IF($D141=INDEX(Matches!$AE$5:$AE$22,MATCH($C141,Matches!$A$5:$A$22,0)),"B","")),"")</f>
        <v>A</v>
      </c>
      <c r="AT141" s="11" t="str">
        <f t="array" ref="AT141">IF($AS141="","",IFERROR(IF($AS141="A",INDEX(Matches!$AI$5:$AI$22,MATCH($C141,Matches!$A$5:$A$22,0)),INDEX(Matches!$AJ$5:$AJ$22,MATCH($C141,Matches!$A$5:$A$22,0))),""))</f>
        <v/>
      </c>
      <c r="AU141" s="11" t="str">
        <f t="array" ref="AU141">IF($AS141="","",IFERROR(IF(INDEX(Matches!$AP$5:$AP$22,MATCH($C141,Matches!$A$5:$A$22,0))="","",IF($AS141="A",INDEX(Matches!$AP$5:$AP$22,MATCH($C141,Matches!$A$5:$A$22,0)),1-INDEX(Matches!$AP$5:$AP$22,MATCH($C141,Matches!$A$5:$A$22,0)))),""))</f>
        <v/>
      </c>
      <c r="AV141" s="18">
        <f>IF(OR($AU141="",$AT141=""),1,((Config!$B$14*$AU141+Config!$B$15*(1-$AU141))/(Config!$B$14*$AT141+Config!$B$15*(1-$AT141)))^Config!$B$13)</f>
        <v>1</v>
      </c>
      <c r="AW141" s="11" t="str">
        <f t="array" ref="AW141">IF($AS141="","",IFERROR(IF(INDEX(Matches!$AV$5:$AV$22,MATCH($C141,Matches!$A$5:$A$22,0))="","",IF($AS141="A",INDEX(Matches!$AV$5:$AV$22,MATCH($C141,Matches!$A$5:$A$22,0)),1-INDEX(Matches!$AV$5:$AV$22,MATCH($C141,Matches!$A$5:$A$22,0)))),""))</f>
        <v/>
      </c>
      <c r="AX141" s="18">
        <f>IF(OR($AW141="",$AT141=""),1,((Config!$B$14*$AW141+Config!$B$15*(1-$AW141))/(Config!$B$14*$AT141+Config!$B$15*(1-$AT141)))^Config!$B$13)</f>
        <v>1</v>
      </c>
      <c r="AY141" s="11" t="str">
        <f t="array" ref="AY141">IF($AS141="","",IFERROR(IF(INDEX(Matches!$BB$5:$BB$22,MATCH($C141,Matches!$A$5:$A$22,0))="","",IF($AS141="A",INDEX(Matches!$BB$5:$BB$22,MATCH($C141,Matches!$A$5:$A$22,0)),1-INDEX(Matches!$BB$5:$BB$22,MATCH($C141,Matches!$A$5:$A$22,0)))),""))</f>
        <v/>
      </c>
      <c r="AZ141" s="18">
        <f>IF(OR($AY141="",$AT141=""),1,((Config!$B$14*$AY141+Config!$B$15*(1-$AY141))/(Config!$B$14*$AT141+Config!$B$15*(1-$AT141)))^Config!$B$13)</f>
        <v>1</v>
      </c>
      <c r="BA141" s="17">
        <f t="shared" si="9"/>
        <v>16.90857592</v>
      </c>
      <c r="BB141" s="17">
        <f t="shared" si="10"/>
        <v>18.58528657</v>
      </c>
      <c r="BC141" s="17">
        <f t="shared" si="11"/>
        <v>17.55076419</v>
      </c>
      <c r="BD141" s="17">
        <f t="shared" si="12"/>
        <v>35.49386249</v>
      </c>
      <c r="BE141" s="17">
        <f t="shared" si="13"/>
        <v>43.87259731</v>
      </c>
      <c r="BF141" s="17" t="str">
        <f t="shared" si="14"/>
        <v/>
      </c>
      <c r="BG141" s="17" t="str">
        <f t="shared" si="15"/>
        <v/>
      </c>
      <c r="BH141" s="17" t="str">
        <f t="shared" si="16"/>
        <v/>
      </c>
      <c r="BI141" s="17" t="str">
        <f t="shared" si="17"/>
        <v/>
      </c>
      <c r="BJ141" s="17" t="str">
        <f t="shared" si="18"/>
        <v/>
      </c>
      <c r="BK141" s="18">
        <f t="shared" si="19"/>
        <v>1</v>
      </c>
    </row>
    <row r="142" ht="15.75" customHeight="1">
      <c r="A142" s="4" t="s">
        <v>3276</v>
      </c>
      <c r="B142" s="4" t="s">
        <v>1582</v>
      </c>
      <c r="C142" s="4" t="s">
        <v>1833</v>
      </c>
      <c r="D142" s="4" t="s">
        <v>368</v>
      </c>
      <c r="E142" s="4" t="s">
        <v>1595</v>
      </c>
      <c r="F142" s="4" t="s">
        <v>1594</v>
      </c>
      <c r="G142" s="4" t="str">
        <f t="array" ref="G142">IFERROR(IF(INDEX(Matches!$W$5:$W$22,MATCH($C142,Matches!$A$5:$A$22,0))="","",INDEX(Matches!$W$5:$W$22,MATCH($C142,Matches!$A$5:$A$22,0))),"")</f>
        <v>Sunset</v>
      </c>
      <c r="H142" s="4" t="str">
        <f t="array" ref="H142">IFERROR(IF(INDEX(Matches!$X$5:$X$22,MATCH($C142,Matches!$A$5:$A$22,0))="","",INDEX(Matches!$X$5:$X$22,MATCH($C142,Matches!$A$5:$A$22,0))),"")</f>
        <v>Ascent</v>
      </c>
      <c r="I142" s="4" t="str">
        <f t="array" ref="I142">IFERROR(IF(INDEX(Matches!$Y$5:$Y$22,MATCH($C142,Matches!$A$5:$A$22,0))="","",INDEX(Matches!$Y$5:$Y$22,MATCH($C142,Matches!$A$5:$A$22,0))),"")</f>
        <v>Split</v>
      </c>
      <c r="J142" s="4">
        <f t="array" ref="J142">IFERROR(IF(INDEX(Matches!$Z$5:$Z$22,MATCH($C142,Matches!$A$5:$A$22,0))="","",INDEX(Matches!$Z$5:$Z$22,MATCH($C142,Matches!$A$5:$A$22,0))),"")</f>
        <v>21.57</v>
      </c>
      <c r="K142" s="4">
        <f t="array" ref="K142">IFERROR(IF(INDEX(Matches!$AA$5:$AA$22,MATCH($C142,Matches!$A$5:$A$22,0))="","",INDEX(Matches!$AA$5:$AA$22,MATCH($C142,Matches!$A$5:$A$22,0))),"")</f>
        <v>21.57</v>
      </c>
      <c r="L142" s="4">
        <f t="array" ref="L142">IFERROR(IF(INDEX(Matches!$AB$5:$AB$22,MATCH($C142,Matches!$A$5:$A$22,0))="","",INDEX(Matches!$AB$5:$AB$22,MATCH($C142,Matches!$A$5:$A$22,0))),"")</f>
        <v>22.5</v>
      </c>
      <c r="M142" s="11">
        <f t="array" ref="M142">IFERROR(IF(INDEX(Matches!$AC$5:$AC$22,MATCH($C142,Matches!$A$5:$A$22,0))="","",INDEX(Matches!$AC$5:$AC$22,MATCH($C142,Matches!$A$5:$A$22,0))),"")</f>
        <v>0.4774</v>
      </c>
      <c r="N142" s="4">
        <f t="array" ref="N142">IFERROR(INDEX(Players!$F$2:$F$127,MATCH($F142,Players!$A$2:$A$127,0)),0)</f>
        <v>39</v>
      </c>
      <c r="O142" s="18">
        <f t="array" ref="O142">IFERROR(1/(1/INDEX(Players!$H$2:$H$127,MATCH($F142,Players!$A$2:$A$127,0))),"")</f>
        <v>0.65</v>
      </c>
      <c r="P142" s="11" t="str">
        <f t="array" ref="P142">IFERROR(1/(1/INDEX(Players!$I$2:$I$127,MATCH($F142,Players!$A$2:$A$127,0))),"")</f>
        <v/>
      </c>
      <c r="Q142" s="4">
        <f>IF($G142="",0,SUMIFS(Map_Stats!$F$2:$F$825,Map_Stats!$A$2:$A$825,$F142&amp;"|"&amp;$G142))</f>
        <v>8</v>
      </c>
      <c r="R142" s="18">
        <f t="array" ref="R142">IF($G142="","",IFERROR(1/(1/INDEX(Map_Stats!$K$2:$K$825,MATCH($F142&amp;"|"&amp;$G142,Map_Stats!$A$2:$A$825,0))),$O142))</f>
        <v>0.7248892171</v>
      </c>
      <c r="S142" s="11" t="str">
        <f t="array" ref="S142">IF(OR($G142="",$P142=""),"",IFERROR(1/(1/INDEX(Map_Stats!$I$2:$I$825,MATCH($F142&amp;"|"&amp;$G142,Map_Stats!$A$2:$A$825,0))),$P142))</f>
        <v/>
      </c>
      <c r="T142" s="18">
        <f>IF(OR($G142="",R142=""),"",IF($O142="",R142,(Q142*R142+Config!$B$4*$O142)/(Q142+Config!$B$4)))</f>
        <v>0.6960856721</v>
      </c>
      <c r="U142" s="11" t="str">
        <f>IF(S142="","",(Q142*S142+Config!$B$4*$P142)/(Q142+Config!$B$4))</f>
        <v/>
      </c>
      <c r="V142" s="17">
        <f>IF(OR(T142="",$J142=""),"",T142*$J142*($J142/Config!$B$11)^Config!$B$9)</f>
        <v>15.01456795</v>
      </c>
      <c r="W142" s="17" t="str">
        <f t="shared" si="1"/>
        <v/>
      </c>
      <c r="X142" s="4">
        <f>IF($H142="",0,SUMIFS(Map_Stats!$F$2:$F$825,Map_Stats!$A$2:$A$825,$F142&amp;"|"&amp;$H142))</f>
        <v>7</v>
      </c>
      <c r="Y142" s="18">
        <f t="array" ref="Y142">IF($H142="","",IFERROR(1/(1/INDEX(Map_Stats!$K$2:$K$825,MATCH($F142&amp;"|"&amp;$H142,Map_Stats!$A$2:$A$825,0))),$O142))</f>
        <v>0.5280649926</v>
      </c>
      <c r="Z142" s="11" t="str">
        <f t="array" ref="Z142">IF(OR($H142="",$P142=""),"",IFERROR(1/(1/INDEX(Map_Stats!$I$2:$I$825,MATCH($F142&amp;"|"&amp;$H142,Map_Stats!$A$2:$A$825,0))),$P142))</f>
        <v/>
      </c>
      <c r="AA142" s="18">
        <f>IF(OR($H142="",Y142=""),"",IF($O142="",Y142,(X142*Y142+Config!$B$4*$O142)/(X142+Config!$B$4)))</f>
        <v>0.5788712457</v>
      </c>
      <c r="AB142" s="11" t="str">
        <f>IF(Z142="","",(X142*Z142+Config!$B$4*$P142)/(X142+Config!$B$4))</f>
        <v/>
      </c>
      <c r="AC142" s="17">
        <f>IF(OR(AA142="",$K142=""),"",AA142*$K142*($K142/Config!$B$11)^Config!$B$9)</f>
        <v>12.48625277</v>
      </c>
      <c r="AD142" s="17" t="str">
        <f t="shared" si="2"/>
        <v/>
      </c>
      <c r="AE142" s="4">
        <f>IF($I142="",0,SUMIFS(Map_Stats!$F$2:$F$825,Map_Stats!$A$2:$A$825,$F142&amp;"|"&amp;$I142))</f>
        <v>4</v>
      </c>
      <c r="AF142" s="18">
        <f t="array" ref="AF142">IF($I142="","",IFERROR(1/(1/INDEX(Map_Stats!$K$2:$K$825,MATCH($F142&amp;"|"&amp;$I142,Map_Stats!$A$2:$A$825,0))),$O142))</f>
        <v>0.5184638109</v>
      </c>
      <c r="AG142" s="11" t="str">
        <f t="array" ref="AG142">IF(OR($I142="",$P142=""),"",IFERROR(1/(1/INDEX(Map_Stats!$I$2:$I$825,MATCH($F142&amp;"|"&amp;$I142,Map_Stats!$A$2:$A$825,0))),$P142))</f>
        <v/>
      </c>
      <c r="AH142" s="18">
        <f>IF(OR($I142="",AF142=""),"",IF($O142="",AF142,(AE142*AF142+Config!$B$4*$O142)/(AE142+Config!$B$4)))</f>
        <v>0.5915394715</v>
      </c>
      <c r="AI142" s="11" t="str">
        <f>IF(AG142="","",(AE142*AG142+Config!$B$4*$P142)/(AE142+Config!$B$4))</f>
        <v/>
      </c>
      <c r="AJ142" s="17">
        <f>IF(OR(AH142="",$L142=""),"",AH142*$L142*($L142/Config!$B$11)^Config!$B$9)</f>
        <v>13.30963811</v>
      </c>
      <c r="AK142" s="17" t="str">
        <f t="shared" si="3"/>
        <v/>
      </c>
      <c r="AL142" s="17">
        <f t="shared" si="4"/>
        <v>27.50082072</v>
      </c>
      <c r="AM142" s="17">
        <f t="shared" si="5"/>
        <v>33.85484195</v>
      </c>
      <c r="AN142" s="17" t="str">
        <f t="shared" si="6"/>
        <v/>
      </c>
      <c r="AO142" s="17" t="str">
        <f t="shared" si="7"/>
        <v/>
      </c>
      <c r="AP142" s="11">
        <f t="shared" si="8"/>
        <v>0</v>
      </c>
      <c r="AQ142" s="4" t="str">
        <f>TRIM(IF($N142&lt;Config!$B$12,"thin sample ("&amp;$N142&amp;" maps) · ","")&amp;IF(AND($G142&lt;&gt;"",Q142=0),"M1 unplayed→overall KPR · ","")&amp;IF(AND($H142&lt;&gt;"",X142=0),"M2 unplayed→overall KPR · ","")&amp;IF($O142="","no PickFinder stats",""))</f>
        <v/>
      </c>
      <c r="AR142" s="4" t="str">
        <f>IF($C142=Board!$B$2,COUNTIFS($C$2:$C$157,Board!$B$2,$AL$2:$AL$157,"&gt;"&amp;$AL142)+COUNTIFS($C$1:$C141,Board!$B$2,$AL$1:$AL141,$AL142)+1,"")</f>
        <v/>
      </c>
      <c r="AS142" s="4" t="str">
        <f t="array" ref="AS142">IFERROR(IF($D142=INDEX(Matches!$AD$5:$AD$22,MATCH($C142,Matches!$A$5:$A$22,0)),"A",IF($D142=INDEX(Matches!$AE$5:$AE$22,MATCH($C142,Matches!$A$5:$A$22,0)),"B","")),"")</f>
        <v>A</v>
      </c>
      <c r="AT142" s="11" t="str">
        <f t="array" ref="AT142">IF($AS142="","",IFERROR(IF($AS142="A",INDEX(Matches!$AI$5:$AI$22,MATCH($C142,Matches!$A$5:$A$22,0)),INDEX(Matches!$AJ$5:$AJ$22,MATCH($C142,Matches!$A$5:$A$22,0))),""))</f>
        <v/>
      </c>
      <c r="AU142" s="11" t="str">
        <f t="array" ref="AU142">IF($AS142="","",IFERROR(IF(INDEX(Matches!$AP$5:$AP$22,MATCH($C142,Matches!$A$5:$A$22,0))="","",IF($AS142="A",INDEX(Matches!$AP$5:$AP$22,MATCH($C142,Matches!$A$5:$A$22,0)),1-INDEX(Matches!$AP$5:$AP$22,MATCH($C142,Matches!$A$5:$A$22,0)))),""))</f>
        <v/>
      </c>
      <c r="AV142" s="18">
        <f>IF(OR($AU142="",$AT142=""),1,((Config!$B$14*$AU142+Config!$B$15*(1-$AU142))/(Config!$B$14*$AT142+Config!$B$15*(1-$AT142)))^Config!$B$13)</f>
        <v>1</v>
      </c>
      <c r="AW142" s="11" t="str">
        <f t="array" ref="AW142">IF($AS142="","",IFERROR(IF(INDEX(Matches!$AV$5:$AV$22,MATCH($C142,Matches!$A$5:$A$22,0))="","",IF($AS142="A",INDEX(Matches!$AV$5:$AV$22,MATCH($C142,Matches!$A$5:$A$22,0)),1-INDEX(Matches!$AV$5:$AV$22,MATCH($C142,Matches!$A$5:$A$22,0)))),""))</f>
        <v/>
      </c>
      <c r="AX142" s="18">
        <f>IF(OR($AW142="",$AT142=""),1,((Config!$B$14*$AW142+Config!$B$15*(1-$AW142))/(Config!$B$14*$AT142+Config!$B$15*(1-$AT142)))^Config!$B$13)</f>
        <v>1</v>
      </c>
      <c r="AY142" s="11" t="str">
        <f t="array" ref="AY142">IF($AS142="","",IFERROR(IF(INDEX(Matches!$BB$5:$BB$22,MATCH($C142,Matches!$A$5:$A$22,0))="","",IF($AS142="A",INDEX(Matches!$BB$5:$BB$22,MATCH($C142,Matches!$A$5:$A$22,0)),1-INDEX(Matches!$BB$5:$BB$22,MATCH($C142,Matches!$A$5:$A$22,0)))),""))</f>
        <v/>
      </c>
      <c r="AZ142" s="18">
        <f>IF(OR($AY142="",$AT142=""),1,((Config!$B$14*$AY142+Config!$B$15*(1-$AY142))/(Config!$B$14*$AT142+Config!$B$15*(1-$AT142)))^Config!$B$13)</f>
        <v>1</v>
      </c>
      <c r="BA142" s="17">
        <f t="shared" si="9"/>
        <v>15.01456795</v>
      </c>
      <c r="BB142" s="17">
        <f t="shared" si="10"/>
        <v>12.48625277</v>
      </c>
      <c r="BC142" s="17">
        <f t="shared" si="11"/>
        <v>13.30963811</v>
      </c>
      <c r="BD142" s="17">
        <f t="shared" si="12"/>
        <v>27.50082072</v>
      </c>
      <c r="BE142" s="17">
        <f t="shared" si="13"/>
        <v>33.85484195</v>
      </c>
      <c r="BF142" s="17" t="str">
        <f t="shared" si="14"/>
        <v/>
      </c>
      <c r="BG142" s="17" t="str">
        <f t="shared" si="15"/>
        <v/>
      </c>
      <c r="BH142" s="17" t="str">
        <f t="shared" si="16"/>
        <v/>
      </c>
      <c r="BI142" s="17" t="str">
        <f t="shared" si="17"/>
        <v/>
      </c>
      <c r="BJ142" s="17" t="str">
        <f t="shared" si="18"/>
        <v/>
      </c>
      <c r="BK142" s="18">
        <f t="shared" si="19"/>
        <v>1</v>
      </c>
    </row>
    <row r="143" ht="15.75" customHeight="1">
      <c r="A143" s="4" t="s">
        <v>3278</v>
      </c>
      <c r="B143" s="4" t="s">
        <v>1582</v>
      </c>
      <c r="C143" s="4" t="s">
        <v>1833</v>
      </c>
      <c r="D143" s="4" t="s">
        <v>1599</v>
      </c>
      <c r="E143" s="4" t="s">
        <v>1598</v>
      </c>
      <c r="F143" s="4" t="s">
        <v>1597</v>
      </c>
      <c r="G143" s="4" t="str">
        <f t="array" ref="G143">IFERROR(IF(INDEX(Matches!$W$5:$W$22,MATCH($C143,Matches!$A$5:$A$22,0))="","",INDEX(Matches!$W$5:$W$22,MATCH($C143,Matches!$A$5:$A$22,0))),"")</f>
        <v>Sunset</v>
      </c>
      <c r="H143" s="4" t="str">
        <f t="array" ref="H143">IFERROR(IF(INDEX(Matches!$X$5:$X$22,MATCH($C143,Matches!$A$5:$A$22,0))="","",INDEX(Matches!$X$5:$X$22,MATCH($C143,Matches!$A$5:$A$22,0))),"")</f>
        <v>Ascent</v>
      </c>
      <c r="I143" s="4" t="str">
        <f t="array" ref="I143">IFERROR(IF(INDEX(Matches!$Y$5:$Y$22,MATCH($C143,Matches!$A$5:$A$22,0))="","",INDEX(Matches!$Y$5:$Y$22,MATCH($C143,Matches!$A$5:$A$22,0))),"")</f>
        <v>Split</v>
      </c>
      <c r="J143" s="4">
        <f t="array" ref="J143">IFERROR(IF(INDEX(Matches!$Z$5:$Z$22,MATCH($C143,Matches!$A$5:$A$22,0))="","",INDEX(Matches!$Z$5:$Z$22,MATCH($C143,Matches!$A$5:$A$22,0))),"")</f>
        <v>21.57</v>
      </c>
      <c r="K143" s="4">
        <f t="array" ref="K143">IFERROR(IF(INDEX(Matches!$AA$5:$AA$22,MATCH($C143,Matches!$A$5:$A$22,0))="","",INDEX(Matches!$AA$5:$AA$22,MATCH($C143,Matches!$A$5:$A$22,0))),"")</f>
        <v>21.57</v>
      </c>
      <c r="L143" s="4">
        <f t="array" ref="L143">IFERROR(IF(INDEX(Matches!$AB$5:$AB$22,MATCH($C143,Matches!$A$5:$A$22,0))="","",INDEX(Matches!$AB$5:$AB$22,MATCH($C143,Matches!$A$5:$A$22,0))),"")</f>
        <v>22.5</v>
      </c>
      <c r="M143" s="11">
        <f t="array" ref="M143">IFERROR(IF(INDEX(Matches!$AC$5:$AC$22,MATCH($C143,Matches!$A$5:$A$22,0))="","",INDEX(Matches!$AC$5:$AC$22,MATCH($C143,Matches!$A$5:$A$22,0))),"")</f>
        <v>0.4774</v>
      </c>
      <c r="N143" s="4">
        <f t="array" ref="N143">IFERROR(INDEX(Players!$F$2:$F$127,MATCH($F143,Players!$A$2:$A$127,0)),0)</f>
        <v>37</v>
      </c>
      <c r="O143" s="18">
        <f t="array" ref="O143">IFERROR(1/(1/INDEX(Players!$H$2:$H$127,MATCH($F143,Players!$A$2:$A$127,0))),"")</f>
        <v>0.72</v>
      </c>
      <c r="P143" s="11" t="str">
        <f t="array" ref="P143">IFERROR(1/(1/INDEX(Players!$I$2:$I$127,MATCH($F143,Players!$A$2:$A$127,0))),"")</f>
        <v/>
      </c>
      <c r="Q143" s="4">
        <f>IF($G143="",0,SUMIFS(Map_Stats!$F$2:$F$825,Map_Stats!$A$2:$A$825,$F143&amp;"|"&amp;$G143))</f>
        <v>4</v>
      </c>
      <c r="R143" s="18">
        <f t="array" ref="R143">IF($G143="","",IFERROR(1/(1/INDEX(Map_Stats!$K$2:$K$825,MATCH($F143&amp;"|"&amp;$G143,Map_Stats!$A$2:$A$825,0))),$O143))</f>
        <v>0.7308447937</v>
      </c>
      <c r="S143" s="11" t="str">
        <f t="array" ref="S143">IF(OR($G143="",$P143=""),"",IFERROR(1/(1/INDEX(Map_Stats!$I$2:$I$825,MATCH($F143&amp;"|"&amp;$G143,Map_Stats!$A$2:$A$825,0))),$P143))</f>
        <v/>
      </c>
      <c r="T143" s="18">
        <f>IF(OR($G143="",R143=""),"",IF($O143="",R143,(Q143*R143+Config!$B$4*$O143)/(Q143+Config!$B$4)))</f>
        <v>0.7248199083</v>
      </c>
      <c r="U143" s="11" t="str">
        <f>IF(S143="","",(Q143*S143+Config!$B$4*$P143)/(Q143+Config!$B$4))</f>
        <v/>
      </c>
      <c r="V143" s="17">
        <f>IF(OR(T143="",$J143=""),"",T143*$J143*($J143/Config!$B$11)^Config!$B$9)</f>
        <v>15.63436542</v>
      </c>
      <c r="W143" s="17" t="str">
        <f t="shared" si="1"/>
        <v/>
      </c>
      <c r="X143" s="4">
        <f>IF($H143="",0,SUMIFS(Map_Stats!$F$2:$F$825,Map_Stats!$A$2:$A$825,$F143&amp;"|"&amp;$H143))</f>
        <v>4</v>
      </c>
      <c r="Y143" s="18">
        <f t="array" ref="Y143">IF($H143="","",IFERROR(1/(1/INDEX(Map_Stats!$K$2:$K$825,MATCH($F143&amp;"|"&amp;$H143,Map_Stats!$A$2:$A$825,0))),$O143))</f>
        <v>0.9571709234</v>
      </c>
      <c r="Z143" s="11" t="str">
        <f t="array" ref="Z143">IF(OR($H143="",$P143=""),"",IFERROR(1/(1/INDEX(Map_Stats!$I$2:$I$825,MATCH($F143&amp;"|"&amp;$H143,Map_Stats!$A$2:$A$825,0))),$P143))</f>
        <v/>
      </c>
      <c r="AA143" s="18">
        <f>IF(OR($H143="",Y143=""),"",IF($O143="",Y143,(X143*Y143+Config!$B$4*$O143)/(X143+Config!$B$4)))</f>
        <v>0.8254092993</v>
      </c>
      <c r="AB143" s="11" t="str">
        <f>IF(Z143="","",(X143*Z143+Config!$B$4*$P143)/(X143+Config!$B$4))</f>
        <v/>
      </c>
      <c r="AC143" s="17">
        <f>IF(OR(AA143="",$K143=""),"",AA143*$K143*($K143/Config!$B$11)^Config!$B$9)</f>
        <v>17.80407859</v>
      </c>
      <c r="AD143" s="17" t="str">
        <f t="shared" si="2"/>
        <v/>
      </c>
      <c r="AE143" s="4">
        <f>IF($I143="",0,SUMIFS(Map_Stats!$F$2:$F$825,Map_Stats!$A$2:$A$825,$F143&amp;"|"&amp;$I143))</f>
        <v>6</v>
      </c>
      <c r="AF143" s="18">
        <f t="array" ref="AF143">IF($I143="","",IFERROR(1/(1/INDEX(Map_Stats!$K$2:$K$825,MATCH($F143&amp;"|"&amp;$I143,Map_Stats!$A$2:$A$825,0))),$O143))</f>
        <v>0.6365422397</v>
      </c>
      <c r="AG143" s="11" t="str">
        <f t="array" ref="AG143">IF(OR($I143="",$P143=""),"",IFERROR(1/(1/INDEX(Map_Stats!$I$2:$I$825,MATCH($F143&amp;"|"&amp;$I143,Map_Stats!$A$2:$A$825,0))),$P143))</f>
        <v/>
      </c>
      <c r="AH143" s="18">
        <f>IF(OR($I143="",AF143=""),"",IF($O143="",AF143,(AE143*AF143+Config!$B$4*$O143)/(AE143+Config!$B$4)))</f>
        <v>0.6744775853</v>
      </c>
      <c r="AI143" s="11" t="str">
        <f>IF(AG143="","",(AE143*AG143+Config!$B$4*$P143)/(AE143+Config!$B$4))</f>
        <v/>
      </c>
      <c r="AJ143" s="17">
        <f>IF(OR(AH143="",$L143=""),"",AH143*$L143*($L143/Config!$B$11)^Config!$B$9)</f>
        <v>15.17574567</v>
      </c>
      <c r="AK143" s="17" t="str">
        <f t="shared" si="3"/>
        <v/>
      </c>
      <c r="AL143" s="17">
        <f t="shared" si="4"/>
        <v>33.43844401</v>
      </c>
      <c r="AM143" s="17">
        <f t="shared" si="5"/>
        <v>40.68334499</v>
      </c>
      <c r="AN143" s="17" t="str">
        <f t="shared" si="6"/>
        <v/>
      </c>
      <c r="AO143" s="17" t="str">
        <f t="shared" si="7"/>
        <v/>
      </c>
      <c r="AP143" s="11">
        <f t="shared" si="8"/>
        <v>0</v>
      </c>
      <c r="AQ143" s="4" t="str">
        <f>TRIM(IF($N143&lt;Config!$B$12,"thin sample ("&amp;$N143&amp;" maps) · ","")&amp;IF(AND($G143&lt;&gt;"",Q143=0),"M1 unplayed→overall KPR · ","")&amp;IF(AND($H143&lt;&gt;"",X143=0),"M2 unplayed→overall KPR · ","")&amp;IF($O143="","no PickFinder stats",""))</f>
        <v/>
      </c>
      <c r="AR143" s="4" t="str">
        <f>IF($C143=Board!$B$2,COUNTIFS($C$2:$C$157,Board!$B$2,$AL$2:$AL$157,"&gt;"&amp;$AL143)+COUNTIFS($C$1:$C142,Board!$B$2,$AL$1:$AL142,$AL143)+1,"")</f>
        <v/>
      </c>
      <c r="AS143" s="4" t="str">
        <f t="array" ref="AS143">IFERROR(IF($D143=INDEX(Matches!$AD$5:$AD$22,MATCH($C143,Matches!$A$5:$A$22,0)),"A",IF($D143=INDEX(Matches!$AE$5:$AE$22,MATCH($C143,Matches!$A$5:$A$22,0)),"B","")),"")</f>
        <v>B</v>
      </c>
      <c r="AT143" s="11" t="str">
        <f t="array" ref="AT143">IF($AS143="","",IFERROR(IF($AS143="A",INDEX(Matches!$AI$5:$AI$22,MATCH($C143,Matches!$A$5:$A$22,0)),INDEX(Matches!$AJ$5:$AJ$22,MATCH($C143,Matches!$A$5:$A$22,0))),""))</f>
        <v/>
      </c>
      <c r="AU143" s="11" t="str">
        <f t="array" ref="AU143">IF($AS143="","",IFERROR(IF(INDEX(Matches!$AP$5:$AP$22,MATCH($C143,Matches!$A$5:$A$22,0))="","",IF($AS143="A",INDEX(Matches!$AP$5:$AP$22,MATCH($C143,Matches!$A$5:$A$22,0)),1-INDEX(Matches!$AP$5:$AP$22,MATCH($C143,Matches!$A$5:$A$22,0)))),""))</f>
        <v/>
      </c>
      <c r="AV143" s="18">
        <f>IF(OR($AU143="",$AT143=""),1,((Config!$B$14*$AU143+Config!$B$15*(1-$AU143))/(Config!$B$14*$AT143+Config!$B$15*(1-$AT143)))^Config!$B$13)</f>
        <v>1</v>
      </c>
      <c r="AW143" s="11" t="str">
        <f t="array" ref="AW143">IF($AS143="","",IFERROR(IF(INDEX(Matches!$AV$5:$AV$22,MATCH($C143,Matches!$A$5:$A$22,0))="","",IF($AS143="A",INDEX(Matches!$AV$5:$AV$22,MATCH($C143,Matches!$A$5:$A$22,0)),1-INDEX(Matches!$AV$5:$AV$22,MATCH($C143,Matches!$A$5:$A$22,0)))),""))</f>
        <v/>
      </c>
      <c r="AX143" s="18">
        <f>IF(OR($AW143="",$AT143=""),1,((Config!$B$14*$AW143+Config!$B$15*(1-$AW143))/(Config!$B$14*$AT143+Config!$B$15*(1-$AT143)))^Config!$B$13)</f>
        <v>1</v>
      </c>
      <c r="AY143" s="11" t="str">
        <f t="array" ref="AY143">IF($AS143="","",IFERROR(IF(INDEX(Matches!$BB$5:$BB$22,MATCH($C143,Matches!$A$5:$A$22,0))="","",IF($AS143="A",INDEX(Matches!$BB$5:$BB$22,MATCH($C143,Matches!$A$5:$A$22,0)),1-INDEX(Matches!$BB$5:$BB$22,MATCH($C143,Matches!$A$5:$A$22,0)))),""))</f>
        <v/>
      </c>
      <c r="AZ143" s="18">
        <f>IF(OR($AY143="",$AT143=""),1,((Config!$B$14*$AY143+Config!$B$15*(1-$AY143))/(Config!$B$14*$AT143+Config!$B$15*(1-$AT143)))^Config!$B$13)</f>
        <v>1</v>
      </c>
      <c r="BA143" s="17">
        <f t="shared" si="9"/>
        <v>15.63436542</v>
      </c>
      <c r="BB143" s="17">
        <f t="shared" si="10"/>
        <v>17.80407859</v>
      </c>
      <c r="BC143" s="17">
        <f t="shared" si="11"/>
        <v>15.17574567</v>
      </c>
      <c r="BD143" s="17">
        <f t="shared" si="12"/>
        <v>33.43844401</v>
      </c>
      <c r="BE143" s="17">
        <f t="shared" si="13"/>
        <v>40.68334499</v>
      </c>
      <c r="BF143" s="17" t="str">
        <f t="shared" si="14"/>
        <v/>
      </c>
      <c r="BG143" s="17" t="str">
        <f t="shared" si="15"/>
        <v/>
      </c>
      <c r="BH143" s="17" t="str">
        <f t="shared" si="16"/>
        <v/>
      </c>
      <c r="BI143" s="17" t="str">
        <f t="shared" si="17"/>
        <v/>
      </c>
      <c r="BJ143" s="17" t="str">
        <f t="shared" si="18"/>
        <v/>
      </c>
      <c r="BK143" s="18">
        <f t="shared" si="19"/>
        <v>1</v>
      </c>
    </row>
    <row r="144" ht="15.75" customHeight="1">
      <c r="A144" s="4" t="s">
        <v>3279</v>
      </c>
      <c r="B144" s="4" t="s">
        <v>1582</v>
      </c>
      <c r="C144" s="4" t="s">
        <v>1833</v>
      </c>
      <c r="D144" s="4" t="s">
        <v>1599</v>
      </c>
      <c r="E144" s="4" t="s">
        <v>1603</v>
      </c>
      <c r="F144" s="4" t="s">
        <v>1602</v>
      </c>
      <c r="G144" s="4" t="str">
        <f t="array" ref="G144">IFERROR(IF(INDEX(Matches!$W$5:$W$22,MATCH($C144,Matches!$A$5:$A$22,0))="","",INDEX(Matches!$W$5:$W$22,MATCH($C144,Matches!$A$5:$A$22,0))),"")</f>
        <v>Sunset</v>
      </c>
      <c r="H144" s="4" t="str">
        <f t="array" ref="H144">IFERROR(IF(INDEX(Matches!$X$5:$X$22,MATCH($C144,Matches!$A$5:$A$22,0))="","",INDEX(Matches!$X$5:$X$22,MATCH($C144,Matches!$A$5:$A$22,0))),"")</f>
        <v>Ascent</v>
      </c>
      <c r="I144" s="4" t="str">
        <f t="array" ref="I144">IFERROR(IF(INDEX(Matches!$Y$5:$Y$22,MATCH($C144,Matches!$A$5:$A$22,0))="","",INDEX(Matches!$Y$5:$Y$22,MATCH($C144,Matches!$A$5:$A$22,0))),"")</f>
        <v>Split</v>
      </c>
      <c r="J144" s="4">
        <f t="array" ref="J144">IFERROR(IF(INDEX(Matches!$Z$5:$Z$22,MATCH($C144,Matches!$A$5:$A$22,0))="","",INDEX(Matches!$Z$5:$Z$22,MATCH($C144,Matches!$A$5:$A$22,0))),"")</f>
        <v>21.57</v>
      </c>
      <c r="K144" s="4">
        <f t="array" ref="K144">IFERROR(IF(INDEX(Matches!$AA$5:$AA$22,MATCH($C144,Matches!$A$5:$A$22,0))="","",INDEX(Matches!$AA$5:$AA$22,MATCH($C144,Matches!$A$5:$A$22,0))),"")</f>
        <v>21.57</v>
      </c>
      <c r="L144" s="4">
        <f t="array" ref="L144">IFERROR(IF(INDEX(Matches!$AB$5:$AB$22,MATCH($C144,Matches!$A$5:$A$22,0))="","",INDEX(Matches!$AB$5:$AB$22,MATCH($C144,Matches!$A$5:$A$22,0))),"")</f>
        <v>22.5</v>
      </c>
      <c r="M144" s="11">
        <f t="array" ref="M144">IFERROR(IF(INDEX(Matches!$AC$5:$AC$22,MATCH($C144,Matches!$A$5:$A$22,0))="","",INDEX(Matches!$AC$5:$AC$22,MATCH($C144,Matches!$A$5:$A$22,0))),"")</f>
        <v>0.4774</v>
      </c>
      <c r="N144" s="4">
        <f t="array" ref="N144">IFERROR(INDEX(Players!$F$2:$F$127,MATCH($F144,Players!$A$2:$A$127,0)),0)</f>
        <v>37</v>
      </c>
      <c r="O144" s="18">
        <f t="array" ref="O144">IFERROR(1/(1/INDEX(Players!$H$2:$H$127,MATCH($F144,Players!$A$2:$A$127,0))),"")</f>
        <v>0.68</v>
      </c>
      <c r="P144" s="11" t="str">
        <f t="array" ref="P144">IFERROR(1/(1/INDEX(Players!$I$2:$I$127,MATCH($F144,Players!$A$2:$A$127,0))),"")</f>
        <v/>
      </c>
      <c r="Q144" s="4">
        <f>IF($G144="",0,SUMIFS(Map_Stats!$F$2:$F$825,Map_Stats!$A$2:$A$825,$F144&amp;"|"&amp;$G144))</f>
        <v>4</v>
      </c>
      <c r="R144" s="18">
        <f t="array" ref="R144">IF($G144="","",IFERROR(1/(1/INDEX(Map_Stats!$K$2:$K$825,MATCH($F144&amp;"|"&amp;$G144,Map_Stats!$A$2:$A$825,0))),$O144))</f>
        <v>0.8135546335</v>
      </c>
      <c r="S144" s="11" t="str">
        <f t="array" ref="S144">IF(OR($G144="",$P144=""),"",IFERROR(1/(1/INDEX(Map_Stats!$I$2:$I$825,MATCH($F144&amp;"|"&amp;$G144,Map_Stats!$A$2:$A$825,0))),$P144))</f>
        <v/>
      </c>
      <c r="T144" s="18">
        <f>IF(OR($G144="",R144=""),"",IF($O144="",R144,(Q144*R144+Config!$B$4*$O144)/(Q144+Config!$B$4)))</f>
        <v>0.7393576149</v>
      </c>
      <c r="U144" s="11" t="str">
        <f>IF(S144="","",(Q144*S144+Config!$B$4*$P144)/(Q144+Config!$B$4))</f>
        <v/>
      </c>
      <c r="V144" s="17">
        <f>IF(OR(T144="",$J144=""),"",T144*$J144*($J144/Config!$B$11)^Config!$B$9)</f>
        <v>15.94794375</v>
      </c>
      <c r="W144" s="17" t="str">
        <f t="shared" si="1"/>
        <v/>
      </c>
      <c r="X144" s="4">
        <f>IF($H144="",0,SUMIFS(Map_Stats!$F$2:$F$825,Map_Stats!$A$2:$A$825,$F144&amp;"|"&amp;$H144))</f>
        <v>4</v>
      </c>
      <c r="Y144" s="18">
        <f t="array" ref="Y144">IF($H144="","",IFERROR(1/(1/INDEX(Map_Stats!$K$2:$K$825,MATCH($F144&amp;"|"&amp;$H144,Map_Stats!$A$2:$A$825,0))),$O144))</f>
        <v>0.6113416321</v>
      </c>
      <c r="Z144" s="11" t="str">
        <f t="array" ref="Z144">IF(OR($H144="",$P144=""),"",IFERROR(1/(1/INDEX(Map_Stats!$I$2:$I$825,MATCH($F144&amp;"|"&amp;$H144,Map_Stats!$A$2:$A$825,0))),$P144))</f>
        <v/>
      </c>
      <c r="AA144" s="18">
        <f>IF(OR($H144="",Y144=""),"",IF($O144="",Y144,(X144*Y144+Config!$B$4*$O144)/(X144+Config!$B$4)))</f>
        <v>0.6494851698</v>
      </c>
      <c r="AB144" s="11" t="str">
        <f>IF(Z144="","",(X144*Z144+Config!$B$4*$P144)/(X144+Config!$B$4))</f>
        <v/>
      </c>
      <c r="AC144" s="17">
        <f>IF(OR(AA144="",$K144=""),"",AA144*$K144*($K144/Config!$B$11)^Config!$B$9)</f>
        <v>14.00939511</v>
      </c>
      <c r="AD144" s="17" t="str">
        <f t="shared" si="2"/>
        <v/>
      </c>
      <c r="AE144" s="4">
        <f>IF($I144="",0,SUMIFS(Map_Stats!$F$2:$F$825,Map_Stats!$A$2:$A$825,$F144&amp;"|"&amp;$I144))</f>
        <v>6</v>
      </c>
      <c r="AF144" s="18">
        <f t="array" ref="AF144">IF($I144="","",IFERROR(1/(1/INDEX(Map_Stats!$K$2:$K$825,MATCH($F144&amp;"|"&amp;$I144,Map_Stats!$A$2:$A$825,0))),$O144))</f>
        <v>0.6489626556</v>
      </c>
      <c r="AG144" s="11" t="str">
        <f t="array" ref="AG144">IF(OR($I144="",$P144=""),"",IFERROR(1/(1/INDEX(Map_Stats!$I$2:$I$825,MATCH($F144&amp;"|"&amp;$I144,Map_Stats!$A$2:$A$825,0))),$P144))</f>
        <v/>
      </c>
      <c r="AH144" s="18">
        <f>IF(OR($I144="",AF144=""),"",IF($O144="",AF144,(AE144*AF144+Config!$B$4*$O144)/(AE144+Config!$B$4)))</f>
        <v>0.6630705394</v>
      </c>
      <c r="AI144" s="11" t="str">
        <f>IF(AG144="","",(AE144*AG144+Config!$B$4*$P144)/(AE144+Config!$B$4))</f>
        <v/>
      </c>
      <c r="AJ144" s="17">
        <f>IF(OR(AH144="",$L144=""),"",AH144*$L144*($L144/Config!$B$11)^Config!$B$9)</f>
        <v>14.91908714</v>
      </c>
      <c r="AK144" s="17" t="str">
        <f t="shared" si="3"/>
        <v/>
      </c>
      <c r="AL144" s="17">
        <f t="shared" si="4"/>
        <v>29.95733887</v>
      </c>
      <c r="AM144" s="17">
        <f t="shared" si="5"/>
        <v>37.07971107</v>
      </c>
      <c r="AN144" s="17" t="str">
        <f t="shared" si="6"/>
        <v/>
      </c>
      <c r="AO144" s="17" t="str">
        <f t="shared" si="7"/>
        <v/>
      </c>
      <c r="AP144" s="11">
        <f t="shared" si="8"/>
        <v>0</v>
      </c>
      <c r="AQ144" s="4" t="str">
        <f>TRIM(IF($N144&lt;Config!$B$12,"thin sample ("&amp;$N144&amp;" maps) · ","")&amp;IF(AND($G144&lt;&gt;"",Q144=0),"M1 unplayed→overall KPR · ","")&amp;IF(AND($H144&lt;&gt;"",X144=0),"M2 unplayed→overall KPR · ","")&amp;IF($O144="","no PickFinder stats",""))</f>
        <v/>
      </c>
      <c r="AR144" s="4" t="str">
        <f>IF($C144=Board!$B$2,COUNTIFS($C$2:$C$157,Board!$B$2,$AL$2:$AL$157,"&gt;"&amp;$AL144)+COUNTIFS($C$1:$C143,Board!$B$2,$AL$1:$AL143,$AL144)+1,"")</f>
        <v/>
      </c>
      <c r="AS144" s="4" t="str">
        <f t="array" ref="AS144">IFERROR(IF($D144=INDEX(Matches!$AD$5:$AD$22,MATCH($C144,Matches!$A$5:$A$22,0)),"A",IF($D144=INDEX(Matches!$AE$5:$AE$22,MATCH($C144,Matches!$A$5:$A$22,0)),"B","")),"")</f>
        <v>B</v>
      </c>
      <c r="AT144" s="11" t="str">
        <f t="array" ref="AT144">IF($AS144="","",IFERROR(IF($AS144="A",INDEX(Matches!$AI$5:$AI$22,MATCH($C144,Matches!$A$5:$A$22,0)),INDEX(Matches!$AJ$5:$AJ$22,MATCH($C144,Matches!$A$5:$A$22,0))),""))</f>
        <v/>
      </c>
      <c r="AU144" s="11" t="str">
        <f t="array" ref="AU144">IF($AS144="","",IFERROR(IF(INDEX(Matches!$AP$5:$AP$22,MATCH($C144,Matches!$A$5:$A$22,0))="","",IF($AS144="A",INDEX(Matches!$AP$5:$AP$22,MATCH($C144,Matches!$A$5:$A$22,0)),1-INDEX(Matches!$AP$5:$AP$22,MATCH($C144,Matches!$A$5:$A$22,0)))),""))</f>
        <v/>
      </c>
      <c r="AV144" s="18">
        <f>IF(OR($AU144="",$AT144=""),1,((Config!$B$14*$AU144+Config!$B$15*(1-$AU144))/(Config!$B$14*$AT144+Config!$B$15*(1-$AT144)))^Config!$B$13)</f>
        <v>1</v>
      </c>
      <c r="AW144" s="11" t="str">
        <f t="array" ref="AW144">IF($AS144="","",IFERROR(IF(INDEX(Matches!$AV$5:$AV$22,MATCH($C144,Matches!$A$5:$A$22,0))="","",IF($AS144="A",INDEX(Matches!$AV$5:$AV$22,MATCH($C144,Matches!$A$5:$A$22,0)),1-INDEX(Matches!$AV$5:$AV$22,MATCH($C144,Matches!$A$5:$A$22,0)))),""))</f>
        <v/>
      </c>
      <c r="AX144" s="18">
        <f>IF(OR($AW144="",$AT144=""),1,((Config!$B$14*$AW144+Config!$B$15*(1-$AW144))/(Config!$B$14*$AT144+Config!$B$15*(1-$AT144)))^Config!$B$13)</f>
        <v>1</v>
      </c>
      <c r="AY144" s="11" t="str">
        <f t="array" ref="AY144">IF($AS144="","",IFERROR(IF(INDEX(Matches!$BB$5:$BB$22,MATCH($C144,Matches!$A$5:$A$22,0))="","",IF($AS144="A",INDEX(Matches!$BB$5:$BB$22,MATCH($C144,Matches!$A$5:$A$22,0)),1-INDEX(Matches!$BB$5:$BB$22,MATCH($C144,Matches!$A$5:$A$22,0)))),""))</f>
        <v/>
      </c>
      <c r="AZ144" s="18">
        <f>IF(OR($AY144="",$AT144=""),1,((Config!$B$14*$AY144+Config!$B$15*(1-$AY144))/(Config!$B$14*$AT144+Config!$B$15*(1-$AT144)))^Config!$B$13)</f>
        <v>1</v>
      </c>
      <c r="BA144" s="17">
        <f t="shared" si="9"/>
        <v>15.94794375</v>
      </c>
      <c r="BB144" s="17">
        <f t="shared" si="10"/>
        <v>14.00939511</v>
      </c>
      <c r="BC144" s="17">
        <f t="shared" si="11"/>
        <v>14.91908714</v>
      </c>
      <c r="BD144" s="17">
        <f t="shared" si="12"/>
        <v>29.95733887</v>
      </c>
      <c r="BE144" s="17">
        <f t="shared" si="13"/>
        <v>37.07971107</v>
      </c>
      <c r="BF144" s="17" t="str">
        <f t="shared" si="14"/>
        <v/>
      </c>
      <c r="BG144" s="17" t="str">
        <f t="shared" si="15"/>
        <v/>
      </c>
      <c r="BH144" s="17" t="str">
        <f t="shared" si="16"/>
        <v/>
      </c>
      <c r="BI144" s="17" t="str">
        <f t="shared" si="17"/>
        <v/>
      </c>
      <c r="BJ144" s="17" t="str">
        <f t="shared" si="18"/>
        <v/>
      </c>
      <c r="BK144" s="18">
        <f t="shared" si="19"/>
        <v>1</v>
      </c>
    </row>
    <row r="145" ht="15.75" customHeight="1">
      <c r="A145" s="4" t="s">
        <v>3281</v>
      </c>
      <c r="B145" s="4" t="s">
        <v>1582</v>
      </c>
      <c r="C145" s="4" t="s">
        <v>1833</v>
      </c>
      <c r="D145" s="4" t="s">
        <v>1599</v>
      </c>
      <c r="E145" s="4" t="s">
        <v>1606</v>
      </c>
      <c r="F145" s="4" t="s">
        <v>1605</v>
      </c>
      <c r="G145" s="4" t="str">
        <f t="array" ref="G145">IFERROR(IF(INDEX(Matches!$W$5:$W$22,MATCH($C145,Matches!$A$5:$A$22,0))="","",INDEX(Matches!$W$5:$W$22,MATCH($C145,Matches!$A$5:$A$22,0))),"")</f>
        <v>Sunset</v>
      </c>
      <c r="H145" s="4" t="str">
        <f t="array" ref="H145">IFERROR(IF(INDEX(Matches!$X$5:$X$22,MATCH($C145,Matches!$A$5:$A$22,0))="","",INDEX(Matches!$X$5:$X$22,MATCH($C145,Matches!$A$5:$A$22,0))),"")</f>
        <v>Ascent</v>
      </c>
      <c r="I145" s="4" t="str">
        <f t="array" ref="I145">IFERROR(IF(INDEX(Matches!$Y$5:$Y$22,MATCH($C145,Matches!$A$5:$A$22,0))="","",INDEX(Matches!$Y$5:$Y$22,MATCH($C145,Matches!$A$5:$A$22,0))),"")</f>
        <v>Split</v>
      </c>
      <c r="J145" s="4">
        <f t="array" ref="J145">IFERROR(IF(INDEX(Matches!$Z$5:$Z$22,MATCH($C145,Matches!$A$5:$A$22,0))="","",INDEX(Matches!$Z$5:$Z$22,MATCH($C145,Matches!$A$5:$A$22,0))),"")</f>
        <v>21.57</v>
      </c>
      <c r="K145" s="4">
        <f t="array" ref="K145">IFERROR(IF(INDEX(Matches!$AA$5:$AA$22,MATCH($C145,Matches!$A$5:$A$22,0))="","",INDEX(Matches!$AA$5:$AA$22,MATCH($C145,Matches!$A$5:$A$22,0))),"")</f>
        <v>21.57</v>
      </c>
      <c r="L145" s="4">
        <f t="array" ref="L145">IFERROR(IF(INDEX(Matches!$AB$5:$AB$22,MATCH($C145,Matches!$A$5:$A$22,0))="","",INDEX(Matches!$AB$5:$AB$22,MATCH($C145,Matches!$A$5:$A$22,0))),"")</f>
        <v>22.5</v>
      </c>
      <c r="M145" s="11">
        <f t="array" ref="M145">IFERROR(IF(INDEX(Matches!$AC$5:$AC$22,MATCH($C145,Matches!$A$5:$A$22,0))="","",INDEX(Matches!$AC$5:$AC$22,MATCH($C145,Matches!$A$5:$A$22,0))),"")</f>
        <v>0.4774</v>
      </c>
      <c r="N145" s="4">
        <f t="array" ref="N145">IFERROR(INDEX(Players!$F$2:$F$127,MATCH($F145,Players!$A$2:$A$127,0)),0)</f>
        <v>37</v>
      </c>
      <c r="O145" s="18">
        <f t="array" ref="O145">IFERROR(1/(1/INDEX(Players!$H$2:$H$127,MATCH($F145,Players!$A$2:$A$127,0))),"")</f>
        <v>0.7</v>
      </c>
      <c r="P145" s="11" t="str">
        <f t="array" ref="P145">IFERROR(1/(1/INDEX(Players!$I$2:$I$127,MATCH($F145,Players!$A$2:$A$127,0))),"")</f>
        <v/>
      </c>
      <c r="Q145" s="4">
        <f>IF($G145="",0,SUMIFS(Map_Stats!$F$2:$F$825,Map_Stats!$A$2:$A$825,$F145&amp;"|"&amp;$G145))</f>
        <v>4</v>
      </c>
      <c r="R145" s="18">
        <f t="array" ref="R145">IF($G145="","",IFERROR(1/(1/INDEX(Map_Stats!$K$2:$K$825,MATCH($F145&amp;"|"&amp;$G145,Map_Stats!$A$2:$A$825,0))),$O145))</f>
        <v>0.745176314</v>
      </c>
      <c r="S145" s="11" t="str">
        <f t="array" ref="S145">IF(OR($G145="",$P145=""),"",IFERROR(1/(1/INDEX(Map_Stats!$I$2:$I$825,MATCH($F145&amp;"|"&amp;$G145,Map_Stats!$A$2:$A$825,0))),$P145))</f>
        <v/>
      </c>
      <c r="T145" s="18">
        <f>IF(OR($G145="",R145=""),"",IF($O145="",R145,(Q145*R145+Config!$B$4*$O145)/(Q145+Config!$B$4)))</f>
        <v>0.7200783618</v>
      </c>
      <c r="U145" s="11" t="str">
        <f>IF(S145="","",(Q145*S145+Config!$B$4*$P145)/(Q145+Config!$B$4))</f>
        <v/>
      </c>
      <c r="V145" s="17">
        <f>IF(OR(T145="",$J145=""),"",T145*$J145*($J145/Config!$B$11)^Config!$B$9)</f>
        <v>15.53209026</v>
      </c>
      <c r="W145" s="17" t="str">
        <f t="shared" si="1"/>
        <v/>
      </c>
      <c r="X145" s="4">
        <f>IF($H145="",0,SUMIFS(Map_Stats!$F$2:$F$825,Map_Stats!$A$2:$A$825,$F145&amp;"|"&amp;$H145))</f>
        <v>4</v>
      </c>
      <c r="Y145" s="18">
        <f t="array" ref="Y145">IF($H145="","",IFERROR(1/(1/INDEX(Map_Stats!$K$2:$K$825,MATCH($F145&amp;"|"&amp;$H145,Map_Stats!$A$2:$A$825,0))),$O145))</f>
        <v>0.8616101131</v>
      </c>
      <c r="Z145" s="11" t="str">
        <f t="array" ref="Z145">IF(OR($H145="",$P145=""),"",IFERROR(1/(1/INDEX(Map_Stats!$I$2:$I$825,MATCH($F145&amp;"|"&amp;$H145,Map_Stats!$A$2:$A$825,0))),$P145))</f>
        <v/>
      </c>
      <c r="AA145" s="18">
        <f>IF(OR($H145="",Y145=""),"",IF($O145="",Y145,(X145*Y145+Config!$B$4*$O145)/(X145+Config!$B$4)))</f>
        <v>0.7718267169</v>
      </c>
      <c r="AB145" s="11" t="str">
        <f>IF(Z145="","",(X145*Z145+Config!$B$4*$P145)/(X145+Config!$B$4))</f>
        <v/>
      </c>
      <c r="AC145" s="17">
        <f>IF(OR(AA145="",$K145=""),"",AA145*$K145*($K145/Config!$B$11)^Config!$B$9)</f>
        <v>16.64830228</v>
      </c>
      <c r="AD145" s="17" t="str">
        <f t="shared" si="2"/>
        <v/>
      </c>
      <c r="AE145" s="4">
        <f>IF($I145="",0,SUMIFS(Map_Stats!$F$2:$F$825,Map_Stats!$A$2:$A$825,$F145&amp;"|"&amp;$I145))</f>
        <v>6</v>
      </c>
      <c r="AF145" s="18">
        <f t="array" ref="AF145">IF($I145="","",IFERROR(1/(1/INDEX(Map_Stats!$K$2:$K$825,MATCH($F145&amp;"|"&amp;$I145,Map_Stats!$A$2:$A$825,0))),$O145))</f>
        <v>0.8383233533</v>
      </c>
      <c r="AG145" s="11" t="str">
        <f t="array" ref="AG145">IF(OR($I145="",$P145=""),"",IFERROR(1/(1/INDEX(Map_Stats!$I$2:$I$825,MATCH($F145&amp;"|"&amp;$I145,Map_Stats!$A$2:$A$825,0))),$P145))</f>
        <v/>
      </c>
      <c r="AH145" s="18">
        <f>IF(OR($I145="",AF145=""),"",IF($O145="",AF145,(AE145*AF145+Config!$B$4*$O145)/(AE145+Config!$B$4)))</f>
        <v>0.7754491018</v>
      </c>
      <c r="AI145" s="11" t="str">
        <f>IF(AG145="","",(AE145*AG145+Config!$B$4*$P145)/(AE145+Config!$B$4))</f>
        <v/>
      </c>
      <c r="AJ145" s="17">
        <f>IF(OR(AH145="",$L145=""),"",AH145*$L145*($L145/Config!$B$11)^Config!$B$9)</f>
        <v>17.44760479</v>
      </c>
      <c r="AK145" s="17" t="str">
        <f t="shared" si="3"/>
        <v/>
      </c>
      <c r="AL145" s="17">
        <f t="shared" si="4"/>
        <v>32.18039255</v>
      </c>
      <c r="AM145" s="17">
        <f t="shared" si="5"/>
        <v>40.50987908</v>
      </c>
      <c r="AN145" s="17" t="str">
        <f t="shared" si="6"/>
        <v/>
      </c>
      <c r="AO145" s="17" t="str">
        <f t="shared" si="7"/>
        <v/>
      </c>
      <c r="AP145" s="11">
        <f t="shared" si="8"/>
        <v>0</v>
      </c>
      <c r="AQ145" s="4" t="str">
        <f>TRIM(IF($N145&lt;Config!$B$12,"thin sample ("&amp;$N145&amp;" maps) · ","")&amp;IF(AND($G145&lt;&gt;"",Q145=0),"M1 unplayed→overall KPR · ","")&amp;IF(AND($H145&lt;&gt;"",X145=0),"M2 unplayed→overall KPR · ","")&amp;IF($O145="","no PickFinder stats",""))</f>
        <v/>
      </c>
      <c r="AR145" s="4" t="str">
        <f>IF($C145=Board!$B$2,COUNTIFS($C$2:$C$157,Board!$B$2,$AL$2:$AL$157,"&gt;"&amp;$AL145)+COUNTIFS($C$1:$C144,Board!$B$2,$AL$1:$AL144,$AL145)+1,"")</f>
        <v/>
      </c>
      <c r="AS145" s="4" t="str">
        <f t="array" ref="AS145">IFERROR(IF($D145=INDEX(Matches!$AD$5:$AD$22,MATCH($C145,Matches!$A$5:$A$22,0)),"A",IF($D145=INDEX(Matches!$AE$5:$AE$22,MATCH($C145,Matches!$A$5:$A$22,0)),"B","")),"")</f>
        <v>B</v>
      </c>
      <c r="AT145" s="11" t="str">
        <f t="array" ref="AT145">IF($AS145="","",IFERROR(IF($AS145="A",INDEX(Matches!$AI$5:$AI$22,MATCH($C145,Matches!$A$5:$A$22,0)),INDEX(Matches!$AJ$5:$AJ$22,MATCH($C145,Matches!$A$5:$A$22,0))),""))</f>
        <v/>
      </c>
      <c r="AU145" s="11" t="str">
        <f t="array" ref="AU145">IF($AS145="","",IFERROR(IF(INDEX(Matches!$AP$5:$AP$22,MATCH($C145,Matches!$A$5:$A$22,0))="","",IF($AS145="A",INDEX(Matches!$AP$5:$AP$22,MATCH($C145,Matches!$A$5:$A$22,0)),1-INDEX(Matches!$AP$5:$AP$22,MATCH($C145,Matches!$A$5:$A$22,0)))),""))</f>
        <v/>
      </c>
      <c r="AV145" s="18">
        <f>IF(OR($AU145="",$AT145=""),1,((Config!$B$14*$AU145+Config!$B$15*(1-$AU145))/(Config!$B$14*$AT145+Config!$B$15*(1-$AT145)))^Config!$B$13)</f>
        <v>1</v>
      </c>
      <c r="AW145" s="11" t="str">
        <f t="array" ref="AW145">IF($AS145="","",IFERROR(IF(INDEX(Matches!$AV$5:$AV$22,MATCH($C145,Matches!$A$5:$A$22,0))="","",IF($AS145="A",INDEX(Matches!$AV$5:$AV$22,MATCH($C145,Matches!$A$5:$A$22,0)),1-INDEX(Matches!$AV$5:$AV$22,MATCH($C145,Matches!$A$5:$A$22,0)))),""))</f>
        <v/>
      </c>
      <c r="AX145" s="18">
        <f>IF(OR($AW145="",$AT145=""),1,((Config!$B$14*$AW145+Config!$B$15*(1-$AW145))/(Config!$B$14*$AT145+Config!$B$15*(1-$AT145)))^Config!$B$13)</f>
        <v>1</v>
      </c>
      <c r="AY145" s="11" t="str">
        <f t="array" ref="AY145">IF($AS145="","",IFERROR(IF(INDEX(Matches!$BB$5:$BB$22,MATCH($C145,Matches!$A$5:$A$22,0))="","",IF($AS145="A",INDEX(Matches!$BB$5:$BB$22,MATCH($C145,Matches!$A$5:$A$22,0)),1-INDEX(Matches!$BB$5:$BB$22,MATCH($C145,Matches!$A$5:$A$22,0)))),""))</f>
        <v/>
      </c>
      <c r="AZ145" s="18">
        <f>IF(OR($AY145="",$AT145=""),1,((Config!$B$14*$AY145+Config!$B$15*(1-$AY145))/(Config!$B$14*$AT145+Config!$B$15*(1-$AT145)))^Config!$B$13)</f>
        <v>1</v>
      </c>
      <c r="BA145" s="17">
        <f t="shared" si="9"/>
        <v>15.53209026</v>
      </c>
      <c r="BB145" s="17">
        <f t="shared" si="10"/>
        <v>16.64830228</v>
      </c>
      <c r="BC145" s="17">
        <f t="shared" si="11"/>
        <v>17.44760479</v>
      </c>
      <c r="BD145" s="17">
        <f t="shared" si="12"/>
        <v>32.18039255</v>
      </c>
      <c r="BE145" s="17">
        <f t="shared" si="13"/>
        <v>40.50987908</v>
      </c>
      <c r="BF145" s="17" t="str">
        <f t="shared" si="14"/>
        <v/>
      </c>
      <c r="BG145" s="17" t="str">
        <f t="shared" si="15"/>
        <v/>
      </c>
      <c r="BH145" s="17" t="str">
        <f t="shared" si="16"/>
        <v/>
      </c>
      <c r="BI145" s="17" t="str">
        <f t="shared" si="17"/>
        <v/>
      </c>
      <c r="BJ145" s="17" t="str">
        <f t="shared" si="18"/>
        <v/>
      </c>
      <c r="BK145" s="18">
        <f t="shared" si="19"/>
        <v>1</v>
      </c>
    </row>
    <row r="146" ht="15.75" customHeight="1">
      <c r="A146" s="4" t="s">
        <v>3283</v>
      </c>
      <c r="B146" s="4" t="s">
        <v>1582</v>
      </c>
      <c r="C146" s="4" t="s">
        <v>1833</v>
      </c>
      <c r="D146" s="4" t="s">
        <v>1599</v>
      </c>
      <c r="E146" s="4" t="s">
        <v>1609</v>
      </c>
      <c r="F146" s="4" t="s">
        <v>1608</v>
      </c>
      <c r="G146" s="4" t="str">
        <f t="array" ref="G146">IFERROR(IF(INDEX(Matches!$W$5:$W$22,MATCH($C146,Matches!$A$5:$A$22,0))="","",INDEX(Matches!$W$5:$W$22,MATCH($C146,Matches!$A$5:$A$22,0))),"")</f>
        <v>Sunset</v>
      </c>
      <c r="H146" s="4" t="str">
        <f t="array" ref="H146">IFERROR(IF(INDEX(Matches!$X$5:$X$22,MATCH($C146,Matches!$A$5:$A$22,0))="","",INDEX(Matches!$X$5:$X$22,MATCH($C146,Matches!$A$5:$A$22,0))),"")</f>
        <v>Ascent</v>
      </c>
      <c r="I146" s="4" t="str">
        <f t="array" ref="I146">IFERROR(IF(INDEX(Matches!$Y$5:$Y$22,MATCH($C146,Matches!$A$5:$A$22,0))="","",INDEX(Matches!$Y$5:$Y$22,MATCH($C146,Matches!$A$5:$A$22,0))),"")</f>
        <v>Split</v>
      </c>
      <c r="J146" s="4">
        <f t="array" ref="J146">IFERROR(IF(INDEX(Matches!$Z$5:$Z$22,MATCH($C146,Matches!$A$5:$A$22,0))="","",INDEX(Matches!$Z$5:$Z$22,MATCH($C146,Matches!$A$5:$A$22,0))),"")</f>
        <v>21.57</v>
      </c>
      <c r="K146" s="4">
        <f t="array" ref="K146">IFERROR(IF(INDEX(Matches!$AA$5:$AA$22,MATCH($C146,Matches!$A$5:$A$22,0))="","",INDEX(Matches!$AA$5:$AA$22,MATCH($C146,Matches!$A$5:$A$22,0))),"")</f>
        <v>21.57</v>
      </c>
      <c r="L146" s="4">
        <f t="array" ref="L146">IFERROR(IF(INDEX(Matches!$AB$5:$AB$22,MATCH($C146,Matches!$A$5:$A$22,0))="","",INDEX(Matches!$AB$5:$AB$22,MATCH($C146,Matches!$A$5:$A$22,0))),"")</f>
        <v>22.5</v>
      </c>
      <c r="M146" s="11">
        <f t="array" ref="M146">IFERROR(IF(INDEX(Matches!$AC$5:$AC$22,MATCH($C146,Matches!$A$5:$A$22,0))="","",INDEX(Matches!$AC$5:$AC$22,MATCH($C146,Matches!$A$5:$A$22,0))),"")</f>
        <v>0.4774</v>
      </c>
      <c r="N146" s="4">
        <f t="array" ref="N146">IFERROR(INDEX(Players!$F$2:$F$127,MATCH($F146,Players!$A$2:$A$127,0)),0)</f>
        <v>37</v>
      </c>
      <c r="O146" s="18">
        <f t="array" ref="O146">IFERROR(1/(1/INDEX(Players!$H$2:$H$127,MATCH($F146,Players!$A$2:$A$127,0))),"")</f>
        <v>0.72</v>
      </c>
      <c r="P146" s="11" t="str">
        <f t="array" ref="P146">IFERROR(1/(1/INDEX(Players!$I$2:$I$127,MATCH($F146,Players!$A$2:$A$127,0))),"")</f>
        <v/>
      </c>
      <c r="Q146" s="4">
        <f>IF($G146="",0,SUMIFS(Map_Stats!$F$2:$F$825,Map_Stats!$A$2:$A$825,$F146&amp;"|"&amp;$G146))</f>
        <v>4</v>
      </c>
      <c r="R146" s="18">
        <f t="array" ref="R146">IF($G146="","",IFERROR(1/(1/INDEX(Map_Stats!$K$2:$K$825,MATCH($F146&amp;"|"&amp;$G146,Map_Stats!$A$2:$A$825,0))),$O146))</f>
        <v>0.7465975373</v>
      </c>
      <c r="S146" s="11" t="str">
        <f t="array" ref="S146">IF(OR($G146="",$P146=""),"",IFERROR(1/(1/INDEX(Map_Stats!$I$2:$I$825,MATCH($F146&amp;"|"&amp;$G146,Map_Stats!$A$2:$A$825,0))),$P146))</f>
        <v/>
      </c>
      <c r="T146" s="18">
        <f>IF(OR($G146="",R146=""),"",IF($O146="",R146,(Q146*R146+Config!$B$4*$O146)/(Q146+Config!$B$4)))</f>
        <v>0.7318211277</v>
      </c>
      <c r="U146" s="11" t="str">
        <f>IF(S146="","",(Q146*S146+Config!$B$4*$P146)/(Q146+Config!$B$4))</f>
        <v/>
      </c>
      <c r="V146" s="17">
        <f>IF(OR(T146="",$J146=""),"",T146*$J146*($J146/Config!$B$11)^Config!$B$9)</f>
        <v>15.78538172</v>
      </c>
      <c r="W146" s="17" t="str">
        <f t="shared" si="1"/>
        <v/>
      </c>
      <c r="X146" s="4">
        <f>IF($H146="",0,SUMIFS(Map_Stats!$F$2:$F$825,Map_Stats!$A$2:$A$825,$F146&amp;"|"&amp;$H146))</f>
        <v>4</v>
      </c>
      <c r="Y146" s="18">
        <f t="array" ref="Y146">IF($H146="","",IFERROR(1/(1/INDEX(Map_Stats!$K$2:$K$825,MATCH($F146&amp;"|"&amp;$H146,Map_Stats!$A$2:$A$825,0))),$O146))</f>
        <v>0.6766040181</v>
      </c>
      <c r="Z146" s="11" t="str">
        <f t="array" ref="Z146">IF(OR($H146="",$P146=""),"",IFERROR(1/(1/INDEX(Map_Stats!$I$2:$I$825,MATCH($F146&amp;"|"&amp;$H146,Map_Stats!$A$2:$A$825,0))),$P146))</f>
        <v/>
      </c>
      <c r="AA146" s="18">
        <f>IF(OR($H146="",Y146=""),"",IF($O146="",Y146,(X146*Y146+Config!$B$4*$O146)/(X146+Config!$B$4)))</f>
        <v>0.700712897</v>
      </c>
      <c r="AB146" s="11" t="str">
        <f>IF(Z146="","",(X146*Z146+Config!$B$4*$P146)/(X146+Config!$B$4))</f>
        <v/>
      </c>
      <c r="AC146" s="17">
        <f>IF(OR(AA146="",$K146=""),"",AA146*$K146*($K146/Config!$B$11)^Config!$B$9)</f>
        <v>15.11437719</v>
      </c>
      <c r="AD146" s="17" t="str">
        <f t="shared" si="2"/>
        <v/>
      </c>
      <c r="AE146" s="4">
        <f>IF($I146="",0,SUMIFS(Map_Stats!$F$2:$F$825,Map_Stats!$A$2:$A$825,$F146&amp;"|"&amp;$I146))</f>
        <v>6</v>
      </c>
      <c r="AF146" s="18">
        <f t="array" ref="AF146">IF($I146="","",IFERROR(1/(1/INDEX(Map_Stats!$K$2:$K$825,MATCH($F146&amp;"|"&amp;$I146,Map_Stats!$A$2:$A$825,0))),$O146))</f>
        <v>0.690602722</v>
      </c>
      <c r="AG146" s="11" t="str">
        <f t="array" ref="AG146">IF(OR($I146="",$P146=""),"",IFERROR(1/(1/INDEX(Map_Stats!$I$2:$I$825,MATCH($F146&amp;"|"&amp;$I146,Map_Stats!$A$2:$A$825,0))),$P146))</f>
        <v/>
      </c>
      <c r="AH146" s="18">
        <f>IF(OR($I146="",AF146=""),"",IF($O146="",AF146,(AE146*AF146+Config!$B$4*$O146)/(AE146+Config!$B$4)))</f>
        <v>0.7039651211</v>
      </c>
      <c r="AI146" s="11" t="str">
        <f>IF(AG146="","",(AE146*AG146+Config!$B$4*$P146)/(AE146+Config!$B$4))</f>
        <v/>
      </c>
      <c r="AJ146" s="17">
        <f>IF(OR(AH146="",$L146=""),"",AH146*$L146*($L146/Config!$B$11)^Config!$B$9)</f>
        <v>15.83921522</v>
      </c>
      <c r="AK146" s="17" t="str">
        <f t="shared" si="3"/>
        <v/>
      </c>
      <c r="AL146" s="17">
        <f t="shared" si="4"/>
        <v>30.89975891</v>
      </c>
      <c r="AM146" s="17">
        <f t="shared" si="5"/>
        <v>38.46140026</v>
      </c>
      <c r="AN146" s="17" t="str">
        <f t="shared" si="6"/>
        <v/>
      </c>
      <c r="AO146" s="17" t="str">
        <f t="shared" si="7"/>
        <v/>
      </c>
      <c r="AP146" s="11">
        <f t="shared" si="8"/>
        <v>0</v>
      </c>
      <c r="AQ146" s="4" t="str">
        <f>TRIM(IF($N146&lt;Config!$B$12,"thin sample ("&amp;$N146&amp;" maps) · ","")&amp;IF(AND($G146&lt;&gt;"",Q146=0),"M1 unplayed→overall KPR · ","")&amp;IF(AND($H146&lt;&gt;"",X146=0),"M2 unplayed→overall KPR · ","")&amp;IF($O146="","no PickFinder stats",""))</f>
        <v/>
      </c>
      <c r="AR146" s="4" t="str">
        <f>IF($C146=Board!$B$2,COUNTIFS($C$2:$C$157,Board!$B$2,$AL$2:$AL$157,"&gt;"&amp;$AL146)+COUNTIFS($C$1:$C145,Board!$B$2,$AL$1:$AL145,$AL146)+1,"")</f>
        <v/>
      </c>
      <c r="AS146" s="4" t="str">
        <f t="array" ref="AS146">IFERROR(IF($D146=INDEX(Matches!$AD$5:$AD$22,MATCH($C146,Matches!$A$5:$A$22,0)),"A",IF($D146=INDEX(Matches!$AE$5:$AE$22,MATCH($C146,Matches!$A$5:$A$22,0)),"B","")),"")</f>
        <v>B</v>
      </c>
      <c r="AT146" s="11" t="str">
        <f t="array" ref="AT146">IF($AS146="","",IFERROR(IF($AS146="A",INDEX(Matches!$AI$5:$AI$22,MATCH($C146,Matches!$A$5:$A$22,0)),INDEX(Matches!$AJ$5:$AJ$22,MATCH($C146,Matches!$A$5:$A$22,0))),""))</f>
        <v/>
      </c>
      <c r="AU146" s="11" t="str">
        <f t="array" ref="AU146">IF($AS146="","",IFERROR(IF(INDEX(Matches!$AP$5:$AP$22,MATCH($C146,Matches!$A$5:$A$22,0))="","",IF($AS146="A",INDEX(Matches!$AP$5:$AP$22,MATCH($C146,Matches!$A$5:$A$22,0)),1-INDEX(Matches!$AP$5:$AP$22,MATCH($C146,Matches!$A$5:$A$22,0)))),""))</f>
        <v/>
      </c>
      <c r="AV146" s="18">
        <f>IF(OR($AU146="",$AT146=""),1,((Config!$B$14*$AU146+Config!$B$15*(1-$AU146))/(Config!$B$14*$AT146+Config!$B$15*(1-$AT146)))^Config!$B$13)</f>
        <v>1</v>
      </c>
      <c r="AW146" s="11" t="str">
        <f t="array" ref="AW146">IF($AS146="","",IFERROR(IF(INDEX(Matches!$AV$5:$AV$22,MATCH($C146,Matches!$A$5:$A$22,0))="","",IF($AS146="A",INDEX(Matches!$AV$5:$AV$22,MATCH($C146,Matches!$A$5:$A$22,0)),1-INDEX(Matches!$AV$5:$AV$22,MATCH($C146,Matches!$A$5:$A$22,0)))),""))</f>
        <v/>
      </c>
      <c r="AX146" s="18">
        <f>IF(OR($AW146="",$AT146=""),1,((Config!$B$14*$AW146+Config!$B$15*(1-$AW146))/(Config!$B$14*$AT146+Config!$B$15*(1-$AT146)))^Config!$B$13)</f>
        <v>1</v>
      </c>
      <c r="AY146" s="11" t="str">
        <f t="array" ref="AY146">IF($AS146="","",IFERROR(IF(INDEX(Matches!$BB$5:$BB$22,MATCH($C146,Matches!$A$5:$A$22,0))="","",IF($AS146="A",INDEX(Matches!$BB$5:$BB$22,MATCH($C146,Matches!$A$5:$A$22,0)),1-INDEX(Matches!$BB$5:$BB$22,MATCH($C146,Matches!$A$5:$A$22,0)))),""))</f>
        <v/>
      </c>
      <c r="AZ146" s="18">
        <f>IF(OR($AY146="",$AT146=""),1,((Config!$B$14*$AY146+Config!$B$15*(1-$AY146))/(Config!$B$14*$AT146+Config!$B$15*(1-$AT146)))^Config!$B$13)</f>
        <v>1</v>
      </c>
      <c r="BA146" s="17">
        <f t="shared" si="9"/>
        <v>15.78538172</v>
      </c>
      <c r="BB146" s="17">
        <f t="shared" si="10"/>
        <v>15.11437719</v>
      </c>
      <c r="BC146" s="17">
        <f t="shared" si="11"/>
        <v>15.83921522</v>
      </c>
      <c r="BD146" s="17">
        <f t="shared" si="12"/>
        <v>30.89975891</v>
      </c>
      <c r="BE146" s="17">
        <f t="shared" si="13"/>
        <v>38.46140026</v>
      </c>
      <c r="BF146" s="17" t="str">
        <f t="shared" si="14"/>
        <v/>
      </c>
      <c r="BG146" s="17" t="str">
        <f t="shared" si="15"/>
        <v/>
      </c>
      <c r="BH146" s="17" t="str">
        <f t="shared" si="16"/>
        <v/>
      </c>
      <c r="BI146" s="17" t="str">
        <f t="shared" si="17"/>
        <v/>
      </c>
      <c r="BJ146" s="17" t="str">
        <f t="shared" si="18"/>
        <v/>
      </c>
      <c r="BK146" s="18">
        <f t="shared" si="19"/>
        <v>1</v>
      </c>
    </row>
    <row r="147" ht="15.75" customHeight="1">
      <c r="A147" s="4" t="s">
        <v>3285</v>
      </c>
      <c r="B147" s="4" t="s">
        <v>1582</v>
      </c>
      <c r="C147" s="4" t="s">
        <v>1833</v>
      </c>
      <c r="D147" s="4" t="s">
        <v>1599</v>
      </c>
      <c r="E147" s="4" t="s">
        <v>1612</v>
      </c>
      <c r="F147" s="4" t="s">
        <v>1611</v>
      </c>
      <c r="G147" s="4" t="str">
        <f t="array" ref="G147">IFERROR(IF(INDEX(Matches!$W$5:$W$22,MATCH($C147,Matches!$A$5:$A$22,0))="","",INDEX(Matches!$W$5:$W$22,MATCH($C147,Matches!$A$5:$A$22,0))),"")</f>
        <v>Sunset</v>
      </c>
      <c r="H147" s="4" t="str">
        <f t="array" ref="H147">IFERROR(IF(INDEX(Matches!$X$5:$X$22,MATCH($C147,Matches!$A$5:$A$22,0))="","",INDEX(Matches!$X$5:$X$22,MATCH($C147,Matches!$A$5:$A$22,0))),"")</f>
        <v>Ascent</v>
      </c>
      <c r="I147" s="4" t="str">
        <f t="array" ref="I147">IFERROR(IF(INDEX(Matches!$Y$5:$Y$22,MATCH($C147,Matches!$A$5:$A$22,0))="","",INDEX(Matches!$Y$5:$Y$22,MATCH($C147,Matches!$A$5:$A$22,0))),"")</f>
        <v>Split</v>
      </c>
      <c r="J147" s="4">
        <f t="array" ref="J147">IFERROR(IF(INDEX(Matches!$Z$5:$Z$22,MATCH($C147,Matches!$A$5:$A$22,0))="","",INDEX(Matches!$Z$5:$Z$22,MATCH($C147,Matches!$A$5:$A$22,0))),"")</f>
        <v>21.57</v>
      </c>
      <c r="K147" s="4">
        <f t="array" ref="K147">IFERROR(IF(INDEX(Matches!$AA$5:$AA$22,MATCH($C147,Matches!$A$5:$A$22,0))="","",INDEX(Matches!$AA$5:$AA$22,MATCH($C147,Matches!$A$5:$A$22,0))),"")</f>
        <v>21.57</v>
      </c>
      <c r="L147" s="4">
        <f t="array" ref="L147">IFERROR(IF(INDEX(Matches!$AB$5:$AB$22,MATCH($C147,Matches!$A$5:$A$22,0))="","",INDEX(Matches!$AB$5:$AB$22,MATCH($C147,Matches!$A$5:$A$22,0))),"")</f>
        <v>22.5</v>
      </c>
      <c r="M147" s="11">
        <f t="array" ref="M147">IFERROR(IF(INDEX(Matches!$AC$5:$AC$22,MATCH($C147,Matches!$A$5:$A$22,0))="","",INDEX(Matches!$AC$5:$AC$22,MATCH($C147,Matches!$A$5:$A$22,0))),"")</f>
        <v>0.4774</v>
      </c>
      <c r="N147" s="4">
        <f t="array" ref="N147">IFERROR(INDEX(Players!$F$2:$F$127,MATCH($F147,Players!$A$2:$A$127,0)),0)</f>
        <v>37</v>
      </c>
      <c r="O147" s="18">
        <f t="array" ref="O147">IFERROR(1/(1/INDEX(Players!$H$2:$H$127,MATCH($F147,Players!$A$2:$A$127,0))),"")</f>
        <v>0.68</v>
      </c>
      <c r="P147" s="11" t="str">
        <f t="array" ref="P147">IFERROR(1/(1/INDEX(Players!$I$2:$I$127,MATCH($F147,Players!$A$2:$A$127,0))),"")</f>
        <v/>
      </c>
      <c r="Q147" s="4">
        <f>IF($G147="",0,SUMIFS(Map_Stats!$F$2:$F$825,Map_Stats!$A$2:$A$825,$F147&amp;"|"&amp;$G147))</f>
        <v>4</v>
      </c>
      <c r="R147" s="18">
        <f t="array" ref="R147">IF($G147="","",IFERROR(1/(1/INDEX(Map_Stats!$K$2:$K$825,MATCH($F147&amp;"|"&amp;$G147,Map_Stats!$A$2:$A$825,0))),$O147))</f>
        <v>0.8855380398</v>
      </c>
      <c r="S147" s="11" t="str">
        <f t="array" ref="S147">IF(OR($G147="",$P147=""),"",IFERROR(1/(1/INDEX(Map_Stats!$I$2:$I$825,MATCH($F147&amp;"|"&amp;$G147,Map_Stats!$A$2:$A$825,0))),$P147))</f>
        <v/>
      </c>
      <c r="T147" s="18">
        <f>IF(OR($G147="",R147=""),"",IF($O147="",R147,(Q147*R147+Config!$B$4*$O147)/(Q147+Config!$B$4)))</f>
        <v>0.7713502399</v>
      </c>
      <c r="U147" s="11" t="str">
        <f>IF(S147="","",(Q147*S147+Config!$B$4*$P147)/(Q147+Config!$B$4))</f>
        <v/>
      </c>
      <c r="V147" s="17">
        <f>IF(OR(T147="",$J147=""),"",T147*$J147*($J147/Config!$B$11)^Config!$B$9)</f>
        <v>16.63802467</v>
      </c>
      <c r="W147" s="17" t="str">
        <f t="shared" si="1"/>
        <v/>
      </c>
      <c r="X147" s="4">
        <f>IF($H147="",0,SUMIFS(Map_Stats!$F$2:$F$825,Map_Stats!$A$2:$A$825,$F147&amp;"|"&amp;$H147))</f>
        <v>4</v>
      </c>
      <c r="Y147" s="18">
        <f t="array" ref="Y147">IF($H147="","",IFERROR(1/(1/INDEX(Map_Stats!$K$2:$K$825,MATCH($F147&amp;"|"&amp;$H147,Map_Stats!$A$2:$A$825,0))),$O147))</f>
        <v>0.6991089788</v>
      </c>
      <c r="Z147" s="11" t="str">
        <f t="array" ref="Z147">IF(OR($H147="",$P147=""),"",IFERROR(1/(1/INDEX(Map_Stats!$I$2:$I$825,MATCH($F147&amp;"|"&amp;$H147,Map_Stats!$A$2:$A$825,0))),$P147))</f>
        <v/>
      </c>
      <c r="AA147" s="18">
        <f>IF(OR($H147="",Y147=""),"",IF($O147="",Y147,(X147*Y147+Config!$B$4*$O147)/(X147+Config!$B$4)))</f>
        <v>0.6884928794</v>
      </c>
      <c r="AB147" s="11" t="str">
        <f>IF(Z147="","",(X147*Z147+Config!$B$4*$P147)/(X147+Config!$B$4))</f>
        <v/>
      </c>
      <c r="AC147" s="17">
        <f>IF(OR(AA147="",$K147=""),"",AA147*$K147*($K147/Config!$B$11)^Config!$B$9)</f>
        <v>14.85079141</v>
      </c>
      <c r="AD147" s="17" t="str">
        <f t="shared" si="2"/>
        <v/>
      </c>
      <c r="AE147" s="4">
        <f>IF($I147="",0,SUMIFS(Map_Stats!$F$2:$F$825,Map_Stats!$A$2:$A$825,$F147&amp;"|"&amp;$I147))</f>
        <v>6</v>
      </c>
      <c r="AF147" s="18">
        <f t="array" ref="AF147">IF($I147="","",IFERROR(1/(1/INDEX(Map_Stats!$K$2:$K$825,MATCH($F147&amp;"|"&amp;$I147,Map_Stats!$A$2:$A$825,0))),$O147))</f>
        <v>0.6198766278</v>
      </c>
      <c r="AG147" s="11" t="str">
        <f t="array" ref="AG147">IF(OR($I147="",$P147=""),"",IFERROR(1/(1/INDEX(Map_Stats!$I$2:$I$825,MATCH($F147&amp;"|"&amp;$I147,Map_Stats!$A$2:$A$825,0))),$P147))</f>
        <v/>
      </c>
      <c r="AH147" s="18">
        <f>IF(OR($I147="",AF147=""),"",IF($O147="",AF147,(AE147*AF147+Config!$B$4*$O147)/(AE147+Config!$B$4)))</f>
        <v>0.6472054334</v>
      </c>
      <c r="AI147" s="11" t="str">
        <f>IF(AG147="","",(AE147*AG147+Config!$B$4*$P147)/(AE147+Config!$B$4))</f>
        <v/>
      </c>
      <c r="AJ147" s="17">
        <f>IF(OR(AH147="",$L147=""),"",AH147*$L147*($L147/Config!$B$11)^Config!$B$9)</f>
        <v>14.56212225</v>
      </c>
      <c r="AK147" s="17" t="str">
        <f t="shared" si="3"/>
        <v/>
      </c>
      <c r="AL147" s="17">
        <f t="shared" si="4"/>
        <v>31.48881608</v>
      </c>
      <c r="AM147" s="17">
        <f t="shared" si="5"/>
        <v>38.44077325</v>
      </c>
      <c r="AN147" s="17" t="str">
        <f t="shared" si="6"/>
        <v/>
      </c>
      <c r="AO147" s="17" t="str">
        <f t="shared" si="7"/>
        <v/>
      </c>
      <c r="AP147" s="11">
        <f t="shared" si="8"/>
        <v>0</v>
      </c>
      <c r="AQ147" s="4" t="str">
        <f>TRIM(IF($N147&lt;Config!$B$12,"thin sample ("&amp;$N147&amp;" maps) · ","")&amp;IF(AND($G147&lt;&gt;"",Q147=0),"M1 unplayed→overall KPR · ","")&amp;IF(AND($H147&lt;&gt;"",X147=0),"M2 unplayed→overall KPR · ","")&amp;IF($O147="","no PickFinder stats",""))</f>
        <v/>
      </c>
      <c r="AR147" s="4" t="str">
        <f>IF($C147=Board!$B$2,COUNTIFS($C$2:$C$157,Board!$B$2,$AL$2:$AL$157,"&gt;"&amp;$AL147)+COUNTIFS($C$1:$C146,Board!$B$2,$AL$1:$AL146,$AL147)+1,"")</f>
        <v/>
      </c>
      <c r="AS147" s="4" t="str">
        <f t="array" ref="AS147">IFERROR(IF($D147=INDEX(Matches!$AD$5:$AD$22,MATCH($C147,Matches!$A$5:$A$22,0)),"A",IF($D147=INDEX(Matches!$AE$5:$AE$22,MATCH($C147,Matches!$A$5:$A$22,0)),"B","")),"")</f>
        <v>B</v>
      </c>
      <c r="AT147" s="11" t="str">
        <f t="array" ref="AT147">IF($AS147="","",IFERROR(IF($AS147="A",INDEX(Matches!$AI$5:$AI$22,MATCH($C147,Matches!$A$5:$A$22,0)),INDEX(Matches!$AJ$5:$AJ$22,MATCH($C147,Matches!$A$5:$A$22,0))),""))</f>
        <v/>
      </c>
      <c r="AU147" s="11" t="str">
        <f t="array" ref="AU147">IF($AS147="","",IFERROR(IF(INDEX(Matches!$AP$5:$AP$22,MATCH($C147,Matches!$A$5:$A$22,0))="","",IF($AS147="A",INDEX(Matches!$AP$5:$AP$22,MATCH($C147,Matches!$A$5:$A$22,0)),1-INDEX(Matches!$AP$5:$AP$22,MATCH($C147,Matches!$A$5:$A$22,0)))),""))</f>
        <v/>
      </c>
      <c r="AV147" s="18">
        <f>IF(OR($AU147="",$AT147=""),1,((Config!$B$14*$AU147+Config!$B$15*(1-$AU147))/(Config!$B$14*$AT147+Config!$B$15*(1-$AT147)))^Config!$B$13)</f>
        <v>1</v>
      </c>
      <c r="AW147" s="11" t="str">
        <f t="array" ref="AW147">IF($AS147="","",IFERROR(IF(INDEX(Matches!$AV$5:$AV$22,MATCH($C147,Matches!$A$5:$A$22,0))="","",IF($AS147="A",INDEX(Matches!$AV$5:$AV$22,MATCH($C147,Matches!$A$5:$A$22,0)),1-INDEX(Matches!$AV$5:$AV$22,MATCH($C147,Matches!$A$5:$A$22,0)))),""))</f>
        <v/>
      </c>
      <c r="AX147" s="18">
        <f>IF(OR($AW147="",$AT147=""),1,((Config!$B$14*$AW147+Config!$B$15*(1-$AW147))/(Config!$B$14*$AT147+Config!$B$15*(1-$AT147)))^Config!$B$13)</f>
        <v>1</v>
      </c>
      <c r="AY147" s="11" t="str">
        <f t="array" ref="AY147">IF($AS147="","",IFERROR(IF(INDEX(Matches!$BB$5:$BB$22,MATCH($C147,Matches!$A$5:$A$22,0))="","",IF($AS147="A",INDEX(Matches!$BB$5:$BB$22,MATCH($C147,Matches!$A$5:$A$22,0)),1-INDEX(Matches!$BB$5:$BB$22,MATCH($C147,Matches!$A$5:$A$22,0)))),""))</f>
        <v/>
      </c>
      <c r="AZ147" s="18">
        <f>IF(OR($AY147="",$AT147=""),1,((Config!$B$14*$AY147+Config!$B$15*(1-$AY147))/(Config!$B$14*$AT147+Config!$B$15*(1-$AT147)))^Config!$B$13)</f>
        <v>1</v>
      </c>
      <c r="BA147" s="17">
        <f t="shared" si="9"/>
        <v>16.63802467</v>
      </c>
      <c r="BB147" s="17">
        <f t="shared" si="10"/>
        <v>14.85079141</v>
      </c>
      <c r="BC147" s="17">
        <f t="shared" si="11"/>
        <v>14.56212225</v>
      </c>
      <c r="BD147" s="17">
        <f t="shared" si="12"/>
        <v>31.48881608</v>
      </c>
      <c r="BE147" s="17">
        <f t="shared" si="13"/>
        <v>38.44077325</v>
      </c>
      <c r="BF147" s="17" t="str">
        <f t="shared" si="14"/>
        <v/>
      </c>
      <c r="BG147" s="17" t="str">
        <f t="shared" si="15"/>
        <v/>
      </c>
      <c r="BH147" s="17" t="str">
        <f t="shared" si="16"/>
        <v/>
      </c>
      <c r="BI147" s="17" t="str">
        <f t="shared" si="17"/>
        <v/>
      </c>
      <c r="BJ147" s="17" t="str">
        <f t="shared" si="18"/>
        <v/>
      </c>
      <c r="BK147" s="18">
        <f t="shared" si="19"/>
        <v>1</v>
      </c>
    </row>
    <row r="148" ht="15.75" customHeight="1">
      <c r="A148" s="4" t="s">
        <v>3286</v>
      </c>
      <c r="B148" s="4" t="s">
        <v>1582</v>
      </c>
      <c r="C148" s="4" t="s">
        <v>1825</v>
      </c>
      <c r="D148" s="4" t="s">
        <v>1616</v>
      </c>
      <c r="E148" s="4" t="s">
        <v>1615</v>
      </c>
      <c r="F148" s="4" t="s">
        <v>1614</v>
      </c>
      <c r="G148" s="4" t="str">
        <f t="array" ref="G148">IFERROR(IF(INDEX(Matches!$W$5:$W$22,MATCH($C148,Matches!$A$5:$A$22,0))="","",INDEX(Matches!$W$5:$W$22,MATCH($C148,Matches!$A$5:$A$22,0))),"")</f>
        <v>Split</v>
      </c>
      <c r="H148" s="4" t="str">
        <f t="array" ref="H148">IFERROR(IF(INDEX(Matches!$X$5:$X$22,MATCH($C148,Matches!$A$5:$A$22,0))="","",INDEX(Matches!$X$5:$X$22,MATCH($C148,Matches!$A$5:$A$22,0))),"")</f>
        <v>Summit</v>
      </c>
      <c r="I148" s="4" t="str">
        <f t="array" ref="I148">IFERROR(IF(INDEX(Matches!$Y$5:$Y$22,MATCH($C148,Matches!$A$5:$A$22,0))="","",INDEX(Matches!$Y$5:$Y$22,MATCH($C148,Matches!$A$5:$A$22,0))),"")</f>
        <v>Haven</v>
      </c>
      <c r="J148" s="4">
        <f t="array" ref="J148">IFERROR(IF(INDEX(Matches!$Z$5:$Z$22,MATCH($C148,Matches!$A$5:$A$22,0))="","",INDEX(Matches!$Z$5:$Z$22,MATCH($C148,Matches!$A$5:$A$22,0))),"")</f>
        <v>21.62</v>
      </c>
      <c r="K148" s="4">
        <f t="array" ref="K148">IFERROR(IF(INDEX(Matches!$AA$5:$AA$22,MATCH($C148,Matches!$A$5:$A$22,0))="","",INDEX(Matches!$AA$5:$AA$22,MATCH($C148,Matches!$A$5:$A$22,0))),"")</f>
        <v>21.62</v>
      </c>
      <c r="L148" s="4">
        <f t="array" ref="L148">IFERROR(IF(INDEX(Matches!$AB$5:$AB$22,MATCH($C148,Matches!$A$5:$A$22,0))="","",INDEX(Matches!$AB$5:$AB$22,MATCH($C148,Matches!$A$5:$A$22,0))),"")</f>
        <v>22.5</v>
      </c>
      <c r="M148" s="11">
        <f t="array" ref="M148">IFERROR(IF(INDEX(Matches!$AC$5:$AC$22,MATCH($C148,Matches!$A$5:$A$22,0))="","",INDEX(Matches!$AC$5:$AC$22,MATCH($C148,Matches!$A$5:$A$22,0))),"")</f>
        <v>0.4896</v>
      </c>
      <c r="N148" s="4">
        <f t="array" ref="N148">IFERROR(INDEX(Players!$F$2:$F$127,MATCH($F148,Players!$A$2:$A$127,0)),0)</f>
        <v>39</v>
      </c>
      <c r="O148" s="18">
        <f t="array" ref="O148">IFERROR(1/(1/INDEX(Players!$H$2:$H$127,MATCH($F148,Players!$A$2:$A$127,0))),"")</f>
        <v>0.6</v>
      </c>
      <c r="P148" s="11" t="str">
        <f t="array" ref="P148">IFERROR(1/(1/INDEX(Players!$I$2:$I$127,MATCH($F148,Players!$A$2:$A$127,0))),"")</f>
        <v/>
      </c>
      <c r="Q148" s="4">
        <f>IF($G148="",0,SUMIFS(Map_Stats!$F$2:$F$825,Map_Stats!$A$2:$A$825,$F148&amp;"|"&amp;$G148))</f>
        <v>3</v>
      </c>
      <c r="R148" s="18">
        <f t="array" ref="R148">IF($G148="","",IFERROR(1/(1/INDEX(Map_Stats!$K$2:$K$825,MATCH($F148&amp;"|"&amp;$G148,Map_Stats!$A$2:$A$825,0))),$O148))</f>
        <v>0.5616224649</v>
      </c>
      <c r="S148" s="11" t="str">
        <f t="array" ref="S148">IF(OR($G148="",$P148=""),"",IFERROR(1/(1/INDEX(Map_Stats!$I$2:$I$825,MATCH($F148&amp;"|"&amp;$G148,Map_Stats!$A$2:$A$825,0))),$P148))</f>
        <v/>
      </c>
      <c r="T148" s="18">
        <f>IF(OR($G148="",R148=""),"",IF($O148="",R148,(Q148*R148+Config!$B$4*$O148)/(Q148+Config!$B$4)))</f>
        <v>0.5856084243</v>
      </c>
      <c r="U148" s="11" t="str">
        <f>IF(S148="","",(Q148*S148+Config!$B$4*$P148)/(Q148+Config!$B$4))</f>
        <v/>
      </c>
      <c r="V148" s="17">
        <f>IF(OR(T148="",$J148=""),"",T148*$J148*($J148/Config!$B$11)^Config!$B$9)</f>
        <v>12.66085413</v>
      </c>
      <c r="W148" s="17" t="str">
        <f t="shared" si="1"/>
        <v/>
      </c>
      <c r="X148" s="4">
        <f>IF($H148="",0,SUMIFS(Map_Stats!$F$2:$F$825,Map_Stats!$A$2:$A$825,$F148&amp;"|"&amp;$H148))</f>
        <v>9</v>
      </c>
      <c r="Y148" s="18">
        <f t="array" ref="Y148">IF($H148="","",IFERROR(1/(1/INDEX(Map_Stats!$K$2:$K$825,MATCH($F148&amp;"|"&amp;$H148,Map_Stats!$A$2:$A$825,0))),$O148))</f>
        <v>0.5709828393</v>
      </c>
      <c r="Z148" s="11" t="str">
        <f t="array" ref="Z148">IF(OR($H148="",$P148=""),"",IFERROR(1/(1/INDEX(Map_Stats!$I$2:$I$825,MATCH($F148&amp;"|"&amp;$H148,Map_Stats!$A$2:$A$825,0))),$P148))</f>
        <v/>
      </c>
      <c r="AA148" s="18">
        <f>IF(OR($H148="",Y148=""),"",IF($O148="",Y148,(X148*Y148+Config!$B$4*$O148)/(X148+Config!$B$4)))</f>
        <v>0.581346111</v>
      </c>
      <c r="AB148" s="11" t="str">
        <f>IF(Z148="","",(X148*Z148+Config!$B$4*$P148)/(X148+Config!$B$4))</f>
        <v/>
      </c>
      <c r="AC148" s="17">
        <f>IF(OR(AA148="",$K148=""),"",AA148*$K148*($K148/Config!$B$11)^Config!$B$9)</f>
        <v>12.56870292</v>
      </c>
      <c r="AD148" s="17" t="str">
        <f t="shared" si="2"/>
        <v/>
      </c>
      <c r="AE148" s="4">
        <f>IF($I148="",0,SUMIFS(Map_Stats!$F$2:$F$825,Map_Stats!$A$2:$A$825,$F148&amp;"|"&amp;$I148))</f>
        <v>6</v>
      </c>
      <c r="AF148" s="18">
        <f t="array" ref="AF148">IF($I148="","",IFERROR(1/(1/INDEX(Map_Stats!$K$2:$K$825,MATCH($F148&amp;"|"&amp;$I148,Map_Stats!$A$2:$A$825,0))),$O148))</f>
        <v>0.5475819033</v>
      </c>
      <c r="AG148" s="11" t="str">
        <f t="array" ref="AG148">IF(OR($I148="",$P148=""),"",IFERROR(1/(1/INDEX(Map_Stats!$I$2:$I$825,MATCH($F148&amp;"|"&amp;$I148,Map_Stats!$A$2:$A$825,0))),$P148))</f>
        <v/>
      </c>
      <c r="AH148" s="18">
        <f>IF(OR($I148="",AF148=""),"",IF($O148="",AF148,(AE148*AF148+Config!$B$4*$O148)/(AE148+Config!$B$4)))</f>
        <v>0.5714083109</v>
      </c>
      <c r="AI148" s="11" t="str">
        <f>IF(AG148="","",(AE148*AG148+Config!$B$4*$P148)/(AE148+Config!$B$4))</f>
        <v/>
      </c>
      <c r="AJ148" s="17">
        <f>IF(OR(AH148="",$L148=""),"",AH148*$L148*($L148/Config!$B$11)^Config!$B$9)</f>
        <v>12.85668699</v>
      </c>
      <c r="AK148" s="17" t="str">
        <f t="shared" si="3"/>
        <v/>
      </c>
      <c r="AL148" s="17">
        <f t="shared" si="4"/>
        <v>25.22955705</v>
      </c>
      <c r="AM148" s="17">
        <f t="shared" si="5"/>
        <v>31.52419101</v>
      </c>
      <c r="AN148" s="17" t="str">
        <f t="shared" si="6"/>
        <v/>
      </c>
      <c r="AO148" s="17" t="str">
        <f t="shared" si="7"/>
        <v/>
      </c>
      <c r="AP148" s="11">
        <f t="shared" si="8"/>
        <v>0</v>
      </c>
      <c r="AQ148" s="4" t="str">
        <f>TRIM(IF($N148&lt;Config!$B$12,"thin sample ("&amp;$N148&amp;" maps) · ","")&amp;IF(AND($G148&lt;&gt;"",Q148=0),"M1 unplayed→overall KPR · ","")&amp;IF(AND($H148&lt;&gt;"",X148=0),"M2 unplayed→overall KPR · ","")&amp;IF($O148="","no PickFinder stats",""))</f>
        <v/>
      </c>
      <c r="AR148" s="4" t="str">
        <f>IF($C148=Board!$B$2,COUNTIFS($C$2:$C$157,Board!$B$2,$AL$2:$AL$157,"&gt;"&amp;$AL148)+COUNTIFS($C$1:$C147,Board!$B$2,$AL$1:$AL147,$AL148)+1,"")</f>
        <v/>
      </c>
      <c r="AS148" s="4" t="str">
        <f t="array" ref="AS148">IFERROR(IF($D148=INDEX(Matches!$AD$5:$AD$22,MATCH($C148,Matches!$A$5:$A$22,0)),"A",IF($D148=INDEX(Matches!$AE$5:$AE$22,MATCH($C148,Matches!$A$5:$A$22,0)),"B","")),"")</f>
        <v>B</v>
      </c>
      <c r="AT148" s="11" t="str">
        <f t="array" ref="AT148">IF($AS148="","",IFERROR(IF($AS148="A",INDEX(Matches!$AI$5:$AI$22,MATCH($C148,Matches!$A$5:$A$22,0)),INDEX(Matches!$AJ$5:$AJ$22,MATCH($C148,Matches!$A$5:$A$22,0))),""))</f>
        <v/>
      </c>
      <c r="AU148" s="11" t="str">
        <f t="array" ref="AU148">IF($AS148="","",IFERROR(IF(INDEX(Matches!$AP$5:$AP$22,MATCH($C148,Matches!$A$5:$A$22,0))="","",IF($AS148="A",INDEX(Matches!$AP$5:$AP$22,MATCH($C148,Matches!$A$5:$A$22,0)),1-INDEX(Matches!$AP$5:$AP$22,MATCH($C148,Matches!$A$5:$A$22,0)))),""))</f>
        <v/>
      </c>
      <c r="AV148" s="18">
        <f>IF(OR($AU148="",$AT148=""),1,((Config!$B$14*$AU148+Config!$B$15*(1-$AU148))/(Config!$B$14*$AT148+Config!$B$15*(1-$AT148)))^Config!$B$13)</f>
        <v>1</v>
      </c>
      <c r="AW148" s="11" t="str">
        <f t="array" ref="AW148">IF($AS148="","",IFERROR(IF(INDEX(Matches!$AV$5:$AV$22,MATCH($C148,Matches!$A$5:$A$22,0))="","",IF($AS148="A",INDEX(Matches!$AV$5:$AV$22,MATCH($C148,Matches!$A$5:$A$22,0)),1-INDEX(Matches!$AV$5:$AV$22,MATCH($C148,Matches!$A$5:$A$22,0)))),""))</f>
        <v/>
      </c>
      <c r="AX148" s="18">
        <f>IF(OR($AW148="",$AT148=""),1,((Config!$B$14*$AW148+Config!$B$15*(1-$AW148))/(Config!$B$14*$AT148+Config!$B$15*(1-$AT148)))^Config!$B$13)</f>
        <v>1</v>
      </c>
      <c r="AY148" s="11" t="str">
        <f t="array" ref="AY148">IF($AS148="","",IFERROR(IF(INDEX(Matches!$BB$5:$BB$22,MATCH($C148,Matches!$A$5:$A$22,0))="","",IF($AS148="A",INDEX(Matches!$BB$5:$BB$22,MATCH($C148,Matches!$A$5:$A$22,0)),1-INDEX(Matches!$BB$5:$BB$22,MATCH($C148,Matches!$A$5:$A$22,0)))),""))</f>
        <v/>
      </c>
      <c r="AZ148" s="18">
        <f>IF(OR($AY148="",$AT148=""),1,((Config!$B$14*$AY148+Config!$B$15*(1-$AY148))/(Config!$B$14*$AT148+Config!$B$15*(1-$AT148)))^Config!$B$13)</f>
        <v>1</v>
      </c>
      <c r="BA148" s="17">
        <f t="shared" si="9"/>
        <v>12.66085413</v>
      </c>
      <c r="BB148" s="17">
        <f t="shared" si="10"/>
        <v>12.56870292</v>
      </c>
      <c r="BC148" s="17">
        <f t="shared" si="11"/>
        <v>12.85668699</v>
      </c>
      <c r="BD148" s="17">
        <f t="shared" si="12"/>
        <v>25.22955705</v>
      </c>
      <c r="BE148" s="17">
        <f t="shared" si="13"/>
        <v>31.52419101</v>
      </c>
      <c r="BF148" s="17" t="str">
        <f t="shared" si="14"/>
        <v/>
      </c>
      <c r="BG148" s="17" t="str">
        <f t="shared" si="15"/>
        <v/>
      </c>
      <c r="BH148" s="17" t="str">
        <f t="shared" si="16"/>
        <v/>
      </c>
      <c r="BI148" s="17" t="str">
        <f t="shared" si="17"/>
        <v/>
      </c>
      <c r="BJ148" s="17" t="str">
        <f t="shared" si="18"/>
        <v/>
      </c>
      <c r="BK148" s="18">
        <f t="shared" si="19"/>
        <v>1</v>
      </c>
    </row>
    <row r="149" ht="15.75" customHeight="1">
      <c r="A149" s="4" t="s">
        <v>3287</v>
      </c>
      <c r="B149" s="4" t="s">
        <v>1582</v>
      </c>
      <c r="C149" s="4" t="s">
        <v>1825</v>
      </c>
      <c r="D149" s="4" t="s">
        <v>1616</v>
      </c>
      <c r="E149" s="4" t="s">
        <v>1620</v>
      </c>
      <c r="F149" s="4" t="s">
        <v>1619</v>
      </c>
      <c r="G149" s="4" t="str">
        <f t="array" ref="G149">IFERROR(IF(INDEX(Matches!$W$5:$W$22,MATCH($C149,Matches!$A$5:$A$22,0))="","",INDEX(Matches!$W$5:$W$22,MATCH($C149,Matches!$A$5:$A$22,0))),"")</f>
        <v>Split</v>
      </c>
      <c r="H149" s="4" t="str">
        <f t="array" ref="H149">IFERROR(IF(INDEX(Matches!$X$5:$X$22,MATCH($C149,Matches!$A$5:$A$22,0))="","",INDEX(Matches!$X$5:$X$22,MATCH($C149,Matches!$A$5:$A$22,0))),"")</f>
        <v>Summit</v>
      </c>
      <c r="I149" s="4" t="str">
        <f t="array" ref="I149">IFERROR(IF(INDEX(Matches!$Y$5:$Y$22,MATCH($C149,Matches!$A$5:$A$22,0))="","",INDEX(Matches!$Y$5:$Y$22,MATCH($C149,Matches!$A$5:$A$22,0))),"")</f>
        <v>Haven</v>
      </c>
      <c r="J149" s="4">
        <f t="array" ref="J149">IFERROR(IF(INDEX(Matches!$Z$5:$Z$22,MATCH($C149,Matches!$A$5:$A$22,0))="","",INDEX(Matches!$Z$5:$Z$22,MATCH($C149,Matches!$A$5:$A$22,0))),"")</f>
        <v>21.62</v>
      </c>
      <c r="K149" s="4">
        <f t="array" ref="K149">IFERROR(IF(INDEX(Matches!$AA$5:$AA$22,MATCH($C149,Matches!$A$5:$A$22,0))="","",INDEX(Matches!$AA$5:$AA$22,MATCH($C149,Matches!$A$5:$A$22,0))),"")</f>
        <v>21.62</v>
      </c>
      <c r="L149" s="4">
        <f t="array" ref="L149">IFERROR(IF(INDEX(Matches!$AB$5:$AB$22,MATCH($C149,Matches!$A$5:$A$22,0))="","",INDEX(Matches!$AB$5:$AB$22,MATCH($C149,Matches!$A$5:$A$22,0))),"")</f>
        <v>22.5</v>
      </c>
      <c r="M149" s="11">
        <f t="array" ref="M149">IFERROR(IF(INDEX(Matches!$AC$5:$AC$22,MATCH($C149,Matches!$A$5:$A$22,0))="","",INDEX(Matches!$AC$5:$AC$22,MATCH($C149,Matches!$A$5:$A$22,0))),"")</f>
        <v>0.4896</v>
      </c>
      <c r="N149" s="4">
        <f t="array" ref="N149">IFERROR(INDEX(Players!$F$2:$F$127,MATCH($F149,Players!$A$2:$A$127,0)),0)</f>
        <v>39</v>
      </c>
      <c r="O149" s="18">
        <f t="array" ref="O149">IFERROR(1/(1/INDEX(Players!$H$2:$H$127,MATCH($F149,Players!$A$2:$A$127,0))),"")</f>
        <v>0.56</v>
      </c>
      <c r="P149" s="11" t="str">
        <f t="array" ref="P149">IFERROR(1/(1/INDEX(Players!$I$2:$I$127,MATCH($F149,Players!$A$2:$A$127,0))),"")</f>
        <v/>
      </c>
      <c r="Q149" s="4">
        <f>IF($G149="",0,SUMIFS(Map_Stats!$F$2:$F$825,Map_Stats!$A$2:$A$825,$F149&amp;"|"&amp;$G149))</f>
        <v>3</v>
      </c>
      <c r="R149" s="18">
        <f t="array" ref="R149">IF($G149="","",IFERROR(1/(1/INDEX(Map_Stats!$K$2:$K$825,MATCH($F149&amp;"|"&amp;$G149,Map_Stats!$A$2:$A$825,0))),$O149))</f>
        <v>0.5623430962</v>
      </c>
      <c r="S149" s="11" t="str">
        <f t="array" ref="S149">IF(OR($G149="",$P149=""),"",IFERROR(1/(1/INDEX(Map_Stats!$I$2:$I$825,MATCH($F149&amp;"|"&amp;$G149,Map_Stats!$A$2:$A$825,0))),$P149))</f>
        <v/>
      </c>
      <c r="T149" s="18">
        <f>IF(OR($G149="",R149=""),"",IF($O149="",R149,(Q149*R149+Config!$B$4*$O149)/(Q149+Config!$B$4)))</f>
        <v>0.5608786611</v>
      </c>
      <c r="U149" s="11" t="str">
        <f>IF(S149="","",(Q149*S149+Config!$B$4*$P149)/(Q149+Config!$B$4))</f>
        <v/>
      </c>
      <c r="V149" s="17">
        <f>IF(OR(T149="",$J149=""),"",T149*$J149*($J149/Config!$B$11)^Config!$B$9)</f>
        <v>12.12619665</v>
      </c>
      <c r="W149" s="17" t="str">
        <f t="shared" si="1"/>
        <v/>
      </c>
      <c r="X149" s="4">
        <f>IF($H149="",0,SUMIFS(Map_Stats!$F$2:$F$825,Map_Stats!$A$2:$A$825,$F149&amp;"|"&amp;$H149))</f>
        <v>9</v>
      </c>
      <c r="Y149" s="18">
        <f t="array" ref="Y149">IF($H149="","",IFERROR(1/(1/INDEX(Map_Stats!$K$2:$K$825,MATCH($F149&amp;"|"&amp;$H149,Map_Stats!$A$2:$A$825,0))),$O149))</f>
        <v>0.6138912134</v>
      </c>
      <c r="Z149" s="11" t="str">
        <f t="array" ref="Z149">IF(OR($H149="",$P149=""),"",IFERROR(1/(1/INDEX(Map_Stats!$I$2:$I$825,MATCH($F149&amp;"|"&amp;$H149,Map_Stats!$A$2:$A$825,0))),$P149))</f>
        <v/>
      </c>
      <c r="AA149" s="18">
        <f>IF(OR($H149="",Y149=""),"",IF($O149="",Y149,(X149*Y149+Config!$B$4*$O149)/(X149+Config!$B$4)))</f>
        <v>0.5946443515</v>
      </c>
      <c r="AB149" s="11" t="str">
        <f>IF(Z149="","",(X149*Z149+Config!$B$4*$P149)/(X149+Config!$B$4))</f>
        <v/>
      </c>
      <c r="AC149" s="17">
        <f>IF(OR(AA149="",$K149=""),"",AA149*$K149*($K149/Config!$B$11)^Config!$B$9)</f>
        <v>12.85621088</v>
      </c>
      <c r="AD149" s="17" t="str">
        <f t="shared" si="2"/>
        <v/>
      </c>
      <c r="AE149" s="4">
        <f>IF($I149="",0,SUMIFS(Map_Stats!$F$2:$F$825,Map_Stats!$A$2:$A$825,$F149&amp;"|"&amp;$I149))</f>
        <v>6</v>
      </c>
      <c r="AF149" s="18">
        <f t="array" ref="AF149">IF($I149="","",IFERROR(1/(1/INDEX(Map_Stats!$K$2:$K$825,MATCH($F149&amp;"|"&amp;$I149,Map_Stats!$A$2:$A$825,0))),$O149))</f>
        <v>0.529539749</v>
      </c>
      <c r="AG149" s="11" t="str">
        <f t="array" ref="AG149">IF(OR($I149="",$P149=""),"",IFERROR(1/(1/INDEX(Map_Stats!$I$2:$I$825,MATCH($F149&amp;"|"&amp;$I149,Map_Stats!$A$2:$A$825,0))),$P149))</f>
        <v/>
      </c>
      <c r="AH149" s="18">
        <f>IF(OR($I149="",AF149=""),"",IF($O149="",AF149,(AE149*AF149+Config!$B$4*$O149)/(AE149+Config!$B$4)))</f>
        <v>0.5433853176</v>
      </c>
      <c r="AI149" s="11" t="str">
        <f>IF(AG149="","",(AE149*AG149+Config!$B$4*$P149)/(AE149+Config!$B$4))</f>
        <v/>
      </c>
      <c r="AJ149" s="17">
        <f>IF(OR(AH149="",$L149=""),"",AH149*$L149*($L149/Config!$B$11)^Config!$B$9)</f>
        <v>12.22616965</v>
      </c>
      <c r="AK149" s="17" t="str">
        <f t="shared" si="3"/>
        <v/>
      </c>
      <c r="AL149" s="17">
        <f t="shared" si="4"/>
        <v>24.98240753</v>
      </c>
      <c r="AM149" s="17">
        <f t="shared" si="5"/>
        <v>30.96834019</v>
      </c>
      <c r="AN149" s="17" t="str">
        <f t="shared" si="6"/>
        <v/>
      </c>
      <c r="AO149" s="17" t="str">
        <f t="shared" si="7"/>
        <v/>
      </c>
      <c r="AP149" s="11">
        <f t="shared" si="8"/>
        <v>0</v>
      </c>
      <c r="AQ149" s="4" t="str">
        <f>TRIM(IF($N149&lt;Config!$B$12,"thin sample ("&amp;$N149&amp;" maps) · ","")&amp;IF(AND($G149&lt;&gt;"",Q149=0),"M1 unplayed→overall KPR · ","")&amp;IF(AND($H149&lt;&gt;"",X149=0),"M2 unplayed→overall KPR · ","")&amp;IF($O149="","no PickFinder stats",""))</f>
        <v/>
      </c>
      <c r="AR149" s="4" t="str">
        <f>IF($C149=Board!$B$2,COUNTIFS($C$2:$C$157,Board!$B$2,$AL$2:$AL$157,"&gt;"&amp;$AL149)+COUNTIFS($C$1:$C148,Board!$B$2,$AL$1:$AL148,$AL149)+1,"")</f>
        <v/>
      </c>
      <c r="AS149" s="4" t="str">
        <f t="array" ref="AS149">IFERROR(IF($D149=INDEX(Matches!$AD$5:$AD$22,MATCH($C149,Matches!$A$5:$A$22,0)),"A",IF($D149=INDEX(Matches!$AE$5:$AE$22,MATCH($C149,Matches!$A$5:$A$22,0)),"B","")),"")</f>
        <v>B</v>
      </c>
      <c r="AT149" s="11" t="str">
        <f t="array" ref="AT149">IF($AS149="","",IFERROR(IF($AS149="A",INDEX(Matches!$AI$5:$AI$22,MATCH($C149,Matches!$A$5:$A$22,0)),INDEX(Matches!$AJ$5:$AJ$22,MATCH($C149,Matches!$A$5:$A$22,0))),""))</f>
        <v/>
      </c>
      <c r="AU149" s="11" t="str">
        <f t="array" ref="AU149">IF($AS149="","",IFERROR(IF(INDEX(Matches!$AP$5:$AP$22,MATCH($C149,Matches!$A$5:$A$22,0))="","",IF($AS149="A",INDEX(Matches!$AP$5:$AP$22,MATCH($C149,Matches!$A$5:$A$22,0)),1-INDEX(Matches!$AP$5:$AP$22,MATCH($C149,Matches!$A$5:$A$22,0)))),""))</f>
        <v/>
      </c>
      <c r="AV149" s="18">
        <f>IF(OR($AU149="",$AT149=""),1,((Config!$B$14*$AU149+Config!$B$15*(1-$AU149))/(Config!$B$14*$AT149+Config!$B$15*(1-$AT149)))^Config!$B$13)</f>
        <v>1</v>
      </c>
      <c r="AW149" s="11" t="str">
        <f t="array" ref="AW149">IF($AS149="","",IFERROR(IF(INDEX(Matches!$AV$5:$AV$22,MATCH($C149,Matches!$A$5:$A$22,0))="","",IF($AS149="A",INDEX(Matches!$AV$5:$AV$22,MATCH($C149,Matches!$A$5:$A$22,0)),1-INDEX(Matches!$AV$5:$AV$22,MATCH($C149,Matches!$A$5:$A$22,0)))),""))</f>
        <v/>
      </c>
      <c r="AX149" s="18">
        <f>IF(OR($AW149="",$AT149=""),1,((Config!$B$14*$AW149+Config!$B$15*(1-$AW149))/(Config!$B$14*$AT149+Config!$B$15*(1-$AT149)))^Config!$B$13)</f>
        <v>1</v>
      </c>
      <c r="AY149" s="11" t="str">
        <f t="array" ref="AY149">IF($AS149="","",IFERROR(IF(INDEX(Matches!$BB$5:$BB$22,MATCH($C149,Matches!$A$5:$A$22,0))="","",IF($AS149="A",INDEX(Matches!$BB$5:$BB$22,MATCH($C149,Matches!$A$5:$A$22,0)),1-INDEX(Matches!$BB$5:$BB$22,MATCH($C149,Matches!$A$5:$A$22,0)))),""))</f>
        <v/>
      </c>
      <c r="AZ149" s="18">
        <f>IF(OR($AY149="",$AT149=""),1,((Config!$B$14*$AY149+Config!$B$15*(1-$AY149))/(Config!$B$14*$AT149+Config!$B$15*(1-$AT149)))^Config!$B$13)</f>
        <v>1</v>
      </c>
      <c r="BA149" s="17">
        <f t="shared" si="9"/>
        <v>12.12619665</v>
      </c>
      <c r="BB149" s="17">
        <f t="shared" si="10"/>
        <v>12.85621088</v>
      </c>
      <c r="BC149" s="17">
        <f t="shared" si="11"/>
        <v>12.22616965</v>
      </c>
      <c r="BD149" s="17">
        <f t="shared" si="12"/>
        <v>24.98240753</v>
      </c>
      <c r="BE149" s="17">
        <f t="shared" si="13"/>
        <v>30.96834019</v>
      </c>
      <c r="BF149" s="17" t="str">
        <f t="shared" si="14"/>
        <v/>
      </c>
      <c r="BG149" s="17" t="str">
        <f t="shared" si="15"/>
        <v/>
      </c>
      <c r="BH149" s="17" t="str">
        <f t="shared" si="16"/>
        <v/>
      </c>
      <c r="BI149" s="17" t="str">
        <f t="shared" si="17"/>
        <v/>
      </c>
      <c r="BJ149" s="17" t="str">
        <f t="shared" si="18"/>
        <v/>
      </c>
      <c r="BK149" s="18">
        <f t="shared" si="19"/>
        <v>1</v>
      </c>
    </row>
    <row r="150" ht="15.75" customHeight="1">
      <c r="A150" s="4" t="s">
        <v>3288</v>
      </c>
      <c r="B150" s="4" t="s">
        <v>1582</v>
      </c>
      <c r="C150" s="4" t="s">
        <v>1825</v>
      </c>
      <c r="D150" s="4" t="s">
        <v>1616</v>
      </c>
      <c r="E150" s="4" t="s">
        <v>1623</v>
      </c>
      <c r="F150" s="4" t="s">
        <v>1622</v>
      </c>
      <c r="G150" s="4" t="str">
        <f t="array" ref="G150">IFERROR(IF(INDEX(Matches!$W$5:$W$22,MATCH($C150,Matches!$A$5:$A$22,0))="","",INDEX(Matches!$W$5:$W$22,MATCH($C150,Matches!$A$5:$A$22,0))),"")</f>
        <v>Split</v>
      </c>
      <c r="H150" s="4" t="str">
        <f t="array" ref="H150">IFERROR(IF(INDEX(Matches!$X$5:$X$22,MATCH($C150,Matches!$A$5:$A$22,0))="","",INDEX(Matches!$X$5:$X$22,MATCH($C150,Matches!$A$5:$A$22,0))),"")</f>
        <v>Summit</v>
      </c>
      <c r="I150" s="4" t="str">
        <f t="array" ref="I150">IFERROR(IF(INDEX(Matches!$Y$5:$Y$22,MATCH($C150,Matches!$A$5:$A$22,0))="","",INDEX(Matches!$Y$5:$Y$22,MATCH($C150,Matches!$A$5:$A$22,0))),"")</f>
        <v>Haven</v>
      </c>
      <c r="J150" s="4">
        <f t="array" ref="J150">IFERROR(IF(INDEX(Matches!$Z$5:$Z$22,MATCH($C150,Matches!$A$5:$A$22,0))="","",INDEX(Matches!$Z$5:$Z$22,MATCH($C150,Matches!$A$5:$A$22,0))),"")</f>
        <v>21.62</v>
      </c>
      <c r="K150" s="4">
        <f t="array" ref="K150">IFERROR(IF(INDEX(Matches!$AA$5:$AA$22,MATCH($C150,Matches!$A$5:$A$22,0))="","",INDEX(Matches!$AA$5:$AA$22,MATCH($C150,Matches!$A$5:$A$22,0))),"")</f>
        <v>21.62</v>
      </c>
      <c r="L150" s="4">
        <f t="array" ref="L150">IFERROR(IF(INDEX(Matches!$AB$5:$AB$22,MATCH($C150,Matches!$A$5:$A$22,0))="","",INDEX(Matches!$AB$5:$AB$22,MATCH($C150,Matches!$A$5:$A$22,0))),"")</f>
        <v>22.5</v>
      </c>
      <c r="M150" s="11">
        <f t="array" ref="M150">IFERROR(IF(INDEX(Matches!$AC$5:$AC$22,MATCH($C150,Matches!$A$5:$A$22,0))="","",INDEX(Matches!$AC$5:$AC$22,MATCH($C150,Matches!$A$5:$A$22,0))),"")</f>
        <v>0.4896</v>
      </c>
      <c r="N150" s="4">
        <f t="array" ref="N150">IFERROR(INDEX(Players!$F$2:$F$127,MATCH($F150,Players!$A$2:$A$127,0)),0)</f>
        <v>39</v>
      </c>
      <c r="O150" s="18">
        <f t="array" ref="O150">IFERROR(1/(1/INDEX(Players!$H$2:$H$127,MATCH($F150,Players!$A$2:$A$127,0))),"")</f>
        <v>0.74</v>
      </c>
      <c r="P150" s="11" t="str">
        <f t="array" ref="P150">IFERROR(1/(1/INDEX(Players!$I$2:$I$127,MATCH($F150,Players!$A$2:$A$127,0))),"")</f>
        <v/>
      </c>
      <c r="Q150" s="4">
        <f>IF($G150="",0,SUMIFS(Map_Stats!$F$2:$F$825,Map_Stats!$A$2:$A$825,$F150&amp;"|"&amp;$G150))</f>
        <v>3</v>
      </c>
      <c r="R150" s="18">
        <f t="array" ref="R150">IF($G150="","",IFERROR(1/(1/INDEX(Map_Stats!$K$2:$K$825,MATCH($F150&amp;"|"&amp;$G150,Map_Stats!$A$2:$A$825,0))),$O150))</f>
        <v>1.133375877</v>
      </c>
      <c r="S150" s="11" t="str">
        <f t="array" ref="S150">IF(OR($G150="",$P150=""),"",IFERROR(1/(1/INDEX(Map_Stats!$I$2:$I$825,MATCH($F150&amp;"|"&amp;$G150,Map_Stats!$A$2:$A$825,0))),$P150))</f>
        <v/>
      </c>
      <c r="T150" s="18">
        <f>IF(OR($G150="",R150=""),"",IF($O150="",R150,(Q150*R150+Config!$B$4*$O150)/(Q150+Config!$B$4)))</f>
        <v>0.8875159541</v>
      </c>
      <c r="U150" s="11" t="str">
        <f>IF(S150="","",(Q150*S150+Config!$B$4*$P150)/(Q150+Config!$B$4))</f>
        <v/>
      </c>
      <c r="V150" s="17">
        <f>IF(OR(T150="",$J150=""),"",T150*$J150*($J150/Config!$B$11)^Config!$B$9)</f>
        <v>19.18809493</v>
      </c>
      <c r="W150" s="17" t="str">
        <f t="shared" si="1"/>
        <v/>
      </c>
      <c r="X150" s="4">
        <f>IF($H150="",0,SUMIFS(Map_Stats!$F$2:$F$825,Map_Stats!$A$2:$A$825,$F150&amp;"|"&amp;$H150))</f>
        <v>9</v>
      </c>
      <c r="Y150" s="18">
        <f t="array" ref="Y150">IF($H150="","",IFERROR(1/(1/INDEX(Map_Stats!$K$2:$K$825,MATCH($F150&amp;"|"&amp;$H150,Map_Stats!$A$2:$A$825,0))),$O150))</f>
        <v>0.7555839183</v>
      </c>
      <c r="Z150" s="11" t="str">
        <f t="array" ref="Z150">IF(OR($H150="",$P150=""),"",IFERROR(1/(1/INDEX(Map_Stats!$I$2:$I$825,MATCH($F150&amp;"|"&amp;$H150,Map_Stats!$A$2:$A$825,0))),$P150))</f>
        <v/>
      </c>
      <c r="AA150" s="18">
        <f>IF(OR($H150="",Y150=""),"",IF($O150="",Y150,(X150*Y150+Config!$B$4*$O150)/(X150+Config!$B$4)))</f>
        <v>0.7500182332</v>
      </c>
      <c r="AB150" s="11" t="str">
        <f>IF(Z150="","",(X150*Z150+Config!$B$4*$P150)/(X150+Config!$B$4))</f>
        <v/>
      </c>
      <c r="AC150" s="17">
        <f>IF(OR(AA150="",$K150=""),"",AA150*$K150*($K150/Config!$B$11)^Config!$B$9)</f>
        <v>16.2153942</v>
      </c>
      <c r="AD150" s="17" t="str">
        <f t="shared" si="2"/>
        <v/>
      </c>
      <c r="AE150" s="4">
        <f>IF($I150="",0,SUMIFS(Map_Stats!$F$2:$F$825,Map_Stats!$A$2:$A$825,$F150&amp;"|"&amp;$I150))</f>
        <v>6</v>
      </c>
      <c r="AF150" s="18">
        <f t="array" ref="AF150">IF($I150="","",IFERROR(1/(1/INDEX(Map_Stats!$K$2:$K$825,MATCH($F150&amp;"|"&amp;$I150,Map_Stats!$A$2:$A$825,0))),$O150))</f>
        <v>0.6705807275</v>
      </c>
      <c r="AG150" s="11" t="str">
        <f t="array" ref="AG150">IF(OR($I150="",$P150=""),"",IFERROR(1/(1/INDEX(Map_Stats!$I$2:$I$825,MATCH($F150&amp;"|"&amp;$I150,Map_Stats!$A$2:$A$825,0))),$P150))</f>
        <v/>
      </c>
      <c r="AH150" s="18">
        <f>IF(OR($I150="",AF150=""),"",IF($O150="",AF150,(AE150*AF150+Config!$B$4*$O150)/(AE150+Config!$B$4)))</f>
        <v>0.7021349423</v>
      </c>
      <c r="AI150" s="11" t="str">
        <f>IF(AG150="","",(AE150*AG150+Config!$B$4*$P150)/(AE150+Config!$B$4))</f>
        <v/>
      </c>
      <c r="AJ150" s="17">
        <f>IF(OR(AH150="",$L150=""),"",AH150*$L150*($L150/Config!$B$11)^Config!$B$9)</f>
        <v>15.7980362</v>
      </c>
      <c r="AK150" s="17" t="str">
        <f t="shared" si="3"/>
        <v/>
      </c>
      <c r="AL150" s="17">
        <f t="shared" si="4"/>
        <v>35.40348913</v>
      </c>
      <c r="AM150" s="17">
        <f t="shared" si="5"/>
        <v>43.13820765</v>
      </c>
      <c r="AN150" s="17" t="str">
        <f t="shared" si="6"/>
        <v/>
      </c>
      <c r="AO150" s="17" t="str">
        <f t="shared" si="7"/>
        <v/>
      </c>
      <c r="AP150" s="11">
        <f t="shared" si="8"/>
        <v>0</v>
      </c>
      <c r="AQ150" s="4" t="str">
        <f>TRIM(IF($N150&lt;Config!$B$12,"thin sample ("&amp;$N150&amp;" maps) · ","")&amp;IF(AND($G150&lt;&gt;"",Q150=0),"M1 unplayed→overall KPR · ","")&amp;IF(AND($H150&lt;&gt;"",X150=0),"M2 unplayed→overall KPR · ","")&amp;IF($O150="","no PickFinder stats",""))</f>
        <v/>
      </c>
      <c r="AR150" s="4" t="str">
        <f>IF($C150=Board!$B$2,COUNTIFS($C$2:$C$157,Board!$B$2,$AL$2:$AL$157,"&gt;"&amp;$AL150)+COUNTIFS($C$1:$C149,Board!$B$2,$AL$1:$AL149,$AL150)+1,"")</f>
        <v/>
      </c>
      <c r="AS150" s="4" t="str">
        <f t="array" ref="AS150">IFERROR(IF($D150=INDEX(Matches!$AD$5:$AD$22,MATCH($C150,Matches!$A$5:$A$22,0)),"A",IF($D150=INDEX(Matches!$AE$5:$AE$22,MATCH($C150,Matches!$A$5:$A$22,0)),"B","")),"")</f>
        <v>B</v>
      </c>
      <c r="AT150" s="11" t="str">
        <f t="array" ref="AT150">IF($AS150="","",IFERROR(IF($AS150="A",INDEX(Matches!$AI$5:$AI$22,MATCH($C150,Matches!$A$5:$A$22,0)),INDEX(Matches!$AJ$5:$AJ$22,MATCH($C150,Matches!$A$5:$A$22,0))),""))</f>
        <v/>
      </c>
      <c r="AU150" s="11" t="str">
        <f t="array" ref="AU150">IF($AS150="","",IFERROR(IF(INDEX(Matches!$AP$5:$AP$22,MATCH($C150,Matches!$A$5:$A$22,0))="","",IF($AS150="A",INDEX(Matches!$AP$5:$AP$22,MATCH($C150,Matches!$A$5:$A$22,0)),1-INDEX(Matches!$AP$5:$AP$22,MATCH($C150,Matches!$A$5:$A$22,0)))),""))</f>
        <v/>
      </c>
      <c r="AV150" s="18">
        <f>IF(OR($AU150="",$AT150=""),1,((Config!$B$14*$AU150+Config!$B$15*(1-$AU150))/(Config!$B$14*$AT150+Config!$B$15*(1-$AT150)))^Config!$B$13)</f>
        <v>1</v>
      </c>
      <c r="AW150" s="11" t="str">
        <f t="array" ref="AW150">IF($AS150="","",IFERROR(IF(INDEX(Matches!$AV$5:$AV$22,MATCH($C150,Matches!$A$5:$A$22,0))="","",IF($AS150="A",INDEX(Matches!$AV$5:$AV$22,MATCH($C150,Matches!$A$5:$A$22,0)),1-INDEX(Matches!$AV$5:$AV$22,MATCH($C150,Matches!$A$5:$A$22,0)))),""))</f>
        <v/>
      </c>
      <c r="AX150" s="18">
        <f>IF(OR($AW150="",$AT150=""),1,((Config!$B$14*$AW150+Config!$B$15*(1-$AW150))/(Config!$B$14*$AT150+Config!$B$15*(1-$AT150)))^Config!$B$13)</f>
        <v>1</v>
      </c>
      <c r="AY150" s="11" t="str">
        <f t="array" ref="AY150">IF($AS150="","",IFERROR(IF(INDEX(Matches!$BB$5:$BB$22,MATCH($C150,Matches!$A$5:$A$22,0))="","",IF($AS150="A",INDEX(Matches!$BB$5:$BB$22,MATCH($C150,Matches!$A$5:$A$22,0)),1-INDEX(Matches!$BB$5:$BB$22,MATCH($C150,Matches!$A$5:$A$22,0)))),""))</f>
        <v/>
      </c>
      <c r="AZ150" s="18">
        <f>IF(OR($AY150="",$AT150=""),1,((Config!$B$14*$AY150+Config!$B$15*(1-$AY150))/(Config!$B$14*$AT150+Config!$B$15*(1-$AT150)))^Config!$B$13)</f>
        <v>1</v>
      </c>
      <c r="BA150" s="17">
        <f t="shared" si="9"/>
        <v>19.18809493</v>
      </c>
      <c r="BB150" s="17">
        <f t="shared" si="10"/>
        <v>16.2153942</v>
      </c>
      <c r="BC150" s="17">
        <f t="shared" si="11"/>
        <v>15.7980362</v>
      </c>
      <c r="BD150" s="17">
        <f t="shared" si="12"/>
        <v>35.40348913</v>
      </c>
      <c r="BE150" s="17">
        <f t="shared" si="13"/>
        <v>43.13820765</v>
      </c>
      <c r="BF150" s="17" t="str">
        <f t="shared" si="14"/>
        <v/>
      </c>
      <c r="BG150" s="17" t="str">
        <f t="shared" si="15"/>
        <v/>
      </c>
      <c r="BH150" s="17" t="str">
        <f t="shared" si="16"/>
        <v/>
      </c>
      <c r="BI150" s="17" t="str">
        <f t="shared" si="17"/>
        <v/>
      </c>
      <c r="BJ150" s="17" t="str">
        <f t="shared" si="18"/>
        <v/>
      </c>
      <c r="BK150" s="18">
        <f t="shared" si="19"/>
        <v>1</v>
      </c>
    </row>
    <row r="151" ht="15.75" customHeight="1">
      <c r="A151" s="4" t="s">
        <v>3289</v>
      </c>
      <c r="B151" s="4" t="s">
        <v>1582</v>
      </c>
      <c r="C151" s="4" t="s">
        <v>1825</v>
      </c>
      <c r="D151" s="4" t="s">
        <v>1616</v>
      </c>
      <c r="E151" s="4" t="s">
        <v>1626</v>
      </c>
      <c r="F151" s="4" t="s">
        <v>1625</v>
      </c>
      <c r="G151" s="4" t="str">
        <f t="array" ref="G151">IFERROR(IF(INDEX(Matches!$W$5:$W$22,MATCH($C151,Matches!$A$5:$A$22,0))="","",INDEX(Matches!$W$5:$W$22,MATCH($C151,Matches!$A$5:$A$22,0))),"")</f>
        <v>Split</v>
      </c>
      <c r="H151" s="4" t="str">
        <f t="array" ref="H151">IFERROR(IF(INDEX(Matches!$X$5:$X$22,MATCH($C151,Matches!$A$5:$A$22,0))="","",INDEX(Matches!$X$5:$X$22,MATCH($C151,Matches!$A$5:$A$22,0))),"")</f>
        <v>Summit</v>
      </c>
      <c r="I151" s="4" t="str">
        <f t="array" ref="I151">IFERROR(IF(INDEX(Matches!$Y$5:$Y$22,MATCH($C151,Matches!$A$5:$A$22,0))="","",INDEX(Matches!$Y$5:$Y$22,MATCH($C151,Matches!$A$5:$A$22,0))),"")</f>
        <v>Haven</v>
      </c>
      <c r="J151" s="4">
        <f t="array" ref="J151">IFERROR(IF(INDEX(Matches!$Z$5:$Z$22,MATCH($C151,Matches!$A$5:$A$22,0))="","",INDEX(Matches!$Z$5:$Z$22,MATCH($C151,Matches!$A$5:$A$22,0))),"")</f>
        <v>21.62</v>
      </c>
      <c r="K151" s="4">
        <f t="array" ref="K151">IFERROR(IF(INDEX(Matches!$AA$5:$AA$22,MATCH($C151,Matches!$A$5:$A$22,0))="","",INDEX(Matches!$AA$5:$AA$22,MATCH($C151,Matches!$A$5:$A$22,0))),"")</f>
        <v>21.62</v>
      </c>
      <c r="L151" s="4">
        <f t="array" ref="L151">IFERROR(IF(INDEX(Matches!$AB$5:$AB$22,MATCH($C151,Matches!$A$5:$A$22,0))="","",INDEX(Matches!$AB$5:$AB$22,MATCH($C151,Matches!$A$5:$A$22,0))),"")</f>
        <v>22.5</v>
      </c>
      <c r="M151" s="11">
        <f t="array" ref="M151">IFERROR(IF(INDEX(Matches!$AC$5:$AC$22,MATCH($C151,Matches!$A$5:$A$22,0))="","",INDEX(Matches!$AC$5:$AC$22,MATCH($C151,Matches!$A$5:$A$22,0))),"")</f>
        <v>0.4896</v>
      </c>
      <c r="N151" s="4">
        <f t="array" ref="N151">IFERROR(INDEX(Players!$F$2:$F$127,MATCH($F151,Players!$A$2:$A$127,0)),0)</f>
        <v>39</v>
      </c>
      <c r="O151" s="18">
        <f t="array" ref="O151">IFERROR(1/(1/INDEX(Players!$H$2:$H$127,MATCH($F151,Players!$A$2:$A$127,0))),"")</f>
        <v>0.89</v>
      </c>
      <c r="P151" s="11" t="str">
        <f t="array" ref="P151">IFERROR(1/(1/INDEX(Players!$I$2:$I$127,MATCH($F151,Players!$A$2:$A$127,0))),"")</f>
        <v/>
      </c>
      <c r="Q151" s="4">
        <f>IF($G151="",0,SUMIFS(Map_Stats!$F$2:$F$825,Map_Stats!$A$2:$A$825,$F151&amp;"|"&amp;$G151))</f>
        <v>3</v>
      </c>
      <c r="R151" s="18">
        <f t="array" ref="R151">IF($G151="","",IFERROR(1/(1/INDEX(Map_Stats!$K$2:$K$825,MATCH($F151&amp;"|"&amp;$G151,Map_Stats!$A$2:$A$825,0))),$O151))</f>
        <v>0.9242488139</v>
      </c>
      <c r="S151" s="11" t="str">
        <f t="array" ref="S151">IF(OR($G151="",$P151=""),"",IFERROR(1/(1/INDEX(Map_Stats!$I$2:$I$825,MATCH($F151&amp;"|"&amp;$G151,Map_Stats!$A$2:$A$825,0))),$P151))</f>
        <v/>
      </c>
      <c r="T151" s="18">
        <f>IF(OR($G151="",R151=""),"",IF($O151="",R151,(Q151*R151+Config!$B$4*$O151)/(Q151+Config!$B$4)))</f>
        <v>0.9028433052</v>
      </c>
      <c r="U151" s="11" t="str">
        <f>IF(S151="","",(Q151*S151+Config!$B$4*$P151)/(Q151+Config!$B$4))</f>
        <v/>
      </c>
      <c r="V151" s="17">
        <f>IF(OR(T151="",$J151=""),"",T151*$J151*($J151/Config!$B$11)^Config!$B$9)</f>
        <v>19.51947226</v>
      </c>
      <c r="W151" s="17" t="str">
        <f t="shared" si="1"/>
        <v/>
      </c>
      <c r="X151" s="4">
        <f>IF($H151="",0,SUMIFS(Map_Stats!$F$2:$F$825,Map_Stats!$A$2:$A$825,$F151&amp;"|"&amp;$H151))</f>
        <v>9</v>
      </c>
      <c r="Y151" s="18">
        <f t="array" ref="Y151">IF($H151="","",IFERROR(1/(1/INDEX(Map_Stats!$K$2:$K$825,MATCH($F151&amp;"|"&amp;$H151,Map_Stats!$A$2:$A$825,0))),$O151))</f>
        <v>0.9289404323</v>
      </c>
      <c r="Z151" s="11" t="str">
        <f t="array" ref="Z151">IF(OR($H151="",$P151=""),"",IFERROR(1/(1/INDEX(Map_Stats!$I$2:$I$825,MATCH($F151&amp;"|"&amp;$H151,Map_Stats!$A$2:$A$825,0))),$P151))</f>
        <v/>
      </c>
      <c r="AA151" s="18">
        <f>IF(OR($H151="",Y151=""),"",IF($O151="",Y151,(X151*Y151+Config!$B$4*$O151)/(X151+Config!$B$4)))</f>
        <v>0.915033135</v>
      </c>
      <c r="AB151" s="11" t="str">
        <f>IF(Z151="","",(X151*Z151+Config!$B$4*$P151)/(X151+Config!$B$4))</f>
        <v/>
      </c>
      <c r="AC151" s="17">
        <f>IF(OR(AA151="",$K151=""),"",AA151*$K151*($K151/Config!$B$11)^Config!$B$9)</f>
        <v>19.78301638</v>
      </c>
      <c r="AD151" s="17" t="str">
        <f t="shared" si="2"/>
        <v/>
      </c>
      <c r="AE151" s="4">
        <f>IF($I151="",0,SUMIFS(Map_Stats!$F$2:$F$825,Map_Stats!$A$2:$A$825,$F151&amp;"|"&amp;$I151))</f>
        <v>6</v>
      </c>
      <c r="AF151" s="18">
        <f t="array" ref="AF151">IF($I151="","",IFERROR(1/(1/INDEX(Map_Stats!$K$2:$K$825,MATCH($F151&amp;"|"&amp;$I151,Map_Stats!$A$2:$A$825,0))),$O151))</f>
        <v>0.8210332103</v>
      </c>
      <c r="AG151" s="11" t="str">
        <f t="array" ref="AG151">IF(OR($I151="",$P151=""),"",IFERROR(1/(1/INDEX(Map_Stats!$I$2:$I$825,MATCH($F151&amp;"|"&amp;$I151,Map_Stats!$A$2:$A$825,0))),$P151))</f>
        <v/>
      </c>
      <c r="AH151" s="18">
        <f>IF(OR($I151="",AF151=""),"",IF($O151="",AF151,(AE151*AF151+Config!$B$4*$O151)/(AE151+Config!$B$4)))</f>
        <v>0.8523817511</v>
      </c>
      <c r="AI151" s="11" t="str">
        <f>IF(AG151="","",(AE151*AG151+Config!$B$4*$P151)/(AE151+Config!$B$4))</f>
        <v/>
      </c>
      <c r="AJ151" s="17">
        <f>IF(OR(AH151="",$L151=""),"",AH151*$L151*($L151/Config!$B$11)^Config!$B$9)</f>
        <v>19.1785894</v>
      </c>
      <c r="AK151" s="17" t="str">
        <f t="shared" si="3"/>
        <v/>
      </c>
      <c r="AL151" s="17">
        <f t="shared" si="4"/>
        <v>39.30248864</v>
      </c>
      <c r="AM151" s="17">
        <f t="shared" si="5"/>
        <v>48.69232601</v>
      </c>
      <c r="AN151" s="17" t="str">
        <f t="shared" si="6"/>
        <v/>
      </c>
      <c r="AO151" s="17" t="str">
        <f t="shared" si="7"/>
        <v/>
      </c>
      <c r="AP151" s="11">
        <f t="shared" si="8"/>
        <v>0</v>
      </c>
      <c r="AQ151" s="4" t="str">
        <f>TRIM(IF($N151&lt;Config!$B$12,"thin sample ("&amp;$N151&amp;" maps) · ","")&amp;IF(AND($G151&lt;&gt;"",Q151=0),"M1 unplayed→overall KPR · ","")&amp;IF(AND($H151&lt;&gt;"",X151=0),"M2 unplayed→overall KPR · ","")&amp;IF($O151="","no PickFinder stats",""))</f>
        <v/>
      </c>
      <c r="AR151" s="4" t="str">
        <f>IF($C151=Board!$B$2,COUNTIFS($C$2:$C$157,Board!$B$2,$AL$2:$AL$157,"&gt;"&amp;$AL151)+COUNTIFS($C$1:$C150,Board!$B$2,$AL$1:$AL150,$AL151)+1,"")</f>
        <v/>
      </c>
      <c r="AS151" s="4" t="str">
        <f t="array" ref="AS151">IFERROR(IF($D151=INDEX(Matches!$AD$5:$AD$22,MATCH($C151,Matches!$A$5:$A$22,0)),"A",IF($D151=INDEX(Matches!$AE$5:$AE$22,MATCH($C151,Matches!$A$5:$A$22,0)),"B","")),"")</f>
        <v>B</v>
      </c>
      <c r="AT151" s="11" t="str">
        <f t="array" ref="AT151">IF($AS151="","",IFERROR(IF($AS151="A",INDEX(Matches!$AI$5:$AI$22,MATCH($C151,Matches!$A$5:$A$22,0)),INDEX(Matches!$AJ$5:$AJ$22,MATCH($C151,Matches!$A$5:$A$22,0))),""))</f>
        <v/>
      </c>
      <c r="AU151" s="11" t="str">
        <f t="array" ref="AU151">IF($AS151="","",IFERROR(IF(INDEX(Matches!$AP$5:$AP$22,MATCH($C151,Matches!$A$5:$A$22,0))="","",IF($AS151="A",INDEX(Matches!$AP$5:$AP$22,MATCH($C151,Matches!$A$5:$A$22,0)),1-INDEX(Matches!$AP$5:$AP$22,MATCH($C151,Matches!$A$5:$A$22,0)))),""))</f>
        <v/>
      </c>
      <c r="AV151" s="18">
        <f>IF(OR($AU151="",$AT151=""),1,((Config!$B$14*$AU151+Config!$B$15*(1-$AU151))/(Config!$B$14*$AT151+Config!$B$15*(1-$AT151)))^Config!$B$13)</f>
        <v>1</v>
      </c>
      <c r="AW151" s="11" t="str">
        <f t="array" ref="AW151">IF($AS151="","",IFERROR(IF(INDEX(Matches!$AV$5:$AV$22,MATCH($C151,Matches!$A$5:$A$22,0))="","",IF($AS151="A",INDEX(Matches!$AV$5:$AV$22,MATCH($C151,Matches!$A$5:$A$22,0)),1-INDEX(Matches!$AV$5:$AV$22,MATCH($C151,Matches!$A$5:$A$22,0)))),""))</f>
        <v/>
      </c>
      <c r="AX151" s="18">
        <f>IF(OR($AW151="",$AT151=""),1,((Config!$B$14*$AW151+Config!$B$15*(1-$AW151))/(Config!$B$14*$AT151+Config!$B$15*(1-$AT151)))^Config!$B$13)</f>
        <v>1</v>
      </c>
      <c r="AY151" s="11" t="str">
        <f t="array" ref="AY151">IF($AS151="","",IFERROR(IF(INDEX(Matches!$BB$5:$BB$22,MATCH($C151,Matches!$A$5:$A$22,0))="","",IF($AS151="A",INDEX(Matches!$BB$5:$BB$22,MATCH($C151,Matches!$A$5:$A$22,0)),1-INDEX(Matches!$BB$5:$BB$22,MATCH($C151,Matches!$A$5:$A$22,0)))),""))</f>
        <v/>
      </c>
      <c r="AZ151" s="18">
        <f>IF(OR($AY151="",$AT151=""),1,((Config!$B$14*$AY151+Config!$B$15*(1-$AY151))/(Config!$B$14*$AT151+Config!$B$15*(1-$AT151)))^Config!$B$13)</f>
        <v>1</v>
      </c>
      <c r="BA151" s="17">
        <f t="shared" si="9"/>
        <v>19.51947226</v>
      </c>
      <c r="BB151" s="17">
        <f t="shared" si="10"/>
        <v>19.78301638</v>
      </c>
      <c r="BC151" s="17">
        <f t="shared" si="11"/>
        <v>19.1785894</v>
      </c>
      <c r="BD151" s="17">
        <f t="shared" si="12"/>
        <v>39.30248864</v>
      </c>
      <c r="BE151" s="17">
        <f t="shared" si="13"/>
        <v>48.69232601</v>
      </c>
      <c r="BF151" s="17" t="str">
        <f t="shared" si="14"/>
        <v/>
      </c>
      <c r="BG151" s="17" t="str">
        <f t="shared" si="15"/>
        <v/>
      </c>
      <c r="BH151" s="17" t="str">
        <f t="shared" si="16"/>
        <v/>
      </c>
      <c r="BI151" s="17" t="str">
        <f t="shared" si="17"/>
        <v/>
      </c>
      <c r="BJ151" s="17" t="str">
        <f t="shared" si="18"/>
        <v/>
      </c>
      <c r="BK151" s="18">
        <f t="shared" si="19"/>
        <v>1</v>
      </c>
    </row>
    <row r="152" ht="15.75" customHeight="1">
      <c r="A152" s="4" t="s">
        <v>3290</v>
      </c>
      <c r="B152" s="4" t="s">
        <v>1582</v>
      </c>
      <c r="C152" s="4" t="s">
        <v>1825</v>
      </c>
      <c r="D152" s="4" t="s">
        <v>1616</v>
      </c>
      <c r="E152" s="4" t="s">
        <v>1629</v>
      </c>
      <c r="F152" s="4" t="s">
        <v>1628</v>
      </c>
      <c r="G152" s="4" t="str">
        <f t="array" ref="G152">IFERROR(IF(INDEX(Matches!$W$5:$W$22,MATCH($C152,Matches!$A$5:$A$22,0))="","",INDEX(Matches!$W$5:$W$22,MATCH($C152,Matches!$A$5:$A$22,0))),"")</f>
        <v>Split</v>
      </c>
      <c r="H152" s="4" t="str">
        <f t="array" ref="H152">IFERROR(IF(INDEX(Matches!$X$5:$X$22,MATCH($C152,Matches!$A$5:$A$22,0))="","",INDEX(Matches!$X$5:$X$22,MATCH($C152,Matches!$A$5:$A$22,0))),"")</f>
        <v>Summit</v>
      </c>
      <c r="I152" s="4" t="str">
        <f t="array" ref="I152">IFERROR(IF(INDEX(Matches!$Y$5:$Y$22,MATCH($C152,Matches!$A$5:$A$22,0))="","",INDEX(Matches!$Y$5:$Y$22,MATCH($C152,Matches!$A$5:$A$22,0))),"")</f>
        <v>Haven</v>
      </c>
      <c r="J152" s="4">
        <f t="array" ref="J152">IFERROR(IF(INDEX(Matches!$Z$5:$Z$22,MATCH($C152,Matches!$A$5:$A$22,0))="","",INDEX(Matches!$Z$5:$Z$22,MATCH($C152,Matches!$A$5:$A$22,0))),"")</f>
        <v>21.62</v>
      </c>
      <c r="K152" s="4">
        <f t="array" ref="K152">IFERROR(IF(INDEX(Matches!$AA$5:$AA$22,MATCH($C152,Matches!$A$5:$A$22,0))="","",INDEX(Matches!$AA$5:$AA$22,MATCH($C152,Matches!$A$5:$A$22,0))),"")</f>
        <v>21.62</v>
      </c>
      <c r="L152" s="4">
        <f t="array" ref="L152">IFERROR(IF(INDEX(Matches!$AB$5:$AB$22,MATCH($C152,Matches!$A$5:$A$22,0))="","",INDEX(Matches!$AB$5:$AB$22,MATCH($C152,Matches!$A$5:$A$22,0))),"")</f>
        <v>22.5</v>
      </c>
      <c r="M152" s="11">
        <f t="array" ref="M152">IFERROR(IF(INDEX(Matches!$AC$5:$AC$22,MATCH($C152,Matches!$A$5:$A$22,0))="","",INDEX(Matches!$AC$5:$AC$22,MATCH($C152,Matches!$A$5:$A$22,0))),"")</f>
        <v>0.4896</v>
      </c>
      <c r="N152" s="4">
        <f t="array" ref="N152">IFERROR(INDEX(Players!$F$2:$F$127,MATCH($F152,Players!$A$2:$A$127,0)),0)</f>
        <v>39</v>
      </c>
      <c r="O152" s="18">
        <f t="array" ref="O152">IFERROR(1/(1/INDEX(Players!$H$2:$H$127,MATCH($F152,Players!$A$2:$A$127,0))),"")</f>
        <v>0.76</v>
      </c>
      <c r="P152" s="11" t="str">
        <f t="array" ref="P152">IFERROR(1/(1/INDEX(Players!$I$2:$I$127,MATCH($F152,Players!$A$2:$A$127,0))),"")</f>
        <v/>
      </c>
      <c r="Q152" s="4">
        <f>IF($G152="",0,SUMIFS(Map_Stats!$F$2:$F$825,Map_Stats!$A$2:$A$825,$F152&amp;"|"&amp;$G152))</f>
        <v>3</v>
      </c>
      <c r="R152" s="18">
        <f t="array" ref="R152">IF($G152="","",IFERROR(1/(1/INDEX(Map_Stats!$K$2:$K$825,MATCH($F152&amp;"|"&amp;$G152,Map_Stats!$A$2:$A$825,0))),$O152))</f>
        <v>0.534079602</v>
      </c>
      <c r="S152" s="11" t="str">
        <f t="array" ref="S152">IF(OR($G152="",$P152=""),"",IFERROR(1/(1/INDEX(Map_Stats!$I$2:$I$825,MATCH($F152&amp;"|"&amp;$G152,Map_Stats!$A$2:$A$825,0))),$P152))</f>
        <v/>
      </c>
      <c r="T152" s="18">
        <f>IF(OR($G152="",R152=""),"",IF($O152="",R152,(Q152*R152+Config!$B$4*$O152)/(Q152+Config!$B$4)))</f>
        <v>0.6752798507</v>
      </c>
      <c r="U152" s="11" t="str">
        <f>IF(S152="","",(Q152*S152+Config!$B$4*$P152)/(Q152+Config!$B$4))</f>
        <v/>
      </c>
      <c r="V152" s="17">
        <f>IF(OR(T152="",$J152=""),"",T152*$J152*($J152/Config!$B$11)^Config!$B$9)</f>
        <v>14.59955037</v>
      </c>
      <c r="W152" s="17" t="str">
        <f t="shared" si="1"/>
        <v/>
      </c>
      <c r="X152" s="4">
        <f>IF($H152="",0,SUMIFS(Map_Stats!$F$2:$F$825,Map_Stats!$A$2:$A$825,$F152&amp;"|"&amp;$H152))</f>
        <v>9</v>
      </c>
      <c r="Y152" s="18">
        <f t="array" ref="Y152">IF($H152="","",IFERROR(1/(1/INDEX(Map_Stats!$K$2:$K$825,MATCH($F152&amp;"|"&amp;$H152,Map_Stats!$A$2:$A$825,0))),$O152))</f>
        <v>0.7845771144</v>
      </c>
      <c r="Z152" s="11" t="str">
        <f t="array" ref="Z152">IF(OR($H152="",$P152=""),"",IFERROR(1/(1/INDEX(Map_Stats!$I$2:$I$825,MATCH($F152&amp;"|"&amp;$H152,Map_Stats!$A$2:$A$825,0))),$P152))</f>
        <v/>
      </c>
      <c r="AA152" s="18">
        <f>IF(OR($H152="",Y152=""),"",IF($O152="",Y152,(X152*Y152+Config!$B$4*$O152)/(X152+Config!$B$4)))</f>
        <v>0.7757995736</v>
      </c>
      <c r="AB152" s="11" t="str">
        <f>IF(Z152="","",(X152*Z152+Config!$B$4*$P152)/(X152+Config!$B$4))</f>
        <v/>
      </c>
      <c r="AC152" s="17">
        <f>IF(OR(AA152="",$K152=""),"",AA152*$K152*($K152/Config!$B$11)^Config!$B$9)</f>
        <v>16.77278678</v>
      </c>
      <c r="AD152" s="17" t="str">
        <f t="shared" si="2"/>
        <v/>
      </c>
      <c r="AE152" s="4">
        <f>IF($I152="",0,SUMIFS(Map_Stats!$F$2:$F$825,Map_Stats!$A$2:$A$825,$F152&amp;"|"&amp;$I152))</f>
        <v>6</v>
      </c>
      <c r="AF152" s="18">
        <f t="array" ref="AF152">IF($I152="","",IFERROR(1/(1/INDEX(Map_Stats!$K$2:$K$825,MATCH($F152&amp;"|"&amp;$I152,Map_Stats!$A$2:$A$825,0))),$O152))</f>
        <v>0.742039801</v>
      </c>
      <c r="AG152" s="11" t="str">
        <f t="array" ref="AG152">IF(OR($I152="",$P152=""),"",IFERROR(1/(1/INDEX(Map_Stats!$I$2:$I$825,MATCH($F152&amp;"|"&amp;$I152,Map_Stats!$A$2:$A$825,0))),$P152))</f>
        <v/>
      </c>
      <c r="AH152" s="18">
        <f>IF(OR($I152="",AF152=""),"",IF($O152="",AF152,(AE152*AF152+Config!$B$4*$O152)/(AE152+Config!$B$4)))</f>
        <v>0.7502035278</v>
      </c>
      <c r="AI152" s="11" t="str">
        <f>IF(AG152="","",(AE152*AG152+Config!$B$4*$P152)/(AE152+Config!$B$4))</f>
        <v/>
      </c>
      <c r="AJ152" s="17">
        <f>IF(OR(AH152="",$L152=""),"",AH152*$L152*($L152/Config!$B$11)^Config!$B$9)</f>
        <v>16.87957938</v>
      </c>
      <c r="AK152" s="17" t="str">
        <f t="shared" si="3"/>
        <v/>
      </c>
      <c r="AL152" s="17">
        <f t="shared" si="4"/>
        <v>31.37233715</v>
      </c>
      <c r="AM152" s="17">
        <f t="shared" si="5"/>
        <v>39.63657922</v>
      </c>
      <c r="AN152" s="17" t="str">
        <f t="shared" si="6"/>
        <v/>
      </c>
      <c r="AO152" s="17" t="str">
        <f t="shared" si="7"/>
        <v/>
      </c>
      <c r="AP152" s="11">
        <f t="shared" si="8"/>
        <v>0</v>
      </c>
      <c r="AQ152" s="4" t="str">
        <f>TRIM(IF($N152&lt;Config!$B$12,"thin sample ("&amp;$N152&amp;" maps) · ","")&amp;IF(AND($G152&lt;&gt;"",Q152=0),"M1 unplayed→overall KPR · ","")&amp;IF(AND($H152&lt;&gt;"",X152=0),"M2 unplayed→overall KPR · ","")&amp;IF($O152="","no PickFinder stats",""))</f>
        <v/>
      </c>
      <c r="AR152" s="4" t="str">
        <f>IF($C152=Board!$B$2,COUNTIFS($C$2:$C$157,Board!$B$2,$AL$2:$AL$157,"&gt;"&amp;$AL152)+COUNTIFS($C$1:$C151,Board!$B$2,$AL$1:$AL151,$AL152)+1,"")</f>
        <v/>
      </c>
      <c r="AS152" s="4" t="str">
        <f t="array" ref="AS152">IFERROR(IF($D152=INDEX(Matches!$AD$5:$AD$22,MATCH($C152,Matches!$A$5:$A$22,0)),"A",IF($D152=INDEX(Matches!$AE$5:$AE$22,MATCH($C152,Matches!$A$5:$A$22,0)),"B","")),"")</f>
        <v>B</v>
      </c>
      <c r="AT152" s="11" t="str">
        <f t="array" ref="AT152">IF($AS152="","",IFERROR(IF($AS152="A",INDEX(Matches!$AI$5:$AI$22,MATCH($C152,Matches!$A$5:$A$22,0)),INDEX(Matches!$AJ$5:$AJ$22,MATCH($C152,Matches!$A$5:$A$22,0))),""))</f>
        <v/>
      </c>
      <c r="AU152" s="11" t="str">
        <f t="array" ref="AU152">IF($AS152="","",IFERROR(IF(INDEX(Matches!$AP$5:$AP$22,MATCH($C152,Matches!$A$5:$A$22,0))="","",IF($AS152="A",INDEX(Matches!$AP$5:$AP$22,MATCH($C152,Matches!$A$5:$A$22,0)),1-INDEX(Matches!$AP$5:$AP$22,MATCH($C152,Matches!$A$5:$A$22,0)))),""))</f>
        <v/>
      </c>
      <c r="AV152" s="18">
        <f>IF(OR($AU152="",$AT152=""),1,((Config!$B$14*$AU152+Config!$B$15*(1-$AU152))/(Config!$B$14*$AT152+Config!$B$15*(1-$AT152)))^Config!$B$13)</f>
        <v>1</v>
      </c>
      <c r="AW152" s="11" t="str">
        <f t="array" ref="AW152">IF($AS152="","",IFERROR(IF(INDEX(Matches!$AV$5:$AV$22,MATCH($C152,Matches!$A$5:$A$22,0))="","",IF($AS152="A",INDEX(Matches!$AV$5:$AV$22,MATCH($C152,Matches!$A$5:$A$22,0)),1-INDEX(Matches!$AV$5:$AV$22,MATCH($C152,Matches!$A$5:$A$22,0)))),""))</f>
        <v/>
      </c>
      <c r="AX152" s="18">
        <f>IF(OR($AW152="",$AT152=""),1,((Config!$B$14*$AW152+Config!$B$15*(1-$AW152))/(Config!$B$14*$AT152+Config!$B$15*(1-$AT152)))^Config!$B$13)</f>
        <v>1</v>
      </c>
      <c r="AY152" s="11" t="str">
        <f t="array" ref="AY152">IF($AS152="","",IFERROR(IF(INDEX(Matches!$BB$5:$BB$22,MATCH($C152,Matches!$A$5:$A$22,0))="","",IF($AS152="A",INDEX(Matches!$BB$5:$BB$22,MATCH($C152,Matches!$A$5:$A$22,0)),1-INDEX(Matches!$BB$5:$BB$22,MATCH($C152,Matches!$A$5:$A$22,0)))),""))</f>
        <v/>
      </c>
      <c r="AZ152" s="18">
        <f>IF(OR($AY152="",$AT152=""),1,((Config!$B$14*$AY152+Config!$B$15*(1-$AY152))/(Config!$B$14*$AT152+Config!$B$15*(1-$AT152)))^Config!$B$13)</f>
        <v>1</v>
      </c>
      <c r="BA152" s="17">
        <f t="shared" si="9"/>
        <v>14.59955037</v>
      </c>
      <c r="BB152" s="17">
        <f t="shared" si="10"/>
        <v>16.77278678</v>
      </c>
      <c r="BC152" s="17">
        <f t="shared" si="11"/>
        <v>16.87957938</v>
      </c>
      <c r="BD152" s="17">
        <f t="shared" si="12"/>
        <v>31.37233715</v>
      </c>
      <c r="BE152" s="17">
        <f t="shared" si="13"/>
        <v>39.63657922</v>
      </c>
      <c r="BF152" s="17" t="str">
        <f t="shared" si="14"/>
        <v/>
      </c>
      <c r="BG152" s="17" t="str">
        <f t="shared" si="15"/>
        <v/>
      </c>
      <c r="BH152" s="17" t="str">
        <f t="shared" si="16"/>
        <v/>
      </c>
      <c r="BI152" s="17" t="str">
        <f t="shared" si="17"/>
        <v/>
      </c>
      <c r="BJ152" s="17" t="str">
        <f t="shared" si="18"/>
        <v/>
      </c>
      <c r="BK152" s="18">
        <f t="shared" si="19"/>
        <v>1</v>
      </c>
    </row>
    <row r="153" ht="15.75" customHeight="1">
      <c r="A153" s="4" t="s">
        <v>3291</v>
      </c>
      <c r="B153" s="4" t="s">
        <v>1582</v>
      </c>
      <c r="C153" s="4" t="s">
        <v>1825</v>
      </c>
      <c r="D153" s="4" t="s">
        <v>1633</v>
      </c>
      <c r="E153" s="4" t="s">
        <v>1632</v>
      </c>
      <c r="F153" s="4" t="s">
        <v>1631</v>
      </c>
      <c r="G153" s="4" t="str">
        <f t="array" ref="G153">IFERROR(IF(INDEX(Matches!$W$5:$W$22,MATCH($C153,Matches!$A$5:$A$22,0))="","",INDEX(Matches!$W$5:$W$22,MATCH($C153,Matches!$A$5:$A$22,0))),"")</f>
        <v>Split</v>
      </c>
      <c r="H153" s="4" t="str">
        <f t="array" ref="H153">IFERROR(IF(INDEX(Matches!$X$5:$X$22,MATCH($C153,Matches!$A$5:$A$22,0))="","",INDEX(Matches!$X$5:$X$22,MATCH($C153,Matches!$A$5:$A$22,0))),"")</f>
        <v>Summit</v>
      </c>
      <c r="I153" s="4" t="str">
        <f t="array" ref="I153">IFERROR(IF(INDEX(Matches!$Y$5:$Y$22,MATCH($C153,Matches!$A$5:$A$22,0))="","",INDEX(Matches!$Y$5:$Y$22,MATCH($C153,Matches!$A$5:$A$22,0))),"")</f>
        <v>Haven</v>
      </c>
      <c r="J153" s="4">
        <f t="array" ref="J153">IFERROR(IF(INDEX(Matches!$Z$5:$Z$22,MATCH($C153,Matches!$A$5:$A$22,0))="","",INDEX(Matches!$Z$5:$Z$22,MATCH($C153,Matches!$A$5:$A$22,0))),"")</f>
        <v>21.62</v>
      </c>
      <c r="K153" s="4">
        <f t="array" ref="K153">IFERROR(IF(INDEX(Matches!$AA$5:$AA$22,MATCH($C153,Matches!$A$5:$A$22,0))="","",INDEX(Matches!$AA$5:$AA$22,MATCH($C153,Matches!$A$5:$A$22,0))),"")</f>
        <v>21.62</v>
      </c>
      <c r="L153" s="4">
        <f t="array" ref="L153">IFERROR(IF(INDEX(Matches!$AB$5:$AB$22,MATCH($C153,Matches!$A$5:$A$22,0))="","",INDEX(Matches!$AB$5:$AB$22,MATCH($C153,Matches!$A$5:$A$22,0))),"")</f>
        <v>22.5</v>
      </c>
      <c r="M153" s="11">
        <f t="array" ref="M153">IFERROR(IF(INDEX(Matches!$AC$5:$AC$22,MATCH($C153,Matches!$A$5:$A$22,0))="","",INDEX(Matches!$AC$5:$AC$22,MATCH($C153,Matches!$A$5:$A$22,0))),"")</f>
        <v>0.4896</v>
      </c>
      <c r="N153" s="4">
        <f t="array" ref="N153">IFERROR(INDEX(Players!$F$2:$F$127,MATCH($F153,Players!$A$2:$A$127,0)),0)</f>
        <v>39</v>
      </c>
      <c r="O153" s="18">
        <f t="array" ref="O153">IFERROR(1/(1/INDEX(Players!$H$2:$H$127,MATCH($F153,Players!$A$2:$A$127,0))),"")</f>
        <v>0.73</v>
      </c>
      <c r="P153" s="11" t="str">
        <f t="array" ref="P153">IFERROR(1/(1/INDEX(Players!$I$2:$I$127,MATCH($F153,Players!$A$2:$A$127,0))),"")</f>
        <v/>
      </c>
      <c r="Q153" s="4">
        <f>IF($G153="",0,SUMIFS(Map_Stats!$F$2:$F$825,Map_Stats!$A$2:$A$825,$F153&amp;"|"&amp;$G153))</f>
        <v>9</v>
      </c>
      <c r="R153" s="18">
        <f t="array" ref="R153">IF($G153="","",IFERROR(1/(1/INDEX(Map_Stats!$K$2:$K$825,MATCH($F153&amp;"|"&amp;$G153,Map_Stats!$A$2:$A$825,0))),$O153))</f>
        <v>0.76357908</v>
      </c>
      <c r="S153" s="11" t="str">
        <f t="array" ref="S153">IF(OR($G153="",$P153=""),"",IFERROR(1/(1/INDEX(Map_Stats!$I$2:$I$825,MATCH($F153&amp;"|"&amp;$G153,Map_Stats!$A$2:$A$825,0))),$P153))</f>
        <v/>
      </c>
      <c r="T153" s="18">
        <f>IF(OR($G153="",R153=""),"",IF($O153="",R153,(Q153*R153+Config!$B$4*$O153)/(Q153+Config!$B$4)))</f>
        <v>0.7515865514</v>
      </c>
      <c r="U153" s="11" t="str">
        <f>IF(S153="","",(Q153*S153+Config!$B$4*$P153)/(Q153+Config!$B$4))</f>
        <v/>
      </c>
      <c r="V153" s="17">
        <f>IF(OR(T153="",$J153=""),"",T153*$J153*($J153/Config!$B$11)^Config!$B$9)</f>
        <v>16.24930124</v>
      </c>
      <c r="W153" s="17" t="str">
        <f t="shared" si="1"/>
        <v/>
      </c>
      <c r="X153" s="4">
        <f>IF($H153="",0,SUMIFS(Map_Stats!$F$2:$F$825,Map_Stats!$A$2:$A$825,$F153&amp;"|"&amp;$H153))</f>
        <v>3</v>
      </c>
      <c r="Y153" s="18">
        <f t="array" ref="Y153">IF($H153="","",IFERROR(1/(1/INDEX(Map_Stats!$K$2:$K$825,MATCH($F153&amp;"|"&amp;$H153,Map_Stats!$A$2:$A$825,0))),$O153))</f>
        <v>1.228166352</v>
      </c>
      <c r="Z153" s="11" t="str">
        <f t="array" ref="Z153">IF(OR($H153="",$P153=""),"",IFERROR(1/(1/INDEX(Map_Stats!$I$2:$I$825,MATCH($F153&amp;"|"&amp;$H153,Map_Stats!$A$2:$A$825,0))),$P153))</f>
        <v/>
      </c>
      <c r="AA153" s="18">
        <f>IF(OR($H153="",Y153=""),"",IF($O153="",Y153,(X153*Y153+Config!$B$4*$O153)/(X153+Config!$B$4)))</f>
        <v>0.9168123819</v>
      </c>
      <c r="AB153" s="11" t="str">
        <f>IF(Z153="","",(X153*Z153+Config!$B$4*$P153)/(X153+Config!$B$4))</f>
        <v/>
      </c>
      <c r="AC153" s="17">
        <f>IF(OR(AA153="",$K153=""),"",AA153*$K153*($K153/Config!$B$11)^Config!$B$9)</f>
        <v>19.8214837</v>
      </c>
      <c r="AD153" s="17" t="str">
        <f t="shared" si="2"/>
        <v/>
      </c>
      <c r="AE153" s="4">
        <f>IF($I153="",0,SUMIFS(Map_Stats!$F$2:$F$825,Map_Stats!$A$2:$A$825,$F153&amp;"|"&amp;$I153))</f>
        <v>6</v>
      </c>
      <c r="AF153" s="18">
        <f t="array" ref="AF153">IF($I153="","",IFERROR(1/(1/INDEX(Map_Stats!$K$2:$K$825,MATCH($F153&amp;"|"&amp;$I153,Map_Stats!$A$2:$A$825,0))),$O153))</f>
        <v>0.7359798362</v>
      </c>
      <c r="AG153" s="11" t="str">
        <f t="array" ref="AG153">IF(OR($I153="",$P153=""),"",IFERROR(1/(1/INDEX(Map_Stats!$I$2:$I$825,MATCH($F153&amp;"|"&amp;$I153,Map_Stats!$A$2:$A$825,0))),$P153))</f>
        <v/>
      </c>
      <c r="AH153" s="18">
        <f>IF(OR($I153="",AF153=""),"",IF($O153="",AF153,(AE153*AF153+Config!$B$4*$O153)/(AE153+Config!$B$4)))</f>
        <v>0.7332617288</v>
      </c>
      <c r="AI153" s="11" t="str">
        <f>IF(AG153="","",(AE153*AG153+Config!$B$4*$P153)/(AE153+Config!$B$4))</f>
        <v/>
      </c>
      <c r="AJ153" s="17">
        <f>IF(OR(AH153="",$L153=""),"",AH153*$L153*($L153/Config!$B$11)^Config!$B$9)</f>
        <v>16.4983889</v>
      </c>
      <c r="AK153" s="17" t="str">
        <f t="shared" si="3"/>
        <v/>
      </c>
      <c r="AL153" s="17">
        <f t="shared" si="4"/>
        <v>36.07078494</v>
      </c>
      <c r="AM153" s="17">
        <f t="shared" si="5"/>
        <v>44.14839614</v>
      </c>
      <c r="AN153" s="17" t="str">
        <f t="shared" si="6"/>
        <v/>
      </c>
      <c r="AO153" s="17" t="str">
        <f t="shared" si="7"/>
        <v/>
      </c>
      <c r="AP153" s="11">
        <f t="shared" si="8"/>
        <v>0</v>
      </c>
      <c r="AQ153" s="4" t="str">
        <f>TRIM(IF($N153&lt;Config!$B$12,"thin sample ("&amp;$N153&amp;" maps) · ","")&amp;IF(AND($G153&lt;&gt;"",Q153=0),"M1 unplayed→overall KPR · ","")&amp;IF(AND($H153&lt;&gt;"",X153=0),"M2 unplayed→overall KPR · ","")&amp;IF($O153="","no PickFinder stats",""))</f>
        <v/>
      </c>
      <c r="AR153" s="4" t="str">
        <f>IF($C153=Board!$B$2,COUNTIFS($C$2:$C$157,Board!$B$2,$AL$2:$AL$157,"&gt;"&amp;$AL153)+COUNTIFS($C$1:$C152,Board!$B$2,$AL$1:$AL152,$AL153)+1,"")</f>
        <v/>
      </c>
      <c r="AS153" s="4" t="str">
        <f t="array" ref="AS153">IFERROR(IF($D153=INDEX(Matches!$AD$5:$AD$22,MATCH($C153,Matches!$A$5:$A$22,0)),"A",IF($D153=INDEX(Matches!$AE$5:$AE$22,MATCH($C153,Matches!$A$5:$A$22,0)),"B","")),"")</f>
        <v>A</v>
      </c>
      <c r="AT153" s="11" t="str">
        <f t="array" ref="AT153">IF($AS153="","",IFERROR(IF($AS153="A",INDEX(Matches!$AI$5:$AI$22,MATCH($C153,Matches!$A$5:$A$22,0)),INDEX(Matches!$AJ$5:$AJ$22,MATCH($C153,Matches!$A$5:$A$22,0))),""))</f>
        <v/>
      </c>
      <c r="AU153" s="11" t="str">
        <f t="array" ref="AU153">IF($AS153="","",IFERROR(IF(INDEX(Matches!$AP$5:$AP$22,MATCH($C153,Matches!$A$5:$A$22,0))="","",IF($AS153="A",INDEX(Matches!$AP$5:$AP$22,MATCH($C153,Matches!$A$5:$A$22,0)),1-INDEX(Matches!$AP$5:$AP$22,MATCH($C153,Matches!$A$5:$A$22,0)))),""))</f>
        <v/>
      </c>
      <c r="AV153" s="18">
        <f>IF(OR($AU153="",$AT153=""),1,((Config!$B$14*$AU153+Config!$B$15*(1-$AU153))/(Config!$B$14*$AT153+Config!$B$15*(1-$AT153)))^Config!$B$13)</f>
        <v>1</v>
      </c>
      <c r="AW153" s="11" t="str">
        <f t="array" ref="AW153">IF($AS153="","",IFERROR(IF(INDEX(Matches!$AV$5:$AV$22,MATCH($C153,Matches!$A$5:$A$22,0))="","",IF($AS153="A",INDEX(Matches!$AV$5:$AV$22,MATCH($C153,Matches!$A$5:$A$22,0)),1-INDEX(Matches!$AV$5:$AV$22,MATCH($C153,Matches!$A$5:$A$22,0)))),""))</f>
        <v/>
      </c>
      <c r="AX153" s="18">
        <f>IF(OR($AW153="",$AT153=""),1,((Config!$B$14*$AW153+Config!$B$15*(1-$AW153))/(Config!$B$14*$AT153+Config!$B$15*(1-$AT153)))^Config!$B$13)</f>
        <v>1</v>
      </c>
      <c r="AY153" s="11" t="str">
        <f t="array" ref="AY153">IF($AS153="","",IFERROR(IF(INDEX(Matches!$BB$5:$BB$22,MATCH($C153,Matches!$A$5:$A$22,0))="","",IF($AS153="A",INDEX(Matches!$BB$5:$BB$22,MATCH($C153,Matches!$A$5:$A$22,0)),1-INDEX(Matches!$BB$5:$BB$22,MATCH($C153,Matches!$A$5:$A$22,0)))),""))</f>
        <v/>
      </c>
      <c r="AZ153" s="18">
        <f>IF(OR($AY153="",$AT153=""),1,((Config!$B$14*$AY153+Config!$B$15*(1-$AY153))/(Config!$B$14*$AT153+Config!$B$15*(1-$AT153)))^Config!$B$13)</f>
        <v>1</v>
      </c>
      <c r="BA153" s="17">
        <f t="shared" si="9"/>
        <v>16.24930124</v>
      </c>
      <c r="BB153" s="17">
        <f t="shared" si="10"/>
        <v>19.8214837</v>
      </c>
      <c r="BC153" s="17">
        <f t="shared" si="11"/>
        <v>16.4983889</v>
      </c>
      <c r="BD153" s="17">
        <f t="shared" si="12"/>
        <v>36.07078494</v>
      </c>
      <c r="BE153" s="17">
        <f t="shared" si="13"/>
        <v>44.14839614</v>
      </c>
      <c r="BF153" s="17" t="str">
        <f t="shared" si="14"/>
        <v/>
      </c>
      <c r="BG153" s="17" t="str">
        <f t="shared" si="15"/>
        <v/>
      </c>
      <c r="BH153" s="17" t="str">
        <f t="shared" si="16"/>
        <v/>
      </c>
      <c r="BI153" s="17" t="str">
        <f t="shared" si="17"/>
        <v/>
      </c>
      <c r="BJ153" s="17" t="str">
        <f t="shared" si="18"/>
        <v/>
      </c>
      <c r="BK153" s="18">
        <f t="shared" si="19"/>
        <v>1</v>
      </c>
    </row>
    <row r="154" ht="15.75" customHeight="1">
      <c r="A154" s="4" t="s">
        <v>3292</v>
      </c>
      <c r="B154" s="4" t="s">
        <v>1582</v>
      </c>
      <c r="C154" s="4" t="s">
        <v>1825</v>
      </c>
      <c r="D154" s="4" t="s">
        <v>1633</v>
      </c>
      <c r="E154" s="4" t="s">
        <v>1637</v>
      </c>
      <c r="F154" s="4" t="s">
        <v>1636</v>
      </c>
      <c r="G154" s="4" t="str">
        <f t="array" ref="G154">IFERROR(IF(INDEX(Matches!$W$5:$W$22,MATCH($C154,Matches!$A$5:$A$22,0))="","",INDEX(Matches!$W$5:$W$22,MATCH($C154,Matches!$A$5:$A$22,0))),"")</f>
        <v>Split</v>
      </c>
      <c r="H154" s="4" t="str">
        <f t="array" ref="H154">IFERROR(IF(INDEX(Matches!$X$5:$X$22,MATCH($C154,Matches!$A$5:$A$22,0))="","",INDEX(Matches!$X$5:$X$22,MATCH($C154,Matches!$A$5:$A$22,0))),"")</f>
        <v>Summit</v>
      </c>
      <c r="I154" s="4" t="str">
        <f t="array" ref="I154">IFERROR(IF(INDEX(Matches!$Y$5:$Y$22,MATCH($C154,Matches!$A$5:$A$22,0))="","",INDEX(Matches!$Y$5:$Y$22,MATCH($C154,Matches!$A$5:$A$22,0))),"")</f>
        <v>Haven</v>
      </c>
      <c r="J154" s="4">
        <f t="array" ref="J154">IFERROR(IF(INDEX(Matches!$Z$5:$Z$22,MATCH($C154,Matches!$A$5:$A$22,0))="","",INDEX(Matches!$Z$5:$Z$22,MATCH($C154,Matches!$A$5:$A$22,0))),"")</f>
        <v>21.62</v>
      </c>
      <c r="K154" s="4">
        <f t="array" ref="K154">IFERROR(IF(INDEX(Matches!$AA$5:$AA$22,MATCH($C154,Matches!$A$5:$A$22,0))="","",INDEX(Matches!$AA$5:$AA$22,MATCH($C154,Matches!$A$5:$A$22,0))),"")</f>
        <v>21.62</v>
      </c>
      <c r="L154" s="4">
        <f t="array" ref="L154">IFERROR(IF(INDEX(Matches!$AB$5:$AB$22,MATCH($C154,Matches!$A$5:$A$22,0))="","",INDEX(Matches!$AB$5:$AB$22,MATCH($C154,Matches!$A$5:$A$22,0))),"")</f>
        <v>22.5</v>
      </c>
      <c r="M154" s="11">
        <f t="array" ref="M154">IFERROR(IF(INDEX(Matches!$AC$5:$AC$22,MATCH($C154,Matches!$A$5:$A$22,0))="","",INDEX(Matches!$AC$5:$AC$22,MATCH($C154,Matches!$A$5:$A$22,0))),"")</f>
        <v>0.4896</v>
      </c>
      <c r="N154" s="4">
        <f t="array" ref="N154">IFERROR(INDEX(Players!$F$2:$F$127,MATCH($F154,Players!$A$2:$A$127,0)),0)</f>
        <v>39</v>
      </c>
      <c r="O154" s="18">
        <f t="array" ref="O154">IFERROR(1/(1/INDEX(Players!$H$2:$H$127,MATCH($F154,Players!$A$2:$A$127,0))),"")</f>
        <v>0.76</v>
      </c>
      <c r="P154" s="11" t="str">
        <f t="array" ref="P154">IFERROR(1/(1/INDEX(Players!$I$2:$I$127,MATCH($F154,Players!$A$2:$A$127,0))),"")</f>
        <v/>
      </c>
      <c r="Q154" s="4">
        <f>IF($G154="",0,SUMIFS(Map_Stats!$F$2:$F$825,Map_Stats!$A$2:$A$825,$F154&amp;"|"&amp;$G154))</f>
        <v>9</v>
      </c>
      <c r="R154" s="18">
        <f t="array" ref="R154">IF($G154="","",IFERROR(1/(1/INDEX(Map_Stats!$K$2:$K$825,MATCH($F154&amp;"|"&amp;$G154,Map_Stats!$A$2:$A$825,0))),$O154))</f>
        <v>0.6896634615</v>
      </c>
      <c r="S154" s="11" t="str">
        <f t="array" ref="S154">IF(OR($G154="",$P154=""),"",IFERROR(1/(1/INDEX(Map_Stats!$I$2:$I$825,MATCH($F154&amp;"|"&amp;$G154,Map_Stats!$A$2:$A$825,0))),$P154))</f>
        <v/>
      </c>
      <c r="T154" s="18">
        <f>IF(OR($G154="",R154=""),"",IF($O154="",R154,(Q154*R154+Config!$B$4*$O154)/(Q154+Config!$B$4)))</f>
        <v>0.7147836538</v>
      </c>
      <c r="U154" s="11" t="str">
        <f>IF(S154="","",(Q154*S154+Config!$B$4*$P154)/(Q154+Config!$B$4))</f>
        <v/>
      </c>
      <c r="V154" s="17">
        <f>IF(OR(T154="",$J154=""),"",T154*$J154*($J154/Config!$B$11)^Config!$B$9)</f>
        <v>15.4536226</v>
      </c>
      <c r="W154" s="17" t="str">
        <f t="shared" si="1"/>
        <v/>
      </c>
      <c r="X154" s="4">
        <f>IF($H154="",0,SUMIFS(Map_Stats!$F$2:$F$825,Map_Stats!$A$2:$A$825,$F154&amp;"|"&amp;$H154))</f>
        <v>3</v>
      </c>
      <c r="Y154" s="18">
        <f t="array" ref="Y154">IF($H154="","",IFERROR(1/(1/INDEX(Map_Stats!$K$2:$K$825,MATCH($F154&amp;"|"&amp;$H154,Map_Stats!$A$2:$A$825,0))),$O154))</f>
        <v>0.9911057692</v>
      </c>
      <c r="Z154" s="11" t="str">
        <f t="array" ref="Z154">IF(OR($H154="",$P154=""),"",IFERROR(1/(1/INDEX(Map_Stats!$I$2:$I$825,MATCH($F154&amp;"|"&amp;$H154,Map_Stats!$A$2:$A$825,0))),$P154))</f>
        <v/>
      </c>
      <c r="AA154" s="18">
        <f>IF(OR($H154="",Y154=""),"",IF($O154="",Y154,(X154*Y154+Config!$B$4*$O154)/(X154+Config!$B$4)))</f>
        <v>0.8466646635</v>
      </c>
      <c r="AB154" s="11" t="str">
        <f>IF(Z154="","",(X154*Z154+Config!$B$4*$P154)/(X154+Config!$B$4))</f>
        <v/>
      </c>
      <c r="AC154" s="17">
        <f>IF(OR(AA154="",$K154=""),"",AA154*$K154*($K154/Config!$B$11)^Config!$B$9)</f>
        <v>18.30489002</v>
      </c>
      <c r="AD154" s="17" t="str">
        <f t="shared" si="2"/>
        <v/>
      </c>
      <c r="AE154" s="4">
        <f>IF($I154="",0,SUMIFS(Map_Stats!$F$2:$F$825,Map_Stats!$A$2:$A$825,$F154&amp;"|"&amp;$I154))</f>
        <v>6</v>
      </c>
      <c r="AF154" s="18">
        <f t="array" ref="AF154">IF($I154="","",IFERROR(1/(1/INDEX(Map_Stats!$K$2:$K$825,MATCH($F154&amp;"|"&amp;$I154,Map_Stats!$A$2:$A$825,0))),$O154))</f>
        <v>0.83125</v>
      </c>
      <c r="AG154" s="11" t="str">
        <f t="array" ref="AG154">IF(OR($I154="",$P154=""),"",IFERROR(1/(1/INDEX(Map_Stats!$I$2:$I$825,MATCH($F154&amp;"|"&amp;$I154,Map_Stats!$A$2:$A$825,0))),$P154))</f>
        <v/>
      </c>
      <c r="AH154" s="18">
        <f>IF(OR($I154="",AF154=""),"",IF($O154="",AF154,(AE154*AF154+Config!$B$4*$O154)/(AE154+Config!$B$4)))</f>
        <v>0.7988636364</v>
      </c>
      <c r="AI154" s="11" t="str">
        <f>IF(AG154="","",(AE154*AG154+Config!$B$4*$P154)/(AE154+Config!$B$4))</f>
        <v/>
      </c>
      <c r="AJ154" s="17">
        <f>IF(OR(AH154="",$L154=""),"",AH154*$L154*($L154/Config!$B$11)^Config!$B$9)</f>
        <v>17.97443182</v>
      </c>
      <c r="AK154" s="17" t="str">
        <f t="shared" si="3"/>
        <v/>
      </c>
      <c r="AL154" s="17">
        <f t="shared" si="4"/>
        <v>33.75851262</v>
      </c>
      <c r="AM154" s="17">
        <f t="shared" si="5"/>
        <v>42.55879444</v>
      </c>
      <c r="AN154" s="17" t="str">
        <f t="shared" si="6"/>
        <v/>
      </c>
      <c r="AO154" s="17" t="str">
        <f t="shared" si="7"/>
        <v/>
      </c>
      <c r="AP154" s="11">
        <f t="shared" si="8"/>
        <v>0</v>
      </c>
      <c r="AQ154" s="4" t="str">
        <f>TRIM(IF($N154&lt;Config!$B$12,"thin sample ("&amp;$N154&amp;" maps) · ","")&amp;IF(AND($G154&lt;&gt;"",Q154=0),"M1 unplayed→overall KPR · ","")&amp;IF(AND($H154&lt;&gt;"",X154=0),"M2 unplayed→overall KPR · ","")&amp;IF($O154="","no PickFinder stats",""))</f>
        <v/>
      </c>
      <c r="AR154" s="4" t="str">
        <f>IF($C154=Board!$B$2,COUNTIFS($C$2:$C$157,Board!$B$2,$AL$2:$AL$157,"&gt;"&amp;$AL154)+COUNTIFS($C$1:$C153,Board!$B$2,$AL$1:$AL153,$AL154)+1,"")</f>
        <v/>
      </c>
      <c r="AS154" s="4" t="str">
        <f t="array" ref="AS154">IFERROR(IF($D154=INDEX(Matches!$AD$5:$AD$22,MATCH($C154,Matches!$A$5:$A$22,0)),"A",IF($D154=INDEX(Matches!$AE$5:$AE$22,MATCH($C154,Matches!$A$5:$A$22,0)),"B","")),"")</f>
        <v>A</v>
      </c>
      <c r="AT154" s="11" t="str">
        <f t="array" ref="AT154">IF($AS154="","",IFERROR(IF($AS154="A",INDEX(Matches!$AI$5:$AI$22,MATCH($C154,Matches!$A$5:$A$22,0)),INDEX(Matches!$AJ$5:$AJ$22,MATCH($C154,Matches!$A$5:$A$22,0))),""))</f>
        <v/>
      </c>
      <c r="AU154" s="11" t="str">
        <f t="array" ref="AU154">IF($AS154="","",IFERROR(IF(INDEX(Matches!$AP$5:$AP$22,MATCH($C154,Matches!$A$5:$A$22,0))="","",IF($AS154="A",INDEX(Matches!$AP$5:$AP$22,MATCH($C154,Matches!$A$5:$A$22,0)),1-INDEX(Matches!$AP$5:$AP$22,MATCH($C154,Matches!$A$5:$A$22,0)))),""))</f>
        <v/>
      </c>
      <c r="AV154" s="18">
        <f>IF(OR($AU154="",$AT154=""),1,((Config!$B$14*$AU154+Config!$B$15*(1-$AU154))/(Config!$B$14*$AT154+Config!$B$15*(1-$AT154)))^Config!$B$13)</f>
        <v>1</v>
      </c>
      <c r="AW154" s="11" t="str">
        <f t="array" ref="AW154">IF($AS154="","",IFERROR(IF(INDEX(Matches!$AV$5:$AV$22,MATCH($C154,Matches!$A$5:$A$22,0))="","",IF($AS154="A",INDEX(Matches!$AV$5:$AV$22,MATCH($C154,Matches!$A$5:$A$22,0)),1-INDEX(Matches!$AV$5:$AV$22,MATCH($C154,Matches!$A$5:$A$22,0)))),""))</f>
        <v/>
      </c>
      <c r="AX154" s="18">
        <f>IF(OR($AW154="",$AT154=""),1,((Config!$B$14*$AW154+Config!$B$15*(1-$AW154))/(Config!$B$14*$AT154+Config!$B$15*(1-$AT154)))^Config!$B$13)</f>
        <v>1</v>
      </c>
      <c r="AY154" s="11" t="str">
        <f t="array" ref="AY154">IF($AS154="","",IFERROR(IF(INDEX(Matches!$BB$5:$BB$22,MATCH($C154,Matches!$A$5:$A$22,0))="","",IF($AS154="A",INDEX(Matches!$BB$5:$BB$22,MATCH($C154,Matches!$A$5:$A$22,0)),1-INDEX(Matches!$BB$5:$BB$22,MATCH($C154,Matches!$A$5:$A$22,0)))),""))</f>
        <v/>
      </c>
      <c r="AZ154" s="18">
        <f>IF(OR($AY154="",$AT154=""),1,((Config!$B$14*$AY154+Config!$B$15*(1-$AY154))/(Config!$B$14*$AT154+Config!$B$15*(1-$AT154)))^Config!$B$13)</f>
        <v>1</v>
      </c>
      <c r="BA154" s="17">
        <f t="shared" si="9"/>
        <v>15.4536226</v>
      </c>
      <c r="BB154" s="17">
        <f t="shared" si="10"/>
        <v>18.30489002</v>
      </c>
      <c r="BC154" s="17">
        <f t="shared" si="11"/>
        <v>17.97443182</v>
      </c>
      <c r="BD154" s="17">
        <f t="shared" si="12"/>
        <v>33.75851262</v>
      </c>
      <c r="BE154" s="17">
        <f t="shared" si="13"/>
        <v>42.55879444</v>
      </c>
      <c r="BF154" s="17" t="str">
        <f t="shared" si="14"/>
        <v/>
      </c>
      <c r="BG154" s="17" t="str">
        <f t="shared" si="15"/>
        <v/>
      </c>
      <c r="BH154" s="17" t="str">
        <f t="shared" si="16"/>
        <v/>
      </c>
      <c r="BI154" s="17" t="str">
        <f t="shared" si="17"/>
        <v/>
      </c>
      <c r="BJ154" s="17" t="str">
        <f t="shared" si="18"/>
        <v/>
      </c>
      <c r="BK154" s="18">
        <f t="shared" si="19"/>
        <v>1</v>
      </c>
    </row>
    <row r="155" ht="15.75" customHeight="1">
      <c r="A155" s="4" t="s">
        <v>3293</v>
      </c>
      <c r="B155" s="4" t="s">
        <v>1582</v>
      </c>
      <c r="C155" s="4" t="s">
        <v>1825</v>
      </c>
      <c r="D155" s="4" t="s">
        <v>1633</v>
      </c>
      <c r="E155" s="4" t="s">
        <v>1640</v>
      </c>
      <c r="F155" s="4" t="s">
        <v>1639</v>
      </c>
      <c r="G155" s="4" t="str">
        <f t="array" ref="G155">IFERROR(IF(INDEX(Matches!$W$5:$W$22,MATCH($C155,Matches!$A$5:$A$22,0))="","",INDEX(Matches!$W$5:$W$22,MATCH($C155,Matches!$A$5:$A$22,0))),"")</f>
        <v>Split</v>
      </c>
      <c r="H155" s="4" t="str">
        <f t="array" ref="H155">IFERROR(IF(INDEX(Matches!$X$5:$X$22,MATCH($C155,Matches!$A$5:$A$22,0))="","",INDEX(Matches!$X$5:$X$22,MATCH($C155,Matches!$A$5:$A$22,0))),"")</f>
        <v>Summit</v>
      </c>
      <c r="I155" s="4" t="str">
        <f t="array" ref="I155">IFERROR(IF(INDEX(Matches!$Y$5:$Y$22,MATCH($C155,Matches!$A$5:$A$22,0))="","",INDEX(Matches!$Y$5:$Y$22,MATCH($C155,Matches!$A$5:$A$22,0))),"")</f>
        <v>Haven</v>
      </c>
      <c r="J155" s="4">
        <f t="array" ref="J155">IFERROR(IF(INDEX(Matches!$Z$5:$Z$22,MATCH($C155,Matches!$A$5:$A$22,0))="","",INDEX(Matches!$Z$5:$Z$22,MATCH($C155,Matches!$A$5:$A$22,0))),"")</f>
        <v>21.62</v>
      </c>
      <c r="K155" s="4">
        <f t="array" ref="K155">IFERROR(IF(INDEX(Matches!$AA$5:$AA$22,MATCH($C155,Matches!$A$5:$A$22,0))="","",INDEX(Matches!$AA$5:$AA$22,MATCH($C155,Matches!$A$5:$A$22,0))),"")</f>
        <v>21.62</v>
      </c>
      <c r="L155" s="4">
        <f t="array" ref="L155">IFERROR(IF(INDEX(Matches!$AB$5:$AB$22,MATCH($C155,Matches!$A$5:$A$22,0))="","",INDEX(Matches!$AB$5:$AB$22,MATCH($C155,Matches!$A$5:$A$22,0))),"")</f>
        <v>22.5</v>
      </c>
      <c r="M155" s="11">
        <f t="array" ref="M155">IFERROR(IF(INDEX(Matches!$AC$5:$AC$22,MATCH($C155,Matches!$A$5:$A$22,0))="","",INDEX(Matches!$AC$5:$AC$22,MATCH($C155,Matches!$A$5:$A$22,0))),"")</f>
        <v>0.4896</v>
      </c>
      <c r="N155" s="4">
        <f t="array" ref="N155">IFERROR(INDEX(Players!$F$2:$F$127,MATCH($F155,Players!$A$2:$A$127,0)),0)</f>
        <v>39</v>
      </c>
      <c r="O155" s="18">
        <f t="array" ref="O155">IFERROR(1/(1/INDEX(Players!$H$2:$H$127,MATCH($F155,Players!$A$2:$A$127,0))),"")</f>
        <v>0.69</v>
      </c>
      <c r="P155" s="11" t="str">
        <f t="array" ref="P155">IFERROR(1/(1/INDEX(Players!$I$2:$I$127,MATCH($F155,Players!$A$2:$A$127,0))),"")</f>
        <v/>
      </c>
      <c r="Q155" s="4">
        <f>IF($G155="",0,SUMIFS(Map_Stats!$F$2:$F$825,Map_Stats!$A$2:$A$825,$F155&amp;"|"&amp;$G155))</f>
        <v>9</v>
      </c>
      <c r="R155" s="18">
        <f t="array" ref="R155">IF($G155="","",IFERROR(1/(1/INDEX(Map_Stats!$K$2:$K$825,MATCH($F155&amp;"|"&amp;$G155,Map_Stats!$A$2:$A$825,0))),$O155))</f>
        <v>0.6376237624</v>
      </c>
      <c r="S155" s="11" t="str">
        <f t="array" ref="S155">IF(OR($G155="",$P155=""),"",IFERROR(1/(1/INDEX(Map_Stats!$I$2:$I$825,MATCH($F155&amp;"|"&amp;$G155,Map_Stats!$A$2:$A$825,0))),$P155))</f>
        <v/>
      </c>
      <c r="T155" s="18">
        <f>IF(OR($G155="",R155=""),"",IF($O155="",R155,(Q155*R155+Config!$B$4*$O155)/(Q155+Config!$B$4)))</f>
        <v>0.6563295615</v>
      </c>
      <c r="U155" s="11" t="str">
        <f>IF(S155="","",(Q155*S155+Config!$B$4*$P155)/(Q155+Config!$B$4))</f>
        <v/>
      </c>
      <c r="V155" s="17">
        <f>IF(OR(T155="",$J155=""),"",T155*$J155*($J155/Config!$B$11)^Config!$B$9)</f>
        <v>14.18984512</v>
      </c>
      <c r="W155" s="17" t="str">
        <f t="shared" si="1"/>
        <v/>
      </c>
      <c r="X155" s="4">
        <f>IF($H155="",0,SUMIFS(Map_Stats!$F$2:$F$825,Map_Stats!$A$2:$A$825,$F155&amp;"|"&amp;$H155))</f>
        <v>3</v>
      </c>
      <c r="Y155" s="18">
        <f t="array" ref="Y155">IF($H155="","",IFERROR(1/(1/INDEX(Map_Stats!$K$2:$K$825,MATCH($F155&amp;"|"&amp;$H155,Map_Stats!$A$2:$A$825,0))),$O155))</f>
        <v>0.9883168317</v>
      </c>
      <c r="Z155" s="11" t="str">
        <f t="array" ref="Z155">IF(OR($H155="",$P155=""),"",IFERROR(1/(1/INDEX(Map_Stats!$I$2:$I$825,MATCH($F155&amp;"|"&amp;$H155,Map_Stats!$A$2:$A$825,0))),$P155))</f>
        <v/>
      </c>
      <c r="AA155" s="18">
        <f>IF(OR($H155="",Y155=""),"",IF($O155="",Y155,(X155*Y155+Config!$B$4*$O155)/(X155+Config!$B$4)))</f>
        <v>0.8018688119</v>
      </c>
      <c r="AB155" s="11" t="str">
        <f>IF(Z155="","",(X155*Z155+Config!$B$4*$P155)/(X155+Config!$B$4))</f>
        <v/>
      </c>
      <c r="AC155" s="17">
        <f>IF(OR(AA155="",$K155=""),"",AA155*$K155*($K155/Config!$B$11)^Config!$B$9)</f>
        <v>17.33640371</v>
      </c>
      <c r="AD155" s="17" t="str">
        <f t="shared" si="2"/>
        <v/>
      </c>
      <c r="AE155" s="4">
        <f>IF($I155="",0,SUMIFS(Map_Stats!$F$2:$F$825,Map_Stats!$A$2:$A$825,$F155&amp;"|"&amp;$I155))</f>
        <v>6</v>
      </c>
      <c r="AF155" s="18">
        <f t="array" ref="AF155">IF($I155="","",IFERROR(1/(1/INDEX(Map_Stats!$K$2:$K$825,MATCH($F155&amp;"|"&amp;$I155,Map_Stats!$A$2:$A$825,0))),$O155))</f>
        <v>0.8334653465</v>
      </c>
      <c r="AG155" s="11" t="str">
        <f t="array" ref="AG155">IF(OR($I155="",$P155=""),"",IFERROR(1/(1/INDEX(Map_Stats!$I$2:$I$825,MATCH($F155&amp;"|"&amp;$I155,Map_Stats!$A$2:$A$825,0))),$P155))</f>
        <v/>
      </c>
      <c r="AH155" s="18">
        <f>IF(OR($I155="",AF155=""),"",IF($O155="",AF155,(AE155*AF155+Config!$B$4*$O155)/(AE155+Config!$B$4)))</f>
        <v>0.7682538254</v>
      </c>
      <c r="AI155" s="11" t="str">
        <f>IF(AG155="","",(AE155*AG155+Config!$B$4*$P155)/(AE155+Config!$B$4))</f>
        <v/>
      </c>
      <c r="AJ155" s="17">
        <f>IF(OR(AH155="",$L155=""),"",AH155*$L155*($L155/Config!$B$11)^Config!$B$9)</f>
        <v>17.28571107</v>
      </c>
      <c r="AK155" s="17" t="str">
        <f t="shared" si="3"/>
        <v/>
      </c>
      <c r="AL155" s="17">
        <f t="shared" si="4"/>
        <v>31.52624883</v>
      </c>
      <c r="AM155" s="17">
        <f t="shared" si="5"/>
        <v>39.98933297</v>
      </c>
      <c r="AN155" s="17" t="str">
        <f t="shared" si="6"/>
        <v/>
      </c>
      <c r="AO155" s="17" t="str">
        <f t="shared" si="7"/>
        <v/>
      </c>
      <c r="AP155" s="11">
        <f t="shared" si="8"/>
        <v>0</v>
      </c>
      <c r="AQ155" s="4" t="str">
        <f>TRIM(IF($N155&lt;Config!$B$12,"thin sample ("&amp;$N155&amp;" maps) · ","")&amp;IF(AND($G155&lt;&gt;"",Q155=0),"M1 unplayed→overall KPR · ","")&amp;IF(AND($H155&lt;&gt;"",X155=0),"M2 unplayed→overall KPR · ","")&amp;IF($O155="","no PickFinder stats",""))</f>
        <v/>
      </c>
      <c r="AR155" s="4" t="str">
        <f>IF($C155=Board!$B$2,COUNTIFS($C$2:$C$157,Board!$B$2,$AL$2:$AL$157,"&gt;"&amp;$AL155)+COUNTIFS($C$1:$C154,Board!$B$2,$AL$1:$AL154,$AL155)+1,"")</f>
        <v/>
      </c>
      <c r="AS155" s="4" t="str">
        <f t="array" ref="AS155">IFERROR(IF($D155=INDEX(Matches!$AD$5:$AD$22,MATCH($C155,Matches!$A$5:$A$22,0)),"A",IF($D155=INDEX(Matches!$AE$5:$AE$22,MATCH($C155,Matches!$A$5:$A$22,0)),"B","")),"")</f>
        <v>A</v>
      </c>
      <c r="AT155" s="11" t="str">
        <f t="array" ref="AT155">IF($AS155="","",IFERROR(IF($AS155="A",INDEX(Matches!$AI$5:$AI$22,MATCH($C155,Matches!$A$5:$A$22,0)),INDEX(Matches!$AJ$5:$AJ$22,MATCH($C155,Matches!$A$5:$A$22,0))),""))</f>
        <v/>
      </c>
      <c r="AU155" s="11" t="str">
        <f t="array" ref="AU155">IF($AS155="","",IFERROR(IF(INDEX(Matches!$AP$5:$AP$22,MATCH($C155,Matches!$A$5:$A$22,0))="","",IF($AS155="A",INDEX(Matches!$AP$5:$AP$22,MATCH($C155,Matches!$A$5:$A$22,0)),1-INDEX(Matches!$AP$5:$AP$22,MATCH($C155,Matches!$A$5:$A$22,0)))),""))</f>
        <v/>
      </c>
      <c r="AV155" s="18">
        <f>IF(OR($AU155="",$AT155=""),1,((Config!$B$14*$AU155+Config!$B$15*(1-$AU155))/(Config!$B$14*$AT155+Config!$B$15*(1-$AT155)))^Config!$B$13)</f>
        <v>1</v>
      </c>
      <c r="AW155" s="11" t="str">
        <f t="array" ref="AW155">IF($AS155="","",IFERROR(IF(INDEX(Matches!$AV$5:$AV$22,MATCH($C155,Matches!$A$5:$A$22,0))="","",IF($AS155="A",INDEX(Matches!$AV$5:$AV$22,MATCH($C155,Matches!$A$5:$A$22,0)),1-INDEX(Matches!$AV$5:$AV$22,MATCH($C155,Matches!$A$5:$A$22,0)))),""))</f>
        <v/>
      </c>
      <c r="AX155" s="18">
        <f>IF(OR($AW155="",$AT155=""),1,((Config!$B$14*$AW155+Config!$B$15*(1-$AW155))/(Config!$B$14*$AT155+Config!$B$15*(1-$AT155)))^Config!$B$13)</f>
        <v>1</v>
      </c>
      <c r="AY155" s="11" t="str">
        <f t="array" ref="AY155">IF($AS155="","",IFERROR(IF(INDEX(Matches!$BB$5:$BB$22,MATCH($C155,Matches!$A$5:$A$22,0))="","",IF($AS155="A",INDEX(Matches!$BB$5:$BB$22,MATCH($C155,Matches!$A$5:$A$22,0)),1-INDEX(Matches!$BB$5:$BB$22,MATCH($C155,Matches!$A$5:$A$22,0)))),""))</f>
        <v/>
      </c>
      <c r="AZ155" s="18">
        <f>IF(OR($AY155="",$AT155=""),1,((Config!$B$14*$AY155+Config!$B$15*(1-$AY155))/(Config!$B$14*$AT155+Config!$B$15*(1-$AT155)))^Config!$B$13)</f>
        <v>1</v>
      </c>
      <c r="BA155" s="17">
        <f t="shared" si="9"/>
        <v>14.18984512</v>
      </c>
      <c r="BB155" s="17">
        <f t="shared" si="10"/>
        <v>17.33640371</v>
      </c>
      <c r="BC155" s="17">
        <f t="shared" si="11"/>
        <v>17.28571107</v>
      </c>
      <c r="BD155" s="17">
        <f t="shared" si="12"/>
        <v>31.52624883</v>
      </c>
      <c r="BE155" s="17">
        <f t="shared" si="13"/>
        <v>39.98933297</v>
      </c>
      <c r="BF155" s="17" t="str">
        <f t="shared" si="14"/>
        <v/>
      </c>
      <c r="BG155" s="17" t="str">
        <f t="shared" si="15"/>
        <v/>
      </c>
      <c r="BH155" s="17" t="str">
        <f t="shared" si="16"/>
        <v/>
      </c>
      <c r="BI155" s="17" t="str">
        <f t="shared" si="17"/>
        <v/>
      </c>
      <c r="BJ155" s="17" t="str">
        <f t="shared" si="18"/>
        <v/>
      </c>
      <c r="BK155" s="18">
        <f t="shared" si="19"/>
        <v>1</v>
      </c>
    </row>
    <row r="156" ht="15.75" customHeight="1">
      <c r="A156" s="4" t="s">
        <v>3294</v>
      </c>
      <c r="B156" s="4" t="s">
        <v>1582</v>
      </c>
      <c r="C156" s="4" t="s">
        <v>1825</v>
      </c>
      <c r="D156" s="4" t="s">
        <v>1633</v>
      </c>
      <c r="E156" s="4" t="s">
        <v>1643</v>
      </c>
      <c r="F156" s="4" t="s">
        <v>1642</v>
      </c>
      <c r="G156" s="4" t="str">
        <f t="array" ref="G156">IFERROR(IF(INDEX(Matches!$W$5:$W$22,MATCH($C156,Matches!$A$5:$A$22,0))="","",INDEX(Matches!$W$5:$W$22,MATCH($C156,Matches!$A$5:$A$22,0))),"")</f>
        <v>Split</v>
      </c>
      <c r="H156" s="4" t="str">
        <f t="array" ref="H156">IFERROR(IF(INDEX(Matches!$X$5:$X$22,MATCH($C156,Matches!$A$5:$A$22,0))="","",INDEX(Matches!$X$5:$X$22,MATCH($C156,Matches!$A$5:$A$22,0))),"")</f>
        <v>Summit</v>
      </c>
      <c r="I156" s="4" t="str">
        <f t="array" ref="I156">IFERROR(IF(INDEX(Matches!$Y$5:$Y$22,MATCH($C156,Matches!$A$5:$A$22,0))="","",INDEX(Matches!$Y$5:$Y$22,MATCH($C156,Matches!$A$5:$A$22,0))),"")</f>
        <v>Haven</v>
      </c>
      <c r="J156" s="4">
        <f t="array" ref="J156">IFERROR(IF(INDEX(Matches!$Z$5:$Z$22,MATCH($C156,Matches!$A$5:$A$22,0))="","",INDEX(Matches!$Z$5:$Z$22,MATCH($C156,Matches!$A$5:$A$22,0))),"")</f>
        <v>21.62</v>
      </c>
      <c r="K156" s="4">
        <f t="array" ref="K156">IFERROR(IF(INDEX(Matches!$AA$5:$AA$22,MATCH($C156,Matches!$A$5:$A$22,0))="","",INDEX(Matches!$AA$5:$AA$22,MATCH($C156,Matches!$A$5:$A$22,0))),"")</f>
        <v>21.62</v>
      </c>
      <c r="L156" s="4">
        <f t="array" ref="L156">IFERROR(IF(INDEX(Matches!$AB$5:$AB$22,MATCH($C156,Matches!$A$5:$A$22,0))="","",INDEX(Matches!$AB$5:$AB$22,MATCH($C156,Matches!$A$5:$A$22,0))),"")</f>
        <v>22.5</v>
      </c>
      <c r="M156" s="11">
        <f t="array" ref="M156">IFERROR(IF(INDEX(Matches!$AC$5:$AC$22,MATCH($C156,Matches!$A$5:$A$22,0))="","",INDEX(Matches!$AC$5:$AC$22,MATCH($C156,Matches!$A$5:$A$22,0))),"")</f>
        <v>0.4896</v>
      </c>
      <c r="N156" s="4">
        <f t="array" ref="N156">IFERROR(INDEX(Players!$F$2:$F$127,MATCH($F156,Players!$A$2:$A$127,0)),0)</f>
        <v>39</v>
      </c>
      <c r="O156" s="18">
        <f t="array" ref="O156">IFERROR(1/(1/INDEX(Players!$H$2:$H$127,MATCH($F156,Players!$A$2:$A$127,0))),"")</f>
        <v>0.63</v>
      </c>
      <c r="P156" s="11" t="str">
        <f t="array" ref="P156">IFERROR(1/(1/INDEX(Players!$I$2:$I$127,MATCH($F156,Players!$A$2:$A$127,0))),"")</f>
        <v/>
      </c>
      <c r="Q156" s="4">
        <f>IF($G156="",0,SUMIFS(Map_Stats!$F$2:$F$825,Map_Stats!$A$2:$A$825,$F156&amp;"|"&amp;$G156))</f>
        <v>9</v>
      </c>
      <c r="R156" s="18">
        <f t="array" ref="R156">IF($G156="","",IFERROR(1/(1/INDEX(Map_Stats!$K$2:$K$825,MATCH($F156&amp;"|"&amp;$G156,Map_Stats!$A$2:$A$825,0))),$O156))</f>
        <v>0.4509861213</v>
      </c>
      <c r="S156" s="11" t="str">
        <f t="array" ref="S156">IF(OR($G156="",$P156=""),"",IFERROR(1/(1/INDEX(Map_Stats!$I$2:$I$825,MATCH($F156&amp;"|"&amp;$G156,Map_Stats!$A$2:$A$825,0))),$P156))</f>
        <v/>
      </c>
      <c r="T156" s="18">
        <f>IF(OR($G156="",R156=""),"",IF($O156="",R156,(Q156*R156+Config!$B$4*$O156)/(Q156+Config!$B$4)))</f>
        <v>0.5149196494</v>
      </c>
      <c r="U156" s="11" t="str">
        <f>IF(S156="","",(Q156*S156+Config!$B$4*$P156)/(Q156+Config!$B$4))</f>
        <v/>
      </c>
      <c r="V156" s="17">
        <f>IF(OR(T156="",$J156=""),"",T156*$J156*($J156/Config!$B$11)^Config!$B$9)</f>
        <v>11.13256282</v>
      </c>
      <c r="W156" s="17" t="str">
        <f t="shared" si="1"/>
        <v/>
      </c>
      <c r="X156" s="4">
        <f>IF($H156="",0,SUMIFS(Map_Stats!$F$2:$F$825,Map_Stats!$A$2:$A$825,$F156&amp;"|"&amp;$H156))</f>
        <v>3</v>
      </c>
      <c r="Y156" s="18">
        <f t="array" ref="Y156">IF($H156="","",IFERROR(1/(1/INDEX(Map_Stats!$K$2:$K$825,MATCH($F156&amp;"|"&amp;$H156,Map_Stats!$A$2:$A$825,0))),$O156))</f>
        <v>0.750109569</v>
      </c>
      <c r="Z156" s="11" t="str">
        <f t="array" ref="Z156">IF(OR($H156="",$P156=""),"",IFERROR(1/(1/INDEX(Map_Stats!$I$2:$I$825,MATCH($F156&amp;"|"&amp;$H156,Map_Stats!$A$2:$A$825,0))),$P156))</f>
        <v/>
      </c>
      <c r="AA156" s="18">
        <f>IF(OR($H156="",Y156=""),"",IF($O156="",Y156,(X156*Y156+Config!$B$4*$O156)/(X156+Config!$B$4)))</f>
        <v>0.6750410884</v>
      </c>
      <c r="AB156" s="11" t="str">
        <f>IF(Z156="","",(X156*Z156+Config!$B$4*$P156)/(X156+Config!$B$4))</f>
        <v/>
      </c>
      <c r="AC156" s="17">
        <f>IF(OR(AA156="",$K156=""),"",AA156*$K156*($K156/Config!$B$11)^Config!$B$9)</f>
        <v>14.59438833</v>
      </c>
      <c r="AD156" s="17" t="str">
        <f t="shared" si="2"/>
        <v/>
      </c>
      <c r="AE156" s="4">
        <f>IF($I156="",0,SUMIFS(Map_Stats!$F$2:$F$825,Map_Stats!$A$2:$A$825,$F156&amp;"|"&amp;$I156))</f>
        <v>6</v>
      </c>
      <c r="AF156" s="18">
        <f t="array" ref="AF156">IF($I156="","",IFERROR(1/(1/INDEX(Map_Stats!$K$2:$K$825,MATCH($F156&amp;"|"&amp;$I156,Map_Stats!$A$2:$A$825,0))),$O156))</f>
        <v>0.7455076698</v>
      </c>
      <c r="AG156" s="11" t="str">
        <f t="array" ref="AG156">IF(OR($I156="",$P156=""),"",IFERROR(1/(1/INDEX(Map_Stats!$I$2:$I$825,MATCH($F156&amp;"|"&amp;$I156,Map_Stats!$A$2:$A$825,0))),$P156))</f>
        <v/>
      </c>
      <c r="AH156" s="18">
        <f>IF(OR($I156="",AF156=""),"",IF($O156="",AF156,(AE156*AF156+Config!$B$4*$O156)/(AE156+Config!$B$4)))</f>
        <v>0.6930041835</v>
      </c>
      <c r="AI156" s="11" t="str">
        <f>IF(AG156="","",(AE156*AG156+Config!$B$4*$P156)/(AE156+Config!$B$4))</f>
        <v/>
      </c>
      <c r="AJ156" s="17">
        <f>IF(OR(AH156="",$L156=""),"",AH156*$L156*($L156/Config!$B$11)^Config!$B$9)</f>
        <v>15.59259413</v>
      </c>
      <c r="AK156" s="17" t="str">
        <f t="shared" si="3"/>
        <v/>
      </c>
      <c r="AL156" s="17">
        <f t="shared" si="4"/>
        <v>25.72695115</v>
      </c>
      <c r="AM156" s="17">
        <f t="shared" si="5"/>
        <v>33.36108524</v>
      </c>
      <c r="AN156" s="17" t="str">
        <f t="shared" si="6"/>
        <v/>
      </c>
      <c r="AO156" s="17" t="str">
        <f t="shared" si="7"/>
        <v/>
      </c>
      <c r="AP156" s="11">
        <f t="shared" si="8"/>
        <v>0</v>
      </c>
      <c r="AQ156" s="4" t="str">
        <f>TRIM(IF($N156&lt;Config!$B$12,"thin sample ("&amp;$N156&amp;" maps) · ","")&amp;IF(AND($G156&lt;&gt;"",Q156=0),"M1 unplayed→overall KPR · ","")&amp;IF(AND($H156&lt;&gt;"",X156=0),"M2 unplayed→overall KPR · ","")&amp;IF($O156="","no PickFinder stats",""))</f>
        <v/>
      </c>
      <c r="AR156" s="4" t="str">
        <f>IF($C156=Board!$B$2,COUNTIFS($C$2:$C$157,Board!$B$2,$AL$2:$AL$157,"&gt;"&amp;$AL156)+COUNTIFS($C$1:$C155,Board!$B$2,$AL$1:$AL155,$AL156)+1,"")</f>
        <v/>
      </c>
      <c r="AS156" s="4" t="str">
        <f t="array" ref="AS156">IFERROR(IF($D156=INDEX(Matches!$AD$5:$AD$22,MATCH($C156,Matches!$A$5:$A$22,0)),"A",IF($D156=INDEX(Matches!$AE$5:$AE$22,MATCH($C156,Matches!$A$5:$A$22,0)),"B","")),"")</f>
        <v>A</v>
      </c>
      <c r="AT156" s="11" t="str">
        <f t="array" ref="AT156">IF($AS156="","",IFERROR(IF($AS156="A",INDEX(Matches!$AI$5:$AI$22,MATCH($C156,Matches!$A$5:$A$22,0)),INDEX(Matches!$AJ$5:$AJ$22,MATCH($C156,Matches!$A$5:$A$22,0))),""))</f>
        <v/>
      </c>
      <c r="AU156" s="11" t="str">
        <f t="array" ref="AU156">IF($AS156="","",IFERROR(IF(INDEX(Matches!$AP$5:$AP$22,MATCH($C156,Matches!$A$5:$A$22,0))="","",IF($AS156="A",INDEX(Matches!$AP$5:$AP$22,MATCH($C156,Matches!$A$5:$A$22,0)),1-INDEX(Matches!$AP$5:$AP$22,MATCH($C156,Matches!$A$5:$A$22,0)))),""))</f>
        <v/>
      </c>
      <c r="AV156" s="18">
        <f>IF(OR($AU156="",$AT156=""),1,((Config!$B$14*$AU156+Config!$B$15*(1-$AU156))/(Config!$B$14*$AT156+Config!$B$15*(1-$AT156)))^Config!$B$13)</f>
        <v>1</v>
      </c>
      <c r="AW156" s="11" t="str">
        <f t="array" ref="AW156">IF($AS156="","",IFERROR(IF(INDEX(Matches!$AV$5:$AV$22,MATCH($C156,Matches!$A$5:$A$22,0))="","",IF($AS156="A",INDEX(Matches!$AV$5:$AV$22,MATCH($C156,Matches!$A$5:$A$22,0)),1-INDEX(Matches!$AV$5:$AV$22,MATCH($C156,Matches!$A$5:$A$22,0)))),""))</f>
        <v/>
      </c>
      <c r="AX156" s="18">
        <f>IF(OR($AW156="",$AT156=""),1,((Config!$B$14*$AW156+Config!$B$15*(1-$AW156))/(Config!$B$14*$AT156+Config!$B$15*(1-$AT156)))^Config!$B$13)</f>
        <v>1</v>
      </c>
      <c r="AY156" s="11" t="str">
        <f t="array" ref="AY156">IF($AS156="","",IFERROR(IF(INDEX(Matches!$BB$5:$BB$22,MATCH($C156,Matches!$A$5:$A$22,0))="","",IF($AS156="A",INDEX(Matches!$BB$5:$BB$22,MATCH($C156,Matches!$A$5:$A$22,0)),1-INDEX(Matches!$BB$5:$BB$22,MATCH($C156,Matches!$A$5:$A$22,0)))),""))</f>
        <v/>
      </c>
      <c r="AZ156" s="18">
        <f>IF(OR($AY156="",$AT156=""),1,((Config!$B$14*$AY156+Config!$B$15*(1-$AY156))/(Config!$B$14*$AT156+Config!$B$15*(1-$AT156)))^Config!$B$13)</f>
        <v>1</v>
      </c>
      <c r="BA156" s="17">
        <f t="shared" si="9"/>
        <v>11.13256282</v>
      </c>
      <c r="BB156" s="17">
        <f t="shared" si="10"/>
        <v>14.59438833</v>
      </c>
      <c r="BC156" s="17">
        <f t="shared" si="11"/>
        <v>15.59259413</v>
      </c>
      <c r="BD156" s="17">
        <f t="shared" si="12"/>
        <v>25.72695115</v>
      </c>
      <c r="BE156" s="17">
        <f t="shared" si="13"/>
        <v>33.36108524</v>
      </c>
      <c r="BF156" s="17" t="str">
        <f t="shared" si="14"/>
        <v/>
      </c>
      <c r="BG156" s="17" t="str">
        <f t="shared" si="15"/>
        <v/>
      </c>
      <c r="BH156" s="17" t="str">
        <f t="shared" si="16"/>
        <v/>
      </c>
      <c r="BI156" s="17" t="str">
        <f t="shared" si="17"/>
        <v/>
      </c>
      <c r="BJ156" s="17" t="str">
        <f t="shared" si="18"/>
        <v/>
      </c>
      <c r="BK156" s="18">
        <f t="shared" si="19"/>
        <v>1</v>
      </c>
    </row>
    <row r="157" ht="15.75" customHeight="1">
      <c r="A157" s="4" t="s">
        <v>3295</v>
      </c>
      <c r="B157" s="4" t="s">
        <v>1582</v>
      </c>
      <c r="C157" s="4" t="s">
        <v>1825</v>
      </c>
      <c r="D157" s="4" t="s">
        <v>1633</v>
      </c>
      <c r="E157" s="4" t="s">
        <v>1646</v>
      </c>
      <c r="F157" s="4" t="s">
        <v>1645</v>
      </c>
      <c r="G157" s="4" t="str">
        <f t="array" ref="G157">IFERROR(IF(INDEX(Matches!$W$5:$W$22,MATCH($C157,Matches!$A$5:$A$22,0))="","",INDEX(Matches!$W$5:$W$22,MATCH($C157,Matches!$A$5:$A$22,0))),"")</f>
        <v>Split</v>
      </c>
      <c r="H157" s="4" t="str">
        <f t="array" ref="H157">IFERROR(IF(INDEX(Matches!$X$5:$X$22,MATCH($C157,Matches!$A$5:$A$22,0))="","",INDEX(Matches!$X$5:$X$22,MATCH($C157,Matches!$A$5:$A$22,0))),"")</f>
        <v>Summit</v>
      </c>
      <c r="I157" s="4" t="str">
        <f t="array" ref="I157">IFERROR(IF(INDEX(Matches!$Y$5:$Y$22,MATCH($C157,Matches!$A$5:$A$22,0))="","",INDEX(Matches!$Y$5:$Y$22,MATCH($C157,Matches!$A$5:$A$22,0))),"")</f>
        <v>Haven</v>
      </c>
      <c r="J157" s="4">
        <f t="array" ref="J157">IFERROR(IF(INDEX(Matches!$Z$5:$Z$22,MATCH($C157,Matches!$A$5:$A$22,0))="","",INDEX(Matches!$Z$5:$Z$22,MATCH($C157,Matches!$A$5:$A$22,0))),"")</f>
        <v>21.62</v>
      </c>
      <c r="K157" s="4">
        <f t="array" ref="K157">IFERROR(IF(INDEX(Matches!$AA$5:$AA$22,MATCH($C157,Matches!$A$5:$A$22,0))="","",INDEX(Matches!$AA$5:$AA$22,MATCH($C157,Matches!$A$5:$A$22,0))),"")</f>
        <v>21.62</v>
      </c>
      <c r="L157" s="4">
        <f t="array" ref="L157">IFERROR(IF(INDEX(Matches!$AB$5:$AB$22,MATCH($C157,Matches!$A$5:$A$22,0))="","",INDEX(Matches!$AB$5:$AB$22,MATCH($C157,Matches!$A$5:$A$22,0))),"")</f>
        <v>22.5</v>
      </c>
      <c r="M157" s="11">
        <f t="array" ref="M157">IFERROR(IF(INDEX(Matches!$AC$5:$AC$22,MATCH($C157,Matches!$A$5:$A$22,0))="","",INDEX(Matches!$AC$5:$AC$22,MATCH($C157,Matches!$A$5:$A$22,0))),"")</f>
        <v>0.4896</v>
      </c>
      <c r="N157" s="4">
        <f t="array" ref="N157">IFERROR(INDEX(Players!$F$2:$F$127,MATCH($F157,Players!$A$2:$A$127,0)),0)</f>
        <v>39</v>
      </c>
      <c r="O157" s="18">
        <f t="array" ref="O157">IFERROR(1/(1/INDEX(Players!$H$2:$H$127,MATCH($F157,Players!$A$2:$A$127,0))),"")</f>
        <v>0.74</v>
      </c>
      <c r="P157" s="11" t="str">
        <f t="array" ref="P157">IFERROR(1/(1/INDEX(Players!$I$2:$I$127,MATCH($F157,Players!$A$2:$A$127,0))),"")</f>
        <v/>
      </c>
      <c r="Q157" s="4">
        <f>IF($G157="",0,SUMIFS(Map_Stats!$F$2:$F$825,Map_Stats!$A$2:$A$825,$F157&amp;"|"&amp;$G157))</f>
        <v>9</v>
      </c>
      <c r="R157" s="18">
        <f t="array" ref="R157">IF($G157="","",IFERROR(1/(1/INDEX(Map_Stats!$K$2:$K$825,MATCH($F157&amp;"|"&amp;$G157,Map_Stats!$A$2:$A$825,0))),$O157))</f>
        <v>0.690605686</v>
      </c>
      <c r="S157" s="11" t="str">
        <f t="array" ref="S157">IF(OR($G157="",$P157=""),"",IFERROR(1/(1/INDEX(Map_Stats!$I$2:$I$825,MATCH($F157&amp;"|"&amp;$G157,Map_Stats!$A$2:$A$825,0))),$P157))</f>
        <v/>
      </c>
      <c r="T157" s="18">
        <f>IF(OR($G157="",R157=""),"",IF($O157="",R157,(Q157*R157+Config!$B$4*$O157)/(Q157+Config!$B$4)))</f>
        <v>0.7082465124</v>
      </c>
      <c r="U157" s="11" t="str">
        <f>IF(S157="","",(Q157*S157+Config!$B$4*$P157)/(Q157+Config!$B$4))</f>
        <v/>
      </c>
      <c r="V157" s="17">
        <f>IF(OR(T157="",$J157=""),"",T157*$J157*($J157/Config!$B$11)^Config!$B$9)</f>
        <v>15.3122896</v>
      </c>
      <c r="W157" s="17" t="str">
        <f t="shared" si="1"/>
        <v/>
      </c>
      <c r="X157" s="4">
        <f>IF($H157="",0,SUMIFS(Map_Stats!$F$2:$F$825,Map_Stats!$A$2:$A$825,$F157&amp;"|"&amp;$H157))</f>
        <v>3</v>
      </c>
      <c r="Y157" s="18">
        <f t="array" ref="Y157">IF($H157="","",IFERROR(1/(1/INDEX(Map_Stats!$K$2:$K$825,MATCH($F157&amp;"|"&amp;$H157,Map_Stats!$A$2:$A$825,0))),$O157))</f>
        <v>0.7180469716</v>
      </c>
      <c r="Z157" s="11" t="str">
        <f t="array" ref="Z157">IF(OR($H157="",$P157=""),"",IFERROR(1/(1/INDEX(Map_Stats!$I$2:$I$825,MATCH($F157&amp;"|"&amp;$H157,Map_Stats!$A$2:$A$825,0))),$P157))</f>
        <v/>
      </c>
      <c r="AA157" s="18">
        <f>IF(OR($H157="",Y157=""),"",IF($O157="",Y157,(X157*Y157+Config!$B$4*$O157)/(X157+Config!$B$4)))</f>
        <v>0.7317676143</v>
      </c>
      <c r="AB157" s="11" t="str">
        <f>IF(Z157="","",(X157*Z157+Config!$B$4*$P157)/(X157+Config!$B$4))</f>
        <v/>
      </c>
      <c r="AC157" s="17">
        <f>IF(OR(AA157="",$K157=""),"",AA157*$K157*($K157/Config!$B$11)^Config!$B$9)</f>
        <v>15.82081582</v>
      </c>
      <c r="AD157" s="17" t="str">
        <f t="shared" si="2"/>
        <v/>
      </c>
      <c r="AE157" s="4">
        <f>IF($I157="",0,SUMIFS(Map_Stats!$F$2:$F$825,Map_Stats!$A$2:$A$825,$F157&amp;"|"&amp;$I157))</f>
        <v>6</v>
      </c>
      <c r="AF157" s="18">
        <f t="array" ref="AF157">IF($I157="","",IFERROR(1/(1/INDEX(Map_Stats!$K$2:$K$825,MATCH($F157&amp;"|"&amp;$I157,Map_Stats!$A$2:$A$825,0))),$O157))</f>
        <v>0.9284301607</v>
      </c>
      <c r="AG157" s="11" t="str">
        <f t="array" ref="AG157">IF(OR($I157="",$P157=""),"",IFERROR(1/(1/INDEX(Map_Stats!$I$2:$I$825,MATCH($F157&amp;"|"&amp;$I157,Map_Stats!$A$2:$A$825,0))),$P157))</f>
        <v/>
      </c>
      <c r="AH157" s="18">
        <f>IF(OR($I157="",AF157=""),"",IF($O157="",AF157,(AE157*AF157+Config!$B$4*$O157)/(AE157+Config!$B$4)))</f>
        <v>0.8427800877</v>
      </c>
      <c r="AI157" s="11" t="str">
        <f>IF(AG157="","",(AE157*AG157+Config!$B$4*$P157)/(AE157+Config!$B$4))</f>
        <v/>
      </c>
      <c r="AJ157" s="17">
        <f>IF(OR(AH157="",$L157=""),"",AH157*$L157*($L157/Config!$B$11)^Config!$B$9)</f>
        <v>18.96255197</v>
      </c>
      <c r="AK157" s="17" t="str">
        <f t="shared" si="3"/>
        <v/>
      </c>
      <c r="AL157" s="17">
        <f t="shared" si="4"/>
        <v>31.13310542</v>
      </c>
      <c r="AM157" s="17">
        <f t="shared" si="5"/>
        <v>40.41717087</v>
      </c>
      <c r="AN157" s="17" t="str">
        <f t="shared" si="6"/>
        <v/>
      </c>
      <c r="AO157" s="17" t="str">
        <f t="shared" si="7"/>
        <v/>
      </c>
      <c r="AP157" s="11">
        <f t="shared" si="8"/>
        <v>0</v>
      </c>
      <c r="AQ157" s="4" t="str">
        <f>TRIM(IF($N157&lt;Config!$B$12,"thin sample ("&amp;$N157&amp;" maps) · ","")&amp;IF(AND($G157&lt;&gt;"",Q157=0),"M1 unplayed→overall KPR · ","")&amp;IF(AND($H157&lt;&gt;"",X157=0),"M2 unplayed→overall KPR · ","")&amp;IF($O157="","no PickFinder stats",""))</f>
        <v/>
      </c>
      <c r="AR157" s="4" t="str">
        <f>IF($C157=Board!$B$2,COUNTIFS($C$2:$C$157,Board!$B$2,$AL$2:$AL$157,"&gt;"&amp;$AL157)+COUNTIFS($C$1:$C156,Board!$B$2,$AL$1:$AL156,$AL157)+1,"")</f>
        <v/>
      </c>
      <c r="AS157" s="4" t="str">
        <f t="array" ref="AS157">IFERROR(IF($D157=INDEX(Matches!$AD$5:$AD$22,MATCH($C157,Matches!$A$5:$A$22,0)),"A",IF($D157=INDEX(Matches!$AE$5:$AE$22,MATCH($C157,Matches!$A$5:$A$22,0)),"B","")),"")</f>
        <v>A</v>
      </c>
      <c r="AT157" s="11" t="str">
        <f t="array" ref="AT157">IF($AS157="","",IFERROR(IF($AS157="A",INDEX(Matches!$AI$5:$AI$22,MATCH($C157,Matches!$A$5:$A$22,0)),INDEX(Matches!$AJ$5:$AJ$22,MATCH($C157,Matches!$A$5:$A$22,0))),""))</f>
        <v/>
      </c>
      <c r="AU157" s="11" t="str">
        <f t="array" ref="AU157">IF($AS157="","",IFERROR(IF(INDEX(Matches!$AP$5:$AP$22,MATCH($C157,Matches!$A$5:$A$22,0))="","",IF($AS157="A",INDEX(Matches!$AP$5:$AP$22,MATCH($C157,Matches!$A$5:$A$22,0)),1-INDEX(Matches!$AP$5:$AP$22,MATCH($C157,Matches!$A$5:$A$22,0)))),""))</f>
        <v/>
      </c>
      <c r="AV157" s="18">
        <f>IF(OR($AU157="",$AT157=""),1,((Config!$B$14*$AU157+Config!$B$15*(1-$AU157))/(Config!$B$14*$AT157+Config!$B$15*(1-$AT157)))^Config!$B$13)</f>
        <v>1</v>
      </c>
      <c r="AW157" s="11" t="str">
        <f t="array" ref="AW157">IF($AS157="","",IFERROR(IF(INDEX(Matches!$AV$5:$AV$22,MATCH($C157,Matches!$A$5:$A$22,0))="","",IF($AS157="A",INDEX(Matches!$AV$5:$AV$22,MATCH($C157,Matches!$A$5:$A$22,0)),1-INDEX(Matches!$AV$5:$AV$22,MATCH($C157,Matches!$A$5:$A$22,0)))),""))</f>
        <v/>
      </c>
      <c r="AX157" s="18">
        <f>IF(OR($AW157="",$AT157=""),1,((Config!$B$14*$AW157+Config!$B$15*(1-$AW157))/(Config!$B$14*$AT157+Config!$B$15*(1-$AT157)))^Config!$B$13)</f>
        <v>1</v>
      </c>
      <c r="AY157" s="11" t="str">
        <f t="array" ref="AY157">IF($AS157="","",IFERROR(IF(INDEX(Matches!$BB$5:$BB$22,MATCH($C157,Matches!$A$5:$A$22,0))="","",IF($AS157="A",INDEX(Matches!$BB$5:$BB$22,MATCH($C157,Matches!$A$5:$A$22,0)),1-INDEX(Matches!$BB$5:$BB$22,MATCH($C157,Matches!$A$5:$A$22,0)))),""))</f>
        <v/>
      </c>
      <c r="AZ157" s="18">
        <f>IF(OR($AY157="",$AT157=""),1,((Config!$B$14*$AY157+Config!$B$15*(1-$AY157))/(Config!$B$14*$AT157+Config!$B$15*(1-$AT157)))^Config!$B$13)</f>
        <v>1</v>
      </c>
      <c r="BA157" s="17">
        <f t="shared" si="9"/>
        <v>15.3122896</v>
      </c>
      <c r="BB157" s="17">
        <f t="shared" si="10"/>
        <v>15.82081582</v>
      </c>
      <c r="BC157" s="17">
        <f t="shared" si="11"/>
        <v>18.96255197</v>
      </c>
      <c r="BD157" s="17">
        <f t="shared" si="12"/>
        <v>31.13310542</v>
      </c>
      <c r="BE157" s="17">
        <f t="shared" si="13"/>
        <v>40.41717087</v>
      </c>
      <c r="BF157" s="17" t="str">
        <f t="shared" si="14"/>
        <v/>
      </c>
      <c r="BG157" s="17" t="str">
        <f t="shared" si="15"/>
        <v/>
      </c>
      <c r="BH157" s="17" t="str">
        <f t="shared" si="16"/>
        <v/>
      </c>
      <c r="BI157" s="17" t="str">
        <f t="shared" si="17"/>
        <v/>
      </c>
      <c r="BJ157" s="17" t="str">
        <f t="shared" si="18"/>
        <v/>
      </c>
      <c r="BK157" s="18">
        <f t="shared" si="19"/>
        <v>1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110.0"/>
    <col customWidth="1" min="4" max="4" width="8.71"/>
    <col customWidth="1" min="5" max="6" width="14.0"/>
    <col customWidth="1" min="7" max="26" width="8.71"/>
  </cols>
  <sheetData>
    <row r="1">
      <c r="A1" s="1" t="s">
        <v>1183</v>
      </c>
    </row>
    <row r="3">
      <c r="A3" s="7" t="s">
        <v>1184</v>
      </c>
      <c r="B3" s="7" t="s">
        <v>1185</v>
      </c>
      <c r="C3" s="7" t="s">
        <v>1186</v>
      </c>
      <c r="E3" s="19" t="s">
        <v>1187</v>
      </c>
      <c r="F3" s="19" t="s">
        <v>1188</v>
      </c>
    </row>
    <row r="4">
      <c r="A4" s="2" t="s">
        <v>1189</v>
      </c>
      <c r="B4" s="13">
        <v>5.0</v>
      </c>
      <c r="C4" s="5" t="s">
        <v>1190</v>
      </c>
      <c r="E4" s="4" t="s">
        <v>110</v>
      </c>
      <c r="F4" s="4" t="s">
        <v>165</v>
      </c>
    </row>
    <row r="5">
      <c r="A5" s="2" t="s">
        <v>1191</v>
      </c>
      <c r="B5" s="13">
        <v>1.4</v>
      </c>
      <c r="C5" s="5" t="s">
        <v>1192</v>
      </c>
      <c r="E5" s="4" t="s">
        <v>112</v>
      </c>
      <c r="F5" s="4" t="s">
        <v>168</v>
      </c>
    </row>
    <row r="6">
      <c r="A6" s="2" t="s">
        <v>1193</v>
      </c>
      <c r="B6" s="13">
        <v>0.04</v>
      </c>
      <c r="C6" s="5" t="s">
        <v>1194</v>
      </c>
      <c r="E6" s="4" t="s">
        <v>113</v>
      </c>
      <c r="F6" s="4" t="s">
        <v>156</v>
      </c>
    </row>
    <row r="7">
      <c r="A7" s="2" t="s">
        <v>1195</v>
      </c>
      <c r="B7" s="13">
        <v>21.5</v>
      </c>
      <c r="C7" s="5" t="s">
        <v>1196</v>
      </c>
      <c r="E7" s="4" t="s">
        <v>276</v>
      </c>
      <c r="F7" s="4" t="s">
        <v>147</v>
      </c>
    </row>
    <row r="8">
      <c r="A8" s="2" t="s">
        <v>1197</v>
      </c>
      <c r="B8" s="13">
        <v>22.5</v>
      </c>
      <c r="C8" s="5" t="s">
        <v>1198</v>
      </c>
      <c r="E8" s="4" t="s">
        <v>270</v>
      </c>
      <c r="F8" s="4" t="s">
        <v>161</v>
      </c>
    </row>
    <row r="9">
      <c r="A9" s="2" t="s">
        <v>1199</v>
      </c>
      <c r="B9" s="13">
        <v>0.0</v>
      </c>
      <c r="C9" s="5" t="s">
        <v>1200</v>
      </c>
      <c r="E9" s="4" t="s">
        <v>250</v>
      </c>
      <c r="F9" s="4" t="s">
        <v>141</v>
      </c>
    </row>
    <row r="10">
      <c r="A10" s="2" t="s">
        <v>1201</v>
      </c>
      <c r="B10" s="13">
        <v>21.5</v>
      </c>
      <c r="C10" s="5" t="s">
        <v>1202</v>
      </c>
      <c r="E10" s="4" t="s">
        <v>262</v>
      </c>
      <c r="F10" s="4" t="s">
        <v>152</v>
      </c>
    </row>
    <row r="11">
      <c r="A11" s="2" t="s">
        <v>1203</v>
      </c>
      <c r="B11" s="13">
        <v>22.5</v>
      </c>
      <c r="C11" s="5" t="s">
        <v>1198</v>
      </c>
      <c r="F11" s="4" t="s">
        <v>172</v>
      </c>
    </row>
    <row r="12">
      <c r="A12" s="2" t="s">
        <v>1204</v>
      </c>
      <c r="B12" s="13">
        <v>15.0</v>
      </c>
      <c r="C12" s="5" t="s">
        <v>1205</v>
      </c>
    </row>
    <row r="13">
      <c r="A13" s="2" t="s">
        <v>1206</v>
      </c>
      <c r="B13" s="13">
        <v>1.0</v>
      </c>
      <c r="C13" s="5" t="s">
        <v>1207</v>
      </c>
    </row>
    <row r="14">
      <c r="A14" s="2" t="s">
        <v>1208</v>
      </c>
      <c r="B14" s="13">
        <v>4.76</v>
      </c>
      <c r="C14" s="5" t="s">
        <v>1209</v>
      </c>
    </row>
    <row r="15">
      <c r="A15" s="2" t="s">
        <v>1210</v>
      </c>
      <c r="B15" s="13">
        <v>1.82</v>
      </c>
      <c r="C15" s="5" t="s">
        <v>1211</v>
      </c>
    </row>
    <row r="17">
      <c r="A17" s="2" t="s">
        <v>1212</v>
      </c>
    </row>
    <row r="18">
      <c r="A18" s="4" t="s">
        <v>1213</v>
      </c>
      <c r="B18" s="4" t="s">
        <v>1214</v>
      </c>
    </row>
    <row r="19">
      <c r="A19" s="4" t="s">
        <v>1215</v>
      </c>
      <c r="B19" s="4" t="s">
        <v>1216</v>
      </c>
    </row>
    <row r="20">
      <c r="A20" s="4" t="s">
        <v>1217</v>
      </c>
      <c r="C20" s="4" t="s">
        <v>1218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0"/>
    <col customWidth="1" min="2" max="2" width="14.0"/>
    <col customWidth="1" min="3" max="3" width="6.0"/>
    <col customWidth="1" min="4" max="4" width="9.0"/>
    <col customWidth="1" min="5" max="5" width="18.0"/>
    <col customWidth="1" min="6" max="6" width="7.0"/>
    <col customWidth="1" min="7" max="7" width="9.0"/>
    <col customWidth="1" min="8" max="9" width="7.0"/>
    <col customWidth="1" min="10" max="10" width="9.0"/>
    <col customWidth="1" min="11" max="11" width="6.0"/>
    <col customWidth="1" min="12" max="12" width="7.0"/>
    <col customWidth="1" min="13" max="13" width="10.0"/>
    <col customWidth="1" min="14" max="14" width="9.0"/>
    <col customWidth="1" min="15" max="15" width="60.0"/>
    <col customWidth="1" min="16" max="26" width="8.71"/>
  </cols>
  <sheetData>
    <row r="1">
      <c r="A1" s="7" t="s">
        <v>1099</v>
      </c>
      <c r="B1" s="7" t="s">
        <v>308</v>
      </c>
      <c r="C1" s="7" t="s">
        <v>15</v>
      </c>
      <c r="D1" s="7" t="s">
        <v>309</v>
      </c>
      <c r="E1" s="7" t="s">
        <v>1220</v>
      </c>
      <c r="F1" s="7" t="s">
        <v>1221</v>
      </c>
      <c r="G1" s="7" t="s">
        <v>1222</v>
      </c>
      <c r="H1" s="7" t="s">
        <v>1223</v>
      </c>
      <c r="I1" s="7" t="s">
        <v>1224</v>
      </c>
      <c r="J1" s="7" t="s">
        <v>1225</v>
      </c>
      <c r="K1" s="7" t="s">
        <v>1226</v>
      </c>
      <c r="L1" s="7" t="s">
        <v>1227</v>
      </c>
      <c r="M1" s="7" t="s">
        <v>1228</v>
      </c>
      <c r="N1" s="7" t="s">
        <v>1229</v>
      </c>
      <c r="O1" s="7" t="s">
        <v>1230</v>
      </c>
    </row>
    <row r="2">
      <c r="A2" s="4" t="s">
        <v>1150</v>
      </c>
      <c r="B2" s="4" t="s">
        <v>366</v>
      </c>
      <c r="C2" s="4" t="s">
        <v>86</v>
      </c>
      <c r="D2" s="4" t="s">
        <v>368</v>
      </c>
      <c r="E2" s="4" t="s">
        <v>1231</v>
      </c>
      <c r="F2" s="4">
        <v>30.0</v>
      </c>
      <c r="G2" s="4">
        <v>15.37</v>
      </c>
      <c r="H2" s="4">
        <v>0.73</v>
      </c>
      <c r="I2" s="11">
        <v>0.315</v>
      </c>
      <c r="J2" s="4">
        <v>0.23</v>
      </c>
      <c r="K2" s="4">
        <v>1.31</v>
      </c>
      <c r="L2" s="4">
        <v>1.18</v>
      </c>
      <c r="M2" s="12">
        <f t="shared" ref="M2:M127" si="1">IFERROR(G2/H2,"")</f>
        <v>21.05479452</v>
      </c>
      <c r="N2" s="4" t="s">
        <v>1232</v>
      </c>
      <c r="O2" s="4" t="s">
        <v>1233</v>
      </c>
    </row>
    <row r="3">
      <c r="A3" s="4" t="s">
        <v>1175</v>
      </c>
      <c r="B3" s="4" t="s">
        <v>945</v>
      </c>
      <c r="C3" s="4" t="s">
        <v>86</v>
      </c>
      <c r="D3" s="4" t="s">
        <v>368</v>
      </c>
      <c r="E3" s="4" t="s">
        <v>1231</v>
      </c>
      <c r="F3" s="4">
        <v>30.0</v>
      </c>
      <c r="G3" s="4">
        <v>12.0</v>
      </c>
      <c r="H3" s="4">
        <v>0.57</v>
      </c>
      <c r="I3" s="11">
        <v>0.508</v>
      </c>
      <c r="J3" s="4">
        <v>0.29</v>
      </c>
      <c r="K3" s="4">
        <v>0.83</v>
      </c>
      <c r="L3" s="4">
        <v>1.0</v>
      </c>
      <c r="M3" s="12">
        <f t="shared" si="1"/>
        <v>21.05263158</v>
      </c>
      <c r="N3" s="4" t="s">
        <v>1232</v>
      </c>
      <c r="O3" s="4" t="s">
        <v>1235</v>
      </c>
    </row>
    <row r="4">
      <c r="A4" s="4" t="s">
        <v>1236</v>
      </c>
      <c r="B4" s="4" t="s">
        <v>1151</v>
      </c>
      <c r="C4" s="4" t="s">
        <v>86</v>
      </c>
      <c r="D4" s="4" t="s">
        <v>368</v>
      </c>
      <c r="E4" s="4" t="s">
        <v>1231</v>
      </c>
      <c r="F4" s="4">
        <v>30.0</v>
      </c>
      <c r="G4" s="4">
        <v>15.23</v>
      </c>
      <c r="H4" s="4">
        <v>0.73</v>
      </c>
      <c r="I4" s="11">
        <v>0.562</v>
      </c>
      <c r="J4" s="4">
        <v>0.41</v>
      </c>
      <c r="K4" s="4">
        <v>1.14</v>
      </c>
      <c r="L4" s="4">
        <v>1.25</v>
      </c>
      <c r="M4" s="12">
        <f t="shared" si="1"/>
        <v>20.8630137</v>
      </c>
      <c r="N4" s="4" t="s">
        <v>1232</v>
      </c>
      <c r="O4" s="4" t="s">
        <v>1239</v>
      </c>
    </row>
    <row r="5">
      <c r="A5" s="4" t="s">
        <v>1240</v>
      </c>
      <c r="B5" s="4" t="s">
        <v>1167</v>
      </c>
      <c r="C5" s="4" t="s">
        <v>86</v>
      </c>
      <c r="D5" s="4" t="s">
        <v>368</v>
      </c>
      <c r="E5" s="4" t="s">
        <v>1231</v>
      </c>
      <c r="F5" s="4">
        <v>30.0</v>
      </c>
      <c r="G5" s="4">
        <v>15.03</v>
      </c>
      <c r="H5" s="4">
        <v>0.72</v>
      </c>
      <c r="I5" s="11">
        <v>0.5720000000000001</v>
      </c>
      <c r="J5" s="4">
        <v>0.41</v>
      </c>
      <c r="K5" s="4">
        <v>1.12</v>
      </c>
      <c r="L5" s="4">
        <v>1.2</v>
      </c>
      <c r="M5" s="12">
        <f t="shared" si="1"/>
        <v>20.875</v>
      </c>
      <c r="N5" s="4" t="s">
        <v>1232</v>
      </c>
      <c r="O5" s="4" t="s">
        <v>1243</v>
      </c>
    </row>
    <row r="6">
      <c r="A6" s="4" t="s">
        <v>1244</v>
      </c>
      <c r="B6" s="4" t="s">
        <v>1219</v>
      </c>
      <c r="C6" s="4" t="s">
        <v>86</v>
      </c>
      <c r="D6" s="4" t="s">
        <v>368</v>
      </c>
      <c r="E6" s="4" t="s">
        <v>1231</v>
      </c>
      <c r="F6" s="4">
        <v>30.0</v>
      </c>
      <c r="G6" s="4">
        <v>14.47</v>
      </c>
      <c r="H6" s="4">
        <v>0.69</v>
      </c>
      <c r="I6" s="11">
        <v>0.613</v>
      </c>
      <c r="J6" s="4">
        <v>0.42</v>
      </c>
      <c r="K6" s="4">
        <v>1.11</v>
      </c>
      <c r="L6" s="4">
        <v>1.15</v>
      </c>
      <c r="M6" s="12">
        <f t="shared" si="1"/>
        <v>20.97101449</v>
      </c>
      <c r="N6" s="4" t="s">
        <v>1232</v>
      </c>
      <c r="O6" s="4" t="s">
        <v>1245</v>
      </c>
    </row>
    <row r="7">
      <c r="A7" s="4" t="s">
        <v>1246</v>
      </c>
      <c r="B7" s="4" t="s">
        <v>1247</v>
      </c>
      <c r="C7" s="4" t="s">
        <v>86</v>
      </c>
      <c r="D7" s="4" t="s">
        <v>1174</v>
      </c>
      <c r="E7" s="4" t="s">
        <v>1248</v>
      </c>
      <c r="F7" s="4">
        <v>33.0</v>
      </c>
      <c r="G7" s="4">
        <v>14.36</v>
      </c>
      <c r="H7" s="4">
        <v>0.7</v>
      </c>
      <c r="I7" s="11">
        <v>0.561</v>
      </c>
      <c r="J7" s="4">
        <v>0.39</v>
      </c>
      <c r="K7" s="4">
        <v>1.11</v>
      </c>
      <c r="L7" s="4">
        <v>1.13</v>
      </c>
      <c r="M7" s="12">
        <f t="shared" si="1"/>
        <v>20.51428571</v>
      </c>
      <c r="N7" s="4" t="s">
        <v>1232</v>
      </c>
      <c r="O7" s="4" t="s">
        <v>1249</v>
      </c>
    </row>
    <row r="8">
      <c r="A8" s="4" t="s">
        <v>1250</v>
      </c>
      <c r="B8" s="4" t="s">
        <v>1251</v>
      </c>
      <c r="C8" s="4" t="s">
        <v>86</v>
      </c>
      <c r="D8" s="4" t="s">
        <v>1174</v>
      </c>
      <c r="E8" s="4" t="s">
        <v>1248</v>
      </c>
      <c r="F8" s="4">
        <v>33.0</v>
      </c>
      <c r="G8" s="4">
        <v>13.79</v>
      </c>
      <c r="H8" s="4">
        <v>0.68</v>
      </c>
      <c r="I8" s="11">
        <v>0.626</v>
      </c>
      <c r="J8" s="4">
        <v>0.42</v>
      </c>
      <c r="K8" s="4">
        <v>0.98</v>
      </c>
      <c r="L8" s="4">
        <v>1.14</v>
      </c>
      <c r="M8" s="12">
        <f t="shared" si="1"/>
        <v>20.27941176</v>
      </c>
      <c r="N8" s="4" t="s">
        <v>1232</v>
      </c>
      <c r="O8" s="4" t="s">
        <v>1252</v>
      </c>
    </row>
    <row r="9">
      <c r="A9" s="4" t="s">
        <v>1253</v>
      </c>
      <c r="B9" s="4" t="s">
        <v>1254</v>
      </c>
      <c r="C9" s="4" t="s">
        <v>86</v>
      </c>
      <c r="D9" s="4" t="s">
        <v>1174</v>
      </c>
      <c r="E9" s="4" t="s">
        <v>1248</v>
      </c>
      <c r="F9" s="4">
        <v>33.0</v>
      </c>
      <c r="G9" s="4">
        <v>13.52</v>
      </c>
      <c r="H9" s="4">
        <v>0.66</v>
      </c>
      <c r="I9" s="11">
        <v>0.59</v>
      </c>
      <c r="J9" s="4">
        <v>0.39</v>
      </c>
      <c r="K9" s="4">
        <v>0.92</v>
      </c>
      <c r="L9" s="4">
        <v>1.03</v>
      </c>
      <c r="M9" s="12">
        <f t="shared" si="1"/>
        <v>20.48484848</v>
      </c>
      <c r="N9" s="4" t="s">
        <v>1232</v>
      </c>
      <c r="O9" s="4" t="s">
        <v>1255</v>
      </c>
    </row>
    <row r="10">
      <c r="A10" s="4" t="s">
        <v>1256</v>
      </c>
      <c r="B10" s="4" t="s">
        <v>1257</v>
      </c>
      <c r="C10" s="4" t="s">
        <v>86</v>
      </c>
      <c r="D10" s="4" t="s">
        <v>1174</v>
      </c>
      <c r="E10" s="4" t="s">
        <v>1248</v>
      </c>
      <c r="F10" s="4">
        <v>33.0</v>
      </c>
      <c r="G10" s="4">
        <v>10.85</v>
      </c>
      <c r="H10" s="4">
        <v>0.53</v>
      </c>
      <c r="I10" s="11">
        <v>0.508</v>
      </c>
      <c r="J10" s="4">
        <v>0.27</v>
      </c>
      <c r="K10" s="4">
        <v>0.8</v>
      </c>
      <c r="L10" s="4">
        <v>0.92</v>
      </c>
      <c r="M10" s="12">
        <f t="shared" si="1"/>
        <v>20.47169811</v>
      </c>
      <c r="N10" s="4" t="s">
        <v>1232</v>
      </c>
      <c r="O10" s="4" t="s">
        <v>1258</v>
      </c>
    </row>
    <row r="11">
      <c r="A11" s="4" t="s">
        <v>1259</v>
      </c>
      <c r="B11" s="4" t="s">
        <v>1260</v>
      </c>
      <c r="C11" s="4" t="s">
        <v>86</v>
      </c>
      <c r="D11" s="4" t="s">
        <v>1174</v>
      </c>
      <c r="E11" s="4" t="s">
        <v>1248</v>
      </c>
      <c r="F11" s="4">
        <v>33.0</v>
      </c>
      <c r="G11" s="4">
        <v>12.27</v>
      </c>
      <c r="H11" s="4">
        <v>0.6</v>
      </c>
      <c r="I11" s="11">
        <v>0.41</v>
      </c>
      <c r="J11" s="4">
        <v>0.25</v>
      </c>
      <c r="K11" s="4">
        <v>1.01</v>
      </c>
      <c r="L11" s="4">
        <v>0.96</v>
      </c>
      <c r="M11" s="12">
        <f t="shared" si="1"/>
        <v>20.45</v>
      </c>
      <c r="N11" s="4" t="s">
        <v>1232</v>
      </c>
      <c r="O11" s="4" t="s">
        <v>1261</v>
      </c>
    </row>
    <row r="12">
      <c r="A12" s="4" t="s">
        <v>1262</v>
      </c>
      <c r="B12" s="4" t="s">
        <v>1263</v>
      </c>
      <c r="C12" s="4" t="s">
        <v>86</v>
      </c>
      <c r="D12" s="4" t="s">
        <v>1181</v>
      </c>
      <c r="E12" s="4" t="s">
        <v>1264</v>
      </c>
      <c r="F12" s="4">
        <v>37.0</v>
      </c>
      <c r="G12" s="4">
        <v>13.54</v>
      </c>
      <c r="H12" s="4">
        <v>0.61</v>
      </c>
      <c r="I12" s="11">
        <v>0.393</v>
      </c>
      <c r="J12" s="4">
        <v>0.24</v>
      </c>
      <c r="K12" s="4">
        <v>0.97</v>
      </c>
      <c r="L12" s="4">
        <v>0.97</v>
      </c>
      <c r="M12" s="12">
        <f t="shared" si="1"/>
        <v>22.19672131</v>
      </c>
      <c r="N12" s="4" t="s">
        <v>1232</v>
      </c>
      <c r="O12" s="4" t="s">
        <v>1265</v>
      </c>
    </row>
    <row r="13">
      <c r="A13" s="4" t="s">
        <v>1266</v>
      </c>
      <c r="B13" s="4" t="s">
        <v>1267</v>
      </c>
      <c r="C13" s="4" t="s">
        <v>86</v>
      </c>
      <c r="D13" s="4" t="s">
        <v>1181</v>
      </c>
      <c r="E13" s="4" t="s">
        <v>1264</v>
      </c>
      <c r="F13" s="4">
        <v>42.0</v>
      </c>
      <c r="G13" s="4">
        <v>16.43</v>
      </c>
      <c r="H13" s="4">
        <v>0.74</v>
      </c>
      <c r="I13" s="11">
        <v>0.27</v>
      </c>
      <c r="J13" s="4">
        <v>0.2</v>
      </c>
      <c r="K13" s="4">
        <v>1.29</v>
      </c>
      <c r="L13" s="4">
        <v>1.26</v>
      </c>
      <c r="M13" s="12">
        <f t="shared" si="1"/>
        <v>22.2027027</v>
      </c>
      <c r="N13" s="4" t="s">
        <v>1232</v>
      </c>
      <c r="O13" s="4" t="s">
        <v>1268</v>
      </c>
    </row>
    <row r="14">
      <c r="A14" s="4" t="s">
        <v>1269</v>
      </c>
      <c r="B14" s="4" t="s">
        <v>1270</v>
      </c>
      <c r="C14" s="4" t="s">
        <v>86</v>
      </c>
      <c r="D14" s="4" t="s">
        <v>1181</v>
      </c>
      <c r="E14" s="4" t="s">
        <v>1264</v>
      </c>
      <c r="F14" s="4">
        <v>42.0</v>
      </c>
      <c r="G14" s="4">
        <v>16.83</v>
      </c>
      <c r="H14" s="4">
        <v>0.76</v>
      </c>
      <c r="I14" s="11">
        <v>0.509</v>
      </c>
      <c r="J14" s="4">
        <v>0.39</v>
      </c>
      <c r="K14" s="4">
        <v>1.21</v>
      </c>
      <c r="L14" s="4">
        <v>1.29</v>
      </c>
      <c r="M14" s="12">
        <f t="shared" si="1"/>
        <v>22.14473684</v>
      </c>
      <c r="N14" s="4" t="s">
        <v>1232</v>
      </c>
      <c r="O14" s="4" t="s">
        <v>1271</v>
      </c>
    </row>
    <row r="15">
      <c r="A15" s="4" t="s">
        <v>1272</v>
      </c>
      <c r="B15" s="4" t="s">
        <v>1273</v>
      </c>
      <c r="C15" s="4" t="s">
        <v>86</v>
      </c>
      <c r="D15" s="4" t="s">
        <v>1181</v>
      </c>
      <c r="E15" s="4" t="s">
        <v>1264</v>
      </c>
      <c r="F15" s="4">
        <v>30.0</v>
      </c>
      <c r="G15" s="4">
        <v>11.37</v>
      </c>
      <c r="H15" s="4">
        <v>0.53</v>
      </c>
      <c r="I15" s="11">
        <v>0.56</v>
      </c>
      <c r="J15" s="4">
        <v>0.3</v>
      </c>
      <c r="K15" s="4">
        <v>0.76</v>
      </c>
      <c r="L15" s="4">
        <v>0.87</v>
      </c>
      <c r="M15" s="12">
        <f t="shared" si="1"/>
        <v>21.45283019</v>
      </c>
      <c r="N15" s="4" t="s">
        <v>1232</v>
      </c>
      <c r="O15" s="4" t="s">
        <v>1274</v>
      </c>
    </row>
    <row r="16">
      <c r="A16" s="4" t="s">
        <v>1275</v>
      </c>
      <c r="B16" s="4" t="s">
        <v>1276</v>
      </c>
      <c r="C16" s="4" t="s">
        <v>86</v>
      </c>
      <c r="D16" s="4" t="s">
        <v>1181</v>
      </c>
      <c r="E16" s="4" t="s">
        <v>1264</v>
      </c>
      <c r="F16" s="4">
        <v>42.0</v>
      </c>
      <c r="G16" s="4">
        <v>16.5</v>
      </c>
      <c r="H16" s="4">
        <v>0.74</v>
      </c>
      <c r="I16" s="11">
        <v>0.556</v>
      </c>
      <c r="J16" s="4">
        <v>0.41</v>
      </c>
      <c r="K16" s="4">
        <v>1.13</v>
      </c>
      <c r="L16" s="4">
        <v>1.3</v>
      </c>
      <c r="M16" s="12">
        <f t="shared" si="1"/>
        <v>22.2972973</v>
      </c>
      <c r="N16" s="4" t="s">
        <v>1232</v>
      </c>
      <c r="O16" s="4" t="s">
        <v>1277</v>
      </c>
    </row>
    <row r="17">
      <c r="A17" s="4" t="s">
        <v>1278</v>
      </c>
      <c r="B17" s="4" t="s">
        <v>1279</v>
      </c>
      <c r="C17" s="4" t="s">
        <v>86</v>
      </c>
      <c r="D17" s="4" t="s">
        <v>1173</v>
      </c>
      <c r="E17" s="4" t="s">
        <v>1280</v>
      </c>
      <c r="F17" s="4">
        <v>37.0</v>
      </c>
      <c r="G17" s="4">
        <v>14.08</v>
      </c>
      <c r="H17" s="4">
        <v>0.68</v>
      </c>
      <c r="I17" s="11">
        <v>0.578</v>
      </c>
      <c r="J17" s="4">
        <v>0.39</v>
      </c>
      <c r="K17" s="4">
        <v>1.1</v>
      </c>
      <c r="L17" s="4">
        <v>1.17</v>
      </c>
      <c r="M17" s="12">
        <f t="shared" si="1"/>
        <v>20.70588235</v>
      </c>
      <c r="N17" s="4" t="s">
        <v>1232</v>
      </c>
      <c r="O17" s="4" t="s">
        <v>1281</v>
      </c>
    </row>
    <row r="18">
      <c r="A18" s="4" t="s">
        <v>1282</v>
      </c>
      <c r="B18" s="4" t="s">
        <v>1283</v>
      </c>
      <c r="C18" s="4" t="s">
        <v>86</v>
      </c>
      <c r="D18" s="4" t="s">
        <v>1173</v>
      </c>
      <c r="E18" s="4" t="s">
        <v>1280</v>
      </c>
      <c r="F18" s="4">
        <v>37.0</v>
      </c>
      <c r="G18" s="4">
        <v>11.08</v>
      </c>
      <c r="H18" s="4">
        <v>0.53</v>
      </c>
      <c r="I18" s="11">
        <v>0.561</v>
      </c>
      <c r="J18" s="4">
        <v>0.3</v>
      </c>
      <c r="K18" s="4">
        <v>0.78</v>
      </c>
      <c r="L18" s="4">
        <v>0.98</v>
      </c>
      <c r="M18" s="12">
        <f t="shared" si="1"/>
        <v>20.90566038</v>
      </c>
      <c r="N18" s="4" t="s">
        <v>1232</v>
      </c>
      <c r="O18" s="4" t="s">
        <v>1284</v>
      </c>
    </row>
    <row r="19">
      <c r="A19" s="4" t="s">
        <v>1285</v>
      </c>
      <c r="B19" s="4" t="s">
        <v>1286</v>
      </c>
      <c r="C19" s="4" t="s">
        <v>86</v>
      </c>
      <c r="D19" s="4" t="s">
        <v>1173</v>
      </c>
      <c r="E19" s="4" t="s">
        <v>1280</v>
      </c>
      <c r="F19" s="4">
        <v>37.0</v>
      </c>
      <c r="G19" s="4">
        <v>16.22</v>
      </c>
      <c r="H19" s="4">
        <v>0.78</v>
      </c>
      <c r="I19" s="11">
        <v>0.555</v>
      </c>
      <c r="J19" s="4">
        <v>0.43</v>
      </c>
      <c r="K19" s="4">
        <v>1.17</v>
      </c>
      <c r="L19" s="4">
        <v>1.21</v>
      </c>
      <c r="M19" s="12">
        <f t="shared" si="1"/>
        <v>20.79487179</v>
      </c>
      <c r="N19" s="4" t="s">
        <v>1232</v>
      </c>
      <c r="O19" s="4" t="s">
        <v>1287</v>
      </c>
    </row>
    <row r="20">
      <c r="A20" s="4" t="s">
        <v>1288</v>
      </c>
      <c r="B20" s="4" t="s">
        <v>1289</v>
      </c>
      <c r="C20" s="4" t="s">
        <v>86</v>
      </c>
      <c r="D20" s="4" t="s">
        <v>1173</v>
      </c>
      <c r="E20" s="4" t="s">
        <v>1280</v>
      </c>
      <c r="F20" s="4">
        <v>37.0</v>
      </c>
      <c r="G20" s="4">
        <v>14.46</v>
      </c>
      <c r="H20" s="4">
        <v>0.69</v>
      </c>
      <c r="I20" s="11">
        <v>0.303</v>
      </c>
      <c r="J20" s="4">
        <v>0.21</v>
      </c>
      <c r="K20" s="4">
        <v>1.13</v>
      </c>
      <c r="L20" s="4">
        <v>1.07</v>
      </c>
      <c r="M20" s="12">
        <f t="shared" si="1"/>
        <v>20.95652174</v>
      </c>
      <c r="N20" s="4" t="s">
        <v>1232</v>
      </c>
      <c r="O20" s="4" t="s">
        <v>1290</v>
      </c>
    </row>
    <row r="21" ht="15.75" customHeight="1">
      <c r="A21" s="4" t="s">
        <v>1291</v>
      </c>
      <c r="B21" s="4" t="s">
        <v>1292</v>
      </c>
      <c r="C21" s="4" t="s">
        <v>86</v>
      </c>
      <c r="D21" s="4" t="s">
        <v>1173</v>
      </c>
      <c r="E21" s="4" t="s">
        <v>1280</v>
      </c>
      <c r="F21" s="4">
        <v>37.0</v>
      </c>
      <c r="G21" s="4">
        <v>13.68</v>
      </c>
      <c r="H21" s="4">
        <v>0.66</v>
      </c>
      <c r="I21" s="11">
        <v>0.522</v>
      </c>
      <c r="J21" s="4">
        <v>0.34</v>
      </c>
      <c r="K21" s="4">
        <v>0.96</v>
      </c>
      <c r="L21" s="4">
        <v>1.02</v>
      </c>
      <c r="M21" s="12">
        <f t="shared" si="1"/>
        <v>20.72727273</v>
      </c>
      <c r="N21" s="4" t="s">
        <v>1232</v>
      </c>
      <c r="O21" s="4" t="s">
        <v>1293</v>
      </c>
    </row>
    <row r="22" ht="15.75" customHeight="1">
      <c r="A22" s="4" t="s">
        <v>1294</v>
      </c>
      <c r="B22" s="4" t="s">
        <v>1295</v>
      </c>
      <c r="C22" s="4" t="s">
        <v>86</v>
      </c>
      <c r="D22" s="4" t="s">
        <v>1297</v>
      </c>
      <c r="E22" s="4" t="s">
        <v>1298</v>
      </c>
      <c r="F22" s="4">
        <v>32.0</v>
      </c>
      <c r="G22" s="4">
        <v>12.41</v>
      </c>
      <c r="H22" s="4">
        <v>0.55</v>
      </c>
      <c r="I22" s="11">
        <v>0.458</v>
      </c>
      <c r="J22" s="4">
        <v>0.25</v>
      </c>
      <c r="K22" s="4">
        <v>0.82</v>
      </c>
      <c r="L22" s="4">
        <v>0.92</v>
      </c>
      <c r="M22" s="12">
        <f t="shared" si="1"/>
        <v>22.56363636</v>
      </c>
      <c r="N22" s="4" t="s">
        <v>1232</v>
      </c>
      <c r="O22" s="4" t="s">
        <v>1299</v>
      </c>
    </row>
    <row r="23" ht="15.75" customHeight="1">
      <c r="A23" s="4" t="s">
        <v>1300</v>
      </c>
      <c r="B23" s="4" t="s">
        <v>1301</v>
      </c>
      <c r="C23" s="4" t="s">
        <v>86</v>
      </c>
      <c r="D23" s="4" t="s">
        <v>1297</v>
      </c>
      <c r="E23" s="4" t="s">
        <v>1298</v>
      </c>
      <c r="F23" s="4">
        <v>32.0</v>
      </c>
      <c r="G23" s="4">
        <v>15.06</v>
      </c>
      <c r="H23" s="4">
        <v>0.67</v>
      </c>
      <c r="I23" s="11">
        <v>0.61</v>
      </c>
      <c r="J23" s="4">
        <v>0.41</v>
      </c>
      <c r="K23" s="4">
        <v>0.99</v>
      </c>
      <c r="L23" s="4">
        <v>1.09</v>
      </c>
      <c r="M23" s="12">
        <f t="shared" si="1"/>
        <v>22.47761194</v>
      </c>
      <c r="N23" s="4" t="s">
        <v>1232</v>
      </c>
      <c r="O23" s="4" t="s">
        <v>1302</v>
      </c>
    </row>
    <row r="24" ht="15.75" customHeight="1">
      <c r="A24" s="4" t="s">
        <v>1303</v>
      </c>
      <c r="B24" s="4" t="s">
        <v>1304</v>
      </c>
      <c r="C24" s="4" t="s">
        <v>86</v>
      </c>
      <c r="D24" s="4" t="s">
        <v>1297</v>
      </c>
      <c r="E24" s="4" t="s">
        <v>1298</v>
      </c>
      <c r="F24" s="4">
        <v>32.0</v>
      </c>
      <c r="G24" s="4">
        <v>16.13</v>
      </c>
      <c r="H24" s="4">
        <v>0.72</v>
      </c>
      <c r="I24" s="11">
        <v>0.535</v>
      </c>
      <c r="J24" s="4">
        <v>0.39</v>
      </c>
      <c r="K24" s="4">
        <v>1.01</v>
      </c>
      <c r="L24" s="4">
        <v>1.18</v>
      </c>
      <c r="M24" s="12">
        <f t="shared" si="1"/>
        <v>22.40277778</v>
      </c>
      <c r="N24" s="4" t="s">
        <v>1232</v>
      </c>
      <c r="O24" s="4" t="s">
        <v>1305</v>
      </c>
    </row>
    <row r="25" ht="15.75" customHeight="1">
      <c r="A25" s="4" t="s">
        <v>1306</v>
      </c>
      <c r="B25" s="4" t="s">
        <v>1307</v>
      </c>
      <c r="C25" s="4" t="s">
        <v>86</v>
      </c>
      <c r="D25" s="4" t="s">
        <v>1297</v>
      </c>
      <c r="E25" s="4" t="s">
        <v>1298</v>
      </c>
      <c r="F25" s="4">
        <v>33.0</v>
      </c>
      <c r="G25" s="4">
        <v>13.88</v>
      </c>
      <c r="H25" s="4">
        <v>0.63</v>
      </c>
      <c r="I25" s="11">
        <v>0.5760000000000001</v>
      </c>
      <c r="J25" s="4">
        <v>0.36</v>
      </c>
      <c r="K25" s="4">
        <v>0.96</v>
      </c>
      <c r="L25" s="4">
        <v>1.05</v>
      </c>
      <c r="M25" s="12">
        <f t="shared" si="1"/>
        <v>22.03174603</v>
      </c>
      <c r="N25" s="4" t="s">
        <v>1232</v>
      </c>
      <c r="O25" s="4" t="s">
        <v>1308</v>
      </c>
    </row>
    <row r="26" ht="15.75" customHeight="1">
      <c r="A26" s="4" t="s">
        <v>1309</v>
      </c>
      <c r="B26" s="4" t="s">
        <v>1310</v>
      </c>
      <c r="C26" s="4" t="s">
        <v>86</v>
      </c>
      <c r="D26" s="4" t="s">
        <v>1297</v>
      </c>
      <c r="E26" s="4" t="s">
        <v>1298</v>
      </c>
      <c r="F26" s="4">
        <v>32.0</v>
      </c>
      <c r="G26" s="4">
        <v>14.81</v>
      </c>
      <c r="H26" s="4">
        <v>0.66</v>
      </c>
      <c r="I26" s="11">
        <v>0.34</v>
      </c>
      <c r="J26" s="4">
        <v>0.22</v>
      </c>
      <c r="K26" s="4">
        <v>1.07</v>
      </c>
      <c r="L26" s="4">
        <v>1.04</v>
      </c>
      <c r="M26" s="12">
        <f t="shared" si="1"/>
        <v>22.43939394</v>
      </c>
      <c r="N26" s="4" t="s">
        <v>1232</v>
      </c>
      <c r="O26" s="4" t="s">
        <v>1311</v>
      </c>
    </row>
    <row r="27" ht="15.75" customHeight="1">
      <c r="A27" s="4" t="s">
        <v>1312</v>
      </c>
      <c r="B27" s="4" t="s">
        <v>1313</v>
      </c>
      <c r="C27" s="4" t="s">
        <v>86</v>
      </c>
      <c r="D27" s="4" t="s">
        <v>1241</v>
      </c>
      <c r="E27" s="4" t="s">
        <v>1314</v>
      </c>
      <c r="F27" s="4">
        <v>29.0</v>
      </c>
      <c r="G27" s="4">
        <v>15.69</v>
      </c>
      <c r="H27" s="4">
        <v>0.76</v>
      </c>
      <c r="I27" s="11">
        <v>0.5429999999999999</v>
      </c>
      <c r="J27" s="4">
        <v>0.41</v>
      </c>
      <c r="K27" s="4">
        <v>1.13</v>
      </c>
      <c r="L27" s="4">
        <v>1.24</v>
      </c>
      <c r="M27" s="12">
        <f t="shared" si="1"/>
        <v>20.64473684</v>
      </c>
      <c r="N27" s="4" t="s">
        <v>1232</v>
      </c>
      <c r="O27" s="4" t="s">
        <v>1315</v>
      </c>
    </row>
    <row r="28" ht="15.75" customHeight="1">
      <c r="A28" s="4" t="s">
        <v>1316</v>
      </c>
      <c r="B28" s="4" t="s">
        <v>1317</v>
      </c>
      <c r="C28" s="4" t="s">
        <v>86</v>
      </c>
      <c r="D28" s="4" t="s">
        <v>1241</v>
      </c>
      <c r="E28" s="4" t="s">
        <v>1314</v>
      </c>
      <c r="F28" s="4">
        <v>29.0</v>
      </c>
      <c r="G28" s="4">
        <v>13.83</v>
      </c>
      <c r="H28" s="4">
        <v>0.67</v>
      </c>
      <c r="I28" s="11">
        <v>0.511</v>
      </c>
      <c r="J28" s="4">
        <v>0.34</v>
      </c>
      <c r="K28" s="4">
        <v>0.97</v>
      </c>
      <c r="L28" s="4">
        <v>1.14</v>
      </c>
      <c r="M28" s="12">
        <f t="shared" si="1"/>
        <v>20.64179104</v>
      </c>
      <c r="N28" s="4" t="s">
        <v>1232</v>
      </c>
      <c r="O28" s="4" t="s">
        <v>1318</v>
      </c>
    </row>
    <row r="29" ht="15.75" customHeight="1">
      <c r="A29" s="4" t="s">
        <v>1319</v>
      </c>
      <c r="B29" s="4" t="s">
        <v>1320</v>
      </c>
      <c r="C29" s="4" t="s">
        <v>86</v>
      </c>
      <c r="D29" s="4" t="s">
        <v>1241</v>
      </c>
      <c r="E29" s="4" t="s">
        <v>1314</v>
      </c>
      <c r="F29" s="4">
        <v>29.0</v>
      </c>
      <c r="G29" s="4">
        <v>12.48</v>
      </c>
      <c r="H29" s="4">
        <v>0.61</v>
      </c>
      <c r="I29" s="11">
        <v>0.3779999999999999</v>
      </c>
      <c r="J29" s="4">
        <v>0.23</v>
      </c>
      <c r="K29" s="4">
        <v>1.0</v>
      </c>
      <c r="L29" s="4">
        <v>1.08</v>
      </c>
      <c r="M29" s="12">
        <f t="shared" si="1"/>
        <v>20.45901639</v>
      </c>
      <c r="N29" s="4" t="s">
        <v>1232</v>
      </c>
      <c r="O29" s="4" t="s">
        <v>1321</v>
      </c>
    </row>
    <row r="30" ht="15.75" customHeight="1">
      <c r="A30" s="4" t="s">
        <v>1322</v>
      </c>
      <c r="B30" s="4" t="s">
        <v>1323</v>
      </c>
      <c r="C30" s="4" t="s">
        <v>86</v>
      </c>
      <c r="D30" s="4" t="s">
        <v>122</v>
      </c>
      <c r="E30" s="4" t="s">
        <v>1324</v>
      </c>
      <c r="F30" s="4">
        <v>34.0</v>
      </c>
      <c r="G30" s="4">
        <v>13.15</v>
      </c>
      <c r="H30" s="4">
        <v>0.6</v>
      </c>
      <c r="I30" s="11">
        <v>0.447</v>
      </c>
      <c r="J30" s="4">
        <v>0.27</v>
      </c>
      <c r="K30" s="4">
        <v>0.9</v>
      </c>
      <c r="L30" s="4">
        <v>1.04</v>
      </c>
      <c r="M30" s="12">
        <f t="shared" si="1"/>
        <v>21.91666667</v>
      </c>
      <c r="N30" s="4" t="s">
        <v>1232</v>
      </c>
      <c r="O30" s="4" t="s">
        <v>1325</v>
      </c>
    </row>
    <row r="31" ht="15.75" customHeight="1">
      <c r="A31" s="4" t="s">
        <v>1326</v>
      </c>
      <c r="B31" s="4" t="s">
        <v>1327</v>
      </c>
      <c r="C31" s="4" t="s">
        <v>86</v>
      </c>
      <c r="D31" s="4" t="s">
        <v>122</v>
      </c>
      <c r="E31" s="4" t="s">
        <v>1324</v>
      </c>
      <c r="F31" s="4">
        <v>34.0</v>
      </c>
      <c r="G31" s="4">
        <v>16.03</v>
      </c>
      <c r="H31" s="4">
        <v>0.74</v>
      </c>
      <c r="I31" s="11">
        <v>0.525</v>
      </c>
      <c r="J31" s="4">
        <v>0.39</v>
      </c>
      <c r="K31" s="4">
        <v>1.07</v>
      </c>
      <c r="L31" s="4">
        <v>1.17</v>
      </c>
      <c r="M31" s="12">
        <f t="shared" si="1"/>
        <v>21.66216216</v>
      </c>
      <c r="N31" s="4" t="s">
        <v>1232</v>
      </c>
      <c r="O31" s="4" t="s">
        <v>1329</v>
      </c>
    </row>
    <row r="32" ht="15.75" customHeight="1">
      <c r="A32" s="4" t="s">
        <v>1330</v>
      </c>
      <c r="B32" s="4" t="s">
        <v>1331</v>
      </c>
      <c r="C32" s="4" t="s">
        <v>86</v>
      </c>
      <c r="D32" s="4" t="s">
        <v>122</v>
      </c>
      <c r="E32" s="4" t="s">
        <v>1324</v>
      </c>
      <c r="F32" s="4">
        <v>34.0</v>
      </c>
      <c r="G32" s="4">
        <v>14.09</v>
      </c>
      <c r="H32" s="4">
        <v>0.65</v>
      </c>
      <c r="I32" s="11">
        <v>0.507</v>
      </c>
      <c r="J32" s="4">
        <v>0.33</v>
      </c>
      <c r="K32" s="4">
        <v>0.91</v>
      </c>
      <c r="L32" s="4">
        <v>1.03</v>
      </c>
      <c r="M32" s="12">
        <f t="shared" si="1"/>
        <v>21.67692308</v>
      </c>
      <c r="N32" s="4" t="s">
        <v>1232</v>
      </c>
      <c r="O32" s="4" t="s">
        <v>1332</v>
      </c>
    </row>
    <row r="33" ht="15.75" customHeight="1">
      <c r="A33" s="4" t="s">
        <v>1333</v>
      </c>
      <c r="B33" s="4" t="s">
        <v>1334</v>
      </c>
      <c r="C33" s="4" t="s">
        <v>86</v>
      </c>
      <c r="D33" s="4" t="s">
        <v>122</v>
      </c>
      <c r="E33" s="4" t="s">
        <v>1324</v>
      </c>
      <c r="F33" s="4">
        <v>34.0</v>
      </c>
      <c r="G33" s="4">
        <v>14.35</v>
      </c>
      <c r="H33" s="4">
        <v>0.66</v>
      </c>
      <c r="I33" s="11">
        <v>0.529</v>
      </c>
      <c r="J33" s="4">
        <v>0.35</v>
      </c>
      <c r="K33" s="4">
        <v>0.97</v>
      </c>
      <c r="L33" s="4">
        <v>1.06</v>
      </c>
      <c r="M33" s="12">
        <f t="shared" si="1"/>
        <v>21.74242424</v>
      </c>
      <c r="N33" s="4" t="s">
        <v>1232</v>
      </c>
      <c r="O33" s="4" t="s">
        <v>1335</v>
      </c>
    </row>
    <row r="34" ht="15.75" customHeight="1">
      <c r="A34" s="4" t="s">
        <v>1336</v>
      </c>
      <c r="B34" s="4" t="s">
        <v>1337</v>
      </c>
      <c r="C34" s="4" t="s">
        <v>86</v>
      </c>
      <c r="D34" s="4" t="s">
        <v>122</v>
      </c>
      <c r="E34" s="4" t="s">
        <v>1324</v>
      </c>
      <c r="F34" s="4">
        <v>30.0</v>
      </c>
      <c r="G34" s="4">
        <v>14.63</v>
      </c>
      <c r="H34" s="4">
        <v>0.66</v>
      </c>
      <c r="I34" s="11">
        <v>0.387</v>
      </c>
      <c r="J34" s="4">
        <v>0.26</v>
      </c>
      <c r="K34" s="4">
        <v>1.0</v>
      </c>
      <c r="L34" s="4">
        <v>1.02</v>
      </c>
      <c r="M34" s="12">
        <f t="shared" si="1"/>
        <v>22.16666667</v>
      </c>
      <c r="N34" s="4" t="s">
        <v>1232</v>
      </c>
      <c r="O34" s="4" t="s">
        <v>1338</v>
      </c>
    </row>
    <row r="35" ht="15.75" customHeight="1">
      <c r="A35" s="4" t="s">
        <v>1339</v>
      </c>
      <c r="B35" s="4" t="s">
        <v>1340</v>
      </c>
      <c r="C35" s="4" t="s">
        <v>86</v>
      </c>
      <c r="D35" s="4" t="s">
        <v>120</v>
      </c>
      <c r="E35" s="4" t="s">
        <v>1341</v>
      </c>
      <c r="F35" s="4">
        <v>29.0</v>
      </c>
      <c r="G35" s="4">
        <v>17.93</v>
      </c>
      <c r="H35" s="4">
        <v>0.8</v>
      </c>
      <c r="I35" s="11">
        <v>0.602</v>
      </c>
      <c r="J35" s="4">
        <v>0.48</v>
      </c>
      <c r="K35" s="4">
        <v>1.27</v>
      </c>
      <c r="L35" s="4">
        <v>1.26</v>
      </c>
      <c r="M35" s="12">
        <f t="shared" si="1"/>
        <v>22.4125</v>
      </c>
      <c r="N35" s="4" t="s">
        <v>1232</v>
      </c>
      <c r="O35" s="4" t="s">
        <v>1342</v>
      </c>
    </row>
    <row r="36" ht="15.75" customHeight="1">
      <c r="A36" s="4" t="s">
        <v>1343</v>
      </c>
      <c r="B36" s="4" t="s">
        <v>1344</v>
      </c>
      <c r="C36" s="4" t="s">
        <v>86</v>
      </c>
      <c r="D36" s="4" t="s">
        <v>120</v>
      </c>
      <c r="E36" s="4" t="s">
        <v>1341</v>
      </c>
      <c r="F36" s="4">
        <v>29.0</v>
      </c>
      <c r="G36" s="4">
        <v>15.83</v>
      </c>
      <c r="H36" s="4">
        <v>0.71</v>
      </c>
      <c r="I36" s="11">
        <v>0.573</v>
      </c>
      <c r="J36" s="4">
        <v>0.4</v>
      </c>
      <c r="K36" s="4">
        <v>1.02</v>
      </c>
      <c r="L36" s="4">
        <v>1.12</v>
      </c>
      <c r="M36" s="12">
        <f t="shared" si="1"/>
        <v>22.29577465</v>
      </c>
      <c r="N36" s="4" t="s">
        <v>1232</v>
      </c>
      <c r="O36" s="4" t="s">
        <v>1345</v>
      </c>
    </row>
    <row r="37" ht="15.75" customHeight="1">
      <c r="A37" s="4" t="s">
        <v>1346</v>
      </c>
      <c r="B37" s="4" t="s">
        <v>1347</v>
      </c>
      <c r="C37" s="4" t="s">
        <v>86</v>
      </c>
      <c r="D37" s="4" t="s">
        <v>120</v>
      </c>
      <c r="E37" s="4" t="s">
        <v>1341</v>
      </c>
      <c r="F37" s="4">
        <v>29.0</v>
      </c>
      <c r="G37" s="4">
        <v>12.62</v>
      </c>
      <c r="H37" s="4">
        <v>0.56</v>
      </c>
      <c r="I37" s="11">
        <v>0.546</v>
      </c>
      <c r="J37" s="4">
        <v>0.31</v>
      </c>
      <c r="K37" s="4">
        <v>0.84</v>
      </c>
      <c r="L37" s="4">
        <v>0.97</v>
      </c>
      <c r="M37" s="12">
        <f t="shared" si="1"/>
        <v>22.53571429</v>
      </c>
      <c r="N37" s="4" t="s">
        <v>1232</v>
      </c>
      <c r="O37" s="4" t="s">
        <v>1348</v>
      </c>
    </row>
    <row r="38" ht="15.75" customHeight="1">
      <c r="A38" s="4" t="s">
        <v>1349</v>
      </c>
      <c r="B38" s="4" t="s">
        <v>1350</v>
      </c>
      <c r="C38" s="4" t="s">
        <v>86</v>
      </c>
      <c r="D38" s="4" t="s">
        <v>120</v>
      </c>
      <c r="E38" s="4" t="s">
        <v>1341</v>
      </c>
      <c r="F38" s="4">
        <v>29.0</v>
      </c>
      <c r="G38" s="4">
        <v>13.79</v>
      </c>
      <c r="H38" s="4">
        <v>0.61</v>
      </c>
      <c r="I38" s="11">
        <v>0.383</v>
      </c>
      <c r="J38" s="4">
        <v>0.24</v>
      </c>
      <c r="K38" s="4">
        <v>1.04</v>
      </c>
      <c r="L38" s="4">
        <v>1.03</v>
      </c>
      <c r="M38" s="12">
        <f t="shared" si="1"/>
        <v>22.60655738</v>
      </c>
      <c r="N38" s="4" t="s">
        <v>1232</v>
      </c>
      <c r="O38" s="4" t="s">
        <v>1351</v>
      </c>
    </row>
    <row r="39" ht="15.75" customHeight="1">
      <c r="A39" s="4" t="s">
        <v>1352</v>
      </c>
      <c r="B39" s="4" t="s">
        <v>1353</v>
      </c>
      <c r="C39" s="4" t="s">
        <v>86</v>
      </c>
      <c r="D39" s="4" t="s">
        <v>120</v>
      </c>
      <c r="E39" s="4" t="s">
        <v>1341</v>
      </c>
      <c r="F39" s="4">
        <v>29.0</v>
      </c>
      <c r="G39" s="4">
        <v>17.31</v>
      </c>
      <c r="H39" s="4">
        <v>0.77</v>
      </c>
      <c r="I39" s="11">
        <v>0.544</v>
      </c>
      <c r="J39" s="4">
        <v>0.42</v>
      </c>
      <c r="K39" s="4">
        <v>1.15</v>
      </c>
      <c r="L39" s="4">
        <v>1.31</v>
      </c>
      <c r="M39" s="12">
        <f t="shared" si="1"/>
        <v>22.48051948</v>
      </c>
      <c r="N39" s="4" t="s">
        <v>1232</v>
      </c>
      <c r="O39" s="4" t="s">
        <v>1354</v>
      </c>
    </row>
    <row r="40" ht="15.75" customHeight="1">
      <c r="A40" s="4" t="s">
        <v>1355</v>
      </c>
      <c r="B40" s="4" t="s">
        <v>1356</v>
      </c>
      <c r="C40" s="4" t="s">
        <v>86</v>
      </c>
      <c r="D40" s="4" t="s">
        <v>1242</v>
      </c>
      <c r="E40" s="4" t="s">
        <v>1357</v>
      </c>
      <c r="F40" s="4">
        <v>30.0</v>
      </c>
      <c r="G40" s="4">
        <v>16.87</v>
      </c>
      <c r="H40" s="4">
        <v>0.72</v>
      </c>
      <c r="I40" s="11">
        <v>0.5670000000000001</v>
      </c>
      <c r="J40" s="4">
        <v>0.41</v>
      </c>
      <c r="K40" s="4">
        <v>1.02</v>
      </c>
      <c r="L40" s="4">
        <v>1.11</v>
      </c>
      <c r="M40" s="12">
        <f t="shared" si="1"/>
        <v>23.43055556</v>
      </c>
      <c r="N40" s="4" t="s">
        <v>1232</v>
      </c>
      <c r="O40" s="4" t="s">
        <v>1358</v>
      </c>
    </row>
    <row r="41" ht="15.75" customHeight="1">
      <c r="A41" s="4" t="s">
        <v>1359</v>
      </c>
      <c r="B41" s="4" t="s">
        <v>1360</v>
      </c>
      <c r="C41" s="4" t="s">
        <v>86</v>
      </c>
      <c r="D41" s="4" t="s">
        <v>1242</v>
      </c>
      <c r="E41" s="4" t="s">
        <v>1357</v>
      </c>
      <c r="F41" s="4">
        <v>30.0</v>
      </c>
      <c r="G41" s="4">
        <v>14.83</v>
      </c>
      <c r="H41" s="4">
        <v>0.64</v>
      </c>
      <c r="I41" s="11">
        <v>0.353</v>
      </c>
      <c r="J41" s="4">
        <v>0.22</v>
      </c>
      <c r="K41" s="4">
        <v>0.95</v>
      </c>
      <c r="L41" s="4">
        <v>0.97</v>
      </c>
      <c r="M41" s="12">
        <f t="shared" si="1"/>
        <v>23.171875</v>
      </c>
      <c r="N41" s="4" t="s">
        <v>1232</v>
      </c>
      <c r="O41" s="4" t="s">
        <v>1361</v>
      </c>
    </row>
    <row r="42" ht="15.75" customHeight="1">
      <c r="A42" s="4" t="s">
        <v>1362</v>
      </c>
      <c r="B42" s="4" t="s">
        <v>1363</v>
      </c>
      <c r="C42" s="4" t="s">
        <v>86</v>
      </c>
      <c r="D42" s="4" t="s">
        <v>1242</v>
      </c>
      <c r="E42" s="4" t="s">
        <v>1357</v>
      </c>
      <c r="F42" s="4">
        <v>30.0</v>
      </c>
      <c r="G42" s="4">
        <v>14.87</v>
      </c>
      <c r="H42" s="4">
        <v>0.64</v>
      </c>
      <c r="I42" s="11">
        <v>0.471</v>
      </c>
      <c r="J42" s="4">
        <v>0.3</v>
      </c>
      <c r="K42" s="4">
        <v>0.91</v>
      </c>
      <c r="L42" s="4">
        <v>1.03</v>
      </c>
      <c r="M42" s="12">
        <f t="shared" si="1"/>
        <v>23.234375</v>
      </c>
      <c r="N42" s="4" t="s">
        <v>1232</v>
      </c>
      <c r="O42" s="4" t="s">
        <v>1364</v>
      </c>
    </row>
    <row r="43" ht="15.75" customHeight="1">
      <c r="A43" s="4" t="s">
        <v>1365</v>
      </c>
      <c r="B43" s="4" t="s">
        <v>1366</v>
      </c>
      <c r="C43" s="4" t="s">
        <v>86</v>
      </c>
      <c r="D43" s="4" t="s">
        <v>1242</v>
      </c>
      <c r="E43" s="4" t="s">
        <v>1357</v>
      </c>
      <c r="F43" s="4">
        <v>30.0</v>
      </c>
      <c r="G43" s="4">
        <v>16.17</v>
      </c>
      <c r="H43" s="4">
        <v>0.69</v>
      </c>
      <c r="I43" s="11">
        <v>0.604</v>
      </c>
      <c r="J43" s="4">
        <v>0.42</v>
      </c>
      <c r="K43" s="4">
        <v>1.06</v>
      </c>
      <c r="L43" s="4">
        <v>1.1</v>
      </c>
      <c r="M43" s="12">
        <f t="shared" si="1"/>
        <v>23.43478261</v>
      </c>
      <c r="N43" s="4" t="s">
        <v>1232</v>
      </c>
      <c r="O43" s="4" t="s">
        <v>1367</v>
      </c>
    </row>
    <row r="44" ht="15.75" customHeight="1">
      <c r="A44" s="4" t="s">
        <v>1368</v>
      </c>
      <c r="B44" s="4" t="s">
        <v>1369</v>
      </c>
      <c r="C44" s="4" t="s">
        <v>86</v>
      </c>
      <c r="D44" s="4" t="s">
        <v>1242</v>
      </c>
      <c r="E44" s="4" t="s">
        <v>1357</v>
      </c>
      <c r="F44" s="4">
        <v>30.0</v>
      </c>
      <c r="G44" s="4">
        <v>13.83</v>
      </c>
      <c r="H44" s="4">
        <v>0.59</v>
      </c>
      <c r="I44" s="11">
        <v>0.53</v>
      </c>
      <c r="J44" s="4">
        <v>0.32</v>
      </c>
      <c r="K44" s="4">
        <v>0.84</v>
      </c>
      <c r="L44" s="4">
        <v>0.97</v>
      </c>
      <c r="M44" s="12">
        <f t="shared" si="1"/>
        <v>23.44067797</v>
      </c>
      <c r="N44" s="4" t="s">
        <v>1232</v>
      </c>
      <c r="O44" s="4" t="s">
        <v>1370</v>
      </c>
    </row>
    <row r="45" ht="15.75" customHeight="1">
      <c r="A45" s="4" t="s">
        <v>1371</v>
      </c>
      <c r="B45" s="4" t="s">
        <v>1372</v>
      </c>
      <c r="C45" s="4" t="s">
        <v>86</v>
      </c>
      <c r="D45" s="4" t="s">
        <v>1095</v>
      </c>
      <c r="E45" s="4" t="s">
        <v>1373</v>
      </c>
      <c r="F45" s="4">
        <v>36.0</v>
      </c>
      <c r="G45" s="4">
        <v>16.17</v>
      </c>
      <c r="H45" s="4">
        <v>0.75</v>
      </c>
      <c r="I45" s="11">
        <v>0.503</v>
      </c>
      <c r="J45" s="4">
        <v>0.38</v>
      </c>
      <c r="K45" s="4">
        <v>1.13</v>
      </c>
      <c r="L45" s="4">
        <v>1.2</v>
      </c>
      <c r="M45" s="12">
        <f t="shared" si="1"/>
        <v>21.56</v>
      </c>
      <c r="N45" s="4" t="s">
        <v>1232</v>
      </c>
      <c r="O45" s="4" t="s">
        <v>1374</v>
      </c>
    </row>
    <row r="46" ht="15.75" customHeight="1">
      <c r="A46" s="4" t="s">
        <v>1375</v>
      </c>
      <c r="B46" s="4" t="s">
        <v>1376</v>
      </c>
      <c r="C46" s="4" t="s">
        <v>86</v>
      </c>
      <c r="D46" s="4" t="s">
        <v>1095</v>
      </c>
      <c r="E46" s="4" t="s">
        <v>1373</v>
      </c>
      <c r="F46" s="4">
        <v>36.0</v>
      </c>
      <c r="G46" s="4">
        <v>12.25</v>
      </c>
      <c r="H46" s="4">
        <v>0.57</v>
      </c>
      <c r="I46" s="11">
        <v>0.433</v>
      </c>
      <c r="J46" s="4">
        <v>0.25</v>
      </c>
      <c r="K46" s="4">
        <v>0.81</v>
      </c>
      <c r="L46" s="4">
        <v>0.97</v>
      </c>
      <c r="M46" s="12">
        <f t="shared" si="1"/>
        <v>21.49122807</v>
      </c>
      <c r="N46" s="4" t="s">
        <v>1232</v>
      </c>
      <c r="O46" s="4" t="s">
        <v>1377</v>
      </c>
    </row>
    <row r="47" ht="15.75" customHeight="1">
      <c r="A47" s="4" t="s">
        <v>1378</v>
      </c>
      <c r="B47" s="4" t="s">
        <v>1379</v>
      </c>
      <c r="C47" s="4" t="s">
        <v>86</v>
      </c>
      <c r="D47" s="4" t="s">
        <v>1095</v>
      </c>
      <c r="E47" s="4" t="s">
        <v>1373</v>
      </c>
      <c r="F47" s="4">
        <v>36.0</v>
      </c>
      <c r="G47" s="4">
        <v>14.94</v>
      </c>
      <c r="H47" s="4">
        <v>0.69</v>
      </c>
      <c r="I47" s="11">
        <v>0.5820000000000001</v>
      </c>
      <c r="J47" s="4">
        <v>0.4</v>
      </c>
      <c r="K47" s="4">
        <v>1.06</v>
      </c>
      <c r="L47" s="4">
        <v>1.13</v>
      </c>
      <c r="M47" s="12">
        <f t="shared" si="1"/>
        <v>21.65217391</v>
      </c>
      <c r="N47" s="4" t="s">
        <v>1232</v>
      </c>
      <c r="O47" s="4" t="s">
        <v>1380</v>
      </c>
    </row>
    <row r="48" ht="15.75" customHeight="1">
      <c r="A48" s="4" t="s">
        <v>1381</v>
      </c>
      <c r="B48" s="4" t="s">
        <v>1382</v>
      </c>
      <c r="C48" s="4" t="s">
        <v>86</v>
      </c>
      <c r="D48" s="4" t="s">
        <v>1095</v>
      </c>
      <c r="E48" s="4" t="s">
        <v>1373</v>
      </c>
      <c r="F48" s="4">
        <v>36.0</v>
      </c>
      <c r="G48" s="4">
        <v>16.03</v>
      </c>
      <c r="H48" s="4">
        <v>0.74</v>
      </c>
      <c r="I48" s="11">
        <v>0.369</v>
      </c>
      <c r="J48" s="4">
        <v>0.27</v>
      </c>
      <c r="K48" s="4">
        <v>1.2</v>
      </c>
      <c r="L48" s="4">
        <v>1.18</v>
      </c>
      <c r="M48" s="12">
        <f t="shared" si="1"/>
        <v>21.66216216</v>
      </c>
      <c r="N48" s="4" t="s">
        <v>1232</v>
      </c>
      <c r="O48" s="4" t="s">
        <v>1383</v>
      </c>
    </row>
    <row r="49" ht="15.75" customHeight="1">
      <c r="A49" s="4" t="s">
        <v>1384</v>
      </c>
      <c r="B49" s="4" t="s">
        <v>1385</v>
      </c>
      <c r="C49" s="4" t="s">
        <v>86</v>
      </c>
      <c r="D49" s="4" t="s">
        <v>1095</v>
      </c>
      <c r="E49" s="4" t="s">
        <v>1373</v>
      </c>
      <c r="F49" s="4">
        <v>36.0</v>
      </c>
      <c r="G49" s="4">
        <v>14.36</v>
      </c>
      <c r="H49" s="4">
        <v>0.67</v>
      </c>
      <c r="I49" s="11">
        <v>0.565</v>
      </c>
      <c r="J49" s="4">
        <v>0.38</v>
      </c>
      <c r="K49" s="4">
        <v>1.0</v>
      </c>
      <c r="L49" s="4">
        <v>1.12</v>
      </c>
      <c r="M49" s="12">
        <f t="shared" si="1"/>
        <v>21.43283582</v>
      </c>
      <c r="N49" s="4" t="s">
        <v>1232</v>
      </c>
      <c r="O49" s="4" t="s">
        <v>1386</v>
      </c>
    </row>
    <row r="50" ht="15.75" customHeight="1">
      <c r="A50" s="4" t="s">
        <v>1387</v>
      </c>
      <c r="B50" s="4" t="s">
        <v>1388</v>
      </c>
      <c r="C50" s="4" t="s">
        <v>86</v>
      </c>
      <c r="D50" s="4" t="s">
        <v>1389</v>
      </c>
      <c r="E50" s="4" t="s">
        <v>1390</v>
      </c>
      <c r="F50" s="4">
        <v>31.0</v>
      </c>
      <c r="G50" s="4">
        <v>17.61</v>
      </c>
      <c r="H50" s="4">
        <v>0.76</v>
      </c>
      <c r="I50" s="11">
        <v>0.625</v>
      </c>
      <c r="J50" s="4">
        <v>0.48</v>
      </c>
      <c r="K50" s="4">
        <v>1.14</v>
      </c>
      <c r="L50" s="4">
        <v>1.22</v>
      </c>
      <c r="M50" s="12">
        <f t="shared" si="1"/>
        <v>23.17105263</v>
      </c>
      <c r="N50" s="4" t="s">
        <v>1232</v>
      </c>
      <c r="O50" s="4" t="s">
        <v>1391</v>
      </c>
    </row>
    <row r="51" ht="15.75" customHeight="1">
      <c r="A51" s="4" t="s">
        <v>1392</v>
      </c>
      <c r="B51" s="4" t="s">
        <v>1393</v>
      </c>
      <c r="C51" s="4" t="s">
        <v>86</v>
      </c>
      <c r="D51" s="4" t="s">
        <v>1389</v>
      </c>
      <c r="E51" s="4" t="s">
        <v>1390</v>
      </c>
      <c r="F51" s="4">
        <v>31.0</v>
      </c>
      <c r="G51" s="4">
        <v>13.97</v>
      </c>
      <c r="H51" s="4">
        <v>0.61</v>
      </c>
      <c r="I51" s="11">
        <v>0.353</v>
      </c>
      <c r="J51" s="4">
        <v>0.21</v>
      </c>
      <c r="K51" s="4">
        <v>1.08</v>
      </c>
      <c r="L51" s="4">
        <v>1.0</v>
      </c>
      <c r="M51" s="12">
        <f t="shared" si="1"/>
        <v>22.90163934</v>
      </c>
      <c r="N51" s="4" t="s">
        <v>1232</v>
      </c>
      <c r="O51" s="4" t="s">
        <v>1394</v>
      </c>
    </row>
    <row r="52" ht="15.75" customHeight="1">
      <c r="A52" s="4" t="s">
        <v>1395</v>
      </c>
      <c r="B52" s="4" t="s">
        <v>1396</v>
      </c>
      <c r="C52" s="4" t="s">
        <v>86</v>
      </c>
      <c r="D52" s="4" t="s">
        <v>1389</v>
      </c>
      <c r="E52" s="4" t="s">
        <v>1390</v>
      </c>
      <c r="F52" s="4">
        <v>37.0</v>
      </c>
      <c r="G52" s="4">
        <v>16.03</v>
      </c>
      <c r="H52" s="4">
        <v>0.69</v>
      </c>
      <c r="I52" s="11">
        <v>0.523</v>
      </c>
      <c r="J52" s="4">
        <v>0.36</v>
      </c>
      <c r="K52" s="4">
        <v>1.08</v>
      </c>
      <c r="L52" s="4">
        <v>1.12</v>
      </c>
      <c r="M52" s="12">
        <f t="shared" si="1"/>
        <v>23.23188406</v>
      </c>
      <c r="N52" s="4" t="s">
        <v>1232</v>
      </c>
      <c r="O52" s="4" t="s">
        <v>1397</v>
      </c>
    </row>
    <row r="53" ht="15.75" customHeight="1">
      <c r="A53" s="4" t="s">
        <v>1398</v>
      </c>
      <c r="B53" s="4" t="s">
        <v>1399</v>
      </c>
      <c r="C53" s="4" t="s">
        <v>86</v>
      </c>
      <c r="D53" s="4" t="s">
        <v>1389</v>
      </c>
      <c r="E53" s="4" t="s">
        <v>1390</v>
      </c>
      <c r="F53" s="4">
        <v>32.0</v>
      </c>
      <c r="G53" s="4">
        <v>14.56</v>
      </c>
      <c r="H53" s="4">
        <v>0.61</v>
      </c>
      <c r="I53" s="11">
        <v>0.466</v>
      </c>
      <c r="J53" s="4">
        <v>0.29</v>
      </c>
      <c r="K53" s="4">
        <v>0.9</v>
      </c>
      <c r="L53" s="4">
        <v>0.97</v>
      </c>
      <c r="M53" s="12">
        <f t="shared" si="1"/>
        <v>23.86885246</v>
      </c>
      <c r="N53" s="4" t="s">
        <v>1232</v>
      </c>
      <c r="O53" s="4" t="s">
        <v>1400</v>
      </c>
    </row>
    <row r="54" ht="15.75" customHeight="1">
      <c r="A54" s="4" t="s">
        <v>1401</v>
      </c>
      <c r="B54" s="4" t="s">
        <v>1402</v>
      </c>
      <c r="C54" s="4" t="s">
        <v>86</v>
      </c>
      <c r="D54" s="4" t="s">
        <v>1389</v>
      </c>
      <c r="E54" s="4" t="s">
        <v>1390</v>
      </c>
      <c r="F54" s="4">
        <v>31.0</v>
      </c>
      <c r="G54" s="4">
        <v>14.29</v>
      </c>
      <c r="H54" s="4">
        <v>0.62</v>
      </c>
      <c r="I54" s="11">
        <v>0.5529999999999999</v>
      </c>
      <c r="J54" s="4">
        <v>0.34</v>
      </c>
      <c r="K54" s="4">
        <v>1.02</v>
      </c>
      <c r="L54" s="4">
        <v>1.07</v>
      </c>
      <c r="M54" s="12">
        <f t="shared" si="1"/>
        <v>23.0483871</v>
      </c>
      <c r="N54" s="4" t="s">
        <v>1232</v>
      </c>
      <c r="O54" s="4" t="s">
        <v>1403</v>
      </c>
    </row>
    <row r="55" ht="15.75" customHeight="1">
      <c r="A55" s="4" t="s">
        <v>1404</v>
      </c>
      <c r="B55" s="4" t="s">
        <v>1405</v>
      </c>
      <c r="C55" s="4" t="s">
        <v>86</v>
      </c>
      <c r="D55" s="4" t="s">
        <v>1013</v>
      </c>
      <c r="E55" s="4" t="s">
        <v>1406</v>
      </c>
      <c r="F55" s="4">
        <v>31.0</v>
      </c>
      <c r="G55" s="4">
        <v>15.35</v>
      </c>
      <c r="H55" s="4">
        <v>0.69</v>
      </c>
      <c r="I55" s="11">
        <v>0.517</v>
      </c>
      <c r="J55" s="4">
        <v>0.36</v>
      </c>
      <c r="K55" s="4">
        <v>1.0</v>
      </c>
      <c r="L55" s="4">
        <v>1.12</v>
      </c>
      <c r="M55" s="12">
        <f t="shared" si="1"/>
        <v>22.24637681</v>
      </c>
      <c r="N55" s="4" t="s">
        <v>1232</v>
      </c>
      <c r="O55" s="4" t="s">
        <v>1407</v>
      </c>
    </row>
    <row r="56" ht="15.75" customHeight="1">
      <c r="A56" s="4" t="s">
        <v>1408</v>
      </c>
      <c r="B56" s="4" t="s">
        <v>1409</v>
      </c>
      <c r="C56" s="4" t="s">
        <v>86</v>
      </c>
      <c r="D56" s="4" t="s">
        <v>1013</v>
      </c>
      <c r="E56" s="4" t="s">
        <v>1406</v>
      </c>
      <c r="F56" s="4">
        <v>27.0</v>
      </c>
      <c r="G56" s="4">
        <v>15.7</v>
      </c>
      <c r="H56" s="4">
        <v>0.72</v>
      </c>
      <c r="I56" s="11">
        <v>0.66</v>
      </c>
      <c r="J56" s="4">
        <v>0.47</v>
      </c>
      <c r="K56" s="4">
        <v>1.08</v>
      </c>
      <c r="L56" s="4">
        <v>1.15</v>
      </c>
      <c r="M56" s="12">
        <f t="shared" si="1"/>
        <v>21.80555556</v>
      </c>
      <c r="N56" s="4" t="s">
        <v>1232</v>
      </c>
      <c r="O56" s="4" t="s">
        <v>1410</v>
      </c>
    </row>
    <row r="57" ht="15.75" customHeight="1">
      <c r="A57" s="4" t="s">
        <v>1411</v>
      </c>
      <c r="B57" s="4" t="s">
        <v>1412</v>
      </c>
      <c r="C57" s="4" t="s">
        <v>86</v>
      </c>
      <c r="D57" s="4" t="s">
        <v>1013</v>
      </c>
      <c r="E57" s="4" t="s">
        <v>1406</v>
      </c>
      <c r="F57" s="4">
        <v>27.0</v>
      </c>
      <c r="G57" s="4">
        <v>16.93</v>
      </c>
      <c r="H57" s="4">
        <v>0.77</v>
      </c>
      <c r="I57" s="11">
        <v>0.315</v>
      </c>
      <c r="J57" s="4">
        <v>0.24</v>
      </c>
      <c r="K57" s="4">
        <v>1.31</v>
      </c>
      <c r="L57" s="4">
        <v>1.24</v>
      </c>
      <c r="M57" s="12">
        <f t="shared" si="1"/>
        <v>21.98701299</v>
      </c>
      <c r="N57" s="4" t="s">
        <v>1232</v>
      </c>
      <c r="O57" s="4" t="s">
        <v>1413</v>
      </c>
    </row>
    <row r="58" ht="15.75" customHeight="1">
      <c r="A58" s="4" t="s">
        <v>1414</v>
      </c>
      <c r="B58" s="4" t="s">
        <v>1415</v>
      </c>
      <c r="C58" s="4" t="s">
        <v>86</v>
      </c>
      <c r="D58" s="4" t="s">
        <v>1013</v>
      </c>
      <c r="E58" s="4" t="s">
        <v>1406</v>
      </c>
      <c r="F58" s="4">
        <v>27.0</v>
      </c>
      <c r="G58" s="4">
        <v>12.67</v>
      </c>
      <c r="H58" s="4">
        <v>0.58</v>
      </c>
      <c r="I58" s="11">
        <v>0.667</v>
      </c>
      <c r="J58" s="4">
        <v>0.39</v>
      </c>
      <c r="K58" s="4">
        <v>0.87</v>
      </c>
      <c r="L58" s="4">
        <v>0.98</v>
      </c>
      <c r="M58" s="12">
        <f t="shared" si="1"/>
        <v>21.84482759</v>
      </c>
      <c r="N58" s="4" t="s">
        <v>1232</v>
      </c>
      <c r="O58" s="4" t="s">
        <v>1416</v>
      </c>
    </row>
    <row r="59" ht="15.75" customHeight="1">
      <c r="A59" s="4" t="s">
        <v>1417</v>
      </c>
      <c r="B59" s="4" t="s">
        <v>1418</v>
      </c>
      <c r="C59" s="4" t="s">
        <v>86</v>
      </c>
      <c r="D59" s="4" t="s">
        <v>1013</v>
      </c>
      <c r="E59" s="4" t="s">
        <v>1406</v>
      </c>
      <c r="F59" s="4">
        <v>27.0</v>
      </c>
      <c r="G59" s="4">
        <v>15.19</v>
      </c>
      <c r="H59" s="4">
        <v>0.69</v>
      </c>
      <c r="I59" s="11">
        <v>0.5539999999999999</v>
      </c>
      <c r="J59" s="4">
        <v>0.38</v>
      </c>
      <c r="K59" s="4">
        <v>1.15</v>
      </c>
      <c r="L59" s="4">
        <v>1.17</v>
      </c>
      <c r="M59" s="12">
        <f t="shared" si="1"/>
        <v>22.01449275</v>
      </c>
      <c r="N59" s="4" t="s">
        <v>1232</v>
      </c>
      <c r="O59" s="4" t="s">
        <v>1419</v>
      </c>
    </row>
    <row r="60" ht="15.75" customHeight="1">
      <c r="A60" s="4" t="s">
        <v>1420</v>
      </c>
      <c r="B60" s="4" t="s">
        <v>1421</v>
      </c>
      <c r="C60" s="4" t="s">
        <v>86</v>
      </c>
      <c r="D60" s="4" t="s">
        <v>1096</v>
      </c>
      <c r="E60" s="4" t="s">
        <v>1422</v>
      </c>
      <c r="F60" s="4">
        <v>37.0</v>
      </c>
      <c r="G60" s="4">
        <v>16.03</v>
      </c>
      <c r="H60" s="4">
        <v>0.76</v>
      </c>
      <c r="I60" s="11">
        <v>0.536</v>
      </c>
      <c r="J60" s="4">
        <v>0.41</v>
      </c>
      <c r="K60" s="4">
        <v>1.28</v>
      </c>
      <c r="L60" s="4">
        <v>1.33</v>
      </c>
      <c r="M60" s="12">
        <f t="shared" si="1"/>
        <v>21.09210526</v>
      </c>
      <c r="N60" s="4" t="s">
        <v>1232</v>
      </c>
      <c r="O60" s="4" t="s">
        <v>1423</v>
      </c>
    </row>
    <row r="61" ht="15.75" customHeight="1">
      <c r="A61" s="4" t="s">
        <v>1424</v>
      </c>
      <c r="B61" s="4" t="s">
        <v>1425</v>
      </c>
      <c r="C61" s="4" t="s">
        <v>86</v>
      </c>
      <c r="D61" s="4" t="s">
        <v>1096</v>
      </c>
      <c r="E61" s="4" t="s">
        <v>1422</v>
      </c>
      <c r="F61" s="4">
        <v>37.0</v>
      </c>
      <c r="G61" s="4">
        <v>14.73</v>
      </c>
      <c r="H61" s="4">
        <v>0.7</v>
      </c>
      <c r="I61" s="11">
        <v>0.547</v>
      </c>
      <c r="J61" s="4">
        <v>0.38</v>
      </c>
      <c r="K61" s="4">
        <v>1.06</v>
      </c>
      <c r="L61" s="4">
        <v>1.17</v>
      </c>
      <c r="M61" s="12">
        <f t="shared" si="1"/>
        <v>21.04285714</v>
      </c>
      <c r="N61" s="4" t="s">
        <v>1232</v>
      </c>
      <c r="O61" s="4" t="s">
        <v>1426</v>
      </c>
    </row>
    <row r="62" ht="15.75" customHeight="1">
      <c r="A62" s="4" t="s">
        <v>1427</v>
      </c>
      <c r="B62" s="4" t="s">
        <v>1428</v>
      </c>
      <c r="C62" s="4" t="s">
        <v>86</v>
      </c>
      <c r="D62" s="4" t="s">
        <v>1096</v>
      </c>
      <c r="E62" s="4" t="s">
        <v>1422</v>
      </c>
      <c r="F62" s="4">
        <v>37.0</v>
      </c>
      <c r="G62" s="4">
        <v>13.92</v>
      </c>
      <c r="H62" s="4">
        <v>0.66</v>
      </c>
      <c r="I62" s="11">
        <v>0.386</v>
      </c>
      <c r="J62" s="4">
        <v>0.25</v>
      </c>
      <c r="K62" s="4">
        <v>1.22</v>
      </c>
      <c r="L62" s="4">
        <v>1.13</v>
      </c>
      <c r="M62" s="12">
        <f t="shared" si="1"/>
        <v>21.09090909</v>
      </c>
      <c r="N62" s="4" t="s">
        <v>1232</v>
      </c>
      <c r="O62" s="4" t="s">
        <v>1429</v>
      </c>
    </row>
    <row r="63" ht="15.75" customHeight="1">
      <c r="A63" s="4" t="s">
        <v>1430</v>
      </c>
      <c r="B63" s="4" t="s">
        <v>1431</v>
      </c>
      <c r="C63" s="4" t="s">
        <v>86</v>
      </c>
      <c r="D63" s="4" t="s">
        <v>1096</v>
      </c>
      <c r="E63" s="4" t="s">
        <v>1422</v>
      </c>
      <c r="F63" s="4">
        <v>37.0</v>
      </c>
      <c r="G63" s="4">
        <v>15.97</v>
      </c>
      <c r="H63" s="4">
        <v>0.75</v>
      </c>
      <c r="I63" s="11">
        <v>0.594</v>
      </c>
      <c r="J63" s="4">
        <v>0.45</v>
      </c>
      <c r="K63" s="4">
        <v>1.24</v>
      </c>
      <c r="L63" s="4">
        <v>1.25</v>
      </c>
      <c r="M63" s="12">
        <f t="shared" si="1"/>
        <v>21.29333333</v>
      </c>
      <c r="N63" s="4" t="s">
        <v>1232</v>
      </c>
      <c r="O63" s="4" t="s">
        <v>1432</v>
      </c>
    </row>
    <row r="64" ht="15.75" customHeight="1">
      <c r="A64" s="4" t="s">
        <v>1433</v>
      </c>
      <c r="B64" s="4" t="s">
        <v>1434</v>
      </c>
      <c r="C64" s="4" t="s">
        <v>86</v>
      </c>
      <c r="D64" s="4" t="s">
        <v>1096</v>
      </c>
      <c r="E64" s="4" t="s">
        <v>1422</v>
      </c>
      <c r="F64" s="4">
        <v>37.0</v>
      </c>
      <c r="G64" s="4">
        <v>14.03</v>
      </c>
      <c r="H64" s="4">
        <v>0.66</v>
      </c>
      <c r="I64" s="11">
        <v>0.59</v>
      </c>
      <c r="J64" s="4">
        <v>0.39</v>
      </c>
      <c r="K64" s="4">
        <v>1.09</v>
      </c>
      <c r="L64" s="4">
        <v>1.16</v>
      </c>
      <c r="M64" s="12">
        <f t="shared" si="1"/>
        <v>21.25757576</v>
      </c>
      <c r="N64" s="4" t="s">
        <v>1232</v>
      </c>
      <c r="O64" s="4" t="s">
        <v>1435</v>
      </c>
    </row>
    <row r="65" ht="15.75" customHeight="1">
      <c r="A65" s="4" t="s">
        <v>1436</v>
      </c>
      <c r="B65" s="4" t="s">
        <v>1437</v>
      </c>
      <c r="C65" s="4" t="s">
        <v>86</v>
      </c>
      <c r="D65" s="4" t="s">
        <v>1438</v>
      </c>
      <c r="E65" s="4" t="s">
        <v>1439</v>
      </c>
      <c r="F65" s="4">
        <v>37.0</v>
      </c>
      <c r="G65" s="4">
        <v>12.41</v>
      </c>
      <c r="H65" s="4">
        <v>0.56</v>
      </c>
      <c r="I65" s="11">
        <v>0.464</v>
      </c>
      <c r="J65" s="4">
        <v>0.26</v>
      </c>
      <c r="K65" s="4">
        <v>0.83</v>
      </c>
      <c r="L65" s="4">
        <v>0.93</v>
      </c>
      <c r="M65" s="12">
        <f t="shared" si="1"/>
        <v>22.16071429</v>
      </c>
      <c r="N65" s="4" t="s">
        <v>1232</v>
      </c>
      <c r="O65" s="4" t="s">
        <v>1440</v>
      </c>
    </row>
    <row r="66" ht="15.75" customHeight="1">
      <c r="A66" s="4" t="s">
        <v>1441</v>
      </c>
      <c r="B66" s="4" t="s">
        <v>1442</v>
      </c>
      <c r="C66" s="4" t="s">
        <v>86</v>
      </c>
      <c r="D66" s="4" t="s">
        <v>1438</v>
      </c>
      <c r="E66" s="4" t="s">
        <v>1439</v>
      </c>
      <c r="F66" s="4">
        <v>39.0</v>
      </c>
      <c r="G66" s="4">
        <v>15.74</v>
      </c>
      <c r="H66" s="4">
        <v>0.72</v>
      </c>
      <c r="I66" s="11">
        <v>0.461</v>
      </c>
      <c r="J66" s="4">
        <v>0.33</v>
      </c>
      <c r="K66" s="4">
        <v>1.05</v>
      </c>
      <c r="L66" s="4">
        <v>1.14</v>
      </c>
      <c r="M66" s="12">
        <f t="shared" si="1"/>
        <v>21.86111111</v>
      </c>
      <c r="N66" s="4" t="s">
        <v>1232</v>
      </c>
      <c r="O66" s="4" t="s">
        <v>1443</v>
      </c>
    </row>
    <row r="67" ht="15.75" customHeight="1">
      <c r="A67" s="4" t="s">
        <v>1444</v>
      </c>
      <c r="B67" s="4" t="s">
        <v>1445</v>
      </c>
      <c r="C67" s="4" t="s">
        <v>86</v>
      </c>
      <c r="D67" s="4" t="s">
        <v>1438</v>
      </c>
      <c r="E67" s="4" t="s">
        <v>1439</v>
      </c>
      <c r="F67" s="4">
        <v>39.0</v>
      </c>
      <c r="G67" s="4">
        <v>16.31</v>
      </c>
      <c r="H67" s="4">
        <v>0.74</v>
      </c>
      <c r="I67" s="11">
        <v>0.55</v>
      </c>
      <c r="J67" s="4">
        <v>0.41</v>
      </c>
      <c r="K67" s="4">
        <v>1.26</v>
      </c>
      <c r="L67" s="4">
        <v>1.23</v>
      </c>
      <c r="M67" s="12">
        <f t="shared" si="1"/>
        <v>22.04054054</v>
      </c>
      <c r="N67" s="4" t="s">
        <v>1232</v>
      </c>
      <c r="O67" s="4" t="s">
        <v>1446</v>
      </c>
    </row>
    <row r="68" ht="15.75" customHeight="1">
      <c r="A68" s="4" t="s">
        <v>1447</v>
      </c>
      <c r="B68" s="4" t="s">
        <v>1448</v>
      </c>
      <c r="C68" s="4" t="s">
        <v>86</v>
      </c>
      <c r="D68" s="4" t="s">
        <v>1438</v>
      </c>
      <c r="E68" s="4" t="s">
        <v>1439</v>
      </c>
      <c r="F68" s="4">
        <v>39.0</v>
      </c>
      <c r="G68" s="4">
        <v>13.82</v>
      </c>
      <c r="H68" s="4">
        <v>0.63</v>
      </c>
      <c r="I68" s="11">
        <v>0.534</v>
      </c>
      <c r="J68" s="4">
        <v>0.34</v>
      </c>
      <c r="K68" s="4">
        <v>1.0</v>
      </c>
      <c r="L68" s="4">
        <v>1.03</v>
      </c>
      <c r="M68" s="12">
        <f t="shared" si="1"/>
        <v>21.93650794</v>
      </c>
      <c r="N68" s="4" t="s">
        <v>1232</v>
      </c>
      <c r="O68" s="4" t="s">
        <v>1449</v>
      </c>
    </row>
    <row r="69" ht="15.75" customHeight="1">
      <c r="A69" s="4" t="s">
        <v>1450</v>
      </c>
      <c r="B69" s="4" t="s">
        <v>1451</v>
      </c>
      <c r="C69" s="4" t="s">
        <v>86</v>
      </c>
      <c r="D69" s="4" t="s">
        <v>1438</v>
      </c>
      <c r="E69" s="4" t="s">
        <v>1439</v>
      </c>
      <c r="F69" s="4">
        <v>39.0</v>
      </c>
      <c r="G69" s="4">
        <v>15.49</v>
      </c>
      <c r="H69" s="4">
        <v>0.7</v>
      </c>
      <c r="I69" s="11">
        <v>0.338</v>
      </c>
      <c r="J69" s="4">
        <v>0.24</v>
      </c>
      <c r="K69" s="4">
        <v>1.2</v>
      </c>
      <c r="L69" s="4">
        <v>1.1</v>
      </c>
      <c r="M69" s="12">
        <f t="shared" si="1"/>
        <v>22.12857143</v>
      </c>
      <c r="N69" s="4" t="s">
        <v>1232</v>
      </c>
      <c r="O69" s="4" t="s">
        <v>1452</v>
      </c>
    </row>
    <row r="70" ht="15.75" customHeight="1">
      <c r="A70" s="4" t="s">
        <v>1453</v>
      </c>
      <c r="B70" s="4" t="s">
        <v>1454</v>
      </c>
      <c r="C70" s="4" t="s">
        <v>86</v>
      </c>
      <c r="D70" s="4" t="s">
        <v>1182</v>
      </c>
      <c r="E70" s="4" t="s">
        <v>1455</v>
      </c>
      <c r="F70" s="4">
        <v>36.0</v>
      </c>
      <c r="G70" s="4">
        <v>17.67</v>
      </c>
      <c r="H70" s="4">
        <v>0.81</v>
      </c>
      <c r="I70" s="11">
        <v>0.524</v>
      </c>
      <c r="J70" s="4">
        <v>0.42</v>
      </c>
      <c r="K70" s="4">
        <v>1.18</v>
      </c>
      <c r="L70" s="4">
        <v>1.27</v>
      </c>
      <c r="M70" s="12">
        <f t="shared" si="1"/>
        <v>21.81481481</v>
      </c>
      <c r="N70" s="4" t="s">
        <v>1232</v>
      </c>
      <c r="O70" s="4" t="s">
        <v>1456</v>
      </c>
    </row>
    <row r="71" ht="15.75" customHeight="1">
      <c r="A71" s="4" t="s">
        <v>1457</v>
      </c>
      <c r="B71" s="4" t="s">
        <v>1458</v>
      </c>
      <c r="C71" s="4" t="s">
        <v>86</v>
      </c>
      <c r="D71" s="4" t="s">
        <v>1182</v>
      </c>
      <c r="E71" s="4" t="s">
        <v>1455</v>
      </c>
      <c r="F71" s="4">
        <v>36.0</v>
      </c>
      <c r="G71" s="4">
        <v>12.25</v>
      </c>
      <c r="H71" s="4">
        <v>0.56</v>
      </c>
      <c r="I71" s="11">
        <v>0.569</v>
      </c>
      <c r="J71" s="4">
        <v>0.32</v>
      </c>
      <c r="K71" s="4">
        <v>0.82</v>
      </c>
      <c r="L71" s="4">
        <v>0.97</v>
      </c>
      <c r="M71" s="12">
        <f t="shared" si="1"/>
        <v>21.875</v>
      </c>
      <c r="N71" s="4" t="s">
        <v>1232</v>
      </c>
      <c r="O71" s="4" t="s">
        <v>1459</v>
      </c>
    </row>
    <row r="72" ht="15.75" customHeight="1">
      <c r="A72" s="4" t="s">
        <v>1460</v>
      </c>
      <c r="B72" s="4" t="s">
        <v>1461</v>
      </c>
      <c r="C72" s="4" t="s">
        <v>86</v>
      </c>
      <c r="D72" s="4" t="s">
        <v>1182</v>
      </c>
      <c r="E72" s="4" t="s">
        <v>1455</v>
      </c>
      <c r="F72" s="4">
        <v>36.0</v>
      </c>
      <c r="G72" s="4">
        <v>15.19</v>
      </c>
      <c r="H72" s="4">
        <v>0.69</v>
      </c>
      <c r="I72" s="11">
        <v>0.356</v>
      </c>
      <c r="J72" s="4">
        <v>0.25</v>
      </c>
      <c r="K72" s="4">
        <v>1.2</v>
      </c>
      <c r="L72" s="4">
        <v>1.11</v>
      </c>
      <c r="M72" s="12">
        <f t="shared" si="1"/>
        <v>22.01449275</v>
      </c>
      <c r="N72" s="4" t="s">
        <v>1232</v>
      </c>
      <c r="O72" s="4" t="s">
        <v>1465</v>
      </c>
    </row>
    <row r="73" ht="15.75" customHeight="1">
      <c r="A73" s="4" t="s">
        <v>1466</v>
      </c>
      <c r="B73" s="4" t="s">
        <v>1467</v>
      </c>
      <c r="C73" s="4" t="s">
        <v>86</v>
      </c>
      <c r="D73" s="4" t="s">
        <v>1182</v>
      </c>
      <c r="E73" s="4" t="s">
        <v>1455</v>
      </c>
      <c r="F73" s="4">
        <v>36.0</v>
      </c>
      <c r="G73" s="4">
        <v>14.44</v>
      </c>
      <c r="H73" s="4">
        <v>0.66</v>
      </c>
      <c r="I73" s="11">
        <v>0.502</v>
      </c>
      <c r="J73" s="4">
        <v>0.33</v>
      </c>
      <c r="K73" s="4">
        <v>1.02</v>
      </c>
      <c r="L73" s="4">
        <v>1.1</v>
      </c>
      <c r="M73" s="12">
        <f t="shared" si="1"/>
        <v>21.87878788</v>
      </c>
      <c r="N73" s="4" t="s">
        <v>1232</v>
      </c>
      <c r="O73" s="4" t="s">
        <v>1468</v>
      </c>
    </row>
    <row r="74" ht="15.75" customHeight="1">
      <c r="A74" s="4" t="s">
        <v>1469</v>
      </c>
      <c r="B74" s="4" t="s">
        <v>1470</v>
      </c>
      <c r="C74" s="4" t="s">
        <v>86</v>
      </c>
      <c r="D74" s="4" t="s">
        <v>1182</v>
      </c>
      <c r="E74" s="4" t="s">
        <v>1455</v>
      </c>
      <c r="F74" s="4">
        <v>36.0</v>
      </c>
      <c r="G74" s="4">
        <v>13.67</v>
      </c>
      <c r="H74" s="4">
        <v>0.62</v>
      </c>
      <c r="I74" s="11">
        <v>0.612</v>
      </c>
      <c r="J74" s="4">
        <v>0.38</v>
      </c>
      <c r="K74" s="4">
        <v>0.94</v>
      </c>
      <c r="L74" s="4">
        <v>1.09</v>
      </c>
      <c r="M74" s="12">
        <f t="shared" si="1"/>
        <v>22.0483871</v>
      </c>
      <c r="N74" s="4" t="s">
        <v>1232</v>
      </c>
      <c r="O74" s="4" t="s">
        <v>1471</v>
      </c>
    </row>
    <row r="75" ht="15.75" customHeight="1">
      <c r="A75" s="4" t="s">
        <v>1472</v>
      </c>
      <c r="B75" s="4" t="s">
        <v>1473</v>
      </c>
      <c r="C75" s="4" t="s">
        <v>86</v>
      </c>
      <c r="D75" s="4" t="s">
        <v>1156</v>
      </c>
      <c r="E75" s="4" t="s">
        <v>1474</v>
      </c>
      <c r="F75" s="4">
        <v>41.0</v>
      </c>
      <c r="G75" s="4">
        <v>15.63</v>
      </c>
      <c r="H75" s="4">
        <v>0.71</v>
      </c>
      <c r="I75" s="11">
        <v>0.32</v>
      </c>
      <c r="J75" s="4">
        <v>0.23</v>
      </c>
      <c r="K75" s="4">
        <v>1.21</v>
      </c>
      <c r="L75" s="4">
        <v>1.13</v>
      </c>
      <c r="M75" s="12">
        <f t="shared" si="1"/>
        <v>22.01408451</v>
      </c>
      <c r="N75" s="4" t="s">
        <v>1232</v>
      </c>
      <c r="O75" s="4" t="s">
        <v>1475</v>
      </c>
    </row>
    <row r="76" ht="15.75" customHeight="1">
      <c r="A76" s="4" t="s">
        <v>1476</v>
      </c>
      <c r="B76" s="4" t="s">
        <v>1477</v>
      </c>
      <c r="C76" s="4" t="s">
        <v>86</v>
      </c>
      <c r="D76" s="4" t="s">
        <v>1156</v>
      </c>
      <c r="E76" s="4" t="s">
        <v>1474</v>
      </c>
      <c r="F76" s="4">
        <v>41.0</v>
      </c>
      <c r="G76" s="4">
        <v>15.73</v>
      </c>
      <c r="H76" s="4">
        <v>0.72</v>
      </c>
      <c r="I76" s="11">
        <v>0.519</v>
      </c>
      <c r="J76" s="4">
        <v>0.37</v>
      </c>
      <c r="K76" s="4">
        <v>1.04</v>
      </c>
      <c r="L76" s="4">
        <v>1.15</v>
      </c>
      <c r="M76" s="12">
        <f t="shared" si="1"/>
        <v>21.84722222</v>
      </c>
      <c r="N76" s="4" t="s">
        <v>1232</v>
      </c>
      <c r="O76" s="4" t="s">
        <v>1478</v>
      </c>
    </row>
    <row r="77" ht="15.75" customHeight="1">
      <c r="A77" s="4" t="s">
        <v>1479</v>
      </c>
      <c r="B77" s="4" t="s">
        <v>1480</v>
      </c>
      <c r="C77" s="4" t="s">
        <v>86</v>
      </c>
      <c r="D77" s="4" t="s">
        <v>1156</v>
      </c>
      <c r="E77" s="4" t="s">
        <v>1474</v>
      </c>
      <c r="F77" s="4">
        <v>41.0</v>
      </c>
      <c r="G77" s="4">
        <v>15.22</v>
      </c>
      <c r="H77" s="4">
        <v>0.69</v>
      </c>
      <c r="I77" s="11">
        <v>0.519</v>
      </c>
      <c r="J77" s="4">
        <v>0.36</v>
      </c>
      <c r="K77" s="4">
        <v>1.04</v>
      </c>
      <c r="L77" s="4">
        <v>1.16</v>
      </c>
      <c r="M77" s="12">
        <f t="shared" si="1"/>
        <v>22.05797101</v>
      </c>
      <c r="N77" s="4" t="s">
        <v>1232</v>
      </c>
      <c r="O77" s="4" t="s">
        <v>1481</v>
      </c>
    </row>
    <row r="78" ht="15.75" customHeight="1">
      <c r="A78" s="4" t="s">
        <v>1482</v>
      </c>
      <c r="B78" s="4" t="s">
        <v>1483</v>
      </c>
      <c r="C78" s="4" t="s">
        <v>86</v>
      </c>
      <c r="D78" s="4" t="s">
        <v>1156</v>
      </c>
      <c r="E78" s="4" t="s">
        <v>1474</v>
      </c>
      <c r="F78" s="4">
        <v>41.0</v>
      </c>
      <c r="G78" s="4">
        <v>14.32</v>
      </c>
      <c r="H78" s="4">
        <v>0.65</v>
      </c>
      <c r="I78" s="11">
        <v>0.547</v>
      </c>
      <c r="J78" s="4">
        <v>0.36</v>
      </c>
      <c r="K78" s="4">
        <v>1.01</v>
      </c>
      <c r="L78" s="4">
        <v>1.07</v>
      </c>
      <c r="M78" s="12">
        <f t="shared" si="1"/>
        <v>22.03076923</v>
      </c>
      <c r="N78" s="4" t="s">
        <v>1232</v>
      </c>
      <c r="O78" s="4" t="s">
        <v>1484</v>
      </c>
    </row>
    <row r="79" ht="15.75" customHeight="1">
      <c r="A79" s="4" t="s">
        <v>1485</v>
      </c>
      <c r="B79" s="4" t="s">
        <v>1486</v>
      </c>
      <c r="C79" s="4" t="s">
        <v>86</v>
      </c>
      <c r="D79" s="4" t="s">
        <v>1156</v>
      </c>
      <c r="E79" s="4" t="s">
        <v>1474</v>
      </c>
      <c r="F79" s="4">
        <v>41.0</v>
      </c>
      <c r="G79" s="4">
        <v>15.02</v>
      </c>
      <c r="H79" s="4">
        <v>0.69</v>
      </c>
      <c r="I79" s="11">
        <v>0.57</v>
      </c>
      <c r="J79" s="4">
        <v>0.39</v>
      </c>
      <c r="K79" s="4">
        <v>1.12</v>
      </c>
      <c r="L79" s="4">
        <v>1.13</v>
      </c>
      <c r="M79" s="12">
        <f t="shared" si="1"/>
        <v>21.76811594</v>
      </c>
      <c r="N79" s="4" t="s">
        <v>1232</v>
      </c>
      <c r="O79" s="4" t="s">
        <v>1487</v>
      </c>
    </row>
    <row r="80" ht="15.75" customHeight="1">
      <c r="A80" s="4" t="s">
        <v>1488</v>
      </c>
      <c r="B80" s="4" t="s">
        <v>1489</v>
      </c>
      <c r="C80" s="4" t="s">
        <v>86</v>
      </c>
      <c r="D80" s="4" t="s">
        <v>578</v>
      </c>
      <c r="E80" s="4" t="s">
        <v>1490</v>
      </c>
      <c r="F80" s="4">
        <v>30.0</v>
      </c>
      <c r="G80" s="4">
        <v>15.47</v>
      </c>
      <c r="H80" s="4">
        <v>0.72</v>
      </c>
      <c r="I80" s="11">
        <v>0.532</v>
      </c>
      <c r="J80" s="4">
        <v>0.38</v>
      </c>
      <c r="K80" s="4">
        <v>1.17</v>
      </c>
      <c r="L80" s="4">
        <v>1.2</v>
      </c>
      <c r="M80" s="12">
        <f t="shared" si="1"/>
        <v>21.48611111</v>
      </c>
      <c r="N80" s="4" t="s">
        <v>1232</v>
      </c>
      <c r="O80" s="4" t="s">
        <v>1491</v>
      </c>
    </row>
    <row r="81" ht="15.75" customHeight="1">
      <c r="A81" s="4" t="s">
        <v>1492</v>
      </c>
      <c r="B81" s="4" t="s">
        <v>1493</v>
      </c>
      <c r="C81" s="4" t="s">
        <v>86</v>
      </c>
      <c r="D81" s="4" t="s">
        <v>578</v>
      </c>
      <c r="E81" s="4" t="s">
        <v>1490</v>
      </c>
      <c r="F81" s="4">
        <v>30.0</v>
      </c>
      <c r="G81" s="4">
        <v>14.93</v>
      </c>
      <c r="H81" s="4">
        <v>0.69</v>
      </c>
      <c r="I81" s="11">
        <v>0.527</v>
      </c>
      <c r="J81" s="4">
        <v>0.37</v>
      </c>
      <c r="K81" s="4">
        <v>1.15</v>
      </c>
      <c r="L81" s="4">
        <v>1.2</v>
      </c>
      <c r="M81" s="12">
        <f t="shared" si="1"/>
        <v>21.63768116</v>
      </c>
      <c r="N81" s="4" t="s">
        <v>1232</v>
      </c>
      <c r="O81" s="4" t="s">
        <v>1494</v>
      </c>
    </row>
    <row r="82" ht="15.75" customHeight="1">
      <c r="A82" s="4" t="s">
        <v>1495</v>
      </c>
      <c r="B82" s="4" t="s">
        <v>1496</v>
      </c>
      <c r="C82" s="4" t="s">
        <v>86</v>
      </c>
      <c r="D82" s="4" t="s">
        <v>578</v>
      </c>
      <c r="E82" s="4" t="s">
        <v>1490</v>
      </c>
      <c r="F82" s="4">
        <v>30.0</v>
      </c>
      <c r="G82" s="4">
        <v>13.43</v>
      </c>
      <c r="H82" s="4">
        <v>0.62</v>
      </c>
      <c r="I82" s="11">
        <v>0.5429999999999999</v>
      </c>
      <c r="J82" s="4">
        <v>0.34</v>
      </c>
      <c r="K82" s="4">
        <v>0.98</v>
      </c>
      <c r="L82" s="4">
        <v>1.05</v>
      </c>
      <c r="M82" s="12">
        <f t="shared" si="1"/>
        <v>21.66129032</v>
      </c>
      <c r="N82" s="4" t="s">
        <v>1232</v>
      </c>
      <c r="O82" s="4" t="s">
        <v>1497</v>
      </c>
    </row>
    <row r="83" ht="15.75" customHeight="1">
      <c r="A83" s="4" t="s">
        <v>1498</v>
      </c>
      <c r="B83" s="4" t="s">
        <v>1499</v>
      </c>
      <c r="C83" s="4" t="s">
        <v>86</v>
      </c>
      <c r="D83" s="4" t="s">
        <v>578</v>
      </c>
      <c r="E83" s="4" t="s">
        <v>1490</v>
      </c>
      <c r="F83" s="4">
        <v>30.0</v>
      </c>
      <c r="G83" s="4">
        <v>16.23</v>
      </c>
      <c r="H83" s="4">
        <v>0.75</v>
      </c>
      <c r="I83" s="11">
        <v>0.308</v>
      </c>
      <c r="J83" s="4">
        <v>0.23</v>
      </c>
      <c r="K83" s="4">
        <v>1.34</v>
      </c>
      <c r="L83" s="4">
        <v>1.27</v>
      </c>
      <c r="M83" s="12">
        <f t="shared" si="1"/>
        <v>21.64</v>
      </c>
      <c r="N83" s="4" t="s">
        <v>1232</v>
      </c>
      <c r="O83" s="4" t="s">
        <v>1500</v>
      </c>
    </row>
    <row r="84" ht="15.75" customHeight="1">
      <c r="A84" s="4" t="s">
        <v>1501</v>
      </c>
      <c r="B84" s="4" t="s">
        <v>1502</v>
      </c>
      <c r="C84" s="4" t="s">
        <v>86</v>
      </c>
      <c r="D84" s="4" t="s">
        <v>578</v>
      </c>
      <c r="E84" s="4" t="s">
        <v>1490</v>
      </c>
      <c r="F84" s="4">
        <v>30.0</v>
      </c>
      <c r="G84" s="4">
        <v>14.3</v>
      </c>
      <c r="H84" s="4">
        <v>0.66</v>
      </c>
      <c r="I84" s="11">
        <v>0.578</v>
      </c>
      <c r="J84" s="4">
        <v>0.38</v>
      </c>
      <c r="K84" s="4">
        <v>0.98</v>
      </c>
      <c r="L84" s="4">
        <v>1.15</v>
      </c>
      <c r="M84" s="12">
        <f t="shared" si="1"/>
        <v>21.66666667</v>
      </c>
      <c r="N84" s="4" t="s">
        <v>1232</v>
      </c>
      <c r="O84" s="4" t="s">
        <v>1503</v>
      </c>
    </row>
    <row r="85" ht="15.75" customHeight="1">
      <c r="A85" s="4" t="s">
        <v>1504</v>
      </c>
      <c r="B85" s="4" t="s">
        <v>1505</v>
      </c>
      <c r="C85" s="4" t="s">
        <v>86</v>
      </c>
      <c r="D85" s="4" t="s">
        <v>1157</v>
      </c>
      <c r="E85" s="4" t="s">
        <v>1506</v>
      </c>
      <c r="F85" s="4">
        <v>35.0</v>
      </c>
      <c r="G85" s="4">
        <v>14.63</v>
      </c>
      <c r="H85" s="4">
        <v>0.71</v>
      </c>
      <c r="I85" s="11">
        <v>0.5820000000000001</v>
      </c>
      <c r="J85" s="4">
        <v>0.41</v>
      </c>
      <c r="K85" s="4">
        <v>1.09</v>
      </c>
      <c r="L85" s="4">
        <v>1.21</v>
      </c>
      <c r="M85" s="12">
        <f t="shared" si="1"/>
        <v>20.6056338</v>
      </c>
      <c r="N85" s="4" t="s">
        <v>1232</v>
      </c>
      <c r="O85" s="4" t="s">
        <v>1507</v>
      </c>
    </row>
    <row r="86" ht="15.75" customHeight="1">
      <c r="A86" s="4" t="s">
        <v>1508</v>
      </c>
      <c r="B86" s="4" t="s">
        <v>1509</v>
      </c>
      <c r="C86" s="4" t="s">
        <v>86</v>
      </c>
      <c r="D86" s="4" t="s">
        <v>1157</v>
      </c>
      <c r="E86" s="4" t="s">
        <v>1506</v>
      </c>
      <c r="F86" s="4">
        <v>36.0</v>
      </c>
      <c r="G86" s="4">
        <v>15.36</v>
      </c>
      <c r="H86" s="4">
        <v>0.74</v>
      </c>
      <c r="I86" s="11">
        <v>0.523</v>
      </c>
      <c r="J86" s="4">
        <v>0.39</v>
      </c>
      <c r="K86" s="4">
        <v>1.12</v>
      </c>
      <c r="L86" s="4">
        <v>1.27</v>
      </c>
      <c r="M86" s="12">
        <f t="shared" si="1"/>
        <v>20.75675676</v>
      </c>
      <c r="N86" s="4" t="s">
        <v>1232</v>
      </c>
      <c r="O86" s="4" t="s">
        <v>1510</v>
      </c>
    </row>
    <row r="87" ht="15.75" customHeight="1">
      <c r="A87" s="4" t="s">
        <v>1511</v>
      </c>
      <c r="B87" s="4" t="s">
        <v>1512</v>
      </c>
      <c r="C87" s="4" t="s">
        <v>86</v>
      </c>
      <c r="D87" s="4" t="s">
        <v>1157</v>
      </c>
      <c r="E87" s="4" t="s">
        <v>1506</v>
      </c>
      <c r="F87" s="4">
        <v>35.0</v>
      </c>
      <c r="G87" s="4">
        <v>12.46</v>
      </c>
      <c r="H87" s="4">
        <v>0.6</v>
      </c>
      <c r="I87" s="11">
        <v>0.511</v>
      </c>
      <c r="J87" s="4">
        <v>0.31</v>
      </c>
      <c r="K87" s="4">
        <v>0.87</v>
      </c>
      <c r="L87" s="4">
        <v>1.03</v>
      </c>
      <c r="M87" s="12">
        <f t="shared" si="1"/>
        <v>20.76666667</v>
      </c>
      <c r="N87" s="4" t="s">
        <v>1232</v>
      </c>
      <c r="O87" s="4" t="s">
        <v>1513</v>
      </c>
    </row>
    <row r="88" ht="15.75" customHeight="1">
      <c r="A88" s="4" t="s">
        <v>1514</v>
      </c>
      <c r="B88" s="4" t="s">
        <v>1515</v>
      </c>
      <c r="C88" s="4" t="s">
        <v>86</v>
      </c>
      <c r="D88" s="4" t="s">
        <v>858</v>
      </c>
      <c r="E88" s="4" t="s">
        <v>1516</v>
      </c>
      <c r="F88" s="4">
        <v>37.0</v>
      </c>
      <c r="G88" s="4">
        <v>15.41</v>
      </c>
      <c r="H88" s="4">
        <v>0.74</v>
      </c>
      <c r="I88" s="11">
        <v>0.44</v>
      </c>
      <c r="J88" s="4">
        <v>0.33</v>
      </c>
      <c r="K88" s="4">
        <v>1.13</v>
      </c>
      <c r="L88" s="4">
        <v>1.08</v>
      </c>
      <c r="M88" s="12">
        <f t="shared" si="1"/>
        <v>20.82432432</v>
      </c>
      <c r="N88" s="4" t="s">
        <v>1232</v>
      </c>
      <c r="O88" s="4" t="s">
        <v>1517</v>
      </c>
    </row>
    <row r="89" ht="15.75" customHeight="1">
      <c r="A89" s="4" t="s">
        <v>1518</v>
      </c>
      <c r="B89" s="4" t="s">
        <v>1519</v>
      </c>
      <c r="C89" s="4" t="s">
        <v>86</v>
      </c>
      <c r="D89" s="4" t="s">
        <v>858</v>
      </c>
      <c r="E89" s="4" t="s">
        <v>1520</v>
      </c>
      <c r="F89" s="4">
        <v>35.0</v>
      </c>
      <c r="G89" s="4">
        <v>14.06</v>
      </c>
      <c r="H89" s="4">
        <v>0.66</v>
      </c>
      <c r="I89" s="11">
        <v>0.53</v>
      </c>
      <c r="J89" s="4">
        <v>0.35</v>
      </c>
      <c r="K89" s="4">
        <v>1.03</v>
      </c>
      <c r="L89" s="4">
        <v>1.09</v>
      </c>
      <c r="M89" s="12">
        <f t="shared" si="1"/>
        <v>21.3030303</v>
      </c>
      <c r="N89" s="4" t="s">
        <v>1232</v>
      </c>
      <c r="O89" s="4" t="s">
        <v>1521</v>
      </c>
    </row>
    <row r="90" ht="15.75" customHeight="1">
      <c r="A90" s="4" t="s">
        <v>1522</v>
      </c>
      <c r="B90" s="4" t="s">
        <v>1523</v>
      </c>
      <c r="C90" s="4" t="s">
        <v>86</v>
      </c>
      <c r="D90" s="4" t="s">
        <v>858</v>
      </c>
      <c r="E90" s="4" t="s">
        <v>1520</v>
      </c>
      <c r="F90" s="4">
        <v>37.0</v>
      </c>
      <c r="G90" s="4">
        <v>13.86</v>
      </c>
      <c r="H90" s="4">
        <v>0.67</v>
      </c>
      <c r="I90" s="11">
        <v>0.478</v>
      </c>
      <c r="J90" s="4">
        <v>0.32</v>
      </c>
      <c r="K90" s="4">
        <v>0.95</v>
      </c>
      <c r="L90" s="4">
        <v>1.04</v>
      </c>
      <c r="M90" s="12">
        <f t="shared" si="1"/>
        <v>20.68656716</v>
      </c>
      <c r="N90" s="4" t="s">
        <v>1232</v>
      </c>
      <c r="O90" s="4" t="s">
        <v>1524</v>
      </c>
    </row>
    <row r="91" ht="15.75" customHeight="1">
      <c r="A91" s="4" t="s">
        <v>1525</v>
      </c>
      <c r="B91" s="4" t="s">
        <v>1526</v>
      </c>
      <c r="C91" s="4" t="s">
        <v>86</v>
      </c>
      <c r="D91" s="4" t="s">
        <v>858</v>
      </c>
      <c r="E91" s="4" t="s">
        <v>1520</v>
      </c>
      <c r="F91" s="4">
        <v>37.0</v>
      </c>
      <c r="G91" s="4">
        <v>13.32</v>
      </c>
      <c r="H91" s="4">
        <v>0.64</v>
      </c>
      <c r="I91" s="11">
        <v>0.625</v>
      </c>
      <c r="J91" s="4">
        <v>0.4</v>
      </c>
      <c r="K91" s="4">
        <v>0.97</v>
      </c>
      <c r="L91" s="4">
        <v>1.06</v>
      </c>
      <c r="M91" s="12">
        <f t="shared" si="1"/>
        <v>20.8125</v>
      </c>
      <c r="N91" s="4" t="s">
        <v>1232</v>
      </c>
      <c r="O91" s="4" t="s">
        <v>1527</v>
      </c>
    </row>
    <row r="92" ht="15.75" customHeight="1">
      <c r="A92" s="4" t="s">
        <v>1528</v>
      </c>
      <c r="B92" s="4" t="s">
        <v>1529</v>
      </c>
      <c r="C92" s="4" t="s">
        <v>86</v>
      </c>
      <c r="D92" s="4" t="s">
        <v>858</v>
      </c>
      <c r="E92" s="4" t="s">
        <v>1520</v>
      </c>
      <c r="F92" s="4">
        <v>37.0</v>
      </c>
      <c r="G92" s="4">
        <v>11.81</v>
      </c>
      <c r="H92" s="4">
        <v>0.57</v>
      </c>
      <c r="I92" s="11">
        <v>0.545</v>
      </c>
      <c r="J92" s="4">
        <v>0.31</v>
      </c>
      <c r="K92" s="4">
        <v>0.77</v>
      </c>
      <c r="L92" s="4">
        <v>0.94</v>
      </c>
      <c r="M92" s="12">
        <f t="shared" si="1"/>
        <v>20.71929825</v>
      </c>
      <c r="N92" s="4" t="s">
        <v>1232</v>
      </c>
      <c r="O92" s="4" t="s">
        <v>1530</v>
      </c>
    </row>
    <row r="93" ht="15.75" customHeight="1">
      <c r="A93" s="4" t="s">
        <v>1531</v>
      </c>
      <c r="B93" s="4" t="s">
        <v>1532</v>
      </c>
      <c r="C93" s="4" t="s">
        <v>86</v>
      </c>
      <c r="D93" s="4" t="s">
        <v>580</v>
      </c>
      <c r="E93" s="4" t="s">
        <v>1533</v>
      </c>
      <c r="F93" s="4">
        <v>31.0</v>
      </c>
      <c r="G93" s="4">
        <v>16.77</v>
      </c>
      <c r="H93" s="4">
        <v>0.8</v>
      </c>
      <c r="I93" s="11">
        <v>0.573</v>
      </c>
      <c r="J93" s="4">
        <v>0.46</v>
      </c>
      <c r="K93" s="4">
        <v>1.18</v>
      </c>
      <c r="L93" s="4">
        <v>1.22</v>
      </c>
      <c r="M93" s="12">
        <f t="shared" si="1"/>
        <v>20.9625</v>
      </c>
      <c r="N93" s="4" t="s">
        <v>1232</v>
      </c>
      <c r="O93" s="4" t="s">
        <v>1534</v>
      </c>
    </row>
    <row r="94" ht="15.75" customHeight="1">
      <c r="A94" s="4" t="s">
        <v>1535</v>
      </c>
      <c r="B94" s="4" t="s">
        <v>1536</v>
      </c>
      <c r="C94" s="4" t="s">
        <v>86</v>
      </c>
      <c r="D94" s="4" t="s">
        <v>580</v>
      </c>
      <c r="E94" s="4" t="s">
        <v>1533</v>
      </c>
      <c r="F94" s="4">
        <v>31.0</v>
      </c>
      <c r="G94" s="4">
        <v>14.68</v>
      </c>
      <c r="H94" s="4">
        <v>0.7</v>
      </c>
      <c r="I94" s="11">
        <v>0.343</v>
      </c>
      <c r="J94" s="4">
        <v>0.24</v>
      </c>
      <c r="K94" s="4">
        <v>1.18</v>
      </c>
      <c r="L94" s="4">
        <v>1.12</v>
      </c>
      <c r="M94" s="12">
        <f t="shared" si="1"/>
        <v>20.97142857</v>
      </c>
      <c r="N94" s="4" t="s">
        <v>1232</v>
      </c>
      <c r="O94" s="4" t="s">
        <v>1537</v>
      </c>
    </row>
    <row r="95" ht="15.75" customHeight="1">
      <c r="A95" s="4" t="s">
        <v>1538</v>
      </c>
      <c r="B95" s="4" t="s">
        <v>1539</v>
      </c>
      <c r="C95" s="4" t="s">
        <v>86</v>
      </c>
      <c r="D95" s="4" t="s">
        <v>580</v>
      </c>
      <c r="E95" s="4" t="s">
        <v>1533</v>
      </c>
      <c r="F95" s="4">
        <v>31.0</v>
      </c>
      <c r="G95" s="4">
        <v>12.19</v>
      </c>
      <c r="H95" s="4">
        <v>0.58</v>
      </c>
      <c r="I95" s="11">
        <v>0.537</v>
      </c>
      <c r="J95" s="4">
        <v>0.31</v>
      </c>
      <c r="K95" s="4">
        <v>0.88</v>
      </c>
      <c r="L95" s="4">
        <v>1.0</v>
      </c>
      <c r="M95" s="12">
        <f t="shared" si="1"/>
        <v>21.01724138</v>
      </c>
      <c r="N95" s="4" t="s">
        <v>1232</v>
      </c>
      <c r="O95" s="4" t="s">
        <v>1540</v>
      </c>
    </row>
    <row r="96" ht="15.75" customHeight="1">
      <c r="A96" s="4" t="s">
        <v>1541</v>
      </c>
      <c r="B96" s="4" t="s">
        <v>1542</v>
      </c>
      <c r="C96" s="4" t="s">
        <v>86</v>
      </c>
      <c r="D96" s="4" t="s">
        <v>580</v>
      </c>
      <c r="E96" s="4" t="s">
        <v>1533</v>
      </c>
      <c r="F96" s="4">
        <v>38.0</v>
      </c>
      <c r="G96" s="4">
        <v>15.03</v>
      </c>
      <c r="H96" s="4">
        <v>0.73</v>
      </c>
      <c r="I96" s="11">
        <v>0.6779999999999999</v>
      </c>
      <c r="J96" s="4">
        <v>0.5</v>
      </c>
      <c r="K96" s="4">
        <v>1.1</v>
      </c>
      <c r="L96" s="4">
        <v>1.2</v>
      </c>
      <c r="M96" s="12">
        <f t="shared" si="1"/>
        <v>20.5890411</v>
      </c>
      <c r="N96" s="4" t="s">
        <v>1232</v>
      </c>
      <c r="O96" s="4" t="s">
        <v>1543</v>
      </c>
    </row>
    <row r="97" ht="15.75" customHeight="1">
      <c r="A97" s="4" t="s">
        <v>1544</v>
      </c>
      <c r="B97" s="4" t="s">
        <v>1545</v>
      </c>
      <c r="C97" s="4" t="s">
        <v>86</v>
      </c>
      <c r="D97" s="4" t="s">
        <v>580</v>
      </c>
      <c r="E97" s="4" t="s">
        <v>1533</v>
      </c>
      <c r="F97" s="4">
        <v>31.0</v>
      </c>
      <c r="G97" s="4">
        <v>14.9</v>
      </c>
      <c r="H97" s="4">
        <v>0.71</v>
      </c>
      <c r="I97" s="11">
        <v>0.506</v>
      </c>
      <c r="J97" s="4">
        <v>0.36</v>
      </c>
      <c r="K97" s="4">
        <v>1.18</v>
      </c>
      <c r="L97" s="4">
        <v>1.25</v>
      </c>
      <c r="M97" s="12">
        <f t="shared" si="1"/>
        <v>20.98591549</v>
      </c>
      <c r="N97" s="4" t="s">
        <v>1232</v>
      </c>
      <c r="O97" s="4" t="s">
        <v>1546</v>
      </c>
    </row>
    <row r="98" ht="15.75" customHeight="1">
      <c r="A98" s="4" t="s">
        <v>1547</v>
      </c>
      <c r="B98" s="4" t="s">
        <v>1548</v>
      </c>
      <c r="C98" s="4" t="s">
        <v>86</v>
      </c>
      <c r="D98" s="4" t="s">
        <v>856</v>
      </c>
      <c r="E98" s="4" t="s">
        <v>1549</v>
      </c>
      <c r="F98" s="4">
        <v>27.0</v>
      </c>
      <c r="G98" s="4">
        <v>15.41</v>
      </c>
      <c r="H98" s="4">
        <v>0.72</v>
      </c>
      <c r="I98" s="11">
        <v>0.514</v>
      </c>
      <c r="J98" s="4">
        <v>0.37</v>
      </c>
      <c r="K98" s="4">
        <v>1.0</v>
      </c>
      <c r="L98" s="4">
        <v>1.1</v>
      </c>
      <c r="M98" s="12">
        <f t="shared" si="1"/>
        <v>21.40277778</v>
      </c>
      <c r="N98" s="4" t="s">
        <v>1232</v>
      </c>
      <c r="O98" s="4" t="s">
        <v>1550</v>
      </c>
    </row>
    <row r="99" ht="15.75" customHeight="1">
      <c r="A99" s="4" t="s">
        <v>1551</v>
      </c>
      <c r="B99" s="4" t="s">
        <v>1552</v>
      </c>
      <c r="C99" s="4" t="s">
        <v>86</v>
      </c>
      <c r="D99" s="4" t="s">
        <v>856</v>
      </c>
      <c r="E99" s="4" t="s">
        <v>1549</v>
      </c>
      <c r="F99" s="4">
        <v>27.0</v>
      </c>
      <c r="G99" s="4">
        <v>15.85</v>
      </c>
      <c r="H99" s="4">
        <v>0.74</v>
      </c>
      <c r="I99" s="11">
        <v>0.348</v>
      </c>
      <c r="J99" s="4">
        <v>0.26</v>
      </c>
      <c r="K99" s="4">
        <v>1.18</v>
      </c>
      <c r="L99" s="4">
        <v>1.18</v>
      </c>
      <c r="M99" s="12">
        <f t="shared" si="1"/>
        <v>21.41891892</v>
      </c>
      <c r="N99" s="4" t="s">
        <v>1232</v>
      </c>
      <c r="O99" s="4" t="s">
        <v>1553</v>
      </c>
    </row>
    <row r="100" ht="15.75" customHeight="1">
      <c r="A100" s="4" t="s">
        <v>1554</v>
      </c>
      <c r="B100" s="4" t="s">
        <v>1555</v>
      </c>
      <c r="C100" s="4" t="s">
        <v>86</v>
      </c>
      <c r="D100" s="4" t="s">
        <v>856</v>
      </c>
      <c r="E100" s="4" t="s">
        <v>1549</v>
      </c>
      <c r="F100" s="4">
        <v>27.0</v>
      </c>
      <c r="G100" s="4">
        <v>15.07</v>
      </c>
      <c r="H100" s="4">
        <v>0.7</v>
      </c>
      <c r="I100" s="11">
        <v>0.5870000000000001</v>
      </c>
      <c r="J100" s="4">
        <v>0.41</v>
      </c>
      <c r="K100" s="4">
        <v>1.08</v>
      </c>
      <c r="L100" s="4">
        <v>1.18</v>
      </c>
      <c r="M100" s="12">
        <f t="shared" si="1"/>
        <v>21.52857143</v>
      </c>
      <c r="N100" s="4" t="s">
        <v>1232</v>
      </c>
      <c r="O100" s="4" t="s">
        <v>1556</v>
      </c>
    </row>
    <row r="101" ht="15.75" customHeight="1">
      <c r="A101" s="4" t="s">
        <v>1557</v>
      </c>
      <c r="B101" s="4" t="s">
        <v>1558</v>
      </c>
      <c r="C101" s="4" t="s">
        <v>86</v>
      </c>
      <c r="D101" s="4" t="s">
        <v>856</v>
      </c>
      <c r="E101" s="4" t="s">
        <v>1549</v>
      </c>
      <c r="F101" s="4">
        <v>27.0</v>
      </c>
      <c r="G101" s="4">
        <v>13.59</v>
      </c>
      <c r="H101" s="4">
        <v>0.63</v>
      </c>
      <c r="I101" s="11">
        <v>0.51</v>
      </c>
      <c r="J101" s="4">
        <v>0.32</v>
      </c>
      <c r="K101" s="4">
        <v>0.94</v>
      </c>
      <c r="L101" s="4">
        <v>1.06</v>
      </c>
      <c r="M101" s="12">
        <f t="shared" si="1"/>
        <v>21.57142857</v>
      </c>
      <c r="N101" s="4" t="s">
        <v>1232</v>
      </c>
      <c r="O101" s="4" t="s">
        <v>1559</v>
      </c>
    </row>
    <row r="102" ht="15.75" customHeight="1">
      <c r="A102" s="4" t="s">
        <v>1560</v>
      </c>
      <c r="B102" s="4" t="s">
        <v>1561</v>
      </c>
      <c r="C102" s="4" t="s">
        <v>86</v>
      </c>
      <c r="D102" s="4" t="s">
        <v>856</v>
      </c>
      <c r="E102" s="4" t="s">
        <v>1549</v>
      </c>
      <c r="F102" s="4">
        <v>27.0</v>
      </c>
      <c r="G102" s="4">
        <v>14.67</v>
      </c>
      <c r="H102" s="4">
        <v>0.68</v>
      </c>
      <c r="I102" s="11">
        <v>0.505</v>
      </c>
      <c r="J102" s="4">
        <v>0.34</v>
      </c>
      <c r="K102" s="4">
        <v>1.05</v>
      </c>
      <c r="L102" s="4">
        <v>1.08</v>
      </c>
      <c r="M102" s="12">
        <f t="shared" si="1"/>
        <v>21.57352941</v>
      </c>
      <c r="N102" s="4" t="s">
        <v>1232</v>
      </c>
      <c r="O102" s="4" t="s">
        <v>1562</v>
      </c>
    </row>
    <row r="103" ht="15.75" customHeight="1">
      <c r="A103" s="4" t="s">
        <v>1563</v>
      </c>
      <c r="B103" s="4" t="s">
        <v>1564</v>
      </c>
      <c r="C103" s="4" t="s">
        <v>86</v>
      </c>
      <c r="D103" s="4" t="s">
        <v>1565</v>
      </c>
      <c r="E103" s="4" t="s">
        <v>1566</v>
      </c>
      <c r="F103" s="4">
        <v>33.0</v>
      </c>
      <c r="G103" s="4">
        <v>15.91</v>
      </c>
      <c r="H103" s="4">
        <v>0.72</v>
      </c>
      <c r="I103" s="11">
        <v>0.665</v>
      </c>
      <c r="J103" s="4">
        <v>0.48</v>
      </c>
      <c r="K103" s="4">
        <v>1.15</v>
      </c>
      <c r="L103" s="4">
        <v>1.24</v>
      </c>
      <c r="M103" s="12">
        <f t="shared" si="1"/>
        <v>22.09722222</v>
      </c>
      <c r="N103" s="4" t="s">
        <v>1232</v>
      </c>
      <c r="O103" s="4" t="s">
        <v>1567</v>
      </c>
    </row>
    <row r="104" ht="15.75" customHeight="1">
      <c r="A104" s="4" t="s">
        <v>1568</v>
      </c>
      <c r="B104" s="4" t="s">
        <v>1569</v>
      </c>
      <c r="C104" s="4" t="s">
        <v>86</v>
      </c>
      <c r="D104" s="4" t="s">
        <v>1565</v>
      </c>
      <c r="E104" s="4" t="s">
        <v>1566</v>
      </c>
      <c r="F104" s="4">
        <v>35.0</v>
      </c>
      <c r="G104" s="4">
        <v>13.14</v>
      </c>
      <c r="H104" s="4">
        <v>0.6</v>
      </c>
      <c r="I104" s="11">
        <v>0.5479999999999999</v>
      </c>
      <c r="J104" s="4">
        <v>0.33</v>
      </c>
      <c r="K104" s="4">
        <v>0.84</v>
      </c>
      <c r="L104" s="4">
        <v>0.97</v>
      </c>
      <c r="M104" s="12">
        <f t="shared" si="1"/>
        <v>21.9</v>
      </c>
      <c r="N104" s="4" t="s">
        <v>1232</v>
      </c>
      <c r="O104" s="4" t="s">
        <v>1570</v>
      </c>
    </row>
    <row r="105" ht="15.75" customHeight="1">
      <c r="A105" s="4" t="s">
        <v>1571</v>
      </c>
      <c r="B105" s="4" t="s">
        <v>1572</v>
      </c>
      <c r="C105" s="4" t="s">
        <v>86</v>
      </c>
      <c r="D105" s="4" t="s">
        <v>1565</v>
      </c>
      <c r="E105" s="4" t="s">
        <v>1566</v>
      </c>
      <c r="F105" s="4">
        <v>34.0</v>
      </c>
      <c r="G105" s="4">
        <v>17.59</v>
      </c>
      <c r="H105" s="4">
        <v>0.79</v>
      </c>
      <c r="I105" s="11">
        <v>0.467</v>
      </c>
      <c r="J105" s="4">
        <v>0.37</v>
      </c>
      <c r="K105" s="4">
        <v>1.29</v>
      </c>
      <c r="L105" s="4">
        <v>1.26</v>
      </c>
      <c r="M105" s="12">
        <f t="shared" si="1"/>
        <v>22.26582278</v>
      </c>
      <c r="N105" s="4" t="s">
        <v>1232</v>
      </c>
      <c r="O105" s="4" t="s">
        <v>1573</v>
      </c>
    </row>
    <row r="106" ht="15.75" customHeight="1">
      <c r="A106" s="4" t="s">
        <v>1574</v>
      </c>
      <c r="B106" s="4" t="s">
        <v>1575</v>
      </c>
      <c r="C106" s="4" t="s">
        <v>86</v>
      </c>
      <c r="D106" s="4" t="s">
        <v>1565</v>
      </c>
      <c r="E106" s="4" t="s">
        <v>1566</v>
      </c>
      <c r="F106" s="4">
        <v>36.0</v>
      </c>
      <c r="G106" s="4">
        <v>15.69</v>
      </c>
      <c r="H106" s="4">
        <v>0.71</v>
      </c>
      <c r="I106" s="11">
        <v>0.6829999999999999</v>
      </c>
      <c r="J106" s="4">
        <v>0.48</v>
      </c>
      <c r="K106" s="4">
        <v>1.02</v>
      </c>
      <c r="L106" s="4">
        <v>1.1</v>
      </c>
      <c r="M106" s="12">
        <f t="shared" si="1"/>
        <v>22.09859155</v>
      </c>
      <c r="N106" s="4" t="s">
        <v>1232</v>
      </c>
      <c r="O106" s="4" t="s">
        <v>1576</v>
      </c>
    </row>
    <row r="107" ht="15.75" customHeight="1">
      <c r="A107" s="4" t="s">
        <v>1577</v>
      </c>
      <c r="B107" s="4" t="s">
        <v>1578</v>
      </c>
      <c r="C107" s="4" t="s">
        <v>86</v>
      </c>
      <c r="D107" s="4" t="s">
        <v>1565</v>
      </c>
      <c r="E107" s="4" t="s">
        <v>1566</v>
      </c>
      <c r="F107" s="4">
        <v>35.0</v>
      </c>
      <c r="G107" s="4">
        <v>16.83</v>
      </c>
      <c r="H107" s="4">
        <v>0.76</v>
      </c>
      <c r="I107" s="11">
        <v>0.382</v>
      </c>
      <c r="J107" s="4">
        <v>0.29</v>
      </c>
      <c r="K107" s="4">
        <v>1.28</v>
      </c>
      <c r="L107" s="4">
        <v>1.26</v>
      </c>
      <c r="M107" s="12">
        <f t="shared" si="1"/>
        <v>22.14473684</v>
      </c>
      <c r="N107" s="4" t="s">
        <v>1232</v>
      </c>
      <c r="O107" s="4" t="s">
        <v>1579</v>
      </c>
    </row>
    <row r="108" ht="15.75" customHeight="1">
      <c r="A108" s="4" t="s">
        <v>1580</v>
      </c>
      <c r="B108" s="4" t="s">
        <v>1581</v>
      </c>
      <c r="C108" s="4" t="s">
        <v>1582</v>
      </c>
      <c r="D108" s="4" t="s">
        <v>368</v>
      </c>
      <c r="E108" s="4" t="s">
        <v>1583</v>
      </c>
      <c r="F108" s="4">
        <v>39.0</v>
      </c>
      <c r="G108" s="4">
        <v>16.28</v>
      </c>
      <c r="H108" s="4">
        <v>0.78</v>
      </c>
      <c r="I108" s="11"/>
      <c r="K108" s="4">
        <v>1.15</v>
      </c>
      <c r="M108" s="12">
        <f t="shared" si="1"/>
        <v>20.87179487</v>
      </c>
      <c r="N108" s="4" t="s">
        <v>1232</v>
      </c>
      <c r="O108" s="4" t="s">
        <v>1584</v>
      </c>
    </row>
    <row r="109" ht="15.75" customHeight="1">
      <c r="A109" s="4" t="s">
        <v>1585</v>
      </c>
      <c r="B109" s="4" t="s">
        <v>1586</v>
      </c>
      <c r="C109" s="4" t="s">
        <v>1582</v>
      </c>
      <c r="D109" s="4" t="s">
        <v>368</v>
      </c>
      <c r="E109" s="4" t="s">
        <v>1583</v>
      </c>
      <c r="F109" s="4">
        <v>39.0</v>
      </c>
      <c r="G109" s="4">
        <v>14.18</v>
      </c>
      <c r="H109" s="4">
        <v>0.68</v>
      </c>
      <c r="I109" s="11"/>
      <c r="K109" s="4">
        <v>1.09</v>
      </c>
      <c r="M109" s="12">
        <f t="shared" si="1"/>
        <v>20.85294118</v>
      </c>
      <c r="N109" s="4" t="s">
        <v>1232</v>
      </c>
      <c r="O109" s="4" t="s">
        <v>1587</v>
      </c>
    </row>
    <row r="110" ht="15.75" customHeight="1">
      <c r="A110" s="4" t="s">
        <v>1588</v>
      </c>
      <c r="B110" s="4" t="s">
        <v>1589</v>
      </c>
      <c r="C110" s="4" t="s">
        <v>1582</v>
      </c>
      <c r="D110" s="4" t="s">
        <v>368</v>
      </c>
      <c r="E110" s="4" t="s">
        <v>1583</v>
      </c>
      <c r="F110" s="4">
        <v>39.0</v>
      </c>
      <c r="G110" s="4">
        <v>15.77</v>
      </c>
      <c r="H110" s="4">
        <v>0.75</v>
      </c>
      <c r="I110" s="11"/>
      <c r="K110" s="4">
        <v>1.26</v>
      </c>
      <c r="M110" s="12">
        <f t="shared" si="1"/>
        <v>21.02666667</v>
      </c>
      <c r="N110" s="4" t="s">
        <v>1232</v>
      </c>
      <c r="O110" s="4" t="s">
        <v>1590</v>
      </c>
    </row>
    <row r="111" ht="15.75" customHeight="1">
      <c r="A111" s="4" t="s">
        <v>1591</v>
      </c>
      <c r="B111" s="4" t="s">
        <v>1592</v>
      </c>
      <c r="C111" s="4" t="s">
        <v>1582</v>
      </c>
      <c r="D111" s="4" t="s">
        <v>368</v>
      </c>
      <c r="E111" s="4" t="s">
        <v>1583</v>
      </c>
      <c r="F111" s="4">
        <v>39.0</v>
      </c>
      <c r="G111" s="4">
        <v>16.03</v>
      </c>
      <c r="H111" s="4">
        <v>0.77</v>
      </c>
      <c r="I111" s="11"/>
      <c r="K111" s="4">
        <v>1.1</v>
      </c>
      <c r="M111" s="12">
        <f t="shared" si="1"/>
        <v>20.81818182</v>
      </c>
      <c r="N111" s="4" t="s">
        <v>1232</v>
      </c>
      <c r="O111" s="4" t="s">
        <v>1593</v>
      </c>
    </row>
    <row r="112" ht="15.75" customHeight="1">
      <c r="A112" s="4" t="s">
        <v>1594</v>
      </c>
      <c r="B112" s="4" t="s">
        <v>1595</v>
      </c>
      <c r="C112" s="4" t="s">
        <v>1582</v>
      </c>
      <c r="D112" s="4" t="s">
        <v>368</v>
      </c>
      <c r="E112" s="4" t="s">
        <v>1583</v>
      </c>
      <c r="F112" s="4">
        <v>39.0</v>
      </c>
      <c r="G112" s="4">
        <v>13.54</v>
      </c>
      <c r="H112" s="4">
        <v>0.65</v>
      </c>
      <c r="I112" s="11"/>
      <c r="K112" s="4">
        <v>1.05</v>
      </c>
      <c r="M112" s="12">
        <f t="shared" si="1"/>
        <v>20.83076923</v>
      </c>
      <c r="N112" s="4" t="s">
        <v>1232</v>
      </c>
      <c r="O112" s="4" t="s">
        <v>1596</v>
      </c>
    </row>
    <row r="113" ht="15.75" customHeight="1">
      <c r="A113" s="4" t="s">
        <v>1597</v>
      </c>
      <c r="B113" s="4" t="s">
        <v>1598</v>
      </c>
      <c r="C113" s="4" t="s">
        <v>1582</v>
      </c>
      <c r="D113" s="4" t="s">
        <v>1599</v>
      </c>
      <c r="E113" s="4" t="s">
        <v>1600</v>
      </c>
      <c r="F113" s="4">
        <v>37.0</v>
      </c>
      <c r="G113" s="4">
        <v>15.27</v>
      </c>
      <c r="H113" s="4">
        <v>0.72</v>
      </c>
      <c r="I113" s="11"/>
      <c r="K113" s="4">
        <v>1.06</v>
      </c>
      <c r="M113" s="12">
        <f t="shared" si="1"/>
        <v>21.20833333</v>
      </c>
      <c r="N113" s="4" t="s">
        <v>1232</v>
      </c>
      <c r="O113" s="4" t="s">
        <v>1601</v>
      </c>
    </row>
    <row r="114" ht="15.75" customHeight="1">
      <c r="A114" s="4" t="s">
        <v>1602</v>
      </c>
      <c r="B114" s="4" t="s">
        <v>1603</v>
      </c>
      <c r="C114" s="4" t="s">
        <v>1582</v>
      </c>
      <c r="D114" s="4" t="s">
        <v>1599</v>
      </c>
      <c r="E114" s="4" t="s">
        <v>1600</v>
      </c>
      <c r="F114" s="4">
        <v>37.0</v>
      </c>
      <c r="G114" s="4">
        <v>14.46</v>
      </c>
      <c r="H114" s="4">
        <v>0.68</v>
      </c>
      <c r="I114" s="11"/>
      <c r="K114" s="4">
        <v>0.88</v>
      </c>
      <c r="M114" s="12">
        <f t="shared" si="1"/>
        <v>21.26470588</v>
      </c>
      <c r="N114" s="4" t="s">
        <v>1232</v>
      </c>
      <c r="O114" s="4" t="s">
        <v>1604</v>
      </c>
    </row>
    <row r="115" ht="15.75" customHeight="1">
      <c r="A115" s="4" t="s">
        <v>1605</v>
      </c>
      <c r="B115" s="4" t="s">
        <v>1606</v>
      </c>
      <c r="C115" s="4" t="s">
        <v>1582</v>
      </c>
      <c r="D115" s="4" t="s">
        <v>1599</v>
      </c>
      <c r="E115" s="4" t="s">
        <v>1600</v>
      </c>
      <c r="F115" s="4">
        <v>37.0</v>
      </c>
      <c r="G115" s="4">
        <v>15.03</v>
      </c>
      <c r="H115" s="4">
        <v>0.7</v>
      </c>
      <c r="I115" s="11"/>
      <c r="K115" s="4">
        <v>1.03</v>
      </c>
      <c r="M115" s="12">
        <f t="shared" si="1"/>
        <v>21.47142857</v>
      </c>
      <c r="N115" s="4" t="s">
        <v>1232</v>
      </c>
      <c r="O115" s="4" t="s">
        <v>1607</v>
      </c>
    </row>
    <row r="116" ht="15.75" customHeight="1">
      <c r="A116" s="4" t="s">
        <v>1608</v>
      </c>
      <c r="B116" s="4" t="s">
        <v>1609</v>
      </c>
      <c r="C116" s="4" t="s">
        <v>1582</v>
      </c>
      <c r="D116" s="4" t="s">
        <v>1599</v>
      </c>
      <c r="E116" s="4" t="s">
        <v>1600</v>
      </c>
      <c r="F116" s="4">
        <v>37.0</v>
      </c>
      <c r="G116" s="4">
        <v>15.43</v>
      </c>
      <c r="H116" s="4">
        <v>0.72</v>
      </c>
      <c r="I116" s="11"/>
      <c r="K116" s="4">
        <v>1.15</v>
      </c>
      <c r="M116" s="12">
        <f t="shared" si="1"/>
        <v>21.43055556</v>
      </c>
      <c r="N116" s="4" t="s">
        <v>1232</v>
      </c>
      <c r="O116" s="4" t="s">
        <v>1610</v>
      </c>
    </row>
    <row r="117" ht="15.75" customHeight="1">
      <c r="A117" s="4" t="s">
        <v>1611</v>
      </c>
      <c r="B117" s="4" t="s">
        <v>1612</v>
      </c>
      <c r="C117" s="4" t="s">
        <v>1582</v>
      </c>
      <c r="D117" s="4" t="s">
        <v>1599</v>
      </c>
      <c r="E117" s="4" t="s">
        <v>1600</v>
      </c>
      <c r="F117" s="4">
        <v>37.0</v>
      </c>
      <c r="G117" s="4">
        <v>14.59</v>
      </c>
      <c r="H117" s="4">
        <v>0.68</v>
      </c>
      <c r="I117" s="11"/>
      <c r="K117" s="4">
        <v>0.99</v>
      </c>
      <c r="M117" s="12">
        <f t="shared" si="1"/>
        <v>21.45588235</v>
      </c>
      <c r="N117" s="4" t="s">
        <v>1232</v>
      </c>
      <c r="O117" s="4" t="s">
        <v>1613</v>
      </c>
    </row>
    <row r="118" ht="15.75" customHeight="1">
      <c r="A118" s="4" t="s">
        <v>1614</v>
      </c>
      <c r="B118" s="4" t="s">
        <v>1615</v>
      </c>
      <c r="C118" s="4" t="s">
        <v>1582</v>
      </c>
      <c r="D118" s="4" t="s">
        <v>1616</v>
      </c>
      <c r="E118" s="4" t="s">
        <v>1617</v>
      </c>
      <c r="F118" s="4">
        <v>39.0</v>
      </c>
      <c r="G118" s="4">
        <v>12.82</v>
      </c>
      <c r="H118" s="4">
        <v>0.6</v>
      </c>
      <c r="I118" s="11"/>
      <c r="K118" s="4">
        <v>0.85</v>
      </c>
      <c r="M118" s="12">
        <f t="shared" si="1"/>
        <v>21.36666667</v>
      </c>
      <c r="N118" s="4" t="s">
        <v>1232</v>
      </c>
      <c r="O118" s="4" t="s">
        <v>1618</v>
      </c>
    </row>
    <row r="119" ht="15.75" customHeight="1">
      <c r="A119" s="4" t="s">
        <v>1619</v>
      </c>
      <c r="B119" s="4" t="s">
        <v>1620</v>
      </c>
      <c r="C119" s="4" t="s">
        <v>1582</v>
      </c>
      <c r="D119" s="4" t="s">
        <v>1616</v>
      </c>
      <c r="E119" s="4" t="s">
        <v>1617</v>
      </c>
      <c r="F119" s="4">
        <v>39.0</v>
      </c>
      <c r="G119" s="4">
        <v>11.95</v>
      </c>
      <c r="H119" s="4">
        <v>0.56</v>
      </c>
      <c r="I119" s="11"/>
      <c r="K119" s="4">
        <v>0.93</v>
      </c>
      <c r="M119" s="12">
        <f t="shared" si="1"/>
        <v>21.33928571</v>
      </c>
      <c r="N119" s="4" t="s">
        <v>1232</v>
      </c>
      <c r="O119" s="4" t="s">
        <v>1621</v>
      </c>
    </row>
    <row r="120" ht="15.75" customHeight="1">
      <c r="A120" s="4" t="s">
        <v>1622</v>
      </c>
      <c r="B120" s="4" t="s">
        <v>1623</v>
      </c>
      <c r="C120" s="4" t="s">
        <v>1582</v>
      </c>
      <c r="D120" s="4" t="s">
        <v>1616</v>
      </c>
      <c r="E120" s="4" t="s">
        <v>1617</v>
      </c>
      <c r="F120" s="4">
        <v>39.0</v>
      </c>
      <c r="G120" s="4">
        <v>15.67</v>
      </c>
      <c r="H120" s="4">
        <v>0.74</v>
      </c>
      <c r="I120" s="11"/>
      <c r="K120" s="4">
        <v>1.18</v>
      </c>
      <c r="M120" s="12">
        <f t="shared" si="1"/>
        <v>21.17567568</v>
      </c>
      <c r="N120" s="4" t="s">
        <v>1232</v>
      </c>
      <c r="O120" s="4" t="s">
        <v>1624</v>
      </c>
    </row>
    <row r="121" ht="15.75" customHeight="1">
      <c r="A121" s="4" t="s">
        <v>1625</v>
      </c>
      <c r="B121" s="4" t="s">
        <v>1626</v>
      </c>
      <c r="C121" s="4" t="s">
        <v>1582</v>
      </c>
      <c r="D121" s="4" t="s">
        <v>1616</v>
      </c>
      <c r="E121" s="4" t="s">
        <v>1617</v>
      </c>
      <c r="F121" s="4">
        <v>39.0</v>
      </c>
      <c r="G121" s="4">
        <v>18.97</v>
      </c>
      <c r="H121" s="4">
        <v>0.89</v>
      </c>
      <c r="I121" s="11"/>
      <c r="K121" s="4">
        <v>1.36</v>
      </c>
      <c r="M121" s="12">
        <f t="shared" si="1"/>
        <v>21.31460674</v>
      </c>
      <c r="N121" s="4" t="s">
        <v>1232</v>
      </c>
      <c r="O121" s="4" t="s">
        <v>1627</v>
      </c>
    </row>
    <row r="122" ht="15.75" customHeight="1">
      <c r="A122" s="4" t="s">
        <v>1628</v>
      </c>
      <c r="B122" s="4" t="s">
        <v>1629</v>
      </c>
      <c r="C122" s="4" t="s">
        <v>1582</v>
      </c>
      <c r="D122" s="4" t="s">
        <v>1616</v>
      </c>
      <c r="E122" s="4" t="s">
        <v>1617</v>
      </c>
      <c r="F122" s="4">
        <v>39.0</v>
      </c>
      <c r="G122" s="4">
        <v>16.08</v>
      </c>
      <c r="H122" s="4">
        <v>0.76</v>
      </c>
      <c r="I122" s="11"/>
      <c r="K122" s="4">
        <v>0.98</v>
      </c>
      <c r="M122" s="12">
        <f t="shared" si="1"/>
        <v>21.15789474</v>
      </c>
      <c r="N122" s="4" t="s">
        <v>1232</v>
      </c>
      <c r="O122" s="4" t="s">
        <v>1630</v>
      </c>
    </row>
    <row r="123" ht="15.75" customHeight="1">
      <c r="A123" s="4" t="s">
        <v>1631</v>
      </c>
      <c r="B123" s="4" t="s">
        <v>1632</v>
      </c>
      <c r="C123" s="4" t="s">
        <v>1582</v>
      </c>
      <c r="D123" s="4" t="s">
        <v>1633</v>
      </c>
      <c r="E123" s="4" t="s">
        <v>1634</v>
      </c>
      <c r="F123" s="4">
        <v>39.0</v>
      </c>
      <c r="G123" s="4">
        <v>15.87</v>
      </c>
      <c r="H123" s="4">
        <v>0.73</v>
      </c>
      <c r="I123" s="11"/>
      <c r="K123" s="4">
        <v>1.09</v>
      </c>
      <c r="M123" s="12">
        <f t="shared" si="1"/>
        <v>21.73972603</v>
      </c>
      <c r="N123" s="4" t="s">
        <v>1232</v>
      </c>
      <c r="O123" s="4" t="s">
        <v>1635</v>
      </c>
    </row>
    <row r="124" ht="15.75" customHeight="1">
      <c r="A124" s="4" t="s">
        <v>1636</v>
      </c>
      <c r="B124" s="4" t="s">
        <v>1637</v>
      </c>
      <c r="C124" s="4" t="s">
        <v>1582</v>
      </c>
      <c r="D124" s="4" t="s">
        <v>1633</v>
      </c>
      <c r="E124" s="4" t="s">
        <v>1634</v>
      </c>
      <c r="F124" s="4">
        <v>39.0</v>
      </c>
      <c r="G124" s="4">
        <v>16.64</v>
      </c>
      <c r="H124" s="4">
        <v>0.76</v>
      </c>
      <c r="I124" s="11"/>
      <c r="K124" s="4">
        <v>1.06</v>
      </c>
      <c r="M124" s="12">
        <f t="shared" si="1"/>
        <v>21.89473684</v>
      </c>
      <c r="N124" s="4" t="s">
        <v>1232</v>
      </c>
      <c r="O124" s="4" t="s">
        <v>1638</v>
      </c>
    </row>
    <row r="125" ht="15.75" customHeight="1">
      <c r="A125" s="4" t="s">
        <v>1639</v>
      </c>
      <c r="B125" s="4" t="s">
        <v>1640</v>
      </c>
      <c r="C125" s="4" t="s">
        <v>1582</v>
      </c>
      <c r="D125" s="4" t="s">
        <v>1633</v>
      </c>
      <c r="E125" s="4" t="s">
        <v>1634</v>
      </c>
      <c r="F125" s="4">
        <v>39.0</v>
      </c>
      <c r="G125" s="4">
        <v>15.15</v>
      </c>
      <c r="H125" s="4">
        <v>0.69</v>
      </c>
      <c r="I125" s="11"/>
      <c r="K125" s="4">
        <v>0.96</v>
      </c>
      <c r="M125" s="12">
        <f t="shared" si="1"/>
        <v>21.95652174</v>
      </c>
      <c r="N125" s="4" t="s">
        <v>1232</v>
      </c>
      <c r="O125" s="4" t="s">
        <v>1641</v>
      </c>
    </row>
    <row r="126" ht="15.75" customHeight="1">
      <c r="A126" s="4" t="s">
        <v>1642</v>
      </c>
      <c r="B126" s="4" t="s">
        <v>1643</v>
      </c>
      <c r="C126" s="4" t="s">
        <v>1582</v>
      </c>
      <c r="D126" s="4" t="s">
        <v>1633</v>
      </c>
      <c r="E126" s="4" t="s">
        <v>1634</v>
      </c>
      <c r="F126" s="4">
        <v>39.0</v>
      </c>
      <c r="G126" s="4">
        <v>13.69</v>
      </c>
      <c r="H126" s="4">
        <v>0.63</v>
      </c>
      <c r="I126" s="11"/>
      <c r="K126" s="4">
        <v>0.96</v>
      </c>
      <c r="M126" s="12">
        <f t="shared" si="1"/>
        <v>21.73015873</v>
      </c>
      <c r="N126" s="4" t="s">
        <v>1232</v>
      </c>
      <c r="O126" s="4" t="s">
        <v>1644</v>
      </c>
    </row>
    <row r="127" ht="15.75" customHeight="1">
      <c r="A127" s="4" t="s">
        <v>1645</v>
      </c>
      <c r="B127" s="4" t="s">
        <v>1646</v>
      </c>
      <c r="C127" s="4" t="s">
        <v>1582</v>
      </c>
      <c r="D127" s="4" t="s">
        <v>1633</v>
      </c>
      <c r="E127" s="4" t="s">
        <v>1634</v>
      </c>
      <c r="F127" s="4">
        <v>39.0</v>
      </c>
      <c r="G127" s="4">
        <v>16.18</v>
      </c>
      <c r="H127" s="4">
        <v>0.74</v>
      </c>
      <c r="I127" s="11"/>
      <c r="K127" s="4">
        <v>1.19</v>
      </c>
      <c r="M127" s="12">
        <f t="shared" si="1"/>
        <v>21.86486486</v>
      </c>
      <c r="N127" s="4" t="s">
        <v>1232</v>
      </c>
      <c r="O127" s="4" t="s">
        <v>1647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27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6.0"/>
    <col customWidth="1" min="2" max="2" width="17.0"/>
    <col customWidth="1" min="3" max="3" width="14.0"/>
    <col customWidth="1" min="4" max="4" width="6.0"/>
    <col customWidth="1" min="5" max="5" width="10.0"/>
    <col customWidth="1" min="6" max="6" width="8.0"/>
    <col customWidth="1" min="7" max="8" width="9.0"/>
    <col customWidth="1" min="9" max="9" width="7.0"/>
    <col customWidth="1" min="10" max="10" width="6.0"/>
    <col customWidth="1" min="11" max="11" width="9.0"/>
    <col customWidth="1" min="12" max="26" width="8.71"/>
  </cols>
  <sheetData>
    <row r="1">
      <c r="A1" s="7" t="s">
        <v>1098</v>
      </c>
      <c r="B1" s="7" t="s">
        <v>1099</v>
      </c>
      <c r="C1" s="7" t="s">
        <v>308</v>
      </c>
      <c r="D1" s="7" t="s">
        <v>15</v>
      </c>
      <c r="E1" s="7" t="s">
        <v>131</v>
      </c>
      <c r="F1" s="7" t="s">
        <v>1652</v>
      </c>
      <c r="G1" s="7" t="s">
        <v>1653</v>
      </c>
      <c r="H1" s="7" t="s">
        <v>1654</v>
      </c>
      <c r="I1" s="7" t="s">
        <v>1224</v>
      </c>
      <c r="J1" s="7" t="s">
        <v>1226</v>
      </c>
      <c r="K1" s="7" t="s">
        <v>1655</v>
      </c>
    </row>
    <row r="2">
      <c r="A2" s="4" t="s">
        <v>1656</v>
      </c>
      <c r="B2" s="4" t="s">
        <v>1404</v>
      </c>
      <c r="C2" s="4" t="s">
        <v>1405</v>
      </c>
      <c r="D2" s="4" t="s">
        <v>86</v>
      </c>
      <c r="E2" s="4" t="s">
        <v>262</v>
      </c>
      <c r="F2" s="4">
        <v>7.0</v>
      </c>
      <c r="G2" s="4">
        <v>16.4</v>
      </c>
      <c r="H2" s="4">
        <v>0.67</v>
      </c>
      <c r="I2" s="11">
        <v>0.478</v>
      </c>
      <c r="J2" s="4">
        <v>1.06</v>
      </c>
      <c r="K2" s="18">
        <f t="array" ref="K2">IF(H2&lt;&gt;"",H2,IFERROR(G2/INDEX(Players!$M$2:$M$127,MATCH(B2,Players!$A$2:$A$127,0)),""))</f>
        <v>0.67</v>
      </c>
    </row>
    <row r="3">
      <c r="A3" s="4" t="s">
        <v>1657</v>
      </c>
      <c r="B3" s="4" t="s">
        <v>1404</v>
      </c>
      <c r="C3" s="4" t="s">
        <v>1405</v>
      </c>
      <c r="D3" s="4" t="s">
        <v>86</v>
      </c>
      <c r="E3" s="4" t="s">
        <v>250</v>
      </c>
      <c r="F3" s="4">
        <v>7.0</v>
      </c>
      <c r="G3" s="4">
        <v>15.3</v>
      </c>
      <c r="H3" s="4">
        <v>0.68</v>
      </c>
      <c r="I3" s="11">
        <v>0.523</v>
      </c>
      <c r="J3" s="4">
        <v>0.97</v>
      </c>
      <c r="K3" s="18">
        <f t="array" ref="K3">IF(H3&lt;&gt;"",H3,IFERROR(G3/INDEX(Players!$M$2:$M$127,MATCH(B3,Players!$A$2:$A$127,0)),""))</f>
        <v>0.68</v>
      </c>
    </row>
    <row r="4">
      <c r="A4" s="4" t="s">
        <v>1658</v>
      </c>
      <c r="B4" s="4" t="s">
        <v>1404</v>
      </c>
      <c r="C4" s="4" t="s">
        <v>1405</v>
      </c>
      <c r="D4" s="4" t="s">
        <v>86</v>
      </c>
      <c r="E4" s="4" t="s">
        <v>276</v>
      </c>
      <c r="F4" s="4">
        <v>6.0</v>
      </c>
      <c r="G4" s="4">
        <v>17.2</v>
      </c>
      <c r="H4" s="4">
        <v>0.84</v>
      </c>
      <c r="I4" s="11">
        <v>0.5529999999999999</v>
      </c>
      <c r="J4" s="4">
        <v>1.29</v>
      </c>
      <c r="K4" s="18">
        <f t="array" ref="K4">IF(H4&lt;&gt;"",H4,IFERROR(G4/INDEX(Players!$M$2:$M$127,MATCH(B4,Players!$A$2:$A$127,0)),""))</f>
        <v>0.84</v>
      </c>
    </row>
    <row r="5">
      <c r="A5" s="4" t="s">
        <v>1660</v>
      </c>
      <c r="B5" s="4" t="s">
        <v>1404</v>
      </c>
      <c r="C5" s="4" t="s">
        <v>1405</v>
      </c>
      <c r="D5" s="4" t="s">
        <v>86</v>
      </c>
      <c r="E5" s="4" t="s">
        <v>110</v>
      </c>
      <c r="F5" s="4">
        <v>5.0</v>
      </c>
      <c r="G5" s="4">
        <v>13.2</v>
      </c>
      <c r="H5" s="4">
        <v>0.61</v>
      </c>
      <c r="I5" s="11">
        <v>0.455</v>
      </c>
      <c r="J5" s="4">
        <v>0.77</v>
      </c>
      <c r="K5" s="18">
        <f t="array" ref="K5">IF(H5&lt;&gt;"",H5,IFERROR(G5/INDEX(Players!$M$2:$M$127,MATCH(B5,Players!$A$2:$A$127,0)),""))</f>
        <v>0.61</v>
      </c>
    </row>
    <row r="6">
      <c r="A6" s="4" t="s">
        <v>1661</v>
      </c>
      <c r="B6" s="4" t="s">
        <v>1404</v>
      </c>
      <c r="C6" s="4" t="s">
        <v>1405</v>
      </c>
      <c r="D6" s="4" t="s">
        <v>86</v>
      </c>
      <c r="E6" s="4" t="s">
        <v>270</v>
      </c>
      <c r="F6" s="4">
        <v>4.0</v>
      </c>
      <c r="G6" s="4">
        <v>15.8</v>
      </c>
      <c r="H6" s="4">
        <v>0.66</v>
      </c>
      <c r="I6" s="11">
        <v>0.5710000000000001</v>
      </c>
      <c r="J6" s="4">
        <v>0.95</v>
      </c>
      <c r="K6" s="18">
        <f t="array" ref="K6">IF(H6&lt;&gt;"",H6,IFERROR(G6/INDEX(Players!$M$2:$M$127,MATCH(B6,Players!$A$2:$A$127,0)),""))</f>
        <v>0.66</v>
      </c>
    </row>
    <row r="7">
      <c r="A7" s="4" t="s">
        <v>1662</v>
      </c>
      <c r="B7" s="4" t="s">
        <v>1404</v>
      </c>
      <c r="C7" s="4" t="s">
        <v>1405</v>
      </c>
      <c r="D7" s="4" t="s">
        <v>86</v>
      </c>
      <c r="E7" s="4" t="s">
        <v>113</v>
      </c>
      <c r="F7" s="4">
        <v>2.0</v>
      </c>
      <c r="G7" s="4">
        <v>11.0</v>
      </c>
      <c r="H7" s="4">
        <v>0.59</v>
      </c>
      <c r="I7" s="11">
        <v>0.545</v>
      </c>
      <c r="J7" s="4">
        <v>0.88</v>
      </c>
      <c r="K7" s="18">
        <f t="array" ref="K7">IF(H7&lt;&gt;"",H7,IFERROR(G7/INDEX(Players!$M$2:$M$127,MATCH(B7,Players!$A$2:$A$127,0)),""))</f>
        <v>0.59</v>
      </c>
    </row>
    <row r="8">
      <c r="A8" s="4" t="s">
        <v>1663</v>
      </c>
      <c r="B8" s="4" t="s">
        <v>1488</v>
      </c>
      <c r="C8" s="4" t="s">
        <v>1489</v>
      </c>
      <c r="D8" s="4" t="s">
        <v>86</v>
      </c>
      <c r="E8" s="4" t="s">
        <v>113</v>
      </c>
      <c r="F8" s="4">
        <v>7.0</v>
      </c>
      <c r="G8" s="4">
        <v>13.9</v>
      </c>
      <c r="H8" s="4">
        <v>0.66</v>
      </c>
      <c r="I8" s="11">
        <v>0.5670000000000001</v>
      </c>
      <c r="J8" s="4">
        <v>1.11</v>
      </c>
      <c r="K8" s="18">
        <f t="array" ref="K8">IF(H8&lt;&gt;"",H8,IFERROR(G8/INDEX(Players!$M$2:$M$127,MATCH(B8,Players!$A$2:$A$127,0)),""))</f>
        <v>0.66</v>
      </c>
    </row>
    <row r="9">
      <c r="A9" s="4" t="s">
        <v>1664</v>
      </c>
      <c r="B9" s="4" t="s">
        <v>1488</v>
      </c>
      <c r="C9" s="4" t="s">
        <v>1489</v>
      </c>
      <c r="D9" s="4" t="s">
        <v>86</v>
      </c>
      <c r="E9" s="4" t="s">
        <v>110</v>
      </c>
      <c r="F9" s="4">
        <v>5.0</v>
      </c>
      <c r="G9" s="4">
        <v>18.0</v>
      </c>
      <c r="H9" s="4">
        <v>0.78</v>
      </c>
      <c r="I9" s="11">
        <v>0.511</v>
      </c>
      <c r="J9" s="4">
        <v>1.34</v>
      </c>
      <c r="K9" s="18">
        <f t="array" ref="K9">IF(H9&lt;&gt;"",H9,IFERROR(G9/INDEX(Players!$M$2:$M$127,MATCH(B9,Players!$A$2:$A$127,0)),""))</f>
        <v>0.78</v>
      </c>
    </row>
    <row r="10">
      <c r="A10" s="4" t="s">
        <v>1665</v>
      </c>
      <c r="B10" s="4" t="s">
        <v>1488</v>
      </c>
      <c r="C10" s="4" t="s">
        <v>1489</v>
      </c>
      <c r="D10" s="4" t="s">
        <v>86</v>
      </c>
      <c r="E10" s="4" t="s">
        <v>270</v>
      </c>
      <c r="F10" s="4">
        <v>5.0</v>
      </c>
      <c r="G10" s="4">
        <v>16.4</v>
      </c>
      <c r="H10" s="4">
        <v>0.73</v>
      </c>
      <c r="I10" s="11">
        <v>0.463</v>
      </c>
      <c r="J10" s="4">
        <v>1.17</v>
      </c>
      <c r="K10" s="18">
        <f t="array" ref="K10">IF(H10&lt;&gt;"",H10,IFERROR(G10/INDEX(Players!$M$2:$M$127,MATCH(B10,Players!$A$2:$A$127,0)),""))</f>
        <v>0.73</v>
      </c>
    </row>
    <row r="11">
      <c r="A11" s="4" t="s">
        <v>1666</v>
      </c>
      <c r="B11" s="4" t="s">
        <v>1488</v>
      </c>
      <c r="C11" s="4" t="s">
        <v>1489</v>
      </c>
      <c r="D11" s="4" t="s">
        <v>86</v>
      </c>
      <c r="E11" s="4" t="s">
        <v>262</v>
      </c>
      <c r="F11" s="4">
        <v>5.0</v>
      </c>
      <c r="G11" s="4">
        <v>13.0</v>
      </c>
      <c r="H11" s="4">
        <v>0.6</v>
      </c>
      <c r="I11" s="11">
        <v>0.6</v>
      </c>
      <c r="J11" s="4">
        <v>0.82</v>
      </c>
      <c r="K11" s="18">
        <f t="array" ref="K11">IF(H11&lt;&gt;"",H11,IFERROR(G11/INDEX(Players!$M$2:$M$127,MATCH(B11,Players!$A$2:$A$127,0)),""))</f>
        <v>0.6</v>
      </c>
    </row>
    <row r="12">
      <c r="A12" s="4" t="s">
        <v>1667</v>
      </c>
      <c r="B12" s="4" t="s">
        <v>1488</v>
      </c>
      <c r="C12" s="4" t="s">
        <v>1489</v>
      </c>
      <c r="D12" s="4" t="s">
        <v>86</v>
      </c>
      <c r="E12" s="4" t="s">
        <v>250</v>
      </c>
      <c r="F12" s="4">
        <v>4.0</v>
      </c>
      <c r="G12" s="4">
        <v>20.3</v>
      </c>
      <c r="H12" s="4">
        <v>0.99</v>
      </c>
      <c r="I12" s="11">
        <v>0.494</v>
      </c>
      <c r="J12" s="4">
        <v>1.84</v>
      </c>
      <c r="K12" s="18">
        <f t="array" ref="K12">IF(H12&lt;&gt;"",H12,IFERROR(G12/INDEX(Players!$M$2:$M$127,MATCH(B12,Players!$A$2:$A$127,0)),""))</f>
        <v>0.99</v>
      </c>
    </row>
    <row r="13">
      <c r="A13" s="4" t="s">
        <v>1672</v>
      </c>
      <c r="B13" s="4" t="s">
        <v>1488</v>
      </c>
      <c r="C13" s="4" t="s">
        <v>1489</v>
      </c>
      <c r="D13" s="4" t="s">
        <v>86</v>
      </c>
      <c r="E13" s="4" t="s">
        <v>276</v>
      </c>
      <c r="F13" s="4">
        <v>4.0</v>
      </c>
      <c r="G13" s="4">
        <v>12.3</v>
      </c>
      <c r="H13" s="4">
        <v>0.61</v>
      </c>
      <c r="I13" s="11">
        <v>0.5920000000000001</v>
      </c>
      <c r="J13" s="4">
        <v>1.02</v>
      </c>
      <c r="K13" s="18">
        <f t="array" ref="K13">IF(H13&lt;&gt;"",H13,IFERROR(G13/INDEX(Players!$M$2:$M$127,MATCH(B13,Players!$A$2:$A$127,0)),""))</f>
        <v>0.61</v>
      </c>
    </row>
    <row r="14">
      <c r="A14" s="4" t="s">
        <v>1674</v>
      </c>
      <c r="B14" s="4" t="s">
        <v>1408</v>
      </c>
      <c r="C14" s="4" t="s">
        <v>1409</v>
      </c>
      <c r="D14" s="4" t="s">
        <v>86</v>
      </c>
      <c r="E14" s="4" t="s">
        <v>250</v>
      </c>
      <c r="F14" s="4">
        <v>8.0</v>
      </c>
      <c r="G14" s="4">
        <v>16.4</v>
      </c>
      <c r="H14" s="4">
        <v>0.68</v>
      </c>
      <c r="I14" s="11">
        <v>0.6559999999999999</v>
      </c>
      <c r="J14" s="4">
        <v>1.02</v>
      </c>
      <c r="K14" s="18">
        <f t="array" ref="K14">IF(H14&lt;&gt;"",H14,IFERROR(G14/INDEX(Players!$M$2:$M$127,MATCH(B14,Players!$A$2:$A$127,0)),""))</f>
        <v>0.68</v>
      </c>
    </row>
    <row r="15">
      <c r="A15" s="4" t="s">
        <v>1675</v>
      </c>
      <c r="B15" s="4" t="s">
        <v>1408</v>
      </c>
      <c r="C15" s="4" t="s">
        <v>1409</v>
      </c>
      <c r="D15" s="4" t="s">
        <v>86</v>
      </c>
      <c r="E15" s="4" t="s">
        <v>262</v>
      </c>
      <c r="F15" s="4">
        <v>7.0</v>
      </c>
      <c r="G15" s="4">
        <v>18.0</v>
      </c>
      <c r="H15" s="4">
        <v>0.89</v>
      </c>
      <c r="I15" s="11">
        <v>0.675</v>
      </c>
      <c r="J15" s="4">
        <v>1.42</v>
      </c>
      <c r="K15" s="18">
        <f t="array" ref="K15">IF(H15&lt;&gt;"",H15,IFERROR(G15/INDEX(Players!$M$2:$M$127,MATCH(B15,Players!$A$2:$A$127,0)),""))</f>
        <v>0.89</v>
      </c>
    </row>
    <row r="16">
      <c r="A16" s="4" t="s">
        <v>1676</v>
      </c>
      <c r="B16" s="4" t="s">
        <v>1408</v>
      </c>
      <c r="C16" s="4" t="s">
        <v>1409</v>
      </c>
      <c r="D16" s="4" t="s">
        <v>86</v>
      </c>
      <c r="E16" s="4" t="s">
        <v>276</v>
      </c>
      <c r="F16" s="4">
        <v>6.0</v>
      </c>
      <c r="G16" s="4">
        <v>14.7</v>
      </c>
      <c r="H16" s="4">
        <v>0.68</v>
      </c>
      <c r="I16" s="11">
        <v>0.682</v>
      </c>
      <c r="J16" s="4">
        <v>1.01</v>
      </c>
      <c r="K16" s="18">
        <f t="array" ref="K16">IF(H16&lt;&gt;"",H16,IFERROR(G16/INDEX(Players!$M$2:$M$127,MATCH(B16,Players!$A$2:$A$127,0)),""))</f>
        <v>0.68</v>
      </c>
    </row>
    <row r="17">
      <c r="A17" s="4" t="s">
        <v>1677</v>
      </c>
      <c r="B17" s="4" t="s">
        <v>1408</v>
      </c>
      <c r="C17" s="4" t="s">
        <v>1409</v>
      </c>
      <c r="D17" s="4" t="s">
        <v>86</v>
      </c>
      <c r="E17" s="4" t="s">
        <v>270</v>
      </c>
      <c r="F17" s="4">
        <v>3.0</v>
      </c>
      <c r="G17" s="4">
        <v>13.7</v>
      </c>
      <c r="H17" s="4">
        <v>0.64</v>
      </c>
      <c r="I17" s="11">
        <v>0.61</v>
      </c>
      <c r="J17" s="4">
        <v>1.0</v>
      </c>
      <c r="K17" s="18">
        <f t="array" ref="K17">IF(H17&lt;&gt;"",H17,IFERROR(G17/INDEX(Players!$M$2:$M$127,MATCH(B17,Players!$A$2:$A$127,0)),""))</f>
        <v>0.64</v>
      </c>
    </row>
    <row r="18">
      <c r="A18" s="4" t="s">
        <v>1678</v>
      </c>
      <c r="B18" s="4" t="s">
        <v>1408</v>
      </c>
      <c r="C18" s="4" t="s">
        <v>1409</v>
      </c>
      <c r="D18" s="4" t="s">
        <v>86</v>
      </c>
      <c r="E18" s="4" t="s">
        <v>110</v>
      </c>
      <c r="F18" s="4">
        <v>2.0</v>
      </c>
      <c r="G18" s="4">
        <v>13.0</v>
      </c>
      <c r="H18" s="4">
        <v>0.62</v>
      </c>
      <c r="I18" s="11">
        <v>0.6920000000000001</v>
      </c>
      <c r="J18" s="4">
        <v>0.76</v>
      </c>
      <c r="K18" s="18">
        <f t="array" ref="K18">IF(H18&lt;&gt;"",H18,IFERROR(G18/INDEX(Players!$M$2:$M$127,MATCH(B18,Players!$A$2:$A$127,0)),""))</f>
        <v>0.62</v>
      </c>
    </row>
    <row r="19">
      <c r="A19" s="4" t="s">
        <v>1679</v>
      </c>
      <c r="B19" s="4" t="s">
        <v>1408</v>
      </c>
      <c r="C19" s="4" t="s">
        <v>1409</v>
      </c>
      <c r="D19" s="4" t="s">
        <v>86</v>
      </c>
      <c r="E19" s="4" t="s">
        <v>113</v>
      </c>
      <c r="F19" s="4">
        <v>1.0</v>
      </c>
      <c r="G19" s="4">
        <v>12.0</v>
      </c>
      <c r="H19" s="4">
        <v>0.55</v>
      </c>
      <c r="I19" s="11">
        <v>0.5</v>
      </c>
      <c r="J19" s="4">
        <v>1.0</v>
      </c>
      <c r="K19" s="18">
        <f t="array" ref="K19">IF(H19&lt;&gt;"",H19,IFERROR(G19/INDEX(Players!$M$2:$M$127,MATCH(B19,Players!$A$2:$A$127,0)),""))</f>
        <v>0.55</v>
      </c>
    </row>
    <row r="20">
      <c r="A20" s="4" t="s">
        <v>1680</v>
      </c>
      <c r="B20" s="4" t="s">
        <v>1436</v>
      </c>
      <c r="C20" s="4" t="s">
        <v>1437</v>
      </c>
      <c r="D20" s="4" t="s">
        <v>86</v>
      </c>
      <c r="E20" s="4" t="s">
        <v>276</v>
      </c>
      <c r="F20" s="4">
        <v>10.0</v>
      </c>
      <c r="G20" s="4">
        <v>11.4</v>
      </c>
      <c r="H20" s="4">
        <v>0.55</v>
      </c>
      <c r="I20" s="11">
        <v>0.509</v>
      </c>
      <c r="J20" s="4">
        <v>0.79</v>
      </c>
      <c r="K20" s="18">
        <f t="array" ref="K20">IF(H20&lt;&gt;"",H20,IFERROR(G20/INDEX(Players!$M$2:$M$127,MATCH(B20,Players!$A$2:$A$127,0)),""))</f>
        <v>0.55</v>
      </c>
    </row>
    <row r="21" ht="15.75" customHeight="1">
      <c r="A21" s="4" t="s">
        <v>1681</v>
      </c>
      <c r="B21" s="4" t="s">
        <v>1436</v>
      </c>
      <c r="C21" s="4" t="s">
        <v>1437</v>
      </c>
      <c r="D21" s="4" t="s">
        <v>86</v>
      </c>
      <c r="E21" s="4" t="s">
        <v>110</v>
      </c>
      <c r="F21" s="4">
        <v>9.0</v>
      </c>
      <c r="G21" s="4">
        <v>12.9</v>
      </c>
      <c r="H21" s="4">
        <v>0.6</v>
      </c>
      <c r="I21" s="11">
        <v>0.448</v>
      </c>
      <c r="J21" s="4">
        <v>0.94</v>
      </c>
      <c r="K21" s="18">
        <f t="array" ref="K21">IF(H21&lt;&gt;"",H21,IFERROR(G21/INDEX(Players!$M$2:$M$127,MATCH(B21,Players!$A$2:$A$127,0)),""))</f>
        <v>0.6</v>
      </c>
    </row>
    <row r="22" ht="15.75" customHeight="1">
      <c r="A22" s="4" t="s">
        <v>1682</v>
      </c>
      <c r="B22" s="4" t="s">
        <v>1436</v>
      </c>
      <c r="C22" s="4" t="s">
        <v>1437</v>
      </c>
      <c r="D22" s="4" t="s">
        <v>86</v>
      </c>
      <c r="E22" s="4" t="s">
        <v>250</v>
      </c>
      <c r="F22" s="4">
        <v>8.0</v>
      </c>
      <c r="G22" s="4">
        <v>11.8</v>
      </c>
      <c r="H22" s="4">
        <v>0.51</v>
      </c>
      <c r="I22" s="11">
        <v>0.457</v>
      </c>
      <c r="J22" s="4">
        <v>0.72</v>
      </c>
      <c r="K22" s="18">
        <f t="array" ref="K22">IF(H22&lt;&gt;"",H22,IFERROR(G22/INDEX(Players!$M$2:$M$127,MATCH(B22,Players!$A$2:$A$127,0)),""))</f>
        <v>0.51</v>
      </c>
    </row>
    <row r="23" ht="15.75" customHeight="1">
      <c r="A23" s="4" t="s">
        <v>1683</v>
      </c>
      <c r="B23" s="4" t="s">
        <v>1436</v>
      </c>
      <c r="C23" s="4" t="s">
        <v>1437</v>
      </c>
      <c r="D23" s="4" t="s">
        <v>86</v>
      </c>
      <c r="E23" s="4" t="s">
        <v>270</v>
      </c>
      <c r="F23" s="4">
        <v>5.0</v>
      </c>
      <c r="G23" s="4">
        <v>13.6</v>
      </c>
      <c r="H23" s="4">
        <v>0.63</v>
      </c>
      <c r="I23" s="11">
        <v>0.456</v>
      </c>
      <c r="J23" s="4">
        <v>0.97</v>
      </c>
      <c r="K23" s="18">
        <f t="array" ref="K23">IF(H23&lt;&gt;"",H23,IFERROR(G23/INDEX(Players!$M$2:$M$127,MATCH(B23,Players!$A$2:$A$127,0)),""))</f>
        <v>0.63</v>
      </c>
    </row>
    <row r="24" ht="15.75" customHeight="1">
      <c r="A24" s="4" t="s">
        <v>1684</v>
      </c>
      <c r="B24" s="4" t="s">
        <v>1436</v>
      </c>
      <c r="C24" s="4" t="s">
        <v>1437</v>
      </c>
      <c r="D24" s="4" t="s">
        <v>86</v>
      </c>
      <c r="E24" s="4" t="s">
        <v>262</v>
      </c>
      <c r="F24" s="4">
        <v>4.0</v>
      </c>
      <c r="G24" s="4">
        <v>13.0</v>
      </c>
      <c r="H24" s="4">
        <v>0.53</v>
      </c>
      <c r="I24" s="11">
        <v>0.462</v>
      </c>
      <c r="J24" s="4">
        <v>0.74</v>
      </c>
      <c r="K24" s="18">
        <f t="array" ref="K24">IF(H24&lt;&gt;"",H24,IFERROR(G24/INDEX(Players!$M$2:$M$127,MATCH(B24,Players!$A$2:$A$127,0)),""))</f>
        <v>0.53</v>
      </c>
    </row>
    <row r="25" ht="15.75" customHeight="1">
      <c r="A25" s="4" t="s">
        <v>1685</v>
      </c>
      <c r="B25" s="4" t="s">
        <v>1436</v>
      </c>
      <c r="C25" s="4" t="s">
        <v>1437</v>
      </c>
      <c r="D25" s="4" t="s">
        <v>86</v>
      </c>
      <c r="E25" s="4" t="s">
        <v>113</v>
      </c>
      <c r="F25" s="4">
        <v>1.0</v>
      </c>
      <c r="G25" s="4">
        <v>15.0</v>
      </c>
      <c r="H25" s="4">
        <v>0.65</v>
      </c>
      <c r="I25" s="11">
        <v>0.333</v>
      </c>
      <c r="J25" s="4">
        <v>0.94</v>
      </c>
      <c r="K25" s="18">
        <f t="array" ref="K25">IF(H25&lt;&gt;"",H25,IFERROR(G25/INDEX(Players!$M$2:$M$127,MATCH(B25,Players!$A$2:$A$127,0)),""))</f>
        <v>0.65</v>
      </c>
    </row>
    <row r="26" ht="15.75" customHeight="1">
      <c r="A26" s="4" t="s">
        <v>1686</v>
      </c>
      <c r="B26" s="4" t="s">
        <v>1504</v>
      </c>
      <c r="C26" s="4" t="s">
        <v>1505</v>
      </c>
      <c r="D26" s="4" t="s">
        <v>86</v>
      </c>
      <c r="E26" s="4" t="s">
        <v>276</v>
      </c>
      <c r="F26" s="4">
        <v>9.0</v>
      </c>
      <c r="G26" s="4">
        <v>15.7</v>
      </c>
      <c r="H26" s="4">
        <v>0.7</v>
      </c>
      <c r="I26" s="11">
        <v>0.674</v>
      </c>
      <c r="J26" s="4">
        <v>1.13</v>
      </c>
      <c r="K26" s="18">
        <f t="array" ref="K26">IF(H26&lt;&gt;"",H26,IFERROR(G26/INDEX(Players!$M$2:$M$127,MATCH(B26,Players!$A$2:$A$127,0)),""))</f>
        <v>0.7</v>
      </c>
    </row>
    <row r="27" ht="15.75" customHeight="1">
      <c r="A27" s="4" t="s">
        <v>1687</v>
      </c>
      <c r="B27" s="4" t="s">
        <v>1504</v>
      </c>
      <c r="C27" s="4" t="s">
        <v>1505</v>
      </c>
      <c r="D27" s="4" t="s">
        <v>86</v>
      </c>
      <c r="E27" s="4" t="s">
        <v>112</v>
      </c>
      <c r="F27" s="4">
        <v>9.0</v>
      </c>
      <c r="G27" s="4">
        <v>12.3</v>
      </c>
      <c r="H27" s="4">
        <v>0.71</v>
      </c>
      <c r="I27" s="11">
        <v>0.595</v>
      </c>
      <c r="J27" s="4">
        <v>1.08</v>
      </c>
      <c r="K27" s="18">
        <f t="array" ref="K27">IF(H27&lt;&gt;"",H27,IFERROR(G27/INDEX(Players!$M$2:$M$127,MATCH(B27,Players!$A$2:$A$127,0)),""))</f>
        <v>0.71</v>
      </c>
    </row>
    <row r="28" ht="15.75" customHeight="1">
      <c r="A28" s="4" t="s">
        <v>1688</v>
      </c>
      <c r="B28" s="4" t="s">
        <v>1504</v>
      </c>
      <c r="C28" s="4" t="s">
        <v>1505</v>
      </c>
      <c r="D28" s="4" t="s">
        <v>86</v>
      </c>
      <c r="E28" s="4" t="s">
        <v>262</v>
      </c>
      <c r="F28" s="4">
        <v>6.0</v>
      </c>
      <c r="G28" s="4">
        <v>15.0</v>
      </c>
      <c r="H28" s="4">
        <v>0.66</v>
      </c>
      <c r="I28" s="11">
        <v>0.467</v>
      </c>
      <c r="J28" s="4">
        <v>1.0</v>
      </c>
      <c r="K28" s="18">
        <f t="array" ref="K28">IF(H28&lt;&gt;"",H28,IFERROR(G28/INDEX(Players!$M$2:$M$127,MATCH(B28,Players!$A$2:$A$127,0)),""))</f>
        <v>0.66</v>
      </c>
    </row>
    <row r="29" ht="15.75" customHeight="1">
      <c r="A29" s="4" t="s">
        <v>1689</v>
      </c>
      <c r="B29" s="4" t="s">
        <v>1504</v>
      </c>
      <c r="C29" s="4" t="s">
        <v>1505</v>
      </c>
      <c r="D29" s="4" t="s">
        <v>86</v>
      </c>
      <c r="E29" s="4" t="s">
        <v>270</v>
      </c>
      <c r="F29" s="4">
        <v>4.0</v>
      </c>
      <c r="G29" s="4">
        <v>15.3</v>
      </c>
      <c r="H29" s="4">
        <v>0.78</v>
      </c>
      <c r="I29" s="11">
        <v>0.574</v>
      </c>
      <c r="J29" s="4">
        <v>1.27</v>
      </c>
      <c r="K29" s="18">
        <f t="array" ref="K29">IF(H29&lt;&gt;"",H29,IFERROR(G29/INDEX(Players!$M$2:$M$127,MATCH(B29,Players!$A$2:$A$127,0)),""))</f>
        <v>0.78</v>
      </c>
    </row>
    <row r="30" ht="15.75" customHeight="1">
      <c r="A30" s="4" t="s">
        <v>1690</v>
      </c>
      <c r="B30" s="4" t="s">
        <v>1504</v>
      </c>
      <c r="C30" s="4" t="s">
        <v>1505</v>
      </c>
      <c r="D30" s="4" t="s">
        <v>86</v>
      </c>
      <c r="E30" s="4" t="s">
        <v>110</v>
      </c>
      <c r="F30" s="4">
        <v>4.0</v>
      </c>
      <c r="G30" s="4">
        <v>17.8</v>
      </c>
      <c r="H30" s="4">
        <v>0.75</v>
      </c>
      <c r="I30" s="11">
        <v>0.5489999999999999</v>
      </c>
      <c r="J30" s="4">
        <v>1.08</v>
      </c>
      <c r="K30" s="18">
        <f t="array" ref="K30">IF(H30&lt;&gt;"",H30,IFERROR(G30/INDEX(Players!$M$2:$M$127,MATCH(B30,Players!$A$2:$A$127,0)),""))</f>
        <v>0.75</v>
      </c>
    </row>
    <row r="31" ht="15.75" customHeight="1">
      <c r="A31" s="4" t="s">
        <v>1691</v>
      </c>
      <c r="B31" s="4" t="s">
        <v>1504</v>
      </c>
      <c r="C31" s="4" t="s">
        <v>1505</v>
      </c>
      <c r="D31" s="4" t="s">
        <v>86</v>
      </c>
      <c r="E31" s="4" t="s">
        <v>250</v>
      </c>
      <c r="F31" s="4">
        <v>2.0</v>
      </c>
      <c r="G31" s="4">
        <v>12.5</v>
      </c>
      <c r="H31" s="4">
        <v>0.68</v>
      </c>
      <c r="I31" s="11">
        <v>0.52</v>
      </c>
      <c r="J31" s="4">
        <v>0.93</v>
      </c>
      <c r="K31" s="18">
        <f t="array" ref="K31">IF(H31&lt;&gt;"",H31,IFERROR(G31/INDEX(Players!$M$2:$M$127,MATCH(B31,Players!$A$2:$A$127,0)),""))</f>
        <v>0.68</v>
      </c>
    </row>
    <row r="32" ht="15.75" customHeight="1">
      <c r="A32" s="4" t="s">
        <v>1692</v>
      </c>
      <c r="B32" s="4" t="s">
        <v>1504</v>
      </c>
      <c r="C32" s="4" t="s">
        <v>1505</v>
      </c>
      <c r="D32" s="4" t="s">
        <v>86</v>
      </c>
      <c r="E32" s="4" t="s">
        <v>113</v>
      </c>
      <c r="F32" s="4">
        <v>1.0</v>
      </c>
      <c r="G32" s="4">
        <v>13.0</v>
      </c>
      <c r="H32" s="4">
        <v>0.68</v>
      </c>
      <c r="I32" s="11">
        <v>0.615</v>
      </c>
      <c r="J32" s="4">
        <v>1.3</v>
      </c>
      <c r="K32" s="18">
        <f t="array" ref="K32">IF(H32&lt;&gt;"",H32,IFERROR(G32/INDEX(Players!$M$2:$M$127,MATCH(B32,Players!$A$2:$A$127,0)),""))</f>
        <v>0.68</v>
      </c>
    </row>
    <row r="33" ht="15.75" customHeight="1">
      <c r="A33" s="4" t="s">
        <v>1693</v>
      </c>
      <c r="B33" s="4" t="s">
        <v>1563</v>
      </c>
      <c r="C33" s="4" t="s">
        <v>1564</v>
      </c>
      <c r="D33" s="4" t="s">
        <v>86</v>
      </c>
      <c r="E33" s="4" t="s">
        <v>250</v>
      </c>
      <c r="F33" s="4">
        <v>8.0</v>
      </c>
      <c r="G33" s="4">
        <v>17.0</v>
      </c>
      <c r="H33" s="4">
        <v>0.73</v>
      </c>
      <c r="I33" s="11">
        <v>0.662</v>
      </c>
      <c r="J33" s="4">
        <v>1.09</v>
      </c>
      <c r="K33" s="18">
        <f t="array" ref="K33">IF(H33&lt;&gt;"",H33,IFERROR(G33/INDEX(Players!$M$2:$M$127,MATCH(B33,Players!$A$2:$A$127,0)),""))</f>
        <v>0.73</v>
      </c>
    </row>
    <row r="34" ht="15.75" customHeight="1">
      <c r="A34" s="4" t="s">
        <v>1694</v>
      </c>
      <c r="B34" s="4" t="s">
        <v>1563</v>
      </c>
      <c r="C34" s="4" t="s">
        <v>1564</v>
      </c>
      <c r="D34" s="4" t="s">
        <v>86</v>
      </c>
      <c r="E34" s="4" t="s">
        <v>262</v>
      </c>
      <c r="F34" s="4">
        <v>7.0</v>
      </c>
      <c r="G34" s="4">
        <v>17.1</v>
      </c>
      <c r="H34" s="4">
        <v>0.68</v>
      </c>
      <c r="I34" s="11">
        <v>0.642</v>
      </c>
      <c r="J34" s="4">
        <v>1.06</v>
      </c>
      <c r="K34" s="18">
        <f t="array" ref="K34">IF(H34&lt;&gt;"",H34,IFERROR(G34/INDEX(Players!$M$2:$M$127,MATCH(B34,Players!$A$2:$A$127,0)),""))</f>
        <v>0.68</v>
      </c>
    </row>
    <row r="35" ht="15.75" customHeight="1">
      <c r="A35" s="4" t="s">
        <v>1695</v>
      </c>
      <c r="B35" s="4" t="s">
        <v>1563</v>
      </c>
      <c r="C35" s="4" t="s">
        <v>1564</v>
      </c>
      <c r="D35" s="4" t="s">
        <v>86</v>
      </c>
      <c r="E35" s="4" t="s">
        <v>112</v>
      </c>
      <c r="F35" s="4">
        <v>6.0</v>
      </c>
      <c r="G35" s="4">
        <v>15.3</v>
      </c>
      <c r="H35" s="4">
        <v>0.85</v>
      </c>
      <c r="I35" s="11">
        <v>0.674</v>
      </c>
      <c r="J35" s="4">
        <v>1.56</v>
      </c>
      <c r="K35" s="18">
        <f t="array" ref="K35">IF(H35&lt;&gt;"",H35,IFERROR(G35/INDEX(Players!$M$2:$M$127,MATCH(B35,Players!$A$2:$A$127,0)),""))</f>
        <v>0.85</v>
      </c>
    </row>
    <row r="36" ht="15.75" customHeight="1">
      <c r="A36" s="4" t="s">
        <v>1696</v>
      </c>
      <c r="B36" s="4" t="s">
        <v>1563</v>
      </c>
      <c r="C36" s="4" t="s">
        <v>1564</v>
      </c>
      <c r="D36" s="4" t="s">
        <v>86</v>
      </c>
      <c r="E36" s="4" t="s">
        <v>110</v>
      </c>
      <c r="F36" s="4">
        <v>6.0</v>
      </c>
      <c r="G36" s="4">
        <v>14.5</v>
      </c>
      <c r="H36" s="4">
        <v>0.64</v>
      </c>
      <c r="I36" s="11">
        <v>0.69</v>
      </c>
      <c r="J36" s="4">
        <v>0.99</v>
      </c>
      <c r="K36" s="18">
        <f t="array" ref="K36">IF(H36&lt;&gt;"",H36,IFERROR(G36/INDEX(Players!$M$2:$M$127,MATCH(B36,Players!$A$2:$A$127,0)),""))</f>
        <v>0.64</v>
      </c>
    </row>
    <row r="37" ht="15.75" customHeight="1">
      <c r="A37" s="4" t="s">
        <v>1698</v>
      </c>
      <c r="B37" s="4" t="s">
        <v>1563</v>
      </c>
      <c r="C37" s="4" t="s">
        <v>1564</v>
      </c>
      <c r="D37" s="4" t="s">
        <v>86</v>
      </c>
      <c r="E37" s="4" t="s">
        <v>113</v>
      </c>
      <c r="F37" s="4">
        <v>4.0</v>
      </c>
      <c r="G37" s="4">
        <v>14.3</v>
      </c>
      <c r="H37" s="4">
        <v>0.74</v>
      </c>
      <c r="I37" s="11">
        <v>0.632</v>
      </c>
      <c r="J37" s="4">
        <v>1.33</v>
      </c>
      <c r="K37" s="18">
        <f t="array" ref="K37">IF(H37&lt;&gt;"",H37,IFERROR(G37/INDEX(Players!$M$2:$M$127,MATCH(B37,Players!$A$2:$A$127,0)),""))</f>
        <v>0.74</v>
      </c>
    </row>
    <row r="38" ht="15.75" customHeight="1">
      <c r="A38" s="4" t="s">
        <v>1699</v>
      </c>
      <c r="B38" s="4" t="s">
        <v>1563</v>
      </c>
      <c r="C38" s="4" t="s">
        <v>1564</v>
      </c>
      <c r="D38" s="4" t="s">
        <v>86</v>
      </c>
      <c r="E38" s="4" t="s">
        <v>276</v>
      </c>
      <c r="F38" s="4">
        <v>2.0</v>
      </c>
      <c r="G38" s="4">
        <v>16.5</v>
      </c>
      <c r="H38" s="4">
        <v>0.73</v>
      </c>
      <c r="I38" s="11">
        <v>0.727</v>
      </c>
      <c r="J38" s="4">
        <v>1.22</v>
      </c>
      <c r="K38" s="18">
        <f t="array" ref="K38">IF(H38&lt;&gt;"",H38,IFERROR(G38/INDEX(Players!$M$2:$M$127,MATCH(B38,Players!$A$2:$A$127,0)),""))</f>
        <v>0.73</v>
      </c>
    </row>
    <row r="39" ht="15.75" customHeight="1">
      <c r="A39" s="4" t="s">
        <v>1700</v>
      </c>
      <c r="B39" s="4" t="s">
        <v>1294</v>
      </c>
      <c r="C39" s="4" t="s">
        <v>1295</v>
      </c>
      <c r="D39" s="4" t="s">
        <v>86</v>
      </c>
      <c r="E39" s="4" t="s">
        <v>250</v>
      </c>
      <c r="F39" s="4">
        <v>9.0</v>
      </c>
      <c r="G39" s="4">
        <v>9.4</v>
      </c>
      <c r="H39" s="4">
        <v>0.45</v>
      </c>
      <c r="I39" s="11">
        <v>0.435</v>
      </c>
      <c r="J39" s="4">
        <v>0.65</v>
      </c>
      <c r="K39" s="18">
        <f t="array" ref="K39">IF(H39&lt;&gt;"",H39,IFERROR(G39/INDEX(Players!$M$2:$M$127,MATCH(B39,Players!$A$2:$A$127,0)),""))</f>
        <v>0.45</v>
      </c>
    </row>
    <row r="40" ht="15.75" customHeight="1">
      <c r="A40" s="4" t="s">
        <v>1701</v>
      </c>
      <c r="B40" s="4" t="s">
        <v>1294</v>
      </c>
      <c r="C40" s="4" t="s">
        <v>1295</v>
      </c>
      <c r="D40" s="4" t="s">
        <v>86</v>
      </c>
      <c r="E40" s="4" t="s">
        <v>112</v>
      </c>
      <c r="F40" s="4">
        <v>7.0</v>
      </c>
      <c r="G40" s="4">
        <v>17.0</v>
      </c>
      <c r="H40" s="4">
        <v>0.72</v>
      </c>
      <c r="I40" s="11">
        <v>0.429</v>
      </c>
      <c r="J40" s="4">
        <v>1.12</v>
      </c>
      <c r="K40" s="18">
        <f t="array" ref="K40">IF(H40&lt;&gt;"",H40,IFERROR(G40/INDEX(Players!$M$2:$M$127,MATCH(B40,Players!$A$2:$A$127,0)),""))</f>
        <v>0.72</v>
      </c>
    </row>
    <row r="41" ht="15.75" customHeight="1">
      <c r="A41" s="4" t="s">
        <v>1702</v>
      </c>
      <c r="B41" s="4" t="s">
        <v>1294</v>
      </c>
      <c r="C41" s="4" t="s">
        <v>1295</v>
      </c>
      <c r="D41" s="4" t="s">
        <v>86</v>
      </c>
      <c r="E41" s="4" t="s">
        <v>110</v>
      </c>
      <c r="F41" s="4">
        <v>6.0</v>
      </c>
      <c r="G41" s="4">
        <v>13.7</v>
      </c>
      <c r="H41" s="4">
        <v>0.57</v>
      </c>
      <c r="I41" s="11">
        <v>0.524</v>
      </c>
      <c r="J41" s="4">
        <v>0.81</v>
      </c>
      <c r="K41" s="18">
        <f t="array" ref="K41">IF(H41&lt;&gt;"",H41,IFERROR(G41/INDEX(Players!$M$2:$M$127,MATCH(B41,Players!$A$2:$A$127,0)),""))</f>
        <v>0.57</v>
      </c>
    </row>
    <row r="42" ht="15.75" customHeight="1">
      <c r="A42" s="4" t="s">
        <v>1703</v>
      </c>
      <c r="B42" s="4" t="s">
        <v>1294</v>
      </c>
      <c r="C42" s="4" t="s">
        <v>1295</v>
      </c>
      <c r="D42" s="4" t="s">
        <v>86</v>
      </c>
      <c r="E42" s="4" t="s">
        <v>262</v>
      </c>
      <c r="F42" s="4">
        <v>4.0</v>
      </c>
      <c r="G42" s="4">
        <v>10.0</v>
      </c>
      <c r="H42" s="4">
        <v>0.49</v>
      </c>
      <c r="I42" s="11">
        <v>0.425</v>
      </c>
      <c r="J42" s="4">
        <v>0.71</v>
      </c>
      <c r="K42" s="18">
        <f t="array" ref="K42">IF(H42&lt;&gt;"",H42,IFERROR(G42/INDEX(Players!$M$2:$M$127,MATCH(B42,Players!$A$2:$A$127,0)),""))</f>
        <v>0.49</v>
      </c>
    </row>
    <row r="43" ht="15.75" customHeight="1">
      <c r="A43" s="4" t="s">
        <v>1704</v>
      </c>
      <c r="B43" s="4" t="s">
        <v>1294</v>
      </c>
      <c r="C43" s="4" t="s">
        <v>1295</v>
      </c>
      <c r="D43" s="4" t="s">
        <v>86</v>
      </c>
      <c r="E43" s="4" t="s">
        <v>113</v>
      </c>
      <c r="F43" s="4">
        <v>4.0</v>
      </c>
      <c r="G43" s="4">
        <v>12.3</v>
      </c>
      <c r="H43" s="4">
        <v>0.51</v>
      </c>
      <c r="I43" s="11">
        <v>0.551</v>
      </c>
      <c r="J43" s="4">
        <v>0.7</v>
      </c>
      <c r="K43" s="18">
        <f t="array" ref="K43">IF(H43&lt;&gt;"",H43,IFERROR(G43/INDEX(Players!$M$2:$M$127,MATCH(B43,Players!$A$2:$A$127,0)),""))</f>
        <v>0.51</v>
      </c>
    </row>
    <row r="44" ht="15.75" customHeight="1">
      <c r="A44" s="4" t="s">
        <v>1705</v>
      </c>
      <c r="B44" s="4" t="s">
        <v>1294</v>
      </c>
      <c r="C44" s="4" t="s">
        <v>1295</v>
      </c>
      <c r="D44" s="4" t="s">
        <v>86</v>
      </c>
      <c r="E44" s="4" t="s">
        <v>276</v>
      </c>
      <c r="F44" s="4">
        <v>2.0</v>
      </c>
      <c r="G44" s="4">
        <v>11.0</v>
      </c>
      <c r="H44" s="4">
        <v>0.55</v>
      </c>
      <c r="I44" s="11">
        <v>0.318</v>
      </c>
      <c r="J44" s="4">
        <v>0.92</v>
      </c>
      <c r="K44" s="18">
        <f t="array" ref="K44">IF(H44&lt;&gt;"",H44,IFERROR(G44/INDEX(Players!$M$2:$M$127,MATCH(B44,Players!$A$2:$A$127,0)),""))</f>
        <v>0.55</v>
      </c>
    </row>
    <row r="45" ht="15.75" customHeight="1">
      <c r="A45" s="4" t="s">
        <v>1706</v>
      </c>
      <c r="B45" s="4" t="s">
        <v>1568</v>
      </c>
      <c r="C45" s="4" t="s">
        <v>1569</v>
      </c>
      <c r="D45" s="4" t="s">
        <v>86</v>
      </c>
      <c r="E45" s="4" t="s">
        <v>276</v>
      </c>
      <c r="F45" s="4">
        <v>7.0</v>
      </c>
      <c r="G45" s="4">
        <v>14.6</v>
      </c>
      <c r="H45" s="4">
        <v>0.63</v>
      </c>
      <c r="I45" s="11">
        <v>0.569</v>
      </c>
      <c r="J45" s="4">
        <v>0.84</v>
      </c>
      <c r="K45" s="18">
        <f t="array" ref="K45">IF(H45&lt;&gt;"",H45,IFERROR(G45/INDEX(Players!$M$2:$M$127,MATCH(B45,Players!$A$2:$A$127,0)),""))</f>
        <v>0.63</v>
      </c>
    </row>
    <row r="46" ht="15.75" customHeight="1">
      <c r="A46" s="4" t="s">
        <v>1707</v>
      </c>
      <c r="B46" s="4" t="s">
        <v>1568</v>
      </c>
      <c r="C46" s="4" t="s">
        <v>1569</v>
      </c>
      <c r="D46" s="4" t="s">
        <v>86</v>
      </c>
      <c r="E46" s="4" t="s">
        <v>110</v>
      </c>
      <c r="F46" s="4">
        <v>7.0</v>
      </c>
      <c r="G46" s="4">
        <v>11.7</v>
      </c>
      <c r="H46" s="4">
        <v>0.57</v>
      </c>
      <c r="I46" s="11">
        <v>0.512</v>
      </c>
      <c r="J46" s="4">
        <v>0.83</v>
      </c>
      <c r="K46" s="18">
        <f t="array" ref="K46">IF(H46&lt;&gt;"",H46,IFERROR(G46/INDEX(Players!$M$2:$M$127,MATCH(B46,Players!$A$2:$A$127,0)),""))</f>
        <v>0.57</v>
      </c>
    </row>
    <row r="47" ht="15.75" customHeight="1">
      <c r="A47" s="4" t="s">
        <v>1708</v>
      </c>
      <c r="B47" s="4" t="s">
        <v>1568</v>
      </c>
      <c r="C47" s="4" t="s">
        <v>1569</v>
      </c>
      <c r="D47" s="4" t="s">
        <v>86</v>
      </c>
      <c r="E47" s="4" t="s">
        <v>262</v>
      </c>
      <c r="F47" s="4">
        <v>6.0</v>
      </c>
      <c r="G47" s="4">
        <v>14.3</v>
      </c>
      <c r="H47" s="4">
        <v>0.56</v>
      </c>
      <c r="I47" s="11">
        <v>0.593</v>
      </c>
      <c r="J47" s="4">
        <v>0.79</v>
      </c>
      <c r="K47" s="18">
        <f t="array" ref="K47">IF(H47&lt;&gt;"",H47,IFERROR(G47/INDEX(Players!$M$2:$M$127,MATCH(B47,Players!$A$2:$A$127,0)),""))</f>
        <v>0.56</v>
      </c>
    </row>
    <row r="48" ht="15.75" customHeight="1">
      <c r="A48" s="4" t="s">
        <v>1712</v>
      </c>
      <c r="B48" s="4" t="s">
        <v>1568</v>
      </c>
      <c r="C48" s="4" t="s">
        <v>1569</v>
      </c>
      <c r="D48" s="4" t="s">
        <v>86</v>
      </c>
      <c r="E48" s="4" t="s">
        <v>250</v>
      </c>
      <c r="F48" s="4">
        <v>6.0</v>
      </c>
      <c r="G48" s="4">
        <v>13.3</v>
      </c>
      <c r="H48" s="4">
        <v>0.58</v>
      </c>
      <c r="I48" s="11">
        <v>0.475</v>
      </c>
      <c r="J48" s="4">
        <v>0.77</v>
      </c>
      <c r="K48" s="18">
        <f t="array" ref="K48">IF(H48&lt;&gt;"",H48,IFERROR(G48/INDEX(Players!$M$2:$M$127,MATCH(B48,Players!$A$2:$A$127,0)),""))</f>
        <v>0.58</v>
      </c>
    </row>
    <row r="49" ht="15.75" customHeight="1">
      <c r="A49" s="4" t="s">
        <v>1714</v>
      </c>
      <c r="B49" s="4" t="s">
        <v>1568</v>
      </c>
      <c r="C49" s="4" t="s">
        <v>1569</v>
      </c>
      <c r="D49" s="4" t="s">
        <v>86</v>
      </c>
      <c r="E49" s="4" t="s">
        <v>112</v>
      </c>
      <c r="F49" s="4">
        <v>5.0</v>
      </c>
      <c r="G49" s="4">
        <v>12.0</v>
      </c>
      <c r="H49" s="4">
        <v>0.66</v>
      </c>
      <c r="I49" s="11">
        <v>0.5670000000000001</v>
      </c>
      <c r="J49" s="4">
        <v>1.11</v>
      </c>
      <c r="K49" s="18">
        <f t="array" ref="K49">IF(H49&lt;&gt;"",H49,IFERROR(G49/INDEX(Players!$M$2:$M$127,MATCH(B49,Players!$A$2:$A$127,0)),""))</f>
        <v>0.66</v>
      </c>
    </row>
    <row r="50" ht="15.75" customHeight="1">
      <c r="A50" s="4" t="s">
        <v>1715</v>
      </c>
      <c r="B50" s="4" t="s">
        <v>1568</v>
      </c>
      <c r="C50" s="4" t="s">
        <v>1569</v>
      </c>
      <c r="D50" s="4" t="s">
        <v>86</v>
      </c>
      <c r="E50" s="4" t="s">
        <v>270</v>
      </c>
      <c r="F50" s="4">
        <v>3.0</v>
      </c>
      <c r="G50" s="4">
        <v>11.3</v>
      </c>
      <c r="H50" s="4">
        <v>0.49</v>
      </c>
      <c r="I50" s="11">
        <v>0.529</v>
      </c>
      <c r="J50" s="4">
        <v>0.65</v>
      </c>
      <c r="K50" s="18">
        <f t="array" ref="K50">IF(H50&lt;&gt;"",H50,IFERROR(G50/INDEX(Players!$M$2:$M$127,MATCH(B50,Players!$A$2:$A$127,0)),""))</f>
        <v>0.49</v>
      </c>
    </row>
    <row r="51" ht="15.75" customHeight="1">
      <c r="A51" s="4" t="s">
        <v>1716</v>
      </c>
      <c r="B51" s="4" t="s">
        <v>1568</v>
      </c>
      <c r="C51" s="4" t="s">
        <v>1569</v>
      </c>
      <c r="D51" s="4" t="s">
        <v>86</v>
      </c>
      <c r="E51" s="4" t="s">
        <v>113</v>
      </c>
      <c r="F51" s="4">
        <v>1.0</v>
      </c>
      <c r="G51" s="4">
        <v>16.0</v>
      </c>
      <c r="H51" s="4">
        <v>1.0</v>
      </c>
      <c r="I51" s="11">
        <v>0.688</v>
      </c>
      <c r="J51" s="4">
        <v>2.29</v>
      </c>
      <c r="K51" s="18">
        <f t="array" ref="K51">IF(H51&lt;&gt;"",H51,IFERROR(G51/INDEX(Players!$M$2:$M$127,MATCH(B51,Players!$A$2:$A$127,0)),""))</f>
        <v>1</v>
      </c>
    </row>
    <row r="52" ht="15.75" customHeight="1">
      <c r="A52" s="4" t="s">
        <v>1717</v>
      </c>
      <c r="B52" s="4" t="s">
        <v>1420</v>
      </c>
      <c r="C52" s="4" t="s">
        <v>1421</v>
      </c>
      <c r="D52" s="4" t="s">
        <v>86</v>
      </c>
      <c r="E52" s="4" t="s">
        <v>276</v>
      </c>
      <c r="F52" s="4">
        <v>8.0</v>
      </c>
      <c r="G52" s="4">
        <v>15.8</v>
      </c>
      <c r="H52" s="4">
        <v>0.73</v>
      </c>
      <c r="I52" s="11">
        <v>0.579</v>
      </c>
      <c r="J52" s="4">
        <v>1.29</v>
      </c>
      <c r="K52" s="18">
        <f t="array" ref="K52">IF(H52&lt;&gt;"",H52,IFERROR(G52/INDEX(Players!$M$2:$M$127,MATCH(B52,Players!$A$2:$A$127,0)),""))</f>
        <v>0.73</v>
      </c>
    </row>
    <row r="53" ht="15.75" customHeight="1">
      <c r="A53" s="4" t="s">
        <v>1718</v>
      </c>
      <c r="B53" s="4" t="s">
        <v>1420</v>
      </c>
      <c r="C53" s="4" t="s">
        <v>1421</v>
      </c>
      <c r="D53" s="4" t="s">
        <v>86</v>
      </c>
      <c r="E53" s="4" t="s">
        <v>113</v>
      </c>
      <c r="F53" s="4">
        <v>7.0</v>
      </c>
      <c r="G53" s="4">
        <v>17.6</v>
      </c>
      <c r="H53" s="4">
        <v>0.87</v>
      </c>
      <c r="I53" s="11">
        <v>0.545</v>
      </c>
      <c r="J53" s="4">
        <v>1.64</v>
      </c>
      <c r="K53" s="18">
        <f t="array" ref="K53">IF(H53&lt;&gt;"",H53,IFERROR(G53/INDEX(Players!$M$2:$M$127,MATCH(B53,Players!$A$2:$A$127,0)),""))</f>
        <v>0.87</v>
      </c>
    </row>
    <row r="54" ht="15.75" customHeight="1">
      <c r="A54" s="4" t="s">
        <v>1719</v>
      </c>
      <c r="B54" s="4" t="s">
        <v>1420</v>
      </c>
      <c r="C54" s="4" t="s">
        <v>1421</v>
      </c>
      <c r="D54" s="4" t="s">
        <v>86</v>
      </c>
      <c r="E54" s="4" t="s">
        <v>110</v>
      </c>
      <c r="F54" s="4">
        <v>7.0</v>
      </c>
      <c r="G54" s="4">
        <v>16.3</v>
      </c>
      <c r="H54" s="4">
        <v>0.75</v>
      </c>
      <c r="I54" s="11">
        <v>0.509</v>
      </c>
      <c r="J54" s="4">
        <v>1.18</v>
      </c>
      <c r="K54" s="18">
        <f t="array" ref="K54">IF(H54&lt;&gt;"",H54,IFERROR(G54/INDEX(Players!$M$2:$M$127,MATCH(B54,Players!$A$2:$A$127,0)),""))</f>
        <v>0.75</v>
      </c>
    </row>
    <row r="55" ht="15.75" customHeight="1">
      <c r="A55" s="4" t="s">
        <v>1720</v>
      </c>
      <c r="B55" s="4" t="s">
        <v>1420</v>
      </c>
      <c r="C55" s="4" t="s">
        <v>1421</v>
      </c>
      <c r="D55" s="4" t="s">
        <v>86</v>
      </c>
      <c r="E55" s="4" t="s">
        <v>250</v>
      </c>
      <c r="F55" s="4">
        <v>6.0</v>
      </c>
      <c r="G55" s="4">
        <v>13.2</v>
      </c>
      <c r="H55" s="4">
        <v>0.58</v>
      </c>
      <c r="I55" s="11">
        <v>0.506</v>
      </c>
      <c r="J55" s="4">
        <v>0.93</v>
      </c>
      <c r="K55" s="18">
        <f t="array" ref="K55">IF(H55&lt;&gt;"",H55,IFERROR(G55/INDEX(Players!$M$2:$M$127,MATCH(B55,Players!$A$2:$A$127,0)),""))</f>
        <v>0.58</v>
      </c>
    </row>
    <row r="56" ht="15.75" customHeight="1">
      <c r="A56" s="4" t="s">
        <v>1721</v>
      </c>
      <c r="B56" s="4" t="s">
        <v>1420</v>
      </c>
      <c r="C56" s="4" t="s">
        <v>1421</v>
      </c>
      <c r="D56" s="4" t="s">
        <v>86</v>
      </c>
      <c r="E56" s="4" t="s">
        <v>270</v>
      </c>
      <c r="F56" s="4">
        <v>5.0</v>
      </c>
      <c r="G56" s="4">
        <v>17.0</v>
      </c>
      <c r="H56" s="4">
        <v>0.88</v>
      </c>
      <c r="I56" s="11">
        <v>0.5529999999999999</v>
      </c>
      <c r="J56" s="4">
        <v>1.42</v>
      </c>
      <c r="K56" s="18">
        <f t="array" ref="K56">IF(H56&lt;&gt;"",H56,IFERROR(G56/INDEX(Players!$M$2:$M$127,MATCH(B56,Players!$A$2:$A$127,0)),""))</f>
        <v>0.88</v>
      </c>
    </row>
    <row r="57" ht="15.75" customHeight="1">
      <c r="A57" s="4" t="s">
        <v>1722</v>
      </c>
      <c r="B57" s="4" t="s">
        <v>1420</v>
      </c>
      <c r="C57" s="4" t="s">
        <v>1421</v>
      </c>
      <c r="D57" s="4" t="s">
        <v>86</v>
      </c>
      <c r="E57" s="4" t="s">
        <v>262</v>
      </c>
      <c r="F57" s="4">
        <v>4.0</v>
      </c>
      <c r="G57" s="4">
        <v>16.5</v>
      </c>
      <c r="H57" s="4">
        <v>0.8</v>
      </c>
      <c r="I57" s="11">
        <v>0.5</v>
      </c>
      <c r="J57" s="4">
        <v>1.38</v>
      </c>
      <c r="K57" s="18">
        <f t="array" ref="K57">IF(H57&lt;&gt;"",H57,IFERROR(G57/INDEX(Players!$M$2:$M$127,MATCH(B57,Players!$A$2:$A$127,0)),""))</f>
        <v>0.8</v>
      </c>
    </row>
    <row r="58" ht="15.75" customHeight="1">
      <c r="A58" s="4" t="s">
        <v>1723</v>
      </c>
      <c r="B58" s="4" t="s">
        <v>1371</v>
      </c>
      <c r="C58" s="4" t="s">
        <v>1372</v>
      </c>
      <c r="D58" s="4" t="s">
        <v>86</v>
      </c>
      <c r="E58" s="4" t="s">
        <v>110</v>
      </c>
      <c r="F58" s="4">
        <v>8.0</v>
      </c>
      <c r="G58" s="4">
        <v>16.9</v>
      </c>
      <c r="H58" s="4">
        <v>0.85</v>
      </c>
      <c r="I58" s="11">
        <v>0.452</v>
      </c>
      <c r="J58" s="4">
        <v>1.27</v>
      </c>
      <c r="K58" s="18">
        <f t="array" ref="K58">IF(H58&lt;&gt;"",H58,IFERROR(G58/INDEX(Players!$M$2:$M$127,MATCH(B58,Players!$A$2:$A$127,0)),""))</f>
        <v>0.85</v>
      </c>
    </row>
    <row r="59" ht="15.75" customHeight="1">
      <c r="A59" s="4" t="s">
        <v>1724</v>
      </c>
      <c r="B59" s="4" t="s">
        <v>1371</v>
      </c>
      <c r="C59" s="4" t="s">
        <v>1372</v>
      </c>
      <c r="D59" s="4" t="s">
        <v>86</v>
      </c>
      <c r="E59" s="4" t="s">
        <v>113</v>
      </c>
      <c r="F59" s="4">
        <v>8.0</v>
      </c>
      <c r="G59" s="4">
        <v>15.6</v>
      </c>
      <c r="H59" s="4">
        <v>0.69</v>
      </c>
      <c r="I59" s="11">
        <v>0.544</v>
      </c>
      <c r="J59" s="4">
        <v>0.99</v>
      </c>
      <c r="K59" s="18">
        <f t="array" ref="K59">IF(H59&lt;&gt;"",H59,IFERROR(G59/INDEX(Players!$M$2:$M$127,MATCH(B59,Players!$A$2:$A$127,0)),""))</f>
        <v>0.69</v>
      </c>
    </row>
    <row r="60" ht="15.75" customHeight="1">
      <c r="A60" s="4" t="s">
        <v>1725</v>
      </c>
      <c r="B60" s="4" t="s">
        <v>1371</v>
      </c>
      <c r="C60" s="4" t="s">
        <v>1372</v>
      </c>
      <c r="D60" s="4" t="s">
        <v>86</v>
      </c>
      <c r="E60" s="4" t="s">
        <v>270</v>
      </c>
      <c r="F60" s="4">
        <v>7.0</v>
      </c>
      <c r="G60" s="4">
        <v>16.6</v>
      </c>
      <c r="H60" s="4">
        <v>0.78</v>
      </c>
      <c r="I60" s="11">
        <v>0.517</v>
      </c>
      <c r="J60" s="4">
        <v>1.26</v>
      </c>
      <c r="K60" s="18">
        <f t="array" ref="K60">IF(H60&lt;&gt;"",H60,IFERROR(G60/INDEX(Players!$M$2:$M$127,MATCH(B60,Players!$A$2:$A$127,0)),""))</f>
        <v>0.78</v>
      </c>
    </row>
    <row r="61" ht="15.75" customHeight="1">
      <c r="A61" s="4" t="s">
        <v>1726</v>
      </c>
      <c r="B61" s="4" t="s">
        <v>1371</v>
      </c>
      <c r="C61" s="4" t="s">
        <v>1372</v>
      </c>
      <c r="D61" s="4" t="s">
        <v>86</v>
      </c>
      <c r="E61" s="4" t="s">
        <v>250</v>
      </c>
      <c r="F61" s="4">
        <v>5.0</v>
      </c>
      <c r="G61" s="4">
        <v>17.2</v>
      </c>
      <c r="H61" s="4">
        <v>0.79</v>
      </c>
      <c r="I61" s="11">
        <v>0.547</v>
      </c>
      <c r="J61" s="4">
        <v>1.23</v>
      </c>
      <c r="K61" s="18">
        <f t="array" ref="K61">IF(H61&lt;&gt;"",H61,IFERROR(G61/INDEX(Players!$M$2:$M$127,MATCH(B61,Players!$A$2:$A$127,0)),""))</f>
        <v>0.79</v>
      </c>
    </row>
    <row r="62" ht="15.75" customHeight="1">
      <c r="A62" s="4" t="s">
        <v>1727</v>
      </c>
      <c r="B62" s="4" t="s">
        <v>1371</v>
      </c>
      <c r="C62" s="4" t="s">
        <v>1372</v>
      </c>
      <c r="D62" s="4" t="s">
        <v>86</v>
      </c>
      <c r="E62" s="4" t="s">
        <v>276</v>
      </c>
      <c r="F62" s="4">
        <v>5.0</v>
      </c>
      <c r="G62" s="4">
        <v>14.2</v>
      </c>
      <c r="H62" s="4">
        <v>0.66</v>
      </c>
      <c r="I62" s="11">
        <v>0.521</v>
      </c>
      <c r="J62" s="4">
        <v>0.99</v>
      </c>
      <c r="K62" s="18">
        <f t="array" ref="K62">IF(H62&lt;&gt;"",H62,IFERROR(G62/INDEX(Players!$M$2:$M$127,MATCH(B62,Players!$A$2:$A$127,0)),""))</f>
        <v>0.66</v>
      </c>
    </row>
    <row r="63" ht="15.75" customHeight="1">
      <c r="A63" s="4" t="s">
        <v>1728</v>
      </c>
      <c r="B63" s="4" t="s">
        <v>1371</v>
      </c>
      <c r="C63" s="4" t="s">
        <v>1372</v>
      </c>
      <c r="D63" s="4" t="s">
        <v>86</v>
      </c>
      <c r="E63" s="4" t="s">
        <v>112</v>
      </c>
      <c r="F63" s="4">
        <v>3.0</v>
      </c>
      <c r="G63" s="4">
        <v>16.3</v>
      </c>
      <c r="H63" s="4">
        <v>0.71</v>
      </c>
      <c r="I63" s="11">
        <v>0.408</v>
      </c>
      <c r="J63" s="4">
        <v>1.0</v>
      </c>
      <c r="K63" s="18">
        <f t="array" ref="K63">IF(H63&lt;&gt;"",H63,IFERROR(G63/INDEX(Players!$M$2:$M$127,MATCH(B63,Players!$A$2:$A$127,0)),""))</f>
        <v>0.71</v>
      </c>
    </row>
    <row r="64" ht="15.75" customHeight="1">
      <c r="A64" s="4" t="s">
        <v>1730</v>
      </c>
      <c r="B64" s="4" t="s">
        <v>1518</v>
      </c>
      <c r="C64" s="4" t="s">
        <v>1519</v>
      </c>
      <c r="D64" s="4" t="s">
        <v>86</v>
      </c>
      <c r="E64" s="4" t="s">
        <v>110</v>
      </c>
      <c r="F64" s="4">
        <v>11.0</v>
      </c>
      <c r="G64" s="4">
        <v>14.0</v>
      </c>
      <c r="H64" s="4">
        <v>0.67</v>
      </c>
      <c r="I64" s="11">
        <v>0.474</v>
      </c>
      <c r="J64" s="4">
        <v>1.03</v>
      </c>
      <c r="K64" s="18">
        <f t="array" ref="K64">IF(H64&lt;&gt;"",H64,IFERROR(G64/INDEX(Players!$M$2:$M$127,MATCH(B64,Players!$A$2:$A$127,0)),""))</f>
        <v>0.67</v>
      </c>
    </row>
    <row r="65" ht="15.75" customHeight="1">
      <c r="A65" s="4" t="s">
        <v>1731</v>
      </c>
      <c r="B65" s="4" t="s">
        <v>1518</v>
      </c>
      <c r="C65" s="4" t="s">
        <v>1519</v>
      </c>
      <c r="D65" s="4" t="s">
        <v>86</v>
      </c>
      <c r="E65" s="4" t="s">
        <v>270</v>
      </c>
      <c r="F65" s="4">
        <v>5.0</v>
      </c>
      <c r="G65" s="4">
        <v>15.8</v>
      </c>
      <c r="H65" s="4">
        <v>0.65</v>
      </c>
      <c r="I65" s="11">
        <v>0.544</v>
      </c>
      <c r="J65" s="4">
        <v>0.96</v>
      </c>
      <c r="K65" s="18">
        <f t="array" ref="K65">IF(H65&lt;&gt;"",H65,IFERROR(G65/INDEX(Players!$M$2:$M$127,MATCH(B65,Players!$A$2:$A$127,0)),""))</f>
        <v>0.65</v>
      </c>
    </row>
    <row r="66" ht="15.75" customHeight="1">
      <c r="A66" s="4" t="s">
        <v>1732</v>
      </c>
      <c r="B66" s="4" t="s">
        <v>1518</v>
      </c>
      <c r="C66" s="4" t="s">
        <v>1519</v>
      </c>
      <c r="D66" s="4" t="s">
        <v>86</v>
      </c>
      <c r="E66" s="4" t="s">
        <v>262</v>
      </c>
      <c r="F66" s="4">
        <v>5.0</v>
      </c>
      <c r="G66" s="4">
        <v>11.8</v>
      </c>
      <c r="H66" s="4">
        <v>0.57</v>
      </c>
      <c r="I66" s="11">
        <v>0.542</v>
      </c>
      <c r="J66" s="4">
        <v>0.94</v>
      </c>
      <c r="K66" s="18">
        <f t="array" ref="K66">IF(H66&lt;&gt;"",H66,IFERROR(G66/INDEX(Players!$M$2:$M$127,MATCH(B66,Players!$A$2:$A$127,0)),""))</f>
        <v>0.57</v>
      </c>
    </row>
    <row r="67" ht="15.75" customHeight="1">
      <c r="A67" s="4" t="s">
        <v>1733</v>
      </c>
      <c r="B67" s="4" t="s">
        <v>1518</v>
      </c>
      <c r="C67" s="4" t="s">
        <v>1519</v>
      </c>
      <c r="D67" s="4" t="s">
        <v>86</v>
      </c>
      <c r="E67" s="4" t="s">
        <v>276</v>
      </c>
      <c r="F67" s="4">
        <v>4.0</v>
      </c>
      <c r="G67" s="4">
        <v>15.5</v>
      </c>
      <c r="H67" s="4">
        <v>0.86</v>
      </c>
      <c r="I67" s="11">
        <v>0.565</v>
      </c>
      <c r="J67" s="4">
        <v>1.94</v>
      </c>
      <c r="K67" s="18">
        <f t="array" ref="K67">IF(H67&lt;&gt;"",H67,IFERROR(G67/INDEX(Players!$M$2:$M$127,MATCH(B67,Players!$A$2:$A$127,0)),""))</f>
        <v>0.86</v>
      </c>
    </row>
    <row r="68" ht="15.75" customHeight="1">
      <c r="A68" s="4" t="s">
        <v>1735</v>
      </c>
      <c r="B68" s="4" t="s">
        <v>1518</v>
      </c>
      <c r="C68" s="4" t="s">
        <v>1519</v>
      </c>
      <c r="D68" s="4" t="s">
        <v>86</v>
      </c>
      <c r="E68" s="4" t="s">
        <v>112</v>
      </c>
      <c r="F68" s="4">
        <v>4.0</v>
      </c>
      <c r="G68" s="4">
        <v>16.0</v>
      </c>
      <c r="H68" s="4">
        <v>0.73</v>
      </c>
      <c r="I68" s="11">
        <v>0.563</v>
      </c>
      <c r="J68" s="4">
        <v>1.1</v>
      </c>
      <c r="K68" s="18">
        <f t="array" ref="K68">IF(H68&lt;&gt;"",H68,IFERROR(G68/INDEX(Players!$M$2:$M$127,MATCH(B68,Players!$A$2:$A$127,0)),""))</f>
        <v>0.73</v>
      </c>
    </row>
    <row r="69" ht="15.75" customHeight="1">
      <c r="A69" s="4" t="s">
        <v>1736</v>
      </c>
      <c r="B69" s="4" t="s">
        <v>1518</v>
      </c>
      <c r="C69" s="4" t="s">
        <v>1519</v>
      </c>
      <c r="D69" s="4" t="s">
        <v>86</v>
      </c>
      <c r="E69" s="4" t="s">
        <v>250</v>
      </c>
      <c r="F69" s="4">
        <v>4.0</v>
      </c>
      <c r="G69" s="4">
        <v>14.5</v>
      </c>
      <c r="H69" s="4">
        <v>0.67</v>
      </c>
      <c r="I69" s="11">
        <v>0.603</v>
      </c>
      <c r="J69" s="4">
        <v>0.94</v>
      </c>
      <c r="K69" s="18">
        <f t="array" ref="K69">IF(H69&lt;&gt;"",H69,IFERROR(G69/INDEX(Players!$M$2:$M$127,MATCH(B69,Players!$A$2:$A$127,0)),""))</f>
        <v>0.67</v>
      </c>
    </row>
    <row r="70" ht="15.75" customHeight="1">
      <c r="A70" s="4" t="s">
        <v>1737</v>
      </c>
      <c r="B70" s="4" t="s">
        <v>1518</v>
      </c>
      <c r="C70" s="4" t="s">
        <v>1519</v>
      </c>
      <c r="D70" s="4" t="s">
        <v>86</v>
      </c>
      <c r="E70" s="4" t="s">
        <v>113</v>
      </c>
      <c r="F70" s="4">
        <v>2.0</v>
      </c>
      <c r="G70" s="4">
        <v>8.0</v>
      </c>
      <c r="H70" s="4">
        <v>0.37</v>
      </c>
      <c r="I70" s="11">
        <v>0.4379999999999999</v>
      </c>
      <c r="J70" s="4">
        <v>0.52</v>
      </c>
      <c r="K70" s="18">
        <f t="array" ref="K70">IF(H70&lt;&gt;"",H70,IFERROR(G70/INDEX(Players!$M$2:$M$127,MATCH(B70,Players!$A$2:$A$127,0)),""))</f>
        <v>0.37</v>
      </c>
    </row>
    <row r="71" ht="15.75" customHeight="1">
      <c r="A71" s="4" t="s">
        <v>1738</v>
      </c>
      <c r="B71" s="4" t="s">
        <v>1424</v>
      </c>
      <c r="C71" s="4" t="s">
        <v>1425</v>
      </c>
      <c r="D71" s="4" t="s">
        <v>86</v>
      </c>
      <c r="E71" s="4" t="s">
        <v>276</v>
      </c>
      <c r="F71" s="4">
        <v>8.0</v>
      </c>
      <c r="G71" s="4">
        <v>14.8</v>
      </c>
      <c r="H71" s="4">
        <v>0.68</v>
      </c>
      <c r="I71" s="11">
        <v>0.508</v>
      </c>
      <c r="J71" s="4">
        <v>1.04</v>
      </c>
      <c r="K71" s="18">
        <f t="array" ref="K71">IF(H71&lt;&gt;"",H71,IFERROR(G71/INDEX(Players!$M$2:$M$127,MATCH(B71,Players!$A$2:$A$127,0)),""))</f>
        <v>0.68</v>
      </c>
    </row>
    <row r="72" ht="15.75" customHeight="1">
      <c r="A72" s="4" t="s">
        <v>1739</v>
      </c>
      <c r="B72" s="4" t="s">
        <v>1424</v>
      </c>
      <c r="C72" s="4" t="s">
        <v>1425</v>
      </c>
      <c r="D72" s="4" t="s">
        <v>86</v>
      </c>
      <c r="E72" s="4" t="s">
        <v>113</v>
      </c>
      <c r="F72" s="4">
        <v>7.0</v>
      </c>
      <c r="G72" s="4">
        <v>13.9</v>
      </c>
      <c r="H72" s="4">
        <v>0.69</v>
      </c>
      <c r="I72" s="11">
        <v>0.526</v>
      </c>
      <c r="J72" s="4">
        <v>1.15</v>
      </c>
      <c r="K72" s="18">
        <f t="array" ref="K72">IF(H72&lt;&gt;"",H72,IFERROR(G72/INDEX(Players!$M$2:$M$127,MATCH(B72,Players!$A$2:$A$127,0)),""))</f>
        <v>0.69</v>
      </c>
    </row>
    <row r="73" ht="15.75" customHeight="1">
      <c r="A73" s="4" t="s">
        <v>1740</v>
      </c>
      <c r="B73" s="4" t="s">
        <v>1424</v>
      </c>
      <c r="C73" s="4" t="s">
        <v>1425</v>
      </c>
      <c r="D73" s="4" t="s">
        <v>86</v>
      </c>
      <c r="E73" s="4" t="s">
        <v>110</v>
      </c>
      <c r="F73" s="4">
        <v>7.0</v>
      </c>
      <c r="G73" s="4">
        <v>14.4</v>
      </c>
      <c r="H73" s="4">
        <v>0.66</v>
      </c>
      <c r="I73" s="11">
        <v>0.564</v>
      </c>
      <c r="J73" s="4">
        <v>0.94</v>
      </c>
      <c r="K73" s="18">
        <f t="array" ref="K73">IF(H73&lt;&gt;"",H73,IFERROR(G73/INDEX(Players!$M$2:$M$127,MATCH(B73,Players!$A$2:$A$127,0)),""))</f>
        <v>0.66</v>
      </c>
    </row>
    <row r="74" ht="15.75" customHeight="1">
      <c r="A74" s="4" t="s">
        <v>1741</v>
      </c>
      <c r="B74" s="4" t="s">
        <v>1424</v>
      </c>
      <c r="C74" s="4" t="s">
        <v>1425</v>
      </c>
      <c r="D74" s="4" t="s">
        <v>86</v>
      </c>
      <c r="E74" s="4" t="s">
        <v>250</v>
      </c>
      <c r="F74" s="4">
        <v>6.0</v>
      </c>
      <c r="G74" s="4">
        <v>16.8</v>
      </c>
      <c r="H74" s="4">
        <v>0.74</v>
      </c>
      <c r="I74" s="11">
        <v>0.5539999999999999</v>
      </c>
      <c r="J74" s="4">
        <v>1.17</v>
      </c>
      <c r="K74" s="18">
        <f t="array" ref="K74">IF(H74&lt;&gt;"",H74,IFERROR(G74/INDEX(Players!$M$2:$M$127,MATCH(B74,Players!$A$2:$A$127,0)),""))</f>
        <v>0.74</v>
      </c>
    </row>
    <row r="75" ht="15.75" customHeight="1">
      <c r="A75" s="4" t="s">
        <v>1742</v>
      </c>
      <c r="B75" s="4" t="s">
        <v>1424</v>
      </c>
      <c r="C75" s="4" t="s">
        <v>1425</v>
      </c>
      <c r="D75" s="4" t="s">
        <v>86</v>
      </c>
      <c r="E75" s="4" t="s">
        <v>270</v>
      </c>
      <c r="F75" s="4">
        <v>5.0</v>
      </c>
      <c r="G75" s="4">
        <v>13.4</v>
      </c>
      <c r="H75" s="4">
        <v>0.69</v>
      </c>
      <c r="I75" s="11">
        <v>0.537</v>
      </c>
      <c r="J75" s="4">
        <v>0.97</v>
      </c>
      <c r="K75" s="18">
        <f t="array" ref="K75">IF(H75&lt;&gt;"",H75,IFERROR(G75/INDEX(Players!$M$2:$M$127,MATCH(B75,Players!$A$2:$A$127,0)),""))</f>
        <v>0.69</v>
      </c>
    </row>
    <row r="76" ht="15.75" customHeight="1">
      <c r="A76" s="4" t="s">
        <v>1743</v>
      </c>
      <c r="B76" s="4" t="s">
        <v>1424</v>
      </c>
      <c r="C76" s="4" t="s">
        <v>1425</v>
      </c>
      <c r="D76" s="4" t="s">
        <v>86</v>
      </c>
      <c r="E76" s="4" t="s">
        <v>262</v>
      </c>
      <c r="F76" s="4">
        <v>4.0</v>
      </c>
      <c r="G76" s="4">
        <v>15.3</v>
      </c>
      <c r="H76" s="4">
        <v>0.74</v>
      </c>
      <c r="I76" s="11">
        <v>0.623</v>
      </c>
      <c r="J76" s="4">
        <v>1.17</v>
      </c>
      <c r="K76" s="18">
        <f t="array" ref="K76">IF(H76&lt;&gt;"",H76,IFERROR(G76/INDEX(Players!$M$2:$M$127,MATCH(B76,Players!$A$2:$A$127,0)),""))</f>
        <v>0.74</v>
      </c>
    </row>
    <row r="77" ht="15.75" customHeight="1">
      <c r="A77" s="4" t="s">
        <v>1744</v>
      </c>
      <c r="B77" s="4" t="s">
        <v>1262</v>
      </c>
      <c r="C77" s="4" t="s">
        <v>1263</v>
      </c>
      <c r="D77" s="4" t="s">
        <v>86</v>
      </c>
      <c r="E77" s="4" t="s">
        <v>110</v>
      </c>
      <c r="F77" s="4">
        <v>10.0</v>
      </c>
      <c r="G77" s="4">
        <v>15.3</v>
      </c>
      <c r="H77" s="4">
        <v>0.68</v>
      </c>
      <c r="I77" s="11">
        <v>0.405</v>
      </c>
      <c r="J77" s="4">
        <v>1.11</v>
      </c>
      <c r="K77" s="18">
        <f t="array" ref="K77">IF(H77&lt;&gt;"",H77,IFERROR(G77/INDEX(Players!$M$2:$M$127,MATCH(B77,Players!$A$2:$A$127,0)),""))</f>
        <v>0.68</v>
      </c>
    </row>
    <row r="78" ht="15.75" customHeight="1">
      <c r="A78" s="4" t="s">
        <v>1745</v>
      </c>
      <c r="B78" s="4" t="s">
        <v>1262</v>
      </c>
      <c r="C78" s="4" t="s">
        <v>1263</v>
      </c>
      <c r="D78" s="4" t="s">
        <v>86</v>
      </c>
      <c r="E78" s="4" t="s">
        <v>276</v>
      </c>
      <c r="F78" s="4">
        <v>9.0</v>
      </c>
      <c r="G78" s="4">
        <v>12.7</v>
      </c>
      <c r="H78" s="4">
        <v>0.55</v>
      </c>
      <c r="I78" s="11">
        <v>0.36</v>
      </c>
      <c r="J78" s="4">
        <v>0.8</v>
      </c>
      <c r="K78" s="18">
        <f t="array" ref="K78">IF(H78&lt;&gt;"",H78,IFERROR(G78/INDEX(Players!$M$2:$M$127,MATCH(B78,Players!$A$2:$A$127,0)),""))</f>
        <v>0.55</v>
      </c>
    </row>
    <row r="79" ht="15.75" customHeight="1">
      <c r="A79" s="4" t="s">
        <v>1746</v>
      </c>
      <c r="B79" s="4" t="s">
        <v>1262</v>
      </c>
      <c r="C79" s="4" t="s">
        <v>1263</v>
      </c>
      <c r="D79" s="4" t="s">
        <v>86</v>
      </c>
      <c r="E79" s="4" t="s">
        <v>250</v>
      </c>
      <c r="F79" s="4">
        <v>7.0</v>
      </c>
      <c r="G79" s="4">
        <v>13.6</v>
      </c>
      <c r="H79" s="4">
        <v>0.62</v>
      </c>
      <c r="I79" s="11">
        <v>0.4320000000000001</v>
      </c>
      <c r="J79" s="4">
        <v>1.09</v>
      </c>
      <c r="K79" s="18">
        <f t="array" ref="K79">IF(H79&lt;&gt;"",H79,IFERROR(G79/INDEX(Players!$M$2:$M$127,MATCH(B79,Players!$A$2:$A$127,0)),""))</f>
        <v>0.62</v>
      </c>
    </row>
    <row r="80" ht="15.75" customHeight="1">
      <c r="A80" s="4" t="s">
        <v>1747</v>
      </c>
      <c r="B80" s="4" t="s">
        <v>1262</v>
      </c>
      <c r="C80" s="4" t="s">
        <v>1263</v>
      </c>
      <c r="D80" s="4" t="s">
        <v>86</v>
      </c>
      <c r="E80" s="4" t="s">
        <v>262</v>
      </c>
      <c r="F80" s="4">
        <v>6.0</v>
      </c>
      <c r="G80" s="4">
        <v>11.7</v>
      </c>
      <c r="H80" s="4">
        <v>0.55</v>
      </c>
      <c r="I80" s="11">
        <v>0.371</v>
      </c>
      <c r="J80" s="4">
        <v>0.81</v>
      </c>
      <c r="K80" s="18">
        <f t="array" ref="K80">IF(H80&lt;&gt;"",H80,IFERROR(G80/INDEX(Players!$M$2:$M$127,MATCH(B80,Players!$A$2:$A$127,0)),""))</f>
        <v>0.55</v>
      </c>
    </row>
    <row r="81" ht="15.75" customHeight="1">
      <c r="A81" s="4" t="s">
        <v>1748</v>
      </c>
      <c r="B81" s="4" t="s">
        <v>1262</v>
      </c>
      <c r="C81" s="4" t="s">
        <v>1263</v>
      </c>
      <c r="D81" s="4" t="s">
        <v>86</v>
      </c>
      <c r="E81" s="4" t="s">
        <v>112</v>
      </c>
      <c r="F81" s="4">
        <v>4.0</v>
      </c>
      <c r="G81" s="4">
        <v>14.3</v>
      </c>
      <c r="H81" s="4">
        <v>0.67</v>
      </c>
      <c r="I81" s="11">
        <v>0.439</v>
      </c>
      <c r="J81" s="4">
        <v>1.14</v>
      </c>
      <c r="K81" s="18">
        <f t="array" ref="K81">IF(H81&lt;&gt;"",H81,IFERROR(G81/INDEX(Players!$M$2:$M$127,MATCH(B81,Players!$A$2:$A$127,0)),""))</f>
        <v>0.67</v>
      </c>
    </row>
    <row r="82" ht="15.75" customHeight="1">
      <c r="A82" s="4" t="s">
        <v>1749</v>
      </c>
      <c r="B82" s="4" t="s">
        <v>1262</v>
      </c>
      <c r="C82" s="4" t="s">
        <v>1263</v>
      </c>
      <c r="D82" s="4" t="s">
        <v>86</v>
      </c>
      <c r="E82" s="4" t="s">
        <v>113</v>
      </c>
      <c r="F82" s="4">
        <v>1.0</v>
      </c>
      <c r="G82" s="4">
        <v>12.0</v>
      </c>
      <c r="H82" s="4">
        <v>0.52</v>
      </c>
      <c r="I82" s="11">
        <v>0.167</v>
      </c>
      <c r="J82" s="4">
        <v>0.86</v>
      </c>
      <c r="K82" s="18">
        <f t="array" ref="K82">IF(H82&lt;&gt;"",H82,IFERROR(G82/INDEX(Players!$M$2:$M$127,MATCH(B82,Players!$A$2:$A$127,0)),""))</f>
        <v>0.52</v>
      </c>
    </row>
    <row r="83" ht="15.75" customHeight="1">
      <c r="A83" s="4" t="s">
        <v>1750</v>
      </c>
      <c r="B83" s="4" t="s">
        <v>1300</v>
      </c>
      <c r="C83" s="4" t="s">
        <v>1301</v>
      </c>
      <c r="D83" s="4" t="s">
        <v>86</v>
      </c>
      <c r="E83" s="4" t="s">
        <v>250</v>
      </c>
      <c r="F83" s="4">
        <v>9.0</v>
      </c>
      <c r="G83" s="4">
        <v>12.2</v>
      </c>
      <c r="H83" s="4">
        <v>0.59</v>
      </c>
      <c r="I83" s="11">
        <v>0.564</v>
      </c>
      <c r="J83" s="4">
        <v>0.81</v>
      </c>
      <c r="K83" s="18">
        <f t="array" ref="K83">IF(H83&lt;&gt;"",H83,IFERROR(G83/INDEX(Players!$M$2:$M$127,MATCH(B83,Players!$A$2:$A$127,0)),""))</f>
        <v>0.59</v>
      </c>
    </row>
    <row r="84" ht="15.75" customHeight="1">
      <c r="A84" s="4" t="s">
        <v>1751</v>
      </c>
      <c r="B84" s="4" t="s">
        <v>1300</v>
      </c>
      <c r="C84" s="4" t="s">
        <v>1301</v>
      </c>
      <c r="D84" s="4" t="s">
        <v>86</v>
      </c>
      <c r="E84" s="4" t="s">
        <v>112</v>
      </c>
      <c r="F84" s="4">
        <v>7.0</v>
      </c>
      <c r="G84" s="4">
        <v>16.4</v>
      </c>
      <c r="H84" s="4">
        <v>0.69</v>
      </c>
      <c r="I84" s="11">
        <v>0.67</v>
      </c>
      <c r="J84" s="4">
        <v>1.1</v>
      </c>
      <c r="K84" s="18">
        <f t="array" ref="K84">IF(H84&lt;&gt;"",H84,IFERROR(G84/INDEX(Players!$M$2:$M$127,MATCH(B84,Players!$A$2:$A$127,0)),""))</f>
        <v>0.69</v>
      </c>
    </row>
    <row r="85" ht="15.75" customHeight="1">
      <c r="A85" s="4" t="s">
        <v>1752</v>
      </c>
      <c r="B85" s="4" t="s">
        <v>1300</v>
      </c>
      <c r="C85" s="4" t="s">
        <v>1301</v>
      </c>
      <c r="D85" s="4" t="s">
        <v>86</v>
      </c>
      <c r="E85" s="4" t="s">
        <v>110</v>
      </c>
      <c r="F85" s="4">
        <v>6.0</v>
      </c>
      <c r="G85" s="4">
        <v>18.3</v>
      </c>
      <c r="H85" s="4">
        <v>0.76</v>
      </c>
      <c r="I85" s="11">
        <v>0.5820000000000001</v>
      </c>
      <c r="J85" s="4">
        <v>1.11</v>
      </c>
      <c r="K85" s="18">
        <f t="array" ref="K85">IF(H85&lt;&gt;"",H85,IFERROR(G85/INDEX(Players!$M$2:$M$127,MATCH(B85,Players!$A$2:$A$127,0)),""))</f>
        <v>0.76</v>
      </c>
    </row>
    <row r="86" ht="15.75" customHeight="1">
      <c r="A86" s="4" t="s">
        <v>1753</v>
      </c>
      <c r="B86" s="4" t="s">
        <v>1300</v>
      </c>
      <c r="C86" s="4" t="s">
        <v>1301</v>
      </c>
      <c r="D86" s="4" t="s">
        <v>86</v>
      </c>
      <c r="E86" s="4" t="s">
        <v>262</v>
      </c>
      <c r="F86" s="4">
        <v>4.0</v>
      </c>
      <c r="G86" s="4">
        <v>15.0</v>
      </c>
      <c r="H86" s="4">
        <v>0.73</v>
      </c>
      <c r="I86" s="11">
        <v>0.633</v>
      </c>
      <c r="J86" s="4">
        <v>1.2</v>
      </c>
      <c r="K86" s="18">
        <f t="array" ref="K86">IF(H86&lt;&gt;"",H86,IFERROR(G86/INDEX(Players!$M$2:$M$127,MATCH(B86,Players!$A$2:$A$127,0)),""))</f>
        <v>0.73</v>
      </c>
    </row>
    <row r="87" ht="15.75" customHeight="1">
      <c r="A87" s="4" t="s">
        <v>1754</v>
      </c>
      <c r="B87" s="4" t="s">
        <v>1300</v>
      </c>
      <c r="C87" s="4" t="s">
        <v>1301</v>
      </c>
      <c r="D87" s="4" t="s">
        <v>86</v>
      </c>
      <c r="E87" s="4" t="s">
        <v>113</v>
      </c>
      <c r="F87" s="4">
        <v>4.0</v>
      </c>
      <c r="G87" s="4">
        <v>14.3</v>
      </c>
      <c r="H87" s="4">
        <v>0.59</v>
      </c>
      <c r="I87" s="11">
        <v>0.632</v>
      </c>
      <c r="J87" s="4">
        <v>0.8</v>
      </c>
      <c r="K87" s="18">
        <f t="array" ref="K87">IF(H87&lt;&gt;"",H87,IFERROR(G87/INDEX(Players!$M$2:$M$127,MATCH(B87,Players!$A$2:$A$127,0)),""))</f>
        <v>0.59</v>
      </c>
    </row>
    <row r="88" ht="15.75" customHeight="1">
      <c r="A88" s="4" t="s">
        <v>1759</v>
      </c>
      <c r="B88" s="4" t="s">
        <v>1300</v>
      </c>
      <c r="C88" s="4" t="s">
        <v>1301</v>
      </c>
      <c r="D88" s="4" t="s">
        <v>86</v>
      </c>
      <c r="E88" s="4" t="s">
        <v>276</v>
      </c>
      <c r="F88" s="4">
        <v>2.0</v>
      </c>
      <c r="G88" s="4">
        <v>15.0</v>
      </c>
      <c r="H88" s="4">
        <v>0.75</v>
      </c>
      <c r="I88" s="11">
        <v>0.5670000000000001</v>
      </c>
      <c r="J88" s="4">
        <v>1.15</v>
      </c>
      <c r="K88" s="18">
        <f t="array" ref="K88">IF(H88&lt;&gt;"",H88,IFERROR(G88/INDEX(Players!$M$2:$M$127,MATCH(B88,Players!$A$2:$A$127,0)),""))</f>
        <v>0.75</v>
      </c>
    </row>
    <row r="89" ht="15.75" customHeight="1">
      <c r="A89" s="4" t="s">
        <v>1760</v>
      </c>
      <c r="B89" s="4" t="s">
        <v>1547</v>
      </c>
      <c r="C89" s="4" t="s">
        <v>1548</v>
      </c>
      <c r="D89" s="4" t="s">
        <v>86</v>
      </c>
      <c r="E89" s="4" t="s">
        <v>110</v>
      </c>
      <c r="F89" s="4">
        <v>9.0</v>
      </c>
      <c r="G89" s="4">
        <v>16.7</v>
      </c>
      <c r="H89" s="4">
        <v>0.81</v>
      </c>
      <c r="I89" s="11">
        <v>0.48</v>
      </c>
      <c r="J89" s="4">
        <v>1.23</v>
      </c>
      <c r="K89" s="18">
        <f t="array" ref="K89">IF(H89&lt;&gt;"",H89,IFERROR(G89/INDEX(Players!$M$2:$M$127,MATCH(B89,Players!$A$2:$A$127,0)),""))</f>
        <v>0.81</v>
      </c>
    </row>
    <row r="90" ht="15.75" customHeight="1">
      <c r="A90" s="4" t="s">
        <v>1761</v>
      </c>
      <c r="B90" s="4" t="s">
        <v>1547</v>
      </c>
      <c r="C90" s="4" t="s">
        <v>1548</v>
      </c>
      <c r="D90" s="4" t="s">
        <v>86</v>
      </c>
      <c r="E90" s="4" t="s">
        <v>262</v>
      </c>
      <c r="F90" s="4">
        <v>5.0</v>
      </c>
      <c r="G90" s="4">
        <v>19.4</v>
      </c>
      <c r="H90" s="4">
        <v>0.73</v>
      </c>
      <c r="I90" s="11">
        <v>0.5670000000000001</v>
      </c>
      <c r="J90" s="4">
        <v>1.01</v>
      </c>
      <c r="K90" s="18">
        <f t="array" ref="K90">IF(H90&lt;&gt;"",H90,IFERROR(G90/INDEX(Players!$M$2:$M$127,MATCH(B90,Players!$A$2:$A$127,0)),""))</f>
        <v>0.73</v>
      </c>
    </row>
    <row r="91" ht="15.75" customHeight="1">
      <c r="A91" s="4" t="s">
        <v>1762</v>
      </c>
      <c r="B91" s="4" t="s">
        <v>1547</v>
      </c>
      <c r="C91" s="4" t="s">
        <v>1548</v>
      </c>
      <c r="D91" s="4" t="s">
        <v>86</v>
      </c>
      <c r="E91" s="4" t="s">
        <v>276</v>
      </c>
      <c r="F91" s="4">
        <v>5.0</v>
      </c>
      <c r="G91" s="4">
        <v>13.2</v>
      </c>
      <c r="H91" s="4">
        <v>0.69</v>
      </c>
      <c r="I91" s="11">
        <v>0.439</v>
      </c>
      <c r="J91" s="4">
        <v>0.92</v>
      </c>
      <c r="K91" s="18">
        <f t="array" ref="K91">IF(H91&lt;&gt;"",H91,IFERROR(G91/INDEX(Players!$M$2:$M$127,MATCH(B91,Players!$A$2:$A$127,0)),""))</f>
        <v>0.69</v>
      </c>
    </row>
    <row r="92" ht="15.75" customHeight="1">
      <c r="A92" s="4" t="s">
        <v>1763</v>
      </c>
      <c r="B92" s="4" t="s">
        <v>1547</v>
      </c>
      <c r="C92" s="4" t="s">
        <v>1548</v>
      </c>
      <c r="D92" s="4" t="s">
        <v>86</v>
      </c>
      <c r="E92" s="4" t="s">
        <v>112</v>
      </c>
      <c r="F92" s="4">
        <v>3.0</v>
      </c>
      <c r="G92" s="4">
        <v>16.3</v>
      </c>
      <c r="H92" s="4">
        <v>0.8</v>
      </c>
      <c r="I92" s="11">
        <v>0.5920000000000001</v>
      </c>
      <c r="J92" s="4">
        <v>1.02</v>
      </c>
      <c r="K92" s="18">
        <f t="array" ref="K92">IF(H92&lt;&gt;"",H92,IFERROR(G92/INDEX(Players!$M$2:$M$127,MATCH(B92,Players!$A$2:$A$127,0)),""))</f>
        <v>0.8</v>
      </c>
    </row>
    <row r="93" ht="15.75" customHeight="1">
      <c r="A93" s="4" t="s">
        <v>1764</v>
      </c>
      <c r="B93" s="4" t="s">
        <v>1547</v>
      </c>
      <c r="C93" s="4" t="s">
        <v>1548</v>
      </c>
      <c r="D93" s="4" t="s">
        <v>86</v>
      </c>
      <c r="E93" s="4" t="s">
        <v>113</v>
      </c>
      <c r="F93" s="4">
        <v>3.0</v>
      </c>
      <c r="G93" s="4">
        <v>8.0</v>
      </c>
      <c r="H93" s="4">
        <v>0.39</v>
      </c>
      <c r="I93" s="11">
        <v>0.5</v>
      </c>
      <c r="J93" s="4">
        <v>0.51</v>
      </c>
      <c r="K93" s="18">
        <f t="array" ref="K93">IF(H93&lt;&gt;"",H93,IFERROR(G93/INDEX(Players!$M$2:$M$127,MATCH(B93,Players!$A$2:$A$127,0)),""))</f>
        <v>0.39</v>
      </c>
    </row>
    <row r="94" ht="15.75" customHeight="1">
      <c r="A94" s="4" t="s">
        <v>1765</v>
      </c>
      <c r="B94" s="4" t="s">
        <v>1547</v>
      </c>
      <c r="C94" s="4" t="s">
        <v>1548</v>
      </c>
      <c r="D94" s="4" t="s">
        <v>86</v>
      </c>
      <c r="E94" s="4" t="s">
        <v>250</v>
      </c>
      <c r="F94" s="4">
        <v>2.0</v>
      </c>
      <c r="G94" s="4">
        <v>15.0</v>
      </c>
      <c r="H94" s="4">
        <v>0.68</v>
      </c>
      <c r="I94" s="11">
        <v>0.5670000000000001</v>
      </c>
      <c r="J94" s="4">
        <v>0.94</v>
      </c>
      <c r="K94" s="18">
        <f t="array" ref="K94">IF(H94&lt;&gt;"",H94,IFERROR(G94/INDEX(Players!$M$2:$M$127,MATCH(B94,Players!$A$2:$A$127,0)),""))</f>
        <v>0.68</v>
      </c>
    </row>
    <row r="95" ht="15.75" customHeight="1">
      <c r="A95" s="4" t="s">
        <v>1766</v>
      </c>
      <c r="B95" s="4" t="s">
        <v>1322</v>
      </c>
      <c r="C95" s="4" t="s">
        <v>1323</v>
      </c>
      <c r="D95" s="4" t="s">
        <v>86</v>
      </c>
      <c r="E95" s="4" t="s">
        <v>112</v>
      </c>
      <c r="F95" s="4">
        <v>8.0</v>
      </c>
      <c r="G95" s="4">
        <v>14.9</v>
      </c>
      <c r="H95" s="4">
        <v>0.63</v>
      </c>
      <c r="I95" s="11">
        <v>0.42</v>
      </c>
      <c r="J95" s="4">
        <v>0.89</v>
      </c>
      <c r="K95" s="18">
        <f t="array" ref="K95">IF(H95&lt;&gt;"",H95,IFERROR(G95/INDEX(Players!$M$2:$M$127,MATCH(B95,Players!$A$2:$A$127,0)),""))</f>
        <v>0.63</v>
      </c>
    </row>
    <row r="96" ht="15.75" customHeight="1">
      <c r="A96" s="4" t="s">
        <v>1767</v>
      </c>
      <c r="B96" s="4" t="s">
        <v>1322</v>
      </c>
      <c r="C96" s="4" t="s">
        <v>1323</v>
      </c>
      <c r="D96" s="4" t="s">
        <v>86</v>
      </c>
      <c r="E96" s="4" t="s">
        <v>262</v>
      </c>
      <c r="F96" s="4">
        <v>7.0</v>
      </c>
      <c r="G96" s="4">
        <v>14.1</v>
      </c>
      <c r="H96" s="4">
        <v>0.67</v>
      </c>
      <c r="I96" s="11">
        <v>0.495</v>
      </c>
      <c r="J96" s="4">
        <v>1.0</v>
      </c>
      <c r="K96" s="18">
        <f t="array" ref="K96">IF(H96&lt;&gt;"",H96,IFERROR(G96/INDEX(Players!$M$2:$M$127,MATCH(B96,Players!$A$2:$A$127,0)),""))</f>
        <v>0.67</v>
      </c>
    </row>
    <row r="97" ht="15.75" customHeight="1">
      <c r="A97" s="4" t="s">
        <v>1768</v>
      </c>
      <c r="B97" s="4" t="s">
        <v>1322</v>
      </c>
      <c r="C97" s="4" t="s">
        <v>1323</v>
      </c>
      <c r="D97" s="4" t="s">
        <v>86</v>
      </c>
      <c r="E97" s="4" t="s">
        <v>250</v>
      </c>
      <c r="F97" s="4">
        <v>6.0</v>
      </c>
      <c r="G97" s="4">
        <v>12.7</v>
      </c>
      <c r="H97" s="4">
        <v>0.58</v>
      </c>
      <c r="I97" s="11">
        <v>0.421</v>
      </c>
      <c r="J97" s="4">
        <v>0.94</v>
      </c>
      <c r="K97" s="18">
        <f t="array" ref="K97">IF(H97&lt;&gt;"",H97,IFERROR(G97/INDEX(Players!$M$2:$M$127,MATCH(B97,Players!$A$2:$A$127,0)),""))</f>
        <v>0.58</v>
      </c>
    </row>
    <row r="98" ht="15.75" customHeight="1">
      <c r="A98" s="4" t="s">
        <v>1769</v>
      </c>
      <c r="B98" s="4" t="s">
        <v>1322</v>
      </c>
      <c r="C98" s="4" t="s">
        <v>1323</v>
      </c>
      <c r="D98" s="4" t="s">
        <v>86</v>
      </c>
      <c r="E98" s="4" t="s">
        <v>110</v>
      </c>
      <c r="F98" s="4">
        <v>6.0</v>
      </c>
      <c r="G98" s="4">
        <v>12.7</v>
      </c>
      <c r="H98" s="4">
        <v>0.56</v>
      </c>
      <c r="I98" s="11">
        <v>0.382</v>
      </c>
      <c r="J98" s="4">
        <v>0.81</v>
      </c>
      <c r="K98" s="18">
        <f t="array" ref="K98">IF(H98&lt;&gt;"",H98,IFERROR(G98/INDEX(Players!$M$2:$M$127,MATCH(B98,Players!$A$2:$A$127,0)),""))</f>
        <v>0.56</v>
      </c>
    </row>
    <row r="99" ht="15.75" customHeight="1">
      <c r="A99" s="4" t="s">
        <v>1770</v>
      </c>
      <c r="B99" s="4" t="s">
        <v>1322</v>
      </c>
      <c r="C99" s="4" t="s">
        <v>1323</v>
      </c>
      <c r="D99" s="4" t="s">
        <v>86</v>
      </c>
      <c r="E99" s="4" t="s">
        <v>113</v>
      </c>
      <c r="F99" s="4">
        <v>5.0</v>
      </c>
      <c r="G99" s="4">
        <v>10.6</v>
      </c>
      <c r="H99" s="4">
        <v>0.52</v>
      </c>
      <c r="I99" s="11">
        <v>0.528</v>
      </c>
      <c r="J99" s="4">
        <v>0.75</v>
      </c>
      <c r="K99" s="18">
        <f t="array" ref="K99">IF(H99&lt;&gt;"",H99,IFERROR(G99/INDEX(Players!$M$2:$M$127,MATCH(B99,Players!$A$2:$A$127,0)),""))</f>
        <v>0.52</v>
      </c>
    </row>
    <row r="100" ht="15.75" customHeight="1">
      <c r="A100" s="4" t="s">
        <v>1771</v>
      </c>
      <c r="B100" s="4" t="s">
        <v>1322</v>
      </c>
      <c r="C100" s="4" t="s">
        <v>1323</v>
      </c>
      <c r="D100" s="4" t="s">
        <v>86</v>
      </c>
      <c r="E100" s="4" t="s">
        <v>276</v>
      </c>
      <c r="F100" s="4">
        <v>2.0</v>
      </c>
      <c r="G100" s="4">
        <v>12.0</v>
      </c>
      <c r="H100" s="4">
        <v>0.67</v>
      </c>
      <c r="I100" s="11">
        <v>0.5</v>
      </c>
      <c r="J100" s="4">
        <v>1.6</v>
      </c>
      <c r="K100" s="18">
        <f t="array" ref="K100">IF(H100&lt;&gt;"",H100,IFERROR(G100/INDEX(Players!$M$2:$M$127,MATCH(B100,Players!$A$2:$A$127,0)),""))</f>
        <v>0.67</v>
      </c>
    </row>
    <row r="101" ht="15.75" customHeight="1">
      <c r="A101" s="4" t="s">
        <v>1772</v>
      </c>
      <c r="B101" s="4" t="s">
        <v>1150</v>
      </c>
      <c r="C101" s="4" t="s">
        <v>366</v>
      </c>
      <c r="D101" s="4" t="s">
        <v>86</v>
      </c>
      <c r="E101" s="4" t="s">
        <v>250</v>
      </c>
      <c r="F101" s="4">
        <v>6.0</v>
      </c>
      <c r="G101" s="4">
        <v>13.8</v>
      </c>
      <c r="H101" s="4">
        <v>0.68</v>
      </c>
      <c r="I101" s="11">
        <v>0.301</v>
      </c>
      <c r="J101" s="4">
        <v>1.12</v>
      </c>
      <c r="K101" s="18">
        <f t="array" ref="K101">IF(H101&lt;&gt;"",H101,IFERROR(G101/INDEX(Players!$M$2:$M$127,MATCH(B101,Players!$A$2:$A$127,0)),""))</f>
        <v>0.68</v>
      </c>
    </row>
    <row r="102" ht="15.75" customHeight="1">
      <c r="A102" s="4" t="s">
        <v>1773</v>
      </c>
      <c r="B102" s="4" t="s">
        <v>1150</v>
      </c>
      <c r="C102" s="4" t="s">
        <v>366</v>
      </c>
      <c r="D102" s="4" t="s">
        <v>86</v>
      </c>
      <c r="E102" s="4" t="s">
        <v>276</v>
      </c>
      <c r="F102" s="4">
        <v>5.0</v>
      </c>
      <c r="G102" s="4">
        <v>16.2</v>
      </c>
      <c r="H102" s="4">
        <v>0.86</v>
      </c>
      <c r="I102" s="11">
        <v>0.309</v>
      </c>
      <c r="J102" s="4">
        <v>1.8</v>
      </c>
      <c r="K102" s="18">
        <f t="array" ref="K102">IF(H102&lt;&gt;"",H102,IFERROR(G102/INDEX(Players!$M$2:$M$127,MATCH(B102,Players!$A$2:$A$127,0)),""))</f>
        <v>0.86</v>
      </c>
    </row>
    <row r="103" ht="15.75" customHeight="1">
      <c r="A103" s="4" t="s">
        <v>1774</v>
      </c>
      <c r="B103" s="4" t="s">
        <v>1150</v>
      </c>
      <c r="C103" s="4" t="s">
        <v>366</v>
      </c>
      <c r="D103" s="4" t="s">
        <v>86</v>
      </c>
      <c r="E103" s="4" t="s">
        <v>110</v>
      </c>
      <c r="F103" s="4">
        <v>5.0</v>
      </c>
      <c r="G103" s="4">
        <v>18.8</v>
      </c>
      <c r="H103" s="4">
        <v>0.89</v>
      </c>
      <c r="I103" s="11">
        <v>0.266</v>
      </c>
      <c r="J103" s="4">
        <v>1.68</v>
      </c>
      <c r="K103" s="18">
        <f t="array" ref="K103">IF(H103&lt;&gt;"",H103,IFERROR(G103/INDEX(Players!$M$2:$M$127,MATCH(B103,Players!$A$2:$A$127,0)),""))</f>
        <v>0.89</v>
      </c>
    </row>
    <row r="104" ht="15.75" customHeight="1">
      <c r="A104" s="4" t="s">
        <v>1775</v>
      </c>
      <c r="B104" s="4" t="s">
        <v>1150</v>
      </c>
      <c r="C104" s="4" t="s">
        <v>366</v>
      </c>
      <c r="D104" s="4" t="s">
        <v>86</v>
      </c>
      <c r="E104" s="4" t="s">
        <v>270</v>
      </c>
      <c r="F104" s="4">
        <v>5.0</v>
      </c>
      <c r="G104" s="4">
        <v>17.2</v>
      </c>
      <c r="H104" s="4">
        <v>0.72</v>
      </c>
      <c r="I104" s="11">
        <v>0.442</v>
      </c>
      <c r="J104" s="4">
        <v>1.16</v>
      </c>
      <c r="K104" s="18">
        <f t="array" ref="K104">IF(H104&lt;&gt;"",H104,IFERROR(G104/INDEX(Players!$M$2:$M$127,MATCH(B104,Players!$A$2:$A$127,0)),""))</f>
        <v>0.72</v>
      </c>
    </row>
    <row r="105" ht="15.75" customHeight="1">
      <c r="A105" s="4" t="s">
        <v>1776</v>
      </c>
      <c r="B105" s="4" t="s">
        <v>1150</v>
      </c>
      <c r="C105" s="4" t="s">
        <v>366</v>
      </c>
      <c r="D105" s="4" t="s">
        <v>86</v>
      </c>
      <c r="E105" s="4" t="s">
        <v>112</v>
      </c>
      <c r="F105" s="4">
        <v>4.0</v>
      </c>
      <c r="G105" s="4">
        <v>13.0</v>
      </c>
      <c r="H105" s="4">
        <v>0.57</v>
      </c>
      <c r="I105" s="11">
        <v>0.212</v>
      </c>
      <c r="J105" s="4">
        <v>1.11</v>
      </c>
      <c r="K105" s="18">
        <f t="array" ref="K105">IF(H105&lt;&gt;"",H105,IFERROR(G105/INDEX(Players!$M$2:$M$127,MATCH(B105,Players!$A$2:$A$127,0)),""))</f>
        <v>0.57</v>
      </c>
    </row>
    <row r="106" ht="15.75" customHeight="1">
      <c r="A106" s="4" t="s">
        <v>1777</v>
      </c>
      <c r="B106" s="4" t="s">
        <v>1150</v>
      </c>
      <c r="C106" s="4" t="s">
        <v>366</v>
      </c>
      <c r="D106" s="4" t="s">
        <v>86</v>
      </c>
      <c r="E106" s="4" t="s">
        <v>113</v>
      </c>
      <c r="F106" s="4">
        <v>3.0</v>
      </c>
      <c r="G106" s="4">
        <v>12.3</v>
      </c>
      <c r="H106" s="4">
        <v>0.62</v>
      </c>
      <c r="I106" s="11">
        <v>0.27</v>
      </c>
      <c r="J106" s="4">
        <v>1.06</v>
      </c>
      <c r="K106" s="18">
        <f t="array" ref="K106">IF(H106&lt;&gt;"",H106,IFERROR(G106/INDEX(Players!$M$2:$M$127,MATCH(B106,Players!$A$2:$A$127,0)),""))</f>
        <v>0.62</v>
      </c>
    </row>
    <row r="107" ht="15.75" customHeight="1">
      <c r="A107" s="4" t="s">
        <v>1778</v>
      </c>
      <c r="B107" s="4" t="s">
        <v>1150</v>
      </c>
      <c r="C107" s="4" t="s">
        <v>366</v>
      </c>
      <c r="D107" s="4" t="s">
        <v>86</v>
      </c>
      <c r="E107" s="4" t="s">
        <v>262</v>
      </c>
      <c r="F107" s="4">
        <v>2.0</v>
      </c>
      <c r="G107" s="4">
        <v>14.0</v>
      </c>
      <c r="H107" s="4">
        <v>0.78</v>
      </c>
      <c r="I107" s="11">
        <v>0.393</v>
      </c>
      <c r="J107" s="4">
        <v>1.27</v>
      </c>
      <c r="K107" s="18">
        <f t="array" ref="K107">IF(H107&lt;&gt;"",H107,IFERROR(G107/INDEX(Players!$M$2:$M$127,MATCH(B107,Players!$A$2:$A$127,0)),""))</f>
        <v>0.78</v>
      </c>
    </row>
    <row r="108" ht="15.75" customHeight="1">
      <c r="A108" s="4" t="s">
        <v>1779</v>
      </c>
      <c r="B108" s="4" t="s">
        <v>1355</v>
      </c>
      <c r="C108" s="4" t="s">
        <v>1356</v>
      </c>
      <c r="D108" s="4" t="s">
        <v>86</v>
      </c>
      <c r="E108" s="4" t="s">
        <v>110</v>
      </c>
      <c r="F108" s="4">
        <v>7.0</v>
      </c>
      <c r="G108" s="4">
        <v>18.9</v>
      </c>
      <c r="H108" s="4">
        <v>0.76</v>
      </c>
      <c r="I108" s="11">
        <v>0.53</v>
      </c>
      <c r="J108" s="4">
        <v>1.07</v>
      </c>
      <c r="K108" s="18">
        <f t="array" ref="K108">IF(H108&lt;&gt;"",H108,IFERROR(G108/INDEX(Players!$M$2:$M$127,MATCH(B108,Players!$A$2:$A$127,0)),""))</f>
        <v>0.76</v>
      </c>
    </row>
    <row r="109" ht="15.75" customHeight="1">
      <c r="A109" s="4" t="s">
        <v>1780</v>
      </c>
      <c r="B109" s="4" t="s">
        <v>1355</v>
      </c>
      <c r="C109" s="4" t="s">
        <v>1356</v>
      </c>
      <c r="D109" s="4" t="s">
        <v>86</v>
      </c>
      <c r="E109" s="4" t="s">
        <v>112</v>
      </c>
      <c r="F109" s="4">
        <v>5.0</v>
      </c>
      <c r="G109" s="4">
        <v>18.2</v>
      </c>
      <c r="H109" s="4">
        <v>0.8</v>
      </c>
      <c r="I109" s="11">
        <v>0.505</v>
      </c>
      <c r="J109" s="4">
        <v>1.2</v>
      </c>
      <c r="K109" s="18">
        <f t="array" ref="K109">IF(H109&lt;&gt;"",H109,IFERROR(G109/INDEX(Players!$M$2:$M$127,MATCH(B109,Players!$A$2:$A$127,0)),""))</f>
        <v>0.8</v>
      </c>
    </row>
    <row r="110" ht="15.75" customHeight="1">
      <c r="A110" s="4" t="s">
        <v>1781</v>
      </c>
      <c r="B110" s="4" t="s">
        <v>1355</v>
      </c>
      <c r="C110" s="4" t="s">
        <v>1356</v>
      </c>
      <c r="D110" s="4" t="s">
        <v>86</v>
      </c>
      <c r="E110" s="4" t="s">
        <v>250</v>
      </c>
      <c r="F110" s="4">
        <v>5.0</v>
      </c>
      <c r="G110" s="4">
        <v>20.4</v>
      </c>
      <c r="H110" s="4">
        <v>0.72</v>
      </c>
      <c r="I110" s="11">
        <v>0.627</v>
      </c>
      <c r="J110" s="4">
        <v>0.98</v>
      </c>
      <c r="K110" s="18">
        <f t="array" ref="K110">IF(H110&lt;&gt;"",H110,IFERROR(G110/INDEX(Players!$M$2:$M$127,MATCH(B110,Players!$A$2:$A$127,0)),""))</f>
        <v>0.72</v>
      </c>
    </row>
    <row r="111" ht="15.75" customHeight="1">
      <c r="A111" s="4" t="s">
        <v>1782</v>
      </c>
      <c r="B111" s="4" t="s">
        <v>1355</v>
      </c>
      <c r="C111" s="4" t="s">
        <v>1356</v>
      </c>
      <c r="D111" s="4" t="s">
        <v>86</v>
      </c>
      <c r="E111" s="4" t="s">
        <v>270</v>
      </c>
      <c r="F111" s="4">
        <v>4.0</v>
      </c>
      <c r="G111" s="4">
        <v>16.8</v>
      </c>
      <c r="H111" s="4">
        <v>0.68</v>
      </c>
      <c r="I111" s="11">
        <v>0.597</v>
      </c>
      <c r="J111" s="4">
        <v>0.91</v>
      </c>
      <c r="K111" s="18">
        <f t="array" ref="K111">IF(H111&lt;&gt;"",H111,IFERROR(G111/INDEX(Players!$M$2:$M$127,MATCH(B111,Players!$A$2:$A$127,0)),""))</f>
        <v>0.68</v>
      </c>
    </row>
    <row r="112" ht="15.75" customHeight="1">
      <c r="A112" s="4" t="s">
        <v>1783</v>
      </c>
      <c r="B112" s="4" t="s">
        <v>1355</v>
      </c>
      <c r="C112" s="4" t="s">
        <v>1356</v>
      </c>
      <c r="D112" s="4" t="s">
        <v>86</v>
      </c>
      <c r="E112" s="4" t="s">
        <v>262</v>
      </c>
      <c r="F112" s="4">
        <v>3.0</v>
      </c>
      <c r="G112" s="4">
        <v>17.0</v>
      </c>
      <c r="H112" s="4">
        <v>0.81</v>
      </c>
      <c r="I112" s="11">
        <v>0.627</v>
      </c>
      <c r="J112" s="4">
        <v>1.13</v>
      </c>
      <c r="K112" s="18">
        <f t="array" ref="K112">IF(H112&lt;&gt;"",H112,IFERROR(G112/INDEX(Players!$M$2:$M$127,MATCH(B112,Players!$A$2:$A$127,0)),""))</f>
        <v>0.81</v>
      </c>
    </row>
    <row r="113" ht="15.75" customHeight="1">
      <c r="A113" s="4" t="s">
        <v>1784</v>
      </c>
      <c r="B113" s="4" t="s">
        <v>1355</v>
      </c>
      <c r="C113" s="4" t="s">
        <v>1356</v>
      </c>
      <c r="D113" s="4" t="s">
        <v>86</v>
      </c>
      <c r="E113" s="4" t="s">
        <v>276</v>
      </c>
      <c r="F113" s="4">
        <v>3.0</v>
      </c>
      <c r="G113" s="4">
        <v>10.3</v>
      </c>
      <c r="H113" s="4">
        <v>0.57</v>
      </c>
      <c r="I113" s="11">
        <v>0.452</v>
      </c>
      <c r="J113" s="4">
        <v>0.91</v>
      </c>
      <c r="K113" s="18">
        <f t="array" ref="K113">IF(H113&lt;&gt;"",H113,IFERROR(G113/INDEX(Players!$M$2:$M$127,MATCH(B113,Players!$A$2:$A$127,0)),""))</f>
        <v>0.57</v>
      </c>
    </row>
    <row r="114" ht="15.75" customHeight="1">
      <c r="A114" s="4" t="s">
        <v>1785</v>
      </c>
      <c r="B114" s="4" t="s">
        <v>1355</v>
      </c>
      <c r="C114" s="4" t="s">
        <v>1356</v>
      </c>
      <c r="D114" s="4" t="s">
        <v>86</v>
      </c>
      <c r="E114" s="4" t="s">
        <v>113</v>
      </c>
      <c r="F114" s="4">
        <v>3.0</v>
      </c>
      <c r="G114" s="4">
        <v>10.7</v>
      </c>
      <c r="H114" s="4">
        <v>0.58</v>
      </c>
      <c r="I114" s="11">
        <v>0.6559999999999999</v>
      </c>
      <c r="J114" s="4">
        <v>0.78</v>
      </c>
      <c r="K114" s="18">
        <f t="array" ref="K114">IF(H114&lt;&gt;"",H114,IFERROR(G114/INDEX(Players!$M$2:$M$127,MATCH(B114,Players!$A$2:$A$127,0)),""))</f>
        <v>0.58</v>
      </c>
    </row>
    <row r="115" ht="15.75" customHeight="1">
      <c r="A115" s="4" t="s">
        <v>1786</v>
      </c>
      <c r="B115" s="4" t="s">
        <v>1246</v>
      </c>
      <c r="C115" s="4" t="s">
        <v>1247</v>
      </c>
      <c r="D115" s="4" t="s">
        <v>86</v>
      </c>
      <c r="E115" s="4" t="s">
        <v>262</v>
      </c>
      <c r="F115" s="4">
        <v>10.0</v>
      </c>
      <c r="G115" s="4">
        <v>14.1</v>
      </c>
      <c r="H115" s="4">
        <v>0.73</v>
      </c>
      <c r="I115" s="11">
        <v>0.617</v>
      </c>
      <c r="J115" s="4">
        <v>1.12</v>
      </c>
      <c r="K115" s="18">
        <f t="array" ref="K115">IF(H115&lt;&gt;"",H115,IFERROR(G115/INDEX(Players!$M$2:$M$127,MATCH(B115,Players!$A$2:$A$127,0)),""))</f>
        <v>0.73</v>
      </c>
    </row>
    <row r="116" ht="15.75" customHeight="1">
      <c r="A116" s="4" t="s">
        <v>1788</v>
      </c>
      <c r="B116" s="4" t="s">
        <v>1246</v>
      </c>
      <c r="C116" s="4" t="s">
        <v>1247</v>
      </c>
      <c r="D116" s="4" t="s">
        <v>86</v>
      </c>
      <c r="E116" s="4" t="s">
        <v>276</v>
      </c>
      <c r="F116" s="4">
        <v>7.0</v>
      </c>
      <c r="G116" s="4">
        <v>12.1</v>
      </c>
      <c r="H116" s="4">
        <v>0.61</v>
      </c>
      <c r="I116" s="11">
        <v>0.5529999999999999</v>
      </c>
      <c r="J116" s="4">
        <v>0.98</v>
      </c>
      <c r="K116" s="18">
        <f t="array" ref="K116">IF(H116&lt;&gt;"",H116,IFERROR(G116/INDEX(Players!$M$2:$M$127,MATCH(B116,Players!$A$2:$A$127,0)),""))</f>
        <v>0.61</v>
      </c>
    </row>
    <row r="117" ht="15.75" customHeight="1">
      <c r="A117" s="4" t="s">
        <v>1789</v>
      </c>
      <c r="B117" s="4" t="s">
        <v>1246</v>
      </c>
      <c r="C117" s="4" t="s">
        <v>1247</v>
      </c>
      <c r="D117" s="4" t="s">
        <v>86</v>
      </c>
      <c r="E117" s="4" t="s">
        <v>250</v>
      </c>
      <c r="F117" s="4">
        <v>6.0</v>
      </c>
      <c r="G117" s="4">
        <v>16.2</v>
      </c>
      <c r="H117" s="4">
        <v>0.75</v>
      </c>
      <c r="I117" s="11">
        <v>0.526</v>
      </c>
      <c r="J117" s="4">
        <v>1.24</v>
      </c>
      <c r="K117" s="18">
        <f t="array" ref="K117">IF(H117&lt;&gt;"",H117,IFERROR(G117/INDEX(Players!$M$2:$M$127,MATCH(B117,Players!$A$2:$A$127,0)),""))</f>
        <v>0.75</v>
      </c>
    </row>
    <row r="118" ht="15.75" customHeight="1">
      <c r="A118" s="4" t="s">
        <v>1790</v>
      </c>
      <c r="B118" s="4" t="s">
        <v>1246</v>
      </c>
      <c r="C118" s="4" t="s">
        <v>1247</v>
      </c>
      <c r="D118" s="4" t="s">
        <v>86</v>
      </c>
      <c r="E118" s="4" t="s">
        <v>113</v>
      </c>
      <c r="F118" s="4">
        <v>4.0</v>
      </c>
      <c r="G118" s="4">
        <v>16.0</v>
      </c>
      <c r="H118" s="4">
        <v>0.94</v>
      </c>
      <c r="I118" s="11">
        <v>0.453</v>
      </c>
      <c r="J118" s="4">
        <v>1.42</v>
      </c>
      <c r="K118" s="18">
        <f t="array" ref="K118">IF(H118&lt;&gt;"",H118,IFERROR(G118/INDEX(Players!$M$2:$M$127,MATCH(B118,Players!$A$2:$A$127,0)),""))</f>
        <v>0.94</v>
      </c>
    </row>
    <row r="119" ht="15.75" customHeight="1">
      <c r="A119" s="4" t="s">
        <v>1792</v>
      </c>
      <c r="B119" s="4" t="s">
        <v>1246</v>
      </c>
      <c r="C119" s="4" t="s">
        <v>1247</v>
      </c>
      <c r="D119" s="4" t="s">
        <v>86</v>
      </c>
      <c r="E119" s="4" t="s">
        <v>270</v>
      </c>
      <c r="F119" s="4">
        <v>4.0</v>
      </c>
      <c r="G119" s="4">
        <v>12.0</v>
      </c>
      <c r="H119" s="4">
        <v>0.56</v>
      </c>
      <c r="I119" s="11">
        <v>0.542</v>
      </c>
      <c r="J119" s="4">
        <v>0.91</v>
      </c>
      <c r="K119" s="18">
        <f t="array" ref="K119">IF(H119&lt;&gt;"",H119,IFERROR(G119/INDEX(Players!$M$2:$M$127,MATCH(B119,Players!$A$2:$A$127,0)),""))</f>
        <v>0.56</v>
      </c>
    </row>
    <row r="120" ht="15.75" customHeight="1">
      <c r="A120" s="4" t="s">
        <v>1793</v>
      </c>
      <c r="B120" s="4" t="s">
        <v>1246</v>
      </c>
      <c r="C120" s="4" t="s">
        <v>1247</v>
      </c>
      <c r="D120" s="4" t="s">
        <v>86</v>
      </c>
      <c r="E120" s="4" t="s">
        <v>110</v>
      </c>
      <c r="F120" s="4">
        <v>2.0</v>
      </c>
      <c r="G120" s="4">
        <v>19.5</v>
      </c>
      <c r="H120" s="4">
        <v>0.68</v>
      </c>
      <c r="I120" s="11">
        <v>0.667</v>
      </c>
      <c r="J120" s="4">
        <v>1.05</v>
      </c>
      <c r="K120" s="18">
        <f t="array" ref="K120">IF(H120&lt;&gt;"",H120,IFERROR(G120/INDEX(Players!$M$2:$M$127,MATCH(B120,Players!$A$2:$A$127,0)),""))</f>
        <v>0.68</v>
      </c>
    </row>
    <row r="121" ht="15.75" customHeight="1">
      <c r="A121" s="4" t="s">
        <v>1796</v>
      </c>
      <c r="B121" s="4" t="s">
        <v>1441</v>
      </c>
      <c r="C121" s="4" t="s">
        <v>1442</v>
      </c>
      <c r="D121" s="4" t="s">
        <v>86</v>
      </c>
      <c r="E121" s="4" t="s">
        <v>276</v>
      </c>
      <c r="F121" s="4">
        <v>11.0</v>
      </c>
      <c r="G121" s="4">
        <v>13.3</v>
      </c>
      <c r="H121" s="4">
        <v>0.65</v>
      </c>
      <c r="I121" s="11">
        <v>0.404</v>
      </c>
      <c r="J121" s="4">
        <v>0.91</v>
      </c>
      <c r="K121" s="18">
        <f t="array" ref="K121">IF(H121&lt;&gt;"",H121,IFERROR(G121/INDEX(Players!$M$2:$M$127,MATCH(B121,Players!$A$2:$A$127,0)),""))</f>
        <v>0.65</v>
      </c>
    </row>
    <row r="122" ht="15.75" customHeight="1">
      <c r="A122" s="4" t="s">
        <v>1799</v>
      </c>
      <c r="B122" s="4" t="s">
        <v>1441</v>
      </c>
      <c r="C122" s="4" t="s">
        <v>1442</v>
      </c>
      <c r="D122" s="4" t="s">
        <v>86</v>
      </c>
      <c r="E122" s="4" t="s">
        <v>250</v>
      </c>
      <c r="F122" s="4">
        <v>9.0</v>
      </c>
      <c r="G122" s="4">
        <v>19.2</v>
      </c>
      <c r="H122" s="4">
        <v>0.82</v>
      </c>
      <c r="I122" s="11">
        <v>0.41</v>
      </c>
      <c r="J122" s="4">
        <v>1.3</v>
      </c>
      <c r="K122" s="18">
        <f t="array" ref="K122">IF(H122&lt;&gt;"",H122,IFERROR(G122/INDEX(Players!$M$2:$M$127,MATCH(B122,Players!$A$2:$A$127,0)),""))</f>
        <v>0.82</v>
      </c>
    </row>
    <row r="123" ht="15.75" customHeight="1">
      <c r="A123" s="4" t="s">
        <v>1800</v>
      </c>
      <c r="B123" s="4" t="s">
        <v>1441</v>
      </c>
      <c r="C123" s="4" t="s">
        <v>1442</v>
      </c>
      <c r="D123" s="4" t="s">
        <v>86</v>
      </c>
      <c r="E123" s="4" t="s">
        <v>110</v>
      </c>
      <c r="F123" s="4">
        <v>9.0</v>
      </c>
      <c r="G123" s="4">
        <v>14.9</v>
      </c>
      <c r="H123" s="4">
        <v>0.65</v>
      </c>
      <c r="I123" s="11">
        <v>0.56</v>
      </c>
      <c r="J123" s="4">
        <v>0.94</v>
      </c>
      <c r="K123" s="18">
        <f t="array" ref="K123">IF(H123&lt;&gt;"",H123,IFERROR(G123/INDEX(Players!$M$2:$M$127,MATCH(B123,Players!$A$2:$A$127,0)),""))</f>
        <v>0.65</v>
      </c>
    </row>
    <row r="124" ht="15.75" customHeight="1">
      <c r="A124" s="4" t="s">
        <v>1801</v>
      </c>
      <c r="B124" s="4" t="s">
        <v>1441</v>
      </c>
      <c r="C124" s="4" t="s">
        <v>1442</v>
      </c>
      <c r="D124" s="4" t="s">
        <v>86</v>
      </c>
      <c r="E124" s="4" t="s">
        <v>262</v>
      </c>
      <c r="F124" s="4">
        <v>4.0</v>
      </c>
      <c r="G124" s="4">
        <v>18.0</v>
      </c>
      <c r="H124" s="4">
        <v>0.75</v>
      </c>
      <c r="I124" s="11">
        <v>0.528</v>
      </c>
      <c r="J124" s="4">
        <v>1.13</v>
      </c>
      <c r="K124" s="18">
        <f t="array" ref="K124">IF(H124&lt;&gt;"",H124,IFERROR(G124/INDEX(Players!$M$2:$M$127,MATCH(B124,Players!$A$2:$A$127,0)),""))</f>
        <v>0.75</v>
      </c>
    </row>
    <row r="125" ht="15.75" customHeight="1">
      <c r="A125" s="4" t="s">
        <v>1802</v>
      </c>
      <c r="B125" s="4" t="s">
        <v>1441</v>
      </c>
      <c r="C125" s="4" t="s">
        <v>1442</v>
      </c>
      <c r="D125" s="4" t="s">
        <v>86</v>
      </c>
      <c r="E125" s="4" t="s">
        <v>270</v>
      </c>
      <c r="F125" s="4">
        <v>4.0</v>
      </c>
      <c r="G125" s="4">
        <v>12.3</v>
      </c>
      <c r="H125" s="4">
        <v>0.61</v>
      </c>
      <c r="I125" s="11">
        <v>0.469</v>
      </c>
      <c r="J125" s="4">
        <v>0.82</v>
      </c>
      <c r="K125" s="18">
        <f t="array" ref="K125">IF(H125&lt;&gt;"",H125,IFERROR(G125/INDEX(Players!$M$2:$M$127,MATCH(B125,Players!$A$2:$A$127,0)),""))</f>
        <v>0.61</v>
      </c>
    </row>
    <row r="126" ht="15.75" customHeight="1">
      <c r="A126" s="4" t="s">
        <v>1803</v>
      </c>
      <c r="B126" s="4" t="s">
        <v>1441</v>
      </c>
      <c r="C126" s="4" t="s">
        <v>1442</v>
      </c>
      <c r="D126" s="4" t="s">
        <v>86</v>
      </c>
      <c r="E126" s="4" t="s">
        <v>113</v>
      </c>
      <c r="F126" s="4">
        <v>2.0</v>
      </c>
      <c r="G126" s="4">
        <v>20.0</v>
      </c>
      <c r="H126" s="4">
        <v>1.0</v>
      </c>
      <c r="I126" s="11">
        <v>0.425</v>
      </c>
      <c r="J126" s="4">
        <v>1.82</v>
      </c>
      <c r="K126" s="18">
        <f t="array" ref="K126">IF(H126&lt;&gt;"",H126,IFERROR(G126/INDEX(Players!$M$2:$M$127,MATCH(B126,Players!$A$2:$A$127,0)),""))</f>
        <v>1</v>
      </c>
    </row>
    <row r="127" ht="15.75" customHeight="1">
      <c r="A127" s="4" t="s">
        <v>1804</v>
      </c>
      <c r="B127" s="4" t="s">
        <v>1531</v>
      </c>
      <c r="C127" s="4" t="s">
        <v>1532</v>
      </c>
      <c r="D127" s="4" t="s">
        <v>86</v>
      </c>
      <c r="E127" s="4" t="s">
        <v>250</v>
      </c>
      <c r="F127" s="4">
        <v>7.0</v>
      </c>
      <c r="G127" s="4">
        <v>20.1</v>
      </c>
      <c r="H127" s="4">
        <v>0.85</v>
      </c>
      <c r="I127" s="11">
        <v>0.5820000000000001</v>
      </c>
      <c r="J127" s="4">
        <v>1.22</v>
      </c>
      <c r="K127" s="18">
        <f t="array" ref="K127">IF(H127&lt;&gt;"",H127,IFERROR(G127/INDEX(Players!$M$2:$M$127,MATCH(B127,Players!$A$2:$A$127,0)),""))</f>
        <v>0.85</v>
      </c>
    </row>
    <row r="128" ht="15.75" customHeight="1">
      <c r="A128" s="4" t="s">
        <v>1805</v>
      </c>
      <c r="B128" s="4" t="s">
        <v>1531</v>
      </c>
      <c r="C128" s="4" t="s">
        <v>1532</v>
      </c>
      <c r="D128" s="4" t="s">
        <v>86</v>
      </c>
      <c r="E128" s="4" t="s">
        <v>113</v>
      </c>
      <c r="F128" s="4">
        <v>6.0</v>
      </c>
      <c r="G128" s="4">
        <v>18.3</v>
      </c>
      <c r="H128" s="4">
        <v>0.85</v>
      </c>
      <c r="I128" s="11">
        <v>0.527</v>
      </c>
      <c r="J128" s="4">
        <v>1.29</v>
      </c>
      <c r="K128" s="18">
        <f t="array" ref="K128">IF(H128&lt;&gt;"",H128,IFERROR(G128/INDEX(Players!$M$2:$M$127,MATCH(B128,Players!$A$2:$A$127,0)),""))</f>
        <v>0.85</v>
      </c>
    </row>
    <row r="129" ht="15.75" customHeight="1">
      <c r="A129" s="4" t="s">
        <v>1806</v>
      </c>
      <c r="B129" s="4" t="s">
        <v>1531</v>
      </c>
      <c r="C129" s="4" t="s">
        <v>1532</v>
      </c>
      <c r="D129" s="4" t="s">
        <v>86</v>
      </c>
      <c r="E129" s="4" t="s">
        <v>262</v>
      </c>
      <c r="F129" s="4">
        <v>6.0</v>
      </c>
      <c r="G129" s="4">
        <v>14.7</v>
      </c>
      <c r="H129" s="4">
        <v>0.72</v>
      </c>
      <c r="I129" s="11">
        <v>0.5</v>
      </c>
      <c r="J129" s="4">
        <v>0.96</v>
      </c>
      <c r="K129" s="18">
        <f t="array" ref="K129">IF(H129&lt;&gt;"",H129,IFERROR(G129/INDEX(Players!$M$2:$M$127,MATCH(B129,Players!$A$2:$A$127,0)),""))</f>
        <v>0.72</v>
      </c>
    </row>
    <row r="130" ht="15.75" customHeight="1">
      <c r="A130" s="4" t="s">
        <v>1807</v>
      </c>
      <c r="B130" s="4" t="s">
        <v>1531</v>
      </c>
      <c r="C130" s="4" t="s">
        <v>1532</v>
      </c>
      <c r="D130" s="4" t="s">
        <v>86</v>
      </c>
      <c r="E130" s="4" t="s">
        <v>270</v>
      </c>
      <c r="F130" s="4">
        <v>4.0</v>
      </c>
      <c r="G130" s="4">
        <v>16.8</v>
      </c>
      <c r="H130" s="4">
        <v>0.93</v>
      </c>
      <c r="I130" s="11">
        <v>0.5820000000000001</v>
      </c>
      <c r="J130" s="4">
        <v>1.76</v>
      </c>
      <c r="K130" s="18">
        <f t="array" ref="K130">IF(H130&lt;&gt;"",H130,IFERROR(G130/INDEX(Players!$M$2:$M$127,MATCH(B130,Players!$A$2:$A$127,0)),""))</f>
        <v>0.93</v>
      </c>
    </row>
    <row r="131" ht="15.75" customHeight="1">
      <c r="A131" s="4" t="s">
        <v>1808</v>
      </c>
      <c r="B131" s="4" t="s">
        <v>1531</v>
      </c>
      <c r="C131" s="4" t="s">
        <v>1532</v>
      </c>
      <c r="D131" s="4" t="s">
        <v>86</v>
      </c>
      <c r="E131" s="4" t="s">
        <v>276</v>
      </c>
      <c r="F131" s="4">
        <v>4.0</v>
      </c>
      <c r="G131" s="4">
        <v>13.0</v>
      </c>
      <c r="H131" s="4">
        <v>0.68</v>
      </c>
      <c r="I131" s="11">
        <v>0.596</v>
      </c>
      <c r="J131" s="4">
        <v>0.93</v>
      </c>
      <c r="K131" s="18">
        <f t="array" ref="K131">IF(H131&lt;&gt;"",H131,IFERROR(G131/INDEX(Players!$M$2:$M$127,MATCH(B131,Players!$A$2:$A$127,0)),""))</f>
        <v>0.68</v>
      </c>
    </row>
    <row r="132" ht="15.75" customHeight="1">
      <c r="A132" s="4" t="s">
        <v>1809</v>
      </c>
      <c r="B132" s="4" t="s">
        <v>1531</v>
      </c>
      <c r="C132" s="4" t="s">
        <v>1532</v>
      </c>
      <c r="D132" s="4" t="s">
        <v>86</v>
      </c>
      <c r="E132" s="4" t="s">
        <v>112</v>
      </c>
      <c r="F132" s="4">
        <v>3.0</v>
      </c>
      <c r="G132" s="4">
        <v>15.3</v>
      </c>
      <c r="H132" s="4">
        <v>0.77</v>
      </c>
      <c r="I132" s="11">
        <v>0.63</v>
      </c>
      <c r="J132" s="4">
        <v>1.35</v>
      </c>
      <c r="K132" s="18">
        <f t="array" ref="K132">IF(H132&lt;&gt;"",H132,IFERROR(G132/INDEX(Players!$M$2:$M$127,MATCH(B132,Players!$A$2:$A$127,0)),""))</f>
        <v>0.77</v>
      </c>
    </row>
    <row r="133" ht="15.75" customHeight="1">
      <c r="A133" s="4" t="s">
        <v>1810</v>
      </c>
      <c r="B133" s="4" t="s">
        <v>1531</v>
      </c>
      <c r="C133" s="4" t="s">
        <v>1532</v>
      </c>
      <c r="D133" s="4" t="s">
        <v>86</v>
      </c>
      <c r="E133" s="4" t="s">
        <v>110</v>
      </c>
      <c r="F133" s="4">
        <v>1.0</v>
      </c>
      <c r="G133" s="4">
        <v>16.0</v>
      </c>
      <c r="H133" s="4">
        <v>0.7</v>
      </c>
      <c r="I133" s="11">
        <v>0.938</v>
      </c>
      <c r="J133" s="4">
        <v>0.89</v>
      </c>
      <c r="K133" s="18">
        <f t="array" ref="K133">IF(H133&lt;&gt;"",H133,IFERROR(G133/INDEX(Players!$M$2:$M$127,MATCH(B133,Players!$A$2:$A$127,0)),""))</f>
        <v>0.7</v>
      </c>
    </row>
    <row r="134" ht="15.75" customHeight="1">
      <c r="A134" s="4" t="s">
        <v>1811</v>
      </c>
      <c r="B134" s="4" t="s">
        <v>1326</v>
      </c>
      <c r="C134" s="4" t="s">
        <v>1327</v>
      </c>
      <c r="D134" s="4" t="s">
        <v>86</v>
      </c>
      <c r="E134" s="4" t="s">
        <v>112</v>
      </c>
      <c r="F134" s="4">
        <v>8.0</v>
      </c>
      <c r="G134" s="4">
        <v>16.9</v>
      </c>
      <c r="H134" s="4">
        <v>0.71</v>
      </c>
      <c r="I134" s="11">
        <v>0.526</v>
      </c>
      <c r="J134" s="4">
        <v>1.05</v>
      </c>
      <c r="K134" s="18">
        <f t="array" ref="K134">IF(H134&lt;&gt;"",H134,IFERROR(G134/INDEX(Players!$M$2:$M$127,MATCH(B134,Players!$A$2:$A$127,0)),""))</f>
        <v>0.71</v>
      </c>
    </row>
    <row r="135" ht="15.75" customHeight="1">
      <c r="A135" s="4" t="s">
        <v>1812</v>
      </c>
      <c r="B135" s="4" t="s">
        <v>1326</v>
      </c>
      <c r="C135" s="4" t="s">
        <v>1327</v>
      </c>
      <c r="D135" s="4" t="s">
        <v>86</v>
      </c>
      <c r="E135" s="4" t="s">
        <v>262</v>
      </c>
      <c r="F135" s="4">
        <v>7.0</v>
      </c>
      <c r="G135" s="4">
        <v>15.0</v>
      </c>
      <c r="H135" s="4">
        <v>0.71</v>
      </c>
      <c r="I135" s="11">
        <v>0.5429999999999999</v>
      </c>
      <c r="J135" s="4">
        <v>1.06</v>
      </c>
      <c r="K135" s="18">
        <f t="array" ref="K135">IF(H135&lt;&gt;"",H135,IFERROR(G135/INDEX(Players!$M$2:$M$127,MATCH(B135,Players!$A$2:$A$127,0)),""))</f>
        <v>0.71</v>
      </c>
    </row>
    <row r="136" ht="15.75" customHeight="1">
      <c r="A136" s="4" t="s">
        <v>1813</v>
      </c>
      <c r="B136" s="4" t="s">
        <v>1326</v>
      </c>
      <c r="C136" s="4" t="s">
        <v>1327</v>
      </c>
      <c r="D136" s="4" t="s">
        <v>86</v>
      </c>
      <c r="E136" s="4" t="s">
        <v>110</v>
      </c>
      <c r="F136" s="4">
        <v>6.0</v>
      </c>
      <c r="G136" s="4">
        <v>19.0</v>
      </c>
      <c r="H136" s="4">
        <v>0.84</v>
      </c>
      <c r="I136" s="11">
        <v>0.465</v>
      </c>
      <c r="J136" s="4">
        <v>1.24</v>
      </c>
      <c r="K136" s="18">
        <f t="array" ref="K136">IF(H136&lt;&gt;"",H136,IFERROR(G136/INDEX(Players!$M$2:$M$127,MATCH(B136,Players!$A$2:$A$127,0)),""))</f>
        <v>0.84</v>
      </c>
    </row>
    <row r="137" ht="15.75" customHeight="1">
      <c r="A137" s="4" t="s">
        <v>1814</v>
      </c>
      <c r="B137" s="4" t="s">
        <v>1326</v>
      </c>
      <c r="C137" s="4" t="s">
        <v>1327</v>
      </c>
      <c r="D137" s="4" t="s">
        <v>86</v>
      </c>
      <c r="E137" s="4" t="s">
        <v>250</v>
      </c>
      <c r="F137" s="4">
        <v>6.0</v>
      </c>
      <c r="G137" s="4">
        <v>13.5</v>
      </c>
      <c r="H137" s="4">
        <v>0.62</v>
      </c>
      <c r="I137" s="11">
        <v>0.519</v>
      </c>
      <c r="J137" s="4">
        <v>0.81</v>
      </c>
      <c r="K137" s="18">
        <f t="array" ref="K137">IF(H137&lt;&gt;"",H137,IFERROR(G137/INDEX(Players!$M$2:$M$127,MATCH(B137,Players!$A$2:$A$127,0)),""))</f>
        <v>0.62</v>
      </c>
    </row>
    <row r="138" ht="15.75" customHeight="1">
      <c r="A138" s="4" t="s">
        <v>1815</v>
      </c>
      <c r="B138" s="4" t="s">
        <v>1326</v>
      </c>
      <c r="C138" s="4" t="s">
        <v>1327</v>
      </c>
      <c r="D138" s="4" t="s">
        <v>86</v>
      </c>
      <c r="E138" s="4" t="s">
        <v>113</v>
      </c>
      <c r="F138" s="4">
        <v>5.0</v>
      </c>
      <c r="G138" s="4">
        <v>14.2</v>
      </c>
      <c r="H138" s="4">
        <v>0.7</v>
      </c>
      <c r="I138" s="11">
        <v>0.507</v>
      </c>
      <c r="J138" s="4">
        <v>1.0</v>
      </c>
      <c r="K138" s="18">
        <f t="array" ref="K138">IF(H138&lt;&gt;"",H138,IFERROR(G138/INDEX(Players!$M$2:$M$127,MATCH(B138,Players!$A$2:$A$127,0)),""))</f>
        <v>0.7</v>
      </c>
    </row>
    <row r="139" ht="15.75" customHeight="1">
      <c r="A139" s="4" t="s">
        <v>1816</v>
      </c>
      <c r="B139" s="4" t="s">
        <v>1326</v>
      </c>
      <c r="C139" s="4" t="s">
        <v>1327</v>
      </c>
      <c r="D139" s="4" t="s">
        <v>86</v>
      </c>
      <c r="E139" s="4" t="s">
        <v>276</v>
      </c>
      <c r="F139" s="4">
        <v>2.0</v>
      </c>
      <c r="G139" s="4">
        <v>19.5</v>
      </c>
      <c r="H139" s="4">
        <v>1.08</v>
      </c>
      <c r="I139" s="11">
        <v>0.6920000000000001</v>
      </c>
      <c r="J139" s="4">
        <v>2.29</v>
      </c>
      <c r="K139" s="18">
        <f t="array" ref="K139">IF(H139&lt;&gt;"",H139,IFERROR(G139/INDEX(Players!$M$2:$M$127,MATCH(B139,Players!$A$2:$A$127,0)),""))</f>
        <v>1.08</v>
      </c>
    </row>
    <row r="140" ht="15.75" customHeight="1">
      <c r="A140" s="4" t="s">
        <v>1817</v>
      </c>
      <c r="B140" s="4" t="s">
        <v>1375</v>
      </c>
      <c r="C140" s="4" t="s">
        <v>1376</v>
      </c>
      <c r="D140" s="4" t="s">
        <v>86</v>
      </c>
      <c r="E140" s="4" t="s">
        <v>110</v>
      </c>
      <c r="F140" s="4">
        <v>8.0</v>
      </c>
      <c r="G140" s="4">
        <v>11.9</v>
      </c>
      <c r="H140" s="4">
        <v>0.6</v>
      </c>
      <c r="I140" s="11">
        <v>0.411</v>
      </c>
      <c r="J140" s="4">
        <v>0.9</v>
      </c>
      <c r="K140" s="18">
        <f t="array" ref="K140">IF(H140&lt;&gt;"",H140,IFERROR(G140/INDEX(Players!$M$2:$M$127,MATCH(B140,Players!$A$2:$A$127,0)),""))</f>
        <v>0.6</v>
      </c>
    </row>
    <row r="141" ht="15.75" customHeight="1">
      <c r="A141" s="4" t="s">
        <v>1818</v>
      </c>
      <c r="B141" s="4" t="s">
        <v>1375</v>
      </c>
      <c r="C141" s="4" t="s">
        <v>1376</v>
      </c>
      <c r="D141" s="4" t="s">
        <v>86</v>
      </c>
      <c r="E141" s="4" t="s">
        <v>113</v>
      </c>
      <c r="F141" s="4">
        <v>8.0</v>
      </c>
      <c r="G141" s="4">
        <v>13.1</v>
      </c>
      <c r="H141" s="4">
        <v>0.58</v>
      </c>
      <c r="I141" s="11">
        <v>0.39</v>
      </c>
      <c r="J141" s="4">
        <v>0.83</v>
      </c>
      <c r="K141" s="18">
        <f t="array" ref="K141">IF(H141&lt;&gt;"",H141,IFERROR(G141/INDEX(Players!$M$2:$M$127,MATCH(B141,Players!$A$2:$A$127,0)),""))</f>
        <v>0.58</v>
      </c>
    </row>
    <row r="142" ht="15.75" customHeight="1">
      <c r="A142" s="4" t="s">
        <v>1819</v>
      </c>
      <c r="B142" s="4" t="s">
        <v>1375</v>
      </c>
      <c r="C142" s="4" t="s">
        <v>1376</v>
      </c>
      <c r="D142" s="4" t="s">
        <v>86</v>
      </c>
      <c r="E142" s="4" t="s">
        <v>270</v>
      </c>
      <c r="F142" s="4">
        <v>7.0</v>
      </c>
      <c r="G142" s="4">
        <v>10.0</v>
      </c>
      <c r="H142" s="4">
        <v>0.47</v>
      </c>
      <c r="I142" s="11">
        <v>0.5</v>
      </c>
      <c r="J142" s="4">
        <v>0.63</v>
      </c>
      <c r="K142" s="18">
        <f t="array" ref="K142">IF(H142&lt;&gt;"",H142,IFERROR(G142/INDEX(Players!$M$2:$M$127,MATCH(B142,Players!$A$2:$A$127,0)),""))</f>
        <v>0.47</v>
      </c>
    </row>
    <row r="143" ht="15.75" customHeight="1">
      <c r="A143" s="4" t="s">
        <v>1820</v>
      </c>
      <c r="B143" s="4" t="s">
        <v>1375</v>
      </c>
      <c r="C143" s="4" t="s">
        <v>1376</v>
      </c>
      <c r="D143" s="4" t="s">
        <v>86</v>
      </c>
      <c r="E143" s="4" t="s">
        <v>276</v>
      </c>
      <c r="F143" s="4">
        <v>5.0</v>
      </c>
      <c r="G143" s="4">
        <v>13.2</v>
      </c>
      <c r="H143" s="4">
        <v>0.62</v>
      </c>
      <c r="I143" s="11">
        <v>0.515</v>
      </c>
      <c r="J143" s="4">
        <v>0.78</v>
      </c>
      <c r="K143" s="18">
        <f t="array" ref="K143">IF(H143&lt;&gt;"",H143,IFERROR(G143/INDEX(Players!$M$2:$M$127,MATCH(B143,Players!$A$2:$A$127,0)),""))</f>
        <v>0.62</v>
      </c>
    </row>
    <row r="144" ht="15.75" customHeight="1">
      <c r="A144" s="4" t="s">
        <v>1821</v>
      </c>
      <c r="B144" s="4" t="s">
        <v>1375</v>
      </c>
      <c r="C144" s="4" t="s">
        <v>1376</v>
      </c>
      <c r="D144" s="4" t="s">
        <v>86</v>
      </c>
      <c r="E144" s="4" t="s">
        <v>250</v>
      </c>
      <c r="F144" s="4">
        <v>5.0</v>
      </c>
      <c r="G144" s="4">
        <v>11.4</v>
      </c>
      <c r="H144" s="4">
        <v>0.52</v>
      </c>
      <c r="I144" s="11">
        <v>0.351</v>
      </c>
      <c r="J144" s="4">
        <v>0.75</v>
      </c>
      <c r="K144" s="18">
        <f t="array" ref="K144">IF(H144&lt;&gt;"",H144,IFERROR(G144/INDEX(Players!$M$2:$M$127,MATCH(B144,Players!$A$2:$A$127,0)),""))</f>
        <v>0.52</v>
      </c>
    </row>
    <row r="145" ht="15.75" customHeight="1">
      <c r="A145" s="4" t="s">
        <v>1822</v>
      </c>
      <c r="B145" s="4" t="s">
        <v>1375</v>
      </c>
      <c r="C145" s="4" t="s">
        <v>1376</v>
      </c>
      <c r="D145" s="4" t="s">
        <v>86</v>
      </c>
      <c r="E145" s="4" t="s">
        <v>112</v>
      </c>
      <c r="F145" s="4">
        <v>3.0</v>
      </c>
      <c r="G145" s="4">
        <v>16.0</v>
      </c>
      <c r="H145" s="4">
        <v>0.7</v>
      </c>
      <c r="I145" s="11">
        <v>0.458</v>
      </c>
      <c r="J145" s="4">
        <v>1.14</v>
      </c>
      <c r="K145" s="18">
        <f t="array" ref="K145">IF(H145&lt;&gt;"",H145,IFERROR(G145/INDEX(Players!$M$2:$M$127,MATCH(B145,Players!$A$2:$A$127,0)),""))</f>
        <v>0.7</v>
      </c>
    </row>
    <row r="146" ht="15.75" customHeight="1">
      <c r="A146" s="4" t="s">
        <v>1823</v>
      </c>
      <c r="B146" s="4" t="s">
        <v>1387</v>
      </c>
      <c r="C146" s="4" t="s">
        <v>1388</v>
      </c>
      <c r="D146" s="4" t="s">
        <v>86</v>
      </c>
      <c r="E146" s="4" t="s">
        <v>110</v>
      </c>
      <c r="F146" s="4">
        <v>9.0</v>
      </c>
      <c r="G146" s="4">
        <v>20.4</v>
      </c>
      <c r="H146" s="4">
        <v>0.83</v>
      </c>
      <c r="I146" s="11">
        <v>0.5920000000000001</v>
      </c>
      <c r="J146" s="4">
        <v>1.27</v>
      </c>
      <c r="K146" s="18">
        <f t="array" ref="K146">IF(H146&lt;&gt;"",H146,IFERROR(G146/INDEX(Players!$M$2:$M$127,MATCH(B146,Players!$A$2:$A$127,0)),""))</f>
        <v>0.83</v>
      </c>
    </row>
    <row r="147" ht="15.75" customHeight="1">
      <c r="A147" s="4" t="s">
        <v>1824</v>
      </c>
      <c r="B147" s="4" t="s">
        <v>1387</v>
      </c>
      <c r="C147" s="4" t="s">
        <v>1388</v>
      </c>
      <c r="D147" s="4" t="s">
        <v>86</v>
      </c>
      <c r="E147" s="4" t="s">
        <v>113</v>
      </c>
      <c r="F147" s="4">
        <v>7.0</v>
      </c>
      <c r="G147" s="4">
        <v>17.1</v>
      </c>
      <c r="H147" s="4">
        <v>0.69</v>
      </c>
      <c r="I147" s="11">
        <v>0.667</v>
      </c>
      <c r="J147" s="4">
        <v>1.0</v>
      </c>
      <c r="K147" s="18">
        <f t="array" ref="K147">IF(H147&lt;&gt;"",H147,IFERROR(G147/INDEX(Players!$M$2:$M$127,MATCH(B147,Players!$A$2:$A$127,0)),""))</f>
        <v>0.69</v>
      </c>
    </row>
    <row r="148" ht="15.75" customHeight="1">
      <c r="A148" s="4" t="s">
        <v>1827</v>
      </c>
      <c r="B148" s="4" t="s">
        <v>1387</v>
      </c>
      <c r="C148" s="4" t="s">
        <v>1388</v>
      </c>
      <c r="D148" s="4" t="s">
        <v>86</v>
      </c>
      <c r="E148" s="4" t="s">
        <v>250</v>
      </c>
      <c r="F148" s="4">
        <v>6.0</v>
      </c>
      <c r="G148" s="4">
        <v>17.2</v>
      </c>
      <c r="H148" s="4">
        <v>0.77</v>
      </c>
      <c r="I148" s="11">
        <v>0.65</v>
      </c>
      <c r="J148" s="4">
        <v>1.13</v>
      </c>
      <c r="K148" s="18">
        <f t="array" ref="K148">IF(H148&lt;&gt;"",H148,IFERROR(G148/INDEX(Players!$M$2:$M$127,MATCH(B148,Players!$A$2:$A$127,0)),""))</f>
        <v>0.77</v>
      </c>
    </row>
    <row r="149" ht="15.75" customHeight="1">
      <c r="A149" s="4" t="s">
        <v>1832</v>
      </c>
      <c r="B149" s="4" t="s">
        <v>1387</v>
      </c>
      <c r="C149" s="4" t="s">
        <v>1388</v>
      </c>
      <c r="D149" s="4" t="s">
        <v>86</v>
      </c>
      <c r="E149" s="4" t="s">
        <v>262</v>
      </c>
      <c r="F149" s="4">
        <v>4.0</v>
      </c>
      <c r="G149" s="4">
        <v>18.5</v>
      </c>
      <c r="H149" s="4">
        <v>0.86</v>
      </c>
      <c r="I149" s="11">
        <v>0.581</v>
      </c>
      <c r="J149" s="4">
        <v>1.4</v>
      </c>
      <c r="K149" s="18">
        <f t="array" ref="K149">IF(H149&lt;&gt;"",H149,IFERROR(G149/INDEX(Players!$M$2:$M$127,MATCH(B149,Players!$A$2:$A$127,0)),""))</f>
        <v>0.86</v>
      </c>
    </row>
    <row r="150" ht="15.75" customHeight="1">
      <c r="A150" s="4" t="s">
        <v>1838</v>
      </c>
      <c r="B150" s="4" t="s">
        <v>1387</v>
      </c>
      <c r="C150" s="4" t="s">
        <v>1388</v>
      </c>
      <c r="D150" s="4" t="s">
        <v>86</v>
      </c>
      <c r="E150" s="4" t="s">
        <v>276</v>
      </c>
      <c r="F150" s="4">
        <v>4.0</v>
      </c>
      <c r="G150" s="4">
        <v>13.3</v>
      </c>
      <c r="H150" s="4">
        <v>0.66</v>
      </c>
      <c r="I150" s="11">
        <v>0.66</v>
      </c>
      <c r="J150" s="4">
        <v>0.9</v>
      </c>
      <c r="K150" s="18">
        <f t="array" ref="K150">IF(H150&lt;&gt;"",H150,IFERROR(G150/INDEX(Players!$M$2:$M$127,MATCH(B150,Players!$A$2:$A$127,0)),""))</f>
        <v>0.66</v>
      </c>
    </row>
    <row r="151" ht="15.75" customHeight="1">
      <c r="A151" s="4" t="s">
        <v>1839</v>
      </c>
      <c r="B151" s="4" t="s">
        <v>1387</v>
      </c>
      <c r="C151" s="4" t="s">
        <v>1388</v>
      </c>
      <c r="D151" s="4" t="s">
        <v>86</v>
      </c>
      <c r="E151" s="4" t="s">
        <v>270</v>
      </c>
      <c r="F151" s="4">
        <v>1.0</v>
      </c>
      <c r="G151" s="4">
        <v>12.0</v>
      </c>
      <c r="H151" s="4">
        <v>0.57</v>
      </c>
      <c r="I151" s="11">
        <v>0.583</v>
      </c>
      <c r="J151" s="4">
        <v>1.0</v>
      </c>
      <c r="K151" s="18">
        <f t="array" ref="K151">IF(H151&lt;&gt;"",H151,IFERROR(G151/INDEX(Players!$M$2:$M$127,MATCH(B151,Players!$A$2:$A$127,0)),""))</f>
        <v>0.57</v>
      </c>
    </row>
    <row r="152" ht="15.75" customHeight="1">
      <c r="A152" s="4" t="s">
        <v>1840</v>
      </c>
      <c r="B152" s="4" t="s">
        <v>1508</v>
      </c>
      <c r="C152" s="4" t="s">
        <v>1509</v>
      </c>
      <c r="D152" s="4" t="s">
        <v>86</v>
      </c>
      <c r="E152" s="4" t="s">
        <v>112</v>
      </c>
      <c r="F152" s="4">
        <v>9.0</v>
      </c>
      <c r="G152" s="4">
        <v>15.4</v>
      </c>
      <c r="H152" s="4">
        <v>0.89</v>
      </c>
      <c r="I152" s="11">
        <v>0.532</v>
      </c>
      <c r="J152" s="4">
        <v>1.48</v>
      </c>
      <c r="K152" s="18">
        <f t="array" ref="K152">IF(H152&lt;&gt;"",H152,IFERROR(G152/INDEX(Players!$M$2:$M$127,MATCH(B152,Players!$A$2:$A$127,0)),""))</f>
        <v>0.89</v>
      </c>
    </row>
    <row r="153" ht="15.75" customHeight="1">
      <c r="A153" s="4" t="s">
        <v>1841</v>
      </c>
      <c r="B153" s="4" t="s">
        <v>1508</v>
      </c>
      <c r="C153" s="4" t="s">
        <v>1509</v>
      </c>
      <c r="D153" s="4" t="s">
        <v>86</v>
      </c>
      <c r="E153" s="4" t="s">
        <v>276</v>
      </c>
      <c r="F153" s="4">
        <v>9.0</v>
      </c>
      <c r="G153" s="4">
        <v>17.9</v>
      </c>
      <c r="H153" s="4">
        <v>0.79</v>
      </c>
      <c r="I153" s="11">
        <v>0.472</v>
      </c>
      <c r="J153" s="4">
        <v>1.16</v>
      </c>
      <c r="K153" s="18">
        <f t="array" ref="K153">IF(H153&lt;&gt;"",H153,IFERROR(G153/INDEX(Players!$M$2:$M$127,MATCH(B153,Players!$A$2:$A$127,0)),""))</f>
        <v>0.79</v>
      </c>
    </row>
    <row r="154" ht="15.75" customHeight="1">
      <c r="A154" s="4" t="s">
        <v>1842</v>
      </c>
      <c r="B154" s="4" t="s">
        <v>1508</v>
      </c>
      <c r="C154" s="4" t="s">
        <v>1509</v>
      </c>
      <c r="D154" s="4" t="s">
        <v>86</v>
      </c>
      <c r="E154" s="4" t="s">
        <v>262</v>
      </c>
      <c r="F154" s="4">
        <v>6.0</v>
      </c>
      <c r="G154" s="4">
        <v>13.7</v>
      </c>
      <c r="H154" s="4">
        <v>0.6</v>
      </c>
      <c r="I154" s="11">
        <v>0.5489999999999999</v>
      </c>
      <c r="J154" s="4">
        <v>0.89</v>
      </c>
      <c r="K154" s="18">
        <f t="array" ref="K154">IF(H154&lt;&gt;"",H154,IFERROR(G154/INDEX(Players!$M$2:$M$127,MATCH(B154,Players!$A$2:$A$127,0)),""))</f>
        <v>0.6</v>
      </c>
    </row>
    <row r="155" ht="15.75" customHeight="1">
      <c r="A155" s="4" t="s">
        <v>1844</v>
      </c>
      <c r="B155" s="4" t="s">
        <v>1508</v>
      </c>
      <c r="C155" s="4" t="s">
        <v>1509</v>
      </c>
      <c r="D155" s="4" t="s">
        <v>86</v>
      </c>
      <c r="E155" s="4" t="s">
        <v>110</v>
      </c>
      <c r="F155" s="4">
        <v>5.0</v>
      </c>
      <c r="G155" s="4">
        <v>14.6</v>
      </c>
      <c r="H155" s="4">
        <v>0.62</v>
      </c>
      <c r="I155" s="11">
        <v>0.589</v>
      </c>
      <c r="J155" s="4">
        <v>0.85</v>
      </c>
      <c r="K155" s="18">
        <f t="array" ref="K155">IF(H155&lt;&gt;"",H155,IFERROR(G155/INDEX(Players!$M$2:$M$127,MATCH(B155,Players!$A$2:$A$127,0)),""))</f>
        <v>0.62</v>
      </c>
    </row>
    <row r="156" ht="15.75" customHeight="1">
      <c r="A156" s="4" t="s">
        <v>1845</v>
      </c>
      <c r="B156" s="4" t="s">
        <v>1508</v>
      </c>
      <c r="C156" s="4" t="s">
        <v>1509</v>
      </c>
      <c r="D156" s="4" t="s">
        <v>86</v>
      </c>
      <c r="E156" s="4" t="s">
        <v>270</v>
      </c>
      <c r="F156" s="4">
        <v>4.0</v>
      </c>
      <c r="G156" s="4">
        <v>15.5</v>
      </c>
      <c r="H156" s="4">
        <v>0.79</v>
      </c>
      <c r="I156" s="11">
        <v>0.5479999999999999</v>
      </c>
      <c r="J156" s="4">
        <v>1.29</v>
      </c>
      <c r="K156" s="18">
        <f t="array" ref="K156">IF(H156&lt;&gt;"",H156,IFERROR(G156/INDEX(Players!$M$2:$M$127,MATCH(B156,Players!$A$2:$A$127,0)),""))</f>
        <v>0.79</v>
      </c>
    </row>
    <row r="157" ht="15.75" customHeight="1">
      <c r="A157" s="4" t="s">
        <v>1847</v>
      </c>
      <c r="B157" s="4" t="s">
        <v>1508</v>
      </c>
      <c r="C157" s="4" t="s">
        <v>1509</v>
      </c>
      <c r="D157" s="4" t="s">
        <v>86</v>
      </c>
      <c r="E157" s="4" t="s">
        <v>250</v>
      </c>
      <c r="F157" s="4">
        <v>2.0</v>
      </c>
      <c r="G157" s="4">
        <v>11.5</v>
      </c>
      <c r="H157" s="4">
        <v>0.62</v>
      </c>
      <c r="I157" s="11">
        <v>0.478</v>
      </c>
      <c r="J157" s="4">
        <v>0.92</v>
      </c>
      <c r="K157" s="18">
        <f t="array" ref="K157">IF(H157&lt;&gt;"",H157,IFERROR(G157/INDEX(Players!$M$2:$M$127,MATCH(B157,Players!$A$2:$A$127,0)),""))</f>
        <v>0.62</v>
      </c>
    </row>
    <row r="158" ht="15.75" customHeight="1">
      <c r="A158" s="4" t="s">
        <v>1848</v>
      </c>
      <c r="B158" s="4" t="s">
        <v>1508</v>
      </c>
      <c r="C158" s="4" t="s">
        <v>1509</v>
      </c>
      <c r="D158" s="4" t="s">
        <v>86</v>
      </c>
      <c r="E158" s="4" t="s">
        <v>113</v>
      </c>
      <c r="F158" s="4">
        <v>1.0</v>
      </c>
      <c r="G158" s="4">
        <v>13.0</v>
      </c>
      <c r="H158" s="4">
        <v>0.68</v>
      </c>
      <c r="I158" s="11">
        <v>0.462</v>
      </c>
      <c r="J158" s="4">
        <v>1.18</v>
      </c>
      <c r="K158" s="18">
        <f t="array" ref="K158">IF(H158&lt;&gt;"",H158,IFERROR(G158/INDEX(Players!$M$2:$M$127,MATCH(B158,Players!$A$2:$A$127,0)),""))</f>
        <v>0.68</v>
      </c>
    </row>
    <row r="159" ht="15.75" customHeight="1">
      <c r="A159" s="4" t="s">
        <v>1849</v>
      </c>
      <c r="B159" s="4" t="s">
        <v>1175</v>
      </c>
      <c r="C159" s="4" t="s">
        <v>945</v>
      </c>
      <c r="D159" s="4" t="s">
        <v>86</v>
      </c>
      <c r="E159" s="4" t="s">
        <v>250</v>
      </c>
      <c r="F159" s="4">
        <v>6.0</v>
      </c>
      <c r="G159" s="4">
        <v>12.5</v>
      </c>
      <c r="H159" s="4">
        <v>0.61</v>
      </c>
      <c r="I159" s="11">
        <v>0.48</v>
      </c>
      <c r="J159" s="4">
        <v>0.85</v>
      </c>
      <c r="K159" s="18">
        <f t="array" ref="K159">IF(H159&lt;&gt;"",H159,IFERROR(G159/INDEX(Players!$M$2:$M$127,MATCH(B159,Players!$A$2:$A$127,0)),""))</f>
        <v>0.61</v>
      </c>
    </row>
    <row r="160" ht="15.75" customHeight="1">
      <c r="A160" s="4" t="s">
        <v>1850</v>
      </c>
      <c r="B160" s="4" t="s">
        <v>1175</v>
      </c>
      <c r="C160" s="4" t="s">
        <v>945</v>
      </c>
      <c r="D160" s="4" t="s">
        <v>86</v>
      </c>
      <c r="E160" s="4" t="s">
        <v>276</v>
      </c>
      <c r="F160" s="4">
        <v>5.0</v>
      </c>
      <c r="G160" s="4">
        <v>11.0</v>
      </c>
      <c r="H160" s="4">
        <v>0.59</v>
      </c>
      <c r="I160" s="11">
        <v>0.436</v>
      </c>
      <c r="J160" s="4">
        <v>1.0</v>
      </c>
      <c r="K160" s="18">
        <f t="array" ref="K160">IF(H160&lt;&gt;"",H160,IFERROR(G160/INDEX(Players!$M$2:$M$127,MATCH(B160,Players!$A$2:$A$127,0)),""))</f>
        <v>0.59</v>
      </c>
    </row>
    <row r="161" ht="15.75" customHeight="1">
      <c r="A161" s="4" t="s">
        <v>1851</v>
      </c>
      <c r="B161" s="4" t="s">
        <v>1175</v>
      </c>
      <c r="C161" s="4" t="s">
        <v>945</v>
      </c>
      <c r="D161" s="4" t="s">
        <v>86</v>
      </c>
      <c r="E161" s="4" t="s">
        <v>270</v>
      </c>
      <c r="F161" s="4">
        <v>5.0</v>
      </c>
      <c r="G161" s="4">
        <v>16.8</v>
      </c>
      <c r="H161" s="4">
        <v>0.71</v>
      </c>
      <c r="I161" s="11">
        <v>0.631</v>
      </c>
      <c r="J161" s="4">
        <v>0.92</v>
      </c>
      <c r="K161" s="18">
        <f t="array" ref="K161">IF(H161&lt;&gt;"",H161,IFERROR(G161/INDEX(Players!$M$2:$M$127,MATCH(B161,Players!$A$2:$A$127,0)),""))</f>
        <v>0.71</v>
      </c>
    </row>
    <row r="162" ht="15.75" customHeight="1">
      <c r="A162" s="4" t="s">
        <v>1852</v>
      </c>
      <c r="B162" s="4" t="s">
        <v>1175</v>
      </c>
      <c r="C162" s="4" t="s">
        <v>945</v>
      </c>
      <c r="D162" s="4" t="s">
        <v>86</v>
      </c>
      <c r="E162" s="4" t="s">
        <v>110</v>
      </c>
      <c r="F162" s="4">
        <v>5.0</v>
      </c>
      <c r="G162" s="4">
        <v>11.6</v>
      </c>
      <c r="H162" s="4">
        <v>0.55</v>
      </c>
      <c r="I162" s="11">
        <v>0.466</v>
      </c>
      <c r="J162" s="4">
        <v>0.76</v>
      </c>
      <c r="K162" s="18">
        <f t="array" ref="K162">IF(H162&lt;&gt;"",H162,IFERROR(G162/INDEX(Players!$M$2:$M$127,MATCH(B162,Players!$A$2:$A$127,0)),""))</f>
        <v>0.55</v>
      </c>
    </row>
    <row r="163" ht="15.75" customHeight="1">
      <c r="A163" s="4" t="s">
        <v>1853</v>
      </c>
      <c r="B163" s="4" t="s">
        <v>1175</v>
      </c>
      <c r="C163" s="4" t="s">
        <v>945</v>
      </c>
      <c r="D163" s="4" t="s">
        <v>86</v>
      </c>
      <c r="E163" s="4" t="s">
        <v>112</v>
      </c>
      <c r="F163" s="4">
        <v>4.0</v>
      </c>
      <c r="G163" s="4">
        <v>10.8</v>
      </c>
      <c r="H163" s="4">
        <v>0.47</v>
      </c>
      <c r="I163" s="11">
        <v>0.419</v>
      </c>
      <c r="J163" s="4">
        <v>0.67</v>
      </c>
      <c r="K163" s="18">
        <f t="array" ref="K163">IF(H163&lt;&gt;"",H163,IFERROR(G163/INDEX(Players!$M$2:$M$127,MATCH(B163,Players!$A$2:$A$127,0)),""))</f>
        <v>0.47</v>
      </c>
    </row>
    <row r="164" ht="15.75" customHeight="1">
      <c r="A164" s="4" t="s">
        <v>1854</v>
      </c>
      <c r="B164" s="4" t="s">
        <v>1175</v>
      </c>
      <c r="C164" s="4" t="s">
        <v>945</v>
      </c>
      <c r="D164" s="4" t="s">
        <v>86</v>
      </c>
      <c r="E164" s="4" t="s">
        <v>113</v>
      </c>
      <c r="F164" s="4">
        <v>3.0</v>
      </c>
      <c r="G164" s="4">
        <v>10.7</v>
      </c>
      <c r="H164" s="4">
        <v>0.53</v>
      </c>
      <c r="I164" s="11">
        <v>0.531</v>
      </c>
      <c r="J164" s="4">
        <v>0.89</v>
      </c>
      <c r="K164" s="18">
        <f t="array" ref="K164">IF(H164&lt;&gt;"",H164,IFERROR(G164/INDEX(Players!$M$2:$M$127,MATCH(B164,Players!$A$2:$A$127,0)),""))</f>
        <v>0.53</v>
      </c>
    </row>
    <row r="165" ht="15.75" customHeight="1">
      <c r="A165" s="4" t="s">
        <v>1855</v>
      </c>
      <c r="B165" s="4" t="s">
        <v>1175</v>
      </c>
      <c r="C165" s="4" t="s">
        <v>945</v>
      </c>
      <c r="D165" s="4" t="s">
        <v>86</v>
      </c>
      <c r="E165" s="4" t="s">
        <v>262</v>
      </c>
      <c r="F165" s="4">
        <v>2.0</v>
      </c>
      <c r="G165" s="4">
        <v>6.5</v>
      </c>
      <c r="H165" s="4">
        <v>0.36</v>
      </c>
      <c r="I165" s="11">
        <v>0.615</v>
      </c>
      <c r="J165" s="4">
        <v>0.52</v>
      </c>
      <c r="K165" s="18">
        <f t="array" ref="K165">IF(H165&lt;&gt;"",H165,IFERROR(G165/INDEX(Players!$M$2:$M$127,MATCH(B165,Players!$A$2:$A$127,0)),""))</f>
        <v>0.36</v>
      </c>
    </row>
    <row r="166" ht="15.75" customHeight="1">
      <c r="A166" s="4" t="s">
        <v>1856</v>
      </c>
      <c r="B166" s="4" t="s">
        <v>1250</v>
      </c>
      <c r="C166" s="4" t="s">
        <v>1251</v>
      </c>
      <c r="D166" s="4" t="s">
        <v>86</v>
      </c>
      <c r="E166" s="4" t="s">
        <v>262</v>
      </c>
      <c r="F166" s="4">
        <v>10.0</v>
      </c>
      <c r="G166" s="4">
        <v>11.9</v>
      </c>
      <c r="H166" s="4">
        <v>0.62</v>
      </c>
      <c r="I166" s="11">
        <v>0.58</v>
      </c>
      <c r="J166" s="4">
        <v>0.86</v>
      </c>
      <c r="K166" s="18">
        <f t="array" ref="K166">IF(H166&lt;&gt;"",H166,IFERROR(G166/INDEX(Players!$M$2:$M$127,MATCH(B166,Players!$A$2:$A$127,0)),""))</f>
        <v>0.62</v>
      </c>
    </row>
    <row r="167" ht="15.75" customHeight="1">
      <c r="A167" s="4" t="s">
        <v>1857</v>
      </c>
      <c r="B167" s="4" t="s">
        <v>1250</v>
      </c>
      <c r="C167" s="4" t="s">
        <v>1251</v>
      </c>
      <c r="D167" s="4" t="s">
        <v>86</v>
      </c>
      <c r="E167" s="4" t="s">
        <v>276</v>
      </c>
      <c r="F167" s="4">
        <v>7.0</v>
      </c>
      <c r="G167" s="4">
        <v>14.6</v>
      </c>
      <c r="H167" s="4">
        <v>0.73</v>
      </c>
      <c r="I167" s="11">
        <v>0.637</v>
      </c>
      <c r="J167" s="4">
        <v>1.01</v>
      </c>
      <c r="K167" s="18">
        <f t="array" ref="K167">IF(H167&lt;&gt;"",H167,IFERROR(G167/INDEX(Players!$M$2:$M$127,MATCH(B167,Players!$A$2:$A$127,0)),""))</f>
        <v>0.73</v>
      </c>
    </row>
    <row r="168" ht="15.75" customHeight="1">
      <c r="A168" s="4" t="s">
        <v>1858</v>
      </c>
      <c r="B168" s="4" t="s">
        <v>1250</v>
      </c>
      <c r="C168" s="4" t="s">
        <v>1251</v>
      </c>
      <c r="D168" s="4" t="s">
        <v>86</v>
      </c>
      <c r="E168" s="4" t="s">
        <v>250</v>
      </c>
      <c r="F168" s="4">
        <v>6.0</v>
      </c>
      <c r="G168" s="4">
        <v>15.8</v>
      </c>
      <c r="H168" s="4">
        <v>0.73</v>
      </c>
      <c r="I168" s="11">
        <v>0.653</v>
      </c>
      <c r="J168" s="4">
        <v>1.19</v>
      </c>
      <c r="K168" s="18">
        <f t="array" ref="K168">IF(H168&lt;&gt;"",H168,IFERROR(G168/INDEX(Players!$M$2:$M$127,MATCH(B168,Players!$A$2:$A$127,0)),""))</f>
        <v>0.73</v>
      </c>
    </row>
    <row r="169" ht="15.75" customHeight="1">
      <c r="A169" s="4" t="s">
        <v>1859</v>
      </c>
      <c r="B169" s="4" t="s">
        <v>1250</v>
      </c>
      <c r="C169" s="4" t="s">
        <v>1251</v>
      </c>
      <c r="D169" s="4" t="s">
        <v>86</v>
      </c>
      <c r="E169" s="4" t="s">
        <v>113</v>
      </c>
      <c r="F169" s="4">
        <v>4.0</v>
      </c>
      <c r="G169" s="4">
        <v>9.8</v>
      </c>
      <c r="H169" s="4">
        <v>0.57</v>
      </c>
      <c r="I169" s="11">
        <v>0.59</v>
      </c>
      <c r="J169" s="4">
        <v>0.97</v>
      </c>
      <c r="K169" s="18">
        <f t="array" ref="K169">IF(H169&lt;&gt;"",H169,IFERROR(G169/INDEX(Players!$M$2:$M$127,MATCH(B169,Players!$A$2:$A$127,0)),""))</f>
        <v>0.57</v>
      </c>
    </row>
    <row r="170" ht="15.75" customHeight="1">
      <c r="A170" s="4" t="s">
        <v>1860</v>
      </c>
      <c r="B170" s="4" t="s">
        <v>1250</v>
      </c>
      <c r="C170" s="4" t="s">
        <v>1251</v>
      </c>
      <c r="D170" s="4" t="s">
        <v>86</v>
      </c>
      <c r="E170" s="4" t="s">
        <v>270</v>
      </c>
      <c r="F170" s="4">
        <v>4.0</v>
      </c>
      <c r="G170" s="4">
        <v>14.5</v>
      </c>
      <c r="H170" s="4">
        <v>0.67</v>
      </c>
      <c r="I170" s="11">
        <v>0.741</v>
      </c>
      <c r="J170" s="4">
        <v>0.89</v>
      </c>
      <c r="K170" s="18">
        <f t="array" ref="K170">IF(H170&lt;&gt;"",H170,IFERROR(G170/INDEX(Players!$M$2:$M$127,MATCH(B170,Players!$A$2:$A$127,0)),""))</f>
        <v>0.67</v>
      </c>
    </row>
    <row r="171" ht="15.75" customHeight="1">
      <c r="A171" s="4" t="s">
        <v>1861</v>
      </c>
      <c r="B171" s="4" t="s">
        <v>1250</v>
      </c>
      <c r="C171" s="4" t="s">
        <v>1251</v>
      </c>
      <c r="D171" s="4" t="s">
        <v>86</v>
      </c>
      <c r="E171" s="4" t="s">
        <v>110</v>
      </c>
      <c r="F171" s="4">
        <v>2.0</v>
      </c>
      <c r="G171" s="4">
        <v>21.0</v>
      </c>
      <c r="H171" s="4">
        <v>0.74</v>
      </c>
      <c r="I171" s="11">
        <v>0.5479999999999999</v>
      </c>
      <c r="J171" s="4">
        <v>1.02</v>
      </c>
      <c r="K171" s="18">
        <f t="array" ref="K171">IF(H171&lt;&gt;"",H171,IFERROR(G171/INDEX(Players!$M$2:$M$127,MATCH(B171,Players!$A$2:$A$127,0)),""))</f>
        <v>0.74</v>
      </c>
    </row>
    <row r="172" ht="15.75" customHeight="1">
      <c r="A172" s="4" t="s">
        <v>1862</v>
      </c>
      <c r="B172" s="4" t="s">
        <v>1392</v>
      </c>
      <c r="C172" s="4" t="s">
        <v>1393</v>
      </c>
      <c r="D172" s="4" t="s">
        <v>86</v>
      </c>
      <c r="E172" s="4" t="s">
        <v>110</v>
      </c>
      <c r="F172" s="4">
        <v>9.0</v>
      </c>
      <c r="G172" s="4">
        <v>14.7</v>
      </c>
      <c r="H172" s="4">
        <v>0.59</v>
      </c>
      <c r="I172" s="11">
        <v>0.356</v>
      </c>
      <c r="J172" s="4">
        <v>1.03</v>
      </c>
      <c r="K172" s="18">
        <f t="array" ref="K172">IF(H172&lt;&gt;"",H172,IFERROR(G172/INDEX(Players!$M$2:$M$127,MATCH(B172,Players!$A$2:$A$127,0)),""))</f>
        <v>0.59</v>
      </c>
    </row>
    <row r="173" ht="15.75" customHeight="1">
      <c r="A173" s="4" t="s">
        <v>1863</v>
      </c>
      <c r="B173" s="4" t="s">
        <v>1392</v>
      </c>
      <c r="C173" s="4" t="s">
        <v>1393</v>
      </c>
      <c r="D173" s="4" t="s">
        <v>86</v>
      </c>
      <c r="E173" s="4" t="s">
        <v>113</v>
      </c>
      <c r="F173" s="4">
        <v>7.0</v>
      </c>
      <c r="G173" s="4">
        <v>15.3</v>
      </c>
      <c r="H173" s="4">
        <v>0.62</v>
      </c>
      <c r="I173" s="11">
        <v>0.355</v>
      </c>
      <c r="J173" s="4">
        <v>1.22</v>
      </c>
      <c r="K173" s="18">
        <f t="array" ref="K173">IF(H173&lt;&gt;"",H173,IFERROR(G173/INDEX(Players!$M$2:$M$127,MATCH(B173,Players!$A$2:$A$127,0)),""))</f>
        <v>0.62</v>
      </c>
    </row>
    <row r="174" ht="15.75" customHeight="1">
      <c r="A174" s="4" t="s">
        <v>1864</v>
      </c>
      <c r="B174" s="4" t="s">
        <v>1392</v>
      </c>
      <c r="C174" s="4" t="s">
        <v>1393</v>
      </c>
      <c r="D174" s="4" t="s">
        <v>86</v>
      </c>
      <c r="E174" s="4" t="s">
        <v>250</v>
      </c>
      <c r="F174" s="4">
        <v>6.0</v>
      </c>
      <c r="G174" s="4">
        <v>14.8</v>
      </c>
      <c r="H174" s="4">
        <v>0.67</v>
      </c>
      <c r="I174" s="11">
        <v>0.348</v>
      </c>
      <c r="J174" s="4">
        <v>1.11</v>
      </c>
      <c r="K174" s="18">
        <f t="array" ref="K174">IF(H174&lt;&gt;"",H174,IFERROR(G174/INDEX(Players!$M$2:$M$127,MATCH(B174,Players!$A$2:$A$127,0)),""))</f>
        <v>0.67</v>
      </c>
    </row>
    <row r="175" ht="15.75" customHeight="1">
      <c r="A175" s="4" t="s">
        <v>1865</v>
      </c>
      <c r="B175" s="4" t="s">
        <v>1392</v>
      </c>
      <c r="C175" s="4" t="s">
        <v>1393</v>
      </c>
      <c r="D175" s="4" t="s">
        <v>86</v>
      </c>
      <c r="E175" s="4" t="s">
        <v>262</v>
      </c>
      <c r="F175" s="4">
        <v>4.0</v>
      </c>
      <c r="G175" s="4">
        <v>12.8</v>
      </c>
      <c r="H175" s="4">
        <v>0.59</v>
      </c>
      <c r="I175" s="11">
        <v>0.412</v>
      </c>
      <c r="J175" s="4">
        <v>1.16</v>
      </c>
      <c r="K175" s="18">
        <f t="array" ref="K175">IF(H175&lt;&gt;"",H175,IFERROR(G175/INDEX(Players!$M$2:$M$127,MATCH(B175,Players!$A$2:$A$127,0)),""))</f>
        <v>0.59</v>
      </c>
    </row>
    <row r="176" ht="15.75" customHeight="1">
      <c r="A176" s="4" t="s">
        <v>1866</v>
      </c>
      <c r="B176" s="4" t="s">
        <v>1392</v>
      </c>
      <c r="C176" s="4" t="s">
        <v>1393</v>
      </c>
      <c r="D176" s="4" t="s">
        <v>86</v>
      </c>
      <c r="E176" s="4" t="s">
        <v>276</v>
      </c>
      <c r="F176" s="4">
        <v>4.0</v>
      </c>
      <c r="G176" s="4">
        <v>9.3</v>
      </c>
      <c r="H176" s="4">
        <v>0.46</v>
      </c>
      <c r="I176" s="11">
        <v>0.324</v>
      </c>
      <c r="J176" s="4">
        <v>0.69</v>
      </c>
      <c r="K176" s="18">
        <f t="array" ref="K176">IF(H176&lt;&gt;"",H176,IFERROR(G176/INDEX(Players!$M$2:$M$127,MATCH(B176,Players!$A$2:$A$127,0)),""))</f>
        <v>0.46</v>
      </c>
    </row>
    <row r="177" ht="15.75" customHeight="1">
      <c r="A177" s="4" t="s">
        <v>1867</v>
      </c>
      <c r="B177" s="4" t="s">
        <v>1392</v>
      </c>
      <c r="C177" s="4" t="s">
        <v>1393</v>
      </c>
      <c r="D177" s="4" t="s">
        <v>86</v>
      </c>
      <c r="E177" s="4" t="s">
        <v>270</v>
      </c>
      <c r="F177" s="4">
        <v>1.0</v>
      </c>
      <c r="G177" s="4">
        <v>17.0</v>
      </c>
      <c r="H177" s="4">
        <v>0.81</v>
      </c>
      <c r="I177" s="11">
        <v>0.235</v>
      </c>
      <c r="J177" s="4">
        <v>2.13</v>
      </c>
      <c r="K177" s="18">
        <f t="array" ref="K177">IF(H177&lt;&gt;"",H177,IFERROR(G177/INDEX(Players!$M$2:$M$127,MATCH(B177,Players!$A$2:$A$127,0)),""))</f>
        <v>0.81</v>
      </c>
    </row>
    <row r="178" ht="15.75" customHeight="1">
      <c r="A178" s="4" t="s">
        <v>1868</v>
      </c>
      <c r="B178" s="4" t="s">
        <v>1453</v>
      </c>
      <c r="C178" s="4" t="s">
        <v>1454</v>
      </c>
      <c r="D178" s="4" t="s">
        <v>86</v>
      </c>
      <c r="E178" s="4" t="s">
        <v>270</v>
      </c>
      <c r="F178" s="4">
        <v>8.0</v>
      </c>
      <c r="G178" s="4">
        <v>17.9</v>
      </c>
      <c r="H178" s="4">
        <v>0.81</v>
      </c>
      <c r="I178" s="11">
        <v>0.531</v>
      </c>
      <c r="J178" s="4">
        <v>1.24</v>
      </c>
      <c r="K178" s="18">
        <f t="array" ref="K178">IF(H178&lt;&gt;"",H178,IFERROR(G178/INDEX(Players!$M$2:$M$127,MATCH(B178,Players!$A$2:$A$127,0)),""))</f>
        <v>0.81</v>
      </c>
    </row>
    <row r="179" ht="15.75" customHeight="1">
      <c r="A179" s="4" t="s">
        <v>1869</v>
      </c>
      <c r="B179" s="4" t="s">
        <v>1453</v>
      </c>
      <c r="C179" s="4" t="s">
        <v>1454</v>
      </c>
      <c r="D179" s="4" t="s">
        <v>86</v>
      </c>
      <c r="E179" s="4" t="s">
        <v>110</v>
      </c>
      <c r="F179" s="4">
        <v>7.0</v>
      </c>
      <c r="G179" s="4">
        <v>19.6</v>
      </c>
      <c r="H179" s="4">
        <v>0.89</v>
      </c>
      <c r="I179" s="11">
        <v>0.496</v>
      </c>
      <c r="J179" s="4">
        <v>1.29</v>
      </c>
      <c r="K179" s="18">
        <f t="array" ref="K179">IF(H179&lt;&gt;"",H179,IFERROR(G179/INDEX(Players!$M$2:$M$127,MATCH(B179,Players!$A$2:$A$127,0)),""))</f>
        <v>0.89</v>
      </c>
    </row>
    <row r="180" ht="15.75" customHeight="1">
      <c r="A180" s="4" t="s">
        <v>1870</v>
      </c>
      <c r="B180" s="4" t="s">
        <v>1453</v>
      </c>
      <c r="C180" s="4" t="s">
        <v>1454</v>
      </c>
      <c r="D180" s="4" t="s">
        <v>86</v>
      </c>
      <c r="E180" s="4" t="s">
        <v>262</v>
      </c>
      <c r="F180" s="4">
        <v>7.0</v>
      </c>
      <c r="G180" s="4">
        <v>16.3</v>
      </c>
      <c r="H180" s="4">
        <v>0.75</v>
      </c>
      <c r="I180" s="11">
        <v>0.57</v>
      </c>
      <c r="J180" s="4">
        <v>1.01</v>
      </c>
      <c r="K180" s="18">
        <f t="array" ref="K180">IF(H180&lt;&gt;"",H180,IFERROR(G180/INDEX(Players!$M$2:$M$127,MATCH(B180,Players!$A$2:$A$127,0)),""))</f>
        <v>0.75</v>
      </c>
    </row>
    <row r="181" ht="15.75" customHeight="1">
      <c r="A181" s="4" t="s">
        <v>1871</v>
      </c>
      <c r="B181" s="4" t="s">
        <v>1453</v>
      </c>
      <c r="C181" s="4" t="s">
        <v>1454</v>
      </c>
      <c r="D181" s="4" t="s">
        <v>86</v>
      </c>
      <c r="E181" s="4" t="s">
        <v>113</v>
      </c>
      <c r="F181" s="4">
        <v>6.0</v>
      </c>
      <c r="G181" s="4">
        <v>18.3</v>
      </c>
      <c r="H181" s="4">
        <v>0.85</v>
      </c>
      <c r="I181" s="11">
        <v>0.564</v>
      </c>
      <c r="J181" s="4">
        <v>1.2</v>
      </c>
      <c r="K181" s="18">
        <f t="array" ref="K181">IF(H181&lt;&gt;"",H181,IFERROR(G181/INDEX(Players!$M$2:$M$127,MATCH(B181,Players!$A$2:$A$127,0)),""))</f>
        <v>0.85</v>
      </c>
    </row>
    <row r="182" ht="15.75" customHeight="1">
      <c r="A182" s="4" t="s">
        <v>1872</v>
      </c>
      <c r="B182" s="4" t="s">
        <v>1453</v>
      </c>
      <c r="C182" s="4" t="s">
        <v>1454</v>
      </c>
      <c r="D182" s="4" t="s">
        <v>86</v>
      </c>
      <c r="E182" s="4" t="s">
        <v>250</v>
      </c>
      <c r="F182" s="4">
        <v>6.0</v>
      </c>
      <c r="G182" s="4">
        <v>14.5</v>
      </c>
      <c r="H182" s="4">
        <v>0.69</v>
      </c>
      <c r="I182" s="11">
        <v>0.494</v>
      </c>
      <c r="J182" s="4">
        <v>1.09</v>
      </c>
      <c r="K182" s="18">
        <f t="array" ref="K182">IF(H182&lt;&gt;"",H182,IFERROR(G182/INDEX(Players!$M$2:$M$127,MATCH(B182,Players!$A$2:$A$127,0)),""))</f>
        <v>0.69</v>
      </c>
    </row>
    <row r="183" ht="15.75" customHeight="1">
      <c r="A183" s="4" t="s">
        <v>1873</v>
      </c>
      <c r="B183" s="4" t="s">
        <v>1453</v>
      </c>
      <c r="C183" s="4" t="s">
        <v>1454</v>
      </c>
      <c r="D183" s="4" t="s">
        <v>86</v>
      </c>
      <c r="E183" s="4" t="s">
        <v>112</v>
      </c>
      <c r="F183" s="4">
        <v>2.0</v>
      </c>
      <c r="G183" s="4">
        <v>22.5</v>
      </c>
      <c r="H183" s="4">
        <v>0.9</v>
      </c>
      <c r="I183" s="11">
        <v>0.422</v>
      </c>
      <c r="J183" s="4">
        <v>1.45</v>
      </c>
      <c r="K183" s="18">
        <f t="array" ref="K183">IF(H183&lt;&gt;"",H183,IFERROR(G183/INDEX(Players!$M$2:$M$127,MATCH(B183,Players!$A$2:$A$127,0)),""))</f>
        <v>0.9</v>
      </c>
    </row>
    <row r="184" ht="15.75" customHeight="1">
      <c r="A184" s="4" t="s">
        <v>1874</v>
      </c>
      <c r="B184" s="4" t="s">
        <v>1378</v>
      </c>
      <c r="C184" s="4" t="s">
        <v>1379</v>
      </c>
      <c r="D184" s="4" t="s">
        <v>86</v>
      </c>
      <c r="E184" s="4" t="s">
        <v>113</v>
      </c>
      <c r="F184" s="4">
        <v>8.0</v>
      </c>
      <c r="G184" s="4">
        <v>17.4</v>
      </c>
      <c r="H184" s="4">
        <v>0.76</v>
      </c>
      <c r="I184" s="11">
        <v>0.59</v>
      </c>
      <c r="J184" s="4">
        <v>1.16</v>
      </c>
      <c r="K184" s="18">
        <f t="array" ref="K184">IF(H184&lt;&gt;"",H184,IFERROR(G184/INDEX(Players!$M$2:$M$127,MATCH(B184,Players!$A$2:$A$127,0)),""))</f>
        <v>0.76</v>
      </c>
    </row>
    <row r="185" ht="15.75" customHeight="1">
      <c r="A185" s="4" t="s">
        <v>1875</v>
      </c>
      <c r="B185" s="4" t="s">
        <v>1378</v>
      </c>
      <c r="C185" s="4" t="s">
        <v>1379</v>
      </c>
      <c r="D185" s="4" t="s">
        <v>86</v>
      </c>
      <c r="E185" s="4" t="s">
        <v>110</v>
      </c>
      <c r="F185" s="4">
        <v>8.0</v>
      </c>
      <c r="G185" s="4">
        <v>13.9</v>
      </c>
      <c r="H185" s="4">
        <v>0.7</v>
      </c>
      <c r="I185" s="11">
        <v>0.595</v>
      </c>
      <c r="J185" s="4">
        <v>1.09</v>
      </c>
      <c r="K185" s="18">
        <f t="array" ref="K185">IF(H185&lt;&gt;"",H185,IFERROR(G185/INDEX(Players!$M$2:$M$127,MATCH(B185,Players!$A$2:$A$127,0)),""))</f>
        <v>0.7</v>
      </c>
    </row>
    <row r="186" ht="15.75" customHeight="1">
      <c r="A186" s="4" t="s">
        <v>1876</v>
      </c>
      <c r="B186" s="4" t="s">
        <v>1378</v>
      </c>
      <c r="C186" s="4" t="s">
        <v>1379</v>
      </c>
      <c r="D186" s="4" t="s">
        <v>86</v>
      </c>
      <c r="E186" s="4" t="s">
        <v>270</v>
      </c>
      <c r="F186" s="4">
        <v>7.0</v>
      </c>
      <c r="G186" s="4">
        <v>13.4</v>
      </c>
      <c r="H186" s="4">
        <v>0.63</v>
      </c>
      <c r="I186" s="11">
        <v>0.5429999999999999</v>
      </c>
      <c r="J186" s="4">
        <v>0.96</v>
      </c>
      <c r="K186" s="18">
        <f t="array" ref="K186">IF(H186&lt;&gt;"",H186,IFERROR(G186/INDEX(Players!$M$2:$M$127,MATCH(B186,Players!$A$2:$A$127,0)),""))</f>
        <v>0.63</v>
      </c>
    </row>
    <row r="187" ht="15.75" customHeight="1">
      <c r="A187" s="4" t="s">
        <v>1877</v>
      </c>
      <c r="B187" s="4" t="s">
        <v>1378</v>
      </c>
      <c r="C187" s="4" t="s">
        <v>1379</v>
      </c>
      <c r="D187" s="4" t="s">
        <v>86</v>
      </c>
      <c r="E187" s="4" t="s">
        <v>276</v>
      </c>
      <c r="F187" s="4">
        <v>5.0</v>
      </c>
      <c r="G187" s="4">
        <v>15.2</v>
      </c>
      <c r="H187" s="4">
        <v>0.71</v>
      </c>
      <c r="I187" s="11">
        <v>0.526</v>
      </c>
      <c r="J187" s="4">
        <v>1.07</v>
      </c>
      <c r="K187" s="18">
        <f t="array" ref="K187">IF(H187&lt;&gt;"",H187,IFERROR(G187/INDEX(Players!$M$2:$M$127,MATCH(B187,Players!$A$2:$A$127,0)),""))</f>
        <v>0.71</v>
      </c>
    </row>
    <row r="188" ht="15.75" customHeight="1">
      <c r="A188" s="4" t="s">
        <v>1878</v>
      </c>
      <c r="B188" s="4" t="s">
        <v>1378</v>
      </c>
      <c r="C188" s="4" t="s">
        <v>1379</v>
      </c>
      <c r="D188" s="4" t="s">
        <v>86</v>
      </c>
      <c r="E188" s="4" t="s">
        <v>250</v>
      </c>
      <c r="F188" s="4">
        <v>5.0</v>
      </c>
      <c r="G188" s="4">
        <v>14.0</v>
      </c>
      <c r="H188" s="4">
        <v>0.64</v>
      </c>
      <c r="I188" s="11">
        <v>0.6</v>
      </c>
      <c r="J188" s="4">
        <v>1.03</v>
      </c>
      <c r="K188" s="18">
        <f t="array" ref="K188">IF(H188&lt;&gt;"",H188,IFERROR(G188/INDEX(Players!$M$2:$M$127,MATCH(B188,Players!$A$2:$A$127,0)),""))</f>
        <v>0.64</v>
      </c>
    </row>
    <row r="189" ht="15.75" customHeight="1">
      <c r="A189" s="4" t="s">
        <v>1879</v>
      </c>
      <c r="B189" s="4" t="s">
        <v>1378</v>
      </c>
      <c r="C189" s="4" t="s">
        <v>1379</v>
      </c>
      <c r="D189" s="4" t="s">
        <v>86</v>
      </c>
      <c r="E189" s="4" t="s">
        <v>112</v>
      </c>
      <c r="F189" s="4">
        <v>3.0</v>
      </c>
      <c r="G189" s="4">
        <v>16.0</v>
      </c>
      <c r="H189" s="4">
        <v>0.7</v>
      </c>
      <c r="I189" s="11">
        <v>0.667</v>
      </c>
      <c r="J189" s="4">
        <v>1.0</v>
      </c>
      <c r="K189" s="18">
        <f t="array" ref="K189">IF(H189&lt;&gt;"",H189,IFERROR(G189/INDEX(Players!$M$2:$M$127,MATCH(B189,Players!$A$2:$A$127,0)),""))</f>
        <v>0.7</v>
      </c>
    </row>
    <row r="190" ht="15.75" customHeight="1">
      <c r="A190" s="4" t="s">
        <v>1880</v>
      </c>
      <c r="B190" s="4" t="s">
        <v>1381</v>
      </c>
      <c r="C190" s="4" t="s">
        <v>1382</v>
      </c>
      <c r="D190" s="4" t="s">
        <v>86</v>
      </c>
      <c r="E190" s="4" t="s">
        <v>110</v>
      </c>
      <c r="F190" s="4">
        <v>8.0</v>
      </c>
      <c r="G190" s="4">
        <v>15.3</v>
      </c>
      <c r="H190" s="4">
        <v>0.77</v>
      </c>
      <c r="I190" s="11">
        <v>0.336</v>
      </c>
      <c r="J190" s="4">
        <v>1.23</v>
      </c>
      <c r="K190" s="18">
        <f t="array" ref="K190">IF(H190&lt;&gt;"",H190,IFERROR(G190/INDEX(Players!$M$2:$M$127,MATCH(B190,Players!$A$2:$A$127,0)),""))</f>
        <v>0.77</v>
      </c>
    </row>
    <row r="191" ht="15.75" customHeight="1">
      <c r="A191" s="4" t="s">
        <v>1881</v>
      </c>
      <c r="B191" s="4" t="s">
        <v>1381</v>
      </c>
      <c r="C191" s="4" t="s">
        <v>1382</v>
      </c>
      <c r="D191" s="4" t="s">
        <v>86</v>
      </c>
      <c r="E191" s="4" t="s">
        <v>113</v>
      </c>
      <c r="F191" s="4">
        <v>8.0</v>
      </c>
      <c r="G191" s="4">
        <v>15.5</v>
      </c>
      <c r="H191" s="4">
        <v>0.68</v>
      </c>
      <c r="I191" s="11">
        <v>0.331</v>
      </c>
      <c r="J191" s="4">
        <v>1.1</v>
      </c>
      <c r="K191" s="18">
        <f t="array" ref="K191">IF(H191&lt;&gt;"",H191,IFERROR(G191/INDEX(Players!$M$2:$M$127,MATCH(B191,Players!$A$2:$A$127,0)),""))</f>
        <v>0.68</v>
      </c>
    </row>
    <row r="192" ht="15.75" customHeight="1">
      <c r="A192" s="4" t="s">
        <v>1882</v>
      </c>
      <c r="B192" s="4" t="s">
        <v>1381</v>
      </c>
      <c r="C192" s="4" t="s">
        <v>1382</v>
      </c>
      <c r="D192" s="4" t="s">
        <v>86</v>
      </c>
      <c r="E192" s="4" t="s">
        <v>270</v>
      </c>
      <c r="F192" s="4">
        <v>7.0</v>
      </c>
      <c r="G192" s="4">
        <v>17.1</v>
      </c>
      <c r="H192" s="4">
        <v>0.81</v>
      </c>
      <c r="I192" s="11">
        <v>0.383</v>
      </c>
      <c r="J192" s="4">
        <v>1.29</v>
      </c>
      <c r="K192" s="18">
        <f t="array" ref="K192">IF(H192&lt;&gt;"",H192,IFERROR(G192/INDEX(Players!$M$2:$M$127,MATCH(B192,Players!$A$2:$A$127,0)),""))</f>
        <v>0.81</v>
      </c>
    </row>
    <row r="193" ht="15.75" customHeight="1">
      <c r="A193" s="4" t="s">
        <v>1883</v>
      </c>
      <c r="B193" s="4" t="s">
        <v>1381</v>
      </c>
      <c r="C193" s="4" t="s">
        <v>1382</v>
      </c>
      <c r="D193" s="4" t="s">
        <v>86</v>
      </c>
      <c r="E193" s="4" t="s">
        <v>250</v>
      </c>
      <c r="F193" s="4">
        <v>5.0</v>
      </c>
      <c r="G193" s="4">
        <v>14.4</v>
      </c>
      <c r="H193" s="4">
        <v>0.66</v>
      </c>
      <c r="I193" s="11">
        <v>0.375</v>
      </c>
      <c r="J193" s="4">
        <v>1.11</v>
      </c>
      <c r="K193" s="18">
        <f t="array" ref="K193">IF(H193&lt;&gt;"",H193,IFERROR(G193/INDEX(Players!$M$2:$M$127,MATCH(B193,Players!$A$2:$A$127,0)),""))</f>
        <v>0.66</v>
      </c>
    </row>
    <row r="194" ht="15.75" customHeight="1">
      <c r="A194" s="4" t="s">
        <v>1884</v>
      </c>
      <c r="B194" s="4" t="s">
        <v>1381</v>
      </c>
      <c r="C194" s="4" t="s">
        <v>1382</v>
      </c>
      <c r="D194" s="4" t="s">
        <v>86</v>
      </c>
      <c r="E194" s="4" t="s">
        <v>276</v>
      </c>
      <c r="F194" s="4">
        <v>5.0</v>
      </c>
      <c r="G194" s="4">
        <v>15.4</v>
      </c>
      <c r="H194" s="4">
        <v>0.72</v>
      </c>
      <c r="I194" s="11">
        <v>0.442</v>
      </c>
      <c r="J194" s="4">
        <v>1.08</v>
      </c>
      <c r="K194" s="18">
        <f t="array" ref="K194">IF(H194&lt;&gt;"",H194,IFERROR(G194/INDEX(Players!$M$2:$M$127,MATCH(B194,Players!$A$2:$A$127,0)),""))</f>
        <v>0.72</v>
      </c>
    </row>
    <row r="195" ht="15.75" customHeight="1">
      <c r="A195" s="4" t="s">
        <v>1885</v>
      </c>
      <c r="B195" s="4" t="s">
        <v>1381</v>
      </c>
      <c r="C195" s="4" t="s">
        <v>1382</v>
      </c>
      <c r="D195" s="4" t="s">
        <v>86</v>
      </c>
      <c r="E195" s="4" t="s">
        <v>112</v>
      </c>
      <c r="F195" s="4">
        <v>3.0</v>
      </c>
      <c r="G195" s="4">
        <v>20.7</v>
      </c>
      <c r="H195" s="4">
        <v>0.9</v>
      </c>
      <c r="I195" s="11">
        <v>0.387</v>
      </c>
      <c r="J195" s="4">
        <v>1.63</v>
      </c>
      <c r="K195" s="18">
        <f t="array" ref="K195">IF(H195&lt;&gt;"",H195,IFERROR(G195/INDEX(Players!$M$2:$M$127,MATCH(B195,Players!$A$2:$A$127,0)),""))</f>
        <v>0.9</v>
      </c>
    </row>
    <row r="196" ht="15.75" customHeight="1">
      <c r="A196" s="4" t="s">
        <v>1886</v>
      </c>
      <c r="B196" s="4" t="s">
        <v>1278</v>
      </c>
      <c r="C196" s="4" t="s">
        <v>1279</v>
      </c>
      <c r="D196" s="4" t="s">
        <v>86</v>
      </c>
      <c r="E196" s="4" t="s">
        <v>250</v>
      </c>
      <c r="F196" s="4">
        <v>10.0</v>
      </c>
      <c r="G196" s="4">
        <v>12.6</v>
      </c>
      <c r="H196" s="4">
        <v>0.6</v>
      </c>
      <c r="I196" s="11">
        <v>0.524</v>
      </c>
      <c r="J196" s="4">
        <v>0.93</v>
      </c>
      <c r="K196" s="18">
        <f t="array" ref="K196">IF(H196&lt;&gt;"",H196,IFERROR(G196/INDEX(Players!$M$2:$M$127,MATCH(B196,Players!$A$2:$A$127,0)),""))</f>
        <v>0.6</v>
      </c>
    </row>
    <row r="197" ht="15.75" customHeight="1">
      <c r="A197" s="4" t="s">
        <v>1887</v>
      </c>
      <c r="B197" s="4" t="s">
        <v>1278</v>
      </c>
      <c r="C197" s="4" t="s">
        <v>1279</v>
      </c>
      <c r="D197" s="4" t="s">
        <v>86</v>
      </c>
      <c r="E197" s="4" t="s">
        <v>112</v>
      </c>
      <c r="F197" s="4">
        <v>7.0</v>
      </c>
      <c r="G197" s="4">
        <v>16.3</v>
      </c>
      <c r="H197" s="4">
        <v>0.83</v>
      </c>
      <c r="I197" s="11">
        <v>0.561</v>
      </c>
      <c r="J197" s="4">
        <v>1.36</v>
      </c>
      <c r="K197" s="18">
        <f t="array" ref="K197">IF(H197&lt;&gt;"",H197,IFERROR(G197/INDEX(Players!$M$2:$M$127,MATCH(B197,Players!$A$2:$A$127,0)),""))</f>
        <v>0.83</v>
      </c>
    </row>
    <row r="198" ht="15.75" customHeight="1">
      <c r="A198" s="4" t="s">
        <v>1888</v>
      </c>
      <c r="B198" s="4" t="s">
        <v>1278</v>
      </c>
      <c r="C198" s="4" t="s">
        <v>1279</v>
      </c>
      <c r="D198" s="4" t="s">
        <v>86</v>
      </c>
      <c r="E198" s="4" t="s">
        <v>276</v>
      </c>
      <c r="F198" s="4">
        <v>6.0</v>
      </c>
      <c r="G198" s="4">
        <v>13.3</v>
      </c>
      <c r="H198" s="4">
        <v>0.68</v>
      </c>
      <c r="I198" s="11">
        <v>0.6629999999999999</v>
      </c>
      <c r="J198" s="4">
        <v>1.21</v>
      </c>
      <c r="K198" s="18">
        <f t="array" ref="K198">IF(H198&lt;&gt;"",H198,IFERROR(G198/INDEX(Players!$M$2:$M$127,MATCH(B198,Players!$A$2:$A$127,0)),""))</f>
        <v>0.68</v>
      </c>
    </row>
    <row r="199" ht="15.75" customHeight="1">
      <c r="A199" s="4" t="s">
        <v>1889</v>
      </c>
      <c r="B199" s="4" t="s">
        <v>1278</v>
      </c>
      <c r="C199" s="4" t="s">
        <v>1279</v>
      </c>
      <c r="D199" s="4" t="s">
        <v>86</v>
      </c>
      <c r="E199" s="4" t="s">
        <v>262</v>
      </c>
      <c r="F199" s="4">
        <v>5.0</v>
      </c>
      <c r="G199" s="4">
        <v>16.0</v>
      </c>
      <c r="H199" s="4">
        <v>0.82</v>
      </c>
      <c r="I199" s="11">
        <v>0.6629999999999999</v>
      </c>
      <c r="J199" s="4">
        <v>1.21</v>
      </c>
      <c r="K199" s="18">
        <f t="array" ref="K199">IF(H199&lt;&gt;"",H199,IFERROR(G199/INDEX(Players!$M$2:$M$127,MATCH(B199,Players!$A$2:$A$127,0)),""))</f>
        <v>0.82</v>
      </c>
    </row>
    <row r="200" ht="15.75" customHeight="1">
      <c r="A200" s="4" t="s">
        <v>1890</v>
      </c>
      <c r="B200" s="4" t="s">
        <v>1278</v>
      </c>
      <c r="C200" s="4" t="s">
        <v>1279</v>
      </c>
      <c r="D200" s="4" t="s">
        <v>86</v>
      </c>
      <c r="E200" s="4" t="s">
        <v>270</v>
      </c>
      <c r="F200" s="4">
        <v>5.0</v>
      </c>
      <c r="G200" s="4">
        <v>16.0</v>
      </c>
      <c r="H200" s="4">
        <v>0.64</v>
      </c>
      <c r="I200" s="11">
        <v>0.575</v>
      </c>
      <c r="J200" s="4">
        <v>1.13</v>
      </c>
      <c r="K200" s="18">
        <f t="array" ref="K200">IF(H200&lt;&gt;"",H200,IFERROR(G200/INDEX(Players!$M$2:$M$127,MATCH(B200,Players!$A$2:$A$127,0)),""))</f>
        <v>0.64</v>
      </c>
    </row>
    <row r="201" ht="15.75" customHeight="1">
      <c r="A201" s="4" t="s">
        <v>1891</v>
      </c>
      <c r="B201" s="4" t="s">
        <v>1278</v>
      </c>
      <c r="C201" s="4" t="s">
        <v>1279</v>
      </c>
      <c r="D201" s="4" t="s">
        <v>86</v>
      </c>
      <c r="E201" s="4" t="s">
        <v>113</v>
      </c>
      <c r="F201" s="4">
        <v>4.0</v>
      </c>
      <c r="G201" s="4">
        <v>10.3</v>
      </c>
      <c r="H201" s="4">
        <v>0.5</v>
      </c>
      <c r="I201" s="11">
        <v>0.463</v>
      </c>
      <c r="J201" s="4">
        <v>0.8</v>
      </c>
      <c r="K201" s="18">
        <f t="array" ref="K201">IF(H201&lt;&gt;"",H201,IFERROR(G201/INDEX(Players!$M$2:$M$127,MATCH(B201,Players!$A$2:$A$127,0)),""))</f>
        <v>0.5</v>
      </c>
    </row>
    <row r="202" ht="15.75" customHeight="1">
      <c r="A202" s="4" t="s">
        <v>1892</v>
      </c>
      <c r="B202" s="4" t="s">
        <v>1535</v>
      </c>
      <c r="C202" s="4" t="s">
        <v>1536</v>
      </c>
      <c r="D202" s="4" t="s">
        <v>86</v>
      </c>
      <c r="E202" s="4" t="s">
        <v>250</v>
      </c>
      <c r="F202" s="4">
        <v>7.0</v>
      </c>
      <c r="G202" s="4">
        <v>15.4</v>
      </c>
      <c r="H202" s="4">
        <v>0.65</v>
      </c>
      <c r="I202" s="11">
        <v>0.315</v>
      </c>
      <c r="J202" s="4">
        <v>1.1</v>
      </c>
      <c r="K202" s="18">
        <f t="array" ref="K202">IF(H202&lt;&gt;"",H202,IFERROR(G202/INDEX(Players!$M$2:$M$127,MATCH(B202,Players!$A$2:$A$127,0)),""))</f>
        <v>0.65</v>
      </c>
    </row>
    <row r="203" ht="15.75" customHeight="1">
      <c r="A203" s="4" t="s">
        <v>1893</v>
      </c>
      <c r="B203" s="4" t="s">
        <v>1535</v>
      </c>
      <c r="C203" s="4" t="s">
        <v>1536</v>
      </c>
      <c r="D203" s="4" t="s">
        <v>86</v>
      </c>
      <c r="E203" s="4" t="s">
        <v>113</v>
      </c>
      <c r="F203" s="4">
        <v>6.0</v>
      </c>
      <c r="G203" s="4">
        <v>16.0</v>
      </c>
      <c r="H203" s="4">
        <v>0.74</v>
      </c>
      <c r="I203" s="11">
        <v>0.448</v>
      </c>
      <c r="J203" s="4">
        <v>1.35</v>
      </c>
      <c r="K203" s="18">
        <f t="array" ref="K203">IF(H203&lt;&gt;"",H203,IFERROR(G203/INDEX(Players!$M$2:$M$127,MATCH(B203,Players!$A$2:$A$127,0)),""))</f>
        <v>0.74</v>
      </c>
    </row>
    <row r="204" ht="15.75" customHeight="1">
      <c r="A204" s="4" t="s">
        <v>1895</v>
      </c>
      <c r="B204" s="4" t="s">
        <v>1535</v>
      </c>
      <c r="C204" s="4" t="s">
        <v>1536</v>
      </c>
      <c r="D204" s="4" t="s">
        <v>86</v>
      </c>
      <c r="E204" s="4" t="s">
        <v>262</v>
      </c>
      <c r="F204" s="4">
        <v>6.0</v>
      </c>
      <c r="G204" s="4">
        <v>13.7</v>
      </c>
      <c r="H204" s="4">
        <v>0.67</v>
      </c>
      <c r="I204" s="11">
        <v>0.256</v>
      </c>
      <c r="J204" s="4">
        <v>0.99</v>
      </c>
      <c r="K204" s="18">
        <f t="array" ref="K204">IF(H204&lt;&gt;"",H204,IFERROR(G204/INDEX(Players!$M$2:$M$127,MATCH(B204,Players!$A$2:$A$127,0)),""))</f>
        <v>0.67</v>
      </c>
    </row>
    <row r="205" ht="15.75" customHeight="1">
      <c r="A205" s="4" t="s">
        <v>1896</v>
      </c>
      <c r="B205" s="4" t="s">
        <v>1535</v>
      </c>
      <c r="C205" s="4" t="s">
        <v>1536</v>
      </c>
      <c r="D205" s="4" t="s">
        <v>86</v>
      </c>
      <c r="E205" s="4" t="s">
        <v>270</v>
      </c>
      <c r="F205" s="4">
        <v>4.0</v>
      </c>
      <c r="G205" s="4">
        <v>14.8</v>
      </c>
      <c r="H205" s="4">
        <v>0.82</v>
      </c>
      <c r="I205" s="11">
        <v>0.322</v>
      </c>
      <c r="J205" s="4">
        <v>1.84</v>
      </c>
      <c r="K205" s="18">
        <f t="array" ref="K205">IF(H205&lt;&gt;"",H205,IFERROR(G205/INDEX(Players!$M$2:$M$127,MATCH(B205,Players!$A$2:$A$127,0)),""))</f>
        <v>0.82</v>
      </c>
    </row>
    <row r="206" ht="15.75" customHeight="1">
      <c r="A206" s="4" t="s">
        <v>1897</v>
      </c>
      <c r="B206" s="4" t="s">
        <v>1535</v>
      </c>
      <c r="C206" s="4" t="s">
        <v>1536</v>
      </c>
      <c r="D206" s="4" t="s">
        <v>86</v>
      </c>
      <c r="E206" s="4" t="s">
        <v>276</v>
      </c>
      <c r="F206" s="4">
        <v>4.0</v>
      </c>
      <c r="G206" s="4">
        <v>11.5</v>
      </c>
      <c r="H206" s="4">
        <v>0.61</v>
      </c>
      <c r="I206" s="11">
        <v>0.326</v>
      </c>
      <c r="J206" s="4">
        <v>0.81</v>
      </c>
      <c r="K206" s="18">
        <f t="array" ref="K206">IF(H206&lt;&gt;"",H206,IFERROR(G206/INDEX(Players!$M$2:$M$127,MATCH(B206,Players!$A$2:$A$127,0)),""))</f>
        <v>0.61</v>
      </c>
    </row>
    <row r="207" ht="15.75" customHeight="1">
      <c r="A207" s="4" t="s">
        <v>1898</v>
      </c>
      <c r="B207" s="4" t="s">
        <v>1535</v>
      </c>
      <c r="C207" s="4" t="s">
        <v>1536</v>
      </c>
      <c r="D207" s="4" t="s">
        <v>86</v>
      </c>
      <c r="E207" s="4" t="s">
        <v>112</v>
      </c>
      <c r="F207" s="4">
        <v>3.0</v>
      </c>
      <c r="G207" s="4">
        <v>16.0</v>
      </c>
      <c r="H207" s="4">
        <v>0.8</v>
      </c>
      <c r="I207" s="11">
        <v>0.354</v>
      </c>
      <c r="J207" s="4">
        <v>1.71</v>
      </c>
      <c r="K207" s="18">
        <f t="array" ref="K207">IF(H207&lt;&gt;"",H207,IFERROR(G207/INDEX(Players!$M$2:$M$127,MATCH(B207,Players!$A$2:$A$127,0)),""))</f>
        <v>0.8</v>
      </c>
    </row>
    <row r="208" ht="15.75" customHeight="1">
      <c r="A208" s="4" t="s">
        <v>1899</v>
      </c>
      <c r="B208" s="4" t="s">
        <v>1535</v>
      </c>
      <c r="C208" s="4" t="s">
        <v>1536</v>
      </c>
      <c r="D208" s="4" t="s">
        <v>86</v>
      </c>
      <c r="E208" s="4" t="s">
        <v>110</v>
      </c>
      <c r="F208" s="4">
        <v>1.0</v>
      </c>
      <c r="G208" s="4">
        <v>16.0</v>
      </c>
      <c r="H208" s="4">
        <v>0.7</v>
      </c>
      <c r="I208" s="11">
        <v>0.4379999999999999</v>
      </c>
      <c r="J208" s="4">
        <v>0.94</v>
      </c>
      <c r="K208" s="18">
        <f t="array" ref="K208">IF(H208&lt;&gt;"",H208,IFERROR(G208/INDEX(Players!$M$2:$M$127,MATCH(B208,Players!$A$2:$A$127,0)),""))</f>
        <v>0.7</v>
      </c>
    </row>
    <row r="209" ht="15.75" customHeight="1">
      <c r="A209" s="4" t="s">
        <v>1900</v>
      </c>
      <c r="B209" s="4" t="s">
        <v>1339</v>
      </c>
      <c r="C209" s="4" t="s">
        <v>1340</v>
      </c>
      <c r="D209" s="4" t="s">
        <v>86</v>
      </c>
      <c r="E209" s="4" t="s">
        <v>276</v>
      </c>
      <c r="F209" s="4">
        <v>7.0</v>
      </c>
      <c r="G209" s="4">
        <v>18.6</v>
      </c>
      <c r="H209" s="4">
        <v>0.8</v>
      </c>
      <c r="I209" s="11">
        <v>0.662</v>
      </c>
      <c r="J209" s="4">
        <v>1.21</v>
      </c>
      <c r="K209" s="18">
        <f t="array" ref="K209">IF(H209&lt;&gt;"",H209,IFERROR(G209/INDEX(Players!$M$2:$M$127,MATCH(B209,Players!$A$2:$A$127,0)),""))</f>
        <v>0.8</v>
      </c>
    </row>
    <row r="210" ht="15.75" customHeight="1">
      <c r="A210" s="4" t="s">
        <v>1901</v>
      </c>
      <c r="B210" s="4" t="s">
        <v>1339</v>
      </c>
      <c r="C210" s="4" t="s">
        <v>1340</v>
      </c>
      <c r="D210" s="4" t="s">
        <v>86</v>
      </c>
      <c r="E210" s="4" t="s">
        <v>112</v>
      </c>
      <c r="F210" s="4">
        <v>6.0</v>
      </c>
      <c r="G210" s="4">
        <v>20.7</v>
      </c>
      <c r="H210" s="4">
        <v>0.79</v>
      </c>
      <c r="I210" s="11">
        <v>0.556</v>
      </c>
      <c r="J210" s="4">
        <v>1.25</v>
      </c>
      <c r="K210" s="18">
        <f t="array" ref="K210">IF(H210&lt;&gt;"",H210,IFERROR(G210/INDEX(Players!$M$2:$M$127,MATCH(B210,Players!$A$2:$A$127,0)),""))</f>
        <v>0.79</v>
      </c>
    </row>
    <row r="211" ht="15.75" customHeight="1">
      <c r="A211" s="4" t="s">
        <v>1902</v>
      </c>
      <c r="B211" s="4" t="s">
        <v>1339</v>
      </c>
      <c r="C211" s="4" t="s">
        <v>1340</v>
      </c>
      <c r="D211" s="4" t="s">
        <v>86</v>
      </c>
      <c r="E211" s="4" t="s">
        <v>110</v>
      </c>
      <c r="F211" s="4">
        <v>5.0</v>
      </c>
      <c r="G211" s="4">
        <v>17.2</v>
      </c>
      <c r="H211" s="4">
        <v>0.85</v>
      </c>
      <c r="I211" s="11">
        <v>0.5579999999999999</v>
      </c>
      <c r="J211" s="4">
        <v>1.69</v>
      </c>
      <c r="K211" s="18">
        <f t="array" ref="K211">IF(H211&lt;&gt;"",H211,IFERROR(G211/INDEX(Players!$M$2:$M$127,MATCH(B211,Players!$A$2:$A$127,0)),""))</f>
        <v>0.85</v>
      </c>
    </row>
    <row r="212" ht="15.75" customHeight="1">
      <c r="A212" s="4" t="s">
        <v>1903</v>
      </c>
      <c r="B212" s="4" t="s">
        <v>1339</v>
      </c>
      <c r="C212" s="4" t="s">
        <v>1340</v>
      </c>
      <c r="D212" s="4" t="s">
        <v>86</v>
      </c>
      <c r="E212" s="4" t="s">
        <v>113</v>
      </c>
      <c r="F212" s="4">
        <v>5.0</v>
      </c>
      <c r="G212" s="4">
        <v>15.4</v>
      </c>
      <c r="H212" s="4">
        <v>0.77</v>
      </c>
      <c r="I212" s="11">
        <v>0.597</v>
      </c>
      <c r="J212" s="4">
        <v>1.12</v>
      </c>
      <c r="K212" s="18">
        <f t="array" ref="K212">IF(H212&lt;&gt;"",H212,IFERROR(G212/INDEX(Players!$M$2:$M$127,MATCH(B212,Players!$A$2:$A$127,0)),""))</f>
        <v>0.77</v>
      </c>
    </row>
    <row r="213" ht="15.75" customHeight="1">
      <c r="A213" s="4" t="s">
        <v>1904</v>
      </c>
      <c r="B213" s="4" t="s">
        <v>1339</v>
      </c>
      <c r="C213" s="4" t="s">
        <v>1340</v>
      </c>
      <c r="D213" s="4" t="s">
        <v>86</v>
      </c>
      <c r="E213" s="4" t="s">
        <v>250</v>
      </c>
      <c r="F213" s="4">
        <v>4.0</v>
      </c>
      <c r="G213" s="4">
        <v>16.0</v>
      </c>
      <c r="H213" s="4">
        <v>0.73</v>
      </c>
      <c r="I213" s="11">
        <v>0.609</v>
      </c>
      <c r="J213" s="4">
        <v>1.08</v>
      </c>
      <c r="K213" s="18">
        <f t="array" ref="K213">IF(H213&lt;&gt;"",H213,IFERROR(G213/INDEX(Players!$M$2:$M$127,MATCH(B213,Players!$A$2:$A$127,0)),""))</f>
        <v>0.73</v>
      </c>
    </row>
    <row r="214" ht="15.75" customHeight="1">
      <c r="A214" s="4" t="s">
        <v>1905</v>
      </c>
      <c r="B214" s="4" t="s">
        <v>1339</v>
      </c>
      <c r="C214" s="4" t="s">
        <v>1340</v>
      </c>
      <c r="D214" s="4" t="s">
        <v>86</v>
      </c>
      <c r="E214" s="4" t="s">
        <v>270</v>
      </c>
      <c r="F214" s="4">
        <v>2.0</v>
      </c>
      <c r="G214" s="4">
        <v>19.5</v>
      </c>
      <c r="H214" s="4">
        <v>0.91</v>
      </c>
      <c r="I214" s="11">
        <v>0.6409999999999999</v>
      </c>
      <c r="J214" s="4">
        <v>1.56</v>
      </c>
      <c r="K214" s="18">
        <f t="array" ref="K214">IF(H214&lt;&gt;"",H214,IFERROR(G214/INDEX(Players!$M$2:$M$127,MATCH(B214,Players!$A$2:$A$127,0)),""))</f>
        <v>0.91</v>
      </c>
    </row>
    <row r="215" ht="15.75" customHeight="1">
      <c r="A215" s="4" t="s">
        <v>1906</v>
      </c>
      <c r="B215" s="4" t="s">
        <v>1538</v>
      </c>
      <c r="C215" s="4" t="s">
        <v>1539</v>
      </c>
      <c r="D215" s="4" t="s">
        <v>86</v>
      </c>
      <c r="E215" s="4" t="s">
        <v>250</v>
      </c>
      <c r="F215" s="4">
        <v>7.0</v>
      </c>
      <c r="G215" s="4">
        <v>11.9</v>
      </c>
      <c r="H215" s="4">
        <v>0.5</v>
      </c>
      <c r="I215" s="11">
        <v>0.482</v>
      </c>
      <c r="J215" s="4">
        <v>0.73</v>
      </c>
      <c r="K215" s="18">
        <f t="array" ref="K215">IF(H215&lt;&gt;"",H215,IFERROR(G215/INDEX(Players!$M$2:$M$127,MATCH(B215,Players!$A$2:$A$127,0)),""))</f>
        <v>0.5</v>
      </c>
    </row>
    <row r="216" ht="15.75" customHeight="1">
      <c r="A216" s="4" t="s">
        <v>1907</v>
      </c>
      <c r="B216" s="4" t="s">
        <v>1538</v>
      </c>
      <c r="C216" s="4" t="s">
        <v>1539</v>
      </c>
      <c r="D216" s="4" t="s">
        <v>86</v>
      </c>
      <c r="E216" s="4" t="s">
        <v>262</v>
      </c>
      <c r="F216" s="4">
        <v>6.0</v>
      </c>
      <c r="G216" s="4">
        <v>15.2</v>
      </c>
      <c r="H216" s="4">
        <v>0.74</v>
      </c>
      <c r="I216" s="11">
        <v>0.484</v>
      </c>
      <c r="J216" s="4">
        <v>1.02</v>
      </c>
      <c r="K216" s="18">
        <f t="array" ref="K216">IF(H216&lt;&gt;"",H216,IFERROR(G216/INDEX(Players!$M$2:$M$127,MATCH(B216,Players!$A$2:$A$127,0)),""))</f>
        <v>0.74</v>
      </c>
    </row>
    <row r="217" ht="15.75" customHeight="1">
      <c r="A217" s="4" t="s">
        <v>1908</v>
      </c>
      <c r="B217" s="4" t="s">
        <v>1538</v>
      </c>
      <c r="C217" s="4" t="s">
        <v>1539</v>
      </c>
      <c r="D217" s="4" t="s">
        <v>86</v>
      </c>
      <c r="E217" s="4" t="s">
        <v>113</v>
      </c>
      <c r="F217" s="4">
        <v>6.0</v>
      </c>
      <c r="G217" s="4">
        <v>12.0</v>
      </c>
      <c r="H217" s="4">
        <v>0.56</v>
      </c>
      <c r="I217" s="11">
        <v>0.528</v>
      </c>
      <c r="J217" s="4">
        <v>0.95</v>
      </c>
      <c r="K217" s="18">
        <f t="array" ref="K217">IF(H217&lt;&gt;"",H217,IFERROR(G217/INDEX(Players!$M$2:$M$127,MATCH(B217,Players!$A$2:$A$127,0)),""))</f>
        <v>0.56</v>
      </c>
    </row>
    <row r="218" ht="15.75" customHeight="1">
      <c r="A218" s="4" t="s">
        <v>1909</v>
      </c>
      <c r="B218" s="4" t="s">
        <v>1538</v>
      </c>
      <c r="C218" s="4" t="s">
        <v>1539</v>
      </c>
      <c r="D218" s="4" t="s">
        <v>86</v>
      </c>
      <c r="E218" s="4" t="s">
        <v>270</v>
      </c>
      <c r="F218" s="4">
        <v>4.0</v>
      </c>
      <c r="G218" s="4">
        <v>8.8</v>
      </c>
      <c r="H218" s="4">
        <v>0.49</v>
      </c>
      <c r="I218" s="11">
        <v>0.5710000000000001</v>
      </c>
      <c r="J218" s="4">
        <v>0.95</v>
      </c>
      <c r="K218" s="18">
        <f t="array" ref="K218">IF(H218&lt;&gt;"",H218,IFERROR(G218/INDEX(Players!$M$2:$M$127,MATCH(B218,Players!$A$2:$A$127,0)),""))</f>
        <v>0.49</v>
      </c>
    </row>
    <row r="219" ht="15.75" customHeight="1">
      <c r="A219" s="4" t="s">
        <v>1910</v>
      </c>
      <c r="B219" s="4" t="s">
        <v>1538</v>
      </c>
      <c r="C219" s="4" t="s">
        <v>1539</v>
      </c>
      <c r="D219" s="4" t="s">
        <v>86</v>
      </c>
      <c r="E219" s="4" t="s">
        <v>276</v>
      </c>
      <c r="F219" s="4">
        <v>4.0</v>
      </c>
      <c r="G219" s="4">
        <v>12.8</v>
      </c>
      <c r="H219" s="4">
        <v>0.67</v>
      </c>
      <c r="I219" s="11">
        <v>0.647</v>
      </c>
      <c r="J219" s="4">
        <v>0.89</v>
      </c>
      <c r="K219" s="18">
        <f t="array" ref="K219">IF(H219&lt;&gt;"",H219,IFERROR(G219/INDEX(Players!$M$2:$M$127,MATCH(B219,Players!$A$2:$A$127,0)),""))</f>
        <v>0.67</v>
      </c>
    </row>
    <row r="220" ht="15.75" customHeight="1">
      <c r="A220" s="4" t="s">
        <v>1911</v>
      </c>
      <c r="B220" s="4" t="s">
        <v>1538</v>
      </c>
      <c r="C220" s="4" t="s">
        <v>1539</v>
      </c>
      <c r="D220" s="4" t="s">
        <v>86</v>
      </c>
      <c r="E220" s="4" t="s">
        <v>112</v>
      </c>
      <c r="F220" s="4">
        <v>3.0</v>
      </c>
      <c r="G220" s="4">
        <v>10.7</v>
      </c>
      <c r="H220" s="4">
        <v>0.53</v>
      </c>
      <c r="I220" s="11">
        <v>0.594</v>
      </c>
      <c r="J220" s="4">
        <v>0.78</v>
      </c>
      <c r="K220" s="18">
        <f t="array" ref="K220">IF(H220&lt;&gt;"",H220,IFERROR(G220/INDEX(Players!$M$2:$M$127,MATCH(B220,Players!$A$2:$A$127,0)),""))</f>
        <v>0.53</v>
      </c>
    </row>
    <row r="221" ht="15.75" customHeight="1">
      <c r="A221" s="4" t="s">
        <v>1912</v>
      </c>
      <c r="B221" s="4" t="s">
        <v>1538</v>
      </c>
      <c r="C221" s="4" t="s">
        <v>1539</v>
      </c>
      <c r="D221" s="4" t="s">
        <v>86</v>
      </c>
      <c r="E221" s="4" t="s">
        <v>110</v>
      </c>
      <c r="F221" s="4">
        <v>1.0</v>
      </c>
      <c r="G221" s="4">
        <v>14.0</v>
      </c>
      <c r="H221" s="4">
        <v>0.61</v>
      </c>
      <c r="I221" s="11">
        <v>0.643</v>
      </c>
      <c r="J221" s="4">
        <v>0.82</v>
      </c>
      <c r="K221" s="18">
        <f t="array" ref="K221">IF(H221&lt;&gt;"",H221,IFERROR(G221/INDEX(Players!$M$2:$M$127,MATCH(B221,Players!$A$2:$A$127,0)),""))</f>
        <v>0.61</v>
      </c>
    </row>
    <row r="222" ht="15.75" customHeight="1">
      <c r="A222" s="4" t="s">
        <v>1913</v>
      </c>
      <c r="B222" s="4" t="s">
        <v>1551</v>
      </c>
      <c r="C222" s="4" t="s">
        <v>1552</v>
      </c>
      <c r="D222" s="4" t="s">
        <v>86</v>
      </c>
      <c r="E222" s="4" t="s">
        <v>110</v>
      </c>
      <c r="F222" s="4">
        <v>9.0</v>
      </c>
      <c r="G222" s="4">
        <v>13.7</v>
      </c>
      <c r="H222" s="4">
        <v>0.66</v>
      </c>
      <c r="I222" s="11">
        <v>0.398</v>
      </c>
      <c r="J222" s="4">
        <v>1.12</v>
      </c>
      <c r="K222" s="18">
        <f t="array" ref="K222">IF(H222&lt;&gt;"",H222,IFERROR(G222/INDEX(Players!$M$2:$M$127,MATCH(B222,Players!$A$2:$A$127,0)),""))</f>
        <v>0.66</v>
      </c>
    </row>
    <row r="223" ht="15.75" customHeight="1">
      <c r="A223" s="4" t="s">
        <v>1921</v>
      </c>
      <c r="B223" s="4" t="s">
        <v>1551</v>
      </c>
      <c r="C223" s="4" t="s">
        <v>1552</v>
      </c>
      <c r="D223" s="4" t="s">
        <v>86</v>
      </c>
      <c r="E223" s="4" t="s">
        <v>276</v>
      </c>
      <c r="F223" s="4">
        <v>5.0</v>
      </c>
      <c r="G223" s="4">
        <v>15.0</v>
      </c>
      <c r="H223" s="4">
        <v>0.78</v>
      </c>
      <c r="I223" s="11">
        <v>0.347</v>
      </c>
      <c r="J223" s="4">
        <v>1.29</v>
      </c>
      <c r="K223" s="18">
        <f t="array" ref="K223">IF(H223&lt;&gt;"",H223,IFERROR(G223/INDEX(Players!$M$2:$M$127,MATCH(B223,Players!$A$2:$A$127,0)),""))</f>
        <v>0.78</v>
      </c>
    </row>
    <row r="224" ht="15.75" customHeight="1">
      <c r="A224" s="4" t="s">
        <v>1924</v>
      </c>
      <c r="B224" s="4" t="s">
        <v>1551</v>
      </c>
      <c r="C224" s="4" t="s">
        <v>1552</v>
      </c>
      <c r="D224" s="4" t="s">
        <v>86</v>
      </c>
      <c r="E224" s="4" t="s">
        <v>262</v>
      </c>
      <c r="F224" s="4">
        <v>5.0</v>
      </c>
      <c r="G224" s="4">
        <v>20.4</v>
      </c>
      <c r="H224" s="4">
        <v>0.77</v>
      </c>
      <c r="I224" s="11">
        <v>0.363</v>
      </c>
      <c r="J224" s="4">
        <v>1.2</v>
      </c>
      <c r="K224" s="18">
        <f t="array" ref="K224">IF(H224&lt;&gt;"",H224,IFERROR(G224/INDEX(Players!$M$2:$M$127,MATCH(B224,Players!$A$2:$A$127,0)),""))</f>
        <v>0.77</v>
      </c>
    </row>
    <row r="225" ht="15.75" customHeight="1">
      <c r="A225" s="4" t="s">
        <v>1925</v>
      </c>
      <c r="B225" s="4" t="s">
        <v>1551</v>
      </c>
      <c r="C225" s="4" t="s">
        <v>1552</v>
      </c>
      <c r="D225" s="4" t="s">
        <v>86</v>
      </c>
      <c r="E225" s="4" t="s">
        <v>112</v>
      </c>
      <c r="F225" s="4">
        <v>3.0</v>
      </c>
      <c r="G225" s="4">
        <v>16.0</v>
      </c>
      <c r="H225" s="4">
        <v>0.79</v>
      </c>
      <c r="I225" s="11">
        <v>0.229</v>
      </c>
      <c r="J225" s="4">
        <v>1.23</v>
      </c>
      <c r="K225" s="18">
        <f t="array" ref="K225">IF(H225&lt;&gt;"",H225,IFERROR(G225/INDEX(Players!$M$2:$M$127,MATCH(B225,Players!$A$2:$A$127,0)),""))</f>
        <v>0.79</v>
      </c>
    </row>
    <row r="226" ht="15.75" customHeight="1">
      <c r="A226" s="4" t="s">
        <v>1927</v>
      </c>
      <c r="B226" s="4" t="s">
        <v>1551</v>
      </c>
      <c r="C226" s="4" t="s">
        <v>1552</v>
      </c>
      <c r="D226" s="4" t="s">
        <v>86</v>
      </c>
      <c r="E226" s="4" t="s">
        <v>113</v>
      </c>
      <c r="F226" s="4">
        <v>3.0</v>
      </c>
      <c r="G226" s="4">
        <v>13.7</v>
      </c>
      <c r="H226" s="4">
        <v>0.66</v>
      </c>
      <c r="I226" s="11">
        <v>0.341</v>
      </c>
      <c r="J226" s="4">
        <v>0.95</v>
      </c>
      <c r="K226" s="18">
        <f t="array" ref="K226">IF(H226&lt;&gt;"",H226,IFERROR(G226/INDEX(Players!$M$2:$M$127,MATCH(B226,Players!$A$2:$A$127,0)),""))</f>
        <v>0.66</v>
      </c>
    </row>
    <row r="227" ht="15.75" customHeight="1">
      <c r="A227" s="4" t="s">
        <v>1929</v>
      </c>
      <c r="B227" s="4" t="s">
        <v>1551</v>
      </c>
      <c r="C227" s="4" t="s">
        <v>1552</v>
      </c>
      <c r="D227" s="4" t="s">
        <v>86</v>
      </c>
      <c r="E227" s="4" t="s">
        <v>250</v>
      </c>
      <c r="F227" s="4">
        <v>2.0</v>
      </c>
      <c r="G227" s="4">
        <v>19.5</v>
      </c>
      <c r="H227" s="4">
        <v>0.89</v>
      </c>
      <c r="I227" s="11">
        <v>0.308</v>
      </c>
      <c r="J227" s="4">
        <v>1.44</v>
      </c>
      <c r="K227" s="18">
        <f t="array" ref="K227">IF(H227&lt;&gt;"",H227,IFERROR(G227/INDEX(Players!$M$2:$M$127,MATCH(B227,Players!$A$2:$A$127,0)),""))</f>
        <v>0.89</v>
      </c>
    </row>
    <row r="228" ht="15.75" customHeight="1">
      <c r="A228" s="4" t="s">
        <v>1930</v>
      </c>
      <c r="B228" s="4" t="s">
        <v>1359</v>
      </c>
      <c r="C228" s="4" t="s">
        <v>1360</v>
      </c>
      <c r="D228" s="4" t="s">
        <v>86</v>
      </c>
      <c r="E228" s="4" t="s">
        <v>110</v>
      </c>
      <c r="F228" s="4">
        <v>7.0</v>
      </c>
      <c r="G228" s="4">
        <v>14.4</v>
      </c>
      <c r="H228" s="4">
        <v>0.58</v>
      </c>
      <c r="I228" s="11">
        <v>0.356</v>
      </c>
      <c r="J228" s="4">
        <v>0.9</v>
      </c>
      <c r="K228" s="18">
        <f t="array" ref="K228">IF(H228&lt;&gt;"",H228,IFERROR(G228/INDEX(Players!$M$2:$M$127,MATCH(B228,Players!$A$2:$A$127,0)),""))</f>
        <v>0.58</v>
      </c>
    </row>
    <row r="229" ht="15.75" customHeight="1">
      <c r="A229" s="4" t="s">
        <v>1931</v>
      </c>
      <c r="B229" s="4" t="s">
        <v>1359</v>
      </c>
      <c r="C229" s="4" t="s">
        <v>1360</v>
      </c>
      <c r="D229" s="4" t="s">
        <v>86</v>
      </c>
      <c r="E229" s="4" t="s">
        <v>112</v>
      </c>
      <c r="F229" s="4">
        <v>5.0</v>
      </c>
      <c r="G229" s="4">
        <v>14.2</v>
      </c>
      <c r="H229" s="4">
        <v>0.62</v>
      </c>
      <c r="I229" s="11">
        <v>0.31</v>
      </c>
      <c r="J229" s="4">
        <v>0.97</v>
      </c>
      <c r="K229" s="18">
        <f t="array" ref="K229">IF(H229&lt;&gt;"",H229,IFERROR(G229/INDEX(Players!$M$2:$M$127,MATCH(B229,Players!$A$2:$A$127,0)),""))</f>
        <v>0.62</v>
      </c>
    </row>
    <row r="230" ht="15.75" customHeight="1">
      <c r="A230" s="4" t="s">
        <v>1932</v>
      </c>
      <c r="B230" s="4" t="s">
        <v>1359</v>
      </c>
      <c r="C230" s="4" t="s">
        <v>1360</v>
      </c>
      <c r="D230" s="4" t="s">
        <v>86</v>
      </c>
      <c r="E230" s="4" t="s">
        <v>250</v>
      </c>
      <c r="F230" s="4">
        <v>5.0</v>
      </c>
      <c r="G230" s="4">
        <v>17.2</v>
      </c>
      <c r="H230" s="4">
        <v>0.61</v>
      </c>
      <c r="I230" s="11">
        <v>0.291</v>
      </c>
      <c r="J230" s="4">
        <v>0.96</v>
      </c>
      <c r="K230" s="18">
        <f t="array" ref="K230">IF(H230&lt;&gt;"",H230,IFERROR(G230/INDEX(Players!$M$2:$M$127,MATCH(B230,Players!$A$2:$A$127,0)),""))</f>
        <v>0.61</v>
      </c>
    </row>
    <row r="231" ht="15.75" customHeight="1">
      <c r="A231" s="4" t="s">
        <v>1933</v>
      </c>
      <c r="B231" s="4" t="s">
        <v>1359</v>
      </c>
      <c r="C231" s="4" t="s">
        <v>1360</v>
      </c>
      <c r="D231" s="4" t="s">
        <v>86</v>
      </c>
      <c r="E231" s="4" t="s">
        <v>270</v>
      </c>
      <c r="F231" s="4">
        <v>4.0</v>
      </c>
      <c r="G231" s="4">
        <v>16.5</v>
      </c>
      <c r="H231" s="4">
        <v>0.67</v>
      </c>
      <c r="I231" s="11">
        <v>0.394</v>
      </c>
      <c r="J231" s="4">
        <v>0.96</v>
      </c>
      <c r="K231" s="18">
        <f t="array" ref="K231">IF(H231&lt;&gt;"",H231,IFERROR(G231/INDEX(Players!$M$2:$M$127,MATCH(B231,Players!$A$2:$A$127,0)),""))</f>
        <v>0.67</v>
      </c>
    </row>
    <row r="232" ht="15.75" customHeight="1">
      <c r="A232" s="4" t="s">
        <v>1934</v>
      </c>
      <c r="B232" s="4" t="s">
        <v>1359</v>
      </c>
      <c r="C232" s="4" t="s">
        <v>1360</v>
      </c>
      <c r="D232" s="4" t="s">
        <v>86</v>
      </c>
      <c r="E232" s="4" t="s">
        <v>276</v>
      </c>
      <c r="F232" s="4">
        <v>3.0</v>
      </c>
      <c r="G232" s="4">
        <v>14.7</v>
      </c>
      <c r="H232" s="4">
        <v>0.81</v>
      </c>
      <c r="I232" s="11">
        <v>0.318</v>
      </c>
      <c r="J232" s="4">
        <v>1.26</v>
      </c>
      <c r="K232" s="18">
        <f t="array" ref="K232">IF(H232&lt;&gt;"",H232,IFERROR(G232/INDEX(Players!$M$2:$M$127,MATCH(B232,Players!$A$2:$A$127,0)),""))</f>
        <v>0.81</v>
      </c>
    </row>
    <row r="233" ht="15.75" customHeight="1">
      <c r="A233" s="4" t="s">
        <v>1935</v>
      </c>
      <c r="B233" s="4" t="s">
        <v>1359</v>
      </c>
      <c r="C233" s="4" t="s">
        <v>1360</v>
      </c>
      <c r="D233" s="4" t="s">
        <v>86</v>
      </c>
      <c r="E233" s="4" t="s">
        <v>262</v>
      </c>
      <c r="F233" s="4">
        <v>3.0</v>
      </c>
      <c r="G233" s="4">
        <v>15.3</v>
      </c>
      <c r="H233" s="4">
        <v>0.73</v>
      </c>
      <c r="I233" s="11">
        <v>0.37</v>
      </c>
      <c r="J233" s="4">
        <v>0.98</v>
      </c>
      <c r="K233" s="18">
        <f t="array" ref="K233">IF(H233&lt;&gt;"",H233,IFERROR(G233/INDEX(Players!$M$2:$M$127,MATCH(B233,Players!$A$2:$A$127,0)),""))</f>
        <v>0.73</v>
      </c>
    </row>
    <row r="234" ht="15.75" customHeight="1">
      <c r="A234" s="4" t="s">
        <v>1936</v>
      </c>
      <c r="B234" s="4" t="s">
        <v>1359</v>
      </c>
      <c r="C234" s="4" t="s">
        <v>1360</v>
      </c>
      <c r="D234" s="4" t="s">
        <v>86</v>
      </c>
      <c r="E234" s="4" t="s">
        <v>113</v>
      </c>
      <c r="F234" s="4">
        <v>3.0</v>
      </c>
      <c r="G234" s="4">
        <v>10.3</v>
      </c>
      <c r="H234" s="4">
        <v>0.56</v>
      </c>
      <c r="I234" s="11">
        <v>0.5479999999999999</v>
      </c>
      <c r="J234" s="4">
        <v>0.7</v>
      </c>
      <c r="K234" s="18">
        <f t="array" ref="K234">IF(H234&lt;&gt;"",H234,IFERROR(G234/INDEX(Players!$M$2:$M$127,MATCH(B234,Players!$A$2:$A$127,0)),""))</f>
        <v>0.56</v>
      </c>
    </row>
    <row r="235" ht="15.75" customHeight="1">
      <c r="A235" s="4" t="s">
        <v>1937</v>
      </c>
      <c r="B235" s="4" t="s">
        <v>1522</v>
      </c>
      <c r="C235" s="4" t="s">
        <v>1523</v>
      </c>
      <c r="D235" s="4" t="s">
        <v>86</v>
      </c>
      <c r="E235" s="4" t="s">
        <v>110</v>
      </c>
      <c r="F235" s="4">
        <v>8.0</v>
      </c>
      <c r="G235" s="4">
        <v>13.8</v>
      </c>
      <c r="H235" s="4">
        <v>0.67</v>
      </c>
      <c r="I235" s="11">
        <v>0.427</v>
      </c>
      <c r="J235" s="4">
        <v>0.95</v>
      </c>
      <c r="K235" s="18">
        <f t="array" ref="K235">IF(H235&lt;&gt;"",H235,IFERROR(G235/INDEX(Players!$M$2:$M$127,MATCH(B235,Players!$A$2:$A$127,0)),""))</f>
        <v>0.67</v>
      </c>
    </row>
    <row r="236" ht="15.75" customHeight="1">
      <c r="A236" s="4" t="s">
        <v>1938</v>
      </c>
      <c r="B236" s="4" t="s">
        <v>1522</v>
      </c>
      <c r="C236" s="4" t="s">
        <v>1523</v>
      </c>
      <c r="D236" s="4" t="s">
        <v>86</v>
      </c>
      <c r="E236" s="4" t="s">
        <v>270</v>
      </c>
      <c r="F236" s="4">
        <v>8.0</v>
      </c>
      <c r="G236" s="4">
        <v>12.5</v>
      </c>
      <c r="H236" s="4">
        <v>0.62</v>
      </c>
      <c r="I236" s="11">
        <v>0.51</v>
      </c>
      <c r="J236" s="4">
        <v>0.89</v>
      </c>
      <c r="K236" s="18">
        <f t="array" ref="K236">IF(H236&lt;&gt;"",H236,IFERROR(G236/INDEX(Players!$M$2:$M$127,MATCH(B236,Players!$A$2:$A$127,0)),""))</f>
        <v>0.62</v>
      </c>
    </row>
    <row r="237" ht="15.75" customHeight="1">
      <c r="A237" s="4" t="s">
        <v>1939</v>
      </c>
      <c r="B237" s="4" t="s">
        <v>1522</v>
      </c>
      <c r="C237" s="4" t="s">
        <v>1523</v>
      </c>
      <c r="D237" s="4" t="s">
        <v>86</v>
      </c>
      <c r="E237" s="4" t="s">
        <v>250</v>
      </c>
      <c r="F237" s="4">
        <v>6.0</v>
      </c>
      <c r="G237" s="4">
        <v>12.5</v>
      </c>
      <c r="H237" s="4">
        <v>0.61</v>
      </c>
      <c r="I237" s="11">
        <v>0.44</v>
      </c>
      <c r="J237" s="4">
        <v>0.84</v>
      </c>
      <c r="K237" s="18">
        <f t="array" ref="K237">IF(H237&lt;&gt;"",H237,IFERROR(G237/INDEX(Players!$M$2:$M$127,MATCH(B237,Players!$A$2:$A$127,0)),""))</f>
        <v>0.61</v>
      </c>
    </row>
    <row r="238" ht="15.75" customHeight="1">
      <c r="A238" s="4" t="s">
        <v>1940</v>
      </c>
      <c r="B238" s="4" t="s">
        <v>1522</v>
      </c>
      <c r="C238" s="4" t="s">
        <v>1523</v>
      </c>
      <c r="D238" s="4" t="s">
        <v>86</v>
      </c>
      <c r="E238" s="4" t="s">
        <v>112</v>
      </c>
      <c r="F238" s="4">
        <v>5.0</v>
      </c>
      <c r="G238" s="4">
        <v>17.8</v>
      </c>
      <c r="H238" s="4">
        <v>0.78</v>
      </c>
      <c r="I238" s="11">
        <v>0.461</v>
      </c>
      <c r="J238" s="4">
        <v>1.09</v>
      </c>
      <c r="K238" s="18">
        <f t="array" ref="K238">IF(H238&lt;&gt;"",H238,IFERROR(G238/INDEX(Players!$M$2:$M$127,MATCH(B238,Players!$A$2:$A$127,0)),""))</f>
        <v>0.78</v>
      </c>
    </row>
    <row r="239" ht="15.75" customHeight="1">
      <c r="A239" s="4" t="s">
        <v>1941</v>
      </c>
      <c r="B239" s="4" t="s">
        <v>1522</v>
      </c>
      <c r="C239" s="4" t="s">
        <v>1523</v>
      </c>
      <c r="D239" s="4" t="s">
        <v>86</v>
      </c>
      <c r="E239" s="4" t="s">
        <v>262</v>
      </c>
      <c r="F239" s="4">
        <v>5.0</v>
      </c>
      <c r="G239" s="4">
        <v>13.2</v>
      </c>
      <c r="H239" s="4">
        <v>0.62</v>
      </c>
      <c r="I239" s="11">
        <v>0.53</v>
      </c>
      <c r="J239" s="4">
        <v>0.86</v>
      </c>
      <c r="K239" s="18">
        <f t="array" ref="K239">IF(H239&lt;&gt;"",H239,IFERROR(G239/INDEX(Players!$M$2:$M$127,MATCH(B239,Players!$A$2:$A$127,0)),""))</f>
        <v>0.62</v>
      </c>
    </row>
    <row r="240" ht="15.75" customHeight="1">
      <c r="A240" s="4" t="s">
        <v>1942</v>
      </c>
      <c r="B240" s="4" t="s">
        <v>1522</v>
      </c>
      <c r="C240" s="4" t="s">
        <v>1523</v>
      </c>
      <c r="D240" s="4" t="s">
        <v>86</v>
      </c>
      <c r="E240" s="4" t="s">
        <v>276</v>
      </c>
      <c r="F240" s="4">
        <v>4.0</v>
      </c>
      <c r="G240" s="4">
        <v>14.8</v>
      </c>
      <c r="H240" s="4">
        <v>0.79</v>
      </c>
      <c r="I240" s="11">
        <v>0.475</v>
      </c>
      <c r="J240" s="4">
        <v>1.31</v>
      </c>
      <c r="K240" s="18">
        <f t="array" ref="K240">IF(H240&lt;&gt;"",H240,IFERROR(G240/INDEX(Players!$M$2:$M$127,MATCH(B240,Players!$A$2:$A$127,0)),""))</f>
        <v>0.79</v>
      </c>
    </row>
    <row r="241" ht="15.75" customHeight="1">
      <c r="A241" s="4" t="s">
        <v>1943</v>
      </c>
      <c r="B241" s="4" t="s">
        <v>1522</v>
      </c>
      <c r="C241" s="4" t="s">
        <v>1523</v>
      </c>
      <c r="D241" s="4" t="s">
        <v>86</v>
      </c>
      <c r="E241" s="4" t="s">
        <v>113</v>
      </c>
      <c r="F241" s="4">
        <v>1.0</v>
      </c>
      <c r="G241" s="4">
        <v>14.0</v>
      </c>
      <c r="H241" s="4">
        <v>0.58</v>
      </c>
      <c r="I241" s="11">
        <v>0.7140000000000001</v>
      </c>
      <c r="J241" s="4">
        <v>0.74</v>
      </c>
      <c r="K241" s="18">
        <f t="array" ref="K241">IF(H241&lt;&gt;"",H241,IFERROR(G241/INDEX(Players!$M$2:$M$127,MATCH(B241,Players!$A$2:$A$127,0)),""))</f>
        <v>0.58</v>
      </c>
    </row>
    <row r="242" ht="15.75" customHeight="1">
      <c r="A242" s="4" t="s">
        <v>1944</v>
      </c>
      <c r="B242" s="4" t="s">
        <v>1492</v>
      </c>
      <c r="C242" s="4" t="s">
        <v>1493</v>
      </c>
      <c r="D242" s="4" t="s">
        <v>86</v>
      </c>
      <c r="E242" s="4" t="s">
        <v>113</v>
      </c>
      <c r="F242" s="4">
        <v>7.0</v>
      </c>
      <c r="G242" s="4">
        <v>13.7</v>
      </c>
      <c r="H242" s="4">
        <v>0.66</v>
      </c>
      <c r="I242" s="11">
        <v>0.49</v>
      </c>
      <c r="J242" s="4">
        <v>1.01</v>
      </c>
      <c r="K242" s="18">
        <f t="array" ref="K242">IF(H242&lt;&gt;"",H242,IFERROR(G242/INDEX(Players!$M$2:$M$127,MATCH(B242,Players!$A$2:$A$127,0)),""))</f>
        <v>0.66</v>
      </c>
    </row>
    <row r="243" ht="15.75" customHeight="1">
      <c r="A243" s="4" t="s">
        <v>1945</v>
      </c>
      <c r="B243" s="4" t="s">
        <v>1492</v>
      </c>
      <c r="C243" s="4" t="s">
        <v>1493</v>
      </c>
      <c r="D243" s="4" t="s">
        <v>86</v>
      </c>
      <c r="E243" s="4" t="s">
        <v>110</v>
      </c>
      <c r="F243" s="4">
        <v>5.0</v>
      </c>
      <c r="G243" s="4">
        <v>18.2</v>
      </c>
      <c r="H243" s="4">
        <v>0.78</v>
      </c>
      <c r="I243" s="11">
        <v>0.5379999999999999</v>
      </c>
      <c r="J243" s="4">
        <v>1.49</v>
      </c>
      <c r="K243" s="18">
        <f t="array" ref="K243">IF(H243&lt;&gt;"",H243,IFERROR(G243/INDEX(Players!$M$2:$M$127,MATCH(B243,Players!$A$2:$A$127,0)),""))</f>
        <v>0.78</v>
      </c>
    </row>
    <row r="244" ht="15.75" customHeight="1">
      <c r="A244" s="4" t="s">
        <v>1946</v>
      </c>
      <c r="B244" s="4" t="s">
        <v>1492</v>
      </c>
      <c r="C244" s="4" t="s">
        <v>1493</v>
      </c>
      <c r="D244" s="4" t="s">
        <v>86</v>
      </c>
      <c r="E244" s="4" t="s">
        <v>270</v>
      </c>
      <c r="F244" s="4">
        <v>5.0</v>
      </c>
      <c r="G244" s="4">
        <v>15.4</v>
      </c>
      <c r="H244" s="4">
        <v>0.68</v>
      </c>
      <c r="I244" s="11">
        <v>0.481</v>
      </c>
      <c r="J244" s="4">
        <v>1.22</v>
      </c>
      <c r="K244" s="18">
        <f t="array" ref="K244">IF(H244&lt;&gt;"",H244,IFERROR(G244/INDEX(Players!$M$2:$M$127,MATCH(B244,Players!$A$2:$A$127,0)),""))</f>
        <v>0.68</v>
      </c>
    </row>
    <row r="245" ht="15.75" customHeight="1">
      <c r="A245" s="4" t="s">
        <v>1947</v>
      </c>
      <c r="B245" s="4" t="s">
        <v>1492</v>
      </c>
      <c r="C245" s="4" t="s">
        <v>1493</v>
      </c>
      <c r="D245" s="4" t="s">
        <v>86</v>
      </c>
      <c r="E245" s="4" t="s">
        <v>262</v>
      </c>
      <c r="F245" s="4">
        <v>5.0</v>
      </c>
      <c r="G245" s="4">
        <v>13.0</v>
      </c>
      <c r="H245" s="4">
        <v>0.6</v>
      </c>
      <c r="I245" s="11">
        <v>0.5379999999999999</v>
      </c>
      <c r="J245" s="4">
        <v>0.89</v>
      </c>
      <c r="K245" s="18">
        <f t="array" ref="K245">IF(H245&lt;&gt;"",H245,IFERROR(G245/INDEX(Players!$M$2:$M$127,MATCH(B245,Players!$A$2:$A$127,0)),""))</f>
        <v>0.6</v>
      </c>
    </row>
    <row r="246" ht="15.75" customHeight="1">
      <c r="A246" s="4" t="s">
        <v>1948</v>
      </c>
      <c r="B246" s="4" t="s">
        <v>1492</v>
      </c>
      <c r="C246" s="4" t="s">
        <v>1493</v>
      </c>
      <c r="D246" s="4" t="s">
        <v>86</v>
      </c>
      <c r="E246" s="4" t="s">
        <v>250</v>
      </c>
      <c r="F246" s="4">
        <v>4.0</v>
      </c>
      <c r="G246" s="4">
        <v>16.5</v>
      </c>
      <c r="H246" s="4">
        <v>0.8</v>
      </c>
      <c r="I246" s="11">
        <v>0.5760000000000001</v>
      </c>
      <c r="J246" s="4">
        <v>1.47</v>
      </c>
      <c r="K246" s="18">
        <f t="array" ref="K246">IF(H246&lt;&gt;"",H246,IFERROR(G246/INDEX(Players!$M$2:$M$127,MATCH(B246,Players!$A$2:$A$127,0)),""))</f>
        <v>0.8</v>
      </c>
    </row>
    <row r="247" ht="15.75" customHeight="1">
      <c r="A247" s="4" t="s">
        <v>1949</v>
      </c>
      <c r="B247" s="4" t="s">
        <v>1492</v>
      </c>
      <c r="C247" s="4" t="s">
        <v>1493</v>
      </c>
      <c r="D247" s="4" t="s">
        <v>86</v>
      </c>
      <c r="E247" s="4" t="s">
        <v>276</v>
      </c>
      <c r="F247" s="4">
        <v>4.0</v>
      </c>
      <c r="G247" s="4">
        <v>13.3</v>
      </c>
      <c r="H247" s="4">
        <v>0.66</v>
      </c>
      <c r="I247" s="11">
        <v>0.5660000000000001</v>
      </c>
      <c r="J247" s="4">
        <v>0.98</v>
      </c>
      <c r="K247" s="18">
        <f t="array" ref="K247">IF(H247&lt;&gt;"",H247,IFERROR(G247/INDEX(Players!$M$2:$M$127,MATCH(B247,Players!$A$2:$A$127,0)),""))</f>
        <v>0.66</v>
      </c>
    </row>
    <row r="248" ht="15.75" customHeight="1">
      <c r="A248" s="4" t="s">
        <v>1950</v>
      </c>
      <c r="B248" s="4" t="s">
        <v>1362</v>
      </c>
      <c r="C248" s="4" t="s">
        <v>1363</v>
      </c>
      <c r="D248" s="4" t="s">
        <v>86</v>
      </c>
      <c r="E248" s="4" t="s">
        <v>110</v>
      </c>
      <c r="F248" s="4">
        <v>7.0</v>
      </c>
      <c r="G248" s="4">
        <v>16.1</v>
      </c>
      <c r="H248" s="4">
        <v>0.65</v>
      </c>
      <c r="I248" s="11">
        <v>0.504</v>
      </c>
      <c r="J248" s="4">
        <v>0.98</v>
      </c>
      <c r="K248" s="18">
        <f t="array" ref="K248">IF(H248&lt;&gt;"",H248,IFERROR(G248/INDEX(Players!$M$2:$M$127,MATCH(B248,Players!$A$2:$A$127,0)),""))</f>
        <v>0.65</v>
      </c>
    </row>
    <row r="249" ht="15.75" customHeight="1">
      <c r="A249" s="4" t="s">
        <v>1952</v>
      </c>
      <c r="B249" s="4" t="s">
        <v>1362</v>
      </c>
      <c r="C249" s="4" t="s">
        <v>1363</v>
      </c>
      <c r="D249" s="4" t="s">
        <v>86</v>
      </c>
      <c r="E249" s="4" t="s">
        <v>112</v>
      </c>
      <c r="F249" s="4">
        <v>5.0</v>
      </c>
      <c r="G249" s="4">
        <v>15.2</v>
      </c>
      <c r="H249" s="4">
        <v>0.67</v>
      </c>
      <c r="I249" s="11">
        <v>0.461</v>
      </c>
      <c r="J249" s="4">
        <v>0.95</v>
      </c>
      <c r="K249" s="18">
        <f t="array" ref="K249">IF(H249&lt;&gt;"",H249,IFERROR(G249/INDEX(Players!$M$2:$M$127,MATCH(B249,Players!$A$2:$A$127,0)),""))</f>
        <v>0.67</v>
      </c>
    </row>
    <row r="250" ht="15.75" customHeight="1">
      <c r="A250" s="4" t="s">
        <v>1954</v>
      </c>
      <c r="B250" s="4" t="s">
        <v>1362</v>
      </c>
      <c r="C250" s="4" t="s">
        <v>1363</v>
      </c>
      <c r="D250" s="4" t="s">
        <v>86</v>
      </c>
      <c r="E250" s="4" t="s">
        <v>250</v>
      </c>
      <c r="F250" s="4">
        <v>5.0</v>
      </c>
      <c r="G250" s="4">
        <v>16.8</v>
      </c>
      <c r="H250" s="4">
        <v>0.6</v>
      </c>
      <c r="I250" s="11">
        <v>0.405</v>
      </c>
      <c r="J250" s="4">
        <v>0.87</v>
      </c>
      <c r="K250" s="18">
        <f t="array" ref="K250">IF(H250&lt;&gt;"",H250,IFERROR(G250/INDEX(Players!$M$2:$M$127,MATCH(B250,Players!$A$2:$A$127,0)),""))</f>
        <v>0.6</v>
      </c>
    </row>
    <row r="251" ht="15.75" customHeight="1">
      <c r="A251" s="4" t="s">
        <v>1957</v>
      </c>
      <c r="B251" s="4" t="s">
        <v>1362</v>
      </c>
      <c r="C251" s="4" t="s">
        <v>1363</v>
      </c>
      <c r="D251" s="4" t="s">
        <v>86</v>
      </c>
      <c r="E251" s="4" t="s">
        <v>270</v>
      </c>
      <c r="F251" s="4">
        <v>4.0</v>
      </c>
      <c r="G251" s="4">
        <v>17.5</v>
      </c>
      <c r="H251" s="4">
        <v>0.71</v>
      </c>
      <c r="I251" s="11">
        <v>0.4429999999999999</v>
      </c>
      <c r="J251" s="4">
        <v>1.06</v>
      </c>
      <c r="K251" s="18">
        <f t="array" ref="K251">IF(H251&lt;&gt;"",H251,IFERROR(G251/INDEX(Players!$M$2:$M$127,MATCH(B251,Players!$A$2:$A$127,0)),""))</f>
        <v>0.71</v>
      </c>
    </row>
    <row r="252" ht="15.75" customHeight="1">
      <c r="A252" s="4" t="s">
        <v>1959</v>
      </c>
      <c r="B252" s="4" t="s">
        <v>1362</v>
      </c>
      <c r="C252" s="4" t="s">
        <v>1363</v>
      </c>
      <c r="D252" s="4" t="s">
        <v>86</v>
      </c>
      <c r="E252" s="4" t="s">
        <v>276</v>
      </c>
      <c r="F252" s="4">
        <v>3.0</v>
      </c>
      <c r="G252" s="4">
        <v>12.7</v>
      </c>
      <c r="H252" s="4">
        <v>0.7</v>
      </c>
      <c r="I252" s="11">
        <v>0.395</v>
      </c>
      <c r="J252" s="4">
        <v>1.15</v>
      </c>
      <c r="K252" s="18">
        <f t="array" ref="K252">IF(H252&lt;&gt;"",H252,IFERROR(G252/INDEX(Players!$M$2:$M$127,MATCH(B252,Players!$A$2:$A$127,0)),""))</f>
        <v>0.7</v>
      </c>
    </row>
    <row r="253" ht="15.75" customHeight="1">
      <c r="A253" s="4" t="s">
        <v>1963</v>
      </c>
      <c r="B253" s="4" t="s">
        <v>1362</v>
      </c>
      <c r="C253" s="4" t="s">
        <v>1363</v>
      </c>
      <c r="D253" s="4" t="s">
        <v>86</v>
      </c>
      <c r="E253" s="4" t="s">
        <v>262</v>
      </c>
      <c r="F253" s="4">
        <v>3.0</v>
      </c>
      <c r="G253" s="4">
        <v>13.7</v>
      </c>
      <c r="H253" s="4">
        <v>0.65</v>
      </c>
      <c r="I253" s="11">
        <v>0.512</v>
      </c>
      <c r="J253" s="4">
        <v>0.77</v>
      </c>
      <c r="K253" s="18">
        <f t="array" ref="K253">IF(H253&lt;&gt;"",H253,IFERROR(G253/INDEX(Players!$M$2:$M$127,MATCH(B253,Players!$A$2:$A$127,0)),""))</f>
        <v>0.65</v>
      </c>
    </row>
    <row r="254" ht="15.75" customHeight="1">
      <c r="A254" s="4" t="s">
        <v>1968</v>
      </c>
      <c r="B254" s="4" t="s">
        <v>1362</v>
      </c>
      <c r="C254" s="4" t="s">
        <v>1363</v>
      </c>
      <c r="D254" s="4" t="s">
        <v>86</v>
      </c>
      <c r="E254" s="4" t="s">
        <v>113</v>
      </c>
      <c r="F254" s="4">
        <v>3.0</v>
      </c>
      <c r="G254" s="4">
        <v>8.0</v>
      </c>
      <c r="H254" s="4">
        <v>0.44</v>
      </c>
      <c r="I254" s="11">
        <v>0.708</v>
      </c>
      <c r="J254" s="4">
        <v>0.52</v>
      </c>
      <c r="K254" s="18">
        <f t="array" ref="K254">IF(H254&lt;&gt;"",H254,IFERROR(G254/INDEX(Players!$M$2:$M$127,MATCH(B254,Players!$A$2:$A$127,0)),""))</f>
        <v>0.44</v>
      </c>
    </row>
    <row r="255" ht="15.75" customHeight="1">
      <c r="A255" s="4" t="s">
        <v>1971</v>
      </c>
      <c r="B255" s="4" t="s">
        <v>1343</v>
      </c>
      <c r="C255" s="4" t="s">
        <v>1344</v>
      </c>
      <c r="D255" s="4" t="s">
        <v>86</v>
      </c>
      <c r="E255" s="4" t="s">
        <v>276</v>
      </c>
      <c r="F255" s="4">
        <v>7.0</v>
      </c>
      <c r="G255" s="4">
        <v>16.6</v>
      </c>
      <c r="H255" s="4">
        <v>0.71</v>
      </c>
      <c r="I255" s="11">
        <v>0.56</v>
      </c>
      <c r="J255" s="4">
        <v>1.0</v>
      </c>
      <c r="K255" s="18">
        <f t="array" ref="K255">IF(H255&lt;&gt;"",H255,IFERROR(G255/INDEX(Players!$M$2:$M$127,MATCH(B255,Players!$A$2:$A$127,0)),""))</f>
        <v>0.71</v>
      </c>
    </row>
    <row r="256" ht="15.75" customHeight="1">
      <c r="A256" s="4" t="s">
        <v>1973</v>
      </c>
      <c r="B256" s="4" t="s">
        <v>1343</v>
      </c>
      <c r="C256" s="4" t="s">
        <v>1344</v>
      </c>
      <c r="D256" s="4" t="s">
        <v>86</v>
      </c>
      <c r="E256" s="4" t="s">
        <v>112</v>
      </c>
      <c r="F256" s="4">
        <v>6.0</v>
      </c>
      <c r="G256" s="4">
        <v>18.0</v>
      </c>
      <c r="H256" s="4">
        <v>0.69</v>
      </c>
      <c r="I256" s="11">
        <v>0.565</v>
      </c>
      <c r="J256" s="4">
        <v>1.03</v>
      </c>
      <c r="K256" s="18">
        <f t="array" ref="K256">IF(H256&lt;&gt;"",H256,IFERROR(G256/INDEX(Players!$M$2:$M$127,MATCH(B256,Players!$A$2:$A$127,0)),""))</f>
        <v>0.69</v>
      </c>
    </row>
    <row r="257" ht="15.75" customHeight="1">
      <c r="A257" s="4" t="s">
        <v>1975</v>
      </c>
      <c r="B257" s="4" t="s">
        <v>1343</v>
      </c>
      <c r="C257" s="4" t="s">
        <v>1344</v>
      </c>
      <c r="D257" s="4" t="s">
        <v>86</v>
      </c>
      <c r="E257" s="4" t="s">
        <v>110</v>
      </c>
      <c r="F257" s="4">
        <v>5.0</v>
      </c>
      <c r="G257" s="4">
        <v>17.2</v>
      </c>
      <c r="H257" s="4">
        <v>0.85</v>
      </c>
      <c r="I257" s="11">
        <v>0.547</v>
      </c>
      <c r="J257" s="4">
        <v>1.3</v>
      </c>
      <c r="K257" s="18">
        <f t="array" ref="K257">IF(H257&lt;&gt;"",H257,IFERROR(G257/INDEX(Players!$M$2:$M$127,MATCH(B257,Players!$A$2:$A$127,0)),""))</f>
        <v>0.85</v>
      </c>
    </row>
    <row r="258" ht="15.75" customHeight="1">
      <c r="A258" s="4" t="s">
        <v>1976</v>
      </c>
      <c r="B258" s="4" t="s">
        <v>1343</v>
      </c>
      <c r="C258" s="4" t="s">
        <v>1344</v>
      </c>
      <c r="D258" s="4" t="s">
        <v>86</v>
      </c>
      <c r="E258" s="4" t="s">
        <v>113</v>
      </c>
      <c r="F258" s="4">
        <v>5.0</v>
      </c>
      <c r="G258" s="4">
        <v>12.6</v>
      </c>
      <c r="H258" s="4">
        <v>0.63</v>
      </c>
      <c r="I258" s="11">
        <v>0.492</v>
      </c>
      <c r="J258" s="4">
        <v>0.89</v>
      </c>
      <c r="K258" s="18">
        <f t="array" ref="K258">IF(H258&lt;&gt;"",H258,IFERROR(G258/INDEX(Players!$M$2:$M$127,MATCH(B258,Players!$A$2:$A$127,0)),""))</f>
        <v>0.63</v>
      </c>
    </row>
    <row r="259" ht="15.75" customHeight="1">
      <c r="A259" s="4" t="s">
        <v>1977</v>
      </c>
      <c r="B259" s="4" t="s">
        <v>1343</v>
      </c>
      <c r="C259" s="4" t="s">
        <v>1344</v>
      </c>
      <c r="D259" s="4" t="s">
        <v>86</v>
      </c>
      <c r="E259" s="4" t="s">
        <v>250</v>
      </c>
      <c r="F259" s="4">
        <v>4.0</v>
      </c>
      <c r="G259" s="4">
        <v>13.5</v>
      </c>
      <c r="H259" s="4">
        <v>0.61</v>
      </c>
      <c r="I259" s="11">
        <v>0.722</v>
      </c>
      <c r="J259" s="4">
        <v>0.84</v>
      </c>
      <c r="K259" s="18">
        <f t="array" ref="K259">IF(H259&lt;&gt;"",H259,IFERROR(G259/INDEX(Players!$M$2:$M$127,MATCH(B259,Players!$A$2:$A$127,0)),""))</f>
        <v>0.61</v>
      </c>
    </row>
    <row r="260" ht="15.75" customHeight="1">
      <c r="A260" s="4" t="s">
        <v>1978</v>
      </c>
      <c r="B260" s="4" t="s">
        <v>1343</v>
      </c>
      <c r="C260" s="4" t="s">
        <v>1344</v>
      </c>
      <c r="D260" s="4" t="s">
        <v>86</v>
      </c>
      <c r="E260" s="4" t="s">
        <v>270</v>
      </c>
      <c r="F260" s="4">
        <v>2.0</v>
      </c>
      <c r="G260" s="4">
        <v>16.0</v>
      </c>
      <c r="H260" s="4">
        <v>0.74</v>
      </c>
      <c r="I260" s="11">
        <v>0.625</v>
      </c>
      <c r="J260" s="4">
        <v>1.19</v>
      </c>
      <c r="K260" s="18">
        <f t="array" ref="K260">IF(H260&lt;&gt;"",H260,IFERROR(G260/INDEX(Players!$M$2:$M$127,MATCH(B260,Players!$A$2:$A$127,0)),""))</f>
        <v>0.74</v>
      </c>
    </row>
    <row r="261" ht="15.75" customHeight="1">
      <c r="A261" s="4" t="s">
        <v>1979</v>
      </c>
      <c r="B261" s="4" t="s">
        <v>1525</v>
      </c>
      <c r="C261" s="4" t="s">
        <v>1526</v>
      </c>
      <c r="D261" s="4" t="s">
        <v>86</v>
      </c>
      <c r="E261" s="4" t="s">
        <v>110</v>
      </c>
      <c r="F261" s="4">
        <v>8.0</v>
      </c>
      <c r="G261" s="4">
        <v>13.3</v>
      </c>
      <c r="H261" s="4">
        <v>0.65</v>
      </c>
      <c r="I261" s="11">
        <v>0.6509999999999999</v>
      </c>
      <c r="J261" s="4">
        <v>0.95</v>
      </c>
      <c r="K261" s="18">
        <f t="array" ref="K261">IF(H261&lt;&gt;"",H261,IFERROR(G261/INDEX(Players!$M$2:$M$127,MATCH(B261,Players!$A$2:$A$127,0)),""))</f>
        <v>0.65</v>
      </c>
    </row>
    <row r="262" ht="15.75" customHeight="1">
      <c r="A262" s="4" t="s">
        <v>1980</v>
      </c>
      <c r="B262" s="4" t="s">
        <v>1525</v>
      </c>
      <c r="C262" s="4" t="s">
        <v>1526</v>
      </c>
      <c r="D262" s="4" t="s">
        <v>86</v>
      </c>
      <c r="E262" s="4" t="s">
        <v>270</v>
      </c>
      <c r="F262" s="4">
        <v>8.0</v>
      </c>
      <c r="G262" s="4">
        <v>11.1</v>
      </c>
      <c r="H262" s="4">
        <v>0.55</v>
      </c>
      <c r="I262" s="11">
        <v>0.629</v>
      </c>
      <c r="J262" s="4">
        <v>0.79</v>
      </c>
      <c r="K262" s="18">
        <f t="array" ref="K262">IF(H262&lt;&gt;"",H262,IFERROR(G262/INDEX(Players!$M$2:$M$127,MATCH(B262,Players!$A$2:$A$127,0)),""))</f>
        <v>0.55</v>
      </c>
    </row>
    <row r="263" ht="15.75" customHeight="1">
      <c r="A263" s="4" t="s">
        <v>1981</v>
      </c>
      <c r="B263" s="4" t="s">
        <v>1525</v>
      </c>
      <c r="C263" s="4" t="s">
        <v>1526</v>
      </c>
      <c r="D263" s="4" t="s">
        <v>86</v>
      </c>
      <c r="E263" s="4" t="s">
        <v>250</v>
      </c>
      <c r="F263" s="4">
        <v>6.0</v>
      </c>
      <c r="G263" s="4">
        <v>13.3</v>
      </c>
      <c r="H263" s="4">
        <v>0.65</v>
      </c>
      <c r="I263" s="11">
        <v>0.625</v>
      </c>
      <c r="J263" s="4">
        <v>1.04</v>
      </c>
      <c r="K263" s="18">
        <f t="array" ref="K263">IF(H263&lt;&gt;"",H263,IFERROR(G263/INDEX(Players!$M$2:$M$127,MATCH(B263,Players!$A$2:$A$127,0)),""))</f>
        <v>0.65</v>
      </c>
    </row>
    <row r="264" ht="15.75" customHeight="1">
      <c r="A264" s="4" t="s">
        <v>1982</v>
      </c>
      <c r="B264" s="4" t="s">
        <v>1525</v>
      </c>
      <c r="C264" s="4" t="s">
        <v>1526</v>
      </c>
      <c r="D264" s="4" t="s">
        <v>86</v>
      </c>
      <c r="E264" s="4" t="s">
        <v>262</v>
      </c>
      <c r="F264" s="4">
        <v>5.0</v>
      </c>
      <c r="G264" s="4">
        <v>15.8</v>
      </c>
      <c r="H264" s="4">
        <v>0.74</v>
      </c>
      <c r="I264" s="11">
        <v>0.608</v>
      </c>
      <c r="J264" s="4">
        <v>1.08</v>
      </c>
      <c r="K264" s="18">
        <f t="array" ref="K264">IF(H264&lt;&gt;"",H264,IFERROR(G264/INDEX(Players!$M$2:$M$127,MATCH(B264,Players!$A$2:$A$127,0)),""))</f>
        <v>0.74</v>
      </c>
    </row>
    <row r="265" ht="15.75" customHeight="1">
      <c r="A265" s="4" t="s">
        <v>1983</v>
      </c>
      <c r="B265" s="4" t="s">
        <v>1525</v>
      </c>
      <c r="C265" s="4" t="s">
        <v>1526</v>
      </c>
      <c r="D265" s="4" t="s">
        <v>86</v>
      </c>
      <c r="E265" s="4" t="s">
        <v>112</v>
      </c>
      <c r="F265" s="4">
        <v>5.0</v>
      </c>
      <c r="G265" s="4">
        <v>11.8</v>
      </c>
      <c r="H265" s="4">
        <v>0.52</v>
      </c>
      <c r="I265" s="11">
        <v>0.627</v>
      </c>
      <c r="J265" s="4">
        <v>0.79</v>
      </c>
      <c r="K265" s="18">
        <f t="array" ref="K265">IF(H265&lt;&gt;"",H265,IFERROR(G265/INDEX(Players!$M$2:$M$127,MATCH(B265,Players!$A$2:$A$127,0)),""))</f>
        <v>0.52</v>
      </c>
    </row>
    <row r="266" ht="15.75" customHeight="1">
      <c r="A266" s="4" t="s">
        <v>1984</v>
      </c>
      <c r="B266" s="4" t="s">
        <v>1525</v>
      </c>
      <c r="C266" s="4" t="s">
        <v>1526</v>
      </c>
      <c r="D266" s="4" t="s">
        <v>86</v>
      </c>
      <c r="E266" s="4" t="s">
        <v>276</v>
      </c>
      <c r="F266" s="4">
        <v>4.0</v>
      </c>
      <c r="G266" s="4">
        <v>16.3</v>
      </c>
      <c r="H266" s="4">
        <v>0.87</v>
      </c>
      <c r="I266" s="11">
        <v>0.615</v>
      </c>
      <c r="J266" s="4">
        <v>1.48</v>
      </c>
      <c r="K266" s="18">
        <f t="array" ref="K266">IF(H266&lt;&gt;"",H266,IFERROR(G266/INDEX(Players!$M$2:$M$127,MATCH(B266,Players!$A$2:$A$127,0)),""))</f>
        <v>0.87</v>
      </c>
    </row>
    <row r="267" ht="15.75" customHeight="1">
      <c r="A267" s="4" t="s">
        <v>1985</v>
      </c>
      <c r="B267" s="4" t="s">
        <v>1525</v>
      </c>
      <c r="C267" s="4" t="s">
        <v>1526</v>
      </c>
      <c r="D267" s="4" t="s">
        <v>86</v>
      </c>
      <c r="E267" s="4" t="s">
        <v>113</v>
      </c>
      <c r="F267" s="4">
        <v>1.0</v>
      </c>
      <c r="G267" s="4">
        <v>15.0</v>
      </c>
      <c r="H267" s="4">
        <v>0.63</v>
      </c>
      <c r="I267" s="11">
        <v>0.5329999999999999</v>
      </c>
      <c r="J267" s="4">
        <v>1.07</v>
      </c>
      <c r="K267" s="18">
        <f t="array" ref="K267">IF(H267&lt;&gt;"",H267,IFERROR(G267/INDEX(Players!$M$2:$M$127,MATCH(B267,Players!$A$2:$A$127,0)),""))</f>
        <v>0.63</v>
      </c>
    </row>
    <row r="268" ht="15.75" customHeight="1">
      <c r="A268" s="4" t="s">
        <v>1987</v>
      </c>
      <c r="B268" s="4" t="s">
        <v>1282</v>
      </c>
      <c r="C268" s="4" t="s">
        <v>1283</v>
      </c>
      <c r="D268" s="4" t="s">
        <v>86</v>
      </c>
      <c r="E268" s="4" t="s">
        <v>250</v>
      </c>
      <c r="F268" s="4">
        <v>10.0</v>
      </c>
      <c r="G268" s="4">
        <v>12.7</v>
      </c>
      <c r="H268" s="4">
        <v>0.6</v>
      </c>
      <c r="I268" s="11">
        <v>0.575</v>
      </c>
      <c r="J268" s="4">
        <v>0.89</v>
      </c>
      <c r="K268" s="18">
        <f t="array" ref="K268">IF(H268&lt;&gt;"",H268,IFERROR(G268/INDEX(Players!$M$2:$M$127,MATCH(B268,Players!$A$2:$A$127,0)),""))</f>
        <v>0.6</v>
      </c>
    </row>
    <row r="269" ht="15.75" customHeight="1">
      <c r="A269" s="4" t="s">
        <v>1988</v>
      </c>
      <c r="B269" s="4" t="s">
        <v>1282</v>
      </c>
      <c r="C269" s="4" t="s">
        <v>1283</v>
      </c>
      <c r="D269" s="4" t="s">
        <v>86</v>
      </c>
      <c r="E269" s="4" t="s">
        <v>112</v>
      </c>
      <c r="F269" s="4">
        <v>7.0</v>
      </c>
      <c r="G269" s="4">
        <v>10.4</v>
      </c>
      <c r="H269" s="4">
        <v>0.53</v>
      </c>
      <c r="I269" s="11">
        <v>0.6579999999999999</v>
      </c>
      <c r="J269" s="4">
        <v>0.77</v>
      </c>
      <c r="K269" s="18">
        <f t="array" ref="K269">IF(H269&lt;&gt;"",H269,IFERROR(G269/INDEX(Players!$M$2:$M$127,MATCH(B269,Players!$A$2:$A$127,0)),""))</f>
        <v>0.53</v>
      </c>
    </row>
    <row r="270" ht="15.75" customHeight="1">
      <c r="A270" s="4" t="s">
        <v>1989</v>
      </c>
      <c r="B270" s="4" t="s">
        <v>1282</v>
      </c>
      <c r="C270" s="4" t="s">
        <v>1283</v>
      </c>
      <c r="D270" s="4" t="s">
        <v>86</v>
      </c>
      <c r="E270" s="4" t="s">
        <v>276</v>
      </c>
      <c r="F270" s="4">
        <v>6.0</v>
      </c>
      <c r="G270" s="4">
        <v>9.7</v>
      </c>
      <c r="H270" s="4">
        <v>0.49</v>
      </c>
      <c r="I270" s="11">
        <v>0.534</v>
      </c>
      <c r="J270" s="4">
        <v>0.73</v>
      </c>
      <c r="K270" s="18">
        <f t="array" ref="K270">IF(H270&lt;&gt;"",H270,IFERROR(G270/INDEX(Players!$M$2:$M$127,MATCH(B270,Players!$A$2:$A$127,0)),""))</f>
        <v>0.49</v>
      </c>
    </row>
    <row r="271" ht="15.75" customHeight="1">
      <c r="A271" s="4" t="s">
        <v>1990</v>
      </c>
      <c r="B271" s="4" t="s">
        <v>1282</v>
      </c>
      <c r="C271" s="4" t="s">
        <v>1283</v>
      </c>
      <c r="D271" s="4" t="s">
        <v>86</v>
      </c>
      <c r="E271" s="4" t="s">
        <v>270</v>
      </c>
      <c r="F271" s="4">
        <v>5.0</v>
      </c>
      <c r="G271" s="4">
        <v>12.0</v>
      </c>
      <c r="H271" s="4">
        <v>0.48</v>
      </c>
      <c r="I271" s="11">
        <v>0.55</v>
      </c>
      <c r="J271" s="4">
        <v>0.71</v>
      </c>
      <c r="K271" s="18">
        <f t="array" ref="K271">IF(H271&lt;&gt;"",H271,IFERROR(G271/INDEX(Players!$M$2:$M$127,MATCH(B271,Players!$A$2:$A$127,0)),""))</f>
        <v>0.48</v>
      </c>
    </row>
    <row r="272" ht="15.75" customHeight="1">
      <c r="A272" s="4" t="s">
        <v>1991</v>
      </c>
      <c r="B272" s="4" t="s">
        <v>1282</v>
      </c>
      <c r="C272" s="4" t="s">
        <v>1283</v>
      </c>
      <c r="D272" s="4" t="s">
        <v>86</v>
      </c>
      <c r="E272" s="4" t="s">
        <v>262</v>
      </c>
      <c r="F272" s="4">
        <v>5.0</v>
      </c>
      <c r="G272" s="4">
        <v>9.6</v>
      </c>
      <c r="H272" s="4">
        <v>0.49</v>
      </c>
      <c r="I272" s="11">
        <v>0.5</v>
      </c>
      <c r="J272" s="4">
        <v>0.64</v>
      </c>
      <c r="K272" s="18">
        <f t="array" ref="K272">IF(H272&lt;&gt;"",H272,IFERROR(G272/INDEX(Players!$M$2:$M$127,MATCH(B272,Players!$A$2:$A$127,0)),""))</f>
        <v>0.49</v>
      </c>
    </row>
    <row r="273" ht="15.75" customHeight="1">
      <c r="A273" s="4" t="s">
        <v>1992</v>
      </c>
      <c r="B273" s="4" t="s">
        <v>1282</v>
      </c>
      <c r="C273" s="4" t="s">
        <v>1283</v>
      </c>
      <c r="D273" s="4" t="s">
        <v>86</v>
      </c>
      <c r="E273" s="4" t="s">
        <v>113</v>
      </c>
      <c r="F273" s="4">
        <v>4.0</v>
      </c>
      <c r="G273" s="4">
        <v>11.0</v>
      </c>
      <c r="H273" s="4">
        <v>0.54</v>
      </c>
      <c r="I273" s="11">
        <v>0.477</v>
      </c>
      <c r="J273" s="4">
        <v>0.85</v>
      </c>
      <c r="K273" s="18">
        <f t="array" ref="K273">IF(H273&lt;&gt;"",H273,IFERROR(G273/INDEX(Players!$M$2:$M$127,MATCH(B273,Players!$A$2:$A$127,0)),""))</f>
        <v>0.54</v>
      </c>
    </row>
    <row r="274" ht="15.75" customHeight="1">
      <c r="A274" s="4" t="s">
        <v>1993</v>
      </c>
      <c r="B274" s="4" t="s">
        <v>1444</v>
      </c>
      <c r="C274" s="4" t="s">
        <v>1445</v>
      </c>
      <c r="D274" s="4" t="s">
        <v>86</v>
      </c>
      <c r="E274" s="4" t="s">
        <v>276</v>
      </c>
      <c r="F274" s="4">
        <v>11.0</v>
      </c>
      <c r="G274" s="4">
        <v>16.2</v>
      </c>
      <c r="H274" s="4">
        <v>0.79</v>
      </c>
      <c r="I274" s="11">
        <v>0.5670000000000001</v>
      </c>
      <c r="J274" s="4">
        <v>1.29</v>
      </c>
      <c r="K274" s="18">
        <f t="array" ref="K274">IF(H274&lt;&gt;"",H274,IFERROR(G274/INDEX(Players!$M$2:$M$127,MATCH(B274,Players!$A$2:$A$127,0)),""))</f>
        <v>0.79</v>
      </c>
    </row>
    <row r="275" ht="15.75" customHeight="1">
      <c r="A275" s="4" t="s">
        <v>1994</v>
      </c>
      <c r="B275" s="4" t="s">
        <v>1444</v>
      </c>
      <c r="C275" s="4" t="s">
        <v>1445</v>
      </c>
      <c r="D275" s="4" t="s">
        <v>86</v>
      </c>
      <c r="E275" s="4" t="s">
        <v>110</v>
      </c>
      <c r="F275" s="4">
        <v>9.0</v>
      </c>
      <c r="G275" s="4">
        <v>17.4</v>
      </c>
      <c r="H275" s="4">
        <v>0.77</v>
      </c>
      <c r="I275" s="11">
        <v>0.51</v>
      </c>
      <c r="J275" s="4">
        <v>1.39</v>
      </c>
      <c r="K275" s="18">
        <f t="array" ref="K275">IF(H275&lt;&gt;"",H275,IFERROR(G275/INDEX(Players!$M$2:$M$127,MATCH(B275,Players!$A$2:$A$127,0)),""))</f>
        <v>0.77</v>
      </c>
    </row>
    <row r="276" ht="15.75" customHeight="1">
      <c r="A276" s="4" t="s">
        <v>1995</v>
      </c>
      <c r="B276" s="4" t="s">
        <v>1444</v>
      </c>
      <c r="C276" s="4" t="s">
        <v>1445</v>
      </c>
      <c r="D276" s="4" t="s">
        <v>86</v>
      </c>
      <c r="E276" s="4" t="s">
        <v>250</v>
      </c>
      <c r="F276" s="4">
        <v>9.0</v>
      </c>
      <c r="G276" s="4">
        <v>16.3</v>
      </c>
      <c r="H276" s="4">
        <v>0.7</v>
      </c>
      <c r="I276" s="11">
        <v>0.605</v>
      </c>
      <c r="J276" s="4">
        <v>1.19</v>
      </c>
      <c r="K276" s="18">
        <f t="array" ref="K276">IF(H276&lt;&gt;"",H276,IFERROR(G276/INDEX(Players!$M$2:$M$127,MATCH(B276,Players!$A$2:$A$127,0)),""))</f>
        <v>0.7</v>
      </c>
    </row>
    <row r="277" ht="15.75" customHeight="1">
      <c r="A277" s="4" t="s">
        <v>1996</v>
      </c>
      <c r="B277" s="4" t="s">
        <v>1444</v>
      </c>
      <c r="C277" s="4" t="s">
        <v>1445</v>
      </c>
      <c r="D277" s="4" t="s">
        <v>86</v>
      </c>
      <c r="E277" s="4" t="s">
        <v>262</v>
      </c>
      <c r="F277" s="4">
        <v>4.0</v>
      </c>
      <c r="G277" s="4">
        <v>17.3</v>
      </c>
      <c r="H277" s="4">
        <v>0.72</v>
      </c>
      <c r="I277" s="11">
        <v>0.536</v>
      </c>
      <c r="J277" s="4">
        <v>1.35</v>
      </c>
      <c r="K277" s="18">
        <f t="array" ref="K277">IF(H277&lt;&gt;"",H277,IFERROR(G277/INDEX(Players!$M$2:$M$127,MATCH(B277,Players!$A$2:$A$127,0)),""))</f>
        <v>0.72</v>
      </c>
    </row>
    <row r="278" ht="15.75" customHeight="1">
      <c r="A278" s="4" t="s">
        <v>1997</v>
      </c>
      <c r="B278" s="4" t="s">
        <v>1444</v>
      </c>
      <c r="C278" s="4" t="s">
        <v>1445</v>
      </c>
      <c r="D278" s="4" t="s">
        <v>86</v>
      </c>
      <c r="E278" s="4" t="s">
        <v>270</v>
      </c>
      <c r="F278" s="4">
        <v>4.0</v>
      </c>
      <c r="G278" s="4">
        <v>15.0</v>
      </c>
      <c r="H278" s="4">
        <v>0.75</v>
      </c>
      <c r="I278" s="11">
        <v>0.5329999999999999</v>
      </c>
      <c r="J278" s="4">
        <v>1.22</v>
      </c>
      <c r="K278" s="18">
        <f t="array" ref="K278">IF(H278&lt;&gt;"",H278,IFERROR(G278/INDEX(Players!$M$2:$M$127,MATCH(B278,Players!$A$2:$A$127,0)),""))</f>
        <v>0.75</v>
      </c>
    </row>
    <row r="279" ht="15.75" customHeight="1">
      <c r="A279" s="4" t="s">
        <v>1998</v>
      </c>
      <c r="B279" s="4" t="s">
        <v>1444</v>
      </c>
      <c r="C279" s="4" t="s">
        <v>1445</v>
      </c>
      <c r="D279" s="4" t="s">
        <v>86</v>
      </c>
      <c r="E279" s="4" t="s">
        <v>113</v>
      </c>
      <c r="F279" s="4">
        <v>2.0</v>
      </c>
      <c r="G279" s="4">
        <v>12.5</v>
      </c>
      <c r="H279" s="4">
        <v>0.63</v>
      </c>
      <c r="I279" s="11">
        <v>0.44</v>
      </c>
      <c r="J279" s="4">
        <v>0.86</v>
      </c>
      <c r="K279" s="18">
        <f t="array" ref="K279">IF(H279&lt;&gt;"",H279,IFERROR(G279/INDEX(Players!$M$2:$M$127,MATCH(B279,Players!$A$2:$A$127,0)),""))</f>
        <v>0.63</v>
      </c>
    </row>
    <row r="280" ht="15.75" customHeight="1">
      <c r="A280" s="4" t="s">
        <v>1999</v>
      </c>
      <c r="B280" s="4" t="s">
        <v>1312</v>
      </c>
      <c r="C280" s="4" t="s">
        <v>1313</v>
      </c>
      <c r="D280" s="4" t="s">
        <v>86</v>
      </c>
      <c r="E280" s="4" t="s">
        <v>250</v>
      </c>
      <c r="F280" s="4">
        <v>8.0</v>
      </c>
      <c r="G280" s="4">
        <v>16.6</v>
      </c>
      <c r="H280" s="4">
        <v>0.81</v>
      </c>
      <c r="I280" s="11">
        <v>0.429</v>
      </c>
      <c r="J280" s="4">
        <v>1.22</v>
      </c>
      <c r="K280" s="18">
        <f t="array" ref="K280">IF(H280&lt;&gt;"",H280,IFERROR(G280/INDEX(Players!$M$2:$M$127,MATCH(B280,Players!$A$2:$A$127,0)),""))</f>
        <v>0.81</v>
      </c>
    </row>
    <row r="281" ht="15.75" customHeight="1">
      <c r="A281" s="4" t="s">
        <v>2000</v>
      </c>
      <c r="B281" s="4" t="s">
        <v>1312</v>
      </c>
      <c r="C281" s="4" t="s">
        <v>1313</v>
      </c>
      <c r="D281" s="4" t="s">
        <v>86</v>
      </c>
      <c r="E281" s="4" t="s">
        <v>262</v>
      </c>
      <c r="F281" s="4">
        <v>6.0</v>
      </c>
      <c r="G281" s="4">
        <v>15.5</v>
      </c>
      <c r="H281" s="4">
        <v>0.83</v>
      </c>
      <c r="I281" s="11">
        <v>0.634</v>
      </c>
      <c r="J281" s="4">
        <v>1.21</v>
      </c>
      <c r="K281" s="18">
        <f t="array" ref="K281">IF(H281&lt;&gt;"",H281,IFERROR(G281/INDEX(Players!$M$2:$M$127,MATCH(B281,Players!$A$2:$A$127,0)),""))</f>
        <v>0.83</v>
      </c>
    </row>
    <row r="282" ht="15.75" customHeight="1">
      <c r="A282" s="4" t="s">
        <v>2001</v>
      </c>
      <c r="B282" s="4" t="s">
        <v>1312</v>
      </c>
      <c r="C282" s="4" t="s">
        <v>1313</v>
      </c>
      <c r="D282" s="4" t="s">
        <v>86</v>
      </c>
      <c r="E282" s="4" t="s">
        <v>113</v>
      </c>
      <c r="F282" s="4">
        <v>6.0</v>
      </c>
      <c r="G282" s="4">
        <v>15.3</v>
      </c>
      <c r="H282" s="4">
        <v>0.67</v>
      </c>
      <c r="I282" s="11">
        <v>0.5</v>
      </c>
      <c r="J282" s="4">
        <v>0.95</v>
      </c>
      <c r="K282" s="18">
        <f t="array" ref="K282">IF(H282&lt;&gt;"",H282,IFERROR(G282/INDEX(Players!$M$2:$M$127,MATCH(B282,Players!$A$2:$A$127,0)),""))</f>
        <v>0.67</v>
      </c>
    </row>
    <row r="283" ht="15.75" customHeight="1">
      <c r="A283" s="4" t="s">
        <v>2002</v>
      </c>
      <c r="B283" s="4" t="s">
        <v>1312</v>
      </c>
      <c r="C283" s="4" t="s">
        <v>1313</v>
      </c>
      <c r="D283" s="4" t="s">
        <v>86</v>
      </c>
      <c r="E283" s="4" t="s">
        <v>270</v>
      </c>
      <c r="F283" s="4">
        <v>5.0</v>
      </c>
      <c r="G283" s="4">
        <v>16.6</v>
      </c>
      <c r="H283" s="4">
        <v>0.75</v>
      </c>
      <c r="I283" s="11">
        <v>0.6509999999999999</v>
      </c>
      <c r="J283" s="4">
        <v>1.12</v>
      </c>
      <c r="K283" s="18">
        <f t="array" ref="K283">IF(H283&lt;&gt;"",H283,IFERROR(G283/INDEX(Players!$M$2:$M$127,MATCH(B283,Players!$A$2:$A$127,0)),""))</f>
        <v>0.75</v>
      </c>
    </row>
    <row r="284" ht="15.75" customHeight="1">
      <c r="A284" s="4" t="s">
        <v>2003</v>
      </c>
      <c r="B284" s="4" t="s">
        <v>1312</v>
      </c>
      <c r="C284" s="4" t="s">
        <v>1313</v>
      </c>
      <c r="D284" s="4" t="s">
        <v>86</v>
      </c>
      <c r="E284" s="4" t="s">
        <v>110</v>
      </c>
      <c r="F284" s="4">
        <v>4.0</v>
      </c>
      <c r="G284" s="4">
        <v>13.5</v>
      </c>
      <c r="H284" s="4">
        <v>0.76</v>
      </c>
      <c r="I284" s="11">
        <v>0.574</v>
      </c>
      <c r="J284" s="4">
        <v>1.15</v>
      </c>
      <c r="K284" s="18">
        <f t="array" ref="K284">IF(H284&lt;&gt;"",H284,IFERROR(G284/INDEX(Players!$M$2:$M$127,MATCH(B284,Players!$A$2:$A$127,0)),""))</f>
        <v>0.76</v>
      </c>
    </row>
    <row r="285" ht="15.75" customHeight="1">
      <c r="A285" s="4" t="s">
        <v>2004</v>
      </c>
      <c r="B285" s="4" t="s">
        <v>1457</v>
      </c>
      <c r="C285" s="4" t="s">
        <v>1458</v>
      </c>
      <c r="D285" s="4" t="s">
        <v>86</v>
      </c>
      <c r="E285" s="4" t="s">
        <v>270</v>
      </c>
      <c r="F285" s="4">
        <v>8.0</v>
      </c>
      <c r="G285" s="4">
        <v>9.8</v>
      </c>
      <c r="H285" s="4">
        <v>0.44</v>
      </c>
      <c r="I285" s="11">
        <v>0.603</v>
      </c>
      <c r="J285" s="4">
        <v>0.66</v>
      </c>
      <c r="K285" s="18">
        <f t="array" ref="K285">IF(H285&lt;&gt;"",H285,IFERROR(G285/INDEX(Players!$M$2:$M$127,MATCH(B285,Players!$A$2:$A$127,0)),""))</f>
        <v>0.44</v>
      </c>
    </row>
    <row r="286" ht="15.75" customHeight="1">
      <c r="A286" s="4" t="s">
        <v>2005</v>
      </c>
      <c r="B286" s="4" t="s">
        <v>1457</v>
      </c>
      <c r="C286" s="4" t="s">
        <v>1458</v>
      </c>
      <c r="D286" s="4" t="s">
        <v>86</v>
      </c>
      <c r="E286" s="4" t="s">
        <v>110</v>
      </c>
      <c r="F286" s="4">
        <v>7.0</v>
      </c>
      <c r="G286" s="4">
        <v>13.4</v>
      </c>
      <c r="H286" s="4">
        <v>0.61</v>
      </c>
      <c r="I286" s="11">
        <v>0.585</v>
      </c>
      <c r="J286" s="4">
        <v>0.93</v>
      </c>
      <c r="K286" s="18">
        <f t="array" ref="K286">IF(H286&lt;&gt;"",H286,IFERROR(G286/INDEX(Players!$M$2:$M$127,MATCH(B286,Players!$A$2:$A$127,0)),""))</f>
        <v>0.61</v>
      </c>
    </row>
    <row r="287" ht="15.75" customHeight="1">
      <c r="A287" s="4" t="s">
        <v>2006</v>
      </c>
      <c r="B287" s="4" t="s">
        <v>1457</v>
      </c>
      <c r="C287" s="4" t="s">
        <v>1458</v>
      </c>
      <c r="D287" s="4" t="s">
        <v>86</v>
      </c>
      <c r="E287" s="4" t="s">
        <v>262</v>
      </c>
      <c r="F287" s="4">
        <v>7.0</v>
      </c>
      <c r="G287" s="4">
        <v>12.9</v>
      </c>
      <c r="H287" s="4">
        <v>0.59</v>
      </c>
      <c r="I287" s="11">
        <v>0.589</v>
      </c>
      <c r="J287" s="4">
        <v>0.8</v>
      </c>
      <c r="K287" s="18">
        <f t="array" ref="K287">IF(H287&lt;&gt;"",H287,IFERROR(G287/INDEX(Players!$M$2:$M$127,MATCH(B287,Players!$A$2:$A$127,0)),""))</f>
        <v>0.59</v>
      </c>
    </row>
    <row r="288" ht="15.75" customHeight="1">
      <c r="A288" s="4" t="s">
        <v>2007</v>
      </c>
      <c r="B288" s="4" t="s">
        <v>1457</v>
      </c>
      <c r="C288" s="4" t="s">
        <v>1458</v>
      </c>
      <c r="D288" s="4" t="s">
        <v>86</v>
      </c>
      <c r="E288" s="4" t="s">
        <v>113</v>
      </c>
      <c r="F288" s="4">
        <v>6.0</v>
      </c>
      <c r="G288" s="4">
        <v>14.2</v>
      </c>
      <c r="H288" s="4">
        <v>0.66</v>
      </c>
      <c r="I288" s="11">
        <v>0.588</v>
      </c>
      <c r="J288" s="4">
        <v>0.97</v>
      </c>
      <c r="K288" s="18">
        <f t="array" ref="K288">IF(H288&lt;&gt;"",H288,IFERROR(G288/INDEX(Players!$M$2:$M$127,MATCH(B288,Players!$A$2:$A$127,0)),""))</f>
        <v>0.66</v>
      </c>
    </row>
    <row r="289" ht="15.75" customHeight="1">
      <c r="A289" s="4" t="s">
        <v>2008</v>
      </c>
      <c r="B289" s="4" t="s">
        <v>1457</v>
      </c>
      <c r="C289" s="4" t="s">
        <v>1458</v>
      </c>
      <c r="D289" s="4" t="s">
        <v>86</v>
      </c>
      <c r="E289" s="4" t="s">
        <v>250</v>
      </c>
      <c r="F289" s="4">
        <v>6.0</v>
      </c>
      <c r="G289" s="4">
        <v>11.0</v>
      </c>
      <c r="H289" s="4">
        <v>0.52</v>
      </c>
      <c r="I289" s="11">
        <v>0.455</v>
      </c>
      <c r="J289" s="4">
        <v>0.82</v>
      </c>
      <c r="K289" s="18">
        <f t="array" ref="K289">IF(H289&lt;&gt;"",H289,IFERROR(G289/INDEX(Players!$M$2:$M$127,MATCH(B289,Players!$A$2:$A$127,0)),""))</f>
        <v>0.52</v>
      </c>
    </row>
    <row r="290" ht="15.75" customHeight="1">
      <c r="A290" s="4" t="s">
        <v>2009</v>
      </c>
      <c r="B290" s="4" t="s">
        <v>1457</v>
      </c>
      <c r="C290" s="4" t="s">
        <v>1458</v>
      </c>
      <c r="D290" s="4" t="s">
        <v>86</v>
      </c>
      <c r="E290" s="4" t="s">
        <v>112</v>
      </c>
      <c r="F290" s="4">
        <v>2.0</v>
      </c>
      <c r="G290" s="4">
        <v>14.0</v>
      </c>
      <c r="H290" s="4">
        <v>0.56</v>
      </c>
      <c r="I290" s="11">
        <v>0.5710000000000001</v>
      </c>
      <c r="J290" s="4">
        <v>0.78</v>
      </c>
      <c r="K290" s="18">
        <f t="array" ref="K290">IF(H290&lt;&gt;"",H290,IFERROR(G290/INDEX(Players!$M$2:$M$127,MATCH(B290,Players!$A$2:$A$127,0)),""))</f>
        <v>0.56</v>
      </c>
    </row>
    <row r="291" ht="15.75" customHeight="1">
      <c r="A291" s="4" t="s">
        <v>2010</v>
      </c>
      <c r="B291" s="4" t="s">
        <v>1253</v>
      </c>
      <c r="C291" s="4" t="s">
        <v>1254</v>
      </c>
      <c r="D291" s="4" t="s">
        <v>86</v>
      </c>
      <c r="E291" s="4" t="s">
        <v>262</v>
      </c>
      <c r="F291" s="4">
        <v>10.0</v>
      </c>
      <c r="G291" s="4">
        <v>13.6</v>
      </c>
      <c r="H291" s="4">
        <v>0.7</v>
      </c>
      <c r="I291" s="11">
        <v>0.61</v>
      </c>
      <c r="J291" s="4">
        <v>0.95</v>
      </c>
      <c r="K291" s="18">
        <f t="array" ref="K291">IF(H291&lt;&gt;"",H291,IFERROR(G291/INDEX(Players!$M$2:$M$127,MATCH(B291,Players!$A$2:$A$127,0)),""))</f>
        <v>0.7</v>
      </c>
    </row>
    <row r="292" ht="15.75" customHeight="1">
      <c r="A292" s="4" t="s">
        <v>2011</v>
      </c>
      <c r="B292" s="4" t="s">
        <v>1253</v>
      </c>
      <c r="C292" s="4" t="s">
        <v>1254</v>
      </c>
      <c r="D292" s="4" t="s">
        <v>86</v>
      </c>
      <c r="E292" s="4" t="s">
        <v>276</v>
      </c>
      <c r="F292" s="4">
        <v>7.0</v>
      </c>
      <c r="G292" s="4">
        <v>10.6</v>
      </c>
      <c r="H292" s="4">
        <v>0.53</v>
      </c>
      <c r="I292" s="11">
        <v>0.5</v>
      </c>
      <c r="J292" s="4">
        <v>0.7</v>
      </c>
      <c r="K292" s="18">
        <f t="array" ref="K292">IF(H292&lt;&gt;"",H292,IFERROR(G292/INDEX(Players!$M$2:$M$127,MATCH(B292,Players!$A$2:$A$127,0)),""))</f>
        <v>0.53</v>
      </c>
    </row>
    <row r="293" ht="15.75" customHeight="1">
      <c r="A293" s="4" t="s">
        <v>2012</v>
      </c>
      <c r="B293" s="4" t="s">
        <v>1253</v>
      </c>
      <c r="C293" s="4" t="s">
        <v>1254</v>
      </c>
      <c r="D293" s="4" t="s">
        <v>86</v>
      </c>
      <c r="E293" s="4" t="s">
        <v>250</v>
      </c>
      <c r="F293" s="4">
        <v>6.0</v>
      </c>
      <c r="G293" s="4">
        <v>17.0</v>
      </c>
      <c r="H293" s="4">
        <v>0.78</v>
      </c>
      <c r="I293" s="11">
        <v>0.588</v>
      </c>
      <c r="J293" s="4">
        <v>1.2</v>
      </c>
      <c r="K293" s="18">
        <f t="array" ref="K293">IF(H293&lt;&gt;"",H293,IFERROR(G293/INDEX(Players!$M$2:$M$127,MATCH(B293,Players!$A$2:$A$127,0)),""))</f>
        <v>0.78</v>
      </c>
    </row>
    <row r="294" ht="15.75" customHeight="1">
      <c r="A294" s="4" t="s">
        <v>2013</v>
      </c>
      <c r="B294" s="4" t="s">
        <v>1253</v>
      </c>
      <c r="C294" s="4" t="s">
        <v>1254</v>
      </c>
      <c r="D294" s="4" t="s">
        <v>86</v>
      </c>
      <c r="E294" s="4" t="s">
        <v>113</v>
      </c>
      <c r="F294" s="4">
        <v>4.0</v>
      </c>
      <c r="G294" s="4">
        <v>13.8</v>
      </c>
      <c r="H294" s="4">
        <v>0.81</v>
      </c>
      <c r="I294" s="11">
        <v>0.6729999999999999</v>
      </c>
      <c r="J294" s="4">
        <v>1.25</v>
      </c>
      <c r="K294" s="18">
        <f t="array" ref="K294">IF(H294&lt;&gt;"",H294,IFERROR(G294/INDEX(Players!$M$2:$M$127,MATCH(B294,Players!$A$2:$A$127,0)),""))</f>
        <v>0.81</v>
      </c>
    </row>
    <row r="295" ht="15.75" customHeight="1">
      <c r="A295" s="4" t="s">
        <v>2014</v>
      </c>
      <c r="B295" s="4" t="s">
        <v>1253</v>
      </c>
      <c r="C295" s="4" t="s">
        <v>1254</v>
      </c>
      <c r="D295" s="4" t="s">
        <v>86</v>
      </c>
      <c r="E295" s="4" t="s">
        <v>270</v>
      </c>
      <c r="F295" s="4">
        <v>4.0</v>
      </c>
      <c r="G295" s="4">
        <v>11.5</v>
      </c>
      <c r="H295" s="4">
        <v>0.53</v>
      </c>
      <c r="I295" s="11">
        <v>0.652</v>
      </c>
      <c r="J295" s="4">
        <v>0.67</v>
      </c>
      <c r="K295" s="18">
        <f t="array" ref="K295">IF(H295&lt;&gt;"",H295,IFERROR(G295/INDEX(Players!$M$2:$M$127,MATCH(B295,Players!$A$2:$A$127,0)),""))</f>
        <v>0.53</v>
      </c>
    </row>
    <row r="296" ht="15.75" customHeight="1">
      <c r="A296" s="4" t="s">
        <v>2015</v>
      </c>
      <c r="B296" s="4" t="s">
        <v>1253</v>
      </c>
      <c r="C296" s="4" t="s">
        <v>1254</v>
      </c>
      <c r="D296" s="4" t="s">
        <v>86</v>
      </c>
      <c r="E296" s="4" t="s">
        <v>110</v>
      </c>
      <c r="F296" s="4">
        <v>2.0</v>
      </c>
      <c r="G296" s="4">
        <v>16.5</v>
      </c>
      <c r="H296" s="4">
        <v>0.58</v>
      </c>
      <c r="I296" s="11">
        <v>0.485</v>
      </c>
      <c r="J296" s="4">
        <v>0.8</v>
      </c>
      <c r="K296" s="18">
        <f t="array" ref="K296">IF(H296&lt;&gt;"",H296,IFERROR(G296/INDEX(Players!$M$2:$M$127,MATCH(B296,Players!$A$2:$A$127,0)),""))</f>
        <v>0.58</v>
      </c>
    </row>
    <row r="297" ht="15.75" customHeight="1">
      <c r="A297" s="4" t="s">
        <v>2016</v>
      </c>
      <c r="B297" s="4" t="s">
        <v>1472</v>
      </c>
      <c r="C297" s="4" t="s">
        <v>1473</v>
      </c>
      <c r="D297" s="4" t="s">
        <v>86</v>
      </c>
      <c r="E297" s="4" t="s">
        <v>110</v>
      </c>
      <c r="F297" s="4">
        <v>9.0</v>
      </c>
      <c r="G297" s="4">
        <v>16.1</v>
      </c>
      <c r="H297" s="4">
        <v>0.74</v>
      </c>
      <c r="I297" s="11">
        <v>0.29</v>
      </c>
      <c r="J297" s="4">
        <v>1.31</v>
      </c>
      <c r="K297" s="18">
        <f t="array" ref="K297">IF(H297&lt;&gt;"",H297,IFERROR(G297/INDEX(Players!$M$2:$M$127,MATCH(B297,Players!$A$2:$A$127,0)),""))</f>
        <v>0.74</v>
      </c>
    </row>
    <row r="298" ht="15.75" customHeight="1">
      <c r="A298" s="4" t="s">
        <v>2017</v>
      </c>
      <c r="B298" s="4" t="s">
        <v>1472</v>
      </c>
      <c r="C298" s="4" t="s">
        <v>1473</v>
      </c>
      <c r="D298" s="4" t="s">
        <v>86</v>
      </c>
      <c r="E298" s="4" t="s">
        <v>276</v>
      </c>
      <c r="F298" s="4">
        <v>9.0</v>
      </c>
      <c r="G298" s="4">
        <v>13.6</v>
      </c>
      <c r="H298" s="4">
        <v>0.58</v>
      </c>
      <c r="I298" s="11">
        <v>0.328</v>
      </c>
      <c r="J298" s="4">
        <v>0.85</v>
      </c>
      <c r="K298" s="18">
        <f t="array" ref="K298">IF(H298&lt;&gt;"",H298,IFERROR(G298/INDEX(Players!$M$2:$M$127,MATCH(B298,Players!$A$2:$A$127,0)),""))</f>
        <v>0.58</v>
      </c>
    </row>
    <row r="299" ht="15.75" customHeight="1">
      <c r="A299" s="4" t="s">
        <v>2018</v>
      </c>
      <c r="B299" s="4" t="s">
        <v>1472</v>
      </c>
      <c r="C299" s="4" t="s">
        <v>1473</v>
      </c>
      <c r="D299" s="4" t="s">
        <v>86</v>
      </c>
      <c r="E299" s="4" t="s">
        <v>270</v>
      </c>
      <c r="F299" s="4">
        <v>8.0</v>
      </c>
      <c r="G299" s="4">
        <v>15.0</v>
      </c>
      <c r="H299" s="4">
        <v>0.73</v>
      </c>
      <c r="I299" s="11">
        <v>0.325</v>
      </c>
      <c r="J299" s="4">
        <v>1.36</v>
      </c>
      <c r="K299" s="18">
        <f t="array" ref="K299">IF(H299&lt;&gt;"",H299,IFERROR(G299/INDEX(Players!$M$2:$M$127,MATCH(B299,Players!$A$2:$A$127,0)),""))</f>
        <v>0.73</v>
      </c>
    </row>
    <row r="300" ht="15.75" customHeight="1">
      <c r="A300" s="4" t="s">
        <v>2019</v>
      </c>
      <c r="B300" s="4" t="s">
        <v>1472</v>
      </c>
      <c r="C300" s="4" t="s">
        <v>1473</v>
      </c>
      <c r="D300" s="4" t="s">
        <v>86</v>
      </c>
      <c r="E300" s="4" t="s">
        <v>113</v>
      </c>
      <c r="F300" s="4">
        <v>6.0</v>
      </c>
      <c r="G300" s="4">
        <v>15.8</v>
      </c>
      <c r="H300" s="4">
        <v>0.71</v>
      </c>
      <c r="I300" s="11">
        <v>0.305</v>
      </c>
      <c r="J300" s="4">
        <v>1.28</v>
      </c>
      <c r="K300" s="18">
        <f t="array" ref="K300">IF(H300&lt;&gt;"",H300,IFERROR(G300/INDEX(Players!$M$2:$M$127,MATCH(B300,Players!$A$2:$A$127,0)),""))</f>
        <v>0.71</v>
      </c>
    </row>
    <row r="301" ht="15.75" customHeight="1">
      <c r="A301" s="4" t="s">
        <v>2020</v>
      </c>
      <c r="B301" s="4" t="s">
        <v>1472</v>
      </c>
      <c r="C301" s="4" t="s">
        <v>1473</v>
      </c>
      <c r="D301" s="4" t="s">
        <v>86</v>
      </c>
      <c r="E301" s="4" t="s">
        <v>262</v>
      </c>
      <c r="F301" s="4">
        <v>5.0</v>
      </c>
      <c r="G301" s="4">
        <v>20.4</v>
      </c>
      <c r="H301" s="4">
        <v>0.88</v>
      </c>
      <c r="I301" s="11">
        <v>0.343</v>
      </c>
      <c r="J301" s="4">
        <v>1.55</v>
      </c>
      <c r="K301" s="18">
        <f t="array" ref="K301">IF(H301&lt;&gt;"",H301,IFERROR(G301/INDEX(Players!$M$2:$M$127,MATCH(B301,Players!$A$2:$A$127,0)),""))</f>
        <v>0.88</v>
      </c>
    </row>
    <row r="302" ht="15.75" customHeight="1">
      <c r="A302" s="4" t="s">
        <v>2021</v>
      </c>
      <c r="B302" s="4" t="s">
        <v>1472</v>
      </c>
      <c r="C302" s="4" t="s">
        <v>1473</v>
      </c>
      <c r="D302" s="4" t="s">
        <v>86</v>
      </c>
      <c r="E302" s="4" t="s">
        <v>250</v>
      </c>
      <c r="F302" s="4">
        <v>4.0</v>
      </c>
      <c r="G302" s="4">
        <v>14.3</v>
      </c>
      <c r="H302" s="4">
        <v>0.74</v>
      </c>
      <c r="I302" s="11">
        <v>0.351</v>
      </c>
      <c r="J302" s="4">
        <v>1.21</v>
      </c>
      <c r="K302" s="18">
        <f t="array" ref="K302">IF(H302&lt;&gt;"",H302,IFERROR(G302/INDEX(Players!$M$2:$M$127,MATCH(B302,Players!$A$2:$A$127,0)),""))</f>
        <v>0.74</v>
      </c>
    </row>
    <row r="303" ht="15.75" customHeight="1">
      <c r="A303" s="4" t="s">
        <v>2022</v>
      </c>
      <c r="B303" s="4" t="s">
        <v>1303</v>
      </c>
      <c r="C303" s="4" t="s">
        <v>1304</v>
      </c>
      <c r="D303" s="4" t="s">
        <v>86</v>
      </c>
      <c r="E303" s="4" t="s">
        <v>250</v>
      </c>
      <c r="F303" s="4">
        <v>9.0</v>
      </c>
      <c r="G303" s="4">
        <v>19.0</v>
      </c>
      <c r="H303" s="4">
        <v>0.91</v>
      </c>
      <c r="I303" s="11">
        <v>0.4970000000000001</v>
      </c>
      <c r="J303" s="4">
        <v>1.24</v>
      </c>
      <c r="K303" s="18">
        <f t="array" ref="K303">IF(H303&lt;&gt;"",H303,IFERROR(G303/INDEX(Players!$M$2:$M$127,MATCH(B303,Players!$A$2:$A$127,0)),""))</f>
        <v>0.91</v>
      </c>
    </row>
    <row r="304" ht="15.75" customHeight="1">
      <c r="A304" s="4" t="s">
        <v>2023</v>
      </c>
      <c r="B304" s="4" t="s">
        <v>1303</v>
      </c>
      <c r="C304" s="4" t="s">
        <v>1304</v>
      </c>
      <c r="D304" s="4" t="s">
        <v>86</v>
      </c>
      <c r="E304" s="4" t="s">
        <v>112</v>
      </c>
      <c r="F304" s="4">
        <v>7.0</v>
      </c>
      <c r="G304" s="4">
        <v>14.0</v>
      </c>
      <c r="H304" s="4">
        <v>0.59</v>
      </c>
      <c r="I304" s="11">
        <v>0.469</v>
      </c>
      <c r="J304" s="4">
        <v>0.86</v>
      </c>
      <c r="K304" s="18">
        <f t="array" ref="K304">IF(H304&lt;&gt;"",H304,IFERROR(G304/INDEX(Players!$M$2:$M$127,MATCH(B304,Players!$A$2:$A$127,0)),""))</f>
        <v>0.59</v>
      </c>
    </row>
    <row r="305" ht="15.75" customHeight="1">
      <c r="A305" s="4" t="s">
        <v>2024</v>
      </c>
      <c r="B305" s="4" t="s">
        <v>1303</v>
      </c>
      <c r="C305" s="4" t="s">
        <v>1304</v>
      </c>
      <c r="D305" s="4" t="s">
        <v>86</v>
      </c>
      <c r="E305" s="4" t="s">
        <v>110</v>
      </c>
      <c r="F305" s="4">
        <v>6.0</v>
      </c>
      <c r="G305" s="4">
        <v>16.5</v>
      </c>
      <c r="H305" s="4">
        <v>0.69</v>
      </c>
      <c r="I305" s="11">
        <v>0.606</v>
      </c>
      <c r="J305" s="4">
        <v>0.94</v>
      </c>
      <c r="K305" s="18">
        <f t="array" ref="K305">IF(H305&lt;&gt;"",H305,IFERROR(G305/INDEX(Players!$M$2:$M$127,MATCH(B305,Players!$A$2:$A$127,0)),""))</f>
        <v>0.69</v>
      </c>
    </row>
    <row r="306" ht="15.75" customHeight="1">
      <c r="A306" s="4" t="s">
        <v>2025</v>
      </c>
      <c r="B306" s="4" t="s">
        <v>1303</v>
      </c>
      <c r="C306" s="4" t="s">
        <v>1304</v>
      </c>
      <c r="D306" s="4" t="s">
        <v>86</v>
      </c>
      <c r="E306" s="4" t="s">
        <v>262</v>
      </c>
      <c r="F306" s="4">
        <v>4.0</v>
      </c>
      <c r="G306" s="4">
        <v>15.3</v>
      </c>
      <c r="H306" s="4">
        <v>0.74</v>
      </c>
      <c r="I306" s="11">
        <v>0.59</v>
      </c>
      <c r="J306" s="4">
        <v>1.13</v>
      </c>
      <c r="K306" s="18">
        <f t="array" ref="K306">IF(H306&lt;&gt;"",H306,IFERROR(G306/INDEX(Players!$M$2:$M$127,MATCH(B306,Players!$A$2:$A$127,0)),""))</f>
        <v>0.74</v>
      </c>
    </row>
    <row r="307" ht="15.75" customHeight="1">
      <c r="A307" s="4" t="s">
        <v>2029</v>
      </c>
      <c r="B307" s="4" t="s">
        <v>1303</v>
      </c>
      <c r="C307" s="4" t="s">
        <v>1304</v>
      </c>
      <c r="D307" s="4" t="s">
        <v>86</v>
      </c>
      <c r="E307" s="4" t="s">
        <v>113</v>
      </c>
      <c r="F307" s="4">
        <v>4.0</v>
      </c>
      <c r="G307" s="4">
        <v>16.3</v>
      </c>
      <c r="H307" s="4">
        <v>0.68</v>
      </c>
      <c r="I307" s="11">
        <v>0.523</v>
      </c>
      <c r="J307" s="4">
        <v>0.92</v>
      </c>
      <c r="K307" s="18">
        <f t="array" ref="K307">IF(H307&lt;&gt;"",H307,IFERROR(G307/INDEX(Players!$M$2:$M$127,MATCH(B307,Players!$A$2:$A$127,0)),""))</f>
        <v>0.68</v>
      </c>
    </row>
    <row r="308" ht="15.75" customHeight="1">
      <c r="A308" s="4" t="s">
        <v>2032</v>
      </c>
      <c r="B308" s="4" t="s">
        <v>1303</v>
      </c>
      <c r="C308" s="4" t="s">
        <v>1304</v>
      </c>
      <c r="D308" s="4" t="s">
        <v>86</v>
      </c>
      <c r="E308" s="4" t="s">
        <v>276</v>
      </c>
      <c r="F308" s="4">
        <v>2.0</v>
      </c>
      <c r="G308" s="4">
        <v>11.0</v>
      </c>
      <c r="H308" s="4">
        <v>0.55</v>
      </c>
      <c r="I308" s="11">
        <v>0.682</v>
      </c>
      <c r="J308" s="4">
        <v>0.73</v>
      </c>
      <c r="K308" s="18">
        <f t="array" ref="K308">IF(H308&lt;&gt;"",H308,IFERROR(G308/INDEX(Players!$M$2:$M$127,MATCH(B308,Players!$A$2:$A$127,0)),""))</f>
        <v>0.55</v>
      </c>
    </row>
    <row r="309" ht="15.75" customHeight="1">
      <c r="A309" s="4" t="s">
        <v>2033</v>
      </c>
      <c r="B309" s="4" t="s">
        <v>1541</v>
      </c>
      <c r="C309" s="4" t="s">
        <v>1542</v>
      </c>
      <c r="D309" s="4" t="s">
        <v>86</v>
      </c>
      <c r="E309" s="4" t="s">
        <v>262</v>
      </c>
      <c r="F309" s="4">
        <v>7.0</v>
      </c>
      <c r="G309" s="4">
        <v>14.3</v>
      </c>
      <c r="H309" s="4">
        <v>0.74</v>
      </c>
      <c r="I309" s="11">
        <v>0.68</v>
      </c>
      <c r="J309" s="4">
        <v>1.08</v>
      </c>
      <c r="K309" s="18">
        <f t="array" ref="K309">IF(H309&lt;&gt;"",H309,IFERROR(G309/INDEX(Players!$M$2:$M$127,MATCH(B309,Players!$A$2:$A$127,0)),""))</f>
        <v>0.74</v>
      </c>
    </row>
    <row r="310" ht="15.75" customHeight="1">
      <c r="A310" s="4" t="s">
        <v>2034</v>
      </c>
      <c r="B310" s="4" t="s">
        <v>1541</v>
      </c>
      <c r="C310" s="4" t="s">
        <v>1542</v>
      </c>
      <c r="D310" s="4" t="s">
        <v>86</v>
      </c>
      <c r="E310" s="4" t="s">
        <v>113</v>
      </c>
      <c r="F310" s="4">
        <v>7.0</v>
      </c>
      <c r="G310" s="4">
        <v>14.4</v>
      </c>
      <c r="H310" s="4">
        <v>0.66</v>
      </c>
      <c r="I310" s="11">
        <v>0.644</v>
      </c>
      <c r="J310" s="4">
        <v>0.97</v>
      </c>
      <c r="K310" s="18">
        <f t="array" ref="K310">IF(H310&lt;&gt;"",H310,IFERROR(G310/INDEX(Players!$M$2:$M$127,MATCH(B310,Players!$A$2:$A$127,0)),""))</f>
        <v>0.66</v>
      </c>
    </row>
    <row r="311" ht="15.75" customHeight="1">
      <c r="A311" s="4" t="s">
        <v>2035</v>
      </c>
      <c r="B311" s="4" t="s">
        <v>1541</v>
      </c>
      <c r="C311" s="4" t="s">
        <v>1542</v>
      </c>
      <c r="D311" s="4" t="s">
        <v>86</v>
      </c>
      <c r="E311" s="4" t="s">
        <v>250</v>
      </c>
      <c r="F311" s="4">
        <v>6.0</v>
      </c>
      <c r="G311" s="4">
        <v>18.8</v>
      </c>
      <c r="H311" s="4">
        <v>0.86</v>
      </c>
      <c r="I311" s="11">
        <v>0.6809999999999999</v>
      </c>
      <c r="J311" s="4">
        <v>1.4</v>
      </c>
      <c r="K311" s="18">
        <f t="array" ref="K311">IF(H311&lt;&gt;"",H311,IFERROR(G311/INDEX(Players!$M$2:$M$127,MATCH(B311,Players!$A$2:$A$127,0)),""))</f>
        <v>0.86</v>
      </c>
    </row>
    <row r="312" ht="15.75" customHeight="1">
      <c r="A312" s="4" t="s">
        <v>2036</v>
      </c>
      <c r="B312" s="4" t="s">
        <v>1541</v>
      </c>
      <c r="C312" s="4" t="s">
        <v>1542</v>
      </c>
      <c r="D312" s="4" t="s">
        <v>86</v>
      </c>
      <c r="E312" s="4" t="s">
        <v>270</v>
      </c>
      <c r="F312" s="4">
        <v>6.0</v>
      </c>
      <c r="G312" s="4">
        <v>16.8</v>
      </c>
      <c r="H312" s="4">
        <v>0.81</v>
      </c>
      <c r="I312" s="11">
        <v>0.614</v>
      </c>
      <c r="J312" s="4">
        <v>1.29</v>
      </c>
      <c r="K312" s="18">
        <f t="array" ref="K312">IF(H312&lt;&gt;"",H312,IFERROR(G312/INDEX(Players!$M$2:$M$127,MATCH(B312,Players!$A$2:$A$127,0)),""))</f>
        <v>0.81</v>
      </c>
    </row>
    <row r="313" ht="15.75" customHeight="1">
      <c r="A313" s="4" t="s">
        <v>2037</v>
      </c>
      <c r="B313" s="4" t="s">
        <v>1541</v>
      </c>
      <c r="C313" s="4" t="s">
        <v>1542</v>
      </c>
      <c r="D313" s="4" t="s">
        <v>86</v>
      </c>
      <c r="E313" s="4" t="s">
        <v>276</v>
      </c>
      <c r="F313" s="4">
        <v>6.0</v>
      </c>
      <c r="G313" s="4">
        <v>10.3</v>
      </c>
      <c r="H313" s="4">
        <v>0.56</v>
      </c>
      <c r="I313" s="11">
        <v>0.8390000000000001</v>
      </c>
      <c r="J313" s="4">
        <v>0.75</v>
      </c>
      <c r="K313" s="18">
        <f t="array" ref="K313">IF(H313&lt;&gt;"",H313,IFERROR(G313/INDEX(Players!$M$2:$M$127,MATCH(B313,Players!$A$2:$A$127,0)),""))</f>
        <v>0.56</v>
      </c>
    </row>
    <row r="314" ht="15.75" customHeight="1">
      <c r="A314" s="4" t="s">
        <v>2038</v>
      </c>
      <c r="B314" s="4" t="s">
        <v>1541</v>
      </c>
      <c r="C314" s="4" t="s">
        <v>1542</v>
      </c>
      <c r="D314" s="4" t="s">
        <v>86</v>
      </c>
      <c r="E314" s="4" t="s">
        <v>112</v>
      </c>
      <c r="F314" s="4">
        <v>5.0</v>
      </c>
      <c r="G314" s="4">
        <v>16.6</v>
      </c>
      <c r="H314" s="4">
        <v>0.81</v>
      </c>
      <c r="I314" s="11">
        <v>0.6629999999999999</v>
      </c>
      <c r="J314" s="4">
        <v>1.36</v>
      </c>
      <c r="K314" s="18">
        <f t="array" ref="K314">IF(H314&lt;&gt;"",H314,IFERROR(G314/INDEX(Players!$M$2:$M$127,MATCH(B314,Players!$A$2:$A$127,0)),""))</f>
        <v>0.81</v>
      </c>
    </row>
    <row r="315" ht="15.75" customHeight="1">
      <c r="A315" s="4" t="s">
        <v>2040</v>
      </c>
      <c r="B315" s="4" t="s">
        <v>1541</v>
      </c>
      <c r="C315" s="4" t="s">
        <v>1542</v>
      </c>
      <c r="D315" s="4" t="s">
        <v>86</v>
      </c>
      <c r="E315" s="4" t="s">
        <v>110</v>
      </c>
      <c r="F315" s="4">
        <v>1.0</v>
      </c>
      <c r="G315" s="4">
        <v>11.0</v>
      </c>
      <c r="H315" s="4">
        <v>0.48</v>
      </c>
      <c r="I315" s="11">
        <v>0.727</v>
      </c>
      <c r="J315" s="4">
        <v>0.55</v>
      </c>
      <c r="K315" s="18">
        <f t="array" ref="K315">IF(H315&lt;&gt;"",H315,IFERROR(G315/INDEX(Players!$M$2:$M$127,MATCH(B315,Players!$A$2:$A$127,0)),""))</f>
        <v>0.48</v>
      </c>
    </row>
    <row r="316" ht="15.75" customHeight="1">
      <c r="A316" s="4" t="s">
        <v>2041</v>
      </c>
      <c r="B316" s="4" t="s">
        <v>1554</v>
      </c>
      <c r="C316" s="4" t="s">
        <v>1555</v>
      </c>
      <c r="D316" s="4" t="s">
        <v>86</v>
      </c>
      <c r="E316" s="4" t="s">
        <v>110</v>
      </c>
      <c r="F316" s="4">
        <v>9.0</v>
      </c>
      <c r="G316" s="4">
        <v>17.7</v>
      </c>
      <c r="H316" s="4">
        <v>0.86</v>
      </c>
      <c r="I316" s="11">
        <v>0.541</v>
      </c>
      <c r="J316" s="4">
        <v>1.47</v>
      </c>
      <c r="K316" s="18">
        <f t="array" ref="K316">IF(H316&lt;&gt;"",H316,IFERROR(G316/INDEX(Players!$M$2:$M$127,MATCH(B316,Players!$A$2:$A$127,0)),""))</f>
        <v>0.86</v>
      </c>
    </row>
    <row r="317" ht="15.75" customHeight="1">
      <c r="A317" s="4" t="s">
        <v>2043</v>
      </c>
      <c r="B317" s="4" t="s">
        <v>1554</v>
      </c>
      <c r="C317" s="4" t="s">
        <v>1555</v>
      </c>
      <c r="D317" s="4" t="s">
        <v>86</v>
      </c>
      <c r="E317" s="4" t="s">
        <v>262</v>
      </c>
      <c r="F317" s="4">
        <v>5.0</v>
      </c>
      <c r="G317" s="4">
        <v>18.6</v>
      </c>
      <c r="H317" s="4">
        <v>0.7</v>
      </c>
      <c r="I317" s="11">
        <v>0.624</v>
      </c>
      <c r="J317" s="4">
        <v>0.97</v>
      </c>
      <c r="K317" s="18">
        <f t="array" ref="K317">IF(H317&lt;&gt;"",H317,IFERROR(G317/INDEX(Players!$M$2:$M$127,MATCH(B317,Players!$A$2:$A$127,0)),""))</f>
        <v>0.7</v>
      </c>
    </row>
    <row r="318" ht="15.75" customHeight="1">
      <c r="A318" s="4" t="s">
        <v>2044</v>
      </c>
      <c r="B318" s="4" t="s">
        <v>1554</v>
      </c>
      <c r="C318" s="4" t="s">
        <v>1555</v>
      </c>
      <c r="D318" s="4" t="s">
        <v>86</v>
      </c>
      <c r="E318" s="4" t="s">
        <v>276</v>
      </c>
      <c r="F318" s="4">
        <v>5.0</v>
      </c>
      <c r="G318" s="4">
        <v>10.6</v>
      </c>
      <c r="H318" s="4">
        <v>0.55</v>
      </c>
      <c r="I318" s="11">
        <v>0.642</v>
      </c>
      <c r="J318" s="4">
        <v>0.78</v>
      </c>
      <c r="K318" s="18">
        <f t="array" ref="K318">IF(H318&lt;&gt;"",H318,IFERROR(G318/INDEX(Players!$M$2:$M$127,MATCH(B318,Players!$A$2:$A$127,0)),""))</f>
        <v>0.55</v>
      </c>
    </row>
    <row r="319" ht="15.75" customHeight="1">
      <c r="A319" s="4" t="s">
        <v>2045</v>
      </c>
      <c r="B319" s="4" t="s">
        <v>1554</v>
      </c>
      <c r="C319" s="4" t="s">
        <v>1555</v>
      </c>
      <c r="D319" s="4" t="s">
        <v>86</v>
      </c>
      <c r="E319" s="4" t="s">
        <v>112</v>
      </c>
      <c r="F319" s="4">
        <v>3.0</v>
      </c>
      <c r="G319" s="4">
        <v>12.3</v>
      </c>
      <c r="H319" s="4">
        <v>0.61</v>
      </c>
      <c r="I319" s="11">
        <v>0.649</v>
      </c>
      <c r="J319" s="4">
        <v>0.97</v>
      </c>
      <c r="K319" s="18">
        <f t="array" ref="K319">IF(H319&lt;&gt;"",H319,IFERROR(G319/INDEX(Players!$M$2:$M$127,MATCH(B319,Players!$A$2:$A$127,0)),""))</f>
        <v>0.61</v>
      </c>
    </row>
    <row r="320" ht="15.75" customHeight="1">
      <c r="A320" s="4" t="s">
        <v>2046</v>
      </c>
      <c r="B320" s="4" t="s">
        <v>1554</v>
      </c>
      <c r="C320" s="4" t="s">
        <v>1555</v>
      </c>
      <c r="D320" s="4" t="s">
        <v>86</v>
      </c>
      <c r="E320" s="4" t="s">
        <v>113</v>
      </c>
      <c r="F320" s="4">
        <v>3.0</v>
      </c>
      <c r="G320" s="4">
        <v>11.7</v>
      </c>
      <c r="H320" s="4">
        <v>0.56</v>
      </c>
      <c r="I320" s="11">
        <v>0.6</v>
      </c>
      <c r="J320" s="4">
        <v>0.8</v>
      </c>
      <c r="K320" s="18">
        <f t="array" ref="K320">IF(H320&lt;&gt;"",H320,IFERROR(G320/INDEX(Players!$M$2:$M$127,MATCH(B320,Players!$A$2:$A$127,0)),""))</f>
        <v>0.56</v>
      </c>
    </row>
    <row r="321" ht="15.75" customHeight="1">
      <c r="A321" s="4" t="s">
        <v>2047</v>
      </c>
      <c r="B321" s="4" t="s">
        <v>1554</v>
      </c>
      <c r="C321" s="4" t="s">
        <v>1555</v>
      </c>
      <c r="D321" s="4" t="s">
        <v>86</v>
      </c>
      <c r="E321" s="4" t="s">
        <v>250</v>
      </c>
      <c r="F321" s="4">
        <v>2.0</v>
      </c>
      <c r="G321" s="4">
        <v>15.0</v>
      </c>
      <c r="H321" s="4">
        <v>0.68</v>
      </c>
      <c r="I321" s="11">
        <v>0.5329999999999999</v>
      </c>
      <c r="J321" s="4">
        <v>1.25</v>
      </c>
      <c r="K321" s="18">
        <f t="array" ref="K321">IF(H321&lt;&gt;"",H321,IFERROR(G321/INDEX(Players!$M$2:$M$127,MATCH(B321,Players!$A$2:$A$127,0)),""))</f>
        <v>0.68</v>
      </c>
    </row>
    <row r="322" ht="15.75" customHeight="1">
      <c r="A322" s="4" t="s">
        <v>2048</v>
      </c>
      <c r="B322" s="4" t="s">
        <v>1427</v>
      </c>
      <c r="C322" s="4" t="s">
        <v>1428</v>
      </c>
      <c r="D322" s="4" t="s">
        <v>86</v>
      </c>
      <c r="E322" s="4" t="s">
        <v>276</v>
      </c>
      <c r="F322" s="4">
        <v>8.0</v>
      </c>
      <c r="G322" s="4">
        <v>15.8</v>
      </c>
      <c r="H322" s="4">
        <v>0.73</v>
      </c>
      <c r="I322" s="11">
        <v>0.31</v>
      </c>
      <c r="J322" s="4">
        <v>1.38</v>
      </c>
      <c r="K322" s="18">
        <f t="array" ref="K322">IF(H322&lt;&gt;"",H322,IFERROR(G322/INDEX(Players!$M$2:$M$127,MATCH(B322,Players!$A$2:$A$127,0)),""))</f>
        <v>0.73</v>
      </c>
    </row>
    <row r="323" ht="15.75" customHeight="1">
      <c r="A323" s="4" t="s">
        <v>2049</v>
      </c>
      <c r="B323" s="4" t="s">
        <v>1427</v>
      </c>
      <c r="C323" s="4" t="s">
        <v>1428</v>
      </c>
      <c r="D323" s="4" t="s">
        <v>86</v>
      </c>
      <c r="E323" s="4" t="s">
        <v>110</v>
      </c>
      <c r="F323" s="4">
        <v>7.0</v>
      </c>
      <c r="G323" s="4">
        <v>16.0</v>
      </c>
      <c r="H323" s="4">
        <v>0.73</v>
      </c>
      <c r="I323" s="11">
        <v>0.33</v>
      </c>
      <c r="J323" s="4">
        <v>1.32</v>
      </c>
      <c r="K323" s="18">
        <f t="array" ref="K323">IF(H323&lt;&gt;"",H323,IFERROR(G323/INDEX(Players!$M$2:$M$127,MATCH(B323,Players!$A$2:$A$127,0)),""))</f>
        <v>0.73</v>
      </c>
    </row>
    <row r="324" ht="15.75" customHeight="1">
      <c r="A324" s="4" t="s">
        <v>2050</v>
      </c>
      <c r="B324" s="4" t="s">
        <v>1427</v>
      </c>
      <c r="C324" s="4" t="s">
        <v>1428</v>
      </c>
      <c r="D324" s="4" t="s">
        <v>86</v>
      </c>
      <c r="E324" s="4" t="s">
        <v>113</v>
      </c>
      <c r="F324" s="4">
        <v>7.0</v>
      </c>
      <c r="G324" s="4">
        <v>12.0</v>
      </c>
      <c r="H324" s="4">
        <v>0.6</v>
      </c>
      <c r="I324" s="11">
        <v>0.417</v>
      </c>
      <c r="J324" s="4">
        <v>1.17</v>
      </c>
      <c r="K324" s="18">
        <f t="array" ref="K324">IF(H324&lt;&gt;"",H324,IFERROR(G324/INDEX(Players!$M$2:$M$127,MATCH(B324,Players!$A$2:$A$127,0)),""))</f>
        <v>0.6</v>
      </c>
    </row>
    <row r="325" ht="15.75" customHeight="1">
      <c r="A325" s="4" t="s">
        <v>2051</v>
      </c>
      <c r="B325" s="4" t="s">
        <v>1427</v>
      </c>
      <c r="C325" s="4" t="s">
        <v>1428</v>
      </c>
      <c r="D325" s="4" t="s">
        <v>86</v>
      </c>
      <c r="E325" s="4" t="s">
        <v>250</v>
      </c>
      <c r="F325" s="4">
        <v>6.0</v>
      </c>
      <c r="G325" s="4">
        <v>13.2</v>
      </c>
      <c r="H325" s="4">
        <v>0.58</v>
      </c>
      <c r="I325" s="11">
        <v>0.4429999999999999</v>
      </c>
      <c r="J325" s="4">
        <v>1.07</v>
      </c>
      <c r="K325" s="18">
        <f t="array" ref="K325">IF(H325&lt;&gt;"",H325,IFERROR(G325/INDEX(Players!$M$2:$M$127,MATCH(B325,Players!$A$2:$A$127,0)),""))</f>
        <v>0.58</v>
      </c>
    </row>
    <row r="326" ht="15.75" customHeight="1">
      <c r="A326" s="4" t="s">
        <v>2052</v>
      </c>
      <c r="B326" s="4" t="s">
        <v>1427</v>
      </c>
      <c r="C326" s="4" t="s">
        <v>1428</v>
      </c>
      <c r="D326" s="4" t="s">
        <v>86</v>
      </c>
      <c r="E326" s="4" t="s">
        <v>270</v>
      </c>
      <c r="F326" s="4">
        <v>5.0</v>
      </c>
      <c r="G326" s="4">
        <v>12.6</v>
      </c>
      <c r="H326" s="4">
        <v>0.65</v>
      </c>
      <c r="I326" s="11">
        <v>0.492</v>
      </c>
      <c r="J326" s="4">
        <v>1.19</v>
      </c>
      <c r="K326" s="18">
        <f t="array" ref="K326">IF(H326&lt;&gt;"",H326,IFERROR(G326/INDEX(Players!$M$2:$M$127,MATCH(B326,Players!$A$2:$A$127,0)),""))</f>
        <v>0.65</v>
      </c>
    </row>
    <row r="327" ht="15.75" customHeight="1">
      <c r="A327" s="4" t="s">
        <v>2053</v>
      </c>
      <c r="B327" s="4" t="s">
        <v>1427</v>
      </c>
      <c r="C327" s="4" t="s">
        <v>1428</v>
      </c>
      <c r="D327" s="4" t="s">
        <v>86</v>
      </c>
      <c r="E327" s="4" t="s">
        <v>262</v>
      </c>
      <c r="F327" s="4">
        <v>4.0</v>
      </c>
      <c r="G327" s="4">
        <v>12.8</v>
      </c>
      <c r="H327" s="4">
        <v>0.62</v>
      </c>
      <c r="I327" s="11">
        <v>0.431</v>
      </c>
      <c r="J327" s="4">
        <v>1.11</v>
      </c>
      <c r="K327" s="18">
        <f t="array" ref="K327">IF(H327&lt;&gt;"",H327,IFERROR(G327/INDEX(Players!$M$2:$M$127,MATCH(B327,Players!$A$2:$A$127,0)),""))</f>
        <v>0.62</v>
      </c>
    </row>
    <row r="328" ht="15.75" customHeight="1">
      <c r="A328" s="4" t="s">
        <v>2054</v>
      </c>
      <c r="B328" s="4" t="s">
        <v>1256</v>
      </c>
      <c r="C328" s="4" t="s">
        <v>1257</v>
      </c>
      <c r="D328" s="4" t="s">
        <v>86</v>
      </c>
      <c r="E328" s="4" t="s">
        <v>262</v>
      </c>
      <c r="F328" s="4">
        <v>10.0</v>
      </c>
      <c r="G328" s="4">
        <v>12.0</v>
      </c>
      <c r="H328" s="4">
        <v>0.62</v>
      </c>
      <c r="I328" s="11">
        <v>0.5</v>
      </c>
      <c r="J328" s="4">
        <v>0.94</v>
      </c>
      <c r="K328" s="18">
        <f t="array" ref="K328">IF(H328&lt;&gt;"",H328,IFERROR(G328/INDEX(Players!$M$2:$M$127,MATCH(B328,Players!$A$2:$A$127,0)),""))</f>
        <v>0.62</v>
      </c>
    </row>
    <row r="329" ht="15.75" customHeight="1">
      <c r="A329" s="4" t="s">
        <v>2055</v>
      </c>
      <c r="B329" s="4" t="s">
        <v>1256</v>
      </c>
      <c r="C329" s="4" t="s">
        <v>1257</v>
      </c>
      <c r="D329" s="4" t="s">
        <v>86</v>
      </c>
      <c r="E329" s="4" t="s">
        <v>276</v>
      </c>
      <c r="F329" s="4">
        <v>7.0</v>
      </c>
      <c r="G329" s="4">
        <v>10.6</v>
      </c>
      <c r="H329" s="4">
        <v>0.53</v>
      </c>
      <c r="I329" s="11">
        <v>0.459</v>
      </c>
      <c r="J329" s="4">
        <v>0.79</v>
      </c>
      <c r="K329" s="18">
        <f t="array" ref="K329">IF(H329&lt;&gt;"",H329,IFERROR(G329/INDEX(Players!$M$2:$M$127,MATCH(B329,Players!$A$2:$A$127,0)),""))</f>
        <v>0.53</v>
      </c>
    </row>
    <row r="330" ht="15.75" customHeight="1">
      <c r="A330" s="4" t="s">
        <v>2056</v>
      </c>
      <c r="B330" s="4" t="s">
        <v>1256</v>
      </c>
      <c r="C330" s="4" t="s">
        <v>1257</v>
      </c>
      <c r="D330" s="4" t="s">
        <v>86</v>
      </c>
      <c r="E330" s="4" t="s">
        <v>250</v>
      </c>
      <c r="F330" s="4">
        <v>6.0</v>
      </c>
      <c r="G330" s="4">
        <v>9.7</v>
      </c>
      <c r="H330" s="4">
        <v>0.45</v>
      </c>
      <c r="I330" s="11">
        <v>0.431</v>
      </c>
      <c r="J330" s="4">
        <v>0.73</v>
      </c>
      <c r="K330" s="18">
        <f t="array" ref="K330">IF(H330&lt;&gt;"",H330,IFERROR(G330/INDEX(Players!$M$2:$M$127,MATCH(B330,Players!$A$2:$A$127,0)),""))</f>
        <v>0.45</v>
      </c>
    </row>
    <row r="331" ht="15.75" customHeight="1">
      <c r="A331" s="4" t="s">
        <v>2057</v>
      </c>
      <c r="B331" s="4" t="s">
        <v>1256</v>
      </c>
      <c r="C331" s="4" t="s">
        <v>1257</v>
      </c>
      <c r="D331" s="4" t="s">
        <v>86</v>
      </c>
      <c r="E331" s="4" t="s">
        <v>113</v>
      </c>
      <c r="F331" s="4">
        <v>4.0</v>
      </c>
      <c r="G331" s="4">
        <v>9.3</v>
      </c>
      <c r="H331" s="4">
        <v>0.54</v>
      </c>
      <c r="I331" s="11">
        <v>0.703</v>
      </c>
      <c r="J331" s="4">
        <v>0.86</v>
      </c>
      <c r="K331" s="18">
        <f t="array" ref="K331">IF(H331&lt;&gt;"",H331,IFERROR(G331/INDEX(Players!$M$2:$M$127,MATCH(B331,Players!$A$2:$A$127,0)),""))</f>
        <v>0.54</v>
      </c>
    </row>
    <row r="332" ht="15.75" customHeight="1">
      <c r="A332" s="4" t="s">
        <v>2058</v>
      </c>
      <c r="B332" s="4" t="s">
        <v>1256</v>
      </c>
      <c r="C332" s="4" t="s">
        <v>1257</v>
      </c>
      <c r="D332" s="4" t="s">
        <v>86</v>
      </c>
      <c r="E332" s="4" t="s">
        <v>270</v>
      </c>
      <c r="F332" s="4">
        <v>4.0</v>
      </c>
      <c r="G332" s="4">
        <v>10.5</v>
      </c>
      <c r="H332" s="4">
        <v>0.49</v>
      </c>
      <c r="I332" s="11">
        <v>0.476</v>
      </c>
      <c r="J332" s="4">
        <v>0.7</v>
      </c>
      <c r="K332" s="18">
        <f t="array" ref="K332">IF(H332&lt;&gt;"",H332,IFERROR(G332/INDEX(Players!$M$2:$M$127,MATCH(B332,Players!$A$2:$A$127,0)),""))</f>
        <v>0.49</v>
      </c>
    </row>
    <row r="333" ht="15.75" customHeight="1">
      <c r="A333" s="4" t="s">
        <v>2059</v>
      </c>
      <c r="B333" s="4" t="s">
        <v>1256</v>
      </c>
      <c r="C333" s="4" t="s">
        <v>1257</v>
      </c>
      <c r="D333" s="4" t="s">
        <v>86</v>
      </c>
      <c r="E333" s="4" t="s">
        <v>110</v>
      </c>
      <c r="F333" s="4">
        <v>2.0</v>
      </c>
      <c r="G333" s="4">
        <v>13.5</v>
      </c>
      <c r="H333" s="4">
        <v>0.47</v>
      </c>
      <c r="I333" s="11">
        <v>0.63</v>
      </c>
      <c r="J333" s="4">
        <v>0.66</v>
      </c>
      <c r="K333" s="18">
        <f t="array" ref="K333">IF(H333&lt;&gt;"",H333,IFERROR(G333/INDEX(Players!$M$2:$M$127,MATCH(B333,Players!$A$2:$A$127,0)),""))</f>
        <v>0.47</v>
      </c>
    </row>
    <row r="334" ht="15.75" customHeight="1">
      <c r="A334" s="4" t="s">
        <v>2060</v>
      </c>
      <c r="B334" s="4" t="s">
        <v>1365</v>
      </c>
      <c r="C334" s="4" t="s">
        <v>1366</v>
      </c>
      <c r="D334" s="4" t="s">
        <v>86</v>
      </c>
      <c r="E334" s="4" t="s">
        <v>110</v>
      </c>
      <c r="F334" s="4">
        <v>7.0</v>
      </c>
      <c r="G334" s="4">
        <v>17.4</v>
      </c>
      <c r="H334" s="4">
        <v>0.71</v>
      </c>
      <c r="I334" s="11">
        <v>0.5820000000000001</v>
      </c>
      <c r="J334" s="4">
        <v>1.02</v>
      </c>
      <c r="K334" s="18">
        <f t="array" ref="K334">IF(H334&lt;&gt;"",H334,IFERROR(G334/INDEX(Players!$M$2:$M$127,MATCH(B334,Players!$A$2:$A$127,0)),""))</f>
        <v>0.71</v>
      </c>
    </row>
    <row r="335" ht="15.75" customHeight="1">
      <c r="A335" s="4" t="s">
        <v>2061</v>
      </c>
      <c r="B335" s="4" t="s">
        <v>1365</v>
      </c>
      <c r="C335" s="4" t="s">
        <v>1366</v>
      </c>
      <c r="D335" s="4" t="s">
        <v>86</v>
      </c>
      <c r="E335" s="4" t="s">
        <v>250</v>
      </c>
      <c r="F335" s="4">
        <v>5.0</v>
      </c>
      <c r="G335" s="4">
        <v>20.6</v>
      </c>
      <c r="H335" s="4">
        <v>0.73</v>
      </c>
      <c r="I335" s="11">
        <v>0.5920000000000001</v>
      </c>
      <c r="J335" s="4">
        <v>1.13</v>
      </c>
      <c r="K335" s="18">
        <f t="array" ref="K335">IF(H335&lt;&gt;"",H335,IFERROR(G335/INDEX(Players!$M$2:$M$127,MATCH(B335,Players!$A$2:$A$127,0)),""))</f>
        <v>0.73</v>
      </c>
    </row>
    <row r="336" ht="15.75" customHeight="1">
      <c r="A336" s="4" t="s">
        <v>2062</v>
      </c>
      <c r="B336" s="4" t="s">
        <v>1365</v>
      </c>
      <c r="C336" s="4" t="s">
        <v>1366</v>
      </c>
      <c r="D336" s="4" t="s">
        <v>86</v>
      </c>
      <c r="E336" s="4" t="s">
        <v>112</v>
      </c>
      <c r="F336" s="4">
        <v>5.0</v>
      </c>
      <c r="G336" s="4">
        <v>13.2</v>
      </c>
      <c r="H336" s="4">
        <v>0.58</v>
      </c>
      <c r="I336" s="11">
        <v>0.5760000000000001</v>
      </c>
      <c r="J336" s="4">
        <v>0.96</v>
      </c>
      <c r="K336" s="18">
        <f t="array" ref="K336">IF(H336&lt;&gt;"",H336,IFERROR(G336/INDEX(Players!$M$2:$M$127,MATCH(B336,Players!$A$2:$A$127,0)),""))</f>
        <v>0.58</v>
      </c>
    </row>
    <row r="337" ht="15.75" customHeight="1">
      <c r="A337" s="4" t="s">
        <v>2063</v>
      </c>
      <c r="B337" s="4" t="s">
        <v>1365</v>
      </c>
      <c r="C337" s="4" t="s">
        <v>1366</v>
      </c>
      <c r="D337" s="4" t="s">
        <v>86</v>
      </c>
      <c r="E337" s="4" t="s">
        <v>270</v>
      </c>
      <c r="F337" s="4">
        <v>4.0</v>
      </c>
      <c r="G337" s="4">
        <v>18.0</v>
      </c>
      <c r="H337" s="4">
        <v>0.73</v>
      </c>
      <c r="I337" s="11">
        <v>0.639</v>
      </c>
      <c r="J337" s="4">
        <v>1.14</v>
      </c>
      <c r="K337" s="18">
        <f t="array" ref="K337">IF(H337&lt;&gt;"",H337,IFERROR(G337/INDEX(Players!$M$2:$M$127,MATCH(B337,Players!$A$2:$A$127,0)),""))</f>
        <v>0.73</v>
      </c>
    </row>
    <row r="338" ht="15.75" customHeight="1">
      <c r="A338" s="4" t="s">
        <v>2064</v>
      </c>
      <c r="B338" s="4" t="s">
        <v>1365</v>
      </c>
      <c r="C338" s="4" t="s">
        <v>1366</v>
      </c>
      <c r="D338" s="4" t="s">
        <v>86</v>
      </c>
      <c r="E338" s="4" t="s">
        <v>276</v>
      </c>
      <c r="F338" s="4">
        <v>3.0</v>
      </c>
      <c r="G338" s="4">
        <v>15.0</v>
      </c>
      <c r="H338" s="4">
        <v>0.83</v>
      </c>
      <c r="I338" s="11">
        <v>0.711</v>
      </c>
      <c r="J338" s="4">
        <v>1.61</v>
      </c>
      <c r="K338" s="18">
        <f t="array" ref="K338">IF(H338&lt;&gt;"",H338,IFERROR(G338/INDEX(Players!$M$2:$M$127,MATCH(B338,Players!$A$2:$A$127,0)),""))</f>
        <v>0.83</v>
      </c>
    </row>
    <row r="339" ht="15.75" customHeight="1">
      <c r="A339" s="4" t="s">
        <v>2065</v>
      </c>
      <c r="B339" s="4" t="s">
        <v>1365</v>
      </c>
      <c r="C339" s="4" t="s">
        <v>1366</v>
      </c>
      <c r="D339" s="4" t="s">
        <v>86</v>
      </c>
      <c r="E339" s="4" t="s">
        <v>262</v>
      </c>
      <c r="F339" s="4">
        <v>3.0</v>
      </c>
      <c r="G339" s="4">
        <v>16.0</v>
      </c>
      <c r="H339" s="4">
        <v>0.76</v>
      </c>
      <c r="I339" s="11">
        <v>0.542</v>
      </c>
      <c r="J339" s="4">
        <v>1.02</v>
      </c>
      <c r="K339" s="18">
        <f t="array" ref="K339">IF(H339&lt;&gt;"",H339,IFERROR(G339/INDEX(Players!$M$2:$M$127,MATCH(B339,Players!$A$2:$A$127,0)),""))</f>
        <v>0.76</v>
      </c>
    </row>
    <row r="340" ht="15.75" customHeight="1">
      <c r="A340" s="4" t="s">
        <v>2066</v>
      </c>
      <c r="B340" s="4" t="s">
        <v>1365</v>
      </c>
      <c r="C340" s="4" t="s">
        <v>1366</v>
      </c>
      <c r="D340" s="4" t="s">
        <v>86</v>
      </c>
      <c r="E340" s="4" t="s">
        <v>113</v>
      </c>
      <c r="F340" s="4">
        <v>3.0</v>
      </c>
      <c r="G340" s="4">
        <v>9.7</v>
      </c>
      <c r="H340" s="4">
        <v>0.53</v>
      </c>
      <c r="I340" s="11">
        <v>0.655</v>
      </c>
      <c r="J340" s="4">
        <v>0.72</v>
      </c>
      <c r="K340" s="18">
        <f t="array" ref="K340">IF(H340&lt;&gt;"",H340,IFERROR(G340/INDEX(Players!$M$2:$M$127,MATCH(B340,Players!$A$2:$A$127,0)),""))</f>
        <v>0.53</v>
      </c>
    </row>
    <row r="341" ht="15.75" customHeight="1">
      <c r="A341" s="4" t="s">
        <v>2067</v>
      </c>
      <c r="B341" s="4" t="s">
        <v>1384</v>
      </c>
      <c r="C341" s="4" t="s">
        <v>1385</v>
      </c>
      <c r="D341" s="4" t="s">
        <v>86</v>
      </c>
      <c r="E341" s="4" t="s">
        <v>113</v>
      </c>
      <c r="F341" s="4">
        <v>8.0</v>
      </c>
      <c r="G341" s="4">
        <v>17.9</v>
      </c>
      <c r="H341" s="4">
        <v>0.79</v>
      </c>
      <c r="I341" s="11">
        <v>0.517</v>
      </c>
      <c r="J341" s="4">
        <v>1.14</v>
      </c>
      <c r="K341" s="18">
        <f t="array" ref="K341">IF(H341&lt;&gt;"",H341,IFERROR(G341/INDEX(Players!$M$2:$M$127,MATCH(B341,Players!$A$2:$A$127,0)),""))</f>
        <v>0.79</v>
      </c>
    </row>
    <row r="342" ht="15.75" customHeight="1">
      <c r="A342" s="4" t="s">
        <v>2068</v>
      </c>
      <c r="B342" s="4" t="s">
        <v>1384</v>
      </c>
      <c r="C342" s="4" t="s">
        <v>1385</v>
      </c>
      <c r="D342" s="4" t="s">
        <v>86</v>
      </c>
      <c r="E342" s="4" t="s">
        <v>110</v>
      </c>
      <c r="F342" s="4">
        <v>8.0</v>
      </c>
      <c r="G342" s="4">
        <v>12.4</v>
      </c>
      <c r="H342" s="4">
        <v>0.62</v>
      </c>
      <c r="I342" s="11">
        <v>0.5660000000000001</v>
      </c>
      <c r="J342" s="4">
        <v>0.94</v>
      </c>
      <c r="K342" s="18">
        <f t="array" ref="K342">IF(H342&lt;&gt;"",H342,IFERROR(G342/INDEX(Players!$M$2:$M$127,MATCH(B342,Players!$A$2:$A$127,0)),""))</f>
        <v>0.62</v>
      </c>
    </row>
    <row r="343" ht="15.75" customHeight="1">
      <c r="A343" s="4" t="s">
        <v>2069</v>
      </c>
      <c r="B343" s="4" t="s">
        <v>1384</v>
      </c>
      <c r="C343" s="4" t="s">
        <v>1385</v>
      </c>
      <c r="D343" s="4" t="s">
        <v>86</v>
      </c>
      <c r="E343" s="4" t="s">
        <v>270</v>
      </c>
      <c r="F343" s="4">
        <v>7.0</v>
      </c>
      <c r="G343" s="4">
        <v>13.7</v>
      </c>
      <c r="H343" s="4">
        <v>0.64</v>
      </c>
      <c r="I343" s="11">
        <v>0.604</v>
      </c>
      <c r="J343" s="4">
        <v>1.01</v>
      </c>
      <c r="K343" s="18">
        <f t="array" ref="K343">IF(H343&lt;&gt;"",H343,IFERROR(G343/INDEX(Players!$M$2:$M$127,MATCH(B343,Players!$A$2:$A$127,0)),""))</f>
        <v>0.64</v>
      </c>
    </row>
    <row r="344" ht="15.75" customHeight="1">
      <c r="A344" s="4" t="s">
        <v>2070</v>
      </c>
      <c r="B344" s="4" t="s">
        <v>1384</v>
      </c>
      <c r="C344" s="4" t="s">
        <v>1385</v>
      </c>
      <c r="D344" s="4" t="s">
        <v>86</v>
      </c>
      <c r="E344" s="4" t="s">
        <v>250</v>
      </c>
      <c r="F344" s="4">
        <v>5.0</v>
      </c>
      <c r="G344" s="4">
        <v>15.0</v>
      </c>
      <c r="H344" s="4">
        <v>0.69</v>
      </c>
      <c r="I344" s="11">
        <v>0.547</v>
      </c>
      <c r="J344" s="4">
        <v>1.09</v>
      </c>
      <c r="K344" s="18">
        <f t="array" ref="K344">IF(H344&lt;&gt;"",H344,IFERROR(G344/INDEX(Players!$M$2:$M$127,MATCH(B344,Players!$A$2:$A$127,0)),""))</f>
        <v>0.69</v>
      </c>
    </row>
    <row r="345" ht="15.75" customHeight="1">
      <c r="A345" s="4" t="s">
        <v>2071</v>
      </c>
      <c r="B345" s="4" t="s">
        <v>1384</v>
      </c>
      <c r="C345" s="4" t="s">
        <v>1385</v>
      </c>
      <c r="D345" s="4" t="s">
        <v>86</v>
      </c>
      <c r="E345" s="4" t="s">
        <v>276</v>
      </c>
      <c r="F345" s="4">
        <v>5.0</v>
      </c>
      <c r="G345" s="4">
        <v>12.6</v>
      </c>
      <c r="H345" s="4">
        <v>0.59</v>
      </c>
      <c r="I345" s="11">
        <v>0.635</v>
      </c>
      <c r="J345" s="4">
        <v>0.86</v>
      </c>
      <c r="K345" s="18">
        <f t="array" ref="K345">IF(H345&lt;&gt;"",H345,IFERROR(G345/INDEX(Players!$M$2:$M$127,MATCH(B345,Players!$A$2:$A$127,0)),""))</f>
        <v>0.59</v>
      </c>
    </row>
    <row r="346" ht="15.75" customHeight="1">
      <c r="A346" s="4" t="s">
        <v>2072</v>
      </c>
      <c r="B346" s="4" t="s">
        <v>1384</v>
      </c>
      <c r="C346" s="4" t="s">
        <v>1385</v>
      </c>
      <c r="D346" s="4" t="s">
        <v>86</v>
      </c>
      <c r="E346" s="4" t="s">
        <v>112</v>
      </c>
      <c r="F346" s="4">
        <v>3.0</v>
      </c>
      <c r="G346" s="4">
        <v>13.7</v>
      </c>
      <c r="H346" s="4">
        <v>0.59</v>
      </c>
      <c r="I346" s="11">
        <v>0.561</v>
      </c>
      <c r="J346" s="4">
        <v>0.85</v>
      </c>
      <c r="K346" s="18">
        <f t="array" ref="K346">IF(H346&lt;&gt;"",H346,IFERROR(G346/INDEX(Players!$M$2:$M$127,MATCH(B346,Players!$A$2:$A$127,0)),""))</f>
        <v>0.59</v>
      </c>
    </row>
    <row r="347" ht="15.75" customHeight="1">
      <c r="A347" s="4" t="s">
        <v>2073</v>
      </c>
      <c r="B347" s="4" t="s">
        <v>1259</v>
      </c>
      <c r="C347" s="4" t="s">
        <v>1260</v>
      </c>
      <c r="D347" s="4" t="s">
        <v>86</v>
      </c>
      <c r="E347" s="4" t="s">
        <v>262</v>
      </c>
      <c r="F347" s="4">
        <v>10.0</v>
      </c>
      <c r="G347" s="4">
        <v>10.0</v>
      </c>
      <c r="H347" s="4">
        <v>0.52</v>
      </c>
      <c r="I347" s="11">
        <v>0.42</v>
      </c>
      <c r="J347" s="4">
        <v>0.76</v>
      </c>
      <c r="K347" s="18">
        <f t="array" ref="K347">IF(H347&lt;&gt;"",H347,IFERROR(G347/INDEX(Players!$M$2:$M$127,MATCH(B347,Players!$A$2:$A$127,0)),""))</f>
        <v>0.52</v>
      </c>
    </row>
    <row r="348" ht="15.75" customHeight="1">
      <c r="A348" s="4" t="s">
        <v>2074</v>
      </c>
      <c r="B348" s="4" t="s">
        <v>1259</v>
      </c>
      <c r="C348" s="4" t="s">
        <v>1260</v>
      </c>
      <c r="D348" s="4" t="s">
        <v>86</v>
      </c>
      <c r="E348" s="4" t="s">
        <v>276</v>
      </c>
      <c r="F348" s="4">
        <v>7.0</v>
      </c>
      <c r="G348" s="4">
        <v>11.9</v>
      </c>
      <c r="H348" s="4">
        <v>0.59</v>
      </c>
      <c r="I348" s="11">
        <v>0.325</v>
      </c>
      <c r="J348" s="4">
        <v>1.0</v>
      </c>
      <c r="K348" s="18">
        <f t="array" ref="K348">IF(H348&lt;&gt;"",H348,IFERROR(G348/INDEX(Players!$M$2:$M$127,MATCH(B348,Players!$A$2:$A$127,0)),""))</f>
        <v>0.59</v>
      </c>
    </row>
    <row r="349" ht="15.75" customHeight="1">
      <c r="A349" s="4" t="s">
        <v>2075</v>
      </c>
      <c r="B349" s="4" t="s">
        <v>1259</v>
      </c>
      <c r="C349" s="4" t="s">
        <v>1260</v>
      </c>
      <c r="D349" s="4" t="s">
        <v>86</v>
      </c>
      <c r="E349" s="4" t="s">
        <v>250</v>
      </c>
      <c r="F349" s="4">
        <v>6.0</v>
      </c>
      <c r="G349" s="4">
        <v>15.2</v>
      </c>
      <c r="H349" s="4">
        <v>0.7</v>
      </c>
      <c r="I349" s="11">
        <v>0.341</v>
      </c>
      <c r="J349" s="4">
        <v>1.54</v>
      </c>
      <c r="K349" s="18">
        <f t="array" ref="K349">IF(H349&lt;&gt;"",H349,IFERROR(G349/INDEX(Players!$M$2:$M$127,MATCH(B349,Players!$A$2:$A$127,0)),""))</f>
        <v>0.7</v>
      </c>
    </row>
    <row r="350" ht="15.75" customHeight="1">
      <c r="A350" s="4" t="s">
        <v>2076</v>
      </c>
      <c r="B350" s="4" t="s">
        <v>1259</v>
      </c>
      <c r="C350" s="4" t="s">
        <v>1260</v>
      </c>
      <c r="D350" s="4" t="s">
        <v>86</v>
      </c>
      <c r="E350" s="4" t="s">
        <v>270</v>
      </c>
      <c r="F350" s="4">
        <v>4.0</v>
      </c>
      <c r="G350" s="4">
        <v>15.0</v>
      </c>
      <c r="H350" s="4">
        <v>0.7</v>
      </c>
      <c r="I350" s="11">
        <v>0.5670000000000001</v>
      </c>
      <c r="J350" s="4">
        <v>1.13</v>
      </c>
      <c r="K350" s="18">
        <f t="array" ref="K350">IF(H350&lt;&gt;"",H350,IFERROR(G350/INDEX(Players!$M$2:$M$127,MATCH(B350,Players!$A$2:$A$127,0)),""))</f>
        <v>0.7</v>
      </c>
    </row>
    <row r="351" ht="15.75" customHeight="1">
      <c r="A351" s="4" t="s">
        <v>2077</v>
      </c>
      <c r="B351" s="4" t="s">
        <v>1259</v>
      </c>
      <c r="C351" s="4" t="s">
        <v>1260</v>
      </c>
      <c r="D351" s="4" t="s">
        <v>86</v>
      </c>
      <c r="E351" s="4" t="s">
        <v>113</v>
      </c>
      <c r="F351" s="4">
        <v>4.0</v>
      </c>
      <c r="G351" s="4">
        <v>9.5</v>
      </c>
      <c r="H351" s="4">
        <v>0.56</v>
      </c>
      <c r="I351" s="11">
        <v>0.605</v>
      </c>
      <c r="J351" s="4">
        <v>0.95</v>
      </c>
      <c r="K351" s="18">
        <f t="array" ref="K351">IF(H351&lt;&gt;"",H351,IFERROR(G351/INDEX(Players!$M$2:$M$127,MATCH(B351,Players!$A$2:$A$127,0)),""))</f>
        <v>0.56</v>
      </c>
    </row>
    <row r="352" ht="15.75" customHeight="1">
      <c r="A352" s="4" t="s">
        <v>2078</v>
      </c>
      <c r="B352" s="4" t="s">
        <v>1259</v>
      </c>
      <c r="C352" s="4" t="s">
        <v>1260</v>
      </c>
      <c r="D352" s="4" t="s">
        <v>86</v>
      </c>
      <c r="E352" s="4" t="s">
        <v>110</v>
      </c>
      <c r="F352" s="4">
        <v>2.0</v>
      </c>
      <c r="G352" s="4">
        <v>16.5</v>
      </c>
      <c r="H352" s="4">
        <v>0.58</v>
      </c>
      <c r="I352" s="11">
        <v>0.273</v>
      </c>
      <c r="J352" s="4">
        <v>1.0</v>
      </c>
      <c r="K352" s="18">
        <f t="array" ref="K352">IF(H352&lt;&gt;"",H352,IFERROR(G352/INDEX(Players!$M$2:$M$127,MATCH(B352,Players!$A$2:$A$127,0)),""))</f>
        <v>0.58</v>
      </c>
    </row>
    <row r="353" ht="15.75" customHeight="1">
      <c r="A353" s="4" t="s">
        <v>2079</v>
      </c>
      <c r="B353" s="4" t="s">
        <v>1346</v>
      </c>
      <c r="C353" s="4" t="s">
        <v>1347</v>
      </c>
      <c r="D353" s="4" t="s">
        <v>86</v>
      </c>
      <c r="E353" s="4" t="s">
        <v>276</v>
      </c>
      <c r="F353" s="4">
        <v>7.0</v>
      </c>
      <c r="G353" s="4">
        <v>15.0</v>
      </c>
      <c r="H353" s="4">
        <v>0.64</v>
      </c>
      <c r="I353" s="11">
        <v>0.552</v>
      </c>
      <c r="J353" s="4">
        <v>0.98</v>
      </c>
      <c r="K353" s="18">
        <f t="array" ref="K353">IF(H353&lt;&gt;"",H353,IFERROR(G353/INDEX(Players!$M$2:$M$127,MATCH(B353,Players!$A$2:$A$127,0)),""))</f>
        <v>0.64</v>
      </c>
    </row>
    <row r="354" ht="15.75" customHeight="1">
      <c r="A354" s="4" t="s">
        <v>2080</v>
      </c>
      <c r="B354" s="4" t="s">
        <v>1346</v>
      </c>
      <c r="C354" s="4" t="s">
        <v>1347</v>
      </c>
      <c r="D354" s="4" t="s">
        <v>86</v>
      </c>
      <c r="E354" s="4" t="s">
        <v>112</v>
      </c>
      <c r="F354" s="4">
        <v>6.0</v>
      </c>
      <c r="G354" s="4">
        <v>13.8</v>
      </c>
      <c r="H354" s="4">
        <v>0.53</v>
      </c>
      <c r="I354" s="11">
        <v>0.5539999999999999</v>
      </c>
      <c r="J354" s="4">
        <v>0.76</v>
      </c>
      <c r="K354" s="18">
        <f t="array" ref="K354">IF(H354&lt;&gt;"",H354,IFERROR(G354/INDEX(Players!$M$2:$M$127,MATCH(B354,Players!$A$2:$A$127,0)),""))</f>
        <v>0.53</v>
      </c>
    </row>
    <row r="355" ht="15.75" customHeight="1">
      <c r="A355" s="4" t="s">
        <v>2081</v>
      </c>
      <c r="B355" s="4" t="s">
        <v>1346</v>
      </c>
      <c r="C355" s="4" t="s">
        <v>1347</v>
      </c>
      <c r="D355" s="4" t="s">
        <v>86</v>
      </c>
      <c r="E355" s="4" t="s">
        <v>110</v>
      </c>
      <c r="F355" s="4">
        <v>5.0</v>
      </c>
      <c r="G355" s="4">
        <v>11.8</v>
      </c>
      <c r="H355" s="4">
        <v>0.58</v>
      </c>
      <c r="I355" s="11">
        <v>0.5589999999999999</v>
      </c>
      <c r="J355" s="4">
        <v>0.94</v>
      </c>
      <c r="K355" s="18">
        <f t="array" ref="K355">IF(H355&lt;&gt;"",H355,IFERROR(G355/INDEX(Players!$M$2:$M$127,MATCH(B355,Players!$A$2:$A$127,0)),""))</f>
        <v>0.58</v>
      </c>
    </row>
    <row r="356" ht="15.75" customHeight="1">
      <c r="A356" s="4" t="s">
        <v>2082</v>
      </c>
      <c r="B356" s="4" t="s">
        <v>1346</v>
      </c>
      <c r="C356" s="4" t="s">
        <v>1347</v>
      </c>
      <c r="D356" s="4" t="s">
        <v>86</v>
      </c>
      <c r="E356" s="4" t="s">
        <v>113</v>
      </c>
      <c r="F356" s="4">
        <v>5.0</v>
      </c>
      <c r="G356" s="4">
        <v>9.4</v>
      </c>
      <c r="H356" s="4">
        <v>0.47</v>
      </c>
      <c r="I356" s="11">
        <v>0.468</v>
      </c>
      <c r="J356" s="4">
        <v>0.73</v>
      </c>
      <c r="K356" s="18">
        <f t="array" ref="K356">IF(H356&lt;&gt;"",H356,IFERROR(G356/INDEX(Players!$M$2:$M$127,MATCH(B356,Players!$A$2:$A$127,0)),""))</f>
        <v>0.47</v>
      </c>
    </row>
    <row r="357" ht="15.75" customHeight="1">
      <c r="A357" s="4" t="s">
        <v>2083</v>
      </c>
      <c r="B357" s="4" t="s">
        <v>1346</v>
      </c>
      <c r="C357" s="4" t="s">
        <v>1347</v>
      </c>
      <c r="D357" s="4" t="s">
        <v>86</v>
      </c>
      <c r="E357" s="4" t="s">
        <v>250</v>
      </c>
      <c r="F357" s="4">
        <v>4.0</v>
      </c>
      <c r="G357" s="4">
        <v>13.3</v>
      </c>
      <c r="H357" s="4">
        <v>0.6</v>
      </c>
      <c r="I357" s="11">
        <v>0.5660000000000001</v>
      </c>
      <c r="J357" s="4">
        <v>0.82</v>
      </c>
      <c r="K357" s="18">
        <f t="array" ref="K357">IF(H357&lt;&gt;"",H357,IFERROR(G357/INDEX(Players!$M$2:$M$127,MATCH(B357,Players!$A$2:$A$127,0)),""))</f>
        <v>0.6</v>
      </c>
    </row>
    <row r="358" ht="15.75" customHeight="1">
      <c r="A358" s="4" t="s">
        <v>2085</v>
      </c>
      <c r="B358" s="4" t="s">
        <v>1346</v>
      </c>
      <c r="C358" s="4" t="s">
        <v>1347</v>
      </c>
      <c r="D358" s="4" t="s">
        <v>86</v>
      </c>
      <c r="E358" s="4" t="s">
        <v>270</v>
      </c>
      <c r="F358" s="4">
        <v>2.0</v>
      </c>
      <c r="G358" s="4">
        <v>9.5</v>
      </c>
      <c r="H358" s="4">
        <v>0.44</v>
      </c>
      <c r="I358" s="11">
        <v>0.579</v>
      </c>
      <c r="J358" s="4">
        <v>0.66</v>
      </c>
      <c r="K358" s="18">
        <f t="array" ref="K358">IF(H358&lt;&gt;"",H358,IFERROR(G358/INDEX(Players!$M$2:$M$127,MATCH(B358,Players!$A$2:$A$127,0)),""))</f>
        <v>0.44</v>
      </c>
    </row>
    <row r="359" ht="15.75" customHeight="1">
      <c r="A359" s="4" t="s">
        <v>2086</v>
      </c>
      <c r="B359" s="4" t="s">
        <v>1447</v>
      </c>
      <c r="C359" s="4" t="s">
        <v>1448</v>
      </c>
      <c r="D359" s="4" t="s">
        <v>86</v>
      </c>
      <c r="E359" s="4" t="s">
        <v>276</v>
      </c>
      <c r="F359" s="4">
        <v>11.0</v>
      </c>
      <c r="G359" s="4">
        <v>12.3</v>
      </c>
      <c r="H359" s="4">
        <v>0.6</v>
      </c>
      <c r="I359" s="11">
        <v>0.585</v>
      </c>
      <c r="J359" s="4">
        <v>0.94</v>
      </c>
      <c r="K359" s="18">
        <f t="array" ref="K359">IF(H359&lt;&gt;"",H359,IFERROR(G359/INDEX(Players!$M$2:$M$127,MATCH(B359,Players!$A$2:$A$127,0)),""))</f>
        <v>0.6</v>
      </c>
    </row>
    <row r="360" ht="15.75" customHeight="1">
      <c r="A360" s="4" t="s">
        <v>2087</v>
      </c>
      <c r="B360" s="4" t="s">
        <v>1447</v>
      </c>
      <c r="C360" s="4" t="s">
        <v>1448</v>
      </c>
      <c r="D360" s="4" t="s">
        <v>86</v>
      </c>
      <c r="E360" s="4" t="s">
        <v>250</v>
      </c>
      <c r="F360" s="4">
        <v>9.0</v>
      </c>
      <c r="G360" s="4">
        <v>16.0</v>
      </c>
      <c r="H360" s="4">
        <v>0.68</v>
      </c>
      <c r="I360" s="11">
        <v>0.493</v>
      </c>
      <c r="J360" s="4">
        <v>1.12</v>
      </c>
      <c r="K360" s="18">
        <f t="array" ref="K360">IF(H360&lt;&gt;"",H360,IFERROR(G360/INDEX(Players!$M$2:$M$127,MATCH(B360,Players!$A$2:$A$127,0)),""))</f>
        <v>0.68</v>
      </c>
    </row>
    <row r="361" ht="15.75" customHeight="1">
      <c r="A361" s="4" t="s">
        <v>2088</v>
      </c>
      <c r="B361" s="4" t="s">
        <v>1447</v>
      </c>
      <c r="C361" s="4" t="s">
        <v>1448</v>
      </c>
      <c r="D361" s="4" t="s">
        <v>86</v>
      </c>
      <c r="E361" s="4" t="s">
        <v>110</v>
      </c>
      <c r="F361" s="4">
        <v>9.0</v>
      </c>
      <c r="G361" s="4">
        <v>14.2</v>
      </c>
      <c r="H361" s="4">
        <v>0.62</v>
      </c>
      <c r="I361" s="11">
        <v>0.492</v>
      </c>
      <c r="J361" s="4">
        <v>0.96</v>
      </c>
      <c r="K361" s="18">
        <f t="array" ref="K361">IF(H361&lt;&gt;"",H361,IFERROR(G361/INDEX(Players!$M$2:$M$127,MATCH(B361,Players!$A$2:$A$127,0)),""))</f>
        <v>0.62</v>
      </c>
    </row>
    <row r="362" ht="15.75" customHeight="1">
      <c r="A362" s="4" t="s">
        <v>2089</v>
      </c>
      <c r="B362" s="4" t="s">
        <v>1447</v>
      </c>
      <c r="C362" s="4" t="s">
        <v>1448</v>
      </c>
      <c r="D362" s="4" t="s">
        <v>86</v>
      </c>
      <c r="E362" s="4" t="s">
        <v>262</v>
      </c>
      <c r="F362" s="4">
        <v>4.0</v>
      </c>
      <c r="G362" s="4">
        <v>17.3</v>
      </c>
      <c r="H362" s="4">
        <v>0.72</v>
      </c>
      <c r="I362" s="11">
        <v>0.551</v>
      </c>
      <c r="J362" s="4">
        <v>1.25</v>
      </c>
      <c r="K362" s="18">
        <f t="array" ref="K362">IF(H362&lt;&gt;"",H362,IFERROR(G362/INDEX(Players!$M$2:$M$127,MATCH(B362,Players!$A$2:$A$127,0)),""))</f>
        <v>0.72</v>
      </c>
    </row>
    <row r="363" ht="15.75" customHeight="1">
      <c r="A363" s="4" t="s">
        <v>2090</v>
      </c>
      <c r="B363" s="4" t="s">
        <v>1447</v>
      </c>
      <c r="C363" s="4" t="s">
        <v>1448</v>
      </c>
      <c r="D363" s="4" t="s">
        <v>86</v>
      </c>
      <c r="E363" s="4" t="s">
        <v>270</v>
      </c>
      <c r="F363" s="4">
        <v>4.0</v>
      </c>
      <c r="G363" s="4">
        <v>10.8</v>
      </c>
      <c r="H363" s="4">
        <v>0.54</v>
      </c>
      <c r="I363" s="11">
        <v>0.5579999999999999</v>
      </c>
      <c r="J363" s="4">
        <v>0.83</v>
      </c>
      <c r="K363" s="18">
        <f t="array" ref="K363">IF(H363&lt;&gt;"",H363,IFERROR(G363/INDEX(Players!$M$2:$M$127,MATCH(B363,Players!$A$2:$A$127,0)),""))</f>
        <v>0.54</v>
      </c>
    </row>
    <row r="364" ht="15.75" customHeight="1">
      <c r="A364" s="4" t="s">
        <v>2091</v>
      </c>
      <c r="B364" s="4" t="s">
        <v>1447</v>
      </c>
      <c r="C364" s="4" t="s">
        <v>1448</v>
      </c>
      <c r="D364" s="4" t="s">
        <v>86</v>
      </c>
      <c r="E364" s="4" t="s">
        <v>113</v>
      </c>
      <c r="F364" s="4">
        <v>2.0</v>
      </c>
      <c r="G364" s="4">
        <v>10.0</v>
      </c>
      <c r="H364" s="4">
        <v>0.5</v>
      </c>
      <c r="I364" s="11">
        <v>0.65</v>
      </c>
      <c r="J364" s="4">
        <v>0.77</v>
      </c>
      <c r="K364" s="18">
        <f t="array" ref="K364">IF(H364&lt;&gt;"",H364,IFERROR(G364/INDEX(Players!$M$2:$M$127,MATCH(B364,Players!$A$2:$A$127,0)),""))</f>
        <v>0.5</v>
      </c>
    </row>
    <row r="365" ht="15.75" customHeight="1">
      <c r="A365" s="4" t="s">
        <v>2092</v>
      </c>
      <c r="B365" s="4" t="s">
        <v>1544</v>
      </c>
      <c r="C365" s="4" t="s">
        <v>1545</v>
      </c>
      <c r="D365" s="4" t="s">
        <v>86</v>
      </c>
      <c r="E365" s="4" t="s">
        <v>250</v>
      </c>
      <c r="F365" s="4">
        <v>7.0</v>
      </c>
      <c r="G365" s="4">
        <v>17.4</v>
      </c>
      <c r="H365" s="4">
        <v>0.74</v>
      </c>
      <c r="I365" s="11">
        <v>0.541</v>
      </c>
      <c r="J365" s="4">
        <v>1.23</v>
      </c>
      <c r="K365" s="18">
        <f t="array" ref="K365">IF(H365&lt;&gt;"",H365,IFERROR(G365/INDEX(Players!$M$2:$M$127,MATCH(B365,Players!$A$2:$A$127,0)),""))</f>
        <v>0.74</v>
      </c>
    </row>
    <row r="366" ht="15.75" customHeight="1">
      <c r="A366" s="4" t="s">
        <v>2093</v>
      </c>
      <c r="B366" s="4" t="s">
        <v>1544</v>
      </c>
      <c r="C366" s="4" t="s">
        <v>1545</v>
      </c>
      <c r="D366" s="4" t="s">
        <v>86</v>
      </c>
      <c r="E366" s="4" t="s">
        <v>113</v>
      </c>
      <c r="F366" s="4">
        <v>6.0</v>
      </c>
      <c r="G366" s="4">
        <v>14.7</v>
      </c>
      <c r="H366" s="4">
        <v>0.68</v>
      </c>
      <c r="I366" s="11">
        <v>0.557</v>
      </c>
      <c r="J366" s="4">
        <v>1.13</v>
      </c>
      <c r="K366" s="18">
        <f t="array" ref="K366">IF(H366&lt;&gt;"",H366,IFERROR(G366/INDEX(Players!$M$2:$M$127,MATCH(B366,Players!$A$2:$A$127,0)),""))</f>
        <v>0.68</v>
      </c>
    </row>
    <row r="367" ht="15.75" customHeight="1">
      <c r="A367" s="4" t="s">
        <v>2094</v>
      </c>
      <c r="B367" s="4" t="s">
        <v>1544</v>
      </c>
      <c r="C367" s="4" t="s">
        <v>1545</v>
      </c>
      <c r="D367" s="4" t="s">
        <v>86</v>
      </c>
      <c r="E367" s="4" t="s">
        <v>262</v>
      </c>
      <c r="F367" s="4">
        <v>6.0</v>
      </c>
      <c r="G367" s="4">
        <v>12.2</v>
      </c>
      <c r="H367" s="4">
        <v>0.59</v>
      </c>
      <c r="I367" s="11">
        <v>0.4379999999999999</v>
      </c>
      <c r="J367" s="4">
        <v>0.86</v>
      </c>
      <c r="K367" s="18">
        <f t="array" ref="K367">IF(H367&lt;&gt;"",H367,IFERROR(G367/INDEX(Players!$M$2:$M$127,MATCH(B367,Players!$A$2:$A$127,0)),""))</f>
        <v>0.59</v>
      </c>
    </row>
    <row r="368" ht="15.75" customHeight="1">
      <c r="A368" s="4" t="s">
        <v>2095</v>
      </c>
      <c r="B368" s="4" t="s">
        <v>1544</v>
      </c>
      <c r="C368" s="4" t="s">
        <v>1545</v>
      </c>
      <c r="D368" s="4" t="s">
        <v>86</v>
      </c>
      <c r="E368" s="4" t="s">
        <v>270</v>
      </c>
      <c r="F368" s="4">
        <v>4.0</v>
      </c>
      <c r="G368" s="4">
        <v>15.3</v>
      </c>
      <c r="H368" s="4">
        <v>0.85</v>
      </c>
      <c r="I368" s="11">
        <v>0.574</v>
      </c>
      <c r="J368" s="4">
        <v>1.97</v>
      </c>
      <c r="K368" s="18">
        <f t="array" ref="K368">IF(H368&lt;&gt;"",H368,IFERROR(G368/INDEX(Players!$M$2:$M$127,MATCH(B368,Players!$A$2:$A$127,0)),""))</f>
        <v>0.85</v>
      </c>
    </row>
    <row r="369" ht="15.75" customHeight="1">
      <c r="A369" s="4" t="s">
        <v>2096</v>
      </c>
      <c r="B369" s="4" t="s">
        <v>1544</v>
      </c>
      <c r="C369" s="4" t="s">
        <v>1545</v>
      </c>
      <c r="D369" s="4" t="s">
        <v>86</v>
      </c>
      <c r="E369" s="4" t="s">
        <v>276</v>
      </c>
      <c r="F369" s="4">
        <v>4.0</v>
      </c>
      <c r="G369" s="4">
        <v>11.3</v>
      </c>
      <c r="H369" s="4">
        <v>0.59</v>
      </c>
      <c r="I369" s="11">
        <v>0.467</v>
      </c>
      <c r="J369" s="4">
        <v>0.88</v>
      </c>
      <c r="K369" s="18">
        <f t="array" ref="K369">IF(H369&lt;&gt;"",H369,IFERROR(G369/INDEX(Players!$M$2:$M$127,MATCH(B369,Players!$A$2:$A$127,0)),""))</f>
        <v>0.59</v>
      </c>
    </row>
    <row r="370" ht="15.75" customHeight="1">
      <c r="A370" s="4" t="s">
        <v>2097</v>
      </c>
      <c r="B370" s="4" t="s">
        <v>1544</v>
      </c>
      <c r="C370" s="4" t="s">
        <v>1545</v>
      </c>
      <c r="D370" s="4" t="s">
        <v>86</v>
      </c>
      <c r="E370" s="4" t="s">
        <v>112</v>
      </c>
      <c r="F370" s="4">
        <v>3.0</v>
      </c>
      <c r="G370" s="4">
        <v>17.3</v>
      </c>
      <c r="H370" s="4">
        <v>0.87</v>
      </c>
      <c r="I370" s="11">
        <v>0.442</v>
      </c>
      <c r="J370" s="4">
        <v>1.53</v>
      </c>
      <c r="K370" s="18">
        <f t="array" ref="K370">IF(H370&lt;&gt;"",H370,IFERROR(G370/INDEX(Players!$M$2:$M$127,MATCH(B370,Players!$A$2:$A$127,0)),""))</f>
        <v>0.87</v>
      </c>
    </row>
    <row r="371" ht="15.75" customHeight="1">
      <c r="A371" s="4" t="s">
        <v>2098</v>
      </c>
      <c r="B371" s="4" t="s">
        <v>1544</v>
      </c>
      <c r="C371" s="4" t="s">
        <v>1545</v>
      </c>
      <c r="D371" s="4" t="s">
        <v>86</v>
      </c>
      <c r="E371" s="4" t="s">
        <v>110</v>
      </c>
      <c r="F371" s="4">
        <v>1.0</v>
      </c>
      <c r="G371" s="4">
        <v>21.0</v>
      </c>
      <c r="H371" s="4">
        <v>0.91</v>
      </c>
      <c r="I371" s="11">
        <v>0.381</v>
      </c>
      <c r="J371" s="4">
        <v>1.5</v>
      </c>
      <c r="K371" s="18">
        <f t="array" ref="K371">IF(H371&lt;&gt;"",H371,IFERROR(G371/INDEX(Players!$M$2:$M$127,MATCH(B371,Players!$A$2:$A$127,0)),""))</f>
        <v>0.91</v>
      </c>
    </row>
    <row r="372" ht="15.75" customHeight="1">
      <c r="A372" s="4" t="s">
        <v>2099</v>
      </c>
      <c r="B372" s="4" t="s">
        <v>1316</v>
      </c>
      <c r="C372" s="4" t="s">
        <v>1317</v>
      </c>
      <c r="D372" s="4" t="s">
        <v>86</v>
      </c>
      <c r="E372" s="4" t="s">
        <v>250</v>
      </c>
      <c r="F372" s="4">
        <v>8.0</v>
      </c>
      <c r="G372" s="4">
        <v>12.5</v>
      </c>
      <c r="H372" s="4">
        <v>0.61</v>
      </c>
      <c r="I372" s="11">
        <v>0.52</v>
      </c>
      <c r="J372" s="4">
        <v>0.86</v>
      </c>
      <c r="K372" s="18">
        <f t="array" ref="K372">IF(H372&lt;&gt;"",H372,IFERROR(G372/INDEX(Players!$M$2:$M$127,MATCH(B372,Players!$A$2:$A$127,0)),""))</f>
        <v>0.61</v>
      </c>
    </row>
    <row r="373" ht="15.75" customHeight="1">
      <c r="A373" s="4" t="s">
        <v>2100</v>
      </c>
      <c r="B373" s="4" t="s">
        <v>1316</v>
      </c>
      <c r="C373" s="4" t="s">
        <v>1317</v>
      </c>
      <c r="D373" s="4" t="s">
        <v>86</v>
      </c>
      <c r="E373" s="4" t="s">
        <v>113</v>
      </c>
      <c r="F373" s="4">
        <v>6.0</v>
      </c>
      <c r="G373" s="4">
        <v>18.7</v>
      </c>
      <c r="H373" s="4">
        <v>0.82</v>
      </c>
      <c r="I373" s="11">
        <v>0.607</v>
      </c>
      <c r="J373" s="4">
        <v>1.14</v>
      </c>
      <c r="K373" s="18">
        <f t="array" ref="K373">IF(H373&lt;&gt;"",H373,IFERROR(G373/INDEX(Players!$M$2:$M$127,MATCH(B373,Players!$A$2:$A$127,0)),""))</f>
        <v>0.82</v>
      </c>
    </row>
    <row r="374" ht="15.75" customHeight="1">
      <c r="A374" s="4" t="s">
        <v>2101</v>
      </c>
      <c r="B374" s="4" t="s">
        <v>1316</v>
      </c>
      <c r="C374" s="4" t="s">
        <v>1317</v>
      </c>
      <c r="D374" s="4" t="s">
        <v>86</v>
      </c>
      <c r="E374" s="4" t="s">
        <v>262</v>
      </c>
      <c r="F374" s="4">
        <v>6.0</v>
      </c>
      <c r="G374" s="4">
        <v>11.3</v>
      </c>
      <c r="H374" s="4">
        <v>0.61</v>
      </c>
      <c r="I374" s="11">
        <v>0.515</v>
      </c>
      <c r="J374" s="4">
        <v>0.86</v>
      </c>
      <c r="K374" s="18">
        <f t="array" ref="K374">IF(H374&lt;&gt;"",H374,IFERROR(G374/INDEX(Players!$M$2:$M$127,MATCH(B374,Players!$A$2:$A$127,0)),""))</f>
        <v>0.61</v>
      </c>
    </row>
    <row r="375" ht="15.75" customHeight="1">
      <c r="A375" s="4" t="s">
        <v>2102</v>
      </c>
      <c r="B375" s="4" t="s">
        <v>1316</v>
      </c>
      <c r="C375" s="4" t="s">
        <v>1317</v>
      </c>
      <c r="D375" s="4" t="s">
        <v>86</v>
      </c>
      <c r="E375" s="4" t="s">
        <v>270</v>
      </c>
      <c r="F375" s="4">
        <v>5.0</v>
      </c>
      <c r="G375" s="4">
        <v>13.4</v>
      </c>
      <c r="H375" s="4">
        <v>0.6</v>
      </c>
      <c r="I375" s="11">
        <v>0.373</v>
      </c>
      <c r="J375" s="4">
        <v>0.91</v>
      </c>
      <c r="K375" s="18">
        <f t="array" ref="K375">IF(H375&lt;&gt;"",H375,IFERROR(G375/INDEX(Players!$M$2:$M$127,MATCH(B375,Players!$A$2:$A$127,0)),""))</f>
        <v>0.6</v>
      </c>
    </row>
    <row r="376" ht="15.75" customHeight="1">
      <c r="A376" s="4" t="s">
        <v>2103</v>
      </c>
      <c r="B376" s="4" t="s">
        <v>1316</v>
      </c>
      <c r="C376" s="4" t="s">
        <v>1317</v>
      </c>
      <c r="D376" s="4" t="s">
        <v>86</v>
      </c>
      <c r="E376" s="4" t="s">
        <v>110</v>
      </c>
      <c r="F376" s="4">
        <v>4.0</v>
      </c>
      <c r="G376" s="4">
        <v>13.5</v>
      </c>
      <c r="H376" s="4">
        <v>0.76</v>
      </c>
      <c r="I376" s="11">
        <v>0.463</v>
      </c>
      <c r="J376" s="4">
        <v>1.17</v>
      </c>
      <c r="K376" s="18">
        <f t="array" ref="K376">IF(H376&lt;&gt;"",H376,IFERROR(G376/INDEX(Players!$M$2:$M$127,MATCH(B376,Players!$A$2:$A$127,0)),""))</f>
        <v>0.76</v>
      </c>
    </row>
    <row r="377" ht="15.75" customHeight="1">
      <c r="A377" s="4" t="s">
        <v>2104</v>
      </c>
      <c r="B377" s="4" t="s">
        <v>1514</v>
      </c>
      <c r="C377" s="4" t="s">
        <v>1515</v>
      </c>
      <c r="D377" s="4" t="s">
        <v>86</v>
      </c>
      <c r="E377" s="4" t="s">
        <v>110</v>
      </c>
      <c r="F377" s="4">
        <v>8.0</v>
      </c>
      <c r="G377" s="4">
        <v>17.3</v>
      </c>
      <c r="H377" s="4">
        <v>0.85</v>
      </c>
      <c r="I377" s="11">
        <v>0.42</v>
      </c>
      <c r="J377" s="4">
        <v>1.23</v>
      </c>
      <c r="K377" s="18">
        <f t="array" ref="K377">IF(H377&lt;&gt;"",H377,IFERROR(G377/INDEX(Players!$M$2:$M$127,MATCH(B377,Players!$A$2:$A$127,0)),""))</f>
        <v>0.85</v>
      </c>
    </row>
    <row r="378" ht="15.75" customHeight="1">
      <c r="A378" s="4" t="s">
        <v>2105</v>
      </c>
      <c r="B378" s="4" t="s">
        <v>1514</v>
      </c>
      <c r="C378" s="4" t="s">
        <v>1515</v>
      </c>
      <c r="D378" s="4" t="s">
        <v>86</v>
      </c>
      <c r="E378" s="4" t="s">
        <v>270</v>
      </c>
      <c r="F378" s="4">
        <v>8.0</v>
      </c>
      <c r="G378" s="4">
        <v>13.3</v>
      </c>
      <c r="H378" s="4">
        <v>0.66</v>
      </c>
      <c r="I378" s="11">
        <v>0.509</v>
      </c>
      <c r="J378" s="4">
        <v>0.85</v>
      </c>
      <c r="K378" s="18">
        <f t="array" ref="K378">IF(H378&lt;&gt;"",H378,IFERROR(G378/INDEX(Players!$M$2:$M$127,MATCH(B378,Players!$A$2:$A$127,0)),""))</f>
        <v>0.66</v>
      </c>
    </row>
    <row r="379" ht="15.75" customHeight="1">
      <c r="A379" s="4" t="s">
        <v>2106</v>
      </c>
      <c r="B379" s="4" t="s">
        <v>1514</v>
      </c>
      <c r="C379" s="4" t="s">
        <v>1515</v>
      </c>
      <c r="D379" s="4" t="s">
        <v>86</v>
      </c>
      <c r="E379" s="4" t="s">
        <v>250</v>
      </c>
      <c r="F379" s="4">
        <v>6.0</v>
      </c>
      <c r="G379" s="4">
        <v>17.8</v>
      </c>
      <c r="H379" s="4">
        <v>0.87</v>
      </c>
      <c r="I379" s="11">
        <v>0.477</v>
      </c>
      <c r="J379" s="4">
        <v>1.49</v>
      </c>
      <c r="K379" s="18">
        <f t="array" ref="K379">IF(H379&lt;&gt;"",H379,IFERROR(G379/INDEX(Players!$M$2:$M$127,MATCH(B379,Players!$A$2:$A$127,0)),""))</f>
        <v>0.87</v>
      </c>
    </row>
    <row r="380" ht="15.75" customHeight="1">
      <c r="A380" s="4" t="s">
        <v>2107</v>
      </c>
      <c r="B380" s="4" t="s">
        <v>1514</v>
      </c>
      <c r="C380" s="4" t="s">
        <v>1515</v>
      </c>
      <c r="D380" s="4" t="s">
        <v>86</v>
      </c>
      <c r="E380" s="4" t="s">
        <v>262</v>
      </c>
      <c r="F380" s="4">
        <v>5.0</v>
      </c>
      <c r="G380" s="4">
        <v>14.8</v>
      </c>
      <c r="H380" s="4">
        <v>0.69</v>
      </c>
      <c r="I380" s="11">
        <v>0.541</v>
      </c>
      <c r="J380" s="4">
        <v>1.03</v>
      </c>
      <c r="K380" s="18">
        <f t="array" ref="K380">IF(H380&lt;&gt;"",H380,IFERROR(G380/INDEX(Players!$M$2:$M$127,MATCH(B380,Players!$A$2:$A$127,0)),""))</f>
        <v>0.69</v>
      </c>
    </row>
    <row r="381" ht="15.75" customHeight="1">
      <c r="A381" s="4" t="s">
        <v>2108</v>
      </c>
      <c r="B381" s="4" t="s">
        <v>1514</v>
      </c>
      <c r="C381" s="4" t="s">
        <v>1515</v>
      </c>
      <c r="D381" s="4" t="s">
        <v>86</v>
      </c>
      <c r="E381" s="4" t="s">
        <v>112</v>
      </c>
      <c r="F381" s="4">
        <v>5.0</v>
      </c>
      <c r="G381" s="4">
        <v>15.2</v>
      </c>
      <c r="H381" s="4">
        <v>0.67</v>
      </c>
      <c r="I381" s="11">
        <v>0.289</v>
      </c>
      <c r="J381" s="4">
        <v>1.01</v>
      </c>
      <c r="K381" s="18">
        <f t="array" ref="K381">IF(H381&lt;&gt;"",H381,IFERROR(G381/INDEX(Players!$M$2:$M$127,MATCH(B381,Players!$A$2:$A$127,0)),""))</f>
        <v>0.67</v>
      </c>
    </row>
    <row r="382" ht="15.75" customHeight="1">
      <c r="A382" s="4" t="s">
        <v>2109</v>
      </c>
      <c r="B382" s="4" t="s">
        <v>1514</v>
      </c>
      <c r="C382" s="4" t="s">
        <v>1515</v>
      </c>
      <c r="D382" s="4" t="s">
        <v>86</v>
      </c>
      <c r="E382" s="4" t="s">
        <v>276</v>
      </c>
      <c r="F382" s="4">
        <v>4.0</v>
      </c>
      <c r="G382" s="4">
        <v>12.8</v>
      </c>
      <c r="H382" s="4">
        <v>0.68</v>
      </c>
      <c r="I382" s="11">
        <v>0.412</v>
      </c>
      <c r="J382" s="4">
        <v>1.46</v>
      </c>
      <c r="K382" s="18">
        <f t="array" ref="K382">IF(H382&lt;&gt;"",H382,IFERROR(G382/INDEX(Players!$M$2:$M$127,MATCH(B382,Players!$A$2:$A$127,0)),""))</f>
        <v>0.68</v>
      </c>
    </row>
    <row r="383" ht="15.75" customHeight="1">
      <c r="A383" s="4" t="s">
        <v>2110</v>
      </c>
      <c r="B383" s="4" t="s">
        <v>1514</v>
      </c>
      <c r="C383" s="4" t="s">
        <v>1515</v>
      </c>
      <c r="D383" s="4" t="s">
        <v>86</v>
      </c>
      <c r="E383" s="4" t="s">
        <v>113</v>
      </c>
      <c r="F383" s="4">
        <v>1.0</v>
      </c>
      <c r="G383" s="4">
        <v>18.0</v>
      </c>
      <c r="H383" s="4">
        <v>0.75</v>
      </c>
      <c r="I383" s="11">
        <v>0.278</v>
      </c>
      <c r="J383" s="4">
        <v>1.29</v>
      </c>
      <c r="K383" s="18">
        <f t="array" ref="K383">IF(H383&lt;&gt;"",H383,IFERROR(G383/INDEX(Players!$M$2:$M$127,MATCH(B383,Players!$A$2:$A$127,0)),""))</f>
        <v>0.75</v>
      </c>
    </row>
    <row r="384" ht="15.75" customHeight="1">
      <c r="A384" s="4" t="s">
        <v>2111</v>
      </c>
      <c r="B384" s="4" t="s">
        <v>1430</v>
      </c>
      <c r="C384" s="4" t="s">
        <v>1431</v>
      </c>
      <c r="D384" s="4" t="s">
        <v>86</v>
      </c>
      <c r="E384" s="4" t="s">
        <v>276</v>
      </c>
      <c r="F384" s="4">
        <v>8.0</v>
      </c>
      <c r="G384" s="4">
        <v>14.3</v>
      </c>
      <c r="H384" s="4">
        <v>0.66</v>
      </c>
      <c r="I384" s="11">
        <v>0.561</v>
      </c>
      <c r="J384" s="4">
        <v>1.04</v>
      </c>
      <c r="K384" s="18">
        <f t="array" ref="K384">IF(H384&lt;&gt;"",H384,IFERROR(G384/INDEX(Players!$M$2:$M$127,MATCH(B384,Players!$A$2:$A$127,0)),""))</f>
        <v>0.66</v>
      </c>
    </row>
    <row r="385" ht="15.75" customHeight="1">
      <c r="A385" s="4" t="s">
        <v>2112</v>
      </c>
      <c r="B385" s="4" t="s">
        <v>1430</v>
      </c>
      <c r="C385" s="4" t="s">
        <v>1431</v>
      </c>
      <c r="D385" s="4" t="s">
        <v>86</v>
      </c>
      <c r="E385" s="4" t="s">
        <v>113</v>
      </c>
      <c r="F385" s="4">
        <v>7.0</v>
      </c>
      <c r="G385" s="4">
        <v>19.1</v>
      </c>
      <c r="H385" s="4">
        <v>0.95</v>
      </c>
      <c r="I385" s="11">
        <v>0.612</v>
      </c>
      <c r="J385" s="4">
        <v>1.79</v>
      </c>
      <c r="K385" s="18">
        <f t="array" ref="K385">IF(H385&lt;&gt;"",H385,IFERROR(G385/INDEX(Players!$M$2:$M$127,MATCH(B385,Players!$A$2:$A$127,0)),""))</f>
        <v>0.95</v>
      </c>
    </row>
    <row r="386" ht="15.75" customHeight="1">
      <c r="A386" s="4" t="s">
        <v>2113</v>
      </c>
      <c r="B386" s="4" t="s">
        <v>1430</v>
      </c>
      <c r="C386" s="4" t="s">
        <v>1431</v>
      </c>
      <c r="D386" s="4" t="s">
        <v>86</v>
      </c>
      <c r="E386" s="4" t="s">
        <v>110</v>
      </c>
      <c r="F386" s="4">
        <v>7.0</v>
      </c>
      <c r="G386" s="4">
        <v>14.9</v>
      </c>
      <c r="H386" s="4">
        <v>0.68</v>
      </c>
      <c r="I386" s="11">
        <v>0.596</v>
      </c>
      <c r="J386" s="4">
        <v>1.01</v>
      </c>
      <c r="K386" s="18">
        <f t="array" ref="K386">IF(H386&lt;&gt;"",H386,IFERROR(G386/INDEX(Players!$M$2:$M$127,MATCH(B386,Players!$A$2:$A$127,0)),""))</f>
        <v>0.68</v>
      </c>
    </row>
    <row r="387" ht="15.75" customHeight="1">
      <c r="A387" s="4" t="s">
        <v>2114</v>
      </c>
      <c r="B387" s="4" t="s">
        <v>1430</v>
      </c>
      <c r="C387" s="4" t="s">
        <v>1431</v>
      </c>
      <c r="D387" s="4" t="s">
        <v>86</v>
      </c>
      <c r="E387" s="4" t="s">
        <v>250</v>
      </c>
      <c r="F387" s="4">
        <v>6.0</v>
      </c>
      <c r="G387" s="4">
        <v>20.0</v>
      </c>
      <c r="H387" s="4">
        <v>0.88</v>
      </c>
      <c r="I387" s="11">
        <v>0.675</v>
      </c>
      <c r="J387" s="4">
        <v>1.36</v>
      </c>
      <c r="K387" s="18">
        <f t="array" ref="K387">IF(H387&lt;&gt;"",H387,IFERROR(G387/INDEX(Players!$M$2:$M$127,MATCH(B387,Players!$A$2:$A$127,0)),""))</f>
        <v>0.88</v>
      </c>
    </row>
    <row r="388" ht="15.75" customHeight="1">
      <c r="A388" s="4" t="s">
        <v>2115</v>
      </c>
      <c r="B388" s="4" t="s">
        <v>1430</v>
      </c>
      <c r="C388" s="4" t="s">
        <v>1431</v>
      </c>
      <c r="D388" s="4" t="s">
        <v>86</v>
      </c>
      <c r="E388" s="4" t="s">
        <v>270</v>
      </c>
      <c r="F388" s="4">
        <v>5.0</v>
      </c>
      <c r="G388" s="4">
        <v>12.0</v>
      </c>
      <c r="H388" s="4">
        <v>0.62</v>
      </c>
      <c r="I388" s="11">
        <v>0.55</v>
      </c>
      <c r="J388" s="4">
        <v>1.02</v>
      </c>
      <c r="K388" s="18">
        <f t="array" ref="K388">IF(H388&lt;&gt;"",H388,IFERROR(G388/INDEX(Players!$M$2:$M$127,MATCH(B388,Players!$A$2:$A$127,0)),""))</f>
        <v>0.62</v>
      </c>
    </row>
    <row r="389" ht="15.75" customHeight="1">
      <c r="A389" s="4" t="s">
        <v>2116</v>
      </c>
      <c r="B389" s="4" t="s">
        <v>1430</v>
      </c>
      <c r="C389" s="4" t="s">
        <v>1431</v>
      </c>
      <c r="D389" s="4" t="s">
        <v>86</v>
      </c>
      <c r="E389" s="4" t="s">
        <v>262</v>
      </c>
      <c r="F389" s="4">
        <v>4.0</v>
      </c>
      <c r="G389" s="4">
        <v>14.8</v>
      </c>
      <c r="H389" s="4">
        <v>0.72</v>
      </c>
      <c r="I389" s="11">
        <v>0.492</v>
      </c>
      <c r="J389" s="4">
        <v>1.37</v>
      </c>
      <c r="K389" s="18">
        <f t="array" ref="K389">IF(H389&lt;&gt;"",H389,IFERROR(G389/INDEX(Players!$M$2:$M$127,MATCH(B389,Players!$A$2:$A$127,0)),""))</f>
        <v>0.72</v>
      </c>
    </row>
    <row r="390" ht="15.75" customHeight="1">
      <c r="A390" s="4" t="s">
        <v>2117</v>
      </c>
      <c r="B390" s="4" t="s">
        <v>1557</v>
      </c>
      <c r="C390" s="4" t="s">
        <v>1558</v>
      </c>
      <c r="D390" s="4" t="s">
        <v>86</v>
      </c>
      <c r="E390" s="4" t="s">
        <v>110</v>
      </c>
      <c r="F390" s="4">
        <v>9.0</v>
      </c>
      <c r="G390" s="4">
        <v>14.6</v>
      </c>
      <c r="H390" s="4">
        <v>0.71</v>
      </c>
      <c r="I390" s="11">
        <v>0.458</v>
      </c>
      <c r="J390" s="4">
        <v>1.16</v>
      </c>
      <c r="K390" s="18">
        <f t="array" ref="K390">IF(H390&lt;&gt;"",H390,IFERROR(G390/INDEX(Players!$M$2:$M$127,MATCH(B390,Players!$A$2:$A$127,0)),""))</f>
        <v>0.71</v>
      </c>
    </row>
    <row r="391" ht="15.75" customHeight="1">
      <c r="A391" s="4" t="s">
        <v>2118</v>
      </c>
      <c r="B391" s="4" t="s">
        <v>1557</v>
      </c>
      <c r="C391" s="4" t="s">
        <v>1558</v>
      </c>
      <c r="D391" s="4" t="s">
        <v>86</v>
      </c>
      <c r="E391" s="4" t="s">
        <v>276</v>
      </c>
      <c r="F391" s="4">
        <v>5.0</v>
      </c>
      <c r="G391" s="4">
        <v>14.0</v>
      </c>
      <c r="H391" s="4">
        <v>0.73</v>
      </c>
      <c r="I391" s="11">
        <v>0.557</v>
      </c>
      <c r="J391" s="4">
        <v>1.04</v>
      </c>
      <c r="K391" s="18">
        <f t="array" ref="K391">IF(H391&lt;&gt;"",H391,IFERROR(G391/INDEX(Players!$M$2:$M$127,MATCH(B391,Players!$A$2:$A$127,0)),""))</f>
        <v>0.73</v>
      </c>
    </row>
    <row r="392" ht="15.75" customHeight="1">
      <c r="A392" s="4" t="s">
        <v>2119</v>
      </c>
      <c r="B392" s="4" t="s">
        <v>1557</v>
      </c>
      <c r="C392" s="4" t="s">
        <v>1558</v>
      </c>
      <c r="D392" s="4" t="s">
        <v>86</v>
      </c>
      <c r="E392" s="4" t="s">
        <v>262</v>
      </c>
      <c r="F392" s="4">
        <v>5.0</v>
      </c>
      <c r="G392" s="4">
        <v>14.2</v>
      </c>
      <c r="H392" s="4">
        <v>0.54</v>
      </c>
      <c r="I392" s="11">
        <v>0.521</v>
      </c>
      <c r="J392" s="4">
        <v>0.76</v>
      </c>
      <c r="K392" s="18">
        <f t="array" ref="K392">IF(H392&lt;&gt;"",H392,IFERROR(G392/INDEX(Players!$M$2:$M$127,MATCH(B392,Players!$A$2:$A$127,0)),""))</f>
        <v>0.54</v>
      </c>
    </row>
    <row r="393" ht="15.75" customHeight="1">
      <c r="A393" s="4" t="s">
        <v>2120</v>
      </c>
      <c r="B393" s="4" t="s">
        <v>1557</v>
      </c>
      <c r="C393" s="4" t="s">
        <v>1558</v>
      </c>
      <c r="D393" s="4" t="s">
        <v>86</v>
      </c>
      <c r="E393" s="4" t="s">
        <v>112</v>
      </c>
      <c r="F393" s="4">
        <v>3.0</v>
      </c>
      <c r="G393" s="4">
        <v>14.0</v>
      </c>
      <c r="H393" s="4">
        <v>0.69</v>
      </c>
      <c r="I393" s="11">
        <v>0.667</v>
      </c>
      <c r="J393" s="4">
        <v>1.02</v>
      </c>
      <c r="K393" s="18">
        <f t="array" ref="K393">IF(H393&lt;&gt;"",H393,IFERROR(G393/INDEX(Players!$M$2:$M$127,MATCH(B393,Players!$A$2:$A$127,0)),""))</f>
        <v>0.69</v>
      </c>
    </row>
    <row r="394" ht="15.75" customHeight="1">
      <c r="A394" s="4" t="s">
        <v>2121</v>
      </c>
      <c r="B394" s="4" t="s">
        <v>1557</v>
      </c>
      <c r="C394" s="4" t="s">
        <v>1558</v>
      </c>
      <c r="D394" s="4" t="s">
        <v>86</v>
      </c>
      <c r="E394" s="4" t="s">
        <v>113</v>
      </c>
      <c r="F394" s="4">
        <v>3.0</v>
      </c>
      <c r="G394" s="4">
        <v>9.3</v>
      </c>
      <c r="H394" s="4">
        <v>0.45</v>
      </c>
      <c r="I394" s="11">
        <v>0.25</v>
      </c>
      <c r="J394" s="4">
        <v>0.58</v>
      </c>
      <c r="K394" s="18">
        <f t="array" ref="K394">IF(H394&lt;&gt;"",H394,IFERROR(G394/INDEX(Players!$M$2:$M$127,MATCH(B394,Players!$A$2:$A$127,0)),""))</f>
        <v>0.45</v>
      </c>
    </row>
    <row r="395" ht="15.75" customHeight="1">
      <c r="A395" s="4" t="s">
        <v>2122</v>
      </c>
      <c r="B395" s="4" t="s">
        <v>1557</v>
      </c>
      <c r="C395" s="4" t="s">
        <v>1558</v>
      </c>
      <c r="D395" s="4" t="s">
        <v>86</v>
      </c>
      <c r="E395" s="4" t="s">
        <v>250</v>
      </c>
      <c r="F395" s="4">
        <v>2.0</v>
      </c>
      <c r="G395" s="4">
        <v>12.5</v>
      </c>
      <c r="H395" s="4">
        <v>0.57</v>
      </c>
      <c r="I395" s="11">
        <v>0.64</v>
      </c>
      <c r="J395" s="4">
        <v>0.86</v>
      </c>
      <c r="K395" s="18">
        <f t="array" ref="K395">IF(H395&lt;&gt;"",H395,IFERROR(G395/INDEX(Players!$M$2:$M$127,MATCH(B395,Players!$A$2:$A$127,0)),""))</f>
        <v>0.57</v>
      </c>
    </row>
    <row r="396" ht="15.75" customHeight="1">
      <c r="A396" s="4" t="s">
        <v>2123</v>
      </c>
      <c r="B396" s="4" t="s">
        <v>1460</v>
      </c>
      <c r="C396" s="4" t="s">
        <v>1461</v>
      </c>
      <c r="D396" s="4" t="s">
        <v>86</v>
      </c>
      <c r="E396" s="4" t="s">
        <v>270</v>
      </c>
      <c r="F396" s="4">
        <v>8.0</v>
      </c>
      <c r="G396" s="4">
        <v>16.9</v>
      </c>
      <c r="H396" s="4">
        <v>0.77</v>
      </c>
      <c r="I396" s="11">
        <v>0.348</v>
      </c>
      <c r="J396" s="4">
        <v>1.5</v>
      </c>
      <c r="K396" s="18">
        <f t="array" ref="K396">IF(H396&lt;&gt;"",H396,IFERROR(G396/INDEX(Players!$M$2:$M$127,MATCH(B396,Players!$A$2:$A$127,0)),""))</f>
        <v>0.77</v>
      </c>
    </row>
    <row r="397" ht="15.75" customHeight="1">
      <c r="A397" s="4" t="s">
        <v>2124</v>
      </c>
      <c r="B397" s="4" t="s">
        <v>1460</v>
      </c>
      <c r="C397" s="4" t="s">
        <v>1461</v>
      </c>
      <c r="D397" s="4" t="s">
        <v>86</v>
      </c>
      <c r="E397" s="4" t="s">
        <v>110</v>
      </c>
      <c r="F397" s="4">
        <v>7.0</v>
      </c>
      <c r="G397" s="4">
        <v>16.6</v>
      </c>
      <c r="H397" s="4">
        <v>0.75</v>
      </c>
      <c r="I397" s="11">
        <v>0.345</v>
      </c>
      <c r="J397" s="4">
        <v>1.3</v>
      </c>
      <c r="K397" s="18">
        <f t="array" ref="K397">IF(H397&lt;&gt;"",H397,IFERROR(G397/INDEX(Players!$M$2:$M$127,MATCH(B397,Players!$A$2:$A$127,0)),""))</f>
        <v>0.75</v>
      </c>
    </row>
    <row r="398" ht="15.75" customHeight="1">
      <c r="A398" s="4" t="s">
        <v>2125</v>
      </c>
      <c r="B398" s="4" t="s">
        <v>1460</v>
      </c>
      <c r="C398" s="4" t="s">
        <v>1461</v>
      </c>
      <c r="D398" s="4" t="s">
        <v>86</v>
      </c>
      <c r="E398" s="4" t="s">
        <v>262</v>
      </c>
      <c r="F398" s="4">
        <v>7.0</v>
      </c>
      <c r="G398" s="4">
        <v>12.1</v>
      </c>
      <c r="H398" s="4">
        <v>0.56</v>
      </c>
      <c r="I398" s="11">
        <v>0.4</v>
      </c>
      <c r="J398" s="4">
        <v>0.89</v>
      </c>
      <c r="K398" s="18">
        <f t="array" ref="K398">IF(H398&lt;&gt;"",H398,IFERROR(G398/INDEX(Players!$M$2:$M$127,MATCH(B398,Players!$A$2:$A$127,0)),""))</f>
        <v>0.56</v>
      </c>
    </row>
    <row r="399" ht="15.75" customHeight="1">
      <c r="A399" s="4" t="s">
        <v>2126</v>
      </c>
      <c r="B399" s="4" t="s">
        <v>1460</v>
      </c>
      <c r="C399" s="4" t="s">
        <v>1461</v>
      </c>
      <c r="D399" s="4" t="s">
        <v>86</v>
      </c>
      <c r="E399" s="4" t="s">
        <v>250</v>
      </c>
      <c r="F399" s="4">
        <v>6.0</v>
      </c>
      <c r="G399" s="4">
        <v>15.0</v>
      </c>
      <c r="H399" s="4">
        <v>0.71</v>
      </c>
      <c r="I399" s="11">
        <v>0.4</v>
      </c>
      <c r="J399" s="4">
        <v>1.23</v>
      </c>
      <c r="K399" s="18">
        <f t="array" ref="K399">IF(H399&lt;&gt;"",H399,IFERROR(G399/INDEX(Players!$M$2:$M$127,MATCH(B399,Players!$A$2:$A$127,0)),""))</f>
        <v>0.71</v>
      </c>
    </row>
    <row r="400" ht="15.75" customHeight="1">
      <c r="A400" s="4" t="s">
        <v>2127</v>
      </c>
      <c r="B400" s="4" t="s">
        <v>1460</v>
      </c>
      <c r="C400" s="4" t="s">
        <v>1461</v>
      </c>
      <c r="D400" s="4" t="s">
        <v>86</v>
      </c>
      <c r="E400" s="4" t="s">
        <v>113</v>
      </c>
      <c r="F400" s="4">
        <v>6.0</v>
      </c>
      <c r="G400" s="4">
        <v>14.5</v>
      </c>
      <c r="H400" s="4">
        <v>0.67</v>
      </c>
      <c r="I400" s="11">
        <v>0.356</v>
      </c>
      <c r="J400" s="4">
        <v>1.16</v>
      </c>
      <c r="K400" s="18">
        <f t="array" ref="K400">IF(H400&lt;&gt;"",H400,IFERROR(G400/INDEX(Players!$M$2:$M$127,MATCH(B400,Players!$A$2:$A$127,0)),""))</f>
        <v>0.67</v>
      </c>
    </row>
    <row r="401" ht="15.75" customHeight="1">
      <c r="A401" s="4" t="s">
        <v>2128</v>
      </c>
      <c r="B401" s="4" t="s">
        <v>1460</v>
      </c>
      <c r="C401" s="4" t="s">
        <v>1461</v>
      </c>
      <c r="D401" s="4" t="s">
        <v>86</v>
      </c>
      <c r="E401" s="4" t="s">
        <v>112</v>
      </c>
      <c r="F401" s="4">
        <v>2.0</v>
      </c>
      <c r="G401" s="4">
        <v>17.0</v>
      </c>
      <c r="H401" s="4">
        <v>0.68</v>
      </c>
      <c r="I401" s="11">
        <v>0.206</v>
      </c>
      <c r="J401" s="4">
        <v>1.03</v>
      </c>
      <c r="K401" s="18">
        <f t="array" ref="K401">IF(H401&lt;&gt;"",H401,IFERROR(G401/INDEX(Players!$M$2:$M$127,MATCH(B401,Players!$A$2:$A$127,0)),""))</f>
        <v>0.68</v>
      </c>
    </row>
    <row r="402" ht="15.75" customHeight="1">
      <c r="A402" s="4" t="s">
        <v>2129</v>
      </c>
      <c r="B402" s="4" t="s">
        <v>1411</v>
      </c>
      <c r="C402" s="4" t="s">
        <v>1412</v>
      </c>
      <c r="D402" s="4" t="s">
        <v>86</v>
      </c>
      <c r="E402" s="4" t="s">
        <v>250</v>
      </c>
      <c r="F402" s="4">
        <v>8.0</v>
      </c>
      <c r="G402" s="4">
        <v>20.6</v>
      </c>
      <c r="H402" s="4">
        <v>0.86</v>
      </c>
      <c r="I402" s="11">
        <v>0.345</v>
      </c>
      <c r="J402" s="4">
        <v>1.47</v>
      </c>
      <c r="K402" s="18">
        <f t="array" ref="K402">IF(H402&lt;&gt;"",H402,IFERROR(G402/INDEX(Players!$M$2:$M$127,MATCH(B402,Players!$A$2:$A$127,0)),""))</f>
        <v>0.86</v>
      </c>
    </row>
    <row r="403" ht="15.75" customHeight="1">
      <c r="A403" s="4" t="s">
        <v>2131</v>
      </c>
      <c r="B403" s="4" t="s">
        <v>1411</v>
      </c>
      <c r="C403" s="4" t="s">
        <v>1412</v>
      </c>
      <c r="D403" s="4" t="s">
        <v>86</v>
      </c>
      <c r="E403" s="4" t="s">
        <v>262</v>
      </c>
      <c r="F403" s="4">
        <v>7.0</v>
      </c>
      <c r="G403" s="4">
        <v>16.0</v>
      </c>
      <c r="H403" s="4">
        <v>0.79</v>
      </c>
      <c r="I403" s="11">
        <v>0.286</v>
      </c>
      <c r="J403" s="4">
        <v>1.3</v>
      </c>
      <c r="K403" s="18">
        <f t="array" ref="K403">IF(H403&lt;&gt;"",H403,IFERROR(G403/INDEX(Players!$M$2:$M$127,MATCH(B403,Players!$A$2:$A$127,0)),""))</f>
        <v>0.79</v>
      </c>
    </row>
    <row r="404" ht="15.75" customHeight="1">
      <c r="A404" s="4" t="s">
        <v>2132</v>
      </c>
      <c r="B404" s="4" t="s">
        <v>1411</v>
      </c>
      <c r="C404" s="4" t="s">
        <v>1412</v>
      </c>
      <c r="D404" s="4" t="s">
        <v>86</v>
      </c>
      <c r="E404" s="4" t="s">
        <v>276</v>
      </c>
      <c r="F404" s="4">
        <v>6.0</v>
      </c>
      <c r="G404" s="4">
        <v>14.7</v>
      </c>
      <c r="H404" s="4">
        <v>0.68</v>
      </c>
      <c r="I404" s="11">
        <v>0.318</v>
      </c>
      <c r="J404" s="4">
        <v>1.21</v>
      </c>
      <c r="K404" s="18">
        <f t="array" ref="K404">IF(H404&lt;&gt;"",H404,IFERROR(G404/INDEX(Players!$M$2:$M$127,MATCH(B404,Players!$A$2:$A$127,0)),""))</f>
        <v>0.68</v>
      </c>
    </row>
    <row r="405" ht="15.75" customHeight="1">
      <c r="A405" s="4" t="s">
        <v>2133</v>
      </c>
      <c r="B405" s="4" t="s">
        <v>1411</v>
      </c>
      <c r="C405" s="4" t="s">
        <v>1412</v>
      </c>
      <c r="D405" s="4" t="s">
        <v>86</v>
      </c>
      <c r="E405" s="4" t="s">
        <v>270</v>
      </c>
      <c r="F405" s="4">
        <v>3.0</v>
      </c>
      <c r="G405" s="4">
        <v>15.7</v>
      </c>
      <c r="H405" s="4">
        <v>0.73</v>
      </c>
      <c r="I405" s="11">
        <v>0.149</v>
      </c>
      <c r="J405" s="4">
        <v>1.17</v>
      </c>
      <c r="K405" s="18">
        <f t="array" ref="K405">IF(H405&lt;&gt;"",H405,IFERROR(G405/INDEX(Players!$M$2:$M$127,MATCH(B405,Players!$A$2:$A$127,0)),""))</f>
        <v>0.73</v>
      </c>
    </row>
    <row r="406" ht="15.75" customHeight="1">
      <c r="A406" s="4" t="s">
        <v>2138</v>
      </c>
      <c r="B406" s="4" t="s">
        <v>1411</v>
      </c>
      <c r="C406" s="4" t="s">
        <v>1412</v>
      </c>
      <c r="D406" s="4" t="s">
        <v>86</v>
      </c>
      <c r="E406" s="4" t="s">
        <v>110</v>
      </c>
      <c r="F406" s="4">
        <v>2.0</v>
      </c>
      <c r="G406" s="4">
        <v>15.5</v>
      </c>
      <c r="H406" s="4">
        <v>0.74</v>
      </c>
      <c r="I406" s="11">
        <v>0.387</v>
      </c>
      <c r="J406" s="4">
        <v>1.19</v>
      </c>
      <c r="K406" s="18">
        <f t="array" ref="K406">IF(H406&lt;&gt;"",H406,IFERROR(G406/INDEX(Players!$M$2:$M$127,MATCH(B406,Players!$A$2:$A$127,0)),""))</f>
        <v>0.74</v>
      </c>
    </row>
    <row r="407" ht="15.75" customHeight="1">
      <c r="A407" s="4" t="s">
        <v>2149</v>
      </c>
      <c r="B407" s="4" t="s">
        <v>1411</v>
      </c>
      <c r="C407" s="4" t="s">
        <v>1412</v>
      </c>
      <c r="D407" s="4" t="s">
        <v>86</v>
      </c>
      <c r="E407" s="4" t="s">
        <v>113</v>
      </c>
      <c r="F407" s="4">
        <v>1.0</v>
      </c>
      <c r="G407" s="4">
        <v>14.0</v>
      </c>
      <c r="H407" s="4">
        <v>0.64</v>
      </c>
      <c r="I407" s="11">
        <v>0.5710000000000001</v>
      </c>
      <c r="J407" s="4">
        <v>1.27</v>
      </c>
      <c r="K407" s="18">
        <f t="array" ref="K407">IF(H407&lt;&gt;"",H407,IFERROR(G407/INDEX(Players!$M$2:$M$127,MATCH(B407,Players!$A$2:$A$127,0)),""))</f>
        <v>0.64</v>
      </c>
    </row>
    <row r="408" ht="15.75" customHeight="1">
      <c r="A408" s="4" t="s">
        <v>2150</v>
      </c>
      <c r="B408" s="4" t="s">
        <v>1414</v>
      </c>
      <c r="C408" s="4" t="s">
        <v>1415</v>
      </c>
      <c r="D408" s="4" t="s">
        <v>86</v>
      </c>
      <c r="E408" s="4" t="s">
        <v>250</v>
      </c>
      <c r="F408" s="4">
        <v>8.0</v>
      </c>
      <c r="G408" s="4">
        <v>12.5</v>
      </c>
      <c r="H408" s="4">
        <v>0.52</v>
      </c>
      <c r="I408" s="11">
        <v>0.65</v>
      </c>
      <c r="J408" s="4">
        <v>0.79</v>
      </c>
      <c r="K408" s="18">
        <f t="array" ref="K408">IF(H408&lt;&gt;"",H408,IFERROR(G408/INDEX(Players!$M$2:$M$127,MATCH(B408,Players!$A$2:$A$127,0)),""))</f>
        <v>0.52</v>
      </c>
    </row>
    <row r="409" ht="15.75" customHeight="1">
      <c r="A409" s="4" t="s">
        <v>2151</v>
      </c>
      <c r="B409" s="4" t="s">
        <v>1414</v>
      </c>
      <c r="C409" s="4" t="s">
        <v>1415</v>
      </c>
      <c r="D409" s="4" t="s">
        <v>86</v>
      </c>
      <c r="E409" s="4" t="s">
        <v>262</v>
      </c>
      <c r="F409" s="4">
        <v>7.0</v>
      </c>
      <c r="G409" s="4">
        <v>13.0</v>
      </c>
      <c r="H409" s="4">
        <v>0.64</v>
      </c>
      <c r="I409" s="11">
        <v>0.7140000000000001</v>
      </c>
      <c r="J409" s="4">
        <v>1.14</v>
      </c>
      <c r="K409" s="18">
        <f t="array" ref="K409">IF(H409&lt;&gt;"",H409,IFERROR(G409/INDEX(Players!$M$2:$M$127,MATCH(B409,Players!$A$2:$A$127,0)),""))</f>
        <v>0.64</v>
      </c>
    </row>
    <row r="410" ht="15.75" customHeight="1">
      <c r="A410" s="4" t="s">
        <v>2152</v>
      </c>
      <c r="B410" s="4" t="s">
        <v>1414</v>
      </c>
      <c r="C410" s="4" t="s">
        <v>1415</v>
      </c>
      <c r="D410" s="4" t="s">
        <v>86</v>
      </c>
      <c r="E410" s="4" t="s">
        <v>276</v>
      </c>
      <c r="F410" s="4">
        <v>6.0</v>
      </c>
      <c r="G410" s="4">
        <v>13.0</v>
      </c>
      <c r="H410" s="4">
        <v>0.6</v>
      </c>
      <c r="I410" s="11">
        <v>0.718</v>
      </c>
      <c r="J410" s="4">
        <v>0.87</v>
      </c>
      <c r="K410" s="18">
        <f t="array" ref="K410">IF(H410&lt;&gt;"",H410,IFERROR(G410/INDEX(Players!$M$2:$M$127,MATCH(B410,Players!$A$2:$A$127,0)),""))</f>
        <v>0.6</v>
      </c>
    </row>
    <row r="411" ht="15.75" customHeight="1">
      <c r="A411" s="4" t="s">
        <v>2156</v>
      </c>
      <c r="B411" s="4" t="s">
        <v>1414</v>
      </c>
      <c r="C411" s="4" t="s">
        <v>1415</v>
      </c>
      <c r="D411" s="4" t="s">
        <v>86</v>
      </c>
      <c r="E411" s="4" t="s">
        <v>270</v>
      </c>
      <c r="F411" s="4">
        <v>3.0</v>
      </c>
      <c r="G411" s="4">
        <v>7.7</v>
      </c>
      <c r="H411" s="4">
        <v>0.36</v>
      </c>
      <c r="I411" s="11">
        <v>0.435</v>
      </c>
      <c r="J411" s="4">
        <v>0.47</v>
      </c>
      <c r="K411" s="18">
        <f t="array" ref="K411">IF(H411&lt;&gt;"",H411,IFERROR(G411/INDEX(Players!$M$2:$M$127,MATCH(B411,Players!$A$2:$A$127,0)),""))</f>
        <v>0.36</v>
      </c>
    </row>
    <row r="412" ht="15.75" customHeight="1">
      <c r="A412" s="4" t="s">
        <v>2159</v>
      </c>
      <c r="B412" s="4" t="s">
        <v>1414</v>
      </c>
      <c r="C412" s="4" t="s">
        <v>1415</v>
      </c>
      <c r="D412" s="4" t="s">
        <v>86</v>
      </c>
      <c r="E412" s="4" t="s">
        <v>110</v>
      </c>
      <c r="F412" s="4">
        <v>2.0</v>
      </c>
      <c r="G412" s="4">
        <v>12.0</v>
      </c>
      <c r="H412" s="4">
        <v>0.57</v>
      </c>
      <c r="I412" s="11">
        <v>0.75</v>
      </c>
      <c r="J412" s="4">
        <v>0.73</v>
      </c>
      <c r="K412" s="18">
        <f t="array" ref="K412">IF(H412&lt;&gt;"",H412,IFERROR(G412/INDEX(Players!$M$2:$M$127,MATCH(B412,Players!$A$2:$A$127,0)),""))</f>
        <v>0.57</v>
      </c>
    </row>
    <row r="413" ht="15.75" customHeight="1">
      <c r="A413" s="4" t="s">
        <v>2164</v>
      </c>
      <c r="B413" s="4" t="s">
        <v>1414</v>
      </c>
      <c r="C413" s="4" t="s">
        <v>1415</v>
      </c>
      <c r="D413" s="4" t="s">
        <v>86</v>
      </c>
      <c r="E413" s="4" t="s">
        <v>113</v>
      </c>
      <c r="F413" s="4">
        <v>1.0</v>
      </c>
      <c r="G413" s="4">
        <v>26.0</v>
      </c>
      <c r="H413" s="4">
        <v>1.18</v>
      </c>
      <c r="I413" s="11">
        <v>0.5379999999999999</v>
      </c>
      <c r="J413" s="4">
        <v>1.86</v>
      </c>
      <c r="K413" s="18">
        <f t="array" ref="K413">IF(H413&lt;&gt;"",H413,IFERROR(G413/INDEX(Players!$M$2:$M$127,MATCH(B413,Players!$A$2:$A$127,0)),""))</f>
        <v>1.18</v>
      </c>
    </row>
    <row r="414" ht="15.75" customHeight="1">
      <c r="A414" s="4" t="s">
        <v>2167</v>
      </c>
      <c r="B414" s="4" t="s">
        <v>1266</v>
      </c>
      <c r="C414" s="4" t="s">
        <v>1267</v>
      </c>
      <c r="D414" s="4" t="s">
        <v>86</v>
      </c>
      <c r="E414" s="4" t="s">
        <v>110</v>
      </c>
      <c r="F414" s="4">
        <v>11.0</v>
      </c>
      <c r="G414" s="4">
        <v>14.5</v>
      </c>
      <c r="H414" s="4">
        <v>0.65</v>
      </c>
      <c r="I414" s="11">
        <v>0.258</v>
      </c>
      <c r="J414" s="4">
        <v>1.18</v>
      </c>
      <c r="K414" s="18">
        <f t="array" ref="K414">IF(H414&lt;&gt;"",H414,IFERROR(G414/INDEX(Players!$M$2:$M$127,MATCH(B414,Players!$A$2:$A$127,0)),""))</f>
        <v>0.65</v>
      </c>
    </row>
    <row r="415" ht="15.75" customHeight="1">
      <c r="A415" s="4" t="s">
        <v>2171</v>
      </c>
      <c r="B415" s="4" t="s">
        <v>1266</v>
      </c>
      <c r="C415" s="4" t="s">
        <v>1267</v>
      </c>
      <c r="D415" s="4" t="s">
        <v>86</v>
      </c>
      <c r="E415" s="4" t="s">
        <v>113</v>
      </c>
      <c r="F415" s="4">
        <v>9.0</v>
      </c>
      <c r="G415" s="4">
        <v>15.9</v>
      </c>
      <c r="H415" s="4">
        <v>0.8</v>
      </c>
      <c r="I415" s="11">
        <v>0.231</v>
      </c>
      <c r="J415" s="4">
        <v>1.59</v>
      </c>
      <c r="K415" s="18">
        <f t="array" ref="K415">IF(H415&lt;&gt;"",H415,IFERROR(G415/INDEX(Players!$M$2:$M$127,MATCH(B415,Players!$A$2:$A$127,0)),""))</f>
        <v>0.8</v>
      </c>
    </row>
    <row r="416" ht="15.75" customHeight="1">
      <c r="A416" s="4" t="s">
        <v>2174</v>
      </c>
      <c r="B416" s="4" t="s">
        <v>1266</v>
      </c>
      <c r="C416" s="4" t="s">
        <v>1267</v>
      </c>
      <c r="D416" s="4" t="s">
        <v>86</v>
      </c>
      <c r="E416" s="4" t="s">
        <v>262</v>
      </c>
      <c r="F416" s="4">
        <v>8.0</v>
      </c>
      <c r="G416" s="4">
        <v>18.8</v>
      </c>
      <c r="H416" s="4">
        <v>0.75</v>
      </c>
      <c r="I416" s="11">
        <v>0.28</v>
      </c>
      <c r="J416" s="4">
        <v>1.26</v>
      </c>
      <c r="K416" s="18">
        <f t="array" ref="K416">IF(H416&lt;&gt;"",H416,IFERROR(G416/INDEX(Players!$M$2:$M$127,MATCH(B416,Players!$A$2:$A$127,0)),""))</f>
        <v>0.75</v>
      </c>
    </row>
    <row r="417" ht="15.75" customHeight="1">
      <c r="A417" s="4" t="s">
        <v>2179</v>
      </c>
      <c r="B417" s="4" t="s">
        <v>1266</v>
      </c>
      <c r="C417" s="4" t="s">
        <v>1267</v>
      </c>
      <c r="D417" s="4" t="s">
        <v>86</v>
      </c>
      <c r="E417" s="4" t="s">
        <v>250</v>
      </c>
      <c r="F417" s="4">
        <v>5.0</v>
      </c>
      <c r="G417" s="4">
        <v>17.4</v>
      </c>
      <c r="H417" s="4">
        <v>0.76</v>
      </c>
      <c r="I417" s="11">
        <v>0.264</v>
      </c>
      <c r="J417" s="4">
        <v>1.26</v>
      </c>
      <c r="K417" s="18">
        <f t="array" ref="K417">IF(H417&lt;&gt;"",H417,IFERROR(G417/INDEX(Players!$M$2:$M$127,MATCH(B417,Players!$A$2:$A$127,0)),""))</f>
        <v>0.76</v>
      </c>
    </row>
    <row r="418" ht="15.75" customHeight="1">
      <c r="A418" s="4" t="s">
        <v>2182</v>
      </c>
      <c r="B418" s="4" t="s">
        <v>1266</v>
      </c>
      <c r="C418" s="4" t="s">
        <v>1267</v>
      </c>
      <c r="D418" s="4" t="s">
        <v>86</v>
      </c>
      <c r="E418" s="4" t="s">
        <v>270</v>
      </c>
      <c r="F418" s="4">
        <v>5.0</v>
      </c>
      <c r="G418" s="4">
        <v>15.2</v>
      </c>
      <c r="H418" s="4">
        <v>0.64</v>
      </c>
      <c r="I418" s="11">
        <v>0.316</v>
      </c>
      <c r="J418" s="4">
        <v>1.04</v>
      </c>
      <c r="K418" s="18">
        <f t="array" ref="K418">IF(H418&lt;&gt;"",H418,IFERROR(G418/INDEX(Players!$M$2:$M$127,MATCH(B418,Players!$A$2:$A$127,0)),""))</f>
        <v>0.64</v>
      </c>
    </row>
    <row r="419" ht="15.75" customHeight="1">
      <c r="A419" s="4" t="s">
        <v>2185</v>
      </c>
      <c r="B419" s="4" t="s">
        <v>1266</v>
      </c>
      <c r="C419" s="4" t="s">
        <v>1267</v>
      </c>
      <c r="D419" s="4" t="s">
        <v>86</v>
      </c>
      <c r="E419" s="4" t="s">
        <v>276</v>
      </c>
      <c r="F419" s="4">
        <v>2.0</v>
      </c>
      <c r="G419" s="4">
        <v>20.0</v>
      </c>
      <c r="H419" s="4">
        <v>1.05</v>
      </c>
      <c r="I419" s="11">
        <v>0.4</v>
      </c>
      <c r="J419" s="4">
        <v>1.9</v>
      </c>
      <c r="K419" s="18">
        <f t="array" ref="K419">IF(H419&lt;&gt;"",H419,IFERROR(G419/INDEX(Players!$M$2:$M$127,MATCH(B419,Players!$A$2:$A$127,0)),""))</f>
        <v>1.05</v>
      </c>
    </row>
    <row r="420" ht="15.75" customHeight="1">
      <c r="A420" s="4" t="s">
        <v>2188</v>
      </c>
      <c r="B420" s="4" t="s">
        <v>1266</v>
      </c>
      <c r="C420" s="4" t="s">
        <v>1267</v>
      </c>
      <c r="D420" s="4" t="s">
        <v>86</v>
      </c>
      <c r="E420" s="4" t="s">
        <v>112</v>
      </c>
      <c r="F420" s="4">
        <v>2.0</v>
      </c>
      <c r="G420" s="4">
        <v>17.5</v>
      </c>
      <c r="H420" s="4">
        <v>0.85</v>
      </c>
      <c r="I420" s="11">
        <v>0.2</v>
      </c>
      <c r="J420" s="4">
        <v>1.35</v>
      </c>
      <c r="K420" s="18">
        <f t="array" ref="K420">IF(H420&lt;&gt;"",H420,IFERROR(G420/INDEX(Players!$M$2:$M$127,MATCH(B420,Players!$A$2:$A$127,0)),""))</f>
        <v>0.85</v>
      </c>
    </row>
    <row r="421" ht="15.75" customHeight="1">
      <c r="A421" s="4" t="s">
        <v>2190</v>
      </c>
      <c r="B421" s="4" t="s">
        <v>1236</v>
      </c>
      <c r="C421" s="4" t="s">
        <v>1151</v>
      </c>
      <c r="D421" s="4" t="s">
        <v>86</v>
      </c>
      <c r="E421" s="4" t="s">
        <v>250</v>
      </c>
      <c r="F421" s="4">
        <v>6.0</v>
      </c>
      <c r="G421" s="4">
        <v>17.2</v>
      </c>
      <c r="H421" s="4">
        <v>0.84</v>
      </c>
      <c r="I421" s="11">
        <v>0.495</v>
      </c>
      <c r="J421" s="4">
        <v>1.24</v>
      </c>
      <c r="K421" s="18">
        <f t="array" ref="K421">IF(H421&lt;&gt;"",H421,IFERROR(G421/INDEX(Players!$M$2:$M$127,MATCH(B421,Players!$A$2:$A$127,0)),""))</f>
        <v>0.84</v>
      </c>
    </row>
    <row r="422" ht="15.75" customHeight="1">
      <c r="A422" s="4" t="s">
        <v>2193</v>
      </c>
      <c r="B422" s="4" t="s">
        <v>1236</v>
      </c>
      <c r="C422" s="4" t="s">
        <v>1151</v>
      </c>
      <c r="D422" s="4" t="s">
        <v>86</v>
      </c>
      <c r="E422" s="4" t="s">
        <v>276</v>
      </c>
      <c r="F422" s="4">
        <v>5.0</v>
      </c>
      <c r="G422" s="4">
        <v>15.8</v>
      </c>
      <c r="H422" s="4">
        <v>0.84</v>
      </c>
      <c r="I422" s="11">
        <v>0.595</v>
      </c>
      <c r="J422" s="4">
        <v>1.61</v>
      </c>
      <c r="K422" s="18">
        <f t="array" ref="K422">IF(H422&lt;&gt;"",H422,IFERROR(G422/INDEX(Players!$M$2:$M$127,MATCH(B422,Players!$A$2:$A$127,0)),""))</f>
        <v>0.84</v>
      </c>
    </row>
    <row r="423" ht="15.75" customHeight="1">
      <c r="A423" s="4" t="s">
        <v>2196</v>
      </c>
      <c r="B423" s="4" t="s">
        <v>1236</v>
      </c>
      <c r="C423" s="4" t="s">
        <v>1151</v>
      </c>
      <c r="D423" s="4" t="s">
        <v>86</v>
      </c>
      <c r="E423" s="4" t="s">
        <v>110</v>
      </c>
      <c r="F423" s="4">
        <v>5.0</v>
      </c>
      <c r="G423" s="4">
        <v>17.0</v>
      </c>
      <c r="H423" s="4">
        <v>0.8</v>
      </c>
      <c r="I423" s="11">
        <v>0.494</v>
      </c>
      <c r="J423" s="4">
        <v>1.39</v>
      </c>
      <c r="K423" s="18">
        <f t="array" ref="K423">IF(H423&lt;&gt;"",H423,IFERROR(G423/INDEX(Players!$M$2:$M$127,MATCH(B423,Players!$A$2:$A$127,0)),""))</f>
        <v>0.8</v>
      </c>
    </row>
    <row r="424" ht="15.75" customHeight="1">
      <c r="A424" s="4" t="s">
        <v>2199</v>
      </c>
      <c r="B424" s="4" t="s">
        <v>1236</v>
      </c>
      <c r="C424" s="4" t="s">
        <v>1151</v>
      </c>
      <c r="D424" s="4" t="s">
        <v>86</v>
      </c>
      <c r="E424" s="4" t="s">
        <v>270</v>
      </c>
      <c r="F424" s="4">
        <v>5.0</v>
      </c>
      <c r="G424" s="4">
        <v>11.0</v>
      </c>
      <c r="H424" s="4">
        <v>0.46</v>
      </c>
      <c r="I424" s="11">
        <v>0.636</v>
      </c>
      <c r="J424" s="4">
        <v>0.67</v>
      </c>
      <c r="K424" s="18">
        <f t="array" ref="K424">IF(H424&lt;&gt;"",H424,IFERROR(G424/INDEX(Players!$M$2:$M$127,MATCH(B424,Players!$A$2:$A$127,0)),""))</f>
        <v>0.46</v>
      </c>
    </row>
    <row r="425" ht="15.75" customHeight="1">
      <c r="A425" s="4" t="s">
        <v>2201</v>
      </c>
      <c r="B425" s="4" t="s">
        <v>1236</v>
      </c>
      <c r="C425" s="4" t="s">
        <v>1151</v>
      </c>
      <c r="D425" s="4" t="s">
        <v>86</v>
      </c>
      <c r="E425" s="4" t="s">
        <v>112</v>
      </c>
      <c r="F425" s="4">
        <v>4.0</v>
      </c>
      <c r="G425" s="4">
        <v>16.8</v>
      </c>
      <c r="H425" s="4">
        <v>0.74</v>
      </c>
      <c r="I425" s="11">
        <v>0.5820000000000001</v>
      </c>
      <c r="J425" s="4">
        <v>1.14</v>
      </c>
      <c r="K425" s="18">
        <f t="array" ref="K425">IF(H425&lt;&gt;"",H425,IFERROR(G425/INDEX(Players!$M$2:$M$127,MATCH(B425,Players!$A$2:$A$127,0)),""))</f>
        <v>0.74</v>
      </c>
    </row>
    <row r="426" ht="15.75" customHeight="1">
      <c r="A426" s="4" t="s">
        <v>2205</v>
      </c>
      <c r="B426" s="4" t="s">
        <v>1236</v>
      </c>
      <c r="C426" s="4" t="s">
        <v>1151</v>
      </c>
      <c r="D426" s="4" t="s">
        <v>86</v>
      </c>
      <c r="E426" s="4" t="s">
        <v>113</v>
      </c>
      <c r="F426" s="4">
        <v>3.0</v>
      </c>
      <c r="G426" s="4">
        <v>15.0</v>
      </c>
      <c r="H426" s="4">
        <v>0.75</v>
      </c>
      <c r="I426" s="11">
        <v>0.6890000000000001</v>
      </c>
      <c r="J426" s="4">
        <v>1.02</v>
      </c>
      <c r="K426" s="18">
        <f t="array" ref="K426">IF(H426&lt;&gt;"",H426,IFERROR(G426/INDEX(Players!$M$2:$M$127,MATCH(B426,Players!$A$2:$A$127,0)),""))</f>
        <v>0.75</v>
      </c>
    </row>
    <row r="427" ht="15.75" customHeight="1">
      <c r="A427" s="4" t="s">
        <v>2207</v>
      </c>
      <c r="B427" s="4" t="s">
        <v>1236</v>
      </c>
      <c r="C427" s="4" t="s">
        <v>1151</v>
      </c>
      <c r="D427" s="4" t="s">
        <v>86</v>
      </c>
      <c r="E427" s="4" t="s">
        <v>262</v>
      </c>
      <c r="F427" s="4">
        <v>2.0</v>
      </c>
      <c r="G427" s="4">
        <v>11.5</v>
      </c>
      <c r="H427" s="4">
        <v>0.64</v>
      </c>
      <c r="I427" s="11">
        <v>0.522</v>
      </c>
      <c r="J427" s="4">
        <v>1.0</v>
      </c>
      <c r="K427" s="18">
        <f t="array" ref="K427">IF(H427&lt;&gt;"",H427,IFERROR(G427/INDEX(Players!$M$2:$M$127,MATCH(B427,Players!$A$2:$A$127,0)),""))</f>
        <v>0.64</v>
      </c>
    </row>
    <row r="428" ht="15.75" customHeight="1">
      <c r="A428" s="4" t="s">
        <v>2211</v>
      </c>
      <c r="B428" s="4" t="s">
        <v>1330</v>
      </c>
      <c r="C428" s="4" t="s">
        <v>1331</v>
      </c>
      <c r="D428" s="4" t="s">
        <v>86</v>
      </c>
      <c r="E428" s="4" t="s">
        <v>112</v>
      </c>
      <c r="F428" s="4">
        <v>8.0</v>
      </c>
      <c r="G428" s="4">
        <v>13.8</v>
      </c>
      <c r="H428" s="4">
        <v>0.58</v>
      </c>
      <c r="I428" s="11">
        <v>0.5</v>
      </c>
      <c r="J428" s="4">
        <v>0.77</v>
      </c>
      <c r="K428" s="18">
        <f t="array" ref="K428">IF(H428&lt;&gt;"",H428,IFERROR(G428/INDEX(Players!$M$2:$M$127,MATCH(B428,Players!$A$2:$A$127,0)),""))</f>
        <v>0.58</v>
      </c>
    </row>
    <row r="429" ht="15.75" customHeight="1">
      <c r="A429" s="4" t="s">
        <v>2213</v>
      </c>
      <c r="B429" s="4" t="s">
        <v>1330</v>
      </c>
      <c r="C429" s="4" t="s">
        <v>1331</v>
      </c>
      <c r="D429" s="4" t="s">
        <v>86</v>
      </c>
      <c r="E429" s="4" t="s">
        <v>262</v>
      </c>
      <c r="F429" s="4">
        <v>7.0</v>
      </c>
      <c r="G429" s="4">
        <v>14.0</v>
      </c>
      <c r="H429" s="4">
        <v>0.67</v>
      </c>
      <c r="I429" s="11">
        <v>0.5820000000000001</v>
      </c>
      <c r="J429" s="4">
        <v>0.99</v>
      </c>
      <c r="K429" s="18">
        <f t="array" ref="K429">IF(H429&lt;&gt;"",H429,IFERROR(G429/INDEX(Players!$M$2:$M$127,MATCH(B429,Players!$A$2:$A$127,0)),""))</f>
        <v>0.67</v>
      </c>
    </row>
    <row r="430" ht="15.75" customHeight="1">
      <c r="A430" s="4" t="s">
        <v>2218</v>
      </c>
      <c r="B430" s="4" t="s">
        <v>1330</v>
      </c>
      <c r="C430" s="4" t="s">
        <v>1331</v>
      </c>
      <c r="D430" s="4" t="s">
        <v>86</v>
      </c>
      <c r="E430" s="4" t="s">
        <v>250</v>
      </c>
      <c r="F430" s="4">
        <v>6.0</v>
      </c>
      <c r="G430" s="4">
        <v>14.3</v>
      </c>
      <c r="H430" s="4">
        <v>0.66</v>
      </c>
      <c r="I430" s="11">
        <v>0.395</v>
      </c>
      <c r="J430" s="4">
        <v>0.92</v>
      </c>
      <c r="K430" s="18">
        <f t="array" ref="K430">IF(H430&lt;&gt;"",H430,IFERROR(G430/INDEX(Players!$M$2:$M$127,MATCH(B430,Players!$A$2:$A$127,0)),""))</f>
        <v>0.66</v>
      </c>
    </row>
    <row r="431" ht="15.75" customHeight="1">
      <c r="A431" s="4" t="s">
        <v>2221</v>
      </c>
      <c r="B431" s="4" t="s">
        <v>1330</v>
      </c>
      <c r="C431" s="4" t="s">
        <v>1331</v>
      </c>
      <c r="D431" s="4" t="s">
        <v>86</v>
      </c>
      <c r="E431" s="4" t="s">
        <v>110</v>
      </c>
      <c r="F431" s="4">
        <v>6.0</v>
      </c>
      <c r="G431" s="4">
        <v>13.8</v>
      </c>
      <c r="H431" s="4">
        <v>0.61</v>
      </c>
      <c r="I431" s="11">
        <v>0.434</v>
      </c>
      <c r="J431" s="4">
        <v>0.84</v>
      </c>
      <c r="K431" s="18">
        <f t="array" ref="K431">IF(H431&lt;&gt;"",H431,IFERROR(G431/INDEX(Players!$M$2:$M$127,MATCH(B431,Players!$A$2:$A$127,0)),""))</f>
        <v>0.61</v>
      </c>
    </row>
    <row r="432" ht="15.75" customHeight="1">
      <c r="A432" s="4" t="s">
        <v>2224</v>
      </c>
      <c r="B432" s="4" t="s">
        <v>1330</v>
      </c>
      <c r="C432" s="4" t="s">
        <v>1331</v>
      </c>
      <c r="D432" s="4" t="s">
        <v>86</v>
      </c>
      <c r="E432" s="4" t="s">
        <v>113</v>
      </c>
      <c r="F432" s="4">
        <v>5.0</v>
      </c>
      <c r="G432" s="4">
        <v>12.4</v>
      </c>
      <c r="H432" s="4">
        <v>0.61</v>
      </c>
      <c r="I432" s="11">
        <v>0.629</v>
      </c>
      <c r="J432" s="4">
        <v>0.84</v>
      </c>
      <c r="K432" s="18">
        <f t="array" ref="K432">IF(H432&lt;&gt;"",H432,IFERROR(G432/INDEX(Players!$M$2:$M$127,MATCH(B432,Players!$A$2:$A$127,0)),""))</f>
        <v>0.61</v>
      </c>
    </row>
    <row r="433" ht="15.75" customHeight="1">
      <c r="A433" s="4" t="s">
        <v>2226</v>
      </c>
      <c r="B433" s="4" t="s">
        <v>1330</v>
      </c>
      <c r="C433" s="4" t="s">
        <v>1331</v>
      </c>
      <c r="D433" s="4" t="s">
        <v>86</v>
      </c>
      <c r="E433" s="4" t="s">
        <v>276</v>
      </c>
      <c r="F433" s="4">
        <v>2.0</v>
      </c>
      <c r="G433" s="4">
        <v>20.0</v>
      </c>
      <c r="H433" s="4">
        <v>1.11</v>
      </c>
      <c r="I433" s="11">
        <v>0.55</v>
      </c>
      <c r="J433" s="4">
        <v>1.9</v>
      </c>
      <c r="K433" s="18">
        <f t="array" ref="K433">IF(H433&lt;&gt;"",H433,IFERROR(G433/INDEX(Players!$M$2:$M$127,MATCH(B433,Players!$A$2:$A$127,0)),""))</f>
        <v>1.11</v>
      </c>
    </row>
    <row r="434" ht="15.75" customHeight="1">
      <c r="A434" s="4" t="s">
        <v>2227</v>
      </c>
      <c r="B434" s="4" t="s">
        <v>1333</v>
      </c>
      <c r="C434" s="4" t="s">
        <v>1334</v>
      </c>
      <c r="D434" s="4" t="s">
        <v>86</v>
      </c>
      <c r="E434" s="4" t="s">
        <v>112</v>
      </c>
      <c r="F434" s="4">
        <v>8.0</v>
      </c>
      <c r="G434" s="4">
        <v>18.1</v>
      </c>
      <c r="H434" s="4">
        <v>0.77</v>
      </c>
      <c r="I434" s="11">
        <v>0.503</v>
      </c>
      <c r="J434" s="4">
        <v>1.11</v>
      </c>
      <c r="K434" s="18">
        <f t="array" ref="K434">IF(H434&lt;&gt;"",H434,IFERROR(G434/INDEX(Players!$M$2:$M$127,MATCH(B434,Players!$A$2:$A$127,0)),""))</f>
        <v>0.77</v>
      </c>
    </row>
    <row r="435" ht="15.75" customHeight="1">
      <c r="A435" s="4" t="s">
        <v>2228</v>
      </c>
      <c r="B435" s="4" t="s">
        <v>1333</v>
      </c>
      <c r="C435" s="4" t="s">
        <v>1334</v>
      </c>
      <c r="D435" s="4" t="s">
        <v>86</v>
      </c>
      <c r="E435" s="4" t="s">
        <v>262</v>
      </c>
      <c r="F435" s="4">
        <v>7.0</v>
      </c>
      <c r="G435" s="4">
        <v>12.4</v>
      </c>
      <c r="H435" s="4">
        <v>0.59</v>
      </c>
      <c r="I435" s="11">
        <v>0.494</v>
      </c>
      <c r="J435" s="4">
        <v>0.84</v>
      </c>
      <c r="K435" s="18">
        <f t="array" ref="K435">IF(H435&lt;&gt;"",H435,IFERROR(G435/INDEX(Players!$M$2:$M$127,MATCH(B435,Players!$A$2:$A$127,0)),""))</f>
        <v>0.59</v>
      </c>
    </row>
    <row r="436" ht="15.75" customHeight="1">
      <c r="A436" s="4" t="s">
        <v>2229</v>
      </c>
      <c r="B436" s="4" t="s">
        <v>1333</v>
      </c>
      <c r="C436" s="4" t="s">
        <v>1334</v>
      </c>
      <c r="D436" s="4" t="s">
        <v>86</v>
      </c>
      <c r="E436" s="4" t="s">
        <v>110</v>
      </c>
      <c r="F436" s="4">
        <v>6.0</v>
      </c>
      <c r="G436" s="4">
        <v>15.0</v>
      </c>
      <c r="H436" s="4">
        <v>0.67</v>
      </c>
      <c r="I436" s="11">
        <v>0.511</v>
      </c>
      <c r="J436" s="4">
        <v>0.92</v>
      </c>
      <c r="K436" s="18">
        <f t="array" ref="K436">IF(H436&lt;&gt;"",H436,IFERROR(G436/INDEX(Players!$M$2:$M$127,MATCH(B436,Players!$A$2:$A$127,0)),""))</f>
        <v>0.67</v>
      </c>
    </row>
    <row r="437" ht="15.75" customHeight="1">
      <c r="A437" s="4" t="s">
        <v>2230</v>
      </c>
      <c r="B437" s="4" t="s">
        <v>1333</v>
      </c>
      <c r="C437" s="4" t="s">
        <v>1334</v>
      </c>
      <c r="D437" s="4" t="s">
        <v>86</v>
      </c>
      <c r="E437" s="4" t="s">
        <v>250</v>
      </c>
      <c r="F437" s="4">
        <v>6.0</v>
      </c>
      <c r="G437" s="4">
        <v>13.0</v>
      </c>
      <c r="H437" s="4">
        <v>0.6</v>
      </c>
      <c r="I437" s="11">
        <v>0.551</v>
      </c>
      <c r="J437" s="4">
        <v>0.88</v>
      </c>
      <c r="K437" s="18">
        <f t="array" ref="K437">IF(H437&lt;&gt;"",H437,IFERROR(G437/INDEX(Players!$M$2:$M$127,MATCH(B437,Players!$A$2:$A$127,0)),""))</f>
        <v>0.6</v>
      </c>
    </row>
    <row r="438" ht="15.75" customHeight="1">
      <c r="A438" s="4" t="s">
        <v>2231</v>
      </c>
      <c r="B438" s="4" t="s">
        <v>1333</v>
      </c>
      <c r="C438" s="4" t="s">
        <v>1334</v>
      </c>
      <c r="D438" s="4" t="s">
        <v>86</v>
      </c>
      <c r="E438" s="4" t="s">
        <v>113</v>
      </c>
      <c r="F438" s="4">
        <v>5.0</v>
      </c>
      <c r="G438" s="4">
        <v>11.4</v>
      </c>
      <c r="H438" s="4">
        <v>0.56</v>
      </c>
      <c r="I438" s="11">
        <v>0.632</v>
      </c>
      <c r="J438" s="4">
        <v>0.89</v>
      </c>
      <c r="K438" s="18">
        <f t="array" ref="K438">IF(H438&lt;&gt;"",H438,IFERROR(G438/INDEX(Players!$M$2:$M$127,MATCH(B438,Players!$A$2:$A$127,0)),""))</f>
        <v>0.56</v>
      </c>
    </row>
    <row r="439" ht="15.75" customHeight="1">
      <c r="A439" s="4" t="s">
        <v>2232</v>
      </c>
      <c r="B439" s="4" t="s">
        <v>1333</v>
      </c>
      <c r="C439" s="4" t="s">
        <v>1334</v>
      </c>
      <c r="D439" s="4" t="s">
        <v>86</v>
      </c>
      <c r="E439" s="4" t="s">
        <v>276</v>
      </c>
      <c r="F439" s="4">
        <v>2.0</v>
      </c>
      <c r="G439" s="4">
        <v>15.5</v>
      </c>
      <c r="H439" s="4">
        <v>0.86</v>
      </c>
      <c r="I439" s="11">
        <v>0.5479999999999999</v>
      </c>
      <c r="J439" s="4">
        <v>1.63</v>
      </c>
      <c r="K439" s="18">
        <f t="array" ref="K439">IF(H439&lt;&gt;"",H439,IFERROR(G439/INDEX(Players!$M$2:$M$127,MATCH(B439,Players!$A$2:$A$127,0)),""))</f>
        <v>0.86</v>
      </c>
    </row>
    <row r="440" ht="15.75" customHeight="1">
      <c r="A440" s="4" t="s">
        <v>2233</v>
      </c>
      <c r="B440" s="4" t="s">
        <v>1476</v>
      </c>
      <c r="C440" s="4" t="s">
        <v>1477</v>
      </c>
      <c r="D440" s="4" t="s">
        <v>86</v>
      </c>
      <c r="E440" s="4" t="s">
        <v>110</v>
      </c>
      <c r="F440" s="4">
        <v>9.0</v>
      </c>
      <c r="G440" s="4">
        <v>16.7</v>
      </c>
      <c r="H440" s="4">
        <v>0.77</v>
      </c>
      <c r="I440" s="11">
        <v>0.527</v>
      </c>
      <c r="J440" s="4">
        <v>1.1</v>
      </c>
      <c r="K440" s="18">
        <f t="array" ref="K440">IF(H440&lt;&gt;"",H440,IFERROR(G440/INDEX(Players!$M$2:$M$127,MATCH(B440,Players!$A$2:$A$127,0)),""))</f>
        <v>0.77</v>
      </c>
    </row>
    <row r="441" ht="15.75" customHeight="1">
      <c r="A441" s="4" t="s">
        <v>2234</v>
      </c>
      <c r="B441" s="4" t="s">
        <v>1476</v>
      </c>
      <c r="C441" s="4" t="s">
        <v>1477</v>
      </c>
      <c r="D441" s="4" t="s">
        <v>86</v>
      </c>
      <c r="E441" s="4" t="s">
        <v>276</v>
      </c>
      <c r="F441" s="4">
        <v>9.0</v>
      </c>
      <c r="G441" s="4">
        <v>15.7</v>
      </c>
      <c r="H441" s="4">
        <v>0.67</v>
      </c>
      <c r="I441" s="11">
        <v>0.504</v>
      </c>
      <c r="J441" s="4">
        <v>0.92</v>
      </c>
      <c r="K441" s="18">
        <f t="array" ref="K441">IF(H441&lt;&gt;"",H441,IFERROR(G441/INDEX(Players!$M$2:$M$127,MATCH(B441,Players!$A$2:$A$127,0)),""))</f>
        <v>0.67</v>
      </c>
    </row>
    <row r="442" ht="15.75" customHeight="1">
      <c r="A442" s="4" t="s">
        <v>2235</v>
      </c>
      <c r="B442" s="4" t="s">
        <v>1476</v>
      </c>
      <c r="C442" s="4" t="s">
        <v>1477</v>
      </c>
      <c r="D442" s="4" t="s">
        <v>86</v>
      </c>
      <c r="E442" s="4" t="s">
        <v>270</v>
      </c>
      <c r="F442" s="4">
        <v>8.0</v>
      </c>
      <c r="G442" s="4">
        <v>13.6</v>
      </c>
      <c r="H442" s="4">
        <v>0.66</v>
      </c>
      <c r="I442" s="11">
        <v>0.541</v>
      </c>
      <c r="J442" s="4">
        <v>1.01</v>
      </c>
      <c r="K442" s="18">
        <f t="array" ref="K442">IF(H442&lt;&gt;"",H442,IFERROR(G442/INDEX(Players!$M$2:$M$127,MATCH(B442,Players!$A$2:$A$127,0)),""))</f>
        <v>0.66</v>
      </c>
    </row>
    <row r="443" ht="15.75" customHeight="1">
      <c r="A443" s="4" t="s">
        <v>2236</v>
      </c>
      <c r="B443" s="4" t="s">
        <v>1476</v>
      </c>
      <c r="C443" s="4" t="s">
        <v>1477</v>
      </c>
      <c r="D443" s="4" t="s">
        <v>86</v>
      </c>
      <c r="E443" s="4" t="s">
        <v>113</v>
      </c>
      <c r="F443" s="4">
        <v>6.0</v>
      </c>
      <c r="G443" s="4">
        <v>18.2</v>
      </c>
      <c r="H443" s="4">
        <v>0.82</v>
      </c>
      <c r="I443" s="11">
        <v>0.505</v>
      </c>
      <c r="J443" s="4">
        <v>1.21</v>
      </c>
      <c r="K443" s="18">
        <f t="array" ref="K443">IF(H443&lt;&gt;"",H443,IFERROR(G443/INDEX(Players!$M$2:$M$127,MATCH(B443,Players!$A$2:$A$127,0)),""))</f>
        <v>0.82</v>
      </c>
    </row>
    <row r="444" ht="15.75" customHeight="1">
      <c r="A444" s="4" t="s">
        <v>2237</v>
      </c>
      <c r="B444" s="4" t="s">
        <v>1476</v>
      </c>
      <c r="C444" s="4" t="s">
        <v>1477</v>
      </c>
      <c r="D444" s="4" t="s">
        <v>86</v>
      </c>
      <c r="E444" s="4" t="s">
        <v>262</v>
      </c>
      <c r="F444" s="4">
        <v>5.0</v>
      </c>
      <c r="G444" s="4">
        <v>13.6</v>
      </c>
      <c r="H444" s="4">
        <v>0.59</v>
      </c>
      <c r="I444" s="11">
        <v>0.485</v>
      </c>
      <c r="J444" s="4">
        <v>0.81</v>
      </c>
      <c r="K444" s="18">
        <f t="array" ref="K444">IF(H444&lt;&gt;"",H444,IFERROR(G444/INDEX(Players!$M$2:$M$127,MATCH(B444,Players!$A$2:$A$127,0)),""))</f>
        <v>0.59</v>
      </c>
    </row>
    <row r="445" ht="15.75" customHeight="1">
      <c r="A445" s="4" t="s">
        <v>2238</v>
      </c>
      <c r="B445" s="4" t="s">
        <v>1476</v>
      </c>
      <c r="C445" s="4" t="s">
        <v>1477</v>
      </c>
      <c r="D445" s="4" t="s">
        <v>86</v>
      </c>
      <c r="E445" s="4" t="s">
        <v>250</v>
      </c>
      <c r="F445" s="4">
        <v>4.0</v>
      </c>
      <c r="G445" s="4">
        <v>17.0</v>
      </c>
      <c r="H445" s="4">
        <v>0.88</v>
      </c>
      <c r="I445" s="11">
        <v>0.5589999999999999</v>
      </c>
      <c r="J445" s="4">
        <v>1.42</v>
      </c>
      <c r="K445" s="18">
        <f t="array" ref="K445">IF(H445&lt;&gt;"",H445,IFERROR(G445/INDEX(Players!$M$2:$M$127,MATCH(B445,Players!$A$2:$A$127,0)),""))</f>
        <v>0.88</v>
      </c>
    </row>
    <row r="446" ht="15.75" customHeight="1">
      <c r="A446" s="4" t="s">
        <v>2239</v>
      </c>
      <c r="B446" s="4" t="s">
        <v>1240</v>
      </c>
      <c r="C446" s="4" t="s">
        <v>1167</v>
      </c>
      <c r="D446" s="4" t="s">
        <v>86</v>
      </c>
      <c r="E446" s="4" t="s">
        <v>250</v>
      </c>
      <c r="F446" s="4">
        <v>6.0</v>
      </c>
      <c r="G446" s="4">
        <v>13.0</v>
      </c>
      <c r="H446" s="4">
        <v>0.64</v>
      </c>
      <c r="I446" s="11">
        <v>0.564</v>
      </c>
      <c r="J446" s="4">
        <v>0.93</v>
      </c>
      <c r="K446" s="18">
        <f t="array" ref="K446">IF(H446&lt;&gt;"",H446,IFERROR(G446/INDEX(Players!$M$2:$M$127,MATCH(B446,Players!$A$2:$A$127,0)),""))</f>
        <v>0.64</v>
      </c>
    </row>
    <row r="447" ht="15.75" customHeight="1">
      <c r="A447" s="4" t="s">
        <v>2240</v>
      </c>
      <c r="B447" s="4" t="s">
        <v>1240</v>
      </c>
      <c r="C447" s="4" t="s">
        <v>1167</v>
      </c>
      <c r="D447" s="4" t="s">
        <v>86</v>
      </c>
      <c r="E447" s="4" t="s">
        <v>276</v>
      </c>
      <c r="F447" s="4">
        <v>5.0</v>
      </c>
      <c r="G447" s="4">
        <v>15.2</v>
      </c>
      <c r="H447" s="4">
        <v>0.81</v>
      </c>
      <c r="I447" s="11">
        <v>0.5660000000000001</v>
      </c>
      <c r="J447" s="4">
        <v>1.41</v>
      </c>
      <c r="K447" s="18">
        <f t="array" ref="K447">IF(H447&lt;&gt;"",H447,IFERROR(G447/INDEX(Players!$M$2:$M$127,MATCH(B447,Players!$A$2:$A$127,0)),""))</f>
        <v>0.81</v>
      </c>
    </row>
    <row r="448" ht="15.75" customHeight="1">
      <c r="A448" s="4" t="s">
        <v>2241</v>
      </c>
      <c r="B448" s="4" t="s">
        <v>1240</v>
      </c>
      <c r="C448" s="4" t="s">
        <v>1167</v>
      </c>
      <c r="D448" s="4" t="s">
        <v>86</v>
      </c>
      <c r="E448" s="4" t="s">
        <v>270</v>
      </c>
      <c r="F448" s="4">
        <v>5.0</v>
      </c>
      <c r="G448" s="4">
        <v>18.6</v>
      </c>
      <c r="H448" s="4">
        <v>0.78</v>
      </c>
      <c r="I448" s="11">
        <v>0.581</v>
      </c>
      <c r="J448" s="4">
        <v>1.22</v>
      </c>
      <c r="K448" s="18">
        <f t="array" ref="K448">IF(H448&lt;&gt;"",H448,IFERROR(G448/INDEX(Players!$M$2:$M$127,MATCH(B448,Players!$A$2:$A$127,0)),""))</f>
        <v>0.78</v>
      </c>
    </row>
    <row r="449" ht="15.75" customHeight="1">
      <c r="A449" s="4" t="s">
        <v>2242</v>
      </c>
      <c r="B449" s="4" t="s">
        <v>1240</v>
      </c>
      <c r="C449" s="4" t="s">
        <v>1167</v>
      </c>
      <c r="D449" s="4" t="s">
        <v>86</v>
      </c>
      <c r="E449" s="4" t="s">
        <v>110</v>
      </c>
      <c r="F449" s="4">
        <v>5.0</v>
      </c>
      <c r="G449" s="4">
        <v>13.4</v>
      </c>
      <c r="H449" s="4">
        <v>0.63</v>
      </c>
      <c r="I449" s="11">
        <v>0.612</v>
      </c>
      <c r="J449" s="4">
        <v>1.02</v>
      </c>
      <c r="K449" s="18">
        <f t="array" ref="K449">IF(H449&lt;&gt;"",H449,IFERROR(G449/INDEX(Players!$M$2:$M$127,MATCH(B449,Players!$A$2:$A$127,0)),""))</f>
        <v>0.63</v>
      </c>
    </row>
    <row r="450" ht="15.75" customHeight="1">
      <c r="A450" s="4" t="s">
        <v>2243</v>
      </c>
      <c r="B450" s="4" t="s">
        <v>1240</v>
      </c>
      <c r="C450" s="4" t="s">
        <v>1167</v>
      </c>
      <c r="D450" s="4" t="s">
        <v>86</v>
      </c>
      <c r="E450" s="4" t="s">
        <v>112</v>
      </c>
      <c r="F450" s="4">
        <v>4.0</v>
      </c>
      <c r="G450" s="4">
        <v>15.0</v>
      </c>
      <c r="H450" s="4">
        <v>0.66</v>
      </c>
      <c r="I450" s="11">
        <v>0.55</v>
      </c>
      <c r="J450" s="4">
        <v>0.97</v>
      </c>
      <c r="K450" s="18">
        <f t="array" ref="K450">IF(H450&lt;&gt;"",H450,IFERROR(G450/INDEX(Players!$M$2:$M$127,MATCH(B450,Players!$A$2:$A$127,0)),""))</f>
        <v>0.66</v>
      </c>
    </row>
    <row r="451" ht="15.75" customHeight="1">
      <c r="A451" s="4" t="s">
        <v>2244</v>
      </c>
      <c r="B451" s="4" t="s">
        <v>1240</v>
      </c>
      <c r="C451" s="4" t="s">
        <v>1167</v>
      </c>
      <c r="D451" s="4" t="s">
        <v>86</v>
      </c>
      <c r="E451" s="4" t="s">
        <v>113</v>
      </c>
      <c r="F451" s="4">
        <v>3.0</v>
      </c>
      <c r="G451" s="4">
        <v>16.3</v>
      </c>
      <c r="H451" s="4">
        <v>0.82</v>
      </c>
      <c r="I451" s="11">
        <v>0.531</v>
      </c>
      <c r="J451" s="4">
        <v>1.32</v>
      </c>
      <c r="K451" s="18">
        <f t="array" ref="K451">IF(H451&lt;&gt;"",H451,IFERROR(G451/INDEX(Players!$M$2:$M$127,MATCH(B451,Players!$A$2:$A$127,0)),""))</f>
        <v>0.82</v>
      </c>
    </row>
    <row r="452" ht="15.75" customHeight="1">
      <c r="A452" s="4" t="s">
        <v>2245</v>
      </c>
      <c r="B452" s="4" t="s">
        <v>1240</v>
      </c>
      <c r="C452" s="4" t="s">
        <v>1167</v>
      </c>
      <c r="D452" s="4" t="s">
        <v>86</v>
      </c>
      <c r="E452" s="4" t="s">
        <v>262</v>
      </c>
      <c r="F452" s="4">
        <v>2.0</v>
      </c>
      <c r="G452" s="4">
        <v>14.0</v>
      </c>
      <c r="H452" s="4">
        <v>0.78</v>
      </c>
      <c r="I452" s="11">
        <v>0.607</v>
      </c>
      <c r="J452" s="4">
        <v>1.27</v>
      </c>
      <c r="K452" s="18">
        <f t="array" ref="K452">IF(H452&lt;&gt;"",H452,IFERROR(G452/INDEX(Players!$M$2:$M$127,MATCH(B452,Players!$A$2:$A$127,0)),""))</f>
        <v>0.78</v>
      </c>
    </row>
    <row r="453" ht="15.75" customHeight="1">
      <c r="A453" s="4" t="s">
        <v>2246</v>
      </c>
      <c r="B453" s="4" t="s">
        <v>1349</v>
      </c>
      <c r="C453" s="4" t="s">
        <v>1350</v>
      </c>
      <c r="D453" s="4" t="s">
        <v>86</v>
      </c>
      <c r="E453" s="4" t="s">
        <v>276</v>
      </c>
      <c r="F453" s="4">
        <v>7.0</v>
      </c>
      <c r="G453" s="4">
        <v>13.0</v>
      </c>
      <c r="H453" s="4">
        <v>0.56</v>
      </c>
      <c r="I453" s="11">
        <v>0.363</v>
      </c>
      <c r="J453" s="4">
        <v>0.99</v>
      </c>
      <c r="K453" s="18">
        <f t="array" ref="K453">IF(H453&lt;&gt;"",H453,IFERROR(G453/INDEX(Players!$M$2:$M$127,MATCH(B453,Players!$A$2:$A$127,0)),""))</f>
        <v>0.56</v>
      </c>
    </row>
    <row r="454" ht="15.75" customHeight="1">
      <c r="A454" s="4" t="s">
        <v>2247</v>
      </c>
      <c r="B454" s="4" t="s">
        <v>1349</v>
      </c>
      <c r="C454" s="4" t="s">
        <v>1350</v>
      </c>
      <c r="D454" s="4" t="s">
        <v>86</v>
      </c>
      <c r="E454" s="4" t="s">
        <v>112</v>
      </c>
      <c r="F454" s="4">
        <v>6.0</v>
      </c>
      <c r="G454" s="4">
        <v>14.5</v>
      </c>
      <c r="H454" s="4">
        <v>0.56</v>
      </c>
      <c r="I454" s="11">
        <v>0.299</v>
      </c>
      <c r="J454" s="4">
        <v>0.94</v>
      </c>
      <c r="K454" s="18">
        <f t="array" ref="K454">IF(H454&lt;&gt;"",H454,IFERROR(G454/INDEX(Players!$M$2:$M$127,MATCH(B454,Players!$A$2:$A$127,0)),""))</f>
        <v>0.56</v>
      </c>
    </row>
    <row r="455" ht="15.75" customHeight="1">
      <c r="A455" s="4" t="s">
        <v>2248</v>
      </c>
      <c r="B455" s="4" t="s">
        <v>1349</v>
      </c>
      <c r="C455" s="4" t="s">
        <v>1350</v>
      </c>
      <c r="D455" s="4" t="s">
        <v>86</v>
      </c>
      <c r="E455" s="4" t="s">
        <v>113</v>
      </c>
      <c r="F455" s="4">
        <v>5.0</v>
      </c>
      <c r="G455" s="4">
        <v>14.4</v>
      </c>
      <c r="H455" s="4">
        <v>0.72</v>
      </c>
      <c r="I455" s="11">
        <v>0.542</v>
      </c>
      <c r="J455" s="4">
        <v>1.26</v>
      </c>
      <c r="K455" s="18">
        <f t="array" ref="K455">IF(H455&lt;&gt;"",H455,IFERROR(G455/INDEX(Players!$M$2:$M$127,MATCH(B455,Players!$A$2:$A$127,0)),""))</f>
        <v>0.72</v>
      </c>
    </row>
    <row r="456" ht="15.75" customHeight="1">
      <c r="A456" s="4" t="s">
        <v>2249</v>
      </c>
      <c r="B456" s="4" t="s">
        <v>1349</v>
      </c>
      <c r="C456" s="4" t="s">
        <v>1350</v>
      </c>
      <c r="D456" s="4" t="s">
        <v>86</v>
      </c>
      <c r="E456" s="4" t="s">
        <v>110</v>
      </c>
      <c r="F456" s="4">
        <v>5.0</v>
      </c>
      <c r="G456" s="4">
        <v>13.0</v>
      </c>
      <c r="H456" s="4">
        <v>0.64</v>
      </c>
      <c r="I456" s="11">
        <v>0.323</v>
      </c>
      <c r="J456" s="4">
        <v>1.07</v>
      </c>
      <c r="K456" s="18">
        <f t="array" ref="K456">IF(H456&lt;&gt;"",H456,IFERROR(G456/INDEX(Players!$M$2:$M$127,MATCH(B456,Players!$A$2:$A$127,0)),""))</f>
        <v>0.64</v>
      </c>
    </row>
    <row r="457" ht="15.75" customHeight="1">
      <c r="A457" s="4" t="s">
        <v>2250</v>
      </c>
      <c r="B457" s="4" t="s">
        <v>1349</v>
      </c>
      <c r="C457" s="4" t="s">
        <v>1350</v>
      </c>
      <c r="D457" s="4" t="s">
        <v>86</v>
      </c>
      <c r="E457" s="4" t="s">
        <v>250</v>
      </c>
      <c r="F457" s="4">
        <v>4.0</v>
      </c>
      <c r="G457" s="4">
        <v>14.3</v>
      </c>
      <c r="H457" s="4">
        <v>0.65</v>
      </c>
      <c r="I457" s="11">
        <v>0.421</v>
      </c>
      <c r="J457" s="4">
        <v>0.97</v>
      </c>
      <c r="K457" s="18">
        <f t="array" ref="K457">IF(H457&lt;&gt;"",H457,IFERROR(G457/INDEX(Players!$M$2:$M$127,MATCH(B457,Players!$A$2:$A$127,0)),""))</f>
        <v>0.65</v>
      </c>
    </row>
    <row r="458" ht="15.75" customHeight="1">
      <c r="A458" s="4" t="s">
        <v>2251</v>
      </c>
      <c r="B458" s="4" t="s">
        <v>1349</v>
      </c>
      <c r="C458" s="4" t="s">
        <v>1350</v>
      </c>
      <c r="D458" s="4" t="s">
        <v>86</v>
      </c>
      <c r="E458" s="4" t="s">
        <v>270</v>
      </c>
      <c r="F458" s="4">
        <v>2.0</v>
      </c>
      <c r="G458" s="4">
        <v>14.0</v>
      </c>
      <c r="H458" s="4">
        <v>0.65</v>
      </c>
      <c r="I458" s="11">
        <v>0.357</v>
      </c>
      <c r="J458" s="4">
        <v>1.17</v>
      </c>
      <c r="K458" s="18">
        <f t="array" ref="K458">IF(H458&lt;&gt;"",H458,IFERROR(G458/INDEX(Players!$M$2:$M$127,MATCH(B458,Players!$A$2:$A$127,0)),""))</f>
        <v>0.65</v>
      </c>
    </row>
    <row r="459" ht="15.75" customHeight="1">
      <c r="A459" s="4" t="s">
        <v>2252</v>
      </c>
      <c r="B459" s="4" t="s">
        <v>1395</v>
      </c>
      <c r="C459" s="4" t="s">
        <v>1396</v>
      </c>
      <c r="D459" s="4" t="s">
        <v>86</v>
      </c>
      <c r="E459" s="4" t="s">
        <v>110</v>
      </c>
      <c r="F459" s="4">
        <v>11.0</v>
      </c>
      <c r="G459" s="4">
        <v>18.2</v>
      </c>
      <c r="H459" s="4">
        <v>0.7</v>
      </c>
      <c r="I459" s="11">
        <v>0.535</v>
      </c>
      <c r="J459" s="4">
        <v>1.07</v>
      </c>
      <c r="K459" s="18">
        <f t="array" ref="K459">IF(H459&lt;&gt;"",H459,IFERROR(G459/INDEX(Players!$M$2:$M$127,MATCH(B459,Players!$A$2:$A$127,0)),""))</f>
        <v>0.7</v>
      </c>
    </row>
    <row r="460" ht="15.75" customHeight="1">
      <c r="A460" s="4" t="s">
        <v>2254</v>
      </c>
      <c r="B460" s="4" t="s">
        <v>1395</v>
      </c>
      <c r="C460" s="4" t="s">
        <v>1396</v>
      </c>
      <c r="D460" s="4" t="s">
        <v>86</v>
      </c>
      <c r="E460" s="4" t="s">
        <v>113</v>
      </c>
      <c r="F460" s="4">
        <v>8.0</v>
      </c>
      <c r="G460" s="4">
        <v>16.8</v>
      </c>
      <c r="H460" s="4">
        <v>0.71</v>
      </c>
      <c r="I460" s="11">
        <v>0.522</v>
      </c>
      <c r="J460" s="4">
        <v>1.13</v>
      </c>
      <c r="K460" s="18">
        <f t="array" ref="K460">IF(H460&lt;&gt;"",H460,IFERROR(G460/INDEX(Players!$M$2:$M$127,MATCH(B460,Players!$A$2:$A$127,0)),""))</f>
        <v>0.71</v>
      </c>
    </row>
    <row r="461" ht="15.75" customHeight="1">
      <c r="A461" s="4" t="s">
        <v>2255</v>
      </c>
      <c r="B461" s="4" t="s">
        <v>1395</v>
      </c>
      <c r="C461" s="4" t="s">
        <v>1396</v>
      </c>
      <c r="D461" s="4" t="s">
        <v>86</v>
      </c>
      <c r="E461" s="4" t="s">
        <v>250</v>
      </c>
      <c r="F461" s="4">
        <v>7.0</v>
      </c>
      <c r="G461" s="4">
        <v>13.4</v>
      </c>
      <c r="H461" s="4">
        <v>0.6</v>
      </c>
      <c r="I461" s="11">
        <v>0.532</v>
      </c>
      <c r="J461" s="4">
        <v>0.89</v>
      </c>
      <c r="K461" s="18">
        <f t="array" ref="K461">IF(H461&lt;&gt;"",H461,IFERROR(G461/INDEX(Players!$M$2:$M$127,MATCH(B461,Players!$A$2:$A$127,0)),""))</f>
        <v>0.6</v>
      </c>
    </row>
    <row r="462" ht="15.75" customHeight="1">
      <c r="A462" s="4" t="s">
        <v>2256</v>
      </c>
      <c r="B462" s="4" t="s">
        <v>1395</v>
      </c>
      <c r="C462" s="4" t="s">
        <v>1396</v>
      </c>
      <c r="D462" s="4" t="s">
        <v>86</v>
      </c>
      <c r="E462" s="4" t="s">
        <v>276</v>
      </c>
      <c r="F462" s="4">
        <v>5.0</v>
      </c>
      <c r="G462" s="4">
        <v>15.8</v>
      </c>
      <c r="H462" s="4">
        <v>0.8</v>
      </c>
      <c r="I462" s="11">
        <v>0.506</v>
      </c>
      <c r="J462" s="4">
        <v>1.14</v>
      </c>
      <c r="K462" s="18">
        <f t="array" ref="K462">IF(H462&lt;&gt;"",H462,IFERROR(G462/INDEX(Players!$M$2:$M$127,MATCH(B462,Players!$A$2:$A$127,0)),""))</f>
        <v>0.8</v>
      </c>
    </row>
    <row r="463" ht="15.75" customHeight="1">
      <c r="A463" s="4" t="s">
        <v>2262</v>
      </c>
      <c r="B463" s="4" t="s">
        <v>1395</v>
      </c>
      <c r="C463" s="4" t="s">
        <v>1396</v>
      </c>
      <c r="D463" s="4" t="s">
        <v>86</v>
      </c>
      <c r="E463" s="4" t="s">
        <v>262</v>
      </c>
      <c r="F463" s="4">
        <v>5.0</v>
      </c>
      <c r="G463" s="4">
        <v>14.0</v>
      </c>
      <c r="H463" s="4">
        <v>0.66</v>
      </c>
      <c r="I463" s="11">
        <v>0.529</v>
      </c>
      <c r="J463" s="4">
        <v>1.13</v>
      </c>
      <c r="K463" s="18">
        <f t="array" ref="K463">IF(H463&lt;&gt;"",H463,IFERROR(G463/INDEX(Players!$M$2:$M$127,MATCH(B463,Players!$A$2:$A$127,0)),""))</f>
        <v>0.66</v>
      </c>
    </row>
    <row r="464" ht="15.75" customHeight="1">
      <c r="A464" s="4" t="s">
        <v>2275</v>
      </c>
      <c r="B464" s="4" t="s">
        <v>1395</v>
      </c>
      <c r="C464" s="4" t="s">
        <v>1396</v>
      </c>
      <c r="D464" s="4" t="s">
        <v>86</v>
      </c>
      <c r="E464" s="4" t="s">
        <v>270</v>
      </c>
      <c r="F464" s="4">
        <v>1.0</v>
      </c>
      <c r="G464" s="4">
        <v>16.0</v>
      </c>
      <c r="H464" s="4">
        <v>0.76</v>
      </c>
      <c r="I464" s="11">
        <v>0.375</v>
      </c>
      <c r="J464" s="4">
        <v>2.0</v>
      </c>
      <c r="K464" s="18">
        <f t="array" ref="K464">IF(H464&lt;&gt;"",H464,IFERROR(G464/INDEX(Players!$M$2:$M$127,MATCH(B464,Players!$A$2:$A$127,0)),""))</f>
        <v>0.76</v>
      </c>
    </row>
    <row r="465" ht="15.75" customHeight="1">
      <c r="A465" s="4" t="s">
        <v>2288</v>
      </c>
      <c r="B465" s="4" t="s">
        <v>1368</v>
      </c>
      <c r="C465" s="4" t="s">
        <v>1369</v>
      </c>
      <c r="D465" s="4" t="s">
        <v>86</v>
      </c>
      <c r="E465" s="4" t="s">
        <v>110</v>
      </c>
      <c r="F465" s="4">
        <v>7.0</v>
      </c>
      <c r="G465" s="4">
        <v>13.6</v>
      </c>
      <c r="H465" s="4">
        <v>0.55</v>
      </c>
      <c r="I465" s="11">
        <v>0.526</v>
      </c>
      <c r="J465" s="4">
        <v>0.77</v>
      </c>
      <c r="K465" s="18">
        <f t="array" ref="K465">IF(H465&lt;&gt;"",H465,IFERROR(G465/INDEX(Players!$M$2:$M$127,MATCH(B465,Players!$A$2:$A$127,0)),""))</f>
        <v>0.55</v>
      </c>
    </row>
    <row r="466" ht="15.75" customHeight="1">
      <c r="A466" s="4" t="s">
        <v>2300</v>
      </c>
      <c r="B466" s="4" t="s">
        <v>1368</v>
      </c>
      <c r="C466" s="4" t="s">
        <v>1369</v>
      </c>
      <c r="D466" s="4" t="s">
        <v>86</v>
      </c>
      <c r="E466" s="4" t="s">
        <v>112</v>
      </c>
      <c r="F466" s="4">
        <v>5.0</v>
      </c>
      <c r="G466" s="4">
        <v>14.2</v>
      </c>
      <c r="H466" s="4">
        <v>0.62</v>
      </c>
      <c r="I466" s="11">
        <v>0.535</v>
      </c>
      <c r="J466" s="4">
        <v>0.91</v>
      </c>
      <c r="K466" s="18">
        <f t="array" ref="K466">IF(H466&lt;&gt;"",H466,IFERROR(G466/INDEX(Players!$M$2:$M$127,MATCH(B466,Players!$A$2:$A$127,0)),""))</f>
        <v>0.62</v>
      </c>
    </row>
    <row r="467" ht="15.75" customHeight="1">
      <c r="A467" s="4" t="s">
        <v>2313</v>
      </c>
      <c r="B467" s="4" t="s">
        <v>1368</v>
      </c>
      <c r="C467" s="4" t="s">
        <v>1369</v>
      </c>
      <c r="D467" s="4" t="s">
        <v>86</v>
      </c>
      <c r="E467" s="4" t="s">
        <v>250</v>
      </c>
      <c r="F467" s="4">
        <v>5.0</v>
      </c>
      <c r="G467" s="4">
        <v>18.4</v>
      </c>
      <c r="H467" s="4">
        <v>0.65</v>
      </c>
      <c r="I467" s="11">
        <v>0.5870000000000001</v>
      </c>
      <c r="J467" s="4">
        <v>0.88</v>
      </c>
      <c r="K467" s="18">
        <f t="array" ref="K467">IF(H467&lt;&gt;"",H467,IFERROR(G467/INDEX(Players!$M$2:$M$127,MATCH(B467,Players!$A$2:$A$127,0)),""))</f>
        <v>0.65</v>
      </c>
    </row>
    <row r="468" ht="15.75" customHeight="1">
      <c r="A468" s="4" t="s">
        <v>2326</v>
      </c>
      <c r="B468" s="4" t="s">
        <v>1368</v>
      </c>
      <c r="C468" s="4" t="s">
        <v>1369</v>
      </c>
      <c r="D468" s="4" t="s">
        <v>86</v>
      </c>
      <c r="E468" s="4" t="s">
        <v>270</v>
      </c>
      <c r="F468" s="4">
        <v>4.0</v>
      </c>
      <c r="G468" s="4">
        <v>12.5</v>
      </c>
      <c r="H468" s="4">
        <v>0.51</v>
      </c>
      <c r="I468" s="11">
        <v>0.4</v>
      </c>
      <c r="J468" s="4">
        <v>0.79</v>
      </c>
      <c r="K468" s="18">
        <f t="array" ref="K468">IF(H468&lt;&gt;"",H468,IFERROR(G468/INDEX(Players!$M$2:$M$127,MATCH(B468,Players!$A$2:$A$127,0)),""))</f>
        <v>0.51</v>
      </c>
    </row>
    <row r="469" ht="15.75" customHeight="1">
      <c r="A469" s="4" t="s">
        <v>2338</v>
      </c>
      <c r="B469" s="4" t="s">
        <v>1368</v>
      </c>
      <c r="C469" s="4" t="s">
        <v>1369</v>
      </c>
      <c r="D469" s="4" t="s">
        <v>86</v>
      </c>
      <c r="E469" s="4" t="s">
        <v>262</v>
      </c>
      <c r="F469" s="4">
        <v>3.0</v>
      </c>
      <c r="G469" s="4">
        <v>15.0</v>
      </c>
      <c r="H469" s="4">
        <v>0.71</v>
      </c>
      <c r="I469" s="11">
        <v>0.5329999999999999</v>
      </c>
      <c r="J469" s="4">
        <v>1.02</v>
      </c>
      <c r="K469" s="18">
        <f t="array" ref="K469">IF(H469&lt;&gt;"",H469,IFERROR(G469/INDEX(Players!$M$2:$M$127,MATCH(B469,Players!$A$2:$A$127,0)),""))</f>
        <v>0.71</v>
      </c>
    </row>
    <row r="470" ht="15.75" customHeight="1">
      <c r="A470" s="4" t="s">
        <v>2351</v>
      </c>
      <c r="B470" s="4" t="s">
        <v>1368</v>
      </c>
      <c r="C470" s="4" t="s">
        <v>1369</v>
      </c>
      <c r="D470" s="4" t="s">
        <v>86</v>
      </c>
      <c r="E470" s="4" t="s">
        <v>276</v>
      </c>
      <c r="F470" s="4">
        <v>3.0</v>
      </c>
      <c r="G470" s="4">
        <v>10.7</v>
      </c>
      <c r="H470" s="4">
        <v>0.59</v>
      </c>
      <c r="I470" s="11">
        <v>0.563</v>
      </c>
      <c r="J470" s="4">
        <v>0.91</v>
      </c>
      <c r="K470" s="18">
        <f t="array" ref="K470">IF(H470&lt;&gt;"",H470,IFERROR(G470/INDEX(Players!$M$2:$M$127,MATCH(B470,Players!$A$2:$A$127,0)),""))</f>
        <v>0.59</v>
      </c>
    </row>
    <row r="471" ht="15.75" customHeight="1">
      <c r="A471" s="4" t="s">
        <v>2368</v>
      </c>
      <c r="B471" s="4" t="s">
        <v>1368</v>
      </c>
      <c r="C471" s="4" t="s">
        <v>1369</v>
      </c>
      <c r="D471" s="4" t="s">
        <v>86</v>
      </c>
      <c r="E471" s="4" t="s">
        <v>113</v>
      </c>
      <c r="F471" s="4">
        <v>3.0</v>
      </c>
      <c r="G471" s="4">
        <v>10.0</v>
      </c>
      <c r="H471" s="4">
        <v>0.55</v>
      </c>
      <c r="I471" s="11">
        <v>0.5329999999999999</v>
      </c>
      <c r="J471" s="4">
        <v>0.68</v>
      </c>
      <c r="K471" s="18">
        <f t="array" ref="K471">IF(H471&lt;&gt;"",H471,IFERROR(G471/INDEX(Players!$M$2:$M$127,MATCH(B471,Players!$A$2:$A$127,0)),""))</f>
        <v>0.55</v>
      </c>
    </row>
    <row r="472" ht="15.75" customHeight="1">
      <c r="A472" s="4" t="s">
        <v>2394</v>
      </c>
      <c r="B472" s="4" t="s">
        <v>1269</v>
      </c>
      <c r="C472" s="4" t="s">
        <v>1270</v>
      </c>
      <c r="D472" s="4" t="s">
        <v>86</v>
      </c>
      <c r="E472" s="4" t="s">
        <v>110</v>
      </c>
      <c r="F472" s="4">
        <v>11.0</v>
      </c>
      <c r="G472" s="4">
        <v>18.9</v>
      </c>
      <c r="H472" s="4">
        <v>0.85</v>
      </c>
      <c r="I472" s="11">
        <v>0.481</v>
      </c>
      <c r="J472" s="4">
        <v>1.46</v>
      </c>
      <c r="K472" s="18">
        <f t="array" ref="K472">IF(H472&lt;&gt;"",H472,IFERROR(G472/INDEX(Players!$M$2:$M$127,MATCH(B472,Players!$A$2:$A$127,0)),""))</f>
        <v>0.85</v>
      </c>
    </row>
    <row r="473" ht="15.75" customHeight="1">
      <c r="A473" s="4" t="s">
        <v>2424</v>
      </c>
      <c r="B473" s="4" t="s">
        <v>1269</v>
      </c>
      <c r="C473" s="4" t="s">
        <v>1270</v>
      </c>
      <c r="D473" s="4" t="s">
        <v>86</v>
      </c>
      <c r="E473" s="4" t="s">
        <v>113</v>
      </c>
      <c r="F473" s="4">
        <v>9.0</v>
      </c>
      <c r="G473" s="4">
        <v>15.0</v>
      </c>
      <c r="H473" s="4">
        <v>0.75</v>
      </c>
      <c r="I473" s="11">
        <v>0.6</v>
      </c>
      <c r="J473" s="4">
        <v>1.29</v>
      </c>
      <c r="K473" s="18">
        <f t="array" ref="K473">IF(H473&lt;&gt;"",H473,IFERROR(G473/INDEX(Players!$M$2:$M$127,MATCH(B473,Players!$A$2:$A$127,0)),""))</f>
        <v>0.75</v>
      </c>
    </row>
    <row r="474" ht="15.75" customHeight="1">
      <c r="A474" s="4" t="s">
        <v>2443</v>
      </c>
      <c r="B474" s="4" t="s">
        <v>1269</v>
      </c>
      <c r="C474" s="4" t="s">
        <v>1270</v>
      </c>
      <c r="D474" s="4" t="s">
        <v>86</v>
      </c>
      <c r="E474" s="4" t="s">
        <v>262</v>
      </c>
      <c r="F474" s="4">
        <v>8.0</v>
      </c>
      <c r="G474" s="4">
        <v>21.1</v>
      </c>
      <c r="H474" s="4">
        <v>0.85</v>
      </c>
      <c r="I474" s="11">
        <v>0.473</v>
      </c>
      <c r="J474" s="4">
        <v>1.34</v>
      </c>
      <c r="K474" s="18">
        <f t="array" ref="K474">IF(H474&lt;&gt;"",H474,IFERROR(G474/INDEX(Players!$M$2:$M$127,MATCH(B474,Players!$A$2:$A$127,0)),""))</f>
        <v>0.85</v>
      </c>
    </row>
    <row r="475" ht="15.75" customHeight="1">
      <c r="A475" s="4" t="s">
        <v>2463</v>
      </c>
      <c r="B475" s="4" t="s">
        <v>1269</v>
      </c>
      <c r="C475" s="4" t="s">
        <v>1270</v>
      </c>
      <c r="D475" s="4" t="s">
        <v>86</v>
      </c>
      <c r="E475" s="4" t="s">
        <v>250</v>
      </c>
      <c r="F475" s="4">
        <v>5.0</v>
      </c>
      <c r="G475" s="4">
        <v>15.6</v>
      </c>
      <c r="H475" s="4">
        <v>0.68</v>
      </c>
      <c r="I475" s="11">
        <v>0.513</v>
      </c>
      <c r="J475" s="4">
        <v>1.01</v>
      </c>
      <c r="K475" s="18">
        <f t="array" ref="K475">IF(H475&lt;&gt;"",H475,IFERROR(G475/INDEX(Players!$M$2:$M$127,MATCH(B475,Players!$A$2:$A$127,0)),""))</f>
        <v>0.68</v>
      </c>
    </row>
    <row r="476" ht="15.75" customHeight="1">
      <c r="A476" s="4" t="s">
        <v>2480</v>
      </c>
      <c r="B476" s="4" t="s">
        <v>1269</v>
      </c>
      <c r="C476" s="4" t="s">
        <v>1270</v>
      </c>
      <c r="D476" s="4" t="s">
        <v>86</v>
      </c>
      <c r="E476" s="4" t="s">
        <v>270</v>
      </c>
      <c r="F476" s="4">
        <v>5.0</v>
      </c>
      <c r="G476" s="4">
        <v>15.0</v>
      </c>
      <c r="H476" s="4">
        <v>0.64</v>
      </c>
      <c r="I476" s="11">
        <v>0.5329999999999999</v>
      </c>
      <c r="J476" s="4">
        <v>0.96</v>
      </c>
      <c r="K476" s="18">
        <f t="array" ref="K476">IF(H476&lt;&gt;"",H476,IFERROR(G476/INDEX(Players!$M$2:$M$127,MATCH(B476,Players!$A$2:$A$127,0)),""))</f>
        <v>0.64</v>
      </c>
    </row>
    <row r="477" ht="15.75" customHeight="1">
      <c r="A477" s="4" t="s">
        <v>2500</v>
      </c>
      <c r="B477" s="4" t="s">
        <v>1269</v>
      </c>
      <c r="C477" s="4" t="s">
        <v>1270</v>
      </c>
      <c r="D477" s="4" t="s">
        <v>86</v>
      </c>
      <c r="E477" s="4" t="s">
        <v>276</v>
      </c>
      <c r="F477" s="4">
        <v>2.0</v>
      </c>
      <c r="G477" s="4">
        <v>10.5</v>
      </c>
      <c r="H477" s="4">
        <v>0.55</v>
      </c>
      <c r="I477" s="11">
        <v>0.476</v>
      </c>
      <c r="J477" s="4">
        <v>0.88</v>
      </c>
      <c r="K477" s="18">
        <f t="array" ref="K477">IF(H477&lt;&gt;"",H477,IFERROR(G477/INDEX(Players!$M$2:$M$127,MATCH(B477,Players!$A$2:$A$127,0)),""))</f>
        <v>0.55</v>
      </c>
    </row>
    <row r="478" ht="15.75" customHeight="1">
      <c r="A478" s="4" t="s">
        <v>2513</v>
      </c>
      <c r="B478" s="4" t="s">
        <v>1269</v>
      </c>
      <c r="C478" s="4" t="s">
        <v>1270</v>
      </c>
      <c r="D478" s="4" t="s">
        <v>86</v>
      </c>
      <c r="E478" s="4" t="s">
        <v>112</v>
      </c>
      <c r="F478" s="4">
        <v>2.0</v>
      </c>
      <c r="G478" s="4">
        <v>10.5</v>
      </c>
      <c r="H478" s="4">
        <v>0.51</v>
      </c>
      <c r="I478" s="11">
        <v>0.429</v>
      </c>
      <c r="J478" s="4">
        <v>0.66</v>
      </c>
      <c r="K478" s="18">
        <f t="array" ref="K478">IF(H478&lt;&gt;"",H478,IFERROR(G478/INDEX(Players!$M$2:$M$127,MATCH(B478,Players!$A$2:$A$127,0)),""))</f>
        <v>0.51</v>
      </c>
    </row>
    <row r="479" ht="15.75" customHeight="1">
      <c r="A479" s="4" t="s">
        <v>2527</v>
      </c>
      <c r="B479" s="4" t="s">
        <v>1306</v>
      </c>
      <c r="C479" s="4" t="s">
        <v>1307</v>
      </c>
      <c r="D479" s="4" t="s">
        <v>86</v>
      </c>
      <c r="E479" s="4" t="s">
        <v>250</v>
      </c>
      <c r="F479" s="4">
        <v>9.0</v>
      </c>
      <c r="G479" s="4">
        <v>11.4</v>
      </c>
      <c r="H479" s="4">
        <v>0.57</v>
      </c>
      <c r="I479" s="11">
        <v>0.621</v>
      </c>
      <c r="J479" s="4">
        <v>0.88</v>
      </c>
      <c r="K479" s="18">
        <f t="array" ref="K479">IF(H479&lt;&gt;"",H479,IFERROR(G479/INDEX(Players!$M$2:$M$127,MATCH(B479,Players!$A$2:$A$127,0)),""))</f>
        <v>0.57</v>
      </c>
    </row>
    <row r="480" ht="15.75" customHeight="1">
      <c r="A480" s="4" t="s">
        <v>2545</v>
      </c>
      <c r="B480" s="4" t="s">
        <v>1306</v>
      </c>
      <c r="C480" s="4" t="s">
        <v>1307</v>
      </c>
      <c r="D480" s="4" t="s">
        <v>86</v>
      </c>
      <c r="E480" s="4" t="s">
        <v>112</v>
      </c>
      <c r="F480" s="4">
        <v>7.0</v>
      </c>
      <c r="G480" s="4">
        <v>16.1</v>
      </c>
      <c r="H480" s="4">
        <v>0.68</v>
      </c>
      <c r="I480" s="11">
        <v>0.628</v>
      </c>
      <c r="J480" s="4">
        <v>1.11</v>
      </c>
      <c r="K480" s="18">
        <f t="array" ref="K480">IF(H480&lt;&gt;"",H480,IFERROR(G480/INDEX(Players!$M$2:$M$127,MATCH(B480,Players!$A$2:$A$127,0)),""))</f>
        <v>0.68</v>
      </c>
    </row>
    <row r="481" ht="15.75" customHeight="1">
      <c r="A481" s="4" t="s">
        <v>2564</v>
      </c>
      <c r="B481" s="4" t="s">
        <v>1306</v>
      </c>
      <c r="C481" s="4" t="s">
        <v>1307</v>
      </c>
      <c r="D481" s="4" t="s">
        <v>86</v>
      </c>
      <c r="E481" s="4" t="s">
        <v>110</v>
      </c>
      <c r="F481" s="4">
        <v>6.0</v>
      </c>
      <c r="G481" s="4">
        <v>15.2</v>
      </c>
      <c r="H481" s="4">
        <v>0.63</v>
      </c>
      <c r="I481" s="11">
        <v>0.495</v>
      </c>
      <c r="J481" s="4">
        <v>0.92</v>
      </c>
      <c r="K481" s="18">
        <f t="array" ref="K481">IF(H481&lt;&gt;"",H481,IFERROR(G481/INDEX(Players!$M$2:$M$127,MATCH(B481,Players!$A$2:$A$127,0)),""))</f>
        <v>0.63</v>
      </c>
    </row>
    <row r="482" ht="15.75" customHeight="1">
      <c r="A482" s="4" t="s">
        <v>2584</v>
      </c>
      <c r="B482" s="4" t="s">
        <v>1306</v>
      </c>
      <c r="C482" s="4" t="s">
        <v>1307</v>
      </c>
      <c r="D482" s="4" t="s">
        <v>86</v>
      </c>
      <c r="E482" s="4" t="s">
        <v>262</v>
      </c>
      <c r="F482" s="4">
        <v>4.0</v>
      </c>
      <c r="G482" s="4">
        <v>13.5</v>
      </c>
      <c r="H482" s="4">
        <v>0.66</v>
      </c>
      <c r="I482" s="11">
        <v>0.463</v>
      </c>
      <c r="J482" s="4">
        <v>1.04</v>
      </c>
      <c r="K482" s="18">
        <f t="array" ref="K482">IF(H482&lt;&gt;"",H482,IFERROR(G482/INDEX(Players!$M$2:$M$127,MATCH(B482,Players!$A$2:$A$127,0)),""))</f>
        <v>0.66</v>
      </c>
    </row>
    <row r="483" ht="15.75" customHeight="1">
      <c r="A483" s="4" t="s">
        <v>2600</v>
      </c>
      <c r="B483" s="4" t="s">
        <v>1306</v>
      </c>
      <c r="C483" s="4" t="s">
        <v>1307</v>
      </c>
      <c r="D483" s="4" t="s">
        <v>86</v>
      </c>
      <c r="E483" s="4" t="s">
        <v>113</v>
      </c>
      <c r="F483" s="4">
        <v>4.0</v>
      </c>
      <c r="G483" s="4">
        <v>15.3</v>
      </c>
      <c r="H483" s="4">
        <v>0.64</v>
      </c>
      <c r="I483" s="11">
        <v>0.607</v>
      </c>
      <c r="J483" s="4">
        <v>0.84</v>
      </c>
      <c r="K483" s="18">
        <f t="array" ref="K483">IF(H483&lt;&gt;"",H483,IFERROR(G483/INDEX(Players!$M$2:$M$127,MATCH(B483,Players!$A$2:$A$127,0)),""))</f>
        <v>0.64</v>
      </c>
    </row>
    <row r="484" ht="15.75" customHeight="1">
      <c r="A484" s="4" t="s">
        <v>2617</v>
      </c>
      <c r="B484" s="4" t="s">
        <v>1306</v>
      </c>
      <c r="C484" s="4" t="s">
        <v>1307</v>
      </c>
      <c r="D484" s="4" t="s">
        <v>86</v>
      </c>
      <c r="E484" s="4" t="s">
        <v>276</v>
      </c>
      <c r="F484" s="4">
        <v>3.0</v>
      </c>
      <c r="G484" s="4">
        <v>12.0</v>
      </c>
      <c r="H484" s="4">
        <v>0.6</v>
      </c>
      <c r="I484" s="11">
        <v>0.611</v>
      </c>
      <c r="J484" s="4">
        <v>1.03</v>
      </c>
      <c r="K484" s="18">
        <f t="array" ref="K484">IF(H484&lt;&gt;"",H484,IFERROR(G484/INDEX(Players!$M$2:$M$127,MATCH(B484,Players!$A$2:$A$127,0)),""))</f>
        <v>0.6</v>
      </c>
    </row>
    <row r="485" ht="15.75" customHeight="1">
      <c r="A485" s="4" t="s">
        <v>2633</v>
      </c>
      <c r="B485" s="4" t="s">
        <v>1319</v>
      </c>
      <c r="C485" s="4" t="s">
        <v>1320</v>
      </c>
      <c r="D485" s="4" t="s">
        <v>86</v>
      </c>
      <c r="E485" s="4" t="s">
        <v>250</v>
      </c>
      <c r="F485" s="4">
        <v>8.0</v>
      </c>
      <c r="G485" s="4">
        <v>12.9</v>
      </c>
      <c r="H485" s="4">
        <v>0.62</v>
      </c>
      <c r="I485" s="11">
        <v>0.311</v>
      </c>
      <c r="J485" s="4">
        <v>1.03</v>
      </c>
      <c r="K485" s="18">
        <f t="array" ref="K485">IF(H485&lt;&gt;"",H485,IFERROR(G485/INDEX(Players!$M$2:$M$127,MATCH(B485,Players!$A$2:$A$127,0)),""))</f>
        <v>0.62</v>
      </c>
    </row>
    <row r="486" ht="15.75" customHeight="1">
      <c r="A486" s="4" t="s">
        <v>2646</v>
      </c>
      <c r="B486" s="4" t="s">
        <v>1319</v>
      </c>
      <c r="C486" s="4" t="s">
        <v>1320</v>
      </c>
      <c r="D486" s="4" t="s">
        <v>86</v>
      </c>
      <c r="E486" s="4" t="s">
        <v>262</v>
      </c>
      <c r="F486" s="4">
        <v>6.0</v>
      </c>
      <c r="G486" s="4">
        <v>11.3</v>
      </c>
      <c r="H486" s="4">
        <v>0.61</v>
      </c>
      <c r="I486" s="11">
        <v>0.382</v>
      </c>
      <c r="J486" s="4">
        <v>1.05</v>
      </c>
      <c r="K486" s="18">
        <f t="array" ref="K486">IF(H486&lt;&gt;"",H486,IFERROR(G486/INDEX(Players!$M$2:$M$127,MATCH(B486,Players!$A$2:$A$127,0)),""))</f>
        <v>0.61</v>
      </c>
    </row>
    <row r="487" ht="15.75" customHeight="1">
      <c r="A487" s="4" t="s">
        <v>2658</v>
      </c>
      <c r="B487" s="4" t="s">
        <v>1319</v>
      </c>
      <c r="C487" s="4" t="s">
        <v>1320</v>
      </c>
      <c r="D487" s="4" t="s">
        <v>86</v>
      </c>
      <c r="E487" s="4" t="s">
        <v>113</v>
      </c>
      <c r="F487" s="4">
        <v>6.0</v>
      </c>
      <c r="G487" s="4">
        <v>12.0</v>
      </c>
      <c r="H487" s="4">
        <v>0.53</v>
      </c>
      <c r="I487" s="11">
        <v>0.417</v>
      </c>
      <c r="J487" s="4">
        <v>0.77</v>
      </c>
      <c r="K487" s="18">
        <f t="array" ref="K487">IF(H487&lt;&gt;"",H487,IFERROR(G487/INDEX(Players!$M$2:$M$127,MATCH(B487,Players!$A$2:$A$127,0)),""))</f>
        <v>0.53</v>
      </c>
    </row>
    <row r="488" ht="15.75" customHeight="1">
      <c r="A488" s="4" t="s">
        <v>2671</v>
      </c>
      <c r="B488" s="4" t="s">
        <v>1319</v>
      </c>
      <c r="C488" s="4" t="s">
        <v>1320</v>
      </c>
      <c r="D488" s="4" t="s">
        <v>86</v>
      </c>
      <c r="E488" s="4" t="s">
        <v>270</v>
      </c>
      <c r="F488" s="4">
        <v>5.0</v>
      </c>
      <c r="G488" s="4">
        <v>14.2</v>
      </c>
      <c r="H488" s="4">
        <v>0.64</v>
      </c>
      <c r="I488" s="11">
        <v>0.324</v>
      </c>
      <c r="J488" s="4">
        <v>1.08</v>
      </c>
      <c r="K488" s="18">
        <f t="array" ref="K488">IF(H488&lt;&gt;"",H488,IFERROR(G488/INDEX(Players!$M$2:$M$127,MATCH(B488,Players!$A$2:$A$127,0)),""))</f>
        <v>0.64</v>
      </c>
    </row>
    <row r="489" ht="15.75" customHeight="1">
      <c r="A489" s="4" t="s">
        <v>2683</v>
      </c>
      <c r="B489" s="4" t="s">
        <v>1319</v>
      </c>
      <c r="C489" s="4" t="s">
        <v>1320</v>
      </c>
      <c r="D489" s="4" t="s">
        <v>86</v>
      </c>
      <c r="E489" s="4" t="s">
        <v>110</v>
      </c>
      <c r="F489" s="4">
        <v>4.0</v>
      </c>
      <c r="G489" s="4">
        <v>12.0</v>
      </c>
      <c r="H489" s="4">
        <v>0.68</v>
      </c>
      <c r="I489" s="11">
        <v>0.542</v>
      </c>
      <c r="J489" s="4">
        <v>1.23</v>
      </c>
      <c r="K489" s="18">
        <f t="array" ref="K489">IF(H489&lt;&gt;"",H489,IFERROR(G489/INDEX(Players!$M$2:$M$127,MATCH(B489,Players!$A$2:$A$127,0)),""))</f>
        <v>0.68</v>
      </c>
    </row>
    <row r="490" ht="15.75" customHeight="1">
      <c r="A490" s="4" t="s">
        <v>2694</v>
      </c>
      <c r="B490" s="4" t="s">
        <v>1479</v>
      </c>
      <c r="C490" s="4" t="s">
        <v>1480</v>
      </c>
      <c r="D490" s="4" t="s">
        <v>86</v>
      </c>
      <c r="E490" s="4" t="s">
        <v>110</v>
      </c>
      <c r="F490" s="4">
        <v>9.0</v>
      </c>
      <c r="G490" s="4">
        <v>13.8</v>
      </c>
      <c r="H490" s="4">
        <v>0.63</v>
      </c>
      <c r="I490" s="11">
        <v>0.516</v>
      </c>
      <c r="J490" s="4">
        <v>0.93</v>
      </c>
      <c r="K490" s="18">
        <f t="array" ref="K490">IF(H490&lt;&gt;"",H490,IFERROR(G490/INDEX(Players!$M$2:$M$127,MATCH(B490,Players!$A$2:$A$127,0)),""))</f>
        <v>0.63</v>
      </c>
    </row>
    <row r="491" ht="15.75" customHeight="1">
      <c r="A491" s="4" t="s">
        <v>2706</v>
      </c>
      <c r="B491" s="4" t="s">
        <v>1479</v>
      </c>
      <c r="C491" s="4" t="s">
        <v>1480</v>
      </c>
      <c r="D491" s="4" t="s">
        <v>86</v>
      </c>
      <c r="E491" s="4" t="s">
        <v>276</v>
      </c>
      <c r="F491" s="4">
        <v>9.0</v>
      </c>
      <c r="G491" s="4">
        <v>15.6</v>
      </c>
      <c r="H491" s="4">
        <v>0.66</v>
      </c>
      <c r="I491" s="11">
        <v>0.529</v>
      </c>
      <c r="J491" s="4">
        <v>0.92</v>
      </c>
      <c r="K491" s="18">
        <f t="array" ref="K491">IF(H491&lt;&gt;"",H491,IFERROR(G491/INDEX(Players!$M$2:$M$127,MATCH(B491,Players!$A$2:$A$127,0)),""))</f>
        <v>0.66</v>
      </c>
    </row>
    <row r="492" ht="15.75" customHeight="1">
      <c r="A492" s="4" t="s">
        <v>2716</v>
      </c>
      <c r="B492" s="4" t="s">
        <v>1479</v>
      </c>
      <c r="C492" s="4" t="s">
        <v>1480</v>
      </c>
      <c r="D492" s="4" t="s">
        <v>86</v>
      </c>
      <c r="E492" s="4" t="s">
        <v>270</v>
      </c>
      <c r="F492" s="4">
        <v>8.0</v>
      </c>
      <c r="G492" s="4">
        <v>13.6</v>
      </c>
      <c r="H492" s="4">
        <v>0.66</v>
      </c>
      <c r="I492" s="11">
        <v>0.532</v>
      </c>
      <c r="J492" s="4">
        <v>1.06</v>
      </c>
      <c r="K492" s="18">
        <f t="array" ref="K492">IF(H492&lt;&gt;"",H492,IFERROR(G492/INDEX(Players!$M$2:$M$127,MATCH(B492,Players!$A$2:$A$127,0)),""))</f>
        <v>0.66</v>
      </c>
    </row>
    <row r="493" ht="15.75" customHeight="1">
      <c r="A493" s="4" t="s">
        <v>2726</v>
      </c>
      <c r="B493" s="4" t="s">
        <v>1479</v>
      </c>
      <c r="C493" s="4" t="s">
        <v>1480</v>
      </c>
      <c r="D493" s="4" t="s">
        <v>86</v>
      </c>
      <c r="E493" s="4" t="s">
        <v>113</v>
      </c>
      <c r="F493" s="4">
        <v>6.0</v>
      </c>
      <c r="G493" s="4">
        <v>18.0</v>
      </c>
      <c r="H493" s="4">
        <v>0.81</v>
      </c>
      <c r="I493" s="11">
        <v>0.574</v>
      </c>
      <c r="J493" s="4">
        <v>1.29</v>
      </c>
      <c r="K493" s="18">
        <f t="array" ref="K493">IF(H493&lt;&gt;"",H493,IFERROR(G493/INDEX(Players!$M$2:$M$127,MATCH(B493,Players!$A$2:$A$127,0)),""))</f>
        <v>0.81</v>
      </c>
    </row>
    <row r="494" ht="15.75" customHeight="1">
      <c r="A494" s="4" t="s">
        <v>2735</v>
      </c>
      <c r="B494" s="4" t="s">
        <v>1479</v>
      </c>
      <c r="C494" s="4" t="s">
        <v>1480</v>
      </c>
      <c r="D494" s="4" t="s">
        <v>86</v>
      </c>
      <c r="E494" s="4" t="s">
        <v>262</v>
      </c>
      <c r="F494" s="4">
        <v>5.0</v>
      </c>
      <c r="G494" s="4">
        <v>17.4</v>
      </c>
      <c r="H494" s="4">
        <v>0.75</v>
      </c>
      <c r="I494" s="11">
        <v>0.414</v>
      </c>
      <c r="J494" s="4">
        <v>1.19</v>
      </c>
      <c r="K494" s="18">
        <f t="array" ref="K494">IF(H494&lt;&gt;"",H494,IFERROR(G494/INDEX(Players!$M$2:$M$127,MATCH(B494,Players!$A$2:$A$127,0)),""))</f>
        <v>0.75</v>
      </c>
    </row>
    <row r="495" ht="15.75" customHeight="1">
      <c r="A495" s="4" t="s">
        <v>2741</v>
      </c>
      <c r="B495" s="4" t="s">
        <v>1479</v>
      </c>
      <c r="C495" s="4" t="s">
        <v>1480</v>
      </c>
      <c r="D495" s="4" t="s">
        <v>86</v>
      </c>
      <c r="E495" s="4" t="s">
        <v>250</v>
      </c>
      <c r="F495" s="4">
        <v>4.0</v>
      </c>
      <c r="G495" s="4">
        <v>14.0</v>
      </c>
      <c r="H495" s="4">
        <v>0.73</v>
      </c>
      <c r="I495" s="11">
        <v>0.536</v>
      </c>
      <c r="J495" s="4">
        <v>1.04</v>
      </c>
      <c r="K495" s="18">
        <f t="array" ref="K495">IF(H495&lt;&gt;"",H495,IFERROR(G495/INDEX(Players!$M$2:$M$127,MATCH(B495,Players!$A$2:$A$127,0)),""))</f>
        <v>0.73</v>
      </c>
    </row>
    <row r="496" ht="15.75" customHeight="1">
      <c r="A496" s="4" t="s">
        <v>2742</v>
      </c>
      <c r="B496" s="4" t="s">
        <v>1482</v>
      </c>
      <c r="C496" s="4" t="s">
        <v>1483</v>
      </c>
      <c r="D496" s="4" t="s">
        <v>86</v>
      </c>
      <c r="E496" s="4" t="s">
        <v>110</v>
      </c>
      <c r="F496" s="4">
        <v>9.0</v>
      </c>
      <c r="G496" s="4">
        <v>16.0</v>
      </c>
      <c r="H496" s="4">
        <v>0.73</v>
      </c>
      <c r="I496" s="11">
        <v>0.5489999999999999</v>
      </c>
      <c r="J496" s="4">
        <v>1.09</v>
      </c>
      <c r="K496" s="18">
        <f t="array" ref="K496">IF(H496&lt;&gt;"",H496,IFERROR(G496/INDEX(Players!$M$2:$M$127,MATCH(B496,Players!$A$2:$A$127,0)),""))</f>
        <v>0.73</v>
      </c>
    </row>
    <row r="497" ht="15.75" customHeight="1">
      <c r="A497" s="4" t="s">
        <v>2743</v>
      </c>
      <c r="B497" s="4" t="s">
        <v>1482</v>
      </c>
      <c r="C497" s="4" t="s">
        <v>1483</v>
      </c>
      <c r="D497" s="4" t="s">
        <v>86</v>
      </c>
      <c r="E497" s="4" t="s">
        <v>276</v>
      </c>
      <c r="F497" s="4">
        <v>9.0</v>
      </c>
      <c r="G497" s="4">
        <v>12.8</v>
      </c>
      <c r="H497" s="4">
        <v>0.55</v>
      </c>
      <c r="I497" s="11">
        <v>0.617</v>
      </c>
      <c r="J497" s="4">
        <v>0.8</v>
      </c>
      <c r="K497" s="18">
        <f t="array" ref="K497">IF(H497&lt;&gt;"",H497,IFERROR(G497/INDEX(Players!$M$2:$M$127,MATCH(B497,Players!$A$2:$A$127,0)),""))</f>
        <v>0.55</v>
      </c>
    </row>
    <row r="498" ht="15.75" customHeight="1">
      <c r="A498" s="4" t="s">
        <v>2744</v>
      </c>
      <c r="B498" s="4" t="s">
        <v>1482</v>
      </c>
      <c r="C498" s="4" t="s">
        <v>1483</v>
      </c>
      <c r="D498" s="4" t="s">
        <v>86</v>
      </c>
      <c r="E498" s="4" t="s">
        <v>270</v>
      </c>
      <c r="F498" s="4">
        <v>8.0</v>
      </c>
      <c r="G498" s="4">
        <v>13.3</v>
      </c>
      <c r="H498" s="4">
        <v>0.64</v>
      </c>
      <c r="I498" s="11">
        <v>0.5660000000000001</v>
      </c>
      <c r="J498" s="4">
        <v>1.15</v>
      </c>
      <c r="K498" s="18">
        <f t="array" ref="K498">IF(H498&lt;&gt;"",H498,IFERROR(G498/INDEX(Players!$M$2:$M$127,MATCH(B498,Players!$A$2:$A$127,0)),""))</f>
        <v>0.64</v>
      </c>
    </row>
    <row r="499" ht="15.75" customHeight="1">
      <c r="A499" s="4" t="s">
        <v>2745</v>
      </c>
      <c r="B499" s="4" t="s">
        <v>1482</v>
      </c>
      <c r="C499" s="4" t="s">
        <v>1483</v>
      </c>
      <c r="D499" s="4" t="s">
        <v>86</v>
      </c>
      <c r="E499" s="4" t="s">
        <v>113</v>
      </c>
      <c r="F499" s="4">
        <v>6.0</v>
      </c>
      <c r="G499" s="4">
        <v>16.7</v>
      </c>
      <c r="H499" s="4">
        <v>0.75</v>
      </c>
      <c r="I499" s="11">
        <v>0.43</v>
      </c>
      <c r="J499" s="4">
        <v>1.19</v>
      </c>
      <c r="K499" s="18">
        <f t="array" ref="K499">IF(H499&lt;&gt;"",H499,IFERROR(G499/INDEX(Players!$M$2:$M$127,MATCH(B499,Players!$A$2:$A$127,0)),""))</f>
        <v>0.75</v>
      </c>
    </row>
    <row r="500" ht="15.75" customHeight="1">
      <c r="A500" s="4" t="s">
        <v>2746</v>
      </c>
      <c r="B500" s="4" t="s">
        <v>1482</v>
      </c>
      <c r="C500" s="4" t="s">
        <v>1483</v>
      </c>
      <c r="D500" s="4" t="s">
        <v>86</v>
      </c>
      <c r="E500" s="4" t="s">
        <v>262</v>
      </c>
      <c r="F500" s="4">
        <v>5.0</v>
      </c>
      <c r="G500" s="4">
        <v>16.4</v>
      </c>
      <c r="H500" s="4">
        <v>0.71</v>
      </c>
      <c r="I500" s="11">
        <v>0.61</v>
      </c>
      <c r="J500" s="4">
        <v>1.12</v>
      </c>
      <c r="K500" s="18">
        <f t="array" ref="K500">IF(H500&lt;&gt;"",H500,IFERROR(G500/INDEX(Players!$M$2:$M$127,MATCH(B500,Players!$A$2:$A$127,0)),""))</f>
        <v>0.71</v>
      </c>
    </row>
    <row r="501" ht="15.75" customHeight="1">
      <c r="A501" s="4" t="s">
        <v>2747</v>
      </c>
      <c r="B501" s="4" t="s">
        <v>1482</v>
      </c>
      <c r="C501" s="4" t="s">
        <v>1483</v>
      </c>
      <c r="D501" s="4" t="s">
        <v>86</v>
      </c>
      <c r="E501" s="4" t="s">
        <v>250</v>
      </c>
      <c r="F501" s="4">
        <v>4.0</v>
      </c>
      <c r="G501" s="4">
        <v>10.0</v>
      </c>
      <c r="H501" s="4">
        <v>0.52</v>
      </c>
      <c r="I501" s="11">
        <v>0.45</v>
      </c>
      <c r="J501" s="4">
        <v>0.7</v>
      </c>
      <c r="K501" s="18">
        <f t="array" ref="K501">IF(H501&lt;&gt;"",H501,IFERROR(G501/INDEX(Players!$M$2:$M$127,MATCH(B501,Players!$A$2:$A$127,0)),""))</f>
        <v>0.52</v>
      </c>
    </row>
    <row r="502" ht="15.75" customHeight="1">
      <c r="A502" s="4" t="s">
        <v>2748</v>
      </c>
      <c r="B502" s="4" t="s">
        <v>1511</v>
      </c>
      <c r="C502" s="4" t="s">
        <v>1512</v>
      </c>
      <c r="D502" s="4" t="s">
        <v>86</v>
      </c>
      <c r="E502" s="4" t="s">
        <v>112</v>
      </c>
      <c r="F502" s="4">
        <v>9.0</v>
      </c>
      <c r="G502" s="4">
        <v>12.4</v>
      </c>
      <c r="H502" s="4">
        <v>0.72</v>
      </c>
      <c r="I502" s="11">
        <v>0.482</v>
      </c>
      <c r="J502" s="4">
        <v>1.07</v>
      </c>
      <c r="K502" s="18">
        <f t="array" ref="K502">IF(H502&lt;&gt;"",H502,IFERROR(G502/INDEX(Players!$M$2:$M$127,MATCH(B502,Players!$A$2:$A$127,0)),""))</f>
        <v>0.72</v>
      </c>
    </row>
    <row r="503" ht="15.75" customHeight="1">
      <c r="A503" s="4" t="s">
        <v>2750</v>
      </c>
      <c r="B503" s="4" t="s">
        <v>1511</v>
      </c>
      <c r="C503" s="4" t="s">
        <v>1512</v>
      </c>
      <c r="D503" s="4" t="s">
        <v>86</v>
      </c>
      <c r="E503" s="4" t="s">
        <v>276</v>
      </c>
      <c r="F503" s="4">
        <v>9.0</v>
      </c>
      <c r="G503" s="4">
        <v>12.2</v>
      </c>
      <c r="H503" s="4">
        <v>0.54</v>
      </c>
      <c r="I503" s="11">
        <v>0.482</v>
      </c>
      <c r="J503" s="4">
        <v>0.75</v>
      </c>
      <c r="K503" s="18">
        <f t="array" ref="K503">IF(H503&lt;&gt;"",H503,IFERROR(G503/INDEX(Players!$M$2:$M$127,MATCH(B503,Players!$A$2:$A$127,0)),""))</f>
        <v>0.54</v>
      </c>
    </row>
    <row r="504" ht="15.75" customHeight="1">
      <c r="A504" s="4" t="s">
        <v>2751</v>
      </c>
      <c r="B504" s="4" t="s">
        <v>1511</v>
      </c>
      <c r="C504" s="4" t="s">
        <v>1512</v>
      </c>
      <c r="D504" s="4" t="s">
        <v>86</v>
      </c>
      <c r="E504" s="4" t="s">
        <v>262</v>
      </c>
      <c r="F504" s="4">
        <v>6.0</v>
      </c>
      <c r="G504" s="4">
        <v>12.7</v>
      </c>
      <c r="H504" s="4">
        <v>0.56</v>
      </c>
      <c r="I504" s="11">
        <v>0.5920000000000001</v>
      </c>
      <c r="J504" s="4">
        <v>0.8</v>
      </c>
      <c r="K504" s="18">
        <f t="array" ref="K504">IF(H504&lt;&gt;"",H504,IFERROR(G504/INDEX(Players!$M$2:$M$127,MATCH(B504,Players!$A$2:$A$127,0)),""))</f>
        <v>0.56</v>
      </c>
    </row>
    <row r="505" ht="15.75" customHeight="1">
      <c r="A505" s="4" t="s">
        <v>2752</v>
      </c>
      <c r="B505" s="4" t="s">
        <v>1511</v>
      </c>
      <c r="C505" s="4" t="s">
        <v>1512</v>
      </c>
      <c r="D505" s="4" t="s">
        <v>86</v>
      </c>
      <c r="E505" s="4" t="s">
        <v>110</v>
      </c>
      <c r="F505" s="4">
        <v>4.0</v>
      </c>
      <c r="G505" s="4">
        <v>16.3</v>
      </c>
      <c r="H505" s="4">
        <v>0.68</v>
      </c>
      <c r="I505" s="11">
        <v>0.5539999999999999</v>
      </c>
      <c r="J505" s="4">
        <v>1.03</v>
      </c>
      <c r="K505" s="18">
        <f t="array" ref="K505">IF(H505&lt;&gt;"",H505,IFERROR(G505/INDEX(Players!$M$2:$M$127,MATCH(B505,Players!$A$2:$A$127,0)),""))</f>
        <v>0.68</v>
      </c>
    </row>
    <row r="506" ht="15.75" customHeight="1">
      <c r="A506" s="4" t="s">
        <v>2753</v>
      </c>
      <c r="B506" s="4" t="s">
        <v>1511</v>
      </c>
      <c r="C506" s="4" t="s">
        <v>1512</v>
      </c>
      <c r="D506" s="4" t="s">
        <v>86</v>
      </c>
      <c r="E506" s="4" t="s">
        <v>270</v>
      </c>
      <c r="F506" s="4">
        <v>4.0</v>
      </c>
      <c r="G506" s="4">
        <v>11.3</v>
      </c>
      <c r="H506" s="4">
        <v>0.58</v>
      </c>
      <c r="I506" s="11">
        <v>0.511</v>
      </c>
      <c r="J506" s="4">
        <v>0.8</v>
      </c>
      <c r="K506" s="18">
        <f t="array" ref="K506">IF(H506&lt;&gt;"",H506,IFERROR(G506/INDEX(Players!$M$2:$M$127,MATCH(B506,Players!$A$2:$A$127,0)),""))</f>
        <v>0.58</v>
      </c>
    </row>
    <row r="507" ht="15.75" customHeight="1">
      <c r="A507" s="4" t="s">
        <v>2754</v>
      </c>
      <c r="B507" s="4" t="s">
        <v>1511</v>
      </c>
      <c r="C507" s="4" t="s">
        <v>1512</v>
      </c>
      <c r="D507" s="4" t="s">
        <v>86</v>
      </c>
      <c r="E507" s="4" t="s">
        <v>250</v>
      </c>
      <c r="F507" s="4">
        <v>2.0</v>
      </c>
      <c r="G507" s="4">
        <v>8.5</v>
      </c>
      <c r="H507" s="4">
        <v>0.46</v>
      </c>
      <c r="I507" s="11">
        <v>0.412</v>
      </c>
      <c r="J507" s="4">
        <v>0.74</v>
      </c>
      <c r="K507" s="18">
        <f t="array" ref="K507">IF(H507&lt;&gt;"",H507,IFERROR(G507/INDEX(Players!$M$2:$M$127,MATCH(B507,Players!$A$2:$A$127,0)),""))</f>
        <v>0.46</v>
      </c>
    </row>
    <row r="508" ht="15.75" customHeight="1">
      <c r="A508" s="4" t="s">
        <v>2759</v>
      </c>
      <c r="B508" s="4" t="s">
        <v>1511</v>
      </c>
      <c r="C508" s="4" t="s">
        <v>1512</v>
      </c>
      <c r="D508" s="4" t="s">
        <v>86</v>
      </c>
      <c r="E508" s="4" t="s">
        <v>113</v>
      </c>
      <c r="F508" s="4">
        <v>1.0</v>
      </c>
      <c r="G508" s="4">
        <v>11.0</v>
      </c>
      <c r="H508" s="4">
        <v>0.58</v>
      </c>
      <c r="I508" s="11">
        <v>0.455</v>
      </c>
      <c r="J508" s="4">
        <v>0.79</v>
      </c>
      <c r="K508" s="18">
        <f t="array" ref="K508">IF(H508&lt;&gt;"",H508,IFERROR(G508/INDEX(Players!$M$2:$M$127,MATCH(B508,Players!$A$2:$A$127,0)),""))</f>
        <v>0.58</v>
      </c>
    </row>
    <row r="509" ht="15.75" customHeight="1">
      <c r="A509" s="4" t="s">
        <v>2760</v>
      </c>
      <c r="B509" s="4" t="s">
        <v>1571</v>
      </c>
      <c r="C509" s="4" t="s">
        <v>1572</v>
      </c>
      <c r="D509" s="4" t="s">
        <v>86</v>
      </c>
      <c r="E509" s="4" t="s">
        <v>262</v>
      </c>
      <c r="F509" s="4">
        <v>7.0</v>
      </c>
      <c r="G509" s="4">
        <v>20.0</v>
      </c>
      <c r="H509" s="4">
        <v>0.8</v>
      </c>
      <c r="I509" s="11">
        <v>0.471</v>
      </c>
      <c r="J509" s="4">
        <v>1.25</v>
      </c>
      <c r="K509" s="18">
        <f t="array" ref="K509">IF(H509&lt;&gt;"",H509,IFERROR(G509/INDEX(Players!$M$2:$M$127,MATCH(B509,Players!$A$2:$A$127,0)),""))</f>
        <v>0.8</v>
      </c>
    </row>
    <row r="510" ht="15.75" customHeight="1">
      <c r="A510" s="4" t="s">
        <v>2761</v>
      </c>
      <c r="B510" s="4" t="s">
        <v>1571</v>
      </c>
      <c r="C510" s="4" t="s">
        <v>1572</v>
      </c>
      <c r="D510" s="4" t="s">
        <v>86</v>
      </c>
      <c r="E510" s="4" t="s">
        <v>276</v>
      </c>
      <c r="F510" s="4">
        <v>7.0</v>
      </c>
      <c r="G510" s="4">
        <v>17.3</v>
      </c>
      <c r="H510" s="4">
        <v>0.74</v>
      </c>
      <c r="I510" s="11">
        <v>0.479</v>
      </c>
      <c r="J510" s="4">
        <v>1.17</v>
      </c>
      <c r="K510" s="18">
        <f t="array" ref="K510">IF(H510&lt;&gt;"",H510,IFERROR(G510/INDEX(Players!$M$2:$M$127,MATCH(B510,Players!$A$2:$A$127,0)),""))</f>
        <v>0.74</v>
      </c>
    </row>
    <row r="511" ht="15.75" customHeight="1">
      <c r="A511" s="4" t="s">
        <v>2762</v>
      </c>
      <c r="B511" s="4" t="s">
        <v>1571</v>
      </c>
      <c r="C511" s="4" t="s">
        <v>1572</v>
      </c>
      <c r="D511" s="4" t="s">
        <v>86</v>
      </c>
      <c r="E511" s="4" t="s">
        <v>110</v>
      </c>
      <c r="F511" s="4">
        <v>6.0</v>
      </c>
      <c r="G511" s="4">
        <v>17.5</v>
      </c>
      <c r="H511" s="4">
        <v>0.86</v>
      </c>
      <c r="I511" s="11">
        <v>0.467</v>
      </c>
      <c r="J511" s="4">
        <v>1.42</v>
      </c>
      <c r="K511" s="18">
        <f t="array" ref="K511">IF(H511&lt;&gt;"",H511,IFERROR(G511/INDEX(Players!$M$2:$M$127,MATCH(B511,Players!$A$2:$A$127,0)),""))</f>
        <v>0.86</v>
      </c>
    </row>
    <row r="512" ht="15.75" customHeight="1">
      <c r="A512" s="4" t="s">
        <v>2763</v>
      </c>
      <c r="B512" s="4" t="s">
        <v>1571</v>
      </c>
      <c r="C512" s="4" t="s">
        <v>1572</v>
      </c>
      <c r="D512" s="4" t="s">
        <v>86</v>
      </c>
      <c r="E512" s="4" t="s">
        <v>112</v>
      </c>
      <c r="F512" s="4">
        <v>5.0</v>
      </c>
      <c r="G512" s="4">
        <v>14.2</v>
      </c>
      <c r="H512" s="4">
        <v>0.78</v>
      </c>
      <c r="I512" s="11">
        <v>0.507</v>
      </c>
      <c r="J512" s="4">
        <v>1.31</v>
      </c>
      <c r="K512" s="18">
        <f t="array" ref="K512">IF(H512&lt;&gt;"",H512,IFERROR(G512/INDEX(Players!$M$2:$M$127,MATCH(B512,Players!$A$2:$A$127,0)),""))</f>
        <v>0.78</v>
      </c>
    </row>
    <row r="513" ht="15.75" customHeight="1">
      <c r="A513" s="4" t="s">
        <v>2764</v>
      </c>
      <c r="B513" s="4" t="s">
        <v>1571</v>
      </c>
      <c r="C513" s="4" t="s">
        <v>1572</v>
      </c>
      <c r="D513" s="4" t="s">
        <v>86</v>
      </c>
      <c r="E513" s="4" t="s">
        <v>250</v>
      </c>
      <c r="F513" s="4">
        <v>5.0</v>
      </c>
      <c r="G513" s="4">
        <v>16.2</v>
      </c>
      <c r="H513" s="4">
        <v>0.7</v>
      </c>
      <c r="I513" s="11">
        <v>0.4320000000000001</v>
      </c>
      <c r="J513" s="4">
        <v>1.16</v>
      </c>
      <c r="K513" s="18">
        <f t="array" ref="K513">IF(H513&lt;&gt;"",H513,IFERROR(G513/INDEX(Players!$M$2:$M$127,MATCH(B513,Players!$A$2:$A$127,0)),""))</f>
        <v>0.7</v>
      </c>
    </row>
    <row r="514" ht="15.75" customHeight="1">
      <c r="A514" s="4" t="s">
        <v>2765</v>
      </c>
      <c r="B514" s="4" t="s">
        <v>1571</v>
      </c>
      <c r="C514" s="4" t="s">
        <v>1572</v>
      </c>
      <c r="D514" s="4" t="s">
        <v>86</v>
      </c>
      <c r="E514" s="4" t="s">
        <v>270</v>
      </c>
      <c r="F514" s="4">
        <v>3.0</v>
      </c>
      <c r="G514" s="4">
        <v>22.0</v>
      </c>
      <c r="H514" s="4">
        <v>0.96</v>
      </c>
      <c r="I514" s="11">
        <v>0.409</v>
      </c>
      <c r="J514" s="4">
        <v>1.47</v>
      </c>
      <c r="K514" s="18">
        <f t="array" ref="K514">IF(H514&lt;&gt;"",H514,IFERROR(G514/INDEX(Players!$M$2:$M$127,MATCH(B514,Players!$A$2:$A$127,0)),""))</f>
        <v>0.96</v>
      </c>
    </row>
    <row r="515" ht="15.75" customHeight="1">
      <c r="A515" s="4" t="s">
        <v>2766</v>
      </c>
      <c r="B515" s="4" t="s">
        <v>1571</v>
      </c>
      <c r="C515" s="4" t="s">
        <v>1572</v>
      </c>
      <c r="D515" s="4" t="s">
        <v>86</v>
      </c>
      <c r="E515" s="4" t="s">
        <v>113</v>
      </c>
      <c r="F515" s="4">
        <v>1.0</v>
      </c>
      <c r="G515" s="4">
        <v>14.0</v>
      </c>
      <c r="H515" s="4">
        <v>0.88</v>
      </c>
      <c r="I515" s="11">
        <v>0.5710000000000001</v>
      </c>
      <c r="J515" s="4">
        <v>2.33</v>
      </c>
      <c r="K515" s="18">
        <f t="array" ref="K515">IF(H515&lt;&gt;"",H515,IFERROR(G515/INDEX(Players!$M$2:$M$127,MATCH(B515,Players!$A$2:$A$127,0)),""))</f>
        <v>0.88</v>
      </c>
    </row>
    <row r="516" ht="15.75" customHeight="1">
      <c r="A516" s="4" t="s">
        <v>2767</v>
      </c>
      <c r="B516" s="4" t="s">
        <v>1244</v>
      </c>
      <c r="C516" s="4" t="s">
        <v>1219</v>
      </c>
      <c r="D516" s="4" t="s">
        <v>86</v>
      </c>
      <c r="E516" s="4" t="s">
        <v>250</v>
      </c>
      <c r="F516" s="4">
        <v>6.0</v>
      </c>
      <c r="G516" s="4">
        <v>14.0</v>
      </c>
      <c r="H516" s="4">
        <v>0.69</v>
      </c>
      <c r="I516" s="11">
        <v>0.643</v>
      </c>
      <c r="J516" s="4">
        <v>1.02</v>
      </c>
      <c r="K516" s="18">
        <f t="array" ref="K516">IF(H516&lt;&gt;"",H516,IFERROR(G516/INDEX(Players!$M$2:$M$127,MATCH(B516,Players!$A$2:$A$127,0)),""))</f>
        <v>0.69</v>
      </c>
    </row>
    <row r="517" ht="15.75" customHeight="1">
      <c r="A517" s="4" t="s">
        <v>2768</v>
      </c>
      <c r="B517" s="4" t="s">
        <v>1244</v>
      </c>
      <c r="C517" s="4" t="s">
        <v>1219</v>
      </c>
      <c r="D517" s="4" t="s">
        <v>86</v>
      </c>
      <c r="E517" s="4" t="s">
        <v>110</v>
      </c>
      <c r="F517" s="4">
        <v>5.0</v>
      </c>
      <c r="G517" s="4">
        <v>15.0</v>
      </c>
      <c r="H517" s="4">
        <v>0.71</v>
      </c>
      <c r="I517" s="11">
        <v>0.613</v>
      </c>
      <c r="J517" s="4">
        <v>1.27</v>
      </c>
      <c r="K517" s="18">
        <f t="array" ref="K517">IF(H517&lt;&gt;"",H517,IFERROR(G517/INDEX(Players!$M$2:$M$127,MATCH(B517,Players!$A$2:$A$127,0)),""))</f>
        <v>0.71</v>
      </c>
    </row>
    <row r="518" ht="15.75" customHeight="1">
      <c r="A518" s="4" t="s">
        <v>2769</v>
      </c>
      <c r="B518" s="4" t="s">
        <v>1244</v>
      </c>
      <c r="C518" s="4" t="s">
        <v>1219</v>
      </c>
      <c r="D518" s="4" t="s">
        <v>86</v>
      </c>
      <c r="E518" s="4" t="s">
        <v>276</v>
      </c>
      <c r="F518" s="4">
        <v>5.0</v>
      </c>
      <c r="G518" s="4">
        <v>11.2</v>
      </c>
      <c r="H518" s="4">
        <v>0.6</v>
      </c>
      <c r="I518" s="11">
        <v>0.7140000000000001</v>
      </c>
      <c r="J518" s="4">
        <v>1.1</v>
      </c>
      <c r="K518" s="18">
        <f t="array" ref="K518">IF(H518&lt;&gt;"",H518,IFERROR(G518/INDEX(Players!$M$2:$M$127,MATCH(B518,Players!$A$2:$A$127,0)),""))</f>
        <v>0.6</v>
      </c>
    </row>
    <row r="519" ht="15.75" customHeight="1">
      <c r="A519" s="4" t="s">
        <v>2770</v>
      </c>
      <c r="B519" s="4" t="s">
        <v>1244</v>
      </c>
      <c r="C519" s="4" t="s">
        <v>1219</v>
      </c>
      <c r="D519" s="4" t="s">
        <v>86</v>
      </c>
      <c r="E519" s="4" t="s">
        <v>270</v>
      </c>
      <c r="F519" s="4">
        <v>5.0</v>
      </c>
      <c r="G519" s="4">
        <v>14.6</v>
      </c>
      <c r="H519" s="4">
        <v>0.61</v>
      </c>
      <c r="I519" s="11">
        <v>0.575</v>
      </c>
      <c r="J519" s="4">
        <v>0.9</v>
      </c>
      <c r="K519" s="18">
        <f t="array" ref="K519">IF(H519&lt;&gt;"",H519,IFERROR(G519/INDEX(Players!$M$2:$M$127,MATCH(B519,Players!$A$2:$A$127,0)),""))</f>
        <v>0.61</v>
      </c>
    </row>
    <row r="520" ht="15.75" customHeight="1">
      <c r="A520" s="4" t="s">
        <v>2771</v>
      </c>
      <c r="B520" s="4" t="s">
        <v>1244</v>
      </c>
      <c r="C520" s="4" t="s">
        <v>1219</v>
      </c>
      <c r="D520" s="4" t="s">
        <v>86</v>
      </c>
      <c r="E520" s="4" t="s">
        <v>112</v>
      </c>
      <c r="F520" s="4">
        <v>4.0</v>
      </c>
      <c r="G520" s="4">
        <v>15.8</v>
      </c>
      <c r="H520" s="4">
        <v>0.69</v>
      </c>
      <c r="I520" s="11">
        <v>0.556</v>
      </c>
      <c r="J520" s="4">
        <v>1.05</v>
      </c>
      <c r="K520" s="18">
        <f t="array" ref="K520">IF(H520&lt;&gt;"",H520,IFERROR(G520/INDEX(Players!$M$2:$M$127,MATCH(B520,Players!$A$2:$A$127,0)),""))</f>
        <v>0.69</v>
      </c>
    </row>
    <row r="521" ht="15.75" customHeight="1">
      <c r="A521" s="4" t="s">
        <v>2772</v>
      </c>
      <c r="B521" s="4" t="s">
        <v>1244</v>
      </c>
      <c r="C521" s="4" t="s">
        <v>1219</v>
      </c>
      <c r="D521" s="4" t="s">
        <v>86</v>
      </c>
      <c r="E521" s="4" t="s">
        <v>113</v>
      </c>
      <c r="F521" s="4">
        <v>3.0</v>
      </c>
      <c r="G521" s="4">
        <v>16.7</v>
      </c>
      <c r="H521" s="4">
        <v>0.83</v>
      </c>
      <c r="I521" s="11">
        <v>0.6</v>
      </c>
      <c r="J521" s="4">
        <v>1.39</v>
      </c>
      <c r="K521" s="18">
        <f t="array" ref="K521">IF(H521&lt;&gt;"",H521,IFERROR(G521/INDEX(Players!$M$2:$M$127,MATCH(B521,Players!$A$2:$A$127,0)),""))</f>
        <v>0.83</v>
      </c>
    </row>
    <row r="522" ht="15.75" customHeight="1">
      <c r="A522" s="4" t="s">
        <v>2773</v>
      </c>
      <c r="B522" s="4" t="s">
        <v>1244</v>
      </c>
      <c r="C522" s="4" t="s">
        <v>1219</v>
      </c>
      <c r="D522" s="4" t="s">
        <v>86</v>
      </c>
      <c r="E522" s="4" t="s">
        <v>262</v>
      </c>
      <c r="F522" s="4">
        <v>2.0</v>
      </c>
      <c r="G522" s="4">
        <v>16.5</v>
      </c>
      <c r="H522" s="4">
        <v>0.92</v>
      </c>
      <c r="I522" s="11">
        <v>0.5760000000000001</v>
      </c>
      <c r="J522" s="4">
        <v>1.5</v>
      </c>
      <c r="K522" s="18">
        <f t="array" ref="K522">IF(H522&lt;&gt;"",H522,IFERROR(G522/INDEX(Players!$M$2:$M$127,MATCH(B522,Players!$A$2:$A$127,0)),""))</f>
        <v>0.92</v>
      </c>
    </row>
    <row r="523" ht="15.75" customHeight="1">
      <c r="A523" s="4" t="s">
        <v>2774</v>
      </c>
      <c r="B523" s="4" t="s">
        <v>1272</v>
      </c>
      <c r="C523" s="4" t="s">
        <v>1273</v>
      </c>
      <c r="D523" s="4" t="s">
        <v>86</v>
      </c>
      <c r="E523" s="4" t="s">
        <v>262</v>
      </c>
      <c r="F523" s="4">
        <v>8.0</v>
      </c>
      <c r="G523" s="4">
        <v>14.5</v>
      </c>
      <c r="H523" s="4">
        <v>0.64</v>
      </c>
      <c r="I523" s="11">
        <v>0.5</v>
      </c>
      <c r="J523" s="4">
        <v>0.96</v>
      </c>
      <c r="K523" s="18">
        <f t="array" ref="K523">IF(H523&lt;&gt;"",H523,IFERROR(G523/INDEX(Players!$M$2:$M$127,MATCH(B523,Players!$A$2:$A$127,0)),""))</f>
        <v>0.64</v>
      </c>
    </row>
    <row r="524" ht="15.75" customHeight="1">
      <c r="A524" s="4" t="s">
        <v>2775</v>
      </c>
      <c r="B524" s="4" t="s">
        <v>1272</v>
      </c>
      <c r="C524" s="4" t="s">
        <v>1273</v>
      </c>
      <c r="D524" s="4" t="s">
        <v>86</v>
      </c>
      <c r="E524" s="4" t="s">
        <v>276</v>
      </c>
      <c r="F524" s="4">
        <v>7.0</v>
      </c>
      <c r="G524" s="4">
        <v>11.0</v>
      </c>
      <c r="H524" s="4">
        <v>0.54</v>
      </c>
      <c r="I524" s="11">
        <v>0.61</v>
      </c>
      <c r="J524" s="4">
        <v>0.73</v>
      </c>
      <c r="K524" s="18">
        <f t="array" ref="K524">IF(H524&lt;&gt;"",H524,IFERROR(G524/INDEX(Players!$M$2:$M$127,MATCH(B524,Players!$A$2:$A$127,0)),""))</f>
        <v>0.54</v>
      </c>
    </row>
    <row r="525" ht="15.75" customHeight="1">
      <c r="A525" s="4" t="s">
        <v>2776</v>
      </c>
      <c r="B525" s="4" t="s">
        <v>1272</v>
      </c>
      <c r="C525" s="4" t="s">
        <v>1273</v>
      </c>
      <c r="D525" s="4" t="s">
        <v>86</v>
      </c>
      <c r="E525" s="4" t="s">
        <v>270</v>
      </c>
      <c r="F525" s="4">
        <v>5.0</v>
      </c>
      <c r="G525" s="4">
        <v>10.4</v>
      </c>
      <c r="H525" s="4">
        <v>0.48</v>
      </c>
      <c r="I525" s="11">
        <v>0.519</v>
      </c>
      <c r="J525" s="4">
        <v>0.7</v>
      </c>
      <c r="K525" s="18">
        <f t="array" ref="K525">IF(H525&lt;&gt;"",H525,IFERROR(G525/INDEX(Players!$M$2:$M$127,MATCH(B525,Players!$A$2:$A$127,0)),""))</f>
        <v>0.48</v>
      </c>
    </row>
    <row r="526" ht="15.75" customHeight="1">
      <c r="A526" s="4" t="s">
        <v>2777</v>
      </c>
      <c r="B526" s="4" t="s">
        <v>1272</v>
      </c>
      <c r="C526" s="4" t="s">
        <v>1273</v>
      </c>
      <c r="D526" s="4" t="s">
        <v>86</v>
      </c>
      <c r="E526" s="4" t="s">
        <v>110</v>
      </c>
      <c r="F526" s="4">
        <v>5.0</v>
      </c>
      <c r="G526" s="4">
        <v>9.8</v>
      </c>
      <c r="H526" s="4">
        <v>0.47</v>
      </c>
      <c r="I526" s="11">
        <v>0.469</v>
      </c>
      <c r="J526" s="4">
        <v>0.67</v>
      </c>
      <c r="K526" s="18">
        <f t="array" ref="K526">IF(H526&lt;&gt;"",H526,IFERROR(G526/INDEX(Players!$M$2:$M$127,MATCH(B526,Players!$A$2:$A$127,0)),""))</f>
        <v>0.47</v>
      </c>
    </row>
    <row r="527" ht="15.75" customHeight="1">
      <c r="A527" s="4" t="s">
        <v>2778</v>
      </c>
      <c r="B527" s="4" t="s">
        <v>1272</v>
      </c>
      <c r="C527" s="4" t="s">
        <v>1273</v>
      </c>
      <c r="D527" s="4" t="s">
        <v>86</v>
      </c>
      <c r="E527" s="4" t="s">
        <v>250</v>
      </c>
      <c r="F527" s="4">
        <v>4.0</v>
      </c>
      <c r="G527" s="4">
        <v>10.0</v>
      </c>
      <c r="H527" s="4">
        <v>0.44</v>
      </c>
      <c r="I527" s="11">
        <v>0.725</v>
      </c>
      <c r="J527" s="4">
        <v>0.68</v>
      </c>
      <c r="K527" s="18">
        <f t="array" ref="K527">IF(H527&lt;&gt;"",H527,IFERROR(G527/INDEX(Players!$M$2:$M$127,MATCH(B527,Players!$A$2:$A$127,0)),""))</f>
        <v>0.44</v>
      </c>
    </row>
    <row r="528" ht="15.75" customHeight="1">
      <c r="A528" s="4" t="s">
        <v>2779</v>
      </c>
      <c r="B528" s="4" t="s">
        <v>1272</v>
      </c>
      <c r="C528" s="4" t="s">
        <v>1273</v>
      </c>
      <c r="D528" s="4" t="s">
        <v>86</v>
      </c>
      <c r="E528" s="4" t="s">
        <v>112</v>
      </c>
      <c r="F528" s="4">
        <v>1.0</v>
      </c>
      <c r="G528" s="4">
        <v>7.0</v>
      </c>
      <c r="H528" s="4">
        <v>0.47</v>
      </c>
      <c r="I528" s="11">
        <v>1.0</v>
      </c>
      <c r="J528" s="4">
        <v>0.54</v>
      </c>
      <c r="K528" s="18">
        <f t="array" ref="K528">IF(H528&lt;&gt;"",H528,IFERROR(G528/INDEX(Players!$M$2:$M$127,MATCH(B528,Players!$A$2:$A$127,0)),""))</f>
        <v>0.47</v>
      </c>
    </row>
    <row r="529" ht="15.75" customHeight="1">
      <c r="A529" s="4" t="s">
        <v>2780</v>
      </c>
      <c r="B529" s="4" t="s">
        <v>1495</v>
      </c>
      <c r="C529" s="4" t="s">
        <v>1496</v>
      </c>
      <c r="D529" s="4" t="s">
        <v>86</v>
      </c>
      <c r="E529" s="4" t="s">
        <v>113</v>
      </c>
      <c r="F529" s="4">
        <v>7.0</v>
      </c>
      <c r="G529" s="4">
        <v>11.6</v>
      </c>
      <c r="H529" s="4">
        <v>0.55</v>
      </c>
      <c r="I529" s="11">
        <v>0.506</v>
      </c>
      <c r="J529" s="4">
        <v>0.89</v>
      </c>
      <c r="K529" s="18">
        <f t="array" ref="K529">IF(H529&lt;&gt;"",H529,IFERROR(G529/INDEX(Players!$M$2:$M$127,MATCH(B529,Players!$A$2:$A$127,0)),""))</f>
        <v>0.55</v>
      </c>
    </row>
    <row r="530" ht="15.75" customHeight="1">
      <c r="A530" s="4" t="s">
        <v>2781</v>
      </c>
      <c r="B530" s="4" t="s">
        <v>1495</v>
      </c>
      <c r="C530" s="4" t="s">
        <v>1496</v>
      </c>
      <c r="D530" s="4" t="s">
        <v>86</v>
      </c>
      <c r="E530" s="4" t="s">
        <v>110</v>
      </c>
      <c r="F530" s="4">
        <v>5.0</v>
      </c>
      <c r="G530" s="4">
        <v>16.4</v>
      </c>
      <c r="H530" s="4">
        <v>0.71</v>
      </c>
      <c r="I530" s="11">
        <v>0.573</v>
      </c>
      <c r="J530" s="4">
        <v>1.17</v>
      </c>
      <c r="K530" s="18">
        <f t="array" ref="K530">IF(H530&lt;&gt;"",H530,IFERROR(G530/INDEX(Players!$M$2:$M$127,MATCH(B530,Players!$A$2:$A$127,0)),""))</f>
        <v>0.71</v>
      </c>
    </row>
    <row r="531" ht="15.75" customHeight="1">
      <c r="A531" s="4" t="s">
        <v>2782</v>
      </c>
      <c r="B531" s="4" t="s">
        <v>1495</v>
      </c>
      <c r="C531" s="4" t="s">
        <v>1496</v>
      </c>
      <c r="D531" s="4" t="s">
        <v>86</v>
      </c>
      <c r="E531" s="4" t="s">
        <v>262</v>
      </c>
      <c r="F531" s="4">
        <v>5.0</v>
      </c>
      <c r="G531" s="4">
        <v>16.0</v>
      </c>
      <c r="H531" s="4">
        <v>0.73</v>
      </c>
      <c r="I531" s="11">
        <v>0.575</v>
      </c>
      <c r="J531" s="4">
        <v>1.01</v>
      </c>
      <c r="K531" s="18">
        <f t="array" ref="K531">IF(H531&lt;&gt;"",H531,IFERROR(G531/INDEX(Players!$M$2:$M$127,MATCH(B531,Players!$A$2:$A$127,0)),""))</f>
        <v>0.73</v>
      </c>
    </row>
    <row r="532" ht="15.75" customHeight="1">
      <c r="A532" s="4" t="s">
        <v>2783</v>
      </c>
      <c r="B532" s="4" t="s">
        <v>1495</v>
      </c>
      <c r="C532" s="4" t="s">
        <v>1496</v>
      </c>
      <c r="D532" s="4" t="s">
        <v>86</v>
      </c>
      <c r="E532" s="4" t="s">
        <v>270</v>
      </c>
      <c r="F532" s="4">
        <v>5.0</v>
      </c>
      <c r="G532" s="4">
        <v>13.4</v>
      </c>
      <c r="H532" s="4">
        <v>0.59</v>
      </c>
      <c r="I532" s="11">
        <v>0.537</v>
      </c>
      <c r="J532" s="4">
        <v>1.0</v>
      </c>
      <c r="K532" s="18">
        <f t="array" ref="K532">IF(H532&lt;&gt;"",H532,IFERROR(G532/INDEX(Players!$M$2:$M$127,MATCH(B532,Players!$A$2:$A$127,0)),""))</f>
        <v>0.59</v>
      </c>
    </row>
    <row r="533" ht="15.75" customHeight="1">
      <c r="A533" s="4" t="s">
        <v>2784</v>
      </c>
      <c r="B533" s="4" t="s">
        <v>1495</v>
      </c>
      <c r="C533" s="4" t="s">
        <v>1496</v>
      </c>
      <c r="D533" s="4" t="s">
        <v>86</v>
      </c>
      <c r="E533" s="4" t="s">
        <v>276</v>
      </c>
      <c r="F533" s="4">
        <v>4.0</v>
      </c>
      <c r="G533" s="4">
        <v>12.3</v>
      </c>
      <c r="H533" s="4">
        <v>0.61</v>
      </c>
      <c r="I533" s="11">
        <v>0.551</v>
      </c>
      <c r="J533" s="4">
        <v>1.02</v>
      </c>
      <c r="K533" s="18">
        <f t="array" ref="K533">IF(H533&lt;&gt;"",H533,IFERROR(G533/INDEX(Players!$M$2:$M$127,MATCH(B533,Players!$A$2:$A$127,0)),""))</f>
        <v>0.61</v>
      </c>
    </row>
    <row r="534" ht="15.75" customHeight="1">
      <c r="A534" s="4" t="s">
        <v>2785</v>
      </c>
      <c r="B534" s="4" t="s">
        <v>1495</v>
      </c>
      <c r="C534" s="4" t="s">
        <v>1496</v>
      </c>
      <c r="D534" s="4" t="s">
        <v>86</v>
      </c>
      <c r="E534" s="4" t="s">
        <v>250</v>
      </c>
      <c r="F534" s="4">
        <v>4.0</v>
      </c>
      <c r="G534" s="4">
        <v>11.0</v>
      </c>
      <c r="H534" s="4">
        <v>0.54</v>
      </c>
      <c r="I534" s="11">
        <v>0.5</v>
      </c>
      <c r="J534" s="4">
        <v>0.8</v>
      </c>
      <c r="K534" s="18">
        <f t="array" ref="K534">IF(H534&lt;&gt;"",H534,IFERROR(G534/INDEX(Players!$M$2:$M$127,MATCH(B534,Players!$A$2:$A$127,0)),""))</f>
        <v>0.54</v>
      </c>
    </row>
    <row r="535" ht="15.75" customHeight="1">
      <c r="A535" s="4" t="s">
        <v>2786</v>
      </c>
      <c r="B535" s="4" t="s">
        <v>1560</v>
      </c>
      <c r="C535" s="4" t="s">
        <v>1561</v>
      </c>
      <c r="D535" s="4" t="s">
        <v>86</v>
      </c>
      <c r="E535" s="4" t="s">
        <v>110</v>
      </c>
      <c r="F535" s="4">
        <v>9.0</v>
      </c>
      <c r="G535" s="4">
        <v>13.0</v>
      </c>
      <c r="H535" s="4">
        <v>0.63</v>
      </c>
      <c r="I535" s="11">
        <v>0.479</v>
      </c>
      <c r="J535" s="4">
        <v>1.03</v>
      </c>
      <c r="K535" s="18">
        <f t="array" ref="K535">IF(H535&lt;&gt;"",H535,IFERROR(G535/INDEX(Players!$M$2:$M$127,MATCH(B535,Players!$A$2:$A$127,0)),""))</f>
        <v>0.63</v>
      </c>
    </row>
    <row r="536" ht="15.75" customHeight="1">
      <c r="A536" s="4" t="s">
        <v>2787</v>
      </c>
      <c r="B536" s="4" t="s">
        <v>1560</v>
      </c>
      <c r="C536" s="4" t="s">
        <v>1561</v>
      </c>
      <c r="D536" s="4" t="s">
        <v>86</v>
      </c>
      <c r="E536" s="4" t="s">
        <v>276</v>
      </c>
      <c r="F536" s="4">
        <v>5.0</v>
      </c>
      <c r="G536" s="4">
        <v>14.0</v>
      </c>
      <c r="H536" s="4">
        <v>0.73</v>
      </c>
      <c r="I536" s="11">
        <v>0.5</v>
      </c>
      <c r="J536" s="4">
        <v>1.15</v>
      </c>
      <c r="K536" s="18">
        <f t="array" ref="K536">IF(H536&lt;&gt;"",H536,IFERROR(G536/INDEX(Players!$M$2:$M$127,MATCH(B536,Players!$A$2:$A$127,0)),""))</f>
        <v>0.73</v>
      </c>
    </row>
    <row r="537" ht="15.75" customHeight="1">
      <c r="A537" s="4" t="s">
        <v>2788</v>
      </c>
      <c r="B537" s="4" t="s">
        <v>1560</v>
      </c>
      <c r="C537" s="4" t="s">
        <v>1561</v>
      </c>
      <c r="D537" s="4" t="s">
        <v>86</v>
      </c>
      <c r="E537" s="4" t="s">
        <v>262</v>
      </c>
      <c r="F537" s="4">
        <v>5.0</v>
      </c>
      <c r="G537" s="4">
        <v>17.2</v>
      </c>
      <c r="H537" s="4">
        <v>0.65</v>
      </c>
      <c r="I537" s="11">
        <v>0.453</v>
      </c>
      <c r="J537" s="4">
        <v>0.92</v>
      </c>
      <c r="K537" s="18">
        <f t="array" ref="K537">IF(H537&lt;&gt;"",H537,IFERROR(G537/INDEX(Players!$M$2:$M$127,MATCH(B537,Players!$A$2:$A$127,0)),""))</f>
        <v>0.65</v>
      </c>
    </row>
    <row r="538" ht="15.75" customHeight="1">
      <c r="A538" s="4" t="s">
        <v>2789</v>
      </c>
      <c r="B538" s="4" t="s">
        <v>1560</v>
      </c>
      <c r="C538" s="4" t="s">
        <v>1561</v>
      </c>
      <c r="D538" s="4" t="s">
        <v>86</v>
      </c>
      <c r="E538" s="4" t="s">
        <v>112</v>
      </c>
      <c r="F538" s="4">
        <v>3.0</v>
      </c>
      <c r="G538" s="4">
        <v>14.0</v>
      </c>
      <c r="H538" s="4">
        <v>0.69</v>
      </c>
      <c r="I538" s="11">
        <v>0.69</v>
      </c>
      <c r="J538" s="4">
        <v>1.02</v>
      </c>
      <c r="K538" s="18">
        <f t="array" ref="K538">IF(H538&lt;&gt;"",H538,IFERROR(G538/INDEX(Players!$M$2:$M$127,MATCH(B538,Players!$A$2:$A$127,0)),""))</f>
        <v>0.69</v>
      </c>
    </row>
    <row r="539" ht="15.75" customHeight="1">
      <c r="A539" s="4" t="s">
        <v>2790</v>
      </c>
      <c r="B539" s="4" t="s">
        <v>1560</v>
      </c>
      <c r="C539" s="4" t="s">
        <v>1561</v>
      </c>
      <c r="D539" s="4" t="s">
        <v>86</v>
      </c>
      <c r="E539" s="4" t="s">
        <v>113</v>
      </c>
      <c r="F539" s="4">
        <v>3.0</v>
      </c>
      <c r="G539" s="4">
        <v>13.0</v>
      </c>
      <c r="H539" s="4">
        <v>0.63</v>
      </c>
      <c r="I539" s="11">
        <v>0.333</v>
      </c>
      <c r="J539" s="4">
        <v>0.93</v>
      </c>
      <c r="K539" s="18">
        <f t="array" ref="K539">IF(H539&lt;&gt;"",H539,IFERROR(G539/INDEX(Players!$M$2:$M$127,MATCH(B539,Players!$A$2:$A$127,0)),""))</f>
        <v>0.63</v>
      </c>
    </row>
    <row r="540" ht="15.75" customHeight="1">
      <c r="A540" s="4" t="s">
        <v>2791</v>
      </c>
      <c r="B540" s="4" t="s">
        <v>1560</v>
      </c>
      <c r="C540" s="4" t="s">
        <v>1561</v>
      </c>
      <c r="D540" s="4" t="s">
        <v>86</v>
      </c>
      <c r="E540" s="4" t="s">
        <v>250</v>
      </c>
      <c r="F540" s="4">
        <v>2.0</v>
      </c>
      <c r="G540" s="4">
        <v>21.0</v>
      </c>
      <c r="H540" s="4">
        <v>0.95</v>
      </c>
      <c r="I540" s="11">
        <v>0.667</v>
      </c>
      <c r="J540" s="4">
        <v>1.68</v>
      </c>
      <c r="K540" s="18">
        <f t="array" ref="K540">IF(H540&lt;&gt;"",H540,IFERROR(G540/INDEX(Players!$M$2:$M$127,MATCH(B540,Players!$A$2:$A$127,0)),""))</f>
        <v>0.95</v>
      </c>
    </row>
    <row r="541" ht="15.75" customHeight="1">
      <c r="A541" s="4" t="s">
        <v>2793</v>
      </c>
      <c r="B541" s="4" t="s">
        <v>1398</v>
      </c>
      <c r="C541" s="4" t="s">
        <v>1399</v>
      </c>
      <c r="D541" s="4" t="s">
        <v>86</v>
      </c>
      <c r="E541" s="4" t="s">
        <v>110</v>
      </c>
      <c r="F541" s="4">
        <v>9.0</v>
      </c>
      <c r="G541" s="4">
        <v>17.0</v>
      </c>
      <c r="H541" s="4">
        <v>0.63</v>
      </c>
      <c r="I541" s="11">
        <v>0.458</v>
      </c>
      <c r="J541" s="4">
        <v>0.87</v>
      </c>
      <c r="K541" s="18">
        <f t="array" ref="K541">IF(H541&lt;&gt;"",H541,IFERROR(G541/INDEX(Players!$M$2:$M$127,MATCH(B541,Players!$A$2:$A$127,0)),""))</f>
        <v>0.63</v>
      </c>
    </row>
    <row r="542" ht="15.75" customHeight="1">
      <c r="A542" s="4" t="s">
        <v>2794</v>
      </c>
      <c r="B542" s="4" t="s">
        <v>1398</v>
      </c>
      <c r="C542" s="4" t="s">
        <v>1399</v>
      </c>
      <c r="D542" s="4" t="s">
        <v>86</v>
      </c>
      <c r="E542" s="4" t="s">
        <v>113</v>
      </c>
      <c r="F542" s="4">
        <v>7.0</v>
      </c>
      <c r="G542" s="4">
        <v>15.4</v>
      </c>
      <c r="H542" s="4">
        <v>0.65</v>
      </c>
      <c r="I542" s="11">
        <v>0.389</v>
      </c>
      <c r="J542" s="4">
        <v>1.06</v>
      </c>
      <c r="K542" s="18">
        <f t="array" ref="K542">IF(H542&lt;&gt;"",H542,IFERROR(G542/INDEX(Players!$M$2:$M$127,MATCH(B542,Players!$A$2:$A$127,0)),""))</f>
        <v>0.65</v>
      </c>
    </row>
    <row r="543" ht="15.75" customHeight="1">
      <c r="A543" s="4" t="s">
        <v>2795</v>
      </c>
      <c r="B543" s="4" t="s">
        <v>1398</v>
      </c>
      <c r="C543" s="4" t="s">
        <v>1399</v>
      </c>
      <c r="D543" s="4" t="s">
        <v>86</v>
      </c>
      <c r="E543" s="4" t="s">
        <v>262</v>
      </c>
      <c r="F543" s="4">
        <v>6.0</v>
      </c>
      <c r="G543" s="4">
        <v>12.5</v>
      </c>
      <c r="H543" s="4">
        <v>0.59</v>
      </c>
      <c r="I543" s="11">
        <v>0.467</v>
      </c>
      <c r="J543" s="4">
        <v>0.85</v>
      </c>
      <c r="K543" s="18">
        <f t="array" ref="K543">IF(H543&lt;&gt;"",H543,IFERROR(G543/INDEX(Players!$M$2:$M$127,MATCH(B543,Players!$A$2:$A$127,0)),""))</f>
        <v>0.59</v>
      </c>
    </row>
    <row r="544" ht="15.75" customHeight="1">
      <c r="A544" s="4" t="s">
        <v>2796</v>
      </c>
      <c r="B544" s="4" t="s">
        <v>1398</v>
      </c>
      <c r="C544" s="4" t="s">
        <v>1399</v>
      </c>
      <c r="D544" s="4" t="s">
        <v>86</v>
      </c>
      <c r="E544" s="4" t="s">
        <v>250</v>
      </c>
      <c r="F544" s="4">
        <v>6.0</v>
      </c>
      <c r="G544" s="4">
        <v>12.7</v>
      </c>
      <c r="H544" s="4">
        <v>0.56</v>
      </c>
      <c r="I544" s="11">
        <v>0.5920000000000001</v>
      </c>
      <c r="J544" s="4">
        <v>0.84</v>
      </c>
      <c r="K544" s="18">
        <f t="array" ref="K544">IF(H544&lt;&gt;"",H544,IFERROR(G544/INDEX(Players!$M$2:$M$127,MATCH(B544,Players!$A$2:$A$127,0)),""))</f>
        <v>0.56</v>
      </c>
    </row>
    <row r="545" ht="15.75" customHeight="1">
      <c r="A545" s="4" t="s">
        <v>2798</v>
      </c>
      <c r="B545" s="4" t="s">
        <v>1398</v>
      </c>
      <c r="C545" s="4" t="s">
        <v>1399</v>
      </c>
      <c r="D545" s="4" t="s">
        <v>86</v>
      </c>
      <c r="E545" s="4" t="s">
        <v>276</v>
      </c>
      <c r="F545" s="4">
        <v>3.0</v>
      </c>
      <c r="G545" s="4">
        <v>12.0</v>
      </c>
      <c r="H545" s="4">
        <v>0.56</v>
      </c>
      <c r="I545" s="11">
        <v>0.472</v>
      </c>
      <c r="J545" s="4">
        <v>0.78</v>
      </c>
      <c r="K545" s="18">
        <f t="array" ref="K545">IF(H545&lt;&gt;"",H545,IFERROR(G545/INDEX(Players!$M$2:$M$127,MATCH(B545,Players!$A$2:$A$127,0)),""))</f>
        <v>0.56</v>
      </c>
    </row>
    <row r="546" ht="15.75" customHeight="1">
      <c r="A546" s="4" t="s">
        <v>2805</v>
      </c>
      <c r="B546" s="4" t="s">
        <v>1398</v>
      </c>
      <c r="C546" s="4" t="s">
        <v>1399</v>
      </c>
      <c r="D546" s="4" t="s">
        <v>86</v>
      </c>
      <c r="E546" s="4" t="s">
        <v>270</v>
      </c>
      <c r="F546" s="4">
        <v>1.0</v>
      </c>
      <c r="G546" s="4">
        <v>18.0</v>
      </c>
      <c r="H546" s="4">
        <v>0.86</v>
      </c>
      <c r="I546" s="11">
        <v>0.444</v>
      </c>
      <c r="J546" s="4">
        <v>1.29</v>
      </c>
      <c r="K546" s="18">
        <f t="array" ref="K546">IF(H546&lt;&gt;"",H546,IFERROR(G546/INDEX(Players!$M$2:$M$127,MATCH(B546,Players!$A$2:$A$127,0)),""))</f>
        <v>0.86</v>
      </c>
    </row>
    <row r="547" ht="15.75" customHeight="1">
      <c r="A547" s="4" t="s">
        <v>2806</v>
      </c>
      <c r="B547" s="4" t="s">
        <v>1352</v>
      </c>
      <c r="C547" s="4" t="s">
        <v>1353</v>
      </c>
      <c r="D547" s="4" t="s">
        <v>86</v>
      </c>
      <c r="E547" s="4" t="s">
        <v>276</v>
      </c>
      <c r="F547" s="4">
        <v>7.0</v>
      </c>
      <c r="G547" s="4">
        <v>17.4</v>
      </c>
      <c r="H547" s="4">
        <v>0.75</v>
      </c>
      <c r="I547" s="11">
        <v>0.574</v>
      </c>
      <c r="J547" s="4">
        <v>1.07</v>
      </c>
      <c r="K547" s="18">
        <f t="array" ref="K547">IF(H547&lt;&gt;"",H547,IFERROR(G547/INDEX(Players!$M$2:$M$127,MATCH(B547,Players!$A$2:$A$127,0)),""))</f>
        <v>0.75</v>
      </c>
    </row>
    <row r="548" ht="15.75" customHeight="1">
      <c r="A548" s="4" t="s">
        <v>2807</v>
      </c>
      <c r="B548" s="4" t="s">
        <v>1352</v>
      </c>
      <c r="C548" s="4" t="s">
        <v>1353</v>
      </c>
      <c r="D548" s="4" t="s">
        <v>86</v>
      </c>
      <c r="E548" s="4" t="s">
        <v>112</v>
      </c>
      <c r="F548" s="4">
        <v>6.0</v>
      </c>
      <c r="G548" s="4">
        <v>19.0</v>
      </c>
      <c r="H548" s="4">
        <v>0.73</v>
      </c>
      <c r="I548" s="11">
        <v>0.465</v>
      </c>
      <c r="J548" s="4">
        <v>1.07</v>
      </c>
      <c r="K548" s="18">
        <f t="array" ref="K548">IF(H548&lt;&gt;"",H548,IFERROR(G548/INDEX(Players!$M$2:$M$127,MATCH(B548,Players!$A$2:$A$127,0)),""))</f>
        <v>0.73</v>
      </c>
    </row>
    <row r="549" ht="15.75" customHeight="1">
      <c r="A549" s="4" t="s">
        <v>2808</v>
      </c>
      <c r="B549" s="4" t="s">
        <v>1352</v>
      </c>
      <c r="C549" s="4" t="s">
        <v>1353</v>
      </c>
      <c r="D549" s="4" t="s">
        <v>86</v>
      </c>
      <c r="E549" s="4" t="s">
        <v>113</v>
      </c>
      <c r="F549" s="4">
        <v>5.0</v>
      </c>
      <c r="G549" s="4">
        <v>17.6</v>
      </c>
      <c r="H549" s="4">
        <v>0.88</v>
      </c>
      <c r="I549" s="11">
        <v>0.58</v>
      </c>
      <c r="J549" s="4">
        <v>1.49</v>
      </c>
      <c r="K549" s="18">
        <f t="array" ref="K549">IF(H549&lt;&gt;"",H549,IFERROR(G549/INDEX(Players!$M$2:$M$127,MATCH(B549,Players!$A$2:$A$127,0)),""))</f>
        <v>0.88</v>
      </c>
    </row>
    <row r="550" ht="15.75" customHeight="1">
      <c r="A550" s="4" t="s">
        <v>2809</v>
      </c>
      <c r="B550" s="4" t="s">
        <v>1352</v>
      </c>
      <c r="C550" s="4" t="s">
        <v>1353</v>
      </c>
      <c r="D550" s="4" t="s">
        <v>86</v>
      </c>
      <c r="E550" s="4" t="s">
        <v>110</v>
      </c>
      <c r="F550" s="4">
        <v>5.0</v>
      </c>
      <c r="G550" s="4">
        <v>16.6</v>
      </c>
      <c r="H550" s="4">
        <v>0.82</v>
      </c>
      <c r="I550" s="11">
        <v>0.602</v>
      </c>
      <c r="J550" s="4">
        <v>1.17</v>
      </c>
      <c r="K550" s="18">
        <f t="array" ref="K550">IF(H550&lt;&gt;"",H550,IFERROR(G550/INDEX(Players!$M$2:$M$127,MATCH(B550,Players!$A$2:$A$127,0)),""))</f>
        <v>0.82</v>
      </c>
    </row>
    <row r="551" ht="15.75" customHeight="1">
      <c r="A551" s="4" t="s">
        <v>2812</v>
      </c>
      <c r="B551" s="4" t="s">
        <v>1352</v>
      </c>
      <c r="C551" s="4" t="s">
        <v>1353</v>
      </c>
      <c r="D551" s="4" t="s">
        <v>86</v>
      </c>
      <c r="E551" s="4" t="s">
        <v>250</v>
      </c>
      <c r="F551" s="4">
        <v>4.0</v>
      </c>
      <c r="G551" s="4">
        <v>15.5</v>
      </c>
      <c r="H551" s="4">
        <v>0.7</v>
      </c>
      <c r="I551" s="11">
        <v>0.516</v>
      </c>
      <c r="J551" s="4">
        <v>1.03</v>
      </c>
      <c r="K551" s="18">
        <f t="array" ref="K551">IF(H551&lt;&gt;"",H551,IFERROR(G551/INDEX(Players!$M$2:$M$127,MATCH(B551,Players!$A$2:$A$127,0)),""))</f>
        <v>0.7</v>
      </c>
    </row>
    <row r="552" ht="15.75" customHeight="1">
      <c r="A552" s="4" t="s">
        <v>2813</v>
      </c>
      <c r="B552" s="4" t="s">
        <v>1352</v>
      </c>
      <c r="C552" s="4" t="s">
        <v>1353</v>
      </c>
      <c r="D552" s="4" t="s">
        <v>86</v>
      </c>
      <c r="E552" s="4" t="s">
        <v>270</v>
      </c>
      <c r="F552" s="4">
        <v>2.0</v>
      </c>
      <c r="G552" s="4">
        <v>16.5</v>
      </c>
      <c r="H552" s="4">
        <v>0.77</v>
      </c>
      <c r="I552" s="11">
        <v>0.515</v>
      </c>
      <c r="J552" s="4">
        <v>1.22</v>
      </c>
      <c r="K552" s="18">
        <f t="array" ref="K552">IF(H552&lt;&gt;"",H552,IFERROR(G552/INDEX(Players!$M$2:$M$127,MATCH(B552,Players!$A$2:$A$127,0)),""))</f>
        <v>0.77</v>
      </c>
    </row>
    <row r="553" ht="15.75" customHeight="1">
      <c r="A553" s="4" t="s">
        <v>2814</v>
      </c>
      <c r="B553" s="4" t="s">
        <v>1275</v>
      </c>
      <c r="C553" s="4" t="s">
        <v>1276</v>
      </c>
      <c r="D553" s="4" t="s">
        <v>86</v>
      </c>
      <c r="E553" s="4" t="s">
        <v>110</v>
      </c>
      <c r="F553" s="4">
        <v>11.0</v>
      </c>
      <c r="G553" s="4">
        <v>17.4</v>
      </c>
      <c r="H553" s="4">
        <v>0.78</v>
      </c>
      <c r="I553" s="11">
        <v>0.555</v>
      </c>
      <c r="J553" s="4">
        <v>1.22</v>
      </c>
      <c r="K553" s="18">
        <f t="array" ref="K553">IF(H553&lt;&gt;"",H553,IFERROR(G553/INDEX(Players!$M$2:$M$127,MATCH(B553,Players!$A$2:$A$127,0)),""))</f>
        <v>0.78</v>
      </c>
    </row>
    <row r="554" ht="15.75" customHeight="1">
      <c r="A554" s="4" t="s">
        <v>2815</v>
      </c>
      <c r="B554" s="4" t="s">
        <v>1275</v>
      </c>
      <c r="C554" s="4" t="s">
        <v>1276</v>
      </c>
      <c r="D554" s="4" t="s">
        <v>86</v>
      </c>
      <c r="E554" s="4" t="s">
        <v>113</v>
      </c>
      <c r="F554" s="4">
        <v>9.0</v>
      </c>
      <c r="G554" s="4">
        <v>15.6</v>
      </c>
      <c r="H554" s="4">
        <v>0.78</v>
      </c>
      <c r="I554" s="11">
        <v>0.55</v>
      </c>
      <c r="J554" s="4">
        <v>1.28</v>
      </c>
      <c r="K554" s="18">
        <f t="array" ref="K554">IF(H554&lt;&gt;"",H554,IFERROR(G554/INDEX(Players!$M$2:$M$127,MATCH(B554,Players!$A$2:$A$127,0)),""))</f>
        <v>0.78</v>
      </c>
    </row>
    <row r="555" ht="15.75" customHeight="1">
      <c r="A555" s="4" t="s">
        <v>2816</v>
      </c>
      <c r="B555" s="4" t="s">
        <v>1275</v>
      </c>
      <c r="C555" s="4" t="s">
        <v>1276</v>
      </c>
      <c r="D555" s="4" t="s">
        <v>86</v>
      </c>
      <c r="E555" s="4" t="s">
        <v>262</v>
      </c>
      <c r="F555" s="4">
        <v>8.0</v>
      </c>
      <c r="G555" s="4">
        <v>18.0</v>
      </c>
      <c r="H555" s="4">
        <v>0.72</v>
      </c>
      <c r="I555" s="11">
        <v>0.5760000000000001</v>
      </c>
      <c r="J555" s="4">
        <v>1.11</v>
      </c>
      <c r="K555" s="18">
        <f t="array" ref="K555">IF(H555&lt;&gt;"",H555,IFERROR(G555/INDEX(Players!$M$2:$M$127,MATCH(B555,Players!$A$2:$A$127,0)),""))</f>
        <v>0.72</v>
      </c>
    </row>
    <row r="556" ht="15.75" customHeight="1">
      <c r="A556" s="4" t="s">
        <v>2819</v>
      </c>
      <c r="B556" s="4" t="s">
        <v>1275</v>
      </c>
      <c r="C556" s="4" t="s">
        <v>1276</v>
      </c>
      <c r="D556" s="4" t="s">
        <v>86</v>
      </c>
      <c r="E556" s="4" t="s">
        <v>250</v>
      </c>
      <c r="F556" s="4">
        <v>5.0</v>
      </c>
      <c r="G556" s="4">
        <v>16.4</v>
      </c>
      <c r="H556" s="4">
        <v>0.71</v>
      </c>
      <c r="I556" s="11">
        <v>0.488</v>
      </c>
      <c r="J556" s="4">
        <v>1.08</v>
      </c>
      <c r="K556" s="18">
        <f t="array" ref="K556">IF(H556&lt;&gt;"",H556,IFERROR(G556/INDEX(Players!$M$2:$M$127,MATCH(B556,Players!$A$2:$A$127,0)),""))</f>
        <v>0.71</v>
      </c>
    </row>
    <row r="557" ht="15.75" customHeight="1">
      <c r="A557" s="4" t="s">
        <v>2820</v>
      </c>
      <c r="B557" s="4" t="s">
        <v>1275</v>
      </c>
      <c r="C557" s="4" t="s">
        <v>1276</v>
      </c>
      <c r="D557" s="4" t="s">
        <v>86</v>
      </c>
      <c r="E557" s="4" t="s">
        <v>270</v>
      </c>
      <c r="F557" s="4">
        <v>5.0</v>
      </c>
      <c r="G557" s="4">
        <v>17.4</v>
      </c>
      <c r="H557" s="4">
        <v>0.74</v>
      </c>
      <c r="I557" s="11">
        <v>0.54</v>
      </c>
      <c r="J557" s="4">
        <v>1.0</v>
      </c>
      <c r="K557" s="18">
        <f t="array" ref="K557">IF(H557&lt;&gt;"",H557,IFERROR(G557/INDEX(Players!$M$2:$M$127,MATCH(B557,Players!$A$2:$A$127,0)),""))</f>
        <v>0.74</v>
      </c>
    </row>
    <row r="558" ht="15.75" customHeight="1">
      <c r="A558" s="4" t="s">
        <v>2821</v>
      </c>
      <c r="B558" s="4" t="s">
        <v>1275</v>
      </c>
      <c r="C558" s="4" t="s">
        <v>1276</v>
      </c>
      <c r="D558" s="4" t="s">
        <v>86</v>
      </c>
      <c r="E558" s="4" t="s">
        <v>276</v>
      </c>
      <c r="F558" s="4">
        <v>2.0</v>
      </c>
      <c r="G558" s="4">
        <v>12.5</v>
      </c>
      <c r="H558" s="4">
        <v>0.66</v>
      </c>
      <c r="I558" s="11">
        <v>0.64</v>
      </c>
      <c r="J558" s="4">
        <v>1.19</v>
      </c>
      <c r="K558" s="18">
        <f t="array" ref="K558">IF(H558&lt;&gt;"",H558,IFERROR(G558/INDEX(Players!$M$2:$M$127,MATCH(B558,Players!$A$2:$A$127,0)),""))</f>
        <v>0.66</v>
      </c>
    </row>
    <row r="559" ht="15.75" customHeight="1">
      <c r="A559" s="4" t="s">
        <v>2822</v>
      </c>
      <c r="B559" s="4" t="s">
        <v>1275</v>
      </c>
      <c r="C559" s="4" t="s">
        <v>1276</v>
      </c>
      <c r="D559" s="4" t="s">
        <v>86</v>
      </c>
      <c r="E559" s="4" t="s">
        <v>112</v>
      </c>
      <c r="F559" s="4">
        <v>2.0</v>
      </c>
      <c r="G559" s="4">
        <v>12.0</v>
      </c>
      <c r="H559" s="4">
        <v>0.59</v>
      </c>
      <c r="I559" s="11">
        <v>0.667</v>
      </c>
      <c r="J559" s="4">
        <v>0.71</v>
      </c>
      <c r="K559" s="18">
        <f t="array" ref="K559">IF(H559&lt;&gt;"",H559,IFERROR(G559/INDEX(Players!$M$2:$M$127,MATCH(B559,Players!$A$2:$A$127,0)),""))</f>
        <v>0.59</v>
      </c>
    </row>
    <row r="560" ht="15.75" customHeight="1">
      <c r="A560" s="4" t="s">
        <v>2823</v>
      </c>
      <c r="B560" s="4" t="s">
        <v>1498</v>
      </c>
      <c r="C560" s="4" t="s">
        <v>1499</v>
      </c>
      <c r="D560" s="4" t="s">
        <v>86</v>
      </c>
      <c r="E560" s="4" t="s">
        <v>113</v>
      </c>
      <c r="F560" s="4">
        <v>7.0</v>
      </c>
      <c r="G560" s="4">
        <v>15.7</v>
      </c>
      <c r="H560" s="4">
        <v>0.75</v>
      </c>
      <c r="I560" s="11">
        <v>0.318</v>
      </c>
      <c r="J560" s="4">
        <v>1.39</v>
      </c>
      <c r="K560" s="18">
        <f t="array" ref="K560">IF(H560&lt;&gt;"",H560,IFERROR(G560/INDEX(Players!$M$2:$M$127,MATCH(B560,Players!$A$2:$A$127,0)),""))</f>
        <v>0.75</v>
      </c>
    </row>
    <row r="561" ht="15.75" customHeight="1">
      <c r="A561" s="4" t="s">
        <v>2824</v>
      </c>
      <c r="B561" s="4" t="s">
        <v>1498</v>
      </c>
      <c r="C561" s="4" t="s">
        <v>1499</v>
      </c>
      <c r="D561" s="4" t="s">
        <v>86</v>
      </c>
      <c r="E561" s="4" t="s">
        <v>270</v>
      </c>
      <c r="F561" s="4">
        <v>5.0</v>
      </c>
      <c r="G561" s="4">
        <v>18.2</v>
      </c>
      <c r="H561" s="4">
        <v>0.81</v>
      </c>
      <c r="I561" s="11">
        <v>0.308</v>
      </c>
      <c r="J561" s="4">
        <v>1.47</v>
      </c>
      <c r="K561" s="18">
        <f t="array" ref="K561">IF(H561&lt;&gt;"",H561,IFERROR(G561/INDEX(Players!$M$2:$M$127,MATCH(B561,Players!$A$2:$A$127,0)),""))</f>
        <v>0.81</v>
      </c>
    </row>
    <row r="562" ht="15.75" customHeight="1">
      <c r="A562" s="4" t="s">
        <v>2825</v>
      </c>
      <c r="B562" s="4" t="s">
        <v>1498</v>
      </c>
      <c r="C562" s="4" t="s">
        <v>1499</v>
      </c>
      <c r="D562" s="4" t="s">
        <v>86</v>
      </c>
      <c r="E562" s="4" t="s">
        <v>110</v>
      </c>
      <c r="F562" s="4">
        <v>5.0</v>
      </c>
      <c r="G562" s="4">
        <v>17.4</v>
      </c>
      <c r="H562" s="4">
        <v>0.75</v>
      </c>
      <c r="I562" s="11">
        <v>0.207</v>
      </c>
      <c r="J562" s="4">
        <v>1.43</v>
      </c>
      <c r="K562" s="18">
        <f t="array" ref="K562">IF(H562&lt;&gt;"",H562,IFERROR(G562/INDEX(Players!$M$2:$M$127,MATCH(B562,Players!$A$2:$A$127,0)),""))</f>
        <v>0.75</v>
      </c>
    </row>
    <row r="563" ht="15.75" customHeight="1">
      <c r="A563" s="4" t="s">
        <v>2826</v>
      </c>
      <c r="B563" s="4" t="s">
        <v>1498</v>
      </c>
      <c r="C563" s="4" t="s">
        <v>1499</v>
      </c>
      <c r="D563" s="4" t="s">
        <v>86</v>
      </c>
      <c r="E563" s="4" t="s">
        <v>262</v>
      </c>
      <c r="F563" s="4">
        <v>5.0</v>
      </c>
      <c r="G563" s="4">
        <v>17.4</v>
      </c>
      <c r="H563" s="4">
        <v>0.8</v>
      </c>
      <c r="I563" s="11">
        <v>0.345</v>
      </c>
      <c r="J563" s="4">
        <v>1.32</v>
      </c>
      <c r="K563" s="18">
        <f t="array" ref="K563">IF(H563&lt;&gt;"",H563,IFERROR(G563/INDEX(Players!$M$2:$M$127,MATCH(B563,Players!$A$2:$A$127,0)),""))</f>
        <v>0.8</v>
      </c>
    </row>
    <row r="564" ht="15.75" customHeight="1">
      <c r="A564" s="4" t="s">
        <v>2829</v>
      </c>
      <c r="B564" s="4" t="s">
        <v>1498</v>
      </c>
      <c r="C564" s="4" t="s">
        <v>1499</v>
      </c>
      <c r="D564" s="4" t="s">
        <v>86</v>
      </c>
      <c r="E564" s="4" t="s">
        <v>250</v>
      </c>
      <c r="F564" s="4">
        <v>4.0</v>
      </c>
      <c r="G564" s="4">
        <v>15.5</v>
      </c>
      <c r="H564" s="4">
        <v>0.76</v>
      </c>
      <c r="I564" s="11">
        <v>0.29</v>
      </c>
      <c r="J564" s="4">
        <v>1.48</v>
      </c>
      <c r="K564" s="18">
        <f t="array" ref="K564">IF(H564&lt;&gt;"",H564,IFERROR(G564/INDEX(Players!$M$2:$M$127,MATCH(B564,Players!$A$2:$A$127,0)),""))</f>
        <v>0.76</v>
      </c>
    </row>
    <row r="565" ht="15.75" customHeight="1">
      <c r="A565" s="4" t="s">
        <v>2830</v>
      </c>
      <c r="B565" s="4" t="s">
        <v>1498</v>
      </c>
      <c r="C565" s="4" t="s">
        <v>1499</v>
      </c>
      <c r="D565" s="4" t="s">
        <v>86</v>
      </c>
      <c r="E565" s="4" t="s">
        <v>276</v>
      </c>
      <c r="F565" s="4">
        <v>4.0</v>
      </c>
      <c r="G565" s="4">
        <v>12.5</v>
      </c>
      <c r="H565" s="4">
        <v>0.63</v>
      </c>
      <c r="I565" s="11">
        <v>0.42</v>
      </c>
      <c r="J565" s="4">
        <v>0.94</v>
      </c>
      <c r="K565" s="18">
        <f t="array" ref="K565">IF(H565&lt;&gt;"",H565,IFERROR(G565/INDEX(Players!$M$2:$M$127,MATCH(B565,Players!$A$2:$A$127,0)),""))</f>
        <v>0.63</v>
      </c>
    </row>
    <row r="566" ht="15.75" customHeight="1">
      <c r="A566" s="4" t="s">
        <v>2831</v>
      </c>
      <c r="B566" s="4" t="s">
        <v>1433</v>
      </c>
      <c r="C566" s="4" t="s">
        <v>1434</v>
      </c>
      <c r="D566" s="4" t="s">
        <v>86</v>
      </c>
      <c r="E566" s="4" t="s">
        <v>276</v>
      </c>
      <c r="F566" s="4">
        <v>8.0</v>
      </c>
      <c r="G566" s="4">
        <v>13.0</v>
      </c>
      <c r="H566" s="4">
        <v>0.6</v>
      </c>
      <c r="I566" s="11">
        <v>0.5670000000000001</v>
      </c>
      <c r="J566" s="4">
        <v>0.98</v>
      </c>
      <c r="K566" s="18">
        <f t="array" ref="K566">IF(H566&lt;&gt;"",H566,IFERROR(G566/INDEX(Players!$M$2:$M$127,MATCH(B566,Players!$A$2:$A$127,0)),""))</f>
        <v>0.6</v>
      </c>
    </row>
    <row r="567" ht="15.75" customHeight="1">
      <c r="A567" s="4" t="s">
        <v>2832</v>
      </c>
      <c r="B567" s="4" t="s">
        <v>1433</v>
      </c>
      <c r="C567" s="4" t="s">
        <v>1434</v>
      </c>
      <c r="D567" s="4" t="s">
        <v>86</v>
      </c>
      <c r="E567" s="4" t="s">
        <v>113</v>
      </c>
      <c r="F567" s="4">
        <v>7.0</v>
      </c>
      <c r="G567" s="4">
        <v>14.0</v>
      </c>
      <c r="H567" s="4">
        <v>0.7</v>
      </c>
      <c r="I567" s="11">
        <v>0.551</v>
      </c>
      <c r="J567" s="4">
        <v>1.21</v>
      </c>
      <c r="K567" s="18">
        <f t="array" ref="K567">IF(H567&lt;&gt;"",H567,IFERROR(G567/INDEX(Players!$M$2:$M$127,MATCH(B567,Players!$A$2:$A$127,0)),""))</f>
        <v>0.7</v>
      </c>
    </row>
    <row r="568" ht="15.75" customHeight="1">
      <c r="A568" s="4" t="s">
        <v>2833</v>
      </c>
      <c r="B568" s="4" t="s">
        <v>1433</v>
      </c>
      <c r="C568" s="4" t="s">
        <v>1434</v>
      </c>
      <c r="D568" s="4" t="s">
        <v>86</v>
      </c>
      <c r="E568" s="4" t="s">
        <v>110</v>
      </c>
      <c r="F568" s="4">
        <v>7.0</v>
      </c>
      <c r="G568" s="4">
        <v>13.1</v>
      </c>
      <c r="H568" s="4">
        <v>0.6</v>
      </c>
      <c r="I568" s="11">
        <v>0.6629999999999999</v>
      </c>
      <c r="J568" s="4">
        <v>0.93</v>
      </c>
      <c r="K568" s="18">
        <f t="array" ref="K568">IF(H568&lt;&gt;"",H568,IFERROR(G568/INDEX(Players!$M$2:$M$127,MATCH(B568,Players!$A$2:$A$127,0)),""))</f>
        <v>0.6</v>
      </c>
    </row>
    <row r="569" ht="15.75" customHeight="1">
      <c r="A569" s="4" t="s">
        <v>2834</v>
      </c>
      <c r="B569" s="4" t="s">
        <v>1433</v>
      </c>
      <c r="C569" s="4" t="s">
        <v>1434</v>
      </c>
      <c r="D569" s="4" t="s">
        <v>86</v>
      </c>
      <c r="E569" s="4" t="s">
        <v>250</v>
      </c>
      <c r="F569" s="4">
        <v>6.0</v>
      </c>
      <c r="G569" s="4">
        <v>14.8</v>
      </c>
      <c r="H569" s="4">
        <v>0.65</v>
      </c>
      <c r="I569" s="11">
        <v>0.618</v>
      </c>
      <c r="J569" s="4">
        <v>1.07</v>
      </c>
      <c r="K569" s="18">
        <f t="array" ref="K569">IF(H569&lt;&gt;"",H569,IFERROR(G569/INDEX(Players!$M$2:$M$127,MATCH(B569,Players!$A$2:$A$127,0)),""))</f>
        <v>0.65</v>
      </c>
    </row>
    <row r="570" ht="15.75" customHeight="1">
      <c r="A570" s="4" t="s">
        <v>2835</v>
      </c>
      <c r="B570" s="4" t="s">
        <v>1433</v>
      </c>
      <c r="C570" s="4" t="s">
        <v>1434</v>
      </c>
      <c r="D570" s="4" t="s">
        <v>86</v>
      </c>
      <c r="E570" s="4" t="s">
        <v>270</v>
      </c>
      <c r="F570" s="4">
        <v>5.0</v>
      </c>
      <c r="G570" s="4">
        <v>15.0</v>
      </c>
      <c r="H570" s="4">
        <v>0.77</v>
      </c>
      <c r="I570" s="11">
        <v>0.56</v>
      </c>
      <c r="J570" s="4">
        <v>1.19</v>
      </c>
      <c r="K570" s="18">
        <f t="array" ref="K570">IF(H570&lt;&gt;"",H570,IFERROR(G570/INDEX(Players!$M$2:$M$127,MATCH(B570,Players!$A$2:$A$127,0)),""))</f>
        <v>0.77</v>
      </c>
    </row>
    <row r="571" ht="15.75" customHeight="1">
      <c r="A571" s="4" t="s">
        <v>2836</v>
      </c>
      <c r="B571" s="4" t="s">
        <v>1433</v>
      </c>
      <c r="C571" s="4" t="s">
        <v>1434</v>
      </c>
      <c r="D571" s="4" t="s">
        <v>86</v>
      </c>
      <c r="E571" s="4" t="s">
        <v>262</v>
      </c>
      <c r="F571" s="4">
        <v>4.0</v>
      </c>
      <c r="G571" s="4">
        <v>15.3</v>
      </c>
      <c r="H571" s="4">
        <v>0.74</v>
      </c>
      <c r="I571" s="11">
        <v>0.574</v>
      </c>
      <c r="J571" s="4">
        <v>1.36</v>
      </c>
      <c r="K571" s="18">
        <f t="array" ref="K571">IF(H571&lt;&gt;"",H571,IFERROR(G571/INDEX(Players!$M$2:$M$127,MATCH(B571,Players!$A$2:$A$127,0)),""))</f>
        <v>0.74</v>
      </c>
    </row>
    <row r="572" ht="15.75" customHeight="1">
      <c r="A572" s="4" t="s">
        <v>2837</v>
      </c>
      <c r="B572" s="4" t="s">
        <v>1401</v>
      </c>
      <c r="C572" s="4" t="s">
        <v>1402</v>
      </c>
      <c r="D572" s="4" t="s">
        <v>86</v>
      </c>
      <c r="E572" s="4" t="s">
        <v>110</v>
      </c>
      <c r="F572" s="4">
        <v>9.0</v>
      </c>
      <c r="G572" s="4">
        <v>16.1</v>
      </c>
      <c r="H572" s="4">
        <v>0.65</v>
      </c>
      <c r="I572" s="11">
        <v>0.5379999999999999</v>
      </c>
      <c r="J572" s="4">
        <v>1.02</v>
      </c>
      <c r="K572" s="18">
        <f t="array" ref="K572">IF(H572&lt;&gt;"",H572,IFERROR(G572/INDEX(Players!$M$2:$M$127,MATCH(B572,Players!$A$2:$A$127,0)),""))</f>
        <v>0.65</v>
      </c>
    </row>
    <row r="573" ht="15.75" customHeight="1">
      <c r="A573" s="4" t="s">
        <v>2838</v>
      </c>
      <c r="B573" s="4" t="s">
        <v>1401</v>
      </c>
      <c r="C573" s="4" t="s">
        <v>1402</v>
      </c>
      <c r="D573" s="4" t="s">
        <v>86</v>
      </c>
      <c r="E573" s="4" t="s">
        <v>113</v>
      </c>
      <c r="F573" s="4">
        <v>7.0</v>
      </c>
      <c r="G573" s="4">
        <v>14.3</v>
      </c>
      <c r="H573" s="4">
        <v>0.58</v>
      </c>
      <c r="I573" s="11">
        <v>0.53</v>
      </c>
      <c r="J573" s="4">
        <v>1.05</v>
      </c>
      <c r="K573" s="18">
        <f t="array" ref="K573">IF(H573&lt;&gt;"",H573,IFERROR(G573/INDEX(Players!$M$2:$M$127,MATCH(B573,Players!$A$2:$A$127,0)),""))</f>
        <v>0.58</v>
      </c>
    </row>
    <row r="574" ht="15.75" customHeight="1">
      <c r="A574" s="4" t="s">
        <v>2840</v>
      </c>
      <c r="B574" s="4" t="s">
        <v>1401</v>
      </c>
      <c r="C574" s="4" t="s">
        <v>1402</v>
      </c>
      <c r="D574" s="4" t="s">
        <v>86</v>
      </c>
      <c r="E574" s="4" t="s">
        <v>250</v>
      </c>
      <c r="F574" s="4">
        <v>6.0</v>
      </c>
      <c r="G574" s="4">
        <v>13.5</v>
      </c>
      <c r="H574" s="4">
        <v>0.61</v>
      </c>
      <c r="I574" s="11">
        <v>0.506</v>
      </c>
      <c r="J574" s="4">
        <v>0.99</v>
      </c>
      <c r="K574" s="18">
        <f t="array" ref="K574">IF(H574&lt;&gt;"",H574,IFERROR(G574/INDEX(Players!$M$2:$M$127,MATCH(B574,Players!$A$2:$A$127,0)),""))</f>
        <v>0.61</v>
      </c>
    </row>
    <row r="575" ht="15.75" customHeight="1">
      <c r="A575" s="4" t="s">
        <v>2841</v>
      </c>
      <c r="B575" s="4" t="s">
        <v>1401</v>
      </c>
      <c r="C575" s="4" t="s">
        <v>1402</v>
      </c>
      <c r="D575" s="4" t="s">
        <v>86</v>
      </c>
      <c r="E575" s="4" t="s">
        <v>262</v>
      </c>
      <c r="F575" s="4">
        <v>4.0</v>
      </c>
      <c r="G575" s="4">
        <v>13.0</v>
      </c>
      <c r="H575" s="4">
        <v>0.6</v>
      </c>
      <c r="I575" s="11">
        <v>0.596</v>
      </c>
      <c r="J575" s="4">
        <v>1.0</v>
      </c>
      <c r="K575" s="18">
        <f t="array" ref="K575">IF(H575&lt;&gt;"",H575,IFERROR(G575/INDEX(Players!$M$2:$M$127,MATCH(B575,Players!$A$2:$A$127,0)),""))</f>
        <v>0.6</v>
      </c>
    </row>
    <row r="576" ht="15.75" customHeight="1">
      <c r="A576" s="4" t="s">
        <v>2842</v>
      </c>
      <c r="B576" s="4" t="s">
        <v>1401</v>
      </c>
      <c r="C576" s="4" t="s">
        <v>1402</v>
      </c>
      <c r="D576" s="4" t="s">
        <v>86</v>
      </c>
      <c r="E576" s="4" t="s">
        <v>276</v>
      </c>
      <c r="F576" s="4">
        <v>4.0</v>
      </c>
      <c r="G576" s="4">
        <v>12.0</v>
      </c>
      <c r="H576" s="4">
        <v>0.6</v>
      </c>
      <c r="I576" s="11">
        <v>0.688</v>
      </c>
      <c r="J576" s="4">
        <v>0.87</v>
      </c>
      <c r="K576" s="18">
        <f t="array" ref="K576">IF(H576&lt;&gt;"",H576,IFERROR(G576/INDEX(Players!$M$2:$M$127,MATCH(B576,Players!$A$2:$A$127,0)),""))</f>
        <v>0.6</v>
      </c>
    </row>
    <row r="577" ht="15.75" customHeight="1">
      <c r="A577" s="4" t="s">
        <v>2843</v>
      </c>
      <c r="B577" s="4" t="s">
        <v>1401</v>
      </c>
      <c r="C577" s="4" t="s">
        <v>1402</v>
      </c>
      <c r="D577" s="4" t="s">
        <v>86</v>
      </c>
      <c r="E577" s="4" t="s">
        <v>270</v>
      </c>
      <c r="F577" s="4">
        <v>1.0</v>
      </c>
      <c r="G577" s="4">
        <v>17.0</v>
      </c>
      <c r="H577" s="4">
        <v>0.81</v>
      </c>
      <c r="I577" s="11">
        <v>0.529</v>
      </c>
      <c r="J577" s="4">
        <v>1.89</v>
      </c>
      <c r="K577" s="18">
        <f t="array" ref="K577">IF(H577&lt;&gt;"",H577,IFERROR(G577/INDEX(Players!$M$2:$M$127,MATCH(B577,Players!$A$2:$A$127,0)),""))</f>
        <v>0.81</v>
      </c>
    </row>
    <row r="578" ht="15.75" customHeight="1">
      <c r="A578" s="4" t="s">
        <v>2844</v>
      </c>
      <c r="B578" s="4" t="s">
        <v>1485</v>
      </c>
      <c r="C578" s="4" t="s">
        <v>1486</v>
      </c>
      <c r="D578" s="4" t="s">
        <v>86</v>
      </c>
      <c r="E578" s="4" t="s">
        <v>110</v>
      </c>
      <c r="F578" s="4">
        <v>9.0</v>
      </c>
      <c r="G578" s="4">
        <v>13.8</v>
      </c>
      <c r="H578" s="4">
        <v>0.63</v>
      </c>
      <c r="I578" s="11">
        <v>0.5479999999999999</v>
      </c>
      <c r="J578" s="4">
        <v>0.98</v>
      </c>
      <c r="K578" s="18">
        <f t="array" ref="K578">IF(H578&lt;&gt;"",H578,IFERROR(G578/INDEX(Players!$M$2:$M$127,MATCH(B578,Players!$A$2:$A$127,0)),""))</f>
        <v>0.63</v>
      </c>
    </row>
    <row r="579" ht="15.75" customHeight="1">
      <c r="A579" s="4" t="s">
        <v>2845</v>
      </c>
      <c r="B579" s="4" t="s">
        <v>1485</v>
      </c>
      <c r="C579" s="4" t="s">
        <v>1486</v>
      </c>
      <c r="D579" s="4" t="s">
        <v>86</v>
      </c>
      <c r="E579" s="4" t="s">
        <v>276</v>
      </c>
      <c r="F579" s="4">
        <v>9.0</v>
      </c>
      <c r="G579" s="4">
        <v>15.0</v>
      </c>
      <c r="H579" s="4">
        <v>0.64</v>
      </c>
      <c r="I579" s="11">
        <v>0.615</v>
      </c>
      <c r="J579" s="4">
        <v>0.95</v>
      </c>
      <c r="K579" s="18">
        <f t="array" ref="K579">IF(H579&lt;&gt;"",H579,IFERROR(G579/INDEX(Players!$M$2:$M$127,MATCH(B579,Players!$A$2:$A$127,0)),""))</f>
        <v>0.64</v>
      </c>
    </row>
    <row r="580" ht="15.75" customHeight="1">
      <c r="A580" s="4" t="s">
        <v>2846</v>
      </c>
      <c r="B580" s="4" t="s">
        <v>1485</v>
      </c>
      <c r="C580" s="4" t="s">
        <v>1486</v>
      </c>
      <c r="D580" s="4" t="s">
        <v>86</v>
      </c>
      <c r="E580" s="4" t="s">
        <v>270</v>
      </c>
      <c r="F580" s="4">
        <v>8.0</v>
      </c>
      <c r="G580" s="4">
        <v>17.6</v>
      </c>
      <c r="H580" s="4">
        <v>0.85</v>
      </c>
      <c r="I580" s="11">
        <v>0.539</v>
      </c>
      <c r="J580" s="4">
        <v>1.78</v>
      </c>
      <c r="K580" s="18">
        <f t="array" ref="K580">IF(H580&lt;&gt;"",H580,IFERROR(G580/INDEX(Players!$M$2:$M$127,MATCH(B580,Players!$A$2:$A$127,0)),""))</f>
        <v>0.85</v>
      </c>
    </row>
    <row r="581" ht="15.75" customHeight="1">
      <c r="A581" s="4" t="s">
        <v>2849</v>
      </c>
      <c r="B581" s="4" t="s">
        <v>1485</v>
      </c>
      <c r="C581" s="4" t="s">
        <v>1486</v>
      </c>
      <c r="D581" s="4" t="s">
        <v>86</v>
      </c>
      <c r="E581" s="4" t="s">
        <v>113</v>
      </c>
      <c r="F581" s="4">
        <v>6.0</v>
      </c>
      <c r="G581" s="4">
        <v>15.3</v>
      </c>
      <c r="H581" s="4">
        <v>0.69</v>
      </c>
      <c r="I581" s="11">
        <v>0.489</v>
      </c>
      <c r="J581" s="4">
        <v>1.12</v>
      </c>
      <c r="K581" s="18">
        <f t="array" ref="K581">IF(H581&lt;&gt;"",H581,IFERROR(G581/INDEX(Players!$M$2:$M$127,MATCH(B581,Players!$A$2:$A$127,0)),""))</f>
        <v>0.69</v>
      </c>
    </row>
    <row r="582" ht="15.75" customHeight="1">
      <c r="A582" s="4" t="s">
        <v>2850</v>
      </c>
      <c r="B582" s="4" t="s">
        <v>1485</v>
      </c>
      <c r="C582" s="4" t="s">
        <v>1486</v>
      </c>
      <c r="D582" s="4" t="s">
        <v>86</v>
      </c>
      <c r="E582" s="4" t="s">
        <v>262</v>
      </c>
      <c r="F582" s="4">
        <v>5.0</v>
      </c>
      <c r="G582" s="4">
        <v>15.4</v>
      </c>
      <c r="H582" s="4">
        <v>0.66</v>
      </c>
      <c r="I582" s="11">
        <v>0.61</v>
      </c>
      <c r="J582" s="4">
        <v>1.15</v>
      </c>
      <c r="K582" s="18">
        <f t="array" ref="K582">IF(H582&lt;&gt;"",H582,IFERROR(G582/INDEX(Players!$M$2:$M$127,MATCH(B582,Players!$A$2:$A$127,0)),""))</f>
        <v>0.66</v>
      </c>
    </row>
    <row r="583" ht="15.75" customHeight="1">
      <c r="A583" s="4" t="s">
        <v>2851</v>
      </c>
      <c r="B583" s="4" t="s">
        <v>1485</v>
      </c>
      <c r="C583" s="4" t="s">
        <v>1486</v>
      </c>
      <c r="D583" s="4" t="s">
        <v>86</v>
      </c>
      <c r="E583" s="4" t="s">
        <v>250</v>
      </c>
      <c r="F583" s="4">
        <v>4.0</v>
      </c>
      <c r="G583" s="4">
        <v>11.8</v>
      </c>
      <c r="H583" s="4">
        <v>0.61</v>
      </c>
      <c r="I583" s="11">
        <v>0.6809999999999999</v>
      </c>
      <c r="J583" s="4">
        <v>0.85</v>
      </c>
      <c r="K583" s="18">
        <f t="array" ref="K583">IF(H583&lt;&gt;"",H583,IFERROR(G583/INDEX(Players!$M$2:$M$127,MATCH(B583,Players!$A$2:$A$127,0)),""))</f>
        <v>0.61</v>
      </c>
    </row>
    <row r="584" ht="15.75" customHeight="1">
      <c r="A584" s="4" t="s">
        <v>2852</v>
      </c>
      <c r="B584" s="4" t="s">
        <v>1528</v>
      </c>
      <c r="C584" s="4" t="s">
        <v>1529</v>
      </c>
      <c r="D584" s="4" t="s">
        <v>86</v>
      </c>
      <c r="E584" s="4" t="s">
        <v>110</v>
      </c>
      <c r="F584" s="4">
        <v>8.0</v>
      </c>
      <c r="G584" s="4">
        <v>11.6</v>
      </c>
      <c r="H584" s="4">
        <v>0.57</v>
      </c>
      <c r="I584" s="11">
        <v>0.634</v>
      </c>
      <c r="J584" s="4">
        <v>0.73</v>
      </c>
      <c r="K584" s="18">
        <f t="array" ref="K584">IF(H584&lt;&gt;"",H584,IFERROR(G584/INDEX(Players!$M$2:$M$127,MATCH(B584,Players!$A$2:$A$127,0)),""))</f>
        <v>0.57</v>
      </c>
    </row>
    <row r="585" ht="15.75" customHeight="1">
      <c r="A585" s="4" t="s">
        <v>2853</v>
      </c>
      <c r="B585" s="4" t="s">
        <v>1528</v>
      </c>
      <c r="C585" s="4" t="s">
        <v>1529</v>
      </c>
      <c r="D585" s="4" t="s">
        <v>86</v>
      </c>
      <c r="E585" s="4" t="s">
        <v>270</v>
      </c>
      <c r="F585" s="4">
        <v>8.0</v>
      </c>
      <c r="G585" s="4">
        <v>10.9</v>
      </c>
      <c r="H585" s="4">
        <v>0.54</v>
      </c>
      <c r="I585" s="11">
        <v>0.494</v>
      </c>
      <c r="J585" s="4">
        <v>0.72</v>
      </c>
      <c r="K585" s="18">
        <f t="array" ref="K585">IF(H585&lt;&gt;"",H585,IFERROR(G585/INDEX(Players!$M$2:$M$127,MATCH(B585,Players!$A$2:$A$127,0)),""))</f>
        <v>0.54</v>
      </c>
    </row>
    <row r="586" ht="15.75" customHeight="1">
      <c r="A586" s="4" t="s">
        <v>2854</v>
      </c>
      <c r="B586" s="4" t="s">
        <v>1528</v>
      </c>
      <c r="C586" s="4" t="s">
        <v>1529</v>
      </c>
      <c r="D586" s="4" t="s">
        <v>86</v>
      </c>
      <c r="E586" s="4" t="s">
        <v>250</v>
      </c>
      <c r="F586" s="4">
        <v>6.0</v>
      </c>
      <c r="G586" s="4">
        <v>11.5</v>
      </c>
      <c r="H586" s="4">
        <v>0.56</v>
      </c>
      <c r="I586" s="11">
        <v>0.58</v>
      </c>
      <c r="J586" s="4">
        <v>0.79</v>
      </c>
      <c r="K586" s="18">
        <f t="array" ref="K586">IF(H586&lt;&gt;"",H586,IFERROR(G586/INDEX(Players!$M$2:$M$127,MATCH(B586,Players!$A$2:$A$127,0)),""))</f>
        <v>0.56</v>
      </c>
    </row>
    <row r="587" ht="15.75" customHeight="1">
      <c r="A587" s="4" t="s">
        <v>2855</v>
      </c>
      <c r="B587" s="4" t="s">
        <v>1528</v>
      </c>
      <c r="C587" s="4" t="s">
        <v>1529</v>
      </c>
      <c r="D587" s="4" t="s">
        <v>86</v>
      </c>
      <c r="E587" s="4" t="s">
        <v>112</v>
      </c>
      <c r="F587" s="4">
        <v>5.0</v>
      </c>
      <c r="G587" s="4">
        <v>15.0</v>
      </c>
      <c r="H587" s="4">
        <v>0.66</v>
      </c>
      <c r="I587" s="11">
        <v>0.5329999999999999</v>
      </c>
      <c r="J587" s="4">
        <v>0.85</v>
      </c>
      <c r="K587" s="18">
        <f t="array" ref="K587">IF(H587&lt;&gt;"",H587,IFERROR(G587/INDEX(Players!$M$2:$M$127,MATCH(B587,Players!$A$2:$A$127,0)),""))</f>
        <v>0.66</v>
      </c>
    </row>
    <row r="588" ht="15.75" customHeight="1">
      <c r="A588" s="4" t="s">
        <v>2856</v>
      </c>
      <c r="B588" s="4" t="s">
        <v>1528</v>
      </c>
      <c r="C588" s="4" t="s">
        <v>1529</v>
      </c>
      <c r="D588" s="4" t="s">
        <v>86</v>
      </c>
      <c r="E588" s="4" t="s">
        <v>262</v>
      </c>
      <c r="F588" s="4">
        <v>5.0</v>
      </c>
      <c r="G588" s="4">
        <v>9.4</v>
      </c>
      <c r="H588" s="4">
        <v>0.44</v>
      </c>
      <c r="I588" s="11">
        <v>0.489</v>
      </c>
      <c r="J588" s="4">
        <v>0.55</v>
      </c>
      <c r="K588" s="18">
        <f t="array" ref="K588">IF(H588&lt;&gt;"",H588,IFERROR(G588/INDEX(Players!$M$2:$M$127,MATCH(B588,Players!$A$2:$A$127,0)),""))</f>
        <v>0.44</v>
      </c>
    </row>
    <row r="589" ht="15.75" customHeight="1">
      <c r="A589" s="4" t="s">
        <v>2857</v>
      </c>
      <c r="B589" s="4" t="s">
        <v>1528</v>
      </c>
      <c r="C589" s="4" t="s">
        <v>1529</v>
      </c>
      <c r="D589" s="4" t="s">
        <v>86</v>
      </c>
      <c r="E589" s="4" t="s">
        <v>276</v>
      </c>
      <c r="F589" s="4">
        <v>4.0</v>
      </c>
      <c r="G589" s="4">
        <v>12.5</v>
      </c>
      <c r="H589" s="4">
        <v>0.67</v>
      </c>
      <c r="I589" s="11">
        <v>0.48</v>
      </c>
      <c r="J589" s="4">
        <v>1.06</v>
      </c>
      <c r="K589" s="18">
        <f t="array" ref="K589">IF(H589&lt;&gt;"",H589,IFERROR(G589/INDEX(Players!$M$2:$M$127,MATCH(B589,Players!$A$2:$A$127,0)),""))</f>
        <v>0.67</v>
      </c>
    </row>
    <row r="590" ht="15.75" customHeight="1">
      <c r="A590" s="4" t="s">
        <v>2858</v>
      </c>
      <c r="B590" s="4" t="s">
        <v>1528</v>
      </c>
      <c r="C590" s="4" t="s">
        <v>1529</v>
      </c>
      <c r="D590" s="4" t="s">
        <v>86</v>
      </c>
      <c r="E590" s="4" t="s">
        <v>113</v>
      </c>
      <c r="F590" s="4">
        <v>1.0</v>
      </c>
      <c r="G590" s="4">
        <v>16.0</v>
      </c>
      <c r="H590" s="4">
        <v>0.67</v>
      </c>
      <c r="I590" s="11">
        <v>0.563</v>
      </c>
      <c r="J590" s="4">
        <v>1.07</v>
      </c>
      <c r="K590" s="18">
        <f t="array" ref="K590">IF(H590&lt;&gt;"",H590,IFERROR(G590/INDEX(Players!$M$2:$M$127,MATCH(B590,Players!$A$2:$A$127,0)),""))</f>
        <v>0.67</v>
      </c>
    </row>
    <row r="591" ht="15.75" customHeight="1">
      <c r="A591" s="4" t="s">
        <v>2859</v>
      </c>
      <c r="B591" s="4" t="s">
        <v>1466</v>
      </c>
      <c r="C591" s="4" t="s">
        <v>1467</v>
      </c>
      <c r="D591" s="4" t="s">
        <v>86</v>
      </c>
      <c r="E591" s="4" t="s">
        <v>270</v>
      </c>
      <c r="F591" s="4">
        <v>8.0</v>
      </c>
      <c r="G591" s="4">
        <v>17.4</v>
      </c>
      <c r="H591" s="4">
        <v>0.79</v>
      </c>
      <c r="I591" s="11">
        <v>0.475</v>
      </c>
      <c r="J591" s="4">
        <v>1.29</v>
      </c>
      <c r="K591" s="18">
        <f t="array" ref="K591">IF(H591&lt;&gt;"",H591,IFERROR(G591/INDEX(Players!$M$2:$M$127,MATCH(B591,Players!$A$2:$A$127,0)),""))</f>
        <v>0.79</v>
      </c>
    </row>
    <row r="592" ht="15.75" customHeight="1">
      <c r="A592" s="4" t="s">
        <v>2862</v>
      </c>
      <c r="B592" s="4" t="s">
        <v>1466</v>
      </c>
      <c r="C592" s="4" t="s">
        <v>1467</v>
      </c>
      <c r="D592" s="4" t="s">
        <v>86</v>
      </c>
      <c r="E592" s="4" t="s">
        <v>110</v>
      </c>
      <c r="F592" s="4">
        <v>7.0</v>
      </c>
      <c r="G592" s="4">
        <v>14.0</v>
      </c>
      <c r="H592" s="4">
        <v>0.64</v>
      </c>
      <c r="I592" s="11">
        <v>0.439</v>
      </c>
      <c r="J592" s="4">
        <v>1.04</v>
      </c>
      <c r="K592" s="18">
        <f t="array" ref="K592">IF(H592&lt;&gt;"",H592,IFERROR(G592/INDEX(Players!$M$2:$M$127,MATCH(B592,Players!$A$2:$A$127,0)),""))</f>
        <v>0.64</v>
      </c>
    </row>
    <row r="593" ht="15.75" customHeight="1">
      <c r="A593" s="4" t="s">
        <v>2863</v>
      </c>
      <c r="B593" s="4" t="s">
        <v>1466</v>
      </c>
      <c r="C593" s="4" t="s">
        <v>1467</v>
      </c>
      <c r="D593" s="4" t="s">
        <v>86</v>
      </c>
      <c r="E593" s="4" t="s">
        <v>262</v>
      </c>
      <c r="F593" s="4">
        <v>7.0</v>
      </c>
      <c r="G593" s="4">
        <v>13.1</v>
      </c>
      <c r="H593" s="4">
        <v>0.61</v>
      </c>
      <c r="I593" s="11">
        <v>0.489</v>
      </c>
      <c r="J593" s="4">
        <v>0.86</v>
      </c>
      <c r="K593" s="18">
        <f t="array" ref="K593">IF(H593&lt;&gt;"",H593,IFERROR(G593/INDEX(Players!$M$2:$M$127,MATCH(B593,Players!$A$2:$A$127,0)),""))</f>
        <v>0.61</v>
      </c>
    </row>
    <row r="594" ht="15.75" customHeight="1">
      <c r="A594" s="4" t="s">
        <v>2864</v>
      </c>
      <c r="B594" s="4" t="s">
        <v>1466</v>
      </c>
      <c r="C594" s="4" t="s">
        <v>1467</v>
      </c>
      <c r="D594" s="4" t="s">
        <v>86</v>
      </c>
      <c r="E594" s="4" t="s">
        <v>250</v>
      </c>
      <c r="F594" s="4">
        <v>6.0</v>
      </c>
      <c r="G594" s="4">
        <v>14.0</v>
      </c>
      <c r="H594" s="4">
        <v>0.66</v>
      </c>
      <c r="I594" s="11">
        <v>0.56</v>
      </c>
      <c r="J594" s="4">
        <v>1.04</v>
      </c>
      <c r="K594" s="18">
        <f t="array" ref="K594">IF(H594&lt;&gt;"",H594,IFERROR(G594/INDEX(Players!$M$2:$M$127,MATCH(B594,Players!$A$2:$A$127,0)),""))</f>
        <v>0.66</v>
      </c>
    </row>
    <row r="595" ht="15.75" customHeight="1">
      <c r="A595" s="4" t="s">
        <v>2865</v>
      </c>
      <c r="B595" s="4" t="s">
        <v>1466</v>
      </c>
      <c r="C595" s="4" t="s">
        <v>1467</v>
      </c>
      <c r="D595" s="4" t="s">
        <v>86</v>
      </c>
      <c r="E595" s="4" t="s">
        <v>113</v>
      </c>
      <c r="F595" s="4">
        <v>6.0</v>
      </c>
      <c r="G595" s="4">
        <v>14.0</v>
      </c>
      <c r="H595" s="4">
        <v>0.65</v>
      </c>
      <c r="I595" s="11">
        <v>0.56</v>
      </c>
      <c r="J595" s="4">
        <v>0.99</v>
      </c>
      <c r="K595" s="18">
        <f t="array" ref="K595">IF(H595&lt;&gt;"",H595,IFERROR(G595/INDEX(Players!$M$2:$M$127,MATCH(B595,Players!$A$2:$A$127,0)),""))</f>
        <v>0.65</v>
      </c>
    </row>
    <row r="596" ht="15.75" customHeight="1">
      <c r="A596" s="4" t="s">
        <v>2866</v>
      </c>
      <c r="B596" s="4" t="s">
        <v>1466</v>
      </c>
      <c r="C596" s="4" t="s">
        <v>1467</v>
      </c>
      <c r="D596" s="4" t="s">
        <v>86</v>
      </c>
      <c r="E596" s="4" t="s">
        <v>112</v>
      </c>
      <c r="F596" s="4">
        <v>2.0</v>
      </c>
      <c r="G596" s="4">
        <v>11.5</v>
      </c>
      <c r="H596" s="4">
        <v>0.46</v>
      </c>
      <c r="I596" s="11">
        <v>0.565</v>
      </c>
      <c r="J596" s="4">
        <v>0.66</v>
      </c>
      <c r="K596" s="18">
        <f t="array" ref="K596">IF(H596&lt;&gt;"",H596,IFERROR(G596/INDEX(Players!$M$2:$M$127,MATCH(B596,Players!$A$2:$A$127,0)),""))</f>
        <v>0.46</v>
      </c>
    </row>
    <row r="597" ht="15.75" customHeight="1">
      <c r="A597" s="4" t="s">
        <v>2867</v>
      </c>
      <c r="B597" s="4" t="s">
        <v>1450</v>
      </c>
      <c r="C597" s="4" t="s">
        <v>1451</v>
      </c>
      <c r="D597" s="4" t="s">
        <v>86</v>
      </c>
      <c r="E597" s="4" t="s">
        <v>276</v>
      </c>
      <c r="F597" s="4">
        <v>11.0</v>
      </c>
      <c r="G597" s="4">
        <v>14.1</v>
      </c>
      <c r="H597" s="4">
        <v>0.69</v>
      </c>
      <c r="I597" s="11">
        <v>0.335</v>
      </c>
      <c r="J597" s="4">
        <v>1.13</v>
      </c>
      <c r="K597" s="18">
        <f t="array" ref="K597">IF(H597&lt;&gt;"",H597,IFERROR(G597/INDEX(Players!$M$2:$M$127,MATCH(B597,Players!$A$2:$A$127,0)),""))</f>
        <v>0.69</v>
      </c>
    </row>
    <row r="598" ht="15.75" customHeight="1">
      <c r="A598" s="4" t="s">
        <v>2868</v>
      </c>
      <c r="B598" s="4" t="s">
        <v>1450</v>
      </c>
      <c r="C598" s="4" t="s">
        <v>1451</v>
      </c>
      <c r="D598" s="4" t="s">
        <v>86</v>
      </c>
      <c r="E598" s="4" t="s">
        <v>110</v>
      </c>
      <c r="F598" s="4">
        <v>9.0</v>
      </c>
      <c r="G598" s="4">
        <v>16.8</v>
      </c>
      <c r="H598" s="4">
        <v>0.74</v>
      </c>
      <c r="I598" s="11">
        <v>0.377</v>
      </c>
      <c r="J598" s="4">
        <v>1.25</v>
      </c>
      <c r="K598" s="18">
        <f t="array" ref="K598">IF(H598&lt;&gt;"",H598,IFERROR(G598/INDEX(Players!$M$2:$M$127,MATCH(B598,Players!$A$2:$A$127,0)),""))</f>
        <v>0.74</v>
      </c>
    </row>
    <row r="599" ht="15.75" customHeight="1">
      <c r="A599" s="4" t="s">
        <v>2869</v>
      </c>
      <c r="B599" s="4" t="s">
        <v>1450</v>
      </c>
      <c r="C599" s="4" t="s">
        <v>1451</v>
      </c>
      <c r="D599" s="4" t="s">
        <v>86</v>
      </c>
      <c r="E599" s="4" t="s">
        <v>250</v>
      </c>
      <c r="F599" s="4">
        <v>9.0</v>
      </c>
      <c r="G599" s="4">
        <v>16.4</v>
      </c>
      <c r="H599" s="4">
        <v>0.7</v>
      </c>
      <c r="I599" s="11">
        <v>0.304</v>
      </c>
      <c r="J599" s="4">
        <v>1.2</v>
      </c>
      <c r="K599" s="18">
        <f t="array" ref="K599">IF(H599&lt;&gt;"",H599,IFERROR(G599/INDEX(Players!$M$2:$M$127,MATCH(B599,Players!$A$2:$A$127,0)),""))</f>
        <v>0.7</v>
      </c>
    </row>
    <row r="600" ht="15.75" customHeight="1">
      <c r="A600" s="4" t="s">
        <v>2870</v>
      </c>
      <c r="B600" s="4" t="s">
        <v>1450</v>
      </c>
      <c r="C600" s="4" t="s">
        <v>1451</v>
      </c>
      <c r="D600" s="4" t="s">
        <v>86</v>
      </c>
      <c r="E600" s="4" t="s">
        <v>262</v>
      </c>
      <c r="F600" s="4">
        <v>4.0</v>
      </c>
      <c r="G600" s="4">
        <v>19.0</v>
      </c>
      <c r="H600" s="4">
        <v>0.79</v>
      </c>
      <c r="I600" s="11">
        <v>0.316</v>
      </c>
      <c r="J600" s="4">
        <v>1.38</v>
      </c>
      <c r="K600" s="18">
        <f t="array" ref="K600">IF(H600&lt;&gt;"",H600,IFERROR(G600/INDEX(Players!$M$2:$M$127,MATCH(B600,Players!$A$2:$A$127,0)),""))</f>
        <v>0.79</v>
      </c>
    </row>
    <row r="601" ht="15.75" customHeight="1">
      <c r="A601" s="4" t="s">
        <v>2871</v>
      </c>
      <c r="B601" s="4" t="s">
        <v>1450</v>
      </c>
      <c r="C601" s="4" t="s">
        <v>1451</v>
      </c>
      <c r="D601" s="4" t="s">
        <v>86</v>
      </c>
      <c r="E601" s="4" t="s">
        <v>270</v>
      </c>
      <c r="F601" s="4">
        <v>4.0</v>
      </c>
      <c r="G601" s="4">
        <v>12.3</v>
      </c>
      <c r="H601" s="4">
        <v>0.61</v>
      </c>
      <c r="I601" s="11">
        <v>0.367</v>
      </c>
      <c r="J601" s="4">
        <v>1.04</v>
      </c>
      <c r="K601" s="18">
        <f t="array" ref="K601">IF(H601&lt;&gt;"",H601,IFERROR(G601/INDEX(Players!$M$2:$M$127,MATCH(B601,Players!$A$2:$A$127,0)),""))</f>
        <v>0.61</v>
      </c>
    </row>
    <row r="602" ht="15.75" customHeight="1">
      <c r="A602" s="4" t="s">
        <v>2873</v>
      </c>
      <c r="B602" s="4" t="s">
        <v>1450</v>
      </c>
      <c r="C602" s="4" t="s">
        <v>1451</v>
      </c>
      <c r="D602" s="4" t="s">
        <v>86</v>
      </c>
      <c r="E602" s="4" t="s">
        <v>113</v>
      </c>
      <c r="F602" s="4">
        <v>2.0</v>
      </c>
      <c r="G602" s="4">
        <v>12.5</v>
      </c>
      <c r="H602" s="4">
        <v>0.63</v>
      </c>
      <c r="I602" s="11">
        <v>0.32</v>
      </c>
      <c r="J602" s="4">
        <v>1.19</v>
      </c>
      <c r="K602" s="18">
        <f t="array" ref="K602">IF(H602&lt;&gt;"",H602,IFERROR(G602/INDEX(Players!$M$2:$M$127,MATCH(B602,Players!$A$2:$A$127,0)),""))</f>
        <v>0.63</v>
      </c>
    </row>
    <row r="603" ht="15.75" customHeight="1">
      <c r="A603" s="4" t="s">
        <v>2874</v>
      </c>
      <c r="B603" s="4" t="s">
        <v>1417</v>
      </c>
      <c r="C603" s="4" t="s">
        <v>1418</v>
      </c>
      <c r="D603" s="4" t="s">
        <v>86</v>
      </c>
      <c r="E603" s="4" t="s">
        <v>250</v>
      </c>
      <c r="F603" s="4">
        <v>8.0</v>
      </c>
      <c r="G603" s="4">
        <v>18.0</v>
      </c>
      <c r="H603" s="4">
        <v>0.75</v>
      </c>
      <c r="I603" s="11">
        <v>0.458</v>
      </c>
      <c r="J603" s="4">
        <v>1.18</v>
      </c>
      <c r="K603" s="18">
        <f t="array" ref="K603">IF(H603&lt;&gt;"",H603,IFERROR(G603/INDEX(Players!$M$2:$M$127,MATCH(B603,Players!$A$2:$A$127,0)),""))</f>
        <v>0.75</v>
      </c>
    </row>
    <row r="604" ht="15.75" customHeight="1">
      <c r="A604" s="4" t="s">
        <v>2875</v>
      </c>
      <c r="B604" s="4" t="s">
        <v>1417</v>
      </c>
      <c r="C604" s="4" t="s">
        <v>1418</v>
      </c>
      <c r="D604" s="4" t="s">
        <v>86</v>
      </c>
      <c r="E604" s="4" t="s">
        <v>262</v>
      </c>
      <c r="F604" s="4">
        <v>7.0</v>
      </c>
      <c r="G604" s="4">
        <v>15.0</v>
      </c>
      <c r="H604" s="4">
        <v>0.74</v>
      </c>
      <c r="I604" s="11">
        <v>0.619</v>
      </c>
      <c r="J604" s="4">
        <v>1.38</v>
      </c>
      <c r="K604" s="18">
        <f t="array" ref="K604">IF(H604&lt;&gt;"",H604,IFERROR(G604/INDEX(Players!$M$2:$M$127,MATCH(B604,Players!$A$2:$A$127,0)),""))</f>
        <v>0.74</v>
      </c>
    </row>
    <row r="605" ht="15.75" customHeight="1">
      <c r="A605" s="4" t="s">
        <v>2876</v>
      </c>
      <c r="B605" s="4" t="s">
        <v>1417</v>
      </c>
      <c r="C605" s="4" t="s">
        <v>1418</v>
      </c>
      <c r="D605" s="4" t="s">
        <v>86</v>
      </c>
      <c r="E605" s="4" t="s">
        <v>276</v>
      </c>
      <c r="F605" s="4">
        <v>6.0</v>
      </c>
      <c r="G605" s="4">
        <v>11.5</v>
      </c>
      <c r="H605" s="4">
        <v>0.53</v>
      </c>
      <c r="I605" s="11">
        <v>0.6809999999999999</v>
      </c>
      <c r="J605" s="4">
        <v>0.9</v>
      </c>
      <c r="K605" s="18">
        <f t="array" ref="K605">IF(H605&lt;&gt;"",H605,IFERROR(G605/INDEX(Players!$M$2:$M$127,MATCH(B605,Players!$A$2:$A$127,0)),""))</f>
        <v>0.53</v>
      </c>
    </row>
    <row r="606" ht="15.75" customHeight="1">
      <c r="A606" s="4" t="s">
        <v>2877</v>
      </c>
      <c r="B606" s="4" t="s">
        <v>1417</v>
      </c>
      <c r="C606" s="4" t="s">
        <v>1418</v>
      </c>
      <c r="D606" s="4" t="s">
        <v>86</v>
      </c>
      <c r="E606" s="4" t="s">
        <v>270</v>
      </c>
      <c r="F606" s="4">
        <v>3.0</v>
      </c>
      <c r="G606" s="4">
        <v>14.0</v>
      </c>
      <c r="H606" s="4">
        <v>0.66</v>
      </c>
      <c r="I606" s="11">
        <v>0.452</v>
      </c>
      <c r="J606" s="4">
        <v>1.08</v>
      </c>
      <c r="K606" s="18">
        <f t="array" ref="K606">IF(H606&lt;&gt;"",H606,IFERROR(G606/INDEX(Players!$M$2:$M$127,MATCH(B606,Players!$A$2:$A$127,0)),""))</f>
        <v>0.66</v>
      </c>
    </row>
    <row r="607" ht="15.75" customHeight="1">
      <c r="A607" s="4" t="s">
        <v>2878</v>
      </c>
      <c r="B607" s="4" t="s">
        <v>1417</v>
      </c>
      <c r="C607" s="4" t="s">
        <v>1418</v>
      </c>
      <c r="D607" s="4" t="s">
        <v>86</v>
      </c>
      <c r="E607" s="4" t="s">
        <v>110</v>
      </c>
      <c r="F607" s="4">
        <v>2.0</v>
      </c>
      <c r="G607" s="4">
        <v>16.5</v>
      </c>
      <c r="H607" s="4">
        <v>0.79</v>
      </c>
      <c r="I607" s="11">
        <v>0.6970000000000001</v>
      </c>
      <c r="J607" s="4">
        <v>1.1</v>
      </c>
      <c r="K607" s="18">
        <f t="array" ref="K607">IF(H607&lt;&gt;"",H607,IFERROR(G607/INDEX(Players!$M$2:$M$127,MATCH(B607,Players!$A$2:$A$127,0)),""))</f>
        <v>0.79</v>
      </c>
    </row>
    <row r="608" ht="15.75" customHeight="1">
      <c r="A608" s="4" t="s">
        <v>2879</v>
      </c>
      <c r="B608" s="4" t="s">
        <v>1417</v>
      </c>
      <c r="C608" s="4" t="s">
        <v>1418</v>
      </c>
      <c r="D608" s="4" t="s">
        <v>86</v>
      </c>
      <c r="E608" s="4" t="s">
        <v>113</v>
      </c>
      <c r="F608" s="4">
        <v>1.0</v>
      </c>
      <c r="G608" s="4">
        <v>17.0</v>
      </c>
      <c r="H608" s="4">
        <v>0.77</v>
      </c>
      <c r="I608" s="11">
        <v>0.412</v>
      </c>
      <c r="J608" s="4">
        <v>1.55</v>
      </c>
      <c r="K608" s="18">
        <f t="array" ref="K608">IF(H608&lt;&gt;"",H608,IFERROR(G608/INDEX(Players!$M$2:$M$127,MATCH(B608,Players!$A$2:$A$127,0)),""))</f>
        <v>0.77</v>
      </c>
    </row>
    <row r="609" ht="15.75" customHeight="1">
      <c r="A609" s="4" t="s">
        <v>2881</v>
      </c>
      <c r="B609" s="4" t="s">
        <v>1336</v>
      </c>
      <c r="C609" s="4" t="s">
        <v>1337</v>
      </c>
      <c r="D609" s="4" t="s">
        <v>86</v>
      </c>
      <c r="E609" s="4" t="s">
        <v>250</v>
      </c>
      <c r="F609" s="4">
        <v>6.0</v>
      </c>
      <c r="G609" s="4">
        <v>16.8</v>
      </c>
      <c r="H609" s="4">
        <v>0.77</v>
      </c>
      <c r="I609" s="11">
        <v>0.376</v>
      </c>
      <c r="J609" s="4">
        <v>1.22</v>
      </c>
      <c r="K609" s="18">
        <f t="array" ref="K609">IF(H609&lt;&gt;"",H609,IFERROR(G609/INDEX(Players!$M$2:$M$127,MATCH(B609,Players!$A$2:$A$127,0)),""))</f>
        <v>0.77</v>
      </c>
    </row>
    <row r="610" ht="15.75" customHeight="1">
      <c r="A610" s="4" t="s">
        <v>2883</v>
      </c>
      <c r="B610" s="4" t="s">
        <v>1336</v>
      </c>
      <c r="C610" s="4" t="s">
        <v>1337</v>
      </c>
      <c r="D610" s="4" t="s">
        <v>86</v>
      </c>
      <c r="E610" s="4" t="s">
        <v>262</v>
      </c>
      <c r="F610" s="4">
        <v>6.0</v>
      </c>
      <c r="G610" s="4">
        <v>13.7</v>
      </c>
      <c r="H610" s="4">
        <v>0.62</v>
      </c>
      <c r="I610" s="11">
        <v>0.537</v>
      </c>
      <c r="J610" s="4">
        <v>0.95</v>
      </c>
      <c r="K610" s="18">
        <f t="array" ref="K610">IF(H610&lt;&gt;"",H610,IFERROR(G610/INDEX(Players!$M$2:$M$127,MATCH(B610,Players!$A$2:$A$127,0)),""))</f>
        <v>0.62</v>
      </c>
    </row>
    <row r="611" ht="15.75" customHeight="1">
      <c r="A611" s="4" t="s">
        <v>2884</v>
      </c>
      <c r="B611" s="4" t="s">
        <v>1336</v>
      </c>
      <c r="C611" s="4" t="s">
        <v>1337</v>
      </c>
      <c r="D611" s="4" t="s">
        <v>86</v>
      </c>
      <c r="E611" s="4" t="s">
        <v>110</v>
      </c>
      <c r="F611" s="4">
        <v>6.0</v>
      </c>
      <c r="G611" s="4">
        <v>14.3</v>
      </c>
      <c r="H611" s="4">
        <v>0.64</v>
      </c>
      <c r="I611" s="11">
        <v>0.337</v>
      </c>
      <c r="J611" s="4">
        <v>0.95</v>
      </c>
      <c r="K611" s="18">
        <f t="array" ref="K611">IF(H611&lt;&gt;"",H611,IFERROR(G611/INDEX(Players!$M$2:$M$127,MATCH(B611,Players!$A$2:$A$127,0)),""))</f>
        <v>0.64</v>
      </c>
    </row>
    <row r="612" ht="15.75" customHeight="1">
      <c r="A612" s="4" t="s">
        <v>2885</v>
      </c>
      <c r="B612" s="4" t="s">
        <v>1336</v>
      </c>
      <c r="C612" s="4" t="s">
        <v>1337</v>
      </c>
      <c r="D612" s="4" t="s">
        <v>86</v>
      </c>
      <c r="E612" s="4" t="s">
        <v>112</v>
      </c>
      <c r="F612" s="4">
        <v>6.0</v>
      </c>
      <c r="G612" s="4">
        <v>13.2</v>
      </c>
      <c r="H612" s="4">
        <v>0.56</v>
      </c>
      <c r="I612" s="11">
        <v>0.316</v>
      </c>
      <c r="J612" s="4">
        <v>0.81</v>
      </c>
      <c r="K612" s="18">
        <f t="array" ref="K612">IF(H612&lt;&gt;"",H612,IFERROR(G612/INDEX(Players!$M$2:$M$127,MATCH(B612,Players!$A$2:$A$127,0)),""))</f>
        <v>0.56</v>
      </c>
    </row>
    <row r="613" ht="15.75" customHeight="1">
      <c r="A613" s="4" t="s">
        <v>2888</v>
      </c>
      <c r="B613" s="4" t="s">
        <v>1336</v>
      </c>
      <c r="C613" s="4" t="s">
        <v>1337</v>
      </c>
      <c r="D613" s="4" t="s">
        <v>86</v>
      </c>
      <c r="E613" s="4" t="s">
        <v>113</v>
      </c>
      <c r="F613" s="4">
        <v>3.0</v>
      </c>
      <c r="G613" s="4">
        <v>16.3</v>
      </c>
      <c r="H613" s="4">
        <v>0.91</v>
      </c>
      <c r="I613" s="11">
        <v>0.429</v>
      </c>
      <c r="J613" s="4">
        <v>1.4</v>
      </c>
      <c r="K613" s="18">
        <f t="array" ref="K613">IF(H613&lt;&gt;"",H613,IFERROR(G613/INDEX(Players!$M$2:$M$127,MATCH(B613,Players!$A$2:$A$127,0)),""))</f>
        <v>0.91</v>
      </c>
    </row>
    <row r="614" ht="15.75" customHeight="1">
      <c r="A614" s="4" t="s">
        <v>2889</v>
      </c>
      <c r="B614" s="4" t="s">
        <v>1336</v>
      </c>
      <c r="C614" s="4" t="s">
        <v>1337</v>
      </c>
      <c r="D614" s="4" t="s">
        <v>86</v>
      </c>
      <c r="E614" s="4" t="s">
        <v>270</v>
      </c>
      <c r="F614" s="4">
        <v>2.0</v>
      </c>
      <c r="G614" s="4">
        <v>14.5</v>
      </c>
      <c r="H614" s="4">
        <v>0.66</v>
      </c>
      <c r="I614" s="11">
        <v>0.379</v>
      </c>
      <c r="J614" s="4">
        <v>0.97</v>
      </c>
      <c r="K614" s="18">
        <f t="array" ref="K614">IF(H614&lt;&gt;"",H614,IFERROR(G614/INDEX(Players!$M$2:$M$127,MATCH(B614,Players!$A$2:$A$127,0)),""))</f>
        <v>0.66</v>
      </c>
    </row>
    <row r="615" ht="15.75" customHeight="1">
      <c r="A615" s="4" t="s">
        <v>2890</v>
      </c>
      <c r="B615" s="4" t="s">
        <v>1336</v>
      </c>
      <c r="C615" s="4" t="s">
        <v>1337</v>
      </c>
      <c r="D615" s="4" t="s">
        <v>86</v>
      </c>
      <c r="E615" s="4" t="s">
        <v>276</v>
      </c>
      <c r="F615" s="4">
        <v>1.0</v>
      </c>
      <c r="G615" s="4">
        <v>13.0</v>
      </c>
      <c r="H615" s="4">
        <v>0.59</v>
      </c>
      <c r="I615" s="11">
        <v>0.154</v>
      </c>
      <c r="J615" s="4">
        <v>0.87</v>
      </c>
      <c r="K615" s="18">
        <f t="array" ref="K615">IF(H615&lt;&gt;"",H615,IFERROR(G615/INDEX(Players!$M$2:$M$127,MATCH(B615,Players!$A$2:$A$127,0)),""))</f>
        <v>0.59</v>
      </c>
    </row>
    <row r="616" ht="15.75" customHeight="1">
      <c r="A616" s="4" t="s">
        <v>2891</v>
      </c>
      <c r="B616" s="4" t="s">
        <v>1469</v>
      </c>
      <c r="C616" s="4" t="s">
        <v>1470</v>
      </c>
      <c r="D616" s="4" t="s">
        <v>86</v>
      </c>
      <c r="E616" s="4" t="s">
        <v>270</v>
      </c>
      <c r="F616" s="4">
        <v>8.0</v>
      </c>
      <c r="G616" s="4">
        <v>15.1</v>
      </c>
      <c r="H616" s="4">
        <v>0.69</v>
      </c>
      <c r="I616" s="11">
        <v>0.628</v>
      </c>
      <c r="J616" s="4">
        <v>1.06</v>
      </c>
      <c r="K616" s="18">
        <f t="array" ref="K616">IF(H616&lt;&gt;"",H616,IFERROR(G616/INDEX(Players!$M$2:$M$127,MATCH(B616,Players!$A$2:$A$127,0)),""))</f>
        <v>0.69</v>
      </c>
    </row>
    <row r="617" ht="15.75" customHeight="1">
      <c r="A617" s="4" t="s">
        <v>2892</v>
      </c>
      <c r="B617" s="4" t="s">
        <v>1469</v>
      </c>
      <c r="C617" s="4" t="s">
        <v>1470</v>
      </c>
      <c r="D617" s="4" t="s">
        <v>86</v>
      </c>
      <c r="E617" s="4" t="s">
        <v>262</v>
      </c>
      <c r="F617" s="4">
        <v>7.0</v>
      </c>
      <c r="G617" s="4">
        <v>15.6</v>
      </c>
      <c r="H617" s="4">
        <v>0.72</v>
      </c>
      <c r="I617" s="11">
        <v>0.67</v>
      </c>
      <c r="J617" s="4">
        <v>0.96</v>
      </c>
      <c r="K617" s="18">
        <f t="array" ref="K617">IF(H617&lt;&gt;"",H617,IFERROR(G617/INDEX(Players!$M$2:$M$127,MATCH(B617,Players!$A$2:$A$127,0)),""))</f>
        <v>0.72</v>
      </c>
    </row>
    <row r="618" ht="15.75" customHeight="1">
      <c r="A618" s="4" t="s">
        <v>2894</v>
      </c>
      <c r="B618" s="4" t="s">
        <v>1469</v>
      </c>
      <c r="C618" s="4" t="s">
        <v>1470</v>
      </c>
      <c r="D618" s="4" t="s">
        <v>86</v>
      </c>
      <c r="E618" s="4" t="s">
        <v>110</v>
      </c>
      <c r="F618" s="4">
        <v>7.0</v>
      </c>
      <c r="G618" s="4">
        <v>12.0</v>
      </c>
      <c r="H618" s="4">
        <v>0.55</v>
      </c>
      <c r="I618" s="11">
        <v>0.595</v>
      </c>
      <c r="J618" s="4">
        <v>0.85</v>
      </c>
      <c r="K618" s="18">
        <f t="array" ref="K618">IF(H618&lt;&gt;"",H618,IFERROR(G618/INDEX(Players!$M$2:$M$127,MATCH(B618,Players!$A$2:$A$127,0)),""))</f>
        <v>0.55</v>
      </c>
    </row>
    <row r="619" ht="15.75" customHeight="1">
      <c r="A619" s="4" t="s">
        <v>2895</v>
      </c>
      <c r="B619" s="4" t="s">
        <v>1469</v>
      </c>
      <c r="C619" s="4" t="s">
        <v>1470</v>
      </c>
      <c r="D619" s="4" t="s">
        <v>86</v>
      </c>
      <c r="E619" s="4" t="s">
        <v>250</v>
      </c>
      <c r="F619" s="4">
        <v>6.0</v>
      </c>
      <c r="G619" s="4">
        <v>12.3</v>
      </c>
      <c r="H619" s="4">
        <v>0.58</v>
      </c>
      <c r="I619" s="11">
        <v>0.649</v>
      </c>
      <c r="J619" s="4">
        <v>0.9</v>
      </c>
      <c r="K619" s="18">
        <f t="array" ref="K619">IF(H619&lt;&gt;"",H619,IFERROR(G619/INDEX(Players!$M$2:$M$127,MATCH(B619,Players!$A$2:$A$127,0)),""))</f>
        <v>0.58</v>
      </c>
    </row>
    <row r="620" ht="15.75" customHeight="1">
      <c r="A620" s="4" t="s">
        <v>2896</v>
      </c>
      <c r="B620" s="4" t="s">
        <v>1469</v>
      </c>
      <c r="C620" s="4" t="s">
        <v>1470</v>
      </c>
      <c r="D620" s="4" t="s">
        <v>86</v>
      </c>
      <c r="E620" s="4" t="s">
        <v>113</v>
      </c>
      <c r="F620" s="4">
        <v>6.0</v>
      </c>
      <c r="G620" s="4">
        <v>10.0</v>
      </c>
      <c r="H620" s="4">
        <v>0.47</v>
      </c>
      <c r="I620" s="11">
        <v>0.583</v>
      </c>
      <c r="J620" s="4">
        <v>0.7</v>
      </c>
      <c r="K620" s="18">
        <f t="array" ref="K620">IF(H620&lt;&gt;"",H620,IFERROR(G620/INDEX(Players!$M$2:$M$127,MATCH(B620,Players!$A$2:$A$127,0)),""))</f>
        <v>0.47</v>
      </c>
    </row>
    <row r="621" ht="15.75" customHeight="1">
      <c r="A621" s="4" t="s">
        <v>2897</v>
      </c>
      <c r="B621" s="4" t="s">
        <v>1469</v>
      </c>
      <c r="C621" s="4" t="s">
        <v>1470</v>
      </c>
      <c r="D621" s="4" t="s">
        <v>86</v>
      </c>
      <c r="E621" s="4" t="s">
        <v>112</v>
      </c>
      <c r="F621" s="4">
        <v>2.0</v>
      </c>
      <c r="G621" s="4">
        <v>22.0</v>
      </c>
      <c r="H621" s="4">
        <v>0.88</v>
      </c>
      <c r="I621" s="11">
        <v>0.4320000000000001</v>
      </c>
      <c r="J621" s="4">
        <v>1.38</v>
      </c>
      <c r="K621" s="18">
        <f t="array" ref="K621">IF(H621&lt;&gt;"",H621,IFERROR(G621/INDEX(Players!$M$2:$M$127,MATCH(B621,Players!$A$2:$A$127,0)),""))</f>
        <v>0.88</v>
      </c>
    </row>
    <row r="622" ht="15.75" customHeight="1">
      <c r="A622" s="4" t="s">
        <v>2898</v>
      </c>
      <c r="B622" s="4" t="s">
        <v>1285</v>
      </c>
      <c r="C622" s="4" t="s">
        <v>1286</v>
      </c>
      <c r="D622" s="4" t="s">
        <v>86</v>
      </c>
      <c r="E622" s="4" t="s">
        <v>250</v>
      </c>
      <c r="F622" s="4">
        <v>10.0</v>
      </c>
      <c r="G622" s="4">
        <v>16.1</v>
      </c>
      <c r="H622" s="4">
        <v>0.77</v>
      </c>
      <c r="I622" s="11">
        <v>0.503</v>
      </c>
      <c r="J622" s="4">
        <v>1.14</v>
      </c>
      <c r="K622" s="18">
        <f t="array" ref="K622">IF(H622&lt;&gt;"",H622,IFERROR(G622/INDEX(Players!$M$2:$M$127,MATCH(B622,Players!$A$2:$A$127,0)),""))</f>
        <v>0.77</v>
      </c>
    </row>
    <row r="623" ht="15.75" customHeight="1">
      <c r="A623" s="4" t="s">
        <v>2900</v>
      </c>
      <c r="B623" s="4" t="s">
        <v>1285</v>
      </c>
      <c r="C623" s="4" t="s">
        <v>1286</v>
      </c>
      <c r="D623" s="4" t="s">
        <v>86</v>
      </c>
      <c r="E623" s="4" t="s">
        <v>112</v>
      </c>
      <c r="F623" s="4">
        <v>7.0</v>
      </c>
      <c r="G623" s="4">
        <v>15.4</v>
      </c>
      <c r="H623" s="4">
        <v>0.78</v>
      </c>
      <c r="I623" s="11">
        <v>0.574</v>
      </c>
      <c r="J623" s="4">
        <v>1.33</v>
      </c>
      <c r="K623" s="18">
        <f t="array" ref="K623">IF(H623&lt;&gt;"",H623,IFERROR(G623/INDEX(Players!$M$2:$M$127,MATCH(B623,Players!$A$2:$A$127,0)),""))</f>
        <v>0.78</v>
      </c>
    </row>
    <row r="624" ht="15.75" customHeight="1">
      <c r="A624" s="4" t="s">
        <v>2901</v>
      </c>
      <c r="B624" s="4" t="s">
        <v>1285</v>
      </c>
      <c r="C624" s="4" t="s">
        <v>1286</v>
      </c>
      <c r="D624" s="4" t="s">
        <v>86</v>
      </c>
      <c r="E624" s="4" t="s">
        <v>276</v>
      </c>
      <c r="F624" s="4">
        <v>6.0</v>
      </c>
      <c r="G624" s="4">
        <v>16.7</v>
      </c>
      <c r="H624" s="4">
        <v>0.85</v>
      </c>
      <c r="I624" s="11">
        <v>0.56</v>
      </c>
      <c r="J624" s="4">
        <v>1.33</v>
      </c>
      <c r="K624" s="18">
        <f t="array" ref="K624">IF(H624&lt;&gt;"",H624,IFERROR(G624/INDEX(Players!$M$2:$M$127,MATCH(B624,Players!$A$2:$A$127,0)),""))</f>
        <v>0.85</v>
      </c>
    </row>
    <row r="625" ht="15.75" customHeight="1">
      <c r="A625" s="4" t="s">
        <v>2902</v>
      </c>
      <c r="B625" s="4" t="s">
        <v>1285</v>
      </c>
      <c r="C625" s="4" t="s">
        <v>1286</v>
      </c>
      <c r="D625" s="4" t="s">
        <v>86</v>
      </c>
      <c r="E625" s="4" t="s">
        <v>270</v>
      </c>
      <c r="F625" s="4">
        <v>5.0</v>
      </c>
      <c r="G625" s="4">
        <v>18.4</v>
      </c>
      <c r="H625" s="4">
        <v>0.74</v>
      </c>
      <c r="I625" s="11">
        <v>0.5760000000000001</v>
      </c>
      <c r="J625" s="4">
        <v>1.11</v>
      </c>
      <c r="K625" s="18">
        <f t="array" ref="K625">IF(H625&lt;&gt;"",H625,IFERROR(G625/INDEX(Players!$M$2:$M$127,MATCH(B625,Players!$A$2:$A$127,0)),""))</f>
        <v>0.74</v>
      </c>
    </row>
    <row r="626" ht="15.75" customHeight="1">
      <c r="A626" s="4" t="s">
        <v>2903</v>
      </c>
      <c r="B626" s="4" t="s">
        <v>1285</v>
      </c>
      <c r="C626" s="4" t="s">
        <v>1286</v>
      </c>
      <c r="D626" s="4" t="s">
        <v>86</v>
      </c>
      <c r="E626" s="4" t="s">
        <v>262</v>
      </c>
      <c r="F626" s="4">
        <v>5.0</v>
      </c>
      <c r="G626" s="4">
        <v>14.0</v>
      </c>
      <c r="H626" s="4">
        <v>0.71</v>
      </c>
      <c r="I626" s="11">
        <v>0.5</v>
      </c>
      <c r="J626" s="4">
        <v>0.92</v>
      </c>
      <c r="K626" s="18">
        <f t="array" ref="K626">IF(H626&lt;&gt;"",H626,IFERROR(G626/INDEX(Players!$M$2:$M$127,MATCH(B626,Players!$A$2:$A$127,0)),""))</f>
        <v>0.71</v>
      </c>
    </row>
    <row r="627" ht="15.75" customHeight="1">
      <c r="A627" s="4" t="s">
        <v>2904</v>
      </c>
      <c r="B627" s="4" t="s">
        <v>1285</v>
      </c>
      <c r="C627" s="4" t="s">
        <v>1286</v>
      </c>
      <c r="D627" s="4" t="s">
        <v>86</v>
      </c>
      <c r="E627" s="4" t="s">
        <v>113</v>
      </c>
      <c r="F627" s="4">
        <v>4.0</v>
      </c>
      <c r="G627" s="4">
        <v>17.3</v>
      </c>
      <c r="H627" s="4">
        <v>0.84</v>
      </c>
      <c r="I627" s="11">
        <v>0.667</v>
      </c>
      <c r="J627" s="4">
        <v>1.25</v>
      </c>
      <c r="K627" s="18">
        <f t="array" ref="K627">IF(H627&lt;&gt;"",H627,IFERROR(G627/INDEX(Players!$M$2:$M$127,MATCH(B627,Players!$A$2:$A$127,0)),""))</f>
        <v>0.84</v>
      </c>
    </row>
    <row r="628" ht="15.75" customHeight="1">
      <c r="A628" s="4" t="s">
        <v>2906</v>
      </c>
      <c r="B628" s="4" t="s">
        <v>1288</v>
      </c>
      <c r="C628" s="4" t="s">
        <v>1289</v>
      </c>
      <c r="D628" s="4" t="s">
        <v>86</v>
      </c>
      <c r="E628" s="4" t="s">
        <v>250</v>
      </c>
      <c r="F628" s="4">
        <v>10.0</v>
      </c>
      <c r="G628" s="4">
        <v>14.1</v>
      </c>
      <c r="H628" s="4">
        <v>0.67</v>
      </c>
      <c r="I628" s="11">
        <v>0.284</v>
      </c>
      <c r="J628" s="4">
        <v>0.99</v>
      </c>
      <c r="K628" s="18">
        <f t="array" ref="K628">IF(H628&lt;&gt;"",H628,IFERROR(G628/INDEX(Players!$M$2:$M$127,MATCH(B628,Players!$A$2:$A$127,0)),""))</f>
        <v>0.67</v>
      </c>
    </row>
    <row r="629" ht="15.75" customHeight="1">
      <c r="A629" s="4" t="s">
        <v>2907</v>
      </c>
      <c r="B629" s="4" t="s">
        <v>1288</v>
      </c>
      <c r="C629" s="4" t="s">
        <v>1289</v>
      </c>
      <c r="D629" s="4" t="s">
        <v>86</v>
      </c>
      <c r="E629" s="4" t="s">
        <v>112</v>
      </c>
      <c r="F629" s="4">
        <v>7.0</v>
      </c>
      <c r="G629" s="4">
        <v>15.3</v>
      </c>
      <c r="H629" s="4">
        <v>0.78</v>
      </c>
      <c r="I629" s="11">
        <v>0.336</v>
      </c>
      <c r="J629" s="4">
        <v>1.41</v>
      </c>
      <c r="K629" s="18">
        <f t="array" ref="K629">IF(H629&lt;&gt;"",H629,IFERROR(G629/INDEX(Players!$M$2:$M$127,MATCH(B629,Players!$A$2:$A$127,0)),""))</f>
        <v>0.78</v>
      </c>
    </row>
    <row r="630" ht="15.75" customHeight="1">
      <c r="A630" s="4" t="s">
        <v>2908</v>
      </c>
      <c r="B630" s="4" t="s">
        <v>1288</v>
      </c>
      <c r="C630" s="4" t="s">
        <v>1289</v>
      </c>
      <c r="D630" s="4" t="s">
        <v>86</v>
      </c>
      <c r="E630" s="4" t="s">
        <v>276</v>
      </c>
      <c r="F630" s="4">
        <v>6.0</v>
      </c>
      <c r="G630" s="4">
        <v>14.7</v>
      </c>
      <c r="H630" s="4">
        <v>0.75</v>
      </c>
      <c r="I630" s="11">
        <v>0.273</v>
      </c>
      <c r="J630" s="4">
        <v>1.33</v>
      </c>
      <c r="K630" s="18">
        <f t="array" ref="K630">IF(H630&lt;&gt;"",H630,IFERROR(G630/INDEX(Players!$M$2:$M$127,MATCH(B630,Players!$A$2:$A$127,0)),""))</f>
        <v>0.75</v>
      </c>
    </row>
    <row r="631" ht="15.75" customHeight="1">
      <c r="A631" s="4" t="s">
        <v>2909</v>
      </c>
      <c r="B631" s="4" t="s">
        <v>1288</v>
      </c>
      <c r="C631" s="4" t="s">
        <v>1289</v>
      </c>
      <c r="D631" s="4" t="s">
        <v>86</v>
      </c>
      <c r="E631" s="4" t="s">
        <v>270</v>
      </c>
      <c r="F631" s="4">
        <v>5.0</v>
      </c>
      <c r="G631" s="4">
        <v>17.8</v>
      </c>
      <c r="H631" s="4">
        <v>0.71</v>
      </c>
      <c r="I631" s="11">
        <v>0.348</v>
      </c>
      <c r="J631" s="4">
        <v>1.2</v>
      </c>
      <c r="K631" s="18">
        <f t="array" ref="K631">IF(H631&lt;&gt;"",H631,IFERROR(G631/INDEX(Players!$M$2:$M$127,MATCH(B631,Players!$A$2:$A$127,0)),""))</f>
        <v>0.71</v>
      </c>
    </row>
    <row r="632" ht="15.75" customHeight="1">
      <c r="A632" s="4" t="s">
        <v>2910</v>
      </c>
      <c r="B632" s="4" t="s">
        <v>1288</v>
      </c>
      <c r="C632" s="4" t="s">
        <v>1289</v>
      </c>
      <c r="D632" s="4" t="s">
        <v>86</v>
      </c>
      <c r="E632" s="4" t="s">
        <v>262</v>
      </c>
      <c r="F632" s="4">
        <v>5.0</v>
      </c>
      <c r="G632" s="4">
        <v>12.0</v>
      </c>
      <c r="H632" s="4">
        <v>0.61</v>
      </c>
      <c r="I632" s="11">
        <v>0.283</v>
      </c>
      <c r="J632" s="4">
        <v>0.95</v>
      </c>
      <c r="K632" s="18">
        <f t="array" ref="K632">IF(H632&lt;&gt;"",H632,IFERROR(G632/INDEX(Players!$M$2:$M$127,MATCH(B632,Players!$A$2:$A$127,0)),""))</f>
        <v>0.61</v>
      </c>
    </row>
    <row r="633" ht="15.75" customHeight="1">
      <c r="A633" s="4" t="s">
        <v>2911</v>
      </c>
      <c r="B633" s="4" t="s">
        <v>1288</v>
      </c>
      <c r="C633" s="4" t="s">
        <v>1289</v>
      </c>
      <c r="D633" s="4" t="s">
        <v>86</v>
      </c>
      <c r="E633" s="4" t="s">
        <v>113</v>
      </c>
      <c r="F633" s="4">
        <v>4.0</v>
      </c>
      <c r="G633" s="4">
        <v>12.5</v>
      </c>
      <c r="H633" s="4">
        <v>0.61</v>
      </c>
      <c r="I633" s="11">
        <v>0.28</v>
      </c>
      <c r="J633" s="4">
        <v>0.96</v>
      </c>
      <c r="K633" s="18">
        <f t="array" ref="K633">IF(H633&lt;&gt;"",H633,IFERROR(G633/INDEX(Players!$M$2:$M$127,MATCH(B633,Players!$A$2:$A$127,0)),""))</f>
        <v>0.61</v>
      </c>
    </row>
    <row r="634" ht="15.75" customHeight="1">
      <c r="A634" s="4" t="s">
        <v>2912</v>
      </c>
      <c r="B634" s="4" t="s">
        <v>1291</v>
      </c>
      <c r="C634" s="4" t="s">
        <v>1292</v>
      </c>
      <c r="D634" s="4" t="s">
        <v>86</v>
      </c>
      <c r="E634" s="4" t="s">
        <v>250</v>
      </c>
      <c r="F634" s="4">
        <v>10.0</v>
      </c>
      <c r="G634" s="4">
        <v>12.9</v>
      </c>
      <c r="H634" s="4">
        <v>0.61</v>
      </c>
      <c r="I634" s="11">
        <v>0.535</v>
      </c>
      <c r="J634" s="4">
        <v>0.86</v>
      </c>
      <c r="K634" s="18">
        <f t="array" ref="K634">IF(H634&lt;&gt;"",H634,IFERROR(G634/INDEX(Players!$M$2:$M$127,MATCH(B634,Players!$A$2:$A$127,0)),""))</f>
        <v>0.61</v>
      </c>
    </row>
    <row r="635" ht="15.75" customHeight="1">
      <c r="A635" s="4" t="s">
        <v>2913</v>
      </c>
      <c r="B635" s="4" t="s">
        <v>1291</v>
      </c>
      <c r="C635" s="4" t="s">
        <v>1292</v>
      </c>
      <c r="D635" s="4" t="s">
        <v>86</v>
      </c>
      <c r="E635" s="4" t="s">
        <v>112</v>
      </c>
      <c r="F635" s="4">
        <v>7.0</v>
      </c>
      <c r="G635" s="4">
        <v>12.3</v>
      </c>
      <c r="H635" s="4">
        <v>0.62</v>
      </c>
      <c r="I635" s="11">
        <v>0.523</v>
      </c>
      <c r="J635" s="4">
        <v>0.97</v>
      </c>
      <c r="K635" s="18">
        <f t="array" ref="K635">IF(H635&lt;&gt;"",H635,IFERROR(G635/INDEX(Players!$M$2:$M$127,MATCH(B635,Players!$A$2:$A$127,0)),""))</f>
        <v>0.62</v>
      </c>
    </row>
    <row r="636" ht="15.75" customHeight="1">
      <c r="A636" s="4" t="s">
        <v>2914</v>
      </c>
      <c r="B636" s="4" t="s">
        <v>1291</v>
      </c>
      <c r="C636" s="4" t="s">
        <v>1292</v>
      </c>
      <c r="D636" s="4" t="s">
        <v>86</v>
      </c>
      <c r="E636" s="4" t="s">
        <v>276</v>
      </c>
      <c r="F636" s="4">
        <v>6.0</v>
      </c>
      <c r="G636" s="4">
        <v>14.5</v>
      </c>
      <c r="H636" s="4">
        <v>0.74</v>
      </c>
      <c r="I636" s="11">
        <v>0.448</v>
      </c>
      <c r="J636" s="4">
        <v>1.13</v>
      </c>
      <c r="K636" s="18">
        <f t="array" ref="K636">IF(H636&lt;&gt;"",H636,IFERROR(G636/INDEX(Players!$M$2:$M$127,MATCH(B636,Players!$A$2:$A$127,0)),""))</f>
        <v>0.74</v>
      </c>
    </row>
    <row r="637" ht="15.75" customHeight="1">
      <c r="A637" s="4" t="s">
        <v>2915</v>
      </c>
      <c r="B637" s="4" t="s">
        <v>1291</v>
      </c>
      <c r="C637" s="4" t="s">
        <v>1292</v>
      </c>
      <c r="D637" s="4" t="s">
        <v>86</v>
      </c>
      <c r="E637" s="4" t="s">
        <v>270</v>
      </c>
      <c r="F637" s="4">
        <v>5.0</v>
      </c>
      <c r="G637" s="4">
        <v>16.4</v>
      </c>
      <c r="H637" s="4">
        <v>0.66</v>
      </c>
      <c r="I637" s="11">
        <v>0.537</v>
      </c>
      <c r="J637" s="4">
        <v>1.0</v>
      </c>
      <c r="K637" s="18">
        <f t="array" ref="K637">IF(H637&lt;&gt;"",H637,IFERROR(G637/INDEX(Players!$M$2:$M$127,MATCH(B637,Players!$A$2:$A$127,0)),""))</f>
        <v>0.66</v>
      </c>
    </row>
    <row r="638" ht="15.75" customHeight="1">
      <c r="A638" s="4" t="s">
        <v>2916</v>
      </c>
      <c r="B638" s="4" t="s">
        <v>1291</v>
      </c>
      <c r="C638" s="4" t="s">
        <v>1292</v>
      </c>
      <c r="D638" s="4" t="s">
        <v>86</v>
      </c>
      <c r="E638" s="4" t="s">
        <v>262</v>
      </c>
      <c r="F638" s="4">
        <v>5.0</v>
      </c>
      <c r="G638" s="4">
        <v>10.8</v>
      </c>
      <c r="H638" s="4">
        <v>0.55</v>
      </c>
      <c r="I638" s="11">
        <v>0.574</v>
      </c>
      <c r="J638" s="4">
        <v>0.73</v>
      </c>
      <c r="K638" s="18">
        <f t="array" ref="K638">IF(H638&lt;&gt;"",H638,IFERROR(G638/INDEX(Players!$M$2:$M$127,MATCH(B638,Players!$A$2:$A$127,0)),""))</f>
        <v>0.55</v>
      </c>
    </row>
    <row r="639" ht="15.75" customHeight="1">
      <c r="A639" s="4" t="s">
        <v>2917</v>
      </c>
      <c r="B639" s="4" t="s">
        <v>1291</v>
      </c>
      <c r="C639" s="4" t="s">
        <v>1292</v>
      </c>
      <c r="D639" s="4" t="s">
        <v>86</v>
      </c>
      <c r="E639" s="4" t="s">
        <v>113</v>
      </c>
      <c r="F639" s="4">
        <v>4.0</v>
      </c>
      <c r="G639" s="4">
        <v>17.0</v>
      </c>
      <c r="H639" s="4">
        <v>0.83</v>
      </c>
      <c r="I639" s="11">
        <v>0.529</v>
      </c>
      <c r="J639" s="4">
        <v>1.24</v>
      </c>
      <c r="K639" s="18">
        <f t="array" ref="K639">IF(H639&lt;&gt;"",H639,IFERROR(G639/INDEX(Players!$M$2:$M$127,MATCH(B639,Players!$A$2:$A$127,0)),""))</f>
        <v>0.83</v>
      </c>
    </row>
    <row r="640" ht="15.75" customHeight="1">
      <c r="A640" s="4" t="s">
        <v>2918</v>
      </c>
      <c r="B640" s="4" t="s">
        <v>1501</v>
      </c>
      <c r="C640" s="4" t="s">
        <v>1502</v>
      </c>
      <c r="D640" s="4" t="s">
        <v>86</v>
      </c>
      <c r="E640" s="4" t="s">
        <v>113</v>
      </c>
      <c r="F640" s="4">
        <v>7.0</v>
      </c>
      <c r="G640" s="4">
        <v>14.3</v>
      </c>
      <c r="H640" s="4">
        <v>0.68</v>
      </c>
      <c r="I640" s="11">
        <v>0.64</v>
      </c>
      <c r="J640" s="4">
        <v>1.03</v>
      </c>
      <c r="K640" s="18">
        <f t="array" ref="K640">IF(H640&lt;&gt;"",H640,IFERROR(G640/INDEX(Players!$M$2:$M$127,MATCH(B640,Players!$A$2:$A$127,0)),""))</f>
        <v>0.68</v>
      </c>
    </row>
    <row r="641" ht="15.75" customHeight="1">
      <c r="A641" s="4" t="s">
        <v>2919</v>
      </c>
      <c r="B641" s="4" t="s">
        <v>1501</v>
      </c>
      <c r="C641" s="4" t="s">
        <v>1502</v>
      </c>
      <c r="D641" s="4" t="s">
        <v>86</v>
      </c>
      <c r="E641" s="4" t="s">
        <v>262</v>
      </c>
      <c r="F641" s="4">
        <v>5.0</v>
      </c>
      <c r="G641" s="4">
        <v>17.2</v>
      </c>
      <c r="H641" s="4">
        <v>0.79</v>
      </c>
      <c r="I641" s="11">
        <v>0.512</v>
      </c>
      <c r="J641" s="4">
        <v>1.18</v>
      </c>
      <c r="K641" s="18">
        <f t="array" ref="K641">IF(H641&lt;&gt;"",H641,IFERROR(G641/INDEX(Players!$M$2:$M$127,MATCH(B641,Players!$A$2:$A$127,0)),""))</f>
        <v>0.79</v>
      </c>
    </row>
    <row r="642" ht="15.75" customHeight="1">
      <c r="A642" s="4" t="s">
        <v>2920</v>
      </c>
      <c r="B642" s="4" t="s">
        <v>1501</v>
      </c>
      <c r="C642" s="4" t="s">
        <v>1502</v>
      </c>
      <c r="D642" s="4" t="s">
        <v>86</v>
      </c>
      <c r="E642" s="4" t="s">
        <v>110</v>
      </c>
      <c r="F642" s="4">
        <v>5.0</v>
      </c>
      <c r="G642" s="4">
        <v>14.4</v>
      </c>
      <c r="H642" s="4">
        <v>0.62</v>
      </c>
      <c r="I642" s="11">
        <v>0.556</v>
      </c>
      <c r="J642" s="4">
        <v>0.97</v>
      </c>
      <c r="K642" s="18">
        <f t="array" ref="K642">IF(H642&lt;&gt;"",H642,IFERROR(G642/INDEX(Players!$M$2:$M$127,MATCH(B642,Players!$A$2:$A$127,0)),""))</f>
        <v>0.62</v>
      </c>
    </row>
    <row r="643" ht="15.75" customHeight="1">
      <c r="A643" s="4" t="s">
        <v>2922</v>
      </c>
      <c r="B643" s="4" t="s">
        <v>1501</v>
      </c>
      <c r="C643" s="4" t="s">
        <v>1502</v>
      </c>
      <c r="D643" s="4" t="s">
        <v>86</v>
      </c>
      <c r="E643" s="4" t="s">
        <v>270</v>
      </c>
      <c r="F643" s="4">
        <v>5.0</v>
      </c>
      <c r="G643" s="4">
        <v>13.8</v>
      </c>
      <c r="H643" s="4">
        <v>0.61</v>
      </c>
      <c r="I643" s="11">
        <v>0.609</v>
      </c>
      <c r="J643" s="4">
        <v>0.88</v>
      </c>
      <c r="K643" s="18">
        <f t="array" ref="K643">IF(H643&lt;&gt;"",H643,IFERROR(G643/INDEX(Players!$M$2:$M$127,MATCH(B643,Players!$A$2:$A$127,0)),""))</f>
        <v>0.61</v>
      </c>
    </row>
    <row r="644" ht="15.75" customHeight="1">
      <c r="A644" s="4" t="s">
        <v>2923</v>
      </c>
      <c r="B644" s="4" t="s">
        <v>1501</v>
      </c>
      <c r="C644" s="4" t="s">
        <v>1502</v>
      </c>
      <c r="D644" s="4" t="s">
        <v>86</v>
      </c>
      <c r="E644" s="4" t="s">
        <v>250</v>
      </c>
      <c r="F644" s="4">
        <v>4.0</v>
      </c>
      <c r="G644" s="4">
        <v>13.5</v>
      </c>
      <c r="H644" s="4">
        <v>0.66</v>
      </c>
      <c r="I644" s="11">
        <v>0.593</v>
      </c>
      <c r="J644" s="4">
        <v>0.92</v>
      </c>
      <c r="K644" s="18">
        <f t="array" ref="K644">IF(H644&lt;&gt;"",H644,IFERROR(G644/INDEX(Players!$M$2:$M$127,MATCH(B644,Players!$A$2:$A$127,0)),""))</f>
        <v>0.66</v>
      </c>
    </row>
    <row r="645" ht="15.75" customHeight="1">
      <c r="A645" s="4" t="s">
        <v>2924</v>
      </c>
      <c r="B645" s="4" t="s">
        <v>1501</v>
      </c>
      <c r="C645" s="4" t="s">
        <v>1502</v>
      </c>
      <c r="D645" s="4" t="s">
        <v>86</v>
      </c>
      <c r="E645" s="4" t="s">
        <v>276</v>
      </c>
      <c r="F645" s="4">
        <v>4.0</v>
      </c>
      <c r="G645" s="4">
        <v>12.0</v>
      </c>
      <c r="H645" s="4">
        <v>0.6</v>
      </c>
      <c r="I645" s="11">
        <v>0.542</v>
      </c>
      <c r="J645" s="4">
        <v>0.81</v>
      </c>
      <c r="K645" s="18">
        <f t="array" ref="K645">IF(H645&lt;&gt;"",H645,IFERROR(G645/INDEX(Players!$M$2:$M$127,MATCH(B645,Players!$A$2:$A$127,0)),""))</f>
        <v>0.6</v>
      </c>
    </row>
    <row r="646" ht="15.75" customHeight="1">
      <c r="A646" s="4" t="s">
        <v>2925</v>
      </c>
      <c r="B646" s="4" t="s">
        <v>1574</v>
      </c>
      <c r="C646" s="4" t="s">
        <v>1575</v>
      </c>
      <c r="D646" s="4" t="s">
        <v>86</v>
      </c>
      <c r="E646" s="4" t="s">
        <v>276</v>
      </c>
      <c r="F646" s="4">
        <v>9.0</v>
      </c>
      <c r="G646" s="4">
        <v>15.9</v>
      </c>
      <c r="H646" s="4">
        <v>0.71</v>
      </c>
      <c r="I646" s="11">
        <v>0.706</v>
      </c>
      <c r="J646" s="4">
        <v>1.04</v>
      </c>
      <c r="K646" s="18">
        <f t="array" ref="K646">IF(H646&lt;&gt;"",H646,IFERROR(G646/INDEX(Players!$M$2:$M$127,MATCH(B646,Players!$A$2:$A$127,0)),""))</f>
        <v>0.71</v>
      </c>
    </row>
    <row r="647" ht="15.75" customHeight="1">
      <c r="A647" s="4" t="s">
        <v>2926</v>
      </c>
      <c r="B647" s="4" t="s">
        <v>1574</v>
      </c>
      <c r="C647" s="4" t="s">
        <v>1575</v>
      </c>
      <c r="D647" s="4" t="s">
        <v>86</v>
      </c>
      <c r="E647" s="4" t="s">
        <v>110</v>
      </c>
      <c r="F647" s="4">
        <v>7.0</v>
      </c>
      <c r="G647" s="4">
        <v>14.9</v>
      </c>
      <c r="H647" s="4">
        <v>0.76</v>
      </c>
      <c r="I647" s="11">
        <v>0.6920000000000001</v>
      </c>
      <c r="J647" s="4">
        <v>1.11</v>
      </c>
      <c r="K647" s="18">
        <f t="array" ref="K647">IF(H647&lt;&gt;"",H647,IFERROR(G647/INDEX(Players!$M$2:$M$127,MATCH(B647,Players!$A$2:$A$127,0)),""))</f>
        <v>0.76</v>
      </c>
    </row>
    <row r="648" ht="15.75" customHeight="1">
      <c r="A648" s="4" t="s">
        <v>2927</v>
      </c>
      <c r="B648" s="4" t="s">
        <v>1574</v>
      </c>
      <c r="C648" s="4" t="s">
        <v>1575</v>
      </c>
      <c r="D648" s="4" t="s">
        <v>86</v>
      </c>
      <c r="E648" s="4" t="s">
        <v>262</v>
      </c>
      <c r="F648" s="4">
        <v>7.0</v>
      </c>
      <c r="G648" s="4">
        <v>14.1</v>
      </c>
      <c r="H648" s="4">
        <v>0.63</v>
      </c>
      <c r="I648" s="11">
        <v>0.616</v>
      </c>
      <c r="J648" s="4">
        <v>0.91</v>
      </c>
      <c r="K648" s="18">
        <f t="array" ref="K648">IF(H648&lt;&gt;"",H648,IFERROR(G648/INDEX(Players!$M$2:$M$127,MATCH(B648,Players!$A$2:$A$127,0)),""))</f>
        <v>0.63</v>
      </c>
    </row>
    <row r="649" ht="15.75" customHeight="1">
      <c r="A649" s="4" t="s">
        <v>2928</v>
      </c>
      <c r="B649" s="4" t="s">
        <v>1574</v>
      </c>
      <c r="C649" s="4" t="s">
        <v>1575</v>
      </c>
      <c r="D649" s="4" t="s">
        <v>86</v>
      </c>
      <c r="E649" s="4" t="s">
        <v>112</v>
      </c>
      <c r="F649" s="4">
        <v>5.0</v>
      </c>
      <c r="G649" s="4">
        <v>18.8</v>
      </c>
      <c r="H649" s="4">
        <v>0.79</v>
      </c>
      <c r="I649" s="11">
        <v>0.7340000000000001</v>
      </c>
      <c r="J649" s="4">
        <v>1.13</v>
      </c>
      <c r="K649" s="18">
        <f t="array" ref="K649">IF(H649&lt;&gt;"",H649,IFERROR(G649/INDEX(Players!$M$2:$M$127,MATCH(B649,Players!$A$2:$A$127,0)),""))</f>
        <v>0.79</v>
      </c>
    </row>
    <row r="650" ht="15.75" customHeight="1">
      <c r="A650" s="4" t="s">
        <v>2930</v>
      </c>
      <c r="B650" s="4" t="s">
        <v>1574</v>
      </c>
      <c r="C650" s="4" t="s">
        <v>1575</v>
      </c>
      <c r="D650" s="4" t="s">
        <v>86</v>
      </c>
      <c r="E650" s="4" t="s">
        <v>250</v>
      </c>
      <c r="F650" s="4">
        <v>5.0</v>
      </c>
      <c r="G650" s="4">
        <v>17.8</v>
      </c>
      <c r="H650" s="4">
        <v>0.73</v>
      </c>
      <c r="I650" s="11">
        <v>0.685</v>
      </c>
      <c r="J650" s="4">
        <v>1.06</v>
      </c>
      <c r="K650" s="18">
        <f t="array" ref="K650">IF(H650&lt;&gt;"",H650,IFERROR(G650/INDEX(Players!$M$2:$M$127,MATCH(B650,Players!$A$2:$A$127,0)),""))</f>
        <v>0.73</v>
      </c>
    </row>
    <row r="651" ht="15.75" customHeight="1">
      <c r="A651" s="4" t="s">
        <v>2931</v>
      </c>
      <c r="B651" s="4" t="s">
        <v>1574</v>
      </c>
      <c r="C651" s="4" t="s">
        <v>1575</v>
      </c>
      <c r="D651" s="4" t="s">
        <v>86</v>
      </c>
      <c r="E651" s="4" t="s">
        <v>113</v>
      </c>
      <c r="F651" s="4">
        <v>2.0</v>
      </c>
      <c r="G651" s="4">
        <v>11.5</v>
      </c>
      <c r="H651" s="4">
        <v>0.61</v>
      </c>
      <c r="I651" s="11">
        <v>0.609</v>
      </c>
      <c r="J651" s="4">
        <v>0.79</v>
      </c>
      <c r="K651" s="18">
        <f t="array" ref="K651">IF(H651&lt;&gt;"",H651,IFERROR(G651/INDEX(Players!$M$2:$M$127,MATCH(B651,Players!$A$2:$A$127,0)),""))</f>
        <v>0.61</v>
      </c>
    </row>
    <row r="652" ht="15.75" customHeight="1">
      <c r="A652" s="4" t="s">
        <v>2932</v>
      </c>
      <c r="B652" s="4" t="s">
        <v>1574</v>
      </c>
      <c r="C652" s="4" t="s">
        <v>1575</v>
      </c>
      <c r="D652" s="4" t="s">
        <v>86</v>
      </c>
      <c r="E652" s="4" t="s">
        <v>270</v>
      </c>
      <c r="F652" s="4">
        <v>1.0</v>
      </c>
      <c r="G652" s="4">
        <v>13.0</v>
      </c>
      <c r="H652" s="4">
        <v>0.59</v>
      </c>
      <c r="I652" s="11">
        <v>0.615</v>
      </c>
      <c r="J652" s="4">
        <v>0.72</v>
      </c>
      <c r="K652" s="18">
        <f t="array" ref="K652">IF(H652&lt;&gt;"",H652,IFERROR(G652/INDEX(Players!$M$2:$M$127,MATCH(B652,Players!$A$2:$A$127,0)),""))</f>
        <v>0.59</v>
      </c>
    </row>
    <row r="653" ht="15.75" customHeight="1">
      <c r="A653" s="4" t="s">
        <v>2933</v>
      </c>
      <c r="B653" s="4" t="s">
        <v>1577</v>
      </c>
      <c r="C653" s="4" t="s">
        <v>1578</v>
      </c>
      <c r="D653" s="4" t="s">
        <v>86</v>
      </c>
      <c r="E653" s="4" t="s">
        <v>110</v>
      </c>
      <c r="F653" s="4">
        <v>7.0</v>
      </c>
      <c r="G653" s="4">
        <v>15.1</v>
      </c>
      <c r="H653" s="4">
        <v>0.74</v>
      </c>
      <c r="I653" s="11">
        <v>0.387</v>
      </c>
      <c r="J653" s="4">
        <v>1.32</v>
      </c>
      <c r="K653" s="18">
        <f t="array" ref="K653">IF(H653&lt;&gt;"",H653,IFERROR(G653/INDEX(Players!$M$2:$M$127,MATCH(B653,Players!$A$2:$A$127,0)),""))</f>
        <v>0.74</v>
      </c>
    </row>
    <row r="654" ht="15.75" customHeight="1">
      <c r="A654" s="4" t="s">
        <v>2934</v>
      </c>
      <c r="B654" s="4" t="s">
        <v>1577</v>
      </c>
      <c r="C654" s="4" t="s">
        <v>1578</v>
      </c>
      <c r="D654" s="4" t="s">
        <v>86</v>
      </c>
      <c r="E654" s="4" t="s">
        <v>276</v>
      </c>
      <c r="F654" s="4">
        <v>7.0</v>
      </c>
      <c r="G654" s="4">
        <v>14.7</v>
      </c>
      <c r="H654" s="4">
        <v>0.63</v>
      </c>
      <c r="I654" s="11">
        <v>0.398</v>
      </c>
      <c r="J654" s="4">
        <v>0.99</v>
      </c>
      <c r="K654" s="18">
        <f t="array" ref="K654">IF(H654&lt;&gt;"",H654,IFERROR(G654/INDEX(Players!$M$2:$M$127,MATCH(B654,Players!$A$2:$A$127,0)),""))</f>
        <v>0.63</v>
      </c>
    </row>
    <row r="655" ht="15.75" customHeight="1">
      <c r="A655" s="4" t="s">
        <v>2935</v>
      </c>
      <c r="B655" s="4" t="s">
        <v>1577</v>
      </c>
      <c r="C655" s="4" t="s">
        <v>1578</v>
      </c>
      <c r="D655" s="4" t="s">
        <v>86</v>
      </c>
      <c r="E655" s="4" t="s">
        <v>250</v>
      </c>
      <c r="F655" s="4">
        <v>6.0</v>
      </c>
      <c r="G655" s="4">
        <v>18.0</v>
      </c>
      <c r="H655" s="4">
        <v>0.79</v>
      </c>
      <c r="I655" s="11">
        <v>0.398</v>
      </c>
      <c r="J655" s="4">
        <v>1.3</v>
      </c>
      <c r="K655" s="18">
        <f t="array" ref="K655">IF(H655&lt;&gt;"",H655,IFERROR(G655/INDEX(Players!$M$2:$M$127,MATCH(B655,Players!$A$2:$A$127,0)),""))</f>
        <v>0.79</v>
      </c>
    </row>
    <row r="656" ht="15.75" customHeight="1">
      <c r="A656" s="4" t="s">
        <v>2936</v>
      </c>
      <c r="B656" s="4" t="s">
        <v>1577</v>
      </c>
      <c r="C656" s="4" t="s">
        <v>1578</v>
      </c>
      <c r="D656" s="4" t="s">
        <v>86</v>
      </c>
      <c r="E656" s="4" t="s">
        <v>262</v>
      </c>
      <c r="F656" s="4">
        <v>6.0</v>
      </c>
      <c r="G656" s="4">
        <v>18.8</v>
      </c>
      <c r="H656" s="4">
        <v>0.74</v>
      </c>
      <c r="I656" s="11">
        <v>0.345</v>
      </c>
      <c r="J656" s="4">
        <v>1.15</v>
      </c>
      <c r="K656" s="18">
        <f t="array" ref="K656">IF(H656&lt;&gt;"",H656,IFERROR(G656/INDEX(Players!$M$2:$M$127,MATCH(B656,Players!$A$2:$A$127,0)),""))</f>
        <v>0.74</v>
      </c>
    </row>
    <row r="657" ht="15.75" customHeight="1">
      <c r="A657" s="4" t="s">
        <v>2937</v>
      </c>
      <c r="B657" s="4" t="s">
        <v>1577</v>
      </c>
      <c r="C657" s="4" t="s">
        <v>1578</v>
      </c>
      <c r="D657" s="4" t="s">
        <v>86</v>
      </c>
      <c r="E657" s="4" t="s">
        <v>112</v>
      </c>
      <c r="F657" s="4">
        <v>5.0</v>
      </c>
      <c r="G657" s="4">
        <v>18.4</v>
      </c>
      <c r="H657" s="4">
        <v>1.01</v>
      </c>
      <c r="I657" s="11">
        <v>0.348</v>
      </c>
      <c r="J657" s="4">
        <v>1.88</v>
      </c>
      <c r="K657" s="18">
        <f t="array" ref="K657">IF(H657&lt;&gt;"",H657,IFERROR(G657/INDEX(Players!$M$2:$M$127,MATCH(B657,Players!$A$2:$A$127,0)),""))</f>
        <v>1.01</v>
      </c>
    </row>
    <row r="658" ht="15.75" customHeight="1">
      <c r="A658" s="4" t="s">
        <v>2938</v>
      </c>
      <c r="B658" s="4" t="s">
        <v>1577</v>
      </c>
      <c r="C658" s="4" t="s">
        <v>1578</v>
      </c>
      <c r="D658" s="4" t="s">
        <v>86</v>
      </c>
      <c r="E658" s="4" t="s">
        <v>270</v>
      </c>
      <c r="F658" s="4">
        <v>3.0</v>
      </c>
      <c r="G658" s="4">
        <v>19.0</v>
      </c>
      <c r="H658" s="4">
        <v>0.83</v>
      </c>
      <c r="I658" s="11">
        <v>0.439</v>
      </c>
      <c r="J658" s="4">
        <v>1.43</v>
      </c>
      <c r="K658" s="18">
        <f t="array" ref="K658">IF(H658&lt;&gt;"",H658,IFERROR(G658/INDEX(Players!$M$2:$M$127,MATCH(B658,Players!$A$2:$A$127,0)),""))</f>
        <v>0.83</v>
      </c>
    </row>
    <row r="659" ht="15.75" customHeight="1">
      <c r="A659" s="4" t="s">
        <v>2939</v>
      </c>
      <c r="B659" s="4" t="s">
        <v>1577</v>
      </c>
      <c r="C659" s="4" t="s">
        <v>1578</v>
      </c>
      <c r="D659" s="4" t="s">
        <v>86</v>
      </c>
      <c r="E659" s="4" t="s">
        <v>113</v>
      </c>
      <c r="F659" s="4">
        <v>1.0</v>
      </c>
      <c r="G659" s="4">
        <v>10.0</v>
      </c>
      <c r="H659" s="4">
        <v>0.63</v>
      </c>
      <c r="I659" s="11">
        <v>0.4</v>
      </c>
      <c r="J659" s="4">
        <v>1.43</v>
      </c>
      <c r="K659" s="18">
        <f t="array" ref="K659">IF(H659&lt;&gt;"",H659,IFERROR(G659/INDEX(Players!$M$2:$M$127,MATCH(B659,Players!$A$2:$A$127,0)),""))</f>
        <v>0.63</v>
      </c>
    </row>
    <row r="660" ht="15.75" customHeight="1">
      <c r="A660" s="4" t="s">
        <v>2940</v>
      </c>
      <c r="B660" s="4" t="s">
        <v>1309</v>
      </c>
      <c r="C660" s="4" t="s">
        <v>1310</v>
      </c>
      <c r="D660" s="4" t="s">
        <v>86</v>
      </c>
      <c r="E660" s="4" t="s">
        <v>250</v>
      </c>
      <c r="F660" s="4">
        <v>9.0</v>
      </c>
      <c r="G660" s="4">
        <v>14.9</v>
      </c>
      <c r="H660" s="4">
        <v>0.71</v>
      </c>
      <c r="I660" s="11">
        <v>0.358</v>
      </c>
      <c r="J660" s="4">
        <v>1.13</v>
      </c>
      <c r="K660" s="18">
        <f t="array" ref="K660">IF(H660&lt;&gt;"",H660,IFERROR(G660/INDEX(Players!$M$2:$M$127,MATCH(B660,Players!$A$2:$A$127,0)),""))</f>
        <v>0.71</v>
      </c>
    </row>
    <row r="661" ht="15.75" customHeight="1">
      <c r="A661" s="4" t="s">
        <v>2941</v>
      </c>
      <c r="B661" s="4" t="s">
        <v>1309</v>
      </c>
      <c r="C661" s="4" t="s">
        <v>1310</v>
      </c>
      <c r="D661" s="4" t="s">
        <v>86</v>
      </c>
      <c r="E661" s="4" t="s">
        <v>112</v>
      </c>
      <c r="F661" s="4">
        <v>7.0</v>
      </c>
      <c r="G661" s="4">
        <v>15.7</v>
      </c>
      <c r="H661" s="4">
        <v>0.66</v>
      </c>
      <c r="I661" s="11">
        <v>0.264</v>
      </c>
      <c r="J661" s="4">
        <v>1.11</v>
      </c>
      <c r="K661" s="18">
        <f t="array" ref="K661">IF(H661&lt;&gt;"",H661,IFERROR(G661/INDEX(Players!$M$2:$M$127,MATCH(B661,Players!$A$2:$A$127,0)),""))</f>
        <v>0.66</v>
      </c>
    </row>
    <row r="662" ht="15.75" customHeight="1">
      <c r="A662" s="4" t="s">
        <v>2942</v>
      </c>
      <c r="B662" s="4" t="s">
        <v>1309</v>
      </c>
      <c r="C662" s="4" t="s">
        <v>1310</v>
      </c>
      <c r="D662" s="4" t="s">
        <v>86</v>
      </c>
      <c r="E662" s="4" t="s">
        <v>110</v>
      </c>
      <c r="F662" s="4">
        <v>6.0</v>
      </c>
      <c r="G662" s="4">
        <v>13.7</v>
      </c>
      <c r="H662" s="4">
        <v>0.57</v>
      </c>
      <c r="I662" s="11">
        <v>0.329</v>
      </c>
      <c r="J662" s="4">
        <v>0.89</v>
      </c>
      <c r="K662" s="18">
        <f t="array" ref="K662">IF(H662&lt;&gt;"",H662,IFERROR(G662/INDEX(Players!$M$2:$M$127,MATCH(B662,Players!$A$2:$A$127,0)),""))</f>
        <v>0.57</v>
      </c>
    </row>
    <row r="663" ht="15.75" customHeight="1">
      <c r="A663" s="4" t="s">
        <v>2943</v>
      </c>
      <c r="B663" s="4" t="s">
        <v>1309</v>
      </c>
      <c r="C663" s="4" t="s">
        <v>1310</v>
      </c>
      <c r="D663" s="4" t="s">
        <v>86</v>
      </c>
      <c r="E663" s="4" t="s">
        <v>262</v>
      </c>
      <c r="F663" s="4">
        <v>4.0</v>
      </c>
      <c r="G663" s="4">
        <v>13.3</v>
      </c>
      <c r="H663" s="4">
        <v>0.65</v>
      </c>
      <c r="I663" s="11">
        <v>0.358</v>
      </c>
      <c r="J663" s="4">
        <v>1.18</v>
      </c>
      <c r="K663" s="18">
        <f t="array" ref="K663">IF(H663&lt;&gt;"",H663,IFERROR(G663/INDEX(Players!$M$2:$M$127,MATCH(B663,Players!$A$2:$A$127,0)),""))</f>
        <v>0.65</v>
      </c>
    </row>
    <row r="664" ht="15.75" customHeight="1">
      <c r="A664" s="4" t="s">
        <v>2944</v>
      </c>
      <c r="B664" s="4" t="s">
        <v>1309</v>
      </c>
      <c r="C664" s="4" t="s">
        <v>1310</v>
      </c>
      <c r="D664" s="4" t="s">
        <v>86</v>
      </c>
      <c r="E664" s="4" t="s">
        <v>113</v>
      </c>
      <c r="F664" s="4">
        <v>4.0</v>
      </c>
      <c r="G664" s="4">
        <v>15.0</v>
      </c>
      <c r="H664" s="4">
        <v>0.63</v>
      </c>
      <c r="I664" s="11">
        <v>0.4</v>
      </c>
      <c r="J664" s="4">
        <v>0.91</v>
      </c>
      <c r="K664" s="18">
        <f t="array" ref="K664">IF(H664&lt;&gt;"",H664,IFERROR(G664/INDEX(Players!$M$2:$M$127,MATCH(B664,Players!$A$2:$A$127,0)),""))</f>
        <v>0.63</v>
      </c>
    </row>
    <row r="665" ht="15.75" customHeight="1">
      <c r="A665" s="4" t="s">
        <v>2945</v>
      </c>
      <c r="B665" s="4" t="s">
        <v>1309</v>
      </c>
      <c r="C665" s="4" t="s">
        <v>1310</v>
      </c>
      <c r="D665" s="4" t="s">
        <v>86</v>
      </c>
      <c r="E665" s="4" t="s">
        <v>276</v>
      </c>
      <c r="F665" s="4">
        <v>2.0</v>
      </c>
      <c r="G665" s="4">
        <v>17.5</v>
      </c>
      <c r="H665" s="4">
        <v>0.88</v>
      </c>
      <c r="I665" s="11">
        <v>0.4</v>
      </c>
      <c r="J665" s="4">
        <v>1.46</v>
      </c>
      <c r="K665" s="18">
        <f t="array" ref="K665">IF(H665&lt;&gt;"",H665,IFERROR(G665/INDEX(Players!$M$2:$M$127,MATCH(B665,Players!$A$2:$A$127,0)),""))</f>
        <v>0.88</v>
      </c>
    </row>
    <row r="666" ht="15.75" customHeight="1">
      <c r="A666" s="4" t="s">
        <v>2946</v>
      </c>
      <c r="B666" s="4" t="s">
        <v>1580</v>
      </c>
      <c r="C666" s="4" t="s">
        <v>1581</v>
      </c>
      <c r="D666" s="4" t="s">
        <v>1582</v>
      </c>
      <c r="E666" s="4" t="s">
        <v>172</v>
      </c>
      <c r="F666" s="4">
        <v>8.0</v>
      </c>
      <c r="G666" s="4">
        <v>17.8</v>
      </c>
      <c r="I666" s="11"/>
      <c r="J666" s="4">
        <v>1.05</v>
      </c>
      <c r="K666" s="18">
        <f t="array" ref="K666">IF(H666&lt;&gt;"",H666,IFERROR(G666/INDEX(Players!$M$2:$M$127,MATCH(B666,Players!$A$2:$A$127,0)),""))</f>
        <v>0.8528255528</v>
      </c>
    </row>
    <row r="667" ht="15.75" customHeight="1">
      <c r="A667" s="4" t="s">
        <v>2949</v>
      </c>
      <c r="B667" s="4" t="s">
        <v>1580</v>
      </c>
      <c r="C667" s="4" t="s">
        <v>1581</v>
      </c>
      <c r="D667" s="4" t="s">
        <v>1582</v>
      </c>
      <c r="E667" s="4" t="s">
        <v>168</v>
      </c>
      <c r="F667" s="4">
        <v>7.0</v>
      </c>
      <c r="G667" s="4">
        <v>20.3</v>
      </c>
      <c r="I667" s="11"/>
      <c r="J667" s="4">
        <v>1.51</v>
      </c>
      <c r="K667" s="18">
        <f t="array" ref="K667">IF(H667&lt;&gt;"",H667,IFERROR(G667/INDEX(Players!$M$2:$M$127,MATCH(B667,Players!$A$2:$A$127,0)),""))</f>
        <v>0.9726044226</v>
      </c>
    </row>
    <row r="668" ht="15.75" customHeight="1">
      <c r="A668" s="4" t="s">
        <v>2950</v>
      </c>
      <c r="B668" s="4" t="s">
        <v>1580</v>
      </c>
      <c r="C668" s="4" t="s">
        <v>1581</v>
      </c>
      <c r="D668" s="4" t="s">
        <v>1582</v>
      </c>
      <c r="E668" s="4" t="s">
        <v>147</v>
      </c>
      <c r="F668" s="4">
        <v>6.0</v>
      </c>
      <c r="G668" s="4">
        <v>14.2</v>
      </c>
      <c r="I668" s="11"/>
      <c r="J668" s="4">
        <v>0.91</v>
      </c>
      <c r="K668" s="18">
        <f t="array" ref="K668">IF(H668&lt;&gt;"",H668,IFERROR(G668/INDEX(Players!$M$2:$M$127,MATCH(B668,Players!$A$2:$A$127,0)),""))</f>
        <v>0.6803439803</v>
      </c>
    </row>
    <row r="669" ht="15.75" customHeight="1">
      <c r="A669" s="4" t="s">
        <v>2951</v>
      </c>
      <c r="B669" s="4" t="s">
        <v>1580</v>
      </c>
      <c r="C669" s="4" t="s">
        <v>1581</v>
      </c>
      <c r="D669" s="4" t="s">
        <v>1582</v>
      </c>
      <c r="E669" s="4" t="s">
        <v>152</v>
      </c>
      <c r="F669" s="4">
        <v>5.0</v>
      </c>
      <c r="G669" s="4">
        <v>12.6</v>
      </c>
      <c r="I669" s="11"/>
      <c r="J669" s="4">
        <v>0.98</v>
      </c>
      <c r="K669" s="18">
        <f t="array" ref="K669">IF(H669&lt;&gt;"",H669,IFERROR(G669/INDEX(Players!$M$2:$M$127,MATCH(B669,Players!$A$2:$A$127,0)),""))</f>
        <v>0.6036855037</v>
      </c>
    </row>
    <row r="670" ht="15.75" customHeight="1">
      <c r="A670" s="4" t="s">
        <v>2952</v>
      </c>
      <c r="B670" s="4" t="s">
        <v>1580</v>
      </c>
      <c r="C670" s="4" t="s">
        <v>1581</v>
      </c>
      <c r="D670" s="4" t="s">
        <v>1582</v>
      </c>
      <c r="E670" s="4" t="s">
        <v>141</v>
      </c>
      <c r="F670" s="4">
        <v>4.0</v>
      </c>
      <c r="G670" s="4">
        <v>16.8</v>
      </c>
      <c r="I670" s="11"/>
      <c r="J670" s="4">
        <v>1.4</v>
      </c>
      <c r="K670" s="18">
        <f t="array" ref="K670">IF(H670&lt;&gt;"",H670,IFERROR(G670/INDEX(Players!$M$2:$M$127,MATCH(B670,Players!$A$2:$A$127,0)),""))</f>
        <v>0.8049140049</v>
      </c>
    </row>
    <row r="671" ht="15.75" customHeight="1">
      <c r="A671" s="4" t="s">
        <v>2953</v>
      </c>
      <c r="B671" s="4" t="s">
        <v>1580</v>
      </c>
      <c r="C671" s="4" t="s">
        <v>1581</v>
      </c>
      <c r="D671" s="4" t="s">
        <v>1582</v>
      </c>
      <c r="E671" s="4" t="s">
        <v>156</v>
      </c>
      <c r="F671" s="4">
        <v>4.0</v>
      </c>
      <c r="G671" s="4">
        <v>16.8</v>
      </c>
      <c r="I671" s="11"/>
      <c r="J671" s="4">
        <v>1.34</v>
      </c>
      <c r="K671" s="18">
        <f t="array" ref="K671">IF(H671&lt;&gt;"",H671,IFERROR(G671/INDEX(Players!$M$2:$M$127,MATCH(B671,Players!$A$2:$A$127,0)),""))</f>
        <v>0.8049140049</v>
      </c>
    </row>
    <row r="672" ht="15.75" customHeight="1">
      <c r="A672" s="4" t="s">
        <v>2955</v>
      </c>
      <c r="B672" s="4" t="s">
        <v>1580</v>
      </c>
      <c r="C672" s="4" t="s">
        <v>1581</v>
      </c>
      <c r="D672" s="4" t="s">
        <v>1582</v>
      </c>
      <c r="E672" s="4" t="s">
        <v>161</v>
      </c>
      <c r="F672" s="4">
        <v>3.0</v>
      </c>
      <c r="G672" s="4">
        <v>14.7</v>
      </c>
      <c r="I672" s="11"/>
      <c r="J672" s="4">
        <v>1.07</v>
      </c>
      <c r="K672" s="18">
        <f t="array" ref="K672">IF(H672&lt;&gt;"",H672,IFERROR(G672/INDEX(Players!$M$2:$M$127,MATCH(B672,Players!$A$2:$A$127,0)),""))</f>
        <v>0.7042997543</v>
      </c>
    </row>
    <row r="673" ht="15.75" customHeight="1">
      <c r="A673" s="4" t="s">
        <v>2956</v>
      </c>
      <c r="B673" s="4" t="s">
        <v>1580</v>
      </c>
      <c r="C673" s="4" t="s">
        <v>1581</v>
      </c>
      <c r="D673" s="4" t="s">
        <v>1582</v>
      </c>
      <c r="E673" s="4" t="s">
        <v>165</v>
      </c>
      <c r="F673" s="4">
        <v>2.0</v>
      </c>
      <c r="G673" s="4">
        <v>12.5</v>
      </c>
      <c r="I673" s="11"/>
      <c r="J673" s="4">
        <v>0.96</v>
      </c>
      <c r="K673" s="18">
        <f t="array" ref="K673">IF(H673&lt;&gt;"",H673,IFERROR(G673/INDEX(Players!$M$2:$M$127,MATCH(B673,Players!$A$2:$A$127,0)),""))</f>
        <v>0.5988943489</v>
      </c>
    </row>
    <row r="674" ht="15.75" customHeight="1">
      <c r="A674" s="4" t="s">
        <v>2957</v>
      </c>
      <c r="B674" s="4" t="s">
        <v>1597</v>
      </c>
      <c r="C674" s="4" t="s">
        <v>1598</v>
      </c>
      <c r="D674" s="4" t="s">
        <v>1582</v>
      </c>
      <c r="E674" s="4" t="s">
        <v>165</v>
      </c>
      <c r="F674" s="4">
        <v>7.0</v>
      </c>
      <c r="G674" s="4">
        <v>13.7</v>
      </c>
      <c r="I674" s="11"/>
      <c r="J674" s="4">
        <v>1.01</v>
      </c>
      <c r="K674" s="18">
        <f t="array" ref="K674">IF(H674&lt;&gt;"",H674,IFERROR(G674/INDEX(Players!$M$2:$M$127,MATCH(B674,Players!$A$2:$A$127,0)),""))</f>
        <v>0.6459724951</v>
      </c>
    </row>
    <row r="675" ht="15.75" customHeight="1">
      <c r="A675" s="4" t="s">
        <v>2958</v>
      </c>
      <c r="B675" s="4" t="s">
        <v>1597</v>
      </c>
      <c r="C675" s="4" t="s">
        <v>1598</v>
      </c>
      <c r="D675" s="4" t="s">
        <v>1582</v>
      </c>
      <c r="E675" s="4" t="s">
        <v>161</v>
      </c>
      <c r="F675" s="4">
        <v>6.0</v>
      </c>
      <c r="G675" s="4">
        <v>13.7</v>
      </c>
      <c r="I675" s="11"/>
      <c r="J675" s="4">
        <v>1.0</v>
      </c>
      <c r="K675" s="18">
        <f t="array" ref="K675">IF(H675&lt;&gt;"",H675,IFERROR(G675/INDEX(Players!$M$2:$M$127,MATCH(B675,Players!$A$2:$A$127,0)),""))</f>
        <v>0.6459724951</v>
      </c>
    </row>
    <row r="676" ht="15.75" customHeight="1">
      <c r="A676" s="4" t="s">
        <v>2959</v>
      </c>
      <c r="B676" s="4" t="s">
        <v>1597</v>
      </c>
      <c r="C676" s="4" t="s">
        <v>1598</v>
      </c>
      <c r="D676" s="4" t="s">
        <v>1582</v>
      </c>
      <c r="E676" s="4" t="s">
        <v>141</v>
      </c>
      <c r="F676" s="4">
        <v>6.0</v>
      </c>
      <c r="G676" s="4">
        <v>13.5</v>
      </c>
      <c r="I676" s="11"/>
      <c r="J676" s="4">
        <v>0.9</v>
      </c>
      <c r="K676" s="18">
        <f t="array" ref="K676">IF(H676&lt;&gt;"",H676,IFERROR(G676/INDEX(Players!$M$2:$M$127,MATCH(B676,Players!$A$2:$A$127,0)),""))</f>
        <v>0.6365422397</v>
      </c>
    </row>
    <row r="677" ht="15.75" customHeight="1">
      <c r="A677" s="4" t="s">
        <v>2960</v>
      </c>
      <c r="B677" s="4" t="s">
        <v>1597</v>
      </c>
      <c r="C677" s="4" t="s">
        <v>1598</v>
      </c>
      <c r="D677" s="4" t="s">
        <v>1582</v>
      </c>
      <c r="E677" s="4" t="s">
        <v>168</v>
      </c>
      <c r="F677" s="4">
        <v>4.0</v>
      </c>
      <c r="G677" s="4">
        <v>20.3</v>
      </c>
      <c r="I677" s="11"/>
      <c r="J677" s="4">
        <v>1.45</v>
      </c>
      <c r="K677" s="18">
        <f t="array" ref="K677">IF(H677&lt;&gt;"",H677,IFERROR(G677/INDEX(Players!$M$2:$M$127,MATCH(B677,Players!$A$2:$A$127,0)),""))</f>
        <v>0.9571709234</v>
      </c>
    </row>
    <row r="678" ht="15.75" customHeight="1">
      <c r="A678" s="4" t="s">
        <v>2961</v>
      </c>
      <c r="B678" s="4" t="s">
        <v>1597</v>
      </c>
      <c r="C678" s="4" t="s">
        <v>1598</v>
      </c>
      <c r="D678" s="4" t="s">
        <v>1582</v>
      </c>
      <c r="E678" s="4" t="s">
        <v>156</v>
      </c>
      <c r="F678" s="4">
        <v>4.0</v>
      </c>
      <c r="G678" s="4">
        <v>18.5</v>
      </c>
      <c r="I678" s="11"/>
      <c r="J678" s="4">
        <v>1.19</v>
      </c>
      <c r="K678" s="18">
        <f t="array" ref="K678">IF(H678&lt;&gt;"",H678,IFERROR(G678/INDEX(Players!$M$2:$M$127,MATCH(B678,Players!$A$2:$A$127,0)),""))</f>
        <v>0.8722986248</v>
      </c>
    </row>
    <row r="679" ht="15.75" customHeight="1">
      <c r="A679" s="4" t="s">
        <v>2962</v>
      </c>
      <c r="B679" s="4" t="s">
        <v>1597</v>
      </c>
      <c r="C679" s="4" t="s">
        <v>1598</v>
      </c>
      <c r="D679" s="4" t="s">
        <v>1582</v>
      </c>
      <c r="E679" s="4" t="s">
        <v>172</v>
      </c>
      <c r="F679" s="4">
        <v>4.0</v>
      </c>
      <c r="G679" s="4">
        <v>15.5</v>
      </c>
      <c r="I679" s="11"/>
      <c r="J679" s="4">
        <v>1.09</v>
      </c>
      <c r="K679" s="18">
        <f t="array" ref="K679">IF(H679&lt;&gt;"",H679,IFERROR(G679/INDEX(Players!$M$2:$M$127,MATCH(B679,Players!$A$2:$A$127,0)),""))</f>
        <v>0.7308447937</v>
      </c>
    </row>
    <row r="680" ht="15.75" customHeight="1">
      <c r="A680" s="4" t="s">
        <v>2964</v>
      </c>
      <c r="B680" s="4" t="s">
        <v>1597</v>
      </c>
      <c r="C680" s="4" t="s">
        <v>1598</v>
      </c>
      <c r="D680" s="4" t="s">
        <v>1582</v>
      </c>
      <c r="E680" s="4" t="s">
        <v>147</v>
      </c>
      <c r="F680" s="4">
        <v>4.0</v>
      </c>
      <c r="G680" s="4">
        <v>16.3</v>
      </c>
      <c r="I680" s="11"/>
      <c r="J680" s="4">
        <v>1.05</v>
      </c>
      <c r="K680" s="18">
        <f t="array" ref="K680">IF(H680&lt;&gt;"",H680,IFERROR(G680/INDEX(Players!$M$2:$M$127,MATCH(B680,Players!$A$2:$A$127,0)),""))</f>
        <v>0.7685658153</v>
      </c>
    </row>
    <row r="681" ht="15.75" customHeight="1">
      <c r="A681" s="4" t="s">
        <v>2965</v>
      </c>
      <c r="B681" s="4" t="s">
        <v>1597</v>
      </c>
      <c r="C681" s="4" t="s">
        <v>1598</v>
      </c>
      <c r="D681" s="4" t="s">
        <v>1582</v>
      </c>
      <c r="E681" s="4" t="s">
        <v>152</v>
      </c>
      <c r="F681" s="4">
        <v>2.0</v>
      </c>
      <c r="G681" s="4">
        <v>12.0</v>
      </c>
      <c r="I681" s="11"/>
      <c r="J681" s="4">
        <v>0.77</v>
      </c>
      <c r="K681" s="18">
        <f t="array" ref="K681">IF(H681&lt;&gt;"",H681,IFERROR(G681/INDEX(Players!$M$2:$M$127,MATCH(B681,Players!$A$2:$A$127,0)),""))</f>
        <v>0.5658153242</v>
      </c>
    </row>
    <row r="682" ht="15.75" customHeight="1">
      <c r="A682" s="4" t="s">
        <v>2966</v>
      </c>
      <c r="B682" s="4" t="s">
        <v>1585</v>
      </c>
      <c r="C682" s="4" t="s">
        <v>1586</v>
      </c>
      <c r="D682" s="4" t="s">
        <v>1582</v>
      </c>
      <c r="E682" s="4" t="s">
        <v>172</v>
      </c>
      <c r="F682" s="4">
        <v>8.0</v>
      </c>
      <c r="G682" s="4">
        <v>15.5</v>
      </c>
      <c r="I682" s="11"/>
      <c r="J682" s="4">
        <v>1.03</v>
      </c>
      <c r="K682" s="18">
        <f t="array" ref="K682">IF(H682&lt;&gt;"",H682,IFERROR(G682/INDEX(Players!$M$2:$M$127,MATCH(B682,Players!$A$2:$A$127,0)),""))</f>
        <v>0.7433004231</v>
      </c>
    </row>
    <row r="683" ht="15.75" customHeight="1">
      <c r="A683" s="4" t="s">
        <v>2967</v>
      </c>
      <c r="B683" s="4" t="s">
        <v>1585</v>
      </c>
      <c r="C683" s="4" t="s">
        <v>1586</v>
      </c>
      <c r="D683" s="4" t="s">
        <v>1582</v>
      </c>
      <c r="E683" s="4" t="s">
        <v>168</v>
      </c>
      <c r="F683" s="4">
        <v>7.0</v>
      </c>
      <c r="G683" s="4">
        <v>14.6</v>
      </c>
      <c r="I683" s="11"/>
      <c r="J683" s="4">
        <v>1.07</v>
      </c>
      <c r="K683" s="18">
        <f t="array" ref="K683">IF(H683&lt;&gt;"",H683,IFERROR(G683/INDEX(Players!$M$2:$M$127,MATCH(B683,Players!$A$2:$A$127,0)),""))</f>
        <v>0.7001410437</v>
      </c>
    </row>
    <row r="684" ht="15.75" customHeight="1">
      <c r="A684" s="4" t="s">
        <v>2968</v>
      </c>
      <c r="B684" s="4" t="s">
        <v>1585</v>
      </c>
      <c r="C684" s="4" t="s">
        <v>1586</v>
      </c>
      <c r="D684" s="4" t="s">
        <v>1582</v>
      </c>
      <c r="E684" s="4" t="s">
        <v>147</v>
      </c>
      <c r="F684" s="4">
        <v>6.0</v>
      </c>
      <c r="G684" s="4">
        <v>17.3</v>
      </c>
      <c r="I684" s="11"/>
      <c r="J684" s="4">
        <v>1.27</v>
      </c>
      <c r="K684" s="18">
        <f t="array" ref="K684">IF(H684&lt;&gt;"",H684,IFERROR(G684/INDEX(Players!$M$2:$M$127,MATCH(B684,Players!$A$2:$A$127,0)),""))</f>
        <v>0.8296191819</v>
      </c>
    </row>
    <row r="685" ht="15.75" customHeight="1">
      <c r="A685" s="4" t="s">
        <v>2969</v>
      </c>
      <c r="B685" s="4" t="s">
        <v>1585</v>
      </c>
      <c r="C685" s="4" t="s">
        <v>1586</v>
      </c>
      <c r="D685" s="4" t="s">
        <v>1582</v>
      </c>
      <c r="E685" s="4" t="s">
        <v>152</v>
      </c>
      <c r="F685" s="4">
        <v>5.0</v>
      </c>
      <c r="G685" s="4">
        <v>13.0</v>
      </c>
      <c r="I685" s="11"/>
      <c r="J685" s="4">
        <v>1.2</v>
      </c>
      <c r="K685" s="18">
        <f t="array" ref="K685">IF(H685&lt;&gt;"",H685,IFERROR(G685/INDEX(Players!$M$2:$M$127,MATCH(B685,Players!$A$2:$A$127,0)),""))</f>
        <v>0.6234132581</v>
      </c>
    </row>
    <row r="686" ht="15.75" customHeight="1">
      <c r="A686" s="4" t="s">
        <v>2970</v>
      </c>
      <c r="B686" s="4" t="s">
        <v>1585</v>
      </c>
      <c r="C686" s="4" t="s">
        <v>1586</v>
      </c>
      <c r="D686" s="4" t="s">
        <v>1582</v>
      </c>
      <c r="E686" s="4" t="s">
        <v>141</v>
      </c>
      <c r="F686" s="4">
        <v>4.0</v>
      </c>
      <c r="G686" s="4">
        <v>12.8</v>
      </c>
      <c r="I686" s="11"/>
      <c r="J686" s="4">
        <v>0.98</v>
      </c>
      <c r="K686" s="18">
        <f t="array" ref="K686">IF(H686&lt;&gt;"",H686,IFERROR(G686/INDEX(Players!$M$2:$M$127,MATCH(B686,Players!$A$2:$A$127,0)),""))</f>
        <v>0.6138222849</v>
      </c>
    </row>
    <row r="687" ht="15.75" customHeight="1">
      <c r="A687" s="4" t="s">
        <v>2971</v>
      </c>
      <c r="B687" s="4" t="s">
        <v>1585</v>
      </c>
      <c r="C687" s="4" t="s">
        <v>1586</v>
      </c>
      <c r="D687" s="4" t="s">
        <v>1582</v>
      </c>
      <c r="E687" s="4" t="s">
        <v>156</v>
      </c>
      <c r="F687" s="4">
        <v>4.0</v>
      </c>
      <c r="G687" s="4">
        <v>10.8</v>
      </c>
      <c r="I687" s="11"/>
      <c r="J687" s="4">
        <v>0.91</v>
      </c>
      <c r="K687" s="18">
        <f t="array" ref="K687">IF(H687&lt;&gt;"",H687,IFERROR(G687/INDEX(Players!$M$2:$M$127,MATCH(B687,Players!$A$2:$A$127,0)),""))</f>
        <v>0.5179125529</v>
      </c>
    </row>
    <row r="688" ht="15.75" customHeight="1">
      <c r="A688" s="4" t="s">
        <v>2972</v>
      </c>
      <c r="B688" s="4" t="s">
        <v>1585</v>
      </c>
      <c r="C688" s="4" t="s">
        <v>1586</v>
      </c>
      <c r="D688" s="4" t="s">
        <v>1582</v>
      </c>
      <c r="E688" s="4" t="s">
        <v>161</v>
      </c>
      <c r="F688" s="4">
        <v>3.0</v>
      </c>
      <c r="G688" s="4">
        <v>14.3</v>
      </c>
      <c r="I688" s="11"/>
      <c r="J688" s="4">
        <v>1.23</v>
      </c>
      <c r="K688" s="18">
        <f t="array" ref="K688">IF(H688&lt;&gt;"",H688,IFERROR(G688/INDEX(Players!$M$2:$M$127,MATCH(B688,Players!$A$2:$A$127,0)),""))</f>
        <v>0.6857545839</v>
      </c>
    </row>
    <row r="689" ht="15.75" customHeight="1">
      <c r="A689" s="4" t="s">
        <v>2973</v>
      </c>
      <c r="B689" s="4" t="s">
        <v>1585</v>
      </c>
      <c r="C689" s="4" t="s">
        <v>1586</v>
      </c>
      <c r="D689" s="4" t="s">
        <v>1582</v>
      </c>
      <c r="E689" s="4" t="s">
        <v>165</v>
      </c>
      <c r="F689" s="4">
        <v>2.0</v>
      </c>
      <c r="G689" s="4">
        <v>10.5</v>
      </c>
      <c r="I689" s="11"/>
      <c r="J689" s="4">
        <v>0.88</v>
      </c>
      <c r="K689" s="18">
        <f t="array" ref="K689">IF(H689&lt;&gt;"",H689,IFERROR(G689/INDEX(Players!$M$2:$M$127,MATCH(B689,Players!$A$2:$A$127,0)),""))</f>
        <v>0.5035260931</v>
      </c>
    </row>
    <row r="690" ht="15.75" customHeight="1">
      <c r="A690" s="4" t="s">
        <v>2974</v>
      </c>
      <c r="B690" s="4" t="s">
        <v>1631</v>
      </c>
      <c r="C690" s="4" t="s">
        <v>1632</v>
      </c>
      <c r="D690" s="4" t="s">
        <v>1582</v>
      </c>
      <c r="E690" s="4" t="s">
        <v>141</v>
      </c>
      <c r="F690" s="4">
        <v>9.0</v>
      </c>
      <c r="G690" s="4">
        <v>16.6</v>
      </c>
      <c r="I690" s="11"/>
      <c r="J690" s="4">
        <v>1.26</v>
      </c>
      <c r="K690" s="18">
        <f t="array" ref="K690">IF(H690&lt;&gt;"",H690,IFERROR(G690/INDEX(Players!$M$2:$M$127,MATCH(B690,Players!$A$2:$A$127,0)),""))</f>
        <v>0.76357908</v>
      </c>
    </row>
    <row r="691" ht="15.75" customHeight="1">
      <c r="A691" s="4" t="s">
        <v>2975</v>
      </c>
      <c r="B691" s="4" t="s">
        <v>1631</v>
      </c>
      <c r="C691" s="4" t="s">
        <v>1632</v>
      </c>
      <c r="D691" s="4" t="s">
        <v>1582</v>
      </c>
      <c r="E691" s="4" t="s">
        <v>147</v>
      </c>
      <c r="F691" s="4">
        <v>6.0</v>
      </c>
      <c r="G691" s="4">
        <v>16.0</v>
      </c>
      <c r="I691" s="11"/>
      <c r="J691" s="4">
        <v>1.01</v>
      </c>
      <c r="K691" s="18">
        <f t="array" ref="K691">IF(H691&lt;&gt;"",H691,IFERROR(G691/INDEX(Players!$M$2:$M$127,MATCH(B691,Players!$A$2:$A$127,0)),""))</f>
        <v>0.7359798362</v>
      </c>
    </row>
    <row r="692" ht="15.75" customHeight="1">
      <c r="A692" s="4" t="s">
        <v>2976</v>
      </c>
      <c r="B692" s="4" t="s">
        <v>1631</v>
      </c>
      <c r="C692" s="4" t="s">
        <v>1632</v>
      </c>
      <c r="D692" s="4" t="s">
        <v>1582</v>
      </c>
      <c r="E692" s="4" t="s">
        <v>168</v>
      </c>
      <c r="F692" s="4">
        <v>6.0</v>
      </c>
      <c r="G692" s="4">
        <v>13.3</v>
      </c>
      <c r="I692" s="11"/>
      <c r="J692" s="4">
        <v>0.93</v>
      </c>
      <c r="K692" s="18">
        <f t="array" ref="K692">IF(H692&lt;&gt;"",H692,IFERROR(G692/INDEX(Players!$M$2:$M$127,MATCH(B692,Players!$A$2:$A$127,0)),""))</f>
        <v>0.6117832388</v>
      </c>
    </row>
    <row r="693" ht="15.75" customHeight="1">
      <c r="A693" s="4" t="s">
        <v>2977</v>
      </c>
      <c r="B693" s="4" t="s">
        <v>1631</v>
      </c>
      <c r="C693" s="4" t="s">
        <v>1632</v>
      </c>
      <c r="D693" s="4" t="s">
        <v>1582</v>
      </c>
      <c r="E693" s="4" t="s">
        <v>161</v>
      </c>
      <c r="F693" s="4">
        <v>5.0</v>
      </c>
      <c r="G693" s="4">
        <v>13.2</v>
      </c>
      <c r="I693" s="11"/>
      <c r="J693" s="4">
        <v>0.99</v>
      </c>
      <c r="K693" s="18">
        <f t="array" ref="K693">IF(H693&lt;&gt;"",H693,IFERROR(G693/INDEX(Players!$M$2:$M$127,MATCH(B693,Players!$A$2:$A$127,0)),""))</f>
        <v>0.6071833648</v>
      </c>
    </row>
    <row r="694" ht="15.75" customHeight="1">
      <c r="A694" s="4" t="s">
        <v>2978</v>
      </c>
      <c r="B694" s="4" t="s">
        <v>1631</v>
      </c>
      <c r="C694" s="4" t="s">
        <v>1632</v>
      </c>
      <c r="D694" s="4" t="s">
        <v>1582</v>
      </c>
      <c r="E694" s="4" t="s">
        <v>165</v>
      </c>
      <c r="F694" s="4">
        <v>5.0</v>
      </c>
      <c r="G694" s="4">
        <v>14.2</v>
      </c>
      <c r="I694" s="11"/>
      <c r="J694" s="4">
        <v>0.9</v>
      </c>
      <c r="K694" s="18">
        <f t="array" ref="K694">IF(H694&lt;&gt;"",H694,IFERROR(G694/INDEX(Players!$M$2:$M$127,MATCH(B694,Players!$A$2:$A$127,0)),""))</f>
        <v>0.6531821046</v>
      </c>
    </row>
    <row r="695" ht="15.75" customHeight="1">
      <c r="A695" s="4" t="s">
        <v>2979</v>
      </c>
      <c r="B695" s="4" t="s">
        <v>1631</v>
      </c>
      <c r="C695" s="4" t="s">
        <v>1632</v>
      </c>
      <c r="D695" s="4" t="s">
        <v>1582</v>
      </c>
      <c r="E695" s="4" t="s">
        <v>152</v>
      </c>
      <c r="F695" s="4">
        <v>3.0</v>
      </c>
      <c r="G695" s="4">
        <v>26.7</v>
      </c>
      <c r="I695" s="11"/>
      <c r="J695" s="4">
        <v>1.43</v>
      </c>
      <c r="K695" s="18">
        <f t="array" ref="K695">IF(H695&lt;&gt;"",H695,IFERROR(G695/INDEX(Players!$M$2:$M$127,MATCH(B695,Players!$A$2:$A$127,0)),""))</f>
        <v>1.228166352</v>
      </c>
    </row>
    <row r="696" ht="15.75" customHeight="1">
      <c r="A696" s="4" t="s">
        <v>2980</v>
      </c>
      <c r="B696" s="4" t="s">
        <v>1631</v>
      </c>
      <c r="C696" s="4" t="s">
        <v>1632</v>
      </c>
      <c r="D696" s="4" t="s">
        <v>1582</v>
      </c>
      <c r="E696" s="4" t="s">
        <v>156</v>
      </c>
      <c r="F696" s="4">
        <v>3.0</v>
      </c>
      <c r="G696" s="4">
        <v>16.0</v>
      </c>
      <c r="I696" s="11"/>
      <c r="J696" s="4">
        <v>1.26</v>
      </c>
      <c r="K696" s="18">
        <f t="array" ref="K696">IF(H696&lt;&gt;"",H696,IFERROR(G696/INDEX(Players!$M$2:$M$127,MATCH(B696,Players!$A$2:$A$127,0)),""))</f>
        <v>0.7359798362</v>
      </c>
    </row>
    <row r="697" ht="15.75" customHeight="1">
      <c r="A697" s="4" t="s">
        <v>2981</v>
      </c>
      <c r="B697" s="4" t="s">
        <v>1631</v>
      </c>
      <c r="C697" s="4" t="s">
        <v>1632</v>
      </c>
      <c r="D697" s="4" t="s">
        <v>1582</v>
      </c>
      <c r="E697" s="4" t="s">
        <v>172</v>
      </c>
      <c r="F697" s="4">
        <v>2.0</v>
      </c>
      <c r="G697" s="4">
        <v>14.5</v>
      </c>
      <c r="I697" s="11"/>
      <c r="J697" s="4">
        <v>0.94</v>
      </c>
      <c r="K697" s="18">
        <f t="array" ref="K697">IF(H697&lt;&gt;"",H697,IFERROR(G697/INDEX(Players!$M$2:$M$127,MATCH(B697,Players!$A$2:$A$127,0)),""))</f>
        <v>0.6669817265</v>
      </c>
    </row>
    <row r="698" ht="15.75" customHeight="1">
      <c r="A698" s="4" t="s">
        <v>2982</v>
      </c>
      <c r="B698" s="4" t="s">
        <v>1588</v>
      </c>
      <c r="C698" s="4" t="s">
        <v>1589</v>
      </c>
      <c r="D698" s="4" t="s">
        <v>1582</v>
      </c>
      <c r="E698" s="4" t="s">
        <v>172</v>
      </c>
      <c r="F698" s="4">
        <v>8.0</v>
      </c>
      <c r="G698" s="4">
        <v>18.9</v>
      </c>
      <c r="I698" s="11"/>
      <c r="J698" s="4">
        <v>1.36</v>
      </c>
      <c r="K698" s="18">
        <f t="array" ref="K698">IF(H698&lt;&gt;"",H698,IFERROR(G698/INDEX(Players!$M$2:$M$127,MATCH(B698,Players!$A$2:$A$127,0)),""))</f>
        <v>0.8988585923</v>
      </c>
    </row>
    <row r="699" ht="15.75" customHeight="1">
      <c r="A699" s="4" t="s">
        <v>2994</v>
      </c>
      <c r="B699" s="4" t="s">
        <v>1588</v>
      </c>
      <c r="C699" s="4" t="s">
        <v>1589</v>
      </c>
      <c r="D699" s="4" t="s">
        <v>1582</v>
      </c>
      <c r="E699" s="4" t="s">
        <v>168</v>
      </c>
      <c r="F699" s="4">
        <v>7.0</v>
      </c>
      <c r="G699" s="4">
        <v>19.1</v>
      </c>
      <c r="I699" s="11"/>
      <c r="J699" s="4">
        <v>1.54</v>
      </c>
      <c r="K699" s="18">
        <f t="array" ref="K699">IF(H699&lt;&gt;"",H699,IFERROR(G699/INDEX(Players!$M$2:$M$127,MATCH(B699,Players!$A$2:$A$127,0)),""))</f>
        <v>0.9083703234</v>
      </c>
    </row>
    <row r="700" ht="15.75" customHeight="1">
      <c r="A700" s="4" t="s">
        <v>2997</v>
      </c>
      <c r="B700" s="4" t="s">
        <v>1588</v>
      </c>
      <c r="C700" s="4" t="s">
        <v>1589</v>
      </c>
      <c r="D700" s="4" t="s">
        <v>1582</v>
      </c>
      <c r="E700" s="4" t="s">
        <v>147</v>
      </c>
      <c r="F700" s="4">
        <v>6.0</v>
      </c>
      <c r="G700" s="4">
        <v>13.5</v>
      </c>
      <c r="I700" s="11"/>
      <c r="J700" s="4">
        <v>1.03</v>
      </c>
      <c r="K700" s="18">
        <f t="array" ref="K700">IF(H700&lt;&gt;"",H700,IFERROR(G700/INDEX(Players!$M$2:$M$127,MATCH(B700,Players!$A$2:$A$127,0)),""))</f>
        <v>0.6420418516</v>
      </c>
    </row>
    <row r="701" ht="15.75" customHeight="1">
      <c r="A701" s="4" t="s">
        <v>3000</v>
      </c>
      <c r="B701" s="4" t="s">
        <v>1588</v>
      </c>
      <c r="C701" s="4" t="s">
        <v>1589</v>
      </c>
      <c r="D701" s="4" t="s">
        <v>1582</v>
      </c>
      <c r="E701" s="4" t="s">
        <v>152</v>
      </c>
      <c r="F701" s="4">
        <v>5.0</v>
      </c>
      <c r="G701" s="4">
        <v>15.0</v>
      </c>
      <c r="I701" s="11"/>
      <c r="J701" s="4">
        <v>1.36</v>
      </c>
      <c r="K701" s="18">
        <f t="array" ref="K701">IF(H701&lt;&gt;"",H701,IFERROR(G701/INDEX(Players!$M$2:$M$127,MATCH(B701,Players!$A$2:$A$127,0)),""))</f>
        <v>0.7133798351</v>
      </c>
    </row>
    <row r="702" ht="15.75" customHeight="1">
      <c r="A702" s="4" t="s">
        <v>3002</v>
      </c>
      <c r="B702" s="4" t="s">
        <v>1588</v>
      </c>
      <c r="C702" s="4" t="s">
        <v>1589</v>
      </c>
      <c r="D702" s="4" t="s">
        <v>1582</v>
      </c>
      <c r="E702" s="4" t="s">
        <v>141</v>
      </c>
      <c r="F702" s="4">
        <v>4.0</v>
      </c>
      <c r="G702" s="4">
        <v>15.0</v>
      </c>
      <c r="I702" s="11"/>
      <c r="J702" s="4">
        <v>1.25</v>
      </c>
      <c r="K702" s="18">
        <f t="array" ref="K702">IF(H702&lt;&gt;"",H702,IFERROR(G702/INDEX(Players!$M$2:$M$127,MATCH(B702,Players!$A$2:$A$127,0)),""))</f>
        <v>0.7133798351</v>
      </c>
    </row>
    <row r="703" ht="15.75" customHeight="1">
      <c r="A703" s="4" t="s">
        <v>3004</v>
      </c>
      <c r="B703" s="4" t="s">
        <v>1588</v>
      </c>
      <c r="C703" s="4" t="s">
        <v>1589</v>
      </c>
      <c r="D703" s="4" t="s">
        <v>1582</v>
      </c>
      <c r="E703" s="4" t="s">
        <v>156</v>
      </c>
      <c r="F703" s="4">
        <v>4.0</v>
      </c>
      <c r="G703" s="4">
        <v>14.3</v>
      </c>
      <c r="I703" s="11"/>
      <c r="J703" s="4">
        <v>1.08</v>
      </c>
      <c r="K703" s="18">
        <f t="array" ref="K703">IF(H703&lt;&gt;"",H703,IFERROR(G703/INDEX(Players!$M$2:$M$127,MATCH(B703,Players!$A$2:$A$127,0)),""))</f>
        <v>0.6800887762</v>
      </c>
    </row>
    <row r="704" ht="15.75" customHeight="1">
      <c r="A704" s="4" t="s">
        <v>3015</v>
      </c>
      <c r="B704" s="4" t="s">
        <v>1588</v>
      </c>
      <c r="C704" s="4" t="s">
        <v>1589</v>
      </c>
      <c r="D704" s="4" t="s">
        <v>1582</v>
      </c>
      <c r="E704" s="4" t="s">
        <v>161</v>
      </c>
      <c r="F704" s="4">
        <v>3.0</v>
      </c>
      <c r="G704" s="4">
        <v>12.7</v>
      </c>
      <c r="I704" s="11"/>
      <c r="J704" s="4">
        <v>1.03</v>
      </c>
      <c r="K704" s="18">
        <f t="array" ref="K704">IF(H704&lt;&gt;"",H704,IFERROR(G704/INDEX(Players!$M$2:$M$127,MATCH(B704,Players!$A$2:$A$127,0)),""))</f>
        <v>0.6039949271</v>
      </c>
    </row>
    <row r="705" ht="15.75" customHeight="1">
      <c r="A705" s="4" t="s">
        <v>3019</v>
      </c>
      <c r="B705" s="4" t="s">
        <v>1588</v>
      </c>
      <c r="C705" s="4" t="s">
        <v>1589</v>
      </c>
      <c r="D705" s="4" t="s">
        <v>1582</v>
      </c>
      <c r="E705" s="4" t="s">
        <v>165</v>
      </c>
      <c r="F705" s="4">
        <v>2.0</v>
      </c>
      <c r="G705" s="4">
        <v>9.5</v>
      </c>
      <c r="I705" s="11"/>
      <c r="J705" s="4">
        <v>0.95</v>
      </c>
      <c r="K705" s="18">
        <f t="array" ref="K705">IF(H705&lt;&gt;"",H705,IFERROR(G705/INDEX(Players!$M$2:$M$127,MATCH(B705,Players!$A$2:$A$127,0)),""))</f>
        <v>0.4518072289</v>
      </c>
    </row>
    <row r="706" ht="15.75" customHeight="1">
      <c r="A706" s="4" t="s">
        <v>3020</v>
      </c>
      <c r="B706" s="4" t="s">
        <v>1614</v>
      </c>
      <c r="C706" s="4" t="s">
        <v>1615</v>
      </c>
      <c r="D706" s="4" t="s">
        <v>1582</v>
      </c>
      <c r="E706" s="4" t="s">
        <v>152</v>
      </c>
      <c r="F706" s="4">
        <v>9.0</v>
      </c>
      <c r="G706" s="4">
        <v>12.2</v>
      </c>
      <c r="I706" s="11"/>
      <c r="J706" s="4">
        <v>0.81</v>
      </c>
      <c r="K706" s="18">
        <f t="array" ref="K706">IF(H706&lt;&gt;"",H706,IFERROR(G706/INDEX(Players!$M$2:$M$127,MATCH(B706,Players!$A$2:$A$127,0)),""))</f>
        <v>0.5709828393</v>
      </c>
    </row>
    <row r="707" ht="15.75" customHeight="1">
      <c r="A707" s="4" t="s">
        <v>3021</v>
      </c>
      <c r="B707" s="4" t="s">
        <v>1614</v>
      </c>
      <c r="C707" s="4" t="s">
        <v>1615</v>
      </c>
      <c r="D707" s="4" t="s">
        <v>1582</v>
      </c>
      <c r="E707" s="4" t="s">
        <v>172</v>
      </c>
      <c r="F707" s="4">
        <v>8.0</v>
      </c>
      <c r="G707" s="4">
        <v>16.3</v>
      </c>
      <c r="I707" s="11"/>
      <c r="J707" s="4">
        <v>0.98</v>
      </c>
      <c r="K707" s="18">
        <f t="array" ref="K707">IF(H707&lt;&gt;"",H707,IFERROR(G707/INDEX(Players!$M$2:$M$127,MATCH(B707,Players!$A$2:$A$127,0)),""))</f>
        <v>0.7628705148</v>
      </c>
    </row>
    <row r="708" ht="15.75" customHeight="1">
      <c r="A708" s="4" t="s">
        <v>3022</v>
      </c>
      <c r="B708" s="4" t="s">
        <v>1614</v>
      </c>
      <c r="C708" s="4" t="s">
        <v>1615</v>
      </c>
      <c r="D708" s="4" t="s">
        <v>1582</v>
      </c>
      <c r="E708" s="4" t="s">
        <v>161</v>
      </c>
      <c r="F708" s="4">
        <v>6.0</v>
      </c>
      <c r="G708" s="4">
        <v>12.7</v>
      </c>
      <c r="I708" s="11"/>
      <c r="J708" s="4">
        <v>1.03</v>
      </c>
      <c r="K708" s="18">
        <f t="array" ref="K708">IF(H708&lt;&gt;"",H708,IFERROR(G708/INDEX(Players!$M$2:$M$127,MATCH(B708,Players!$A$2:$A$127,0)),""))</f>
        <v>0.5943837754</v>
      </c>
    </row>
    <row r="709" ht="15.75" customHeight="1">
      <c r="A709" s="4" t="s">
        <v>3023</v>
      </c>
      <c r="B709" s="4" t="s">
        <v>1614</v>
      </c>
      <c r="C709" s="4" t="s">
        <v>1615</v>
      </c>
      <c r="D709" s="4" t="s">
        <v>1582</v>
      </c>
      <c r="E709" s="4" t="s">
        <v>147</v>
      </c>
      <c r="F709" s="4">
        <v>6.0</v>
      </c>
      <c r="G709" s="4">
        <v>11.7</v>
      </c>
      <c r="I709" s="11"/>
      <c r="J709" s="4">
        <v>0.73</v>
      </c>
      <c r="K709" s="18">
        <f t="array" ref="K709">IF(H709&lt;&gt;"",H709,IFERROR(G709/INDEX(Players!$M$2:$M$127,MATCH(B709,Players!$A$2:$A$127,0)),""))</f>
        <v>0.5475819033</v>
      </c>
    </row>
    <row r="710" ht="15.75" customHeight="1">
      <c r="A710" s="4" t="s">
        <v>3024</v>
      </c>
      <c r="B710" s="4" t="s">
        <v>1614</v>
      </c>
      <c r="C710" s="4" t="s">
        <v>1615</v>
      </c>
      <c r="D710" s="4" t="s">
        <v>1582</v>
      </c>
      <c r="E710" s="4" t="s">
        <v>141</v>
      </c>
      <c r="F710" s="4">
        <v>3.0</v>
      </c>
      <c r="G710" s="4">
        <v>12.0</v>
      </c>
      <c r="I710" s="11"/>
      <c r="J710" s="4">
        <v>0.97</v>
      </c>
      <c r="K710" s="18">
        <f t="array" ref="K710">IF(H710&lt;&gt;"",H710,IFERROR(G710/INDEX(Players!$M$2:$M$127,MATCH(B710,Players!$A$2:$A$127,0)),""))</f>
        <v>0.5616224649</v>
      </c>
    </row>
    <row r="711" ht="15.75" customHeight="1">
      <c r="A711" s="4" t="s">
        <v>3025</v>
      </c>
      <c r="B711" s="4" t="s">
        <v>1614</v>
      </c>
      <c r="C711" s="4" t="s">
        <v>1615</v>
      </c>
      <c r="D711" s="4" t="s">
        <v>1582</v>
      </c>
      <c r="E711" s="4" t="s">
        <v>165</v>
      </c>
      <c r="F711" s="4">
        <v>3.0</v>
      </c>
      <c r="G711" s="4">
        <v>12.3</v>
      </c>
      <c r="I711" s="11"/>
      <c r="J711" s="4">
        <v>0.84</v>
      </c>
      <c r="K711" s="18">
        <f t="array" ref="K711">IF(H711&lt;&gt;"",H711,IFERROR(G711/INDEX(Players!$M$2:$M$127,MATCH(B711,Players!$A$2:$A$127,0)),""))</f>
        <v>0.5756630265</v>
      </c>
    </row>
    <row r="712" ht="15.75" customHeight="1">
      <c r="A712" s="4" t="s">
        <v>3026</v>
      </c>
      <c r="B712" s="4" t="s">
        <v>1614</v>
      </c>
      <c r="C712" s="4" t="s">
        <v>1615</v>
      </c>
      <c r="D712" s="4" t="s">
        <v>1582</v>
      </c>
      <c r="E712" s="4" t="s">
        <v>168</v>
      </c>
      <c r="F712" s="4">
        <v>3.0</v>
      </c>
      <c r="G712" s="4">
        <v>10.0</v>
      </c>
      <c r="I712" s="11"/>
      <c r="J712" s="4">
        <v>0.56</v>
      </c>
      <c r="K712" s="18">
        <f t="array" ref="K712">IF(H712&lt;&gt;"",H712,IFERROR(G712/INDEX(Players!$M$2:$M$127,MATCH(B712,Players!$A$2:$A$127,0)),""))</f>
        <v>0.4680187207</v>
      </c>
    </row>
    <row r="713" ht="15.75" customHeight="1">
      <c r="A713" s="4" t="s">
        <v>3027</v>
      </c>
      <c r="B713" s="4" t="s">
        <v>1614</v>
      </c>
      <c r="C713" s="4" t="s">
        <v>1615</v>
      </c>
      <c r="D713" s="4" t="s">
        <v>1582</v>
      </c>
      <c r="E713" s="4" t="s">
        <v>156</v>
      </c>
      <c r="F713" s="4">
        <v>1.0</v>
      </c>
      <c r="G713" s="4">
        <v>11.0</v>
      </c>
      <c r="I713" s="11"/>
      <c r="J713" s="4">
        <v>0.73</v>
      </c>
      <c r="K713" s="18">
        <f t="array" ref="K713">IF(H713&lt;&gt;"",H713,IFERROR(G713/INDEX(Players!$M$2:$M$127,MATCH(B713,Players!$A$2:$A$127,0)),""))</f>
        <v>0.5148205928</v>
      </c>
    </row>
    <row r="714" ht="15.75" customHeight="1">
      <c r="A714" s="4" t="s">
        <v>3028</v>
      </c>
      <c r="B714" s="4" t="s">
        <v>1619</v>
      </c>
      <c r="C714" s="4" t="s">
        <v>1620</v>
      </c>
      <c r="D714" s="4" t="s">
        <v>1582</v>
      </c>
      <c r="E714" s="4" t="s">
        <v>152</v>
      </c>
      <c r="F714" s="4">
        <v>9.0</v>
      </c>
      <c r="G714" s="4">
        <v>13.1</v>
      </c>
      <c r="I714" s="11"/>
      <c r="J714" s="4">
        <v>1.15</v>
      </c>
      <c r="K714" s="18">
        <f t="array" ref="K714">IF(H714&lt;&gt;"",H714,IFERROR(G714/INDEX(Players!$M$2:$M$127,MATCH(B714,Players!$A$2:$A$127,0)),""))</f>
        <v>0.6138912134</v>
      </c>
    </row>
    <row r="715" ht="15.75" customHeight="1">
      <c r="A715" s="4" t="s">
        <v>3029</v>
      </c>
      <c r="B715" s="4" t="s">
        <v>1619</v>
      </c>
      <c r="C715" s="4" t="s">
        <v>1620</v>
      </c>
      <c r="D715" s="4" t="s">
        <v>1582</v>
      </c>
      <c r="E715" s="4" t="s">
        <v>172</v>
      </c>
      <c r="F715" s="4">
        <v>8.0</v>
      </c>
      <c r="G715" s="4">
        <v>12.5</v>
      </c>
      <c r="I715" s="11"/>
      <c r="J715" s="4">
        <v>0.83</v>
      </c>
      <c r="K715" s="18">
        <f t="array" ref="K715">IF(H715&lt;&gt;"",H715,IFERROR(G715/INDEX(Players!$M$2:$M$127,MATCH(B715,Players!$A$2:$A$127,0)),""))</f>
        <v>0.5857740586</v>
      </c>
    </row>
    <row r="716" ht="15.75" customHeight="1">
      <c r="A716" s="4" t="s">
        <v>3030</v>
      </c>
      <c r="B716" s="4" t="s">
        <v>1619</v>
      </c>
      <c r="C716" s="4" t="s">
        <v>1620</v>
      </c>
      <c r="D716" s="4" t="s">
        <v>1582</v>
      </c>
      <c r="E716" s="4" t="s">
        <v>161</v>
      </c>
      <c r="F716" s="4">
        <v>6.0</v>
      </c>
      <c r="G716" s="4">
        <v>9.8</v>
      </c>
      <c r="I716" s="11"/>
      <c r="J716" s="4">
        <v>0.89</v>
      </c>
      <c r="K716" s="18">
        <f t="array" ref="K716">IF(H716&lt;&gt;"",H716,IFERROR(G716/INDEX(Players!$M$2:$M$127,MATCH(B716,Players!$A$2:$A$127,0)),""))</f>
        <v>0.4592468619</v>
      </c>
    </row>
    <row r="717" ht="15.75" customHeight="1">
      <c r="A717" s="4" t="s">
        <v>3031</v>
      </c>
      <c r="B717" s="4" t="s">
        <v>1619</v>
      </c>
      <c r="C717" s="4" t="s">
        <v>1620</v>
      </c>
      <c r="D717" s="4" t="s">
        <v>1582</v>
      </c>
      <c r="E717" s="4" t="s">
        <v>147</v>
      </c>
      <c r="F717" s="4">
        <v>6.0</v>
      </c>
      <c r="G717" s="4">
        <v>11.3</v>
      </c>
      <c r="I717" s="11"/>
      <c r="J717" s="4">
        <v>0.83</v>
      </c>
      <c r="K717" s="18">
        <f t="array" ref="K717">IF(H717&lt;&gt;"",H717,IFERROR(G717/INDEX(Players!$M$2:$M$127,MATCH(B717,Players!$A$2:$A$127,0)),""))</f>
        <v>0.529539749</v>
      </c>
    </row>
    <row r="718" ht="15.75" customHeight="1">
      <c r="A718" s="4" t="s">
        <v>3032</v>
      </c>
      <c r="B718" s="4" t="s">
        <v>1619</v>
      </c>
      <c r="C718" s="4" t="s">
        <v>1620</v>
      </c>
      <c r="D718" s="4" t="s">
        <v>1582</v>
      </c>
      <c r="E718" s="4" t="s">
        <v>141</v>
      </c>
      <c r="F718" s="4">
        <v>3.0</v>
      </c>
      <c r="G718" s="4">
        <v>12.0</v>
      </c>
      <c r="I718" s="11"/>
      <c r="J718" s="4">
        <v>1.09</v>
      </c>
      <c r="K718" s="18">
        <f t="array" ref="K718">IF(H718&lt;&gt;"",H718,IFERROR(G718/INDEX(Players!$M$2:$M$127,MATCH(B718,Players!$A$2:$A$127,0)),""))</f>
        <v>0.5623430962</v>
      </c>
    </row>
    <row r="719" ht="15.75" customHeight="1">
      <c r="A719" s="4" t="s">
        <v>3033</v>
      </c>
      <c r="B719" s="4" t="s">
        <v>1619</v>
      </c>
      <c r="C719" s="4" t="s">
        <v>1620</v>
      </c>
      <c r="D719" s="4" t="s">
        <v>1582</v>
      </c>
      <c r="E719" s="4" t="s">
        <v>165</v>
      </c>
      <c r="F719" s="4">
        <v>3.0</v>
      </c>
      <c r="G719" s="4">
        <v>12.0</v>
      </c>
      <c r="I719" s="11"/>
      <c r="J719" s="4">
        <v>0.95</v>
      </c>
      <c r="K719" s="18">
        <f t="array" ref="K719">IF(H719&lt;&gt;"",H719,IFERROR(G719/INDEX(Players!$M$2:$M$127,MATCH(B719,Players!$A$2:$A$127,0)),""))</f>
        <v>0.5623430962</v>
      </c>
    </row>
    <row r="720" ht="15.75" customHeight="1">
      <c r="A720" s="4" t="s">
        <v>3034</v>
      </c>
      <c r="B720" s="4" t="s">
        <v>1619</v>
      </c>
      <c r="C720" s="4" t="s">
        <v>1620</v>
      </c>
      <c r="D720" s="4" t="s">
        <v>1582</v>
      </c>
      <c r="E720" s="4" t="s">
        <v>168</v>
      </c>
      <c r="F720" s="4">
        <v>3.0</v>
      </c>
      <c r="G720" s="4">
        <v>13.3</v>
      </c>
      <c r="I720" s="11"/>
      <c r="J720" s="4">
        <v>0.91</v>
      </c>
      <c r="K720" s="18">
        <f t="array" ref="K720">IF(H720&lt;&gt;"",H720,IFERROR(G720/INDEX(Players!$M$2:$M$127,MATCH(B720,Players!$A$2:$A$127,0)),""))</f>
        <v>0.6232635983</v>
      </c>
    </row>
    <row r="721" ht="15.75" customHeight="1">
      <c r="A721" s="4" t="s">
        <v>3035</v>
      </c>
      <c r="B721" s="4" t="s">
        <v>1619</v>
      </c>
      <c r="C721" s="4" t="s">
        <v>1620</v>
      </c>
      <c r="D721" s="4" t="s">
        <v>1582</v>
      </c>
      <c r="E721" s="4" t="s">
        <v>156</v>
      </c>
      <c r="F721" s="4">
        <v>1.0</v>
      </c>
      <c r="G721" s="4">
        <v>9.0</v>
      </c>
      <c r="I721" s="11"/>
      <c r="J721" s="4">
        <v>0.6</v>
      </c>
      <c r="K721" s="18">
        <f t="array" ref="K721">IF(H721&lt;&gt;"",H721,IFERROR(G721/INDEX(Players!$M$2:$M$127,MATCH(B721,Players!$A$2:$A$127,0)),""))</f>
        <v>0.4217573222</v>
      </c>
    </row>
    <row r="722" ht="15.75" customHeight="1">
      <c r="A722" s="4" t="s">
        <v>3036</v>
      </c>
      <c r="B722" s="4" t="s">
        <v>1636</v>
      </c>
      <c r="C722" s="4" t="s">
        <v>1637</v>
      </c>
      <c r="D722" s="4" t="s">
        <v>1582</v>
      </c>
      <c r="E722" s="4" t="s">
        <v>141</v>
      </c>
      <c r="F722" s="4">
        <v>9.0</v>
      </c>
      <c r="G722" s="4">
        <v>15.1</v>
      </c>
      <c r="I722" s="11"/>
      <c r="J722" s="4">
        <v>1.01</v>
      </c>
      <c r="K722" s="18">
        <f t="array" ref="K722">IF(H722&lt;&gt;"",H722,IFERROR(G722/INDEX(Players!$M$2:$M$127,MATCH(B722,Players!$A$2:$A$127,0)),""))</f>
        <v>0.6896634615</v>
      </c>
    </row>
    <row r="723" ht="15.75" customHeight="1">
      <c r="A723" s="4" t="s">
        <v>3037</v>
      </c>
      <c r="B723" s="4" t="s">
        <v>1636</v>
      </c>
      <c r="C723" s="4" t="s">
        <v>1637</v>
      </c>
      <c r="D723" s="4" t="s">
        <v>1582</v>
      </c>
      <c r="E723" s="4" t="s">
        <v>168</v>
      </c>
      <c r="F723" s="4">
        <v>6.0</v>
      </c>
      <c r="G723" s="4">
        <v>19.3</v>
      </c>
      <c r="I723" s="11"/>
      <c r="J723" s="4">
        <v>1.22</v>
      </c>
      <c r="K723" s="18">
        <f t="array" ref="K723">IF(H723&lt;&gt;"",H723,IFERROR(G723/INDEX(Players!$M$2:$M$127,MATCH(B723,Players!$A$2:$A$127,0)),""))</f>
        <v>0.8814903846</v>
      </c>
    </row>
    <row r="724" ht="15.75" customHeight="1">
      <c r="A724" s="4" t="s">
        <v>3038</v>
      </c>
      <c r="B724" s="4" t="s">
        <v>1636</v>
      </c>
      <c r="C724" s="4" t="s">
        <v>1637</v>
      </c>
      <c r="D724" s="4" t="s">
        <v>1582</v>
      </c>
      <c r="E724" s="4" t="s">
        <v>147</v>
      </c>
      <c r="F724" s="4">
        <v>6.0</v>
      </c>
      <c r="G724" s="4">
        <v>18.2</v>
      </c>
      <c r="I724" s="11"/>
      <c r="J724" s="4">
        <v>1.11</v>
      </c>
      <c r="K724" s="18">
        <f t="array" ref="K724">IF(H724&lt;&gt;"",H724,IFERROR(G724/INDEX(Players!$M$2:$M$127,MATCH(B724,Players!$A$2:$A$127,0)),""))</f>
        <v>0.83125</v>
      </c>
    </row>
    <row r="725" ht="15.75" customHeight="1">
      <c r="A725" s="4" t="s">
        <v>3039</v>
      </c>
      <c r="B725" s="4" t="s">
        <v>1636</v>
      </c>
      <c r="C725" s="4" t="s">
        <v>1637</v>
      </c>
      <c r="D725" s="4" t="s">
        <v>1582</v>
      </c>
      <c r="E725" s="4" t="s">
        <v>161</v>
      </c>
      <c r="F725" s="4">
        <v>5.0</v>
      </c>
      <c r="G725" s="4">
        <v>17.8</v>
      </c>
      <c r="I725" s="11"/>
      <c r="J725" s="4">
        <v>1.24</v>
      </c>
      <c r="K725" s="18">
        <f t="array" ref="K725">IF(H725&lt;&gt;"",H725,IFERROR(G725/INDEX(Players!$M$2:$M$127,MATCH(B725,Players!$A$2:$A$127,0)),""))</f>
        <v>0.8129807692</v>
      </c>
    </row>
    <row r="726" ht="15.75" customHeight="1">
      <c r="A726" s="4" t="s">
        <v>3040</v>
      </c>
      <c r="B726" s="4" t="s">
        <v>1636</v>
      </c>
      <c r="C726" s="4" t="s">
        <v>1637</v>
      </c>
      <c r="D726" s="4" t="s">
        <v>1582</v>
      </c>
      <c r="E726" s="4" t="s">
        <v>165</v>
      </c>
      <c r="F726" s="4">
        <v>5.0</v>
      </c>
      <c r="G726" s="4">
        <v>13.4</v>
      </c>
      <c r="I726" s="11"/>
      <c r="J726" s="4">
        <v>0.79</v>
      </c>
      <c r="K726" s="18">
        <f t="array" ref="K726">IF(H726&lt;&gt;"",H726,IFERROR(G726/INDEX(Players!$M$2:$M$127,MATCH(B726,Players!$A$2:$A$127,0)),""))</f>
        <v>0.6120192308</v>
      </c>
    </row>
    <row r="727" ht="15.75" customHeight="1">
      <c r="A727" s="4" t="s">
        <v>3041</v>
      </c>
      <c r="B727" s="4" t="s">
        <v>1636</v>
      </c>
      <c r="C727" s="4" t="s">
        <v>1637</v>
      </c>
      <c r="D727" s="4" t="s">
        <v>1582</v>
      </c>
      <c r="E727" s="4" t="s">
        <v>152</v>
      </c>
      <c r="F727" s="4">
        <v>3.0</v>
      </c>
      <c r="G727" s="4">
        <v>21.7</v>
      </c>
      <c r="I727" s="11"/>
      <c r="J727" s="4">
        <v>1.12</v>
      </c>
      <c r="K727" s="18">
        <f t="array" ref="K727">IF(H727&lt;&gt;"",H727,IFERROR(G727/INDEX(Players!$M$2:$M$127,MATCH(B727,Players!$A$2:$A$127,0)),""))</f>
        <v>0.9911057692</v>
      </c>
    </row>
    <row r="728" ht="15.75" customHeight="1">
      <c r="A728" s="4" t="s">
        <v>3042</v>
      </c>
      <c r="B728" s="4" t="s">
        <v>1636</v>
      </c>
      <c r="C728" s="4" t="s">
        <v>1637</v>
      </c>
      <c r="D728" s="4" t="s">
        <v>1582</v>
      </c>
      <c r="E728" s="4" t="s">
        <v>156</v>
      </c>
      <c r="F728" s="4">
        <v>3.0</v>
      </c>
      <c r="G728" s="4">
        <v>11.3</v>
      </c>
      <c r="I728" s="11"/>
      <c r="J728" s="4">
        <v>0.87</v>
      </c>
      <c r="K728" s="18">
        <f t="array" ref="K728">IF(H728&lt;&gt;"",H728,IFERROR(G728/INDEX(Players!$M$2:$M$127,MATCH(B728,Players!$A$2:$A$127,0)),""))</f>
        <v>0.5161057692</v>
      </c>
    </row>
    <row r="729" ht="15.75" customHeight="1">
      <c r="A729" s="4" t="s">
        <v>3043</v>
      </c>
      <c r="B729" s="4" t="s">
        <v>1636</v>
      </c>
      <c r="C729" s="4" t="s">
        <v>1637</v>
      </c>
      <c r="D729" s="4" t="s">
        <v>1582</v>
      </c>
      <c r="E729" s="4" t="s">
        <v>172</v>
      </c>
      <c r="F729" s="4">
        <v>2.0</v>
      </c>
      <c r="G729" s="4">
        <v>16.5</v>
      </c>
      <c r="I729" s="11"/>
      <c r="J729" s="4">
        <v>0.97</v>
      </c>
      <c r="K729" s="18">
        <f t="array" ref="K729">IF(H729&lt;&gt;"",H729,IFERROR(G729/INDEX(Players!$M$2:$M$127,MATCH(B729,Players!$A$2:$A$127,0)),""))</f>
        <v>0.7536057692</v>
      </c>
    </row>
    <row r="730" ht="15.75" customHeight="1">
      <c r="A730" s="4" t="s">
        <v>3044</v>
      </c>
      <c r="B730" s="4" t="s">
        <v>1622</v>
      </c>
      <c r="C730" s="4" t="s">
        <v>1623</v>
      </c>
      <c r="D730" s="4" t="s">
        <v>1582</v>
      </c>
      <c r="E730" s="4" t="s">
        <v>152</v>
      </c>
      <c r="F730" s="4">
        <v>9.0</v>
      </c>
      <c r="G730" s="4">
        <v>16.0</v>
      </c>
      <c r="I730" s="11"/>
      <c r="J730" s="4">
        <v>1.37</v>
      </c>
      <c r="K730" s="18">
        <f t="array" ref="K730">IF(H730&lt;&gt;"",H730,IFERROR(G730/INDEX(Players!$M$2:$M$127,MATCH(B730,Players!$A$2:$A$127,0)),""))</f>
        <v>0.7555839183</v>
      </c>
    </row>
    <row r="731" ht="15.75" customHeight="1">
      <c r="A731" s="4" t="s">
        <v>3045</v>
      </c>
      <c r="B731" s="4" t="s">
        <v>1622</v>
      </c>
      <c r="C731" s="4" t="s">
        <v>1623</v>
      </c>
      <c r="D731" s="4" t="s">
        <v>1582</v>
      </c>
      <c r="E731" s="4" t="s">
        <v>172</v>
      </c>
      <c r="F731" s="4">
        <v>8.0</v>
      </c>
      <c r="G731" s="4">
        <v>17.0</v>
      </c>
      <c r="I731" s="11"/>
      <c r="J731" s="4">
        <v>1.16</v>
      </c>
      <c r="K731" s="18">
        <f t="array" ref="K731">IF(H731&lt;&gt;"",H731,IFERROR(G731/INDEX(Players!$M$2:$M$127,MATCH(B731,Players!$A$2:$A$127,0)),""))</f>
        <v>0.8028079132</v>
      </c>
    </row>
    <row r="732" ht="15.75" customHeight="1">
      <c r="A732" s="4" t="s">
        <v>3046</v>
      </c>
      <c r="B732" s="4" t="s">
        <v>1622</v>
      </c>
      <c r="C732" s="4" t="s">
        <v>1623</v>
      </c>
      <c r="D732" s="4" t="s">
        <v>1582</v>
      </c>
      <c r="E732" s="4" t="s">
        <v>161</v>
      </c>
      <c r="F732" s="4">
        <v>6.0</v>
      </c>
      <c r="G732" s="4">
        <v>12.2</v>
      </c>
      <c r="I732" s="11"/>
      <c r="J732" s="4">
        <v>1.07</v>
      </c>
      <c r="K732" s="18">
        <f t="array" ref="K732">IF(H732&lt;&gt;"",H732,IFERROR(G732/INDEX(Players!$M$2:$M$127,MATCH(B732,Players!$A$2:$A$127,0)),""))</f>
        <v>0.5761327377</v>
      </c>
    </row>
    <row r="733" ht="15.75" customHeight="1">
      <c r="A733" s="4" t="s">
        <v>3047</v>
      </c>
      <c r="B733" s="4" t="s">
        <v>1622</v>
      </c>
      <c r="C733" s="4" t="s">
        <v>1623</v>
      </c>
      <c r="D733" s="4" t="s">
        <v>1582</v>
      </c>
      <c r="E733" s="4" t="s">
        <v>147</v>
      </c>
      <c r="F733" s="4">
        <v>6.0</v>
      </c>
      <c r="G733" s="4">
        <v>14.2</v>
      </c>
      <c r="I733" s="11"/>
      <c r="J733" s="4">
        <v>0.96</v>
      </c>
      <c r="K733" s="18">
        <f t="array" ref="K733">IF(H733&lt;&gt;"",H733,IFERROR(G733/INDEX(Players!$M$2:$M$127,MATCH(B733,Players!$A$2:$A$127,0)),""))</f>
        <v>0.6705807275</v>
      </c>
    </row>
    <row r="734" ht="15.75" customHeight="1">
      <c r="A734" s="4" t="s">
        <v>3048</v>
      </c>
      <c r="B734" s="4" t="s">
        <v>1622</v>
      </c>
      <c r="C734" s="4" t="s">
        <v>1623</v>
      </c>
      <c r="D734" s="4" t="s">
        <v>1582</v>
      </c>
      <c r="E734" s="4" t="s">
        <v>141</v>
      </c>
      <c r="F734" s="4">
        <v>3.0</v>
      </c>
      <c r="G734" s="4">
        <v>24.0</v>
      </c>
      <c r="I734" s="11"/>
      <c r="J734" s="4">
        <v>2.25</v>
      </c>
      <c r="K734" s="18">
        <f t="array" ref="K734">IF(H734&lt;&gt;"",H734,IFERROR(G734/INDEX(Players!$M$2:$M$127,MATCH(B734,Players!$A$2:$A$127,0)),""))</f>
        <v>1.133375877</v>
      </c>
    </row>
    <row r="735" ht="15.75" customHeight="1">
      <c r="A735" s="4" t="s">
        <v>3049</v>
      </c>
      <c r="B735" s="4" t="s">
        <v>1622</v>
      </c>
      <c r="C735" s="4" t="s">
        <v>1623</v>
      </c>
      <c r="D735" s="4" t="s">
        <v>1582</v>
      </c>
      <c r="E735" s="4" t="s">
        <v>165</v>
      </c>
      <c r="F735" s="4">
        <v>3.0</v>
      </c>
      <c r="G735" s="4">
        <v>18.3</v>
      </c>
      <c r="I735" s="11"/>
      <c r="J735" s="4">
        <v>1.31</v>
      </c>
      <c r="K735" s="18">
        <f t="array" ref="K735">IF(H735&lt;&gt;"",H735,IFERROR(G735/INDEX(Players!$M$2:$M$127,MATCH(B735,Players!$A$2:$A$127,0)),""))</f>
        <v>0.8641991066</v>
      </c>
    </row>
    <row r="736" ht="15.75" customHeight="1">
      <c r="A736" s="4" t="s">
        <v>3050</v>
      </c>
      <c r="B736" s="4" t="s">
        <v>1622</v>
      </c>
      <c r="C736" s="4" t="s">
        <v>1623</v>
      </c>
      <c r="D736" s="4" t="s">
        <v>1582</v>
      </c>
      <c r="E736" s="4" t="s">
        <v>168</v>
      </c>
      <c r="F736" s="4">
        <v>3.0</v>
      </c>
      <c r="G736" s="4">
        <v>13.3</v>
      </c>
      <c r="I736" s="11"/>
      <c r="J736" s="4">
        <v>0.83</v>
      </c>
      <c r="K736" s="18">
        <f t="array" ref="K736">IF(H736&lt;&gt;"",H736,IFERROR(G736/INDEX(Players!$M$2:$M$127,MATCH(B736,Players!$A$2:$A$127,0)),""))</f>
        <v>0.6280791321</v>
      </c>
    </row>
    <row r="737" ht="15.75" customHeight="1">
      <c r="A737" s="4" t="s">
        <v>3051</v>
      </c>
      <c r="B737" s="4" t="s">
        <v>1622</v>
      </c>
      <c r="C737" s="4" t="s">
        <v>1623</v>
      </c>
      <c r="D737" s="4" t="s">
        <v>1582</v>
      </c>
      <c r="E737" s="4" t="s">
        <v>156</v>
      </c>
      <c r="F737" s="4">
        <v>1.0</v>
      </c>
      <c r="G737" s="4">
        <v>6.0</v>
      </c>
      <c r="I737" s="11"/>
      <c r="J737" s="4">
        <v>0.33</v>
      </c>
      <c r="K737" s="18">
        <f t="array" ref="K737">IF(H737&lt;&gt;"",H737,IFERROR(G737/INDEX(Players!$M$2:$M$127,MATCH(B737,Players!$A$2:$A$127,0)),""))</f>
        <v>0.2833439694</v>
      </c>
    </row>
    <row r="738" ht="15.75" customHeight="1">
      <c r="A738" s="4" t="s">
        <v>3052</v>
      </c>
      <c r="B738" s="4" t="s">
        <v>1639</v>
      </c>
      <c r="C738" s="4" t="s">
        <v>1640</v>
      </c>
      <c r="D738" s="4" t="s">
        <v>1582</v>
      </c>
      <c r="E738" s="4" t="s">
        <v>141</v>
      </c>
      <c r="F738" s="4">
        <v>9.0</v>
      </c>
      <c r="G738" s="4">
        <v>14.0</v>
      </c>
      <c r="I738" s="11"/>
      <c r="J738" s="4">
        <v>0.98</v>
      </c>
      <c r="K738" s="18">
        <f t="array" ref="K738">IF(H738&lt;&gt;"",H738,IFERROR(G738/INDEX(Players!$M$2:$M$127,MATCH(B738,Players!$A$2:$A$127,0)),""))</f>
        <v>0.6376237624</v>
      </c>
    </row>
    <row r="739" ht="15.75" customHeight="1">
      <c r="A739" s="4" t="s">
        <v>3053</v>
      </c>
      <c r="B739" s="4" t="s">
        <v>1639</v>
      </c>
      <c r="C739" s="4" t="s">
        <v>1640</v>
      </c>
      <c r="D739" s="4" t="s">
        <v>1582</v>
      </c>
      <c r="E739" s="4" t="s">
        <v>147</v>
      </c>
      <c r="F739" s="4">
        <v>6.0</v>
      </c>
      <c r="G739" s="4">
        <v>18.3</v>
      </c>
      <c r="I739" s="11"/>
      <c r="J739" s="4">
        <v>1.06</v>
      </c>
      <c r="K739" s="18">
        <f t="array" ref="K739">IF(H739&lt;&gt;"",H739,IFERROR(G739/INDEX(Players!$M$2:$M$127,MATCH(B739,Players!$A$2:$A$127,0)),""))</f>
        <v>0.8334653465</v>
      </c>
    </row>
    <row r="740" ht="15.75" customHeight="1">
      <c r="A740" s="4" t="s">
        <v>3055</v>
      </c>
      <c r="B740" s="4" t="s">
        <v>1639</v>
      </c>
      <c r="C740" s="4" t="s">
        <v>1640</v>
      </c>
      <c r="D740" s="4" t="s">
        <v>1582</v>
      </c>
      <c r="E740" s="4" t="s">
        <v>168</v>
      </c>
      <c r="F740" s="4">
        <v>6.0</v>
      </c>
      <c r="G740" s="4">
        <v>16.7</v>
      </c>
      <c r="I740" s="11"/>
      <c r="J740" s="4">
        <v>1.03</v>
      </c>
      <c r="K740" s="18">
        <f t="array" ref="K740">IF(H740&lt;&gt;"",H740,IFERROR(G740/INDEX(Players!$M$2:$M$127,MATCH(B740,Players!$A$2:$A$127,0)),""))</f>
        <v>0.7605940594</v>
      </c>
    </row>
    <row r="741" ht="15.75" customHeight="1">
      <c r="A741" s="4" t="s">
        <v>3056</v>
      </c>
      <c r="B741" s="4" t="s">
        <v>1639</v>
      </c>
      <c r="C741" s="4" t="s">
        <v>1640</v>
      </c>
      <c r="D741" s="4" t="s">
        <v>1582</v>
      </c>
      <c r="E741" s="4" t="s">
        <v>165</v>
      </c>
      <c r="F741" s="4">
        <v>5.0</v>
      </c>
      <c r="G741" s="4">
        <v>15.4</v>
      </c>
      <c r="I741" s="11"/>
      <c r="J741" s="4">
        <v>0.88</v>
      </c>
      <c r="K741" s="18">
        <f t="array" ref="K741">IF(H741&lt;&gt;"",H741,IFERROR(G741/INDEX(Players!$M$2:$M$127,MATCH(B741,Players!$A$2:$A$127,0)),""))</f>
        <v>0.7013861386</v>
      </c>
    </row>
    <row r="742" ht="15.75" customHeight="1">
      <c r="A742" s="4" t="s">
        <v>3057</v>
      </c>
      <c r="B742" s="4" t="s">
        <v>1639</v>
      </c>
      <c r="C742" s="4" t="s">
        <v>1640</v>
      </c>
      <c r="D742" s="4" t="s">
        <v>1582</v>
      </c>
      <c r="E742" s="4" t="s">
        <v>161</v>
      </c>
      <c r="F742" s="4">
        <v>5.0</v>
      </c>
      <c r="G742" s="4">
        <v>11.6</v>
      </c>
      <c r="I742" s="11"/>
      <c r="J742" s="4">
        <v>0.82</v>
      </c>
      <c r="K742" s="18">
        <f t="array" ref="K742">IF(H742&lt;&gt;"",H742,IFERROR(G742/INDEX(Players!$M$2:$M$127,MATCH(B742,Players!$A$2:$A$127,0)),""))</f>
        <v>0.5283168317</v>
      </c>
    </row>
    <row r="743" ht="15.75" customHeight="1">
      <c r="A743" s="4" t="s">
        <v>3058</v>
      </c>
      <c r="B743" s="4" t="s">
        <v>1639</v>
      </c>
      <c r="C743" s="4" t="s">
        <v>1640</v>
      </c>
      <c r="D743" s="4" t="s">
        <v>1582</v>
      </c>
      <c r="E743" s="4" t="s">
        <v>152</v>
      </c>
      <c r="F743" s="4">
        <v>3.0</v>
      </c>
      <c r="G743" s="4">
        <v>21.7</v>
      </c>
      <c r="I743" s="11"/>
      <c r="J743" s="4">
        <v>1.23</v>
      </c>
      <c r="K743" s="18">
        <f t="array" ref="K743">IF(H743&lt;&gt;"",H743,IFERROR(G743/INDEX(Players!$M$2:$M$127,MATCH(B743,Players!$A$2:$A$127,0)),""))</f>
        <v>0.9883168317</v>
      </c>
    </row>
    <row r="744" ht="15.75" customHeight="1">
      <c r="A744" s="4" t="s">
        <v>3059</v>
      </c>
      <c r="B744" s="4" t="s">
        <v>1639</v>
      </c>
      <c r="C744" s="4" t="s">
        <v>1640</v>
      </c>
      <c r="D744" s="4" t="s">
        <v>1582</v>
      </c>
      <c r="E744" s="4" t="s">
        <v>156</v>
      </c>
      <c r="F744" s="4">
        <v>3.0</v>
      </c>
      <c r="G744" s="4">
        <v>8.0</v>
      </c>
      <c r="I744" s="11"/>
      <c r="J744" s="4">
        <v>0.52</v>
      </c>
      <c r="K744" s="18">
        <f t="array" ref="K744">IF(H744&lt;&gt;"",H744,IFERROR(G744/INDEX(Players!$M$2:$M$127,MATCH(B744,Players!$A$2:$A$127,0)),""))</f>
        <v>0.3643564356</v>
      </c>
    </row>
    <row r="745" ht="15.75" customHeight="1">
      <c r="A745" s="4" t="s">
        <v>3060</v>
      </c>
      <c r="B745" s="4" t="s">
        <v>1639</v>
      </c>
      <c r="C745" s="4" t="s">
        <v>1640</v>
      </c>
      <c r="D745" s="4" t="s">
        <v>1582</v>
      </c>
      <c r="E745" s="4" t="s">
        <v>172</v>
      </c>
      <c r="F745" s="4">
        <v>2.0</v>
      </c>
      <c r="G745" s="4">
        <v>15.5</v>
      </c>
      <c r="I745" s="11"/>
      <c r="J745" s="4">
        <v>1.07</v>
      </c>
      <c r="K745" s="18">
        <f t="array" ref="K745">IF(H745&lt;&gt;"",H745,IFERROR(G745/INDEX(Players!$M$2:$M$127,MATCH(B745,Players!$A$2:$A$127,0)),""))</f>
        <v>0.7059405941</v>
      </c>
    </row>
    <row r="746" ht="15.75" customHeight="1">
      <c r="A746" s="4" t="s">
        <v>3061</v>
      </c>
      <c r="B746" s="4" t="s">
        <v>1602</v>
      </c>
      <c r="C746" s="4" t="s">
        <v>1603</v>
      </c>
      <c r="D746" s="4" t="s">
        <v>1582</v>
      </c>
      <c r="E746" s="4" t="s">
        <v>165</v>
      </c>
      <c r="F746" s="4">
        <v>7.0</v>
      </c>
      <c r="G746" s="4">
        <v>14.9</v>
      </c>
      <c r="I746" s="11"/>
      <c r="J746" s="4">
        <v>0.98</v>
      </c>
      <c r="K746" s="18">
        <f t="array" ref="K746">IF(H746&lt;&gt;"",H746,IFERROR(G746/INDEX(Players!$M$2:$M$127,MATCH(B746,Players!$A$2:$A$127,0)),""))</f>
        <v>0.7006915629</v>
      </c>
    </row>
    <row r="747" ht="15.75" customHeight="1">
      <c r="A747" s="4" t="s">
        <v>3062</v>
      </c>
      <c r="B747" s="4" t="s">
        <v>1602</v>
      </c>
      <c r="C747" s="4" t="s">
        <v>1603</v>
      </c>
      <c r="D747" s="4" t="s">
        <v>1582</v>
      </c>
      <c r="E747" s="4" t="s">
        <v>161</v>
      </c>
      <c r="F747" s="4">
        <v>6.0</v>
      </c>
      <c r="G747" s="4">
        <v>15.3</v>
      </c>
      <c r="I747" s="11"/>
      <c r="J747" s="4">
        <v>1.0</v>
      </c>
      <c r="K747" s="18">
        <f t="array" ref="K747">IF(H747&lt;&gt;"",H747,IFERROR(G747/INDEX(Players!$M$2:$M$127,MATCH(B747,Players!$A$2:$A$127,0)),""))</f>
        <v>0.7195020747</v>
      </c>
    </row>
    <row r="748" ht="15.75" customHeight="1">
      <c r="A748" s="4" t="s">
        <v>3063</v>
      </c>
      <c r="B748" s="4" t="s">
        <v>1602</v>
      </c>
      <c r="C748" s="4" t="s">
        <v>1603</v>
      </c>
      <c r="D748" s="4" t="s">
        <v>1582</v>
      </c>
      <c r="E748" s="4" t="s">
        <v>141</v>
      </c>
      <c r="F748" s="4">
        <v>6.0</v>
      </c>
      <c r="G748" s="4">
        <v>13.8</v>
      </c>
      <c r="I748" s="11"/>
      <c r="J748" s="4">
        <v>0.84</v>
      </c>
      <c r="K748" s="18">
        <f t="array" ref="K748">IF(H748&lt;&gt;"",H748,IFERROR(G748/INDEX(Players!$M$2:$M$127,MATCH(B748,Players!$A$2:$A$127,0)),""))</f>
        <v>0.6489626556</v>
      </c>
    </row>
    <row r="749" ht="15.75" customHeight="1">
      <c r="A749" s="4" t="s">
        <v>3064</v>
      </c>
      <c r="B749" s="4" t="s">
        <v>1602</v>
      </c>
      <c r="C749" s="4" t="s">
        <v>1603</v>
      </c>
      <c r="D749" s="4" t="s">
        <v>1582</v>
      </c>
      <c r="E749" s="4" t="s">
        <v>172</v>
      </c>
      <c r="F749" s="4">
        <v>4.0</v>
      </c>
      <c r="G749" s="4">
        <v>17.3</v>
      </c>
      <c r="I749" s="11"/>
      <c r="J749" s="4">
        <v>1.05</v>
      </c>
      <c r="K749" s="18">
        <f t="array" ref="K749">IF(H749&lt;&gt;"",H749,IFERROR(G749/INDEX(Players!$M$2:$M$127,MATCH(B749,Players!$A$2:$A$127,0)),""))</f>
        <v>0.8135546335</v>
      </c>
    </row>
    <row r="750" ht="15.75" customHeight="1">
      <c r="A750" s="4" t="s">
        <v>3065</v>
      </c>
      <c r="B750" s="4" t="s">
        <v>1602</v>
      </c>
      <c r="C750" s="4" t="s">
        <v>1603</v>
      </c>
      <c r="D750" s="4" t="s">
        <v>1582</v>
      </c>
      <c r="E750" s="4" t="s">
        <v>156</v>
      </c>
      <c r="F750" s="4">
        <v>4.0</v>
      </c>
      <c r="G750" s="4">
        <v>14.0</v>
      </c>
      <c r="I750" s="11"/>
      <c r="J750" s="4">
        <v>0.82</v>
      </c>
      <c r="K750" s="18">
        <f t="array" ref="K750">IF(H750&lt;&gt;"",H750,IFERROR(G750/INDEX(Players!$M$2:$M$127,MATCH(B750,Players!$A$2:$A$127,0)),""))</f>
        <v>0.6583679115</v>
      </c>
    </row>
    <row r="751" ht="15.75" customHeight="1">
      <c r="A751" s="4" t="s">
        <v>3066</v>
      </c>
      <c r="B751" s="4" t="s">
        <v>1602</v>
      </c>
      <c r="C751" s="4" t="s">
        <v>1603</v>
      </c>
      <c r="D751" s="4" t="s">
        <v>1582</v>
      </c>
      <c r="E751" s="4" t="s">
        <v>147</v>
      </c>
      <c r="F751" s="4">
        <v>4.0</v>
      </c>
      <c r="G751" s="4">
        <v>12.8</v>
      </c>
      <c r="I751" s="11"/>
      <c r="J751" s="4">
        <v>0.73</v>
      </c>
      <c r="K751" s="18">
        <f t="array" ref="K751">IF(H751&lt;&gt;"",H751,IFERROR(G751/INDEX(Players!$M$2:$M$127,MATCH(B751,Players!$A$2:$A$127,0)),""))</f>
        <v>0.6019363762</v>
      </c>
    </row>
    <row r="752" ht="15.75" customHeight="1">
      <c r="A752" s="4" t="s">
        <v>3067</v>
      </c>
      <c r="B752" s="4" t="s">
        <v>1602</v>
      </c>
      <c r="C752" s="4" t="s">
        <v>1603</v>
      </c>
      <c r="D752" s="4" t="s">
        <v>1582</v>
      </c>
      <c r="E752" s="4" t="s">
        <v>168</v>
      </c>
      <c r="F752" s="4">
        <v>4.0</v>
      </c>
      <c r="G752" s="4">
        <v>13.0</v>
      </c>
      <c r="I752" s="11"/>
      <c r="J752" s="4">
        <v>0.7</v>
      </c>
      <c r="K752" s="18">
        <f t="array" ref="K752">IF(H752&lt;&gt;"",H752,IFERROR(G752/INDEX(Players!$M$2:$M$127,MATCH(B752,Players!$A$2:$A$127,0)),""))</f>
        <v>0.6113416321</v>
      </c>
    </row>
    <row r="753" ht="15.75" customHeight="1">
      <c r="A753" s="4" t="s">
        <v>3068</v>
      </c>
      <c r="B753" s="4" t="s">
        <v>1602</v>
      </c>
      <c r="C753" s="4" t="s">
        <v>1603</v>
      </c>
      <c r="D753" s="4" t="s">
        <v>1582</v>
      </c>
      <c r="E753" s="4" t="s">
        <v>152</v>
      </c>
      <c r="F753" s="4">
        <v>2.0</v>
      </c>
      <c r="G753" s="4">
        <v>14.0</v>
      </c>
      <c r="I753" s="11"/>
      <c r="J753" s="4">
        <v>0.93</v>
      </c>
      <c r="K753" s="18">
        <f t="array" ref="K753">IF(H753&lt;&gt;"",H753,IFERROR(G753/INDEX(Players!$M$2:$M$127,MATCH(B753,Players!$A$2:$A$127,0)),""))</f>
        <v>0.6583679115</v>
      </c>
    </row>
    <row r="754" ht="15.75" customHeight="1">
      <c r="A754" s="4" t="s">
        <v>3069</v>
      </c>
      <c r="B754" s="4" t="s">
        <v>1605</v>
      </c>
      <c r="C754" s="4" t="s">
        <v>1606</v>
      </c>
      <c r="D754" s="4" t="s">
        <v>1582</v>
      </c>
      <c r="E754" s="4" t="s">
        <v>165</v>
      </c>
      <c r="F754" s="4">
        <v>7.0</v>
      </c>
      <c r="G754" s="4">
        <v>12.7</v>
      </c>
      <c r="I754" s="11"/>
      <c r="J754" s="4">
        <v>0.98</v>
      </c>
      <c r="K754" s="18">
        <f t="array" ref="K754">IF(H754&lt;&gt;"",H754,IFERROR(G754/INDEX(Players!$M$2:$M$127,MATCH(B754,Players!$A$2:$A$127,0)),""))</f>
        <v>0.5914836993</v>
      </c>
    </row>
    <row r="755" ht="15.75" customHeight="1">
      <c r="A755" s="4" t="s">
        <v>3070</v>
      </c>
      <c r="B755" s="4" t="s">
        <v>1605</v>
      </c>
      <c r="C755" s="4" t="s">
        <v>1606</v>
      </c>
      <c r="D755" s="4" t="s">
        <v>1582</v>
      </c>
      <c r="E755" s="4" t="s">
        <v>141</v>
      </c>
      <c r="F755" s="4">
        <v>6.0</v>
      </c>
      <c r="G755" s="4">
        <v>18.0</v>
      </c>
      <c r="I755" s="11"/>
      <c r="J755" s="4">
        <v>1.11</v>
      </c>
      <c r="K755" s="18">
        <f t="array" ref="K755">IF(H755&lt;&gt;"",H755,IFERROR(G755/INDEX(Players!$M$2:$M$127,MATCH(B755,Players!$A$2:$A$127,0)),""))</f>
        <v>0.8383233533</v>
      </c>
    </row>
    <row r="756" ht="15.75" customHeight="1">
      <c r="A756" s="4" t="s">
        <v>3071</v>
      </c>
      <c r="B756" s="4" t="s">
        <v>1605</v>
      </c>
      <c r="C756" s="4" t="s">
        <v>1606</v>
      </c>
      <c r="D756" s="4" t="s">
        <v>1582</v>
      </c>
      <c r="E756" s="4" t="s">
        <v>161</v>
      </c>
      <c r="F756" s="4">
        <v>6.0</v>
      </c>
      <c r="G756" s="4">
        <v>11.0</v>
      </c>
      <c r="I756" s="11"/>
      <c r="J756" s="4">
        <v>0.8</v>
      </c>
      <c r="K756" s="18">
        <f t="array" ref="K756">IF(H756&lt;&gt;"",H756,IFERROR(G756/INDEX(Players!$M$2:$M$127,MATCH(B756,Players!$A$2:$A$127,0)),""))</f>
        <v>0.5123087159</v>
      </c>
    </row>
    <row r="757" ht="15.75" customHeight="1">
      <c r="A757" s="4" t="s">
        <v>3072</v>
      </c>
      <c r="B757" s="4" t="s">
        <v>1605</v>
      </c>
      <c r="C757" s="4" t="s">
        <v>1606</v>
      </c>
      <c r="D757" s="4" t="s">
        <v>1582</v>
      </c>
      <c r="E757" s="4" t="s">
        <v>168</v>
      </c>
      <c r="F757" s="4">
        <v>4.0</v>
      </c>
      <c r="G757" s="4">
        <v>18.5</v>
      </c>
      <c r="I757" s="11"/>
      <c r="J757" s="4">
        <v>1.28</v>
      </c>
      <c r="K757" s="18">
        <f t="array" ref="K757">IF(H757&lt;&gt;"",H757,IFERROR(G757/INDEX(Players!$M$2:$M$127,MATCH(B757,Players!$A$2:$A$127,0)),""))</f>
        <v>0.8616101131</v>
      </c>
    </row>
    <row r="758" ht="15.75" customHeight="1">
      <c r="A758" s="4" t="s">
        <v>3073</v>
      </c>
      <c r="B758" s="4" t="s">
        <v>1605</v>
      </c>
      <c r="C758" s="4" t="s">
        <v>1606</v>
      </c>
      <c r="D758" s="4" t="s">
        <v>1582</v>
      </c>
      <c r="E758" s="4" t="s">
        <v>172</v>
      </c>
      <c r="F758" s="4">
        <v>4.0</v>
      </c>
      <c r="G758" s="4">
        <v>16.0</v>
      </c>
      <c r="I758" s="11"/>
      <c r="J758" s="4">
        <v>1.14</v>
      </c>
      <c r="K758" s="18">
        <f t="array" ref="K758">IF(H758&lt;&gt;"",H758,IFERROR(G758/INDEX(Players!$M$2:$M$127,MATCH(B758,Players!$A$2:$A$127,0)),""))</f>
        <v>0.745176314</v>
      </c>
    </row>
    <row r="759" ht="15.75" customHeight="1">
      <c r="A759" s="4" t="s">
        <v>3074</v>
      </c>
      <c r="B759" s="4" t="s">
        <v>1605</v>
      </c>
      <c r="C759" s="4" t="s">
        <v>1606</v>
      </c>
      <c r="D759" s="4" t="s">
        <v>1582</v>
      </c>
      <c r="E759" s="4" t="s">
        <v>156</v>
      </c>
      <c r="F759" s="4">
        <v>4.0</v>
      </c>
      <c r="G759" s="4">
        <v>17.0</v>
      </c>
      <c r="I759" s="11"/>
      <c r="J759" s="4">
        <v>1.05</v>
      </c>
      <c r="K759" s="18">
        <f t="array" ref="K759">IF(H759&lt;&gt;"",H759,IFERROR(G759/INDEX(Players!$M$2:$M$127,MATCH(B759,Players!$A$2:$A$127,0)),""))</f>
        <v>0.7917498337</v>
      </c>
    </row>
    <row r="760" ht="15.75" customHeight="1">
      <c r="A760" s="4" t="s">
        <v>3075</v>
      </c>
      <c r="B760" s="4" t="s">
        <v>1605</v>
      </c>
      <c r="C760" s="4" t="s">
        <v>1606</v>
      </c>
      <c r="D760" s="4" t="s">
        <v>1582</v>
      </c>
      <c r="E760" s="4" t="s">
        <v>147</v>
      </c>
      <c r="F760" s="4">
        <v>4.0</v>
      </c>
      <c r="G760" s="4">
        <v>16.0</v>
      </c>
      <c r="I760" s="11"/>
      <c r="J760" s="4">
        <v>1.03</v>
      </c>
      <c r="K760" s="18">
        <f t="array" ref="K760">IF(H760&lt;&gt;"",H760,IFERROR(G760/INDEX(Players!$M$2:$M$127,MATCH(B760,Players!$A$2:$A$127,0)),""))</f>
        <v>0.745176314</v>
      </c>
    </row>
    <row r="761" ht="15.75" customHeight="1">
      <c r="A761" s="4" t="s">
        <v>3076</v>
      </c>
      <c r="B761" s="4" t="s">
        <v>1605</v>
      </c>
      <c r="C761" s="4" t="s">
        <v>1606</v>
      </c>
      <c r="D761" s="4" t="s">
        <v>1582</v>
      </c>
      <c r="E761" s="4" t="s">
        <v>152</v>
      </c>
      <c r="F761" s="4">
        <v>2.0</v>
      </c>
      <c r="G761" s="4">
        <v>11.5</v>
      </c>
      <c r="I761" s="11"/>
      <c r="J761" s="4">
        <v>0.88</v>
      </c>
      <c r="K761" s="18">
        <f t="array" ref="K761">IF(H761&lt;&gt;"",H761,IFERROR(G761/INDEX(Players!$M$2:$M$127,MATCH(B761,Players!$A$2:$A$127,0)),""))</f>
        <v>0.5355954757</v>
      </c>
    </row>
    <row r="762" ht="15.75" customHeight="1">
      <c r="A762" s="4" t="s">
        <v>3077</v>
      </c>
      <c r="B762" s="4" t="s">
        <v>1625</v>
      </c>
      <c r="C762" s="4" t="s">
        <v>1626</v>
      </c>
      <c r="D762" s="4" t="s">
        <v>1582</v>
      </c>
      <c r="E762" s="4" t="s">
        <v>152</v>
      </c>
      <c r="F762" s="4">
        <v>9.0</v>
      </c>
      <c r="G762" s="4">
        <v>19.8</v>
      </c>
      <c r="I762" s="11"/>
      <c r="J762" s="4">
        <v>1.56</v>
      </c>
      <c r="K762" s="18">
        <f t="array" ref="K762">IF(H762&lt;&gt;"",H762,IFERROR(G762/INDEX(Players!$M$2:$M$127,MATCH(B762,Players!$A$2:$A$127,0)),""))</f>
        <v>0.9289404323</v>
      </c>
    </row>
    <row r="763" ht="15.75" customHeight="1">
      <c r="A763" s="4" t="s">
        <v>3078</v>
      </c>
      <c r="B763" s="4" t="s">
        <v>1625</v>
      </c>
      <c r="C763" s="4" t="s">
        <v>1626</v>
      </c>
      <c r="D763" s="4" t="s">
        <v>1582</v>
      </c>
      <c r="E763" s="4" t="s">
        <v>172</v>
      </c>
      <c r="F763" s="4">
        <v>8.0</v>
      </c>
      <c r="G763" s="4">
        <v>22.4</v>
      </c>
      <c r="I763" s="11"/>
      <c r="J763" s="4">
        <v>1.41</v>
      </c>
      <c r="K763" s="18">
        <f t="array" ref="K763">IF(H763&lt;&gt;"",H763,IFERROR(G763/INDEX(Players!$M$2:$M$127,MATCH(B763,Players!$A$2:$A$127,0)),""))</f>
        <v>1.050922509</v>
      </c>
    </row>
    <row r="764" ht="15.75" customHeight="1">
      <c r="A764" s="4" t="s">
        <v>3079</v>
      </c>
      <c r="B764" s="4" t="s">
        <v>1625</v>
      </c>
      <c r="C764" s="4" t="s">
        <v>1626</v>
      </c>
      <c r="D764" s="4" t="s">
        <v>1582</v>
      </c>
      <c r="E764" s="4" t="s">
        <v>161</v>
      </c>
      <c r="F764" s="4">
        <v>6.0</v>
      </c>
      <c r="G764" s="4">
        <v>16.2</v>
      </c>
      <c r="I764" s="11"/>
      <c r="J764" s="4">
        <v>1.33</v>
      </c>
      <c r="K764" s="18">
        <f t="array" ref="K764">IF(H764&lt;&gt;"",H764,IFERROR(G764/INDEX(Players!$M$2:$M$127,MATCH(B764,Players!$A$2:$A$127,0)),""))</f>
        <v>0.7600421719</v>
      </c>
    </row>
    <row r="765" ht="15.75" customHeight="1">
      <c r="A765" s="4" t="s">
        <v>3080</v>
      </c>
      <c r="B765" s="4" t="s">
        <v>1625</v>
      </c>
      <c r="C765" s="4" t="s">
        <v>1626</v>
      </c>
      <c r="D765" s="4" t="s">
        <v>1582</v>
      </c>
      <c r="E765" s="4" t="s">
        <v>147</v>
      </c>
      <c r="F765" s="4">
        <v>6.0</v>
      </c>
      <c r="G765" s="4">
        <v>17.5</v>
      </c>
      <c r="I765" s="11"/>
      <c r="J765" s="4">
        <v>1.27</v>
      </c>
      <c r="K765" s="18">
        <f t="array" ref="K765">IF(H765&lt;&gt;"",H765,IFERROR(G765/INDEX(Players!$M$2:$M$127,MATCH(B765,Players!$A$2:$A$127,0)),""))</f>
        <v>0.8210332103</v>
      </c>
    </row>
    <row r="766" ht="15.75" customHeight="1">
      <c r="A766" s="4" t="s">
        <v>3081</v>
      </c>
      <c r="B766" s="4" t="s">
        <v>1625</v>
      </c>
      <c r="C766" s="4" t="s">
        <v>1626</v>
      </c>
      <c r="D766" s="4" t="s">
        <v>1582</v>
      </c>
      <c r="E766" s="4" t="s">
        <v>141</v>
      </c>
      <c r="F766" s="4">
        <v>3.0</v>
      </c>
      <c r="G766" s="4">
        <v>19.7</v>
      </c>
      <c r="I766" s="11"/>
      <c r="J766" s="4">
        <v>1.51</v>
      </c>
      <c r="K766" s="18">
        <f t="array" ref="K766">IF(H766&lt;&gt;"",H766,IFERROR(G766/INDEX(Players!$M$2:$M$127,MATCH(B766,Players!$A$2:$A$127,0)),""))</f>
        <v>0.9242488139</v>
      </c>
    </row>
    <row r="767" ht="15.75" customHeight="1">
      <c r="A767" s="4" t="s">
        <v>3082</v>
      </c>
      <c r="B767" s="4" t="s">
        <v>1625</v>
      </c>
      <c r="C767" s="4" t="s">
        <v>1626</v>
      </c>
      <c r="D767" s="4" t="s">
        <v>1582</v>
      </c>
      <c r="E767" s="4" t="s">
        <v>165</v>
      </c>
      <c r="F767" s="4">
        <v>3.0</v>
      </c>
      <c r="G767" s="4">
        <v>19.7</v>
      </c>
      <c r="I767" s="11"/>
      <c r="J767" s="4">
        <v>1.4</v>
      </c>
      <c r="K767" s="18">
        <f t="array" ref="K767">IF(H767&lt;&gt;"",H767,IFERROR(G767/INDEX(Players!$M$2:$M$127,MATCH(B767,Players!$A$2:$A$127,0)),""))</f>
        <v>0.9242488139</v>
      </c>
    </row>
    <row r="768" ht="15.75" customHeight="1">
      <c r="A768" s="4" t="s">
        <v>3083</v>
      </c>
      <c r="B768" s="4" t="s">
        <v>1625</v>
      </c>
      <c r="C768" s="4" t="s">
        <v>1626</v>
      </c>
      <c r="D768" s="4" t="s">
        <v>1582</v>
      </c>
      <c r="E768" s="4" t="s">
        <v>168</v>
      </c>
      <c r="F768" s="4">
        <v>3.0</v>
      </c>
      <c r="G768" s="4">
        <v>16.7</v>
      </c>
      <c r="I768" s="11"/>
      <c r="J768" s="4">
        <v>0.93</v>
      </c>
      <c r="K768" s="18">
        <f t="array" ref="K768">IF(H768&lt;&gt;"",H768,IFERROR(G768/INDEX(Players!$M$2:$M$127,MATCH(B768,Players!$A$2:$A$127,0)),""))</f>
        <v>0.7835002636</v>
      </c>
    </row>
    <row r="769" ht="15.75" customHeight="1">
      <c r="A769" s="4" t="s">
        <v>3084</v>
      </c>
      <c r="B769" s="4" t="s">
        <v>1625</v>
      </c>
      <c r="C769" s="4" t="s">
        <v>1626</v>
      </c>
      <c r="D769" s="4" t="s">
        <v>1582</v>
      </c>
      <c r="E769" s="4" t="s">
        <v>156</v>
      </c>
      <c r="F769" s="4">
        <v>1.0</v>
      </c>
      <c r="G769" s="4">
        <v>13.0</v>
      </c>
      <c r="I769" s="11"/>
      <c r="J769" s="4">
        <v>1.0</v>
      </c>
      <c r="K769" s="18">
        <f t="array" ref="K769">IF(H769&lt;&gt;"",H769,IFERROR(G769/INDEX(Players!$M$2:$M$127,MATCH(B769,Players!$A$2:$A$127,0)),""))</f>
        <v>0.6099103848</v>
      </c>
    </row>
    <row r="770" ht="15.75" customHeight="1">
      <c r="A770" s="4" t="s">
        <v>3085</v>
      </c>
      <c r="B770" s="4" t="s">
        <v>1642</v>
      </c>
      <c r="C770" s="4" t="s">
        <v>1643</v>
      </c>
      <c r="D770" s="4" t="s">
        <v>1582</v>
      </c>
      <c r="E770" s="4" t="s">
        <v>141</v>
      </c>
      <c r="F770" s="4">
        <v>9.0</v>
      </c>
      <c r="G770" s="4">
        <v>9.8</v>
      </c>
      <c r="I770" s="11"/>
      <c r="J770" s="4">
        <v>0.72</v>
      </c>
      <c r="K770" s="18">
        <f t="array" ref="K770">IF(H770&lt;&gt;"",H770,IFERROR(G770/INDEX(Players!$M$2:$M$127,MATCH(B770,Players!$A$2:$A$127,0)),""))</f>
        <v>0.4509861213</v>
      </c>
    </row>
    <row r="771" ht="15.75" customHeight="1">
      <c r="A771" s="4" t="s">
        <v>3086</v>
      </c>
      <c r="B771" s="4" t="s">
        <v>1642</v>
      </c>
      <c r="C771" s="4" t="s">
        <v>1643</v>
      </c>
      <c r="D771" s="4" t="s">
        <v>1582</v>
      </c>
      <c r="E771" s="4" t="s">
        <v>168</v>
      </c>
      <c r="F771" s="4">
        <v>6.0</v>
      </c>
      <c r="G771" s="4">
        <v>18.5</v>
      </c>
      <c r="I771" s="11"/>
      <c r="J771" s="4">
        <v>1.29</v>
      </c>
      <c r="K771" s="18">
        <f t="array" ref="K771">IF(H771&lt;&gt;"",H771,IFERROR(G771/INDEX(Players!$M$2:$M$127,MATCH(B771,Players!$A$2:$A$127,0)),""))</f>
        <v>0.8513513514</v>
      </c>
    </row>
    <row r="772" ht="15.75" customHeight="1">
      <c r="A772" s="4" t="s">
        <v>3087</v>
      </c>
      <c r="B772" s="4" t="s">
        <v>1642</v>
      </c>
      <c r="C772" s="4" t="s">
        <v>1643</v>
      </c>
      <c r="D772" s="4" t="s">
        <v>1582</v>
      </c>
      <c r="E772" s="4" t="s">
        <v>147</v>
      </c>
      <c r="F772" s="4">
        <v>6.0</v>
      </c>
      <c r="G772" s="4">
        <v>16.2</v>
      </c>
      <c r="I772" s="11"/>
      <c r="J772" s="4">
        <v>1.26</v>
      </c>
      <c r="K772" s="18">
        <f t="array" ref="K772">IF(H772&lt;&gt;"",H772,IFERROR(G772/INDEX(Players!$M$2:$M$127,MATCH(B772,Players!$A$2:$A$127,0)),""))</f>
        <v>0.7455076698</v>
      </c>
    </row>
    <row r="773" ht="15.75" customHeight="1">
      <c r="A773" s="4" t="s">
        <v>3088</v>
      </c>
      <c r="B773" s="4" t="s">
        <v>1642</v>
      </c>
      <c r="C773" s="4" t="s">
        <v>1643</v>
      </c>
      <c r="D773" s="4" t="s">
        <v>1582</v>
      </c>
      <c r="E773" s="4" t="s">
        <v>165</v>
      </c>
      <c r="F773" s="4">
        <v>5.0</v>
      </c>
      <c r="G773" s="4">
        <v>13.4</v>
      </c>
      <c r="I773" s="11"/>
      <c r="J773" s="4">
        <v>0.84</v>
      </c>
      <c r="K773" s="18">
        <f t="array" ref="K773">IF(H773&lt;&gt;"",H773,IFERROR(G773/INDEX(Players!$M$2:$M$127,MATCH(B773,Players!$A$2:$A$127,0)),""))</f>
        <v>0.6166544923</v>
      </c>
    </row>
    <row r="774" ht="15.75" customHeight="1">
      <c r="A774" s="4" t="s">
        <v>3089</v>
      </c>
      <c r="B774" s="4" t="s">
        <v>1642</v>
      </c>
      <c r="C774" s="4" t="s">
        <v>1643</v>
      </c>
      <c r="D774" s="4" t="s">
        <v>1582</v>
      </c>
      <c r="E774" s="4" t="s">
        <v>161</v>
      </c>
      <c r="F774" s="4">
        <v>5.0</v>
      </c>
      <c r="G774" s="4">
        <v>8.2</v>
      </c>
      <c r="I774" s="11"/>
      <c r="J774" s="4">
        <v>0.58</v>
      </c>
      <c r="K774" s="18">
        <f t="array" ref="K774">IF(H774&lt;&gt;"",H774,IFERROR(G774/INDEX(Players!$M$2:$M$127,MATCH(B774,Players!$A$2:$A$127,0)),""))</f>
        <v>0.3773557341</v>
      </c>
    </row>
    <row r="775" ht="15.75" customHeight="1">
      <c r="A775" s="4" t="s">
        <v>3090</v>
      </c>
      <c r="B775" s="4" t="s">
        <v>1642</v>
      </c>
      <c r="C775" s="4" t="s">
        <v>1643</v>
      </c>
      <c r="D775" s="4" t="s">
        <v>1582</v>
      </c>
      <c r="E775" s="4" t="s">
        <v>156</v>
      </c>
      <c r="F775" s="4">
        <v>3.0</v>
      </c>
      <c r="G775" s="4">
        <v>14.7</v>
      </c>
      <c r="I775" s="11"/>
      <c r="J775" s="4">
        <v>1.05</v>
      </c>
      <c r="K775" s="18">
        <f t="array" ref="K775">IF(H775&lt;&gt;"",H775,IFERROR(G775/INDEX(Players!$M$2:$M$127,MATCH(B775,Players!$A$2:$A$127,0)),""))</f>
        <v>0.6764791819</v>
      </c>
    </row>
    <row r="776" ht="15.75" customHeight="1">
      <c r="A776" s="4" t="s">
        <v>3091</v>
      </c>
      <c r="B776" s="4" t="s">
        <v>1642</v>
      </c>
      <c r="C776" s="4" t="s">
        <v>1643</v>
      </c>
      <c r="D776" s="4" t="s">
        <v>1582</v>
      </c>
      <c r="E776" s="4" t="s">
        <v>152</v>
      </c>
      <c r="F776" s="4">
        <v>3.0</v>
      </c>
      <c r="G776" s="4">
        <v>16.3</v>
      </c>
      <c r="I776" s="11"/>
      <c r="J776" s="4">
        <v>0.98</v>
      </c>
      <c r="K776" s="18">
        <f t="array" ref="K776">IF(H776&lt;&gt;"",H776,IFERROR(G776/INDEX(Players!$M$2:$M$127,MATCH(B776,Players!$A$2:$A$127,0)),""))</f>
        <v>0.750109569</v>
      </c>
    </row>
    <row r="777" ht="15.75" customHeight="1">
      <c r="A777" s="4" t="s">
        <v>3092</v>
      </c>
      <c r="B777" s="4" t="s">
        <v>1642</v>
      </c>
      <c r="C777" s="4" t="s">
        <v>1643</v>
      </c>
      <c r="D777" s="4" t="s">
        <v>1582</v>
      </c>
      <c r="E777" s="4" t="s">
        <v>172</v>
      </c>
      <c r="F777" s="4">
        <v>2.0</v>
      </c>
      <c r="G777" s="4">
        <v>18.5</v>
      </c>
      <c r="I777" s="11"/>
      <c r="J777" s="4">
        <v>1.28</v>
      </c>
      <c r="K777" s="18">
        <f t="array" ref="K777">IF(H777&lt;&gt;"",H777,IFERROR(G777/INDEX(Players!$M$2:$M$127,MATCH(B777,Players!$A$2:$A$127,0)),""))</f>
        <v>0.8513513514</v>
      </c>
    </row>
    <row r="778" ht="15.75" customHeight="1">
      <c r="A778" s="4" t="s">
        <v>3093</v>
      </c>
      <c r="B778" s="4" t="s">
        <v>1645</v>
      </c>
      <c r="C778" s="4" t="s">
        <v>1646</v>
      </c>
      <c r="D778" s="4" t="s">
        <v>1582</v>
      </c>
      <c r="E778" s="4" t="s">
        <v>141</v>
      </c>
      <c r="F778" s="4">
        <v>9.0</v>
      </c>
      <c r="G778" s="4">
        <v>15.1</v>
      </c>
      <c r="I778" s="11"/>
      <c r="J778" s="4">
        <v>1.23</v>
      </c>
      <c r="K778" s="18">
        <f t="array" ref="K778">IF(H778&lt;&gt;"",H778,IFERROR(G778/INDEX(Players!$M$2:$M$127,MATCH(B778,Players!$A$2:$A$127,0)),""))</f>
        <v>0.690605686</v>
      </c>
    </row>
    <row r="779" ht="15.75" customHeight="1">
      <c r="A779" s="4" t="s">
        <v>3094</v>
      </c>
      <c r="B779" s="4" t="s">
        <v>1645</v>
      </c>
      <c r="C779" s="4" t="s">
        <v>1646</v>
      </c>
      <c r="D779" s="4" t="s">
        <v>1582</v>
      </c>
      <c r="E779" s="4" t="s">
        <v>147</v>
      </c>
      <c r="F779" s="4">
        <v>6.0</v>
      </c>
      <c r="G779" s="4">
        <v>20.3</v>
      </c>
      <c r="I779" s="11"/>
      <c r="J779" s="4">
        <v>1.4</v>
      </c>
      <c r="K779" s="18">
        <f t="array" ref="K779">IF(H779&lt;&gt;"",H779,IFERROR(G779/INDEX(Players!$M$2:$M$127,MATCH(B779,Players!$A$2:$A$127,0)),""))</f>
        <v>0.9284301607</v>
      </c>
    </row>
    <row r="780" ht="15.75" customHeight="1">
      <c r="A780" s="4" t="s">
        <v>3095</v>
      </c>
      <c r="B780" s="4" t="s">
        <v>1645</v>
      </c>
      <c r="C780" s="4" t="s">
        <v>1646</v>
      </c>
      <c r="D780" s="4" t="s">
        <v>1582</v>
      </c>
      <c r="E780" s="4" t="s">
        <v>168</v>
      </c>
      <c r="F780" s="4">
        <v>6.0</v>
      </c>
      <c r="G780" s="4">
        <v>17.5</v>
      </c>
      <c r="I780" s="11"/>
      <c r="J780" s="4">
        <v>1.21</v>
      </c>
      <c r="K780" s="18">
        <f t="array" ref="K780">IF(H780&lt;&gt;"",H780,IFERROR(G780/INDEX(Players!$M$2:$M$127,MATCH(B780,Players!$A$2:$A$127,0)),""))</f>
        <v>0.8003708282</v>
      </c>
    </row>
    <row r="781" ht="15.75" customHeight="1">
      <c r="A781" s="4" t="s">
        <v>3096</v>
      </c>
      <c r="B781" s="4" t="s">
        <v>1645</v>
      </c>
      <c r="C781" s="4" t="s">
        <v>1646</v>
      </c>
      <c r="D781" s="4" t="s">
        <v>1582</v>
      </c>
      <c r="E781" s="4" t="s">
        <v>161</v>
      </c>
      <c r="F781" s="4">
        <v>5.0</v>
      </c>
      <c r="G781" s="4">
        <v>15.8</v>
      </c>
      <c r="I781" s="11"/>
      <c r="J781" s="4">
        <v>1.22</v>
      </c>
      <c r="K781" s="18">
        <f t="array" ref="K781">IF(H781&lt;&gt;"",H781,IFERROR(G781/INDEX(Players!$M$2:$M$127,MATCH(B781,Players!$A$2:$A$127,0)),""))</f>
        <v>0.7226205192</v>
      </c>
    </row>
    <row r="782" ht="15.75" customHeight="1">
      <c r="A782" s="4" t="s">
        <v>3097</v>
      </c>
      <c r="B782" s="4" t="s">
        <v>1645</v>
      </c>
      <c r="C782" s="4" t="s">
        <v>1646</v>
      </c>
      <c r="D782" s="4" t="s">
        <v>1582</v>
      </c>
      <c r="E782" s="4" t="s">
        <v>165</v>
      </c>
      <c r="F782" s="4">
        <v>5.0</v>
      </c>
      <c r="G782" s="4">
        <v>15.8</v>
      </c>
      <c r="I782" s="11"/>
      <c r="J782" s="4">
        <v>1.16</v>
      </c>
      <c r="K782" s="18">
        <f t="array" ref="K782">IF(H782&lt;&gt;"",H782,IFERROR(G782/INDEX(Players!$M$2:$M$127,MATCH(B782,Players!$A$2:$A$127,0)),""))</f>
        <v>0.7226205192</v>
      </c>
    </row>
    <row r="783" ht="15.75" customHeight="1">
      <c r="A783" s="4" t="s">
        <v>3098</v>
      </c>
      <c r="B783" s="4" t="s">
        <v>1645</v>
      </c>
      <c r="C783" s="4" t="s">
        <v>1646</v>
      </c>
      <c r="D783" s="4" t="s">
        <v>1582</v>
      </c>
      <c r="E783" s="4" t="s">
        <v>156</v>
      </c>
      <c r="F783" s="4">
        <v>3.0</v>
      </c>
      <c r="G783" s="4">
        <v>14.0</v>
      </c>
      <c r="I783" s="11"/>
      <c r="J783" s="4">
        <v>1.24</v>
      </c>
      <c r="K783" s="18">
        <f t="array" ref="K783">IF(H783&lt;&gt;"",H783,IFERROR(G783/INDEX(Players!$M$2:$M$127,MATCH(B783,Players!$A$2:$A$127,0)),""))</f>
        <v>0.6402966625</v>
      </c>
    </row>
    <row r="784" ht="15.75" customHeight="1">
      <c r="A784" s="4" t="s">
        <v>3099</v>
      </c>
      <c r="B784" s="4" t="s">
        <v>1645</v>
      </c>
      <c r="C784" s="4" t="s">
        <v>1646</v>
      </c>
      <c r="D784" s="4" t="s">
        <v>1582</v>
      </c>
      <c r="E784" s="4" t="s">
        <v>152</v>
      </c>
      <c r="F784" s="4">
        <v>3.0</v>
      </c>
      <c r="G784" s="4">
        <v>15.7</v>
      </c>
      <c r="I784" s="11"/>
      <c r="J784" s="4">
        <v>0.96</v>
      </c>
      <c r="K784" s="18">
        <f t="array" ref="K784">IF(H784&lt;&gt;"",H784,IFERROR(G784/INDEX(Players!$M$2:$M$127,MATCH(B784,Players!$A$2:$A$127,0)),""))</f>
        <v>0.7180469716</v>
      </c>
    </row>
    <row r="785" ht="15.75" customHeight="1">
      <c r="A785" s="4" t="s">
        <v>3100</v>
      </c>
      <c r="B785" s="4" t="s">
        <v>1645</v>
      </c>
      <c r="C785" s="4" t="s">
        <v>1646</v>
      </c>
      <c r="D785" s="4" t="s">
        <v>1582</v>
      </c>
      <c r="E785" s="4" t="s">
        <v>172</v>
      </c>
      <c r="F785" s="4">
        <v>2.0</v>
      </c>
      <c r="G785" s="4">
        <v>10.5</v>
      </c>
      <c r="I785" s="11"/>
      <c r="J785" s="4">
        <v>0.75</v>
      </c>
      <c r="K785" s="18">
        <f t="array" ref="K785">IF(H785&lt;&gt;"",H785,IFERROR(G785/INDEX(Players!$M$2:$M$127,MATCH(B785,Players!$A$2:$A$127,0)),""))</f>
        <v>0.4802224969</v>
      </c>
    </row>
    <row r="786" ht="15.75" customHeight="1">
      <c r="A786" s="4" t="s">
        <v>3101</v>
      </c>
      <c r="B786" s="4" t="s">
        <v>1591</v>
      </c>
      <c r="C786" s="4" t="s">
        <v>1592</v>
      </c>
      <c r="D786" s="4" t="s">
        <v>1582</v>
      </c>
      <c r="E786" s="4" t="s">
        <v>172</v>
      </c>
      <c r="F786" s="4">
        <v>8.0</v>
      </c>
      <c r="G786" s="4">
        <v>16.5</v>
      </c>
      <c r="I786" s="11"/>
      <c r="J786" s="4">
        <v>0.94</v>
      </c>
      <c r="K786" s="18">
        <f t="array" ref="K786">IF(H786&lt;&gt;"",H786,IFERROR(G786/INDEX(Players!$M$2:$M$127,MATCH(B786,Players!$A$2:$A$127,0)),""))</f>
        <v>0.7925764192</v>
      </c>
    </row>
    <row r="787" ht="15.75" customHeight="1">
      <c r="A787" s="4" t="s">
        <v>3102</v>
      </c>
      <c r="B787" s="4" t="s">
        <v>1591</v>
      </c>
      <c r="C787" s="4" t="s">
        <v>1592</v>
      </c>
      <c r="D787" s="4" t="s">
        <v>1582</v>
      </c>
      <c r="E787" s="4" t="s">
        <v>168</v>
      </c>
      <c r="F787" s="4">
        <v>7.0</v>
      </c>
      <c r="G787" s="4">
        <v>19.3</v>
      </c>
      <c r="I787" s="11"/>
      <c r="J787" s="4">
        <v>1.3</v>
      </c>
      <c r="K787" s="18">
        <f t="array" ref="K787">IF(H787&lt;&gt;"",H787,IFERROR(G787/INDEX(Players!$M$2:$M$127,MATCH(B787,Players!$A$2:$A$127,0)),""))</f>
        <v>0.9270742358</v>
      </c>
    </row>
    <row r="788" ht="15.75" customHeight="1">
      <c r="A788" s="4" t="s">
        <v>3103</v>
      </c>
      <c r="B788" s="4" t="s">
        <v>1591</v>
      </c>
      <c r="C788" s="4" t="s">
        <v>1592</v>
      </c>
      <c r="D788" s="4" t="s">
        <v>1582</v>
      </c>
      <c r="E788" s="4" t="s">
        <v>147</v>
      </c>
      <c r="F788" s="4">
        <v>6.0</v>
      </c>
      <c r="G788" s="4">
        <v>15.3</v>
      </c>
      <c r="I788" s="11"/>
      <c r="J788" s="4">
        <v>1.03</v>
      </c>
      <c r="K788" s="18">
        <f t="array" ref="K788">IF(H788&lt;&gt;"",H788,IFERROR(G788/INDEX(Players!$M$2:$M$127,MATCH(B788,Players!$A$2:$A$127,0)),""))</f>
        <v>0.7349344978</v>
      </c>
    </row>
    <row r="789" ht="15.75" customHeight="1">
      <c r="A789" s="4" t="s">
        <v>3104</v>
      </c>
      <c r="B789" s="4" t="s">
        <v>1591</v>
      </c>
      <c r="C789" s="4" t="s">
        <v>1592</v>
      </c>
      <c r="D789" s="4" t="s">
        <v>1582</v>
      </c>
      <c r="E789" s="4" t="s">
        <v>152</v>
      </c>
      <c r="F789" s="4">
        <v>5.0</v>
      </c>
      <c r="G789" s="4">
        <v>13.8</v>
      </c>
      <c r="I789" s="11"/>
      <c r="J789" s="4">
        <v>1.08</v>
      </c>
      <c r="K789" s="18">
        <f t="array" ref="K789">IF(H789&lt;&gt;"",H789,IFERROR(G789/INDEX(Players!$M$2:$M$127,MATCH(B789,Players!$A$2:$A$127,0)),""))</f>
        <v>0.6628820961</v>
      </c>
    </row>
    <row r="790" ht="15.75" customHeight="1">
      <c r="A790" s="4" t="s">
        <v>3105</v>
      </c>
      <c r="B790" s="4" t="s">
        <v>1591</v>
      </c>
      <c r="C790" s="4" t="s">
        <v>1592</v>
      </c>
      <c r="D790" s="4" t="s">
        <v>1582</v>
      </c>
      <c r="E790" s="4" t="s">
        <v>141</v>
      </c>
      <c r="F790" s="4">
        <v>4.0</v>
      </c>
      <c r="G790" s="4">
        <v>16.5</v>
      </c>
      <c r="I790" s="11"/>
      <c r="J790" s="4">
        <v>1.32</v>
      </c>
      <c r="K790" s="18">
        <f t="array" ref="K790">IF(H790&lt;&gt;"",H790,IFERROR(G790/INDEX(Players!$M$2:$M$127,MATCH(B790,Players!$A$2:$A$127,0)),""))</f>
        <v>0.7925764192</v>
      </c>
    </row>
    <row r="791" ht="15.75" customHeight="1">
      <c r="A791" s="4" t="s">
        <v>3106</v>
      </c>
      <c r="B791" s="4" t="s">
        <v>1591</v>
      </c>
      <c r="C791" s="4" t="s">
        <v>1592</v>
      </c>
      <c r="D791" s="4" t="s">
        <v>1582</v>
      </c>
      <c r="E791" s="4" t="s">
        <v>156</v>
      </c>
      <c r="F791" s="4">
        <v>4.0</v>
      </c>
      <c r="G791" s="4">
        <v>15.3</v>
      </c>
      <c r="I791" s="11"/>
      <c r="J791" s="4">
        <v>1.07</v>
      </c>
      <c r="K791" s="18">
        <f t="array" ref="K791">IF(H791&lt;&gt;"",H791,IFERROR(G791/INDEX(Players!$M$2:$M$127,MATCH(B791,Players!$A$2:$A$127,0)),""))</f>
        <v>0.7349344978</v>
      </c>
    </row>
    <row r="792" ht="15.75" customHeight="1">
      <c r="A792" s="4" t="s">
        <v>3108</v>
      </c>
      <c r="B792" s="4" t="s">
        <v>1591</v>
      </c>
      <c r="C792" s="4" t="s">
        <v>1592</v>
      </c>
      <c r="D792" s="4" t="s">
        <v>1582</v>
      </c>
      <c r="E792" s="4" t="s">
        <v>161</v>
      </c>
      <c r="F792" s="4">
        <v>3.0</v>
      </c>
      <c r="G792" s="4">
        <v>12.7</v>
      </c>
      <c r="I792" s="11"/>
      <c r="J792" s="4">
        <v>0.95</v>
      </c>
      <c r="K792" s="18">
        <f t="array" ref="K792">IF(H792&lt;&gt;"",H792,IFERROR(G792/INDEX(Players!$M$2:$M$127,MATCH(B792,Players!$A$2:$A$127,0)),""))</f>
        <v>0.6100436681</v>
      </c>
    </row>
    <row r="793" ht="15.75" customHeight="1">
      <c r="A793" s="4" t="s">
        <v>3109</v>
      </c>
      <c r="B793" s="4" t="s">
        <v>1591</v>
      </c>
      <c r="C793" s="4" t="s">
        <v>1592</v>
      </c>
      <c r="D793" s="4" t="s">
        <v>1582</v>
      </c>
      <c r="E793" s="4" t="s">
        <v>165</v>
      </c>
      <c r="F793" s="4">
        <v>2.0</v>
      </c>
      <c r="G793" s="4">
        <v>16.0</v>
      </c>
      <c r="I793" s="11"/>
      <c r="J793" s="4">
        <v>1.33</v>
      </c>
      <c r="K793" s="18">
        <f t="array" ref="K793">IF(H793&lt;&gt;"",H793,IFERROR(G793/INDEX(Players!$M$2:$M$127,MATCH(B793,Players!$A$2:$A$127,0)),""))</f>
        <v>0.768558952</v>
      </c>
    </row>
    <row r="794" ht="15.75" customHeight="1">
      <c r="A794" s="4" t="s">
        <v>3110</v>
      </c>
      <c r="B794" s="4" t="s">
        <v>1628</v>
      </c>
      <c r="C794" s="4" t="s">
        <v>1629</v>
      </c>
      <c r="D794" s="4" t="s">
        <v>1582</v>
      </c>
      <c r="E794" s="4" t="s">
        <v>152</v>
      </c>
      <c r="F794" s="4">
        <v>9.0</v>
      </c>
      <c r="G794" s="4">
        <v>16.6</v>
      </c>
      <c r="I794" s="11"/>
      <c r="J794" s="4">
        <v>1.02</v>
      </c>
      <c r="K794" s="18">
        <f t="array" ref="K794">IF(H794&lt;&gt;"",H794,IFERROR(G794/INDEX(Players!$M$2:$M$127,MATCH(B794,Players!$A$2:$A$127,0)),""))</f>
        <v>0.7845771144</v>
      </c>
    </row>
    <row r="795" ht="15.75" customHeight="1">
      <c r="A795" s="4" t="s">
        <v>3111</v>
      </c>
      <c r="B795" s="4" t="s">
        <v>1628</v>
      </c>
      <c r="C795" s="4" t="s">
        <v>1629</v>
      </c>
      <c r="D795" s="4" t="s">
        <v>1582</v>
      </c>
      <c r="E795" s="4" t="s">
        <v>172</v>
      </c>
      <c r="F795" s="4">
        <v>8.0</v>
      </c>
      <c r="G795" s="4">
        <v>19.0</v>
      </c>
      <c r="I795" s="11"/>
      <c r="J795" s="4">
        <v>0.98</v>
      </c>
      <c r="K795" s="18">
        <f t="array" ref="K795">IF(H795&lt;&gt;"",H795,IFERROR(G795/INDEX(Players!$M$2:$M$127,MATCH(B795,Players!$A$2:$A$127,0)),""))</f>
        <v>0.8980099502</v>
      </c>
    </row>
    <row r="796" ht="15.75" customHeight="1">
      <c r="A796" s="4" t="s">
        <v>3112</v>
      </c>
      <c r="B796" s="4" t="s">
        <v>1628</v>
      </c>
      <c r="C796" s="4" t="s">
        <v>1629</v>
      </c>
      <c r="D796" s="4" t="s">
        <v>1582</v>
      </c>
      <c r="E796" s="4" t="s">
        <v>161</v>
      </c>
      <c r="F796" s="4">
        <v>6.0</v>
      </c>
      <c r="G796" s="4">
        <v>15.8</v>
      </c>
      <c r="I796" s="11"/>
      <c r="J796" s="4">
        <v>1.2</v>
      </c>
      <c r="K796" s="18">
        <f t="array" ref="K796">IF(H796&lt;&gt;"",H796,IFERROR(G796/INDEX(Players!$M$2:$M$127,MATCH(B796,Players!$A$2:$A$127,0)),""))</f>
        <v>0.7467661692</v>
      </c>
    </row>
    <row r="797" ht="15.75" customHeight="1">
      <c r="A797" s="4" t="s">
        <v>3113</v>
      </c>
      <c r="B797" s="4" t="s">
        <v>1628</v>
      </c>
      <c r="C797" s="4" t="s">
        <v>1629</v>
      </c>
      <c r="D797" s="4" t="s">
        <v>1582</v>
      </c>
      <c r="E797" s="4" t="s">
        <v>147</v>
      </c>
      <c r="F797" s="4">
        <v>6.0</v>
      </c>
      <c r="G797" s="4">
        <v>15.7</v>
      </c>
      <c r="I797" s="11"/>
      <c r="J797" s="4">
        <v>0.94</v>
      </c>
      <c r="K797" s="18">
        <f t="array" ref="K797">IF(H797&lt;&gt;"",H797,IFERROR(G797/INDEX(Players!$M$2:$M$127,MATCH(B797,Players!$A$2:$A$127,0)),""))</f>
        <v>0.742039801</v>
      </c>
    </row>
    <row r="798" ht="15.75" customHeight="1">
      <c r="A798" s="4" t="s">
        <v>3114</v>
      </c>
      <c r="B798" s="4" t="s">
        <v>1628</v>
      </c>
      <c r="C798" s="4" t="s">
        <v>1629</v>
      </c>
      <c r="D798" s="4" t="s">
        <v>1582</v>
      </c>
      <c r="E798" s="4" t="s">
        <v>165</v>
      </c>
      <c r="F798" s="4">
        <v>3.0</v>
      </c>
      <c r="G798" s="4">
        <v>14.7</v>
      </c>
      <c r="I798" s="11"/>
      <c r="J798" s="4">
        <v>0.92</v>
      </c>
      <c r="K798" s="18">
        <f t="array" ref="K798">IF(H798&lt;&gt;"",H798,IFERROR(G798/INDEX(Players!$M$2:$M$127,MATCH(B798,Players!$A$2:$A$127,0)),""))</f>
        <v>0.6947761194</v>
      </c>
    </row>
    <row r="799" ht="15.75" customHeight="1">
      <c r="A799" s="4" t="s">
        <v>3115</v>
      </c>
      <c r="B799" s="4" t="s">
        <v>1628</v>
      </c>
      <c r="C799" s="4" t="s">
        <v>1629</v>
      </c>
      <c r="D799" s="4" t="s">
        <v>1582</v>
      </c>
      <c r="E799" s="4" t="s">
        <v>168</v>
      </c>
      <c r="F799" s="4">
        <v>3.0</v>
      </c>
      <c r="G799" s="4">
        <v>14.3</v>
      </c>
      <c r="I799" s="11"/>
      <c r="J799" s="4">
        <v>0.86</v>
      </c>
      <c r="K799" s="18">
        <f t="array" ref="K799">IF(H799&lt;&gt;"",H799,IFERROR(G799/INDEX(Players!$M$2:$M$127,MATCH(B799,Players!$A$2:$A$127,0)),""))</f>
        <v>0.6758706468</v>
      </c>
    </row>
    <row r="800" ht="15.75" customHeight="1">
      <c r="A800" s="4" t="s">
        <v>3116</v>
      </c>
      <c r="B800" s="4" t="s">
        <v>1628</v>
      </c>
      <c r="C800" s="4" t="s">
        <v>1629</v>
      </c>
      <c r="D800" s="4" t="s">
        <v>1582</v>
      </c>
      <c r="E800" s="4" t="s">
        <v>141</v>
      </c>
      <c r="F800" s="4">
        <v>3.0</v>
      </c>
      <c r="G800" s="4">
        <v>11.3</v>
      </c>
      <c r="I800" s="11"/>
      <c r="J800" s="4">
        <v>0.71</v>
      </c>
      <c r="K800" s="18">
        <f t="array" ref="K800">IF(H800&lt;&gt;"",H800,IFERROR(G800/INDEX(Players!$M$2:$M$127,MATCH(B800,Players!$A$2:$A$127,0)),""))</f>
        <v>0.534079602</v>
      </c>
    </row>
    <row r="801" ht="15.75" customHeight="1">
      <c r="A801" s="4" t="s">
        <v>3117</v>
      </c>
      <c r="B801" s="4" t="s">
        <v>1628</v>
      </c>
      <c r="C801" s="4" t="s">
        <v>1629</v>
      </c>
      <c r="D801" s="4" t="s">
        <v>1582</v>
      </c>
      <c r="E801" s="4" t="s">
        <v>156</v>
      </c>
      <c r="F801" s="4">
        <v>1.0</v>
      </c>
      <c r="G801" s="4">
        <v>16.0</v>
      </c>
      <c r="I801" s="11"/>
      <c r="J801" s="4">
        <v>1.14</v>
      </c>
      <c r="K801" s="18">
        <f t="array" ref="K801">IF(H801&lt;&gt;"",H801,IFERROR(G801/INDEX(Players!$M$2:$M$127,MATCH(B801,Players!$A$2:$A$127,0)),""))</f>
        <v>0.7562189055</v>
      </c>
    </row>
    <row r="802" ht="15.75" customHeight="1">
      <c r="A802" s="4" t="s">
        <v>3118</v>
      </c>
      <c r="B802" s="4" t="s">
        <v>1608</v>
      </c>
      <c r="C802" s="4" t="s">
        <v>1609</v>
      </c>
      <c r="D802" s="4" t="s">
        <v>1582</v>
      </c>
      <c r="E802" s="4" t="s">
        <v>165</v>
      </c>
      <c r="F802" s="4">
        <v>7.0</v>
      </c>
      <c r="G802" s="4">
        <v>16.9</v>
      </c>
      <c r="I802" s="11"/>
      <c r="J802" s="4">
        <v>1.4</v>
      </c>
      <c r="K802" s="18">
        <f t="array" ref="K802">IF(H802&lt;&gt;"",H802,IFERROR(G802/INDEX(Players!$M$2:$M$127,MATCH(B802,Players!$A$2:$A$127,0)),""))</f>
        <v>0.7885936487</v>
      </c>
    </row>
    <row r="803" ht="15.75" customHeight="1">
      <c r="A803" s="4" t="s">
        <v>3119</v>
      </c>
      <c r="B803" s="4" t="s">
        <v>1608</v>
      </c>
      <c r="C803" s="4" t="s">
        <v>1609</v>
      </c>
      <c r="D803" s="4" t="s">
        <v>1582</v>
      </c>
      <c r="E803" s="4" t="s">
        <v>141</v>
      </c>
      <c r="F803" s="4">
        <v>6.0</v>
      </c>
      <c r="G803" s="4">
        <v>14.8</v>
      </c>
      <c r="I803" s="11"/>
      <c r="J803" s="4">
        <v>1.07</v>
      </c>
      <c r="K803" s="18">
        <f t="array" ref="K803">IF(H803&lt;&gt;"",H803,IFERROR(G803/INDEX(Players!$M$2:$M$127,MATCH(B803,Players!$A$2:$A$127,0)),""))</f>
        <v>0.690602722</v>
      </c>
    </row>
    <row r="804" ht="15.75" customHeight="1">
      <c r="A804" s="4" t="s">
        <v>3120</v>
      </c>
      <c r="B804" s="4" t="s">
        <v>1608</v>
      </c>
      <c r="C804" s="4" t="s">
        <v>1609</v>
      </c>
      <c r="D804" s="4" t="s">
        <v>1582</v>
      </c>
      <c r="E804" s="4" t="s">
        <v>161</v>
      </c>
      <c r="F804" s="4">
        <v>6.0</v>
      </c>
      <c r="G804" s="4">
        <v>13.8</v>
      </c>
      <c r="I804" s="11"/>
      <c r="J804" s="4">
        <v>1.04</v>
      </c>
      <c r="K804" s="18">
        <f t="array" ref="K804">IF(H804&lt;&gt;"",H804,IFERROR(G804/INDEX(Players!$M$2:$M$127,MATCH(B804,Players!$A$2:$A$127,0)),""))</f>
        <v>0.6439403759</v>
      </c>
    </row>
    <row r="805" ht="15.75" customHeight="1">
      <c r="A805" s="4" t="s">
        <v>3121</v>
      </c>
      <c r="B805" s="4" t="s">
        <v>1608</v>
      </c>
      <c r="C805" s="4" t="s">
        <v>1609</v>
      </c>
      <c r="D805" s="4" t="s">
        <v>1582</v>
      </c>
      <c r="E805" s="4" t="s">
        <v>172</v>
      </c>
      <c r="F805" s="4">
        <v>4.0</v>
      </c>
      <c r="G805" s="4">
        <v>16.0</v>
      </c>
      <c r="I805" s="11"/>
      <c r="J805" s="4">
        <v>1.36</v>
      </c>
      <c r="K805" s="18">
        <f t="array" ref="K805">IF(H805&lt;&gt;"",H805,IFERROR(G805/INDEX(Players!$M$2:$M$127,MATCH(B805,Players!$A$2:$A$127,0)),""))</f>
        <v>0.7465975373</v>
      </c>
    </row>
    <row r="806" ht="15.75" customHeight="1">
      <c r="A806" s="4" t="s">
        <v>3122</v>
      </c>
      <c r="B806" s="4" t="s">
        <v>1608</v>
      </c>
      <c r="C806" s="4" t="s">
        <v>1609</v>
      </c>
      <c r="D806" s="4" t="s">
        <v>1582</v>
      </c>
      <c r="E806" s="4" t="s">
        <v>156</v>
      </c>
      <c r="F806" s="4">
        <v>4.0</v>
      </c>
      <c r="G806" s="4">
        <v>18.3</v>
      </c>
      <c r="I806" s="11"/>
      <c r="J806" s="4">
        <v>1.18</v>
      </c>
      <c r="K806" s="18">
        <f t="array" ref="K806">IF(H806&lt;&gt;"",H806,IFERROR(G806/INDEX(Players!$M$2:$M$127,MATCH(B806,Players!$A$2:$A$127,0)),""))</f>
        <v>0.8539209332</v>
      </c>
    </row>
    <row r="807" ht="15.75" customHeight="1">
      <c r="A807" s="4" t="s">
        <v>3123</v>
      </c>
      <c r="B807" s="4" t="s">
        <v>1608</v>
      </c>
      <c r="C807" s="4" t="s">
        <v>1609</v>
      </c>
      <c r="D807" s="4" t="s">
        <v>1582</v>
      </c>
      <c r="E807" s="4" t="s">
        <v>168</v>
      </c>
      <c r="F807" s="4">
        <v>4.0</v>
      </c>
      <c r="G807" s="4">
        <v>14.5</v>
      </c>
      <c r="I807" s="11"/>
      <c r="J807" s="4">
        <v>1.09</v>
      </c>
      <c r="K807" s="18">
        <f t="array" ref="K807">IF(H807&lt;&gt;"",H807,IFERROR(G807/INDEX(Players!$M$2:$M$127,MATCH(B807,Players!$A$2:$A$127,0)),""))</f>
        <v>0.6766040181</v>
      </c>
    </row>
    <row r="808" ht="15.75" customHeight="1">
      <c r="A808" s="4" t="s">
        <v>3124</v>
      </c>
      <c r="B808" s="4" t="s">
        <v>1608</v>
      </c>
      <c r="C808" s="4" t="s">
        <v>1609</v>
      </c>
      <c r="D808" s="4" t="s">
        <v>1582</v>
      </c>
      <c r="E808" s="4" t="s">
        <v>147</v>
      </c>
      <c r="F808" s="4">
        <v>4.0</v>
      </c>
      <c r="G808" s="4">
        <v>15.5</v>
      </c>
      <c r="I808" s="11"/>
      <c r="J808" s="4">
        <v>1.07</v>
      </c>
      <c r="K808" s="18">
        <f t="array" ref="K808">IF(H808&lt;&gt;"",H808,IFERROR(G808/INDEX(Players!$M$2:$M$127,MATCH(B808,Players!$A$2:$A$127,0)),""))</f>
        <v>0.7232663642</v>
      </c>
    </row>
    <row r="809" ht="15.75" customHeight="1">
      <c r="A809" s="4" t="s">
        <v>3125</v>
      </c>
      <c r="B809" s="4" t="s">
        <v>1608</v>
      </c>
      <c r="C809" s="4" t="s">
        <v>1609</v>
      </c>
      <c r="D809" s="4" t="s">
        <v>1582</v>
      </c>
      <c r="E809" s="4" t="s">
        <v>152</v>
      </c>
      <c r="F809" s="4">
        <v>2.0</v>
      </c>
      <c r="G809" s="4">
        <v>12.0</v>
      </c>
      <c r="I809" s="11"/>
      <c r="J809" s="4">
        <v>0.86</v>
      </c>
      <c r="K809" s="18">
        <f t="array" ref="K809">IF(H809&lt;&gt;"",H809,IFERROR(G809/INDEX(Players!$M$2:$M$127,MATCH(B809,Players!$A$2:$A$127,0)),""))</f>
        <v>0.5599481529</v>
      </c>
    </row>
    <row r="810" ht="15.75" customHeight="1">
      <c r="A810" s="4" t="s">
        <v>3126</v>
      </c>
      <c r="B810" s="4" t="s">
        <v>1611</v>
      </c>
      <c r="C810" s="4" t="s">
        <v>1612</v>
      </c>
      <c r="D810" s="4" t="s">
        <v>1582</v>
      </c>
      <c r="E810" s="4" t="s">
        <v>165</v>
      </c>
      <c r="F810" s="4">
        <v>7.0</v>
      </c>
      <c r="G810" s="4">
        <v>13.4</v>
      </c>
      <c r="I810" s="11"/>
      <c r="J810" s="4">
        <v>0.97</v>
      </c>
      <c r="K810" s="18">
        <f t="array" ref="K810">IF(H810&lt;&gt;"",H810,IFERROR(G810/INDEX(Players!$M$2:$M$127,MATCH(B810,Players!$A$2:$A$127,0)),""))</f>
        <v>0.6245373544</v>
      </c>
    </row>
    <row r="811" ht="15.75" customHeight="1">
      <c r="A811" s="4" t="s">
        <v>3127</v>
      </c>
      <c r="B811" s="4" t="s">
        <v>1611</v>
      </c>
      <c r="C811" s="4" t="s">
        <v>1612</v>
      </c>
      <c r="D811" s="4" t="s">
        <v>1582</v>
      </c>
      <c r="E811" s="4" t="s">
        <v>161</v>
      </c>
      <c r="F811" s="4">
        <v>6.0</v>
      </c>
      <c r="G811" s="4">
        <v>13.7</v>
      </c>
      <c r="I811" s="11"/>
      <c r="J811" s="4">
        <v>0.99</v>
      </c>
      <c r="K811" s="18">
        <f t="array" ref="K811">IF(H811&lt;&gt;"",H811,IFERROR(G811/INDEX(Players!$M$2:$M$127,MATCH(B811,Players!$A$2:$A$127,0)),""))</f>
        <v>0.6385195339</v>
      </c>
    </row>
    <row r="812" ht="15.75" customHeight="1">
      <c r="A812" s="4" t="s">
        <v>3128</v>
      </c>
      <c r="B812" s="4" t="s">
        <v>1611</v>
      </c>
      <c r="C812" s="4" t="s">
        <v>1612</v>
      </c>
      <c r="D812" s="4" t="s">
        <v>1582</v>
      </c>
      <c r="E812" s="4" t="s">
        <v>141</v>
      </c>
      <c r="F812" s="4">
        <v>6.0</v>
      </c>
      <c r="G812" s="4">
        <v>13.3</v>
      </c>
      <c r="I812" s="11"/>
      <c r="J812" s="4">
        <v>0.9</v>
      </c>
      <c r="K812" s="18">
        <f t="array" ref="K812">IF(H812&lt;&gt;"",H812,IFERROR(G812/INDEX(Players!$M$2:$M$127,MATCH(B812,Players!$A$2:$A$127,0)),""))</f>
        <v>0.6198766278</v>
      </c>
    </row>
    <row r="813" ht="15.75" customHeight="1">
      <c r="A813" s="4" t="s">
        <v>3129</v>
      </c>
      <c r="B813" s="4" t="s">
        <v>1611</v>
      </c>
      <c r="C813" s="4" t="s">
        <v>1612</v>
      </c>
      <c r="D813" s="4" t="s">
        <v>1582</v>
      </c>
      <c r="E813" s="4" t="s">
        <v>172</v>
      </c>
      <c r="F813" s="4">
        <v>4.0</v>
      </c>
      <c r="G813" s="4">
        <v>19.0</v>
      </c>
      <c r="I813" s="11"/>
      <c r="J813" s="4">
        <v>1.33</v>
      </c>
      <c r="K813" s="18">
        <f t="array" ref="K813">IF(H813&lt;&gt;"",H813,IFERROR(G813/INDEX(Players!$M$2:$M$127,MATCH(B813,Players!$A$2:$A$127,0)),""))</f>
        <v>0.8855380398</v>
      </c>
    </row>
    <row r="814" ht="15.75" customHeight="1">
      <c r="A814" s="4" t="s">
        <v>3130</v>
      </c>
      <c r="B814" s="4" t="s">
        <v>1611</v>
      </c>
      <c r="C814" s="4" t="s">
        <v>1612</v>
      </c>
      <c r="D814" s="4" t="s">
        <v>1582</v>
      </c>
      <c r="E814" s="4" t="s">
        <v>168</v>
      </c>
      <c r="F814" s="4">
        <v>4.0</v>
      </c>
      <c r="G814" s="4">
        <v>15.0</v>
      </c>
      <c r="I814" s="11"/>
      <c r="J814" s="4">
        <v>1.0</v>
      </c>
      <c r="K814" s="18">
        <f t="array" ref="K814">IF(H814&lt;&gt;"",H814,IFERROR(G814/INDEX(Players!$M$2:$M$127,MATCH(B814,Players!$A$2:$A$127,0)),""))</f>
        <v>0.6991089788</v>
      </c>
    </row>
    <row r="815" ht="15.75" customHeight="1">
      <c r="A815" s="4" t="s">
        <v>3131</v>
      </c>
      <c r="B815" s="4" t="s">
        <v>1611</v>
      </c>
      <c r="C815" s="4" t="s">
        <v>1612</v>
      </c>
      <c r="D815" s="4" t="s">
        <v>1582</v>
      </c>
      <c r="E815" s="4" t="s">
        <v>147</v>
      </c>
      <c r="F815" s="4">
        <v>4.0</v>
      </c>
      <c r="G815" s="4">
        <v>14.8</v>
      </c>
      <c r="I815" s="11"/>
      <c r="J815" s="4">
        <v>0.89</v>
      </c>
      <c r="K815" s="18">
        <f t="array" ref="K815">IF(H815&lt;&gt;"",H815,IFERROR(G815/INDEX(Players!$M$2:$M$127,MATCH(B815,Players!$A$2:$A$127,0)),""))</f>
        <v>0.6897875257</v>
      </c>
    </row>
    <row r="816" ht="15.75" customHeight="1">
      <c r="A816" s="4" t="s">
        <v>3132</v>
      </c>
      <c r="B816" s="4" t="s">
        <v>1611</v>
      </c>
      <c r="C816" s="4" t="s">
        <v>1612</v>
      </c>
      <c r="D816" s="4" t="s">
        <v>1582</v>
      </c>
      <c r="E816" s="4" t="s">
        <v>156</v>
      </c>
      <c r="F816" s="4">
        <v>4.0</v>
      </c>
      <c r="G816" s="4">
        <v>13.3</v>
      </c>
      <c r="I816" s="11"/>
      <c r="J816" s="4">
        <v>0.77</v>
      </c>
      <c r="K816" s="18">
        <f t="array" ref="K816">IF(H816&lt;&gt;"",H816,IFERROR(G816/INDEX(Players!$M$2:$M$127,MATCH(B816,Players!$A$2:$A$127,0)),""))</f>
        <v>0.6198766278</v>
      </c>
    </row>
    <row r="817" ht="15.75" customHeight="1">
      <c r="A817" s="4" t="s">
        <v>3133</v>
      </c>
      <c r="B817" s="4" t="s">
        <v>1611</v>
      </c>
      <c r="C817" s="4" t="s">
        <v>1612</v>
      </c>
      <c r="D817" s="4" t="s">
        <v>1582</v>
      </c>
      <c r="E817" s="4" t="s">
        <v>152</v>
      </c>
      <c r="F817" s="4">
        <v>2.0</v>
      </c>
      <c r="G817" s="4">
        <v>18.0</v>
      </c>
      <c r="I817" s="11"/>
      <c r="J817" s="4">
        <v>1.33</v>
      </c>
      <c r="K817" s="18">
        <f t="array" ref="K817">IF(H817&lt;&gt;"",H817,IFERROR(G817/INDEX(Players!$M$2:$M$127,MATCH(B817,Players!$A$2:$A$127,0)),""))</f>
        <v>0.8389307745</v>
      </c>
    </row>
    <row r="818" ht="15.75" customHeight="1">
      <c r="A818" s="4" t="s">
        <v>3134</v>
      </c>
      <c r="B818" s="4" t="s">
        <v>1594</v>
      </c>
      <c r="C818" s="4" t="s">
        <v>1595</v>
      </c>
      <c r="D818" s="4" t="s">
        <v>1582</v>
      </c>
      <c r="E818" s="4" t="s">
        <v>172</v>
      </c>
      <c r="F818" s="4">
        <v>8.0</v>
      </c>
      <c r="G818" s="4">
        <v>15.1</v>
      </c>
      <c r="I818" s="11"/>
      <c r="J818" s="4">
        <v>0.99</v>
      </c>
      <c r="K818" s="18">
        <f t="array" ref="K818">IF(H818&lt;&gt;"",H818,IFERROR(G818/INDEX(Players!$M$2:$M$127,MATCH(B818,Players!$A$2:$A$127,0)),""))</f>
        <v>0.7248892171</v>
      </c>
    </row>
    <row r="819" ht="15.75" customHeight="1">
      <c r="A819" s="4" t="s">
        <v>3135</v>
      </c>
      <c r="B819" s="4" t="s">
        <v>1594</v>
      </c>
      <c r="C819" s="4" t="s">
        <v>1595</v>
      </c>
      <c r="D819" s="4" t="s">
        <v>1582</v>
      </c>
      <c r="E819" s="4" t="s">
        <v>168</v>
      </c>
      <c r="F819" s="4">
        <v>7.0</v>
      </c>
      <c r="G819" s="4">
        <v>11.0</v>
      </c>
      <c r="I819" s="11"/>
      <c r="J819" s="4">
        <v>0.82</v>
      </c>
      <c r="K819" s="18">
        <f t="array" ref="K819">IF(H819&lt;&gt;"",H819,IFERROR(G819/INDEX(Players!$M$2:$M$127,MATCH(B819,Players!$A$2:$A$127,0)),""))</f>
        <v>0.5280649926</v>
      </c>
    </row>
    <row r="820" ht="15.75" customHeight="1">
      <c r="A820" s="4" t="s">
        <v>3136</v>
      </c>
      <c r="B820" s="4" t="s">
        <v>1594</v>
      </c>
      <c r="C820" s="4" t="s">
        <v>1595</v>
      </c>
      <c r="D820" s="4" t="s">
        <v>1582</v>
      </c>
      <c r="E820" s="4" t="s">
        <v>147</v>
      </c>
      <c r="F820" s="4">
        <v>6.0</v>
      </c>
      <c r="G820" s="4">
        <v>14.7</v>
      </c>
      <c r="I820" s="11"/>
      <c r="J820" s="4">
        <v>1.09</v>
      </c>
      <c r="K820" s="18">
        <f t="array" ref="K820">IF(H820&lt;&gt;"",H820,IFERROR(G820/INDEX(Players!$M$2:$M$127,MATCH(B820,Players!$A$2:$A$127,0)),""))</f>
        <v>0.7056868538</v>
      </c>
    </row>
    <row r="821" ht="15.75" customHeight="1">
      <c r="A821" s="4" t="s">
        <v>3137</v>
      </c>
      <c r="B821" s="4" t="s">
        <v>1594</v>
      </c>
      <c r="C821" s="4" t="s">
        <v>1595</v>
      </c>
      <c r="D821" s="4" t="s">
        <v>1582</v>
      </c>
      <c r="E821" s="4" t="s">
        <v>152</v>
      </c>
      <c r="F821" s="4">
        <v>5.0</v>
      </c>
      <c r="G821" s="4">
        <v>15.8</v>
      </c>
      <c r="I821" s="11"/>
      <c r="J821" s="4">
        <v>1.39</v>
      </c>
      <c r="K821" s="18">
        <f t="array" ref="K821">IF(H821&lt;&gt;"",H821,IFERROR(G821/INDEX(Players!$M$2:$M$127,MATCH(B821,Players!$A$2:$A$127,0)),""))</f>
        <v>0.758493353</v>
      </c>
    </row>
    <row r="822" ht="15.75" customHeight="1">
      <c r="A822" s="4" t="s">
        <v>3138</v>
      </c>
      <c r="B822" s="4" t="s">
        <v>1594</v>
      </c>
      <c r="C822" s="4" t="s">
        <v>1595</v>
      </c>
      <c r="D822" s="4" t="s">
        <v>1582</v>
      </c>
      <c r="E822" s="4" t="s">
        <v>156</v>
      </c>
      <c r="F822" s="4">
        <v>4.0</v>
      </c>
      <c r="G822" s="4">
        <v>14.3</v>
      </c>
      <c r="I822" s="11"/>
      <c r="J822" s="4">
        <v>1.3</v>
      </c>
      <c r="K822" s="18">
        <f t="array" ref="K822">IF(H822&lt;&gt;"",H822,IFERROR(G822/INDEX(Players!$M$2:$M$127,MATCH(B822,Players!$A$2:$A$127,0)),""))</f>
        <v>0.6864844904</v>
      </c>
    </row>
    <row r="823" ht="15.75" customHeight="1">
      <c r="A823" s="4" t="s">
        <v>3139</v>
      </c>
      <c r="B823" s="4" t="s">
        <v>1594</v>
      </c>
      <c r="C823" s="4" t="s">
        <v>1595</v>
      </c>
      <c r="D823" s="4" t="s">
        <v>1582</v>
      </c>
      <c r="E823" s="4" t="s">
        <v>141</v>
      </c>
      <c r="F823" s="4">
        <v>4.0</v>
      </c>
      <c r="G823" s="4">
        <v>10.8</v>
      </c>
      <c r="I823" s="11"/>
      <c r="J823" s="4">
        <v>0.96</v>
      </c>
      <c r="K823" s="18">
        <f t="array" ref="K823">IF(H823&lt;&gt;"",H823,IFERROR(G823/INDEX(Players!$M$2:$M$127,MATCH(B823,Players!$A$2:$A$127,0)),""))</f>
        <v>0.5184638109</v>
      </c>
    </row>
    <row r="824" ht="15.75" customHeight="1">
      <c r="A824" s="4" t="s">
        <v>3140</v>
      </c>
      <c r="B824" s="4" t="s">
        <v>1594</v>
      </c>
      <c r="C824" s="4" t="s">
        <v>1595</v>
      </c>
      <c r="D824" s="4" t="s">
        <v>1582</v>
      </c>
      <c r="E824" s="4" t="s">
        <v>161</v>
      </c>
      <c r="F824" s="4">
        <v>3.0</v>
      </c>
      <c r="G824" s="4">
        <v>13.0</v>
      </c>
      <c r="I824" s="11"/>
      <c r="J824" s="4">
        <v>1.05</v>
      </c>
      <c r="K824" s="18">
        <f t="array" ref="K824">IF(H824&lt;&gt;"",H824,IFERROR(G824/INDEX(Players!$M$2:$M$127,MATCH(B824,Players!$A$2:$A$127,0)),""))</f>
        <v>0.6240768095</v>
      </c>
    </row>
    <row r="825" ht="15.75" customHeight="1">
      <c r="A825" s="4" t="s">
        <v>3141</v>
      </c>
      <c r="B825" s="4" t="s">
        <v>1594</v>
      </c>
      <c r="C825" s="4" t="s">
        <v>1595</v>
      </c>
      <c r="D825" s="4" t="s">
        <v>1582</v>
      </c>
      <c r="E825" s="4" t="s">
        <v>165</v>
      </c>
      <c r="F825" s="4">
        <v>2.0</v>
      </c>
      <c r="G825" s="4">
        <v>12.0</v>
      </c>
      <c r="I825" s="11"/>
      <c r="J825" s="4">
        <v>1.14</v>
      </c>
      <c r="K825" s="18">
        <f t="array" ref="K825">IF(H825&lt;&gt;"",H825,IFERROR(G825/INDEX(Players!$M$2:$M$127,MATCH(B825,Players!$A$2:$A$127,0)),""))</f>
        <v>0.576070901</v>
      </c>
    </row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825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11.0"/>
    <col customWidth="1" min="4" max="4" width="9.0"/>
    <col customWidth="1" min="5" max="5" width="11.0"/>
    <col customWidth="1" min="6" max="6" width="9.0"/>
    <col customWidth="1" min="7" max="7" width="13.0"/>
    <col customWidth="1" min="8" max="8" width="18.0"/>
    <col customWidth="1" min="9" max="26" width="8.71"/>
  </cols>
  <sheetData>
    <row r="1">
      <c r="A1" s="7" t="s">
        <v>10</v>
      </c>
      <c r="B1" s="7" t="s">
        <v>1914</v>
      </c>
      <c r="C1" s="7" t="s">
        <v>1915</v>
      </c>
      <c r="D1" s="7" t="s">
        <v>1916</v>
      </c>
      <c r="E1" s="7" t="s">
        <v>1917</v>
      </c>
      <c r="F1" s="7" t="s">
        <v>1918</v>
      </c>
      <c r="G1" s="7" t="s">
        <v>1919</v>
      </c>
      <c r="H1" s="7" t="s">
        <v>1920</v>
      </c>
    </row>
    <row r="2">
      <c r="A2" s="4" t="s">
        <v>1168</v>
      </c>
      <c r="B2" s="4" t="s">
        <v>1247</v>
      </c>
      <c r="C2" s="4">
        <v>14.32</v>
      </c>
      <c r="D2" s="4">
        <v>3.0</v>
      </c>
      <c r="E2" s="4">
        <v>14.5</v>
      </c>
      <c r="F2" s="4">
        <v>3.0</v>
      </c>
      <c r="G2" s="4">
        <v>28.82</v>
      </c>
      <c r="H2" s="4" t="s">
        <v>1246</v>
      </c>
    </row>
    <row r="3">
      <c r="A3" s="4" t="s">
        <v>1168</v>
      </c>
      <c r="B3" s="4" t="s">
        <v>1922</v>
      </c>
      <c r="C3" s="4">
        <v>14.0</v>
      </c>
      <c r="D3" s="4">
        <v>3.0</v>
      </c>
      <c r="E3" s="4">
        <v>14.08</v>
      </c>
      <c r="F3" s="4">
        <v>3.0</v>
      </c>
      <c r="G3" s="4">
        <v>28.08</v>
      </c>
      <c r="H3" s="4" t="s">
        <v>1250</v>
      </c>
    </row>
    <row r="4">
      <c r="A4" s="4" t="s">
        <v>1168</v>
      </c>
      <c r="B4" s="4" t="s">
        <v>1923</v>
      </c>
      <c r="C4" s="4">
        <v>15.5</v>
      </c>
      <c r="D4" s="4">
        <v>3.0</v>
      </c>
      <c r="E4" s="4">
        <v>15.68</v>
      </c>
      <c r="F4" s="4">
        <v>3.0</v>
      </c>
      <c r="G4" s="4">
        <v>31.18</v>
      </c>
      <c r="H4" s="4" t="s">
        <v>1278</v>
      </c>
    </row>
    <row r="5">
      <c r="A5" s="4" t="s">
        <v>1168</v>
      </c>
      <c r="B5" s="4" t="s">
        <v>1283</v>
      </c>
      <c r="C5" s="4">
        <v>11.59</v>
      </c>
      <c r="D5" s="4">
        <v>3.0</v>
      </c>
      <c r="E5" s="4">
        <v>11.81</v>
      </c>
      <c r="F5" s="4">
        <v>3.0</v>
      </c>
      <c r="G5" s="4">
        <v>23.4</v>
      </c>
      <c r="H5" s="4" t="s">
        <v>1282</v>
      </c>
    </row>
    <row r="6">
      <c r="A6" s="4" t="s">
        <v>1168</v>
      </c>
      <c r="B6" s="4" t="s">
        <v>1254</v>
      </c>
      <c r="C6" s="4">
        <v>14.32</v>
      </c>
      <c r="D6" s="4">
        <v>3.0</v>
      </c>
      <c r="E6" s="4">
        <v>14.5</v>
      </c>
      <c r="F6" s="4">
        <v>3.0</v>
      </c>
      <c r="G6" s="4">
        <v>28.82</v>
      </c>
      <c r="H6" s="4" t="s">
        <v>1253</v>
      </c>
    </row>
    <row r="7">
      <c r="A7" s="4" t="s">
        <v>1168</v>
      </c>
      <c r="B7" s="4" t="s">
        <v>1257</v>
      </c>
      <c r="C7" s="4">
        <v>10.68</v>
      </c>
      <c r="D7" s="4">
        <v>3.0</v>
      </c>
      <c r="E7" s="4">
        <v>11.0</v>
      </c>
      <c r="F7" s="4">
        <v>3.0</v>
      </c>
      <c r="G7" s="4">
        <v>21.68</v>
      </c>
      <c r="H7" s="4" t="s">
        <v>1256</v>
      </c>
    </row>
    <row r="8">
      <c r="A8" s="4" t="s">
        <v>1168</v>
      </c>
      <c r="B8" s="4" t="s">
        <v>1260</v>
      </c>
      <c r="C8" s="4">
        <v>12.0</v>
      </c>
      <c r="D8" s="4">
        <v>3.0</v>
      </c>
      <c r="E8" s="4">
        <v>11.93</v>
      </c>
      <c r="F8" s="4">
        <v>3.0</v>
      </c>
      <c r="G8" s="4">
        <v>23.93</v>
      </c>
      <c r="H8" s="4" t="s">
        <v>1259</v>
      </c>
    </row>
    <row r="9">
      <c r="A9" s="4" t="s">
        <v>1168</v>
      </c>
      <c r="B9" s="4" t="s">
        <v>1926</v>
      </c>
      <c r="C9" s="4">
        <v>16.5</v>
      </c>
      <c r="D9" s="4">
        <v>3.0</v>
      </c>
      <c r="E9" s="4">
        <v>16.78</v>
      </c>
      <c r="F9" s="4">
        <v>3.0</v>
      </c>
      <c r="G9" s="4">
        <v>33.28</v>
      </c>
      <c r="H9" s="4" t="s">
        <v>1285</v>
      </c>
    </row>
    <row r="10">
      <c r="A10" s="4" t="s">
        <v>1168</v>
      </c>
      <c r="B10" s="4" t="s">
        <v>1289</v>
      </c>
      <c r="C10" s="4">
        <v>14.85</v>
      </c>
      <c r="D10" s="4">
        <v>3.0</v>
      </c>
      <c r="E10" s="4">
        <v>15.0</v>
      </c>
      <c r="F10" s="4">
        <v>3.0</v>
      </c>
      <c r="G10" s="4">
        <v>29.85</v>
      </c>
      <c r="H10" s="4" t="s">
        <v>1288</v>
      </c>
    </row>
    <row r="11">
      <c r="A11" s="4" t="s">
        <v>1168</v>
      </c>
      <c r="B11" s="4" t="s">
        <v>1951</v>
      </c>
      <c r="C11" s="4">
        <v>15.0</v>
      </c>
      <c r="D11" s="4">
        <v>3.0</v>
      </c>
      <c r="E11" s="4">
        <v>14.74</v>
      </c>
      <c r="F11" s="4">
        <v>3.0</v>
      </c>
      <c r="G11" s="4">
        <v>29.74</v>
      </c>
      <c r="H11" s="4" t="s">
        <v>1291</v>
      </c>
    </row>
    <row r="12">
      <c r="A12" s="4" t="s">
        <v>1709</v>
      </c>
      <c r="B12" s="4" t="s">
        <v>1953</v>
      </c>
      <c r="C12" s="4">
        <v>12.5</v>
      </c>
      <c r="D12" s="4">
        <v>3.0</v>
      </c>
      <c r="E12" s="4">
        <v>12.34</v>
      </c>
      <c r="F12" s="4">
        <v>3.0</v>
      </c>
      <c r="G12" s="4">
        <v>24.84</v>
      </c>
      <c r="H12" s="4" t="s">
        <v>1436</v>
      </c>
    </row>
    <row r="13">
      <c r="A13" s="4" t="s">
        <v>1709</v>
      </c>
      <c r="B13" s="4" t="s">
        <v>1955</v>
      </c>
      <c r="C13" s="4">
        <v>11.68</v>
      </c>
      <c r="D13" s="4">
        <v>3.0</v>
      </c>
      <c r="E13" s="4">
        <v>11.85</v>
      </c>
      <c r="F13" s="4">
        <v>3.0</v>
      </c>
      <c r="G13" s="4">
        <v>23.54</v>
      </c>
      <c r="H13" s="4" t="s">
        <v>1294</v>
      </c>
    </row>
    <row r="14">
      <c r="A14" s="4" t="s">
        <v>1709</v>
      </c>
      <c r="B14" s="4" t="s">
        <v>1956</v>
      </c>
      <c r="C14" s="4">
        <v>14.68</v>
      </c>
      <c r="D14" s="4">
        <v>3.0</v>
      </c>
      <c r="E14" s="4">
        <v>14.5</v>
      </c>
      <c r="F14" s="4">
        <v>3.0</v>
      </c>
      <c r="G14" s="4">
        <v>29.18</v>
      </c>
      <c r="H14" s="4" t="s">
        <v>1300</v>
      </c>
    </row>
    <row r="15">
      <c r="A15" s="4" t="s">
        <v>1709</v>
      </c>
      <c r="B15" s="4" t="s">
        <v>1442</v>
      </c>
      <c r="C15" s="4">
        <v>15.5</v>
      </c>
      <c r="D15" s="4">
        <v>3.0</v>
      </c>
      <c r="E15" s="4">
        <v>15.32</v>
      </c>
      <c r="F15" s="4">
        <v>3.0</v>
      </c>
      <c r="G15" s="4">
        <v>30.82</v>
      </c>
      <c r="H15" s="4" t="s">
        <v>1441</v>
      </c>
    </row>
    <row r="16">
      <c r="A16" s="4" t="s">
        <v>1709</v>
      </c>
      <c r="B16" s="4" t="s">
        <v>1445</v>
      </c>
      <c r="C16" s="4">
        <v>16.32</v>
      </c>
      <c r="D16" s="4">
        <v>3.0</v>
      </c>
      <c r="E16" s="4">
        <v>16.08</v>
      </c>
      <c r="F16" s="4">
        <v>3.0</v>
      </c>
      <c r="G16" s="4">
        <v>32.4</v>
      </c>
      <c r="H16" s="4" t="s">
        <v>1444</v>
      </c>
    </row>
    <row r="17">
      <c r="A17" s="4" t="s">
        <v>1709</v>
      </c>
      <c r="B17" s="4" t="s">
        <v>1958</v>
      </c>
      <c r="C17" s="4">
        <v>15.32</v>
      </c>
      <c r="D17" s="4">
        <v>3.0</v>
      </c>
      <c r="E17" s="4">
        <v>15.08</v>
      </c>
      <c r="F17" s="4">
        <v>3.0</v>
      </c>
      <c r="G17" s="4">
        <v>30.4</v>
      </c>
      <c r="H17" s="4" t="s">
        <v>1303</v>
      </c>
    </row>
    <row r="18">
      <c r="A18" s="4" t="s">
        <v>1709</v>
      </c>
      <c r="B18" s="4" t="s">
        <v>1448</v>
      </c>
      <c r="C18" s="4">
        <v>14.15</v>
      </c>
      <c r="D18" s="4">
        <v>3.0</v>
      </c>
      <c r="E18" s="4">
        <v>13.85</v>
      </c>
      <c r="F18" s="4">
        <v>3.0</v>
      </c>
      <c r="G18" s="4">
        <v>28.0</v>
      </c>
      <c r="H18" s="4" t="s">
        <v>1447</v>
      </c>
    </row>
    <row r="19">
      <c r="A19" s="4" t="s">
        <v>1709</v>
      </c>
      <c r="B19" s="4" t="s">
        <v>1307</v>
      </c>
      <c r="C19" s="4">
        <v>13.15</v>
      </c>
      <c r="D19" s="4">
        <v>3.0</v>
      </c>
      <c r="E19" s="4">
        <v>13.15</v>
      </c>
      <c r="F19" s="4">
        <v>3.0</v>
      </c>
      <c r="G19" s="4">
        <v>26.29</v>
      </c>
      <c r="H19" s="4" t="s">
        <v>1306</v>
      </c>
    </row>
    <row r="20">
      <c r="A20" s="4" t="s">
        <v>1709</v>
      </c>
      <c r="B20" s="4" t="s">
        <v>1451</v>
      </c>
      <c r="C20" s="4">
        <v>15.78</v>
      </c>
      <c r="D20" s="4">
        <v>3.0</v>
      </c>
      <c r="E20" s="4">
        <v>15.5</v>
      </c>
      <c r="F20" s="4">
        <v>3.0</v>
      </c>
      <c r="G20" s="4">
        <v>31.28</v>
      </c>
      <c r="H20" s="4" t="s">
        <v>1450</v>
      </c>
    </row>
    <row r="21" ht="15.75" customHeight="1">
      <c r="A21" s="4" t="s">
        <v>1709</v>
      </c>
      <c r="B21" s="4" t="s">
        <v>1310</v>
      </c>
      <c r="C21" s="4">
        <v>13.85</v>
      </c>
      <c r="D21" s="4">
        <v>3.0</v>
      </c>
      <c r="E21" s="4">
        <v>13.68</v>
      </c>
      <c r="F21" s="4">
        <v>3.0</v>
      </c>
      <c r="G21" s="4">
        <v>27.54</v>
      </c>
      <c r="H21" s="4" t="s">
        <v>1309</v>
      </c>
    </row>
    <row r="22" ht="15.75" customHeight="1">
      <c r="A22" s="4" t="s">
        <v>1825</v>
      </c>
      <c r="B22" s="4" t="s">
        <v>1960</v>
      </c>
      <c r="C22" s="4">
        <v>15.88</v>
      </c>
      <c r="D22" s="4">
        <v>2.0</v>
      </c>
      <c r="E22" s="4">
        <v>15.88</v>
      </c>
      <c r="F22" s="4">
        <v>2.0</v>
      </c>
      <c r="G22" s="4">
        <v>31.76</v>
      </c>
      <c r="H22" s="4" t="s">
        <v>1631</v>
      </c>
    </row>
    <row r="23" ht="15.75" customHeight="1">
      <c r="A23" s="4" t="s">
        <v>1825</v>
      </c>
      <c r="B23" s="4" t="s">
        <v>1961</v>
      </c>
      <c r="C23" s="4">
        <v>13.13</v>
      </c>
      <c r="D23" s="4">
        <v>2.0</v>
      </c>
      <c r="E23" s="4">
        <v>13.13</v>
      </c>
      <c r="F23" s="4">
        <v>2.0</v>
      </c>
      <c r="G23" s="4">
        <v>26.27</v>
      </c>
      <c r="H23" s="4" t="s">
        <v>1614</v>
      </c>
    </row>
    <row r="24" ht="15.75" customHeight="1">
      <c r="A24" s="4" t="s">
        <v>1825</v>
      </c>
      <c r="B24" s="4" t="s">
        <v>1962</v>
      </c>
      <c r="C24" s="4">
        <v>11.85</v>
      </c>
      <c r="D24" s="4">
        <v>2.0</v>
      </c>
      <c r="E24" s="4">
        <v>11.85</v>
      </c>
      <c r="F24" s="4">
        <v>2.0</v>
      </c>
      <c r="G24" s="4">
        <v>23.69</v>
      </c>
      <c r="H24" s="4" t="s">
        <v>1619</v>
      </c>
    </row>
    <row r="25" ht="15.75" customHeight="1">
      <c r="A25" s="4" t="s">
        <v>1825</v>
      </c>
      <c r="B25" s="4" t="s">
        <v>1964</v>
      </c>
      <c r="D25" s="4">
        <v>1.0</v>
      </c>
      <c r="F25" s="4">
        <v>1.0</v>
      </c>
      <c r="H25" s="4" t="s">
        <v>1636</v>
      </c>
    </row>
    <row r="26" ht="15.75" customHeight="1">
      <c r="A26" s="4" t="s">
        <v>1825</v>
      </c>
      <c r="B26" s="4" t="s">
        <v>1623</v>
      </c>
      <c r="C26" s="4">
        <v>15.31</v>
      </c>
      <c r="D26" s="4">
        <v>2.0</v>
      </c>
      <c r="E26" s="4">
        <v>15.27</v>
      </c>
      <c r="F26" s="4">
        <v>2.0</v>
      </c>
      <c r="G26" s="4">
        <v>30.58</v>
      </c>
      <c r="H26" s="4" t="s">
        <v>1622</v>
      </c>
    </row>
    <row r="27" ht="15.75" customHeight="1">
      <c r="A27" s="4" t="s">
        <v>1825</v>
      </c>
      <c r="B27" s="4" t="s">
        <v>1965</v>
      </c>
      <c r="C27" s="4">
        <v>15.04</v>
      </c>
      <c r="D27" s="4">
        <v>2.0</v>
      </c>
      <c r="E27" s="4">
        <v>15.04</v>
      </c>
      <c r="F27" s="4">
        <v>2.0</v>
      </c>
      <c r="G27" s="4">
        <v>30.09</v>
      </c>
      <c r="H27" s="4" t="s">
        <v>1639</v>
      </c>
    </row>
    <row r="28" ht="15.75" customHeight="1">
      <c r="A28" s="4" t="s">
        <v>1825</v>
      </c>
      <c r="B28" s="4" t="s">
        <v>1966</v>
      </c>
      <c r="C28" s="4">
        <v>18.78</v>
      </c>
      <c r="D28" s="4">
        <v>2.0</v>
      </c>
      <c r="E28" s="4">
        <v>18.6</v>
      </c>
      <c r="F28" s="4">
        <v>2.0</v>
      </c>
      <c r="G28" s="4">
        <v>37.38</v>
      </c>
    </row>
    <row r="29" ht="15.75" customHeight="1">
      <c r="A29" s="4" t="s">
        <v>1825</v>
      </c>
      <c r="B29" s="4" t="s">
        <v>1967</v>
      </c>
      <c r="C29" s="4">
        <v>12.98</v>
      </c>
      <c r="D29" s="4">
        <v>2.0</v>
      </c>
      <c r="E29" s="4">
        <v>12.95</v>
      </c>
      <c r="F29" s="4">
        <v>2.0</v>
      </c>
      <c r="G29" s="4">
        <v>25.92</v>
      </c>
      <c r="H29" s="4" t="s">
        <v>1642</v>
      </c>
    </row>
    <row r="30" ht="15.75" customHeight="1">
      <c r="A30" s="4" t="s">
        <v>1825</v>
      </c>
      <c r="B30" s="4" t="s">
        <v>1969</v>
      </c>
      <c r="C30" s="4">
        <v>15.24</v>
      </c>
      <c r="D30" s="4">
        <v>2.0</v>
      </c>
      <c r="E30" s="4">
        <v>15.24</v>
      </c>
      <c r="F30" s="4">
        <v>2.0</v>
      </c>
      <c r="G30" s="4">
        <v>30.47</v>
      </c>
      <c r="H30" s="4" t="s">
        <v>1645</v>
      </c>
    </row>
    <row r="31" ht="15.75" customHeight="1">
      <c r="A31" s="4" t="s">
        <v>1825</v>
      </c>
      <c r="B31" s="4" t="s">
        <v>1629</v>
      </c>
      <c r="C31" s="4">
        <v>16.14</v>
      </c>
      <c r="D31" s="4">
        <v>2.0</v>
      </c>
      <c r="E31" s="4">
        <v>16.14</v>
      </c>
      <c r="F31" s="4">
        <v>2.0</v>
      </c>
      <c r="G31" s="4">
        <v>32.27</v>
      </c>
      <c r="H31" s="4" t="s">
        <v>1628</v>
      </c>
    </row>
    <row r="32" ht="15.75" customHeight="1">
      <c r="A32" s="4" t="s">
        <v>1833</v>
      </c>
      <c r="B32" s="4" t="s">
        <v>1970</v>
      </c>
      <c r="C32" s="4">
        <v>17.09</v>
      </c>
      <c r="D32" s="4">
        <v>2.0</v>
      </c>
      <c r="E32" s="4">
        <v>17.09</v>
      </c>
      <c r="F32" s="4">
        <v>2.0</v>
      </c>
      <c r="G32" s="4">
        <v>34.18</v>
      </c>
      <c r="H32" s="4" t="s">
        <v>1580</v>
      </c>
    </row>
    <row r="33" ht="15.75" customHeight="1">
      <c r="A33" s="4" t="s">
        <v>1833</v>
      </c>
      <c r="B33" s="4" t="s">
        <v>1598</v>
      </c>
      <c r="C33" s="4">
        <v>15.1</v>
      </c>
      <c r="D33" s="4">
        <v>2.0</v>
      </c>
      <c r="E33" s="4">
        <v>15.1</v>
      </c>
      <c r="F33" s="4">
        <v>2.0</v>
      </c>
      <c r="G33" s="4">
        <v>30.2</v>
      </c>
      <c r="H33" s="4" t="s">
        <v>1597</v>
      </c>
    </row>
    <row r="34" ht="15.75" customHeight="1">
      <c r="A34" s="4" t="s">
        <v>1833</v>
      </c>
      <c r="B34" s="4" t="s">
        <v>1586</v>
      </c>
      <c r="C34" s="4">
        <v>13.84</v>
      </c>
      <c r="D34" s="4">
        <v>2.0</v>
      </c>
      <c r="E34" s="4">
        <v>13.82</v>
      </c>
      <c r="F34" s="4">
        <v>2.0</v>
      </c>
      <c r="G34" s="4">
        <v>27.66</v>
      </c>
      <c r="H34" s="4" t="s">
        <v>1585</v>
      </c>
    </row>
    <row r="35" ht="15.75" customHeight="1">
      <c r="A35" s="4" t="s">
        <v>1833</v>
      </c>
      <c r="B35" s="4" t="s">
        <v>1972</v>
      </c>
      <c r="C35" s="4">
        <v>14.88</v>
      </c>
      <c r="D35" s="4">
        <v>2.0</v>
      </c>
      <c r="E35" s="4">
        <v>14.88</v>
      </c>
      <c r="F35" s="4">
        <v>2.0</v>
      </c>
      <c r="G35" s="4">
        <v>29.77</v>
      </c>
    </row>
    <row r="36" ht="15.75" customHeight="1">
      <c r="A36" s="4" t="s">
        <v>1833</v>
      </c>
      <c r="B36" s="4" t="s">
        <v>1603</v>
      </c>
      <c r="C36" s="4">
        <v>14.24</v>
      </c>
      <c r="D36" s="4">
        <v>2.0</v>
      </c>
      <c r="E36" s="4">
        <v>14.24</v>
      </c>
      <c r="F36" s="4">
        <v>2.0</v>
      </c>
      <c r="G36" s="4">
        <v>28.49</v>
      </c>
      <c r="H36" s="4" t="s">
        <v>1602</v>
      </c>
    </row>
    <row r="37" ht="15.75" customHeight="1">
      <c r="A37" s="4" t="s">
        <v>1833</v>
      </c>
      <c r="B37" s="4" t="s">
        <v>1606</v>
      </c>
      <c r="C37" s="4">
        <v>15.1</v>
      </c>
      <c r="D37" s="4">
        <v>2.0</v>
      </c>
      <c r="E37" s="4">
        <v>15.1</v>
      </c>
      <c r="F37" s="4">
        <v>2.0</v>
      </c>
      <c r="G37" s="4">
        <v>30.2</v>
      </c>
      <c r="H37" s="4" t="s">
        <v>1605</v>
      </c>
    </row>
    <row r="38" ht="15.75" customHeight="1">
      <c r="A38" s="4" t="s">
        <v>1833</v>
      </c>
      <c r="B38" s="4" t="s">
        <v>1974</v>
      </c>
      <c r="C38" s="4">
        <v>16.16</v>
      </c>
      <c r="D38" s="4">
        <v>2.0</v>
      </c>
      <c r="E38" s="4">
        <v>16.16</v>
      </c>
      <c r="F38" s="4">
        <v>2.0</v>
      </c>
      <c r="G38" s="4">
        <v>32.32</v>
      </c>
      <c r="H38" s="4" t="s">
        <v>1591</v>
      </c>
    </row>
    <row r="39" ht="15.75" customHeight="1">
      <c r="A39" s="4" t="s">
        <v>1833</v>
      </c>
      <c r="B39" s="4" t="s">
        <v>1609</v>
      </c>
      <c r="C39" s="4">
        <v>14.68</v>
      </c>
      <c r="D39" s="4">
        <v>2.0</v>
      </c>
      <c r="E39" s="4">
        <v>14.66</v>
      </c>
      <c r="F39" s="4">
        <v>2.0</v>
      </c>
      <c r="G39" s="4">
        <v>29.34</v>
      </c>
      <c r="H39" s="4" t="s">
        <v>1608</v>
      </c>
    </row>
    <row r="40" ht="15.75" customHeight="1">
      <c r="A40" s="4" t="s">
        <v>1833</v>
      </c>
      <c r="B40" s="4" t="s">
        <v>1612</v>
      </c>
      <c r="C40" s="4">
        <v>14.04</v>
      </c>
      <c r="D40" s="4">
        <v>2.0</v>
      </c>
      <c r="E40" s="4">
        <v>14.04</v>
      </c>
      <c r="F40" s="4">
        <v>2.0</v>
      </c>
      <c r="G40" s="4">
        <v>28.09</v>
      </c>
      <c r="H40" s="4" t="s">
        <v>1611</v>
      </c>
    </row>
    <row r="41" ht="15.75" customHeight="1">
      <c r="A41" s="4" t="s">
        <v>1833</v>
      </c>
      <c r="B41" s="4" t="s">
        <v>1595</v>
      </c>
      <c r="C41" s="4">
        <v>13.84</v>
      </c>
      <c r="D41" s="4">
        <v>2.0</v>
      </c>
      <c r="E41" s="4">
        <v>13.82</v>
      </c>
      <c r="F41" s="4">
        <v>2.0</v>
      </c>
      <c r="G41" s="4">
        <v>27.66</v>
      </c>
      <c r="H41" s="4" t="s">
        <v>1594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5.0"/>
    <col customWidth="1" min="3" max="3" width="7.0"/>
    <col customWidth="1" min="4" max="4" width="9.0"/>
    <col customWidth="1" min="5" max="5" width="10.0"/>
    <col customWidth="1" min="6" max="6" width="14.0"/>
    <col customWidth="1" min="7" max="7" width="12.0"/>
    <col customWidth="1" min="8" max="26" width="8.71"/>
  </cols>
  <sheetData>
    <row r="1">
      <c r="A1" s="7" t="s">
        <v>10</v>
      </c>
      <c r="B1" s="7" t="s">
        <v>131</v>
      </c>
      <c r="C1" s="7" t="s">
        <v>2026</v>
      </c>
      <c r="D1" s="7" t="s">
        <v>2027</v>
      </c>
      <c r="E1" s="7" t="s">
        <v>2028</v>
      </c>
      <c r="F1" s="7" t="s">
        <v>2030</v>
      </c>
      <c r="G1" s="7" t="s">
        <v>2031</v>
      </c>
    </row>
    <row r="2">
      <c r="A2" s="4" t="s">
        <v>7</v>
      </c>
      <c r="B2" s="4">
        <v>1.0</v>
      </c>
      <c r="C2" s="4">
        <v>17.5</v>
      </c>
      <c r="D2" s="4">
        <v>1.1</v>
      </c>
      <c r="E2" s="4">
        <v>5.8</v>
      </c>
      <c r="F2" s="11">
        <v>0.8406</v>
      </c>
      <c r="G2" s="4">
        <v>21.42</v>
      </c>
    </row>
    <row r="3">
      <c r="A3" s="4" t="s">
        <v>7</v>
      </c>
      <c r="B3" s="4">
        <v>1.0</v>
      </c>
      <c r="C3" s="4">
        <v>18.5</v>
      </c>
      <c r="D3" s="4">
        <v>1.22</v>
      </c>
      <c r="E3" s="4">
        <v>3.8</v>
      </c>
      <c r="F3" s="11">
        <v>0.757</v>
      </c>
      <c r="G3" s="4">
        <v>21.42</v>
      </c>
    </row>
    <row r="4">
      <c r="A4" s="4" t="s">
        <v>7</v>
      </c>
      <c r="B4" s="4">
        <v>1.0</v>
      </c>
      <c r="C4" s="4">
        <v>19.5</v>
      </c>
      <c r="D4" s="4">
        <v>1.35</v>
      </c>
      <c r="E4" s="4">
        <v>2.9</v>
      </c>
      <c r="F4" s="11">
        <v>0.6824</v>
      </c>
      <c r="G4" s="4">
        <v>21.42</v>
      </c>
    </row>
    <row r="5">
      <c r="A5" s="4" t="s">
        <v>7</v>
      </c>
      <c r="B5" s="4">
        <v>1.0</v>
      </c>
      <c r="C5" s="4">
        <v>20.5</v>
      </c>
      <c r="D5" s="4">
        <v>1.55</v>
      </c>
      <c r="E5" s="4">
        <v>2.3</v>
      </c>
      <c r="F5" s="11">
        <v>0.5974</v>
      </c>
      <c r="G5" s="4">
        <v>21.42</v>
      </c>
    </row>
    <row r="6">
      <c r="A6" s="4" t="s">
        <v>7</v>
      </c>
      <c r="B6" s="4">
        <v>1.0</v>
      </c>
      <c r="C6" s="4">
        <v>21.5</v>
      </c>
      <c r="D6" s="4">
        <v>1.88</v>
      </c>
      <c r="E6" s="4">
        <v>1.82</v>
      </c>
      <c r="F6" s="11">
        <v>0.4919</v>
      </c>
      <c r="G6" s="4">
        <v>21.42</v>
      </c>
    </row>
    <row r="7">
      <c r="A7" s="4" t="s">
        <v>7</v>
      </c>
      <c r="B7" s="4">
        <v>1.0</v>
      </c>
      <c r="C7" s="4">
        <v>22.5</v>
      </c>
      <c r="D7" s="4">
        <v>2.4</v>
      </c>
      <c r="E7" s="4">
        <v>1.5</v>
      </c>
      <c r="F7" s="11">
        <v>0.3846</v>
      </c>
      <c r="G7" s="4">
        <v>21.42</v>
      </c>
    </row>
    <row r="8">
      <c r="A8" s="4" t="s">
        <v>7</v>
      </c>
      <c r="B8" s="4">
        <v>2.0</v>
      </c>
      <c r="C8" s="4">
        <v>17.5</v>
      </c>
      <c r="D8" s="4">
        <v>1.12</v>
      </c>
      <c r="E8" s="4">
        <v>5.3</v>
      </c>
      <c r="F8" s="11">
        <v>0.8255</v>
      </c>
      <c r="G8" s="4">
        <v>21.31</v>
      </c>
    </row>
    <row r="9">
      <c r="A9" s="4" t="s">
        <v>7</v>
      </c>
      <c r="B9" s="4">
        <v>2.0</v>
      </c>
      <c r="C9" s="4">
        <v>18.5</v>
      </c>
      <c r="D9" s="4">
        <v>1.22</v>
      </c>
      <c r="E9" s="4">
        <v>3.8</v>
      </c>
      <c r="F9" s="11">
        <v>0.757</v>
      </c>
      <c r="G9" s="4">
        <v>21.31</v>
      </c>
    </row>
    <row r="10">
      <c r="A10" s="4" t="s">
        <v>7</v>
      </c>
      <c r="B10" s="4">
        <v>2.0</v>
      </c>
      <c r="C10" s="4">
        <v>19.5</v>
      </c>
      <c r="D10" s="4">
        <v>1.38</v>
      </c>
      <c r="E10" s="4">
        <v>2.8</v>
      </c>
      <c r="F10" s="11">
        <v>0.6699</v>
      </c>
      <c r="G10" s="4">
        <v>21.31</v>
      </c>
    </row>
    <row r="11">
      <c r="A11" s="4" t="s">
        <v>7</v>
      </c>
      <c r="B11" s="4">
        <v>2.0</v>
      </c>
      <c r="C11" s="4">
        <v>20.5</v>
      </c>
      <c r="D11" s="4">
        <v>1.58</v>
      </c>
      <c r="E11" s="4">
        <v>2.2</v>
      </c>
      <c r="F11" s="11">
        <v>0.582</v>
      </c>
      <c r="G11" s="4">
        <v>21.31</v>
      </c>
    </row>
    <row r="12">
      <c r="A12" s="4" t="s">
        <v>7</v>
      </c>
      <c r="B12" s="4">
        <v>2.0</v>
      </c>
      <c r="C12" s="4">
        <v>21.5</v>
      </c>
      <c r="D12" s="4">
        <v>1.92</v>
      </c>
      <c r="E12" s="4">
        <v>1.78</v>
      </c>
      <c r="F12" s="11">
        <v>0.4811</v>
      </c>
      <c r="G12" s="4">
        <v>21.31</v>
      </c>
    </row>
    <row r="13">
      <c r="A13" s="4" t="s">
        <v>7</v>
      </c>
      <c r="B13" s="4">
        <v>2.0</v>
      </c>
      <c r="C13" s="4">
        <v>22.5</v>
      </c>
      <c r="D13" s="4">
        <v>2.5</v>
      </c>
      <c r="E13" s="4">
        <v>1.48</v>
      </c>
      <c r="F13" s="11">
        <v>0.3719</v>
      </c>
      <c r="G13" s="4">
        <v>21.31</v>
      </c>
    </row>
    <row r="14">
      <c r="A14" s="4" t="s">
        <v>7</v>
      </c>
      <c r="B14" s="4">
        <v>3.0</v>
      </c>
      <c r="C14" s="4">
        <v>17.5</v>
      </c>
      <c r="D14" s="4">
        <v>1.12</v>
      </c>
      <c r="E14" s="4">
        <v>5.3</v>
      </c>
      <c r="F14" s="11">
        <v>0.8255</v>
      </c>
      <c r="G14" s="4">
        <v>21.38</v>
      </c>
    </row>
    <row r="15">
      <c r="A15" s="4" t="s">
        <v>7</v>
      </c>
      <c r="B15" s="4">
        <v>3.0</v>
      </c>
      <c r="C15" s="4">
        <v>18.5</v>
      </c>
      <c r="D15" s="4">
        <v>1.22</v>
      </c>
      <c r="E15" s="4">
        <v>3.8</v>
      </c>
      <c r="F15" s="11">
        <v>0.757</v>
      </c>
      <c r="G15" s="4">
        <v>21.38</v>
      </c>
    </row>
    <row r="16">
      <c r="A16" s="4" t="s">
        <v>7</v>
      </c>
      <c r="B16" s="4">
        <v>3.0</v>
      </c>
      <c r="C16" s="4">
        <v>19.5</v>
      </c>
      <c r="D16" s="4">
        <v>1.35</v>
      </c>
      <c r="E16" s="4">
        <v>2.9</v>
      </c>
      <c r="F16" s="11">
        <v>0.6824</v>
      </c>
      <c r="G16" s="4">
        <v>21.38</v>
      </c>
    </row>
    <row r="17">
      <c r="A17" s="4" t="s">
        <v>7</v>
      </c>
      <c r="B17" s="4">
        <v>3.0</v>
      </c>
      <c r="C17" s="4">
        <v>20.5</v>
      </c>
      <c r="D17" s="4">
        <v>1.55</v>
      </c>
      <c r="E17" s="4">
        <v>2.3</v>
      </c>
      <c r="F17" s="11">
        <v>0.5974</v>
      </c>
      <c r="G17" s="4">
        <v>21.38</v>
      </c>
    </row>
    <row r="18">
      <c r="A18" s="4" t="s">
        <v>7</v>
      </c>
      <c r="B18" s="4">
        <v>3.0</v>
      </c>
      <c r="C18" s="4">
        <v>21.5</v>
      </c>
      <c r="D18" s="4">
        <v>1.9</v>
      </c>
      <c r="E18" s="4">
        <v>1.8</v>
      </c>
      <c r="F18" s="11">
        <v>0.4865</v>
      </c>
      <c r="G18" s="4">
        <v>21.38</v>
      </c>
    </row>
    <row r="19">
      <c r="A19" s="4" t="s">
        <v>7</v>
      </c>
      <c r="B19" s="4">
        <v>3.0</v>
      </c>
      <c r="C19" s="4">
        <v>22.5</v>
      </c>
      <c r="D19" s="4">
        <v>2.4</v>
      </c>
      <c r="E19" s="4">
        <v>1.5</v>
      </c>
      <c r="F19" s="11">
        <v>0.3846</v>
      </c>
      <c r="G19" s="4">
        <v>21.38</v>
      </c>
    </row>
    <row r="20">
      <c r="A20" s="4" t="s">
        <v>566</v>
      </c>
      <c r="B20" s="4">
        <v>1.0</v>
      </c>
      <c r="C20" s="4">
        <v>17.5</v>
      </c>
      <c r="D20" s="4">
        <v>1.1</v>
      </c>
      <c r="E20" s="4">
        <v>5.8</v>
      </c>
      <c r="F20" s="11">
        <v>0.8406</v>
      </c>
      <c r="G20" s="4">
        <v>21.5</v>
      </c>
    </row>
    <row r="21" ht="15.75" customHeight="1">
      <c r="A21" s="4" t="s">
        <v>566</v>
      </c>
      <c r="B21" s="4">
        <v>1.0</v>
      </c>
      <c r="C21" s="4">
        <v>18.5</v>
      </c>
      <c r="D21" s="4">
        <v>1.2</v>
      </c>
      <c r="E21" s="4">
        <v>4.0</v>
      </c>
      <c r="F21" s="11">
        <v>0.7692</v>
      </c>
      <c r="G21" s="4">
        <v>21.5</v>
      </c>
    </row>
    <row r="22" ht="15.75" customHeight="1">
      <c r="A22" s="4" t="s">
        <v>566</v>
      </c>
      <c r="B22" s="4">
        <v>1.0</v>
      </c>
      <c r="C22" s="4">
        <v>19.5</v>
      </c>
      <c r="D22" s="4">
        <v>1.35</v>
      </c>
      <c r="E22" s="4">
        <v>2.9</v>
      </c>
      <c r="F22" s="11">
        <v>0.6824</v>
      </c>
      <c r="G22" s="4">
        <v>21.5</v>
      </c>
    </row>
    <row r="23" ht="15.75" customHeight="1">
      <c r="A23" s="4" t="s">
        <v>566</v>
      </c>
      <c r="B23" s="4">
        <v>1.0</v>
      </c>
      <c r="C23" s="4">
        <v>20.5</v>
      </c>
      <c r="D23" s="4">
        <v>1.55</v>
      </c>
      <c r="E23" s="4">
        <v>2.3</v>
      </c>
      <c r="F23" s="11">
        <v>0.5974</v>
      </c>
      <c r="G23" s="4">
        <v>21.5</v>
      </c>
    </row>
    <row r="24" ht="15.75" customHeight="1">
      <c r="A24" s="4" t="s">
        <v>566</v>
      </c>
      <c r="B24" s="4">
        <v>1.0</v>
      </c>
      <c r="C24" s="4">
        <v>21.5</v>
      </c>
      <c r="D24" s="4">
        <v>1.85</v>
      </c>
      <c r="E24" s="4">
        <v>1.85</v>
      </c>
      <c r="F24" s="11">
        <v>0.5</v>
      </c>
      <c r="G24" s="4">
        <v>21.5</v>
      </c>
    </row>
    <row r="25" ht="15.75" customHeight="1">
      <c r="A25" s="4" t="s">
        <v>566</v>
      </c>
      <c r="B25" s="4">
        <v>1.0</v>
      </c>
      <c r="C25" s="4">
        <v>22.5</v>
      </c>
      <c r="D25" s="4">
        <v>2.4</v>
      </c>
      <c r="E25" s="4">
        <v>1.5</v>
      </c>
      <c r="F25" s="11">
        <v>0.3846</v>
      </c>
      <c r="G25" s="4">
        <v>21.5</v>
      </c>
    </row>
    <row r="26" ht="15.75" customHeight="1">
      <c r="A26" s="4" t="s">
        <v>566</v>
      </c>
      <c r="B26" s="4">
        <v>2.0</v>
      </c>
      <c r="C26" s="4">
        <v>17.5</v>
      </c>
      <c r="D26" s="4">
        <v>1.1</v>
      </c>
      <c r="E26" s="4">
        <v>5.8</v>
      </c>
      <c r="F26" s="11">
        <v>0.8406</v>
      </c>
      <c r="G26" s="4">
        <v>21.5</v>
      </c>
    </row>
    <row r="27" ht="15.75" customHeight="1">
      <c r="A27" s="4" t="s">
        <v>566</v>
      </c>
      <c r="B27" s="4">
        <v>2.0</v>
      </c>
      <c r="C27" s="4">
        <v>18.5</v>
      </c>
      <c r="D27" s="4">
        <v>1.2</v>
      </c>
      <c r="E27" s="4">
        <v>4.0</v>
      </c>
      <c r="F27" s="11">
        <v>0.7692</v>
      </c>
      <c r="G27" s="4">
        <v>21.5</v>
      </c>
    </row>
    <row r="28" ht="15.75" customHeight="1">
      <c r="A28" s="4" t="s">
        <v>566</v>
      </c>
      <c r="B28" s="4">
        <v>2.0</v>
      </c>
      <c r="C28" s="4">
        <v>19.5</v>
      </c>
      <c r="D28" s="4">
        <v>1.32</v>
      </c>
      <c r="E28" s="4">
        <v>3.1</v>
      </c>
      <c r="F28" s="11">
        <v>0.7014</v>
      </c>
      <c r="G28" s="4">
        <v>21.5</v>
      </c>
    </row>
    <row r="29" ht="15.75" customHeight="1">
      <c r="A29" s="4" t="s">
        <v>566</v>
      </c>
      <c r="B29" s="4">
        <v>2.0</v>
      </c>
      <c r="C29" s="4">
        <v>20.5</v>
      </c>
      <c r="D29" s="4">
        <v>1.52</v>
      </c>
      <c r="E29" s="4">
        <v>2.35</v>
      </c>
      <c r="F29" s="11">
        <v>0.6072</v>
      </c>
      <c r="G29" s="4">
        <v>21.5</v>
      </c>
    </row>
    <row r="30" ht="15.75" customHeight="1">
      <c r="A30" s="4" t="s">
        <v>566</v>
      </c>
      <c r="B30" s="4">
        <v>2.0</v>
      </c>
      <c r="C30" s="4">
        <v>21.5</v>
      </c>
      <c r="D30" s="4">
        <v>1.85</v>
      </c>
      <c r="E30" s="4">
        <v>1.85</v>
      </c>
      <c r="F30" s="11">
        <v>0.5</v>
      </c>
      <c r="G30" s="4">
        <v>21.5</v>
      </c>
    </row>
    <row r="31" ht="15.75" customHeight="1">
      <c r="A31" s="4" t="s">
        <v>566</v>
      </c>
      <c r="B31" s="4">
        <v>2.0</v>
      </c>
      <c r="C31" s="4">
        <v>22.5</v>
      </c>
      <c r="D31" s="4">
        <v>2.4</v>
      </c>
      <c r="E31" s="4">
        <v>1.5</v>
      </c>
      <c r="F31" s="11">
        <v>0.3846</v>
      </c>
      <c r="G31" s="4">
        <v>21.5</v>
      </c>
    </row>
    <row r="32" ht="15.75" customHeight="1">
      <c r="A32" s="4" t="s">
        <v>566</v>
      </c>
      <c r="B32" s="4">
        <v>3.0</v>
      </c>
      <c r="C32" s="4">
        <v>17.5</v>
      </c>
      <c r="D32" s="4">
        <v>1.1</v>
      </c>
      <c r="E32" s="4">
        <v>5.8</v>
      </c>
      <c r="F32" s="11">
        <v>0.8406</v>
      </c>
      <c r="G32" s="4">
        <v>21.5</v>
      </c>
    </row>
    <row r="33" ht="15.75" customHeight="1">
      <c r="A33" s="4" t="s">
        <v>566</v>
      </c>
      <c r="B33" s="4">
        <v>3.0</v>
      </c>
      <c r="C33" s="4">
        <v>18.5</v>
      </c>
      <c r="D33" s="4">
        <v>1.2</v>
      </c>
      <c r="E33" s="4">
        <v>4.0</v>
      </c>
      <c r="F33" s="11">
        <v>0.7692</v>
      </c>
      <c r="G33" s="4">
        <v>21.5</v>
      </c>
    </row>
    <row r="34" ht="15.75" customHeight="1">
      <c r="A34" s="4" t="s">
        <v>566</v>
      </c>
      <c r="B34" s="4">
        <v>3.0</v>
      </c>
      <c r="C34" s="4">
        <v>19.5</v>
      </c>
      <c r="D34" s="4">
        <v>1.32</v>
      </c>
      <c r="E34" s="4">
        <v>3.1</v>
      </c>
      <c r="F34" s="11">
        <v>0.7014</v>
      </c>
      <c r="G34" s="4">
        <v>21.5</v>
      </c>
    </row>
    <row r="35" ht="15.75" customHeight="1">
      <c r="A35" s="4" t="s">
        <v>566</v>
      </c>
      <c r="B35" s="4">
        <v>3.0</v>
      </c>
      <c r="C35" s="4">
        <v>20.5</v>
      </c>
      <c r="D35" s="4">
        <v>1.52</v>
      </c>
      <c r="E35" s="4">
        <v>2.35</v>
      </c>
      <c r="F35" s="11">
        <v>0.6072</v>
      </c>
      <c r="G35" s="4">
        <v>21.5</v>
      </c>
    </row>
    <row r="36" ht="15.75" customHeight="1">
      <c r="A36" s="4" t="s">
        <v>566</v>
      </c>
      <c r="B36" s="4">
        <v>3.0</v>
      </c>
      <c r="C36" s="4">
        <v>21.5</v>
      </c>
      <c r="D36" s="4">
        <v>1.85</v>
      </c>
      <c r="E36" s="4">
        <v>1.85</v>
      </c>
      <c r="F36" s="11">
        <v>0.5</v>
      </c>
      <c r="G36" s="4">
        <v>21.5</v>
      </c>
    </row>
    <row r="37" ht="15.75" customHeight="1">
      <c r="A37" s="4" t="s">
        <v>566</v>
      </c>
      <c r="B37" s="4">
        <v>3.0</v>
      </c>
      <c r="C37" s="4">
        <v>22.5</v>
      </c>
      <c r="D37" s="4">
        <v>2.4</v>
      </c>
      <c r="E37" s="4">
        <v>1.5</v>
      </c>
      <c r="F37" s="11">
        <v>0.3846</v>
      </c>
      <c r="G37" s="4">
        <v>21.5</v>
      </c>
    </row>
    <row r="38" ht="15.75" customHeight="1">
      <c r="A38" s="4" t="s">
        <v>838</v>
      </c>
      <c r="B38" s="4">
        <v>1.0</v>
      </c>
      <c r="C38" s="4">
        <v>17.5</v>
      </c>
      <c r="D38" s="4">
        <v>1.1</v>
      </c>
      <c r="E38" s="4">
        <v>5.8</v>
      </c>
      <c r="F38" s="11">
        <v>0.8406</v>
      </c>
      <c r="G38" s="4">
        <v>21.5</v>
      </c>
    </row>
    <row r="39" ht="15.75" customHeight="1">
      <c r="A39" s="4" t="s">
        <v>838</v>
      </c>
      <c r="B39" s="4">
        <v>1.0</v>
      </c>
      <c r="C39" s="4">
        <v>18.5</v>
      </c>
      <c r="D39" s="4">
        <v>1.2</v>
      </c>
      <c r="E39" s="4">
        <v>4.0</v>
      </c>
      <c r="F39" s="11">
        <v>0.7692</v>
      </c>
      <c r="G39" s="4">
        <v>21.5</v>
      </c>
    </row>
    <row r="40" ht="15.75" customHeight="1">
      <c r="A40" s="4" t="s">
        <v>838</v>
      </c>
      <c r="B40" s="4">
        <v>1.0</v>
      </c>
      <c r="C40" s="4">
        <v>19.5</v>
      </c>
      <c r="D40" s="4">
        <v>1.35</v>
      </c>
      <c r="E40" s="4">
        <v>2.9</v>
      </c>
      <c r="F40" s="11">
        <v>0.6824</v>
      </c>
      <c r="G40" s="4">
        <v>21.5</v>
      </c>
    </row>
    <row r="41" ht="15.75" customHeight="1">
      <c r="A41" s="4" t="s">
        <v>838</v>
      </c>
      <c r="B41" s="4">
        <v>1.0</v>
      </c>
      <c r="C41" s="4">
        <v>20.5</v>
      </c>
      <c r="D41" s="4">
        <v>1.55</v>
      </c>
      <c r="E41" s="4">
        <v>2.3</v>
      </c>
      <c r="F41" s="11">
        <v>0.5974</v>
      </c>
      <c r="G41" s="4">
        <v>21.5</v>
      </c>
    </row>
    <row r="42" ht="15.75" customHeight="1">
      <c r="A42" s="4" t="s">
        <v>838</v>
      </c>
      <c r="B42" s="4">
        <v>1.0</v>
      </c>
      <c r="C42" s="4">
        <v>21.5</v>
      </c>
      <c r="D42" s="4">
        <v>1.85</v>
      </c>
      <c r="E42" s="4">
        <v>1.85</v>
      </c>
      <c r="F42" s="11">
        <v>0.5</v>
      </c>
      <c r="G42" s="4">
        <v>21.5</v>
      </c>
    </row>
    <row r="43" ht="15.75" customHeight="1">
      <c r="A43" s="4" t="s">
        <v>838</v>
      </c>
      <c r="B43" s="4">
        <v>1.0</v>
      </c>
      <c r="C43" s="4">
        <v>22.5</v>
      </c>
      <c r="D43" s="4">
        <v>2.4</v>
      </c>
      <c r="E43" s="4">
        <v>1.5</v>
      </c>
      <c r="F43" s="11">
        <v>0.3846</v>
      </c>
      <c r="G43" s="4">
        <v>21.5</v>
      </c>
    </row>
    <row r="44" ht="15.75" customHeight="1">
      <c r="A44" s="4" t="s">
        <v>1090</v>
      </c>
      <c r="B44" s="4">
        <v>1.0</v>
      </c>
      <c r="C44" s="4">
        <v>17.5</v>
      </c>
      <c r="D44" s="4">
        <v>1.1</v>
      </c>
      <c r="E44" s="4">
        <v>5.8</v>
      </c>
      <c r="F44" s="11">
        <v>0.8406</v>
      </c>
      <c r="G44" s="4">
        <v>21.5</v>
      </c>
    </row>
    <row r="45" ht="15.75" customHeight="1">
      <c r="A45" s="4" t="s">
        <v>1090</v>
      </c>
      <c r="B45" s="4">
        <v>1.0</v>
      </c>
      <c r="C45" s="4">
        <v>18.5</v>
      </c>
      <c r="D45" s="4">
        <v>1.2</v>
      </c>
      <c r="E45" s="4">
        <v>4.0</v>
      </c>
      <c r="F45" s="11">
        <v>0.7692</v>
      </c>
      <c r="G45" s="4">
        <v>21.5</v>
      </c>
    </row>
    <row r="46" ht="15.75" customHeight="1">
      <c r="A46" s="4" t="s">
        <v>1090</v>
      </c>
      <c r="B46" s="4">
        <v>1.0</v>
      </c>
      <c r="C46" s="4">
        <v>19.5</v>
      </c>
      <c r="D46" s="4">
        <v>1.35</v>
      </c>
      <c r="E46" s="4">
        <v>2.9</v>
      </c>
      <c r="F46" s="11">
        <v>0.6824</v>
      </c>
      <c r="G46" s="4">
        <v>21.5</v>
      </c>
    </row>
    <row r="47" ht="15.75" customHeight="1">
      <c r="A47" s="4" t="s">
        <v>1090</v>
      </c>
      <c r="B47" s="4">
        <v>1.0</v>
      </c>
      <c r="C47" s="4">
        <v>20.5</v>
      </c>
      <c r="D47" s="4">
        <v>1.55</v>
      </c>
      <c r="E47" s="4">
        <v>2.3</v>
      </c>
      <c r="F47" s="11">
        <v>0.5974</v>
      </c>
      <c r="G47" s="4">
        <v>21.5</v>
      </c>
    </row>
    <row r="48" ht="15.75" customHeight="1">
      <c r="A48" s="4" t="s">
        <v>1090</v>
      </c>
      <c r="B48" s="4">
        <v>1.0</v>
      </c>
      <c r="C48" s="4">
        <v>21.5</v>
      </c>
      <c r="D48" s="4">
        <v>1.85</v>
      </c>
      <c r="E48" s="4">
        <v>1.85</v>
      </c>
      <c r="F48" s="11">
        <v>0.5</v>
      </c>
      <c r="G48" s="4">
        <v>21.5</v>
      </c>
    </row>
    <row r="49" ht="15.75" customHeight="1">
      <c r="A49" s="4" t="s">
        <v>1090</v>
      </c>
      <c r="B49" s="4">
        <v>1.0</v>
      </c>
      <c r="C49" s="4">
        <v>22.5</v>
      </c>
      <c r="D49" s="4">
        <v>2.4</v>
      </c>
      <c r="E49" s="4">
        <v>1.5</v>
      </c>
      <c r="F49" s="11">
        <v>0.3846</v>
      </c>
      <c r="G49" s="4">
        <v>21.5</v>
      </c>
    </row>
    <row r="50" ht="15.75" customHeight="1">
      <c r="A50" s="4" t="s">
        <v>1090</v>
      </c>
      <c r="B50" s="4">
        <v>2.0</v>
      </c>
      <c r="C50" s="4">
        <v>17.5</v>
      </c>
      <c r="D50" s="4">
        <v>1.12</v>
      </c>
      <c r="E50" s="4">
        <v>5.3</v>
      </c>
      <c r="F50" s="11">
        <v>0.8255</v>
      </c>
      <c r="G50" s="4">
        <v>21.31</v>
      </c>
    </row>
    <row r="51" ht="15.75" customHeight="1">
      <c r="A51" s="4" t="s">
        <v>1090</v>
      </c>
      <c r="B51" s="4">
        <v>2.0</v>
      </c>
      <c r="C51" s="4">
        <v>18.5</v>
      </c>
      <c r="D51" s="4">
        <v>1.22</v>
      </c>
      <c r="E51" s="4">
        <v>3.8</v>
      </c>
      <c r="F51" s="11">
        <v>0.757</v>
      </c>
      <c r="G51" s="4">
        <v>21.31</v>
      </c>
    </row>
    <row r="52" ht="15.75" customHeight="1">
      <c r="A52" s="4" t="s">
        <v>1090</v>
      </c>
      <c r="B52" s="4">
        <v>2.0</v>
      </c>
      <c r="C52" s="4">
        <v>19.5</v>
      </c>
      <c r="D52" s="4">
        <v>1.38</v>
      </c>
      <c r="E52" s="4">
        <v>2.8</v>
      </c>
      <c r="F52" s="11">
        <v>0.6699</v>
      </c>
      <c r="G52" s="4">
        <v>21.31</v>
      </c>
    </row>
    <row r="53" ht="15.75" customHeight="1">
      <c r="A53" s="4" t="s">
        <v>1090</v>
      </c>
      <c r="B53" s="4">
        <v>2.0</v>
      </c>
      <c r="C53" s="4">
        <v>20.5</v>
      </c>
      <c r="D53" s="4">
        <v>1.58</v>
      </c>
      <c r="E53" s="4">
        <v>2.2</v>
      </c>
      <c r="F53" s="11">
        <v>0.582</v>
      </c>
      <c r="G53" s="4">
        <v>21.31</v>
      </c>
    </row>
    <row r="54" ht="15.75" customHeight="1">
      <c r="A54" s="4" t="s">
        <v>1090</v>
      </c>
      <c r="B54" s="4">
        <v>2.0</v>
      </c>
      <c r="C54" s="4">
        <v>21.5</v>
      </c>
      <c r="D54" s="4">
        <v>1.92</v>
      </c>
      <c r="E54" s="4">
        <v>1.78</v>
      </c>
      <c r="F54" s="11">
        <v>0.4811</v>
      </c>
      <c r="G54" s="4">
        <v>21.31</v>
      </c>
    </row>
    <row r="55" ht="15.75" customHeight="1">
      <c r="A55" s="4" t="s">
        <v>1090</v>
      </c>
      <c r="B55" s="4">
        <v>2.0</v>
      </c>
      <c r="C55" s="4">
        <v>22.5</v>
      </c>
      <c r="D55" s="4">
        <v>2.5</v>
      </c>
      <c r="E55" s="4">
        <v>1.48</v>
      </c>
      <c r="F55" s="11">
        <v>0.3719</v>
      </c>
      <c r="G55" s="4">
        <v>21.31</v>
      </c>
    </row>
    <row r="56" ht="15.75" customHeight="1">
      <c r="A56" s="4" t="s">
        <v>1090</v>
      </c>
      <c r="B56" s="4">
        <v>3.0</v>
      </c>
      <c r="C56" s="4">
        <v>17.5</v>
      </c>
      <c r="D56" s="4">
        <v>1.12</v>
      </c>
      <c r="E56" s="4">
        <v>5.3</v>
      </c>
      <c r="F56" s="11">
        <v>0.8255</v>
      </c>
      <c r="G56" s="4">
        <v>21.42</v>
      </c>
    </row>
    <row r="57" ht="15.75" customHeight="1">
      <c r="A57" s="4" t="s">
        <v>1090</v>
      </c>
      <c r="B57" s="4">
        <v>3.0</v>
      </c>
      <c r="C57" s="4">
        <v>18.5</v>
      </c>
      <c r="D57" s="4">
        <v>1.22</v>
      </c>
      <c r="E57" s="4">
        <v>3.8</v>
      </c>
      <c r="F57" s="11">
        <v>0.757</v>
      </c>
      <c r="G57" s="4">
        <v>21.42</v>
      </c>
    </row>
    <row r="58" ht="15.75" customHeight="1">
      <c r="A58" s="4" t="s">
        <v>1090</v>
      </c>
      <c r="B58" s="4">
        <v>3.0</v>
      </c>
      <c r="C58" s="4">
        <v>19.5</v>
      </c>
      <c r="D58" s="4">
        <v>1.35</v>
      </c>
      <c r="E58" s="4">
        <v>2.9</v>
      </c>
      <c r="F58" s="11">
        <v>0.6824</v>
      </c>
      <c r="G58" s="4">
        <v>21.42</v>
      </c>
    </row>
    <row r="59" ht="15.75" customHeight="1">
      <c r="A59" s="4" t="s">
        <v>1090</v>
      </c>
      <c r="B59" s="4">
        <v>3.0</v>
      </c>
      <c r="C59" s="4">
        <v>20.5</v>
      </c>
      <c r="D59" s="4">
        <v>1.55</v>
      </c>
      <c r="E59" s="4">
        <v>2.3</v>
      </c>
      <c r="F59" s="11">
        <v>0.5974</v>
      </c>
      <c r="G59" s="4">
        <v>21.42</v>
      </c>
    </row>
    <row r="60" ht="15.75" customHeight="1">
      <c r="A60" s="4" t="s">
        <v>1090</v>
      </c>
      <c r="B60" s="4">
        <v>3.0</v>
      </c>
      <c r="C60" s="4">
        <v>21.5</v>
      </c>
      <c r="D60" s="4">
        <v>1.88</v>
      </c>
      <c r="E60" s="4">
        <v>1.82</v>
      </c>
      <c r="F60" s="11">
        <v>0.4919</v>
      </c>
      <c r="G60" s="4">
        <v>21.42</v>
      </c>
    </row>
    <row r="61" ht="15.75" customHeight="1">
      <c r="A61" s="4" t="s">
        <v>1090</v>
      </c>
      <c r="B61" s="4">
        <v>3.0</v>
      </c>
      <c r="C61" s="4">
        <v>22.5</v>
      </c>
      <c r="D61" s="4">
        <v>2.4</v>
      </c>
      <c r="E61" s="4">
        <v>1.5</v>
      </c>
      <c r="F61" s="11">
        <v>0.3846</v>
      </c>
      <c r="G61" s="4">
        <v>21.42</v>
      </c>
    </row>
    <row r="62" ht="15.75" customHeight="1">
      <c r="A62" s="4" t="s">
        <v>1152</v>
      </c>
      <c r="B62" s="4">
        <v>1.0</v>
      </c>
      <c r="C62" s="4">
        <v>17.5</v>
      </c>
      <c r="D62" s="4">
        <v>1.1</v>
      </c>
      <c r="E62" s="4">
        <v>5.8</v>
      </c>
      <c r="F62" s="11">
        <v>0.8406</v>
      </c>
      <c r="G62" s="4">
        <v>21.5</v>
      </c>
    </row>
    <row r="63" ht="15.75" customHeight="1">
      <c r="A63" s="4" t="s">
        <v>1152</v>
      </c>
      <c r="B63" s="4">
        <v>1.0</v>
      </c>
      <c r="C63" s="4">
        <v>18.5</v>
      </c>
      <c r="D63" s="4">
        <v>1.2</v>
      </c>
      <c r="E63" s="4">
        <v>4.0</v>
      </c>
      <c r="F63" s="11">
        <v>0.7692</v>
      </c>
      <c r="G63" s="4">
        <v>21.5</v>
      </c>
    </row>
    <row r="64" ht="15.75" customHeight="1">
      <c r="A64" s="4" t="s">
        <v>1152</v>
      </c>
      <c r="B64" s="4">
        <v>1.0</v>
      </c>
      <c r="C64" s="4">
        <v>19.5</v>
      </c>
      <c r="D64" s="4">
        <v>1.32</v>
      </c>
      <c r="E64" s="4">
        <v>3.1</v>
      </c>
      <c r="F64" s="11">
        <v>0.7014</v>
      </c>
      <c r="G64" s="4">
        <v>21.5</v>
      </c>
    </row>
    <row r="65" ht="15.75" customHeight="1">
      <c r="A65" s="4" t="s">
        <v>1152</v>
      </c>
      <c r="B65" s="4">
        <v>1.0</v>
      </c>
      <c r="C65" s="4">
        <v>20.5</v>
      </c>
      <c r="D65" s="4">
        <v>1.52</v>
      </c>
      <c r="E65" s="4">
        <v>2.35</v>
      </c>
      <c r="F65" s="11">
        <v>0.6072</v>
      </c>
      <c r="G65" s="4">
        <v>21.5</v>
      </c>
    </row>
    <row r="66" ht="15.75" customHeight="1">
      <c r="A66" s="4" t="s">
        <v>1152</v>
      </c>
      <c r="B66" s="4">
        <v>1.0</v>
      </c>
      <c r="C66" s="4">
        <v>21.5</v>
      </c>
      <c r="D66" s="4">
        <v>1.85</v>
      </c>
      <c r="E66" s="4">
        <v>1.85</v>
      </c>
      <c r="F66" s="11">
        <v>0.5</v>
      </c>
      <c r="G66" s="4">
        <v>21.5</v>
      </c>
    </row>
    <row r="67" ht="15.75" customHeight="1">
      <c r="A67" s="4" t="s">
        <v>1152</v>
      </c>
      <c r="B67" s="4">
        <v>1.0</v>
      </c>
      <c r="C67" s="4">
        <v>22.5</v>
      </c>
      <c r="D67" s="4">
        <v>2.4</v>
      </c>
      <c r="E67" s="4">
        <v>1.5</v>
      </c>
      <c r="F67" s="11">
        <v>0.3846</v>
      </c>
      <c r="G67" s="4">
        <v>21.5</v>
      </c>
    </row>
    <row r="68" ht="15.75" customHeight="1">
      <c r="A68" s="4" t="s">
        <v>1152</v>
      </c>
      <c r="B68" s="4">
        <v>2.0</v>
      </c>
      <c r="C68" s="4">
        <v>17.5</v>
      </c>
      <c r="D68" s="4">
        <v>1.12</v>
      </c>
      <c r="E68" s="4">
        <v>5.3</v>
      </c>
      <c r="F68" s="11">
        <v>0.8255</v>
      </c>
      <c r="G68" s="4">
        <v>21.38</v>
      </c>
    </row>
    <row r="69" ht="15.75" customHeight="1">
      <c r="A69" s="4" t="s">
        <v>1152</v>
      </c>
      <c r="B69" s="4">
        <v>2.0</v>
      </c>
      <c r="C69" s="4">
        <v>18.5</v>
      </c>
      <c r="D69" s="4">
        <v>1.22</v>
      </c>
      <c r="E69" s="4">
        <v>3.8</v>
      </c>
      <c r="F69" s="11">
        <v>0.757</v>
      </c>
      <c r="G69" s="4">
        <v>21.38</v>
      </c>
    </row>
    <row r="70" ht="15.75" customHeight="1">
      <c r="A70" s="4" t="s">
        <v>1152</v>
      </c>
      <c r="B70" s="4">
        <v>2.0</v>
      </c>
      <c r="C70" s="4">
        <v>19.5</v>
      </c>
      <c r="D70" s="4">
        <v>1.35</v>
      </c>
      <c r="E70" s="4">
        <v>2.9</v>
      </c>
      <c r="F70" s="11">
        <v>0.6824</v>
      </c>
      <c r="G70" s="4">
        <v>21.38</v>
      </c>
    </row>
    <row r="71" ht="15.75" customHeight="1">
      <c r="A71" s="4" t="s">
        <v>1152</v>
      </c>
      <c r="B71" s="4">
        <v>2.0</v>
      </c>
      <c r="C71" s="4">
        <v>20.5</v>
      </c>
      <c r="D71" s="4">
        <v>1.55</v>
      </c>
      <c r="E71" s="4">
        <v>2.3</v>
      </c>
      <c r="F71" s="11">
        <v>0.5974</v>
      </c>
      <c r="G71" s="4">
        <v>21.38</v>
      </c>
    </row>
    <row r="72" ht="15.75" customHeight="1">
      <c r="A72" s="4" t="s">
        <v>1152</v>
      </c>
      <c r="B72" s="4">
        <v>2.0</v>
      </c>
      <c r="C72" s="4">
        <v>21.5</v>
      </c>
      <c r="D72" s="4">
        <v>1.9</v>
      </c>
      <c r="E72" s="4">
        <v>1.8</v>
      </c>
      <c r="F72" s="11">
        <v>0.4865</v>
      </c>
      <c r="G72" s="4">
        <v>21.38</v>
      </c>
    </row>
    <row r="73" ht="15.75" customHeight="1">
      <c r="A73" s="4" t="s">
        <v>1152</v>
      </c>
      <c r="B73" s="4">
        <v>2.0</v>
      </c>
      <c r="C73" s="4">
        <v>22.5</v>
      </c>
      <c r="D73" s="4">
        <v>2.4</v>
      </c>
      <c r="E73" s="4">
        <v>1.5</v>
      </c>
      <c r="F73" s="11">
        <v>0.3846</v>
      </c>
      <c r="G73" s="4">
        <v>21.38</v>
      </c>
    </row>
    <row r="74" ht="15.75" customHeight="1">
      <c r="A74" s="4" t="s">
        <v>1152</v>
      </c>
      <c r="B74" s="4">
        <v>3.0</v>
      </c>
      <c r="C74" s="4">
        <v>17.5</v>
      </c>
      <c r="D74" s="4">
        <v>1.1</v>
      </c>
      <c r="E74" s="4">
        <v>5.8</v>
      </c>
      <c r="F74" s="11">
        <v>0.8406</v>
      </c>
      <c r="G74" s="4">
        <v>21.5</v>
      </c>
    </row>
    <row r="75" ht="15.75" customHeight="1">
      <c r="A75" s="4" t="s">
        <v>1152</v>
      </c>
      <c r="B75" s="4">
        <v>3.0</v>
      </c>
      <c r="C75" s="4">
        <v>18.5</v>
      </c>
      <c r="D75" s="4">
        <v>1.2</v>
      </c>
      <c r="E75" s="4">
        <v>4.0</v>
      </c>
      <c r="F75" s="11">
        <v>0.7692</v>
      </c>
      <c r="G75" s="4">
        <v>21.5</v>
      </c>
    </row>
    <row r="76" ht="15.75" customHeight="1">
      <c r="A76" s="4" t="s">
        <v>1152</v>
      </c>
      <c r="B76" s="4">
        <v>3.0</v>
      </c>
      <c r="C76" s="4">
        <v>19.5</v>
      </c>
      <c r="D76" s="4">
        <v>1.35</v>
      </c>
      <c r="E76" s="4">
        <v>2.9</v>
      </c>
      <c r="F76" s="11">
        <v>0.6824</v>
      </c>
      <c r="G76" s="4">
        <v>21.5</v>
      </c>
    </row>
    <row r="77" ht="15.75" customHeight="1">
      <c r="A77" s="4" t="s">
        <v>1152</v>
      </c>
      <c r="B77" s="4">
        <v>3.0</v>
      </c>
      <c r="C77" s="4">
        <v>20.5</v>
      </c>
      <c r="D77" s="4">
        <v>1.55</v>
      </c>
      <c r="E77" s="4">
        <v>2.3</v>
      </c>
      <c r="F77" s="11">
        <v>0.5974</v>
      </c>
      <c r="G77" s="4">
        <v>21.5</v>
      </c>
    </row>
    <row r="78" ht="15.75" customHeight="1">
      <c r="A78" s="4" t="s">
        <v>1152</v>
      </c>
      <c r="B78" s="4">
        <v>3.0</v>
      </c>
      <c r="C78" s="4">
        <v>21.5</v>
      </c>
      <c r="D78" s="4">
        <v>1.85</v>
      </c>
      <c r="E78" s="4">
        <v>1.85</v>
      </c>
      <c r="F78" s="11">
        <v>0.5</v>
      </c>
      <c r="G78" s="4">
        <v>21.5</v>
      </c>
    </row>
    <row r="79" ht="15.75" customHeight="1">
      <c r="A79" s="4" t="s">
        <v>1152</v>
      </c>
      <c r="B79" s="4">
        <v>3.0</v>
      </c>
      <c r="C79" s="4">
        <v>22.5</v>
      </c>
      <c r="D79" s="4">
        <v>2.4</v>
      </c>
      <c r="E79" s="4">
        <v>1.5</v>
      </c>
      <c r="F79" s="11">
        <v>0.3846</v>
      </c>
      <c r="G79" s="4">
        <v>21.5</v>
      </c>
    </row>
    <row r="80" ht="15.75" customHeight="1">
      <c r="A80" s="4" t="s">
        <v>1160</v>
      </c>
      <c r="B80" s="4">
        <v>1.0</v>
      </c>
      <c r="C80" s="4">
        <v>17.5</v>
      </c>
      <c r="D80" s="4">
        <v>1.12</v>
      </c>
      <c r="E80" s="4">
        <v>5.3</v>
      </c>
      <c r="F80" s="11">
        <v>0.8255</v>
      </c>
      <c r="G80" s="4">
        <v>21.36</v>
      </c>
    </row>
    <row r="81" ht="15.75" customHeight="1">
      <c r="A81" s="4" t="s">
        <v>1160</v>
      </c>
      <c r="B81" s="4">
        <v>1.0</v>
      </c>
      <c r="C81" s="4">
        <v>18.5</v>
      </c>
      <c r="D81" s="4">
        <v>1.22</v>
      </c>
      <c r="E81" s="4">
        <v>3.8</v>
      </c>
      <c r="F81" s="11">
        <v>0.757</v>
      </c>
      <c r="G81" s="4">
        <v>21.36</v>
      </c>
    </row>
    <row r="82" ht="15.75" customHeight="1">
      <c r="A82" s="4" t="s">
        <v>1160</v>
      </c>
      <c r="B82" s="4">
        <v>1.0</v>
      </c>
      <c r="C82" s="4">
        <v>19.5</v>
      </c>
      <c r="D82" s="4">
        <v>1.38</v>
      </c>
      <c r="E82" s="4">
        <v>2.8</v>
      </c>
      <c r="F82" s="11">
        <v>0.6699</v>
      </c>
      <c r="G82" s="4">
        <v>21.36</v>
      </c>
    </row>
    <row r="83" ht="15.75" customHeight="1">
      <c r="A83" s="4" t="s">
        <v>1160</v>
      </c>
      <c r="B83" s="4">
        <v>1.0</v>
      </c>
      <c r="C83" s="4">
        <v>20.5</v>
      </c>
      <c r="D83" s="4">
        <v>1.58</v>
      </c>
      <c r="E83" s="4">
        <v>2.2</v>
      </c>
      <c r="F83" s="11">
        <v>0.582</v>
      </c>
      <c r="G83" s="4">
        <v>21.36</v>
      </c>
    </row>
    <row r="84" ht="15.75" customHeight="1">
      <c r="A84" s="4" t="s">
        <v>1160</v>
      </c>
      <c r="B84" s="4">
        <v>1.0</v>
      </c>
      <c r="C84" s="4">
        <v>21.5</v>
      </c>
      <c r="D84" s="4">
        <v>1.9</v>
      </c>
      <c r="E84" s="4">
        <v>1.8</v>
      </c>
      <c r="F84" s="11">
        <v>0.4865</v>
      </c>
      <c r="G84" s="4">
        <v>21.36</v>
      </c>
    </row>
    <row r="85" ht="15.75" customHeight="1">
      <c r="A85" s="4" t="s">
        <v>1160</v>
      </c>
      <c r="B85" s="4">
        <v>1.0</v>
      </c>
      <c r="C85" s="4">
        <v>22.5</v>
      </c>
      <c r="D85" s="4">
        <v>2.5</v>
      </c>
      <c r="E85" s="4">
        <v>1.48</v>
      </c>
      <c r="F85" s="11">
        <v>0.3719</v>
      </c>
      <c r="G85" s="4">
        <v>21.36</v>
      </c>
    </row>
    <row r="86" ht="15.75" customHeight="1">
      <c r="A86" s="4" t="s">
        <v>1168</v>
      </c>
      <c r="B86" s="4">
        <v>1.0</v>
      </c>
      <c r="C86" s="4">
        <v>17.5</v>
      </c>
      <c r="D86" s="4">
        <v>1.12</v>
      </c>
      <c r="E86" s="4">
        <v>5.3</v>
      </c>
      <c r="F86" s="11">
        <v>0.8255</v>
      </c>
      <c r="G86" s="4">
        <v>21.31</v>
      </c>
    </row>
    <row r="87" ht="15.75" customHeight="1">
      <c r="A87" s="4" t="s">
        <v>1168</v>
      </c>
      <c r="B87" s="4">
        <v>1.0</v>
      </c>
      <c r="C87" s="4">
        <v>18.5</v>
      </c>
      <c r="D87" s="4">
        <v>1.22</v>
      </c>
      <c r="E87" s="4">
        <v>3.8</v>
      </c>
      <c r="F87" s="11">
        <v>0.757</v>
      </c>
      <c r="G87" s="4">
        <v>21.31</v>
      </c>
    </row>
    <row r="88" ht="15.75" customHeight="1">
      <c r="A88" s="4" t="s">
        <v>1168</v>
      </c>
      <c r="B88" s="4">
        <v>1.0</v>
      </c>
      <c r="C88" s="4">
        <v>19.5</v>
      </c>
      <c r="D88" s="4">
        <v>1.38</v>
      </c>
      <c r="E88" s="4">
        <v>2.8</v>
      </c>
      <c r="F88" s="11">
        <v>0.6699</v>
      </c>
      <c r="G88" s="4">
        <v>21.31</v>
      </c>
    </row>
    <row r="89" ht="15.75" customHeight="1">
      <c r="A89" s="4" t="s">
        <v>1168</v>
      </c>
      <c r="B89" s="4">
        <v>1.0</v>
      </c>
      <c r="C89" s="4">
        <v>20.5</v>
      </c>
      <c r="D89" s="4">
        <v>1.58</v>
      </c>
      <c r="E89" s="4">
        <v>2.2</v>
      </c>
      <c r="F89" s="11">
        <v>0.582</v>
      </c>
      <c r="G89" s="4">
        <v>21.31</v>
      </c>
    </row>
    <row r="90" ht="15.75" customHeight="1">
      <c r="A90" s="4" t="s">
        <v>1168</v>
      </c>
      <c r="B90" s="4">
        <v>1.0</v>
      </c>
      <c r="C90" s="4">
        <v>21.5</v>
      </c>
      <c r="D90" s="4">
        <v>1.92</v>
      </c>
      <c r="E90" s="4">
        <v>1.78</v>
      </c>
      <c r="F90" s="11">
        <v>0.4811</v>
      </c>
      <c r="G90" s="4">
        <v>21.31</v>
      </c>
    </row>
    <row r="91" ht="15.75" customHeight="1">
      <c r="A91" s="4" t="s">
        <v>1168</v>
      </c>
      <c r="B91" s="4">
        <v>1.0</v>
      </c>
      <c r="C91" s="4">
        <v>22.5</v>
      </c>
      <c r="D91" s="4">
        <v>2.5</v>
      </c>
      <c r="E91" s="4">
        <v>1.48</v>
      </c>
      <c r="F91" s="11">
        <v>0.3719</v>
      </c>
      <c r="G91" s="4">
        <v>21.31</v>
      </c>
    </row>
    <row r="92" ht="15.75" customHeight="1">
      <c r="A92" s="4" t="s">
        <v>1168</v>
      </c>
      <c r="B92" s="4">
        <v>2.0</v>
      </c>
      <c r="C92" s="4">
        <v>17.5</v>
      </c>
      <c r="D92" s="4">
        <v>1.1</v>
      </c>
      <c r="E92" s="4">
        <v>5.8</v>
      </c>
      <c r="F92" s="11">
        <v>0.8406</v>
      </c>
      <c r="G92" s="4">
        <v>21.42</v>
      </c>
    </row>
    <row r="93" ht="15.75" customHeight="1">
      <c r="A93" s="4" t="s">
        <v>1168</v>
      </c>
      <c r="B93" s="4">
        <v>2.0</v>
      </c>
      <c r="C93" s="4">
        <v>18.5</v>
      </c>
      <c r="D93" s="4">
        <v>1.22</v>
      </c>
      <c r="E93" s="4">
        <v>3.8</v>
      </c>
      <c r="F93" s="11">
        <v>0.757</v>
      </c>
      <c r="G93" s="4">
        <v>21.42</v>
      </c>
    </row>
    <row r="94" ht="15.75" customHeight="1">
      <c r="A94" s="4" t="s">
        <v>1168</v>
      </c>
      <c r="B94" s="4">
        <v>2.0</v>
      </c>
      <c r="C94" s="4">
        <v>19.5</v>
      </c>
      <c r="D94" s="4">
        <v>1.35</v>
      </c>
      <c r="E94" s="4">
        <v>2.9</v>
      </c>
      <c r="F94" s="11">
        <v>0.6824</v>
      </c>
      <c r="G94" s="4">
        <v>21.42</v>
      </c>
    </row>
    <row r="95" ht="15.75" customHeight="1">
      <c r="A95" s="4" t="s">
        <v>1168</v>
      </c>
      <c r="B95" s="4">
        <v>2.0</v>
      </c>
      <c r="C95" s="4">
        <v>20.5</v>
      </c>
      <c r="D95" s="4">
        <v>1.55</v>
      </c>
      <c r="E95" s="4">
        <v>2.3</v>
      </c>
      <c r="F95" s="11">
        <v>0.5974</v>
      </c>
      <c r="G95" s="4">
        <v>21.42</v>
      </c>
    </row>
    <row r="96" ht="15.75" customHeight="1">
      <c r="A96" s="4" t="s">
        <v>1168</v>
      </c>
      <c r="B96" s="4">
        <v>2.0</v>
      </c>
      <c r="C96" s="4">
        <v>21.5</v>
      </c>
      <c r="D96" s="4">
        <v>1.88</v>
      </c>
      <c r="E96" s="4">
        <v>1.82</v>
      </c>
      <c r="F96" s="11">
        <v>0.4919</v>
      </c>
      <c r="G96" s="4">
        <v>21.42</v>
      </c>
    </row>
    <row r="97" ht="15.75" customHeight="1">
      <c r="A97" s="4" t="s">
        <v>1168</v>
      </c>
      <c r="B97" s="4">
        <v>2.0</v>
      </c>
      <c r="C97" s="4">
        <v>22.5</v>
      </c>
      <c r="D97" s="4">
        <v>2.4</v>
      </c>
      <c r="E97" s="4">
        <v>1.5</v>
      </c>
      <c r="F97" s="11">
        <v>0.3846</v>
      </c>
      <c r="G97" s="4">
        <v>21.42</v>
      </c>
    </row>
    <row r="98" ht="15.75" customHeight="1">
      <c r="A98" s="4" t="s">
        <v>1168</v>
      </c>
      <c r="B98" s="4">
        <v>3.0</v>
      </c>
      <c r="C98" s="4">
        <v>17.5</v>
      </c>
      <c r="D98" s="4">
        <v>1.12</v>
      </c>
      <c r="E98" s="4">
        <v>5.3</v>
      </c>
      <c r="F98" s="11">
        <v>0.8255</v>
      </c>
      <c r="G98" s="4">
        <v>21.38</v>
      </c>
    </row>
    <row r="99" ht="15.75" customHeight="1">
      <c r="A99" s="4" t="s">
        <v>1168</v>
      </c>
      <c r="B99" s="4">
        <v>3.0</v>
      </c>
      <c r="C99" s="4">
        <v>18.5</v>
      </c>
      <c r="D99" s="4">
        <v>1.22</v>
      </c>
      <c r="E99" s="4">
        <v>3.8</v>
      </c>
      <c r="F99" s="11">
        <v>0.757</v>
      </c>
      <c r="G99" s="4">
        <v>21.38</v>
      </c>
    </row>
    <row r="100" ht="15.75" customHeight="1">
      <c r="A100" s="4" t="s">
        <v>1168</v>
      </c>
      <c r="B100" s="4">
        <v>3.0</v>
      </c>
      <c r="C100" s="4">
        <v>19.5</v>
      </c>
      <c r="D100" s="4">
        <v>1.35</v>
      </c>
      <c r="E100" s="4">
        <v>2.9</v>
      </c>
      <c r="F100" s="11">
        <v>0.6824</v>
      </c>
      <c r="G100" s="4">
        <v>21.38</v>
      </c>
    </row>
    <row r="101" ht="15.75" customHeight="1">
      <c r="A101" s="4" t="s">
        <v>1168</v>
      </c>
      <c r="B101" s="4">
        <v>3.0</v>
      </c>
      <c r="C101" s="4">
        <v>20.5</v>
      </c>
      <c r="D101" s="4">
        <v>1.55</v>
      </c>
      <c r="E101" s="4">
        <v>2.3</v>
      </c>
      <c r="F101" s="11">
        <v>0.5974</v>
      </c>
      <c r="G101" s="4">
        <v>21.38</v>
      </c>
    </row>
    <row r="102" ht="15.75" customHeight="1">
      <c r="A102" s="4" t="s">
        <v>1168</v>
      </c>
      <c r="B102" s="4">
        <v>3.0</v>
      </c>
      <c r="C102" s="4">
        <v>21.5</v>
      </c>
      <c r="D102" s="4">
        <v>1.9</v>
      </c>
      <c r="E102" s="4">
        <v>1.8</v>
      </c>
      <c r="F102" s="11">
        <v>0.4865</v>
      </c>
      <c r="G102" s="4">
        <v>21.38</v>
      </c>
    </row>
    <row r="103" ht="15.75" customHeight="1">
      <c r="A103" s="4" t="s">
        <v>1168</v>
      </c>
      <c r="B103" s="4">
        <v>3.0</v>
      </c>
      <c r="C103" s="4">
        <v>22.5</v>
      </c>
      <c r="D103" s="4">
        <v>2.4</v>
      </c>
      <c r="E103" s="4">
        <v>1.5</v>
      </c>
      <c r="F103" s="11">
        <v>0.3846</v>
      </c>
      <c r="G103" s="4">
        <v>21.38</v>
      </c>
    </row>
    <row r="104" ht="15.75" customHeight="1">
      <c r="A104" s="4" t="s">
        <v>1178</v>
      </c>
      <c r="B104" s="4">
        <v>1.0</v>
      </c>
      <c r="C104" s="4">
        <v>17.5</v>
      </c>
      <c r="D104" s="4">
        <v>1.1</v>
      </c>
      <c r="E104" s="4">
        <v>5.8</v>
      </c>
      <c r="F104" s="11">
        <v>0.8406</v>
      </c>
      <c r="G104" s="4">
        <v>21.5</v>
      </c>
    </row>
    <row r="105" ht="15.75" customHeight="1">
      <c r="A105" s="4" t="s">
        <v>1178</v>
      </c>
      <c r="B105" s="4">
        <v>1.0</v>
      </c>
      <c r="C105" s="4">
        <v>18.5</v>
      </c>
      <c r="D105" s="4">
        <v>1.2</v>
      </c>
      <c r="E105" s="4">
        <v>4.0</v>
      </c>
      <c r="F105" s="11">
        <v>0.7692</v>
      </c>
      <c r="G105" s="4">
        <v>21.5</v>
      </c>
    </row>
    <row r="106" ht="15.75" customHeight="1">
      <c r="A106" s="4" t="s">
        <v>1178</v>
      </c>
      <c r="B106" s="4">
        <v>1.0</v>
      </c>
      <c r="C106" s="4">
        <v>19.5</v>
      </c>
      <c r="D106" s="4">
        <v>1.32</v>
      </c>
      <c r="E106" s="4">
        <v>3.1</v>
      </c>
      <c r="F106" s="11">
        <v>0.7014</v>
      </c>
      <c r="G106" s="4">
        <v>21.5</v>
      </c>
    </row>
    <row r="107" ht="15.75" customHeight="1">
      <c r="A107" s="4" t="s">
        <v>1178</v>
      </c>
      <c r="B107" s="4">
        <v>1.0</v>
      </c>
      <c r="C107" s="4">
        <v>20.5</v>
      </c>
      <c r="D107" s="4">
        <v>1.52</v>
      </c>
      <c r="E107" s="4">
        <v>2.35</v>
      </c>
      <c r="F107" s="11">
        <v>0.6072</v>
      </c>
      <c r="G107" s="4">
        <v>21.5</v>
      </c>
    </row>
    <row r="108" ht="15.75" customHeight="1">
      <c r="A108" s="4" t="s">
        <v>1178</v>
      </c>
      <c r="B108" s="4">
        <v>1.0</v>
      </c>
      <c r="C108" s="4">
        <v>21.5</v>
      </c>
      <c r="D108" s="4">
        <v>1.85</v>
      </c>
      <c r="E108" s="4">
        <v>1.85</v>
      </c>
      <c r="F108" s="11">
        <v>0.5</v>
      </c>
      <c r="G108" s="4">
        <v>21.5</v>
      </c>
    </row>
    <row r="109" ht="15.75" customHeight="1">
      <c r="A109" s="4" t="s">
        <v>1178</v>
      </c>
      <c r="B109" s="4">
        <v>1.0</v>
      </c>
      <c r="C109" s="4">
        <v>22.5</v>
      </c>
      <c r="D109" s="4">
        <v>2.4</v>
      </c>
      <c r="E109" s="4">
        <v>1.5</v>
      </c>
      <c r="F109" s="11">
        <v>0.3846</v>
      </c>
      <c r="G109" s="4">
        <v>21.5</v>
      </c>
    </row>
    <row r="110" ht="15.75" customHeight="1">
      <c r="A110" s="4" t="s">
        <v>1178</v>
      </c>
      <c r="B110" s="4">
        <v>2.0</v>
      </c>
      <c r="C110" s="4">
        <v>17.5</v>
      </c>
      <c r="D110" s="4">
        <v>1.1</v>
      </c>
      <c r="E110" s="4">
        <v>5.8</v>
      </c>
      <c r="F110" s="11">
        <v>0.8406</v>
      </c>
      <c r="G110" s="4">
        <v>21.5</v>
      </c>
    </row>
    <row r="111" ht="15.75" customHeight="1">
      <c r="A111" s="4" t="s">
        <v>1178</v>
      </c>
      <c r="B111" s="4">
        <v>2.0</v>
      </c>
      <c r="C111" s="4">
        <v>18.5</v>
      </c>
      <c r="D111" s="4">
        <v>1.2</v>
      </c>
      <c r="E111" s="4">
        <v>4.0</v>
      </c>
      <c r="F111" s="11">
        <v>0.7692</v>
      </c>
      <c r="G111" s="4">
        <v>21.5</v>
      </c>
    </row>
    <row r="112" ht="15.75" customHeight="1">
      <c r="A112" s="4" t="s">
        <v>1178</v>
      </c>
      <c r="B112" s="4">
        <v>2.0</v>
      </c>
      <c r="C112" s="4">
        <v>19.5</v>
      </c>
      <c r="D112" s="4">
        <v>1.35</v>
      </c>
      <c r="E112" s="4">
        <v>2.9</v>
      </c>
      <c r="F112" s="11">
        <v>0.6824</v>
      </c>
      <c r="G112" s="4">
        <v>21.5</v>
      </c>
    </row>
    <row r="113" ht="15.75" customHeight="1">
      <c r="A113" s="4" t="s">
        <v>1178</v>
      </c>
      <c r="B113" s="4">
        <v>2.0</v>
      </c>
      <c r="C113" s="4">
        <v>20.5</v>
      </c>
      <c r="D113" s="4">
        <v>1.55</v>
      </c>
      <c r="E113" s="4">
        <v>2.3</v>
      </c>
      <c r="F113" s="11">
        <v>0.5974</v>
      </c>
      <c r="G113" s="4">
        <v>21.5</v>
      </c>
    </row>
    <row r="114" ht="15.75" customHeight="1">
      <c r="A114" s="4" t="s">
        <v>1178</v>
      </c>
      <c r="B114" s="4">
        <v>2.0</v>
      </c>
      <c r="C114" s="4">
        <v>21.5</v>
      </c>
      <c r="D114" s="4">
        <v>1.85</v>
      </c>
      <c r="E114" s="4">
        <v>1.85</v>
      </c>
      <c r="F114" s="11">
        <v>0.5</v>
      </c>
      <c r="G114" s="4">
        <v>21.5</v>
      </c>
    </row>
    <row r="115" ht="15.75" customHeight="1">
      <c r="A115" s="4" t="s">
        <v>1178</v>
      </c>
      <c r="B115" s="4">
        <v>2.0</v>
      </c>
      <c r="C115" s="4">
        <v>22.5</v>
      </c>
      <c r="D115" s="4">
        <v>2.4</v>
      </c>
      <c r="E115" s="4">
        <v>1.5</v>
      </c>
      <c r="F115" s="11">
        <v>0.3846</v>
      </c>
      <c r="G115" s="4">
        <v>21.5</v>
      </c>
    </row>
    <row r="116" ht="15.75" customHeight="1">
      <c r="A116" s="4" t="s">
        <v>1178</v>
      </c>
      <c r="B116" s="4">
        <v>3.0</v>
      </c>
      <c r="C116" s="4">
        <v>17.5</v>
      </c>
      <c r="D116" s="4">
        <v>1.1</v>
      </c>
      <c r="E116" s="4">
        <v>5.8</v>
      </c>
      <c r="F116" s="11">
        <v>0.8406</v>
      </c>
      <c r="G116" s="4">
        <v>21.5</v>
      </c>
    </row>
    <row r="117" ht="15.75" customHeight="1">
      <c r="A117" s="4" t="s">
        <v>1178</v>
      </c>
      <c r="B117" s="4">
        <v>3.0</v>
      </c>
      <c r="C117" s="4">
        <v>18.5</v>
      </c>
      <c r="D117" s="4">
        <v>1.2</v>
      </c>
      <c r="E117" s="4">
        <v>4.0</v>
      </c>
      <c r="F117" s="11">
        <v>0.7692</v>
      </c>
      <c r="G117" s="4">
        <v>21.5</v>
      </c>
    </row>
    <row r="118" ht="15.75" customHeight="1">
      <c r="A118" s="4" t="s">
        <v>1178</v>
      </c>
      <c r="B118" s="4">
        <v>3.0</v>
      </c>
      <c r="C118" s="4">
        <v>19.5</v>
      </c>
      <c r="D118" s="4">
        <v>1.32</v>
      </c>
      <c r="E118" s="4">
        <v>3.1</v>
      </c>
      <c r="F118" s="11">
        <v>0.7014</v>
      </c>
      <c r="G118" s="4">
        <v>21.5</v>
      </c>
    </row>
    <row r="119" ht="15.75" customHeight="1">
      <c r="A119" s="4" t="s">
        <v>1178</v>
      </c>
      <c r="B119" s="4">
        <v>3.0</v>
      </c>
      <c r="C119" s="4">
        <v>20.5</v>
      </c>
      <c r="D119" s="4">
        <v>1.52</v>
      </c>
      <c r="E119" s="4">
        <v>2.35</v>
      </c>
      <c r="F119" s="11">
        <v>0.6072</v>
      </c>
      <c r="G119" s="4">
        <v>21.5</v>
      </c>
    </row>
    <row r="120" ht="15.75" customHeight="1">
      <c r="A120" s="4" t="s">
        <v>1178</v>
      </c>
      <c r="B120" s="4">
        <v>3.0</v>
      </c>
      <c r="C120" s="4">
        <v>21.5</v>
      </c>
      <c r="D120" s="4">
        <v>1.85</v>
      </c>
      <c r="E120" s="4">
        <v>1.85</v>
      </c>
      <c r="F120" s="11">
        <v>0.5</v>
      </c>
      <c r="G120" s="4">
        <v>21.5</v>
      </c>
    </row>
    <row r="121" ht="15.75" customHeight="1">
      <c r="A121" s="4" t="s">
        <v>1178</v>
      </c>
      <c r="B121" s="4">
        <v>3.0</v>
      </c>
      <c r="C121" s="4">
        <v>22.5</v>
      </c>
      <c r="D121" s="4">
        <v>2.4</v>
      </c>
      <c r="E121" s="4">
        <v>1.5</v>
      </c>
      <c r="F121" s="11">
        <v>0.3846</v>
      </c>
      <c r="G121" s="4">
        <v>21.5</v>
      </c>
    </row>
    <row r="122" ht="15.75" customHeight="1">
      <c r="A122" s="4" t="s">
        <v>1234</v>
      </c>
      <c r="B122" s="4">
        <v>1.0</v>
      </c>
      <c r="C122" s="4">
        <v>17.5</v>
      </c>
      <c r="D122" s="4">
        <v>1.1</v>
      </c>
      <c r="E122" s="4">
        <v>5.8</v>
      </c>
      <c r="F122" s="11">
        <v>0.8406</v>
      </c>
      <c r="G122" s="4">
        <v>21.5</v>
      </c>
    </row>
    <row r="123" ht="15.75" customHeight="1">
      <c r="A123" s="4" t="s">
        <v>1234</v>
      </c>
      <c r="B123" s="4">
        <v>1.0</v>
      </c>
      <c r="C123" s="4">
        <v>18.5</v>
      </c>
      <c r="D123" s="4">
        <v>1.2</v>
      </c>
      <c r="E123" s="4">
        <v>4.0</v>
      </c>
      <c r="F123" s="11">
        <v>0.7692</v>
      </c>
      <c r="G123" s="4">
        <v>21.5</v>
      </c>
    </row>
    <row r="124" ht="15.75" customHeight="1">
      <c r="A124" s="4" t="s">
        <v>1234</v>
      </c>
      <c r="B124" s="4">
        <v>1.0</v>
      </c>
      <c r="C124" s="4">
        <v>19.5</v>
      </c>
      <c r="D124" s="4">
        <v>1.32</v>
      </c>
      <c r="E124" s="4">
        <v>3.1</v>
      </c>
      <c r="F124" s="11">
        <v>0.7014</v>
      </c>
      <c r="G124" s="4">
        <v>21.5</v>
      </c>
    </row>
    <row r="125" ht="15.75" customHeight="1">
      <c r="A125" s="4" t="s">
        <v>1234</v>
      </c>
      <c r="B125" s="4">
        <v>1.0</v>
      </c>
      <c r="C125" s="4">
        <v>20.5</v>
      </c>
      <c r="D125" s="4">
        <v>1.52</v>
      </c>
      <c r="E125" s="4">
        <v>2.35</v>
      </c>
      <c r="F125" s="11">
        <v>0.6072</v>
      </c>
      <c r="G125" s="4">
        <v>21.5</v>
      </c>
    </row>
    <row r="126" ht="15.75" customHeight="1">
      <c r="A126" s="4" t="s">
        <v>1234</v>
      </c>
      <c r="B126" s="4">
        <v>1.0</v>
      </c>
      <c r="C126" s="4">
        <v>21.5</v>
      </c>
      <c r="D126" s="4">
        <v>1.85</v>
      </c>
      <c r="E126" s="4">
        <v>1.85</v>
      </c>
      <c r="F126" s="11">
        <v>0.5</v>
      </c>
      <c r="G126" s="4">
        <v>21.5</v>
      </c>
    </row>
    <row r="127" ht="15.75" customHeight="1">
      <c r="A127" s="4" t="s">
        <v>1234</v>
      </c>
      <c r="B127" s="4">
        <v>1.0</v>
      </c>
      <c r="C127" s="4">
        <v>22.5</v>
      </c>
      <c r="D127" s="4">
        <v>2.4</v>
      </c>
      <c r="E127" s="4">
        <v>1.5</v>
      </c>
      <c r="F127" s="11">
        <v>0.3846</v>
      </c>
      <c r="G127" s="4">
        <v>21.5</v>
      </c>
    </row>
    <row r="128" ht="15.75" customHeight="1">
      <c r="A128" s="4" t="s">
        <v>1234</v>
      </c>
      <c r="B128" s="4">
        <v>2.0</v>
      </c>
      <c r="C128" s="4">
        <v>17.5</v>
      </c>
      <c r="D128" s="4">
        <v>1.1</v>
      </c>
      <c r="E128" s="4">
        <v>5.8</v>
      </c>
      <c r="F128" s="11">
        <v>0.8406</v>
      </c>
      <c r="G128" s="4">
        <v>21.5</v>
      </c>
    </row>
    <row r="129" ht="15.75" customHeight="1">
      <c r="A129" s="4" t="s">
        <v>1234</v>
      </c>
      <c r="B129" s="4">
        <v>2.0</v>
      </c>
      <c r="C129" s="4">
        <v>18.5</v>
      </c>
      <c r="D129" s="4">
        <v>1.2</v>
      </c>
      <c r="E129" s="4">
        <v>4.0</v>
      </c>
      <c r="F129" s="11">
        <v>0.7692</v>
      </c>
      <c r="G129" s="4">
        <v>21.5</v>
      </c>
    </row>
    <row r="130" ht="15.75" customHeight="1">
      <c r="A130" s="4" t="s">
        <v>1234</v>
      </c>
      <c r="B130" s="4">
        <v>2.0</v>
      </c>
      <c r="C130" s="4">
        <v>19.5</v>
      </c>
      <c r="D130" s="4">
        <v>1.35</v>
      </c>
      <c r="E130" s="4">
        <v>2.9</v>
      </c>
      <c r="F130" s="11">
        <v>0.6824</v>
      </c>
      <c r="G130" s="4">
        <v>21.5</v>
      </c>
    </row>
    <row r="131" ht="15.75" customHeight="1">
      <c r="A131" s="4" t="s">
        <v>1234</v>
      </c>
      <c r="B131" s="4">
        <v>2.0</v>
      </c>
      <c r="C131" s="4">
        <v>20.5</v>
      </c>
      <c r="D131" s="4">
        <v>1.55</v>
      </c>
      <c r="E131" s="4">
        <v>2.3</v>
      </c>
      <c r="F131" s="11">
        <v>0.5974</v>
      </c>
      <c r="G131" s="4">
        <v>21.5</v>
      </c>
    </row>
    <row r="132" ht="15.75" customHeight="1">
      <c r="A132" s="4" t="s">
        <v>1234</v>
      </c>
      <c r="B132" s="4">
        <v>2.0</v>
      </c>
      <c r="C132" s="4">
        <v>21.5</v>
      </c>
      <c r="D132" s="4">
        <v>1.85</v>
      </c>
      <c r="E132" s="4">
        <v>1.85</v>
      </c>
      <c r="F132" s="11">
        <v>0.5</v>
      </c>
      <c r="G132" s="4">
        <v>21.5</v>
      </c>
    </row>
    <row r="133" ht="15.75" customHeight="1">
      <c r="A133" s="4" t="s">
        <v>1234</v>
      </c>
      <c r="B133" s="4">
        <v>2.0</v>
      </c>
      <c r="C133" s="4">
        <v>22.5</v>
      </c>
      <c r="D133" s="4">
        <v>2.4</v>
      </c>
      <c r="E133" s="4">
        <v>1.5</v>
      </c>
      <c r="F133" s="11">
        <v>0.3846</v>
      </c>
      <c r="G133" s="4">
        <v>21.5</v>
      </c>
    </row>
    <row r="134" ht="15.75" customHeight="1">
      <c r="A134" s="4" t="s">
        <v>1234</v>
      </c>
      <c r="B134" s="4">
        <v>3.0</v>
      </c>
      <c r="C134" s="4">
        <v>17.5</v>
      </c>
      <c r="D134" s="4">
        <v>1.1</v>
      </c>
      <c r="E134" s="4">
        <v>5.8</v>
      </c>
      <c r="F134" s="11">
        <v>0.8406</v>
      </c>
      <c r="G134" s="4">
        <v>21.5</v>
      </c>
    </row>
    <row r="135" ht="15.75" customHeight="1">
      <c r="A135" s="4" t="s">
        <v>1234</v>
      </c>
      <c r="B135" s="4">
        <v>3.0</v>
      </c>
      <c r="C135" s="4">
        <v>18.5</v>
      </c>
      <c r="D135" s="4">
        <v>1.2</v>
      </c>
      <c r="E135" s="4">
        <v>4.0</v>
      </c>
      <c r="F135" s="11">
        <v>0.7692</v>
      </c>
      <c r="G135" s="4">
        <v>21.5</v>
      </c>
    </row>
    <row r="136" ht="15.75" customHeight="1">
      <c r="A136" s="4" t="s">
        <v>1234</v>
      </c>
      <c r="B136" s="4">
        <v>3.0</v>
      </c>
      <c r="C136" s="4">
        <v>19.5</v>
      </c>
      <c r="D136" s="4">
        <v>1.32</v>
      </c>
      <c r="E136" s="4">
        <v>3.1</v>
      </c>
      <c r="F136" s="11">
        <v>0.7014</v>
      </c>
      <c r="G136" s="4">
        <v>21.5</v>
      </c>
    </row>
    <row r="137" ht="15.75" customHeight="1">
      <c r="A137" s="4" t="s">
        <v>1234</v>
      </c>
      <c r="B137" s="4">
        <v>3.0</v>
      </c>
      <c r="C137" s="4">
        <v>20.5</v>
      </c>
      <c r="D137" s="4">
        <v>1.52</v>
      </c>
      <c r="E137" s="4">
        <v>2.35</v>
      </c>
      <c r="F137" s="11">
        <v>0.6072</v>
      </c>
      <c r="G137" s="4">
        <v>21.5</v>
      </c>
    </row>
    <row r="138" ht="15.75" customHeight="1">
      <c r="A138" s="4" t="s">
        <v>1234</v>
      </c>
      <c r="B138" s="4">
        <v>3.0</v>
      </c>
      <c r="C138" s="4">
        <v>21.5</v>
      </c>
      <c r="D138" s="4">
        <v>1.85</v>
      </c>
      <c r="E138" s="4">
        <v>1.85</v>
      </c>
      <c r="F138" s="11">
        <v>0.5</v>
      </c>
      <c r="G138" s="4">
        <v>21.5</v>
      </c>
    </row>
    <row r="139" ht="15.75" customHeight="1">
      <c r="A139" s="4" t="s">
        <v>1234</v>
      </c>
      <c r="B139" s="4">
        <v>3.0</v>
      </c>
      <c r="C139" s="4">
        <v>22.5</v>
      </c>
      <c r="D139" s="4">
        <v>2.4</v>
      </c>
      <c r="E139" s="4">
        <v>1.5</v>
      </c>
      <c r="F139" s="11">
        <v>0.3846</v>
      </c>
      <c r="G139" s="4">
        <v>21.5</v>
      </c>
    </row>
    <row r="140" ht="15.75" customHeight="1">
      <c r="A140" s="4" t="s">
        <v>364</v>
      </c>
      <c r="B140" s="4">
        <v>1.0</v>
      </c>
      <c r="C140" s="4">
        <v>17.5</v>
      </c>
      <c r="D140" s="4">
        <v>1.1</v>
      </c>
      <c r="E140" s="4">
        <v>5.8</v>
      </c>
      <c r="F140" s="11">
        <v>0.8406</v>
      </c>
      <c r="G140" s="4">
        <v>21.42</v>
      </c>
    </row>
    <row r="141" ht="15.75" customHeight="1">
      <c r="A141" s="4" t="s">
        <v>364</v>
      </c>
      <c r="B141" s="4">
        <v>1.0</v>
      </c>
      <c r="C141" s="4">
        <v>18.5</v>
      </c>
      <c r="D141" s="4">
        <v>1.22</v>
      </c>
      <c r="E141" s="4">
        <v>3.8</v>
      </c>
      <c r="F141" s="11">
        <v>0.757</v>
      </c>
      <c r="G141" s="4">
        <v>21.42</v>
      </c>
    </row>
    <row r="142" ht="15.75" customHeight="1">
      <c r="A142" s="4" t="s">
        <v>364</v>
      </c>
      <c r="B142" s="4">
        <v>1.0</v>
      </c>
      <c r="C142" s="4">
        <v>19.5</v>
      </c>
      <c r="D142" s="4">
        <v>1.35</v>
      </c>
      <c r="E142" s="4">
        <v>2.9</v>
      </c>
      <c r="F142" s="11">
        <v>0.6824</v>
      </c>
      <c r="G142" s="4">
        <v>21.42</v>
      </c>
    </row>
    <row r="143" ht="15.75" customHeight="1">
      <c r="A143" s="4" t="s">
        <v>364</v>
      </c>
      <c r="B143" s="4">
        <v>1.0</v>
      </c>
      <c r="C143" s="4">
        <v>20.5</v>
      </c>
      <c r="D143" s="4">
        <v>1.55</v>
      </c>
      <c r="E143" s="4">
        <v>2.3</v>
      </c>
      <c r="F143" s="11">
        <v>0.5974</v>
      </c>
      <c r="G143" s="4">
        <v>21.42</v>
      </c>
    </row>
    <row r="144" ht="15.75" customHeight="1">
      <c r="A144" s="4" t="s">
        <v>364</v>
      </c>
      <c r="B144" s="4">
        <v>1.0</v>
      </c>
      <c r="C144" s="4">
        <v>21.5</v>
      </c>
      <c r="D144" s="4">
        <v>1.88</v>
      </c>
      <c r="E144" s="4">
        <v>1.82</v>
      </c>
      <c r="F144" s="11">
        <v>0.4919</v>
      </c>
      <c r="G144" s="4">
        <v>21.42</v>
      </c>
    </row>
    <row r="145" ht="15.75" customHeight="1">
      <c r="A145" s="4" t="s">
        <v>364</v>
      </c>
      <c r="B145" s="4">
        <v>1.0</v>
      </c>
      <c r="C145" s="4">
        <v>22.5</v>
      </c>
      <c r="D145" s="4">
        <v>2.4</v>
      </c>
      <c r="E145" s="4">
        <v>1.5</v>
      </c>
      <c r="F145" s="11">
        <v>0.3846</v>
      </c>
      <c r="G145" s="4">
        <v>21.42</v>
      </c>
    </row>
    <row r="146" ht="15.75" customHeight="1">
      <c r="A146" s="4" t="s">
        <v>364</v>
      </c>
      <c r="B146" s="4">
        <v>2.0</v>
      </c>
      <c r="C146" s="4">
        <v>17.5</v>
      </c>
      <c r="D146" s="4">
        <v>1.12</v>
      </c>
      <c r="E146" s="4">
        <v>5.3</v>
      </c>
      <c r="F146" s="11">
        <v>0.8255</v>
      </c>
      <c r="G146" s="4">
        <v>21.22</v>
      </c>
    </row>
    <row r="147" ht="15.75" customHeight="1">
      <c r="A147" s="4" t="s">
        <v>364</v>
      </c>
      <c r="B147" s="4">
        <v>2.0</v>
      </c>
      <c r="C147" s="4">
        <v>18.5</v>
      </c>
      <c r="D147" s="4">
        <v>1.22</v>
      </c>
      <c r="E147" s="4">
        <v>3.8</v>
      </c>
      <c r="F147" s="11">
        <v>0.757</v>
      </c>
      <c r="G147" s="4">
        <v>21.22</v>
      </c>
    </row>
    <row r="148" ht="15.75" customHeight="1">
      <c r="A148" s="4" t="s">
        <v>364</v>
      </c>
      <c r="B148" s="4">
        <v>2.0</v>
      </c>
      <c r="C148" s="4">
        <v>19.5</v>
      </c>
      <c r="D148" s="4">
        <v>1.38</v>
      </c>
      <c r="E148" s="4">
        <v>2.8</v>
      </c>
      <c r="F148" s="11">
        <v>0.6699</v>
      </c>
      <c r="G148" s="4">
        <v>21.22</v>
      </c>
    </row>
    <row r="149" ht="15.75" customHeight="1">
      <c r="A149" s="4" t="s">
        <v>364</v>
      </c>
      <c r="B149" s="4">
        <v>2.0</v>
      </c>
      <c r="C149" s="4">
        <v>20.5</v>
      </c>
      <c r="D149" s="4">
        <v>1.62</v>
      </c>
      <c r="E149" s="4">
        <v>2.15</v>
      </c>
      <c r="F149" s="11">
        <v>0.5703</v>
      </c>
      <c r="G149" s="4">
        <v>21.22</v>
      </c>
    </row>
    <row r="150" ht="15.75" customHeight="1">
      <c r="A150" s="4" t="s">
        <v>364</v>
      </c>
      <c r="B150" s="4">
        <v>2.0</v>
      </c>
      <c r="C150" s="4">
        <v>21.5</v>
      </c>
      <c r="D150" s="4">
        <v>1.95</v>
      </c>
      <c r="E150" s="4">
        <v>1.75</v>
      </c>
      <c r="F150" s="11">
        <v>0.473</v>
      </c>
      <c r="G150" s="4">
        <v>21.22</v>
      </c>
    </row>
    <row r="151" ht="15.75" customHeight="1">
      <c r="A151" s="4" t="s">
        <v>364</v>
      </c>
      <c r="B151" s="4">
        <v>2.0</v>
      </c>
      <c r="C151" s="4">
        <v>22.5</v>
      </c>
      <c r="D151" s="4">
        <v>2.5</v>
      </c>
      <c r="E151" s="4">
        <v>1.48</v>
      </c>
      <c r="F151" s="11">
        <v>0.3719</v>
      </c>
      <c r="G151" s="4">
        <v>21.22</v>
      </c>
    </row>
    <row r="152" ht="15.75" customHeight="1">
      <c r="A152" s="4" t="s">
        <v>364</v>
      </c>
      <c r="B152" s="4">
        <v>3.0</v>
      </c>
      <c r="C152" s="4">
        <v>17.5</v>
      </c>
      <c r="D152" s="4">
        <v>1.12</v>
      </c>
      <c r="E152" s="4">
        <v>5.3</v>
      </c>
      <c r="F152" s="11">
        <v>0.8255</v>
      </c>
      <c r="G152" s="4">
        <v>21.38</v>
      </c>
    </row>
    <row r="153" ht="15.75" customHeight="1">
      <c r="A153" s="4" t="s">
        <v>364</v>
      </c>
      <c r="B153" s="4">
        <v>3.0</v>
      </c>
      <c r="C153" s="4">
        <v>18.5</v>
      </c>
      <c r="D153" s="4">
        <v>1.22</v>
      </c>
      <c r="E153" s="4">
        <v>3.8</v>
      </c>
      <c r="F153" s="11">
        <v>0.757</v>
      </c>
      <c r="G153" s="4">
        <v>21.38</v>
      </c>
    </row>
    <row r="154" ht="15.75" customHeight="1">
      <c r="A154" s="4" t="s">
        <v>364</v>
      </c>
      <c r="B154" s="4">
        <v>3.0</v>
      </c>
      <c r="C154" s="4">
        <v>19.5</v>
      </c>
      <c r="D154" s="4">
        <v>1.35</v>
      </c>
      <c r="E154" s="4">
        <v>2.9</v>
      </c>
      <c r="F154" s="11">
        <v>0.6824</v>
      </c>
      <c r="G154" s="4">
        <v>21.38</v>
      </c>
    </row>
    <row r="155" ht="15.75" customHeight="1">
      <c r="A155" s="4" t="s">
        <v>364</v>
      </c>
      <c r="B155" s="4">
        <v>3.0</v>
      </c>
      <c r="C155" s="4">
        <v>20.5</v>
      </c>
      <c r="D155" s="4">
        <v>1.55</v>
      </c>
      <c r="E155" s="4">
        <v>2.3</v>
      </c>
      <c r="F155" s="11">
        <v>0.5974</v>
      </c>
      <c r="G155" s="4">
        <v>21.38</v>
      </c>
    </row>
    <row r="156" ht="15.75" customHeight="1">
      <c r="A156" s="4" t="s">
        <v>364</v>
      </c>
      <c r="B156" s="4">
        <v>3.0</v>
      </c>
      <c r="C156" s="4">
        <v>21.5</v>
      </c>
      <c r="D156" s="4">
        <v>1.9</v>
      </c>
      <c r="E156" s="4">
        <v>1.8</v>
      </c>
      <c r="F156" s="11">
        <v>0.4865</v>
      </c>
      <c r="G156" s="4">
        <v>21.38</v>
      </c>
    </row>
    <row r="157" ht="15.75" customHeight="1">
      <c r="A157" s="4" t="s">
        <v>364</v>
      </c>
      <c r="B157" s="4">
        <v>3.0</v>
      </c>
      <c r="C157" s="4">
        <v>22.5</v>
      </c>
      <c r="D157" s="4">
        <v>2.4</v>
      </c>
      <c r="E157" s="4">
        <v>1.5</v>
      </c>
      <c r="F157" s="11">
        <v>0.3846</v>
      </c>
      <c r="G157" s="4">
        <v>21.38</v>
      </c>
    </row>
    <row r="158" ht="15.75" customHeight="1">
      <c r="A158" s="4" t="s">
        <v>1709</v>
      </c>
      <c r="B158" s="4">
        <v>1.0</v>
      </c>
      <c r="C158" s="4">
        <v>17.5</v>
      </c>
      <c r="D158" s="4">
        <v>1.1</v>
      </c>
      <c r="E158" s="4">
        <v>5.8</v>
      </c>
      <c r="F158" s="11">
        <v>0.8406</v>
      </c>
      <c r="G158" s="4">
        <v>21.42</v>
      </c>
    </row>
    <row r="159" ht="15.75" customHeight="1">
      <c r="A159" s="4" t="s">
        <v>1709</v>
      </c>
      <c r="B159" s="4">
        <v>1.0</v>
      </c>
      <c r="C159" s="4">
        <v>18.5</v>
      </c>
      <c r="D159" s="4">
        <v>1.22</v>
      </c>
      <c r="E159" s="4">
        <v>3.8</v>
      </c>
      <c r="F159" s="11">
        <v>0.757</v>
      </c>
      <c r="G159" s="4">
        <v>21.42</v>
      </c>
    </row>
    <row r="160" ht="15.75" customHeight="1">
      <c r="A160" s="4" t="s">
        <v>1709</v>
      </c>
      <c r="B160" s="4">
        <v>1.0</v>
      </c>
      <c r="C160" s="4">
        <v>19.5</v>
      </c>
      <c r="D160" s="4">
        <v>1.35</v>
      </c>
      <c r="E160" s="4">
        <v>2.9</v>
      </c>
      <c r="F160" s="11">
        <v>0.6824</v>
      </c>
      <c r="G160" s="4">
        <v>21.42</v>
      </c>
    </row>
    <row r="161" ht="15.75" customHeight="1">
      <c r="A161" s="4" t="s">
        <v>1709</v>
      </c>
      <c r="B161" s="4">
        <v>1.0</v>
      </c>
      <c r="C161" s="4">
        <v>20.5</v>
      </c>
      <c r="D161" s="4">
        <v>1.55</v>
      </c>
      <c r="E161" s="4">
        <v>2.3</v>
      </c>
      <c r="F161" s="11">
        <v>0.5974</v>
      </c>
      <c r="G161" s="4">
        <v>21.42</v>
      </c>
    </row>
    <row r="162" ht="15.75" customHeight="1">
      <c r="A162" s="4" t="s">
        <v>1709</v>
      </c>
      <c r="B162" s="4">
        <v>1.0</v>
      </c>
      <c r="C162" s="4">
        <v>21.5</v>
      </c>
      <c r="D162" s="4">
        <v>1.88</v>
      </c>
      <c r="E162" s="4">
        <v>1.82</v>
      </c>
      <c r="F162" s="11">
        <v>0.4919</v>
      </c>
      <c r="G162" s="4">
        <v>21.42</v>
      </c>
    </row>
    <row r="163" ht="15.75" customHeight="1">
      <c r="A163" s="4" t="s">
        <v>1709</v>
      </c>
      <c r="B163" s="4">
        <v>1.0</v>
      </c>
      <c r="C163" s="4">
        <v>22.5</v>
      </c>
      <c r="D163" s="4">
        <v>2.4</v>
      </c>
      <c r="E163" s="4">
        <v>1.5</v>
      </c>
      <c r="F163" s="11">
        <v>0.3846</v>
      </c>
      <c r="G163" s="4">
        <v>21.42</v>
      </c>
    </row>
    <row r="164" ht="15.75" customHeight="1">
      <c r="A164" s="4" t="s">
        <v>1709</v>
      </c>
      <c r="B164" s="4">
        <v>2.0</v>
      </c>
      <c r="C164" s="4">
        <v>17.5</v>
      </c>
      <c r="D164" s="4">
        <v>1.12</v>
      </c>
      <c r="E164" s="4">
        <v>5.3</v>
      </c>
      <c r="F164" s="11">
        <v>0.8255</v>
      </c>
      <c r="G164" s="4">
        <v>21.31</v>
      </c>
    </row>
    <row r="165" ht="15.75" customHeight="1">
      <c r="A165" s="4" t="s">
        <v>1709</v>
      </c>
      <c r="B165" s="4">
        <v>2.0</v>
      </c>
      <c r="C165" s="4">
        <v>18.5</v>
      </c>
      <c r="D165" s="4">
        <v>1.22</v>
      </c>
      <c r="E165" s="4">
        <v>3.8</v>
      </c>
      <c r="F165" s="11">
        <v>0.757</v>
      </c>
      <c r="G165" s="4">
        <v>21.31</v>
      </c>
    </row>
    <row r="166" ht="15.75" customHeight="1">
      <c r="A166" s="4" t="s">
        <v>1709</v>
      </c>
      <c r="B166" s="4">
        <v>2.0</v>
      </c>
      <c r="C166" s="4">
        <v>19.5</v>
      </c>
      <c r="D166" s="4">
        <v>1.38</v>
      </c>
      <c r="E166" s="4">
        <v>2.8</v>
      </c>
      <c r="F166" s="11">
        <v>0.6699</v>
      </c>
      <c r="G166" s="4">
        <v>21.31</v>
      </c>
    </row>
    <row r="167" ht="15.75" customHeight="1">
      <c r="A167" s="4" t="s">
        <v>1709</v>
      </c>
      <c r="B167" s="4">
        <v>2.0</v>
      </c>
      <c r="C167" s="4">
        <v>20.5</v>
      </c>
      <c r="D167" s="4">
        <v>1.58</v>
      </c>
      <c r="E167" s="4">
        <v>2.2</v>
      </c>
      <c r="F167" s="11">
        <v>0.582</v>
      </c>
      <c r="G167" s="4">
        <v>21.31</v>
      </c>
    </row>
    <row r="168" ht="15.75" customHeight="1">
      <c r="A168" s="4" t="s">
        <v>1709</v>
      </c>
      <c r="B168" s="4">
        <v>2.0</v>
      </c>
      <c r="C168" s="4">
        <v>21.5</v>
      </c>
      <c r="D168" s="4">
        <v>1.92</v>
      </c>
      <c r="E168" s="4">
        <v>1.78</v>
      </c>
      <c r="F168" s="11">
        <v>0.4811</v>
      </c>
      <c r="G168" s="4">
        <v>21.31</v>
      </c>
    </row>
    <row r="169" ht="15.75" customHeight="1">
      <c r="A169" s="4" t="s">
        <v>1709</v>
      </c>
      <c r="B169" s="4">
        <v>2.0</v>
      </c>
      <c r="C169" s="4">
        <v>22.5</v>
      </c>
      <c r="D169" s="4">
        <v>2.5</v>
      </c>
      <c r="E169" s="4">
        <v>1.48</v>
      </c>
      <c r="F169" s="11">
        <v>0.3719</v>
      </c>
      <c r="G169" s="4">
        <v>21.31</v>
      </c>
    </row>
    <row r="170" ht="15.75" customHeight="1">
      <c r="A170" s="4" t="s">
        <v>1709</v>
      </c>
      <c r="B170" s="4">
        <v>3.0</v>
      </c>
      <c r="C170" s="4">
        <v>17.5</v>
      </c>
      <c r="D170" s="4">
        <v>1.1</v>
      </c>
      <c r="E170" s="4">
        <v>5.8</v>
      </c>
      <c r="F170" s="11">
        <v>0.8406</v>
      </c>
      <c r="G170" s="4">
        <v>21.42</v>
      </c>
    </row>
    <row r="171" ht="15.75" customHeight="1">
      <c r="A171" s="4" t="s">
        <v>1709</v>
      </c>
      <c r="B171" s="4">
        <v>3.0</v>
      </c>
      <c r="C171" s="4">
        <v>18.5</v>
      </c>
      <c r="D171" s="4">
        <v>1.22</v>
      </c>
      <c r="E171" s="4">
        <v>3.8</v>
      </c>
      <c r="F171" s="11">
        <v>0.757</v>
      </c>
      <c r="G171" s="4">
        <v>21.42</v>
      </c>
    </row>
    <row r="172" ht="15.75" customHeight="1">
      <c r="A172" s="4" t="s">
        <v>1709</v>
      </c>
      <c r="B172" s="4">
        <v>3.0</v>
      </c>
      <c r="C172" s="4">
        <v>19.5</v>
      </c>
      <c r="D172" s="4">
        <v>1.35</v>
      </c>
      <c r="E172" s="4">
        <v>2.9</v>
      </c>
      <c r="F172" s="11">
        <v>0.6824</v>
      </c>
      <c r="G172" s="4">
        <v>21.42</v>
      </c>
    </row>
    <row r="173" ht="15.75" customHeight="1">
      <c r="A173" s="4" t="s">
        <v>1709</v>
      </c>
      <c r="B173" s="4">
        <v>3.0</v>
      </c>
      <c r="C173" s="4">
        <v>20.5</v>
      </c>
      <c r="D173" s="4">
        <v>1.55</v>
      </c>
      <c r="E173" s="4">
        <v>2.3</v>
      </c>
      <c r="F173" s="11">
        <v>0.5974</v>
      </c>
      <c r="G173" s="4">
        <v>21.42</v>
      </c>
    </row>
    <row r="174" ht="15.75" customHeight="1">
      <c r="A174" s="4" t="s">
        <v>1709</v>
      </c>
      <c r="B174" s="4">
        <v>3.0</v>
      </c>
      <c r="C174" s="4">
        <v>21.5</v>
      </c>
      <c r="D174" s="4">
        <v>1.88</v>
      </c>
      <c r="E174" s="4">
        <v>1.82</v>
      </c>
      <c r="F174" s="11">
        <v>0.4919</v>
      </c>
      <c r="G174" s="4">
        <v>21.42</v>
      </c>
    </row>
    <row r="175" ht="15.75" customHeight="1">
      <c r="A175" s="4" t="s">
        <v>1709</v>
      </c>
      <c r="B175" s="4">
        <v>3.0</v>
      </c>
      <c r="C175" s="4">
        <v>22.5</v>
      </c>
      <c r="D175" s="4">
        <v>2.4</v>
      </c>
      <c r="E175" s="4">
        <v>1.5</v>
      </c>
      <c r="F175" s="11">
        <v>0.3846</v>
      </c>
      <c r="G175" s="4">
        <v>21.42</v>
      </c>
    </row>
    <row r="176" ht="15.75" customHeight="1">
      <c r="A176" s="4" t="s">
        <v>1794</v>
      </c>
      <c r="B176" s="4">
        <v>1.0</v>
      </c>
      <c r="C176" s="4">
        <v>17.5</v>
      </c>
      <c r="D176" s="4">
        <v>1.15</v>
      </c>
      <c r="E176" s="4">
        <v>4.8</v>
      </c>
      <c r="F176" s="11">
        <v>0.8067</v>
      </c>
      <c r="G176" s="4">
        <v>21.05</v>
      </c>
    </row>
    <row r="177" ht="15.75" customHeight="1">
      <c r="A177" s="4" t="s">
        <v>1794</v>
      </c>
      <c r="B177" s="4">
        <v>1.0</v>
      </c>
      <c r="C177" s="4">
        <v>18.5</v>
      </c>
      <c r="D177" s="4">
        <v>1.26</v>
      </c>
      <c r="E177" s="4">
        <v>3.4</v>
      </c>
      <c r="F177" s="11">
        <v>0.7296</v>
      </c>
      <c r="G177" s="4">
        <v>21.05</v>
      </c>
    </row>
    <row r="178" ht="15.75" customHeight="1">
      <c r="A178" s="4" t="s">
        <v>1794</v>
      </c>
      <c r="B178" s="4">
        <v>1.0</v>
      </c>
      <c r="C178" s="4">
        <v>19.5</v>
      </c>
      <c r="D178" s="4">
        <v>1.42</v>
      </c>
      <c r="E178" s="4">
        <v>2.7</v>
      </c>
      <c r="F178" s="11">
        <v>0.6553</v>
      </c>
      <c r="G178" s="4">
        <v>21.05</v>
      </c>
    </row>
    <row r="179" ht="15.75" customHeight="1">
      <c r="A179" s="4" t="s">
        <v>1794</v>
      </c>
      <c r="B179" s="4">
        <v>1.0</v>
      </c>
      <c r="C179" s="4">
        <v>20.5</v>
      </c>
      <c r="D179" s="4">
        <v>1.65</v>
      </c>
      <c r="E179" s="4">
        <v>2.1</v>
      </c>
      <c r="F179" s="11">
        <v>0.56</v>
      </c>
      <c r="G179" s="4">
        <v>21.05</v>
      </c>
    </row>
    <row r="180" ht="15.75" customHeight="1">
      <c r="A180" s="4" t="s">
        <v>1794</v>
      </c>
      <c r="B180" s="4">
        <v>1.0</v>
      </c>
      <c r="C180" s="4">
        <v>21.5</v>
      </c>
      <c r="D180" s="4">
        <v>2.05</v>
      </c>
      <c r="E180" s="4">
        <v>1.68</v>
      </c>
      <c r="F180" s="11">
        <v>0.4504</v>
      </c>
      <c r="G180" s="4">
        <v>21.05</v>
      </c>
    </row>
    <row r="181" ht="15.75" customHeight="1">
      <c r="A181" s="4" t="s">
        <v>1794</v>
      </c>
      <c r="B181" s="4">
        <v>1.0</v>
      </c>
      <c r="C181" s="4">
        <v>22.5</v>
      </c>
      <c r="D181" s="4">
        <v>2.7</v>
      </c>
      <c r="E181" s="4">
        <v>1.4</v>
      </c>
      <c r="F181" s="11">
        <v>0.3415</v>
      </c>
      <c r="G181" s="4">
        <v>21.05</v>
      </c>
    </row>
    <row r="182" ht="15.75" customHeight="1">
      <c r="A182" s="4" t="s">
        <v>1825</v>
      </c>
      <c r="B182" s="4">
        <v>1.0</v>
      </c>
      <c r="C182" s="4">
        <v>17.5</v>
      </c>
      <c r="D182" s="4">
        <v>1.08</v>
      </c>
      <c r="E182" s="4">
        <v>6.0</v>
      </c>
      <c r="F182" s="11">
        <v>0.8475</v>
      </c>
      <c r="G182" s="4">
        <v>21.62</v>
      </c>
    </row>
    <row r="183" ht="15.75" customHeight="1">
      <c r="A183" s="4" t="s">
        <v>1825</v>
      </c>
      <c r="B183" s="4">
        <v>1.0</v>
      </c>
      <c r="C183" s="4">
        <v>18.5</v>
      </c>
      <c r="D183" s="4">
        <v>1.16</v>
      </c>
      <c r="E183" s="4">
        <v>4.33</v>
      </c>
      <c r="F183" s="11">
        <v>0.7887</v>
      </c>
      <c r="G183" s="4">
        <v>21.62</v>
      </c>
    </row>
    <row r="184" ht="15.75" customHeight="1">
      <c r="A184" s="4" t="s">
        <v>1825</v>
      </c>
      <c r="B184" s="4">
        <v>1.0</v>
      </c>
      <c r="C184" s="4">
        <v>19.5</v>
      </c>
      <c r="D184" s="4">
        <v>1.29</v>
      </c>
      <c r="E184" s="4">
        <v>3.17</v>
      </c>
      <c r="F184" s="11">
        <v>0.7108</v>
      </c>
      <c r="G184" s="4">
        <v>21.62</v>
      </c>
    </row>
    <row r="185" ht="15.75" customHeight="1">
      <c r="A185" s="4" t="s">
        <v>1825</v>
      </c>
      <c r="B185" s="4">
        <v>1.0</v>
      </c>
      <c r="C185" s="4">
        <v>20.5</v>
      </c>
      <c r="D185" s="4">
        <v>1.49</v>
      </c>
      <c r="E185" s="4">
        <v>2.42</v>
      </c>
      <c r="F185" s="11">
        <v>0.6189</v>
      </c>
      <c r="G185" s="4">
        <v>21.62</v>
      </c>
    </row>
    <row r="186" ht="15.75" customHeight="1">
      <c r="A186" s="4" t="s">
        <v>1825</v>
      </c>
      <c r="B186" s="4">
        <v>1.0</v>
      </c>
      <c r="C186" s="4">
        <v>21.5</v>
      </c>
      <c r="D186" s="4">
        <v>1.81</v>
      </c>
      <c r="E186" s="4">
        <v>1.91</v>
      </c>
      <c r="F186" s="11">
        <v>0.5134</v>
      </c>
      <c r="G186" s="4">
        <v>21.62</v>
      </c>
    </row>
    <row r="187" ht="15.75" customHeight="1">
      <c r="A187" s="4" t="s">
        <v>1825</v>
      </c>
      <c r="B187" s="4">
        <v>1.0</v>
      </c>
      <c r="C187" s="4">
        <v>22.5</v>
      </c>
      <c r="D187" s="4">
        <v>2.31</v>
      </c>
      <c r="E187" s="4">
        <v>1.54</v>
      </c>
      <c r="F187" s="11">
        <v>0.4</v>
      </c>
      <c r="G187" s="4">
        <v>21.62</v>
      </c>
    </row>
    <row r="188" ht="15.75" customHeight="1">
      <c r="A188" s="4" t="s">
        <v>1825</v>
      </c>
      <c r="B188" s="4">
        <v>1.0</v>
      </c>
      <c r="C188" s="4">
        <v>23.5</v>
      </c>
      <c r="D188" s="4">
        <v>3.24</v>
      </c>
      <c r="E188" s="4">
        <v>1.28</v>
      </c>
      <c r="F188" s="11">
        <v>0.2832</v>
      </c>
      <c r="G188" s="4">
        <v>21.62</v>
      </c>
    </row>
    <row r="189" ht="15.75" customHeight="1">
      <c r="A189" s="4" t="s">
        <v>1825</v>
      </c>
      <c r="B189" s="4">
        <v>2.0</v>
      </c>
      <c r="C189" s="4">
        <v>17.5</v>
      </c>
      <c r="D189" s="4">
        <v>1.08</v>
      </c>
      <c r="E189" s="4">
        <v>6.0</v>
      </c>
      <c r="F189" s="11">
        <v>0.8475</v>
      </c>
      <c r="G189" s="4">
        <v>21.62</v>
      </c>
    </row>
    <row r="190" ht="15.75" customHeight="1">
      <c r="A190" s="4" t="s">
        <v>1825</v>
      </c>
      <c r="B190" s="4">
        <v>2.0</v>
      </c>
      <c r="C190" s="4">
        <v>18.5</v>
      </c>
      <c r="D190" s="4">
        <v>1.16</v>
      </c>
      <c r="E190" s="4">
        <v>4.32</v>
      </c>
      <c r="F190" s="11">
        <v>0.7883</v>
      </c>
      <c r="G190" s="4">
        <v>21.62</v>
      </c>
    </row>
    <row r="191" ht="15.75" customHeight="1">
      <c r="A191" s="4" t="s">
        <v>1825</v>
      </c>
      <c r="B191" s="4">
        <v>2.0</v>
      </c>
      <c r="C191" s="4">
        <v>19.5</v>
      </c>
      <c r="D191" s="4">
        <v>1.29</v>
      </c>
      <c r="E191" s="4">
        <v>3.17</v>
      </c>
      <c r="F191" s="11">
        <v>0.7108</v>
      </c>
      <c r="G191" s="4">
        <v>21.62</v>
      </c>
    </row>
    <row r="192" ht="15.75" customHeight="1">
      <c r="A192" s="4" t="s">
        <v>1825</v>
      </c>
      <c r="B192" s="4">
        <v>2.0</v>
      </c>
      <c r="C192" s="4">
        <v>20.5</v>
      </c>
      <c r="D192" s="4">
        <v>1.49</v>
      </c>
      <c r="E192" s="4">
        <v>2.42</v>
      </c>
      <c r="F192" s="11">
        <v>0.6189</v>
      </c>
      <c r="G192" s="4">
        <v>21.62</v>
      </c>
    </row>
    <row r="193" ht="15.75" customHeight="1">
      <c r="A193" s="4" t="s">
        <v>1825</v>
      </c>
      <c r="B193" s="4">
        <v>2.0</v>
      </c>
      <c r="C193" s="4">
        <v>21.5</v>
      </c>
      <c r="D193" s="4">
        <v>1.81</v>
      </c>
      <c r="E193" s="4">
        <v>1.91</v>
      </c>
      <c r="F193" s="11">
        <v>0.5134</v>
      </c>
      <c r="G193" s="4">
        <v>21.62</v>
      </c>
    </row>
    <row r="194" ht="15.75" customHeight="1">
      <c r="A194" s="4" t="s">
        <v>1825</v>
      </c>
      <c r="B194" s="4">
        <v>2.0</v>
      </c>
      <c r="C194" s="4">
        <v>22.5</v>
      </c>
      <c r="D194" s="4">
        <v>2.31</v>
      </c>
      <c r="E194" s="4">
        <v>1.54</v>
      </c>
      <c r="F194" s="11">
        <v>0.4</v>
      </c>
      <c r="G194" s="4">
        <v>21.62</v>
      </c>
    </row>
    <row r="195" ht="15.75" customHeight="1">
      <c r="A195" s="4" t="s">
        <v>1825</v>
      </c>
      <c r="B195" s="4">
        <v>2.0</v>
      </c>
      <c r="C195" s="4">
        <v>23.5</v>
      </c>
      <c r="D195" s="4">
        <v>3.24</v>
      </c>
      <c r="E195" s="4">
        <v>1.28</v>
      </c>
      <c r="F195" s="11">
        <v>0.2832</v>
      </c>
      <c r="G195" s="4">
        <v>21.62</v>
      </c>
    </row>
    <row r="196" ht="15.75" customHeight="1">
      <c r="A196" s="4" t="s">
        <v>1833</v>
      </c>
      <c r="B196" s="4">
        <v>1.0</v>
      </c>
      <c r="C196" s="4">
        <v>17.5</v>
      </c>
      <c r="D196" s="4">
        <v>1.09</v>
      </c>
      <c r="E196" s="4">
        <v>5.8</v>
      </c>
      <c r="F196" s="11">
        <v>0.8418</v>
      </c>
      <c r="G196" s="4">
        <v>21.57</v>
      </c>
    </row>
    <row r="197" ht="15.75" customHeight="1">
      <c r="A197" s="4" t="s">
        <v>1833</v>
      </c>
      <c r="B197" s="4">
        <v>1.0</v>
      </c>
      <c r="C197" s="4">
        <v>18.5</v>
      </c>
      <c r="D197" s="4">
        <v>1.17</v>
      </c>
      <c r="E197" s="4">
        <v>4.23</v>
      </c>
      <c r="F197" s="11">
        <v>0.7833</v>
      </c>
      <c r="G197" s="4">
        <v>21.57</v>
      </c>
    </row>
    <row r="198" ht="15.75" customHeight="1">
      <c r="A198" s="4" t="s">
        <v>1833</v>
      </c>
      <c r="B198" s="4">
        <v>1.0</v>
      </c>
      <c r="C198" s="4">
        <v>19.5</v>
      </c>
      <c r="D198" s="4">
        <v>1.3</v>
      </c>
      <c r="E198" s="4">
        <v>3.11</v>
      </c>
      <c r="F198" s="11">
        <v>0.7052</v>
      </c>
      <c r="G198" s="4">
        <v>21.57</v>
      </c>
    </row>
    <row r="199" ht="15.75" customHeight="1">
      <c r="A199" s="4" t="s">
        <v>1833</v>
      </c>
      <c r="B199" s="4">
        <v>1.0</v>
      </c>
      <c r="C199" s="4">
        <v>20.5</v>
      </c>
      <c r="D199" s="4">
        <v>1.5</v>
      </c>
      <c r="E199" s="4">
        <v>2.38</v>
      </c>
      <c r="F199" s="11">
        <v>0.6134</v>
      </c>
      <c r="G199" s="4">
        <v>21.57</v>
      </c>
    </row>
    <row r="200" ht="15.75" customHeight="1">
      <c r="A200" s="4" t="s">
        <v>1833</v>
      </c>
      <c r="B200" s="4">
        <v>1.0</v>
      </c>
      <c r="C200" s="4">
        <v>21.5</v>
      </c>
      <c r="D200" s="4">
        <v>1.83</v>
      </c>
      <c r="E200" s="4">
        <v>1.89</v>
      </c>
      <c r="F200" s="11">
        <v>0.5081</v>
      </c>
      <c r="G200" s="4">
        <v>21.57</v>
      </c>
    </row>
    <row r="201" ht="15.75" customHeight="1">
      <c r="A201" s="4" t="s">
        <v>1833</v>
      </c>
      <c r="B201" s="4">
        <v>1.0</v>
      </c>
      <c r="C201" s="4">
        <v>22.5</v>
      </c>
      <c r="D201" s="4">
        <v>2.34</v>
      </c>
      <c r="E201" s="4">
        <v>1.52</v>
      </c>
      <c r="F201" s="11">
        <v>0.3938</v>
      </c>
      <c r="G201" s="4">
        <v>21.57</v>
      </c>
    </row>
    <row r="202" ht="15.75" customHeight="1">
      <c r="A202" s="4" t="s">
        <v>1833</v>
      </c>
      <c r="B202" s="4">
        <v>1.0</v>
      </c>
      <c r="C202" s="4">
        <v>23.5</v>
      </c>
      <c r="D202" s="4">
        <v>3.29</v>
      </c>
      <c r="E202" s="4">
        <v>1.27</v>
      </c>
      <c r="F202" s="11">
        <v>0.2785</v>
      </c>
      <c r="G202" s="4">
        <v>21.57</v>
      </c>
    </row>
    <row r="203" ht="15.75" customHeight="1">
      <c r="A203" s="4" t="s">
        <v>1833</v>
      </c>
      <c r="B203" s="4">
        <v>2.0</v>
      </c>
      <c r="C203" s="4">
        <v>17.5</v>
      </c>
      <c r="D203" s="4">
        <v>1.09</v>
      </c>
      <c r="E203" s="4">
        <v>5.8</v>
      </c>
      <c r="F203" s="11">
        <v>0.8418</v>
      </c>
      <c r="G203" s="4">
        <v>21.57</v>
      </c>
    </row>
    <row r="204" ht="15.75" customHeight="1">
      <c r="A204" s="4" t="s">
        <v>1833</v>
      </c>
      <c r="B204" s="4">
        <v>2.0</v>
      </c>
      <c r="C204" s="4">
        <v>18.5</v>
      </c>
      <c r="D204" s="4">
        <v>1.17</v>
      </c>
      <c r="E204" s="4">
        <v>4.23</v>
      </c>
      <c r="F204" s="11">
        <v>0.7833</v>
      </c>
      <c r="G204" s="4">
        <v>21.57</v>
      </c>
    </row>
    <row r="205" ht="15.75" customHeight="1">
      <c r="A205" s="4" t="s">
        <v>1833</v>
      </c>
      <c r="B205" s="4">
        <v>2.0</v>
      </c>
      <c r="C205" s="4">
        <v>19.5</v>
      </c>
      <c r="D205" s="4">
        <v>1.3</v>
      </c>
      <c r="E205" s="4">
        <v>3.11</v>
      </c>
      <c r="F205" s="11">
        <v>0.7052</v>
      </c>
      <c r="G205" s="4">
        <v>21.57</v>
      </c>
    </row>
    <row r="206" ht="15.75" customHeight="1">
      <c r="A206" s="4" t="s">
        <v>1833</v>
      </c>
      <c r="B206" s="4">
        <v>2.0</v>
      </c>
      <c r="C206" s="4">
        <v>20.5</v>
      </c>
      <c r="D206" s="4">
        <v>1.5</v>
      </c>
      <c r="E206" s="4">
        <v>2.38</v>
      </c>
      <c r="F206" s="11">
        <v>0.6134</v>
      </c>
      <c r="G206" s="4">
        <v>21.57</v>
      </c>
    </row>
    <row r="207" ht="15.75" customHeight="1">
      <c r="A207" s="4" t="s">
        <v>1833</v>
      </c>
      <c r="B207" s="4">
        <v>2.0</v>
      </c>
      <c r="C207" s="4">
        <v>21.5</v>
      </c>
      <c r="D207" s="4">
        <v>1.83</v>
      </c>
      <c r="E207" s="4">
        <v>1.89</v>
      </c>
      <c r="F207" s="11">
        <v>0.5081</v>
      </c>
      <c r="G207" s="4">
        <v>21.57</v>
      </c>
    </row>
    <row r="208" ht="15.75" customHeight="1">
      <c r="A208" s="4" t="s">
        <v>1833</v>
      </c>
      <c r="B208" s="4">
        <v>2.0</v>
      </c>
      <c r="C208" s="4">
        <v>22.5</v>
      </c>
      <c r="D208" s="4">
        <v>2.34</v>
      </c>
      <c r="E208" s="4">
        <v>1.52</v>
      </c>
      <c r="F208" s="11">
        <v>0.3938</v>
      </c>
      <c r="G208" s="4">
        <v>21.57</v>
      </c>
    </row>
    <row r="209" ht="15.75" customHeight="1">
      <c r="A209" s="4" t="s">
        <v>1833</v>
      </c>
      <c r="B209" s="4">
        <v>2.0</v>
      </c>
      <c r="C209" s="4">
        <v>23.5</v>
      </c>
      <c r="D209" s="4">
        <v>3.29</v>
      </c>
      <c r="E209" s="4">
        <v>1.27</v>
      </c>
      <c r="F209" s="11">
        <v>0.2785</v>
      </c>
      <c r="G209" s="4">
        <v>21.57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5.0"/>
    <col customWidth="1" min="4" max="4" width="18.0"/>
    <col customWidth="1" min="5" max="5" width="20.0"/>
    <col customWidth="1" min="6" max="7" width="10.0"/>
    <col customWidth="1" min="8" max="11" width="7.0"/>
    <col customWidth="1" min="12" max="12" width="6.0"/>
    <col customWidth="1" min="13" max="13" width="9.0"/>
    <col customWidth="1" min="14" max="14" width="10.0"/>
    <col customWidth="1" min="15" max="26" width="8.71"/>
  </cols>
  <sheetData>
    <row r="1">
      <c r="A1" s="7" t="s">
        <v>1098</v>
      </c>
      <c r="B1" s="7" t="s">
        <v>10</v>
      </c>
      <c r="C1" s="7" t="s">
        <v>1131</v>
      </c>
      <c r="D1" s="7" t="s">
        <v>2134</v>
      </c>
      <c r="E1" s="7" t="s">
        <v>2135</v>
      </c>
      <c r="F1" s="7" t="s">
        <v>2136</v>
      </c>
      <c r="G1" s="7" t="s">
        <v>2137</v>
      </c>
      <c r="H1" s="7" t="s">
        <v>2139</v>
      </c>
      <c r="I1" s="7" t="s">
        <v>2140</v>
      </c>
      <c r="J1" s="7" t="s">
        <v>2141</v>
      </c>
      <c r="K1" s="7" t="s">
        <v>2142</v>
      </c>
      <c r="L1" s="7" t="s">
        <v>2143</v>
      </c>
      <c r="M1" s="7" t="s">
        <v>2144</v>
      </c>
      <c r="N1" s="7" t="s">
        <v>2145</v>
      </c>
    </row>
    <row r="2">
      <c r="A2" s="4" t="s">
        <v>2146</v>
      </c>
      <c r="B2" s="4" t="s">
        <v>7</v>
      </c>
      <c r="C2" s="4" t="s">
        <v>2147</v>
      </c>
      <c r="D2" s="4" t="s">
        <v>2148</v>
      </c>
      <c r="F2" s="4">
        <v>8.19</v>
      </c>
      <c r="G2" s="4">
        <v>8.57</v>
      </c>
      <c r="H2" s="11">
        <v>0.406</v>
      </c>
      <c r="I2" s="11">
        <v>0.281</v>
      </c>
      <c r="J2" s="11">
        <v>0.188</v>
      </c>
      <c r="K2" s="11">
        <v>0.125</v>
      </c>
      <c r="L2" s="11">
        <v>0.038</v>
      </c>
      <c r="M2" s="11">
        <f t="shared" ref="M2:M33" si="1">IFERROR((2*H2+2*I2+K2)/(2*H2+3*I2+2*J2+3*K2),"")</f>
        <v>0.6230257689</v>
      </c>
      <c r="N2" s="11">
        <f t="shared" ref="N2:N33" si="2">IFERROR((M2*13+(1-M2)*G2)/((M2*13+(1-M2)*G2)+(M2*F2+(1-M2)*13)),"")</f>
        <v>0.5310960142</v>
      </c>
    </row>
    <row r="3">
      <c r="A3" s="4" t="s">
        <v>2153</v>
      </c>
      <c r="B3" s="4" t="s">
        <v>7</v>
      </c>
      <c r="C3" s="4" t="s">
        <v>2154</v>
      </c>
      <c r="D3" s="4" t="s">
        <v>2155</v>
      </c>
      <c r="F3" s="4">
        <v>7.44</v>
      </c>
      <c r="G3" s="4">
        <v>9.29</v>
      </c>
      <c r="H3" s="11">
        <v>0.316</v>
      </c>
      <c r="I3" s="11">
        <v>0.263</v>
      </c>
      <c r="J3" s="11">
        <v>0.263</v>
      </c>
      <c r="K3" s="11">
        <v>0.158</v>
      </c>
      <c r="L3" s="11">
        <v>0.043</v>
      </c>
      <c r="M3" s="11">
        <f t="shared" si="1"/>
        <v>0.5435770343</v>
      </c>
      <c r="N3" s="11">
        <f t="shared" si="2"/>
        <v>0.5312191136</v>
      </c>
    </row>
    <row r="4">
      <c r="A4" s="4" t="s">
        <v>2157</v>
      </c>
      <c r="B4" s="4" t="s">
        <v>566</v>
      </c>
      <c r="C4" s="4" t="s">
        <v>2147</v>
      </c>
      <c r="D4" s="4" t="s">
        <v>2158</v>
      </c>
      <c r="F4" s="4">
        <v>8.19</v>
      </c>
      <c r="G4" s="4">
        <v>8.94</v>
      </c>
      <c r="H4" s="11">
        <v>0.367</v>
      </c>
      <c r="I4" s="11">
        <v>0.233</v>
      </c>
      <c r="J4" s="11">
        <v>0.167</v>
      </c>
      <c r="K4" s="11">
        <v>0.233</v>
      </c>
      <c r="L4" s="11">
        <v>0.014</v>
      </c>
      <c r="M4" s="11">
        <f t="shared" si="1"/>
        <v>0.5811030008</v>
      </c>
      <c r="N4" s="11">
        <f t="shared" si="2"/>
        <v>0.5254458432</v>
      </c>
    </row>
    <row r="5">
      <c r="A5" s="4" t="s">
        <v>2160</v>
      </c>
      <c r="B5" s="4" t="s">
        <v>566</v>
      </c>
      <c r="C5" s="4" t="s">
        <v>2154</v>
      </c>
      <c r="D5" s="4" t="s">
        <v>2161</v>
      </c>
      <c r="F5" s="4">
        <v>7.43</v>
      </c>
      <c r="G5" s="4">
        <v>7.57</v>
      </c>
      <c r="H5" s="11">
        <v>0.5710000000000001</v>
      </c>
      <c r="I5" s="11">
        <v>0.19</v>
      </c>
      <c r="J5" s="11">
        <v>0.095</v>
      </c>
      <c r="K5" s="11">
        <v>0.143</v>
      </c>
      <c r="L5" s="11">
        <v>0.0</v>
      </c>
      <c r="M5" s="11">
        <f t="shared" si="1"/>
        <v>0.7142857143</v>
      </c>
      <c r="N5" s="11">
        <f t="shared" si="2"/>
        <v>0.5592853653</v>
      </c>
    </row>
    <row r="6">
      <c r="A6" s="4" t="s">
        <v>2162</v>
      </c>
      <c r="B6" s="4" t="s">
        <v>838</v>
      </c>
      <c r="C6" s="4" t="s">
        <v>2147</v>
      </c>
      <c r="D6" s="4" t="s">
        <v>2163</v>
      </c>
      <c r="F6" s="4">
        <v>7.08</v>
      </c>
      <c r="G6" s="4">
        <v>8.69</v>
      </c>
      <c r="H6" s="11">
        <v>0.444</v>
      </c>
      <c r="I6" s="11">
        <v>0.222</v>
      </c>
      <c r="J6" s="11">
        <v>0.278</v>
      </c>
      <c r="K6" s="11">
        <v>0.05599999999999999</v>
      </c>
      <c r="L6" s="11">
        <v>0.024</v>
      </c>
      <c r="M6" s="11">
        <f t="shared" si="1"/>
        <v>0.6093064091</v>
      </c>
      <c r="N6" s="11">
        <f t="shared" si="2"/>
        <v>0.5464339904</v>
      </c>
    </row>
    <row r="7">
      <c r="A7" s="4" t="s">
        <v>2165</v>
      </c>
      <c r="B7" s="4" t="s">
        <v>838</v>
      </c>
      <c r="C7" s="4" t="s">
        <v>2154</v>
      </c>
      <c r="D7" s="4" t="s">
        <v>2166</v>
      </c>
      <c r="F7" s="4">
        <v>7.86</v>
      </c>
      <c r="G7" s="4">
        <v>7.42</v>
      </c>
      <c r="H7" s="11">
        <v>0.24</v>
      </c>
      <c r="I7" s="11">
        <v>0.2</v>
      </c>
      <c r="J7" s="11">
        <v>0.28</v>
      </c>
      <c r="K7" s="11">
        <v>0.28</v>
      </c>
      <c r="L7" s="11">
        <v>0.016</v>
      </c>
      <c r="M7" s="11">
        <f t="shared" si="1"/>
        <v>0.4677419355</v>
      </c>
      <c r="N7" s="11">
        <f t="shared" si="2"/>
        <v>0.4862840163</v>
      </c>
    </row>
    <row r="8">
      <c r="A8" s="4" t="s">
        <v>2168</v>
      </c>
      <c r="B8" s="4" t="s">
        <v>993</v>
      </c>
      <c r="C8" s="4" t="s">
        <v>2147</v>
      </c>
      <c r="D8" s="4" t="s">
        <v>1013</v>
      </c>
      <c r="F8" s="4">
        <v>8.5</v>
      </c>
      <c r="G8" s="4">
        <v>8.69</v>
      </c>
      <c r="H8" s="11">
        <v>0.364</v>
      </c>
      <c r="I8" s="11">
        <v>0.091</v>
      </c>
      <c r="J8" s="11">
        <v>0.273</v>
      </c>
      <c r="K8" s="11">
        <v>0.273</v>
      </c>
      <c r="L8" s="11">
        <v>0.058</v>
      </c>
      <c r="M8" s="11">
        <f t="shared" si="1"/>
        <v>0.5</v>
      </c>
      <c r="N8" s="11">
        <f t="shared" si="2"/>
        <v>0.5021995832</v>
      </c>
    </row>
    <row r="9">
      <c r="A9" s="4" t="s">
        <v>2169</v>
      </c>
      <c r="B9" s="4" t="s">
        <v>993</v>
      </c>
      <c r="C9" s="4" t="s">
        <v>2154</v>
      </c>
      <c r="D9" s="4" t="s">
        <v>2170</v>
      </c>
      <c r="F9" s="4">
        <v>5.91</v>
      </c>
      <c r="G9" s="4">
        <v>6.84</v>
      </c>
      <c r="H9" s="11">
        <v>0.167</v>
      </c>
      <c r="I9" s="11">
        <v>0.083</v>
      </c>
      <c r="J9" s="11">
        <v>0.417</v>
      </c>
      <c r="K9" s="11">
        <v>0.333</v>
      </c>
      <c r="L9" s="11">
        <v>0.033</v>
      </c>
      <c r="M9" s="11">
        <f t="shared" si="1"/>
        <v>0.3447847682</v>
      </c>
      <c r="N9" s="11">
        <f t="shared" si="2"/>
        <v>0.4592301535</v>
      </c>
    </row>
    <row r="10">
      <c r="A10" s="4" t="s">
        <v>2172</v>
      </c>
      <c r="B10" s="4" t="s">
        <v>1090</v>
      </c>
      <c r="C10" s="4" t="s">
        <v>2147</v>
      </c>
      <c r="D10" s="4" t="s">
        <v>2173</v>
      </c>
      <c r="F10" s="4">
        <v>7.8</v>
      </c>
      <c r="G10" s="4">
        <v>9.08</v>
      </c>
      <c r="H10" s="11">
        <v>0.433</v>
      </c>
      <c r="I10" s="11">
        <v>0.3</v>
      </c>
      <c r="J10" s="11">
        <v>0.1</v>
      </c>
      <c r="K10" s="11">
        <v>0.167</v>
      </c>
      <c r="L10" s="11">
        <v>0.027</v>
      </c>
      <c r="M10" s="11">
        <f t="shared" si="1"/>
        <v>0.661937576</v>
      </c>
      <c r="N10" s="11">
        <f t="shared" si="2"/>
        <v>0.5498492587</v>
      </c>
    </row>
    <row r="11">
      <c r="A11" s="4" t="s">
        <v>2175</v>
      </c>
      <c r="B11" s="4" t="s">
        <v>1090</v>
      </c>
      <c r="C11" s="4" t="s">
        <v>2154</v>
      </c>
      <c r="D11" s="4" t="s">
        <v>2176</v>
      </c>
      <c r="F11" s="4">
        <v>7.21</v>
      </c>
      <c r="G11" s="4">
        <v>8.96</v>
      </c>
      <c r="H11" s="11">
        <v>0.4</v>
      </c>
      <c r="I11" s="11">
        <v>0.367</v>
      </c>
      <c r="J11" s="11">
        <v>0.033</v>
      </c>
      <c r="K11" s="11">
        <v>0.2</v>
      </c>
      <c r="L11" s="11">
        <v>0.039</v>
      </c>
      <c r="M11" s="11">
        <f t="shared" si="1"/>
        <v>0.6754966887</v>
      </c>
      <c r="N11" s="11">
        <f t="shared" si="2"/>
        <v>0.562569722</v>
      </c>
    </row>
    <row r="12">
      <c r="A12" s="4" t="s">
        <v>2177</v>
      </c>
      <c r="B12" s="4" t="s">
        <v>1152</v>
      </c>
      <c r="C12" s="4" t="s">
        <v>2147</v>
      </c>
      <c r="D12" s="4" t="s">
        <v>2178</v>
      </c>
      <c r="F12" s="4">
        <v>7.7</v>
      </c>
      <c r="G12" s="4">
        <v>6.5</v>
      </c>
      <c r="H12" s="11">
        <v>0.4</v>
      </c>
      <c r="I12" s="11">
        <v>0.267</v>
      </c>
      <c r="J12" s="11">
        <v>0.1</v>
      </c>
      <c r="K12" s="11">
        <v>0.233</v>
      </c>
      <c r="L12" s="11">
        <v>0.013</v>
      </c>
      <c r="M12" s="11">
        <f t="shared" si="1"/>
        <v>0.6268</v>
      </c>
      <c r="N12" s="11">
        <f t="shared" si="2"/>
        <v>0.5221270225</v>
      </c>
    </row>
    <row r="13">
      <c r="A13" s="4" t="s">
        <v>2180</v>
      </c>
      <c r="B13" s="4" t="s">
        <v>1152</v>
      </c>
      <c r="C13" s="4" t="s">
        <v>2154</v>
      </c>
      <c r="D13" s="4" t="s">
        <v>2181</v>
      </c>
      <c r="F13" s="4">
        <v>8.03</v>
      </c>
      <c r="G13" s="4">
        <v>8.27</v>
      </c>
      <c r="H13" s="11">
        <v>0.362</v>
      </c>
      <c r="I13" s="11">
        <v>0.234</v>
      </c>
      <c r="J13" s="11">
        <v>0.234</v>
      </c>
      <c r="K13" s="11">
        <v>0.17</v>
      </c>
      <c r="L13" s="11">
        <v>0.044</v>
      </c>
      <c r="M13" s="11">
        <f t="shared" si="1"/>
        <v>0.5665557404</v>
      </c>
      <c r="N13" s="11">
        <f t="shared" si="2"/>
        <v>0.51811275</v>
      </c>
    </row>
    <row r="14">
      <c r="A14" s="4" t="s">
        <v>2183</v>
      </c>
      <c r="B14" s="4" t="s">
        <v>1160</v>
      </c>
      <c r="C14" s="4" t="s">
        <v>2147</v>
      </c>
      <c r="D14" s="4" t="s">
        <v>2163</v>
      </c>
      <c r="F14" s="4">
        <v>7.08</v>
      </c>
      <c r="G14" s="4">
        <v>8.69</v>
      </c>
      <c r="H14" s="11">
        <v>0.444</v>
      </c>
      <c r="I14" s="11">
        <v>0.222</v>
      </c>
      <c r="J14" s="11">
        <v>0.278</v>
      </c>
      <c r="K14" s="11">
        <v>0.05599999999999999</v>
      </c>
      <c r="L14" s="11">
        <v>0.024</v>
      </c>
      <c r="M14" s="11">
        <f t="shared" si="1"/>
        <v>0.6093064091</v>
      </c>
      <c r="N14" s="11">
        <f t="shared" si="2"/>
        <v>0.5464339904</v>
      </c>
    </row>
    <row r="15">
      <c r="A15" s="4" t="s">
        <v>2184</v>
      </c>
      <c r="B15" s="4" t="s">
        <v>1160</v>
      </c>
      <c r="C15" s="4" t="s">
        <v>2154</v>
      </c>
      <c r="D15" s="4" t="s">
        <v>1013</v>
      </c>
      <c r="F15" s="4">
        <v>8.5</v>
      </c>
      <c r="G15" s="4">
        <v>8.69</v>
      </c>
      <c r="H15" s="11">
        <v>0.364</v>
      </c>
      <c r="I15" s="11">
        <v>0.091</v>
      </c>
      <c r="J15" s="11">
        <v>0.273</v>
      </c>
      <c r="K15" s="11">
        <v>0.273</v>
      </c>
      <c r="L15" s="11">
        <v>0.058</v>
      </c>
      <c r="M15" s="11">
        <f t="shared" si="1"/>
        <v>0.5</v>
      </c>
      <c r="N15" s="11">
        <f t="shared" si="2"/>
        <v>0.5021995832</v>
      </c>
    </row>
    <row r="16">
      <c r="A16" s="4" t="s">
        <v>2186</v>
      </c>
      <c r="B16" s="4" t="s">
        <v>1168</v>
      </c>
      <c r="C16" s="4" t="s">
        <v>2147</v>
      </c>
      <c r="D16" s="4" t="s">
        <v>2187</v>
      </c>
      <c r="F16" s="4">
        <v>7.61</v>
      </c>
      <c r="G16" s="4">
        <v>8.5</v>
      </c>
      <c r="H16" s="11">
        <v>0.458</v>
      </c>
      <c r="I16" s="11">
        <v>0.25</v>
      </c>
      <c r="J16" s="11">
        <v>0.125</v>
      </c>
      <c r="K16" s="11">
        <v>0.167</v>
      </c>
      <c r="L16" s="11">
        <v>0.034</v>
      </c>
      <c r="M16" s="11">
        <f t="shared" si="1"/>
        <v>0.6549441456</v>
      </c>
      <c r="N16" s="11">
        <f t="shared" si="2"/>
        <v>0.5472674899</v>
      </c>
    </row>
    <row r="17">
      <c r="A17" s="4" t="s">
        <v>2189</v>
      </c>
      <c r="B17" s="4" t="s">
        <v>1168</v>
      </c>
      <c r="C17" s="4" t="s">
        <v>2154</v>
      </c>
      <c r="D17" s="4" t="s">
        <v>1174</v>
      </c>
      <c r="F17" s="4">
        <v>7.5</v>
      </c>
      <c r="G17" s="4">
        <v>7.15</v>
      </c>
      <c r="H17" s="11">
        <v>0.286</v>
      </c>
      <c r="I17" s="11">
        <v>0.0</v>
      </c>
      <c r="J17" s="11">
        <v>0.429</v>
      </c>
      <c r="K17" s="11">
        <v>0.286</v>
      </c>
      <c r="L17" s="11">
        <v>0.031</v>
      </c>
      <c r="M17" s="11">
        <f t="shared" si="1"/>
        <v>0.375</v>
      </c>
      <c r="N17" s="11">
        <f t="shared" si="2"/>
        <v>0.4607087827</v>
      </c>
    </row>
    <row r="18">
      <c r="A18" s="4" t="s">
        <v>2191</v>
      </c>
      <c r="B18" s="4" t="s">
        <v>1178</v>
      </c>
      <c r="C18" s="4" t="s">
        <v>2147</v>
      </c>
      <c r="D18" s="4" t="s">
        <v>2192</v>
      </c>
      <c r="F18" s="4">
        <v>7.29</v>
      </c>
      <c r="G18" s="4">
        <v>10.5</v>
      </c>
      <c r="H18" s="11">
        <v>0.125</v>
      </c>
      <c r="I18" s="11">
        <v>0.5</v>
      </c>
      <c r="J18" s="11">
        <v>0.167</v>
      </c>
      <c r="K18" s="11">
        <v>0.208</v>
      </c>
      <c r="L18" s="11">
        <v>0.046</v>
      </c>
      <c r="M18" s="11">
        <f t="shared" si="1"/>
        <v>0.5384047267</v>
      </c>
      <c r="N18" s="11">
        <f t="shared" si="2"/>
        <v>0.5441008504</v>
      </c>
    </row>
    <row r="19">
      <c r="A19" s="4" t="s">
        <v>2194</v>
      </c>
      <c r="B19" s="4" t="s">
        <v>1178</v>
      </c>
      <c r="C19" s="4" t="s">
        <v>2154</v>
      </c>
      <c r="D19" s="4" t="s">
        <v>1182</v>
      </c>
      <c r="F19" s="4">
        <v>8.19</v>
      </c>
      <c r="G19" s="4">
        <v>9.5</v>
      </c>
      <c r="H19" s="11">
        <v>0.455</v>
      </c>
      <c r="I19" s="11">
        <v>0.182</v>
      </c>
      <c r="J19" s="11">
        <v>0.182</v>
      </c>
      <c r="K19" s="11">
        <v>0.182</v>
      </c>
      <c r="L19" s="11">
        <v>0.038</v>
      </c>
      <c r="M19" s="11">
        <f t="shared" si="1"/>
        <v>0.6153846154</v>
      </c>
      <c r="N19" s="11">
        <f t="shared" si="2"/>
        <v>0.5371959436</v>
      </c>
    </row>
    <row r="20">
      <c r="A20" s="4" t="s">
        <v>2195</v>
      </c>
      <c r="B20" s="4" t="s">
        <v>1234</v>
      </c>
      <c r="C20" s="4" t="s">
        <v>2147</v>
      </c>
      <c r="D20" s="4" t="s">
        <v>1241</v>
      </c>
      <c r="F20" s="4">
        <v>7.24</v>
      </c>
      <c r="G20" s="4">
        <v>8.18</v>
      </c>
      <c r="H20" s="11">
        <v>0.269</v>
      </c>
      <c r="I20" s="11">
        <v>0.192</v>
      </c>
      <c r="J20" s="11">
        <v>0.346</v>
      </c>
      <c r="K20" s="11">
        <v>0.192</v>
      </c>
      <c r="L20" s="11">
        <v>0.0</v>
      </c>
      <c r="M20" s="11">
        <f t="shared" si="1"/>
        <v>0.4676742233</v>
      </c>
      <c r="N20" s="11">
        <f t="shared" si="2"/>
        <v>0.5030856051</v>
      </c>
    </row>
    <row r="21" ht="15.75" customHeight="1">
      <c r="A21" s="4" t="s">
        <v>2197</v>
      </c>
      <c r="B21" s="4" t="s">
        <v>1234</v>
      </c>
      <c r="C21" s="4" t="s">
        <v>2154</v>
      </c>
      <c r="D21" s="4" t="s">
        <v>2198</v>
      </c>
      <c r="F21" s="4">
        <v>7.0</v>
      </c>
      <c r="G21" s="4">
        <v>9.84</v>
      </c>
      <c r="H21" s="11">
        <v>0.083</v>
      </c>
      <c r="I21" s="11">
        <v>0.25</v>
      </c>
      <c r="J21" s="11">
        <v>0.5</v>
      </c>
      <c r="K21" s="11">
        <v>0.167</v>
      </c>
      <c r="L21" s="11">
        <v>0.069</v>
      </c>
      <c r="M21" s="11">
        <f t="shared" si="1"/>
        <v>0.3446421183</v>
      </c>
      <c r="N21" s="11">
        <f t="shared" si="2"/>
        <v>0.4999295969</v>
      </c>
    </row>
    <row r="22" ht="15.75" customHeight="1">
      <c r="A22" s="4" t="s">
        <v>2200</v>
      </c>
      <c r="B22" s="4" t="s">
        <v>1462</v>
      </c>
      <c r="C22" s="4" t="s">
        <v>2147</v>
      </c>
      <c r="D22" s="4" t="s">
        <v>2166</v>
      </c>
      <c r="F22" s="4">
        <v>7.86</v>
      </c>
      <c r="G22" s="4">
        <v>7.42</v>
      </c>
      <c r="H22" s="11">
        <v>0.24</v>
      </c>
      <c r="I22" s="11">
        <v>0.2</v>
      </c>
      <c r="J22" s="11">
        <v>0.28</v>
      </c>
      <c r="K22" s="11">
        <v>0.28</v>
      </c>
      <c r="L22" s="11">
        <v>0.016</v>
      </c>
      <c r="M22" s="11">
        <f t="shared" si="1"/>
        <v>0.4677419355</v>
      </c>
      <c r="N22" s="11">
        <f t="shared" si="2"/>
        <v>0.4862840163</v>
      </c>
    </row>
    <row r="23" ht="15.75" customHeight="1">
      <c r="A23" s="4" t="s">
        <v>2202</v>
      </c>
      <c r="B23" s="4" t="s">
        <v>1462</v>
      </c>
      <c r="C23" s="4" t="s">
        <v>2154</v>
      </c>
      <c r="D23" s="4" t="s">
        <v>2170</v>
      </c>
      <c r="F23" s="4">
        <v>5.91</v>
      </c>
      <c r="G23" s="4">
        <v>6.84</v>
      </c>
      <c r="H23" s="11">
        <v>0.167</v>
      </c>
      <c r="I23" s="11">
        <v>0.083</v>
      </c>
      <c r="J23" s="11">
        <v>0.417</v>
      </c>
      <c r="K23" s="11">
        <v>0.333</v>
      </c>
      <c r="L23" s="11">
        <v>0.033</v>
      </c>
      <c r="M23" s="11">
        <f t="shared" si="1"/>
        <v>0.3447847682</v>
      </c>
      <c r="N23" s="11">
        <f t="shared" si="2"/>
        <v>0.4592301535</v>
      </c>
    </row>
    <row r="24" ht="15.75" customHeight="1">
      <c r="A24" s="4" t="s">
        <v>2204</v>
      </c>
      <c r="B24" s="4" t="s">
        <v>1648</v>
      </c>
      <c r="C24" s="4" t="s">
        <v>2147</v>
      </c>
      <c r="D24" s="4" t="s">
        <v>2163</v>
      </c>
      <c r="F24" s="4">
        <v>7.08</v>
      </c>
      <c r="G24" s="4">
        <v>8.69</v>
      </c>
      <c r="H24" s="11">
        <v>0.444</v>
      </c>
      <c r="I24" s="11">
        <v>0.222</v>
      </c>
      <c r="J24" s="11">
        <v>0.278</v>
      </c>
      <c r="K24" s="11">
        <v>0.05599999999999999</v>
      </c>
      <c r="L24" s="11">
        <v>0.024</v>
      </c>
      <c r="M24" s="11">
        <f t="shared" si="1"/>
        <v>0.6093064091</v>
      </c>
      <c r="N24" s="11">
        <f t="shared" si="2"/>
        <v>0.5464339904</v>
      </c>
    </row>
    <row r="25" ht="15.75" customHeight="1">
      <c r="A25" s="4" t="s">
        <v>2206</v>
      </c>
      <c r="B25" s="4" t="s">
        <v>1648</v>
      </c>
      <c r="C25" s="4" t="s">
        <v>2154</v>
      </c>
      <c r="D25" s="4" t="s">
        <v>2170</v>
      </c>
      <c r="F25" s="4">
        <v>5.91</v>
      </c>
      <c r="G25" s="4">
        <v>6.84</v>
      </c>
      <c r="H25" s="11">
        <v>0.167</v>
      </c>
      <c r="I25" s="11">
        <v>0.083</v>
      </c>
      <c r="J25" s="11">
        <v>0.417</v>
      </c>
      <c r="K25" s="11">
        <v>0.333</v>
      </c>
      <c r="L25" s="11">
        <v>0.033</v>
      </c>
      <c r="M25" s="11">
        <f t="shared" si="1"/>
        <v>0.3447847682</v>
      </c>
      <c r="N25" s="11">
        <f t="shared" si="2"/>
        <v>0.4592301535</v>
      </c>
    </row>
    <row r="26" ht="15.75" customHeight="1">
      <c r="A26" s="4" t="s">
        <v>2208</v>
      </c>
      <c r="B26" s="4" t="s">
        <v>364</v>
      </c>
      <c r="C26" s="4" t="s">
        <v>2147</v>
      </c>
      <c r="D26" s="4" t="s">
        <v>2209</v>
      </c>
      <c r="F26" s="4">
        <v>7.35</v>
      </c>
      <c r="G26" s="4">
        <v>7.7</v>
      </c>
      <c r="H26" s="11">
        <v>0.417</v>
      </c>
      <c r="I26" s="11">
        <v>0.208</v>
      </c>
      <c r="J26" s="11">
        <v>0.083</v>
      </c>
      <c r="K26" s="11">
        <v>0.292</v>
      </c>
      <c r="L26" s="11">
        <v>0.05</v>
      </c>
      <c r="M26" s="11">
        <f t="shared" si="1"/>
        <v>0.6168</v>
      </c>
      <c r="N26" s="11">
        <f t="shared" si="2"/>
        <v>0.5354899307</v>
      </c>
    </row>
    <row r="27" ht="15.75" customHeight="1">
      <c r="A27" s="4" t="s">
        <v>2210</v>
      </c>
      <c r="B27" s="4" t="s">
        <v>364</v>
      </c>
      <c r="C27" s="4" t="s">
        <v>2154</v>
      </c>
      <c r="D27" s="4" t="s">
        <v>2212</v>
      </c>
      <c r="F27" s="4">
        <v>8.62</v>
      </c>
      <c r="G27" s="4">
        <v>6.82</v>
      </c>
      <c r="H27" s="11">
        <v>0.435</v>
      </c>
      <c r="I27" s="11">
        <v>0.174</v>
      </c>
      <c r="J27" s="11">
        <v>0.13</v>
      </c>
      <c r="K27" s="11">
        <v>0.261</v>
      </c>
      <c r="L27" s="11">
        <v>0.036</v>
      </c>
      <c r="M27" s="11">
        <f t="shared" si="1"/>
        <v>0.6073921971</v>
      </c>
      <c r="N27" s="11">
        <f t="shared" si="2"/>
        <v>0.5055959972</v>
      </c>
    </row>
    <row r="28" ht="15.75" customHeight="1">
      <c r="A28" s="4" t="s">
        <v>2214</v>
      </c>
      <c r="B28" s="4" t="s">
        <v>1709</v>
      </c>
      <c r="C28" s="4" t="s">
        <v>2147</v>
      </c>
      <c r="D28" s="4" t="s">
        <v>2215</v>
      </c>
      <c r="F28" s="4">
        <v>9.33</v>
      </c>
      <c r="G28" s="4">
        <v>8.54</v>
      </c>
      <c r="H28" s="11">
        <v>0.364</v>
      </c>
      <c r="I28" s="11">
        <v>0.091</v>
      </c>
      <c r="J28" s="11">
        <v>0.364</v>
      </c>
      <c r="K28" s="11">
        <v>0.182</v>
      </c>
      <c r="L28" s="11">
        <v>0.0</v>
      </c>
      <c r="M28" s="11">
        <f t="shared" si="1"/>
        <v>0.48</v>
      </c>
      <c r="N28" s="11">
        <f t="shared" si="2"/>
        <v>0.4872805577</v>
      </c>
    </row>
    <row r="29" ht="15.75" customHeight="1">
      <c r="A29" s="4" t="s">
        <v>2216</v>
      </c>
      <c r="B29" s="4" t="s">
        <v>1709</v>
      </c>
      <c r="C29" s="4" t="s">
        <v>2154</v>
      </c>
      <c r="D29" s="4" t="s">
        <v>2217</v>
      </c>
      <c r="F29" s="4">
        <v>9.04</v>
      </c>
      <c r="G29" s="4">
        <v>7.63</v>
      </c>
      <c r="H29" s="11">
        <v>0.421</v>
      </c>
      <c r="I29" s="11">
        <v>0.158</v>
      </c>
      <c r="J29" s="11">
        <v>0.158</v>
      </c>
      <c r="K29" s="11">
        <v>0.263</v>
      </c>
      <c r="L29" s="11">
        <v>0.0</v>
      </c>
      <c r="M29" s="11">
        <f t="shared" si="1"/>
        <v>0.5869475423</v>
      </c>
      <c r="N29" s="11">
        <f t="shared" si="2"/>
        <v>0.5024751275</v>
      </c>
    </row>
    <row r="30" ht="15.75" customHeight="1">
      <c r="A30" s="4" t="s">
        <v>2219</v>
      </c>
      <c r="B30" s="4" t="s">
        <v>1755</v>
      </c>
      <c r="C30" s="4" t="s">
        <v>2147</v>
      </c>
      <c r="D30" s="4" t="s">
        <v>2220</v>
      </c>
      <c r="F30" s="4">
        <v>9.16</v>
      </c>
      <c r="G30" s="4">
        <v>9.2</v>
      </c>
      <c r="H30" s="11">
        <v>0.429</v>
      </c>
      <c r="I30" s="11">
        <v>0.071</v>
      </c>
      <c r="J30" s="11">
        <v>0.143</v>
      </c>
      <c r="K30" s="11">
        <v>0.357</v>
      </c>
      <c r="L30" s="11">
        <v>0.08800000000000001</v>
      </c>
      <c r="M30" s="11">
        <f t="shared" si="1"/>
        <v>0.5588962109</v>
      </c>
      <c r="N30" s="11">
        <f t="shared" si="2"/>
        <v>0.5105955134</v>
      </c>
    </row>
    <row r="31" ht="15.75" customHeight="1">
      <c r="A31" s="4" t="s">
        <v>2222</v>
      </c>
      <c r="B31" s="4" t="s">
        <v>1755</v>
      </c>
      <c r="C31" s="4" t="s">
        <v>2154</v>
      </c>
      <c r="D31" s="4" t="s">
        <v>1565</v>
      </c>
      <c r="F31" s="4">
        <v>7.89</v>
      </c>
      <c r="G31" s="4">
        <v>8.66</v>
      </c>
      <c r="H31" s="11">
        <v>0.302</v>
      </c>
      <c r="I31" s="11">
        <v>0.317</v>
      </c>
      <c r="J31" s="11">
        <v>0.238</v>
      </c>
      <c r="K31" s="11">
        <v>0.143</v>
      </c>
      <c r="L31" s="11">
        <v>0.052</v>
      </c>
      <c r="M31" s="11">
        <f t="shared" si="1"/>
        <v>0.5613821138</v>
      </c>
      <c r="N31" s="11">
        <f t="shared" si="2"/>
        <v>0.5227311331</v>
      </c>
    </row>
    <row r="32" ht="15.75" customHeight="1">
      <c r="A32" s="4" t="s">
        <v>2223</v>
      </c>
      <c r="B32" s="4" t="s">
        <v>1794</v>
      </c>
      <c r="C32" s="4" t="s">
        <v>2147</v>
      </c>
      <c r="D32" s="4" t="s">
        <v>2166</v>
      </c>
      <c r="F32" s="4">
        <v>7.86</v>
      </c>
      <c r="G32" s="4">
        <v>7.42</v>
      </c>
      <c r="H32" s="11">
        <v>0.24</v>
      </c>
      <c r="I32" s="11">
        <v>0.2</v>
      </c>
      <c r="J32" s="11">
        <v>0.28</v>
      </c>
      <c r="K32" s="11">
        <v>0.28</v>
      </c>
      <c r="L32" s="11">
        <v>0.016</v>
      </c>
      <c r="M32" s="11">
        <f t="shared" si="1"/>
        <v>0.4677419355</v>
      </c>
      <c r="N32" s="11">
        <f t="shared" si="2"/>
        <v>0.4862840163</v>
      </c>
    </row>
    <row r="33" ht="15.75" customHeight="1">
      <c r="A33" s="4" t="s">
        <v>2225</v>
      </c>
      <c r="B33" s="4" t="s">
        <v>1794</v>
      </c>
      <c r="C33" s="4" t="s">
        <v>2154</v>
      </c>
      <c r="D33" s="4" t="s">
        <v>1013</v>
      </c>
      <c r="F33" s="4">
        <v>8.5</v>
      </c>
      <c r="G33" s="4">
        <v>8.69</v>
      </c>
      <c r="H33" s="11">
        <v>0.364</v>
      </c>
      <c r="I33" s="11">
        <v>0.091</v>
      </c>
      <c r="J33" s="11">
        <v>0.273</v>
      </c>
      <c r="K33" s="11">
        <v>0.273</v>
      </c>
      <c r="L33" s="11">
        <v>0.058</v>
      </c>
      <c r="M33" s="11">
        <f t="shared" si="1"/>
        <v>0.5</v>
      </c>
      <c r="N33" s="11">
        <f t="shared" si="2"/>
        <v>0.5021995832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2" width="8.0"/>
    <col customWidth="1" min="3" max="26" width="8.71"/>
  </cols>
  <sheetData>
    <row r="1">
      <c r="A1" s="7" t="s">
        <v>2257</v>
      </c>
      <c r="B1" s="7" t="s">
        <v>1185</v>
      </c>
    </row>
    <row r="2">
      <c r="A2" s="4" t="s">
        <v>2258</v>
      </c>
      <c r="B2" s="4">
        <v>8.19</v>
      </c>
    </row>
    <row r="3">
      <c r="A3" s="4" t="s">
        <v>2259</v>
      </c>
      <c r="B3" s="4">
        <v>8.57</v>
      </c>
    </row>
    <row r="4">
      <c r="A4" s="4" t="s">
        <v>2260</v>
      </c>
      <c r="B4" s="4">
        <v>9.62</v>
      </c>
    </row>
    <row r="5">
      <c r="A5" s="4" t="s">
        <v>2261</v>
      </c>
      <c r="B5" s="4">
        <v>9.5</v>
      </c>
    </row>
    <row r="6">
      <c r="A6" s="4" t="s">
        <v>2263</v>
      </c>
      <c r="B6" s="4">
        <v>7.25</v>
      </c>
    </row>
    <row r="7">
      <c r="A7" s="4" t="s">
        <v>2264</v>
      </c>
      <c r="B7" s="4">
        <v>8.33</v>
      </c>
    </row>
    <row r="8">
      <c r="A8" s="4" t="s">
        <v>2265</v>
      </c>
      <c r="B8" s="4">
        <v>9.12</v>
      </c>
    </row>
    <row r="9">
      <c r="A9" s="4" t="s">
        <v>2266</v>
      </c>
      <c r="B9" s="4">
        <v>9.57</v>
      </c>
    </row>
    <row r="10">
      <c r="A10" s="4" t="s">
        <v>2267</v>
      </c>
      <c r="B10" s="4">
        <v>4.0</v>
      </c>
    </row>
    <row r="11">
      <c r="A11" s="4" t="s">
        <v>2268</v>
      </c>
      <c r="B11" s="4">
        <v>7.4</v>
      </c>
    </row>
    <row r="12">
      <c r="A12" s="4" t="s">
        <v>2269</v>
      </c>
      <c r="B12" s="4">
        <v>8.33</v>
      </c>
    </row>
    <row r="13">
      <c r="A13" s="4" t="s">
        <v>2270</v>
      </c>
      <c r="B13" s="4">
        <v>8.8</v>
      </c>
    </row>
    <row r="14">
      <c r="A14" s="4" t="s">
        <v>2271</v>
      </c>
      <c r="B14" s="4">
        <v>11.4</v>
      </c>
    </row>
    <row r="15">
      <c r="A15" s="4" t="s">
        <v>2272</v>
      </c>
      <c r="B15" s="4">
        <v>9.0</v>
      </c>
    </row>
    <row r="16">
      <c r="A16" s="4" t="s">
        <v>2273</v>
      </c>
      <c r="B16" s="4">
        <v>7.44</v>
      </c>
    </row>
    <row r="17">
      <c r="A17" s="4" t="s">
        <v>2274</v>
      </c>
      <c r="B17" s="4">
        <v>9.29</v>
      </c>
    </row>
    <row r="18">
      <c r="A18" s="4" t="s">
        <v>2276</v>
      </c>
      <c r="B18" s="4">
        <v>8.6</v>
      </c>
    </row>
    <row r="19">
      <c r="A19" s="4" t="s">
        <v>2277</v>
      </c>
      <c r="B19" s="4">
        <v>7.33</v>
      </c>
    </row>
    <row r="20">
      <c r="A20" s="4" t="s">
        <v>2278</v>
      </c>
      <c r="B20" s="4">
        <v>5.0</v>
      </c>
    </row>
    <row r="21" ht="15.75" customHeight="1">
      <c r="A21" s="4" t="s">
        <v>2279</v>
      </c>
      <c r="B21" s="4">
        <v>8.67</v>
      </c>
    </row>
    <row r="22" ht="15.75" customHeight="1">
      <c r="A22" s="4" t="s">
        <v>2280</v>
      </c>
      <c r="B22" s="4">
        <v>8.5</v>
      </c>
    </row>
    <row r="23" ht="15.75" customHeight="1">
      <c r="A23" s="4" t="s">
        <v>2281</v>
      </c>
      <c r="B23" s="4">
        <v>7.6</v>
      </c>
    </row>
    <row r="24" ht="15.75" customHeight="1">
      <c r="A24" s="4" t="s">
        <v>2282</v>
      </c>
      <c r="B24" s="4">
        <v>8.0</v>
      </c>
    </row>
    <row r="25" ht="15.75" customHeight="1">
      <c r="A25" s="4" t="s">
        <v>2283</v>
      </c>
      <c r="B25" s="4">
        <v>7.4</v>
      </c>
    </row>
    <row r="26" ht="15.75" customHeight="1">
      <c r="A26" s="4" t="s">
        <v>2284</v>
      </c>
      <c r="B26" s="4">
        <v>8.5</v>
      </c>
    </row>
    <row r="27" ht="15.75" customHeight="1">
      <c r="A27" s="4" t="s">
        <v>2285</v>
      </c>
      <c r="B27" s="4">
        <v>6.4</v>
      </c>
    </row>
    <row r="28" ht="15.75" customHeight="1">
      <c r="A28" s="4" t="s">
        <v>2286</v>
      </c>
      <c r="B28" s="4">
        <v>12.17</v>
      </c>
    </row>
    <row r="29" ht="15.75" customHeight="1">
      <c r="A29" s="4" t="s">
        <v>2287</v>
      </c>
      <c r="B29" s="4">
        <v>8.19</v>
      </c>
    </row>
    <row r="30" ht="15.75" customHeight="1">
      <c r="A30" s="4" t="s">
        <v>2289</v>
      </c>
      <c r="B30" s="4">
        <v>8.94</v>
      </c>
    </row>
    <row r="31" ht="15.75" customHeight="1">
      <c r="A31" s="4" t="s">
        <v>2290</v>
      </c>
      <c r="B31" s="4">
        <v>7.5</v>
      </c>
    </row>
    <row r="32" ht="15.75" customHeight="1">
      <c r="A32" s="4" t="s">
        <v>2291</v>
      </c>
      <c r="B32" s="4">
        <v>9.0</v>
      </c>
    </row>
    <row r="33" ht="15.75" customHeight="1">
      <c r="A33" s="4" t="s">
        <v>2292</v>
      </c>
      <c r="B33" s="4">
        <v>8.67</v>
      </c>
    </row>
    <row r="34" ht="15.75" customHeight="1">
      <c r="A34" s="4" t="s">
        <v>2293</v>
      </c>
      <c r="B34" s="4">
        <v>7.2</v>
      </c>
    </row>
    <row r="35" ht="15.75" customHeight="1">
      <c r="A35" s="4" t="s">
        <v>2294</v>
      </c>
      <c r="B35" s="4">
        <v>8.0</v>
      </c>
    </row>
    <row r="36" ht="15.75" customHeight="1">
      <c r="A36" s="4" t="s">
        <v>2295</v>
      </c>
      <c r="B36" s="4">
        <v>10.14</v>
      </c>
    </row>
    <row r="37" ht="15.75" customHeight="1">
      <c r="A37" s="4" t="s">
        <v>2296</v>
      </c>
      <c r="B37" s="4">
        <v>7.75</v>
      </c>
    </row>
    <row r="38" ht="15.75" customHeight="1">
      <c r="A38" s="4" t="s">
        <v>2297</v>
      </c>
      <c r="B38" s="4">
        <v>9.75</v>
      </c>
    </row>
    <row r="39" ht="15.75" customHeight="1">
      <c r="A39" s="4" t="s">
        <v>2298</v>
      </c>
      <c r="B39" s="4">
        <v>8.71</v>
      </c>
    </row>
    <row r="40" ht="15.75" customHeight="1">
      <c r="A40" s="4" t="s">
        <v>2299</v>
      </c>
      <c r="B40" s="4">
        <v>4.5</v>
      </c>
    </row>
    <row r="41" ht="15.75" customHeight="1">
      <c r="A41" s="4" t="s">
        <v>2301</v>
      </c>
      <c r="B41" s="4">
        <v>7.4</v>
      </c>
    </row>
    <row r="42" ht="15.75" customHeight="1">
      <c r="A42" s="4" t="s">
        <v>2302</v>
      </c>
      <c r="B42" s="4">
        <v>9.75</v>
      </c>
    </row>
    <row r="43" ht="15.75" customHeight="1">
      <c r="A43" s="4" t="s">
        <v>2303</v>
      </c>
      <c r="B43" s="4">
        <v>10.5</v>
      </c>
    </row>
    <row r="44" ht="15.75" customHeight="1">
      <c r="A44" s="4" t="s">
        <v>2304</v>
      </c>
      <c r="B44" s="4">
        <v>11.0</v>
      </c>
    </row>
    <row r="45" ht="15.75" customHeight="1">
      <c r="A45" s="4" t="s">
        <v>2305</v>
      </c>
      <c r="B45" s="4">
        <v>7.43</v>
      </c>
    </row>
    <row r="46" ht="15.75" customHeight="1">
      <c r="A46" s="4" t="s">
        <v>2306</v>
      </c>
      <c r="B46" s="4">
        <v>7.57</v>
      </c>
    </row>
    <row r="47" ht="15.75" customHeight="1">
      <c r="A47" s="4" t="s">
        <v>2307</v>
      </c>
      <c r="B47" s="4">
        <v>8.14</v>
      </c>
    </row>
    <row r="48" ht="15.75" customHeight="1">
      <c r="A48" s="4" t="s">
        <v>2308</v>
      </c>
      <c r="B48" s="4">
        <v>9.5</v>
      </c>
    </row>
    <row r="49" ht="15.75" customHeight="1">
      <c r="A49" s="4" t="s">
        <v>2309</v>
      </c>
      <c r="B49" s="4">
        <v>8.33</v>
      </c>
    </row>
    <row r="50" ht="15.75" customHeight="1">
      <c r="A50" s="4" t="s">
        <v>2310</v>
      </c>
      <c r="B50" s="4">
        <v>4.5</v>
      </c>
    </row>
    <row r="51" ht="15.75" customHeight="1">
      <c r="A51" s="4" t="s">
        <v>2311</v>
      </c>
      <c r="B51" s="4">
        <v>7.6</v>
      </c>
    </row>
    <row r="52" ht="15.75" customHeight="1">
      <c r="A52" s="4" t="s">
        <v>2312</v>
      </c>
      <c r="B52" s="4">
        <v>9.0</v>
      </c>
    </row>
    <row r="53" ht="15.75" customHeight="1">
      <c r="A53" s="4" t="s">
        <v>2314</v>
      </c>
      <c r="B53" s="4">
        <v>7.6</v>
      </c>
    </row>
    <row r="54" ht="15.75" customHeight="1">
      <c r="A54" s="4" t="s">
        <v>2315</v>
      </c>
      <c r="B54" s="4">
        <v>6.67</v>
      </c>
    </row>
    <row r="55" ht="15.75" customHeight="1">
      <c r="A55" s="4" t="s">
        <v>2316</v>
      </c>
      <c r="B55" s="4">
        <v>8.33</v>
      </c>
    </row>
    <row r="56" ht="15.75" customHeight="1">
      <c r="A56" s="4" t="s">
        <v>2317</v>
      </c>
      <c r="B56" s="4">
        <v>10.0</v>
      </c>
    </row>
    <row r="57" ht="15.75" customHeight="1">
      <c r="A57" s="4" t="s">
        <v>2318</v>
      </c>
      <c r="B57" s="4">
        <v>6.89</v>
      </c>
    </row>
    <row r="58" ht="15.75" customHeight="1">
      <c r="A58" s="4" t="s">
        <v>2319</v>
      </c>
      <c r="B58" s="4">
        <v>8.33</v>
      </c>
    </row>
    <row r="59" ht="15.75" customHeight="1">
      <c r="A59" s="4" t="s">
        <v>2320</v>
      </c>
      <c r="B59" s="4">
        <v>7.08</v>
      </c>
    </row>
    <row r="60" ht="15.75" customHeight="1">
      <c r="A60" s="4" t="s">
        <v>2321</v>
      </c>
      <c r="B60" s="4">
        <v>8.69</v>
      </c>
    </row>
    <row r="61" ht="15.75" customHeight="1">
      <c r="A61" s="4" t="s">
        <v>2322</v>
      </c>
      <c r="B61" s="4">
        <v>9.0</v>
      </c>
    </row>
    <row r="62" ht="15.75" customHeight="1">
      <c r="A62" s="4" t="s">
        <v>2323</v>
      </c>
      <c r="B62" s="4">
        <v>6.2</v>
      </c>
    </row>
    <row r="63" ht="15.75" customHeight="1">
      <c r="A63" s="4" t="s">
        <v>2324</v>
      </c>
      <c r="B63" s="4">
        <v>6.0</v>
      </c>
    </row>
    <row r="64" ht="15.75" customHeight="1">
      <c r="A64" s="4" t="s">
        <v>2325</v>
      </c>
      <c r="B64" s="4">
        <v>8.0</v>
      </c>
    </row>
    <row r="65" ht="15.75" customHeight="1">
      <c r="A65" s="4" t="s">
        <v>2327</v>
      </c>
      <c r="B65" s="4">
        <v>8.0</v>
      </c>
    </row>
    <row r="66" ht="15.75" customHeight="1">
      <c r="A66" s="4" t="s">
        <v>2328</v>
      </c>
      <c r="B66" s="4">
        <v>8.0</v>
      </c>
    </row>
    <row r="67" ht="15.75" customHeight="1">
      <c r="A67" s="4" t="s">
        <v>2329</v>
      </c>
      <c r="B67" s="4">
        <v>10.5</v>
      </c>
    </row>
    <row r="68" ht="15.75" customHeight="1">
      <c r="A68" s="4" t="s">
        <v>2330</v>
      </c>
      <c r="B68" s="4">
        <v>7.29</v>
      </c>
    </row>
    <row r="69" ht="15.75" customHeight="1">
      <c r="A69" s="4" t="s">
        <v>2331</v>
      </c>
      <c r="B69" s="4">
        <v>9.25</v>
      </c>
    </row>
    <row r="70" ht="15.75" customHeight="1">
      <c r="A70" s="4" t="s">
        <v>2332</v>
      </c>
      <c r="B70" s="4">
        <v>6.0</v>
      </c>
    </row>
    <row r="71" ht="15.75" customHeight="1">
      <c r="A71" s="4" t="s">
        <v>2333</v>
      </c>
      <c r="B71" s="4">
        <v>10.5</v>
      </c>
    </row>
    <row r="72" ht="15.75" customHeight="1">
      <c r="A72" s="4" t="s">
        <v>2334</v>
      </c>
      <c r="B72" s="4">
        <v>7.86</v>
      </c>
    </row>
    <row r="73" ht="15.75" customHeight="1">
      <c r="A73" s="4" t="s">
        <v>2335</v>
      </c>
      <c r="B73" s="4">
        <v>7.42</v>
      </c>
    </row>
    <row r="74" ht="15.75" customHeight="1">
      <c r="A74" s="4" t="s">
        <v>2336</v>
      </c>
      <c r="B74" s="4">
        <v>8.5</v>
      </c>
    </row>
    <row r="75" ht="15.75" customHeight="1">
      <c r="A75" s="4" t="s">
        <v>2337</v>
      </c>
      <c r="B75" s="4">
        <v>3.75</v>
      </c>
    </row>
    <row r="76" ht="15.75" customHeight="1">
      <c r="A76" s="4" t="s">
        <v>2339</v>
      </c>
      <c r="B76" s="4">
        <v>8.67</v>
      </c>
    </row>
    <row r="77" ht="15.75" customHeight="1">
      <c r="A77" s="4" t="s">
        <v>2340</v>
      </c>
      <c r="B77" s="4">
        <v>8.5</v>
      </c>
    </row>
    <row r="78" ht="15.75" customHeight="1">
      <c r="A78" s="4" t="s">
        <v>2341</v>
      </c>
      <c r="B78" s="4">
        <v>7.75</v>
      </c>
    </row>
    <row r="79" ht="15.75" customHeight="1">
      <c r="A79" s="4" t="s">
        <v>2342</v>
      </c>
      <c r="B79" s="4">
        <v>9.17</v>
      </c>
    </row>
    <row r="80" ht="15.75" customHeight="1">
      <c r="A80" s="4" t="s">
        <v>2343</v>
      </c>
      <c r="B80" s="4">
        <v>6.0</v>
      </c>
    </row>
    <row r="81" ht="15.75" customHeight="1">
      <c r="A81" s="4" t="s">
        <v>2344</v>
      </c>
      <c r="B81" s="4">
        <v>9.25</v>
      </c>
    </row>
    <row r="82" ht="15.75" customHeight="1">
      <c r="A82" s="4" t="s">
        <v>2345</v>
      </c>
      <c r="B82" s="4">
        <v>8.33</v>
      </c>
    </row>
    <row r="83" ht="15.75" customHeight="1">
      <c r="A83" s="4" t="s">
        <v>2346</v>
      </c>
      <c r="B83" s="4">
        <v>6.89</v>
      </c>
    </row>
    <row r="84" ht="15.75" customHeight="1">
      <c r="A84" s="4" t="s">
        <v>2347</v>
      </c>
      <c r="B84" s="4">
        <v>7.0</v>
      </c>
    </row>
    <row r="85" ht="15.75" customHeight="1">
      <c r="A85" s="4" t="s">
        <v>2348</v>
      </c>
      <c r="B85" s="4">
        <v>12.5</v>
      </c>
    </row>
    <row r="86" ht="15.75" customHeight="1">
      <c r="A86" s="4" t="s">
        <v>2349</v>
      </c>
      <c r="B86" s="4">
        <v>7.0</v>
      </c>
    </row>
    <row r="87" ht="15.75" customHeight="1">
      <c r="A87" s="4" t="s">
        <v>2350</v>
      </c>
      <c r="B87" s="4">
        <v>8.5</v>
      </c>
    </row>
    <row r="88" ht="15.75" customHeight="1">
      <c r="A88" s="4" t="s">
        <v>2352</v>
      </c>
      <c r="B88" s="4">
        <v>8.69</v>
      </c>
    </row>
    <row r="89" ht="15.75" customHeight="1">
      <c r="A89" s="4" t="s">
        <v>2353</v>
      </c>
      <c r="B89" s="4">
        <v>9.0</v>
      </c>
    </row>
    <row r="90" ht="15.75" customHeight="1">
      <c r="A90" s="4" t="s">
        <v>2354</v>
      </c>
      <c r="B90" s="4">
        <v>7.25</v>
      </c>
    </row>
    <row r="91" ht="15.75" customHeight="1">
      <c r="A91" s="4" t="s">
        <v>2355</v>
      </c>
      <c r="B91" s="4">
        <v>4.0</v>
      </c>
    </row>
    <row r="92" ht="15.75" customHeight="1">
      <c r="A92" s="4" t="s">
        <v>2356</v>
      </c>
      <c r="B92" s="4">
        <v>8.0</v>
      </c>
    </row>
    <row r="93" ht="15.75" customHeight="1">
      <c r="A93" s="4" t="s">
        <v>2357</v>
      </c>
      <c r="B93" s="4">
        <v>7.8</v>
      </c>
    </row>
    <row r="94" ht="15.75" customHeight="1">
      <c r="A94" s="4" t="s">
        <v>2358</v>
      </c>
      <c r="B94" s="4">
        <v>11.5</v>
      </c>
    </row>
    <row r="95" ht="15.75" customHeight="1">
      <c r="A95" s="4" t="s">
        <v>2359</v>
      </c>
      <c r="B95" s="4">
        <v>12.5</v>
      </c>
    </row>
    <row r="96" ht="15.75" customHeight="1">
      <c r="A96" s="4" t="s">
        <v>2360</v>
      </c>
      <c r="B96" s="4">
        <v>9.33</v>
      </c>
    </row>
    <row r="97" ht="15.75" customHeight="1">
      <c r="A97" s="4" t="s">
        <v>2361</v>
      </c>
      <c r="B97" s="4">
        <v>9.75</v>
      </c>
    </row>
    <row r="98" ht="15.75" customHeight="1">
      <c r="A98" s="4" t="s">
        <v>2362</v>
      </c>
      <c r="B98" s="4">
        <v>9.33</v>
      </c>
    </row>
    <row r="99" ht="15.75" customHeight="1">
      <c r="A99" s="4" t="s">
        <v>2363</v>
      </c>
      <c r="B99" s="4">
        <v>9.5</v>
      </c>
    </row>
    <row r="100" ht="15.75" customHeight="1">
      <c r="A100" s="4" t="s">
        <v>2364</v>
      </c>
      <c r="B100" s="4">
        <v>10.0</v>
      </c>
    </row>
    <row r="101" ht="15.75" customHeight="1">
      <c r="A101" s="4" t="s">
        <v>2365</v>
      </c>
      <c r="B101" s="4">
        <v>9.0</v>
      </c>
    </row>
    <row r="102" ht="15.75" customHeight="1">
      <c r="A102" s="4" t="s">
        <v>2366</v>
      </c>
      <c r="B102" s="4">
        <v>5.91</v>
      </c>
    </row>
    <row r="103" ht="15.75" customHeight="1">
      <c r="A103" s="4" t="s">
        <v>2367</v>
      </c>
      <c r="B103" s="4">
        <v>6.84</v>
      </c>
    </row>
    <row r="104" ht="15.75" customHeight="1">
      <c r="A104" s="4" t="s">
        <v>2369</v>
      </c>
      <c r="B104" s="4">
        <v>7.0</v>
      </c>
    </row>
    <row r="105" ht="15.75" customHeight="1">
      <c r="A105" s="4" t="s">
        <v>2370</v>
      </c>
      <c r="B105" s="4">
        <v>4.0</v>
      </c>
    </row>
    <row r="106" ht="15.75" customHeight="1">
      <c r="A106" s="4" t="s">
        <v>2371</v>
      </c>
      <c r="B106" s="4">
        <v>6.29</v>
      </c>
    </row>
    <row r="107" ht="15.75" customHeight="1">
      <c r="A107" s="4" t="s">
        <v>2372</v>
      </c>
      <c r="B107" s="4">
        <v>8.0</v>
      </c>
    </row>
    <row r="108" ht="15.75" customHeight="1">
      <c r="A108" s="4" t="s">
        <v>2373</v>
      </c>
      <c r="B108" s="4">
        <v>8.0</v>
      </c>
    </row>
    <row r="109" ht="15.75" customHeight="1">
      <c r="A109" s="4" t="s">
        <v>2374</v>
      </c>
      <c r="B109" s="4">
        <v>5.33</v>
      </c>
    </row>
    <row r="110" ht="15.75" customHeight="1">
      <c r="A110" s="4" t="s">
        <v>2375</v>
      </c>
      <c r="B110" s="4">
        <v>12.0</v>
      </c>
    </row>
    <row r="111" ht="15.75" customHeight="1">
      <c r="A111" s="4" t="s">
        <v>2376</v>
      </c>
      <c r="B111" s="4">
        <v>11.0</v>
      </c>
    </row>
    <row r="112" ht="15.75" customHeight="1">
      <c r="A112" s="4" t="s">
        <v>2377</v>
      </c>
      <c r="B112" s="4">
        <v>4.5</v>
      </c>
    </row>
    <row r="113" ht="15.75" customHeight="1">
      <c r="A113" s="4" t="s">
        <v>2378</v>
      </c>
      <c r="B113" s="4">
        <v>2.0</v>
      </c>
    </row>
    <row r="114" ht="15.75" customHeight="1">
      <c r="A114" s="4" t="s">
        <v>2379</v>
      </c>
      <c r="B114" s="4">
        <v>7.8</v>
      </c>
    </row>
    <row r="115" ht="15.75" customHeight="1">
      <c r="A115" s="4" t="s">
        <v>2380</v>
      </c>
      <c r="B115" s="4">
        <v>9.08</v>
      </c>
    </row>
    <row r="116" ht="15.75" customHeight="1">
      <c r="A116" s="4" t="s">
        <v>2381</v>
      </c>
      <c r="B116" s="4">
        <v>8.43</v>
      </c>
    </row>
    <row r="117" ht="15.75" customHeight="1">
      <c r="A117" s="4" t="s">
        <v>2382</v>
      </c>
      <c r="B117" s="4">
        <v>7.5</v>
      </c>
    </row>
    <row r="118" ht="15.75" customHeight="1">
      <c r="A118" s="4" t="s">
        <v>2383</v>
      </c>
      <c r="B118" s="4">
        <v>7.0</v>
      </c>
    </row>
    <row r="119" ht="15.75" customHeight="1">
      <c r="A119" s="4" t="s">
        <v>2384</v>
      </c>
      <c r="B119" s="4">
        <v>8.17</v>
      </c>
    </row>
    <row r="120" ht="15.75" customHeight="1">
      <c r="A120" s="4" t="s">
        <v>2385</v>
      </c>
      <c r="B120" s="4">
        <v>7.0</v>
      </c>
    </row>
    <row r="121" ht="15.75" customHeight="1">
      <c r="A121" s="4" t="s">
        <v>2386</v>
      </c>
      <c r="B121" s="4">
        <v>11.86</v>
      </c>
    </row>
    <row r="122" ht="15.75" customHeight="1">
      <c r="A122" s="4" t="s">
        <v>2387</v>
      </c>
      <c r="B122" s="4">
        <v>8.25</v>
      </c>
    </row>
    <row r="123" ht="15.75" customHeight="1">
      <c r="A123" s="4" t="s">
        <v>2388</v>
      </c>
      <c r="B123" s="4">
        <v>8.75</v>
      </c>
    </row>
    <row r="124" ht="15.75" customHeight="1">
      <c r="A124" s="4" t="s">
        <v>2389</v>
      </c>
      <c r="B124" s="4">
        <v>7.33</v>
      </c>
    </row>
    <row r="125" ht="15.75" customHeight="1">
      <c r="A125" s="4" t="s">
        <v>2390</v>
      </c>
      <c r="B125" s="4">
        <v>6.5</v>
      </c>
    </row>
    <row r="126" ht="15.75" customHeight="1">
      <c r="A126" s="4" t="s">
        <v>2391</v>
      </c>
      <c r="B126" s="4">
        <v>7.62</v>
      </c>
    </row>
    <row r="127" ht="15.75" customHeight="1">
      <c r="A127" s="4" t="s">
        <v>2392</v>
      </c>
      <c r="B127" s="4">
        <v>9.5</v>
      </c>
    </row>
    <row r="128" ht="15.75" customHeight="1">
      <c r="A128" s="4" t="s">
        <v>2393</v>
      </c>
      <c r="B128" s="4">
        <v>7.21</v>
      </c>
    </row>
    <row r="129" ht="15.75" customHeight="1">
      <c r="A129" s="4" t="s">
        <v>2395</v>
      </c>
      <c r="B129" s="4">
        <v>8.96</v>
      </c>
    </row>
    <row r="130" ht="15.75" customHeight="1">
      <c r="A130" s="4" t="s">
        <v>2396</v>
      </c>
      <c r="B130" s="4">
        <v>7.5</v>
      </c>
    </row>
    <row r="131" ht="15.75" customHeight="1">
      <c r="A131" s="4" t="s">
        <v>2397</v>
      </c>
      <c r="B131" s="4">
        <v>7.5</v>
      </c>
    </row>
    <row r="132" ht="15.75" customHeight="1">
      <c r="A132" s="4" t="s">
        <v>2398</v>
      </c>
      <c r="B132" s="4">
        <v>7.5</v>
      </c>
    </row>
    <row r="133" ht="15.75" customHeight="1">
      <c r="A133" s="4" t="s">
        <v>2399</v>
      </c>
      <c r="B133" s="4">
        <v>10.0</v>
      </c>
    </row>
    <row r="134" ht="15.75" customHeight="1">
      <c r="A134" s="4" t="s">
        <v>2400</v>
      </c>
      <c r="B134" s="4">
        <v>8.88</v>
      </c>
    </row>
    <row r="135" ht="15.75" customHeight="1">
      <c r="A135" s="4" t="s">
        <v>2401</v>
      </c>
      <c r="B135" s="4">
        <v>10.33</v>
      </c>
    </row>
    <row r="136" ht="15.75" customHeight="1">
      <c r="A136" s="4" t="s">
        <v>2402</v>
      </c>
      <c r="B136" s="4">
        <v>5.5</v>
      </c>
    </row>
    <row r="137" ht="15.75" customHeight="1">
      <c r="A137" s="4" t="s">
        <v>2403</v>
      </c>
      <c r="B137" s="4">
        <v>7.25</v>
      </c>
    </row>
    <row r="138" ht="15.75" customHeight="1">
      <c r="A138" s="4" t="s">
        <v>2404</v>
      </c>
      <c r="B138" s="4">
        <v>7.4</v>
      </c>
    </row>
    <row r="139" ht="15.75" customHeight="1">
      <c r="A139" s="4" t="s">
        <v>2405</v>
      </c>
      <c r="B139" s="4">
        <v>10.33</v>
      </c>
    </row>
    <row r="140" ht="15.75" customHeight="1">
      <c r="A140" s="4" t="s">
        <v>2406</v>
      </c>
      <c r="B140" s="4">
        <v>7.0</v>
      </c>
    </row>
    <row r="141" ht="15.75" customHeight="1">
      <c r="A141" s="4" t="s">
        <v>2407</v>
      </c>
      <c r="B141" s="4">
        <v>8.6</v>
      </c>
    </row>
    <row r="142" ht="15.75" customHeight="1">
      <c r="A142" s="4" t="s">
        <v>2408</v>
      </c>
      <c r="B142" s="4">
        <v>7.7</v>
      </c>
    </row>
    <row r="143" ht="15.75" customHeight="1">
      <c r="A143" s="4" t="s">
        <v>2409</v>
      </c>
      <c r="B143" s="4">
        <v>6.5</v>
      </c>
    </row>
    <row r="144" ht="15.75" customHeight="1">
      <c r="A144" s="4" t="s">
        <v>2410</v>
      </c>
      <c r="B144" s="4">
        <v>6.29</v>
      </c>
    </row>
    <row r="145" ht="15.75" customHeight="1">
      <c r="A145" s="4" t="s">
        <v>2411</v>
      </c>
      <c r="B145" s="4">
        <v>7.0</v>
      </c>
    </row>
    <row r="146" ht="15.75" customHeight="1">
      <c r="A146" s="4" t="s">
        <v>2412</v>
      </c>
      <c r="B146" s="4">
        <v>8.56</v>
      </c>
    </row>
    <row r="147" ht="15.75" customHeight="1">
      <c r="A147" s="4" t="s">
        <v>2413</v>
      </c>
      <c r="B147" s="4">
        <v>9.33</v>
      </c>
    </row>
    <row r="148" ht="15.75" customHeight="1">
      <c r="A148" s="4" t="s">
        <v>2414</v>
      </c>
      <c r="B148" s="4">
        <v>7.0</v>
      </c>
    </row>
    <row r="149" ht="15.75" customHeight="1">
      <c r="A149" s="4" t="s">
        <v>2415</v>
      </c>
      <c r="B149" s="4">
        <v>4.5</v>
      </c>
    </row>
    <row r="150" ht="15.75" customHeight="1">
      <c r="A150" s="4" t="s">
        <v>2416</v>
      </c>
      <c r="B150" s="4">
        <v>7.0</v>
      </c>
    </row>
    <row r="151" ht="15.75" customHeight="1">
      <c r="A151" s="4" t="s">
        <v>2417</v>
      </c>
      <c r="B151" s="4">
        <v>8.67</v>
      </c>
    </row>
    <row r="152" ht="15.75" customHeight="1">
      <c r="A152" s="4" t="s">
        <v>2418</v>
      </c>
      <c r="B152" s="4">
        <v>10.33</v>
      </c>
    </row>
    <row r="153" ht="15.75" customHeight="1">
      <c r="A153" s="4" t="s">
        <v>2419</v>
      </c>
      <c r="B153" s="4">
        <v>6.0</v>
      </c>
    </row>
    <row r="154" ht="15.75" customHeight="1">
      <c r="A154" s="4" t="s">
        <v>2420</v>
      </c>
      <c r="B154" s="4">
        <v>7.36</v>
      </c>
    </row>
    <row r="155" ht="15.75" customHeight="1">
      <c r="A155" s="4" t="s">
        <v>2421</v>
      </c>
      <c r="B155" s="4">
        <v>7.14</v>
      </c>
    </row>
    <row r="156" ht="15.75" customHeight="1">
      <c r="A156" s="4" t="s">
        <v>2422</v>
      </c>
      <c r="B156" s="4">
        <v>8.03</v>
      </c>
    </row>
    <row r="157" ht="15.75" customHeight="1">
      <c r="A157" s="4" t="s">
        <v>2423</v>
      </c>
      <c r="B157" s="4">
        <v>8.27</v>
      </c>
    </row>
    <row r="158" ht="15.75" customHeight="1">
      <c r="A158" s="4" t="s">
        <v>2425</v>
      </c>
      <c r="B158" s="4">
        <v>7.0</v>
      </c>
    </row>
    <row r="159" ht="15.75" customHeight="1">
      <c r="A159" s="4" t="s">
        <v>2426</v>
      </c>
      <c r="B159" s="4">
        <v>10.5</v>
      </c>
    </row>
    <row r="160" ht="15.75" customHeight="1">
      <c r="A160" s="4" t="s">
        <v>2427</v>
      </c>
      <c r="B160" s="4">
        <v>9.25</v>
      </c>
    </row>
    <row r="161" ht="15.75" customHeight="1">
      <c r="A161" s="4" t="s">
        <v>2428</v>
      </c>
      <c r="B161" s="4">
        <v>7.77</v>
      </c>
    </row>
    <row r="162" ht="15.75" customHeight="1">
      <c r="A162" s="4" t="s">
        <v>2429</v>
      </c>
      <c r="B162" s="4">
        <v>5.0</v>
      </c>
    </row>
    <row r="163" ht="15.75" customHeight="1">
      <c r="A163" s="4" t="s">
        <v>2430</v>
      </c>
      <c r="B163" s="4">
        <v>8.83</v>
      </c>
    </row>
    <row r="164" ht="15.75" customHeight="1">
      <c r="A164" s="4" t="s">
        <v>2431</v>
      </c>
      <c r="B164" s="4">
        <v>7.69</v>
      </c>
    </row>
    <row r="165" ht="15.75" customHeight="1">
      <c r="A165" s="4" t="s">
        <v>2432</v>
      </c>
      <c r="B165" s="4">
        <v>9.0</v>
      </c>
    </row>
    <row r="166" ht="15.75" customHeight="1">
      <c r="A166" s="4" t="s">
        <v>2433</v>
      </c>
      <c r="B166" s="4">
        <v>9.43</v>
      </c>
    </row>
    <row r="167" ht="15.75" customHeight="1">
      <c r="A167" s="4" t="s">
        <v>2434</v>
      </c>
      <c r="B167" s="4">
        <v>8.71</v>
      </c>
    </row>
    <row r="168" ht="15.75" customHeight="1">
      <c r="A168" s="4" t="s">
        <v>2435</v>
      </c>
      <c r="B168" s="4">
        <v>9.21</v>
      </c>
    </row>
    <row r="169" ht="15.75" customHeight="1">
      <c r="A169" s="4" t="s">
        <v>2436</v>
      </c>
      <c r="B169" s="4">
        <v>9.5</v>
      </c>
    </row>
    <row r="170" ht="15.75" customHeight="1">
      <c r="A170" s="4" t="s">
        <v>2437</v>
      </c>
      <c r="B170" s="4">
        <v>6.31</v>
      </c>
    </row>
    <row r="171" ht="15.75" customHeight="1">
      <c r="A171" s="4" t="s">
        <v>2438</v>
      </c>
      <c r="B171" s="4">
        <v>6.6</v>
      </c>
    </row>
    <row r="172" ht="15.75" customHeight="1">
      <c r="A172" s="4" t="s">
        <v>2439</v>
      </c>
      <c r="B172" s="4">
        <v>7.08</v>
      </c>
    </row>
    <row r="173" ht="15.75" customHeight="1">
      <c r="A173" s="4" t="s">
        <v>2440</v>
      </c>
      <c r="B173" s="4">
        <v>8.69</v>
      </c>
    </row>
    <row r="174" ht="15.75" customHeight="1">
      <c r="A174" s="4" t="s">
        <v>2441</v>
      </c>
      <c r="B174" s="4">
        <v>9.0</v>
      </c>
    </row>
    <row r="175" ht="15.75" customHeight="1">
      <c r="A175" s="4" t="s">
        <v>2442</v>
      </c>
      <c r="B175" s="4">
        <v>6.2</v>
      </c>
    </row>
    <row r="176" ht="15.75" customHeight="1">
      <c r="A176" s="4" t="s">
        <v>2444</v>
      </c>
      <c r="B176" s="4">
        <v>6.0</v>
      </c>
    </row>
    <row r="177" ht="15.75" customHeight="1">
      <c r="A177" s="4" t="s">
        <v>2445</v>
      </c>
      <c r="B177" s="4">
        <v>8.0</v>
      </c>
    </row>
    <row r="178" ht="15.75" customHeight="1">
      <c r="A178" s="4" t="s">
        <v>2446</v>
      </c>
      <c r="B178" s="4">
        <v>8.0</v>
      </c>
    </row>
    <row r="179" ht="15.75" customHeight="1">
      <c r="A179" s="4" t="s">
        <v>2447</v>
      </c>
      <c r="B179" s="4">
        <v>8.0</v>
      </c>
    </row>
    <row r="180" ht="15.75" customHeight="1">
      <c r="A180" s="4" t="s">
        <v>2448</v>
      </c>
      <c r="B180" s="4">
        <v>10.5</v>
      </c>
    </row>
    <row r="181" ht="15.75" customHeight="1">
      <c r="A181" s="4" t="s">
        <v>2449</v>
      </c>
      <c r="B181" s="4">
        <v>7.29</v>
      </c>
    </row>
    <row r="182" ht="15.75" customHeight="1">
      <c r="A182" s="4" t="s">
        <v>2450</v>
      </c>
      <c r="B182" s="4">
        <v>9.25</v>
      </c>
    </row>
    <row r="183" ht="15.75" customHeight="1">
      <c r="A183" s="4" t="s">
        <v>2451</v>
      </c>
      <c r="B183" s="4">
        <v>6.0</v>
      </c>
    </row>
    <row r="184" ht="15.75" customHeight="1">
      <c r="A184" s="4" t="s">
        <v>2452</v>
      </c>
      <c r="B184" s="4">
        <v>10.5</v>
      </c>
    </row>
    <row r="185" ht="15.75" customHeight="1">
      <c r="A185" s="4" t="s">
        <v>2453</v>
      </c>
      <c r="B185" s="4">
        <v>8.5</v>
      </c>
    </row>
    <row r="186" ht="15.75" customHeight="1">
      <c r="A186" s="4" t="s">
        <v>2454</v>
      </c>
      <c r="B186" s="4">
        <v>8.69</v>
      </c>
    </row>
    <row r="187" ht="15.75" customHeight="1">
      <c r="A187" s="4" t="s">
        <v>2455</v>
      </c>
      <c r="B187" s="4">
        <v>9.0</v>
      </c>
    </row>
    <row r="188" ht="15.75" customHeight="1">
      <c r="A188" s="4" t="s">
        <v>2456</v>
      </c>
      <c r="B188" s="4">
        <v>7.25</v>
      </c>
    </row>
    <row r="189" ht="15.75" customHeight="1">
      <c r="A189" s="4" t="s">
        <v>2457</v>
      </c>
      <c r="B189" s="4">
        <v>4.0</v>
      </c>
    </row>
    <row r="190" ht="15.75" customHeight="1">
      <c r="A190" s="4" t="s">
        <v>2458</v>
      </c>
      <c r="B190" s="4">
        <v>8.0</v>
      </c>
    </row>
    <row r="191" ht="15.75" customHeight="1">
      <c r="A191" s="4" t="s">
        <v>2459</v>
      </c>
      <c r="B191" s="4">
        <v>7.8</v>
      </c>
    </row>
    <row r="192" ht="15.75" customHeight="1">
      <c r="A192" s="4" t="s">
        <v>2460</v>
      </c>
      <c r="B192" s="4">
        <v>11.5</v>
      </c>
    </row>
    <row r="193" ht="15.75" customHeight="1">
      <c r="A193" s="4" t="s">
        <v>2461</v>
      </c>
      <c r="B193" s="4">
        <v>12.5</v>
      </c>
    </row>
    <row r="194" ht="15.75" customHeight="1">
      <c r="A194" s="4" t="s">
        <v>2462</v>
      </c>
      <c r="B194" s="4">
        <v>9.33</v>
      </c>
    </row>
    <row r="195" ht="15.75" customHeight="1">
      <c r="A195" s="4" t="s">
        <v>2464</v>
      </c>
      <c r="B195" s="4">
        <v>9.75</v>
      </c>
    </row>
    <row r="196" ht="15.75" customHeight="1">
      <c r="A196" s="4" t="s">
        <v>2465</v>
      </c>
      <c r="B196" s="4">
        <v>9.33</v>
      </c>
    </row>
    <row r="197" ht="15.75" customHeight="1">
      <c r="A197" s="4" t="s">
        <v>2466</v>
      </c>
      <c r="B197" s="4">
        <v>9.5</v>
      </c>
    </row>
    <row r="198" ht="15.75" customHeight="1">
      <c r="A198" s="4" t="s">
        <v>2467</v>
      </c>
      <c r="B198" s="4">
        <v>10.0</v>
      </c>
    </row>
    <row r="199" ht="15.75" customHeight="1">
      <c r="A199" s="4" t="s">
        <v>2468</v>
      </c>
      <c r="B199" s="4">
        <v>9.0</v>
      </c>
    </row>
    <row r="200" ht="15.75" customHeight="1">
      <c r="A200" s="4" t="s">
        <v>2469</v>
      </c>
      <c r="B200" s="4">
        <v>7.61</v>
      </c>
    </row>
    <row r="201" ht="15.75" customHeight="1">
      <c r="A201" s="4" t="s">
        <v>2470</v>
      </c>
      <c r="B201" s="4">
        <v>8.5</v>
      </c>
    </row>
    <row r="202" ht="15.75" customHeight="1">
      <c r="A202" s="4" t="s">
        <v>2471</v>
      </c>
      <c r="B202" s="4">
        <v>8.5</v>
      </c>
    </row>
    <row r="203" ht="15.75" customHeight="1">
      <c r="A203" s="4" t="s">
        <v>2472</v>
      </c>
      <c r="B203" s="4">
        <v>9.0</v>
      </c>
    </row>
    <row r="204" ht="15.75" customHeight="1">
      <c r="A204" s="4" t="s">
        <v>2473</v>
      </c>
      <c r="B204" s="4">
        <v>6.2</v>
      </c>
    </row>
    <row r="205" ht="15.75" customHeight="1">
      <c r="A205" s="4" t="s">
        <v>2474</v>
      </c>
      <c r="B205" s="4">
        <v>9.0</v>
      </c>
    </row>
    <row r="206" ht="15.75" customHeight="1">
      <c r="A206" s="4" t="s">
        <v>2475</v>
      </c>
      <c r="B206" s="4">
        <v>9.0</v>
      </c>
    </row>
    <row r="207" ht="15.75" customHeight="1">
      <c r="A207" s="4" t="s">
        <v>2476</v>
      </c>
      <c r="B207" s="4">
        <v>6.6</v>
      </c>
    </row>
    <row r="208" ht="15.75" customHeight="1">
      <c r="A208" s="4" t="s">
        <v>2477</v>
      </c>
      <c r="B208" s="4">
        <v>8.0</v>
      </c>
    </row>
    <row r="209" ht="15.75" customHeight="1">
      <c r="A209" s="4" t="s">
        <v>2478</v>
      </c>
      <c r="B209" s="4">
        <v>10.75</v>
      </c>
    </row>
    <row r="210" ht="15.75" customHeight="1">
      <c r="A210" s="4" t="s">
        <v>2479</v>
      </c>
      <c r="B210" s="4">
        <v>7.29</v>
      </c>
    </row>
    <row r="211" ht="15.75" customHeight="1">
      <c r="A211" s="4" t="s">
        <v>2481</v>
      </c>
      <c r="B211" s="4">
        <v>4.0</v>
      </c>
    </row>
    <row r="212" ht="15.75" customHeight="1">
      <c r="A212" s="4" t="s">
        <v>2482</v>
      </c>
      <c r="B212" s="4">
        <v>11.0</v>
      </c>
    </row>
    <row r="213" ht="15.75" customHeight="1">
      <c r="A213" s="4" t="s">
        <v>2483</v>
      </c>
      <c r="B213" s="4">
        <v>6.56</v>
      </c>
    </row>
    <row r="214" ht="15.75" customHeight="1">
      <c r="A214" s="4" t="s">
        <v>2484</v>
      </c>
      <c r="B214" s="4">
        <v>10.5</v>
      </c>
    </row>
    <row r="215" ht="15.75" customHeight="1">
      <c r="A215" s="4" t="s">
        <v>2485</v>
      </c>
      <c r="B215" s="4">
        <v>7.5</v>
      </c>
    </row>
    <row r="216" ht="15.75" customHeight="1">
      <c r="A216" s="4" t="s">
        <v>2486</v>
      </c>
      <c r="B216" s="4">
        <v>7.15</v>
      </c>
    </row>
    <row r="217" ht="15.75" customHeight="1">
      <c r="A217" s="4" t="s">
        <v>2487</v>
      </c>
      <c r="B217" s="4">
        <v>3.0</v>
      </c>
    </row>
    <row r="218" ht="15.75" customHeight="1">
      <c r="A218" s="4" t="s">
        <v>2489</v>
      </c>
      <c r="B218" s="4">
        <v>5.0</v>
      </c>
    </row>
    <row r="219" ht="15.75" customHeight="1">
      <c r="A219" s="4" t="s">
        <v>2490</v>
      </c>
      <c r="B219" s="4">
        <v>9.67</v>
      </c>
    </row>
    <row r="220" ht="15.75" customHeight="1">
      <c r="A220" s="4" t="s">
        <v>2491</v>
      </c>
      <c r="B220" s="4">
        <v>5.0</v>
      </c>
    </row>
    <row r="221" ht="15.75" customHeight="1">
      <c r="A221" s="4" t="s">
        <v>2492</v>
      </c>
      <c r="B221" s="4">
        <v>8.0</v>
      </c>
    </row>
    <row r="222" ht="15.75" customHeight="1">
      <c r="A222" s="4" t="s">
        <v>2493</v>
      </c>
      <c r="B222" s="4">
        <v>8.5</v>
      </c>
    </row>
    <row r="223" ht="15.75" customHeight="1">
      <c r="A223" s="4" t="s">
        <v>2494</v>
      </c>
      <c r="B223" s="4">
        <v>11.0</v>
      </c>
    </row>
    <row r="224" ht="15.75" customHeight="1">
      <c r="A224" s="4" t="s">
        <v>2495</v>
      </c>
      <c r="B224" s="4">
        <v>7.67</v>
      </c>
    </row>
    <row r="225" ht="15.75" customHeight="1">
      <c r="A225" s="4" t="s">
        <v>2496</v>
      </c>
      <c r="B225" s="4">
        <v>5.0</v>
      </c>
    </row>
    <row r="226" ht="15.75" customHeight="1">
      <c r="A226" s="4" t="s">
        <v>2497</v>
      </c>
      <c r="B226" s="4">
        <v>6.86</v>
      </c>
    </row>
    <row r="227" ht="15.75" customHeight="1">
      <c r="A227" s="4" t="s">
        <v>2498</v>
      </c>
      <c r="B227" s="4">
        <v>12.5</v>
      </c>
    </row>
    <row r="228" ht="15.75" customHeight="1">
      <c r="A228" s="4" t="s">
        <v>2499</v>
      </c>
      <c r="B228" s="4">
        <v>7.29</v>
      </c>
    </row>
    <row r="229" ht="15.75" customHeight="1">
      <c r="A229" s="4" t="s">
        <v>2501</v>
      </c>
      <c r="B229" s="4">
        <v>10.5</v>
      </c>
    </row>
    <row r="230" ht="15.75" customHeight="1">
      <c r="A230" s="4" t="s">
        <v>2502</v>
      </c>
      <c r="B230" s="4">
        <v>5.9</v>
      </c>
    </row>
    <row r="231" ht="15.75" customHeight="1">
      <c r="A231" s="4" t="s">
        <v>2503</v>
      </c>
      <c r="B231" s="4">
        <v>12.5</v>
      </c>
    </row>
    <row r="232" ht="15.75" customHeight="1">
      <c r="A232" s="4" t="s">
        <v>2504</v>
      </c>
      <c r="B232" s="4">
        <v>6.0</v>
      </c>
    </row>
    <row r="233" ht="15.75" customHeight="1">
      <c r="A233" s="4" t="s">
        <v>2505</v>
      </c>
      <c r="B233" s="4">
        <v>8.67</v>
      </c>
    </row>
    <row r="234" ht="15.75" customHeight="1">
      <c r="A234" s="4" t="s">
        <v>2506</v>
      </c>
      <c r="B234" s="4">
        <v>8.0</v>
      </c>
    </row>
    <row r="235" ht="15.75" customHeight="1">
      <c r="A235" s="4" t="s">
        <v>2507</v>
      </c>
      <c r="B235" s="4">
        <v>12.33</v>
      </c>
    </row>
    <row r="236" ht="15.75" customHeight="1">
      <c r="A236" s="4" t="s">
        <v>2508</v>
      </c>
      <c r="B236" s="4">
        <v>11.0</v>
      </c>
    </row>
    <row r="237" ht="15.75" customHeight="1">
      <c r="A237" s="4" t="s">
        <v>2509</v>
      </c>
      <c r="B237" s="4">
        <v>10.33</v>
      </c>
    </row>
    <row r="238" ht="15.75" customHeight="1">
      <c r="A238" s="4" t="s">
        <v>2510</v>
      </c>
      <c r="B238" s="4">
        <v>6.0</v>
      </c>
    </row>
    <row r="239" ht="15.75" customHeight="1">
      <c r="A239" s="4" t="s">
        <v>2511</v>
      </c>
      <c r="B239" s="4">
        <v>11.43</v>
      </c>
    </row>
    <row r="240" ht="15.75" customHeight="1">
      <c r="A240" s="4" t="s">
        <v>2512</v>
      </c>
      <c r="B240" s="4">
        <v>8.14</v>
      </c>
    </row>
    <row r="241" ht="15.75" customHeight="1">
      <c r="A241" s="4" t="s">
        <v>2514</v>
      </c>
      <c r="B241" s="4">
        <v>11.0</v>
      </c>
    </row>
    <row r="242" ht="15.75" customHeight="1">
      <c r="A242" s="4" t="s">
        <v>2515</v>
      </c>
      <c r="B242" s="4">
        <v>7.5</v>
      </c>
    </row>
    <row r="243" ht="15.75" customHeight="1">
      <c r="A243" s="4" t="s">
        <v>2516</v>
      </c>
      <c r="B243" s="4">
        <v>8.19</v>
      </c>
    </row>
    <row r="244" ht="15.75" customHeight="1">
      <c r="A244" s="4" t="s">
        <v>2517</v>
      </c>
      <c r="B244" s="4">
        <v>9.5</v>
      </c>
    </row>
    <row r="245" ht="15.75" customHeight="1">
      <c r="A245" s="4" t="s">
        <v>2518</v>
      </c>
      <c r="B245" s="4">
        <v>8.6</v>
      </c>
    </row>
    <row r="246" ht="15.75" customHeight="1">
      <c r="A246" s="4" t="s">
        <v>2519</v>
      </c>
      <c r="B246" s="4">
        <v>8.0</v>
      </c>
    </row>
    <row r="247" ht="15.75" customHeight="1">
      <c r="A247" s="4" t="s">
        <v>2520</v>
      </c>
      <c r="B247" s="4">
        <v>8.8</v>
      </c>
    </row>
    <row r="248" ht="15.75" customHeight="1">
      <c r="A248" s="4" t="s">
        <v>2521</v>
      </c>
      <c r="B248" s="4">
        <v>9.75</v>
      </c>
    </row>
    <row r="249" ht="15.75" customHeight="1">
      <c r="A249" s="4" t="s">
        <v>2522</v>
      </c>
      <c r="B249" s="4">
        <v>7.6</v>
      </c>
    </row>
    <row r="250" ht="15.75" customHeight="1">
      <c r="A250" s="4" t="s">
        <v>2523</v>
      </c>
      <c r="B250" s="4">
        <v>11.0</v>
      </c>
    </row>
    <row r="251" ht="15.75" customHeight="1">
      <c r="A251" s="4" t="s">
        <v>2524</v>
      </c>
      <c r="B251" s="4">
        <v>7.33</v>
      </c>
    </row>
    <row r="252" ht="15.75" customHeight="1">
      <c r="A252" s="4" t="s">
        <v>2525</v>
      </c>
      <c r="B252" s="4">
        <v>9.33</v>
      </c>
    </row>
    <row r="253" ht="15.75" customHeight="1">
      <c r="A253" s="4" t="s">
        <v>2526</v>
      </c>
      <c r="B253" s="4">
        <v>9.6</v>
      </c>
    </row>
    <row r="254" ht="15.75" customHeight="1">
      <c r="A254" s="4" t="s">
        <v>2528</v>
      </c>
      <c r="B254" s="4">
        <v>8.75</v>
      </c>
    </row>
    <row r="255" ht="15.75" customHeight="1">
      <c r="A255" s="4" t="s">
        <v>2529</v>
      </c>
      <c r="B255" s="4">
        <v>7.0</v>
      </c>
    </row>
    <row r="256" ht="15.75" customHeight="1">
      <c r="A256" s="4" t="s">
        <v>2530</v>
      </c>
      <c r="B256" s="4">
        <v>14.0</v>
      </c>
    </row>
    <row r="257" ht="15.75" customHeight="1">
      <c r="A257" s="4" t="s">
        <v>2531</v>
      </c>
      <c r="B257" s="4">
        <v>7.24</v>
      </c>
    </row>
    <row r="258" ht="15.75" customHeight="1">
      <c r="A258" s="4" t="s">
        <v>2532</v>
      </c>
      <c r="B258" s="4">
        <v>8.18</v>
      </c>
    </row>
    <row r="259" ht="15.75" customHeight="1">
      <c r="A259" s="4" t="s">
        <v>2533</v>
      </c>
      <c r="B259" s="4">
        <v>6.0</v>
      </c>
    </row>
    <row r="260" ht="15.75" customHeight="1">
      <c r="A260" s="4" t="s">
        <v>2534</v>
      </c>
      <c r="B260" s="4">
        <v>10.0</v>
      </c>
    </row>
    <row r="261" ht="15.75" customHeight="1">
      <c r="A261" s="4" t="s">
        <v>2535</v>
      </c>
      <c r="B261" s="4">
        <v>7.0</v>
      </c>
    </row>
    <row r="262" ht="15.75" customHeight="1">
      <c r="A262" s="4" t="s">
        <v>2536</v>
      </c>
      <c r="B262" s="4">
        <v>6.33</v>
      </c>
    </row>
    <row r="263" ht="15.75" customHeight="1">
      <c r="A263" s="4" t="s">
        <v>2537</v>
      </c>
      <c r="B263" s="4">
        <v>10.0</v>
      </c>
    </row>
    <row r="264" ht="15.75" customHeight="1">
      <c r="A264" s="4" t="s">
        <v>2538</v>
      </c>
      <c r="B264" s="4">
        <v>8.5</v>
      </c>
    </row>
    <row r="265" ht="15.75" customHeight="1">
      <c r="A265" s="4" t="s">
        <v>2539</v>
      </c>
      <c r="B265" s="4">
        <v>7.09</v>
      </c>
    </row>
    <row r="266" ht="15.75" customHeight="1">
      <c r="A266" s="4" t="s">
        <v>2540</v>
      </c>
      <c r="B266" s="4">
        <v>7.0</v>
      </c>
    </row>
    <row r="267" ht="15.75" customHeight="1">
      <c r="A267" s="4" t="s">
        <v>2541</v>
      </c>
      <c r="B267" s="4">
        <v>5.0</v>
      </c>
    </row>
    <row r="268" ht="15.75" customHeight="1">
      <c r="A268" s="4" t="s">
        <v>2542</v>
      </c>
      <c r="B268" s="4">
        <v>9.25</v>
      </c>
    </row>
    <row r="269" ht="15.75" customHeight="1">
      <c r="A269" s="4" t="s">
        <v>2543</v>
      </c>
      <c r="B269" s="4">
        <v>6.67</v>
      </c>
    </row>
    <row r="270" ht="15.75" customHeight="1">
      <c r="A270" s="4" t="s">
        <v>2544</v>
      </c>
      <c r="B270" s="4">
        <v>9.33</v>
      </c>
    </row>
    <row r="271" ht="15.75" customHeight="1">
      <c r="A271" s="4" t="s">
        <v>2546</v>
      </c>
      <c r="B271" s="4">
        <v>7.0</v>
      </c>
    </row>
    <row r="272" ht="15.75" customHeight="1">
      <c r="A272" s="4" t="s">
        <v>2547</v>
      </c>
      <c r="B272" s="4">
        <v>9.84</v>
      </c>
    </row>
    <row r="273" ht="15.75" customHeight="1">
      <c r="A273" s="4" t="s">
        <v>2548</v>
      </c>
      <c r="B273" s="4">
        <v>5.33</v>
      </c>
    </row>
    <row r="274" ht="15.75" customHeight="1">
      <c r="A274" s="4" t="s">
        <v>2549</v>
      </c>
      <c r="B274" s="4">
        <v>6.67</v>
      </c>
    </row>
    <row r="275" ht="15.75" customHeight="1">
      <c r="A275" s="4" t="s">
        <v>2550</v>
      </c>
      <c r="B275" s="4">
        <v>9.0</v>
      </c>
    </row>
    <row r="276" ht="15.75" customHeight="1">
      <c r="A276" s="4" t="s">
        <v>2551</v>
      </c>
      <c r="B276" s="4">
        <v>13.25</v>
      </c>
    </row>
    <row r="277" ht="15.75" customHeight="1">
      <c r="A277" s="4" t="s">
        <v>2552</v>
      </c>
      <c r="B277" s="4">
        <v>6.0</v>
      </c>
    </row>
    <row r="278" ht="15.75" customHeight="1">
      <c r="A278" s="4" t="s">
        <v>2553</v>
      </c>
      <c r="B278" s="4">
        <v>11.33</v>
      </c>
    </row>
    <row r="279" ht="15.75" customHeight="1">
      <c r="A279" s="4" t="s">
        <v>2554</v>
      </c>
      <c r="B279" s="4">
        <v>6.0</v>
      </c>
    </row>
    <row r="280" ht="15.75" customHeight="1">
      <c r="A280" s="4" t="s">
        <v>2555</v>
      </c>
      <c r="B280" s="4">
        <v>9.0</v>
      </c>
    </row>
    <row r="281" ht="15.75" customHeight="1">
      <c r="A281" s="4" t="s">
        <v>2556</v>
      </c>
      <c r="B281" s="4">
        <v>7.5</v>
      </c>
    </row>
    <row r="282" ht="15.75" customHeight="1">
      <c r="A282" s="4" t="s">
        <v>2557</v>
      </c>
      <c r="B282" s="4">
        <v>11.5</v>
      </c>
    </row>
    <row r="283" ht="15.75" customHeight="1">
      <c r="A283" s="4" t="s">
        <v>2558</v>
      </c>
      <c r="B283" s="4">
        <v>6.33</v>
      </c>
    </row>
    <row r="284" ht="15.75" customHeight="1">
      <c r="A284" s="4" t="s">
        <v>2559</v>
      </c>
      <c r="B284" s="4">
        <v>11.5</v>
      </c>
    </row>
    <row r="285" ht="15.75" customHeight="1">
      <c r="A285" s="4" t="s">
        <v>2560</v>
      </c>
      <c r="B285" s="4">
        <v>7.86</v>
      </c>
    </row>
    <row r="286" ht="15.75" customHeight="1">
      <c r="A286" s="4" t="s">
        <v>2561</v>
      </c>
      <c r="B286" s="4">
        <v>7.42</v>
      </c>
    </row>
    <row r="287" ht="15.75" customHeight="1">
      <c r="A287" s="4" t="s">
        <v>2562</v>
      </c>
      <c r="B287" s="4">
        <v>8.5</v>
      </c>
    </row>
    <row r="288" ht="15.75" customHeight="1">
      <c r="A288" s="4" t="s">
        <v>2563</v>
      </c>
      <c r="B288" s="4">
        <v>3.75</v>
      </c>
    </row>
    <row r="289" ht="15.75" customHeight="1">
      <c r="A289" s="4" t="s">
        <v>2565</v>
      </c>
      <c r="B289" s="4">
        <v>8.67</v>
      </c>
    </row>
    <row r="290" ht="15.75" customHeight="1">
      <c r="A290" s="4" t="s">
        <v>2566</v>
      </c>
      <c r="B290" s="4">
        <v>8.5</v>
      </c>
    </row>
    <row r="291" ht="15.75" customHeight="1">
      <c r="A291" s="4" t="s">
        <v>2567</v>
      </c>
      <c r="B291" s="4">
        <v>7.75</v>
      </c>
    </row>
    <row r="292" ht="15.75" customHeight="1">
      <c r="A292" s="4" t="s">
        <v>2568</v>
      </c>
      <c r="B292" s="4">
        <v>9.17</v>
      </c>
    </row>
    <row r="293" ht="15.75" customHeight="1">
      <c r="A293" s="4" t="s">
        <v>2569</v>
      </c>
      <c r="B293" s="4">
        <v>6.0</v>
      </c>
    </row>
    <row r="294" ht="15.75" customHeight="1">
      <c r="A294" s="4" t="s">
        <v>2570</v>
      </c>
      <c r="B294" s="4">
        <v>9.25</v>
      </c>
    </row>
    <row r="295" ht="15.75" customHeight="1">
      <c r="A295" s="4" t="s">
        <v>2571</v>
      </c>
      <c r="B295" s="4">
        <v>8.33</v>
      </c>
    </row>
    <row r="296" ht="15.75" customHeight="1">
      <c r="A296" s="4" t="s">
        <v>2572</v>
      </c>
      <c r="B296" s="4">
        <v>6.89</v>
      </c>
    </row>
    <row r="297" ht="15.75" customHeight="1">
      <c r="A297" s="4" t="s">
        <v>2573</v>
      </c>
      <c r="B297" s="4">
        <v>7.0</v>
      </c>
    </row>
    <row r="298" ht="15.75" customHeight="1">
      <c r="A298" s="4" t="s">
        <v>2574</v>
      </c>
      <c r="B298" s="4">
        <v>12.5</v>
      </c>
    </row>
    <row r="299" ht="15.75" customHeight="1">
      <c r="A299" s="4" t="s">
        <v>2575</v>
      </c>
      <c r="B299" s="4">
        <v>7.0</v>
      </c>
    </row>
    <row r="300" ht="15.75" customHeight="1">
      <c r="A300" s="4" t="s">
        <v>2576</v>
      </c>
      <c r="B300" s="4">
        <v>5.91</v>
      </c>
    </row>
    <row r="301" ht="15.75" customHeight="1">
      <c r="A301" s="4" t="s">
        <v>2577</v>
      </c>
      <c r="B301" s="4">
        <v>6.84</v>
      </c>
    </row>
    <row r="302" ht="15.75" customHeight="1">
      <c r="A302" s="4" t="s">
        <v>2578</v>
      </c>
      <c r="B302" s="4">
        <v>7.0</v>
      </c>
    </row>
    <row r="303" ht="15.75" customHeight="1">
      <c r="A303" s="4" t="s">
        <v>2579</v>
      </c>
      <c r="B303" s="4">
        <v>4.0</v>
      </c>
    </row>
    <row r="304" ht="15.75" customHeight="1">
      <c r="A304" s="4" t="s">
        <v>2580</v>
      </c>
      <c r="B304" s="4">
        <v>6.29</v>
      </c>
    </row>
    <row r="305" ht="15.75" customHeight="1">
      <c r="A305" s="4" t="s">
        <v>2581</v>
      </c>
      <c r="B305" s="4">
        <v>8.0</v>
      </c>
    </row>
    <row r="306" ht="15.75" customHeight="1">
      <c r="A306" s="4" t="s">
        <v>2582</v>
      </c>
      <c r="B306" s="4">
        <v>8.0</v>
      </c>
    </row>
    <row r="307" ht="15.75" customHeight="1">
      <c r="A307" s="4" t="s">
        <v>2583</v>
      </c>
      <c r="B307" s="4">
        <v>5.33</v>
      </c>
    </row>
    <row r="308" ht="15.75" customHeight="1">
      <c r="A308" s="4" t="s">
        <v>2585</v>
      </c>
      <c r="B308" s="4">
        <v>12.0</v>
      </c>
    </row>
    <row r="309" ht="15.75" customHeight="1">
      <c r="A309" s="4" t="s">
        <v>2586</v>
      </c>
      <c r="B309" s="4">
        <v>11.0</v>
      </c>
    </row>
    <row r="310" ht="15.75" customHeight="1">
      <c r="A310" s="4" t="s">
        <v>2587</v>
      </c>
      <c r="B310" s="4">
        <v>4.5</v>
      </c>
    </row>
    <row r="311" ht="15.75" customHeight="1">
      <c r="A311" s="4" t="s">
        <v>2588</v>
      </c>
      <c r="B311" s="4">
        <v>2.0</v>
      </c>
    </row>
    <row r="312" ht="15.75" customHeight="1">
      <c r="A312" s="4" t="s">
        <v>2589</v>
      </c>
      <c r="B312" s="4">
        <v>7.08</v>
      </c>
    </row>
    <row r="313" ht="15.75" customHeight="1">
      <c r="A313" s="4" t="s">
        <v>2590</v>
      </c>
      <c r="B313" s="4">
        <v>8.69</v>
      </c>
    </row>
    <row r="314" ht="15.75" customHeight="1">
      <c r="A314" s="4" t="s">
        <v>2591</v>
      </c>
      <c r="B314" s="4">
        <v>9.0</v>
      </c>
    </row>
    <row r="315" ht="15.75" customHeight="1">
      <c r="A315" s="4" t="s">
        <v>2592</v>
      </c>
      <c r="B315" s="4">
        <v>6.2</v>
      </c>
    </row>
    <row r="316" ht="15.75" customHeight="1">
      <c r="A316" s="4" t="s">
        <v>2593</v>
      </c>
      <c r="B316" s="4">
        <v>6.0</v>
      </c>
    </row>
    <row r="317" ht="15.75" customHeight="1">
      <c r="A317" s="4" t="s">
        <v>2594</v>
      </c>
      <c r="B317" s="4">
        <v>8.0</v>
      </c>
    </row>
    <row r="318" ht="15.75" customHeight="1">
      <c r="A318" s="4" t="s">
        <v>2595</v>
      </c>
      <c r="B318" s="4">
        <v>8.0</v>
      </c>
    </row>
    <row r="319" ht="15.75" customHeight="1">
      <c r="A319" s="4" t="s">
        <v>2596</v>
      </c>
      <c r="B319" s="4">
        <v>8.0</v>
      </c>
    </row>
    <row r="320" ht="15.75" customHeight="1">
      <c r="A320" s="4" t="s">
        <v>2597</v>
      </c>
      <c r="B320" s="4">
        <v>10.5</v>
      </c>
    </row>
    <row r="321" ht="15.75" customHeight="1">
      <c r="A321" s="4" t="s">
        <v>2598</v>
      </c>
      <c r="B321" s="4">
        <v>7.29</v>
      </c>
    </row>
    <row r="322" ht="15.75" customHeight="1">
      <c r="A322" s="4" t="s">
        <v>2599</v>
      </c>
      <c r="B322" s="4">
        <v>9.25</v>
      </c>
    </row>
    <row r="323" ht="15.75" customHeight="1">
      <c r="A323" s="4" t="s">
        <v>2601</v>
      </c>
      <c r="B323" s="4">
        <v>6.0</v>
      </c>
    </row>
    <row r="324" ht="15.75" customHeight="1">
      <c r="A324" s="4" t="s">
        <v>2602</v>
      </c>
      <c r="B324" s="4">
        <v>10.5</v>
      </c>
    </row>
    <row r="325" ht="15.75" customHeight="1">
      <c r="A325" s="4" t="s">
        <v>2603</v>
      </c>
      <c r="B325" s="4">
        <v>5.91</v>
      </c>
    </row>
    <row r="326" ht="15.75" customHeight="1">
      <c r="A326" s="4" t="s">
        <v>2604</v>
      </c>
      <c r="B326" s="4">
        <v>6.84</v>
      </c>
    </row>
    <row r="327" ht="15.75" customHeight="1">
      <c r="A327" s="4" t="s">
        <v>2605</v>
      </c>
      <c r="B327" s="4">
        <v>7.0</v>
      </c>
    </row>
    <row r="328" ht="15.75" customHeight="1">
      <c r="A328" s="4" t="s">
        <v>2606</v>
      </c>
      <c r="B328" s="4">
        <v>4.0</v>
      </c>
    </row>
    <row r="329" ht="15.75" customHeight="1">
      <c r="A329" s="4" t="s">
        <v>2607</v>
      </c>
      <c r="B329" s="4">
        <v>6.29</v>
      </c>
    </row>
    <row r="330" ht="15.75" customHeight="1">
      <c r="A330" s="4" t="s">
        <v>2608</v>
      </c>
      <c r="B330" s="4">
        <v>8.0</v>
      </c>
    </row>
    <row r="331" ht="15.75" customHeight="1">
      <c r="A331" s="4" t="s">
        <v>2609</v>
      </c>
      <c r="B331" s="4">
        <v>8.0</v>
      </c>
    </row>
    <row r="332" ht="15.75" customHeight="1">
      <c r="A332" s="4" t="s">
        <v>2610</v>
      </c>
      <c r="B332" s="4">
        <v>5.33</v>
      </c>
    </row>
    <row r="333" ht="15.75" customHeight="1">
      <c r="A333" s="4" t="s">
        <v>2611</v>
      </c>
      <c r="B333" s="4">
        <v>12.0</v>
      </c>
    </row>
    <row r="334" ht="15.75" customHeight="1">
      <c r="A334" s="4" t="s">
        <v>2612</v>
      </c>
      <c r="B334" s="4">
        <v>11.0</v>
      </c>
    </row>
    <row r="335" ht="15.75" customHeight="1">
      <c r="A335" s="4" t="s">
        <v>2613</v>
      </c>
      <c r="B335" s="4">
        <v>4.5</v>
      </c>
    </row>
    <row r="336" ht="15.75" customHeight="1">
      <c r="A336" s="4" t="s">
        <v>2614</v>
      </c>
      <c r="B336" s="4">
        <v>2.0</v>
      </c>
    </row>
    <row r="337" ht="15.75" customHeight="1">
      <c r="A337" s="4" t="s">
        <v>2615</v>
      </c>
      <c r="B337" s="4">
        <v>7.35</v>
      </c>
    </row>
    <row r="338" ht="15.75" customHeight="1">
      <c r="A338" s="4" t="s">
        <v>2616</v>
      </c>
      <c r="B338" s="4">
        <v>7.7</v>
      </c>
    </row>
    <row r="339" ht="15.75" customHeight="1">
      <c r="A339" s="4" t="s">
        <v>2618</v>
      </c>
      <c r="B339" s="4">
        <v>8.0</v>
      </c>
    </row>
    <row r="340" ht="15.75" customHeight="1">
      <c r="A340" s="4" t="s">
        <v>2619</v>
      </c>
      <c r="B340" s="4">
        <v>5.0</v>
      </c>
    </row>
    <row r="341" ht="15.75" customHeight="1">
      <c r="A341" s="4" t="s">
        <v>2620</v>
      </c>
      <c r="B341" s="4">
        <v>6.17</v>
      </c>
    </row>
    <row r="342" ht="15.75" customHeight="1">
      <c r="A342" s="4" t="s">
        <v>2621</v>
      </c>
      <c r="B342" s="4">
        <v>2.5</v>
      </c>
    </row>
    <row r="343" ht="15.75" customHeight="1">
      <c r="A343" s="4" t="s">
        <v>2622</v>
      </c>
      <c r="B343" s="4">
        <v>6.29</v>
      </c>
    </row>
    <row r="344" ht="15.75" customHeight="1">
      <c r="A344" s="4" t="s">
        <v>2623</v>
      </c>
      <c r="B344" s="4">
        <v>9.5</v>
      </c>
    </row>
    <row r="345" ht="15.75" customHeight="1">
      <c r="A345" s="4" t="s">
        <v>2624</v>
      </c>
      <c r="B345" s="4">
        <v>10.4</v>
      </c>
    </row>
    <row r="346" ht="15.75" customHeight="1">
      <c r="A346" s="4" t="s">
        <v>2625</v>
      </c>
      <c r="B346" s="4">
        <v>6.5</v>
      </c>
    </row>
    <row r="347" ht="15.75" customHeight="1">
      <c r="A347" s="4" t="s">
        <v>2626</v>
      </c>
      <c r="B347" s="4">
        <v>6.67</v>
      </c>
    </row>
    <row r="348" ht="15.75" customHeight="1">
      <c r="A348" s="4" t="s">
        <v>2627</v>
      </c>
      <c r="B348" s="4">
        <v>6.75</v>
      </c>
    </row>
    <row r="349" ht="15.75" customHeight="1">
      <c r="A349" s="4" t="s">
        <v>2628</v>
      </c>
      <c r="B349" s="4">
        <v>7.75</v>
      </c>
    </row>
    <row r="350" ht="15.75" customHeight="1">
      <c r="A350" s="4" t="s">
        <v>2629</v>
      </c>
      <c r="B350" s="4">
        <v>10.4</v>
      </c>
    </row>
    <row r="351" ht="15.75" customHeight="1">
      <c r="A351" s="4" t="s">
        <v>2630</v>
      </c>
      <c r="B351" s="4">
        <v>8.75</v>
      </c>
    </row>
    <row r="352" ht="15.75" customHeight="1">
      <c r="A352" s="4" t="s">
        <v>2631</v>
      </c>
      <c r="B352" s="4">
        <v>8.6</v>
      </c>
    </row>
    <row r="353" ht="15.75" customHeight="1">
      <c r="A353" s="4" t="s">
        <v>2632</v>
      </c>
      <c r="B353" s="4">
        <v>8.62</v>
      </c>
    </row>
    <row r="354" ht="15.75" customHeight="1">
      <c r="A354" s="4" t="s">
        <v>2634</v>
      </c>
      <c r="B354" s="4">
        <v>6.82</v>
      </c>
    </row>
    <row r="355" ht="15.75" customHeight="1">
      <c r="A355" s="4" t="s">
        <v>2635</v>
      </c>
      <c r="B355" s="4">
        <v>6.8</v>
      </c>
    </row>
    <row r="356" ht="15.75" customHeight="1">
      <c r="A356" s="4" t="s">
        <v>2636</v>
      </c>
      <c r="B356" s="4">
        <v>6.75</v>
      </c>
    </row>
    <row r="357" ht="15.75" customHeight="1">
      <c r="A357" s="4" t="s">
        <v>2637</v>
      </c>
      <c r="B357" s="4">
        <v>11.0</v>
      </c>
    </row>
    <row r="358" ht="15.75" customHeight="1">
      <c r="A358" s="4" t="s">
        <v>2638</v>
      </c>
      <c r="B358" s="4">
        <v>4.6</v>
      </c>
    </row>
    <row r="359" ht="15.75" customHeight="1">
      <c r="A359" s="4" t="s">
        <v>2639</v>
      </c>
      <c r="B359" s="4">
        <v>6.75</v>
      </c>
    </row>
    <row r="360" ht="15.75" customHeight="1">
      <c r="A360" s="4" t="s">
        <v>2640</v>
      </c>
      <c r="B360" s="4">
        <v>6.75</v>
      </c>
    </row>
    <row r="361" ht="15.75" customHeight="1">
      <c r="A361" s="4" t="s">
        <v>2641</v>
      </c>
      <c r="B361" s="4">
        <v>9.22</v>
      </c>
    </row>
    <row r="362" ht="15.75" customHeight="1">
      <c r="A362" s="4" t="s">
        <v>2642</v>
      </c>
      <c r="B362" s="4">
        <v>9.5</v>
      </c>
    </row>
    <row r="363" ht="15.75" customHeight="1">
      <c r="A363" s="4" t="s">
        <v>2643</v>
      </c>
      <c r="B363" s="4">
        <v>11.5</v>
      </c>
    </row>
    <row r="364" ht="15.75" customHeight="1">
      <c r="A364" s="4" t="s">
        <v>2644</v>
      </c>
      <c r="B364" s="4">
        <v>6.75</v>
      </c>
    </row>
    <row r="365" ht="15.75" customHeight="1">
      <c r="A365" s="4" t="s">
        <v>2645</v>
      </c>
      <c r="B365" s="4">
        <v>9.25</v>
      </c>
    </row>
    <row r="366" ht="15.75" customHeight="1">
      <c r="A366" s="4" t="s">
        <v>2647</v>
      </c>
      <c r="B366" s="4">
        <v>9.0</v>
      </c>
    </row>
    <row r="367" ht="15.75" customHeight="1">
      <c r="A367" s="4" t="s">
        <v>2648</v>
      </c>
      <c r="B367" s="4">
        <v>9.33</v>
      </c>
    </row>
    <row r="368" ht="15.75" customHeight="1">
      <c r="A368" s="4" t="s">
        <v>2649</v>
      </c>
      <c r="B368" s="4">
        <v>8.54</v>
      </c>
    </row>
    <row r="369" ht="15.75" customHeight="1">
      <c r="A369" s="4" t="s">
        <v>2650</v>
      </c>
      <c r="B369" s="4">
        <v>11.0</v>
      </c>
    </row>
    <row r="370" ht="15.75" customHeight="1">
      <c r="A370" s="4" t="s">
        <v>2651</v>
      </c>
      <c r="B370" s="4">
        <v>14.0</v>
      </c>
    </row>
    <row r="371" ht="15.75" customHeight="1">
      <c r="A371" s="4" t="s">
        <v>2652</v>
      </c>
      <c r="B371" s="4">
        <v>8.0</v>
      </c>
    </row>
    <row r="372" ht="15.75" customHeight="1">
      <c r="A372" s="4" t="s">
        <v>2653</v>
      </c>
      <c r="B372" s="4">
        <v>7.67</v>
      </c>
    </row>
    <row r="373" ht="15.75" customHeight="1">
      <c r="A373" s="4" t="s">
        <v>2654</v>
      </c>
      <c r="B373" s="4">
        <v>6.75</v>
      </c>
    </row>
    <row r="374" ht="15.75" customHeight="1">
      <c r="A374" s="4" t="s">
        <v>2655</v>
      </c>
      <c r="B374" s="4">
        <v>8.0</v>
      </c>
    </row>
    <row r="375" ht="15.75" customHeight="1">
      <c r="A375" s="4" t="s">
        <v>2656</v>
      </c>
      <c r="B375" s="4">
        <v>3.0</v>
      </c>
    </row>
    <row r="376" ht="15.75" customHeight="1">
      <c r="A376" s="4" t="s">
        <v>2657</v>
      </c>
      <c r="B376" s="4">
        <v>14.0</v>
      </c>
    </row>
    <row r="377" ht="15.75" customHeight="1">
      <c r="A377" s="4" t="s">
        <v>2659</v>
      </c>
      <c r="B377" s="4">
        <v>9.0</v>
      </c>
    </row>
    <row r="378" ht="15.75" customHeight="1">
      <c r="A378" s="4" t="s">
        <v>2660</v>
      </c>
      <c r="B378" s="4">
        <v>9.25</v>
      </c>
    </row>
    <row r="379" ht="15.75" customHeight="1">
      <c r="A379" s="4" t="s">
        <v>2661</v>
      </c>
      <c r="B379" s="4">
        <v>10.67</v>
      </c>
    </row>
    <row r="380" ht="15.75" customHeight="1">
      <c r="A380" s="4" t="s">
        <v>2662</v>
      </c>
      <c r="B380" s="4">
        <v>9.04</v>
      </c>
    </row>
    <row r="381" ht="15.75" customHeight="1">
      <c r="A381" s="4" t="s">
        <v>2663</v>
      </c>
      <c r="B381" s="4">
        <v>7.63</v>
      </c>
    </row>
    <row r="382" ht="15.75" customHeight="1">
      <c r="A382" s="4" t="s">
        <v>2664</v>
      </c>
      <c r="B382" s="4">
        <v>10.0</v>
      </c>
    </row>
    <row r="383" ht="15.75" customHeight="1">
      <c r="A383" s="4" t="s">
        <v>2665</v>
      </c>
      <c r="B383" s="4">
        <v>5.0</v>
      </c>
    </row>
    <row r="384" ht="15.75" customHeight="1">
      <c r="A384" s="4" t="s">
        <v>2666</v>
      </c>
      <c r="B384" s="4">
        <v>8.67</v>
      </c>
    </row>
    <row r="385" ht="15.75" customHeight="1">
      <c r="A385" s="4" t="s">
        <v>2667</v>
      </c>
      <c r="B385" s="4">
        <v>7.17</v>
      </c>
    </row>
    <row r="386" ht="15.75" customHeight="1">
      <c r="A386" s="4" t="s">
        <v>2668</v>
      </c>
      <c r="B386" s="4">
        <v>10.14</v>
      </c>
    </row>
    <row r="387" ht="15.75" customHeight="1">
      <c r="A387" s="4" t="s">
        <v>2669</v>
      </c>
      <c r="B387" s="4">
        <v>7.33</v>
      </c>
    </row>
    <row r="388" ht="15.75" customHeight="1">
      <c r="A388" s="4" t="s">
        <v>2670</v>
      </c>
      <c r="B388" s="4">
        <v>8.75</v>
      </c>
    </row>
    <row r="389" ht="15.75" customHeight="1">
      <c r="A389" s="4" t="s">
        <v>2672</v>
      </c>
      <c r="B389" s="4">
        <v>3.5</v>
      </c>
    </row>
    <row r="390" ht="15.75" customHeight="1">
      <c r="A390" s="4" t="s">
        <v>2673</v>
      </c>
      <c r="B390" s="4">
        <v>9.5</v>
      </c>
    </row>
    <row r="391" ht="15.75" customHeight="1">
      <c r="A391" s="4" t="s">
        <v>2674</v>
      </c>
      <c r="B391" s="4">
        <v>14.0</v>
      </c>
    </row>
    <row r="392" ht="15.75" customHeight="1">
      <c r="A392" s="4" t="s">
        <v>2675</v>
      </c>
      <c r="B392" s="4">
        <v>7.6</v>
      </c>
    </row>
    <row r="393" ht="15.75" customHeight="1">
      <c r="A393" s="4" t="s">
        <v>2676</v>
      </c>
      <c r="B393" s="4">
        <v>9.8</v>
      </c>
    </row>
    <row r="394" ht="15.75" customHeight="1">
      <c r="A394" s="4" t="s">
        <v>2677</v>
      </c>
      <c r="B394" s="4">
        <v>9.16</v>
      </c>
    </row>
    <row r="395" ht="15.75" customHeight="1">
      <c r="A395" s="4" t="s">
        <v>2678</v>
      </c>
      <c r="B395" s="4">
        <v>9.2</v>
      </c>
    </row>
    <row r="396" ht="15.75" customHeight="1">
      <c r="A396" s="4" t="s">
        <v>2679</v>
      </c>
      <c r="B396" s="4">
        <v>10.12</v>
      </c>
    </row>
    <row r="397" ht="15.75" customHeight="1">
      <c r="A397" s="4" t="s">
        <v>2680</v>
      </c>
      <c r="B397" s="4">
        <v>3.0</v>
      </c>
    </row>
    <row r="398" ht="15.75" customHeight="1">
      <c r="A398" s="4" t="s">
        <v>2681</v>
      </c>
      <c r="B398" s="4">
        <v>7.75</v>
      </c>
    </row>
    <row r="399" ht="15.75" customHeight="1">
      <c r="A399" s="4" t="s">
        <v>2682</v>
      </c>
      <c r="B399" s="4">
        <v>11.0</v>
      </c>
    </row>
    <row r="400" ht="15.75" customHeight="1">
      <c r="A400" s="4" t="s">
        <v>2684</v>
      </c>
      <c r="B400" s="4">
        <v>9.0</v>
      </c>
    </row>
    <row r="401" ht="15.75" customHeight="1">
      <c r="A401" s="4" t="s">
        <v>2685</v>
      </c>
      <c r="B401" s="4">
        <v>8.0</v>
      </c>
    </row>
    <row r="402" ht="15.75" customHeight="1">
      <c r="A402" s="4" t="s">
        <v>2686</v>
      </c>
      <c r="B402" s="4">
        <v>7.5</v>
      </c>
    </row>
    <row r="403" ht="15.75" customHeight="1">
      <c r="A403" s="4" t="s">
        <v>2687</v>
      </c>
      <c r="B403" s="4">
        <v>8.0</v>
      </c>
    </row>
    <row r="404" ht="15.75" customHeight="1">
      <c r="A404" s="4" t="s">
        <v>2688</v>
      </c>
      <c r="B404" s="4">
        <v>9.33</v>
      </c>
    </row>
    <row r="405" ht="15.75" customHeight="1">
      <c r="A405" s="4" t="s">
        <v>2689</v>
      </c>
      <c r="B405" s="4">
        <v>11.5</v>
      </c>
    </row>
    <row r="406" ht="15.75" customHeight="1">
      <c r="A406" s="4" t="s">
        <v>2690</v>
      </c>
      <c r="B406" s="4">
        <v>7.89</v>
      </c>
    </row>
    <row r="407" ht="15.75" customHeight="1">
      <c r="A407" s="4" t="s">
        <v>2691</v>
      </c>
      <c r="B407" s="4">
        <v>8.66</v>
      </c>
    </row>
    <row r="408" ht="15.75" customHeight="1">
      <c r="A408" s="4" t="s">
        <v>2692</v>
      </c>
      <c r="B408" s="4">
        <v>5.0</v>
      </c>
    </row>
    <row r="409" ht="15.75" customHeight="1">
      <c r="A409" s="4" t="s">
        <v>2693</v>
      </c>
      <c r="B409" s="4">
        <v>9.38</v>
      </c>
    </row>
    <row r="410" ht="15.75" customHeight="1">
      <c r="A410" s="4" t="s">
        <v>2695</v>
      </c>
      <c r="B410" s="4">
        <v>7.65</v>
      </c>
    </row>
    <row r="411" ht="15.75" customHeight="1">
      <c r="A411" s="4" t="s">
        <v>2696</v>
      </c>
      <c r="B411" s="4">
        <v>9.53</v>
      </c>
    </row>
    <row r="412" ht="15.75" customHeight="1">
      <c r="A412" s="4" t="s">
        <v>2697</v>
      </c>
      <c r="B412" s="4">
        <v>7.78</v>
      </c>
    </row>
    <row r="413" ht="15.75" customHeight="1">
      <c r="A413" s="4" t="s">
        <v>2698</v>
      </c>
      <c r="B413" s="4">
        <v>10.0</v>
      </c>
    </row>
    <row r="414" ht="15.75" customHeight="1">
      <c r="A414" s="4" t="s">
        <v>2699</v>
      </c>
      <c r="B414" s="4">
        <v>9.17</v>
      </c>
    </row>
    <row r="415" ht="15.75" customHeight="1">
      <c r="A415" s="4" t="s">
        <v>2700</v>
      </c>
      <c r="B415" s="4">
        <v>7.29</v>
      </c>
    </row>
    <row r="416" ht="15.75" customHeight="1">
      <c r="A416" s="4" t="s">
        <v>2701</v>
      </c>
      <c r="B416" s="4">
        <v>10.18</v>
      </c>
    </row>
    <row r="417" ht="15.75" customHeight="1">
      <c r="A417" s="4" t="s">
        <v>2702</v>
      </c>
      <c r="B417" s="4">
        <v>8.86</v>
      </c>
    </row>
    <row r="418" ht="15.75" customHeight="1">
      <c r="A418" s="4" t="s">
        <v>2703</v>
      </c>
      <c r="B418" s="4">
        <v>7.2</v>
      </c>
    </row>
    <row r="419" ht="15.75" customHeight="1">
      <c r="A419" s="4" t="s">
        <v>2704</v>
      </c>
      <c r="B419" s="4">
        <v>6.5</v>
      </c>
    </row>
    <row r="420" ht="15.75" customHeight="1">
      <c r="A420" s="4" t="s">
        <v>2705</v>
      </c>
      <c r="B420" s="4">
        <v>8.11</v>
      </c>
    </row>
    <row r="421" ht="15.75" customHeight="1">
      <c r="A421" s="4" t="s">
        <v>2707</v>
      </c>
      <c r="B421" s="4">
        <v>5.83</v>
      </c>
    </row>
    <row r="422" ht="15.75" customHeight="1">
      <c r="A422" s="4" t="s">
        <v>2708</v>
      </c>
      <c r="B422" s="4">
        <v>7.86</v>
      </c>
    </row>
    <row r="423" ht="15.75" customHeight="1">
      <c r="A423" s="4" t="s">
        <v>2709</v>
      </c>
      <c r="B423" s="4">
        <v>7.42</v>
      </c>
    </row>
    <row r="424" ht="15.75" customHeight="1">
      <c r="A424" s="4" t="s">
        <v>2710</v>
      </c>
      <c r="B424" s="4">
        <v>8.5</v>
      </c>
    </row>
    <row r="425" ht="15.75" customHeight="1">
      <c r="A425" s="4" t="s">
        <v>2711</v>
      </c>
      <c r="B425" s="4">
        <v>3.75</v>
      </c>
    </row>
    <row r="426" ht="15.75" customHeight="1">
      <c r="A426" s="4" t="s">
        <v>2712</v>
      </c>
      <c r="B426" s="4">
        <v>8.67</v>
      </c>
    </row>
    <row r="427" ht="15.75" customHeight="1">
      <c r="A427" s="4" t="s">
        <v>2713</v>
      </c>
      <c r="B427" s="4">
        <v>8.5</v>
      </c>
    </row>
    <row r="428" ht="15.75" customHeight="1">
      <c r="A428" s="4" t="s">
        <v>2714</v>
      </c>
      <c r="B428" s="4">
        <v>7.75</v>
      </c>
    </row>
    <row r="429" ht="15.75" customHeight="1">
      <c r="A429" s="4" t="s">
        <v>2715</v>
      </c>
      <c r="B429" s="4">
        <v>9.17</v>
      </c>
    </row>
    <row r="430" ht="15.75" customHeight="1">
      <c r="A430" s="4" t="s">
        <v>2717</v>
      </c>
      <c r="B430" s="4">
        <v>6.0</v>
      </c>
    </row>
    <row r="431" ht="15.75" customHeight="1">
      <c r="A431" s="4" t="s">
        <v>2718</v>
      </c>
      <c r="B431" s="4">
        <v>9.25</v>
      </c>
    </row>
    <row r="432" ht="15.75" customHeight="1">
      <c r="A432" s="4" t="s">
        <v>2719</v>
      </c>
      <c r="B432" s="4">
        <v>8.33</v>
      </c>
    </row>
    <row r="433" ht="15.75" customHeight="1">
      <c r="A433" s="4" t="s">
        <v>2720</v>
      </c>
      <c r="B433" s="4">
        <v>6.89</v>
      </c>
    </row>
    <row r="434" ht="15.75" customHeight="1">
      <c r="A434" s="4" t="s">
        <v>2721</v>
      </c>
      <c r="B434" s="4">
        <v>7.0</v>
      </c>
    </row>
    <row r="435" ht="15.75" customHeight="1">
      <c r="A435" s="4" t="s">
        <v>2722</v>
      </c>
      <c r="B435" s="4">
        <v>12.5</v>
      </c>
    </row>
    <row r="436" ht="15.75" customHeight="1">
      <c r="A436" s="4" t="s">
        <v>2723</v>
      </c>
      <c r="B436" s="4">
        <v>7.0</v>
      </c>
    </row>
    <row r="437" ht="15.75" customHeight="1">
      <c r="A437" s="4" t="s">
        <v>2724</v>
      </c>
      <c r="B437" s="4">
        <v>8.5</v>
      </c>
    </row>
    <row r="438" ht="15.75" customHeight="1">
      <c r="A438" s="4" t="s">
        <v>2725</v>
      </c>
      <c r="B438" s="4">
        <v>8.69</v>
      </c>
    </row>
    <row r="439" ht="15.75" customHeight="1">
      <c r="A439" s="4" t="s">
        <v>2727</v>
      </c>
      <c r="B439" s="4">
        <v>9.0</v>
      </c>
    </row>
    <row r="440" ht="15.75" customHeight="1">
      <c r="A440" s="4" t="s">
        <v>2728</v>
      </c>
      <c r="B440" s="4">
        <v>7.25</v>
      </c>
    </row>
    <row r="441" ht="15.75" customHeight="1">
      <c r="A441" s="4" t="s">
        <v>2729</v>
      </c>
      <c r="B441" s="4">
        <v>4.0</v>
      </c>
    </row>
    <row r="442" ht="15.75" customHeight="1">
      <c r="A442" s="4" t="s">
        <v>2730</v>
      </c>
      <c r="B442" s="4">
        <v>8.0</v>
      </c>
    </row>
    <row r="443" ht="15.75" customHeight="1">
      <c r="A443" s="4" t="s">
        <v>2731</v>
      </c>
      <c r="B443" s="4">
        <v>7.8</v>
      </c>
    </row>
    <row r="444" ht="15.75" customHeight="1">
      <c r="A444" s="4" t="s">
        <v>2732</v>
      </c>
      <c r="B444" s="4">
        <v>11.5</v>
      </c>
    </row>
    <row r="445" ht="15.75" customHeight="1">
      <c r="A445" s="4" t="s">
        <v>2733</v>
      </c>
      <c r="B445" s="4">
        <v>12.5</v>
      </c>
    </row>
    <row r="446" ht="15.75" customHeight="1">
      <c r="A446" s="4" t="s">
        <v>2734</v>
      </c>
      <c r="B446" s="4">
        <v>9.33</v>
      </c>
    </row>
    <row r="447" ht="15.75" customHeight="1">
      <c r="A447" s="4" t="s">
        <v>2736</v>
      </c>
      <c r="B447" s="4">
        <v>9.75</v>
      </c>
    </row>
    <row r="448" ht="15.75" customHeight="1">
      <c r="A448" s="4" t="s">
        <v>2737</v>
      </c>
      <c r="B448" s="4">
        <v>9.33</v>
      </c>
    </row>
    <row r="449" ht="15.75" customHeight="1">
      <c r="A449" s="4" t="s">
        <v>2738</v>
      </c>
      <c r="B449" s="4">
        <v>9.5</v>
      </c>
    </row>
    <row r="450" ht="15.75" customHeight="1">
      <c r="A450" s="4" t="s">
        <v>2739</v>
      </c>
      <c r="B450" s="4">
        <v>10.0</v>
      </c>
    </row>
    <row r="451" ht="15.75" customHeight="1">
      <c r="A451" s="4" t="s">
        <v>2740</v>
      </c>
      <c r="B451" s="4">
        <v>9.0</v>
      </c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9.0"/>
    <col customWidth="1" min="3" max="3" width="18.0"/>
    <col customWidth="1" min="4" max="5" width="10.0"/>
    <col customWidth="1" min="6" max="6" width="7.0"/>
    <col customWidth="1" min="7" max="7" width="10.0"/>
    <col customWidth="1" min="8" max="26" width="8.71"/>
  </cols>
  <sheetData>
    <row r="1">
      <c r="A1" s="7" t="s">
        <v>10</v>
      </c>
      <c r="B1" s="7" t="s">
        <v>131</v>
      </c>
      <c r="C1" s="7" t="s">
        <v>309</v>
      </c>
      <c r="D1" s="7" t="s">
        <v>2755</v>
      </c>
      <c r="E1" s="7" t="s">
        <v>2756</v>
      </c>
      <c r="F1" s="7" t="s">
        <v>2757</v>
      </c>
      <c r="G1" s="7" t="s">
        <v>2758</v>
      </c>
    </row>
    <row r="2">
      <c r="A2" s="4" t="s">
        <v>7</v>
      </c>
      <c r="B2" s="4" t="s">
        <v>113</v>
      </c>
      <c r="C2" s="4" t="s">
        <v>2148</v>
      </c>
      <c r="D2" s="4">
        <v>22.0</v>
      </c>
      <c r="E2" s="4">
        <v>0.0</v>
      </c>
      <c r="F2" s="4">
        <v>65.0</v>
      </c>
      <c r="G2" s="4">
        <v>17.0</v>
      </c>
    </row>
    <row r="3">
      <c r="A3" s="4" t="s">
        <v>7</v>
      </c>
      <c r="B3" s="4" t="s">
        <v>113</v>
      </c>
      <c r="C3" s="4" t="s">
        <v>2155</v>
      </c>
      <c r="D3" s="4">
        <v>10.0</v>
      </c>
      <c r="E3" s="4">
        <v>0.0</v>
      </c>
      <c r="F3" s="4">
        <v>62.0</v>
      </c>
      <c r="G3" s="4">
        <v>8.0</v>
      </c>
    </row>
    <row r="4">
      <c r="A4" s="4" t="s">
        <v>7</v>
      </c>
      <c r="B4" s="4" t="s">
        <v>276</v>
      </c>
      <c r="C4" s="4" t="s">
        <v>2148</v>
      </c>
      <c r="D4" s="4">
        <v>33.0</v>
      </c>
      <c r="E4" s="4">
        <v>0.0</v>
      </c>
      <c r="F4" s="4">
        <v>76.0</v>
      </c>
      <c r="G4" s="4">
        <v>17.0</v>
      </c>
    </row>
    <row r="5">
      <c r="A5" s="4" t="s">
        <v>7</v>
      </c>
      <c r="B5" s="4" t="s">
        <v>276</v>
      </c>
      <c r="C5" s="4" t="s">
        <v>2155</v>
      </c>
      <c r="D5" s="4">
        <v>2.0</v>
      </c>
      <c r="E5" s="4">
        <v>7.0</v>
      </c>
      <c r="F5" s="4">
        <v>100.0</v>
      </c>
      <c r="G5" s="4">
        <v>2.0</v>
      </c>
    </row>
    <row r="6">
      <c r="A6" s="4" t="s">
        <v>7</v>
      </c>
      <c r="B6" s="4" t="s">
        <v>250</v>
      </c>
      <c r="C6" s="4" t="s">
        <v>2148</v>
      </c>
      <c r="D6" s="4">
        <v>8.0</v>
      </c>
      <c r="E6" s="4">
        <v>0.0</v>
      </c>
      <c r="F6" s="4">
        <v>50.0</v>
      </c>
      <c r="G6" s="4">
        <v>16.0</v>
      </c>
    </row>
    <row r="7">
      <c r="A7" s="4" t="s">
        <v>7</v>
      </c>
      <c r="B7" s="4" t="s">
        <v>250</v>
      </c>
      <c r="C7" s="4" t="s">
        <v>2155</v>
      </c>
      <c r="D7" s="4">
        <v>0.0</v>
      </c>
      <c r="E7" s="4">
        <v>2.0</v>
      </c>
      <c r="F7" s="4">
        <v>43.0</v>
      </c>
      <c r="G7" s="4">
        <v>7.0</v>
      </c>
    </row>
    <row r="8">
      <c r="A8" s="4" t="s">
        <v>7</v>
      </c>
      <c r="B8" s="4" t="s">
        <v>270</v>
      </c>
      <c r="C8" s="4" t="s">
        <v>2148</v>
      </c>
      <c r="D8" s="4">
        <v>0.0</v>
      </c>
      <c r="E8" s="4">
        <v>27.0</v>
      </c>
      <c r="F8" s="4">
        <v>55.0</v>
      </c>
      <c r="G8" s="4">
        <v>11.0</v>
      </c>
    </row>
    <row r="9">
      <c r="A9" s="4" t="s">
        <v>7</v>
      </c>
      <c r="B9" s="4" t="s">
        <v>270</v>
      </c>
      <c r="C9" s="4" t="s">
        <v>2155</v>
      </c>
      <c r="D9" s="4">
        <v>0.0</v>
      </c>
      <c r="E9" s="4">
        <v>71.0</v>
      </c>
      <c r="G9" s="4">
        <v>0.0</v>
      </c>
    </row>
    <row r="10">
      <c r="A10" s="4" t="s">
        <v>7</v>
      </c>
      <c r="B10" s="4" t="s">
        <v>262</v>
      </c>
      <c r="C10" s="4" t="s">
        <v>2148</v>
      </c>
      <c r="D10" s="4">
        <v>0.0</v>
      </c>
      <c r="E10" s="4">
        <v>69.0</v>
      </c>
      <c r="G10" s="4">
        <v>0.0</v>
      </c>
    </row>
    <row r="11">
      <c r="A11" s="4" t="s">
        <v>7</v>
      </c>
      <c r="B11" s="4" t="s">
        <v>262</v>
      </c>
      <c r="C11" s="4" t="s">
        <v>2155</v>
      </c>
      <c r="D11" s="4">
        <v>29.0</v>
      </c>
      <c r="E11" s="4">
        <v>2.0</v>
      </c>
      <c r="F11" s="4">
        <v>56.0</v>
      </c>
      <c r="G11" s="4">
        <v>9.0</v>
      </c>
    </row>
    <row r="12">
      <c r="A12" s="4" t="s">
        <v>7</v>
      </c>
      <c r="B12" s="4" t="s">
        <v>110</v>
      </c>
      <c r="C12" s="4" t="s">
        <v>2148</v>
      </c>
      <c r="D12" s="4">
        <v>25.0</v>
      </c>
      <c r="E12" s="4">
        <v>2.0</v>
      </c>
      <c r="F12" s="4">
        <v>71.0</v>
      </c>
      <c r="G12" s="4">
        <v>17.0</v>
      </c>
    </row>
    <row r="13">
      <c r="A13" s="4" t="s">
        <v>7</v>
      </c>
      <c r="B13" s="4" t="s">
        <v>110</v>
      </c>
      <c r="C13" s="4" t="s">
        <v>2155</v>
      </c>
      <c r="D13" s="4">
        <v>7.0</v>
      </c>
      <c r="E13" s="4">
        <v>5.0</v>
      </c>
      <c r="F13" s="4">
        <v>56.0</v>
      </c>
      <c r="G13" s="4">
        <v>9.0</v>
      </c>
    </row>
    <row r="14">
      <c r="A14" s="4" t="s">
        <v>7</v>
      </c>
      <c r="B14" s="4" t="s">
        <v>112</v>
      </c>
      <c r="C14" s="4" t="s">
        <v>2148</v>
      </c>
      <c r="D14" s="4">
        <v>6.0</v>
      </c>
      <c r="E14" s="4">
        <v>0.0</v>
      </c>
      <c r="F14" s="4">
        <v>60.0</v>
      </c>
      <c r="G14" s="4">
        <v>10.0</v>
      </c>
    </row>
    <row r="15">
      <c r="A15" s="4" t="s">
        <v>7</v>
      </c>
      <c r="B15" s="4" t="s">
        <v>112</v>
      </c>
      <c r="C15" s="4" t="s">
        <v>2155</v>
      </c>
      <c r="D15" s="4">
        <v>51.0</v>
      </c>
      <c r="E15" s="4">
        <v>0.0</v>
      </c>
      <c r="F15" s="4">
        <v>42.0</v>
      </c>
      <c r="G15" s="4">
        <v>12.0</v>
      </c>
    </row>
    <row r="16">
      <c r="A16" s="4" t="s">
        <v>566</v>
      </c>
      <c r="B16" s="4" t="s">
        <v>113</v>
      </c>
      <c r="C16" s="4" t="s">
        <v>2158</v>
      </c>
      <c r="D16" s="4">
        <v>11.0</v>
      </c>
      <c r="E16" s="4">
        <v>2.0</v>
      </c>
      <c r="F16" s="4">
        <v>40.0</v>
      </c>
      <c r="G16" s="4">
        <v>15.0</v>
      </c>
    </row>
    <row r="17">
      <c r="A17" s="4" t="s">
        <v>566</v>
      </c>
      <c r="B17" s="4" t="s">
        <v>113</v>
      </c>
      <c r="C17" s="4" t="s">
        <v>2161</v>
      </c>
      <c r="D17" s="4">
        <v>9.0</v>
      </c>
      <c r="E17" s="4">
        <v>3.0</v>
      </c>
      <c r="F17" s="4">
        <v>73.0</v>
      </c>
      <c r="G17" s="4">
        <v>11.0</v>
      </c>
    </row>
    <row r="18">
      <c r="A18" s="4" t="s">
        <v>566</v>
      </c>
      <c r="B18" s="4" t="s">
        <v>276</v>
      </c>
      <c r="C18" s="4" t="s">
        <v>2158</v>
      </c>
      <c r="D18" s="4">
        <v>0.0</v>
      </c>
      <c r="E18" s="4">
        <v>34.0</v>
      </c>
      <c r="F18" s="4">
        <v>33.0</v>
      </c>
      <c r="G18" s="4">
        <v>9.0</v>
      </c>
    </row>
    <row r="19">
      <c r="A19" s="4" t="s">
        <v>566</v>
      </c>
      <c r="B19" s="4" t="s">
        <v>276</v>
      </c>
      <c r="C19" s="4" t="s">
        <v>2161</v>
      </c>
      <c r="D19" s="4">
        <v>9.0</v>
      </c>
      <c r="E19" s="4">
        <v>9.0</v>
      </c>
      <c r="F19" s="4">
        <v>38.0</v>
      </c>
      <c r="G19" s="4">
        <v>8.0</v>
      </c>
    </row>
    <row r="20">
      <c r="A20" s="4" t="s">
        <v>566</v>
      </c>
      <c r="B20" s="4" t="s">
        <v>250</v>
      </c>
      <c r="C20" s="4" t="s">
        <v>2158</v>
      </c>
      <c r="D20" s="4">
        <v>8.0</v>
      </c>
      <c r="E20" s="4">
        <v>0.0</v>
      </c>
      <c r="F20" s="4">
        <v>47.0</v>
      </c>
      <c r="G20" s="4">
        <v>15.0</v>
      </c>
    </row>
    <row r="21" ht="15.75" customHeight="1">
      <c r="A21" s="4" t="s">
        <v>566</v>
      </c>
      <c r="B21" s="4" t="s">
        <v>250</v>
      </c>
      <c r="C21" s="4" t="s">
        <v>2161</v>
      </c>
      <c r="D21" s="4">
        <v>12.0</v>
      </c>
      <c r="E21" s="4">
        <v>0.0</v>
      </c>
      <c r="F21" s="4">
        <v>78.0</v>
      </c>
      <c r="G21" s="4">
        <v>9.0</v>
      </c>
    </row>
    <row r="22" ht="15.75" customHeight="1">
      <c r="A22" s="4" t="s">
        <v>566</v>
      </c>
      <c r="B22" s="4" t="s">
        <v>270</v>
      </c>
      <c r="C22" s="4" t="s">
        <v>2158</v>
      </c>
      <c r="D22" s="4">
        <v>4.0</v>
      </c>
      <c r="E22" s="4">
        <v>28.0</v>
      </c>
      <c r="F22" s="4">
        <v>64.0</v>
      </c>
      <c r="G22" s="4">
        <v>11.0</v>
      </c>
    </row>
    <row r="23" ht="15.75" customHeight="1">
      <c r="A23" s="4" t="s">
        <v>566</v>
      </c>
      <c r="B23" s="4" t="s">
        <v>270</v>
      </c>
      <c r="C23" s="4" t="s">
        <v>2161</v>
      </c>
      <c r="D23" s="4">
        <v>9.0</v>
      </c>
      <c r="E23" s="4">
        <v>3.0</v>
      </c>
      <c r="F23" s="4">
        <v>100.0</v>
      </c>
      <c r="G23" s="4">
        <v>6.0</v>
      </c>
    </row>
    <row r="24" ht="15.75" customHeight="1">
      <c r="A24" s="4" t="s">
        <v>566</v>
      </c>
      <c r="B24" s="4" t="s">
        <v>262</v>
      </c>
      <c r="C24" s="4" t="s">
        <v>2158</v>
      </c>
      <c r="D24" s="4">
        <v>45.0</v>
      </c>
      <c r="E24" s="4">
        <v>2.0</v>
      </c>
      <c r="F24" s="4">
        <v>79.0</v>
      </c>
      <c r="G24" s="4">
        <v>19.0</v>
      </c>
    </row>
    <row r="25" ht="15.75" customHeight="1">
      <c r="A25" s="4" t="s">
        <v>566</v>
      </c>
      <c r="B25" s="4" t="s">
        <v>262</v>
      </c>
      <c r="C25" s="4" t="s">
        <v>2161</v>
      </c>
      <c r="D25" s="4">
        <v>15.0</v>
      </c>
      <c r="E25" s="4">
        <v>0.0</v>
      </c>
      <c r="F25" s="4">
        <v>58.0</v>
      </c>
      <c r="G25" s="4">
        <v>12.0</v>
      </c>
    </row>
    <row r="26" ht="15.75" customHeight="1">
      <c r="A26" s="4" t="s">
        <v>566</v>
      </c>
      <c r="B26" s="4" t="s">
        <v>110</v>
      </c>
      <c r="C26" s="4" t="s">
        <v>2158</v>
      </c>
      <c r="D26" s="4">
        <v>11.0</v>
      </c>
      <c r="E26" s="4">
        <v>0.0</v>
      </c>
      <c r="F26" s="4">
        <v>65.0</v>
      </c>
      <c r="G26" s="4">
        <v>17.0</v>
      </c>
    </row>
    <row r="27" ht="15.75" customHeight="1">
      <c r="A27" s="4" t="s">
        <v>566</v>
      </c>
      <c r="B27" s="4" t="s">
        <v>110</v>
      </c>
      <c r="C27" s="4" t="s">
        <v>2161</v>
      </c>
      <c r="D27" s="4">
        <v>0.0</v>
      </c>
      <c r="E27" s="4">
        <v>61.0</v>
      </c>
      <c r="F27" s="4">
        <v>0.0</v>
      </c>
      <c r="G27" s="4">
        <v>1.0</v>
      </c>
    </row>
    <row r="28" ht="15.75" customHeight="1">
      <c r="A28" s="4" t="s">
        <v>566</v>
      </c>
      <c r="B28" s="4" t="s">
        <v>112</v>
      </c>
      <c r="C28" s="4" t="s">
        <v>2158</v>
      </c>
      <c r="D28" s="4">
        <v>8.0</v>
      </c>
      <c r="E28" s="4">
        <v>34.0</v>
      </c>
      <c r="F28" s="4">
        <v>67.0</v>
      </c>
      <c r="G28" s="4">
        <v>3.0</v>
      </c>
    </row>
    <row r="29" ht="15.75" customHeight="1">
      <c r="A29" s="4" t="s">
        <v>566</v>
      </c>
      <c r="B29" s="4" t="s">
        <v>112</v>
      </c>
      <c r="C29" s="4" t="s">
        <v>2161</v>
      </c>
      <c r="D29" s="4">
        <v>33.0</v>
      </c>
      <c r="E29" s="4">
        <v>0.0</v>
      </c>
      <c r="F29" s="4">
        <v>75.0</v>
      </c>
      <c r="G29" s="4">
        <v>12.0</v>
      </c>
    </row>
    <row r="30" ht="15.75" customHeight="1">
      <c r="A30" s="4" t="s">
        <v>838</v>
      </c>
      <c r="B30" s="4" t="s">
        <v>113</v>
      </c>
      <c r="C30" s="4" t="s">
        <v>2163</v>
      </c>
      <c r="D30" s="4">
        <v>10.0</v>
      </c>
      <c r="E30" s="4">
        <v>6.0</v>
      </c>
      <c r="F30" s="4">
        <v>29.0</v>
      </c>
      <c r="G30" s="4">
        <v>7.0</v>
      </c>
    </row>
    <row r="31" ht="15.75" customHeight="1">
      <c r="A31" s="4" t="s">
        <v>838</v>
      </c>
      <c r="B31" s="4" t="s">
        <v>113</v>
      </c>
      <c r="C31" s="4" t="s">
        <v>2166</v>
      </c>
      <c r="D31" s="4">
        <v>0.0</v>
      </c>
      <c r="E31" s="4">
        <v>11.0</v>
      </c>
      <c r="F31" s="4">
        <v>0.0</v>
      </c>
      <c r="G31" s="4">
        <v>2.0</v>
      </c>
    </row>
    <row r="32" ht="15.75" customHeight="1">
      <c r="A32" s="4" t="s">
        <v>838</v>
      </c>
      <c r="B32" s="4" t="s">
        <v>276</v>
      </c>
      <c r="C32" s="4" t="s">
        <v>2163</v>
      </c>
      <c r="D32" s="4">
        <v>26.0</v>
      </c>
      <c r="E32" s="4">
        <v>0.0</v>
      </c>
      <c r="F32" s="4">
        <v>80.0</v>
      </c>
      <c r="G32" s="4">
        <v>10.0</v>
      </c>
    </row>
    <row r="33" ht="15.75" customHeight="1">
      <c r="A33" s="4" t="s">
        <v>838</v>
      </c>
      <c r="B33" s="4" t="s">
        <v>276</v>
      </c>
      <c r="C33" s="4" t="s">
        <v>2166</v>
      </c>
      <c r="D33" s="4">
        <v>18.0</v>
      </c>
      <c r="E33" s="4">
        <v>11.0</v>
      </c>
      <c r="F33" s="4">
        <v>62.0</v>
      </c>
      <c r="G33" s="4">
        <v>8.0</v>
      </c>
    </row>
    <row r="34" ht="15.75" customHeight="1">
      <c r="A34" s="4" t="s">
        <v>838</v>
      </c>
      <c r="B34" s="4" t="s">
        <v>250</v>
      </c>
      <c r="C34" s="4" t="s">
        <v>2163</v>
      </c>
      <c r="D34" s="4">
        <v>10.0</v>
      </c>
      <c r="E34" s="4">
        <v>0.0</v>
      </c>
      <c r="F34" s="4">
        <v>100.0</v>
      </c>
      <c r="G34" s="4">
        <v>4.0</v>
      </c>
    </row>
    <row r="35" ht="15.75" customHeight="1">
      <c r="A35" s="4" t="s">
        <v>838</v>
      </c>
      <c r="B35" s="4" t="s">
        <v>250</v>
      </c>
      <c r="C35" s="4" t="s">
        <v>2166</v>
      </c>
      <c r="D35" s="4">
        <v>7.0</v>
      </c>
      <c r="E35" s="4">
        <v>16.0</v>
      </c>
      <c r="F35" s="4">
        <v>50.0</v>
      </c>
      <c r="G35" s="4">
        <v>8.0</v>
      </c>
    </row>
    <row r="36" ht="15.75" customHeight="1">
      <c r="A36" s="4" t="s">
        <v>838</v>
      </c>
      <c r="B36" s="4" t="s">
        <v>270</v>
      </c>
      <c r="C36" s="4" t="s">
        <v>2163</v>
      </c>
      <c r="D36" s="4">
        <v>0.0</v>
      </c>
      <c r="E36" s="4">
        <v>94.0</v>
      </c>
      <c r="G36" s="4">
        <v>0.0</v>
      </c>
    </row>
    <row r="37" ht="15.75" customHeight="1">
      <c r="A37" s="4" t="s">
        <v>838</v>
      </c>
      <c r="B37" s="4" t="s">
        <v>270</v>
      </c>
      <c r="C37" s="4" t="s">
        <v>2166</v>
      </c>
      <c r="D37" s="4">
        <v>4.0</v>
      </c>
      <c r="E37" s="4">
        <v>48.0</v>
      </c>
      <c r="F37" s="4">
        <v>55.0</v>
      </c>
      <c r="G37" s="4">
        <v>11.0</v>
      </c>
    </row>
    <row r="38" ht="15.75" customHeight="1">
      <c r="A38" s="4" t="s">
        <v>838</v>
      </c>
      <c r="B38" s="4" t="s">
        <v>262</v>
      </c>
      <c r="C38" s="4" t="s">
        <v>2163</v>
      </c>
      <c r="D38" s="4">
        <v>6.0</v>
      </c>
      <c r="E38" s="4">
        <v>0.0</v>
      </c>
      <c r="F38" s="4">
        <v>43.0</v>
      </c>
      <c r="G38" s="4">
        <v>7.0</v>
      </c>
    </row>
    <row r="39" ht="15.75" customHeight="1">
      <c r="A39" s="4" t="s">
        <v>838</v>
      </c>
      <c r="B39" s="4" t="s">
        <v>262</v>
      </c>
      <c r="C39" s="4" t="s">
        <v>2166</v>
      </c>
      <c r="D39" s="4">
        <v>23.0</v>
      </c>
      <c r="E39" s="4">
        <v>0.0</v>
      </c>
      <c r="F39" s="4">
        <v>40.0</v>
      </c>
      <c r="G39" s="4">
        <v>10.0</v>
      </c>
    </row>
    <row r="40" ht="15.75" customHeight="1">
      <c r="A40" s="4" t="s">
        <v>838</v>
      </c>
      <c r="B40" s="4" t="s">
        <v>110</v>
      </c>
      <c r="C40" s="4" t="s">
        <v>2163</v>
      </c>
      <c r="D40" s="4">
        <v>26.0</v>
      </c>
      <c r="E40" s="4">
        <v>0.0</v>
      </c>
      <c r="F40" s="4">
        <v>71.0</v>
      </c>
      <c r="G40" s="4">
        <v>14.0</v>
      </c>
    </row>
    <row r="41" ht="15.75" customHeight="1">
      <c r="A41" s="4" t="s">
        <v>838</v>
      </c>
      <c r="B41" s="4" t="s">
        <v>110</v>
      </c>
      <c r="C41" s="4" t="s">
        <v>2166</v>
      </c>
      <c r="D41" s="4">
        <v>39.0</v>
      </c>
      <c r="E41" s="4">
        <v>0.0</v>
      </c>
      <c r="F41" s="4">
        <v>50.0</v>
      </c>
      <c r="G41" s="4">
        <v>18.0</v>
      </c>
    </row>
    <row r="42" ht="15.75" customHeight="1">
      <c r="A42" s="4" t="s">
        <v>838</v>
      </c>
      <c r="B42" s="4" t="s">
        <v>112</v>
      </c>
      <c r="C42" s="4" t="s">
        <v>2163</v>
      </c>
      <c r="D42" s="4">
        <v>3.0</v>
      </c>
      <c r="E42" s="4">
        <v>0.0</v>
      </c>
      <c r="F42" s="4">
        <v>50.0</v>
      </c>
      <c r="G42" s="4">
        <v>4.0</v>
      </c>
    </row>
    <row r="43" ht="15.75" customHeight="1">
      <c r="A43" s="4" t="s">
        <v>838</v>
      </c>
      <c r="B43" s="4" t="s">
        <v>112</v>
      </c>
      <c r="C43" s="4" t="s">
        <v>2166</v>
      </c>
      <c r="D43" s="4">
        <v>4.0</v>
      </c>
      <c r="E43" s="4">
        <v>14.0</v>
      </c>
      <c r="F43" s="4">
        <v>29.0</v>
      </c>
      <c r="G43" s="4">
        <v>7.0</v>
      </c>
    </row>
    <row r="44" ht="15.75" customHeight="1">
      <c r="A44" s="4" t="s">
        <v>993</v>
      </c>
      <c r="B44" s="4" t="s">
        <v>113</v>
      </c>
      <c r="C44" s="4" t="s">
        <v>1013</v>
      </c>
      <c r="D44" s="4">
        <v>3.0</v>
      </c>
      <c r="E44" s="4">
        <v>3.0</v>
      </c>
      <c r="F44" s="4">
        <v>20.0</v>
      </c>
      <c r="G44" s="4">
        <v>5.0</v>
      </c>
    </row>
    <row r="45" ht="15.75" customHeight="1">
      <c r="A45" s="4" t="s">
        <v>993</v>
      </c>
      <c r="B45" s="4" t="s">
        <v>113</v>
      </c>
      <c r="C45" s="4" t="s">
        <v>2170</v>
      </c>
      <c r="D45" s="4">
        <v>6.0</v>
      </c>
      <c r="E45" s="4">
        <v>0.0</v>
      </c>
      <c r="F45" s="4">
        <v>0.0</v>
      </c>
      <c r="G45" s="4">
        <v>2.0</v>
      </c>
    </row>
    <row r="46" ht="15.75" customHeight="1">
      <c r="A46" s="4" t="s">
        <v>993</v>
      </c>
      <c r="B46" s="4" t="s">
        <v>276</v>
      </c>
      <c r="C46" s="4" t="s">
        <v>1013</v>
      </c>
      <c r="D46" s="4">
        <v>3.0</v>
      </c>
      <c r="E46" s="4">
        <v>5.0</v>
      </c>
      <c r="F46" s="4">
        <v>30.0</v>
      </c>
      <c r="G46" s="4">
        <v>10.0</v>
      </c>
    </row>
    <row r="47" ht="15.75" customHeight="1">
      <c r="A47" s="4" t="s">
        <v>993</v>
      </c>
      <c r="B47" s="4" t="s">
        <v>276</v>
      </c>
      <c r="C47" s="4" t="s">
        <v>2170</v>
      </c>
      <c r="D47" s="4">
        <v>0.0</v>
      </c>
      <c r="E47" s="4">
        <v>31.0</v>
      </c>
      <c r="F47" s="4">
        <v>0.0</v>
      </c>
      <c r="G47" s="4">
        <v>3.0</v>
      </c>
    </row>
    <row r="48" ht="15.75" customHeight="1">
      <c r="A48" s="4" t="s">
        <v>993</v>
      </c>
      <c r="B48" s="4" t="s">
        <v>250</v>
      </c>
      <c r="C48" s="4" t="s">
        <v>1013</v>
      </c>
      <c r="D48" s="4">
        <v>14.0</v>
      </c>
      <c r="E48" s="4">
        <v>0.0</v>
      </c>
      <c r="F48" s="4">
        <v>57.0</v>
      </c>
      <c r="G48" s="4">
        <v>14.0</v>
      </c>
    </row>
    <row r="49" ht="15.75" customHeight="1">
      <c r="A49" s="4" t="s">
        <v>993</v>
      </c>
      <c r="B49" s="4" t="s">
        <v>250</v>
      </c>
      <c r="C49" s="4" t="s">
        <v>2170</v>
      </c>
      <c r="D49" s="4">
        <v>0.0</v>
      </c>
      <c r="E49" s="4">
        <v>0.0</v>
      </c>
      <c r="F49" s="4">
        <v>0.0</v>
      </c>
      <c r="G49" s="4">
        <v>7.0</v>
      </c>
    </row>
    <row r="50" ht="15.75" customHeight="1">
      <c r="A50" s="4" t="s">
        <v>993</v>
      </c>
      <c r="B50" s="4" t="s">
        <v>270</v>
      </c>
      <c r="C50" s="4" t="s">
        <v>1013</v>
      </c>
      <c r="D50" s="4">
        <v>5.0</v>
      </c>
      <c r="E50" s="4">
        <v>3.0</v>
      </c>
      <c r="F50" s="4">
        <v>33.0</v>
      </c>
      <c r="G50" s="4">
        <v>6.0</v>
      </c>
    </row>
    <row r="51" ht="15.75" customHeight="1">
      <c r="A51" s="4" t="s">
        <v>993</v>
      </c>
      <c r="B51" s="4" t="s">
        <v>270</v>
      </c>
      <c r="C51" s="4" t="s">
        <v>2170</v>
      </c>
      <c r="D51" s="4">
        <v>25.0</v>
      </c>
      <c r="E51" s="4">
        <v>0.0</v>
      </c>
      <c r="F51" s="4">
        <v>67.0</v>
      </c>
      <c r="G51" s="4">
        <v>3.0</v>
      </c>
    </row>
    <row r="52" ht="15.75" customHeight="1">
      <c r="A52" s="4" t="s">
        <v>993</v>
      </c>
      <c r="B52" s="4" t="s">
        <v>262</v>
      </c>
      <c r="C52" s="4" t="s">
        <v>1013</v>
      </c>
      <c r="D52" s="4">
        <v>57.0</v>
      </c>
      <c r="E52" s="4">
        <v>0.0</v>
      </c>
      <c r="F52" s="4">
        <v>81.0</v>
      </c>
      <c r="G52" s="4">
        <v>16.0</v>
      </c>
    </row>
    <row r="53" ht="15.75" customHeight="1">
      <c r="A53" s="4" t="s">
        <v>993</v>
      </c>
      <c r="B53" s="4" t="s">
        <v>262</v>
      </c>
      <c r="C53" s="4" t="s">
        <v>2170</v>
      </c>
      <c r="D53" s="4">
        <v>38.0</v>
      </c>
      <c r="E53" s="4">
        <v>0.0</v>
      </c>
      <c r="F53" s="4">
        <v>33.0</v>
      </c>
      <c r="G53" s="4">
        <v>9.0</v>
      </c>
    </row>
    <row r="54" ht="15.75" customHeight="1">
      <c r="A54" s="4" t="s">
        <v>993</v>
      </c>
      <c r="B54" s="4" t="s">
        <v>110</v>
      </c>
      <c r="C54" s="4" t="s">
        <v>1013</v>
      </c>
      <c r="D54" s="4">
        <v>0.0</v>
      </c>
      <c r="E54" s="4">
        <v>30.0</v>
      </c>
      <c r="F54" s="4">
        <v>33.0</v>
      </c>
      <c r="G54" s="4">
        <v>6.0</v>
      </c>
    </row>
    <row r="55" ht="15.75" customHeight="1">
      <c r="A55" s="4" t="s">
        <v>993</v>
      </c>
      <c r="B55" s="4" t="s">
        <v>110</v>
      </c>
      <c r="C55" s="4" t="s">
        <v>2170</v>
      </c>
      <c r="D55" s="4">
        <v>25.0</v>
      </c>
      <c r="E55" s="4">
        <v>0.0</v>
      </c>
      <c r="F55" s="4">
        <v>60.0</v>
      </c>
      <c r="G55" s="4">
        <v>5.0</v>
      </c>
    </row>
    <row r="56" ht="15.75" customHeight="1">
      <c r="A56" s="4" t="s">
        <v>993</v>
      </c>
      <c r="B56" s="4" t="s">
        <v>112</v>
      </c>
      <c r="C56" s="4" t="s">
        <v>1013</v>
      </c>
      <c r="D56" s="4">
        <v>0.0</v>
      </c>
      <c r="E56" s="4">
        <v>59.0</v>
      </c>
      <c r="F56" s="4">
        <v>0.0</v>
      </c>
      <c r="G56" s="4">
        <v>1.0</v>
      </c>
    </row>
    <row r="57" ht="15.75" customHeight="1">
      <c r="A57" s="4" t="s">
        <v>993</v>
      </c>
      <c r="B57" s="4" t="s">
        <v>112</v>
      </c>
      <c r="C57" s="4" t="s">
        <v>2170</v>
      </c>
      <c r="D57" s="4">
        <v>0.0</v>
      </c>
      <c r="E57" s="4">
        <v>50.0</v>
      </c>
      <c r="F57" s="4">
        <v>0.0</v>
      </c>
      <c r="G57" s="4">
        <v>1.0</v>
      </c>
    </row>
    <row r="58" ht="15.75" customHeight="1">
      <c r="A58" s="4" t="s">
        <v>1090</v>
      </c>
      <c r="B58" s="4" t="s">
        <v>113</v>
      </c>
      <c r="C58" s="4" t="s">
        <v>2173</v>
      </c>
      <c r="D58" s="4">
        <v>21.0</v>
      </c>
      <c r="E58" s="4">
        <v>0.0</v>
      </c>
      <c r="F58" s="4">
        <v>88.0</v>
      </c>
      <c r="G58" s="4">
        <v>16.0</v>
      </c>
    </row>
    <row r="59" ht="15.75" customHeight="1">
      <c r="A59" s="4" t="s">
        <v>1090</v>
      </c>
      <c r="B59" s="4" t="s">
        <v>113</v>
      </c>
      <c r="C59" s="4" t="s">
        <v>2176</v>
      </c>
      <c r="D59" s="4">
        <v>0.0</v>
      </c>
      <c r="E59" s="4">
        <v>4.0</v>
      </c>
      <c r="F59" s="4">
        <v>67.0</v>
      </c>
      <c r="G59" s="4">
        <v>12.0</v>
      </c>
    </row>
    <row r="60" ht="15.75" customHeight="1">
      <c r="A60" s="4" t="s">
        <v>1090</v>
      </c>
      <c r="B60" s="4" t="s">
        <v>276</v>
      </c>
      <c r="C60" s="4" t="s">
        <v>2173</v>
      </c>
      <c r="D60" s="4">
        <v>6.0</v>
      </c>
      <c r="E60" s="4">
        <v>0.0</v>
      </c>
      <c r="F60" s="4">
        <v>33.0</v>
      </c>
      <c r="G60" s="4">
        <v>9.0</v>
      </c>
    </row>
    <row r="61" ht="15.75" customHeight="1">
      <c r="A61" s="4" t="s">
        <v>1090</v>
      </c>
      <c r="B61" s="4" t="s">
        <v>276</v>
      </c>
      <c r="C61" s="4" t="s">
        <v>2176</v>
      </c>
      <c r="D61" s="4">
        <v>22.0</v>
      </c>
      <c r="E61" s="4">
        <v>2.0</v>
      </c>
      <c r="F61" s="4">
        <v>65.0</v>
      </c>
      <c r="G61" s="4">
        <v>17.0</v>
      </c>
    </row>
    <row r="62" ht="15.75" customHeight="1">
      <c r="A62" s="4" t="s">
        <v>1090</v>
      </c>
      <c r="B62" s="4" t="s">
        <v>250</v>
      </c>
      <c r="C62" s="4" t="s">
        <v>2173</v>
      </c>
      <c r="D62" s="4">
        <v>6.0</v>
      </c>
      <c r="E62" s="4">
        <v>0.0</v>
      </c>
      <c r="F62" s="4">
        <v>36.0</v>
      </c>
      <c r="G62" s="4">
        <v>11.0</v>
      </c>
    </row>
    <row r="63" ht="15.75" customHeight="1">
      <c r="A63" s="4" t="s">
        <v>1090</v>
      </c>
      <c r="B63" s="4" t="s">
        <v>250</v>
      </c>
      <c r="C63" s="4" t="s">
        <v>2176</v>
      </c>
      <c r="D63" s="4">
        <v>16.0</v>
      </c>
      <c r="E63" s="4">
        <v>2.0</v>
      </c>
      <c r="F63" s="4">
        <v>75.0</v>
      </c>
      <c r="G63" s="4">
        <v>12.0</v>
      </c>
    </row>
    <row r="64" ht="15.75" customHeight="1">
      <c r="A64" s="4" t="s">
        <v>1090</v>
      </c>
      <c r="B64" s="4" t="s">
        <v>270</v>
      </c>
      <c r="C64" s="4" t="s">
        <v>2173</v>
      </c>
      <c r="D64" s="4">
        <v>17.0</v>
      </c>
      <c r="E64" s="4">
        <v>0.0</v>
      </c>
      <c r="F64" s="4">
        <v>67.0</v>
      </c>
      <c r="G64" s="4">
        <v>12.0</v>
      </c>
    </row>
    <row r="65" ht="15.75" customHeight="1">
      <c r="A65" s="4" t="s">
        <v>1090</v>
      </c>
      <c r="B65" s="4" t="s">
        <v>270</v>
      </c>
      <c r="C65" s="4" t="s">
        <v>2176</v>
      </c>
      <c r="D65" s="4">
        <v>29.0</v>
      </c>
      <c r="E65" s="4">
        <v>0.0</v>
      </c>
      <c r="F65" s="4">
        <v>71.0</v>
      </c>
      <c r="G65" s="4">
        <v>14.0</v>
      </c>
    </row>
    <row r="66" ht="15.75" customHeight="1">
      <c r="A66" s="4" t="s">
        <v>1090</v>
      </c>
      <c r="B66" s="4" t="s">
        <v>262</v>
      </c>
      <c r="C66" s="4" t="s">
        <v>2173</v>
      </c>
      <c r="D66" s="4">
        <v>0.0</v>
      </c>
      <c r="E66" s="4">
        <v>98.0</v>
      </c>
      <c r="G66" s="4">
        <v>0.0</v>
      </c>
    </row>
    <row r="67" ht="15.75" customHeight="1">
      <c r="A67" s="4" t="s">
        <v>1090</v>
      </c>
      <c r="B67" s="4" t="s">
        <v>262</v>
      </c>
      <c r="C67" s="4" t="s">
        <v>2176</v>
      </c>
      <c r="D67" s="4">
        <v>18.0</v>
      </c>
      <c r="E67" s="4">
        <v>0.0</v>
      </c>
      <c r="F67" s="4">
        <v>70.0</v>
      </c>
      <c r="G67" s="4">
        <v>10.0</v>
      </c>
    </row>
    <row r="68" ht="15.75" customHeight="1">
      <c r="A68" s="4" t="s">
        <v>1090</v>
      </c>
      <c r="B68" s="4" t="s">
        <v>110</v>
      </c>
      <c r="C68" s="4" t="s">
        <v>2173</v>
      </c>
      <c r="D68" s="4">
        <v>21.0</v>
      </c>
      <c r="E68" s="4">
        <v>0.0</v>
      </c>
      <c r="F68" s="4">
        <v>67.0</v>
      </c>
      <c r="G68" s="4">
        <v>18.0</v>
      </c>
    </row>
    <row r="69" ht="15.75" customHeight="1">
      <c r="A69" s="4" t="s">
        <v>1090</v>
      </c>
      <c r="B69" s="4" t="s">
        <v>110</v>
      </c>
      <c r="C69" s="4" t="s">
        <v>2176</v>
      </c>
      <c r="D69" s="4">
        <v>11.0</v>
      </c>
      <c r="E69" s="4">
        <v>0.0</v>
      </c>
      <c r="F69" s="4">
        <v>69.0</v>
      </c>
      <c r="G69" s="4">
        <v>16.0</v>
      </c>
    </row>
    <row r="70" ht="15.75" customHeight="1">
      <c r="A70" s="4" t="s">
        <v>1090</v>
      </c>
      <c r="B70" s="4" t="s">
        <v>112</v>
      </c>
      <c r="C70" s="4" t="s">
        <v>2173</v>
      </c>
      <c r="D70" s="4">
        <v>29.0</v>
      </c>
      <c r="E70" s="4">
        <v>0.0</v>
      </c>
      <c r="F70" s="4">
        <v>80.0</v>
      </c>
      <c r="G70" s="4">
        <v>10.0</v>
      </c>
    </row>
    <row r="71" ht="15.75" customHeight="1">
      <c r="A71" s="4" t="s">
        <v>1090</v>
      </c>
      <c r="B71" s="4" t="s">
        <v>112</v>
      </c>
      <c r="C71" s="4" t="s">
        <v>2176</v>
      </c>
      <c r="D71" s="4">
        <v>0.0</v>
      </c>
      <c r="E71" s="4">
        <v>91.0</v>
      </c>
      <c r="G71" s="4">
        <v>0.0</v>
      </c>
    </row>
    <row r="72" ht="15.75" customHeight="1">
      <c r="A72" s="4" t="s">
        <v>1152</v>
      </c>
      <c r="B72" s="4" t="s">
        <v>113</v>
      </c>
      <c r="C72" s="4" t="s">
        <v>2178</v>
      </c>
      <c r="D72" s="4">
        <v>2.0</v>
      </c>
      <c r="E72" s="4">
        <v>0.0</v>
      </c>
      <c r="F72" s="4">
        <v>73.0</v>
      </c>
      <c r="G72" s="4">
        <v>11.0</v>
      </c>
    </row>
    <row r="73" ht="15.75" customHeight="1">
      <c r="A73" s="4" t="s">
        <v>1152</v>
      </c>
      <c r="B73" s="4" t="s">
        <v>113</v>
      </c>
      <c r="C73" s="4" t="s">
        <v>2181</v>
      </c>
      <c r="D73" s="4">
        <v>1.0</v>
      </c>
      <c r="E73" s="4">
        <v>13.0</v>
      </c>
      <c r="F73" s="4">
        <v>67.0</v>
      </c>
      <c r="G73" s="4">
        <v>6.0</v>
      </c>
    </row>
    <row r="74" ht="15.75" customHeight="1">
      <c r="A74" s="4" t="s">
        <v>1152</v>
      </c>
      <c r="B74" s="4" t="s">
        <v>276</v>
      </c>
      <c r="C74" s="4" t="s">
        <v>2178</v>
      </c>
      <c r="D74" s="4">
        <v>9.0</v>
      </c>
      <c r="E74" s="4">
        <v>4.0</v>
      </c>
      <c r="F74" s="4">
        <v>53.0</v>
      </c>
      <c r="G74" s="4">
        <v>17.0</v>
      </c>
    </row>
    <row r="75" ht="15.75" customHeight="1">
      <c r="A75" s="4" t="s">
        <v>1152</v>
      </c>
      <c r="B75" s="4" t="s">
        <v>276</v>
      </c>
      <c r="C75" s="4" t="s">
        <v>2181</v>
      </c>
      <c r="D75" s="4">
        <v>3.0</v>
      </c>
      <c r="E75" s="4">
        <v>8.0</v>
      </c>
      <c r="F75" s="4">
        <v>48.0</v>
      </c>
      <c r="G75" s="4">
        <v>25.0</v>
      </c>
    </row>
    <row r="76" ht="15.75" customHeight="1">
      <c r="A76" s="4" t="s">
        <v>1152</v>
      </c>
      <c r="B76" s="4" t="s">
        <v>250</v>
      </c>
      <c r="C76" s="4" t="s">
        <v>2178</v>
      </c>
      <c r="D76" s="4">
        <v>11.0</v>
      </c>
      <c r="E76" s="4">
        <v>4.0</v>
      </c>
      <c r="F76" s="4">
        <v>40.0</v>
      </c>
      <c r="G76" s="4">
        <v>10.0</v>
      </c>
    </row>
    <row r="77" ht="15.75" customHeight="1">
      <c r="A77" s="4" t="s">
        <v>1152</v>
      </c>
      <c r="B77" s="4" t="s">
        <v>250</v>
      </c>
      <c r="C77" s="4" t="s">
        <v>2181</v>
      </c>
      <c r="D77" s="4">
        <v>0.0</v>
      </c>
      <c r="E77" s="4">
        <v>33.0</v>
      </c>
      <c r="F77" s="4">
        <v>14.0</v>
      </c>
      <c r="G77" s="4">
        <v>7.0</v>
      </c>
    </row>
    <row r="78" ht="15.75" customHeight="1">
      <c r="A78" s="4" t="s">
        <v>1152</v>
      </c>
      <c r="B78" s="4" t="s">
        <v>270</v>
      </c>
      <c r="C78" s="4" t="s">
        <v>2178</v>
      </c>
      <c r="D78" s="4">
        <v>17.0</v>
      </c>
      <c r="E78" s="4">
        <v>2.0</v>
      </c>
      <c r="F78" s="4">
        <v>77.0</v>
      </c>
      <c r="G78" s="4">
        <v>13.0</v>
      </c>
    </row>
    <row r="79" ht="15.75" customHeight="1">
      <c r="A79" s="4" t="s">
        <v>1152</v>
      </c>
      <c r="B79" s="4" t="s">
        <v>270</v>
      </c>
      <c r="C79" s="4" t="s">
        <v>2181</v>
      </c>
      <c r="D79" s="4">
        <v>17.0</v>
      </c>
      <c r="E79" s="4">
        <v>3.0</v>
      </c>
      <c r="F79" s="4">
        <v>81.0</v>
      </c>
      <c r="G79" s="4">
        <v>16.0</v>
      </c>
    </row>
    <row r="80" ht="15.75" customHeight="1">
      <c r="A80" s="4" t="s">
        <v>1152</v>
      </c>
      <c r="B80" s="4" t="s">
        <v>262</v>
      </c>
      <c r="C80" s="4" t="s">
        <v>2178</v>
      </c>
      <c r="D80" s="4">
        <v>22.0</v>
      </c>
      <c r="E80" s="4">
        <v>0.0</v>
      </c>
      <c r="F80" s="4">
        <v>70.0</v>
      </c>
      <c r="G80" s="4">
        <v>10.0</v>
      </c>
    </row>
    <row r="81" ht="15.75" customHeight="1">
      <c r="A81" s="4" t="s">
        <v>1152</v>
      </c>
      <c r="B81" s="4" t="s">
        <v>262</v>
      </c>
      <c r="C81" s="4" t="s">
        <v>2181</v>
      </c>
      <c r="D81" s="4">
        <v>1.0</v>
      </c>
      <c r="E81" s="4">
        <v>9.0</v>
      </c>
      <c r="F81" s="4">
        <v>50.0</v>
      </c>
      <c r="G81" s="4">
        <v>14.0</v>
      </c>
    </row>
    <row r="82" ht="15.75" customHeight="1">
      <c r="A82" s="4" t="s">
        <v>1152</v>
      </c>
      <c r="B82" s="4" t="s">
        <v>110</v>
      </c>
      <c r="C82" s="4" t="s">
        <v>2178</v>
      </c>
      <c r="D82" s="4">
        <v>33.0</v>
      </c>
      <c r="E82" s="4">
        <v>0.0</v>
      </c>
      <c r="F82" s="4">
        <v>60.0</v>
      </c>
      <c r="G82" s="4">
        <v>20.0</v>
      </c>
    </row>
    <row r="83" ht="15.75" customHeight="1">
      <c r="A83" s="4" t="s">
        <v>1152</v>
      </c>
      <c r="B83" s="4" t="s">
        <v>110</v>
      </c>
      <c r="C83" s="4" t="s">
        <v>2181</v>
      </c>
      <c r="D83" s="4">
        <v>30.0</v>
      </c>
      <c r="E83" s="4">
        <v>0.0</v>
      </c>
      <c r="F83" s="4">
        <v>67.0</v>
      </c>
      <c r="G83" s="4">
        <v>24.0</v>
      </c>
    </row>
    <row r="84" ht="15.75" customHeight="1">
      <c r="A84" s="4" t="s">
        <v>1152</v>
      </c>
      <c r="B84" s="4" t="s">
        <v>112</v>
      </c>
      <c r="C84" s="4" t="s">
        <v>2178</v>
      </c>
      <c r="D84" s="4">
        <v>0.0</v>
      </c>
      <c r="E84" s="4">
        <v>87.0</v>
      </c>
      <c r="G84" s="4">
        <v>0.0</v>
      </c>
    </row>
    <row r="85" ht="15.75" customHeight="1">
      <c r="A85" s="4" t="s">
        <v>1152</v>
      </c>
      <c r="B85" s="4" t="s">
        <v>112</v>
      </c>
      <c r="C85" s="4" t="s">
        <v>2181</v>
      </c>
      <c r="D85" s="4">
        <v>47.0</v>
      </c>
      <c r="E85" s="4">
        <v>0.0</v>
      </c>
      <c r="F85" s="4">
        <v>57.0</v>
      </c>
      <c r="G85" s="4">
        <v>23.0</v>
      </c>
    </row>
    <row r="86" ht="15.75" customHeight="1">
      <c r="A86" s="4" t="s">
        <v>1160</v>
      </c>
      <c r="B86" s="4" t="s">
        <v>113</v>
      </c>
      <c r="C86" s="4" t="s">
        <v>2163</v>
      </c>
      <c r="D86" s="4">
        <v>10.0</v>
      </c>
      <c r="E86" s="4">
        <v>6.0</v>
      </c>
      <c r="F86" s="4">
        <v>29.0</v>
      </c>
      <c r="G86" s="4">
        <v>7.0</v>
      </c>
    </row>
    <row r="87" ht="15.75" customHeight="1">
      <c r="A87" s="4" t="s">
        <v>1160</v>
      </c>
      <c r="B87" s="4" t="s">
        <v>113</v>
      </c>
      <c r="C87" s="4" t="s">
        <v>1013</v>
      </c>
      <c r="D87" s="4">
        <v>3.0</v>
      </c>
      <c r="E87" s="4">
        <v>3.0</v>
      </c>
      <c r="F87" s="4">
        <v>20.0</v>
      </c>
      <c r="G87" s="4">
        <v>5.0</v>
      </c>
    </row>
    <row r="88" ht="15.75" customHeight="1">
      <c r="A88" s="4" t="s">
        <v>1160</v>
      </c>
      <c r="B88" s="4" t="s">
        <v>276</v>
      </c>
      <c r="C88" s="4" t="s">
        <v>2163</v>
      </c>
      <c r="D88" s="4">
        <v>26.0</v>
      </c>
      <c r="E88" s="4">
        <v>0.0</v>
      </c>
      <c r="F88" s="4">
        <v>80.0</v>
      </c>
      <c r="G88" s="4">
        <v>10.0</v>
      </c>
    </row>
    <row r="89" ht="15.75" customHeight="1">
      <c r="A89" s="4" t="s">
        <v>1160</v>
      </c>
      <c r="B89" s="4" t="s">
        <v>276</v>
      </c>
      <c r="C89" s="4" t="s">
        <v>1013</v>
      </c>
      <c r="D89" s="4">
        <v>3.0</v>
      </c>
      <c r="E89" s="4">
        <v>5.0</v>
      </c>
      <c r="F89" s="4">
        <v>30.0</v>
      </c>
      <c r="G89" s="4">
        <v>10.0</v>
      </c>
    </row>
    <row r="90" ht="15.75" customHeight="1">
      <c r="A90" s="4" t="s">
        <v>1160</v>
      </c>
      <c r="B90" s="4" t="s">
        <v>250</v>
      </c>
      <c r="C90" s="4" t="s">
        <v>2163</v>
      </c>
      <c r="D90" s="4">
        <v>10.0</v>
      </c>
      <c r="E90" s="4">
        <v>0.0</v>
      </c>
      <c r="F90" s="4">
        <v>100.0</v>
      </c>
      <c r="G90" s="4">
        <v>4.0</v>
      </c>
    </row>
    <row r="91" ht="15.75" customHeight="1">
      <c r="A91" s="4" t="s">
        <v>1160</v>
      </c>
      <c r="B91" s="4" t="s">
        <v>250</v>
      </c>
      <c r="C91" s="4" t="s">
        <v>1013</v>
      </c>
      <c r="D91" s="4">
        <v>14.0</v>
      </c>
      <c r="E91" s="4">
        <v>0.0</v>
      </c>
      <c r="F91" s="4">
        <v>57.0</v>
      </c>
      <c r="G91" s="4">
        <v>14.0</v>
      </c>
    </row>
    <row r="92" ht="15.75" customHeight="1">
      <c r="A92" s="4" t="s">
        <v>1160</v>
      </c>
      <c r="B92" s="4" t="s">
        <v>270</v>
      </c>
      <c r="C92" s="4" t="s">
        <v>2163</v>
      </c>
      <c r="D92" s="4">
        <v>0.0</v>
      </c>
      <c r="E92" s="4">
        <v>94.0</v>
      </c>
      <c r="G92" s="4">
        <v>0.0</v>
      </c>
    </row>
    <row r="93" ht="15.75" customHeight="1">
      <c r="A93" s="4" t="s">
        <v>1160</v>
      </c>
      <c r="B93" s="4" t="s">
        <v>270</v>
      </c>
      <c r="C93" s="4" t="s">
        <v>1013</v>
      </c>
      <c r="D93" s="4">
        <v>5.0</v>
      </c>
      <c r="E93" s="4">
        <v>3.0</v>
      </c>
      <c r="F93" s="4">
        <v>33.0</v>
      </c>
      <c r="G93" s="4">
        <v>6.0</v>
      </c>
    </row>
    <row r="94" ht="15.75" customHeight="1">
      <c r="A94" s="4" t="s">
        <v>1160</v>
      </c>
      <c r="B94" s="4" t="s">
        <v>262</v>
      </c>
      <c r="C94" s="4" t="s">
        <v>2163</v>
      </c>
      <c r="D94" s="4">
        <v>6.0</v>
      </c>
      <c r="E94" s="4">
        <v>0.0</v>
      </c>
      <c r="F94" s="4">
        <v>43.0</v>
      </c>
      <c r="G94" s="4">
        <v>7.0</v>
      </c>
    </row>
    <row r="95" ht="15.75" customHeight="1">
      <c r="A95" s="4" t="s">
        <v>1160</v>
      </c>
      <c r="B95" s="4" t="s">
        <v>262</v>
      </c>
      <c r="C95" s="4" t="s">
        <v>1013</v>
      </c>
      <c r="D95" s="4">
        <v>57.0</v>
      </c>
      <c r="E95" s="4">
        <v>0.0</v>
      </c>
      <c r="F95" s="4">
        <v>81.0</v>
      </c>
      <c r="G95" s="4">
        <v>16.0</v>
      </c>
    </row>
    <row r="96" ht="15.75" customHeight="1">
      <c r="A96" s="4" t="s">
        <v>1160</v>
      </c>
      <c r="B96" s="4" t="s">
        <v>110</v>
      </c>
      <c r="C96" s="4" t="s">
        <v>2163</v>
      </c>
      <c r="D96" s="4">
        <v>26.0</v>
      </c>
      <c r="E96" s="4">
        <v>0.0</v>
      </c>
      <c r="F96" s="4">
        <v>71.0</v>
      </c>
      <c r="G96" s="4">
        <v>14.0</v>
      </c>
    </row>
    <row r="97" ht="15.75" customHeight="1">
      <c r="A97" s="4" t="s">
        <v>1160</v>
      </c>
      <c r="B97" s="4" t="s">
        <v>110</v>
      </c>
      <c r="C97" s="4" t="s">
        <v>1013</v>
      </c>
      <c r="D97" s="4">
        <v>0.0</v>
      </c>
      <c r="E97" s="4">
        <v>30.0</v>
      </c>
      <c r="F97" s="4">
        <v>33.0</v>
      </c>
      <c r="G97" s="4">
        <v>6.0</v>
      </c>
    </row>
    <row r="98" ht="15.75" customHeight="1">
      <c r="A98" s="4" t="s">
        <v>1160</v>
      </c>
      <c r="B98" s="4" t="s">
        <v>112</v>
      </c>
      <c r="C98" s="4" t="s">
        <v>2163</v>
      </c>
      <c r="D98" s="4">
        <v>3.0</v>
      </c>
      <c r="E98" s="4">
        <v>0.0</v>
      </c>
      <c r="F98" s="4">
        <v>50.0</v>
      </c>
      <c r="G98" s="4">
        <v>4.0</v>
      </c>
    </row>
    <row r="99" ht="15.75" customHeight="1">
      <c r="A99" s="4" t="s">
        <v>1160</v>
      </c>
      <c r="B99" s="4" t="s">
        <v>112</v>
      </c>
      <c r="C99" s="4" t="s">
        <v>1013</v>
      </c>
      <c r="D99" s="4">
        <v>0.0</v>
      </c>
      <c r="E99" s="4">
        <v>59.0</v>
      </c>
      <c r="F99" s="4">
        <v>0.0</v>
      </c>
      <c r="G99" s="4">
        <v>1.0</v>
      </c>
    </row>
    <row r="100" ht="15.75" customHeight="1">
      <c r="A100" s="4" t="s">
        <v>1168</v>
      </c>
      <c r="B100" s="4" t="s">
        <v>113</v>
      </c>
      <c r="C100" s="4" t="s">
        <v>2187</v>
      </c>
      <c r="D100" s="4">
        <v>0.0</v>
      </c>
      <c r="E100" s="4">
        <v>0.0</v>
      </c>
      <c r="F100" s="4">
        <v>50.0</v>
      </c>
      <c r="G100" s="4">
        <v>8.0</v>
      </c>
    </row>
    <row r="101" ht="15.75" customHeight="1">
      <c r="A101" s="4" t="s">
        <v>1168</v>
      </c>
      <c r="B101" s="4" t="s">
        <v>113</v>
      </c>
      <c r="C101" s="4" t="s">
        <v>1174</v>
      </c>
      <c r="D101" s="4">
        <v>2.0</v>
      </c>
      <c r="E101" s="4">
        <v>0.0</v>
      </c>
      <c r="F101" s="4">
        <v>50.0</v>
      </c>
      <c r="G101" s="4">
        <v>4.0</v>
      </c>
    </row>
    <row r="102" ht="15.75" customHeight="1">
      <c r="A102" s="4" t="s">
        <v>1168</v>
      </c>
      <c r="B102" s="4" t="s">
        <v>276</v>
      </c>
      <c r="C102" s="4" t="s">
        <v>2187</v>
      </c>
      <c r="D102" s="4">
        <v>29.0</v>
      </c>
      <c r="E102" s="4">
        <v>8.0</v>
      </c>
      <c r="F102" s="4">
        <v>56.0</v>
      </c>
      <c r="G102" s="4">
        <v>9.0</v>
      </c>
    </row>
    <row r="103" ht="15.75" customHeight="1">
      <c r="A103" s="4" t="s">
        <v>1168</v>
      </c>
      <c r="B103" s="4" t="s">
        <v>276</v>
      </c>
      <c r="C103" s="4" t="s">
        <v>1174</v>
      </c>
      <c r="D103" s="4">
        <v>23.0</v>
      </c>
      <c r="E103" s="4">
        <v>0.0</v>
      </c>
      <c r="F103" s="4">
        <v>43.0</v>
      </c>
      <c r="G103" s="4">
        <v>7.0</v>
      </c>
    </row>
    <row r="104" ht="15.75" customHeight="1">
      <c r="A104" s="4" t="s">
        <v>1168</v>
      </c>
      <c r="B104" s="4" t="s">
        <v>250</v>
      </c>
      <c r="C104" s="4" t="s">
        <v>2187</v>
      </c>
      <c r="D104" s="4">
        <v>11.0</v>
      </c>
      <c r="E104" s="4">
        <v>0.0</v>
      </c>
      <c r="F104" s="4">
        <v>62.0</v>
      </c>
      <c r="G104" s="4">
        <v>16.0</v>
      </c>
    </row>
    <row r="105" ht="15.75" customHeight="1">
      <c r="A105" s="4" t="s">
        <v>1168</v>
      </c>
      <c r="B105" s="4" t="s">
        <v>250</v>
      </c>
      <c r="C105" s="4" t="s">
        <v>1174</v>
      </c>
      <c r="D105" s="4">
        <v>0.0</v>
      </c>
      <c r="E105" s="4">
        <v>12.0</v>
      </c>
      <c r="F105" s="4">
        <v>67.0</v>
      </c>
      <c r="G105" s="4">
        <v>6.0</v>
      </c>
    </row>
    <row r="106" ht="15.75" customHeight="1">
      <c r="A106" s="4" t="s">
        <v>1168</v>
      </c>
      <c r="B106" s="4" t="s">
        <v>270</v>
      </c>
      <c r="C106" s="4" t="s">
        <v>2187</v>
      </c>
      <c r="D106" s="4">
        <v>0.0</v>
      </c>
      <c r="E106" s="4">
        <v>3.0</v>
      </c>
      <c r="F106" s="4">
        <v>50.0</v>
      </c>
      <c r="G106" s="4">
        <v>8.0</v>
      </c>
    </row>
    <row r="107" ht="15.75" customHeight="1">
      <c r="A107" s="4" t="s">
        <v>1168</v>
      </c>
      <c r="B107" s="4" t="s">
        <v>270</v>
      </c>
      <c r="C107" s="4" t="s">
        <v>1174</v>
      </c>
      <c r="D107" s="4">
        <v>9.0</v>
      </c>
      <c r="E107" s="4">
        <v>2.0</v>
      </c>
      <c r="F107" s="4">
        <v>25.0</v>
      </c>
      <c r="G107" s="4">
        <v>4.0</v>
      </c>
    </row>
    <row r="108" ht="15.75" customHeight="1">
      <c r="A108" s="4" t="s">
        <v>1168</v>
      </c>
      <c r="B108" s="4" t="s">
        <v>262</v>
      </c>
      <c r="C108" s="4" t="s">
        <v>2187</v>
      </c>
      <c r="D108" s="4">
        <v>11.0</v>
      </c>
      <c r="E108" s="4">
        <v>0.0</v>
      </c>
      <c r="F108" s="4">
        <v>78.0</v>
      </c>
      <c r="G108" s="4">
        <v>9.0</v>
      </c>
    </row>
    <row r="109" ht="15.75" customHeight="1">
      <c r="A109" s="4" t="s">
        <v>1168</v>
      </c>
      <c r="B109" s="4" t="s">
        <v>262</v>
      </c>
      <c r="C109" s="4" t="s">
        <v>1174</v>
      </c>
      <c r="D109" s="4">
        <v>35.0</v>
      </c>
      <c r="E109" s="4">
        <v>0.0</v>
      </c>
      <c r="F109" s="4">
        <v>30.0</v>
      </c>
      <c r="G109" s="4">
        <v>10.0</v>
      </c>
    </row>
    <row r="110" ht="15.75" customHeight="1">
      <c r="A110" s="4" t="s">
        <v>1168</v>
      </c>
      <c r="B110" s="4" t="s">
        <v>110</v>
      </c>
      <c r="C110" s="4" t="s">
        <v>2187</v>
      </c>
      <c r="D110" s="4">
        <v>3.0</v>
      </c>
      <c r="E110" s="4">
        <v>87.0</v>
      </c>
      <c r="F110" s="4">
        <v>0.0</v>
      </c>
      <c r="G110" s="4">
        <v>1.0</v>
      </c>
    </row>
    <row r="111" ht="15.75" customHeight="1">
      <c r="A111" s="4" t="s">
        <v>1168</v>
      </c>
      <c r="B111" s="4" t="s">
        <v>110</v>
      </c>
      <c r="C111" s="4" t="s">
        <v>1174</v>
      </c>
      <c r="D111" s="4">
        <v>0.0</v>
      </c>
      <c r="E111" s="4">
        <v>2.0</v>
      </c>
      <c r="F111" s="4">
        <v>0.0</v>
      </c>
      <c r="G111" s="4">
        <v>2.0</v>
      </c>
    </row>
    <row r="112" ht="15.75" customHeight="1">
      <c r="A112" s="4" t="s">
        <v>1168</v>
      </c>
      <c r="B112" s="4" t="s">
        <v>112</v>
      </c>
      <c r="C112" s="4" t="s">
        <v>2187</v>
      </c>
      <c r="D112" s="4">
        <v>42.0</v>
      </c>
      <c r="E112" s="4">
        <v>0.0</v>
      </c>
      <c r="F112" s="4">
        <v>75.0</v>
      </c>
      <c r="G112" s="4">
        <v>12.0</v>
      </c>
    </row>
    <row r="113" ht="15.75" customHeight="1">
      <c r="A113" s="4" t="s">
        <v>1168</v>
      </c>
      <c r="B113" s="4" t="s">
        <v>112</v>
      </c>
      <c r="C113" s="4" t="s">
        <v>1174</v>
      </c>
      <c r="D113" s="4">
        <v>0.0</v>
      </c>
      <c r="E113" s="4">
        <v>84.0</v>
      </c>
      <c r="G113" s="4">
        <v>0.0</v>
      </c>
    </row>
    <row r="114" ht="15.75" customHeight="1">
      <c r="A114" s="4" t="s">
        <v>1178</v>
      </c>
      <c r="B114" s="4" t="s">
        <v>113</v>
      </c>
      <c r="C114" s="4" t="s">
        <v>2192</v>
      </c>
      <c r="D114" s="4">
        <v>9.0</v>
      </c>
      <c r="E114" s="4">
        <v>0.0</v>
      </c>
      <c r="F114" s="4">
        <v>85.0</v>
      </c>
      <c r="G114" s="4">
        <v>13.0</v>
      </c>
    </row>
    <row r="115" ht="15.75" customHeight="1">
      <c r="A115" s="4" t="s">
        <v>1178</v>
      </c>
      <c r="B115" s="4" t="s">
        <v>113</v>
      </c>
      <c r="C115" s="4" t="s">
        <v>1182</v>
      </c>
      <c r="D115" s="4">
        <v>3.0</v>
      </c>
      <c r="E115" s="4">
        <v>0.0</v>
      </c>
      <c r="F115" s="4">
        <v>62.0</v>
      </c>
      <c r="G115" s="4">
        <v>8.0</v>
      </c>
    </row>
    <row r="116" ht="15.75" customHeight="1">
      <c r="A116" s="4" t="s">
        <v>1178</v>
      </c>
      <c r="B116" s="4" t="s">
        <v>276</v>
      </c>
      <c r="C116" s="4" t="s">
        <v>2192</v>
      </c>
      <c r="D116" s="4">
        <v>0.0</v>
      </c>
      <c r="E116" s="4">
        <v>21.0</v>
      </c>
      <c r="F116" s="4">
        <v>14.0</v>
      </c>
      <c r="G116" s="4">
        <v>7.0</v>
      </c>
    </row>
    <row r="117" ht="15.75" customHeight="1">
      <c r="A117" s="4" t="s">
        <v>1178</v>
      </c>
      <c r="B117" s="4" t="s">
        <v>276</v>
      </c>
      <c r="C117" s="4" t="s">
        <v>1182</v>
      </c>
      <c r="D117" s="4">
        <v>0.0</v>
      </c>
      <c r="E117" s="4">
        <v>100.0</v>
      </c>
      <c r="G117" s="4">
        <v>0.0</v>
      </c>
    </row>
    <row r="118" ht="15.75" customHeight="1">
      <c r="A118" s="4" t="s">
        <v>1178</v>
      </c>
      <c r="B118" s="4" t="s">
        <v>250</v>
      </c>
      <c r="C118" s="4" t="s">
        <v>2192</v>
      </c>
      <c r="D118" s="4">
        <v>3.0</v>
      </c>
      <c r="E118" s="4">
        <v>0.0</v>
      </c>
      <c r="F118" s="4">
        <v>57.0</v>
      </c>
      <c r="G118" s="4">
        <v>7.0</v>
      </c>
    </row>
    <row r="119" ht="15.75" customHeight="1">
      <c r="A119" s="4" t="s">
        <v>1178</v>
      </c>
      <c r="B119" s="4" t="s">
        <v>250</v>
      </c>
      <c r="C119" s="4" t="s">
        <v>1182</v>
      </c>
      <c r="D119" s="4">
        <v>22.0</v>
      </c>
      <c r="E119" s="4">
        <v>0.0</v>
      </c>
      <c r="F119" s="4">
        <v>56.0</v>
      </c>
      <c r="G119" s="4">
        <v>9.0</v>
      </c>
    </row>
    <row r="120" ht="15.75" customHeight="1">
      <c r="A120" s="4" t="s">
        <v>1178</v>
      </c>
      <c r="B120" s="4" t="s">
        <v>270</v>
      </c>
      <c r="C120" s="4" t="s">
        <v>2192</v>
      </c>
      <c r="D120" s="4">
        <v>9.0</v>
      </c>
      <c r="E120" s="4">
        <v>3.0</v>
      </c>
      <c r="F120" s="4">
        <v>33.0</v>
      </c>
      <c r="G120" s="4">
        <v>9.0</v>
      </c>
    </row>
    <row r="121" ht="15.75" customHeight="1">
      <c r="A121" s="4" t="s">
        <v>1178</v>
      </c>
      <c r="B121" s="4" t="s">
        <v>270</v>
      </c>
      <c r="C121" s="4" t="s">
        <v>1182</v>
      </c>
      <c r="D121" s="4">
        <v>22.0</v>
      </c>
      <c r="E121" s="4">
        <v>0.0</v>
      </c>
      <c r="F121" s="4">
        <v>77.0</v>
      </c>
      <c r="G121" s="4">
        <v>13.0</v>
      </c>
    </row>
    <row r="122" ht="15.75" customHeight="1">
      <c r="A122" s="4" t="s">
        <v>1178</v>
      </c>
      <c r="B122" s="4" t="s">
        <v>262</v>
      </c>
      <c r="C122" s="4" t="s">
        <v>2192</v>
      </c>
      <c r="D122" s="4">
        <v>9.0</v>
      </c>
      <c r="E122" s="4">
        <v>3.0</v>
      </c>
      <c r="F122" s="4">
        <v>46.0</v>
      </c>
      <c r="G122" s="4">
        <v>13.0</v>
      </c>
    </row>
    <row r="123" ht="15.75" customHeight="1">
      <c r="A123" s="4" t="s">
        <v>1178</v>
      </c>
      <c r="B123" s="4" t="s">
        <v>262</v>
      </c>
      <c r="C123" s="4" t="s">
        <v>1182</v>
      </c>
      <c r="D123" s="4">
        <v>17.0</v>
      </c>
      <c r="E123" s="4">
        <v>0.0</v>
      </c>
      <c r="F123" s="4">
        <v>50.0</v>
      </c>
      <c r="G123" s="4">
        <v>12.0</v>
      </c>
    </row>
    <row r="124" ht="15.75" customHeight="1">
      <c r="A124" s="4" t="s">
        <v>1178</v>
      </c>
      <c r="B124" s="4" t="s">
        <v>110</v>
      </c>
      <c r="C124" s="4" t="s">
        <v>2192</v>
      </c>
      <c r="D124" s="4">
        <v>59.0</v>
      </c>
      <c r="E124" s="4">
        <v>0.0</v>
      </c>
      <c r="F124" s="4">
        <v>74.0</v>
      </c>
      <c r="G124" s="4">
        <v>19.0</v>
      </c>
    </row>
    <row r="125" ht="15.75" customHeight="1">
      <c r="A125" s="4" t="s">
        <v>1178</v>
      </c>
      <c r="B125" s="4" t="s">
        <v>110</v>
      </c>
      <c r="C125" s="4" t="s">
        <v>1182</v>
      </c>
      <c r="D125" s="4">
        <v>14.0</v>
      </c>
      <c r="E125" s="4">
        <v>0.0</v>
      </c>
      <c r="F125" s="4">
        <v>56.0</v>
      </c>
      <c r="G125" s="4">
        <v>9.0</v>
      </c>
    </row>
    <row r="126" ht="15.75" customHeight="1">
      <c r="A126" s="4" t="s">
        <v>1178</v>
      </c>
      <c r="B126" s="4" t="s">
        <v>112</v>
      </c>
      <c r="C126" s="4" t="s">
        <v>2192</v>
      </c>
      <c r="D126" s="4">
        <v>0.0</v>
      </c>
      <c r="E126" s="4">
        <v>74.0</v>
      </c>
      <c r="F126" s="4">
        <v>0.0</v>
      </c>
      <c r="G126" s="4">
        <v>2.0</v>
      </c>
    </row>
    <row r="127" ht="15.75" customHeight="1">
      <c r="A127" s="4" t="s">
        <v>1178</v>
      </c>
      <c r="B127" s="4" t="s">
        <v>112</v>
      </c>
      <c r="C127" s="4" t="s">
        <v>1182</v>
      </c>
      <c r="D127" s="4">
        <v>6.0</v>
      </c>
      <c r="E127" s="4">
        <v>0.0</v>
      </c>
      <c r="F127" s="4">
        <v>50.0</v>
      </c>
      <c r="G127" s="4">
        <v>2.0</v>
      </c>
    </row>
    <row r="128" ht="15.75" customHeight="1">
      <c r="A128" s="4" t="s">
        <v>1234</v>
      </c>
      <c r="B128" s="4" t="s">
        <v>113</v>
      </c>
      <c r="C128" s="4" t="s">
        <v>1241</v>
      </c>
      <c r="D128" s="4">
        <v>4.0</v>
      </c>
      <c r="E128" s="4">
        <v>4.0</v>
      </c>
      <c r="F128" s="4">
        <v>33.0</v>
      </c>
      <c r="G128" s="4">
        <v>12.0</v>
      </c>
    </row>
    <row r="129" ht="15.75" customHeight="1">
      <c r="A129" s="4" t="s">
        <v>1234</v>
      </c>
      <c r="B129" s="4" t="s">
        <v>113</v>
      </c>
      <c r="C129" s="4" t="s">
        <v>2198</v>
      </c>
      <c r="D129" s="4">
        <v>8.0</v>
      </c>
      <c r="E129" s="4">
        <v>25.0</v>
      </c>
      <c r="F129" s="4">
        <v>0.0</v>
      </c>
      <c r="G129" s="4">
        <v>3.0</v>
      </c>
    </row>
    <row r="130" ht="15.75" customHeight="1">
      <c r="A130" s="4" t="s">
        <v>1234</v>
      </c>
      <c r="B130" s="4" t="s">
        <v>276</v>
      </c>
      <c r="C130" s="4" t="s">
        <v>1241</v>
      </c>
      <c r="D130" s="4">
        <v>0.0</v>
      </c>
      <c r="E130" s="4">
        <v>96.0</v>
      </c>
      <c r="G130" s="4">
        <v>0.0</v>
      </c>
    </row>
    <row r="131" ht="15.75" customHeight="1">
      <c r="A131" s="4" t="s">
        <v>1234</v>
      </c>
      <c r="B131" s="4" t="s">
        <v>276</v>
      </c>
      <c r="C131" s="4" t="s">
        <v>2198</v>
      </c>
      <c r="D131" s="4">
        <v>0.0</v>
      </c>
      <c r="E131" s="4">
        <v>21.0</v>
      </c>
      <c r="F131" s="4">
        <v>25.0</v>
      </c>
      <c r="G131" s="4">
        <v>4.0</v>
      </c>
    </row>
    <row r="132" ht="15.75" customHeight="1">
      <c r="A132" s="4" t="s">
        <v>1234</v>
      </c>
      <c r="B132" s="4" t="s">
        <v>250</v>
      </c>
      <c r="C132" s="4" t="s">
        <v>1241</v>
      </c>
      <c r="D132" s="4">
        <v>0.0</v>
      </c>
      <c r="E132" s="4">
        <v>0.0</v>
      </c>
      <c r="F132" s="4">
        <v>38.0</v>
      </c>
      <c r="G132" s="4">
        <v>13.0</v>
      </c>
    </row>
    <row r="133" ht="15.75" customHeight="1">
      <c r="A133" s="4" t="s">
        <v>1234</v>
      </c>
      <c r="B133" s="4" t="s">
        <v>250</v>
      </c>
      <c r="C133" s="4" t="s">
        <v>2198</v>
      </c>
      <c r="D133" s="4">
        <v>21.0</v>
      </c>
      <c r="E133" s="4">
        <v>4.0</v>
      </c>
      <c r="F133" s="4">
        <v>33.0</v>
      </c>
      <c r="G133" s="4">
        <v>6.0</v>
      </c>
    </row>
    <row r="134" ht="15.75" customHeight="1">
      <c r="A134" s="4" t="s">
        <v>1234</v>
      </c>
      <c r="B134" s="4" t="s">
        <v>270</v>
      </c>
      <c r="C134" s="4" t="s">
        <v>1241</v>
      </c>
      <c r="D134" s="4">
        <v>12.0</v>
      </c>
      <c r="E134" s="4">
        <v>0.0</v>
      </c>
      <c r="F134" s="4">
        <v>55.0</v>
      </c>
      <c r="G134" s="4">
        <v>11.0</v>
      </c>
    </row>
    <row r="135" ht="15.75" customHeight="1">
      <c r="A135" s="4" t="s">
        <v>1234</v>
      </c>
      <c r="B135" s="4" t="s">
        <v>270</v>
      </c>
      <c r="C135" s="4" t="s">
        <v>2198</v>
      </c>
      <c r="D135" s="4">
        <v>12.0</v>
      </c>
      <c r="E135" s="4">
        <v>8.0</v>
      </c>
      <c r="F135" s="4">
        <v>25.0</v>
      </c>
      <c r="G135" s="4">
        <v>4.0</v>
      </c>
    </row>
    <row r="136" ht="15.75" customHeight="1">
      <c r="A136" s="4" t="s">
        <v>1234</v>
      </c>
      <c r="B136" s="4" t="s">
        <v>262</v>
      </c>
      <c r="C136" s="4" t="s">
        <v>1241</v>
      </c>
      <c r="D136" s="4">
        <v>48.0</v>
      </c>
      <c r="E136" s="4">
        <v>0.0</v>
      </c>
      <c r="F136" s="4">
        <v>59.0</v>
      </c>
      <c r="G136" s="4">
        <v>22.0</v>
      </c>
    </row>
    <row r="137" ht="15.75" customHeight="1">
      <c r="A137" s="4" t="s">
        <v>1234</v>
      </c>
      <c r="B137" s="4" t="s">
        <v>262</v>
      </c>
      <c r="C137" s="4" t="s">
        <v>2198</v>
      </c>
      <c r="D137" s="4">
        <v>4.0</v>
      </c>
      <c r="E137" s="4">
        <v>25.0</v>
      </c>
      <c r="F137" s="4">
        <v>33.0</v>
      </c>
      <c r="G137" s="4">
        <v>3.0</v>
      </c>
    </row>
    <row r="138" ht="15.75" customHeight="1">
      <c r="A138" s="4" t="s">
        <v>1234</v>
      </c>
      <c r="B138" s="4" t="s">
        <v>110</v>
      </c>
      <c r="C138" s="4" t="s">
        <v>1241</v>
      </c>
      <c r="D138" s="4">
        <v>8.0</v>
      </c>
      <c r="E138" s="4">
        <v>0.0</v>
      </c>
      <c r="F138" s="4">
        <v>50.0</v>
      </c>
      <c r="G138" s="4">
        <v>10.0</v>
      </c>
    </row>
    <row r="139" ht="15.75" customHeight="1">
      <c r="A139" s="4" t="s">
        <v>1234</v>
      </c>
      <c r="B139" s="4" t="s">
        <v>110</v>
      </c>
      <c r="C139" s="4" t="s">
        <v>2198</v>
      </c>
      <c r="D139" s="4">
        <v>21.0</v>
      </c>
      <c r="E139" s="4">
        <v>4.0</v>
      </c>
      <c r="F139" s="4">
        <v>50.0</v>
      </c>
      <c r="G139" s="4">
        <v>8.0</v>
      </c>
    </row>
    <row r="140" ht="15.75" customHeight="1">
      <c r="A140" s="4" t="s">
        <v>1234</v>
      </c>
      <c r="B140" s="4" t="s">
        <v>112</v>
      </c>
      <c r="C140" s="4" t="s">
        <v>1241</v>
      </c>
      <c r="D140" s="4">
        <v>0.0</v>
      </c>
      <c r="E140" s="4">
        <v>0.0</v>
      </c>
      <c r="F140" s="4">
        <v>50.0</v>
      </c>
      <c r="G140" s="4">
        <v>6.0</v>
      </c>
    </row>
    <row r="141" ht="15.75" customHeight="1">
      <c r="A141" s="4" t="s">
        <v>1234</v>
      </c>
      <c r="B141" s="4" t="s">
        <v>112</v>
      </c>
      <c r="C141" s="4" t="s">
        <v>2198</v>
      </c>
      <c r="D141" s="4">
        <v>17.0</v>
      </c>
      <c r="E141" s="4">
        <v>12.0</v>
      </c>
      <c r="F141" s="4">
        <v>67.0</v>
      </c>
      <c r="G141" s="4">
        <v>6.0</v>
      </c>
    </row>
    <row r="142" ht="15.75" customHeight="1">
      <c r="A142" s="4" t="s">
        <v>1462</v>
      </c>
      <c r="B142" s="4" t="s">
        <v>113</v>
      </c>
      <c r="C142" s="4" t="s">
        <v>2166</v>
      </c>
      <c r="D142" s="4">
        <v>0.0</v>
      </c>
      <c r="E142" s="4">
        <v>11.0</v>
      </c>
      <c r="F142" s="4">
        <v>0.0</v>
      </c>
      <c r="G142" s="4">
        <v>2.0</v>
      </c>
    </row>
    <row r="143" ht="15.75" customHeight="1">
      <c r="A143" s="4" t="s">
        <v>1462</v>
      </c>
      <c r="B143" s="4" t="s">
        <v>113</v>
      </c>
      <c r="C143" s="4" t="s">
        <v>2170</v>
      </c>
      <c r="D143" s="4">
        <v>6.0</v>
      </c>
      <c r="E143" s="4">
        <v>0.0</v>
      </c>
      <c r="F143" s="4">
        <v>0.0</v>
      </c>
      <c r="G143" s="4">
        <v>2.0</v>
      </c>
    </row>
    <row r="144" ht="15.75" customHeight="1">
      <c r="A144" s="4" t="s">
        <v>1462</v>
      </c>
      <c r="B144" s="4" t="s">
        <v>276</v>
      </c>
      <c r="C144" s="4" t="s">
        <v>2166</v>
      </c>
      <c r="D144" s="4">
        <v>18.0</v>
      </c>
      <c r="E144" s="4">
        <v>11.0</v>
      </c>
      <c r="F144" s="4">
        <v>62.0</v>
      </c>
      <c r="G144" s="4">
        <v>8.0</v>
      </c>
    </row>
    <row r="145" ht="15.75" customHeight="1">
      <c r="A145" s="4" t="s">
        <v>1462</v>
      </c>
      <c r="B145" s="4" t="s">
        <v>276</v>
      </c>
      <c r="C145" s="4" t="s">
        <v>2170</v>
      </c>
      <c r="D145" s="4">
        <v>0.0</v>
      </c>
      <c r="E145" s="4">
        <v>31.0</v>
      </c>
      <c r="F145" s="4">
        <v>0.0</v>
      </c>
      <c r="G145" s="4">
        <v>3.0</v>
      </c>
    </row>
    <row r="146" ht="15.75" customHeight="1">
      <c r="A146" s="4" t="s">
        <v>1462</v>
      </c>
      <c r="B146" s="4" t="s">
        <v>250</v>
      </c>
      <c r="C146" s="4" t="s">
        <v>2166</v>
      </c>
      <c r="D146" s="4">
        <v>7.0</v>
      </c>
      <c r="E146" s="4">
        <v>16.0</v>
      </c>
      <c r="F146" s="4">
        <v>50.0</v>
      </c>
      <c r="G146" s="4">
        <v>8.0</v>
      </c>
    </row>
    <row r="147" ht="15.75" customHeight="1">
      <c r="A147" s="4" t="s">
        <v>1462</v>
      </c>
      <c r="B147" s="4" t="s">
        <v>250</v>
      </c>
      <c r="C147" s="4" t="s">
        <v>2170</v>
      </c>
      <c r="D147" s="4">
        <v>0.0</v>
      </c>
      <c r="E147" s="4">
        <v>0.0</v>
      </c>
      <c r="F147" s="4">
        <v>0.0</v>
      </c>
      <c r="G147" s="4">
        <v>7.0</v>
      </c>
    </row>
    <row r="148" ht="15.75" customHeight="1">
      <c r="A148" s="4" t="s">
        <v>1462</v>
      </c>
      <c r="B148" s="4" t="s">
        <v>270</v>
      </c>
      <c r="C148" s="4" t="s">
        <v>2166</v>
      </c>
      <c r="D148" s="4">
        <v>4.0</v>
      </c>
      <c r="E148" s="4">
        <v>48.0</v>
      </c>
      <c r="F148" s="4">
        <v>55.0</v>
      </c>
      <c r="G148" s="4">
        <v>11.0</v>
      </c>
    </row>
    <row r="149" ht="15.75" customHeight="1">
      <c r="A149" s="4" t="s">
        <v>1462</v>
      </c>
      <c r="B149" s="4" t="s">
        <v>270</v>
      </c>
      <c r="C149" s="4" t="s">
        <v>2170</v>
      </c>
      <c r="D149" s="4">
        <v>25.0</v>
      </c>
      <c r="E149" s="4">
        <v>0.0</v>
      </c>
      <c r="F149" s="4">
        <v>67.0</v>
      </c>
      <c r="G149" s="4">
        <v>3.0</v>
      </c>
    </row>
    <row r="150" ht="15.75" customHeight="1">
      <c r="A150" s="4" t="s">
        <v>1462</v>
      </c>
      <c r="B150" s="4" t="s">
        <v>262</v>
      </c>
      <c r="C150" s="4" t="s">
        <v>2166</v>
      </c>
      <c r="D150" s="4">
        <v>23.0</v>
      </c>
      <c r="E150" s="4">
        <v>0.0</v>
      </c>
      <c r="F150" s="4">
        <v>40.0</v>
      </c>
      <c r="G150" s="4">
        <v>10.0</v>
      </c>
    </row>
    <row r="151" ht="15.75" customHeight="1">
      <c r="A151" s="4" t="s">
        <v>1462</v>
      </c>
      <c r="B151" s="4" t="s">
        <v>262</v>
      </c>
      <c r="C151" s="4" t="s">
        <v>2170</v>
      </c>
      <c r="D151" s="4">
        <v>38.0</v>
      </c>
      <c r="E151" s="4">
        <v>0.0</v>
      </c>
      <c r="F151" s="4">
        <v>33.0</v>
      </c>
      <c r="G151" s="4">
        <v>9.0</v>
      </c>
    </row>
    <row r="152" ht="15.75" customHeight="1">
      <c r="A152" s="4" t="s">
        <v>1462</v>
      </c>
      <c r="B152" s="4" t="s">
        <v>110</v>
      </c>
      <c r="C152" s="4" t="s">
        <v>2166</v>
      </c>
      <c r="D152" s="4">
        <v>39.0</v>
      </c>
      <c r="E152" s="4">
        <v>0.0</v>
      </c>
      <c r="F152" s="4">
        <v>50.0</v>
      </c>
      <c r="G152" s="4">
        <v>18.0</v>
      </c>
    </row>
    <row r="153" ht="15.75" customHeight="1">
      <c r="A153" s="4" t="s">
        <v>1462</v>
      </c>
      <c r="B153" s="4" t="s">
        <v>110</v>
      </c>
      <c r="C153" s="4" t="s">
        <v>2170</v>
      </c>
      <c r="D153" s="4">
        <v>25.0</v>
      </c>
      <c r="E153" s="4">
        <v>0.0</v>
      </c>
      <c r="F153" s="4">
        <v>60.0</v>
      </c>
      <c r="G153" s="4">
        <v>5.0</v>
      </c>
    </row>
    <row r="154" ht="15.75" customHeight="1">
      <c r="A154" s="4" t="s">
        <v>1462</v>
      </c>
      <c r="B154" s="4" t="s">
        <v>112</v>
      </c>
      <c r="C154" s="4" t="s">
        <v>2166</v>
      </c>
      <c r="D154" s="4">
        <v>4.0</v>
      </c>
      <c r="E154" s="4">
        <v>14.0</v>
      </c>
      <c r="F154" s="4">
        <v>29.0</v>
      </c>
      <c r="G154" s="4">
        <v>7.0</v>
      </c>
    </row>
    <row r="155" ht="15.75" customHeight="1">
      <c r="A155" s="4" t="s">
        <v>1462</v>
      </c>
      <c r="B155" s="4" t="s">
        <v>112</v>
      </c>
      <c r="C155" s="4" t="s">
        <v>2170</v>
      </c>
      <c r="D155" s="4">
        <v>0.0</v>
      </c>
      <c r="E155" s="4">
        <v>50.0</v>
      </c>
      <c r="F155" s="4">
        <v>0.0</v>
      </c>
      <c r="G155" s="4">
        <v>1.0</v>
      </c>
    </row>
    <row r="156" ht="15.75" customHeight="1">
      <c r="A156" s="4" t="s">
        <v>1648</v>
      </c>
      <c r="B156" s="4" t="s">
        <v>113</v>
      </c>
      <c r="C156" s="4" t="s">
        <v>2163</v>
      </c>
      <c r="D156" s="4">
        <v>10.0</v>
      </c>
      <c r="E156" s="4">
        <v>6.0</v>
      </c>
      <c r="F156" s="4">
        <v>29.0</v>
      </c>
      <c r="G156" s="4">
        <v>7.0</v>
      </c>
    </row>
    <row r="157" ht="15.75" customHeight="1">
      <c r="A157" s="4" t="s">
        <v>1648</v>
      </c>
      <c r="B157" s="4" t="s">
        <v>113</v>
      </c>
      <c r="C157" s="4" t="s">
        <v>2170</v>
      </c>
      <c r="D157" s="4">
        <v>6.0</v>
      </c>
      <c r="E157" s="4">
        <v>0.0</v>
      </c>
      <c r="F157" s="4">
        <v>0.0</v>
      </c>
      <c r="G157" s="4">
        <v>2.0</v>
      </c>
    </row>
    <row r="158" ht="15.75" customHeight="1">
      <c r="A158" s="4" t="s">
        <v>1648</v>
      </c>
      <c r="B158" s="4" t="s">
        <v>276</v>
      </c>
      <c r="C158" s="4" t="s">
        <v>2163</v>
      </c>
      <c r="D158" s="4">
        <v>26.0</v>
      </c>
      <c r="E158" s="4">
        <v>0.0</v>
      </c>
      <c r="F158" s="4">
        <v>80.0</v>
      </c>
      <c r="G158" s="4">
        <v>10.0</v>
      </c>
    </row>
    <row r="159" ht="15.75" customHeight="1">
      <c r="A159" s="4" t="s">
        <v>1648</v>
      </c>
      <c r="B159" s="4" t="s">
        <v>276</v>
      </c>
      <c r="C159" s="4" t="s">
        <v>2170</v>
      </c>
      <c r="D159" s="4">
        <v>0.0</v>
      </c>
      <c r="E159" s="4">
        <v>31.0</v>
      </c>
      <c r="F159" s="4">
        <v>0.0</v>
      </c>
      <c r="G159" s="4">
        <v>3.0</v>
      </c>
    </row>
    <row r="160" ht="15.75" customHeight="1">
      <c r="A160" s="4" t="s">
        <v>1648</v>
      </c>
      <c r="B160" s="4" t="s">
        <v>250</v>
      </c>
      <c r="C160" s="4" t="s">
        <v>2163</v>
      </c>
      <c r="D160" s="4">
        <v>10.0</v>
      </c>
      <c r="E160" s="4">
        <v>0.0</v>
      </c>
      <c r="F160" s="4">
        <v>100.0</v>
      </c>
      <c r="G160" s="4">
        <v>4.0</v>
      </c>
    </row>
    <row r="161" ht="15.75" customHeight="1">
      <c r="A161" s="4" t="s">
        <v>1648</v>
      </c>
      <c r="B161" s="4" t="s">
        <v>250</v>
      </c>
      <c r="C161" s="4" t="s">
        <v>2170</v>
      </c>
      <c r="D161" s="4">
        <v>0.0</v>
      </c>
      <c r="E161" s="4">
        <v>0.0</v>
      </c>
      <c r="F161" s="4">
        <v>0.0</v>
      </c>
      <c r="G161" s="4">
        <v>7.0</v>
      </c>
    </row>
    <row r="162" ht="15.75" customHeight="1">
      <c r="A162" s="4" t="s">
        <v>1648</v>
      </c>
      <c r="B162" s="4" t="s">
        <v>270</v>
      </c>
      <c r="C162" s="4" t="s">
        <v>2163</v>
      </c>
      <c r="D162" s="4">
        <v>0.0</v>
      </c>
      <c r="E162" s="4">
        <v>94.0</v>
      </c>
      <c r="G162" s="4">
        <v>0.0</v>
      </c>
    </row>
    <row r="163" ht="15.75" customHeight="1">
      <c r="A163" s="4" t="s">
        <v>1648</v>
      </c>
      <c r="B163" s="4" t="s">
        <v>270</v>
      </c>
      <c r="C163" s="4" t="s">
        <v>2170</v>
      </c>
      <c r="D163" s="4">
        <v>25.0</v>
      </c>
      <c r="E163" s="4">
        <v>0.0</v>
      </c>
      <c r="F163" s="4">
        <v>67.0</v>
      </c>
      <c r="G163" s="4">
        <v>3.0</v>
      </c>
    </row>
    <row r="164" ht="15.75" customHeight="1">
      <c r="A164" s="4" t="s">
        <v>1648</v>
      </c>
      <c r="B164" s="4" t="s">
        <v>262</v>
      </c>
      <c r="C164" s="4" t="s">
        <v>2163</v>
      </c>
      <c r="D164" s="4">
        <v>6.0</v>
      </c>
      <c r="E164" s="4">
        <v>0.0</v>
      </c>
      <c r="F164" s="4">
        <v>43.0</v>
      </c>
      <c r="G164" s="4">
        <v>7.0</v>
      </c>
    </row>
    <row r="165" ht="15.75" customHeight="1">
      <c r="A165" s="4" t="s">
        <v>1648</v>
      </c>
      <c r="B165" s="4" t="s">
        <v>262</v>
      </c>
      <c r="C165" s="4" t="s">
        <v>2170</v>
      </c>
      <c r="D165" s="4">
        <v>38.0</v>
      </c>
      <c r="E165" s="4">
        <v>0.0</v>
      </c>
      <c r="F165" s="4">
        <v>33.0</v>
      </c>
      <c r="G165" s="4">
        <v>9.0</v>
      </c>
    </row>
    <row r="166" ht="15.75" customHeight="1">
      <c r="A166" s="4" t="s">
        <v>1648</v>
      </c>
      <c r="B166" s="4" t="s">
        <v>110</v>
      </c>
      <c r="C166" s="4" t="s">
        <v>2163</v>
      </c>
      <c r="D166" s="4">
        <v>26.0</v>
      </c>
      <c r="E166" s="4">
        <v>0.0</v>
      </c>
      <c r="F166" s="4">
        <v>71.0</v>
      </c>
      <c r="G166" s="4">
        <v>14.0</v>
      </c>
    </row>
    <row r="167" ht="15.75" customHeight="1">
      <c r="A167" s="4" t="s">
        <v>1648</v>
      </c>
      <c r="B167" s="4" t="s">
        <v>110</v>
      </c>
      <c r="C167" s="4" t="s">
        <v>2170</v>
      </c>
      <c r="D167" s="4">
        <v>25.0</v>
      </c>
      <c r="E167" s="4">
        <v>0.0</v>
      </c>
      <c r="F167" s="4">
        <v>60.0</v>
      </c>
      <c r="G167" s="4">
        <v>5.0</v>
      </c>
    </row>
    <row r="168" ht="15.75" customHeight="1">
      <c r="A168" s="4" t="s">
        <v>1648</v>
      </c>
      <c r="B168" s="4" t="s">
        <v>112</v>
      </c>
      <c r="C168" s="4" t="s">
        <v>2163</v>
      </c>
      <c r="D168" s="4">
        <v>3.0</v>
      </c>
      <c r="E168" s="4">
        <v>0.0</v>
      </c>
      <c r="F168" s="4">
        <v>50.0</v>
      </c>
      <c r="G168" s="4">
        <v>4.0</v>
      </c>
    </row>
    <row r="169" ht="15.75" customHeight="1">
      <c r="A169" s="4" t="s">
        <v>1648</v>
      </c>
      <c r="B169" s="4" t="s">
        <v>112</v>
      </c>
      <c r="C169" s="4" t="s">
        <v>2170</v>
      </c>
      <c r="D169" s="4">
        <v>0.0</v>
      </c>
      <c r="E169" s="4">
        <v>50.0</v>
      </c>
      <c r="F169" s="4">
        <v>0.0</v>
      </c>
      <c r="G169" s="4">
        <v>1.0</v>
      </c>
    </row>
    <row r="170" ht="15.75" customHeight="1">
      <c r="A170" s="4" t="s">
        <v>364</v>
      </c>
      <c r="B170" s="4" t="s">
        <v>113</v>
      </c>
      <c r="C170" s="4" t="s">
        <v>2209</v>
      </c>
      <c r="D170" s="4">
        <v>0.0</v>
      </c>
      <c r="E170" s="4">
        <v>29.0</v>
      </c>
      <c r="F170" s="4">
        <v>67.0</v>
      </c>
      <c r="G170" s="4">
        <v>3.0</v>
      </c>
    </row>
    <row r="171" ht="15.75" customHeight="1">
      <c r="A171" s="4" t="s">
        <v>364</v>
      </c>
      <c r="B171" s="4" t="s">
        <v>113</v>
      </c>
      <c r="C171" s="4" t="s">
        <v>2212</v>
      </c>
      <c r="D171" s="4">
        <v>28.0</v>
      </c>
      <c r="E171" s="4">
        <v>0.0</v>
      </c>
      <c r="F171" s="4">
        <v>73.0</v>
      </c>
      <c r="G171" s="4">
        <v>15.0</v>
      </c>
    </row>
    <row r="172" ht="15.75" customHeight="1">
      <c r="A172" s="4" t="s">
        <v>364</v>
      </c>
      <c r="B172" s="4" t="s">
        <v>276</v>
      </c>
      <c r="C172" s="4" t="s">
        <v>2209</v>
      </c>
      <c r="D172" s="4">
        <v>25.0</v>
      </c>
      <c r="E172" s="4">
        <v>4.0</v>
      </c>
      <c r="F172" s="4">
        <v>86.0</v>
      </c>
      <c r="G172" s="4">
        <v>14.0</v>
      </c>
    </row>
    <row r="173" ht="15.75" customHeight="1">
      <c r="A173" s="4" t="s">
        <v>364</v>
      </c>
      <c r="B173" s="4" t="s">
        <v>276</v>
      </c>
      <c r="C173" s="4" t="s">
        <v>2212</v>
      </c>
      <c r="D173" s="4">
        <v>0.0</v>
      </c>
      <c r="E173" s="4">
        <v>3.0</v>
      </c>
      <c r="F173" s="4">
        <v>45.0</v>
      </c>
      <c r="G173" s="4">
        <v>11.0</v>
      </c>
    </row>
    <row r="174" ht="15.75" customHeight="1">
      <c r="A174" s="4" t="s">
        <v>364</v>
      </c>
      <c r="B174" s="4" t="s">
        <v>250</v>
      </c>
      <c r="C174" s="4" t="s">
        <v>2209</v>
      </c>
      <c r="D174" s="4">
        <v>14.0</v>
      </c>
      <c r="E174" s="4">
        <v>14.0</v>
      </c>
      <c r="F174" s="4">
        <v>70.0</v>
      </c>
      <c r="G174" s="4">
        <v>10.0</v>
      </c>
    </row>
    <row r="175" ht="15.75" customHeight="1">
      <c r="A175" s="4" t="s">
        <v>364</v>
      </c>
      <c r="B175" s="4" t="s">
        <v>250</v>
      </c>
      <c r="C175" s="4" t="s">
        <v>2212</v>
      </c>
      <c r="D175" s="4">
        <v>3.0</v>
      </c>
      <c r="E175" s="4">
        <v>0.0</v>
      </c>
      <c r="F175" s="4">
        <v>55.0</v>
      </c>
      <c r="G175" s="4">
        <v>11.0</v>
      </c>
    </row>
    <row r="176" ht="15.75" customHeight="1">
      <c r="A176" s="4" t="s">
        <v>364</v>
      </c>
      <c r="B176" s="4" t="s">
        <v>270</v>
      </c>
      <c r="C176" s="4" t="s">
        <v>2209</v>
      </c>
      <c r="D176" s="4">
        <v>24.0</v>
      </c>
      <c r="E176" s="4">
        <v>2.0</v>
      </c>
      <c r="F176" s="4">
        <v>56.0</v>
      </c>
      <c r="G176" s="4">
        <v>9.0</v>
      </c>
    </row>
    <row r="177" ht="15.75" customHeight="1">
      <c r="A177" s="4" t="s">
        <v>364</v>
      </c>
      <c r="B177" s="4" t="s">
        <v>270</v>
      </c>
      <c r="C177" s="4" t="s">
        <v>2212</v>
      </c>
      <c r="D177" s="4">
        <v>0.0</v>
      </c>
      <c r="E177" s="4">
        <v>83.0</v>
      </c>
      <c r="G177" s="4">
        <v>0.0</v>
      </c>
    </row>
    <row r="178" ht="15.75" customHeight="1">
      <c r="A178" s="4" t="s">
        <v>364</v>
      </c>
      <c r="B178" s="4" t="s">
        <v>262</v>
      </c>
      <c r="C178" s="4" t="s">
        <v>2209</v>
      </c>
      <c r="D178" s="4">
        <v>12.0</v>
      </c>
      <c r="E178" s="4">
        <v>8.0</v>
      </c>
      <c r="F178" s="4">
        <v>50.0</v>
      </c>
      <c r="G178" s="4">
        <v>10.0</v>
      </c>
    </row>
    <row r="179" ht="15.75" customHeight="1">
      <c r="A179" s="4" t="s">
        <v>364</v>
      </c>
      <c r="B179" s="4" t="s">
        <v>262</v>
      </c>
      <c r="C179" s="4" t="s">
        <v>2212</v>
      </c>
      <c r="D179" s="4">
        <v>31.0</v>
      </c>
      <c r="E179" s="4">
        <v>0.0</v>
      </c>
      <c r="F179" s="4">
        <v>86.0</v>
      </c>
      <c r="G179" s="4">
        <v>14.0</v>
      </c>
    </row>
    <row r="180" ht="15.75" customHeight="1">
      <c r="A180" s="4" t="s">
        <v>364</v>
      </c>
      <c r="B180" s="4" t="s">
        <v>110</v>
      </c>
      <c r="C180" s="4" t="s">
        <v>2209</v>
      </c>
      <c r="D180" s="4">
        <v>14.0</v>
      </c>
      <c r="E180" s="4">
        <v>6.0</v>
      </c>
      <c r="F180" s="4">
        <v>55.0</v>
      </c>
      <c r="G180" s="4">
        <v>11.0</v>
      </c>
    </row>
    <row r="181" ht="15.75" customHeight="1">
      <c r="A181" s="4" t="s">
        <v>364</v>
      </c>
      <c r="B181" s="4" t="s">
        <v>110</v>
      </c>
      <c r="C181" s="4" t="s">
        <v>2212</v>
      </c>
      <c r="D181" s="4">
        <v>0.0</v>
      </c>
      <c r="E181" s="4">
        <v>14.0</v>
      </c>
      <c r="F181" s="4">
        <v>43.0</v>
      </c>
      <c r="G181" s="4">
        <v>7.0</v>
      </c>
    </row>
    <row r="182" ht="15.75" customHeight="1">
      <c r="A182" s="4" t="s">
        <v>364</v>
      </c>
      <c r="B182" s="4" t="s">
        <v>112</v>
      </c>
      <c r="C182" s="4" t="s">
        <v>2209</v>
      </c>
      <c r="D182" s="4">
        <v>8.0</v>
      </c>
      <c r="E182" s="4">
        <v>22.0</v>
      </c>
      <c r="F182" s="4">
        <v>50.0</v>
      </c>
      <c r="G182" s="4">
        <v>10.0</v>
      </c>
    </row>
    <row r="183" ht="15.75" customHeight="1">
      <c r="A183" s="4" t="s">
        <v>364</v>
      </c>
      <c r="B183" s="4" t="s">
        <v>112</v>
      </c>
      <c r="C183" s="4" t="s">
        <v>2212</v>
      </c>
      <c r="D183" s="4">
        <v>17.0</v>
      </c>
      <c r="E183" s="4">
        <v>0.0</v>
      </c>
      <c r="F183" s="4">
        <v>64.0</v>
      </c>
      <c r="G183" s="4">
        <v>11.0</v>
      </c>
    </row>
    <row r="184" ht="15.75" customHeight="1">
      <c r="A184" s="4" t="s">
        <v>1709</v>
      </c>
      <c r="B184" s="4" t="s">
        <v>113</v>
      </c>
      <c r="C184" s="4" t="s">
        <v>2215</v>
      </c>
      <c r="D184" s="4">
        <v>0.0</v>
      </c>
      <c r="E184" s="4">
        <v>0.0</v>
      </c>
      <c r="F184" s="4">
        <v>67.0</v>
      </c>
      <c r="G184" s="4">
        <v>3.0</v>
      </c>
    </row>
    <row r="185" ht="15.75" customHeight="1">
      <c r="A185" s="4" t="s">
        <v>1709</v>
      </c>
      <c r="B185" s="4" t="s">
        <v>113</v>
      </c>
      <c r="C185" s="4" t="s">
        <v>2217</v>
      </c>
      <c r="D185" s="4">
        <v>0.0</v>
      </c>
      <c r="E185" s="4">
        <v>0.0</v>
      </c>
      <c r="F185" s="4">
        <v>50.0</v>
      </c>
      <c r="G185" s="4">
        <v>4.0</v>
      </c>
    </row>
    <row r="186" ht="15.75" customHeight="1">
      <c r="A186" s="4" t="s">
        <v>1709</v>
      </c>
      <c r="B186" s="4" t="s">
        <v>276</v>
      </c>
      <c r="C186" s="4" t="s">
        <v>2215</v>
      </c>
      <c r="D186" s="4">
        <v>17.0</v>
      </c>
      <c r="E186" s="4">
        <v>0.0</v>
      </c>
      <c r="F186" s="4">
        <v>0.0</v>
      </c>
      <c r="G186" s="4">
        <v>1.0</v>
      </c>
    </row>
    <row r="187" ht="15.75" customHeight="1">
      <c r="A187" s="4" t="s">
        <v>1709</v>
      </c>
      <c r="B187" s="4" t="s">
        <v>276</v>
      </c>
      <c r="C187" s="4" t="s">
        <v>2217</v>
      </c>
      <c r="D187" s="4">
        <v>20.0</v>
      </c>
      <c r="E187" s="4">
        <v>0.0</v>
      </c>
      <c r="F187" s="4">
        <v>54.0</v>
      </c>
      <c r="G187" s="4">
        <v>13.0</v>
      </c>
    </row>
    <row r="188" ht="15.75" customHeight="1">
      <c r="A188" s="4" t="s">
        <v>1709</v>
      </c>
      <c r="B188" s="4" t="s">
        <v>250</v>
      </c>
      <c r="C188" s="4" t="s">
        <v>2215</v>
      </c>
      <c r="D188" s="4">
        <v>10.0</v>
      </c>
      <c r="E188" s="4">
        <v>0.0</v>
      </c>
      <c r="F188" s="4">
        <v>43.0</v>
      </c>
      <c r="G188" s="4">
        <v>7.0</v>
      </c>
    </row>
    <row r="189" ht="15.75" customHeight="1">
      <c r="A189" s="4" t="s">
        <v>1709</v>
      </c>
      <c r="B189" s="4" t="s">
        <v>250</v>
      </c>
      <c r="C189" s="4" t="s">
        <v>2217</v>
      </c>
      <c r="D189" s="4">
        <v>34.0</v>
      </c>
      <c r="E189" s="4">
        <v>0.0</v>
      </c>
      <c r="F189" s="4">
        <v>73.0</v>
      </c>
      <c r="G189" s="4">
        <v>11.0</v>
      </c>
    </row>
    <row r="190" ht="15.75" customHeight="1">
      <c r="A190" s="4" t="s">
        <v>1709</v>
      </c>
      <c r="B190" s="4" t="s">
        <v>270</v>
      </c>
      <c r="C190" s="4" t="s">
        <v>2215</v>
      </c>
      <c r="D190" s="4">
        <v>0.0</v>
      </c>
      <c r="E190" s="4">
        <v>97.0</v>
      </c>
      <c r="G190" s="4">
        <v>0.0</v>
      </c>
    </row>
    <row r="191" ht="15.75" customHeight="1">
      <c r="A191" s="4" t="s">
        <v>1709</v>
      </c>
      <c r="B191" s="4" t="s">
        <v>270</v>
      </c>
      <c r="C191" s="4" t="s">
        <v>2217</v>
      </c>
      <c r="D191" s="4">
        <v>20.0</v>
      </c>
      <c r="E191" s="4">
        <v>2.0</v>
      </c>
      <c r="F191" s="4">
        <v>67.0</v>
      </c>
      <c r="G191" s="4">
        <v>6.0</v>
      </c>
    </row>
    <row r="192" ht="15.75" customHeight="1">
      <c r="A192" s="4" t="s">
        <v>1709</v>
      </c>
      <c r="B192" s="4" t="s">
        <v>262</v>
      </c>
      <c r="C192" s="4" t="s">
        <v>2215</v>
      </c>
      <c r="D192" s="4">
        <v>34.0</v>
      </c>
      <c r="E192" s="4">
        <v>0.0</v>
      </c>
      <c r="F192" s="4">
        <v>50.0</v>
      </c>
      <c r="G192" s="4">
        <v>4.0</v>
      </c>
    </row>
    <row r="193" ht="15.75" customHeight="1">
      <c r="A193" s="4" t="s">
        <v>1709</v>
      </c>
      <c r="B193" s="4" t="s">
        <v>262</v>
      </c>
      <c r="C193" s="4" t="s">
        <v>2217</v>
      </c>
      <c r="D193" s="4">
        <v>2.0</v>
      </c>
      <c r="E193" s="4">
        <v>0.0</v>
      </c>
      <c r="F193" s="4">
        <v>80.0</v>
      </c>
      <c r="G193" s="4">
        <v>5.0</v>
      </c>
    </row>
    <row r="194" ht="15.75" customHeight="1">
      <c r="A194" s="4" t="s">
        <v>1709</v>
      </c>
      <c r="B194" s="4" t="s">
        <v>110</v>
      </c>
      <c r="C194" s="4" t="s">
        <v>2215</v>
      </c>
      <c r="D194" s="4">
        <v>7.0</v>
      </c>
      <c r="E194" s="4">
        <v>3.0</v>
      </c>
      <c r="F194" s="4">
        <v>25.0</v>
      </c>
      <c r="G194" s="4">
        <v>4.0</v>
      </c>
    </row>
    <row r="195" ht="15.75" customHeight="1">
      <c r="A195" s="4" t="s">
        <v>1709</v>
      </c>
      <c r="B195" s="4" t="s">
        <v>110</v>
      </c>
      <c r="C195" s="4" t="s">
        <v>2217</v>
      </c>
      <c r="D195" s="4">
        <v>20.0</v>
      </c>
      <c r="E195" s="4">
        <v>5.0</v>
      </c>
      <c r="F195" s="4">
        <v>55.0</v>
      </c>
      <c r="G195" s="4">
        <v>11.0</v>
      </c>
    </row>
    <row r="196" ht="15.75" customHeight="1">
      <c r="A196" s="4" t="s">
        <v>1709</v>
      </c>
      <c r="B196" s="4" t="s">
        <v>112</v>
      </c>
      <c r="C196" s="4" t="s">
        <v>2215</v>
      </c>
      <c r="D196" s="4">
        <v>24.0</v>
      </c>
      <c r="E196" s="4">
        <v>0.0</v>
      </c>
      <c r="F196" s="4">
        <v>57.0</v>
      </c>
      <c r="G196" s="4">
        <v>7.0</v>
      </c>
    </row>
    <row r="197" ht="15.75" customHeight="1">
      <c r="A197" s="4" t="s">
        <v>1709</v>
      </c>
      <c r="B197" s="4" t="s">
        <v>112</v>
      </c>
      <c r="C197" s="4" t="s">
        <v>2217</v>
      </c>
      <c r="D197" s="4">
        <v>0.0</v>
      </c>
      <c r="E197" s="4">
        <v>85.0</v>
      </c>
      <c r="G197" s="4">
        <v>0.0</v>
      </c>
    </row>
    <row r="198" ht="15.75" customHeight="1">
      <c r="A198" s="4" t="s">
        <v>1755</v>
      </c>
      <c r="B198" s="4" t="s">
        <v>113</v>
      </c>
      <c r="C198" s="4" t="s">
        <v>2220</v>
      </c>
      <c r="D198" s="4">
        <v>17.0</v>
      </c>
      <c r="E198" s="4">
        <v>0.0</v>
      </c>
      <c r="F198" s="4">
        <v>89.0</v>
      </c>
      <c r="G198" s="4">
        <v>9.0</v>
      </c>
    </row>
    <row r="199" ht="15.75" customHeight="1">
      <c r="A199" s="4" t="s">
        <v>1755</v>
      </c>
      <c r="B199" s="4" t="s">
        <v>113</v>
      </c>
      <c r="C199" s="4" t="s">
        <v>1565</v>
      </c>
      <c r="D199" s="4">
        <v>10.0</v>
      </c>
      <c r="E199" s="4">
        <v>9.0</v>
      </c>
      <c r="F199" s="4">
        <v>47.0</v>
      </c>
      <c r="G199" s="4">
        <v>15.0</v>
      </c>
    </row>
    <row r="200" ht="15.75" customHeight="1">
      <c r="A200" s="4" t="s">
        <v>1755</v>
      </c>
      <c r="B200" s="4" t="s">
        <v>276</v>
      </c>
      <c r="C200" s="4" t="s">
        <v>2220</v>
      </c>
      <c r="D200" s="4">
        <v>0.0</v>
      </c>
      <c r="E200" s="4">
        <v>56.0</v>
      </c>
      <c r="F200" s="4">
        <v>33.0</v>
      </c>
      <c r="G200" s="4">
        <v>6.0</v>
      </c>
    </row>
    <row r="201" ht="15.75" customHeight="1">
      <c r="A201" s="4" t="s">
        <v>1755</v>
      </c>
      <c r="B201" s="4" t="s">
        <v>276</v>
      </c>
      <c r="C201" s="4" t="s">
        <v>1565</v>
      </c>
      <c r="D201" s="4">
        <v>41.0</v>
      </c>
      <c r="E201" s="4">
        <v>0.0</v>
      </c>
      <c r="F201" s="4">
        <v>56.0</v>
      </c>
      <c r="G201" s="4">
        <v>43.0</v>
      </c>
    </row>
    <row r="202" ht="15.75" customHeight="1">
      <c r="A202" s="4" t="s">
        <v>1755</v>
      </c>
      <c r="B202" s="4" t="s">
        <v>250</v>
      </c>
      <c r="C202" s="4" t="s">
        <v>2220</v>
      </c>
      <c r="D202" s="4">
        <v>11.0</v>
      </c>
      <c r="E202" s="4">
        <v>0.0</v>
      </c>
      <c r="F202" s="4">
        <v>12.0</v>
      </c>
      <c r="G202" s="4">
        <v>8.0</v>
      </c>
    </row>
    <row r="203" ht="15.75" customHeight="1">
      <c r="A203" s="4" t="s">
        <v>1755</v>
      </c>
      <c r="B203" s="4" t="s">
        <v>250</v>
      </c>
      <c r="C203" s="4" t="s">
        <v>1565</v>
      </c>
      <c r="D203" s="4">
        <v>4.0</v>
      </c>
      <c r="E203" s="4">
        <v>3.0</v>
      </c>
      <c r="F203" s="4">
        <v>45.0</v>
      </c>
      <c r="G203" s="4">
        <v>20.0</v>
      </c>
    </row>
    <row r="204" ht="15.75" customHeight="1">
      <c r="A204" s="4" t="s">
        <v>1755</v>
      </c>
      <c r="B204" s="4" t="s">
        <v>270</v>
      </c>
      <c r="C204" s="4" t="s">
        <v>2220</v>
      </c>
      <c r="D204" s="4">
        <v>14.0</v>
      </c>
      <c r="E204" s="4">
        <v>14.0</v>
      </c>
      <c r="F204" s="4">
        <v>100.0</v>
      </c>
      <c r="G204" s="4">
        <v>1.0</v>
      </c>
    </row>
    <row r="205" ht="15.75" customHeight="1">
      <c r="A205" s="4" t="s">
        <v>1755</v>
      </c>
      <c r="B205" s="4" t="s">
        <v>270</v>
      </c>
      <c r="C205" s="4" t="s">
        <v>1565</v>
      </c>
      <c r="D205" s="4">
        <v>3.0</v>
      </c>
      <c r="E205" s="4">
        <v>20.0</v>
      </c>
      <c r="F205" s="4">
        <v>50.0</v>
      </c>
      <c r="G205" s="4">
        <v>14.0</v>
      </c>
    </row>
    <row r="206" ht="15.75" customHeight="1">
      <c r="A206" s="4" t="s">
        <v>1755</v>
      </c>
      <c r="B206" s="4" t="s">
        <v>262</v>
      </c>
      <c r="C206" s="4" t="s">
        <v>2220</v>
      </c>
      <c r="D206" s="4">
        <v>8.0</v>
      </c>
      <c r="E206" s="4">
        <v>0.0</v>
      </c>
      <c r="F206" s="4">
        <v>62.0</v>
      </c>
      <c r="G206" s="4">
        <v>8.0</v>
      </c>
    </row>
    <row r="207" ht="15.75" customHeight="1">
      <c r="A207" s="4" t="s">
        <v>1755</v>
      </c>
      <c r="B207" s="4" t="s">
        <v>262</v>
      </c>
      <c r="C207" s="4" t="s">
        <v>1565</v>
      </c>
      <c r="D207" s="4">
        <v>26.0</v>
      </c>
      <c r="E207" s="4">
        <v>0.0</v>
      </c>
      <c r="F207" s="4">
        <v>56.0</v>
      </c>
      <c r="G207" s="4">
        <v>32.0</v>
      </c>
    </row>
    <row r="208" ht="15.75" customHeight="1">
      <c r="A208" s="4" t="s">
        <v>1755</v>
      </c>
      <c r="B208" s="4" t="s">
        <v>110</v>
      </c>
      <c r="C208" s="4" t="s">
        <v>2220</v>
      </c>
      <c r="D208" s="4">
        <v>33.0</v>
      </c>
      <c r="E208" s="4">
        <v>0.0</v>
      </c>
      <c r="F208" s="4">
        <v>50.0</v>
      </c>
      <c r="G208" s="4">
        <v>12.0</v>
      </c>
    </row>
    <row r="209" ht="15.75" customHeight="1">
      <c r="A209" s="4" t="s">
        <v>1755</v>
      </c>
      <c r="B209" s="4" t="s">
        <v>110</v>
      </c>
      <c r="C209" s="4" t="s">
        <v>1565</v>
      </c>
      <c r="D209" s="4">
        <v>1.0</v>
      </c>
      <c r="E209" s="4">
        <v>69.0</v>
      </c>
      <c r="F209" s="4">
        <v>71.0</v>
      </c>
      <c r="G209" s="4">
        <v>7.0</v>
      </c>
    </row>
    <row r="210" ht="15.75" customHeight="1">
      <c r="A210" s="4" t="s">
        <v>1755</v>
      </c>
      <c r="B210" s="4" t="s">
        <v>112</v>
      </c>
      <c r="C210" s="4" t="s">
        <v>2220</v>
      </c>
      <c r="D210" s="4">
        <v>0.0</v>
      </c>
      <c r="E210" s="4">
        <v>31.0</v>
      </c>
      <c r="G210" s="4">
        <v>0.0</v>
      </c>
    </row>
    <row r="211" ht="15.75" customHeight="1">
      <c r="A211" s="4" t="s">
        <v>1755</v>
      </c>
      <c r="B211" s="4" t="s">
        <v>112</v>
      </c>
      <c r="C211" s="4" t="s">
        <v>1565</v>
      </c>
      <c r="D211" s="4">
        <v>14.0</v>
      </c>
      <c r="E211" s="4">
        <v>0.0</v>
      </c>
      <c r="F211" s="4">
        <v>77.0</v>
      </c>
      <c r="G211" s="4">
        <v>26.0</v>
      </c>
    </row>
    <row r="212" ht="15.75" customHeight="1">
      <c r="A212" s="4" t="s">
        <v>1794</v>
      </c>
      <c r="B212" s="4" t="s">
        <v>113</v>
      </c>
      <c r="C212" s="4" t="s">
        <v>2166</v>
      </c>
      <c r="D212" s="4">
        <v>0.0</v>
      </c>
      <c r="E212" s="4">
        <v>11.0</v>
      </c>
      <c r="F212" s="4">
        <v>0.0</v>
      </c>
      <c r="G212" s="4">
        <v>2.0</v>
      </c>
    </row>
    <row r="213" ht="15.75" customHeight="1">
      <c r="A213" s="4" t="s">
        <v>1794</v>
      </c>
      <c r="B213" s="4" t="s">
        <v>113</v>
      </c>
      <c r="C213" s="4" t="s">
        <v>1013</v>
      </c>
      <c r="D213" s="4">
        <v>3.0</v>
      </c>
      <c r="E213" s="4">
        <v>3.0</v>
      </c>
      <c r="F213" s="4">
        <v>20.0</v>
      </c>
      <c r="G213" s="4">
        <v>5.0</v>
      </c>
    </row>
    <row r="214" ht="15.75" customHeight="1">
      <c r="A214" s="4" t="s">
        <v>1794</v>
      </c>
      <c r="B214" s="4" t="s">
        <v>276</v>
      </c>
      <c r="C214" s="4" t="s">
        <v>2166</v>
      </c>
      <c r="D214" s="4">
        <v>18.0</v>
      </c>
      <c r="E214" s="4">
        <v>11.0</v>
      </c>
      <c r="F214" s="4">
        <v>62.0</v>
      </c>
      <c r="G214" s="4">
        <v>8.0</v>
      </c>
    </row>
    <row r="215" ht="15.75" customHeight="1">
      <c r="A215" s="4" t="s">
        <v>1794</v>
      </c>
      <c r="B215" s="4" t="s">
        <v>276</v>
      </c>
      <c r="C215" s="4" t="s">
        <v>1013</v>
      </c>
      <c r="D215" s="4">
        <v>3.0</v>
      </c>
      <c r="E215" s="4">
        <v>5.0</v>
      </c>
      <c r="F215" s="4">
        <v>30.0</v>
      </c>
      <c r="G215" s="4">
        <v>10.0</v>
      </c>
    </row>
    <row r="216" ht="15.75" customHeight="1">
      <c r="A216" s="4" t="s">
        <v>1794</v>
      </c>
      <c r="B216" s="4" t="s">
        <v>250</v>
      </c>
      <c r="C216" s="4" t="s">
        <v>2166</v>
      </c>
      <c r="D216" s="4">
        <v>7.0</v>
      </c>
      <c r="E216" s="4">
        <v>16.0</v>
      </c>
      <c r="F216" s="4">
        <v>50.0</v>
      </c>
      <c r="G216" s="4">
        <v>8.0</v>
      </c>
    </row>
    <row r="217" ht="15.75" customHeight="1">
      <c r="A217" s="4" t="s">
        <v>1794</v>
      </c>
      <c r="B217" s="4" t="s">
        <v>250</v>
      </c>
      <c r="C217" s="4" t="s">
        <v>1013</v>
      </c>
      <c r="D217" s="4">
        <v>14.0</v>
      </c>
      <c r="E217" s="4">
        <v>0.0</v>
      </c>
      <c r="F217" s="4">
        <v>57.0</v>
      </c>
      <c r="G217" s="4">
        <v>14.0</v>
      </c>
    </row>
    <row r="218" ht="15.75" customHeight="1">
      <c r="A218" s="4" t="s">
        <v>1794</v>
      </c>
      <c r="B218" s="4" t="s">
        <v>270</v>
      </c>
      <c r="C218" s="4" t="s">
        <v>2166</v>
      </c>
      <c r="D218" s="4">
        <v>4.0</v>
      </c>
      <c r="E218" s="4">
        <v>48.0</v>
      </c>
      <c r="F218" s="4">
        <v>55.0</v>
      </c>
      <c r="G218" s="4">
        <v>11.0</v>
      </c>
    </row>
    <row r="219" ht="15.75" customHeight="1">
      <c r="A219" s="4" t="s">
        <v>1794</v>
      </c>
      <c r="B219" s="4" t="s">
        <v>270</v>
      </c>
      <c r="C219" s="4" t="s">
        <v>1013</v>
      </c>
      <c r="D219" s="4">
        <v>5.0</v>
      </c>
      <c r="E219" s="4">
        <v>3.0</v>
      </c>
      <c r="F219" s="4">
        <v>33.0</v>
      </c>
      <c r="G219" s="4">
        <v>6.0</v>
      </c>
    </row>
    <row r="220" ht="15.75" customHeight="1">
      <c r="A220" s="4" t="s">
        <v>1794</v>
      </c>
      <c r="B220" s="4" t="s">
        <v>262</v>
      </c>
      <c r="C220" s="4" t="s">
        <v>2166</v>
      </c>
      <c r="D220" s="4">
        <v>23.0</v>
      </c>
      <c r="E220" s="4">
        <v>0.0</v>
      </c>
      <c r="F220" s="4">
        <v>40.0</v>
      </c>
      <c r="G220" s="4">
        <v>10.0</v>
      </c>
    </row>
    <row r="221" ht="15.75" customHeight="1">
      <c r="A221" s="4" t="s">
        <v>1794</v>
      </c>
      <c r="B221" s="4" t="s">
        <v>262</v>
      </c>
      <c r="C221" s="4" t="s">
        <v>1013</v>
      </c>
      <c r="D221" s="4">
        <v>57.0</v>
      </c>
      <c r="E221" s="4">
        <v>0.0</v>
      </c>
      <c r="F221" s="4">
        <v>81.0</v>
      </c>
      <c r="G221" s="4">
        <v>16.0</v>
      </c>
    </row>
    <row r="222" ht="15.75" customHeight="1">
      <c r="A222" s="4" t="s">
        <v>1794</v>
      </c>
      <c r="B222" s="4" t="s">
        <v>110</v>
      </c>
      <c r="C222" s="4" t="s">
        <v>2166</v>
      </c>
      <c r="D222" s="4">
        <v>39.0</v>
      </c>
      <c r="E222" s="4">
        <v>0.0</v>
      </c>
      <c r="F222" s="4">
        <v>50.0</v>
      </c>
      <c r="G222" s="4">
        <v>18.0</v>
      </c>
    </row>
    <row r="223" ht="15.75" customHeight="1">
      <c r="A223" s="4" t="s">
        <v>1794</v>
      </c>
      <c r="B223" s="4" t="s">
        <v>110</v>
      </c>
      <c r="C223" s="4" t="s">
        <v>1013</v>
      </c>
      <c r="D223" s="4">
        <v>0.0</v>
      </c>
      <c r="E223" s="4">
        <v>30.0</v>
      </c>
      <c r="F223" s="4">
        <v>33.0</v>
      </c>
      <c r="G223" s="4">
        <v>6.0</v>
      </c>
    </row>
    <row r="224" ht="15.75" customHeight="1">
      <c r="A224" s="4" t="s">
        <v>1794</v>
      </c>
      <c r="B224" s="4" t="s">
        <v>112</v>
      </c>
      <c r="C224" s="4" t="s">
        <v>2166</v>
      </c>
      <c r="D224" s="4">
        <v>4.0</v>
      </c>
      <c r="E224" s="4">
        <v>14.0</v>
      </c>
      <c r="F224" s="4">
        <v>29.0</v>
      </c>
      <c r="G224" s="4">
        <v>7.0</v>
      </c>
    </row>
    <row r="225" ht="15.75" customHeight="1">
      <c r="A225" s="4" t="s">
        <v>1794</v>
      </c>
      <c r="B225" s="4" t="s">
        <v>112</v>
      </c>
      <c r="C225" s="4" t="s">
        <v>1013</v>
      </c>
      <c r="D225" s="4">
        <v>0.0</v>
      </c>
      <c r="E225" s="4">
        <v>59.0</v>
      </c>
      <c r="F225" s="4">
        <v>0.0</v>
      </c>
      <c r="G225" s="4">
        <v>1.0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25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5.0"/>
    <col customWidth="1" min="4" max="4" width="24.0"/>
    <col customWidth="1" min="5" max="5" width="13.0"/>
    <col customWidth="1" min="6" max="6" width="14.0"/>
    <col customWidth="1" min="7" max="7" width="6.0"/>
    <col customWidth="1" min="8" max="8" width="7.0"/>
    <col customWidth="1" min="9" max="10" width="8.0"/>
    <col customWidth="1" min="11" max="11" width="22.0"/>
    <col customWidth="1" min="12" max="12" width="14.0"/>
    <col customWidth="1" min="13" max="13" width="9.0"/>
    <col customWidth="1" min="14" max="15" width="7.0"/>
    <col customWidth="1" min="16" max="17" width="8.0"/>
    <col customWidth="1" min="18" max="18" width="9.0"/>
    <col customWidth="1" min="19" max="19" width="8.0"/>
    <col customWidth="1" min="20" max="20" width="10.0"/>
    <col customWidth="1" min="21" max="21" width="11.0"/>
    <col customWidth="1" min="22" max="26" width="8.71"/>
  </cols>
  <sheetData>
    <row r="1">
      <c r="A1" s="7" t="s">
        <v>2797</v>
      </c>
      <c r="B1" s="7" t="s">
        <v>1212</v>
      </c>
      <c r="C1" s="7" t="s">
        <v>15</v>
      </c>
      <c r="D1" s="7" t="s">
        <v>10</v>
      </c>
      <c r="E1" s="7" t="s">
        <v>308</v>
      </c>
      <c r="F1" s="7" t="s">
        <v>310</v>
      </c>
      <c r="G1" s="7" t="s">
        <v>311</v>
      </c>
      <c r="H1" s="7" t="s">
        <v>312</v>
      </c>
      <c r="I1" s="7" t="s">
        <v>314</v>
      </c>
      <c r="J1" s="7" t="s">
        <v>315</v>
      </c>
      <c r="K1" s="7" t="s">
        <v>338</v>
      </c>
      <c r="L1" s="7" t="s">
        <v>341</v>
      </c>
      <c r="M1" s="7" t="s">
        <v>321</v>
      </c>
      <c r="N1" s="7" t="s">
        <v>327</v>
      </c>
      <c r="O1" s="7" t="s">
        <v>2799</v>
      </c>
      <c r="P1" s="7" t="s">
        <v>2800</v>
      </c>
      <c r="Q1" s="7" t="s">
        <v>352</v>
      </c>
      <c r="R1" s="7" t="s">
        <v>355</v>
      </c>
      <c r="S1" s="7" t="s">
        <v>360</v>
      </c>
      <c r="T1" s="7" t="s">
        <v>2801</v>
      </c>
      <c r="U1" s="7" t="s">
        <v>2802</v>
      </c>
    </row>
    <row r="2">
      <c r="A2" s="4" t="s">
        <v>1216</v>
      </c>
      <c r="B2" s="4" t="s">
        <v>1214</v>
      </c>
      <c r="C2" s="4" t="s">
        <v>86</v>
      </c>
      <c r="D2" s="4" t="s">
        <v>364</v>
      </c>
      <c r="E2" s="4" t="s">
        <v>366</v>
      </c>
      <c r="F2" s="4" t="s">
        <v>370</v>
      </c>
      <c r="G2" s="4">
        <v>10.5</v>
      </c>
      <c r="H2" s="4">
        <v>10.64</v>
      </c>
      <c r="I2" s="11">
        <v>0.5161</v>
      </c>
      <c r="J2" s="11">
        <v>0.4839</v>
      </c>
      <c r="K2" s="4" t="s">
        <v>2803</v>
      </c>
      <c r="L2" s="4" t="s">
        <v>2804</v>
      </c>
      <c r="N2" s="11">
        <v>0.2</v>
      </c>
      <c r="O2" s="13"/>
      <c r="P2" s="4" t="str">
        <f t="shared" ref="P2:P282" si="1">IF(O2="","",IF(O2&gt;G2,"OVER",IF(O2&lt;G2,"UNDER","PUSH")))</f>
        <v/>
      </c>
      <c r="Q2" s="4">
        <v>10.68</v>
      </c>
      <c r="R2" s="11">
        <v>0.5204</v>
      </c>
      <c r="S2" s="4">
        <v>1.0035</v>
      </c>
      <c r="T2" s="4">
        <v>9.81</v>
      </c>
      <c r="U2" s="4">
        <v>9.84</v>
      </c>
    </row>
    <row r="3">
      <c r="A3" s="4" t="s">
        <v>1216</v>
      </c>
      <c r="B3" s="4" t="s">
        <v>1214</v>
      </c>
      <c r="C3" s="4" t="s">
        <v>86</v>
      </c>
      <c r="D3" s="4" t="s">
        <v>364</v>
      </c>
      <c r="E3" s="4" t="s">
        <v>366</v>
      </c>
      <c r="F3" s="4" t="s">
        <v>772</v>
      </c>
      <c r="G3" s="4">
        <v>31.5</v>
      </c>
      <c r="H3" s="4">
        <v>32.82</v>
      </c>
      <c r="I3" s="11">
        <v>0.5773</v>
      </c>
      <c r="J3" s="11">
        <v>0.4227</v>
      </c>
      <c r="K3" s="4" t="s">
        <v>2803</v>
      </c>
      <c r="L3" s="4" t="s">
        <v>2804</v>
      </c>
      <c r="N3" s="11">
        <v>0.4</v>
      </c>
      <c r="O3" s="13"/>
      <c r="P3" s="4" t="str">
        <f t="shared" si="1"/>
        <v/>
      </c>
      <c r="Q3" s="4">
        <v>32.94</v>
      </c>
      <c r="R3" s="11">
        <v>0.5841</v>
      </c>
      <c r="S3" s="4">
        <v>1.0037</v>
      </c>
      <c r="T3" s="4">
        <v>31.13</v>
      </c>
      <c r="U3" s="4">
        <v>31.24</v>
      </c>
    </row>
    <row r="4">
      <c r="A4" s="4" t="s">
        <v>1216</v>
      </c>
      <c r="B4" s="4" t="s">
        <v>1214</v>
      </c>
      <c r="C4" s="4" t="s">
        <v>86</v>
      </c>
      <c r="D4" s="4" t="s">
        <v>364</v>
      </c>
      <c r="E4" s="4" t="s">
        <v>945</v>
      </c>
      <c r="F4" s="4" t="s">
        <v>370</v>
      </c>
      <c r="G4" s="4">
        <v>13.5</v>
      </c>
      <c r="H4" s="4">
        <v>11.69</v>
      </c>
      <c r="I4" s="11">
        <v>0.3148</v>
      </c>
      <c r="J4" s="11">
        <v>0.6852</v>
      </c>
      <c r="K4" s="4" t="s">
        <v>2803</v>
      </c>
      <c r="L4" s="4" t="s">
        <v>2804</v>
      </c>
      <c r="N4" s="11">
        <v>0.2</v>
      </c>
      <c r="O4" s="13"/>
      <c r="P4" s="4" t="str">
        <f t="shared" si="1"/>
        <v/>
      </c>
      <c r="Q4" s="4">
        <v>11.73</v>
      </c>
      <c r="R4" s="11">
        <v>0.319</v>
      </c>
      <c r="S4" s="4">
        <v>1.0035</v>
      </c>
      <c r="T4" s="4">
        <v>12.35</v>
      </c>
      <c r="U4" s="4">
        <v>12.39</v>
      </c>
    </row>
    <row r="5">
      <c r="A5" s="4" t="s">
        <v>1216</v>
      </c>
      <c r="B5" s="4" t="s">
        <v>1214</v>
      </c>
      <c r="C5" s="4" t="s">
        <v>86</v>
      </c>
      <c r="D5" s="4" t="s">
        <v>364</v>
      </c>
      <c r="E5" s="4" t="s">
        <v>945</v>
      </c>
      <c r="F5" s="4" t="s">
        <v>772</v>
      </c>
      <c r="G5" s="4">
        <v>25.5</v>
      </c>
      <c r="H5" s="4">
        <v>23.25</v>
      </c>
      <c r="I5" s="11">
        <v>0.3464</v>
      </c>
      <c r="J5" s="11">
        <v>0.6536</v>
      </c>
      <c r="K5" s="4" t="s">
        <v>2803</v>
      </c>
      <c r="L5" s="4" t="s">
        <v>2804</v>
      </c>
      <c r="N5" s="11">
        <v>0.3</v>
      </c>
      <c r="O5" s="13"/>
      <c r="P5" s="4" t="str">
        <f t="shared" si="1"/>
        <v/>
      </c>
      <c r="Q5" s="4">
        <v>23.33</v>
      </c>
      <c r="R5" s="11">
        <v>0.3523</v>
      </c>
      <c r="S5" s="4">
        <v>1.0038</v>
      </c>
      <c r="T5" s="4">
        <v>24.3</v>
      </c>
      <c r="U5" s="4">
        <v>24.39</v>
      </c>
    </row>
    <row r="6">
      <c r="A6" s="4" t="s">
        <v>1216</v>
      </c>
      <c r="B6" s="4" t="s">
        <v>1214</v>
      </c>
      <c r="C6" s="4" t="s">
        <v>86</v>
      </c>
      <c r="D6" s="4" t="s">
        <v>364</v>
      </c>
      <c r="E6" s="4" t="s">
        <v>1151</v>
      </c>
      <c r="F6" s="4" t="s">
        <v>370</v>
      </c>
      <c r="G6" s="4">
        <v>18.5</v>
      </c>
      <c r="H6" s="4">
        <v>17.96</v>
      </c>
      <c r="I6" s="11">
        <v>0.4538</v>
      </c>
      <c r="J6" s="11">
        <v>0.5462</v>
      </c>
      <c r="K6" s="4" t="s">
        <v>2803</v>
      </c>
      <c r="L6" s="4" t="s">
        <v>2804</v>
      </c>
      <c r="N6" s="11">
        <v>0.5</v>
      </c>
      <c r="O6" s="13"/>
      <c r="P6" s="4" t="str">
        <f t="shared" si="1"/>
        <v/>
      </c>
      <c r="Q6" s="4">
        <v>18.02</v>
      </c>
      <c r="R6" s="11">
        <v>0.4597</v>
      </c>
      <c r="S6" s="4">
        <v>1.0038</v>
      </c>
      <c r="T6" s="4">
        <v>17.49</v>
      </c>
      <c r="U6" s="4">
        <v>17.56</v>
      </c>
    </row>
    <row r="7">
      <c r="A7" s="4" t="s">
        <v>1216</v>
      </c>
      <c r="B7" s="4" t="s">
        <v>1214</v>
      </c>
      <c r="C7" s="4" t="s">
        <v>86</v>
      </c>
      <c r="D7" s="4" t="s">
        <v>364</v>
      </c>
      <c r="E7" s="4" t="s">
        <v>1151</v>
      </c>
      <c r="F7" s="4" t="s">
        <v>772</v>
      </c>
      <c r="G7" s="4">
        <v>31.5</v>
      </c>
      <c r="H7" s="4">
        <v>31.76</v>
      </c>
      <c r="I7" s="11">
        <v>0.5155</v>
      </c>
      <c r="J7" s="11">
        <v>0.4845</v>
      </c>
      <c r="K7" s="4" t="s">
        <v>2803</v>
      </c>
      <c r="L7" s="4" t="s">
        <v>2804</v>
      </c>
      <c r="N7" s="11">
        <v>0.5</v>
      </c>
      <c r="O7" s="13"/>
      <c r="P7" s="4" t="str">
        <f t="shared" si="1"/>
        <v/>
      </c>
      <c r="Q7" s="4">
        <v>31.88</v>
      </c>
      <c r="R7" s="11">
        <v>0.5226</v>
      </c>
      <c r="S7" s="4">
        <v>1.0037</v>
      </c>
      <c r="T7" s="4">
        <v>31.13</v>
      </c>
      <c r="U7" s="4">
        <v>31.24</v>
      </c>
    </row>
    <row r="8">
      <c r="A8" s="4" t="s">
        <v>1216</v>
      </c>
      <c r="B8" s="4" t="s">
        <v>1214</v>
      </c>
      <c r="C8" s="4" t="s">
        <v>86</v>
      </c>
      <c r="D8" s="4" t="s">
        <v>364</v>
      </c>
      <c r="E8" s="4" t="s">
        <v>1167</v>
      </c>
      <c r="F8" s="4" t="s">
        <v>370</v>
      </c>
      <c r="G8" s="4">
        <v>16.5</v>
      </c>
      <c r="H8" s="4">
        <v>18.43</v>
      </c>
      <c r="I8" s="11">
        <v>0.6572</v>
      </c>
      <c r="J8" s="11">
        <v>0.3428</v>
      </c>
      <c r="K8" s="4" t="s">
        <v>2803</v>
      </c>
      <c r="L8" s="4" t="s">
        <v>2804</v>
      </c>
      <c r="N8" s="11">
        <v>0.6</v>
      </c>
      <c r="O8" s="13"/>
      <c r="P8" s="4" t="str">
        <f t="shared" si="1"/>
        <v/>
      </c>
      <c r="Q8" s="4">
        <v>18.49</v>
      </c>
      <c r="R8" s="11">
        <v>0.662</v>
      </c>
      <c r="S8" s="4">
        <v>1.0036</v>
      </c>
      <c r="T8" s="4">
        <v>17.56</v>
      </c>
      <c r="U8" s="4">
        <v>17.62</v>
      </c>
    </row>
    <row r="9">
      <c r="A9" s="4" t="s">
        <v>1216</v>
      </c>
      <c r="B9" s="4" t="s">
        <v>1214</v>
      </c>
      <c r="C9" s="4" t="s">
        <v>86</v>
      </c>
      <c r="D9" s="4" t="s">
        <v>364</v>
      </c>
      <c r="E9" s="4" t="s">
        <v>1167</v>
      </c>
      <c r="F9" s="4" t="s">
        <v>772</v>
      </c>
      <c r="G9" s="4">
        <v>29.5</v>
      </c>
      <c r="H9" s="4">
        <v>32.03</v>
      </c>
      <c r="I9" s="11">
        <v>0.6471</v>
      </c>
      <c r="J9" s="11">
        <v>0.3529</v>
      </c>
      <c r="K9" s="4" t="s">
        <v>2803</v>
      </c>
      <c r="L9" s="4" t="s">
        <v>2804</v>
      </c>
      <c r="N9" s="11">
        <v>0.6</v>
      </c>
      <c r="O9" s="13"/>
      <c r="P9" s="4" t="str">
        <f t="shared" si="1"/>
        <v/>
      </c>
      <c r="Q9" s="4">
        <v>32.14</v>
      </c>
      <c r="R9" s="11">
        <v>0.6533</v>
      </c>
      <c r="S9" s="4">
        <v>1.0036</v>
      </c>
      <c r="T9" s="4">
        <v>30.7</v>
      </c>
      <c r="U9" s="4">
        <v>30.81</v>
      </c>
    </row>
    <row r="10">
      <c r="A10" s="4" t="s">
        <v>1216</v>
      </c>
      <c r="B10" s="4" t="s">
        <v>1214</v>
      </c>
      <c r="C10" s="4" t="s">
        <v>86</v>
      </c>
      <c r="D10" s="4" t="s">
        <v>364</v>
      </c>
      <c r="E10" s="4" t="s">
        <v>1219</v>
      </c>
      <c r="F10" s="4" t="s">
        <v>370</v>
      </c>
      <c r="G10" s="4">
        <v>17.5</v>
      </c>
      <c r="H10" s="4">
        <v>18.83</v>
      </c>
      <c r="I10" s="11">
        <v>0.6077</v>
      </c>
      <c r="J10" s="11">
        <v>0.3923</v>
      </c>
      <c r="K10" s="4" t="s">
        <v>2803</v>
      </c>
      <c r="L10" s="4" t="s">
        <v>2804</v>
      </c>
      <c r="N10" s="11">
        <v>0.7</v>
      </c>
      <c r="O10" s="13"/>
      <c r="P10" s="4" t="str">
        <f t="shared" si="1"/>
        <v/>
      </c>
      <c r="Q10" s="4">
        <v>18.89</v>
      </c>
      <c r="R10" s="11">
        <v>0.6126</v>
      </c>
      <c r="S10" s="4">
        <v>1.0034</v>
      </c>
      <c r="T10" s="4">
        <v>18.04</v>
      </c>
      <c r="U10" s="4">
        <v>18.1</v>
      </c>
    </row>
    <row r="11">
      <c r="A11" s="4" t="s">
        <v>1216</v>
      </c>
      <c r="B11" s="4" t="s">
        <v>1214</v>
      </c>
      <c r="C11" s="4" t="s">
        <v>86</v>
      </c>
      <c r="D11" s="4" t="s">
        <v>364</v>
      </c>
      <c r="E11" s="4" t="s">
        <v>1219</v>
      </c>
      <c r="F11" s="4" t="s">
        <v>772</v>
      </c>
      <c r="G11" s="4">
        <v>29.5</v>
      </c>
      <c r="H11" s="4">
        <v>29.85</v>
      </c>
      <c r="I11" s="11">
        <v>0.5217</v>
      </c>
      <c r="J11" s="11">
        <v>0.4783</v>
      </c>
      <c r="K11" s="4" t="s">
        <v>2803</v>
      </c>
      <c r="L11" s="4" t="s">
        <v>2804</v>
      </c>
      <c r="N11" s="11">
        <v>0.4</v>
      </c>
      <c r="O11" s="13"/>
      <c r="P11" s="4" t="str">
        <f t="shared" si="1"/>
        <v/>
      </c>
      <c r="Q11" s="4">
        <v>29.95</v>
      </c>
      <c r="R11" s="11">
        <v>0.5277</v>
      </c>
      <c r="S11" s="4">
        <v>1.0033</v>
      </c>
      <c r="T11" s="4">
        <v>29.42</v>
      </c>
      <c r="U11" s="4">
        <v>29.53</v>
      </c>
    </row>
    <row r="12">
      <c r="A12" s="4" t="s">
        <v>1216</v>
      </c>
      <c r="B12" s="4" t="s">
        <v>1214</v>
      </c>
      <c r="C12" s="4" t="s">
        <v>86</v>
      </c>
      <c r="D12" s="4" t="s">
        <v>1178</v>
      </c>
      <c r="E12" s="4" t="s">
        <v>1263</v>
      </c>
      <c r="F12" s="4" t="s">
        <v>772</v>
      </c>
      <c r="G12" s="4">
        <v>28.5</v>
      </c>
      <c r="H12" s="4">
        <v>27.23</v>
      </c>
      <c r="I12" s="11">
        <v>0.4187</v>
      </c>
      <c r="J12" s="11">
        <v>0.5813</v>
      </c>
      <c r="K12" s="4" t="s">
        <v>2810</v>
      </c>
      <c r="L12" s="4" t="s">
        <v>2811</v>
      </c>
      <c r="N12" s="11">
        <v>0.6</v>
      </c>
      <c r="O12" s="13"/>
      <c r="P12" s="4" t="str">
        <f t="shared" si="1"/>
        <v/>
      </c>
      <c r="Q12" s="4">
        <v>26.25</v>
      </c>
      <c r="R12" s="11">
        <v>0.3556</v>
      </c>
      <c r="S12" s="4">
        <v>0.9641</v>
      </c>
      <c r="T12" s="4">
        <v>26.23</v>
      </c>
      <c r="U12" s="4">
        <v>25.27</v>
      </c>
    </row>
    <row r="13">
      <c r="A13" s="4" t="s">
        <v>1216</v>
      </c>
      <c r="B13" s="4" t="s">
        <v>1214</v>
      </c>
      <c r="C13" s="4" t="s">
        <v>86</v>
      </c>
      <c r="D13" s="4" t="s">
        <v>1178</v>
      </c>
      <c r="E13" s="4" t="s">
        <v>1267</v>
      </c>
      <c r="F13" s="4" t="s">
        <v>772</v>
      </c>
      <c r="G13" s="4">
        <v>30.5</v>
      </c>
      <c r="H13" s="4">
        <v>29.41</v>
      </c>
      <c r="I13" s="11">
        <v>0.4328</v>
      </c>
      <c r="J13" s="11">
        <v>0.5672</v>
      </c>
      <c r="K13" s="4" t="s">
        <v>2810</v>
      </c>
      <c r="L13" s="4" t="s">
        <v>2811</v>
      </c>
      <c r="N13" s="11">
        <v>0.5</v>
      </c>
      <c r="O13" s="13"/>
      <c r="P13" s="4" t="str">
        <f t="shared" si="1"/>
        <v/>
      </c>
      <c r="Q13" s="4">
        <v>28.34</v>
      </c>
      <c r="R13" s="11">
        <v>0.3658</v>
      </c>
      <c r="S13" s="4">
        <v>0.9635</v>
      </c>
      <c r="T13" s="4">
        <v>31.82</v>
      </c>
      <c r="U13" s="4">
        <v>30.66</v>
      </c>
    </row>
    <row r="14">
      <c r="A14" s="4" t="s">
        <v>1216</v>
      </c>
      <c r="B14" s="4" t="s">
        <v>1214</v>
      </c>
      <c r="C14" s="4" t="s">
        <v>86</v>
      </c>
      <c r="D14" s="4" t="s">
        <v>1178</v>
      </c>
      <c r="E14" s="4" t="s">
        <v>1270</v>
      </c>
      <c r="F14" s="4" t="s">
        <v>370</v>
      </c>
      <c r="G14" s="4">
        <v>16.0</v>
      </c>
      <c r="H14" s="4">
        <v>16.5</v>
      </c>
      <c r="I14" s="11">
        <v>0.4996</v>
      </c>
      <c r="J14" s="11">
        <v>0.4116</v>
      </c>
      <c r="K14" s="4" t="s">
        <v>2810</v>
      </c>
      <c r="L14" s="4" t="s">
        <v>2811</v>
      </c>
      <c r="N14" s="11">
        <v>0.6</v>
      </c>
      <c r="O14" s="13"/>
      <c r="P14" s="4" t="str">
        <f t="shared" si="1"/>
        <v/>
      </c>
      <c r="Q14" s="4">
        <v>15.91</v>
      </c>
      <c r="R14" s="11">
        <v>0.4459</v>
      </c>
      <c r="S14" s="4">
        <v>0.9642</v>
      </c>
      <c r="T14" s="4">
        <v>16.63</v>
      </c>
      <c r="U14" s="4">
        <v>16.03</v>
      </c>
    </row>
    <row r="15">
      <c r="A15" s="4" t="s">
        <v>1216</v>
      </c>
      <c r="B15" s="4" t="s">
        <v>1214</v>
      </c>
      <c r="C15" s="4" t="s">
        <v>86</v>
      </c>
      <c r="D15" s="4" t="s">
        <v>1178</v>
      </c>
      <c r="E15" s="4" t="s">
        <v>1270</v>
      </c>
      <c r="F15" s="4" t="s">
        <v>772</v>
      </c>
      <c r="G15" s="4">
        <v>31.5</v>
      </c>
      <c r="H15" s="4">
        <v>32.72</v>
      </c>
      <c r="I15" s="11">
        <v>0.5715</v>
      </c>
      <c r="J15" s="11">
        <v>0.4285</v>
      </c>
      <c r="K15" s="4" t="s">
        <v>2810</v>
      </c>
      <c r="L15" s="4" t="s">
        <v>2811</v>
      </c>
      <c r="N15" s="11">
        <v>0.5</v>
      </c>
      <c r="O15" s="13"/>
      <c r="P15" s="4" t="str">
        <f t="shared" si="1"/>
        <v/>
      </c>
      <c r="Q15" s="4">
        <v>31.56</v>
      </c>
      <c r="R15" s="11">
        <v>0.5038</v>
      </c>
      <c r="S15" s="4">
        <v>0.9647</v>
      </c>
      <c r="T15" s="4">
        <v>32.68</v>
      </c>
      <c r="U15" s="4">
        <v>31.49</v>
      </c>
    </row>
    <row r="16">
      <c r="A16" s="4" t="s">
        <v>1216</v>
      </c>
      <c r="B16" s="4" t="s">
        <v>1214</v>
      </c>
      <c r="C16" s="4" t="s">
        <v>86</v>
      </c>
      <c r="D16" s="4" t="s">
        <v>1178</v>
      </c>
      <c r="E16" s="4" t="s">
        <v>1273</v>
      </c>
      <c r="F16" s="4" t="s">
        <v>370</v>
      </c>
      <c r="G16" s="4">
        <v>13.5</v>
      </c>
      <c r="H16" s="4">
        <v>11.39</v>
      </c>
      <c r="I16" s="11">
        <v>0.2848</v>
      </c>
      <c r="J16" s="11">
        <v>0.7152</v>
      </c>
      <c r="K16" s="4" t="s">
        <v>2810</v>
      </c>
      <c r="L16" s="4" t="s">
        <v>2811</v>
      </c>
      <c r="N16" s="11">
        <v>0.3</v>
      </c>
      <c r="O16" s="13"/>
      <c r="P16" s="4" t="str">
        <f t="shared" si="1"/>
        <v/>
      </c>
      <c r="Q16" s="4">
        <v>10.97</v>
      </c>
      <c r="R16" s="11">
        <v>0.2437</v>
      </c>
      <c r="S16" s="4">
        <v>0.9632</v>
      </c>
      <c r="T16" s="4">
        <v>12.76</v>
      </c>
      <c r="U16" s="4">
        <v>12.3</v>
      </c>
    </row>
    <row r="17">
      <c r="A17" s="4" t="s">
        <v>1216</v>
      </c>
      <c r="B17" s="4" t="s">
        <v>1214</v>
      </c>
      <c r="C17" s="4" t="s">
        <v>86</v>
      </c>
      <c r="D17" s="4" t="s">
        <v>1178</v>
      </c>
      <c r="E17" s="4" t="s">
        <v>1273</v>
      </c>
      <c r="F17" s="4" t="s">
        <v>772</v>
      </c>
      <c r="G17" s="4">
        <v>24.5</v>
      </c>
      <c r="H17" s="4">
        <v>21.61</v>
      </c>
      <c r="I17" s="11">
        <v>0.2995</v>
      </c>
      <c r="J17" s="11">
        <v>0.7005</v>
      </c>
      <c r="K17" s="4" t="s">
        <v>2810</v>
      </c>
      <c r="L17" s="4" t="s">
        <v>2811</v>
      </c>
      <c r="N17" s="11">
        <v>0.4</v>
      </c>
      <c r="O17" s="13"/>
      <c r="P17" s="4" t="str">
        <f t="shared" si="1"/>
        <v/>
      </c>
      <c r="Q17" s="4">
        <v>20.82</v>
      </c>
      <c r="R17" s="11">
        <v>0.2477</v>
      </c>
      <c r="S17" s="4">
        <v>0.9635</v>
      </c>
      <c r="T17" s="4">
        <v>22.79</v>
      </c>
      <c r="U17" s="4">
        <v>21.96</v>
      </c>
    </row>
    <row r="18">
      <c r="A18" s="4" t="s">
        <v>1216</v>
      </c>
      <c r="B18" s="4" t="s">
        <v>1214</v>
      </c>
      <c r="C18" s="4" t="s">
        <v>86</v>
      </c>
      <c r="D18" s="4" t="s">
        <v>1178</v>
      </c>
      <c r="E18" s="4" t="s">
        <v>1276</v>
      </c>
      <c r="F18" s="4" t="s">
        <v>370</v>
      </c>
      <c r="G18" s="4">
        <v>17.5</v>
      </c>
      <c r="H18" s="4">
        <v>17.88</v>
      </c>
      <c r="I18" s="11">
        <v>0.5326</v>
      </c>
      <c r="J18" s="11">
        <v>0.4674</v>
      </c>
      <c r="K18" s="4" t="s">
        <v>2810</v>
      </c>
      <c r="L18" s="4" t="s">
        <v>2811</v>
      </c>
      <c r="N18" s="11">
        <v>0.4</v>
      </c>
      <c r="O18" s="13"/>
      <c r="P18" s="4" t="str">
        <f t="shared" si="1"/>
        <v/>
      </c>
      <c r="Q18" s="4">
        <v>17.24</v>
      </c>
      <c r="R18" s="11">
        <v>0.4771</v>
      </c>
      <c r="S18" s="4">
        <v>0.9639</v>
      </c>
      <c r="T18" s="4">
        <v>17.69</v>
      </c>
      <c r="U18" s="4">
        <v>17.05</v>
      </c>
    </row>
    <row r="19">
      <c r="A19" s="4" t="s">
        <v>1216</v>
      </c>
      <c r="B19" s="4" t="s">
        <v>1214</v>
      </c>
      <c r="C19" s="4" t="s">
        <v>86</v>
      </c>
      <c r="D19" s="4" t="s">
        <v>1178</v>
      </c>
      <c r="E19" s="4" t="s">
        <v>1276</v>
      </c>
      <c r="F19" s="4" t="s">
        <v>772</v>
      </c>
      <c r="G19" s="4">
        <v>32.5</v>
      </c>
      <c r="H19" s="4">
        <v>32.41</v>
      </c>
      <c r="I19" s="11">
        <v>0.4947</v>
      </c>
      <c r="J19" s="11">
        <v>0.5053</v>
      </c>
      <c r="K19" s="4" t="s">
        <v>2810</v>
      </c>
      <c r="L19" s="4" t="s">
        <v>2811</v>
      </c>
      <c r="N19" s="11">
        <v>0.4</v>
      </c>
      <c r="O19" s="13"/>
      <c r="P19" s="4" t="str">
        <f t="shared" si="1"/>
        <v/>
      </c>
      <c r="Q19" s="4">
        <v>31.24</v>
      </c>
      <c r="R19" s="11">
        <v>0.4244</v>
      </c>
      <c r="S19" s="4">
        <v>0.9638</v>
      </c>
      <c r="T19" s="4">
        <v>31.82</v>
      </c>
      <c r="U19" s="4">
        <v>30.66</v>
      </c>
    </row>
    <row r="20">
      <c r="A20" s="4" t="s">
        <v>1216</v>
      </c>
      <c r="B20" s="4" t="s">
        <v>1214</v>
      </c>
      <c r="C20" s="4" t="s">
        <v>86</v>
      </c>
      <c r="D20" s="4" t="s">
        <v>1178</v>
      </c>
      <c r="E20" s="4" t="s">
        <v>1454</v>
      </c>
      <c r="F20" s="4" t="s">
        <v>370</v>
      </c>
      <c r="G20" s="4">
        <v>17.5</v>
      </c>
      <c r="H20" s="4">
        <v>18.55</v>
      </c>
      <c r="I20" s="11">
        <v>0.5879</v>
      </c>
      <c r="J20" s="11">
        <v>0.4121</v>
      </c>
      <c r="K20" s="4" t="s">
        <v>2810</v>
      </c>
      <c r="L20" s="4" t="s">
        <v>2811</v>
      </c>
      <c r="N20" s="11">
        <v>0.4</v>
      </c>
      <c r="O20" s="13"/>
      <c r="P20" s="4" t="str">
        <f t="shared" si="1"/>
        <v/>
      </c>
      <c r="Q20" s="4">
        <v>17.92</v>
      </c>
      <c r="R20" s="11">
        <v>0.5363</v>
      </c>
      <c r="S20" s="4">
        <v>0.9662</v>
      </c>
      <c r="T20" s="4">
        <v>18.25</v>
      </c>
      <c r="U20" s="4">
        <v>17.64</v>
      </c>
    </row>
    <row r="21" ht="15.75" customHeight="1">
      <c r="A21" s="4" t="s">
        <v>1216</v>
      </c>
      <c r="B21" s="4" t="s">
        <v>1214</v>
      </c>
      <c r="C21" s="4" t="s">
        <v>86</v>
      </c>
      <c r="D21" s="4" t="s">
        <v>1178</v>
      </c>
      <c r="E21" s="4" t="s">
        <v>1454</v>
      </c>
      <c r="F21" s="4" t="s">
        <v>772</v>
      </c>
      <c r="G21" s="4">
        <v>32.5</v>
      </c>
      <c r="H21" s="4">
        <v>35.83</v>
      </c>
      <c r="I21" s="11">
        <v>0.681</v>
      </c>
      <c r="J21" s="11">
        <v>0.319</v>
      </c>
      <c r="K21" s="4" t="s">
        <v>2810</v>
      </c>
      <c r="L21" s="4" t="s">
        <v>2811</v>
      </c>
      <c r="N21" s="11">
        <v>0.8</v>
      </c>
      <c r="O21" s="13"/>
      <c r="P21" s="4" t="str">
        <f t="shared" si="1"/>
        <v/>
      </c>
      <c r="Q21" s="4">
        <v>34.61</v>
      </c>
      <c r="R21" s="11">
        <v>0.6193</v>
      </c>
      <c r="S21" s="4">
        <v>0.966</v>
      </c>
      <c r="T21" s="4">
        <v>34.83</v>
      </c>
      <c r="U21" s="4">
        <v>33.66</v>
      </c>
    </row>
    <row r="22" ht="15.75" customHeight="1">
      <c r="A22" s="4" t="s">
        <v>1216</v>
      </c>
      <c r="B22" s="4" t="s">
        <v>1214</v>
      </c>
      <c r="C22" s="4" t="s">
        <v>86</v>
      </c>
      <c r="D22" s="4" t="s">
        <v>1178</v>
      </c>
      <c r="E22" s="4" t="s">
        <v>1458</v>
      </c>
      <c r="F22" s="4" t="s">
        <v>370</v>
      </c>
      <c r="G22" s="4">
        <v>13.5</v>
      </c>
      <c r="H22" s="4">
        <v>13.49</v>
      </c>
      <c r="I22" s="11">
        <v>0.4992</v>
      </c>
      <c r="J22" s="11">
        <v>0.5008</v>
      </c>
      <c r="K22" s="4" t="s">
        <v>2810</v>
      </c>
      <c r="L22" s="4" t="s">
        <v>2811</v>
      </c>
      <c r="N22" s="11">
        <v>0.6</v>
      </c>
      <c r="O22" s="13"/>
      <c r="P22" s="4" t="str">
        <f t="shared" si="1"/>
        <v/>
      </c>
      <c r="Q22" s="4">
        <v>13.02</v>
      </c>
      <c r="R22" s="11">
        <v>0.4525</v>
      </c>
      <c r="S22" s="4">
        <v>0.9652</v>
      </c>
      <c r="T22" s="4">
        <v>13.7</v>
      </c>
      <c r="U22" s="4">
        <v>13.24</v>
      </c>
    </row>
    <row r="23" ht="15.75" customHeight="1">
      <c r="A23" s="4" t="s">
        <v>1216</v>
      </c>
      <c r="B23" s="4" t="s">
        <v>1214</v>
      </c>
      <c r="C23" s="4" t="s">
        <v>86</v>
      </c>
      <c r="D23" s="4" t="s">
        <v>1178</v>
      </c>
      <c r="E23" s="4" t="s">
        <v>1458</v>
      </c>
      <c r="F23" s="4" t="s">
        <v>772</v>
      </c>
      <c r="G23" s="4">
        <v>24.5</v>
      </c>
      <c r="H23" s="4">
        <v>23.12</v>
      </c>
      <c r="I23" s="11">
        <v>0.4041</v>
      </c>
      <c r="J23" s="11">
        <v>0.5959</v>
      </c>
      <c r="K23" s="4" t="s">
        <v>2810</v>
      </c>
      <c r="L23" s="4" t="s">
        <v>2811</v>
      </c>
      <c r="N23" s="11">
        <v>0.8</v>
      </c>
      <c r="O23" s="13"/>
      <c r="P23" s="4" t="str">
        <f t="shared" si="1"/>
        <v/>
      </c>
      <c r="Q23" s="4">
        <v>22.31</v>
      </c>
      <c r="R23" s="11">
        <v>0.3476</v>
      </c>
      <c r="S23" s="4">
        <v>0.965</v>
      </c>
      <c r="T23" s="4">
        <v>24.08</v>
      </c>
      <c r="U23" s="4">
        <v>23.27</v>
      </c>
    </row>
    <row r="24" ht="15.75" customHeight="1">
      <c r="A24" s="4" t="s">
        <v>1216</v>
      </c>
      <c r="B24" s="4" t="s">
        <v>1214</v>
      </c>
      <c r="C24" s="4" t="s">
        <v>86</v>
      </c>
      <c r="D24" s="4" t="s">
        <v>1178</v>
      </c>
      <c r="E24" s="4" t="s">
        <v>1461</v>
      </c>
      <c r="F24" s="4" t="s">
        <v>370</v>
      </c>
      <c r="G24" s="4">
        <v>10.0</v>
      </c>
      <c r="H24" s="4">
        <v>11.03</v>
      </c>
      <c r="I24" s="11">
        <v>0.5593</v>
      </c>
      <c r="J24" s="11">
        <v>0.3332</v>
      </c>
      <c r="K24" s="4" t="s">
        <v>2810</v>
      </c>
      <c r="L24" s="4" t="s">
        <v>2811</v>
      </c>
      <c r="N24" s="11">
        <v>0.6</v>
      </c>
      <c r="O24" s="13"/>
      <c r="P24" s="4" t="str">
        <f t="shared" si="1"/>
        <v/>
      </c>
      <c r="Q24" s="4">
        <v>10.66</v>
      </c>
      <c r="R24" s="11">
        <v>0.5182</v>
      </c>
      <c r="S24" s="4">
        <v>0.9665</v>
      </c>
      <c r="T24" s="4">
        <v>10.56</v>
      </c>
      <c r="U24" s="4">
        <v>10.21</v>
      </c>
    </row>
    <row r="25" ht="15.75" customHeight="1">
      <c r="A25" s="4" t="s">
        <v>1216</v>
      </c>
      <c r="B25" s="4" t="s">
        <v>1214</v>
      </c>
      <c r="C25" s="4" t="s">
        <v>86</v>
      </c>
      <c r="D25" s="4" t="s">
        <v>1178</v>
      </c>
      <c r="E25" s="4" t="s">
        <v>1461</v>
      </c>
      <c r="F25" s="4" t="s">
        <v>772</v>
      </c>
      <c r="G25" s="4">
        <v>28.0</v>
      </c>
      <c r="H25" s="4">
        <v>31.48</v>
      </c>
      <c r="I25" s="11">
        <v>0.6733</v>
      </c>
      <c r="J25" s="11">
        <v>0.2744</v>
      </c>
      <c r="K25" s="4" t="s">
        <v>2810</v>
      </c>
      <c r="L25" s="4" t="s">
        <v>2811</v>
      </c>
      <c r="N25" s="11">
        <v>0.7</v>
      </c>
      <c r="O25" s="13"/>
      <c r="P25" s="4" t="str">
        <f t="shared" si="1"/>
        <v/>
      </c>
      <c r="Q25" s="4">
        <v>30.43</v>
      </c>
      <c r="R25" s="11">
        <v>0.616</v>
      </c>
      <c r="S25" s="4">
        <v>0.9665</v>
      </c>
      <c r="T25" s="4">
        <v>29.67</v>
      </c>
      <c r="U25" s="4">
        <v>28.67</v>
      </c>
    </row>
    <row r="26" ht="15.75" customHeight="1">
      <c r="A26" s="4" t="s">
        <v>1216</v>
      </c>
      <c r="B26" s="4" t="s">
        <v>1214</v>
      </c>
      <c r="C26" s="4" t="s">
        <v>86</v>
      </c>
      <c r="D26" s="4" t="s">
        <v>1178</v>
      </c>
      <c r="E26" s="4" t="s">
        <v>1467</v>
      </c>
      <c r="F26" s="4" t="s">
        <v>370</v>
      </c>
      <c r="G26" s="4">
        <v>14.5</v>
      </c>
      <c r="H26" s="4">
        <v>14.21</v>
      </c>
      <c r="I26" s="11">
        <v>0.4717</v>
      </c>
      <c r="J26" s="11">
        <v>0.5283</v>
      </c>
      <c r="K26" s="4" t="s">
        <v>2810</v>
      </c>
      <c r="L26" s="4" t="s">
        <v>2811</v>
      </c>
      <c r="N26" s="11">
        <v>0.5</v>
      </c>
      <c r="O26" s="13"/>
      <c r="P26" s="4" t="str">
        <f t="shared" si="1"/>
        <v/>
      </c>
      <c r="Q26" s="4">
        <v>13.75</v>
      </c>
      <c r="R26" s="11">
        <v>0.4261</v>
      </c>
      <c r="S26" s="4">
        <v>0.9675</v>
      </c>
      <c r="T26" s="4">
        <v>14.25</v>
      </c>
      <c r="U26" s="4">
        <v>13.77</v>
      </c>
    </row>
    <row r="27" ht="15.75" customHeight="1">
      <c r="A27" s="4" t="s">
        <v>1216</v>
      </c>
      <c r="B27" s="4" t="s">
        <v>1214</v>
      </c>
      <c r="C27" s="4" t="s">
        <v>86</v>
      </c>
      <c r="D27" s="4" t="s">
        <v>1178</v>
      </c>
      <c r="E27" s="4" t="s">
        <v>1467</v>
      </c>
      <c r="F27" s="4" t="s">
        <v>772</v>
      </c>
      <c r="G27" s="4">
        <v>28.5</v>
      </c>
      <c r="H27" s="4">
        <v>29.85</v>
      </c>
      <c r="I27" s="11">
        <v>0.5827</v>
      </c>
      <c r="J27" s="11">
        <v>0.4173</v>
      </c>
      <c r="K27" s="4" t="s">
        <v>2810</v>
      </c>
      <c r="L27" s="4" t="s">
        <v>2811</v>
      </c>
      <c r="N27" s="11">
        <v>0.5</v>
      </c>
      <c r="O27" s="13"/>
      <c r="P27" s="4" t="str">
        <f t="shared" si="1"/>
        <v/>
      </c>
      <c r="Q27" s="4">
        <v>28.87</v>
      </c>
      <c r="R27" s="11">
        <v>0.5233</v>
      </c>
      <c r="S27" s="4">
        <v>0.9672</v>
      </c>
      <c r="T27" s="4">
        <v>28.38</v>
      </c>
      <c r="U27" s="4">
        <v>27.42</v>
      </c>
    </row>
    <row r="28" ht="15.75" customHeight="1">
      <c r="A28" s="4" t="s">
        <v>1216</v>
      </c>
      <c r="B28" s="4" t="s">
        <v>1214</v>
      </c>
      <c r="C28" s="4" t="s">
        <v>86</v>
      </c>
      <c r="D28" s="4" t="s">
        <v>1178</v>
      </c>
      <c r="E28" s="4" t="s">
        <v>1470</v>
      </c>
      <c r="F28" s="4" t="s">
        <v>370</v>
      </c>
      <c r="G28" s="4">
        <v>16.5</v>
      </c>
      <c r="H28" s="4">
        <v>16.36</v>
      </c>
      <c r="I28" s="11">
        <v>0.4878</v>
      </c>
      <c r="J28" s="11">
        <v>0.5122</v>
      </c>
      <c r="K28" s="4" t="s">
        <v>2810</v>
      </c>
      <c r="L28" s="4" t="s">
        <v>2811</v>
      </c>
      <c r="N28" s="11">
        <v>0.5</v>
      </c>
      <c r="O28" s="13"/>
      <c r="P28" s="4" t="str">
        <f t="shared" si="1"/>
        <v/>
      </c>
      <c r="Q28" s="4">
        <v>15.83</v>
      </c>
      <c r="R28" s="11">
        <v>0.4401</v>
      </c>
      <c r="S28" s="4">
        <v>0.9675</v>
      </c>
      <c r="T28" s="4">
        <v>16.32</v>
      </c>
      <c r="U28" s="4">
        <v>15.77</v>
      </c>
    </row>
    <row r="29" ht="15.75" customHeight="1">
      <c r="A29" s="4" t="s">
        <v>1216</v>
      </c>
      <c r="B29" s="4" t="s">
        <v>1214</v>
      </c>
      <c r="C29" s="4" t="s">
        <v>86</v>
      </c>
      <c r="D29" s="4" t="s">
        <v>1178</v>
      </c>
      <c r="E29" s="4" t="s">
        <v>1470</v>
      </c>
      <c r="F29" s="4" t="s">
        <v>772</v>
      </c>
      <c r="G29" s="4">
        <v>27.5</v>
      </c>
      <c r="H29" s="4">
        <v>26.71</v>
      </c>
      <c r="I29" s="11">
        <v>0.4485</v>
      </c>
      <c r="J29" s="11">
        <v>0.5515</v>
      </c>
      <c r="K29" s="4" t="s">
        <v>2810</v>
      </c>
      <c r="L29" s="4" t="s">
        <v>2811</v>
      </c>
      <c r="N29" s="11">
        <v>0.3</v>
      </c>
      <c r="O29" s="13"/>
      <c r="P29" s="4" t="str">
        <f t="shared" si="1"/>
        <v/>
      </c>
      <c r="Q29" s="4">
        <v>25.83</v>
      </c>
      <c r="R29" s="11">
        <v>0.3909</v>
      </c>
      <c r="S29" s="4">
        <v>0.9673</v>
      </c>
      <c r="T29" s="4">
        <v>26.66</v>
      </c>
      <c r="U29" s="4">
        <v>25.76</v>
      </c>
    </row>
    <row r="30" ht="15.75" customHeight="1">
      <c r="A30" s="4" t="s">
        <v>1216</v>
      </c>
      <c r="B30" s="4" t="s">
        <v>1214</v>
      </c>
      <c r="C30" s="4" t="s">
        <v>86</v>
      </c>
      <c r="D30" s="4" t="s">
        <v>1168</v>
      </c>
      <c r="E30" s="4" t="s">
        <v>1247</v>
      </c>
      <c r="F30" s="4" t="s">
        <v>370</v>
      </c>
      <c r="G30" s="4">
        <v>16.5</v>
      </c>
      <c r="H30" s="4">
        <v>17.62</v>
      </c>
      <c r="I30" s="11">
        <v>0.5953</v>
      </c>
      <c r="J30" s="11">
        <v>0.4047</v>
      </c>
      <c r="K30" s="4" t="s">
        <v>2817</v>
      </c>
      <c r="L30" s="4" t="s">
        <v>2818</v>
      </c>
      <c r="N30" s="11">
        <v>0.5</v>
      </c>
      <c r="O30" s="13"/>
      <c r="P30" s="4" t="str">
        <f t="shared" si="1"/>
        <v/>
      </c>
      <c r="Q30" s="4">
        <v>18.16</v>
      </c>
      <c r="R30" s="11">
        <v>0.6376</v>
      </c>
      <c r="S30" s="4">
        <v>1.0307</v>
      </c>
      <c r="T30" s="4">
        <v>16.78</v>
      </c>
      <c r="U30" s="4">
        <v>17.3</v>
      </c>
    </row>
    <row r="31" ht="15.75" customHeight="1">
      <c r="A31" s="4" t="s">
        <v>1216</v>
      </c>
      <c r="B31" s="4" t="s">
        <v>1214</v>
      </c>
      <c r="C31" s="4" t="s">
        <v>86</v>
      </c>
      <c r="D31" s="4" t="s">
        <v>1168</v>
      </c>
      <c r="E31" s="4" t="s">
        <v>1247</v>
      </c>
      <c r="F31" s="4" t="s">
        <v>772</v>
      </c>
      <c r="G31" s="4">
        <v>28.5</v>
      </c>
      <c r="H31" s="4">
        <v>30.92</v>
      </c>
      <c r="I31" s="11">
        <v>0.6436</v>
      </c>
      <c r="J31" s="11">
        <v>0.3564</v>
      </c>
      <c r="K31" s="4" t="s">
        <v>2817</v>
      </c>
      <c r="L31" s="4" t="s">
        <v>2818</v>
      </c>
      <c r="M31" s="4">
        <v>28.82</v>
      </c>
      <c r="N31" s="11">
        <v>0.6</v>
      </c>
      <c r="O31" s="13"/>
      <c r="P31" s="4" t="str">
        <f t="shared" si="1"/>
        <v/>
      </c>
      <c r="Q31" s="4">
        <v>31.88</v>
      </c>
      <c r="R31" s="11">
        <v>0.6937</v>
      </c>
      <c r="S31" s="4">
        <v>1.0311</v>
      </c>
      <c r="T31" s="4">
        <v>29.91</v>
      </c>
      <c r="U31" s="4">
        <v>30.84</v>
      </c>
    </row>
    <row r="32" ht="15.75" customHeight="1">
      <c r="A32" s="4" t="s">
        <v>1216</v>
      </c>
      <c r="B32" s="4" t="s">
        <v>1214</v>
      </c>
      <c r="C32" s="4" t="s">
        <v>86</v>
      </c>
      <c r="D32" s="4" t="s">
        <v>1168</v>
      </c>
      <c r="E32" s="4" t="s">
        <v>1251</v>
      </c>
      <c r="F32" s="4" t="s">
        <v>370</v>
      </c>
      <c r="G32" s="4">
        <v>17.0</v>
      </c>
      <c r="H32" s="4">
        <v>17.83</v>
      </c>
      <c r="I32" s="11">
        <v>0.5276</v>
      </c>
      <c r="J32" s="11">
        <v>0.3893</v>
      </c>
      <c r="K32" s="4" t="s">
        <v>2817</v>
      </c>
      <c r="L32" s="4" t="s">
        <v>2818</v>
      </c>
      <c r="N32" s="11">
        <v>0.4</v>
      </c>
      <c r="O32" s="13"/>
      <c r="P32" s="4" t="str">
        <f t="shared" si="1"/>
        <v/>
      </c>
      <c r="Q32" s="4">
        <v>18.39</v>
      </c>
      <c r="R32" s="11">
        <v>0.5739</v>
      </c>
      <c r="S32" s="4">
        <v>1.0317</v>
      </c>
      <c r="T32" s="4">
        <v>18.19</v>
      </c>
      <c r="U32" s="4">
        <v>18.75</v>
      </c>
    </row>
    <row r="33" ht="15.75" customHeight="1">
      <c r="A33" s="4" t="s">
        <v>1216</v>
      </c>
      <c r="B33" s="4" t="s">
        <v>1214</v>
      </c>
      <c r="C33" s="4" t="s">
        <v>86</v>
      </c>
      <c r="D33" s="4" t="s">
        <v>1168</v>
      </c>
      <c r="E33" s="4" t="s">
        <v>1251</v>
      </c>
      <c r="F33" s="4" t="s">
        <v>772</v>
      </c>
      <c r="G33" s="4">
        <v>28.5</v>
      </c>
      <c r="H33" s="4">
        <v>28.79</v>
      </c>
      <c r="I33" s="11">
        <v>0.5181</v>
      </c>
      <c r="J33" s="11">
        <v>0.4819</v>
      </c>
      <c r="K33" s="4" t="s">
        <v>2817</v>
      </c>
      <c r="L33" s="4" t="s">
        <v>2818</v>
      </c>
      <c r="M33" s="4">
        <v>28.08</v>
      </c>
      <c r="N33" s="11">
        <v>0.4</v>
      </c>
      <c r="O33" s="13"/>
      <c r="P33" s="4" t="str">
        <f t="shared" si="1"/>
        <v/>
      </c>
      <c r="Q33" s="4">
        <v>29.69</v>
      </c>
      <c r="R33" s="11">
        <v>0.5734</v>
      </c>
      <c r="S33" s="4">
        <v>1.0314</v>
      </c>
      <c r="T33" s="4">
        <v>29.06</v>
      </c>
      <c r="U33" s="4">
        <v>29.96</v>
      </c>
    </row>
    <row r="34" ht="15.75" customHeight="1">
      <c r="A34" s="4" t="s">
        <v>1216</v>
      </c>
      <c r="B34" s="4" t="s">
        <v>1214</v>
      </c>
      <c r="C34" s="4" t="s">
        <v>86</v>
      </c>
      <c r="D34" s="4" t="s">
        <v>1168</v>
      </c>
      <c r="E34" s="4" t="s">
        <v>1254</v>
      </c>
      <c r="F34" s="4" t="s">
        <v>370</v>
      </c>
      <c r="G34" s="4">
        <v>17.0</v>
      </c>
      <c r="H34" s="4">
        <v>17.98</v>
      </c>
      <c r="I34" s="11">
        <v>0.5405</v>
      </c>
      <c r="J34" s="11">
        <v>0.3769</v>
      </c>
      <c r="K34" s="4" t="s">
        <v>2817</v>
      </c>
      <c r="L34" s="4" t="s">
        <v>2818</v>
      </c>
      <c r="N34" s="11">
        <v>0.5</v>
      </c>
      <c r="O34" s="13"/>
      <c r="P34" s="4" t="str">
        <f t="shared" si="1"/>
        <v/>
      </c>
      <c r="Q34" s="4">
        <v>18.54</v>
      </c>
      <c r="R34" s="11">
        <v>0.5859</v>
      </c>
      <c r="S34" s="4">
        <v>1.0312</v>
      </c>
      <c r="T34" s="4">
        <v>16.64</v>
      </c>
      <c r="U34" s="4">
        <v>17.16</v>
      </c>
    </row>
    <row r="35" ht="15.75" customHeight="1">
      <c r="A35" s="4" t="s">
        <v>1216</v>
      </c>
      <c r="B35" s="4" t="s">
        <v>1214</v>
      </c>
      <c r="C35" s="4" t="s">
        <v>86</v>
      </c>
      <c r="D35" s="4" t="s">
        <v>1168</v>
      </c>
      <c r="E35" s="4" t="s">
        <v>1254</v>
      </c>
      <c r="F35" s="4" t="s">
        <v>772</v>
      </c>
      <c r="G35" s="4">
        <v>29.0</v>
      </c>
      <c r="H35" s="4">
        <v>30.17</v>
      </c>
      <c r="I35" s="11">
        <v>0.5412</v>
      </c>
      <c r="J35" s="11">
        <v>0.3985</v>
      </c>
      <c r="K35" s="4" t="s">
        <v>2817</v>
      </c>
      <c r="L35" s="4" t="s">
        <v>2818</v>
      </c>
      <c r="M35" s="4">
        <v>28.82</v>
      </c>
      <c r="N35" s="11">
        <v>0.4</v>
      </c>
      <c r="O35" s="13"/>
      <c r="P35" s="4" t="str">
        <f t="shared" si="1"/>
        <v/>
      </c>
      <c r="Q35" s="4">
        <v>31.12</v>
      </c>
      <c r="R35" s="11">
        <v>0.5967</v>
      </c>
      <c r="S35" s="4">
        <v>1.0313</v>
      </c>
      <c r="T35" s="4">
        <v>28.2</v>
      </c>
      <c r="U35" s="4">
        <v>29.08</v>
      </c>
    </row>
    <row r="36" ht="15.75" customHeight="1">
      <c r="A36" s="4" t="s">
        <v>1216</v>
      </c>
      <c r="B36" s="4" t="s">
        <v>1214</v>
      </c>
      <c r="C36" s="4" t="s">
        <v>86</v>
      </c>
      <c r="D36" s="4" t="s">
        <v>1168</v>
      </c>
      <c r="E36" s="4" t="s">
        <v>1257</v>
      </c>
      <c r="F36" s="4" t="s">
        <v>370</v>
      </c>
      <c r="G36" s="4">
        <v>11.5</v>
      </c>
      <c r="H36" s="4">
        <v>11.17</v>
      </c>
      <c r="I36" s="11">
        <v>0.4645</v>
      </c>
      <c r="J36" s="11">
        <v>0.5355</v>
      </c>
      <c r="K36" s="4" t="s">
        <v>2817</v>
      </c>
      <c r="L36" s="4" t="s">
        <v>2818</v>
      </c>
      <c r="N36" s="11">
        <v>0.5</v>
      </c>
      <c r="O36" s="13"/>
      <c r="P36" s="4" t="str">
        <f t="shared" si="1"/>
        <v/>
      </c>
      <c r="Q36" s="4">
        <v>11.51</v>
      </c>
      <c r="R36" s="11">
        <v>0.501</v>
      </c>
      <c r="S36" s="4">
        <v>1.0299</v>
      </c>
      <c r="T36" s="4">
        <v>11.5</v>
      </c>
      <c r="U36" s="4">
        <v>11.86</v>
      </c>
    </row>
    <row r="37" ht="15.75" customHeight="1">
      <c r="A37" s="4" t="s">
        <v>1216</v>
      </c>
      <c r="B37" s="4" t="s">
        <v>1214</v>
      </c>
      <c r="C37" s="4" t="s">
        <v>86</v>
      </c>
      <c r="D37" s="4" t="s">
        <v>1168</v>
      </c>
      <c r="E37" s="4" t="s">
        <v>1257</v>
      </c>
      <c r="F37" s="4" t="s">
        <v>772</v>
      </c>
      <c r="G37" s="4">
        <v>22.5</v>
      </c>
      <c r="H37" s="4">
        <v>22.99</v>
      </c>
      <c r="I37" s="11">
        <v>0.5345</v>
      </c>
      <c r="J37" s="11">
        <v>0.4655</v>
      </c>
      <c r="K37" s="4" t="s">
        <v>2817</v>
      </c>
      <c r="L37" s="4" t="s">
        <v>2818</v>
      </c>
      <c r="M37" s="4">
        <v>21.68</v>
      </c>
      <c r="N37" s="11">
        <v>0.5</v>
      </c>
      <c r="O37" s="13"/>
      <c r="P37" s="4" t="str">
        <f t="shared" si="1"/>
        <v/>
      </c>
      <c r="Q37" s="4">
        <v>23.69</v>
      </c>
      <c r="R37" s="11">
        <v>0.5816</v>
      </c>
      <c r="S37" s="4">
        <v>1.0302</v>
      </c>
      <c r="T37" s="4">
        <v>22.65</v>
      </c>
      <c r="U37" s="4">
        <v>23.35</v>
      </c>
    </row>
    <row r="38" ht="15.75" customHeight="1">
      <c r="A38" s="4" t="s">
        <v>1216</v>
      </c>
      <c r="B38" s="4" t="s">
        <v>1214</v>
      </c>
      <c r="C38" s="4" t="s">
        <v>86</v>
      </c>
      <c r="D38" s="4" t="s">
        <v>1168</v>
      </c>
      <c r="E38" s="4" t="s">
        <v>1260</v>
      </c>
      <c r="F38" s="4" t="s">
        <v>370</v>
      </c>
      <c r="G38" s="4">
        <v>10.5</v>
      </c>
      <c r="H38" s="4">
        <v>10.07</v>
      </c>
      <c r="I38" s="11">
        <v>0.4504</v>
      </c>
      <c r="J38" s="11">
        <v>0.5496</v>
      </c>
      <c r="K38" s="4" t="s">
        <v>2817</v>
      </c>
      <c r="L38" s="4" t="s">
        <v>2818</v>
      </c>
      <c r="N38" s="11">
        <v>0.4</v>
      </c>
      <c r="O38" s="13"/>
      <c r="P38" s="4" t="str">
        <f t="shared" si="1"/>
        <v/>
      </c>
      <c r="Q38" s="4">
        <v>10.39</v>
      </c>
      <c r="R38" s="11">
        <v>0.4873</v>
      </c>
      <c r="S38" s="4">
        <v>1.0313</v>
      </c>
      <c r="T38" s="4">
        <v>10.51</v>
      </c>
      <c r="U38" s="4">
        <v>10.84</v>
      </c>
    </row>
    <row r="39" ht="15.75" customHeight="1">
      <c r="A39" s="4" t="s">
        <v>1216</v>
      </c>
      <c r="B39" s="4" t="s">
        <v>1214</v>
      </c>
      <c r="C39" s="4" t="s">
        <v>86</v>
      </c>
      <c r="D39" s="4" t="s">
        <v>1168</v>
      </c>
      <c r="E39" s="4" t="s">
        <v>1260</v>
      </c>
      <c r="F39" s="4" t="s">
        <v>772</v>
      </c>
      <c r="G39" s="4">
        <v>25.5</v>
      </c>
      <c r="H39" s="4">
        <v>25.67</v>
      </c>
      <c r="I39" s="11">
        <v>0.5113</v>
      </c>
      <c r="J39" s="11">
        <v>0.4887</v>
      </c>
      <c r="K39" s="4" t="s">
        <v>2817</v>
      </c>
      <c r="L39" s="4" t="s">
        <v>2818</v>
      </c>
      <c r="M39" s="4">
        <v>23.93</v>
      </c>
      <c r="N39" s="11">
        <v>0.4</v>
      </c>
      <c r="O39" s="13"/>
      <c r="P39" s="4" t="str">
        <f t="shared" si="1"/>
        <v/>
      </c>
      <c r="Q39" s="4">
        <v>26.49</v>
      </c>
      <c r="R39" s="11">
        <v>0.5643</v>
      </c>
      <c r="S39" s="4">
        <v>1.0318</v>
      </c>
      <c r="T39" s="4">
        <v>25.64</v>
      </c>
      <c r="U39" s="4">
        <v>26.43</v>
      </c>
    </row>
    <row r="40" ht="15.75" customHeight="1">
      <c r="A40" s="4" t="s">
        <v>1216</v>
      </c>
      <c r="B40" s="4" t="s">
        <v>1214</v>
      </c>
      <c r="C40" s="4" t="s">
        <v>86</v>
      </c>
      <c r="D40" s="4" t="s">
        <v>1168</v>
      </c>
      <c r="E40" s="4" t="s">
        <v>1279</v>
      </c>
      <c r="F40" s="4" t="s">
        <v>370</v>
      </c>
      <c r="G40" s="4">
        <v>16.5</v>
      </c>
      <c r="H40" s="4">
        <v>17.19</v>
      </c>
      <c r="I40" s="11">
        <v>0.5598</v>
      </c>
      <c r="J40" s="11">
        <v>0.4402</v>
      </c>
      <c r="K40" s="4" t="s">
        <v>2817</v>
      </c>
      <c r="L40" s="4" t="s">
        <v>2818</v>
      </c>
      <c r="N40" s="11">
        <v>0.2</v>
      </c>
      <c r="O40" s="13"/>
      <c r="P40" s="4" t="str">
        <f t="shared" si="1"/>
        <v/>
      </c>
      <c r="Q40" s="4">
        <v>16.6</v>
      </c>
      <c r="R40" s="11">
        <v>0.5089</v>
      </c>
      <c r="S40" s="4">
        <v>0.9656</v>
      </c>
      <c r="T40" s="4">
        <v>16.79</v>
      </c>
      <c r="U40" s="4">
        <v>16.2</v>
      </c>
    </row>
    <row r="41" ht="15.75" customHeight="1">
      <c r="A41" s="4" t="s">
        <v>1216</v>
      </c>
      <c r="B41" s="4" t="s">
        <v>1214</v>
      </c>
      <c r="C41" s="4" t="s">
        <v>86</v>
      </c>
      <c r="D41" s="4" t="s">
        <v>1168</v>
      </c>
      <c r="E41" s="4" t="s">
        <v>1279</v>
      </c>
      <c r="F41" s="4" t="s">
        <v>772</v>
      </c>
      <c r="G41" s="4">
        <v>30.5</v>
      </c>
      <c r="H41" s="4">
        <v>29.41</v>
      </c>
      <c r="I41" s="11">
        <v>0.4323</v>
      </c>
      <c r="J41" s="11">
        <v>0.5677</v>
      </c>
      <c r="K41" s="4" t="s">
        <v>2817</v>
      </c>
      <c r="L41" s="4" t="s">
        <v>2818</v>
      </c>
      <c r="M41" s="4">
        <v>31.18</v>
      </c>
      <c r="N41" s="11">
        <v>0.2</v>
      </c>
      <c r="O41" s="13"/>
      <c r="P41" s="4" t="str">
        <f t="shared" si="1"/>
        <v/>
      </c>
      <c r="Q41" s="4">
        <v>28.38</v>
      </c>
      <c r="R41" s="11">
        <v>0.3683</v>
      </c>
      <c r="S41" s="4">
        <v>0.9651</v>
      </c>
      <c r="T41" s="4">
        <v>29.06</v>
      </c>
      <c r="U41" s="4">
        <v>28.02</v>
      </c>
    </row>
    <row r="42" ht="15.75" customHeight="1">
      <c r="A42" s="4" t="s">
        <v>1216</v>
      </c>
      <c r="B42" s="4" t="s">
        <v>1214</v>
      </c>
      <c r="C42" s="4" t="s">
        <v>86</v>
      </c>
      <c r="D42" s="4" t="s">
        <v>1168</v>
      </c>
      <c r="E42" s="4" t="s">
        <v>1283</v>
      </c>
      <c r="F42" s="4" t="s">
        <v>370</v>
      </c>
      <c r="G42" s="4">
        <v>13.5</v>
      </c>
      <c r="H42" s="4">
        <v>12.81</v>
      </c>
      <c r="I42" s="11">
        <v>0.4308</v>
      </c>
      <c r="J42" s="11">
        <v>0.5692</v>
      </c>
      <c r="K42" s="4" t="s">
        <v>2817</v>
      </c>
      <c r="L42" s="4" t="s">
        <v>2818</v>
      </c>
      <c r="N42" s="11">
        <v>0.2</v>
      </c>
      <c r="O42" s="13"/>
      <c r="P42" s="4" t="str">
        <f t="shared" si="1"/>
        <v/>
      </c>
      <c r="Q42" s="4">
        <v>12.35</v>
      </c>
      <c r="R42" s="11">
        <v>0.3831</v>
      </c>
      <c r="S42" s="4">
        <v>0.9637</v>
      </c>
      <c r="T42" s="4">
        <v>12.7</v>
      </c>
      <c r="U42" s="4">
        <v>12.25</v>
      </c>
    </row>
    <row r="43" ht="15.75" customHeight="1">
      <c r="A43" s="4" t="s">
        <v>1216</v>
      </c>
      <c r="B43" s="4" t="s">
        <v>1214</v>
      </c>
      <c r="C43" s="4" t="s">
        <v>86</v>
      </c>
      <c r="D43" s="4" t="s">
        <v>1168</v>
      </c>
      <c r="E43" s="4" t="s">
        <v>1283</v>
      </c>
      <c r="F43" s="4" t="s">
        <v>772</v>
      </c>
      <c r="G43" s="4">
        <v>24.5</v>
      </c>
      <c r="H43" s="4">
        <v>23.22</v>
      </c>
      <c r="I43" s="11">
        <v>0.4112</v>
      </c>
      <c r="J43" s="11">
        <v>0.5888</v>
      </c>
      <c r="K43" s="4" t="s">
        <v>2817</v>
      </c>
      <c r="L43" s="4" t="s">
        <v>2818</v>
      </c>
      <c r="M43" s="4">
        <v>23.4</v>
      </c>
      <c r="N43" s="11">
        <v>0.1</v>
      </c>
      <c r="O43" s="13"/>
      <c r="P43" s="4" t="str">
        <f t="shared" si="1"/>
        <v/>
      </c>
      <c r="Q43" s="4">
        <v>22.38</v>
      </c>
      <c r="R43" s="11">
        <v>0.3527</v>
      </c>
      <c r="S43" s="4">
        <v>0.964</v>
      </c>
      <c r="T43" s="4">
        <v>22.65</v>
      </c>
      <c r="U43" s="4">
        <v>21.84</v>
      </c>
    </row>
    <row r="44" ht="15.75" customHeight="1">
      <c r="A44" s="4" t="s">
        <v>1216</v>
      </c>
      <c r="B44" s="4" t="s">
        <v>1214</v>
      </c>
      <c r="C44" s="4" t="s">
        <v>86</v>
      </c>
      <c r="D44" s="4" t="s">
        <v>1168</v>
      </c>
      <c r="E44" s="4" t="s">
        <v>1286</v>
      </c>
      <c r="F44" s="4" t="s">
        <v>370</v>
      </c>
      <c r="G44" s="4">
        <v>17.5</v>
      </c>
      <c r="H44" s="4">
        <v>16.99</v>
      </c>
      <c r="I44" s="11">
        <v>0.4555</v>
      </c>
      <c r="J44" s="11">
        <v>0.5445</v>
      </c>
      <c r="K44" s="4" t="s">
        <v>2817</v>
      </c>
      <c r="L44" s="4" t="s">
        <v>2818</v>
      </c>
      <c r="N44" s="11">
        <v>0.4</v>
      </c>
      <c r="O44" s="13"/>
      <c r="P44" s="4" t="str">
        <f t="shared" si="1"/>
        <v/>
      </c>
      <c r="Q44" s="4">
        <v>16.39</v>
      </c>
      <c r="R44" s="11">
        <v>0.4014</v>
      </c>
      <c r="S44" s="4">
        <v>0.9643</v>
      </c>
      <c r="T44" s="4">
        <v>18.5</v>
      </c>
      <c r="U44" s="4">
        <v>17.84</v>
      </c>
    </row>
    <row r="45" ht="15.75" customHeight="1">
      <c r="A45" s="4" t="s">
        <v>1216</v>
      </c>
      <c r="B45" s="4" t="s">
        <v>1214</v>
      </c>
      <c r="C45" s="4" t="s">
        <v>86</v>
      </c>
      <c r="D45" s="4" t="s">
        <v>1168</v>
      </c>
      <c r="E45" s="4" t="s">
        <v>1286</v>
      </c>
      <c r="F45" s="4" t="s">
        <v>772</v>
      </c>
      <c r="G45" s="4">
        <v>32.5</v>
      </c>
      <c r="H45" s="4">
        <v>32.44</v>
      </c>
      <c r="I45" s="11">
        <v>0.4965</v>
      </c>
      <c r="J45" s="11">
        <v>0.5035</v>
      </c>
      <c r="K45" s="4" t="s">
        <v>2817</v>
      </c>
      <c r="L45" s="4" t="s">
        <v>2818</v>
      </c>
      <c r="M45" s="4">
        <v>33.28</v>
      </c>
      <c r="N45" s="11">
        <v>0.5</v>
      </c>
      <c r="O45" s="13"/>
      <c r="P45" s="4" t="str">
        <f t="shared" si="1"/>
        <v/>
      </c>
      <c r="Q45" s="4">
        <v>31.28</v>
      </c>
      <c r="R45" s="11">
        <v>0.427</v>
      </c>
      <c r="S45" s="4">
        <v>0.9643</v>
      </c>
      <c r="T45" s="4">
        <v>33.33</v>
      </c>
      <c r="U45" s="4">
        <v>32.14</v>
      </c>
    </row>
    <row r="46" ht="15.75" customHeight="1">
      <c r="A46" s="4" t="s">
        <v>1216</v>
      </c>
      <c r="B46" s="4" t="s">
        <v>1214</v>
      </c>
      <c r="C46" s="4" t="s">
        <v>86</v>
      </c>
      <c r="D46" s="4" t="s">
        <v>1168</v>
      </c>
      <c r="E46" s="4" t="s">
        <v>1289</v>
      </c>
      <c r="F46" s="4" t="s">
        <v>370</v>
      </c>
      <c r="G46" s="4">
        <v>9.0</v>
      </c>
      <c r="H46" s="4">
        <v>8.27</v>
      </c>
      <c r="I46" s="11">
        <v>0.3424</v>
      </c>
      <c r="J46" s="11">
        <v>0.5306</v>
      </c>
      <c r="K46" s="4" t="s">
        <v>2817</v>
      </c>
      <c r="L46" s="4" t="s">
        <v>2818</v>
      </c>
      <c r="N46" s="11">
        <v>0.8</v>
      </c>
      <c r="O46" s="13"/>
      <c r="P46" s="4" t="str">
        <f t="shared" si="1"/>
        <v/>
      </c>
      <c r="Q46" s="4">
        <v>7.97</v>
      </c>
      <c r="R46" s="11">
        <v>0.3042</v>
      </c>
      <c r="S46" s="4">
        <v>0.9643</v>
      </c>
      <c r="T46" s="4">
        <v>8.93</v>
      </c>
      <c r="U46" s="4">
        <v>8.62</v>
      </c>
    </row>
    <row r="47" ht="15.75" customHeight="1">
      <c r="A47" s="4" t="s">
        <v>1216</v>
      </c>
      <c r="B47" s="4" t="s">
        <v>1214</v>
      </c>
      <c r="C47" s="4" t="s">
        <v>86</v>
      </c>
      <c r="D47" s="4" t="s">
        <v>1168</v>
      </c>
      <c r="E47" s="4" t="s">
        <v>1289</v>
      </c>
      <c r="F47" s="4" t="s">
        <v>772</v>
      </c>
      <c r="G47" s="4">
        <v>30.5</v>
      </c>
      <c r="H47" s="4">
        <v>28.35</v>
      </c>
      <c r="I47" s="11">
        <v>0.3662</v>
      </c>
      <c r="J47" s="11">
        <v>0.6338</v>
      </c>
      <c r="K47" s="4" t="s">
        <v>2817</v>
      </c>
      <c r="L47" s="4" t="s">
        <v>2818</v>
      </c>
      <c r="M47" s="4">
        <v>29.85</v>
      </c>
      <c r="N47" s="11">
        <v>0.4</v>
      </c>
      <c r="O47" s="13"/>
      <c r="P47" s="4" t="str">
        <f t="shared" si="1"/>
        <v/>
      </c>
      <c r="Q47" s="4">
        <v>27.33</v>
      </c>
      <c r="R47" s="11">
        <v>0.3044</v>
      </c>
      <c r="S47" s="4">
        <v>0.9643</v>
      </c>
      <c r="T47" s="4">
        <v>29.48</v>
      </c>
      <c r="U47" s="4">
        <v>28.44</v>
      </c>
    </row>
    <row r="48" ht="15.75" customHeight="1">
      <c r="A48" s="4" t="s">
        <v>1216</v>
      </c>
      <c r="B48" s="4" t="s">
        <v>1214</v>
      </c>
      <c r="C48" s="4" t="s">
        <v>86</v>
      </c>
      <c r="D48" s="4" t="s">
        <v>1168</v>
      </c>
      <c r="E48" s="4" t="s">
        <v>1292</v>
      </c>
      <c r="F48" s="4" t="s">
        <v>370</v>
      </c>
      <c r="G48" s="4">
        <v>16.0</v>
      </c>
      <c r="H48" s="4">
        <v>14.19</v>
      </c>
      <c r="I48" s="11">
        <v>0.2889</v>
      </c>
      <c r="J48" s="11">
        <v>0.6239</v>
      </c>
      <c r="K48" s="4" t="s">
        <v>2817</v>
      </c>
      <c r="L48" s="4" t="s">
        <v>2818</v>
      </c>
      <c r="N48" s="11">
        <v>0.4</v>
      </c>
      <c r="O48" s="13"/>
      <c r="P48" s="4" t="str">
        <f t="shared" si="1"/>
        <v/>
      </c>
      <c r="Q48" s="4">
        <v>13.68</v>
      </c>
      <c r="R48" s="11">
        <v>0.2449</v>
      </c>
      <c r="S48" s="4">
        <v>0.9644</v>
      </c>
      <c r="T48" s="4">
        <v>14.72</v>
      </c>
      <c r="U48" s="4">
        <v>14.2</v>
      </c>
    </row>
    <row r="49" ht="15.75" customHeight="1">
      <c r="A49" s="4" t="s">
        <v>1216</v>
      </c>
      <c r="B49" s="4" t="s">
        <v>1214</v>
      </c>
      <c r="C49" s="4" t="s">
        <v>86</v>
      </c>
      <c r="D49" s="4" t="s">
        <v>1168</v>
      </c>
      <c r="E49" s="4" t="s">
        <v>1292</v>
      </c>
      <c r="F49" s="4" t="s">
        <v>772</v>
      </c>
      <c r="G49" s="4">
        <v>30.0</v>
      </c>
      <c r="H49" s="4">
        <v>26.32</v>
      </c>
      <c r="I49" s="11">
        <v>0.2453</v>
      </c>
      <c r="J49" s="11">
        <v>0.7001</v>
      </c>
      <c r="K49" s="4" t="s">
        <v>2817</v>
      </c>
      <c r="L49" s="4" t="s">
        <v>2818</v>
      </c>
      <c r="M49" s="4">
        <v>29.74</v>
      </c>
      <c r="N49" s="11">
        <v>0.5</v>
      </c>
      <c r="O49" s="13"/>
      <c r="P49" s="4" t="str">
        <f t="shared" si="1"/>
        <v/>
      </c>
      <c r="Q49" s="4">
        <v>25.38</v>
      </c>
      <c r="R49" s="11">
        <v>0.195</v>
      </c>
      <c r="S49" s="4">
        <v>0.9643</v>
      </c>
      <c r="T49" s="4">
        <v>28.2</v>
      </c>
      <c r="U49" s="4">
        <v>27.2</v>
      </c>
    </row>
    <row r="50" ht="15.75" customHeight="1">
      <c r="A50" s="4" t="s">
        <v>1216</v>
      </c>
      <c r="B50" s="4" t="s">
        <v>1214</v>
      </c>
      <c r="C50" s="4" t="s">
        <v>86</v>
      </c>
      <c r="D50" s="4" t="s">
        <v>1709</v>
      </c>
      <c r="E50" s="4" t="s">
        <v>1295</v>
      </c>
      <c r="F50" s="4" t="s">
        <v>370</v>
      </c>
      <c r="G50" s="4">
        <v>10.5</v>
      </c>
      <c r="H50" s="4">
        <v>10.52</v>
      </c>
      <c r="I50" s="11">
        <v>0.5018</v>
      </c>
      <c r="J50" s="11">
        <v>0.4982</v>
      </c>
      <c r="K50" s="4" t="s">
        <v>2827</v>
      </c>
      <c r="L50" s="4" t="s">
        <v>2828</v>
      </c>
      <c r="N50" s="11">
        <v>0.6</v>
      </c>
      <c r="O50" s="13"/>
      <c r="P50" s="4" t="str">
        <f t="shared" si="1"/>
        <v/>
      </c>
      <c r="Q50" s="4">
        <v>10.32</v>
      </c>
      <c r="R50" s="11">
        <v>0.48</v>
      </c>
      <c r="S50" s="4">
        <v>0.9818</v>
      </c>
      <c r="T50" s="4">
        <v>10.76</v>
      </c>
      <c r="U50" s="4">
        <v>10.6</v>
      </c>
    </row>
    <row r="51" ht="15.75" customHeight="1">
      <c r="A51" s="4" t="s">
        <v>1216</v>
      </c>
      <c r="B51" s="4" t="s">
        <v>1214</v>
      </c>
      <c r="C51" s="4" t="s">
        <v>86</v>
      </c>
      <c r="D51" s="4" t="s">
        <v>1709</v>
      </c>
      <c r="E51" s="4" t="s">
        <v>1295</v>
      </c>
      <c r="F51" s="4" t="s">
        <v>772</v>
      </c>
      <c r="G51" s="4">
        <v>24.0</v>
      </c>
      <c r="H51" s="4">
        <v>22.36</v>
      </c>
      <c r="I51" s="11">
        <v>0.3508</v>
      </c>
      <c r="J51" s="11">
        <v>0.5809</v>
      </c>
      <c r="K51" s="4" t="s">
        <v>2827</v>
      </c>
      <c r="L51" s="4" t="s">
        <v>2828</v>
      </c>
      <c r="M51" s="4">
        <v>23.54</v>
      </c>
      <c r="N51" s="11">
        <v>0.6</v>
      </c>
      <c r="O51" s="13"/>
      <c r="P51" s="4" t="str">
        <f t="shared" si="1"/>
        <v/>
      </c>
      <c r="Q51" s="4">
        <v>21.98</v>
      </c>
      <c r="R51" s="11">
        <v>0.3247</v>
      </c>
      <c r="S51" s="4">
        <v>0.983</v>
      </c>
      <c r="T51" s="4">
        <v>23.5</v>
      </c>
      <c r="U51" s="4">
        <v>23.14</v>
      </c>
    </row>
    <row r="52" ht="15.75" customHeight="1">
      <c r="A52" s="4" t="s">
        <v>1216</v>
      </c>
      <c r="B52" s="4" t="s">
        <v>1214</v>
      </c>
      <c r="C52" s="4" t="s">
        <v>86</v>
      </c>
      <c r="D52" s="4" t="s">
        <v>1709</v>
      </c>
      <c r="E52" s="4" t="s">
        <v>1301</v>
      </c>
      <c r="F52" s="4" t="s">
        <v>370</v>
      </c>
      <c r="G52" s="4">
        <v>17.5</v>
      </c>
      <c r="H52" s="4">
        <v>16.8</v>
      </c>
      <c r="I52" s="11">
        <v>0.4393</v>
      </c>
      <c r="J52" s="11">
        <v>0.5607</v>
      </c>
      <c r="K52" s="4" t="s">
        <v>2827</v>
      </c>
      <c r="L52" s="4" t="s">
        <v>2828</v>
      </c>
      <c r="N52" s="11">
        <v>0.6</v>
      </c>
      <c r="O52" s="13"/>
      <c r="P52" s="4" t="str">
        <f t="shared" si="1"/>
        <v/>
      </c>
      <c r="Q52" s="4">
        <v>16.51</v>
      </c>
      <c r="R52" s="11">
        <v>0.4135</v>
      </c>
      <c r="S52" s="4">
        <v>0.9827</v>
      </c>
      <c r="T52" s="4">
        <v>17.46</v>
      </c>
      <c r="U52" s="4">
        <v>17.2</v>
      </c>
    </row>
    <row r="53" ht="15.75" customHeight="1">
      <c r="A53" s="4" t="s">
        <v>1216</v>
      </c>
      <c r="B53" s="4" t="s">
        <v>1214</v>
      </c>
      <c r="C53" s="4" t="s">
        <v>86</v>
      </c>
      <c r="D53" s="4" t="s">
        <v>1709</v>
      </c>
      <c r="E53" s="4" t="s">
        <v>1301</v>
      </c>
      <c r="F53" s="4" t="s">
        <v>772</v>
      </c>
      <c r="G53" s="4">
        <v>28.5</v>
      </c>
      <c r="H53" s="4">
        <v>28.57</v>
      </c>
      <c r="I53" s="11">
        <v>0.5046</v>
      </c>
      <c r="J53" s="11">
        <v>0.4954</v>
      </c>
      <c r="K53" s="4" t="s">
        <v>2827</v>
      </c>
      <c r="L53" s="4" t="s">
        <v>2828</v>
      </c>
      <c r="M53" s="4">
        <v>29.18</v>
      </c>
      <c r="N53" s="11">
        <v>0.8</v>
      </c>
      <c r="O53" s="13"/>
      <c r="P53" s="4" t="str">
        <f t="shared" si="1"/>
        <v/>
      </c>
      <c r="Q53" s="4">
        <v>28.09</v>
      </c>
      <c r="R53" s="11">
        <v>0.4737</v>
      </c>
      <c r="S53" s="4">
        <v>0.983</v>
      </c>
      <c r="T53" s="4">
        <v>28.63</v>
      </c>
      <c r="U53" s="4">
        <v>28.19</v>
      </c>
    </row>
    <row r="54" ht="15.75" customHeight="1">
      <c r="A54" s="4" t="s">
        <v>1216</v>
      </c>
      <c r="B54" s="4" t="s">
        <v>1214</v>
      </c>
      <c r="C54" s="4" t="s">
        <v>86</v>
      </c>
      <c r="D54" s="4" t="s">
        <v>1709</v>
      </c>
      <c r="E54" s="4" t="s">
        <v>1304</v>
      </c>
      <c r="F54" s="4" t="s">
        <v>370</v>
      </c>
      <c r="G54" s="4">
        <v>15.5</v>
      </c>
      <c r="H54" s="4">
        <v>17.81</v>
      </c>
      <c r="I54" s="11">
        <v>0.6904</v>
      </c>
      <c r="J54" s="11">
        <v>0.3096</v>
      </c>
      <c r="K54" s="4" t="s">
        <v>2827</v>
      </c>
      <c r="L54" s="4" t="s">
        <v>2828</v>
      </c>
      <c r="N54" s="11">
        <v>0.6</v>
      </c>
      <c r="O54" s="13"/>
      <c r="P54" s="4" t="str">
        <f t="shared" si="1"/>
        <v/>
      </c>
      <c r="Q54" s="4">
        <v>17.55</v>
      </c>
      <c r="R54" s="11">
        <v>0.6718</v>
      </c>
      <c r="S54" s="4">
        <v>0.9855</v>
      </c>
      <c r="T54" s="4">
        <v>16.46</v>
      </c>
      <c r="U54" s="4">
        <v>16.21</v>
      </c>
    </row>
    <row r="55" ht="15.75" customHeight="1">
      <c r="A55" s="4" t="s">
        <v>1216</v>
      </c>
      <c r="B55" s="4" t="s">
        <v>1214</v>
      </c>
      <c r="C55" s="4" t="s">
        <v>86</v>
      </c>
      <c r="D55" s="4" t="s">
        <v>1709</v>
      </c>
      <c r="E55" s="4" t="s">
        <v>1304</v>
      </c>
      <c r="F55" s="4" t="s">
        <v>772</v>
      </c>
      <c r="G55" s="4">
        <v>29.0</v>
      </c>
      <c r="H55" s="4">
        <v>33.03</v>
      </c>
      <c r="I55" s="11">
        <v>0.6983</v>
      </c>
      <c r="J55" s="11">
        <v>0.2525</v>
      </c>
      <c r="K55" s="4" t="s">
        <v>2827</v>
      </c>
      <c r="L55" s="4" t="s">
        <v>2828</v>
      </c>
      <c r="M55" s="4">
        <v>30.4</v>
      </c>
      <c r="N55" s="11">
        <v>0.7</v>
      </c>
      <c r="O55" s="13"/>
      <c r="P55" s="4" t="str">
        <f t="shared" si="1"/>
        <v/>
      </c>
      <c r="Q55" s="4">
        <v>32.6</v>
      </c>
      <c r="R55" s="11">
        <v>0.6769</v>
      </c>
      <c r="S55" s="4">
        <v>0.9869</v>
      </c>
      <c r="T55" s="4">
        <v>30.77</v>
      </c>
      <c r="U55" s="4">
        <v>30.3</v>
      </c>
    </row>
    <row r="56" ht="15.75" customHeight="1">
      <c r="A56" s="4" t="s">
        <v>1216</v>
      </c>
      <c r="B56" s="4" t="s">
        <v>1214</v>
      </c>
      <c r="C56" s="4" t="s">
        <v>86</v>
      </c>
      <c r="D56" s="4" t="s">
        <v>1709</v>
      </c>
      <c r="E56" s="4" t="s">
        <v>1307</v>
      </c>
      <c r="F56" s="4" t="s">
        <v>370</v>
      </c>
      <c r="G56" s="4">
        <v>15.5</v>
      </c>
      <c r="H56" s="4">
        <v>14.8</v>
      </c>
      <c r="I56" s="11">
        <v>0.4351</v>
      </c>
      <c r="J56" s="11">
        <v>0.5649</v>
      </c>
      <c r="K56" s="4" t="s">
        <v>2827</v>
      </c>
      <c r="L56" s="4" t="s">
        <v>2828</v>
      </c>
      <c r="N56" s="11">
        <v>0.5</v>
      </c>
      <c r="O56" s="13"/>
      <c r="P56" s="4" t="str">
        <f t="shared" si="1"/>
        <v/>
      </c>
      <c r="Q56" s="4">
        <v>14.59</v>
      </c>
      <c r="R56" s="11">
        <v>0.4148</v>
      </c>
      <c r="S56" s="4">
        <v>0.9856</v>
      </c>
      <c r="T56" s="4">
        <v>15.51</v>
      </c>
      <c r="U56" s="4">
        <v>15.27</v>
      </c>
    </row>
    <row r="57" ht="15.75" customHeight="1">
      <c r="A57" s="4" t="s">
        <v>1216</v>
      </c>
      <c r="B57" s="4" t="s">
        <v>1214</v>
      </c>
      <c r="C57" s="4" t="s">
        <v>86</v>
      </c>
      <c r="D57" s="4" t="s">
        <v>1709</v>
      </c>
      <c r="E57" s="4" t="s">
        <v>1307</v>
      </c>
      <c r="F57" s="4" t="s">
        <v>772</v>
      </c>
      <c r="G57" s="4">
        <v>27.0</v>
      </c>
      <c r="H57" s="4">
        <v>26.09</v>
      </c>
      <c r="I57" s="11">
        <v>0.408</v>
      </c>
      <c r="J57" s="11">
        <v>0.5268</v>
      </c>
      <c r="K57" s="4" t="s">
        <v>2827</v>
      </c>
      <c r="L57" s="4" t="s">
        <v>2828</v>
      </c>
      <c r="M57" s="4">
        <v>26.29</v>
      </c>
      <c r="N57" s="11">
        <v>0.6</v>
      </c>
      <c r="O57" s="13"/>
      <c r="P57" s="4" t="str">
        <f t="shared" si="1"/>
        <v/>
      </c>
      <c r="Q57" s="4">
        <v>25.68</v>
      </c>
      <c r="R57" s="11">
        <v>0.3805</v>
      </c>
      <c r="S57" s="4">
        <v>0.984</v>
      </c>
      <c r="T57" s="4">
        <v>26.92</v>
      </c>
      <c r="U57" s="4">
        <v>26.51</v>
      </c>
    </row>
    <row r="58" ht="15.75" customHeight="1">
      <c r="A58" s="4" t="s">
        <v>1216</v>
      </c>
      <c r="B58" s="4" t="s">
        <v>1214</v>
      </c>
      <c r="C58" s="4" t="s">
        <v>86</v>
      </c>
      <c r="D58" s="4" t="s">
        <v>1709</v>
      </c>
      <c r="E58" s="4" t="s">
        <v>1310</v>
      </c>
      <c r="F58" s="4" t="s">
        <v>370</v>
      </c>
      <c r="G58" s="4">
        <v>9.0</v>
      </c>
      <c r="H58" s="4">
        <v>9.56</v>
      </c>
      <c r="I58" s="11">
        <v>0.5073</v>
      </c>
      <c r="J58" s="11">
        <v>0.3739</v>
      </c>
      <c r="K58" s="4" t="s">
        <v>2827</v>
      </c>
      <c r="L58" s="4" t="s">
        <v>2828</v>
      </c>
      <c r="N58" s="11">
        <v>0.5</v>
      </c>
      <c r="O58" s="13"/>
      <c r="P58" s="4" t="str">
        <f t="shared" si="1"/>
        <v/>
      </c>
      <c r="Q58" s="4">
        <v>9.43</v>
      </c>
      <c r="R58" s="11">
        <v>0.4921</v>
      </c>
      <c r="S58" s="4">
        <v>0.9869</v>
      </c>
      <c r="T58" s="4">
        <v>9.59</v>
      </c>
      <c r="U58" s="4">
        <v>9.44</v>
      </c>
    </row>
    <row r="59" ht="15.75" customHeight="1">
      <c r="A59" s="4" t="s">
        <v>1216</v>
      </c>
      <c r="B59" s="4" t="s">
        <v>1214</v>
      </c>
      <c r="C59" s="4" t="s">
        <v>86</v>
      </c>
      <c r="D59" s="4" t="s">
        <v>1709</v>
      </c>
      <c r="E59" s="4" t="s">
        <v>1310</v>
      </c>
      <c r="F59" s="4" t="s">
        <v>772</v>
      </c>
      <c r="G59" s="4">
        <v>27.5</v>
      </c>
      <c r="H59" s="4">
        <v>27.84</v>
      </c>
      <c r="I59" s="11">
        <v>0.522</v>
      </c>
      <c r="J59" s="11">
        <v>0.478</v>
      </c>
      <c r="K59" s="4" t="s">
        <v>2827</v>
      </c>
      <c r="L59" s="4" t="s">
        <v>2828</v>
      </c>
      <c r="M59" s="4">
        <v>27.54</v>
      </c>
      <c r="N59" s="11">
        <v>0.6</v>
      </c>
      <c r="O59" s="13"/>
      <c r="P59" s="4" t="str">
        <f t="shared" si="1"/>
        <v/>
      </c>
      <c r="Q59" s="4">
        <v>27.46</v>
      </c>
      <c r="R59" s="11">
        <v>0.4975</v>
      </c>
      <c r="S59" s="4">
        <v>0.9863</v>
      </c>
      <c r="T59" s="4">
        <v>28.2</v>
      </c>
      <c r="U59" s="4">
        <v>27.77</v>
      </c>
    </row>
    <row r="60" ht="15.75" customHeight="1">
      <c r="A60" s="4" t="s">
        <v>1216</v>
      </c>
      <c r="B60" s="4" t="s">
        <v>1214</v>
      </c>
      <c r="C60" s="4" t="s">
        <v>86</v>
      </c>
      <c r="D60" s="4" t="s">
        <v>1709</v>
      </c>
      <c r="E60" s="4" t="s">
        <v>1437</v>
      </c>
      <c r="F60" s="4" t="s">
        <v>370</v>
      </c>
      <c r="G60" s="4">
        <v>12.0</v>
      </c>
      <c r="H60" s="4">
        <v>10.87</v>
      </c>
      <c r="I60" s="11">
        <v>0.3251</v>
      </c>
      <c r="J60" s="11">
        <v>0.5693</v>
      </c>
      <c r="K60" s="4" t="s">
        <v>2827</v>
      </c>
      <c r="L60" s="4" t="s">
        <v>2828</v>
      </c>
      <c r="N60" s="11">
        <v>0.6</v>
      </c>
      <c r="O60" s="13"/>
      <c r="P60" s="4" t="str">
        <f t="shared" si="1"/>
        <v/>
      </c>
      <c r="Q60" s="4">
        <v>11.15</v>
      </c>
      <c r="R60" s="11">
        <v>0.3548</v>
      </c>
      <c r="S60" s="4">
        <v>1.0252</v>
      </c>
      <c r="T60" s="4">
        <v>11.1</v>
      </c>
      <c r="U60" s="4">
        <v>11.37</v>
      </c>
    </row>
    <row r="61" ht="15.75" customHeight="1">
      <c r="A61" s="4" t="s">
        <v>1216</v>
      </c>
      <c r="B61" s="4" t="s">
        <v>1214</v>
      </c>
      <c r="C61" s="4" t="s">
        <v>86</v>
      </c>
      <c r="D61" s="4" t="s">
        <v>1709</v>
      </c>
      <c r="E61" s="4" t="s">
        <v>1437</v>
      </c>
      <c r="F61" s="4" t="s">
        <v>772</v>
      </c>
      <c r="G61" s="4">
        <v>24.5</v>
      </c>
      <c r="H61" s="4">
        <v>23.82</v>
      </c>
      <c r="I61" s="11">
        <v>0.453</v>
      </c>
      <c r="J61" s="11">
        <v>0.547</v>
      </c>
      <c r="K61" s="4" t="s">
        <v>2827</v>
      </c>
      <c r="L61" s="4" t="s">
        <v>2828</v>
      </c>
      <c r="M61" s="4">
        <v>24.84</v>
      </c>
      <c r="N61" s="11">
        <v>0.7</v>
      </c>
      <c r="O61" s="13"/>
      <c r="P61" s="4" t="str">
        <f t="shared" si="1"/>
        <v/>
      </c>
      <c r="Q61" s="4">
        <v>24.42</v>
      </c>
      <c r="R61" s="11">
        <v>0.4947</v>
      </c>
      <c r="S61" s="4">
        <v>1.0254</v>
      </c>
      <c r="T61" s="4">
        <v>23.93</v>
      </c>
      <c r="U61" s="4">
        <v>24.51</v>
      </c>
    </row>
    <row r="62" ht="15.75" customHeight="1">
      <c r="A62" s="4" t="s">
        <v>1216</v>
      </c>
      <c r="B62" s="4" t="s">
        <v>1214</v>
      </c>
      <c r="C62" s="4" t="s">
        <v>86</v>
      </c>
      <c r="D62" s="4" t="s">
        <v>1709</v>
      </c>
      <c r="E62" s="4" t="s">
        <v>1442</v>
      </c>
      <c r="F62" s="4" t="s">
        <v>370</v>
      </c>
      <c r="G62" s="4">
        <v>14.0</v>
      </c>
      <c r="H62" s="4">
        <v>14.74</v>
      </c>
      <c r="I62" s="11">
        <v>0.5229</v>
      </c>
      <c r="J62" s="11">
        <v>0.3835</v>
      </c>
      <c r="K62" s="4" t="s">
        <v>2827</v>
      </c>
      <c r="L62" s="4" t="s">
        <v>2828</v>
      </c>
      <c r="N62" s="11">
        <v>0.8</v>
      </c>
      <c r="O62" s="13"/>
      <c r="P62" s="4" t="str">
        <f t="shared" si="1"/>
        <v/>
      </c>
      <c r="Q62" s="4">
        <v>15.11</v>
      </c>
      <c r="R62" s="11">
        <v>0.5568</v>
      </c>
      <c r="S62" s="4">
        <v>1.0248</v>
      </c>
      <c r="T62" s="4">
        <v>14.18</v>
      </c>
      <c r="U62" s="4">
        <v>14.53</v>
      </c>
    </row>
    <row r="63" ht="15.75" customHeight="1">
      <c r="A63" s="4" t="s">
        <v>1216</v>
      </c>
      <c r="B63" s="4" t="s">
        <v>1214</v>
      </c>
      <c r="C63" s="4" t="s">
        <v>86</v>
      </c>
      <c r="D63" s="4" t="s">
        <v>1709</v>
      </c>
      <c r="E63" s="4" t="s">
        <v>1442</v>
      </c>
      <c r="F63" s="4" t="s">
        <v>772</v>
      </c>
      <c r="G63" s="4">
        <v>31.5</v>
      </c>
      <c r="H63" s="4">
        <v>31.18</v>
      </c>
      <c r="I63" s="11">
        <v>0.4809</v>
      </c>
      <c r="J63" s="11">
        <v>0.5191</v>
      </c>
      <c r="K63" s="4" t="s">
        <v>2827</v>
      </c>
      <c r="L63" s="4" t="s">
        <v>2828</v>
      </c>
      <c r="M63" s="4">
        <v>30.82</v>
      </c>
      <c r="N63" s="11">
        <v>0.4</v>
      </c>
      <c r="O63" s="13"/>
      <c r="P63" s="4" t="str">
        <f t="shared" si="1"/>
        <v/>
      </c>
      <c r="Q63" s="4">
        <v>31.88</v>
      </c>
      <c r="R63" s="11">
        <v>0.5228</v>
      </c>
      <c r="S63" s="4">
        <v>1.0224</v>
      </c>
      <c r="T63" s="4">
        <v>30.77</v>
      </c>
      <c r="U63" s="4">
        <v>31.51</v>
      </c>
    </row>
    <row r="64" ht="15.75" customHeight="1">
      <c r="A64" s="4" t="s">
        <v>1216</v>
      </c>
      <c r="B64" s="4" t="s">
        <v>1214</v>
      </c>
      <c r="C64" s="4" t="s">
        <v>86</v>
      </c>
      <c r="D64" s="4" t="s">
        <v>1709</v>
      </c>
      <c r="E64" s="4" t="s">
        <v>1445</v>
      </c>
      <c r="F64" s="4" t="s">
        <v>370</v>
      </c>
      <c r="G64" s="4">
        <v>17.5</v>
      </c>
      <c r="H64" s="4">
        <v>17.44</v>
      </c>
      <c r="I64" s="11">
        <v>0.4947</v>
      </c>
      <c r="J64" s="11">
        <v>0.5053</v>
      </c>
      <c r="K64" s="4" t="s">
        <v>2827</v>
      </c>
      <c r="L64" s="4" t="s">
        <v>2828</v>
      </c>
      <c r="N64" s="11">
        <v>0.5</v>
      </c>
      <c r="O64" s="13"/>
      <c r="P64" s="4" t="str">
        <f t="shared" si="1"/>
        <v/>
      </c>
      <c r="Q64" s="4">
        <v>17.85</v>
      </c>
      <c r="R64" s="11">
        <v>0.5299</v>
      </c>
      <c r="S64" s="4">
        <v>1.0236</v>
      </c>
      <c r="T64" s="4">
        <v>17.39</v>
      </c>
      <c r="U64" s="4">
        <v>17.81</v>
      </c>
    </row>
    <row r="65" ht="15.75" customHeight="1">
      <c r="A65" s="4" t="s">
        <v>1216</v>
      </c>
      <c r="B65" s="4" t="s">
        <v>1214</v>
      </c>
      <c r="C65" s="4" t="s">
        <v>86</v>
      </c>
      <c r="D65" s="4" t="s">
        <v>1709</v>
      </c>
      <c r="E65" s="4" t="s">
        <v>1445</v>
      </c>
      <c r="F65" s="4" t="s">
        <v>772</v>
      </c>
      <c r="G65" s="4">
        <v>32.0</v>
      </c>
      <c r="H65" s="4">
        <v>31.48</v>
      </c>
      <c r="I65" s="11">
        <v>0.439</v>
      </c>
      <c r="J65" s="11">
        <v>0.5012</v>
      </c>
      <c r="K65" s="4" t="s">
        <v>2827</v>
      </c>
      <c r="L65" s="4" t="s">
        <v>2828</v>
      </c>
      <c r="M65" s="4">
        <v>32.4</v>
      </c>
      <c r="N65" s="11">
        <v>0.6</v>
      </c>
      <c r="O65" s="13"/>
      <c r="P65" s="4" t="str">
        <f t="shared" si="1"/>
        <v/>
      </c>
      <c r="Q65" s="4">
        <v>32.26</v>
      </c>
      <c r="R65" s="11">
        <v>0.486</v>
      </c>
      <c r="S65" s="4">
        <v>1.0249</v>
      </c>
      <c r="T65" s="4">
        <v>31.62</v>
      </c>
      <c r="U65" s="4">
        <v>32.38</v>
      </c>
    </row>
    <row r="66" ht="15.75" customHeight="1">
      <c r="A66" s="4" t="s">
        <v>1216</v>
      </c>
      <c r="B66" s="4" t="s">
        <v>1214</v>
      </c>
      <c r="C66" s="4" t="s">
        <v>86</v>
      </c>
      <c r="D66" s="4" t="s">
        <v>1709</v>
      </c>
      <c r="E66" s="4" t="s">
        <v>1448</v>
      </c>
      <c r="F66" s="4" t="s">
        <v>370</v>
      </c>
      <c r="G66" s="4">
        <v>15.5</v>
      </c>
      <c r="H66" s="4">
        <v>13.94</v>
      </c>
      <c r="I66" s="11">
        <v>0.3513</v>
      </c>
      <c r="J66" s="11">
        <v>0.6487</v>
      </c>
      <c r="K66" s="4" t="s">
        <v>2827</v>
      </c>
      <c r="L66" s="4" t="s">
        <v>2828</v>
      </c>
      <c r="N66" s="11">
        <v>0.4</v>
      </c>
      <c r="O66" s="13"/>
      <c r="P66" s="4" t="str">
        <f t="shared" si="1"/>
        <v/>
      </c>
      <c r="Q66" s="4">
        <v>14.26</v>
      </c>
      <c r="R66" s="11">
        <v>0.3827</v>
      </c>
      <c r="S66" s="4">
        <v>1.0234</v>
      </c>
      <c r="T66" s="4">
        <v>14.38</v>
      </c>
      <c r="U66" s="4">
        <v>14.72</v>
      </c>
    </row>
    <row r="67" ht="15.75" customHeight="1">
      <c r="A67" s="4" t="s">
        <v>1216</v>
      </c>
      <c r="B67" s="4" t="s">
        <v>1214</v>
      </c>
      <c r="C67" s="4" t="s">
        <v>86</v>
      </c>
      <c r="D67" s="4" t="s">
        <v>1709</v>
      </c>
      <c r="E67" s="4" t="s">
        <v>1448</v>
      </c>
      <c r="F67" s="4" t="s">
        <v>772</v>
      </c>
      <c r="G67" s="4">
        <v>28.0</v>
      </c>
      <c r="H67" s="4">
        <v>27.47</v>
      </c>
      <c r="I67" s="11">
        <v>0.4341</v>
      </c>
      <c r="J67" s="11">
        <v>0.5018</v>
      </c>
      <c r="K67" s="4" t="s">
        <v>2827</v>
      </c>
      <c r="L67" s="4" t="s">
        <v>2828</v>
      </c>
      <c r="M67" s="4">
        <v>28.0</v>
      </c>
      <c r="N67" s="11">
        <v>0.6</v>
      </c>
      <c r="O67" s="13"/>
      <c r="P67" s="4" t="str">
        <f t="shared" si="1"/>
        <v/>
      </c>
      <c r="Q67" s="4">
        <v>28.12</v>
      </c>
      <c r="R67" s="11">
        <v>0.4756</v>
      </c>
      <c r="S67" s="4">
        <v>1.0234</v>
      </c>
      <c r="T67" s="4">
        <v>26.92</v>
      </c>
      <c r="U67" s="4">
        <v>27.57</v>
      </c>
    </row>
    <row r="68" ht="15.75" customHeight="1">
      <c r="A68" s="4" t="s">
        <v>1216</v>
      </c>
      <c r="B68" s="4" t="s">
        <v>1214</v>
      </c>
      <c r="C68" s="4" t="s">
        <v>86</v>
      </c>
      <c r="D68" s="4" t="s">
        <v>1709</v>
      </c>
      <c r="E68" s="4" t="s">
        <v>1451</v>
      </c>
      <c r="F68" s="4" t="s">
        <v>370</v>
      </c>
      <c r="G68" s="4">
        <v>10.5</v>
      </c>
      <c r="H68" s="4">
        <v>10.36</v>
      </c>
      <c r="I68" s="11">
        <v>0.4832</v>
      </c>
      <c r="J68" s="11">
        <v>0.5168</v>
      </c>
      <c r="K68" s="4" t="s">
        <v>2827</v>
      </c>
      <c r="L68" s="4" t="s">
        <v>2828</v>
      </c>
      <c r="N68" s="11">
        <v>0.5</v>
      </c>
      <c r="O68" s="13"/>
      <c r="P68" s="4" t="str">
        <f t="shared" si="1"/>
        <v/>
      </c>
      <c r="Q68" s="4">
        <v>10.63</v>
      </c>
      <c r="R68" s="11">
        <v>0.5145</v>
      </c>
      <c r="S68" s="4">
        <v>1.0262</v>
      </c>
      <c r="T68" s="4">
        <v>10.11</v>
      </c>
      <c r="U68" s="4">
        <v>10.35</v>
      </c>
    </row>
    <row r="69" ht="15.75" customHeight="1">
      <c r="A69" s="4" t="s">
        <v>1216</v>
      </c>
      <c r="B69" s="4" t="s">
        <v>1214</v>
      </c>
      <c r="C69" s="4" t="s">
        <v>86</v>
      </c>
      <c r="D69" s="4" t="s">
        <v>1709</v>
      </c>
      <c r="E69" s="4" t="s">
        <v>1451</v>
      </c>
      <c r="F69" s="4" t="s">
        <v>772</v>
      </c>
      <c r="G69" s="4">
        <v>31.5</v>
      </c>
      <c r="H69" s="4">
        <v>30.46</v>
      </c>
      <c r="I69" s="11">
        <v>0.4367</v>
      </c>
      <c r="J69" s="11">
        <v>0.5633</v>
      </c>
      <c r="K69" s="4" t="s">
        <v>2827</v>
      </c>
      <c r="L69" s="4" t="s">
        <v>2828</v>
      </c>
      <c r="M69" s="4">
        <v>31.28</v>
      </c>
      <c r="N69" s="11">
        <v>0.3</v>
      </c>
      <c r="O69" s="13"/>
      <c r="P69" s="4" t="str">
        <f t="shared" si="1"/>
        <v/>
      </c>
      <c r="Q69" s="4">
        <v>31.21</v>
      </c>
      <c r="R69" s="11">
        <v>0.4824</v>
      </c>
      <c r="S69" s="4">
        <v>1.0246</v>
      </c>
      <c r="T69" s="4">
        <v>29.91</v>
      </c>
      <c r="U69" s="4">
        <v>30.63</v>
      </c>
    </row>
    <row r="70" ht="15.75" customHeight="1">
      <c r="A70" s="4" t="s">
        <v>1216</v>
      </c>
      <c r="B70" s="4" t="s">
        <v>1214</v>
      </c>
      <c r="C70" s="4" t="s">
        <v>86</v>
      </c>
      <c r="D70" s="4" t="s">
        <v>1234</v>
      </c>
      <c r="E70" s="4" t="s">
        <v>1313</v>
      </c>
      <c r="F70" s="4" t="s">
        <v>370</v>
      </c>
      <c r="G70" s="4">
        <v>18.5</v>
      </c>
      <c r="H70" s="4">
        <v>19.27</v>
      </c>
      <c r="I70" s="11">
        <v>0.5627</v>
      </c>
      <c r="J70" s="11">
        <v>0.4373</v>
      </c>
      <c r="K70" s="4" t="s">
        <v>2839</v>
      </c>
      <c r="L70" s="4" t="s">
        <v>2811</v>
      </c>
      <c r="N70" s="11">
        <v>0.2</v>
      </c>
      <c r="O70" s="13"/>
      <c r="P70" s="4" t="str">
        <f t="shared" si="1"/>
        <v/>
      </c>
      <c r="Q70" s="4">
        <v>19.21</v>
      </c>
      <c r="R70" s="11">
        <v>0.5579</v>
      </c>
      <c r="S70" s="4">
        <v>0.9969</v>
      </c>
      <c r="T70" s="4">
        <v>17.75</v>
      </c>
      <c r="U70" s="4">
        <v>17.69</v>
      </c>
    </row>
    <row r="71" ht="15.75" customHeight="1">
      <c r="A71" s="4" t="s">
        <v>1216</v>
      </c>
      <c r="B71" s="4" t="s">
        <v>1214</v>
      </c>
      <c r="C71" s="4" t="s">
        <v>86</v>
      </c>
      <c r="D71" s="4" t="s">
        <v>1234</v>
      </c>
      <c r="E71" s="4" t="s">
        <v>1313</v>
      </c>
      <c r="F71" s="4" t="s">
        <v>772</v>
      </c>
      <c r="G71" s="4">
        <v>34.5</v>
      </c>
      <c r="H71" s="4">
        <v>33.5</v>
      </c>
      <c r="I71" s="11">
        <v>0.442</v>
      </c>
      <c r="J71" s="11">
        <v>0.558</v>
      </c>
      <c r="K71" s="4" t="s">
        <v>2839</v>
      </c>
      <c r="L71" s="4" t="s">
        <v>2811</v>
      </c>
      <c r="N71" s="11">
        <v>0.2</v>
      </c>
      <c r="O71" s="13"/>
      <c r="P71" s="4" t="str">
        <f t="shared" si="1"/>
        <v/>
      </c>
      <c r="Q71" s="4">
        <v>33.4</v>
      </c>
      <c r="R71" s="11">
        <v>0.436</v>
      </c>
      <c r="S71" s="4">
        <v>0.9969</v>
      </c>
      <c r="T71" s="4">
        <v>32.68</v>
      </c>
      <c r="U71" s="4">
        <v>32.58</v>
      </c>
    </row>
    <row r="72" ht="15.75" customHeight="1">
      <c r="A72" s="4" t="s">
        <v>1216</v>
      </c>
      <c r="B72" s="4" t="s">
        <v>1214</v>
      </c>
      <c r="C72" s="4" t="s">
        <v>86</v>
      </c>
      <c r="D72" s="4" t="s">
        <v>1234</v>
      </c>
      <c r="E72" s="4" t="s">
        <v>1317</v>
      </c>
      <c r="F72" s="4" t="s">
        <v>370</v>
      </c>
      <c r="G72" s="4">
        <v>15.0</v>
      </c>
      <c r="H72" s="4">
        <v>14.51</v>
      </c>
      <c r="I72" s="11">
        <v>0.4059</v>
      </c>
      <c r="J72" s="11">
        <v>0.4994</v>
      </c>
      <c r="K72" s="4" t="s">
        <v>2839</v>
      </c>
      <c r="L72" s="4" t="s">
        <v>2811</v>
      </c>
      <c r="N72" s="11">
        <v>0.4</v>
      </c>
      <c r="O72" s="13"/>
      <c r="P72" s="4" t="str">
        <f t="shared" si="1"/>
        <v/>
      </c>
      <c r="Q72" s="4">
        <v>14.46</v>
      </c>
      <c r="R72" s="11">
        <v>0.4017</v>
      </c>
      <c r="S72" s="4">
        <v>0.997</v>
      </c>
      <c r="T72" s="4">
        <v>14.72</v>
      </c>
      <c r="U72" s="4">
        <v>14.68</v>
      </c>
    </row>
    <row r="73" ht="15.75" customHeight="1">
      <c r="A73" s="4" t="s">
        <v>1216</v>
      </c>
      <c r="B73" s="4" t="s">
        <v>1214</v>
      </c>
      <c r="C73" s="4" t="s">
        <v>86</v>
      </c>
      <c r="D73" s="4" t="s">
        <v>1234</v>
      </c>
      <c r="E73" s="4" t="s">
        <v>1317</v>
      </c>
      <c r="F73" s="4" t="s">
        <v>772</v>
      </c>
      <c r="G73" s="4">
        <v>30.5</v>
      </c>
      <c r="H73" s="4">
        <v>28.97</v>
      </c>
      <c r="I73" s="11">
        <v>0.4048</v>
      </c>
      <c r="J73" s="11">
        <v>0.5952</v>
      </c>
      <c r="K73" s="4" t="s">
        <v>2839</v>
      </c>
      <c r="L73" s="4" t="s">
        <v>2811</v>
      </c>
      <c r="N73" s="11">
        <v>0.0</v>
      </c>
      <c r="O73" s="13"/>
      <c r="P73" s="4" t="str">
        <f t="shared" si="1"/>
        <v/>
      </c>
      <c r="Q73" s="4">
        <v>28.88</v>
      </c>
      <c r="R73" s="11">
        <v>0.3995</v>
      </c>
      <c r="S73" s="4">
        <v>0.9971</v>
      </c>
      <c r="T73" s="4">
        <v>28.81</v>
      </c>
      <c r="U73" s="4">
        <v>28.72</v>
      </c>
    </row>
    <row r="74" ht="15.75" customHeight="1">
      <c r="A74" s="4" t="s">
        <v>1216</v>
      </c>
      <c r="B74" s="4" t="s">
        <v>1214</v>
      </c>
      <c r="C74" s="4" t="s">
        <v>86</v>
      </c>
      <c r="D74" s="4" t="s">
        <v>1234</v>
      </c>
      <c r="E74" s="4" t="s">
        <v>1320</v>
      </c>
      <c r="F74" s="4" t="s">
        <v>370</v>
      </c>
      <c r="G74" s="4">
        <v>10.0</v>
      </c>
      <c r="H74" s="4">
        <v>11.2</v>
      </c>
      <c r="I74" s="11">
        <v>0.5769</v>
      </c>
      <c r="J74" s="11">
        <v>0.319</v>
      </c>
      <c r="K74" s="4" t="s">
        <v>2839</v>
      </c>
      <c r="L74" s="4" t="s">
        <v>2811</v>
      </c>
      <c r="N74" s="11">
        <v>0.4</v>
      </c>
      <c r="O74" s="13"/>
      <c r="P74" s="4" t="str">
        <f t="shared" si="1"/>
        <v/>
      </c>
      <c r="Q74" s="4">
        <v>11.17</v>
      </c>
      <c r="R74" s="11">
        <v>0.5735</v>
      </c>
      <c r="S74" s="4">
        <v>0.9971</v>
      </c>
      <c r="T74" s="4">
        <v>9.91</v>
      </c>
      <c r="U74" s="4">
        <v>9.88</v>
      </c>
    </row>
    <row r="75" ht="15.75" customHeight="1">
      <c r="A75" s="4" t="s">
        <v>1216</v>
      </c>
      <c r="B75" s="4" t="s">
        <v>1214</v>
      </c>
      <c r="C75" s="4" t="s">
        <v>86</v>
      </c>
      <c r="D75" s="4" t="s">
        <v>1234</v>
      </c>
      <c r="E75" s="4" t="s">
        <v>1320</v>
      </c>
      <c r="F75" s="4" t="s">
        <v>772</v>
      </c>
      <c r="G75" s="4">
        <v>27.5</v>
      </c>
      <c r="H75" s="4">
        <v>26.9</v>
      </c>
      <c r="I75" s="11">
        <v>0.461</v>
      </c>
      <c r="J75" s="11">
        <v>0.539</v>
      </c>
      <c r="K75" s="4" t="s">
        <v>2839</v>
      </c>
      <c r="L75" s="4" t="s">
        <v>2811</v>
      </c>
      <c r="N75" s="11">
        <v>0.5</v>
      </c>
      <c r="O75" s="13"/>
      <c r="P75" s="4" t="str">
        <f t="shared" si="1"/>
        <v/>
      </c>
      <c r="Q75" s="4">
        <v>26.82</v>
      </c>
      <c r="R75" s="11">
        <v>0.4557</v>
      </c>
      <c r="S75" s="4">
        <v>0.997</v>
      </c>
      <c r="T75" s="4">
        <v>26.23</v>
      </c>
      <c r="U75" s="4">
        <v>26.15</v>
      </c>
    </row>
    <row r="76" ht="15.75" customHeight="1">
      <c r="A76" s="4" t="s">
        <v>1216</v>
      </c>
      <c r="B76" s="4" t="s">
        <v>1214</v>
      </c>
      <c r="C76" s="4" t="s">
        <v>86</v>
      </c>
      <c r="D76" s="4" t="s">
        <v>1234</v>
      </c>
      <c r="E76" s="4" t="s">
        <v>1356</v>
      </c>
      <c r="F76" s="4" t="s">
        <v>370</v>
      </c>
      <c r="G76" s="4">
        <v>16.5</v>
      </c>
      <c r="H76" s="4">
        <v>18.27</v>
      </c>
      <c r="I76" s="11">
        <v>0.6457</v>
      </c>
      <c r="J76" s="11">
        <v>0.3543</v>
      </c>
      <c r="K76" s="4" t="s">
        <v>2839</v>
      </c>
      <c r="L76" s="4" t="s">
        <v>2811</v>
      </c>
      <c r="N76" s="11">
        <v>0.6</v>
      </c>
      <c r="O76" s="13"/>
      <c r="P76" s="4" t="str">
        <f t="shared" si="1"/>
        <v/>
      </c>
      <c r="Q76" s="4">
        <v>18.28</v>
      </c>
      <c r="R76" s="11">
        <v>0.6463</v>
      </c>
      <c r="S76" s="4">
        <v>1.0004</v>
      </c>
      <c r="T76" s="4">
        <v>17.55</v>
      </c>
      <c r="U76" s="4">
        <v>17.56</v>
      </c>
    </row>
    <row r="77" ht="15.75" customHeight="1">
      <c r="A77" s="4" t="s">
        <v>1216</v>
      </c>
      <c r="B77" s="4" t="s">
        <v>1214</v>
      </c>
      <c r="C77" s="4" t="s">
        <v>86</v>
      </c>
      <c r="D77" s="4" t="s">
        <v>1234</v>
      </c>
      <c r="E77" s="4" t="s">
        <v>1356</v>
      </c>
      <c r="F77" s="4" t="s">
        <v>772</v>
      </c>
      <c r="G77" s="4">
        <v>29.5</v>
      </c>
      <c r="H77" s="4">
        <v>32.19</v>
      </c>
      <c r="I77" s="11">
        <v>0.6555</v>
      </c>
      <c r="J77" s="11">
        <v>0.3445</v>
      </c>
      <c r="K77" s="4" t="s">
        <v>2839</v>
      </c>
      <c r="L77" s="4" t="s">
        <v>2811</v>
      </c>
      <c r="N77" s="11">
        <v>0.7</v>
      </c>
      <c r="O77" s="13"/>
      <c r="P77" s="4" t="str">
        <f t="shared" si="1"/>
        <v/>
      </c>
      <c r="Q77" s="4">
        <v>32.2</v>
      </c>
      <c r="R77" s="11">
        <v>0.6561</v>
      </c>
      <c r="S77" s="4">
        <v>1.0004</v>
      </c>
      <c r="T77" s="4">
        <v>30.96</v>
      </c>
      <c r="U77" s="4">
        <v>30.97</v>
      </c>
    </row>
    <row r="78" ht="15.75" customHeight="1">
      <c r="A78" s="4" t="s">
        <v>1216</v>
      </c>
      <c r="B78" s="4" t="s">
        <v>1214</v>
      </c>
      <c r="C78" s="4" t="s">
        <v>86</v>
      </c>
      <c r="D78" s="4" t="s">
        <v>1234</v>
      </c>
      <c r="E78" s="4" t="s">
        <v>1360</v>
      </c>
      <c r="F78" s="4" t="s">
        <v>370</v>
      </c>
      <c r="G78" s="4">
        <v>9.5</v>
      </c>
      <c r="H78" s="4">
        <v>9.82</v>
      </c>
      <c r="I78" s="11">
        <v>0.5381</v>
      </c>
      <c r="J78" s="11">
        <v>0.4619</v>
      </c>
      <c r="K78" s="4" t="s">
        <v>2839</v>
      </c>
      <c r="L78" s="4" t="s">
        <v>2811</v>
      </c>
      <c r="N78" s="11">
        <v>0.6</v>
      </c>
      <c r="O78" s="13"/>
      <c r="P78" s="4" t="str">
        <f t="shared" si="1"/>
        <v/>
      </c>
      <c r="Q78" s="4">
        <v>9.82</v>
      </c>
      <c r="R78" s="11">
        <v>0.5386</v>
      </c>
      <c r="S78" s="4">
        <v>1.0004</v>
      </c>
      <c r="T78" s="4">
        <v>9.71</v>
      </c>
      <c r="U78" s="4">
        <v>9.72</v>
      </c>
    </row>
    <row r="79" ht="15.75" customHeight="1">
      <c r="A79" s="4" t="s">
        <v>1216</v>
      </c>
      <c r="B79" s="4" t="s">
        <v>1214</v>
      </c>
      <c r="C79" s="4" t="s">
        <v>86</v>
      </c>
      <c r="D79" s="4" t="s">
        <v>1234</v>
      </c>
      <c r="E79" s="4" t="s">
        <v>1360</v>
      </c>
      <c r="F79" s="4" t="s">
        <v>772</v>
      </c>
      <c r="G79" s="4">
        <v>28.5</v>
      </c>
      <c r="H79" s="4">
        <v>27.49</v>
      </c>
      <c r="I79" s="11">
        <v>0.4355</v>
      </c>
      <c r="J79" s="11">
        <v>0.5645</v>
      </c>
      <c r="K79" s="4" t="s">
        <v>2839</v>
      </c>
      <c r="L79" s="4" t="s">
        <v>2811</v>
      </c>
      <c r="N79" s="11">
        <v>0.6</v>
      </c>
      <c r="O79" s="13"/>
      <c r="P79" s="4" t="str">
        <f t="shared" si="1"/>
        <v/>
      </c>
      <c r="Q79" s="4">
        <v>27.5</v>
      </c>
      <c r="R79" s="11">
        <v>0.4363</v>
      </c>
      <c r="S79" s="4">
        <v>1.0004</v>
      </c>
      <c r="T79" s="4">
        <v>27.52</v>
      </c>
      <c r="U79" s="4">
        <v>27.53</v>
      </c>
    </row>
    <row r="80" ht="15.75" customHeight="1">
      <c r="A80" s="4" t="s">
        <v>1216</v>
      </c>
      <c r="B80" s="4" t="s">
        <v>1214</v>
      </c>
      <c r="C80" s="4" t="s">
        <v>86</v>
      </c>
      <c r="D80" s="4" t="s">
        <v>1234</v>
      </c>
      <c r="E80" s="4" t="s">
        <v>1363</v>
      </c>
      <c r="F80" s="4" t="s">
        <v>370</v>
      </c>
      <c r="G80" s="4">
        <v>13.5</v>
      </c>
      <c r="H80" s="4">
        <v>13.54</v>
      </c>
      <c r="I80" s="11">
        <v>0.5039</v>
      </c>
      <c r="J80" s="11">
        <v>0.4961</v>
      </c>
      <c r="K80" s="4" t="s">
        <v>2839</v>
      </c>
      <c r="L80" s="4" t="s">
        <v>2811</v>
      </c>
      <c r="N80" s="11">
        <v>0.3</v>
      </c>
      <c r="O80" s="13"/>
      <c r="P80" s="4" t="str">
        <f t="shared" si="1"/>
        <v/>
      </c>
      <c r="Q80" s="4">
        <v>13.54</v>
      </c>
      <c r="R80" s="11">
        <v>0.5043</v>
      </c>
      <c r="S80" s="4">
        <v>1.0003</v>
      </c>
      <c r="T80" s="4">
        <v>12.96</v>
      </c>
      <c r="U80" s="4">
        <v>12.97</v>
      </c>
    </row>
    <row r="81" ht="15.75" customHeight="1">
      <c r="A81" s="4" t="s">
        <v>1216</v>
      </c>
      <c r="B81" s="4" t="s">
        <v>1214</v>
      </c>
      <c r="C81" s="4" t="s">
        <v>86</v>
      </c>
      <c r="D81" s="4" t="s">
        <v>1234</v>
      </c>
      <c r="E81" s="4" t="s">
        <v>1363</v>
      </c>
      <c r="F81" s="4" t="s">
        <v>772</v>
      </c>
      <c r="G81" s="4">
        <v>29.0</v>
      </c>
      <c r="H81" s="4">
        <v>27.73</v>
      </c>
      <c r="I81" s="11">
        <v>0.3879</v>
      </c>
      <c r="J81" s="11">
        <v>0.5494</v>
      </c>
      <c r="K81" s="4" t="s">
        <v>2839</v>
      </c>
      <c r="L81" s="4" t="s">
        <v>2811</v>
      </c>
      <c r="N81" s="11">
        <v>0.4</v>
      </c>
      <c r="O81" s="13"/>
      <c r="P81" s="4" t="str">
        <f t="shared" si="1"/>
        <v/>
      </c>
      <c r="Q81" s="4">
        <v>27.74</v>
      </c>
      <c r="R81" s="11">
        <v>0.3885</v>
      </c>
      <c r="S81" s="4">
        <v>1.0003</v>
      </c>
      <c r="T81" s="4">
        <v>27.52</v>
      </c>
      <c r="U81" s="4">
        <v>27.53</v>
      </c>
    </row>
    <row r="82" ht="15.75" customHeight="1">
      <c r="A82" s="4" t="s">
        <v>1216</v>
      </c>
      <c r="B82" s="4" t="s">
        <v>1214</v>
      </c>
      <c r="C82" s="4" t="s">
        <v>86</v>
      </c>
      <c r="D82" s="4" t="s">
        <v>1234</v>
      </c>
      <c r="E82" s="4" t="s">
        <v>1366</v>
      </c>
      <c r="F82" s="4" t="s">
        <v>370</v>
      </c>
      <c r="G82" s="4">
        <v>18.0</v>
      </c>
      <c r="H82" s="4">
        <v>17.86</v>
      </c>
      <c r="I82" s="11">
        <v>0.4459</v>
      </c>
      <c r="J82" s="11">
        <v>0.4693</v>
      </c>
      <c r="K82" s="4" t="s">
        <v>2839</v>
      </c>
      <c r="L82" s="4" t="s">
        <v>2811</v>
      </c>
      <c r="N82" s="11">
        <v>0.6</v>
      </c>
      <c r="O82" s="13"/>
      <c r="P82" s="4" t="str">
        <f t="shared" si="1"/>
        <v/>
      </c>
      <c r="Q82" s="4">
        <v>17.87</v>
      </c>
      <c r="R82" s="11">
        <v>0.4464</v>
      </c>
      <c r="S82" s="4">
        <v>1.0003</v>
      </c>
      <c r="T82" s="4">
        <v>17.92</v>
      </c>
      <c r="U82" s="4">
        <v>17.93</v>
      </c>
    </row>
    <row r="83" ht="15.75" customHeight="1">
      <c r="A83" s="4" t="s">
        <v>1216</v>
      </c>
      <c r="B83" s="4" t="s">
        <v>1214</v>
      </c>
      <c r="C83" s="4" t="s">
        <v>86</v>
      </c>
      <c r="D83" s="4" t="s">
        <v>1234</v>
      </c>
      <c r="E83" s="4" t="s">
        <v>1366</v>
      </c>
      <c r="F83" s="4" t="s">
        <v>772</v>
      </c>
      <c r="G83" s="4">
        <v>30.5</v>
      </c>
      <c r="H83" s="4">
        <v>30.49</v>
      </c>
      <c r="I83" s="11">
        <v>0.4991</v>
      </c>
      <c r="J83" s="11">
        <v>0.5009</v>
      </c>
      <c r="K83" s="4" t="s">
        <v>2839</v>
      </c>
      <c r="L83" s="4" t="s">
        <v>2811</v>
      </c>
      <c r="N83" s="11">
        <v>0.6</v>
      </c>
      <c r="O83" s="13"/>
      <c r="P83" s="4" t="str">
        <f t="shared" si="1"/>
        <v/>
      </c>
      <c r="Q83" s="4">
        <v>30.5</v>
      </c>
      <c r="R83" s="11">
        <v>0.4998</v>
      </c>
      <c r="S83" s="4">
        <v>1.0004</v>
      </c>
      <c r="T83" s="4">
        <v>29.67</v>
      </c>
      <c r="U83" s="4">
        <v>29.68</v>
      </c>
    </row>
    <row r="84" ht="15.75" customHeight="1">
      <c r="A84" s="4" t="s">
        <v>1216</v>
      </c>
      <c r="B84" s="4" t="s">
        <v>1214</v>
      </c>
      <c r="C84" s="4" t="s">
        <v>86</v>
      </c>
      <c r="D84" s="4" t="s">
        <v>1234</v>
      </c>
      <c r="E84" s="4" t="s">
        <v>1369</v>
      </c>
      <c r="F84" s="4" t="s">
        <v>370</v>
      </c>
      <c r="G84" s="4">
        <v>13.5</v>
      </c>
      <c r="H84" s="4">
        <v>13.68</v>
      </c>
      <c r="I84" s="11">
        <v>0.5176</v>
      </c>
      <c r="J84" s="11">
        <v>0.4824</v>
      </c>
      <c r="K84" s="4" t="s">
        <v>2839</v>
      </c>
      <c r="L84" s="4" t="s">
        <v>2811</v>
      </c>
      <c r="N84" s="11">
        <v>0.7</v>
      </c>
      <c r="O84" s="13"/>
      <c r="P84" s="4" t="str">
        <f t="shared" si="1"/>
        <v/>
      </c>
      <c r="Q84" s="4">
        <v>13.69</v>
      </c>
      <c r="R84" s="11">
        <v>0.5182</v>
      </c>
      <c r="S84" s="4">
        <v>1.0004</v>
      </c>
      <c r="T84" s="4">
        <v>13.45</v>
      </c>
      <c r="U84" s="4">
        <v>13.45</v>
      </c>
    </row>
    <row r="85" ht="15.75" customHeight="1">
      <c r="A85" s="4" t="s">
        <v>1216</v>
      </c>
      <c r="B85" s="4" t="s">
        <v>1214</v>
      </c>
      <c r="C85" s="4" t="s">
        <v>86</v>
      </c>
      <c r="D85" s="4" t="s">
        <v>1234</v>
      </c>
      <c r="E85" s="4" t="s">
        <v>1369</v>
      </c>
      <c r="F85" s="4" t="s">
        <v>772</v>
      </c>
      <c r="G85" s="4">
        <v>26.5</v>
      </c>
      <c r="H85" s="4">
        <v>25.84</v>
      </c>
      <c r="I85" s="11">
        <v>0.456</v>
      </c>
      <c r="J85" s="11">
        <v>0.544</v>
      </c>
      <c r="K85" s="4" t="s">
        <v>2839</v>
      </c>
      <c r="L85" s="4" t="s">
        <v>2811</v>
      </c>
      <c r="N85" s="11">
        <v>0.7</v>
      </c>
      <c r="O85" s="13"/>
      <c r="P85" s="4" t="str">
        <f t="shared" si="1"/>
        <v/>
      </c>
      <c r="Q85" s="4">
        <v>25.85</v>
      </c>
      <c r="R85" s="11">
        <v>0.4568</v>
      </c>
      <c r="S85" s="4">
        <v>1.0004</v>
      </c>
      <c r="T85" s="4">
        <v>25.37</v>
      </c>
      <c r="U85" s="4">
        <v>25.38</v>
      </c>
    </row>
    <row r="86" ht="15.75" customHeight="1">
      <c r="A86" s="4" t="s">
        <v>1216</v>
      </c>
      <c r="B86" s="4" t="s">
        <v>1214</v>
      </c>
      <c r="C86" s="4" t="s">
        <v>86</v>
      </c>
      <c r="D86" s="4" t="s">
        <v>7</v>
      </c>
      <c r="E86" s="4" t="s">
        <v>1323</v>
      </c>
      <c r="F86" s="4" t="s">
        <v>370</v>
      </c>
      <c r="G86" s="4">
        <v>11.5</v>
      </c>
      <c r="H86" s="4">
        <v>10.77</v>
      </c>
      <c r="I86" s="11">
        <v>0.4184</v>
      </c>
      <c r="J86" s="11">
        <v>0.5816</v>
      </c>
      <c r="K86" s="4" t="s">
        <v>2848</v>
      </c>
      <c r="L86" s="4" t="s">
        <v>2828</v>
      </c>
      <c r="N86" s="11">
        <v>0.5</v>
      </c>
      <c r="O86" s="13"/>
      <c r="P86" s="4" t="str">
        <f t="shared" si="1"/>
        <v/>
      </c>
      <c r="Q86" s="4">
        <v>10.56</v>
      </c>
      <c r="R86" s="11">
        <v>0.3947</v>
      </c>
      <c r="S86" s="4">
        <v>0.9808</v>
      </c>
      <c r="T86" s="4">
        <v>11.46</v>
      </c>
      <c r="U86" s="4">
        <v>11.23</v>
      </c>
    </row>
    <row r="87" ht="15.75" customHeight="1">
      <c r="A87" s="4" t="s">
        <v>1216</v>
      </c>
      <c r="B87" s="4" t="s">
        <v>1214</v>
      </c>
      <c r="C87" s="4" t="s">
        <v>86</v>
      </c>
      <c r="D87" s="4" t="s">
        <v>7</v>
      </c>
      <c r="E87" s="4" t="s">
        <v>1323</v>
      </c>
      <c r="F87" s="4" t="s">
        <v>772</v>
      </c>
      <c r="G87" s="4">
        <v>25.5</v>
      </c>
      <c r="H87" s="4">
        <v>25.56</v>
      </c>
      <c r="I87" s="11">
        <v>0.5043</v>
      </c>
      <c r="J87" s="11">
        <v>0.4957</v>
      </c>
      <c r="K87" s="4" t="s">
        <v>2848</v>
      </c>
      <c r="L87" s="4" t="s">
        <v>2828</v>
      </c>
      <c r="N87" s="11">
        <v>0.6</v>
      </c>
      <c r="O87" s="13"/>
      <c r="P87" s="4" t="str">
        <f t="shared" si="1"/>
        <v/>
      </c>
      <c r="Q87" s="4">
        <v>25.06</v>
      </c>
      <c r="R87" s="11">
        <v>0.4706</v>
      </c>
      <c r="S87" s="4">
        <v>0.9804</v>
      </c>
      <c r="T87" s="4">
        <v>25.64</v>
      </c>
      <c r="U87" s="4">
        <v>25.12</v>
      </c>
    </row>
    <row r="88" ht="15.75" customHeight="1">
      <c r="A88" s="4" t="s">
        <v>1216</v>
      </c>
      <c r="B88" s="4" t="s">
        <v>1214</v>
      </c>
      <c r="C88" s="4" t="s">
        <v>86</v>
      </c>
      <c r="D88" s="4" t="s">
        <v>7</v>
      </c>
      <c r="E88" s="4" t="s">
        <v>1327</v>
      </c>
      <c r="F88" s="4" t="s">
        <v>370</v>
      </c>
      <c r="G88" s="4">
        <v>15.5</v>
      </c>
      <c r="H88" s="4">
        <v>16.46</v>
      </c>
      <c r="I88" s="11">
        <v>0.5854</v>
      </c>
      <c r="J88" s="11">
        <v>0.4146</v>
      </c>
      <c r="K88" s="4" t="s">
        <v>2848</v>
      </c>
      <c r="L88" s="4" t="s">
        <v>2828</v>
      </c>
      <c r="N88" s="11">
        <v>0.8</v>
      </c>
      <c r="O88" s="13"/>
      <c r="P88" s="4" t="str">
        <f t="shared" si="1"/>
        <v/>
      </c>
      <c r="Q88" s="4">
        <v>16.13</v>
      </c>
      <c r="R88" s="11">
        <v>0.5564</v>
      </c>
      <c r="S88" s="4">
        <v>0.9797</v>
      </c>
      <c r="T88" s="4">
        <v>16.6</v>
      </c>
      <c r="U88" s="4">
        <v>16.27</v>
      </c>
    </row>
    <row r="89" ht="15.75" customHeight="1">
      <c r="A89" s="4" t="s">
        <v>1216</v>
      </c>
      <c r="B89" s="4" t="s">
        <v>1214</v>
      </c>
      <c r="C89" s="4" t="s">
        <v>86</v>
      </c>
      <c r="D89" s="4" t="s">
        <v>7</v>
      </c>
      <c r="E89" s="4" t="s">
        <v>1327</v>
      </c>
      <c r="F89" s="4" t="s">
        <v>772</v>
      </c>
      <c r="G89" s="4">
        <v>29.5</v>
      </c>
      <c r="H89" s="4">
        <v>32.4</v>
      </c>
      <c r="I89" s="11">
        <v>0.6664</v>
      </c>
      <c r="J89" s="11">
        <v>0.3336</v>
      </c>
      <c r="K89" s="4" t="s">
        <v>2848</v>
      </c>
      <c r="L89" s="4" t="s">
        <v>2828</v>
      </c>
      <c r="N89" s="11">
        <v>0.6</v>
      </c>
      <c r="O89" s="13"/>
      <c r="P89" s="4" t="str">
        <f t="shared" si="1"/>
        <v/>
      </c>
      <c r="Q89" s="4">
        <v>31.72</v>
      </c>
      <c r="R89" s="11">
        <v>0.6305</v>
      </c>
      <c r="S89" s="4">
        <v>0.9792</v>
      </c>
      <c r="T89" s="4">
        <v>31.62</v>
      </c>
      <c r="U89" s="4">
        <v>30.98</v>
      </c>
    </row>
    <row r="90" ht="15.75" customHeight="1">
      <c r="A90" s="4" t="s">
        <v>1216</v>
      </c>
      <c r="B90" s="4" t="s">
        <v>1214</v>
      </c>
      <c r="C90" s="4" t="s">
        <v>86</v>
      </c>
      <c r="D90" s="4" t="s">
        <v>7</v>
      </c>
      <c r="E90" s="4" t="s">
        <v>1331</v>
      </c>
      <c r="F90" s="4" t="s">
        <v>370</v>
      </c>
      <c r="G90" s="4">
        <v>13.5</v>
      </c>
      <c r="H90" s="4">
        <v>12.79</v>
      </c>
      <c r="I90" s="11">
        <v>0.4277</v>
      </c>
      <c r="J90" s="11">
        <v>0.5723</v>
      </c>
      <c r="K90" s="4" t="s">
        <v>2848</v>
      </c>
      <c r="L90" s="4" t="s">
        <v>2828</v>
      </c>
      <c r="N90" s="11">
        <v>0.4</v>
      </c>
      <c r="O90" s="13"/>
      <c r="P90" s="4" t="str">
        <f t="shared" si="1"/>
        <v/>
      </c>
      <c r="Q90" s="4">
        <v>12.53</v>
      </c>
      <c r="R90" s="11">
        <v>0.4015</v>
      </c>
      <c r="S90" s="4">
        <v>0.9802</v>
      </c>
      <c r="T90" s="4">
        <v>14.08</v>
      </c>
      <c r="U90" s="4">
        <v>13.8</v>
      </c>
    </row>
    <row r="91" ht="15.75" customHeight="1">
      <c r="A91" s="4" t="s">
        <v>1216</v>
      </c>
      <c r="B91" s="4" t="s">
        <v>1214</v>
      </c>
      <c r="C91" s="4" t="s">
        <v>86</v>
      </c>
      <c r="D91" s="4" t="s">
        <v>7</v>
      </c>
      <c r="E91" s="4" t="s">
        <v>1331</v>
      </c>
      <c r="F91" s="4" t="s">
        <v>772</v>
      </c>
      <c r="G91" s="4">
        <v>26.5</v>
      </c>
      <c r="H91" s="4">
        <v>26.39</v>
      </c>
      <c r="I91" s="11">
        <v>0.4927</v>
      </c>
      <c r="J91" s="11">
        <v>0.5073</v>
      </c>
      <c r="K91" s="4" t="s">
        <v>2848</v>
      </c>
      <c r="L91" s="4" t="s">
        <v>2828</v>
      </c>
      <c r="N91" s="11">
        <v>0.5</v>
      </c>
      <c r="O91" s="13"/>
      <c r="P91" s="4" t="str">
        <f t="shared" si="1"/>
        <v/>
      </c>
      <c r="Q91" s="4">
        <v>25.85</v>
      </c>
      <c r="R91" s="11">
        <v>0.4571</v>
      </c>
      <c r="S91" s="4">
        <v>0.9796</v>
      </c>
      <c r="T91" s="4">
        <v>27.77</v>
      </c>
      <c r="U91" s="4">
        <v>27.22</v>
      </c>
    </row>
    <row r="92" ht="15.75" customHeight="1">
      <c r="A92" s="4" t="s">
        <v>1216</v>
      </c>
      <c r="B92" s="4" t="s">
        <v>1214</v>
      </c>
      <c r="C92" s="4" t="s">
        <v>86</v>
      </c>
      <c r="D92" s="4" t="s">
        <v>7</v>
      </c>
      <c r="E92" s="4" t="s">
        <v>1334</v>
      </c>
      <c r="F92" s="4" t="s">
        <v>370</v>
      </c>
      <c r="G92" s="4">
        <v>14.5</v>
      </c>
      <c r="H92" s="4">
        <v>15.36</v>
      </c>
      <c r="I92" s="11">
        <v>0.5788</v>
      </c>
      <c r="J92" s="11">
        <v>0.4212</v>
      </c>
      <c r="K92" s="4" t="s">
        <v>2848</v>
      </c>
      <c r="L92" s="4" t="s">
        <v>2828</v>
      </c>
      <c r="N92" s="11">
        <v>0.6</v>
      </c>
      <c r="O92" s="13"/>
      <c r="P92" s="4" t="str">
        <f t="shared" si="1"/>
        <v/>
      </c>
      <c r="Q92" s="4">
        <v>15.06</v>
      </c>
      <c r="R92" s="11">
        <v>0.5519</v>
      </c>
      <c r="S92" s="4">
        <v>0.9805</v>
      </c>
      <c r="T92" s="4">
        <v>14.92</v>
      </c>
      <c r="U92" s="4">
        <v>14.62</v>
      </c>
    </row>
    <row r="93" ht="15.75" customHeight="1">
      <c r="A93" s="4" t="s">
        <v>1216</v>
      </c>
      <c r="B93" s="4" t="s">
        <v>1214</v>
      </c>
      <c r="C93" s="4" t="s">
        <v>86</v>
      </c>
      <c r="D93" s="4" t="s">
        <v>7</v>
      </c>
      <c r="E93" s="4" t="s">
        <v>1334</v>
      </c>
      <c r="F93" s="4" t="s">
        <v>772</v>
      </c>
      <c r="G93" s="4">
        <v>27.5</v>
      </c>
      <c r="H93" s="4">
        <v>29.76</v>
      </c>
      <c r="I93" s="11">
        <v>0.6369</v>
      </c>
      <c r="J93" s="11">
        <v>0.3631</v>
      </c>
      <c r="K93" s="4" t="s">
        <v>2848</v>
      </c>
      <c r="L93" s="4" t="s">
        <v>2828</v>
      </c>
      <c r="N93" s="11">
        <v>0.7</v>
      </c>
      <c r="O93" s="13"/>
      <c r="P93" s="4" t="str">
        <f t="shared" si="1"/>
        <v/>
      </c>
      <c r="Q93" s="4">
        <v>29.18</v>
      </c>
      <c r="R93" s="11">
        <v>0.6039</v>
      </c>
      <c r="S93" s="4">
        <v>0.9806</v>
      </c>
      <c r="T93" s="4">
        <v>28.2</v>
      </c>
      <c r="U93" s="4">
        <v>27.63</v>
      </c>
    </row>
    <row r="94" ht="15.75" customHeight="1">
      <c r="A94" s="4" t="s">
        <v>1216</v>
      </c>
      <c r="B94" s="4" t="s">
        <v>1214</v>
      </c>
      <c r="C94" s="4" t="s">
        <v>86</v>
      </c>
      <c r="D94" s="4" t="s">
        <v>7</v>
      </c>
      <c r="E94" s="4" t="s">
        <v>1337</v>
      </c>
      <c r="F94" s="4" t="s">
        <v>370</v>
      </c>
      <c r="G94" s="4">
        <v>11.5</v>
      </c>
      <c r="H94" s="4">
        <v>9.49</v>
      </c>
      <c r="I94" s="11">
        <v>0.2713</v>
      </c>
      <c r="J94" s="11">
        <v>0.7287</v>
      </c>
      <c r="K94" s="4" t="s">
        <v>2848</v>
      </c>
      <c r="L94" s="4" t="s">
        <v>2828</v>
      </c>
      <c r="N94" s="11">
        <v>0.6</v>
      </c>
      <c r="O94" s="13"/>
      <c r="P94" s="4" t="str">
        <f t="shared" si="1"/>
        <v/>
      </c>
      <c r="Q94" s="4">
        <v>9.3</v>
      </c>
      <c r="R94" s="11">
        <v>0.2494</v>
      </c>
      <c r="S94" s="4">
        <v>0.9791</v>
      </c>
      <c r="T94" s="4">
        <v>10.91</v>
      </c>
      <c r="U94" s="4">
        <v>10.69</v>
      </c>
    </row>
    <row r="95" ht="15.75" customHeight="1">
      <c r="A95" s="4" t="s">
        <v>1216</v>
      </c>
      <c r="B95" s="4" t="s">
        <v>1214</v>
      </c>
      <c r="C95" s="4" t="s">
        <v>86</v>
      </c>
      <c r="D95" s="4" t="s">
        <v>7</v>
      </c>
      <c r="E95" s="4" t="s">
        <v>1337</v>
      </c>
      <c r="F95" s="4" t="s">
        <v>772</v>
      </c>
      <c r="G95" s="4">
        <v>28.5</v>
      </c>
      <c r="H95" s="4">
        <v>26.81</v>
      </c>
      <c r="I95" s="11">
        <v>0.3911</v>
      </c>
      <c r="J95" s="11">
        <v>0.6089</v>
      </c>
      <c r="K95" s="4" t="s">
        <v>2848</v>
      </c>
      <c r="L95" s="4" t="s">
        <v>2828</v>
      </c>
      <c r="N95" s="11">
        <v>0.6</v>
      </c>
      <c r="O95" s="13"/>
      <c r="P95" s="4" t="str">
        <f t="shared" si="1"/>
        <v/>
      </c>
      <c r="Q95" s="4">
        <v>26.25</v>
      </c>
      <c r="R95" s="11">
        <v>0.3554</v>
      </c>
      <c r="S95" s="4">
        <v>0.9794</v>
      </c>
      <c r="T95" s="4">
        <v>28.2</v>
      </c>
      <c r="U95" s="4">
        <v>27.63</v>
      </c>
    </row>
    <row r="96" ht="15.75" customHeight="1">
      <c r="A96" s="4" t="s">
        <v>1216</v>
      </c>
      <c r="B96" s="4" t="s">
        <v>1214</v>
      </c>
      <c r="C96" s="4" t="s">
        <v>86</v>
      </c>
      <c r="D96" s="4" t="s">
        <v>7</v>
      </c>
      <c r="E96" s="4" t="s">
        <v>1340</v>
      </c>
      <c r="F96" s="4" t="s">
        <v>370</v>
      </c>
      <c r="G96" s="4">
        <v>19.0</v>
      </c>
      <c r="H96" s="4">
        <v>20.02</v>
      </c>
      <c r="I96" s="11">
        <v>0.5415</v>
      </c>
      <c r="J96" s="11">
        <v>0.3799</v>
      </c>
      <c r="K96" s="4" t="s">
        <v>2848</v>
      </c>
      <c r="L96" s="4" t="s">
        <v>2828</v>
      </c>
      <c r="N96" s="11">
        <v>0.7</v>
      </c>
      <c r="O96" s="13"/>
      <c r="P96" s="4" t="str">
        <f t="shared" si="1"/>
        <v/>
      </c>
      <c r="Q96" s="4">
        <v>19.34</v>
      </c>
      <c r="R96" s="11">
        <v>0.4871</v>
      </c>
      <c r="S96" s="4">
        <v>0.9663</v>
      </c>
      <c r="T96" s="4">
        <v>20.58</v>
      </c>
      <c r="U96" s="4">
        <v>19.88</v>
      </c>
    </row>
    <row r="97" ht="15.75" customHeight="1">
      <c r="A97" s="4" t="s">
        <v>1216</v>
      </c>
      <c r="B97" s="4" t="s">
        <v>1214</v>
      </c>
      <c r="C97" s="4" t="s">
        <v>86</v>
      </c>
      <c r="D97" s="4" t="s">
        <v>7</v>
      </c>
      <c r="E97" s="4" t="s">
        <v>1340</v>
      </c>
      <c r="F97" s="4" t="s">
        <v>772</v>
      </c>
      <c r="G97" s="4">
        <v>33.5</v>
      </c>
      <c r="H97" s="4">
        <v>34.6</v>
      </c>
      <c r="I97" s="11">
        <v>0.563</v>
      </c>
      <c r="J97" s="11">
        <v>0.437</v>
      </c>
      <c r="K97" s="4" t="s">
        <v>2848</v>
      </c>
      <c r="L97" s="4" t="s">
        <v>2828</v>
      </c>
      <c r="N97" s="11">
        <v>0.5</v>
      </c>
      <c r="O97" s="13"/>
      <c r="P97" s="4" t="str">
        <f t="shared" si="1"/>
        <v/>
      </c>
      <c r="Q97" s="4">
        <v>33.43</v>
      </c>
      <c r="R97" s="11">
        <v>0.4962</v>
      </c>
      <c r="S97" s="4">
        <v>0.9662</v>
      </c>
      <c r="T97" s="4">
        <v>34.18</v>
      </c>
      <c r="U97" s="4">
        <v>33.02</v>
      </c>
    </row>
    <row r="98" ht="15.75" customHeight="1">
      <c r="A98" s="4" t="s">
        <v>1216</v>
      </c>
      <c r="B98" s="4" t="s">
        <v>1214</v>
      </c>
      <c r="C98" s="4" t="s">
        <v>86</v>
      </c>
      <c r="D98" s="4" t="s">
        <v>7</v>
      </c>
      <c r="E98" s="4" t="s">
        <v>1344</v>
      </c>
      <c r="F98" s="4" t="s">
        <v>370</v>
      </c>
      <c r="G98" s="4">
        <v>18.5</v>
      </c>
      <c r="H98" s="4">
        <v>17.83</v>
      </c>
      <c r="I98" s="11">
        <v>0.4428</v>
      </c>
      <c r="J98" s="11">
        <v>0.5572</v>
      </c>
      <c r="K98" s="4" t="s">
        <v>2848</v>
      </c>
      <c r="L98" s="4" t="s">
        <v>2828</v>
      </c>
      <c r="N98" s="11">
        <v>0.4</v>
      </c>
      <c r="O98" s="13"/>
      <c r="P98" s="4" t="str">
        <f t="shared" si="1"/>
        <v/>
      </c>
      <c r="Q98" s="4">
        <v>17.23</v>
      </c>
      <c r="R98" s="11">
        <v>0.3914</v>
      </c>
      <c r="S98" s="4">
        <v>0.9667</v>
      </c>
      <c r="T98" s="4">
        <v>17.38</v>
      </c>
      <c r="U98" s="4">
        <v>16.79</v>
      </c>
    </row>
    <row r="99" ht="15.75" customHeight="1">
      <c r="A99" s="4" t="s">
        <v>1216</v>
      </c>
      <c r="B99" s="4" t="s">
        <v>1214</v>
      </c>
      <c r="C99" s="4" t="s">
        <v>86</v>
      </c>
      <c r="D99" s="4" t="s">
        <v>7</v>
      </c>
      <c r="E99" s="4" t="s">
        <v>1344</v>
      </c>
      <c r="F99" s="4" t="s">
        <v>772</v>
      </c>
      <c r="G99" s="4">
        <v>31.5</v>
      </c>
      <c r="H99" s="4">
        <v>31.61</v>
      </c>
      <c r="I99" s="11">
        <v>0.5063</v>
      </c>
      <c r="J99" s="11">
        <v>0.4937</v>
      </c>
      <c r="K99" s="4" t="s">
        <v>2848</v>
      </c>
      <c r="L99" s="4" t="s">
        <v>2828</v>
      </c>
      <c r="N99" s="11">
        <v>0.6</v>
      </c>
      <c r="O99" s="13"/>
      <c r="P99" s="4" t="str">
        <f t="shared" si="1"/>
        <v/>
      </c>
      <c r="Q99" s="4">
        <v>30.55</v>
      </c>
      <c r="R99" s="11">
        <v>0.4426</v>
      </c>
      <c r="S99" s="4">
        <v>0.9668</v>
      </c>
      <c r="T99" s="4">
        <v>30.34</v>
      </c>
      <c r="U99" s="4">
        <v>29.3</v>
      </c>
    </row>
    <row r="100" ht="15.75" customHeight="1">
      <c r="A100" s="4" t="s">
        <v>1216</v>
      </c>
      <c r="B100" s="4" t="s">
        <v>1214</v>
      </c>
      <c r="C100" s="4" t="s">
        <v>86</v>
      </c>
      <c r="D100" s="4" t="s">
        <v>7</v>
      </c>
      <c r="E100" s="4" t="s">
        <v>1347</v>
      </c>
      <c r="F100" s="4" t="s">
        <v>370</v>
      </c>
      <c r="G100" s="4">
        <v>13.5</v>
      </c>
      <c r="H100" s="4">
        <v>13.12</v>
      </c>
      <c r="I100" s="11">
        <v>0.4623</v>
      </c>
      <c r="J100" s="11">
        <v>0.5377</v>
      </c>
      <c r="K100" s="4" t="s">
        <v>2848</v>
      </c>
      <c r="L100" s="4" t="s">
        <v>2828</v>
      </c>
      <c r="N100" s="11">
        <v>0.5</v>
      </c>
      <c r="O100" s="13"/>
      <c r="P100" s="4" t="str">
        <f t="shared" si="1"/>
        <v/>
      </c>
      <c r="Q100" s="4">
        <v>12.68</v>
      </c>
      <c r="R100" s="11">
        <v>0.4174</v>
      </c>
      <c r="S100" s="4">
        <v>0.9663</v>
      </c>
      <c r="T100" s="4">
        <v>13.07</v>
      </c>
      <c r="U100" s="4">
        <v>12.62</v>
      </c>
    </row>
    <row r="101" ht="15.75" customHeight="1">
      <c r="A101" s="4" t="s">
        <v>1216</v>
      </c>
      <c r="B101" s="4" t="s">
        <v>1214</v>
      </c>
      <c r="C101" s="4" t="s">
        <v>86</v>
      </c>
      <c r="D101" s="4" t="s">
        <v>7</v>
      </c>
      <c r="E101" s="4" t="s">
        <v>1347</v>
      </c>
      <c r="F101" s="4" t="s">
        <v>772</v>
      </c>
      <c r="G101" s="4">
        <v>25.5</v>
      </c>
      <c r="H101" s="4">
        <v>23.79</v>
      </c>
      <c r="I101" s="11">
        <v>0.3838</v>
      </c>
      <c r="J101" s="11">
        <v>0.6162</v>
      </c>
      <c r="K101" s="4" t="s">
        <v>2848</v>
      </c>
      <c r="L101" s="4" t="s">
        <v>2828</v>
      </c>
      <c r="N101" s="11">
        <v>0.6</v>
      </c>
      <c r="O101" s="13"/>
      <c r="P101" s="4" t="str">
        <f t="shared" si="1"/>
        <v/>
      </c>
      <c r="Q101" s="4">
        <v>22.99</v>
      </c>
      <c r="R101" s="11">
        <v>0.3292</v>
      </c>
      <c r="S101" s="4">
        <v>0.9663</v>
      </c>
      <c r="T101" s="4">
        <v>23.93</v>
      </c>
      <c r="U101" s="4">
        <v>23.11</v>
      </c>
    </row>
    <row r="102" ht="15.75" customHeight="1">
      <c r="A102" s="4" t="s">
        <v>1216</v>
      </c>
      <c r="B102" s="4" t="s">
        <v>1214</v>
      </c>
      <c r="C102" s="4" t="s">
        <v>86</v>
      </c>
      <c r="D102" s="4" t="s">
        <v>7</v>
      </c>
      <c r="E102" s="4" t="s">
        <v>1350</v>
      </c>
      <c r="F102" s="4" t="s">
        <v>370</v>
      </c>
      <c r="G102" s="4">
        <v>11.5</v>
      </c>
      <c r="H102" s="4">
        <v>8.91</v>
      </c>
      <c r="I102" s="11">
        <v>0.2083</v>
      </c>
      <c r="J102" s="11">
        <v>0.7917</v>
      </c>
      <c r="K102" s="4" t="s">
        <v>2848</v>
      </c>
      <c r="L102" s="4" t="s">
        <v>2828</v>
      </c>
      <c r="N102" s="11">
        <v>0.4</v>
      </c>
      <c r="O102" s="13"/>
      <c r="P102" s="4" t="str">
        <f t="shared" si="1"/>
        <v/>
      </c>
      <c r="Q102" s="4">
        <v>8.62</v>
      </c>
      <c r="R102" s="11">
        <v>0.1786</v>
      </c>
      <c r="S102" s="4">
        <v>0.9668</v>
      </c>
      <c r="T102" s="4">
        <v>9.98</v>
      </c>
      <c r="U102" s="4">
        <v>9.64</v>
      </c>
    </row>
    <row r="103" ht="15.75" customHeight="1">
      <c r="A103" s="4" t="s">
        <v>1216</v>
      </c>
      <c r="B103" s="4" t="s">
        <v>1214</v>
      </c>
      <c r="C103" s="4" t="s">
        <v>86</v>
      </c>
      <c r="D103" s="4" t="s">
        <v>7</v>
      </c>
      <c r="E103" s="4" t="s">
        <v>1350</v>
      </c>
      <c r="F103" s="4" t="s">
        <v>772</v>
      </c>
      <c r="G103" s="4">
        <v>29.5</v>
      </c>
      <c r="H103" s="4">
        <v>25.81</v>
      </c>
      <c r="I103" s="11">
        <v>0.2694</v>
      </c>
      <c r="J103" s="11">
        <v>0.7306</v>
      </c>
      <c r="K103" s="4" t="s">
        <v>2848</v>
      </c>
      <c r="L103" s="4" t="s">
        <v>2828</v>
      </c>
      <c r="N103" s="11">
        <v>0.4</v>
      </c>
      <c r="O103" s="13"/>
      <c r="P103" s="4" t="str">
        <f t="shared" si="1"/>
        <v/>
      </c>
      <c r="Q103" s="4">
        <v>24.94</v>
      </c>
      <c r="R103" s="11">
        <v>0.2201</v>
      </c>
      <c r="S103" s="4">
        <v>0.9665</v>
      </c>
      <c r="T103" s="4">
        <v>26.07</v>
      </c>
      <c r="U103" s="4">
        <v>25.18</v>
      </c>
    </row>
    <row r="104" ht="15.75" customHeight="1">
      <c r="A104" s="4" t="s">
        <v>1216</v>
      </c>
      <c r="B104" s="4" t="s">
        <v>1214</v>
      </c>
      <c r="C104" s="4" t="s">
        <v>86</v>
      </c>
      <c r="D104" s="4" t="s">
        <v>7</v>
      </c>
      <c r="E104" s="4" t="s">
        <v>1353</v>
      </c>
      <c r="F104" s="4" t="s">
        <v>370</v>
      </c>
      <c r="G104" s="4">
        <v>16.5</v>
      </c>
      <c r="H104" s="4">
        <v>17.74</v>
      </c>
      <c r="I104" s="11">
        <v>0.6056</v>
      </c>
      <c r="J104" s="11">
        <v>0.3944</v>
      </c>
      <c r="K104" s="4" t="s">
        <v>2848</v>
      </c>
      <c r="L104" s="4" t="s">
        <v>2828</v>
      </c>
      <c r="N104" s="11">
        <v>0.5</v>
      </c>
      <c r="O104" s="13"/>
      <c r="P104" s="4" t="str">
        <f t="shared" si="1"/>
        <v/>
      </c>
      <c r="Q104" s="4">
        <v>17.17</v>
      </c>
      <c r="R104" s="11">
        <v>0.558</v>
      </c>
      <c r="S104" s="4">
        <v>0.9674</v>
      </c>
      <c r="T104" s="4">
        <v>17.9</v>
      </c>
      <c r="U104" s="4">
        <v>17.29</v>
      </c>
    </row>
    <row r="105" ht="15.75" customHeight="1">
      <c r="A105" s="4" t="s">
        <v>1216</v>
      </c>
      <c r="B105" s="4" t="s">
        <v>1214</v>
      </c>
      <c r="C105" s="4" t="s">
        <v>86</v>
      </c>
      <c r="D105" s="4" t="s">
        <v>7</v>
      </c>
      <c r="E105" s="4" t="s">
        <v>1353</v>
      </c>
      <c r="F105" s="4" t="s">
        <v>772</v>
      </c>
      <c r="G105" s="4">
        <v>30.5</v>
      </c>
      <c r="H105" s="4">
        <v>32.97</v>
      </c>
      <c r="I105" s="11">
        <v>0.642</v>
      </c>
      <c r="J105" s="11">
        <v>0.358</v>
      </c>
      <c r="K105" s="4" t="s">
        <v>2848</v>
      </c>
      <c r="L105" s="4" t="s">
        <v>2828</v>
      </c>
      <c r="N105" s="11">
        <v>0.8</v>
      </c>
      <c r="O105" s="13"/>
      <c r="P105" s="4" t="str">
        <f t="shared" si="1"/>
        <v/>
      </c>
      <c r="Q105" s="4">
        <v>31.86</v>
      </c>
      <c r="R105" s="11">
        <v>0.5809</v>
      </c>
      <c r="S105" s="4">
        <v>0.9664</v>
      </c>
      <c r="T105" s="4">
        <v>32.9</v>
      </c>
      <c r="U105" s="4">
        <v>31.78</v>
      </c>
    </row>
    <row r="106" ht="15.75" customHeight="1">
      <c r="A106" s="4" t="s">
        <v>1216</v>
      </c>
      <c r="B106" s="4" t="s">
        <v>1214</v>
      </c>
      <c r="C106" s="4" t="s">
        <v>86</v>
      </c>
      <c r="D106" s="4" t="s">
        <v>1090</v>
      </c>
      <c r="E106" s="4" t="s">
        <v>1372</v>
      </c>
      <c r="F106" s="4" t="s">
        <v>370</v>
      </c>
      <c r="G106" s="4">
        <v>14.5</v>
      </c>
      <c r="H106" s="4">
        <v>16.46</v>
      </c>
      <c r="I106" s="11">
        <v>0.6698</v>
      </c>
      <c r="J106" s="11">
        <v>0.3302</v>
      </c>
      <c r="K106" s="4" t="s">
        <v>2860</v>
      </c>
      <c r="L106" s="4" t="s">
        <v>2861</v>
      </c>
      <c r="N106" s="11">
        <v>0.6</v>
      </c>
      <c r="O106" s="13"/>
      <c r="P106" s="4" t="str">
        <f t="shared" si="1"/>
        <v/>
      </c>
      <c r="Q106" s="4">
        <v>15.37</v>
      </c>
      <c r="R106" s="11">
        <v>0.5801</v>
      </c>
      <c r="S106" s="4">
        <v>0.9339</v>
      </c>
      <c r="T106" s="4">
        <v>16.15</v>
      </c>
      <c r="U106" s="4">
        <v>15.09</v>
      </c>
    </row>
    <row r="107" ht="15.75" customHeight="1">
      <c r="A107" s="4" t="s">
        <v>1216</v>
      </c>
      <c r="B107" s="4" t="s">
        <v>1214</v>
      </c>
      <c r="C107" s="4" t="s">
        <v>86</v>
      </c>
      <c r="D107" s="4" t="s">
        <v>1090</v>
      </c>
      <c r="E107" s="4" t="s">
        <v>1372</v>
      </c>
      <c r="F107" s="4" t="s">
        <v>772</v>
      </c>
      <c r="G107" s="4">
        <v>29.5</v>
      </c>
      <c r="H107" s="4">
        <v>31.69</v>
      </c>
      <c r="I107" s="11">
        <v>0.6287</v>
      </c>
      <c r="J107" s="11">
        <v>0.3713</v>
      </c>
      <c r="K107" s="4" t="s">
        <v>2860</v>
      </c>
      <c r="L107" s="4" t="s">
        <v>2861</v>
      </c>
      <c r="N107" s="11">
        <v>0.7</v>
      </c>
      <c r="O107" s="13"/>
      <c r="P107" s="4" t="str">
        <f t="shared" si="1"/>
        <v/>
      </c>
      <c r="Q107" s="4">
        <v>29.59</v>
      </c>
      <c r="R107" s="11">
        <v>0.5054</v>
      </c>
      <c r="S107" s="4">
        <v>0.9338</v>
      </c>
      <c r="T107" s="4">
        <v>32.11</v>
      </c>
      <c r="U107" s="4">
        <v>29.99</v>
      </c>
    </row>
    <row r="108" ht="15.75" customHeight="1">
      <c r="A108" s="4" t="s">
        <v>1216</v>
      </c>
      <c r="B108" s="4" t="s">
        <v>1214</v>
      </c>
      <c r="C108" s="4" t="s">
        <v>86</v>
      </c>
      <c r="D108" s="4" t="s">
        <v>1090</v>
      </c>
      <c r="E108" s="4" t="s">
        <v>1376</v>
      </c>
      <c r="F108" s="4" t="s">
        <v>370</v>
      </c>
      <c r="G108" s="4">
        <v>10.5</v>
      </c>
      <c r="H108" s="4">
        <v>10.18</v>
      </c>
      <c r="I108" s="11">
        <v>0.4635</v>
      </c>
      <c r="J108" s="11">
        <v>0.5365</v>
      </c>
      <c r="K108" s="4" t="s">
        <v>2860</v>
      </c>
      <c r="L108" s="4" t="s">
        <v>2861</v>
      </c>
      <c r="N108" s="11">
        <v>0.4</v>
      </c>
      <c r="O108" s="13"/>
      <c r="P108" s="4" t="str">
        <f t="shared" si="1"/>
        <v/>
      </c>
      <c r="Q108" s="4">
        <v>9.51</v>
      </c>
      <c r="R108" s="11">
        <v>0.3837</v>
      </c>
      <c r="S108" s="4">
        <v>0.934</v>
      </c>
      <c r="T108" s="4">
        <v>10.57</v>
      </c>
      <c r="U108" s="4">
        <v>9.87</v>
      </c>
    </row>
    <row r="109" ht="15.75" customHeight="1">
      <c r="A109" s="4" t="s">
        <v>1216</v>
      </c>
      <c r="B109" s="4" t="s">
        <v>1214</v>
      </c>
      <c r="C109" s="4" t="s">
        <v>86</v>
      </c>
      <c r="D109" s="4" t="s">
        <v>1090</v>
      </c>
      <c r="E109" s="4" t="s">
        <v>1376</v>
      </c>
      <c r="F109" s="4" t="s">
        <v>772</v>
      </c>
      <c r="G109" s="4">
        <v>23.5</v>
      </c>
      <c r="H109" s="4">
        <v>23.29</v>
      </c>
      <c r="I109" s="11">
        <v>0.4854</v>
      </c>
      <c r="J109" s="11">
        <v>0.5146</v>
      </c>
      <c r="K109" s="4" t="s">
        <v>2860</v>
      </c>
      <c r="L109" s="4" t="s">
        <v>2861</v>
      </c>
      <c r="N109" s="11">
        <v>0.7</v>
      </c>
      <c r="O109" s="13"/>
      <c r="P109" s="4" t="str">
        <f t="shared" si="1"/>
        <v/>
      </c>
      <c r="Q109" s="4">
        <v>21.77</v>
      </c>
      <c r="R109" s="11">
        <v>0.3771</v>
      </c>
      <c r="S109" s="4">
        <v>0.9348</v>
      </c>
      <c r="T109" s="4">
        <v>24.4</v>
      </c>
      <c r="U109" s="4">
        <v>22.79</v>
      </c>
    </row>
    <row r="110" ht="15.75" customHeight="1">
      <c r="A110" s="4" t="s">
        <v>1216</v>
      </c>
      <c r="B110" s="4" t="s">
        <v>1214</v>
      </c>
      <c r="C110" s="4" t="s">
        <v>86</v>
      </c>
      <c r="D110" s="4" t="s">
        <v>1090</v>
      </c>
      <c r="E110" s="4" t="s">
        <v>1379</v>
      </c>
      <c r="F110" s="4" t="s">
        <v>370</v>
      </c>
      <c r="G110" s="4">
        <v>16.5</v>
      </c>
      <c r="H110" s="4">
        <v>17.06</v>
      </c>
      <c r="I110" s="11">
        <v>0.5484</v>
      </c>
      <c r="J110" s="11">
        <v>0.4516</v>
      </c>
      <c r="K110" s="4" t="s">
        <v>2860</v>
      </c>
      <c r="L110" s="4" t="s">
        <v>2861</v>
      </c>
      <c r="N110" s="11">
        <v>0.7</v>
      </c>
      <c r="O110" s="13"/>
      <c r="P110" s="4" t="str">
        <f t="shared" si="1"/>
        <v/>
      </c>
      <c r="Q110" s="4">
        <v>15.95</v>
      </c>
      <c r="R110" s="11">
        <v>0.4503</v>
      </c>
      <c r="S110" s="4">
        <v>0.935</v>
      </c>
      <c r="T110" s="4">
        <v>17.19</v>
      </c>
      <c r="U110" s="4">
        <v>16.06</v>
      </c>
    </row>
    <row r="111" ht="15.75" customHeight="1">
      <c r="A111" s="4" t="s">
        <v>1216</v>
      </c>
      <c r="B111" s="4" t="s">
        <v>1214</v>
      </c>
      <c r="C111" s="4" t="s">
        <v>86</v>
      </c>
      <c r="D111" s="4" t="s">
        <v>1090</v>
      </c>
      <c r="E111" s="4" t="s">
        <v>1379</v>
      </c>
      <c r="F111" s="4" t="s">
        <v>772</v>
      </c>
      <c r="G111" s="4">
        <v>27.5</v>
      </c>
      <c r="H111" s="4">
        <v>29.72</v>
      </c>
      <c r="I111" s="11">
        <v>0.6346</v>
      </c>
      <c r="J111" s="11">
        <v>0.3654</v>
      </c>
      <c r="K111" s="4" t="s">
        <v>2860</v>
      </c>
      <c r="L111" s="4" t="s">
        <v>2861</v>
      </c>
      <c r="N111" s="11">
        <v>0.7</v>
      </c>
      <c r="O111" s="13"/>
      <c r="P111" s="4" t="str">
        <f t="shared" si="1"/>
        <v/>
      </c>
      <c r="Q111" s="4">
        <v>27.78</v>
      </c>
      <c r="R111" s="11">
        <v>0.5179</v>
      </c>
      <c r="S111" s="4">
        <v>0.9347</v>
      </c>
      <c r="T111" s="4">
        <v>29.54</v>
      </c>
      <c r="U111" s="4">
        <v>27.59</v>
      </c>
    </row>
    <row r="112" ht="15.75" customHeight="1">
      <c r="A112" s="4" t="s">
        <v>1216</v>
      </c>
      <c r="B112" s="4" t="s">
        <v>1214</v>
      </c>
      <c r="C112" s="4" t="s">
        <v>86</v>
      </c>
      <c r="D112" s="4" t="s">
        <v>1090</v>
      </c>
      <c r="E112" s="4" t="s">
        <v>1382</v>
      </c>
      <c r="F112" s="4" t="s">
        <v>370</v>
      </c>
      <c r="G112" s="4">
        <v>11.0</v>
      </c>
      <c r="H112" s="4">
        <v>11.5</v>
      </c>
      <c r="I112" s="11">
        <v>0.5</v>
      </c>
      <c r="J112" s="11">
        <v>0.3914</v>
      </c>
      <c r="K112" s="4" t="s">
        <v>2860</v>
      </c>
      <c r="L112" s="4" t="s">
        <v>2861</v>
      </c>
      <c r="N112" s="11">
        <v>0.7</v>
      </c>
      <c r="O112" s="13"/>
      <c r="P112" s="4" t="str">
        <f t="shared" si="1"/>
        <v/>
      </c>
      <c r="Q112" s="4">
        <v>10.73</v>
      </c>
      <c r="R112" s="11">
        <v>0.4132</v>
      </c>
      <c r="S112" s="4">
        <v>0.9332</v>
      </c>
      <c r="T112" s="4">
        <v>11.69</v>
      </c>
      <c r="U112" s="4">
        <v>10.92</v>
      </c>
    </row>
    <row r="113" ht="15.75" customHeight="1">
      <c r="A113" s="4" t="s">
        <v>1216</v>
      </c>
      <c r="B113" s="4" t="s">
        <v>1214</v>
      </c>
      <c r="C113" s="4" t="s">
        <v>86</v>
      </c>
      <c r="D113" s="4" t="s">
        <v>1090</v>
      </c>
      <c r="E113" s="4" t="s">
        <v>1382</v>
      </c>
      <c r="F113" s="4" t="s">
        <v>772</v>
      </c>
      <c r="G113" s="4">
        <v>30.5</v>
      </c>
      <c r="H113" s="4">
        <v>31.76</v>
      </c>
      <c r="I113" s="11">
        <v>0.5747</v>
      </c>
      <c r="J113" s="11">
        <v>0.4253</v>
      </c>
      <c r="K113" s="4" t="s">
        <v>2860</v>
      </c>
      <c r="L113" s="4" t="s">
        <v>2861</v>
      </c>
      <c r="N113" s="11">
        <v>0.7</v>
      </c>
      <c r="O113" s="13"/>
      <c r="P113" s="4" t="str">
        <f t="shared" si="1"/>
        <v/>
      </c>
      <c r="Q113" s="4">
        <v>29.65</v>
      </c>
      <c r="R113" s="11">
        <v>0.4474</v>
      </c>
      <c r="S113" s="4">
        <v>0.9336</v>
      </c>
      <c r="T113" s="4">
        <v>31.68</v>
      </c>
      <c r="U113" s="4">
        <v>29.59</v>
      </c>
    </row>
    <row r="114" ht="15.75" customHeight="1">
      <c r="A114" s="4" t="s">
        <v>1216</v>
      </c>
      <c r="B114" s="4" t="s">
        <v>1214</v>
      </c>
      <c r="C114" s="4" t="s">
        <v>86</v>
      </c>
      <c r="D114" s="4" t="s">
        <v>1090</v>
      </c>
      <c r="E114" s="4" t="s">
        <v>1385</v>
      </c>
      <c r="F114" s="4" t="s">
        <v>370</v>
      </c>
      <c r="G114" s="4">
        <v>16.0</v>
      </c>
      <c r="H114" s="4">
        <v>16.74</v>
      </c>
      <c r="I114" s="11">
        <v>0.5208</v>
      </c>
      <c r="J114" s="11">
        <v>0.3924</v>
      </c>
      <c r="K114" s="4" t="s">
        <v>2860</v>
      </c>
      <c r="L114" s="4" t="s">
        <v>2861</v>
      </c>
      <c r="N114" s="11">
        <v>0.7</v>
      </c>
      <c r="O114" s="13"/>
      <c r="P114" s="4" t="str">
        <f t="shared" si="1"/>
        <v/>
      </c>
      <c r="Q114" s="4">
        <v>15.64</v>
      </c>
      <c r="R114" s="11">
        <v>0.4218</v>
      </c>
      <c r="S114" s="4">
        <v>0.9343</v>
      </c>
      <c r="T114" s="4">
        <v>16.21</v>
      </c>
      <c r="U114" s="4">
        <v>15.14</v>
      </c>
    </row>
    <row r="115" ht="15.75" customHeight="1">
      <c r="A115" s="4" t="s">
        <v>1216</v>
      </c>
      <c r="B115" s="4" t="s">
        <v>1214</v>
      </c>
      <c r="C115" s="4" t="s">
        <v>86</v>
      </c>
      <c r="D115" s="4" t="s">
        <v>1090</v>
      </c>
      <c r="E115" s="4" t="s">
        <v>1385</v>
      </c>
      <c r="F115" s="4" t="s">
        <v>772</v>
      </c>
      <c r="G115" s="4">
        <v>27.5</v>
      </c>
      <c r="H115" s="4">
        <v>29.9</v>
      </c>
      <c r="I115" s="11">
        <v>0.6445</v>
      </c>
      <c r="J115" s="11">
        <v>0.3555</v>
      </c>
      <c r="K115" s="4" t="s">
        <v>2860</v>
      </c>
      <c r="L115" s="4" t="s">
        <v>2861</v>
      </c>
      <c r="N115" s="11">
        <v>0.5</v>
      </c>
      <c r="O115" s="13"/>
      <c r="P115" s="4" t="str">
        <f t="shared" si="1"/>
        <v/>
      </c>
      <c r="Q115" s="4">
        <v>27.95</v>
      </c>
      <c r="R115" s="11">
        <v>0.5286</v>
      </c>
      <c r="S115" s="4">
        <v>0.9348</v>
      </c>
      <c r="T115" s="4">
        <v>28.68</v>
      </c>
      <c r="U115" s="4">
        <v>26.79</v>
      </c>
    </row>
    <row r="116" ht="15.75" customHeight="1">
      <c r="A116" s="4" t="s">
        <v>1216</v>
      </c>
      <c r="B116" s="4" t="s">
        <v>1214</v>
      </c>
      <c r="C116" s="4" t="s">
        <v>86</v>
      </c>
      <c r="D116" s="4" t="s">
        <v>1090</v>
      </c>
      <c r="E116" s="4" t="s">
        <v>1421</v>
      </c>
      <c r="F116" s="4" t="s">
        <v>370</v>
      </c>
      <c r="G116" s="4">
        <v>17.0</v>
      </c>
      <c r="H116" s="4">
        <v>19.11</v>
      </c>
      <c r="I116" s="11">
        <v>0.6304</v>
      </c>
      <c r="J116" s="11">
        <v>0.2945</v>
      </c>
      <c r="K116" s="4" t="s">
        <v>2860</v>
      </c>
      <c r="L116" s="4" t="s">
        <v>2861</v>
      </c>
      <c r="N116" s="11">
        <v>0.4</v>
      </c>
      <c r="O116" s="13"/>
      <c r="P116" s="4" t="str">
        <f t="shared" si="1"/>
        <v/>
      </c>
      <c r="Q116" s="4">
        <v>18.53</v>
      </c>
      <c r="R116" s="11">
        <v>0.586</v>
      </c>
      <c r="S116" s="4">
        <v>0.97</v>
      </c>
      <c r="T116" s="4">
        <v>17.44</v>
      </c>
      <c r="U116" s="4">
        <v>16.92</v>
      </c>
    </row>
    <row r="117" ht="15.75" customHeight="1">
      <c r="A117" s="4" t="s">
        <v>1216</v>
      </c>
      <c r="B117" s="4" t="s">
        <v>1214</v>
      </c>
      <c r="C117" s="4" t="s">
        <v>86</v>
      </c>
      <c r="D117" s="4" t="s">
        <v>1090</v>
      </c>
      <c r="E117" s="4" t="s">
        <v>1421</v>
      </c>
      <c r="F117" s="4" t="s">
        <v>772</v>
      </c>
      <c r="G117" s="4">
        <v>30.5</v>
      </c>
      <c r="H117" s="4">
        <v>35.19</v>
      </c>
      <c r="I117" s="11">
        <v>0.7482</v>
      </c>
      <c r="J117" s="11">
        <v>0.2518</v>
      </c>
      <c r="K117" s="4" t="s">
        <v>2860</v>
      </c>
      <c r="L117" s="4" t="s">
        <v>2861</v>
      </c>
      <c r="N117" s="11">
        <v>0.5</v>
      </c>
      <c r="O117" s="13"/>
      <c r="P117" s="4" t="str">
        <f t="shared" si="1"/>
        <v/>
      </c>
      <c r="Q117" s="4">
        <v>34.14</v>
      </c>
      <c r="R117" s="11">
        <v>0.7006</v>
      </c>
      <c r="S117" s="4">
        <v>0.97</v>
      </c>
      <c r="T117" s="4">
        <v>32.54</v>
      </c>
      <c r="U117" s="4">
        <v>31.56</v>
      </c>
    </row>
    <row r="118" ht="15.75" customHeight="1">
      <c r="A118" s="4" t="s">
        <v>1216</v>
      </c>
      <c r="B118" s="4" t="s">
        <v>1214</v>
      </c>
      <c r="C118" s="4" t="s">
        <v>86</v>
      </c>
      <c r="D118" s="4" t="s">
        <v>1090</v>
      </c>
      <c r="E118" s="4" t="s">
        <v>1425</v>
      </c>
      <c r="F118" s="4" t="s">
        <v>370</v>
      </c>
      <c r="G118" s="4">
        <v>15.5</v>
      </c>
      <c r="H118" s="4">
        <v>16.01</v>
      </c>
      <c r="I118" s="11">
        <v>0.5459</v>
      </c>
      <c r="J118" s="11">
        <v>0.4541</v>
      </c>
      <c r="K118" s="4" t="s">
        <v>2860</v>
      </c>
      <c r="L118" s="4" t="s">
        <v>2861</v>
      </c>
      <c r="N118" s="11">
        <v>0.5</v>
      </c>
      <c r="O118" s="13"/>
      <c r="P118" s="4" t="str">
        <f t="shared" si="1"/>
        <v/>
      </c>
      <c r="Q118" s="4">
        <v>15.53</v>
      </c>
      <c r="R118" s="11">
        <v>0.5027</v>
      </c>
      <c r="S118" s="4">
        <v>0.9701</v>
      </c>
      <c r="T118" s="4">
        <v>16.39</v>
      </c>
      <c r="U118" s="4">
        <v>15.9</v>
      </c>
    </row>
    <row r="119" ht="15.75" customHeight="1">
      <c r="A119" s="4" t="s">
        <v>1216</v>
      </c>
      <c r="B119" s="4" t="s">
        <v>1214</v>
      </c>
      <c r="C119" s="4" t="s">
        <v>86</v>
      </c>
      <c r="D119" s="4" t="s">
        <v>1090</v>
      </c>
      <c r="E119" s="4" t="s">
        <v>1425</v>
      </c>
      <c r="F119" s="4" t="s">
        <v>772</v>
      </c>
      <c r="G119" s="4">
        <v>28.5</v>
      </c>
      <c r="H119" s="4">
        <v>29.74</v>
      </c>
      <c r="I119" s="11">
        <v>0.5759</v>
      </c>
      <c r="J119" s="11">
        <v>0.4241</v>
      </c>
      <c r="K119" s="4" t="s">
        <v>2860</v>
      </c>
      <c r="L119" s="4" t="s">
        <v>2861</v>
      </c>
      <c r="N119" s="11">
        <v>0.4</v>
      </c>
      <c r="O119" s="13"/>
      <c r="P119" s="4" t="str">
        <f t="shared" si="1"/>
        <v/>
      </c>
      <c r="Q119" s="4">
        <v>28.84</v>
      </c>
      <c r="R119" s="11">
        <v>0.5215</v>
      </c>
      <c r="S119" s="4">
        <v>0.97</v>
      </c>
      <c r="T119" s="4">
        <v>29.97</v>
      </c>
      <c r="U119" s="4">
        <v>29.07</v>
      </c>
    </row>
    <row r="120" ht="15.75" customHeight="1">
      <c r="A120" s="4" t="s">
        <v>1216</v>
      </c>
      <c r="B120" s="4" t="s">
        <v>1214</v>
      </c>
      <c r="C120" s="4" t="s">
        <v>86</v>
      </c>
      <c r="D120" s="4" t="s">
        <v>1090</v>
      </c>
      <c r="E120" s="4" t="s">
        <v>1428</v>
      </c>
      <c r="F120" s="4" t="s">
        <v>370</v>
      </c>
      <c r="G120" s="4">
        <v>11.5</v>
      </c>
      <c r="H120" s="4">
        <v>11.56</v>
      </c>
      <c r="I120" s="11">
        <v>0.5062</v>
      </c>
      <c r="J120" s="11">
        <v>0.4938</v>
      </c>
      <c r="K120" s="4" t="s">
        <v>2860</v>
      </c>
      <c r="L120" s="4" t="s">
        <v>2861</v>
      </c>
      <c r="N120" s="11">
        <v>0.4</v>
      </c>
      <c r="O120" s="13"/>
      <c r="P120" s="4" t="str">
        <f t="shared" si="1"/>
        <v/>
      </c>
      <c r="Q120" s="4">
        <v>11.22</v>
      </c>
      <c r="R120" s="11">
        <v>0.469</v>
      </c>
      <c r="S120" s="4">
        <v>0.9707</v>
      </c>
      <c r="T120" s="4">
        <v>10.91</v>
      </c>
      <c r="U120" s="4">
        <v>10.58</v>
      </c>
    </row>
    <row r="121" ht="15.75" customHeight="1">
      <c r="A121" s="4" t="s">
        <v>1216</v>
      </c>
      <c r="B121" s="4" t="s">
        <v>1214</v>
      </c>
      <c r="C121" s="4" t="s">
        <v>86</v>
      </c>
      <c r="D121" s="4" t="s">
        <v>1090</v>
      </c>
      <c r="E121" s="4" t="s">
        <v>1428</v>
      </c>
      <c r="F121" s="4" t="s">
        <v>772</v>
      </c>
      <c r="G121" s="4">
        <v>29.5</v>
      </c>
      <c r="H121" s="4">
        <v>27.4</v>
      </c>
      <c r="I121" s="11">
        <v>0.367</v>
      </c>
      <c r="J121" s="11">
        <v>0.633</v>
      </c>
      <c r="K121" s="4" t="s">
        <v>2860</v>
      </c>
      <c r="L121" s="4" t="s">
        <v>2861</v>
      </c>
      <c r="N121" s="11">
        <v>0.4</v>
      </c>
      <c r="O121" s="13"/>
      <c r="P121" s="4" t="str">
        <f t="shared" si="1"/>
        <v/>
      </c>
      <c r="Q121" s="4">
        <v>26.58</v>
      </c>
      <c r="R121" s="11">
        <v>0.3161</v>
      </c>
      <c r="S121" s="4">
        <v>0.9702</v>
      </c>
      <c r="T121" s="4">
        <v>28.25</v>
      </c>
      <c r="U121" s="4">
        <v>27.41</v>
      </c>
    </row>
    <row r="122" ht="15.75" customHeight="1">
      <c r="A122" s="4" t="s">
        <v>1216</v>
      </c>
      <c r="B122" s="4" t="s">
        <v>1214</v>
      </c>
      <c r="C122" s="4" t="s">
        <v>86</v>
      </c>
      <c r="D122" s="4" t="s">
        <v>1090</v>
      </c>
      <c r="E122" s="4" t="s">
        <v>1431</v>
      </c>
      <c r="F122" s="4" t="s">
        <v>370</v>
      </c>
      <c r="G122" s="4">
        <v>18.5</v>
      </c>
      <c r="H122" s="4">
        <v>19.61</v>
      </c>
      <c r="I122" s="11">
        <v>0.5895</v>
      </c>
      <c r="J122" s="11">
        <v>0.4105</v>
      </c>
      <c r="K122" s="4" t="s">
        <v>2860</v>
      </c>
      <c r="L122" s="4" t="s">
        <v>2861</v>
      </c>
      <c r="N122" s="11">
        <v>0.5</v>
      </c>
      <c r="O122" s="13"/>
      <c r="P122" s="4" t="str">
        <f t="shared" si="1"/>
        <v/>
      </c>
      <c r="Q122" s="4">
        <v>19.0</v>
      </c>
      <c r="R122" s="11">
        <v>0.5408</v>
      </c>
      <c r="S122" s="4">
        <v>0.9685</v>
      </c>
      <c r="T122" s="4">
        <v>19.07</v>
      </c>
      <c r="U122" s="4">
        <v>18.5</v>
      </c>
    </row>
    <row r="123" ht="15.75" customHeight="1">
      <c r="A123" s="4" t="s">
        <v>1216</v>
      </c>
      <c r="B123" s="4" t="s">
        <v>1214</v>
      </c>
      <c r="C123" s="4" t="s">
        <v>86</v>
      </c>
      <c r="D123" s="4" t="s">
        <v>1090</v>
      </c>
      <c r="E123" s="4" t="s">
        <v>1431</v>
      </c>
      <c r="F123" s="4" t="s">
        <v>772</v>
      </c>
      <c r="G123" s="4">
        <v>32.5</v>
      </c>
      <c r="H123" s="4">
        <v>33.23</v>
      </c>
      <c r="I123" s="11">
        <v>0.5427</v>
      </c>
      <c r="J123" s="11">
        <v>0.4573</v>
      </c>
      <c r="K123" s="4" t="s">
        <v>2860</v>
      </c>
      <c r="L123" s="4" t="s">
        <v>2861</v>
      </c>
      <c r="N123" s="11">
        <v>0.5</v>
      </c>
      <c r="O123" s="13"/>
      <c r="P123" s="4" t="str">
        <f t="shared" si="1"/>
        <v/>
      </c>
      <c r="Q123" s="4">
        <v>32.19</v>
      </c>
      <c r="R123" s="11">
        <v>0.4819</v>
      </c>
      <c r="S123" s="4">
        <v>0.9688</v>
      </c>
      <c r="T123" s="4">
        <v>32.11</v>
      </c>
      <c r="U123" s="4">
        <v>31.14</v>
      </c>
    </row>
    <row r="124" ht="15.75" customHeight="1">
      <c r="A124" s="4" t="s">
        <v>1216</v>
      </c>
      <c r="B124" s="4" t="s">
        <v>1214</v>
      </c>
      <c r="C124" s="4" t="s">
        <v>86</v>
      </c>
      <c r="D124" s="4" t="s">
        <v>1090</v>
      </c>
      <c r="E124" s="4" t="s">
        <v>1434</v>
      </c>
      <c r="F124" s="4" t="s">
        <v>370</v>
      </c>
      <c r="G124" s="4">
        <v>15.5</v>
      </c>
      <c r="H124" s="4">
        <v>17.09</v>
      </c>
      <c r="I124" s="11">
        <v>0.6361</v>
      </c>
      <c r="J124" s="11">
        <v>0.3639</v>
      </c>
      <c r="K124" s="4" t="s">
        <v>2860</v>
      </c>
      <c r="L124" s="4" t="s">
        <v>2861</v>
      </c>
      <c r="N124" s="11">
        <v>0.4</v>
      </c>
      <c r="O124" s="13"/>
      <c r="P124" s="4" t="str">
        <f t="shared" si="1"/>
        <v/>
      </c>
      <c r="Q124" s="4">
        <v>16.59</v>
      </c>
      <c r="R124" s="11">
        <v>0.5952</v>
      </c>
      <c r="S124" s="4">
        <v>0.9703</v>
      </c>
      <c r="T124" s="4">
        <v>16.67</v>
      </c>
      <c r="U124" s="4">
        <v>16.17</v>
      </c>
    </row>
    <row r="125" ht="15.75" customHeight="1">
      <c r="A125" s="4" t="s">
        <v>1216</v>
      </c>
      <c r="B125" s="4" t="s">
        <v>1214</v>
      </c>
      <c r="C125" s="4" t="s">
        <v>86</v>
      </c>
      <c r="D125" s="4" t="s">
        <v>1090</v>
      </c>
      <c r="E125" s="4" t="s">
        <v>1434</v>
      </c>
      <c r="F125" s="4" t="s">
        <v>772</v>
      </c>
      <c r="G125" s="4">
        <v>27.5</v>
      </c>
      <c r="H125" s="4">
        <v>29.93</v>
      </c>
      <c r="I125" s="11">
        <v>0.6462</v>
      </c>
      <c r="J125" s="11">
        <v>0.3538</v>
      </c>
      <c r="K125" s="4" t="s">
        <v>2860</v>
      </c>
      <c r="L125" s="4" t="s">
        <v>2861</v>
      </c>
      <c r="N125" s="11">
        <v>0.3</v>
      </c>
      <c r="O125" s="13"/>
      <c r="P125" s="4" t="str">
        <f t="shared" si="1"/>
        <v/>
      </c>
      <c r="Q125" s="4">
        <v>29.04</v>
      </c>
      <c r="R125" s="11">
        <v>0.5953</v>
      </c>
      <c r="S125" s="4">
        <v>0.9702</v>
      </c>
      <c r="T125" s="4">
        <v>28.25</v>
      </c>
      <c r="U125" s="4">
        <v>27.41</v>
      </c>
    </row>
    <row r="126" ht="15.75" customHeight="1">
      <c r="A126" s="4" t="s">
        <v>1216</v>
      </c>
      <c r="B126" s="4" t="s">
        <v>1214</v>
      </c>
      <c r="C126" s="4" t="s">
        <v>86</v>
      </c>
      <c r="D126" s="4" t="s">
        <v>1755</v>
      </c>
      <c r="E126" s="4" t="s">
        <v>1388</v>
      </c>
      <c r="F126" s="4" t="s">
        <v>370</v>
      </c>
      <c r="G126" s="4">
        <v>20.0</v>
      </c>
      <c r="H126" s="4">
        <v>20.51</v>
      </c>
      <c r="I126" s="11">
        <v>0.5011</v>
      </c>
      <c r="J126" s="11">
        <v>0.4207</v>
      </c>
      <c r="K126" s="4" t="s">
        <v>2872</v>
      </c>
      <c r="L126" s="4" t="s">
        <v>2811</v>
      </c>
      <c r="N126" s="11">
        <v>0.8</v>
      </c>
      <c r="O126" s="13"/>
      <c r="P126" s="4" t="str">
        <f t="shared" si="1"/>
        <v/>
      </c>
      <c r="Q126" s="4">
        <v>20.91</v>
      </c>
      <c r="R126" s="11">
        <v>0.5317</v>
      </c>
      <c r="S126" s="4">
        <v>1.0191</v>
      </c>
      <c r="T126" s="4">
        <v>20.43</v>
      </c>
      <c r="U126" s="4">
        <v>20.81</v>
      </c>
    </row>
    <row r="127" ht="15.75" customHeight="1">
      <c r="A127" s="4" t="s">
        <v>1216</v>
      </c>
      <c r="B127" s="4" t="s">
        <v>1214</v>
      </c>
      <c r="C127" s="4" t="s">
        <v>86</v>
      </c>
      <c r="D127" s="4" t="s">
        <v>1755</v>
      </c>
      <c r="E127" s="4" t="s">
        <v>1388</v>
      </c>
      <c r="F127" s="4" t="s">
        <v>772</v>
      </c>
      <c r="G127" s="4">
        <v>33.5</v>
      </c>
      <c r="H127" s="4">
        <v>32.76</v>
      </c>
      <c r="I127" s="11">
        <v>0.4564</v>
      </c>
      <c r="J127" s="11">
        <v>0.5436</v>
      </c>
      <c r="K127" s="4" t="s">
        <v>2872</v>
      </c>
      <c r="L127" s="4" t="s">
        <v>2811</v>
      </c>
      <c r="N127" s="11">
        <v>0.7</v>
      </c>
      <c r="O127" s="13"/>
      <c r="P127" s="4" t="str">
        <f t="shared" si="1"/>
        <v/>
      </c>
      <c r="Q127" s="4">
        <v>33.4</v>
      </c>
      <c r="R127" s="11">
        <v>0.4944</v>
      </c>
      <c r="S127" s="4">
        <v>1.0197</v>
      </c>
      <c r="T127" s="4">
        <v>32.68</v>
      </c>
      <c r="U127" s="4">
        <v>33.29</v>
      </c>
    </row>
    <row r="128" ht="15.75" customHeight="1">
      <c r="A128" s="4" t="s">
        <v>1216</v>
      </c>
      <c r="B128" s="4" t="s">
        <v>1214</v>
      </c>
      <c r="C128" s="4" t="s">
        <v>86</v>
      </c>
      <c r="D128" s="4" t="s">
        <v>1755</v>
      </c>
      <c r="E128" s="4" t="s">
        <v>1393</v>
      </c>
      <c r="F128" s="4" t="s">
        <v>370</v>
      </c>
      <c r="G128" s="4">
        <v>9.5</v>
      </c>
      <c r="H128" s="4">
        <v>9.59</v>
      </c>
      <c r="I128" s="11">
        <v>0.5109</v>
      </c>
      <c r="J128" s="11">
        <v>0.4891</v>
      </c>
      <c r="K128" s="4" t="s">
        <v>2872</v>
      </c>
      <c r="L128" s="4" t="s">
        <v>2811</v>
      </c>
      <c r="N128" s="11">
        <v>0.5</v>
      </c>
      <c r="O128" s="13"/>
      <c r="P128" s="4" t="str">
        <f t="shared" si="1"/>
        <v/>
      </c>
      <c r="Q128" s="4">
        <v>9.77</v>
      </c>
      <c r="R128" s="11">
        <v>0.5326</v>
      </c>
      <c r="S128" s="4">
        <v>1.0191</v>
      </c>
      <c r="T128" s="4">
        <v>9.26</v>
      </c>
      <c r="U128" s="4">
        <v>9.43</v>
      </c>
    </row>
    <row r="129" ht="15.75" customHeight="1">
      <c r="A129" s="4" t="s">
        <v>1216</v>
      </c>
      <c r="B129" s="4" t="s">
        <v>1214</v>
      </c>
      <c r="C129" s="4" t="s">
        <v>86</v>
      </c>
      <c r="D129" s="4" t="s">
        <v>1755</v>
      </c>
      <c r="E129" s="4" t="s">
        <v>1393</v>
      </c>
      <c r="F129" s="4" t="s">
        <v>772</v>
      </c>
      <c r="G129" s="4">
        <v>27.5</v>
      </c>
      <c r="H129" s="4">
        <v>26.16</v>
      </c>
      <c r="I129" s="11">
        <v>0.4127</v>
      </c>
      <c r="J129" s="11">
        <v>0.5873</v>
      </c>
      <c r="K129" s="4" t="s">
        <v>2872</v>
      </c>
      <c r="L129" s="4" t="s">
        <v>2811</v>
      </c>
      <c r="N129" s="11">
        <v>0.6</v>
      </c>
      <c r="O129" s="13"/>
      <c r="P129" s="4" t="str">
        <f t="shared" si="1"/>
        <v/>
      </c>
      <c r="Q129" s="4">
        <v>26.65</v>
      </c>
      <c r="R129" s="11">
        <v>0.4446</v>
      </c>
      <c r="S129" s="4">
        <v>1.0185</v>
      </c>
      <c r="T129" s="4">
        <v>26.23</v>
      </c>
      <c r="U129" s="4">
        <v>26.72</v>
      </c>
    </row>
    <row r="130" ht="15.75" customHeight="1">
      <c r="A130" s="4" t="s">
        <v>1216</v>
      </c>
      <c r="B130" s="4" t="s">
        <v>1214</v>
      </c>
      <c r="C130" s="4" t="s">
        <v>86</v>
      </c>
      <c r="D130" s="4" t="s">
        <v>1755</v>
      </c>
      <c r="E130" s="4" t="s">
        <v>1396</v>
      </c>
      <c r="F130" s="4" t="s">
        <v>370</v>
      </c>
      <c r="G130" s="4">
        <v>16.5</v>
      </c>
      <c r="H130" s="4">
        <v>15.52</v>
      </c>
      <c r="I130" s="11">
        <v>0.4107</v>
      </c>
      <c r="J130" s="11">
        <v>0.5893</v>
      </c>
      <c r="K130" s="4" t="s">
        <v>2872</v>
      </c>
      <c r="L130" s="4" t="s">
        <v>2811</v>
      </c>
      <c r="N130" s="11">
        <v>0.6</v>
      </c>
      <c r="O130" s="13"/>
      <c r="P130" s="4" t="str">
        <f t="shared" si="1"/>
        <v/>
      </c>
      <c r="Q130" s="4">
        <v>15.81</v>
      </c>
      <c r="R130" s="11">
        <v>0.4371</v>
      </c>
      <c r="S130" s="4">
        <v>1.0185</v>
      </c>
      <c r="T130" s="4">
        <v>15.52</v>
      </c>
      <c r="U130" s="4">
        <v>15.81</v>
      </c>
    </row>
    <row r="131" ht="15.75" customHeight="1">
      <c r="A131" s="4" t="s">
        <v>1216</v>
      </c>
      <c r="B131" s="4" t="s">
        <v>1214</v>
      </c>
      <c r="C131" s="4" t="s">
        <v>86</v>
      </c>
      <c r="D131" s="4" t="s">
        <v>1755</v>
      </c>
      <c r="E131" s="4" t="s">
        <v>1396</v>
      </c>
      <c r="F131" s="4" t="s">
        <v>772</v>
      </c>
      <c r="G131" s="4">
        <v>31.0</v>
      </c>
      <c r="H131" s="4">
        <v>29.61</v>
      </c>
      <c r="I131" s="11">
        <v>0.3847</v>
      </c>
      <c r="J131" s="11">
        <v>0.5548</v>
      </c>
      <c r="K131" s="4" t="s">
        <v>2872</v>
      </c>
      <c r="L131" s="4" t="s">
        <v>2811</v>
      </c>
      <c r="N131" s="11">
        <v>0.7</v>
      </c>
      <c r="O131" s="13"/>
      <c r="P131" s="4" t="str">
        <f t="shared" si="1"/>
        <v/>
      </c>
      <c r="Q131" s="4">
        <v>30.16</v>
      </c>
      <c r="R131" s="11">
        <v>0.4181</v>
      </c>
      <c r="S131" s="4">
        <v>1.0184</v>
      </c>
      <c r="T131" s="4">
        <v>29.67</v>
      </c>
      <c r="U131" s="4">
        <v>30.23</v>
      </c>
    </row>
    <row r="132" ht="15.75" customHeight="1">
      <c r="A132" s="4" t="s">
        <v>1216</v>
      </c>
      <c r="B132" s="4" t="s">
        <v>1214</v>
      </c>
      <c r="C132" s="4" t="s">
        <v>86</v>
      </c>
      <c r="D132" s="4" t="s">
        <v>1755</v>
      </c>
      <c r="E132" s="4" t="s">
        <v>1399</v>
      </c>
      <c r="F132" s="4" t="s">
        <v>370</v>
      </c>
      <c r="G132" s="4">
        <v>12.0</v>
      </c>
      <c r="H132" s="4">
        <v>11.74</v>
      </c>
      <c r="I132" s="11">
        <v>0.4193</v>
      </c>
      <c r="J132" s="11">
        <v>0.4739</v>
      </c>
      <c r="K132" s="4" t="s">
        <v>2872</v>
      </c>
      <c r="L132" s="4" t="s">
        <v>2811</v>
      </c>
      <c r="N132" s="11">
        <v>0.7</v>
      </c>
      <c r="O132" s="13"/>
      <c r="P132" s="4" t="str">
        <f t="shared" si="1"/>
        <v/>
      </c>
      <c r="Q132" s="4">
        <v>11.97</v>
      </c>
      <c r="R132" s="11">
        <v>0.4436</v>
      </c>
      <c r="S132" s="4">
        <v>1.0192</v>
      </c>
      <c r="T132" s="4">
        <v>12.22</v>
      </c>
      <c r="U132" s="4">
        <v>12.45</v>
      </c>
    </row>
    <row r="133" ht="15.75" customHeight="1">
      <c r="A133" s="4" t="s">
        <v>1216</v>
      </c>
      <c r="B133" s="4" t="s">
        <v>1214</v>
      </c>
      <c r="C133" s="4" t="s">
        <v>86</v>
      </c>
      <c r="D133" s="4" t="s">
        <v>1755</v>
      </c>
      <c r="E133" s="4" t="s">
        <v>1399</v>
      </c>
      <c r="F133" s="4" t="s">
        <v>772</v>
      </c>
      <c r="G133" s="4">
        <v>26.5</v>
      </c>
      <c r="H133" s="4">
        <v>26.5</v>
      </c>
      <c r="I133" s="11">
        <v>0.4998</v>
      </c>
      <c r="J133" s="11">
        <v>0.5002</v>
      </c>
      <c r="K133" s="4" t="s">
        <v>2872</v>
      </c>
      <c r="L133" s="4" t="s">
        <v>2811</v>
      </c>
      <c r="N133" s="11">
        <v>0.9</v>
      </c>
      <c r="O133" s="13"/>
      <c r="P133" s="4" t="str">
        <f t="shared" si="1"/>
        <v/>
      </c>
      <c r="Q133" s="4">
        <v>26.98</v>
      </c>
      <c r="R133" s="11">
        <v>0.5312</v>
      </c>
      <c r="S133" s="4">
        <v>1.0183</v>
      </c>
      <c r="T133" s="4">
        <v>26.23</v>
      </c>
      <c r="U133" s="4">
        <v>26.72</v>
      </c>
    </row>
    <row r="134" ht="15.75" customHeight="1">
      <c r="A134" s="4" t="s">
        <v>1216</v>
      </c>
      <c r="B134" s="4" t="s">
        <v>1214</v>
      </c>
      <c r="C134" s="4" t="s">
        <v>86</v>
      </c>
      <c r="D134" s="4" t="s">
        <v>1755</v>
      </c>
      <c r="E134" s="4" t="s">
        <v>1402</v>
      </c>
      <c r="F134" s="4" t="s">
        <v>370</v>
      </c>
      <c r="G134" s="4">
        <v>15.5</v>
      </c>
      <c r="H134" s="4">
        <v>14.44</v>
      </c>
      <c r="I134" s="11">
        <v>0.4003</v>
      </c>
      <c r="J134" s="11">
        <v>0.5997</v>
      </c>
      <c r="K134" s="4" t="s">
        <v>2872</v>
      </c>
      <c r="L134" s="4" t="s">
        <v>2811</v>
      </c>
      <c r="N134" s="11">
        <v>0.4</v>
      </c>
      <c r="O134" s="13"/>
      <c r="P134" s="4" t="str">
        <f t="shared" si="1"/>
        <v/>
      </c>
      <c r="Q134" s="4">
        <v>14.72</v>
      </c>
      <c r="R134" s="11">
        <v>0.427</v>
      </c>
      <c r="S134" s="4">
        <v>1.0195</v>
      </c>
      <c r="T134" s="4">
        <v>14.74</v>
      </c>
      <c r="U134" s="4">
        <v>15.02</v>
      </c>
    </row>
    <row r="135" ht="15.75" customHeight="1">
      <c r="A135" s="4" t="s">
        <v>1216</v>
      </c>
      <c r="B135" s="4" t="s">
        <v>1214</v>
      </c>
      <c r="C135" s="4" t="s">
        <v>86</v>
      </c>
      <c r="D135" s="4" t="s">
        <v>1755</v>
      </c>
      <c r="E135" s="4" t="s">
        <v>1402</v>
      </c>
      <c r="F135" s="4" t="s">
        <v>772</v>
      </c>
      <c r="G135" s="4">
        <v>28.5</v>
      </c>
      <c r="H135" s="4">
        <v>25.97</v>
      </c>
      <c r="I135" s="11">
        <v>0.3372</v>
      </c>
      <c r="J135" s="11">
        <v>0.6628</v>
      </c>
      <c r="K135" s="4" t="s">
        <v>2872</v>
      </c>
      <c r="L135" s="4" t="s">
        <v>2811</v>
      </c>
      <c r="N135" s="11">
        <v>0.4</v>
      </c>
      <c r="O135" s="13"/>
      <c r="P135" s="4" t="str">
        <f t="shared" si="1"/>
        <v/>
      </c>
      <c r="Q135" s="4">
        <v>26.46</v>
      </c>
      <c r="R135" s="11">
        <v>0.3687</v>
      </c>
      <c r="S135" s="4">
        <v>1.019</v>
      </c>
      <c r="T135" s="4">
        <v>26.66</v>
      </c>
      <c r="U135" s="4">
        <v>27.16</v>
      </c>
    </row>
    <row r="136" ht="15.75" customHeight="1">
      <c r="A136" s="4" t="s">
        <v>1216</v>
      </c>
      <c r="B136" s="4" t="s">
        <v>1214</v>
      </c>
      <c r="C136" s="4" t="s">
        <v>86</v>
      </c>
      <c r="D136" s="4" t="s">
        <v>1755</v>
      </c>
      <c r="E136" s="4" t="s">
        <v>1564</v>
      </c>
      <c r="F136" s="4" t="s">
        <v>370</v>
      </c>
      <c r="G136" s="4">
        <v>16.5</v>
      </c>
      <c r="H136" s="4">
        <v>19.95</v>
      </c>
      <c r="I136" s="11">
        <v>0.7543</v>
      </c>
      <c r="J136" s="11">
        <v>0.2457</v>
      </c>
      <c r="K136" s="4" t="s">
        <v>2872</v>
      </c>
      <c r="L136" s="4" t="s">
        <v>2811</v>
      </c>
      <c r="N136" s="11">
        <v>0.6</v>
      </c>
      <c r="O136" s="13"/>
      <c r="P136" s="4" t="str">
        <f t="shared" si="1"/>
        <v/>
      </c>
      <c r="Q136" s="4">
        <v>19.01</v>
      </c>
      <c r="R136" s="11">
        <v>0.6957</v>
      </c>
      <c r="S136" s="4">
        <v>0.9526</v>
      </c>
      <c r="T136" s="4">
        <v>20.59</v>
      </c>
      <c r="U136" s="4">
        <v>19.61</v>
      </c>
    </row>
    <row r="137" ht="15.75" customHeight="1">
      <c r="A137" s="4" t="s">
        <v>1216</v>
      </c>
      <c r="B137" s="4" t="s">
        <v>1214</v>
      </c>
      <c r="C137" s="4" t="s">
        <v>86</v>
      </c>
      <c r="D137" s="4" t="s">
        <v>1755</v>
      </c>
      <c r="E137" s="4" t="s">
        <v>1564</v>
      </c>
      <c r="F137" s="4" t="s">
        <v>772</v>
      </c>
      <c r="G137" s="4">
        <v>25.5</v>
      </c>
      <c r="H137" s="4">
        <v>30.65</v>
      </c>
      <c r="I137" s="11">
        <v>0.7841</v>
      </c>
      <c r="J137" s="11">
        <v>0.2159</v>
      </c>
      <c r="K137" s="4" t="s">
        <v>2872</v>
      </c>
      <c r="L137" s="4" t="s">
        <v>2811</v>
      </c>
      <c r="N137" s="11">
        <v>0.7</v>
      </c>
      <c r="O137" s="13"/>
      <c r="P137" s="4" t="str">
        <f t="shared" si="1"/>
        <v/>
      </c>
      <c r="Q137" s="4">
        <v>29.2</v>
      </c>
      <c r="R137" s="11">
        <v>0.7185</v>
      </c>
      <c r="S137" s="4">
        <v>0.9527</v>
      </c>
      <c r="T137" s="4">
        <v>30.96</v>
      </c>
      <c r="U137" s="4">
        <v>29.48</v>
      </c>
    </row>
    <row r="138" ht="15.75" customHeight="1">
      <c r="A138" s="4" t="s">
        <v>1216</v>
      </c>
      <c r="B138" s="4" t="s">
        <v>1214</v>
      </c>
      <c r="C138" s="4" t="s">
        <v>86</v>
      </c>
      <c r="D138" s="4" t="s">
        <v>1755</v>
      </c>
      <c r="E138" s="4" t="s">
        <v>1569</v>
      </c>
      <c r="F138" s="4" t="s">
        <v>370</v>
      </c>
      <c r="G138" s="4">
        <v>12.5</v>
      </c>
      <c r="H138" s="4">
        <v>15.31</v>
      </c>
      <c r="I138" s="11">
        <v>0.7412</v>
      </c>
      <c r="J138" s="11">
        <v>0.2588</v>
      </c>
      <c r="K138" s="4" t="s">
        <v>2872</v>
      </c>
      <c r="L138" s="4" t="s">
        <v>2811</v>
      </c>
      <c r="N138" s="11">
        <v>0.5</v>
      </c>
      <c r="O138" s="13"/>
      <c r="P138" s="4" t="str">
        <f t="shared" si="1"/>
        <v/>
      </c>
      <c r="Q138" s="4">
        <v>14.59</v>
      </c>
      <c r="R138" s="11">
        <v>0.6895</v>
      </c>
      <c r="S138" s="4">
        <v>0.9535</v>
      </c>
      <c r="T138" s="4">
        <v>14.14</v>
      </c>
      <c r="U138" s="4">
        <v>13.46</v>
      </c>
    </row>
    <row r="139" ht="15.75" customHeight="1">
      <c r="A139" s="4" t="s">
        <v>1216</v>
      </c>
      <c r="B139" s="4" t="s">
        <v>1214</v>
      </c>
      <c r="C139" s="4" t="s">
        <v>86</v>
      </c>
      <c r="D139" s="4" t="s">
        <v>1755</v>
      </c>
      <c r="E139" s="4" t="s">
        <v>1569</v>
      </c>
      <c r="F139" s="4" t="s">
        <v>772</v>
      </c>
      <c r="G139" s="4">
        <v>22.5</v>
      </c>
      <c r="H139" s="4">
        <v>26.76</v>
      </c>
      <c r="I139" s="11">
        <v>0.757</v>
      </c>
      <c r="J139" s="11">
        <v>0.243</v>
      </c>
      <c r="K139" s="4" t="s">
        <v>2872</v>
      </c>
      <c r="L139" s="4" t="s">
        <v>2811</v>
      </c>
      <c r="N139" s="11">
        <v>0.6</v>
      </c>
      <c r="O139" s="13"/>
      <c r="P139" s="4" t="str">
        <f t="shared" si="1"/>
        <v/>
      </c>
      <c r="Q139" s="4">
        <v>25.52</v>
      </c>
      <c r="R139" s="11">
        <v>0.6933</v>
      </c>
      <c r="S139" s="4">
        <v>0.9535</v>
      </c>
      <c r="T139" s="4">
        <v>25.8</v>
      </c>
      <c r="U139" s="4">
        <v>24.57</v>
      </c>
    </row>
    <row r="140" ht="15.75" customHeight="1">
      <c r="A140" s="4" t="s">
        <v>1216</v>
      </c>
      <c r="B140" s="4" t="s">
        <v>1214</v>
      </c>
      <c r="C140" s="4" t="s">
        <v>86</v>
      </c>
      <c r="D140" s="4" t="s">
        <v>1755</v>
      </c>
      <c r="E140" s="4" t="s">
        <v>1572</v>
      </c>
      <c r="F140" s="4" t="s">
        <v>370</v>
      </c>
      <c r="G140" s="4">
        <v>14.5</v>
      </c>
      <c r="H140" s="4">
        <v>16.41</v>
      </c>
      <c r="I140" s="11">
        <v>0.6674</v>
      </c>
      <c r="J140" s="11">
        <v>0.3326</v>
      </c>
      <c r="K140" s="4" t="s">
        <v>2872</v>
      </c>
      <c r="L140" s="4" t="s">
        <v>2811</v>
      </c>
      <c r="N140" s="11">
        <v>0.8</v>
      </c>
      <c r="O140" s="13"/>
      <c r="P140" s="4" t="str">
        <f t="shared" si="1"/>
        <v/>
      </c>
      <c r="Q140" s="4">
        <v>15.64</v>
      </c>
      <c r="R140" s="11">
        <v>0.6038</v>
      </c>
      <c r="S140" s="4">
        <v>0.9526</v>
      </c>
      <c r="T140" s="4">
        <v>15.86</v>
      </c>
      <c r="U140" s="4">
        <v>15.11</v>
      </c>
    </row>
    <row r="141" ht="15.75" customHeight="1">
      <c r="A141" s="4" t="s">
        <v>1216</v>
      </c>
      <c r="B141" s="4" t="s">
        <v>1214</v>
      </c>
      <c r="C141" s="4" t="s">
        <v>86</v>
      </c>
      <c r="D141" s="4" t="s">
        <v>1755</v>
      </c>
      <c r="E141" s="4" t="s">
        <v>1572</v>
      </c>
      <c r="F141" s="4" t="s">
        <v>772</v>
      </c>
      <c r="G141" s="4">
        <v>28.5</v>
      </c>
      <c r="H141" s="4">
        <v>34.42</v>
      </c>
      <c r="I141" s="11">
        <v>0.803</v>
      </c>
      <c r="J141" s="11">
        <v>0.197</v>
      </c>
      <c r="K141" s="4" t="s">
        <v>2872</v>
      </c>
      <c r="L141" s="4" t="s">
        <v>2811</v>
      </c>
      <c r="N141" s="11">
        <v>0.9</v>
      </c>
      <c r="O141" s="13"/>
      <c r="P141" s="4" t="str">
        <f t="shared" si="1"/>
        <v/>
      </c>
      <c r="Q141" s="4">
        <v>32.78</v>
      </c>
      <c r="R141" s="11">
        <v>0.7362</v>
      </c>
      <c r="S141" s="4">
        <v>0.9524</v>
      </c>
      <c r="T141" s="4">
        <v>33.97</v>
      </c>
      <c r="U141" s="4">
        <v>32.35</v>
      </c>
    </row>
    <row r="142" ht="15.75" customHeight="1">
      <c r="A142" s="4" t="s">
        <v>1216</v>
      </c>
      <c r="B142" s="4" t="s">
        <v>1214</v>
      </c>
      <c r="C142" s="4" t="s">
        <v>86</v>
      </c>
      <c r="D142" s="4" t="s">
        <v>1755</v>
      </c>
      <c r="E142" s="4" t="s">
        <v>1575</v>
      </c>
      <c r="F142" s="4" t="s">
        <v>370</v>
      </c>
      <c r="G142" s="4">
        <v>17.0</v>
      </c>
      <c r="H142" s="4">
        <v>18.88</v>
      </c>
      <c r="I142" s="11">
        <v>0.6113</v>
      </c>
      <c r="J142" s="11">
        <v>0.3129</v>
      </c>
      <c r="K142" s="4" t="s">
        <v>2872</v>
      </c>
      <c r="L142" s="4" t="s">
        <v>2811</v>
      </c>
      <c r="N142" s="11">
        <v>0.6</v>
      </c>
      <c r="O142" s="13"/>
      <c r="P142" s="4" t="str">
        <f t="shared" si="1"/>
        <v/>
      </c>
      <c r="Q142" s="4">
        <v>17.99</v>
      </c>
      <c r="R142" s="11">
        <v>0.5408</v>
      </c>
      <c r="S142" s="4">
        <v>0.9527</v>
      </c>
      <c r="T142" s="4">
        <v>20.85</v>
      </c>
      <c r="U142" s="4">
        <v>19.86</v>
      </c>
    </row>
    <row r="143" ht="15.75" customHeight="1">
      <c r="A143" s="4" t="s">
        <v>1216</v>
      </c>
      <c r="B143" s="4" t="s">
        <v>1214</v>
      </c>
      <c r="C143" s="4" t="s">
        <v>86</v>
      </c>
      <c r="D143" s="4" t="s">
        <v>1755</v>
      </c>
      <c r="E143" s="4" t="s">
        <v>1575</v>
      </c>
      <c r="F143" s="4" t="s">
        <v>772</v>
      </c>
      <c r="G143" s="4">
        <v>26.5</v>
      </c>
      <c r="H143" s="4">
        <v>28.91</v>
      </c>
      <c r="I143" s="11">
        <v>0.6477</v>
      </c>
      <c r="J143" s="11">
        <v>0.3523</v>
      </c>
      <c r="K143" s="4" t="s">
        <v>2872</v>
      </c>
      <c r="L143" s="4" t="s">
        <v>2811</v>
      </c>
      <c r="N143" s="11">
        <v>0.7</v>
      </c>
      <c r="O143" s="13"/>
      <c r="P143" s="4" t="str">
        <f t="shared" si="1"/>
        <v/>
      </c>
      <c r="Q143" s="4">
        <v>27.54</v>
      </c>
      <c r="R143" s="11">
        <v>0.5664</v>
      </c>
      <c r="S143" s="4">
        <v>0.9525</v>
      </c>
      <c r="T143" s="4">
        <v>30.53</v>
      </c>
      <c r="U143" s="4">
        <v>29.07</v>
      </c>
    </row>
    <row r="144" ht="15.75" customHeight="1">
      <c r="A144" s="4" t="s">
        <v>1216</v>
      </c>
      <c r="B144" s="4" t="s">
        <v>1214</v>
      </c>
      <c r="C144" s="4" t="s">
        <v>86</v>
      </c>
      <c r="D144" s="4" t="s">
        <v>1755</v>
      </c>
      <c r="E144" s="4" t="s">
        <v>1578</v>
      </c>
      <c r="F144" s="4" t="s">
        <v>370</v>
      </c>
      <c r="G144" s="4">
        <v>10.0</v>
      </c>
      <c r="H144" s="4">
        <v>11.94</v>
      </c>
      <c r="I144" s="11">
        <v>0.6511</v>
      </c>
      <c r="J144" s="11">
        <v>0.2551</v>
      </c>
      <c r="K144" s="4" t="s">
        <v>2872</v>
      </c>
      <c r="L144" s="4" t="s">
        <v>2811</v>
      </c>
      <c r="N144" s="11">
        <v>0.8</v>
      </c>
      <c r="O144" s="13"/>
      <c r="P144" s="4" t="str">
        <f t="shared" si="1"/>
        <v/>
      </c>
      <c r="Q144" s="4">
        <v>11.37</v>
      </c>
      <c r="R144" s="11">
        <v>0.5955</v>
      </c>
      <c r="S144" s="4">
        <v>0.9527</v>
      </c>
      <c r="T144" s="4">
        <v>12.48</v>
      </c>
      <c r="U144" s="4">
        <v>11.89</v>
      </c>
    </row>
    <row r="145" ht="15.75" customHeight="1">
      <c r="A145" s="4" t="s">
        <v>1216</v>
      </c>
      <c r="B145" s="4" t="s">
        <v>1214</v>
      </c>
      <c r="C145" s="4" t="s">
        <v>86</v>
      </c>
      <c r="D145" s="4" t="s">
        <v>1755</v>
      </c>
      <c r="E145" s="4" t="s">
        <v>1578</v>
      </c>
      <c r="F145" s="4" t="s">
        <v>772</v>
      </c>
      <c r="G145" s="4">
        <v>27.5</v>
      </c>
      <c r="H145" s="4">
        <v>31.98</v>
      </c>
      <c r="I145" s="11">
        <v>0.7484</v>
      </c>
      <c r="J145" s="11">
        <v>0.2516</v>
      </c>
      <c r="K145" s="4" t="s">
        <v>2872</v>
      </c>
      <c r="L145" s="4" t="s">
        <v>2811</v>
      </c>
      <c r="N145" s="11">
        <v>0.7</v>
      </c>
      <c r="O145" s="13"/>
      <c r="P145" s="4" t="str">
        <f t="shared" si="1"/>
        <v/>
      </c>
      <c r="Q145" s="4">
        <v>30.45</v>
      </c>
      <c r="R145" s="11">
        <v>0.6743</v>
      </c>
      <c r="S145" s="4">
        <v>0.9521</v>
      </c>
      <c r="T145" s="4">
        <v>32.68</v>
      </c>
      <c r="U145" s="4">
        <v>31.12</v>
      </c>
    </row>
    <row r="146" ht="15.75" customHeight="1">
      <c r="A146" s="4" t="s">
        <v>1216</v>
      </c>
      <c r="B146" s="4" t="s">
        <v>1214</v>
      </c>
      <c r="C146" s="4" t="s">
        <v>86</v>
      </c>
      <c r="D146" s="4" t="s">
        <v>993</v>
      </c>
      <c r="E146" s="4" t="s">
        <v>1405</v>
      </c>
      <c r="F146" s="4" t="s">
        <v>2880</v>
      </c>
      <c r="G146" s="4">
        <v>8.0</v>
      </c>
      <c r="H146" s="4">
        <v>7.21</v>
      </c>
      <c r="I146" s="11">
        <v>0.3304</v>
      </c>
      <c r="J146" s="11">
        <v>0.5395</v>
      </c>
      <c r="K146" s="4" t="s">
        <v>262</v>
      </c>
      <c r="L146" s="4" t="s">
        <v>942</v>
      </c>
      <c r="N146" s="11">
        <v>0.5</v>
      </c>
      <c r="O146" s="13"/>
      <c r="P146" s="4" t="str">
        <f t="shared" si="1"/>
        <v/>
      </c>
      <c r="Q146" s="4">
        <v>7.24</v>
      </c>
      <c r="R146" s="11">
        <v>0.3346</v>
      </c>
      <c r="S146" s="4">
        <v>1.0043</v>
      </c>
      <c r="T146" s="4">
        <v>7.67</v>
      </c>
      <c r="U146" s="4">
        <v>7.7</v>
      </c>
    </row>
    <row r="147" ht="15.75" customHeight="1">
      <c r="A147" s="4" t="s">
        <v>1216</v>
      </c>
      <c r="B147" s="4" t="s">
        <v>1214</v>
      </c>
      <c r="C147" s="4" t="s">
        <v>86</v>
      </c>
      <c r="D147" s="4" t="s">
        <v>993</v>
      </c>
      <c r="E147" s="4" t="s">
        <v>1405</v>
      </c>
      <c r="F147" s="4" t="s">
        <v>2882</v>
      </c>
      <c r="G147" s="4">
        <v>15.0</v>
      </c>
      <c r="H147" s="4">
        <v>14.58</v>
      </c>
      <c r="I147" s="11">
        <v>0.4197</v>
      </c>
      <c r="J147" s="11">
        <v>0.4926</v>
      </c>
      <c r="K147" s="4" t="s">
        <v>262</v>
      </c>
      <c r="L147" s="4" t="s">
        <v>942</v>
      </c>
      <c r="N147" s="11">
        <v>0.5</v>
      </c>
      <c r="O147" s="13"/>
      <c r="P147" s="4" t="str">
        <f t="shared" si="1"/>
        <v/>
      </c>
      <c r="Q147" s="4">
        <v>14.65</v>
      </c>
      <c r="R147" s="11">
        <v>0.4253</v>
      </c>
      <c r="S147" s="4">
        <v>1.0043</v>
      </c>
      <c r="T147" s="4">
        <v>14.83</v>
      </c>
      <c r="U147" s="4">
        <v>14.9</v>
      </c>
    </row>
    <row r="148" ht="15.75" customHeight="1">
      <c r="A148" s="4" t="s">
        <v>1216</v>
      </c>
      <c r="B148" s="4" t="s">
        <v>1214</v>
      </c>
      <c r="C148" s="4" t="s">
        <v>86</v>
      </c>
      <c r="D148" s="4" t="s">
        <v>993</v>
      </c>
      <c r="E148" s="4" t="s">
        <v>1409</v>
      </c>
      <c r="F148" s="4" t="s">
        <v>2880</v>
      </c>
      <c r="G148" s="4">
        <v>9.5</v>
      </c>
      <c r="H148" s="4">
        <v>11.78</v>
      </c>
      <c r="I148" s="11">
        <v>0.7224</v>
      </c>
      <c r="J148" s="11">
        <v>0.2776</v>
      </c>
      <c r="K148" s="4" t="s">
        <v>262</v>
      </c>
      <c r="L148" s="4" t="s">
        <v>942</v>
      </c>
      <c r="N148" s="11">
        <v>0.7</v>
      </c>
      <c r="O148" s="13"/>
      <c r="P148" s="4" t="str">
        <f t="shared" si="1"/>
        <v/>
      </c>
      <c r="Q148" s="4">
        <v>11.83</v>
      </c>
      <c r="R148" s="11">
        <v>0.7264</v>
      </c>
      <c r="S148" s="4">
        <v>1.0043</v>
      </c>
      <c r="T148" s="4">
        <v>10.22</v>
      </c>
      <c r="U148" s="4">
        <v>10.26</v>
      </c>
    </row>
    <row r="149" ht="15.75" customHeight="1">
      <c r="A149" s="4" t="s">
        <v>1216</v>
      </c>
      <c r="B149" s="4" t="s">
        <v>1214</v>
      </c>
      <c r="C149" s="4" t="s">
        <v>86</v>
      </c>
      <c r="D149" s="4" t="s">
        <v>993</v>
      </c>
      <c r="E149" s="4" t="s">
        <v>1409</v>
      </c>
      <c r="F149" s="4" t="s">
        <v>2882</v>
      </c>
      <c r="G149" s="4">
        <v>15.0</v>
      </c>
      <c r="H149" s="4">
        <v>17.61</v>
      </c>
      <c r="I149" s="11">
        <v>0.6647</v>
      </c>
      <c r="J149" s="11">
        <v>0.2654</v>
      </c>
      <c r="K149" s="4" t="s">
        <v>262</v>
      </c>
      <c r="L149" s="4" t="s">
        <v>942</v>
      </c>
      <c r="N149" s="11">
        <v>0.6</v>
      </c>
      <c r="O149" s="13"/>
      <c r="P149" s="4" t="str">
        <f t="shared" si="1"/>
        <v/>
      </c>
      <c r="Q149" s="4">
        <v>17.69</v>
      </c>
      <c r="R149" s="11">
        <v>0.67</v>
      </c>
      <c r="S149" s="4">
        <v>1.0043</v>
      </c>
      <c r="T149" s="4">
        <v>15.48</v>
      </c>
      <c r="U149" s="4">
        <v>15.55</v>
      </c>
    </row>
    <row r="150" ht="15.75" customHeight="1">
      <c r="A150" s="4" t="s">
        <v>1216</v>
      </c>
      <c r="B150" s="4" t="s">
        <v>1214</v>
      </c>
      <c r="C150" s="4" t="s">
        <v>86</v>
      </c>
      <c r="D150" s="4" t="s">
        <v>993</v>
      </c>
      <c r="E150" s="4" t="s">
        <v>1412</v>
      </c>
      <c r="F150" s="4" t="s">
        <v>2882</v>
      </c>
      <c r="G150" s="4">
        <v>16.5</v>
      </c>
      <c r="H150" s="4">
        <v>16.81</v>
      </c>
      <c r="I150" s="11">
        <v>0.5251</v>
      </c>
      <c r="J150" s="11">
        <v>0.4749</v>
      </c>
      <c r="K150" s="4" t="s">
        <v>262</v>
      </c>
      <c r="L150" s="4" t="s">
        <v>942</v>
      </c>
      <c r="N150" s="11">
        <v>0.5</v>
      </c>
      <c r="O150" s="13"/>
      <c r="P150" s="4" t="str">
        <f t="shared" si="1"/>
        <v/>
      </c>
      <c r="Q150" s="4">
        <v>16.88</v>
      </c>
      <c r="R150" s="11">
        <v>0.5311</v>
      </c>
      <c r="S150" s="4">
        <v>1.0043</v>
      </c>
      <c r="T150" s="4">
        <v>16.55</v>
      </c>
      <c r="U150" s="4">
        <v>16.63</v>
      </c>
    </row>
    <row r="151" ht="15.75" customHeight="1">
      <c r="A151" s="4" t="s">
        <v>1216</v>
      </c>
      <c r="B151" s="4" t="s">
        <v>1214</v>
      </c>
      <c r="C151" s="4" t="s">
        <v>86</v>
      </c>
      <c r="D151" s="4" t="s">
        <v>993</v>
      </c>
      <c r="E151" s="4" t="s">
        <v>1415</v>
      </c>
      <c r="F151" s="4" t="s">
        <v>2880</v>
      </c>
      <c r="G151" s="4">
        <v>8.5</v>
      </c>
      <c r="H151" s="4">
        <v>9.18</v>
      </c>
      <c r="I151" s="11">
        <v>0.5791</v>
      </c>
      <c r="J151" s="11">
        <v>0.4209</v>
      </c>
      <c r="K151" s="4" t="s">
        <v>262</v>
      </c>
      <c r="L151" s="4" t="s">
        <v>942</v>
      </c>
      <c r="N151" s="11">
        <v>0.3</v>
      </c>
      <c r="O151" s="13"/>
      <c r="P151" s="4" t="str">
        <f t="shared" si="1"/>
        <v/>
      </c>
      <c r="Q151" s="4">
        <v>9.22</v>
      </c>
      <c r="R151" s="11">
        <v>0.5835</v>
      </c>
      <c r="S151" s="4">
        <v>1.0043</v>
      </c>
      <c r="T151" s="4">
        <v>8.32</v>
      </c>
      <c r="U151" s="4">
        <v>8.35</v>
      </c>
    </row>
    <row r="152" ht="15.75" customHeight="1">
      <c r="A152" s="4" t="s">
        <v>1216</v>
      </c>
      <c r="B152" s="4" t="s">
        <v>1214</v>
      </c>
      <c r="C152" s="4" t="s">
        <v>86</v>
      </c>
      <c r="D152" s="4" t="s">
        <v>993</v>
      </c>
      <c r="E152" s="4" t="s">
        <v>1415</v>
      </c>
      <c r="F152" s="4" t="s">
        <v>2882</v>
      </c>
      <c r="G152" s="4">
        <v>13.5</v>
      </c>
      <c r="H152" s="4">
        <v>13.22</v>
      </c>
      <c r="I152" s="11">
        <v>0.4743</v>
      </c>
      <c r="J152" s="11">
        <v>0.5257</v>
      </c>
      <c r="K152" s="4" t="s">
        <v>262</v>
      </c>
      <c r="L152" s="4" t="s">
        <v>942</v>
      </c>
      <c r="N152" s="11">
        <v>0.1</v>
      </c>
      <c r="O152" s="13"/>
      <c r="P152" s="4" t="str">
        <f t="shared" si="1"/>
        <v/>
      </c>
      <c r="Q152" s="4">
        <v>13.28</v>
      </c>
      <c r="R152" s="11">
        <v>0.4796</v>
      </c>
      <c r="S152" s="4">
        <v>1.0043</v>
      </c>
      <c r="T152" s="4">
        <v>12.47</v>
      </c>
      <c r="U152" s="4">
        <v>12.52</v>
      </c>
    </row>
    <row r="153" ht="15.75" customHeight="1">
      <c r="A153" s="4" t="s">
        <v>1216</v>
      </c>
      <c r="B153" s="4" t="s">
        <v>1214</v>
      </c>
      <c r="C153" s="4" t="s">
        <v>86</v>
      </c>
      <c r="D153" s="4" t="s">
        <v>993</v>
      </c>
      <c r="E153" s="4" t="s">
        <v>1418</v>
      </c>
      <c r="F153" s="4" t="s">
        <v>2880</v>
      </c>
      <c r="G153" s="4">
        <v>8.0</v>
      </c>
      <c r="H153" s="4">
        <v>9.15</v>
      </c>
      <c r="I153" s="11">
        <v>0.5775</v>
      </c>
      <c r="J153" s="11">
        <v>0.3103</v>
      </c>
      <c r="K153" s="4" t="s">
        <v>262</v>
      </c>
      <c r="L153" s="4" t="s">
        <v>942</v>
      </c>
      <c r="N153" s="11">
        <v>0.8</v>
      </c>
      <c r="O153" s="13"/>
      <c r="P153" s="4" t="str">
        <f t="shared" si="1"/>
        <v/>
      </c>
      <c r="Q153" s="4">
        <v>9.19</v>
      </c>
      <c r="R153" s="11">
        <v>0.5819</v>
      </c>
      <c r="S153" s="4">
        <v>1.0043</v>
      </c>
      <c r="T153" s="4">
        <v>8.22</v>
      </c>
      <c r="U153" s="4">
        <v>8.25</v>
      </c>
    </row>
    <row r="154" ht="15.75" customHeight="1">
      <c r="A154" s="4" t="s">
        <v>1216</v>
      </c>
      <c r="B154" s="4" t="s">
        <v>1214</v>
      </c>
      <c r="C154" s="4" t="s">
        <v>86</v>
      </c>
      <c r="D154" s="4" t="s">
        <v>993</v>
      </c>
      <c r="E154" s="4" t="s">
        <v>1418</v>
      </c>
      <c r="F154" s="4" t="s">
        <v>2882</v>
      </c>
      <c r="G154" s="4">
        <v>14.5</v>
      </c>
      <c r="H154" s="4">
        <v>15.46</v>
      </c>
      <c r="I154" s="11">
        <v>0.5819</v>
      </c>
      <c r="J154" s="11">
        <v>0.4181</v>
      </c>
      <c r="K154" s="4" t="s">
        <v>262</v>
      </c>
      <c r="L154" s="4" t="s">
        <v>942</v>
      </c>
      <c r="N154" s="11">
        <v>0.7</v>
      </c>
      <c r="O154" s="13"/>
      <c r="P154" s="4" t="str">
        <f t="shared" si="1"/>
        <v/>
      </c>
      <c r="Q154" s="4">
        <v>15.53</v>
      </c>
      <c r="R154" s="11">
        <v>0.5873</v>
      </c>
      <c r="S154" s="4">
        <v>1.0043</v>
      </c>
      <c r="T154" s="4">
        <v>14.83</v>
      </c>
      <c r="U154" s="4">
        <v>14.9</v>
      </c>
    </row>
    <row r="155" ht="15.75" customHeight="1">
      <c r="A155" s="4" t="s">
        <v>1216</v>
      </c>
      <c r="B155" s="4" t="s">
        <v>1214</v>
      </c>
      <c r="C155" s="4" t="s">
        <v>86</v>
      </c>
      <c r="D155" s="4" t="s">
        <v>1152</v>
      </c>
      <c r="E155" s="4" t="s">
        <v>1473</v>
      </c>
      <c r="F155" s="4" t="s">
        <v>370</v>
      </c>
      <c r="G155" s="4">
        <v>10.5</v>
      </c>
      <c r="H155" s="4">
        <v>9.71</v>
      </c>
      <c r="I155" s="11">
        <v>0.405</v>
      </c>
      <c r="J155" s="11">
        <v>0.595</v>
      </c>
      <c r="K155" s="4" t="s">
        <v>2886</v>
      </c>
      <c r="L155" s="4" t="s">
        <v>2887</v>
      </c>
      <c r="N155" s="11">
        <v>0.4</v>
      </c>
      <c r="O155" s="13"/>
      <c r="P155" s="4" t="str">
        <f t="shared" si="1"/>
        <v/>
      </c>
      <c r="Q155" s="4">
        <v>9.62</v>
      </c>
      <c r="R155" s="11">
        <v>0.3948</v>
      </c>
      <c r="S155" s="4">
        <v>0.9914</v>
      </c>
      <c r="T155" s="4">
        <v>9.74</v>
      </c>
      <c r="U155" s="4">
        <v>9.66</v>
      </c>
    </row>
    <row r="156" ht="15.75" customHeight="1">
      <c r="A156" s="4" t="s">
        <v>1216</v>
      </c>
      <c r="B156" s="4" t="s">
        <v>1214</v>
      </c>
      <c r="C156" s="4" t="s">
        <v>86</v>
      </c>
      <c r="D156" s="4" t="s">
        <v>1152</v>
      </c>
      <c r="E156" s="4" t="s">
        <v>1473</v>
      </c>
      <c r="F156" s="4" t="s">
        <v>772</v>
      </c>
      <c r="G156" s="4">
        <v>30.5</v>
      </c>
      <c r="H156" s="4">
        <v>31.12</v>
      </c>
      <c r="I156" s="11">
        <v>0.5375</v>
      </c>
      <c r="J156" s="11">
        <v>0.4625</v>
      </c>
      <c r="K156" s="4" t="s">
        <v>2886</v>
      </c>
      <c r="L156" s="4" t="s">
        <v>2887</v>
      </c>
      <c r="N156" s="11">
        <v>0.2</v>
      </c>
      <c r="O156" s="13"/>
      <c r="P156" s="4" t="str">
        <f t="shared" si="1"/>
        <v/>
      </c>
      <c r="Q156" s="4">
        <v>30.86</v>
      </c>
      <c r="R156" s="11">
        <v>0.5218</v>
      </c>
      <c r="S156" s="4">
        <v>0.9916</v>
      </c>
      <c r="T156" s="4">
        <v>30.44</v>
      </c>
      <c r="U156" s="4">
        <v>30.19</v>
      </c>
    </row>
    <row r="157" ht="15.75" customHeight="1">
      <c r="A157" s="4" t="s">
        <v>1216</v>
      </c>
      <c r="B157" s="4" t="s">
        <v>1214</v>
      </c>
      <c r="C157" s="4" t="s">
        <v>86</v>
      </c>
      <c r="D157" s="4" t="s">
        <v>1152</v>
      </c>
      <c r="E157" s="4" t="s">
        <v>1477</v>
      </c>
      <c r="F157" s="4" t="s">
        <v>370</v>
      </c>
      <c r="G157" s="4">
        <v>16.0</v>
      </c>
      <c r="H157" s="4">
        <v>16.25</v>
      </c>
      <c r="I157" s="11">
        <v>0.4775</v>
      </c>
      <c r="J157" s="11">
        <v>0.4329</v>
      </c>
      <c r="K157" s="4" t="s">
        <v>2886</v>
      </c>
      <c r="L157" s="4" t="s">
        <v>2887</v>
      </c>
      <c r="N157" s="11">
        <v>0.3</v>
      </c>
      <c r="O157" s="13"/>
      <c r="P157" s="4" t="str">
        <f t="shared" si="1"/>
        <v/>
      </c>
      <c r="Q157" s="4">
        <v>16.12</v>
      </c>
      <c r="R157" s="11">
        <v>0.4653</v>
      </c>
      <c r="S157" s="4">
        <v>0.9918</v>
      </c>
      <c r="T157" s="4">
        <v>16.02</v>
      </c>
      <c r="U157" s="4">
        <v>15.89</v>
      </c>
    </row>
    <row r="158" ht="15.75" customHeight="1">
      <c r="A158" s="4" t="s">
        <v>1216</v>
      </c>
      <c r="B158" s="4" t="s">
        <v>1214</v>
      </c>
      <c r="C158" s="4" t="s">
        <v>86</v>
      </c>
      <c r="D158" s="4" t="s">
        <v>1152</v>
      </c>
      <c r="E158" s="4" t="s">
        <v>1477</v>
      </c>
      <c r="F158" s="4" t="s">
        <v>772</v>
      </c>
      <c r="G158" s="4">
        <v>30.0</v>
      </c>
      <c r="H158" s="4">
        <v>30.77</v>
      </c>
      <c r="I158" s="11">
        <v>0.5162</v>
      </c>
      <c r="J158" s="11">
        <v>0.4235</v>
      </c>
      <c r="K158" s="4" t="s">
        <v>2886</v>
      </c>
      <c r="L158" s="4" t="s">
        <v>2887</v>
      </c>
      <c r="N158" s="11">
        <v>0.2</v>
      </c>
      <c r="O158" s="13"/>
      <c r="P158" s="4" t="str">
        <f t="shared" si="1"/>
        <v/>
      </c>
      <c r="Q158" s="4">
        <v>30.51</v>
      </c>
      <c r="R158" s="11">
        <v>0.5009</v>
      </c>
      <c r="S158" s="4">
        <v>0.9918</v>
      </c>
      <c r="T158" s="4">
        <v>30.87</v>
      </c>
      <c r="U158" s="4">
        <v>30.61</v>
      </c>
    </row>
    <row r="159" ht="15.75" customHeight="1">
      <c r="A159" s="4" t="s">
        <v>1216</v>
      </c>
      <c r="B159" s="4" t="s">
        <v>1214</v>
      </c>
      <c r="C159" s="4" t="s">
        <v>86</v>
      </c>
      <c r="D159" s="4" t="s">
        <v>1152</v>
      </c>
      <c r="E159" s="4" t="s">
        <v>1480</v>
      </c>
      <c r="F159" s="4" t="s">
        <v>370</v>
      </c>
      <c r="G159" s="4">
        <v>16.5</v>
      </c>
      <c r="H159" s="4">
        <v>14.81</v>
      </c>
      <c r="I159" s="11">
        <v>0.3448</v>
      </c>
      <c r="J159" s="11">
        <v>0.6552</v>
      </c>
      <c r="K159" s="4" t="s">
        <v>2886</v>
      </c>
      <c r="L159" s="4" t="s">
        <v>2887</v>
      </c>
      <c r="N159" s="11">
        <v>0.2</v>
      </c>
      <c r="O159" s="13"/>
      <c r="P159" s="4" t="str">
        <f t="shared" si="1"/>
        <v/>
      </c>
      <c r="Q159" s="4">
        <v>14.68</v>
      </c>
      <c r="R159" s="11">
        <v>0.3332</v>
      </c>
      <c r="S159" s="4">
        <v>0.9914</v>
      </c>
      <c r="T159" s="4">
        <v>15.36</v>
      </c>
      <c r="U159" s="4">
        <v>15.23</v>
      </c>
    </row>
    <row r="160" ht="15.75" customHeight="1">
      <c r="A160" s="4" t="s">
        <v>1216</v>
      </c>
      <c r="B160" s="4" t="s">
        <v>1214</v>
      </c>
      <c r="C160" s="4" t="s">
        <v>86</v>
      </c>
      <c r="D160" s="4" t="s">
        <v>1152</v>
      </c>
      <c r="E160" s="4" t="s">
        <v>1480</v>
      </c>
      <c r="F160" s="4" t="s">
        <v>772</v>
      </c>
      <c r="G160" s="4">
        <v>30.0</v>
      </c>
      <c r="H160" s="4">
        <v>28.37</v>
      </c>
      <c r="I160" s="11">
        <v>0.3674</v>
      </c>
      <c r="J160" s="11">
        <v>0.5714</v>
      </c>
      <c r="K160" s="4" t="s">
        <v>2886</v>
      </c>
      <c r="L160" s="4" t="s">
        <v>2887</v>
      </c>
      <c r="N160" s="11">
        <v>0.3</v>
      </c>
      <c r="O160" s="13"/>
      <c r="P160" s="4" t="str">
        <f t="shared" si="1"/>
        <v/>
      </c>
      <c r="Q160" s="4">
        <v>28.12</v>
      </c>
      <c r="R160" s="11">
        <v>0.3524</v>
      </c>
      <c r="S160" s="4">
        <v>0.9915</v>
      </c>
      <c r="T160" s="4">
        <v>29.59</v>
      </c>
      <c r="U160" s="4">
        <v>29.34</v>
      </c>
    </row>
    <row r="161" ht="15.75" customHeight="1">
      <c r="A161" s="4" t="s">
        <v>1216</v>
      </c>
      <c r="B161" s="4" t="s">
        <v>1214</v>
      </c>
      <c r="C161" s="4" t="s">
        <v>86</v>
      </c>
      <c r="D161" s="4" t="s">
        <v>1152</v>
      </c>
      <c r="E161" s="4" t="s">
        <v>1483</v>
      </c>
      <c r="F161" s="4" t="s">
        <v>370</v>
      </c>
      <c r="G161" s="4">
        <v>14.0</v>
      </c>
      <c r="H161" s="4">
        <v>15.96</v>
      </c>
      <c r="I161" s="11">
        <v>0.6293</v>
      </c>
      <c r="J161" s="11">
        <v>0.289</v>
      </c>
      <c r="K161" s="4" t="s">
        <v>2886</v>
      </c>
      <c r="L161" s="4" t="s">
        <v>2887</v>
      </c>
      <c r="N161" s="11">
        <v>0.6</v>
      </c>
      <c r="O161" s="13"/>
      <c r="P161" s="4" t="str">
        <f t="shared" si="1"/>
        <v/>
      </c>
      <c r="Q161" s="4">
        <v>15.82</v>
      </c>
      <c r="R161" s="11">
        <v>0.6184</v>
      </c>
      <c r="S161" s="4">
        <v>0.9917</v>
      </c>
      <c r="T161" s="4">
        <v>15.25</v>
      </c>
      <c r="U161" s="4">
        <v>15.12</v>
      </c>
    </row>
    <row r="162" ht="15.75" customHeight="1">
      <c r="A162" s="4" t="s">
        <v>1216</v>
      </c>
      <c r="B162" s="4" t="s">
        <v>1214</v>
      </c>
      <c r="C162" s="4" t="s">
        <v>86</v>
      </c>
      <c r="D162" s="4" t="s">
        <v>1152</v>
      </c>
      <c r="E162" s="4" t="s">
        <v>1483</v>
      </c>
      <c r="F162" s="4" t="s">
        <v>772</v>
      </c>
      <c r="G162" s="4">
        <v>26.5</v>
      </c>
      <c r="H162" s="4">
        <v>28.84</v>
      </c>
      <c r="I162" s="11">
        <v>0.6436</v>
      </c>
      <c r="J162" s="11">
        <v>0.3564</v>
      </c>
      <c r="K162" s="4" t="s">
        <v>2886</v>
      </c>
      <c r="L162" s="4" t="s">
        <v>2887</v>
      </c>
      <c r="N162" s="11">
        <v>0.8</v>
      </c>
      <c r="O162" s="13"/>
      <c r="P162" s="4" t="str">
        <f t="shared" si="1"/>
        <v/>
      </c>
      <c r="Q162" s="4">
        <v>28.6</v>
      </c>
      <c r="R162" s="11">
        <v>0.6301</v>
      </c>
      <c r="S162" s="4">
        <v>0.9918</v>
      </c>
      <c r="T162" s="4">
        <v>27.87</v>
      </c>
      <c r="U162" s="4">
        <v>27.64</v>
      </c>
    </row>
    <row r="163" ht="15.75" customHeight="1">
      <c r="A163" s="4" t="s">
        <v>1216</v>
      </c>
      <c r="B163" s="4" t="s">
        <v>1214</v>
      </c>
      <c r="C163" s="4" t="s">
        <v>86</v>
      </c>
      <c r="D163" s="4" t="s">
        <v>1152</v>
      </c>
      <c r="E163" s="4" t="s">
        <v>1486</v>
      </c>
      <c r="F163" s="4" t="s">
        <v>370</v>
      </c>
      <c r="G163" s="4">
        <v>17.0</v>
      </c>
      <c r="H163" s="4">
        <v>17.08</v>
      </c>
      <c r="I163" s="11">
        <v>0.4634</v>
      </c>
      <c r="J163" s="11">
        <v>0.4494</v>
      </c>
      <c r="K163" s="4" t="s">
        <v>2886</v>
      </c>
      <c r="L163" s="4" t="s">
        <v>2887</v>
      </c>
      <c r="N163" s="11">
        <v>0.4</v>
      </c>
      <c r="O163" s="13"/>
      <c r="P163" s="4" t="str">
        <f t="shared" si="1"/>
        <v/>
      </c>
      <c r="Q163" s="4">
        <v>16.93</v>
      </c>
      <c r="R163" s="11">
        <v>0.45</v>
      </c>
      <c r="S163" s="4">
        <v>0.9911</v>
      </c>
      <c r="T163" s="4">
        <v>16.86</v>
      </c>
      <c r="U163" s="4">
        <v>16.72</v>
      </c>
    </row>
    <row r="164" ht="15.75" customHeight="1">
      <c r="A164" s="4" t="s">
        <v>1216</v>
      </c>
      <c r="B164" s="4" t="s">
        <v>1214</v>
      </c>
      <c r="C164" s="4" t="s">
        <v>86</v>
      </c>
      <c r="D164" s="4" t="s">
        <v>1152</v>
      </c>
      <c r="E164" s="4" t="s">
        <v>1486</v>
      </c>
      <c r="F164" s="4" t="s">
        <v>772</v>
      </c>
      <c r="G164" s="4">
        <v>29.5</v>
      </c>
      <c r="H164" s="4">
        <v>30.88</v>
      </c>
      <c r="I164" s="11">
        <v>0.5831</v>
      </c>
      <c r="J164" s="11">
        <v>0.4169</v>
      </c>
      <c r="K164" s="4" t="s">
        <v>2886</v>
      </c>
      <c r="L164" s="4" t="s">
        <v>2887</v>
      </c>
      <c r="N164" s="11">
        <v>0.2</v>
      </c>
      <c r="O164" s="13"/>
      <c r="P164" s="4" t="str">
        <f t="shared" si="1"/>
        <v/>
      </c>
      <c r="Q164" s="4">
        <v>30.6</v>
      </c>
      <c r="R164" s="11">
        <v>0.5669</v>
      </c>
      <c r="S164" s="4">
        <v>0.9911</v>
      </c>
      <c r="T164" s="4">
        <v>29.59</v>
      </c>
      <c r="U164" s="4">
        <v>29.34</v>
      </c>
    </row>
    <row r="165" ht="15.75" customHeight="1">
      <c r="A165" s="4" t="s">
        <v>1216</v>
      </c>
      <c r="B165" s="4" t="s">
        <v>1214</v>
      </c>
      <c r="C165" s="4" t="s">
        <v>86</v>
      </c>
      <c r="D165" s="4" t="s">
        <v>1152</v>
      </c>
      <c r="E165" s="4" t="s">
        <v>1505</v>
      </c>
      <c r="F165" s="4" t="s">
        <v>370</v>
      </c>
      <c r="G165" s="4">
        <v>16.5</v>
      </c>
      <c r="H165" s="4">
        <v>18.04</v>
      </c>
      <c r="I165" s="11">
        <v>0.6285</v>
      </c>
      <c r="J165" s="11">
        <v>0.3715</v>
      </c>
      <c r="K165" s="4" t="s">
        <v>2886</v>
      </c>
      <c r="L165" s="4" t="s">
        <v>2887</v>
      </c>
      <c r="N165" s="11">
        <v>0.4</v>
      </c>
      <c r="O165" s="13"/>
      <c r="P165" s="4" t="str">
        <f t="shared" si="1"/>
        <v/>
      </c>
      <c r="Q165" s="4">
        <v>17.56</v>
      </c>
      <c r="R165" s="11">
        <v>0.5903</v>
      </c>
      <c r="S165" s="4">
        <v>0.9732</v>
      </c>
      <c r="T165" s="4">
        <v>17.72</v>
      </c>
      <c r="U165" s="4">
        <v>17.24</v>
      </c>
    </row>
    <row r="166" ht="15.75" customHeight="1">
      <c r="A166" s="4" t="s">
        <v>1216</v>
      </c>
      <c r="B166" s="4" t="s">
        <v>1214</v>
      </c>
      <c r="C166" s="4" t="s">
        <v>86</v>
      </c>
      <c r="D166" s="4" t="s">
        <v>1152</v>
      </c>
      <c r="E166" s="4" t="s">
        <v>1505</v>
      </c>
      <c r="F166" s="4" t="s">
        <v>772</v>
      </c>
      <c r="G166" s="4">
        <v>28.5</v>
      </c>
      <c r="H166" s="4">
        <v>31.49</v>
      </c>
      <c r="I166" s="11">
        <v>0.674</v>
      </c>
      <c r="J166" s="11">
        <v>0.326</v>
      </c>
      <c r="K166" s="4" t="s">
        <v>2886</v>
      </c>
      <c r="L166" s="4" t="s">
        <v>2887</v>
      </c>
      <c r="N166" s="11">
        <v>0.4</v>
      </c>
      <c r="O166" s="13"/>
      <c r="P166" s="4" t="str">
        <f t="shared" si="1"/>
        <v/>
      </c>
      <c r="Q166" s="4">
        <v>30.65</v>
      </c>
      <c r="R166" s="11">
        <v>0.6285</v>
      </c>
      <c r="S166" s="4">
        <v>0.9731</v>
      </c>
      <c r="T166" s="4">
        <v>30.44</v>
      </c>
      <c r="U166" s="4">
        <v>29.63</v>
      </c>
    </row>
    <row r="167" ht="15.75" customHeight="1">
      <c r="A167" s="4" t="s">
        <v>1216</v>
      </c>
      <c r="B167" s="4" t="s">
        <v>1214</v>
      </c>
      <c r="C167" s="4" t="s">
        <v>86</v>
      </c>
      <c r="D167" s="4" t="s">
        <v>1152</v>
      </c>
      <c r="E167" s="4" t="s">
        <v>1509</v>
      </c>
      <c r="F167" s="4" t="s">
        <v>370</v>
      </c>
      <c r="G167" s="4">
        <v>16.5</v>
      </c>
      <c r="H167" s="4">
        <v>16.84</v>
      </c>
      <c r="I167" s="11">
        <v>0.5296</v>
      </c>
      <c r="J167" s="11">
        <v>0.4704</v>
      </c>
      <c r="K167" s="4" t="s">
        <v>2886</v>
      </c>
      <c r="L167" s="4" t="s">
        <v>2887</v>
      </c>
      <c r="N167" s="11">
        <v>0.4</v>
      </c>
      <c r="O167" s="13"/>
      <c r="P167" s="4" t="str">
        <f t="shared" si="1"/>
        <v/>
      </c>
      <c r="Q167" s="4">
        <v>16.39</v>
      </c>
      <c r="R167" s="11">
        <v>0.4899</v>
      </c>
      <c r="S167" s="4">
        <v>0.9733</v>
      </c>
      <c r="T167" s="4">
        <v>16.6</v>
      </c>
      <c r="U167" s="4">
        <v>16.15</v>
      </c>
    </row>
    <row r="168" ht="15.75" customHeight="1">
      <c r="A168" s="4" t="s">
        <v>1216</v>
      </c>
      <c r="B168" s="4" t="s">
        <v>1214</v>
      </c>
      <c r="C168" s="4" t="s">
        <v>86</v>
      </c>
      <c r="D168" s="4" t="s">
        <v>1152</v>
      </c>
      <c r="E168" s="4" t="s">
        <v>1509</v>
      </c>
      <c r="F168" s="4" t="s">
        <v>772</v>
      </c>
      <c r="G168" s="4">
        <v>29.5</v>
      </c>
      <c r="H168" s="4">
        <v>30.93</v>
      </c>
      <c r="I168" s="11">
        <v>0.5858</v>
      </c>
      <c r="J168" s="11">
        <v>0.4142</v>
      </c>
      <c r="K168" s="4" t="s">
        <v>2886</v>
      </c>
      <c r="L168" s="4" t="s">
        <v>2887</v>
      </c>
      <c r="N168" s="11">
        <v>0.5</v>
      </c>
      <c r="O168" s="13"/>
      <c r="P168" s="4" t="str">
        <f t="shared" si="1"/>
        <v/>
      </c>
      <c r="Q168" s="4">
        <v>30.1</v>
      </c>
      <c r="R168" s="11">
        <v>0.537</v>
      </c>
      <c r="S168" s="4">
        <v>0.9734</v>
      </c>
      <c r="T168" s="4">
        <v>31.73</v>
      </c>
      <c r="U168" s="4">
        <v>30.88</v>
      </c>
    </row>
    <row r="169" ht="15.75" customHeight="1">
      <c r="A169" s="4" t="s">
        <v>1216</v>
      </c>
      <c r="B169" s="4" t="s">
        <v>1214</v>
      </c>
      <c r="C169" s="4" t="s">
        <v>86</v>
      </c>
      <c r="D169" s="4" t="s">
        <v>1152</v>
      </c>
      <c r="E169" s="4" t="s">
        <v>1512</v>
      </c>
      <c r="F169" s="4" t="s">
        <v>370</v>
      </c>
      <c r="G169" s="4">
        <v>12.5</v>
      </c>
      <c r="H169" s="4">
        <v>13.7</v>
      </c>
      <c r="I169" s="11">
        <v>0.6158</v>
      </c>
      <c r="J169" s="11">
        <v>0.3842</v>
      </c>
      <c r="K169" s="4" t="s">
        <v>2886</v>
      </c>
      <c r="L169" s="4" t="s">
        <v>2887</v>
      </c>
      <c r="N169" s="11">
        <v>0.5</v>
      </c>
      <c r="O169" s="13"/>
      <c r="P169" s="4" t="str">
        <f t="shared" si="1"/>
        <v/>
      </c>
      <c r="Q169" s="4">
        <v>13.33</v>
      </c>
      <c r="R169" s="11">
        <v>0.5815</v>
      </c>
      <c r="S169" s="4">
        <v>0.9728</v>
      </c>
      <c r="T169" s="4">
        <v>13.15</v>
      </c>
      <c r="U169" s="4">
        <v>12.79</v>
      </c>
    </row>
    <row r="170" ht="15.75" customHeight="1">
      <c r="A170" s="4" t="s">
        <v>1216</v>
      </c>
      <c r="B170" s="4" t="s">
        <v>1214</v>
      </c>
      <c r="C170" s="4" t="s">
        <v>86</v>
      </c>
      <c r="D170" s="4" t="s">
        <v>1152</v>
      </c>
      <c r="E170" s="4" t="s">
        <v>1512</v>
      </c>
      <c r="F170" s="4" t="s">
        <v>772</v>
      </c>
      <c r="G170" s="4">
        <v>24.5</v>
      </c>
      <c r="H170" s="4">
        <v>26.3</v>
      </c>
      <c r="I170" s="11">
        <v>0.6165</v>
      </c>
      <c r="J170" s="11">
        <v>0.3835</v>
      </c>
      <c r="K170" s="4" t="s">
        <v>2886</v>
      </c>
      <c r="L170" s="4" t="s">
        <v>2887</v>
      </c>
      <c r="N170" s="11">
        <v>0.5</v>
      </c>
      <c r="O170" s="13"/>
      <c r="P170" s="4" t="str">
        <f t="shared" si="1"/>
        <v/>
      </c>
      <c r="Q170" s="4">
        <v>25.58</v>
      </c>
      <c r="R170" s="11">
        <v>0.5719</v>
      </c>
      <c r="S170" s="4">
        <v>0.9729</v>
      </c>
      <c r="T170" s="4">
        <v>25.73</v>
      </c>
      <c r="U170" s="4">
        <v>25.04</v>
      </c>
    </row>
    <row r="171" ht="15.75" customHeight="1">
      <c r="A171" s="4" t="s">
        <v>1216</v>
      </c>
      <c r="B171" s="4" t="s">
        <v>1214</v>
      </c>
      <c r="C171" s="4" t="s">
        <v>86</v>
      </c>
      <c r="D171" s="4" t="s">
        <v>566</v>
      </c>
      <c r="E171" s="4" t="s">
        <v>1489</v>
      </c>
      <c r="F171" s="4" t="s">
        <v>370</v>
      </c>
      <c r="G171" s="4">
        <v>15.5</v>
      </c>
      <c r="H171" s="4">
        <v>17.44</v>
      </c>
      <c r="I171" s="11">
        <v>0.6633</v>
      </c>
      <c r="J171" s="11">
        <v>0.3367</v>
      </c>
      <c r="K171" s="4" t="s">
        <v>2893</v>
      </c>
      <c r="L171" s="4" t="s">
        <v>2811</v>
      </c>
      <c r="N171" s="11">
        <v>0.6</v>
      </c>
      <c r="O171" s="13"/>
      <c r="P171" s="4" t="str">
        <f t="shared" si="1"/>
        <v/>
      </c>
      <c r="Q171" s="4">
        <v>17.16</v>
      </c>
      <c r="R171" s="11">
        <v>0.6419</v>
      </c>
      <c r="S171" s="4">
        <v>0.9839</v>
      </c>
      <c r="T171" s="4">
        <v>16.47</v>
      </c>
      <c r="U171" s="4">
        <v>16.21</v>
      </c>
    </row>
    <row r="172" ht="15.75" customHeight="1">
      <c r="A172" s="4" t="s">
        <v>1216</v>
      </c>
      <c r="B172" s="4" t="s">
        <v>1214</v>
      </c>
      <c r="C172" s="4" t="s">
        <v>86</v>
      </c>
      <c r="D172" s="4" t="s">
        <v>566</v>
      </c>
      <c r="E172" s="4" t="s">
        <v>1489</v>
      </c>
      <c r="F172" s="4" t="s">
        <v>772</v>
      </c>
      <c r="G172" s="4">
        <v>29.5</v>
      </c>
      <c r="H172" s="4">
        <v>32.79</v>
      </c>
      <c r="I172" s="11">
        <v>0.6862</v>
      </c>
      <c r="J172" s="11">
        <v>0.3138</v>
      </c>
      <c r="K172" s="4" t="s">
        <v>2893</v>
      </c>
      <c r="L172" s="4" t="s">
        <v>2811</v>
      </c>
      <c r="N172" s="11">
        <v>0.5</v>
      </c>
      <c r="O172" s="13"/>
      <c r="P172" s="4" t="str">
        <f t="shared" si="1"/>
        <v/>
      </c>
      <c r="Q172" s="4">
        <v>32.25</v>
      </c>
      <c r="R172" s="11">
        <v>0.659</v>
      </c>
      <c r="S172" s="4">
        <v>0.9837</v>
      </c>
      <c r="T172" s="4">
        <v>30.96</v>
      </c>
      <c r="U172" s="4">
        <v>30.47</v>
      </c>
    </row>
    <row r="173" ht="15.75" customHeight="1">
      <c r="A173" s="4" t="s">
        <v>1216</v>
      </c>
      <c r="B173" s="4" t="s">
        <v>1214</v>
      </c>
      <c r="C173" s="4" t="s">
        <v>86</v>
      </c>
      <c r="D173" s="4" t="s">
        <v>566</v>
      </c>
      <c r="E173" s="4" t="s">
        <v>1493</v>
      </c>
      <c r="F173" s="4" t="s">
        <v>370</v>
      </c>
      <c r="G173" s="4">
        <v>14.5</v>
      </c>
      <c r="H173" s="4">
        <v>16.03</v>
      </c>
      <c r="I173" s="11">
        <v>0.6354</v>
      </c>
      <c r="J173" s="11">
        <v>0.3646</v>
      </c>
      <c r="K173" s="4" t="s">
        <v>2893</v>
      </c>
      <c r="L173" s="4" t="s">
        <v>2811</v>
      </c>
      <c r="N173" s="11">
        <v>0.5</v>
      </c>
      <c r="O173" s="13"/>
      <c r="P173" s="4" t="str">
        <f t="shared" si="1"/>
        <v/>
      </c>
      <c r="Q173" s="4">
        <v>15.77</v>
      </c>
      <c r="R173" s="11">
        <v>0.614</v>
      </c>
      <c r="S173" s="4">
        <v>0.9838</v>
      </c>
      <c r="T173" s="4">
        <v>15.64</v>
      </c>
      <c r="U173" s="4">
        <v>15.39</v>
      </c>
    </row>
    <row r="174" ht="15.75" customHeight="1">
      <c r="A174" s="4" t="s">
        <v>1216</v>
      </c>
      <c r="B174" s="4" t="s">
        <v>1214</v>
      </c>
      <c r="C174" s="4" t="s">
        <v>86</v>
      </c>
      <c r="D174" s="4" t="s">
        <v>566</v>
      </c>
      <c r="E174" s="4" t="s">
        <v>1493</v>
      </c>
      <c r="F174" s="4" t="s">
        <v>772</v>
      </c>
      <c r="G174" s="4">
        <v>27.5</v>
      </c>
      <c r="H174" s="4">
        <v>30.34</v>
      </c>
      <c r="I174" s="11">
        <v>0.6688</v>
      </c>
      <c r="J174" s="11">
        <v>0.3312</v>
      </c>
      <c r="K174" s="4" t="s">
        <v>2893</v>
      </c>
      <c r="L174" s="4" t="s">
        <v>2811</v>
      </c>
      <c r="N174" s="11">
        <v>0.6</v>
      </c>
      <c r="O174" s="13"/>
      <c r="P174" s="4" t="str">
        <f t="shared" si="1"/>
        <v/>
      </c>
      <c r="Q174" s="4">
        <v>29.86</v>
      </c>
      <c r="R174" s="11">
        <v>0.6424</v>
      </c>
      <c r="S174" s="4">
        <v>0.984</v>
      </c>
      <c r="T174" s="4">
        <v>29.67</v>
      </c>
      <c r="U174" s="4">
        <v>29.2</v>
      </c>
    </row>
    <row r="175" ht="15.75" customHeight="1">
      <c r="A175" s="4" t="s">
        <v>1216</v>
      </c>
      <c r="B175" s="4" t="s">
        <v>1214</v>
      </c>
      <c r="C175" s="4" t="s">
        <v>86</v>
      </c>
      <c r="D175" s="4" t="s">
        <v>566</v>
      </c>
      <c r="E175" s="4" t="s">
        <v>1496</v>
      </c>
      <c r="F175" s="4" t="s">
        <v>370</v>
      </c>
      <c r="G175" s="4">
        <v>15.5</v>
      </c>
      <c r="H175" s="4">
        <v>13.08</v>
      </c>
      <c r="I175" s="11">
        <v>0.271</v>
      </c>
      <c r="J175" s="11">
        <v>0.729</v>
      </c>
      <c r="K175" s="4" t="s">
        <v>2893</v>
      </c>
      <c r="L175" s="4" t="s">
        <v>2811</v>
      </c>
      <c r="N175" s="11">
        <v>0.3</v>
      </c>
      <c r="O175" s="13"/>
      <c r="P175" s="4" t="str">
        <f t="shared" si="1"/>
        <v/>
      </c>
      <c r="Q175" s="4">
        <v>12.87</v>
      </c>
      <c r="R175" s="11">
        <v>0.2524</v>
      </c>
      <c r="S175" s="4">
        <v>0.9842</v>
      </c>
      <c r="T175" s="4">
        <v>14.48</v>
      </c>
      <c r="U175" s="4">
        <v>14.25</v>
      </c>
    </row>
    <row r="176" ht="15.75" customHeight="1">
      <c r="A176" s="4" t="s">
        <v>1216</v>
      </c>
      <c r="B176" s="4" t="s">
        <v>1214</v>
      </c>
      <c r="C176" s="4" t="s">
        <v>86</v>
      </c>
      <c r="D176" s="4" t="s">
        <v>566</v>
      </c>
      <c r="E176" s="4" t="s">
        <v>1496</v>
      </c>
      <c r="F176" s="4" t="s">
        <v>772</v>
      </c>
      <c r="G176" s="4">
        <v>28.5</v>
      </c>
      <c r="H176" s="4">
        <v>25.02</v>
      </c>
      <c r="I176" s="11">
        <v>0.2781</v>
      </c>
      <c r="J176" s="11">
        <v>0.7219</v>
      </c>
      <c r="K176" s="4" t="s">
        <v>2893</v>
      </c>
      <c r="L176" s="4" t="s">
        <v>2811</v>
      </c>
      <c r="N176" s="11">
        <v>0.3</v>
      </c>
      <c r="O176" s="13"/>
      <c r="P176" s="4" t="str">
        <f t="shared" si="1"/>
        <v/>
      </c>
      <c r="Q176" s="4">
        <v>24.62</v>
      </c>
      <c r="R176" s="11">
        <v>0.2545</v>
      </c>
      <c r="S176" s="4">
        <v>0.9842</v>
      </c>
      <c r="T176" s="4">
        <v>26.66</v>
      </c>
      <c r="U176" s="4">
        <v>26.24</v>
      </c>
    </row>
    <row r="177" ht="15.75" customHeight="1">
      <c r="A177" s="4" t="s">
        <v>1216</v>
      </c>
      <c r="B177" s="4" t="s">
        <v>1214</v>
      </c>
      <c r="C177" s="4" t="s">
        <v>86</v>
      </c>
      <c r="D177" s="4" t="s">
        <v>566</v>
      </c>
      <c r="E177" s="4" t="s">
        <v>1499</v>
      </c>
      <c r="F177" s="4" t="s">
        <v>370</v>
      </c>
      <c r="G177" s="4">
        <v>9.5</v>
      </c>
      <c r="H177" s="4">
        <v>9.93</v>
      </c>
      <c r="I177" s="11">
        <v>0.5509</v>
      </c>
      <c r="J177" s="11">
        <v>0.4491</v>
      </c>
      <c r="K177" s="4" t="s">
        <v>2893</v>
      </c>
      <c r="L177" s="4" t="s">
        <v>2811</v>
      </c>
      <c r="N177" s="11">
        <v>0.3</v>
      </c>
      <c r="O177" s="13"/>
      <c r="P177" s="4" t="str">
        <f t="shared" si="1"/>
        <v/>
      </c>
      <c r="Q177" s="4">
        <v>9.77</v>
      </c>
      <c r="R177" s="11">
        <v>0.5326</v>
      </c>
      <c r="S177" s="4">
        <v>0.9843</v>
      </c>
      <c r="T177" s="4">
        <v>9.93</v>
      </c>
      <c r="U177" s="4">
        <v>9.78</v>
      </c>
    </row>
    <row r="178" ht="15.75" customHeight="1">
      <c r="A178" s="4" t="s">
        <v>1216</v>
      </c>
      <c r="B178" s="4" t="s">
        <v>1214</v>
      </c>
      <c r="C178" s="4" t="s">
        <v>86</v>
      </c>
      <c r="D178" s="4" t="s">
        <v>566</v>
      </c>
      <c r="E178" s="4" t="s">
        <v>1499</v>
      </c>
      <c r="F178" s="4" t="s">
        <v>772</v>
      </c>
      <c r="G178" s="4">
        <v>31.5</v>
      </c>
      <c r="H178" s="4">
        <v>32.35</v>
      </c>
      <c r="I178" s="11">
        <v>0.55</v>
      </c>
      <c r="J178" s="11">
        <v>0.45</v>
      </c>
      <c r="K178" s="4" t="s">
        <v>2893</v>
      </c>
      <c r="L178" s="4" t="s">
        <v>2811</v>
      </c>
      <c r="N178" s="11">
        <v>0.5</v>
      </c>
      <c r="O178" s="13"/>
      <c r="P178" s="4" t="str">
        <f t="shared" si="1"/>
        <v/>
      </c>
      <c r="Q178" s="4">
        <v>31.84</v>
      </c>
      <c r="R178" s="11">
        <v>0.52</v>
      </c>
      <c r="S178" s="4">
        <v>0.9842</v>
      </c>
      <c r="T178" s="4">
        <v>32.25</v>
      </c>
      <c r="U178" s="4">
        <v>31.74</v>
      </c>
    </row>
    <row r="179" ht="15.75" customHeight="1">
      <c r="A179" s="4" t="s">
        <v>1216</v>
      </c>
      <c r="B179" s="4" t="s">
        <v>1214</v>
      </c>
      <c r="C179" s="4" t="s">
        <v>86</v>
      </c>
      <c r="D179" s="4" t="s">
        <v>566</v>
      </c>
      <c r="E179" s="4" t="s">
        <v>1502</v>
      </c>
      <c r="F179" s="4" t="s">
        <v>370</v>
      </c>
      <c r="G179" s="4">
        <v>16.5</v>
      </c>
      <c r="H179" s="4">
        <v>17.17</v>
      </c>
      <c r="I179" s="11">
        <v>0.5574</v>
      </c>
      <c r="J179" s="11">
        <v>0.4426</v>
      </c>
      <c r="K179" s="4" t="s">
        <v>2893</v>
      </c>
      <c r="L179" s="4" t="s">
        <v>2811</v>
      </c>
      <c r="N179" s="11">
        <v>0.4</v>
      </c>
      <c r="O179" s="13"/>
      <c r="P179" s="4" t="str">
        <f t="shared" si="1"/>
        <v/>
      </c>
      <c r="Q179" s="4">
        <v>16.9</v>
      </c>
      <c r="R179" s="11">
        <v>0.5346</v>
      </c>
      <c r="S179" s="4">
        <v>0.9844</v>
      </c>
      <c r="T179" s="4">
        <v>16.4</v>
      </c>
      <c r="U179" s="4">
        <v>16.15</v>
      </c>
    </row>
    <row r="180" ht="15.75" customHeight="1">
      <c r="A180" s="4" t="s">
        <v>1216</v>
      </c>
      <c r="B180" s="4" t="s">
        <v>1214</v>
      </c>
      <c r="C180" s="4" t="s">
        <v>86</v>
      </c>
      <c r="D180" s="4" t="s">
        <v>566</v>
      </c>
      <c r="E180" s="4" t="s">
        <v>1502</v>
      </c>
      <c r="F180" s="4" t="s">
        <v>772</v>
      </c>
      <c r="G180" s="4">
        <v>29.5</v>
      </c>
      <c r="H180" s="4">
        <v>28.63</v>
      </c>
      <c r="I180" s="11">
        <v>0.4454</v>
      </c>
      <c r="J180" s="11">
        <v>0.5546</v>
      </c>
      <c r="K180" s="4" t="s">
        <v>2893</v>
      </c>
      <c r="L180" s="4" t="s">
        <v>2811</v>
      </c>
      <c r="N180" s="11">
        <v>0.2</v>
      </c>
      <c r="O180" s="13"/>
      <c r="P180" s="4" t="str">
        <f t="shared" si="1"/>
        <v/>
      </c>
      <c r="Q180" s="4">
        <v>28.18</v>
      </c>
      <c r="R180" s="11">
        <v>0.4168</v>
      </c>
      <c r="S180" s="4">
        <v>0.9843</v>
      </c>
      <c r="T180" s="4">
        <v>28.38</v>
      </c>
      <c r="U180" s="4">
        <v>27.93</v>
      </c>
    </row>
    <row r="181" ht="15.75" customHeight="1">
      <c r="A181" s="4" t="s">
        <v>1216</v>
      </c>
      <c r="B181" s="4" t="s">
        <v>1214</v>
      </c>
      <c r="C181" s="4" t="s">
        <v>86</v>
      </c>
      <c r="D181" s="4" t="s">
        <v>566</v>
      </c>
      <c r="E181" s="4" t="s">
        <v>1532</v>
      </c>
      <c r="F181" s="4" t="s">
        <v>370</v>
      </c>
      <c r="G181" s="4">
        <v>17.5</v>
      </c>
      <c r="H181" s="4">
        <v>20.05</v>
      </c>
      <c r="I181" s="11">
        <v>0.6968</v>
      </c>
      <c r="J181" s="11">
        <v>0.3032</v>
      </c>
      <c r="K181" s="4" t="s">
        <v>2893</v>
      </c>
      <c r="L181" s="4" t="s">
        <v>2811</v>
      </c>
      <c r="N181" s="11">
        <v>0.5</v>
      </c>
      <c r="O181" s="13"/>
      <c r="P181" s="4" t="str">
        <f t="shared" si="1"/>
        <v/>
      </c>
      <c r="Q181" s="4">
        <v>18.92</v>
      </c>
      <c r="R181" s="11">
        <v>0.6161</v>
      </c>
      <c r="S181" s="4">
        <v>0.9435</v>
      </c>
      <c r="T181" s="4">
        <v>19.71</v>
      </c>
      <c r="U181" s="4">
        <v>18.6</v>
      </c>
    </row>
    <row r="182" ht="15.75" customHeight="1">
      <c r="A182" s="4" t="s">
        <v>1216</v>
      </c>
      <c r="B182" s="4" t="s">
        <v>1214</v>
      </c>
      <c r="C182" s="4" t="s">
        <v>86</v>
      </c>
      <c r="D182" s="4" t="s">
        <v>566</v>
      </c>
      <c r="E182" s="4" t="s">
        <v>1532</v>
      </c>
      <c r="F182" s="4" t="s">
        <v>772</v>
      </c>
      <c r="G182" s="4">
        <v>32.5</v>
      </c>
      <c r="H182" s="4">
        <v>35.61</v>
      </c>
      <c r="I182" s="11">
        <v>0.6704</v>
      </c>
      <c r="J182" s="11">
        <v>0.3296</v>
      </c>
      <c r="K182" s="4" t="s">
        <v>2893</v>
      </c>
      <c r="L182" s="4" t="s">
        <v>2811</v>
      </c>
      <c r="N182" s="11">
        <v>0.2</v>
      </c>
      <c r="O182" s="13"/>
      <c r="P182" s="4" t="str">
        <f t="shared" si="1"/>
        <v/>
      </c>
      <c r="Q182" s="4">
        <v>33.6</v>
      </c>
      <c r="R182" s="11">
        <v>0.5636</v>
      </c>
      <c r="S182" s="4">
        <v>0.9434</v>
      </c>
      <c r="T182" s="4">
        <v>34.4</v>
      </c>
      <c r="U182" s="4">
        <v>32.45</v>
      </c>
    </row>
    <row r="183" ht="15.75" customHeight="1">
      <c r="A183" s="4" t="s">
        <v>1216</v>
      </c>
      <c r="B183" s="4" t="s">
        <v>1214</v>
      </c>
      <c r="C183" s="4" t="s">
        <v>86</v>
      </c>
      <c r="D183" s="4" t="s">
        <v>566</v>
      </c>
      <c r="E183" s="4" t="s">
        <v>1536</v>
      </c>
      <c r="F183" s="4" t="s">
        <v>370</v>
      </c>
      <c r="G183" s="4">
        <v>9.5</v>
      </c>
      <c r="H183" s="4">
        <v>10.92</v>
      </c>
      <c r="I183" s="11">
        <v>0.6563</v>
      </c>
      <c r="J183" s="11">
        <v>0.3437</v>
      </c>
      <c r="K183" s="4" t="s">
        <v>2893</v>
      </c>
      <c r="L183" s="4" t="s">
        <v>2811</v>
      </c>
      <c r="N183" s="11">
        <v>0.8</v>
      </c>
      <c r="O183" s="13"/>
      <c r="P183" s="4" t="str">
        <f t="shared" si="1"/>
        <v/>
      </c>
      <c r="Q183" s="4">
        <v>10.3</v>
      </c>
      <c r="R183" s="11">
        <v>0.5918</v>
      </c>
      <c r="S183" s="4">
        <v>0.9427</v>
      </c>
      <c r="T183" s="4">
        <v>10.32</v>
      </c>
      <c r="U183" s="4">
        <v>9.74</v>
      </c>
    </row>
    <row r="184" ht="15.75" customHeight="1">
      <c r="A184" s="4" t="s">
        <v>1216</v>
      </c>
      <c r="B184" s="4" t="s">
        <v>1214</v>
      </c>
      <c r="C184" s="4" t="s">
        <v>86</v>
      </c>
      <c r="D184" s="4" t="s">
        <v>566</v>
      </c>
      <c r="E184" s="4" t="s">
        <v>1536</v>
      </c>
      <c r="F184" s="4" t="s">
        <v>772</v>
      </c>
      <c r="G184" s="4">
        <v>29.5</v>
      </c>
      <c r="H184" s="4">
        <v>29.94</v>
      </c>
      <c r="I184" s="11">
        <v>0.5272</v>
      </c>
      <c r="J184" s="11">
        <v>0.4728</v>
      </c>
      <c r="K184" s="4" t="s">
        <v>2893</v>
      </c>
      <c r="L184" s="4" t="s">
        <v>2811</v>
      </c>
      <c r="N184" s="11">
        <v>0.7</v>
      </c>
      <c r="O184" s="13"/>
      <c r="P184" s="4" t="str">
        <f t="shared" si="1"/>
        <v/>
      </c>
      <c r="Q184" s="4">
        <v>28.24</v>
      </c>
      <c r="R184" s="11">
        <v>0.4207</v>
      </c>
      <c r="S184" s="4">
        <v>0.9432</v>
      </c>
      <c r="T184" s="4">
        <v>30.1</v>
      </c>
      <c r="U184" s="4">
        <v>28.4</v>
      </c>
    </row>
    <row r="185" ht="15.75" customHeight="1">
      <c r="A185" s="4" t="s">
        <v>1216</v>
      </c>
      <c r="B185" s="4" t="s">
        <v>1214</v>
      </c>
      <c r="C185" s="4" t="s">
        <v>86</v>
      </c>
      <c r="D185" s="4" t="s">
        <v>566</v>
      </c>
      <c r="E185" s="4" t="s">
        <v>1539</v>
      </c>
      <c r="F185" s="4" t="s">
        <v>370</v>
      </c>
      <c r="G185" s="4">
        <v>13.5</v>
      </c>
      <c r="H185" s="4">
        <v>12.3</v>
      </c>
      <c r="I185" s="11">
        <v>0.3778</v>
      </c>
      <c r="J185" s="11">
        <v>0.6222</v>
      </c>
      <c r="K185" s="4" t="s">
        <v>2893</v>
      </c>
      <c r="L185" s="4" t="s">
        <v>2811</v>
      </c>
      <c r="N185" s="11">
        <v>0.4</v>
      </c>
      <c r="O185" s="13"/>
      <c r="P185" s="4" t="str">
        <f t="shared" si="1"/>
        <v/>
      </c>
      <c r="Q185" s="4">
        <v>11.6</v>
      </c>
      <c r="R185" s="11">
        <v>0.3059</v>
      </c>
      <c r="S185" s="4">
        <v>0.9431</v>
      </c>
      <c r="T185" s="4">
        <v>13.39</v>
      </c>
      <c r="U185" s="4">
        <v>12.63</v>
      </c>
    </row>
    <row r="186" ht="15.75" customHeight="1">
      <c r="A186" s="4" t="s">
        <v>1216</v>
      </c>
      <c r="B186" s="4" t="s">
        <v>1214</v>
      </c>
      <c r="C186" s="4" t="s">
        <v>86</v>
      </c>
      <c r="D186" s="4" t="s">
        <v>566</v>
      </c>
      <c r="E186" s="4" t="s">
        <v>1539</v>
      </c>
      <c r="F186" s="4" t="s">
        <v>772</v>
      </c>
      <c r="G186" s="4">
        <v>25.5</v>
      </c>
      <c r="H186" s="4">
        <v>23.7</v>
      </c>
      <c r="I186" s="11">
        <v>0.3775</v>
      </c>
      <c r="J186" s="11">
        <v>0.6225</v>
      </c>
      <c r="K186" s="4" t="s">
        <v>2893</v>
      </c>
      <c r="L186" s="4" t="s">
        <v>2811</v>
      </c>
      <c r="N186" s="11">
        <v>0.5</v>
      </c>
      <c r="O186" s="13"/>
      <c r="P186" s="4" t="str">
        <f t="shared" si="1"/>
        <v/>
      </c>
      <c r="Q186" s="4">
        <v>22.36</v>
      </c>
      <c r="R186" s="11">
        <v>0.2871</v>
      </c>
      <c r="S186" s="4">
        <v>0.9432</v>
      </c>
      <c r="T186" s="4">
        <v>24.94</v>
      </c>
      <c r="U186" s="4">
        <v>23.53</v>
      </c>
    </row>
    <row r="187" ht="15.75" customHeight="1">
      <c r="A187" s="4" t="s">
        <v>1216</v>
      </c>
      <c r="B187" s="4" t="s">
        <v>1214</v>
      </c>
      <c r="C187" s="4" t="s">
        <v>86</v>
      </c>
      <c r="D187" s="4" t="s">
        <v>566</v>
      </c>
      <c r="E187" s="4" t="s">
        <v>1542</v>
      </c>
      <c r="F187" s="4" t="s">
        <v>370</v>
      </c>
      <c r="G187" s="4">
        <v>19.5</v>
      </c>
      <c r="H187" s="4">
        <v>21.46</v>
      </c>
      <c r="I187" s="11">
        <v>0.6461</v>
      </c>
      <c r="J187" s="11">
        <v>0.3539</v>
      </c>
      <c r="K187" s="4" t="s">
        <v>2893</v>
      </c>
      <c r="L187" s="4" t="s">
        <v>2811</v>
      </c>
      <c r="N187" s="11">
        <v>0.4</v>
      </c>
      <c r="O187" s="13"/>
      <c r="P187" s="4" t="str">
        <f t="shared" si="1"/>
        <v/>
      </c>
      <c r="Q187" s="4">
        <v>20.25</v>
      </c>
      <c r="R187" s="11">
        <v>0.5589</v>
      </c>
      <c r="S187" s="4">
        <v>0.9438</v>
      </c>
      <c r="T187" s="4">
        <v>21.28</v>
      </c>
      <c r="U187" s="4">
        <v>20.08</v>
      </c>
    </row>
    <row r="188" ht="15.75" customHeight="1">
      <c r="A188" s="4" t="s">
        <v>1216</v>
      </c>
      <c r="B188" s="4" t="s">
        <v>1214</v>
      </c>
      <c r="C188" s="4" t="s">
        <v>86</v>
      </c>
      <c r="D188" s="4" t="s">
        <v>566</v>
      </c>
      <c r="E188" s="4" t="s">
        <v>1542</v>
      </c>
      <c r="F188" s="4" t="s">
        <v>772</v>
      </c>
      <c r="G188" s="4">
        <v>29.5</v>
      </c>
      <c r="H188" s="4">
        <v>32.04</v>
      </c>
      <c r="I188" s="11">
        <v>0.6476</v>
      </c>
      <c r="J188" s="11">
        <v>0.3524</v>
      </c>
      <c r="K188" s="4" t="s">
        <v>2893</v>
      </c>
      <c r="L188" s="4" t="s">
        <v>2811</v>
      </c>
      <c r="N188" s="11">
        <v>0.6</v>
      </c>
      <c r="O188" s="13"/>
      <c r="P188" s="4" t="str">
        <f t="shared" si="1"/>
        <v/>
      </c>
      <c r="Q188" s="4">
        <v>30.24</v>
      </c>
      <c r="R188" s="11">
        <v>0.545</v>
      </c>
      <c r="S188" s="4">
        <v>0.9438</v>
      </c>
      <c r="T188" s="4">
        <v>31.39</v>
      </c>
      <c r="U188" s="4">
        <v>29.61</v>
      </c>
    </row>
    <row r="189" ht="15.75" customHeight="1">
      <c r="A189" s="4" t="s">
        <v>1216</v>
      </c>
      <c r="B189" s="4" t="s">
        <v>1214</v>
      </c>
      <c r="C189" s="4" t="s">
        <v>86</v>
      </c>
      <c r="D189" s="4" t="s">
        <v>566</v>
      </c>
      <c r="E189" s="4" t="s">
        <v>1545</v>
      </c>
      <c r="F189" s="4" t="s">
        <v>370</v>
      </c>
      <c r="G189" s="4">
        <v>14.5</v>
      </c>
      <c r="H189" s="4">
        <v>16.19</v>
      </c>
      <c r="I189" s="11">
        <v>0.649</v>
      </c>
      <c r="J189" s="11">
        <v>0.351</v>
      </c>
      <c r="K189" s="4" t="s">
        <v>2893</v>
      </c>
      <c r="L189" s="4" t="s">
        <v>2811</v>
      </c>
      <c r="N189" s="11">
        <v>0.6</v>
      </c>
      <c r="O189" s="13"/>
      <c r="P189" s="4" t="str">
        <f t="shared" si="1"/>
        <v/>
      </c>
      <c r="Q189" s="4">
        <v>15.28</v>
      </c>
      <c r="R189" s="11">
        <v>0.5719</v>
      </c>
      <c r="S189" s="4">
        <v>0.9435</v>
      </c>
      <c r="T189" s="4">
        <v>15.45</v>
      </c>
      <c r="U189" s="4">
        <v>14.57</v>
      </c>
    </row>
    <row r="190" ht="15.75" customHeight="1">
      <c r="A190" s="4" t="s">
        <v>1216</v>
      </c>
      <c r="B190" s="4" t="s">
        <v>1214</v>
      </c>
      <c r="C190" s="4" t="s">
        <v>86</v>
      </c>
      <c r="D190" s="4" t="s">
        <v>566</v>
      </c>
      <c r="E190" s="4" t="s">
        <v>1545</v>
      </c>
      <c r="F190" s="4" t="s">
        <v>772</v>
      </c>
      <c r="G190" s="4">
        <v>29.5</v>
      </c>
      <c r="H190" s="4">
        <v>30.55</v>
      </c>
      <c r="I190" s="11">
        <v>0.564</v>
      </c>
      <c r="J190" s="11">
        <v>0.436</v>
      </c>
      <c r="K190" s="4" t="s">
        <v>2893</v>
      </c>
      <c r="L190" s="4" t="s">
        <v>2811</v>
      </c>
      <c r="N190" s="11">
        <v>0.7</v>
      </c>
      <c r="O190" s="13"/>
      <c r="P190" s="4" t="str">
        <f t="shared" si="1"/>
        <v/>
      </c>
      <c r="Q190" s="4">
        <v>28.83</v>
      </c>
      <c r="R190" s="11">
        <v>0.4579</v>
      </c>
      <c r="S190" s="4">
        <v>0.9435</v>
      </c>
      <c r="T190" s="4">
        <v>30.53</v>
      </c>
      <c r="U190" s="4">
        <v>28.8</v>
      </c>
    </row>
    <row r="191" ht="15.75" customHeight="1">
      <c r="A191" s="4" t="s">
        <v>1216</v>
      </c>
      <c r="B191" s="4" t="s">
        <v>1214</v>
      </c>
      <c r="C191" s="4" t="s">
        <v>86</v>
      </c>
      <c r="D191" s="4" t="s">
        <v>1794</v>
      </c>
      <c r="E191" s="4" t="s">
        <v>1405</v>
      </c>
      <c r="F191" s="4" t="s">
        <v>2880</v>
      </c>
      <c r="G191" s="4">
        <v>7.0</v>
      </c>
      <c r="H191" s="4">
        <v>6.65</v>
      </c>
      <c r="I191" s="11">
        <v>0.3818</v>
      </c>
      <c r="J191" s="11">
        <v>0.4789</v>
      </c>
      <c r="K191" s="4" t="s">
        <v>110</v>
      </c>
      <c r="L191" s="4" t="s">
        <v>2905</v>
      </c>
      <c r="N191" s="11">
        <v>0.6</v>
      </c>
      <c r="O191" s="13"/>
      <c r="P191" s="4" t="str">
        <f t="shared" si="1"/>
        <v/>
      </c>
      <c r="Q191" s="4">
        <v>6.39</v>
      </c>
      <c r="R191" s="11">
        <v>0.3444</v>
      </c>
      <c r="S191" s="4">
        <v>0.961</v>
      </c>
      <c r="T191" s="4">
        <v>7.51</v>
      </c>
      <c r="U191" s="4">
        <v>7.22</v>
      </c>
    </row>
    <row r="192" ht="15.75" customHeight="1">
      <c r="A192" s="4" t="s">
        <v>1216</v>
      </c>
      <c r="B192" s="4" t="s">
        <v>1214</v>
      </c>
      <c r="C192" s="4" t="s">
        <v>86</v>
      </c>
      <c r="D192" s="4" t="s">
        <v>1794</v>
      </c>
      <c r="E192" s="4" t="s">
        <v>1405</v>
      </c>
      <c r="F192" s="4" t="s">
        <v>2882</v>
      </c>
      <c r="G192" s="4">
        <v>13.5</v>
      </c>
      <c r="H192" s="4">
        <v>13.68</v>
      </c>
      <c r="I192" s="11">
        <v>0.5166</v>
      </c>
      <c r="J192" s="11">
        <v>0.4834</v>
      </c>
      <c r="K192" s="4" t="s">
        <v>110</v>
      </c>
      <c r="L192" s="4" t="s">
        <v>2905</v>
      </c>
      <c r="N192" s="11">
        <v>0.6</v>
      </c>
      <c r="O192" s="13"/>
      <c r="P192" s="4" t="str">
        <f t="shared" si="1"/>
        <v/>
      </c>
      <c r="Q192" s="4">
        <v>13.15</v>
      </c>
      <c r="R192" s="11">
        <v>0.4674</v>
      </c>
      <c r="S192" s="4">
        <v>0.961</v>
      </c>
      <c r="T192" s="4">
        <v>14.52</v>
      </c>
      <c r="U192" s="4">
        <v>13.96</v>
      </c>
    </row>
    <row r="193" ht="15.75" customHeight="1">
      <c r="A193" s="4" t="s">
        <v>1216</v>
      </c>
      <c r="B193" s="4" t="s">
        <v>1214</v>
      </c>
      <c r="C193" s="4" t="s">
        <v>86</v>
      </c>
      <c r="D193" s="4" t="s">
        <v>1794</v>
      </c>
      <c r="E193" s="4" t="s">
        <v>1409</v>
      </c>
      <c r="F193" s="4" t="s">
        <v>2880</v>
      </c>
      <c r="G193" s="4">
        <v>8.5</v>
      </c>
      <c r="H193" s="4">
        <v>9.74</v>
      </c>
      <c r="I193" s="11">
        <v>0.6379</v>
      </c>
      <c r="J193" s="11">
        <v>0.3621</v>
      </c>
      <c r="K193" s="4" t="s">
        <v>110</v>
      </c>
      <c r="L193" s="4" t="s">
        <v>2905</v>
      </c>
      <c r="N193" s="11">
        <v>0.8</v>
      </c>
      <c r="O193" s="13"/>
      <c r="P193" s="4" t="str">
        <f t="shared" si="1"/>
        <v/>
      </c>
      <c r="Q193" s="4">
        <v>9.36</v>
      </c>
      <c r="R193" s="11">
        <v>0.5986</v>
      </c>
      <c r="S193" s="4">
        <v>0.961</v>
      </c>
      <c r="T193" s="4">
        <v>10.0</v>
      </c>
      <c r="U193" s="4">
        <v>9.61</v>
      </c>
    </row>
    <row r="194" ht="15.75" customHeight="1">
      <c r="A194" s="4" t="s">
        <v>1216</v>
      </c>
      <c r="B194" s="4" t="s">
        <v>1214</v>
      </c>
      <c r="C194" s="4" t="s">
        <v>86</v>
      </c>
      <c r="D194" s="4" t="s">
        <v>1794</v>
      </c>
      <c r="E194" s="4" t="s">
        <v>1409</v>
      </c>
      <c r="F194" s="4" t="s">
        <v>2882</v>
      </c>
      <c r="G194" s="4">
        <v>13.5</v>
      </c>
      <c r="H194" s="4">
        <v>14.55</v>
      </c>
      <c r="I194" s="11">
        <v>0.5924</v>
      </c>
      <c r="J194" s="11">
        <v>0.4076</v>
      </c>
      <c r="K194" s="4" t="s">
        <v>110</v>
      </c>
      <c r="L194" s="4" t="s">
        <v>2905</v>
      </c>
      <c r="N194" s="11">
        <v>0.7</v>
      </c>
      <c r="O194" s="13"/>
      <c r="P194" s="4" t="str">
        <f t="shared" si="1"/>
        <v/>
      </c>
      <c r="Q194" s="4">
        <v>13.99</v>
      </c>
      <c r="R194" s="11">
        <v>0.5438</v>
      </c>
      <c r="S194" s="4">
        <v>0.961</v>
      </c>
      <c r="T194" s="4">
        <v>15.16</v>
      </c>
      <c r="U194" s="4">
        <v>14.56</v>
      </c>
    </row>
    <row r="195" ht="15.75" customHeight="1">
      <c r="A195" s="4" t="s">
        <v>1216</v>
      </c>
      <c r="B195" s="4" t="s">
        <v>1214</v>
      </c>
      <c r="C195" s="4" t="s">
        <v>86</v>
      </c>
      <c r="D195" s="4" t="s">
        <v>1794</v>
      </c>
      <c r="E195" s="4" t="s">
        <v>1412</v>
      </c>
      <c r="F195" s="4" t="s">
        <v>2882</v>
      </c>
      <c r="G195" s="4">
        <v>14.5</v>
      </c>
      <c r="H195" s="4">
        <v>16.03</v>
      </c>
      <c r="I195" s="11">
        <v>0.6265</v>
      </c>
      <c r="J195" s="11">
        <v>0.3735</v>
      </c>
      <c r="K195" s="4" t="s">
        <v>110</v>
      </c>
      <c r="L195" s="4" t="s">
        <v>2905</v>
      </c>
      <c r="N195" s="11">
        <v>0.6</v>
      </c>
      <c r="O195" s="13"/>
      <c r="P195" s="4" t="str">
        <f t="shared" si="1"/>
        <v/>
      </c>
      <c r="Q195" s="4">
        <v>15.4</v>
      </c>
      <c r="R195" s="11">
        <v>0.5771</v>
      </c>
      <c r="S195" s="4">
        <v>0.961</v>
      </c>
      <c r="T195" s="4">
        <v>16.21</v>
      </c>
      <c r="U195" s="4">
        <v>15.58</v>
      </c>
    </row>
    <row r="196" ht="15.75" customHeight="1">
      <c r="A196" s="4" t="s">
        <v>1216</v>
      </c>
      <c r="B196" s="4" t="s">
        <v>1214</v>
      </c>
      <c r="C196" s="4" t="s">
        <v>86</v>
      </c>
      <c r="D196" s="4" t="s">
        <v>1794</v>
      </c>
      <c r="E196" s="4" t="s">
        <v>1415</v>
      </c>
      <c r="F196" s="4" t="s">
        <v>2880</v>
      </c>
      <c r="G196" s="4">
        <v>8.0</v>
      </c>
      <c r="H196" s="4">
        <v>8.39</v>
      </c>
      <c r="I196" s="11">
        <v>0.4867</v>
      </c>
      <c r="J196" s="11">
        <v>0.3924</v>
      </c>
      <c r="K196" s="4" t="s">
        <v>110</v>
      </c>
      <c r="L196" s="4" t="s">
        <v>2905</v>
      </c>
      <c r="N196" s="11">
        <v>0.3</v>
      </c>
      <c r="O196" s="13"/>
      <c r="P196" s="4" t="str">
        <f t="shared" si="1"/>
        <v/>
      </c>
      <c r="Q196" s="4">
        <v>8.06</v>
      </c>
      <c r="R196" s="11">
        <v>0.4458</v>
      </c>
      <c r="S196" s="4">
        <v>0.961</v>
      </c>
      <c r="T196" s="4">
        <v>8.14</v>
      </c>
      <c r="U196" s="4">
        <v>7.83</v>
      </c>
    </row>
    <row r="197" ht="15.75" customHeight="1">
      <c r="A197" s="4" t="s">
        <v>1216</v>
      </c>
      <c r="B197" s="4" t="s">
        <v>1214</v>
      </c>
      <c r="C197" s="4" t="s">
        <v>86</v>
      </c>
      <c r="D197" s="4" t="s">
        <v>1794</v>
      </c>
      <c r="E197" s="4" t="s">
        <v>1415</v>
      </c>
      <c r="F197" s="4" t="s">
        <v>2882</v>
      </c>
      <c r="G197" s="4">
        <v>12.0</v>
      </c>
      <c r="H197" s="4">
        <v>12.15</v>
      </c>
      <c r="I197" s="11">
        <v>0.4661</v>
      </c>
      <c r="J197" s="11">
        <v>0.4375</v>
      </c>
      <c r="K197" s="4" t="s">
        <v>110</v>
      </c>
      <c r="L197" s="4" t="s">
        <v>2905</v>
      </c>
      <c r="N197" s="11">
        <v>0.2</v>
      </c>
      <c r="O197" s="13"/>
      <c r="P197" s="4" t="str">
        <f t="shared" si="1"/>
        <v/>
      </c>
      <c r="Q197" s="4">
        <v>11.68</v>
      </c>
      <c r="R197" s="11">
        <v>0.4192</v>
      </c>
      <c r="S197" s="4">
        <v>0.961</v>
      </c>
      <c r="T197" s="4">
        <v>12.21</v>
      </c>
      <c r="U197" s="4">
        <v>11.73</v>
      </c>
    </row>
    <row r="198" ht="15.75" customHeight="1">
      <c r="A198" s="4" t="s">
        <v>1216</v>
      </c>
      <c r="B198" s="4" t="s">
        <v>1214</v>
      </c>
      <c r="C198" s="4" t="s">
        <v>86</v>
      </c>
      <c r="D198" s="4" t="s">
        <v>1794</v>
      </c>
      <c r="E198" s="4" t="s">
        <v>1418</v>
      </c>
      <c r="F198" s="4" t="s">
        <v>2880</v>
      </c>
      <c r="G198" s="4">
        <v>7.0</v>
      </c>
      <c r="H198" s="4">
        <v>9.0</v>
      </c>
      <c r="I198" s="11">
        <v>0.6745</v>
      </c>
      <c r="J198" s="11">
        <v>0.2252</v>
      </c>
      <c r="K198" s="4" t="s">
        <v>110</v>
      </c>
      <c r="L198" s="4" t="s">
        <v>2905</v>
      </c>
      <c r="N198" s="11">
        <v>0.9</v>
      </c>
      <c r="O198" s="13"/>
      <c r="P198" s="4" t="str">
        <f t="shared" si="1"/>
        <v/>
      </c>
      <c r="Q198" s="4">
        <v>8.65</v>
      </c>
      <c r="R198" s="11">
        <v>0.6381</v>
      </c>
      <c r="S198" s="4">
        <v>0.961</v>
      </c>
      <c r="T198" s="4">
        <v>8.05</v>
      </c>
      <c r="U198" s="4">
        <v>7.73</v>
      </c>
    </row>
    <row r="199" ht="15.75" customHeight="1">
      <c r="A199" s="4" t="s">
        <v>1216</v>
      </c>
      <c r="B199" s="4" t="s">
        <v>1214</v>
      </c>
      <c r="C199" s="4" t="s">
        <v>86</v>
      </c>
      <c r="D199" s="4" t="s">
        <v>1794</v>
      </c>
      <c r="E199" s="4" t="s">
        <v>1418</v>
      </c>
      <c r="F199" s="4" t="s">
        <v>2882</v>
      </c>
      <c r="G199" s="4">
        <v>12.5</v>
      </c>
      <c r="H199" s="4">
        <v>15.13</v>
      </c>
      <c r="I199" s="11">
        <v>0.7159</v>
      </c>
      <c r="J199" s="11">
        <v>0.2841</v>
      </c>
      <c r="K199" s="4" t="s">
        <v>110</v>
      </c>
      <c r="L199" s="4" t="s">
        <v>2905</v>
      </c>
      <c r="N199" s="11">
        <v>0.7</v>
      </c>
      <c r="O199" s="13"/>
      <c r="P199" s="4" t="str">
        <f t="shared" si="1"/>
        <v/>
      </c>
      <c r="Q199" s="4">
        <v>14.54</v>
      </c>
      <c r="R199" s="11">
        <v>0.6741</v>
      </c>
      <c r="S199" s="4">
        <v>0.961</v>
      </c>
      <c r="T199" s="4">
        <v>14.52</v>
      </c>
      <c r="U199" s="4">
        <v>13.96</v>
      </c>
    </row>
    <row r="200" ht="15.75" customHeight="1">
      <c r="A200" s="4" t="s">
        <v>1216</v>
      </c>
      <c r="B200" s="4" t="s">
        <v>1214</v>
      </c>
      <c r="C200" s="4" t="s">
        <v>86</v>
      </c>
      <c r="D200" s="4" t="s">
        <v>1794</v>
      </c>
      <c r="E200" s="4" t="s">
        <v>1519</v>
      </c>
      <c r="F200" s="4" t="s">
        <v>2880</v>
      </c>
      <c r="G200" s="4">
        <v>7.5</v>
      </c>
      <c r="H200" s="4">
        <v>6.9</v>
      </c>
      <c r="I200" s="11">
        <v>0.4177</v>
      </c>
      <c r="J200" s="11">
        <v>0.5823</v>
      </c>
      <c r="K200" s="4" t="s">
        <v>110</v>
      </c>
      <c r="L200" s="4" t="s">
        <v>2905</v>
      </c>
      <c r="N200" s="11">
        <v>0.4</v>
      </c>
      <c r="O200" s="13"/>
      <c r="P200" s="4" t="str">
        <f t="shared" si="1"/>
        <v/>
      </c>
      <c r="Q200" s="4">
        <v>7.24</v>
      </c>
      <c r="R200" s="11">
        <v>0.4656</v>
      </c>
      <c r="S200" s="4">
        <v>1.05</v>
      </c>
      <c r="T200" s="4">
        <v>7.36</v>
      </c>
      <c r="U200" s="4">
        <v>7.73</v>
      </c>
    </row>
    <row r="201" ht="15.75" customHeight="1">
      <c r="A201" s="4" t="s">
        <v>1216</v>
      </c>
      <c r="B201" s="4" t="s">
        <v>1214</v>
      </c>
      <c r="C201" s="4" t="s">
        <v>86</v>
      </c>
      <c r="D201" s="4" t="s">
        <v>1794</v>
      </c>
      <c r="E201" s="4" t="s">
        <v>1519</v>
      </c>
      <c r="F201" s="4" t="s">
        <v>2882</v>
      </c>
      <c r="G201" s="4">
        <v>14.5</v>
      </c>
      <c r="H201" s="4">
        <v>14.04</v>
      </c>
      <c r="I201" s="11">
        <v>0.4585</v>
      </c>
      <c r="J201" s="11">
        <v>0.5415</v>
      </c>
      <c r="K201" s="4" t="s">
        <v>110</v>
      </c>
      <c r="L201" s="4" t="s">
        <v>2905</v>
      </c>
      <c r="N201" s="11">
        <v>0.4</v>
      </c>
      <c r="O201" s="13"/>
      <c r="P201" s="4" t="str">
        <f t="shared" si="1"/>
        <v/>
      </c>
      <c r="Q201" s="4">
        <v>14.74</v>
      </c>
      <c r="R201" s="11">
        <v>0.521</v>
      </c>
      <c r="S201" s="4">
        <v>1.05</v>
      </c>
      <c r="T201" s="4">
        <v>13.89</v>
      </c>
      <c r="U201" s="4">
        <v>14.59</v>
      </c>
    </row>
    <row r="202" ht="15.75" customHeight="1">
      <c r="A202" s="4" t="s">
        <v>1216</v>
      </c>
      <c r="B202" s="4" t="s">
        <v>1214</v>
      </c>
      <c r="C202" s="4" t="s">
        <v>86</v>
      </c>
      <c r="D202" s="4" t="s">
        <v>1794</v>
      </c>
      <c r="E202" s="4" t="s">
        <v>1523</v>
      </c>
      <c r="F202" s="4" t="s">
        <v>2880</v>
      </c>
      <c r="G202" s="4">
        <v>7.0</v>
      </c>
      <c r="H202" s="4">
        <v>6.3</v>
      </c>
      <c r="I202" s="11">
        <v>0.3298</v>
      </c>
      <c r="J202" s="11">
        <v>0.5294</v>
      </c>
      <c r="K202" s="4" t="s">
        <v>110</v>
      </c>
      <c r="L202" s="4" t="s">
        <v>2905</v>
      </c>
      <c r="N202" s="11">
        <v>0.3</v>
      </c>
      <c r="O202" s="13"/>
      <c r="P202" s="4" t="str">
        <f t="shared" si="1"/>
        <v/>
      </c>
      <c r="Q202" s="4">
        <v>6.61</v>
      </c>
      <c r="R202" s="11">
        <v>0.3756</v>
      </c>
      <c r="S202" s="4">
        <v>1.05</v>
      </c>
      <c r="T202" s="4">
        <v>6.74</v>
      </c>
      <c r="U202" s="4">
        <v>7.08</v>
      </c>
    </row>
    <row r="203" ht="15.75" customHeight="1">
      <c r="A203" s="4" t="s">
        <v>1216</v>
      </c>
      <c r="B203" s="4" t="s">
        <v>1214</v>
      </c>
      <c r="C203" s="4" t="s">
        <v>86</v>
      </c>
      <c r="D203" s="4" t="s">
        <v>1794</v>
      </c>
      <c r="E203" s="4" t="s">
        <v>1523</v>
      </c>
      <c r="F203" s="4" t="s">
        <v>2882</v>
      </c>
      <c r="G203" s="4">
        <v>15.5</v>
      </c>
      <c r="H203" s="4">
        <v>14.1</v>
      </c>
      <c r="I203" s="11">
        <v>0.3767</v>
      </c>
      <c r="J203" s="11">
        <v>0.6233</v>
      </c>
      <c r="K203" s="4" t="s">
        <v>110</v>
      </c>
      <c r="L203" s="4" t="s">
        <v>2905</v>
      </c>
      <c r="N203" s="11">
        <v>0.2</v>
      </c>
      <c r="O203" s="13"/>
      <c r="P203" s="4" t="str">
        <f t="shared" si="1"/>
        <v/>
      </c>
      <c r="Q203" s="4">
        <v>14.81</v>
      </c>
      <c r="R203" s="11">
        <v>0.4396</v>
      </c>
      <c r="S203" s="4">
        <v>1.05</v>
      </c>
      <c r="T203" s="4">
        <v>14.1</v>
      </c>
      <c r="U203" s="4">
        <v>14.81</v>
      </c>
    </row>
    <row r="204" ht="15.75" customHeight="1">
      <c r="A204" s="4" t="s">
        <v>1216</v>
      </c>
      <c r="B204" s="4" t="s">
        <v>1214</v>
      </c>
      <c r="C204" s="4" t="s">
        <v>86</v>
      </c>
      <c r="D204" s="4" t="s">
        <v>1794</v>
      </c>
      <c r="E204" s="4" t="s">
        <v>1526</v>
      </c>
      <c r="F204" s="4" t="s">
        <v>2880</v>
      </c>
      <c r="G204" s="4">
        <v>9.0</v>
      </c>
      <c r="H204" s="4">
        <v>8.72</v>
      </c>
      <c r="I204" s="11">
        <v>0.4066</v>
      </c>
      <c r="J204" s="11">
        <v>0.4736</v>
      </c>
      <c r="K204" s="4" t="s">
        <v>110</v>
      </c>
      <c r="L204" s="4" t="s">
        <v>2905</v>
      </c>
      <c r="N204" s="11">
        <v>0.6</v>
      </c>
      <c r="O204" s="13"/>
      <c r="P204" s="4" t="str">
        <f t="shared" si="1"/>
        <v/>
      </c>
      <c r="Q204" s="4">
        <v>9.15</v>
      </c>
      <c r="R204" s="11">
        <v>0.4594</v>
      </c>
      <c r="S204" s="4">
        <v>1.05</v>
      </c>
      <c r="T204" s="4">
        <v>8.42</v>
      </c>
      <c r="U204" s="4">
        <v>8.84</v>
      </c>
    </row>
    <row r="205" ht="15.75" customHeight="1">
      <c r="A205" s="4" t="s">
        <v>1216</v>
      </c>
      <c r="B205" s="4" t="s">
        <v>1214</v>
      </c>
      <c r="C205" s="4" t="s">
        <v>86</v>
      </c>
      <c r="D205" s="4" t="s">
        <v>1794</v>
      </c>
      <c r="E205" s="4" t="s">
        <v>1526</v>
      </c>
      <c r="F205" s="4" t="s">
        <v>2882</v>
      </c>
      <c r="G205" s="4">
        <v>15.0</v>
      </c>
      <c r="H205" s="4">
        <v>13.6</v>
      </c>
      <c r="I205" s="11">
        <v>0.3318</v>
      </c>
      <c r="J205" s="11">
        <v>0.5816</v>
      </c>
      <c r="K205" s="4" t="s">
        <v>110</v>
      </c>
      <c r="L205" s="4" t="s">
        <v>2905</v>
      </c>
      <c r="N205" s="11">
        <v>0.5</v>
      </c>
      <c r="O205" s="13"/>
      <c r="P205" s="4" t="str">
        <f t="shared" si="1"/>
        <v/>
      </c>
      <c r="Q205" s="4">
        <v>14.28</v>
      </c>
      <c r="R205" s="11">
        <v>0.3926</v>
      </c>
      <c r="S205" s="4">
        <v>1.05</v>
      </c>
      <c r="T205" s="4">
        <v>13.47</v>
      </c>
      <c r="U205" s="4">
        <v>14.15</v>
      </c>
    </row>
    <row r="206" ht="15.75" customHeight="1">
      <c r="A206" s="4" t="s">
        <v>1216</v>
      </c>
      <c r="B206" s="4" t="s">
        <v>1214</v>
      </c>
      <c r="C206" s="4" t="s">
        <v>86</v>
      </c>
      <c r="D206" s="4" t="s">
        <v>1794</v>
      </c>
      <c r="E206" s="4" t="s">
        <v>1515</v>
      </c>
      <c r="F206" s="4" t="s">
        <v>2882</v>
      </c>
      <c r="G206" s="4">
        <v>16.0</v>
      </c>
      <c r="H206" s="4">
        <v>17.0</v>
      </c>
      <c r="I206" s="11">
        <v>0.541</v>
      </c>
      <c r="J206" s="11">
        <v>0.3791</v>
      </c>
      <c r="K206" s="4" t="s">
        <v>110</v>
      </c>
      <c r="L206" s="4" t="s">
        <v>2905</v>
      </c>
      <c r="N206" s="11">
        <v>0.5</v>
      </c>
      <c r="O206" s="13"/>
      <c r="P206" s="4" t="str">
        <f t="shared" si="1"/>
        <v/>
      </c>
      <c r="Q206" s="4">
        <v>17.85</v>
      </c>
      <c r="R206" s="11">
        <v>0.6066</v>
      </c>
      <c r="S206" s="4">
        <v>1.05</v>
      </c>
      <c r="T206" s="4">
        <v>15.58</v>
      </c>
      <c r="U206" s="4">
        <v>16.36</v>
      </c>
    </row>
    <row r="207" ht="15.75" customHeight="1">
      <c r="A207" s="4" t="s">
        <v>1216</v>
      </c>
      <c r="B207" s="4" t="s">
        <v>1214</v>
      </c>
      <c r="C207" s="4" t="s">
        <v>86</v>
      </c>
      <c r="D207" s="4" t="s">
        <v>1794</v>
      </c>
      <c r="E207" s="4" t="s">
        <v>1529</v>
      </c>
      <c r="F207" s="4" t="s">
        <v>2880</v>
      </c>
      <c r="G207" s="4">
        <v>7.0</v>
      </c>
      <c r="H207" s="4">
        <v>7.2</v>
      </c>
      <c r="I207" s="11">
        <v>0.4594</v>
      </c>
      <c r="J207" s="11">
        <v>0.4076</v>
      </c>
      <c r="K207" s="4" t="s">
        <v>110</v>
      </c>
      <c r="L207" s="4" t="s">
        <v>2905</v>
      </c>
      <c r="N207" s="11">
        <v>0.4</v>
      </c>
      <c r="O207" s="13"/>
      <c r="P207" s="4" t="str">
        <f t="shared" si="1"/>
        <v/>
      </c>
      <c r="Q207" s="4">
        <v>7.56</v>
      </c>
      <c r="R207" s="11">
        <v>0.5073</v>
      </c>
      <c r="S207" s="4">
        <v>1.05</v>
      </c>
      <c r="T207" s="4">
        <v>6.54</v>
      </c>
      <c r="U207" s="4">
        <v>6.87</v>
      </c>
    </row>
    <row r="208" ht="15.75" customHeight="1">
      <c r="A208" s="4" t="s">
        <v>1216</v>
      </c>
      <c r="B208" s="4" t="s">
        <v>1214</v>
      </c>
      <c r="C208" s="4" t="s">
        <v>86</v>
      </c>
      <c r="D208" s="4" t="s">
        <v>1794</v>
      </c>
      <c r="E208" s="4" t="s">
        <v>1529</v>
      </c>
      <c r="F208" s="4" t="s">
        <v>2882</v>
      </c>
      <c r="G208" s="4">
        <v>13.0</v>
      </c>
      <c r="H208" s="4">
        <v>12.0</v>
      </c>
      <c r="I208" s="11">
        <v>0.3571</v>
      </c>
      <c r="J208" s="11">
        <v>0.5487</v>
      </c>
      <c r="K208" s="4" t="s">
        <v>110</v>
      </c>
      <c r="L208" s="4" t="s">
        <v>2905</v>
      </c>
      <c r="N208" s="11">
        <v>0.2</v>
      </c>
      <c r="O208" s="13"/>
      <c r="P208" s="4" t="str">
        <f t="shared" si="1"/>
        <v/>
      </c>
      <c r="Q208" s="4">
        <v>12.6</v>
      </c>
      <c r="R208" s="11">
        <v>0.415</v>
      </c>
      <c r="S208" s="4">
        <v>1.05</v>
      </c>
      <c r="T208" s="4">
        <v>12.0</v>
      </c>
      <c r="U208" s="4">
        <v>12.6</v>
      </c>
    </row>
    <row r="209" ht="15.75" customHeight="1">
      <c r="A209" s="4" t="s">
        <v>1216</v>
      </c>
      <c r="B209" s="4" t="s">
        <v>1214</v>
      </c>
      <c r="C209" s="4" t="s">
        <v>86</v>
      </c>
      <c r="D209" s="4" t="s">
        <v>1462</v>
      </c>
      <c r="E209" s="4" t="s">
        <v>1519</v>
      </c>
      <c r="F209" s="4" t="s">
        <v>2880</v>
      </c>
      <c r="G209" s="4">
        <v>7.5</v>
      </c>
      <c r="H209" s="4">
        <v>7.05</v>
      </c>
      <c r="I209" s="11">
        <v>0.4382</v>
      </c>
      <c r="J209" s="11">
        <v>0.5618</v>
      </c>
      <c r="K209" s="4" t="s">
        <v>110</v>
      </c>
      <c r="L209" s="4" t="s">
        <v>942</v>
      </c>
      <c r="N209" s="11">
        <v>0.4</v>
      </c>
      <c r="O209" s="13"/>
      <c r="P209" s="4" t="str">
        <f t="shared" si="1"/>
        <v/>
      </c>
      <c r="Q209" s="4">
        <v>8.07</v>
      </c>
      <c r="R209" s="11">
        <v>0.573</v>
      </c>
      <c r="S209" s="4">
        <v>1.1457</v>
      </c>
      <c r="T209" s="4">
        <v>7.52</v>
      </c>
      <c r="U209" s="4">
        <v>8.62</v>
      </c>
    </row>
    <row r="210" ht="15.75" customHeight="1">
      <c r="A210" s="4" t="s">
        <v>1216</v>
      </c>
      <c r="B210" s="4" t="s">
        <v>1214</v>
      </c>
      <c r="C210" s="4" t="s">
        <v>86</v>
      </c>
      <c r="D210" s="4" t="s">
        <v>1462</v>
      </c>
      <c r="E210" s="4" t="s">
        <v>1519</v>
      </c>
      <c r="F210" s="4" t="s">
        <v>2882</v>
      </c>
      <c r="G210" s="4">
        <v>14.5</v>
      </c>
      <c r="H210" s="4">
        <v>14.34</v>
      </c>
      <c r="I210" s="11">
        <v>0.4856</v>
      </c>
      <c r="J210" s="11">
        <v>0.5144</v>
      </c>
      <c r="K210" s="4" t="s">
        <v>110</v>
      </c>
      <c r="L210" s="4" t="s">
        <v>942</v>
      </c>
      <c r="N210" s="11">
        <v>0.4</v>
      </c>
      <c r="O210" s="13"/>
      <c r="P210" s="4" t="str">
        <f t="shared" si="1"/>
        <v/>
      </c>
      <c r="Q210" s="4">
        <v>16.43</v>
      </c>
      <c r="R210" s="11">
        <v>0.6561</v>
      </c>
      <c r="S210" s="4">
        <v>1.1457</v>
      </c>
      <c r="T210" s="4">
        <v>14.19</v>
      </c>
      <c r="U210" s="4">
        <v>16.26</v>
      </c>
    </row>
    <row r="211" ht="15.75" customHeight="1">
      <c r="A211" s="4" t="s">
        <v>1216</v>
      </c>
      <c r="B211" s="4" t="s">
        <v>1214</v>
      </c>
      <c r="C211" s="4" t="s">
        <v>86</v>
      </c>
      <c r="D211" s="4" t="s">
        <v>1462</v>
      </c>
      <c r="E211" s="4" t="s">
        <v>1523</v>
      </c>
      <c r="F211" s="4" t="s">
        <v>2880</v>
      </c>
      <c r="G211" s="4">
        <v>7.0</v>
      </c>
      <c r="H211" s="4">
        <v>6.43</v>
      </c>
      <c r="I211" s="11">
        <v>0.3499</v>
      </c>
      <c r="J211" s="11">
        <v>0.5096</v>
      </c>
      <c r="K211" s="4" t="s">
        <v>110</v>
      </c>
      <c r="L211" s="4" t="s">
        <v>942</v>
      </c>
      <c r="N211" s="11">
        <v>0.3</v>
      </c>
      <c r="O211" s="13"/>
      <c r="P211" s="4" t="str">
        <f t="shared" si="1"/>
        <v/>
      </c>
      <c r="Q211" s="4">
        <v>7.37</v>
      </c>
      <c r="R211" s="11">
        <v>0.4826</v>
      </c>
      <c r="S211" s="4">
        <v>1.1457</v>
      </c>
      <c r="T211" s="4">
        <v>6.89</v>
      </c>
      <c r="U211" s="4">
        <v>7.89</v>
      </c>
    </row>
    <row r="212" ht="15.75" customHeight="1">
      <c r="A212" s="4" t="s">
        <v>1216</v>
      </c>
      <c r="B212" s="4" t="s">
        <v>1214</v>
      </c>
      <c r="C212" s="4" t="s">
        <v>86</v>
      </c>
      <c r="D212" s="4" t="s">
        <v>1462</v>
      </c>
      <c r="E212" s="4" t="s">
        <v>1523</v>
      </c>
      <c r="F212" s="4" t="s">
        <v>2882</v>
      </c>
      <c r="G212" s="4">
        <v>15.5</v>
      </c>
      <c r="H212" s="4">
        <v>14.41</v>
      </c>
      <c r="I212" s="11">
        <v>0.4037</v>
      </c>
      <c r="J212" s="11">
        <v>0.5963</v>
      </c>
      <c r="K212" s="4" t="s">
        <v>110</v>
      </c>
      <c r="L212" s="4" t="s">
        <v>942</v>
      </c>
      <c r="N212" s="11">
        <v>0.2</v>
      </c>
      <c r="O212" s="13"/>
      <c r="P212" s="4" t="str">
        <f t="shared" si="1"/>
        <v/>
      </c>
      <c r="Q212" s="4">
        <v>16.5</v>
      </c>
      <c r="R212" s="11">
        <v>0.5827</v>
      </c>
      <c r="S212" s="4">
        <v>1.1457</v>
      </c>
      <c r="T212" s="4">
        <v>14.41</v>
      </c>
      <c r="U212" s="4">
        <v>16.5</v>
      </c>
    </row>
    <row r="213" ht="15.75" customHeight="1">
      <c r="A213" s="4" t="s">
        <v>1216</v>
      </c>
      <c r="B213" s="4" t="s">
        <v>1214</v>
      </c>
      <c r="C213" s="4" t="s">
        <v>86</v>
      </c>
      <c r="D213" s="4" t="s">
        <v>1462</v>
      </c>
      <c r="E213" s="4" t="s">
        <v>1526</v>
      </c>
      <c r="F213" s="4" t="s">
        <v>2880</v>
      </c>
      <c r="G213" s="4">
        <v>9.0</v>
      </c>
      <c r="H213" s="4">
        <v>8.9</v>
      </c>
      <c r="I213" s="11">
        <v>0.4293</v>
      </c>
      <c r="J213" s="11">
        <v>0.4517</v>
      </c>
      <c r="K213" s="4" t="s">
        <v>110</v>
      </c>
      <c r="L213" s="4" t="s">
        <v>942</v>
      </c>
      <c r="N213" s="11">
        <v>0.6</v>
      </c>
      <c r="O213" s="13"/>
      <c r="P213" s="4" t="str">
        <f t="shared" si="1"/>
        <v/>
      </c>
      <c r="Q213" s="4">
        <v>10.2</v>
      </c>
      <c r="R213" s="11">
        <v>0.5779</v>
      </c>
      <c r="S213" s="4">
        <v>1.1457</v>
      </c>
      <c r="T213" s="4">
        <v>8.6</v>
      </c>
      <c r="U213" s="4">
        <v>9.85</v>
      </c>
    </row>
    <row r="214" ht="15.75" customHeight="1">
      <c r="A214" s="4" t="s">
        <v>1216</v>
      </c>
      <c r="B214" s="4" t="s">
        <v>1214</v>
      </c>
      <c r="C214" s="4" t="s">
        <v>86</v>
      </c>
      <c r="D214" s="4" t="s">
        <v>1462</v>
      </c>
      <c r="E214" s="4" t="s">
        <v>1526</v>
      </c>
      <c r="F214" s="4" t="s">
        <v>2882</v>
      </c>
      <c r="G214" s="4">
        <v>15.0</v>
      </c>
      <c r="H214" s="4">
        <v>13.89</v>
      </c>
      <c r="I214" s="11">
        <v>0.3577</v>
      </c>
      <c r="J214" s="11">
        <v>0.5548</v>
      </c>
      <c r="K214" s="4" t="s">
        <v>110</v>
      </c>
      <c r="L214" s="4" t="s">
        <v>942</v>
      </c>
      <c r="N214" s="11">
        <v>0.5</v>
      </c>
      <c r="O214" s="13"/>
      <c r="P214" s="4" t="str">
        <f t="shared" si="1"/>
        <v/>
      </c>
      <c r="Q214" s="4">
        <v>15.92</v>
      </c>
      <c r="R214" s="11">
        <v>0.5351</v>
      </c>
      <c r="S214" s="4">
        <v>1.1457</v>
      </c>
      <c r="T214" s="4">
        <v>13.76</v>
      </c>
      <c r="U214" s="4">
        <v>15.76</v>
      </c>
    </row>
    <row r="215" ht="15.75" customHeight="1">
      <c r="A215" s="4" t="s">
        <v>1216</v>
      </c>
      <c r="B215" s="4" t="s">
        <v>1214</v>
      </c>
      <c r="C215" s="4" t="s">
        <v>86</v>
      </c>
      <c r="D215" s="4" t="s">
        <v>1462</v>
      </c>
      <c r="E215" s="4" t="s">
        <v>1515</v>
      </c>
      <c r="F215" s="4" t="s">
        <v>2882</v>
      </c>
      <c r="G215" s="4">
        <v>16.0</v>
      </c>
      <c r="H215" s="4">
        <v>17.37</v>
      </c>
      <c r="I215" s="11">
        <v>0.5697</v>
      </c>
      <c r="J215" s="11">
        <v>0.3526</v>
      </c>
      <c r="K215" s="4" t="s">
        <v>110</v>
      </c>
      <c r="L215" s="4" t="s">
        <v>942</v>
      </c>
      <c r="N215" s="11">
        <v>0.5</v>
      </c>
      <c r="O215" s="13"/>
      <c r="P215" s="4" t="str">
        <f t="shared" si="1"/>
        <v/>
      </c>
      <c r="Q215" s="4">
        <v>19.9</v>
      </c>
      <c r="R215" s="11">
        <v>0.74</v>
      </c>
      <c r="S215" s="4">
        <v>1.1457</v>
      </c>
      <c r="T215" s="4">
        <v>15.91</v>
      </c>
      <c r="U215" s="4">
        <v>18.23</v>
      </c>
    </row>
    <row r="216" ht="15.75" customHeight="1">
      <c r="A216" s="4" t="s">
        <v>1216</v>
      </c>
      <c r="B216" s="4" t="s">
        <v>1214</v>
      </c>
      <c r="C216" s="4" t="s">
        <v>86</v>
      </c>
      <c r="D216" s="4" t="s">
        <v>1462</v>
      </c>
      <c r="E216" s="4" t="s">
        <v>1529</v>
      </c>
      <c r="F216" s="4" t="s">
        <v>2880</v>
      </c>
      <c r="G216" s="4">
        <v>7.0</v>
      </c>
      <c r="H216" s="4">
        <v>7.35</v>
      </c>
      <c r="I216" s="11">
        <v>0.4801</v>
      </c>
      <c r="J216" s="11">
        <v>0.3884</v>
      </c>
      <c r="K216" s="4" t="s">
        <v>110</v>
      </c>
      <c r="L216" s="4" t="s">
        <v>942</v>
      </c>
      <c r="N216" s="11">
        <v>0.4</v>
      </c>
      <c r="O216" s="13"/>
      <c r="P216" s="4" t="str">
        <f t="shared" si="1"/>
        <v/>
      </c>
      <c r="Q216" s="4">
        <v>8.42</v>
      </c>
      <c r="R216" s="11">
        <v>0.6129</v>
      </c>
      <c r="S216" s="4">
        <v>1.1457</v>
      </c>
      <c r="T216" s="4">
        <v>6.68</v>
      </c>
      <c r="U216" s="4">
        <v>7.65</v>
      </c>
    </row>
    <row r="217" ht="15.75" customHeight="1">
      <c r="A217" s="4" t="s">
        <v>1216</v>
      </c>
      <c r="B217" s="4" t="s">
        <v>1214</v>
      </c>
      <c r="C217" s="4" t="s">
        <v>86</v>
      </c>
      <c r="D217" s="4" t="s">
        <v>1462</v>
      </c>
      <c r="E217" s="4" t="s">
        <v>1529</v>
      </c>
      <c r="F217" s="4" t="s">
        <v>2882</v>
      </c>
      <c r="G217" s="4">
        <v>13.0</v>
      </c>
      <c r="H217" s="4">
        <v>12.25</v>
      </c>
      <c r="I217" s="11">
        <v>0.3819</v>
      </c>
      <c r="J217" s="11">
        <v>0.5236</v>
      </c>
      <c r="K217" s="4" t="s">
        <v>110</v>
      </c>
      <c r="L217" s="4" t="s">
        <v>942</v>
      </c>
      <c r="N217" s="11">
        <v>0.2</v>
      </c>
      <c r="O217" s="13"/>
      <c r="P217" s="4" t="str">
        <f t="shared" si="1"/>
        <v/>
      </c>
      <c r="Q217" s="4">
        <v>14.04</v>
      </c>
      <c r="R217" s="11">
        <v>0.5485</v>
      </c>
      <c r="S217" s="4">
        <v>1.1457</v>
      </c>
      <c r="T217" s="4">
        <v>12.25</v>
      </c>
      <c r="U217" s="4">
        <v>14.04</v>
      </c>
    </row>
    <row r="218" ht="15.75" customHeight="1">
      <c r="A218" s="4" t="s">
        <v>1216</v>
      </c>
      <c r="B218" s="4" t="s">
        <v>1214</v>
      </c>
      <c r="C218" s="4" t="s">
        <v>86</v>
      </c>
      <c r="D218" s="4" t="s">
        <v>1160</v>
      </c>
      <c r="E218" s="4" t="s">
        <v>1405</v>
      </c>
      <c r="F218" s="4" t="s">
        <v>2880</v>
      </c>
      <c r="G218" s="4">
        <v>7.5</v>
      </c>
      <c r="H218" s="4">
        <v>7.16</v>
      </c>
      <c r="I218" s="11">
        <v>0.4541</v>
      </c>
      <c r="J218" s="11">
        <v>0.5459</v>
      </c>
      <c r="K218" s="4" t="s">
        <v>262</v>
      </c>
      <c r="L218" s="4" t="s">
        <v>2921</v>
      </c>
      <c r="N218" s="11">
        <v>0.5</v>
      </c>
      <c r="O218" s="13"/>
      <c r="P218" s="4" t="str">
        <f t="shared" si="1"/>
        <v/>
      </c>
      <c r="Q218" s="4">
        <v>6.92</v>
      </c>
      <c r="R218" s="11">
        <v>0.4209</v>
      </c>
      <c r="S218" s="4">
        <v>0.9667</v>
      </c>
      <c r="T218" s="4">
        <v>7.62</v>
      </c>
      <c r="U218" s="4">
        <v>7.37</v>
      </c>
    </row>
    <row r="219" ht="15.75" customHeight="1">
      <c r="A219" s="4" t="s">
        <v>1216</v>
      </c>
      <c r="B219" s="4" t="s">
        <v>1214</v>
      </c>
      <c r="C219" s="4" t="s">
        <v>86</v>
      </c>
      <c r="D219" s="4" t="s">
        <v>1160</v>
      </c>
      <c r="E219" s="4" t="s">
        <v>1405</v>
      </c>
      <c r="F219" s="4" t="s">
        <v>2882</v>
      </c>
      <c r="G219" s="4">
        <v>14.0</v>
      </c>
      <c r="H219" s="4">
        <v>14.49</v>
      </c>
      <c r="I219" s="11">
        <v>0.499</v>
      </c>
      <c r="J219" s="11">
        <v>0.4131</v>
      </c>
      <c r="K219" s="4" t="s">
        <v>262</v>
      </c>
      <c r="L219" s="4" t="s">
        <v>2921</v>
      </c>
      <c r="N219" s="11">
        <v>0.6</v>
      </c>
      <c r="O219" s="13"/>
      <c r="P219" s="4" t="str">
        <f t="shared" si="1"/>
        <v/>
      </c>
      <c r="Q219" s="4">
        <v>14.01</v>
      </c>
      <c r="R219" s="11">
        <v>0.4556</v>
      </c>
      <c r="S219" s="4">
        <v>0.9667</v>
      </c>
      <c r="T219" s="4">
        <v>14.74</v>
      </c>
      <c r="U219" s="4">
        <v>14.25</v>
      </c>
    </row>
    <row r="220" ht="15.75" customHeight="1">
      <c r="A220" s="4" t="s">
        <v>1216</v>
      </c>
      <c r="B220" s="4" t="s">
        <v>1214</v>
      </c>
      <c r="C220" s="4" t="s">
        <v>86</v>
      </c>
      <c r="D220" s="4" t="s">
        <v>1160</v>
      </c>
      <c r="E220" s="4" t="s">
        <v>1409</v>
      </c>
      <c r="F220" s="4" t="s">
        <v>2880</v>
      </c>
      <c r="G220" s="4">
        <v>9.0</v>
      </c>
      <c r="H220" s="4">
        <v>11.7</v>
      </c>
      <c r="I220" s="11">
        <v>0.7162</v>
      </c>
      <c r="J220" s="11">
        <v>0.203</v>
      </c>
      <c r="K220" s="4" t="s">
        <v>262</v>
      </c>
      <c r="L220" s="4" t="s">
        <v>2921</v>
      </c>
      <c r="N220" s="11">
        <v>0.8</v>
      </c>
      <c r="O220" s="13"/>
      <c r="P220" s="4" t="str">
        <f t="shared" si="1"/>
        <v/>
      </c>
      <c r="Q220" s="4">
        <v>11.31</v>
      </c>
      <c r="R220" s="11">
        <v>0.6838</v>
      </c>
      <c r="S220" s="4">
        <v>0.9667</v>
      </c>
      <c r="T220" s="4">
        <v>10.15</v>
      </c>
      <c r="U220" s="4">
        <v>9.81</v>
      </c>
    </row>
    <row r="221" ht="15.75" customHeight="1">
      <c r="A221" s="4" t="s">
        <v>1216</v>
      </c>
      <c r="B221" s="4" t="s">
        <v>1214</v>
      </c>
      <c r="C221" s="4" t="s">
        <v>86</v>
      </c>
      <c r="D221" s="4" t="s">
        <v>1160</v>
      </c>
      <c r="E221" s="4" t="s">
        <v>1409</v>
      </c>
      <c r="F221" s="4" t="s">
        <v>2882</v>
      </c>
      <c r="G221" s="4">
        <v>14.0</v>
      </c>
      <c r="H221" s="4">
        <v>17.5</v>
      </c>
      <c r="I221" s="11">
        <v>0.7276</v>
      </c>
      <c r="J221" s="11">
        <v>0.2096</v>
      </c>
      <c r="K221" s="4" t="s">
        <v>262</v>
      </c>
      <c r="L221" s="4" t="s">
        <v>2921</v>
      </c>
      <c r="N221" s="11">
        <v>0.7</v>
      </c>
      <c r="O221" s="13"/>
      <c r="P221" s="4" t="str">
        <f t="shared" si="1"/>
        <v/>
      </c>
      <c r="Q221" s="4">
        <v>16.91</v>
      </c>
      <c r="R221" s="11">
        <v>0.6901</v>
      </c>
      <c r="S221" s="4">
        <v>0.9667</v>
      </c>
      <c r="T221" s="4">
        <v>15.38</v>
      </c>
      <c r="U221" s="4">
        <v>14.87</v>
      </c>
    </row>
    <row r="222" ht="15.75" customHeight="1">
      <c r="A222" s="4" t="s">
        <v>1216</v>
      </c>
      <c r="B222" s="4" t="s">
        <v>1214</v>
      </c>
      <c r="C222" s="4" t="s">
        <v>86</v>
      </c>
      <c r="D222" s="4" t="s">
        <v>1160</v>
      </c>
      <c r="E222" s="4" t="s">
        <v>1412</v>
      </c>
      <c r="F222" s="4" t="s">
        <v>2882</v>
      </c>
      <c r="G222" s="4">
        <v>15.0</v>
      </c>
      <c r="H222" s="4">
        <v>16.7</v>
      </c>
      <c r="I222" s="11">
        <v>0.5977</v>
      </c>
      <c r="J222" s="11">
        <v>0.3248</v>
      </c>
      <c r="K222" s="4" t="s">
        <v>262</v>
      </c>
      <c r="L222" s="4" t="s">
        <v>2921</v>
      </c>
      <c r="N222" s="11">
        <v>0.6</v>
      </c>
      <c r="O222" s="13"/>
      <c r="P222" s="4" t="str">
        <f t="shared" si="1"/>
        <v/>
      </c>
      <c r="Q222" s="4">
        <v>16.14</v>
      </c>
      <c r="R222" s="11">
        <v>0.5536</v>
      </c>
      <c r="S222" s="4">
        <v>0.9667</v>
      </c>
      <c r="T222" s="4">
        <v>16.45</v>
      </c>
      <c r="U222" s="4">
        <v>15.9</v>
      </c>
    </row>
    <row r="223" ht="15.75" customHeight="1">
      <c r="A223" s="4" t="s">
        <v>1216</v>
      </c>
      <c r="B223" s="4" t="s">
        <v>1214</v>
      </c>
      <c r="C223" s="4" t="s">
        <v>86</v>
      </c>
      <c r="D223" s="4" t="s">
        <v>1160</v>
      </c>
      <c r="E223" s="4" t="s">
        <v>1415</v>
      </c>
      <c r="F223" s="4" t="s">
        <v>2880</v>
      </c>
      <c r="G223" s="4">
        <v>8.0</v>
      </c>
      <c r="H223" s="4">
        <v>9.12</v>
      </c>
      <c r="I223" s="11">
        <v>0.5723</v>
      </c>
      <c r="J223" s="11">
        <v>0.3174</v>
      </c>
      <c r="K223" s="4" t="s">
        <v>262</v>
      </c>
      <c r="L223" s="4" t="s">
        <v>2921</v>
      </c>
      <c r="N223" s="11">
        <v>0.3</v>
      </c>
      <c r="O223" s="13"/>
      <c r="P223" s="4" t="str">
        <f t="shared" si="1"/>
        <v/>
      </c>
      <c r="Q223" s="4">
        <v>8.82</v>
      </c>
      <c r="R223" s="11">
        <v>0.5378</v>
      </c>
      <c r="S223" s="4">
        <v>0.9667</v>
      </c>
      <c r="T223" s="4">
        <v>8.26</v>
      </c>
      <c r="U223" s="4">
        <v>7.99</v>
      </c>
    </row>
    <row r="224" ht="15.75" customHeight="1">
      <c r="A224" s="4" t="s">
        <v>1216</v>
      </c>
      <c r="B224" s="4" t="s">
        <v>1214</v>
      </c>
      <c r="C224" s="4" t="s">
        <v>86</v>
      </c>
      <c r="D224" s="4" t="s">
        <v>1160</v>
      </c>
      <c r="E224" s="4" t="s">
        <v>1415</v>
      </c>
      <c r="F224" s="4" t="s">
        <v>2882</v>
      </c>
      <c r="G224" s="4">
        <v>12.0</v>
      </c>
      <c r="H224" s="4">
        <v>13.14</v>
      </c>
      <c r="I224" s="11">
        <v>0.559</v>
      </c>
      <c r="J224" s="11">
        <v>0.3514</v>
      </c>
      <c r="K224" s="4" t="s">
        <v>262</v>
      </c>
      <c r="L224" s="4" t="s">
        <v>2921</v>
      </c>
      <c r="N224" s="11">
        <v>0.2</v>
      </c>
      <c r="O224" s="13"/>
      <c r="P224" s="4" t="str">
        <f t="shared" si="1"/>
        <v/>
      </c>
      <c r="Q224" s="4">
        <v>12.7</v>
      </c>
      <c r="R224" s="11">
        <v>0.5188</v>
      </c>
      <c r="S224" s="4">
        <v>0.9667</v>
      </c>
      <c r="T224" s="4">
        <v>12.39</v>
      </c>
      <c r="U224" s="4">
        <v>11.98</v>
      </c>
    </row>
    <row r="225" ht="15.75" customHeight="1">
      <c r="A225" s="4" t="s">
        <v>1216</v>
      </c>
      <c r="B225" s="4" t="s">
        <v>1214</v>
      </c>
      <c r="C225" s="4" t="s">
        <v>86</v>
      </c>
      <c r="D225" s="4" t="s">
        <v>1160</v>
      </c>
      <c r="E225" s="4" t="s">
        <v>1418</v>
      </c>
      <c r="F225" s="4" t="s">
        <v>2880</v>
      </c>
      <c r="G225" s="4">
        <v>7.5</v>
      </c>
      <c r="H225" s="4">
        <v>9.09</v>
      </c>
      <c r="I225" s="11">
        <v>0.6822</v>
      </c>
      <c r="J225" s="11">
        <v>0.3178</v>
      </c>
      <c r="K225" s="4" t="s">
        <v>262</v>
      </c>
      <c r="L225" s="4" t="s">
        <v>2921</v>
      </c>
      <c r="N225" s="11">
        <v>0.8</v>
      </c>
      <c r="O225" s="13"/>
      <c r="P225" s="4" t="str">
        <f t="shared" si="1"/>
        <v/>
      </c>
      <c r="Q225" s="4">
        <v>8.79</v>
      </c>
      <c r="R225" s="11">
        <v>0.6518</v>
      </c>
      <c r="S225" s="4">
        <v>0.9667</v>
      </c>
      <c r="T225" s="4">
        <v>8.17</v>
      </c>
      <c r="U225" s="4">
        <v>7.89</v>
      </c>
    </row>
    <row r="226" ht="15.75" customHeight="1">
      <c r="A226" s="4" t="s">
        <v>1216</v>
      </c>
      <c r="B226" s="4" t="s">
        <v>1214</v>
      </c>
      <c r="C226" s="4" t="s">
        <v>86</v>
      </c>
      <c r="D226" s="4" t="s">
        <v>1160</v>
      </c>
      <c r="E226" s="4" t="s">
        <v>1418</v>
      </c>
      <c r="F226" s="4" t="s">
        <v>2882</v>
      </c>
      <c r="G226" s="4">
        <v>13.0</v>
      </c>
      <c r="H226" s="4">
        <v>15.36</v>
      </c>
      <c r="I226" s="11">
        <v>0.6559</v>
      </c>
      <c r="J226" s="11">
        <v>0.2686</v>
      </c>
      <c r="K226" s="4" t="s">
        <v>262</v>
      </c>
      <c r="L226" s="4" t="s">
        <v>2921</v>
      </c>
      <c r="N226" s="11">
        <v>0.7</v>
      </c>
      <c r="O226" s="13"/>
      <c r="P226" s="4" t="str">
        <f t="shared" si="1"/>
        <v/>
      </c>
      <c r="Q226" s="4">
        <v>14.85</v>
      </c>
      <c r="R226" s="11">
        <v>0.6164</v>
      </c>
      <c r="S226" s="4">
        <v>0.9667</v>
      </c>
      <c r="T226" s="4">
        <v>14.74</v>
      </c>
      <c r="U226" s="4">
        <v>14.25</v>
      </c>
    </row>
    <row r="227" ht="15.75" customHeight="1">
      <c r="A227" s="4" t="s">
        <v>1216</v>
      </c>
      <c r="B227" s="4" t="s">
        <v>1214</v>
      </c>
      <c r="C227" s="4" t="s">
        <v>86</v>
      </c>
      <c r="D227" s="4" t="s">
        <v>1160</v>
      </c>
      <c r="E227" s="4" t="s">
        <v>1548</v>
      </c>
      <c r="F227" s="4" t="s">
        <v>2880</v>
      </c>
      <c r="G227" s="4">
        <v>8.0</v>
      </c>
      <c r="H227" s="4">
        <v>8.37</v>
      </c>
      <c r="I227" s="11">
        <v>0.4837</v>
      </c>
      <c r="J227" s="11">
        <v>0.392</v>
      </c>
      <c r="K227" s="4" t="s">
        <v>262</v>
      </c>
      <c r="L227" s="4" t="s">
        <v>2921</v>
      </c>
      <c r="N227" s="11">
        <v>0.5</v>
      </c>
      <c r="O227" s="13"/>
      <c r="P227" s="4" t="str">
        <f t="shared" si="1"/>
        <v/>
      </c>
      <c r="Q227" s="4">
        <v>8.29</v>
      </c>
      <c r="R227" s="11">
        <v>0.4734</v>
      </c>
      <c r="S227" s="4">
        <v>0.9903</v>
      </c>
      <c r="T227" s="4">
        <v>7.9</v>
      </c>
      <c r="U227" s="4">
        <v>7.83</v>
      </c>
    </row>
    <row r="228" ht="15.75" customHeight="1">
      <c r="A228" s="4" t="s">
        <v>1216</v>
      </c>
      <c r="B228" s="4" t="s">
        <v>1214</v>
      </c>
      <c r="C228" s="4" t="s">
        <v>86</v>
      </c>
      <c r="D228" s="4" t="s">
        <v>1160</v>
      </c>
      <c r="E228" s="4" t="s">
        <v>1548</v>
      </c>
      <c r="F228" s="4" t="s">
        <v>2882</v>
      </c>
      <c r="G228" s="4">
        <v>15.5</v>
      </c>
      <c r="H228" s="4">
        <v>15.49</v>
      </c>
      <c r="I228" s="11">
        <v>0.4988</v>
      </c>
      <c r="J228" s="11">
        <v>0.5012</v>
      </c>
      <c r="K228" s="4" t="s">
        <v>262</v>
      </c>
      <c r="L228" s="4" t="s">
        <v>2921</v>
      </c>
      <c r="N228" s="11">
        <v>0.4</v>
      </c>
      <c r="O228" s="13"/>
      <c r="P228" s="4" t="str">
        <f t="shared" si="1"/>
        <v/>
      </c>
      <c r="Q228" s="4">
        <v>15.34</v>
      </c>
      <c r="R228" s="11">
        <v>0.4859</v>
      </c>
      <c r="S228" s="4">
        <v>0.9903</v>
      </c>
      <c r="T228" s="4">
        <v>15.38</v>
      </c>
      <c r="U228" s="4">
        <v>15.23</v>
      </c>
    </row>
    <row r="229" ht="15.75" customHeight="1">
      <c r="A229" s="4" t="s">
        <v>1216</v>
      </c>
      <c r="B229" s="4" t="s">
        <v>1214</v>
      </c>
      <c r="C229" s="4" t="s">
        <v>86</v>
      </c>
      <c r="D229" s="4" t="s">
        <v>1160</v>
      </c>
      <c r="E229" s="4" t="s">
        <v>1552</v>
      </c>
      <c r="F229" s="4" t="s">
        <v>2882</v>
      </c>
      <c r="G229" s="4">
        <v>15.5</v>
      </c>
      <c r="H229" s="4">
        <v>16.13</v>
      </c>
      <c r="I229" s="11">
        <v>0.5525</v>
      </c>
      <c r="J229" s="11">
        <v>0.4475</v>
      </c>
      <c r="K229" s="4" t="s">
        <v>262</v>
      </c>
      <c r="L229" s="4" t="s">
        <v>2921</v>
      </c>
      <c r="N229" s="11">
        <v>0.4</v>
      </c>
      <c r="O229" s="13"/>
      <c r="P229" s="4" t="str">
        <f t="shared" si="1"/>
        <v/>
      </c>
      <c r="Q229" s="4">
        <v>15.97</v>
      </c>
      <c r="R229" s="11">
        <v>0.5396</v>
      </c>
      <c r="S229" s="4">
        <v>0.9903</v>
      </c>
      <c r="T229" s="4">
        <v>15.81</v>
      </c>
      <c r="U229" s="4">
        <v>15.65</v>
      </c>
    </row>
    <row r="230" ht="15.75" customHeight="1">
      <c r="A230" s="4" t="s">
        <v>1216</v>
      </c>
      <c r="B230" s="4" t="s">
        <v>1214</v>
      </c>
      <c r="C230" s="4" t="s">
        <v>86</v>
      </c>
      <c r="D230" s="4" t="s">
        <v>1160</v>
      </c>
      <c r="E230" s="4" t="s">
        <v>1555</v>
      </c>
      <c r="F230" s="4" t="s">
        <v>2880</v>
      </c>
      <c r="G230" s="4">
        <v>8.5</v>
      </c>
      <c r="H230" s="4">
        <v>9.05</v>
      </c>
      <c r="I230" s="11">
        <v>0.5655</v>
      </c>
      <c r="J230" s="11">
        <v>0.4345</v>
      </c>
      <c r="K230" s="4" t="s">
        <v>262</v>
      </c>
      <c r="L230" s="4" t="s">
        <v>2921</v>
      </c>
      <c r="N230" s="11">
        <v>0.5</v>
      </c>
      <c r="O230" s="13"/>
      <c r="P230" s="4" t="str">
        <f t="shared" si="1"/>
        <v/>
      </c>
      <c r="Q230" s="4">
        <v>8.97</v>
      </c>
      <c r="R230" s="11">
        <v>0.5555</v>
      </c>
      <c r="S230" s="4">
        <v>0.9903</v>
      </c>
      <c r="T230" s="4">
        <v>8.78</v>
      </c>
      <c r="U230" s="4">
        <v>8.69</v>
      </c>
    </row>
    <row r="231" ht="15.75" customHeight="1">
      <c r="A231" s="4" t="s">
        <v>1216</v>
      </c>
      <c r="B231" s="4" t="s">
        <v>1214</v>
      </c>
      <c r="C231" s="4" t="s">
        <v>86</v>
      </c>
      <c r="D231" s="4" t="s">
        <v>1160</v>
      </c>
      <c r="E231" s="4" t="s">
        <v>1555</v>
      </c>
      <c r="F231" s="4" t="s">
        <v>2882</v>
      </c>
      <c r="G231" s="4">
        <v>15.5</v>
      </c>
      <c r="H231" s="4">
        <v>14.95</v>
      </c>
      <c r="I231" s="11">
        <v>0.4523</v>
      </c>
      <c r="J231" s="11">
        <v>0.5477</v>
      </c>
      <c r="K231" s="4" t="s">
        <v>262</v>
      </c>
      <c r="L231" s="4" t="s">
        <v>2921</v>
      </c>
      <c r="N231" s="11">
        <v>0.5</v>
      </c>
      <c r="O231" s="13"/>
      <c r="P231" s="4" t="str">
        <f t="shared" si="1"/>
        <v/>
      </c>
      <c r="Q231" s="4">
        <v>14.81</v>
      </c>
      <c r="R231" s="11">
        <v>0.4395</v>
      </c>
      <c r="S231" s="4">
        <v>0.9903</v>
      </c>
      <c r="T231" s="4">
        <v>14.95</v>
      </c>
      <c r="U231" s="4">
        <v>14.81</v>
      </c>
    </row>
    <row r="232" ht="15.75" customHeight="1">
      <c r="A232" s="4" t="s">
        <v>1216</v>
      </c>
      <c r="B232" s="4" t="s">
        <v>1214</v>
      </c>
      <c r="C232" s="4" t="s">
        <v>86</v>
      </c>
      <c r="D232" s="4" t="s">
        <v>1160</v>
      </c>
      <c r="E232" s="4" t="s">
        <v>1558</v>
      </c>
      <c r="F232" s="4" t="s">
        <v>2880</v>
      </c>
      <c r="G232" s="4">
        <v>6.5</v>
      </c>
      <c r="H232" s="4">
        <v>6.44</v>
      </c>
      <c r="I232" s="11">
        <v>0.4916</v>
      </c>
      <c r="J232" s="11">
        <v>0.5084</v>
      </c>
      <c r="K232" s="4" t="s">
        <v>262</v>
      </c>
      <c r="L232" s="4" t="s">
        <v>2921</v>
      </c>
      <c r="N232" s="11">
        <v>0.4</v>
      </c>
      <c r="O232" s="13"/>
      <c r="P232" s="4" t="str">
        <f t="shared" si="1"/>
        <v/>
      </c>
      <c r="Q232" s="4">
        <v>6.38</v>
      </c>
      <c r="R232" s="11">
        <v>0.4826</v>
      </c>
      <c r="S232" s="4">
        <v>0.9903</v>
      </c>
      <c r="T232" s="4">
        <v>6.86</v>
      </c>
      <c r="U232" s="4">
        <v>6.8</v>
      </c>
    </row>
    <row r="233" ht="15.75" customHeight="1">
      <c r="A233" s="4" t="s">
        <v>1216</v>
      </c>
      <c r="B233" s="4" t="s">
        <v>1214</v>
      </c>
      <c r="C233" s="4" t="s">
        <v>86</v>
      </c>
      <c r="D233" s="4" t="s">
        <v>1160</v>
      </c>
      <c r="E233" s="4" t="s">
        <v>1558</v>
      </c>
      <c r="F233" s="4" t="s">
        <v>2882</v>
      </c>
      <c r="G233" s="4">
        <v>14.0</v>
      </c>
      <c r="H233" s="4">
        <v>12.5</v>
      </c>
      <c r="I233" s="11">
        <v>0.3159</v>
      </c>
      <c r="J233" s="11">
        <v>0.5949</v>
      </c>
      <c r="K233" s="4" t="s">
        <v>262</v>
      </c>
      <c r="L233" s="4" t="s">
        <v>2921</v>
      </c>
      <c r="N233" s="11">
        <v>0.5</v>
      </c>
      <c r="O233" s="13"/>
      <c r="P233" s="4" t="str">
        <f t="shared" si="1"/>
        <v/>
      </c>
      <c r="Q233" s="4">
        <v>12.37</v>
      </c>
      <c r="R233" s="11">
        <v>0.3048</v>
      </c>
      <c r="S233" s="4">
        <v>0.9903</v>
      </c>
      <c r="T233" s="4">
        <v>13.46</v>
      </c>
      <c r="U233" s="4">
        <v>13.33</v>
      </c>
    </row>
    <row r="234" ht="15.75" customHeight="1">
      <c r="A234" s="4" t="s">
        <v>1216</v>
      </c>
      <c r="B234" s="4" t="s">
        <v>1214</v>
      </c>
      <c r="C234" s="4" t="s">
        <v>86</v>
      </c>
      <c r="D234" s="4" t="s">
        <v>1160</v>
      </c>
      <c r="E234" s="4" t="s">
        <v>1561</v>
      </c>
      <c r="F234" s="4" t="s">
        <v>2880</v>
      </c>
      <c r="G234" s="4">
        <v>7.0</v>
      </c>
      <c r="H234" s="4">
        <v>6.8</v>
      </c>
      <c r="I234" s="11">
        <v>0.4036</v>
      </c>
      <c r="J234" s="11">
        <v>0.4576</v>
      </c>
      <c r="K234" s="4" t="s">
        <v>262</v>
      </c>
      <c r="L234" s="4" t="s">
        <v>2921</v>
      </c>
      <c r="N234" s="11">
        <v>0.3</v>
      </c>
      <c r="O234" s="13"/>
      <c r="P234" s="4" t="str">
        <f t="shared" si="1"/>
        <v/>
      </c>
      <c r="Q234" s="4">
        <v>6.74</v>
      </c>
      <c r="R234" s="11">
        <v>0.3942</v>
      </c>
      <c r="S234" s="4">
        <v>0.9903</v>
      </c>
      <c r="T234" s="4">
        <v>7.34</v>
      </c>
      <c r="U234" s="4">
        <v>7.26</v>
      </c>
    </row>
    <row r="235" ht="15.75" customHeight="1">
      <c r="A235" s="4" t="s">
        <v>1216</v>
      </c>
      <c r="B235" s="4" t="s">
        <v>1214</v>
      </c>
      <c r="C235" s="4" t="s">
        <v>86</v>
      </c>
      <c r="D235" s="4" t="s">
        <v>1160</v>
      </c>
      <c r="E235" s="4" t="s">
        <v>1561</v>
      </c>
      <c r="F235" s="4" t="s">
        <v>2882</v>
      </c>
      <c r="G235" s="4">
        <v>14.0</v>
      </c>
      <c r="H235" s="4">
        <v>14.2</v>
      </c>
      <c r="I235" s="11">
        <v>0.4736</v>
      </c>
      <c r="J235" s="11">
        <v>0.4372</v>
      </c>
      <c r="K235" s="4" t="s">
        <v>262</v>
      </c>
      <c r="L235" s="4" t="s">
        <v>2921</v>
      </c>
      <c r="N235" s="11">
        <v>0.3</v>
      </c>
      <c r="O235" s="13"/>
      <c r="P235" s="4" t="str">
        <f t="shared" si="1"/>
        <v/>
      </c>
      <c r="Q235" s="4">
        <v>14.07</v>
      </c>
      <c r="R235" s="11">
        <v>0.4611</v>
      </c>
      <c r="S235" s="4">
        <v>0.9903</v>
      </c>
      <c r="T235" s="4">
        <v>14.52</v>
      </c>
      <c r="U235" s="4">
        <v>14.38</v>
      </c>
    </row>
    <row r="236" ht="15.75" customHeight="1">
      <c r="A236" s="4" t="s">
        <v>1216</v>
      </c>
      <c r="B236" s="4" t="s">
        <v>1214</v>
      </c>
      <c r="C236" s="4" t="s">
        <v>86</v>
      </c>
      <c r="D236" s="4" t="s">
        <v>838</v>
      </c>
      <c r="E236" s="4" t="s">
        <v>1519</v>
      </c>
      <c r="F236" s="4" t="s">
        <v>2880</v>
      </c>
      <c r="G236" s="4">
        <v>7.5</v>
      </c>
      <c r="H236" s="4">
        <v>7.05</v>
      </c>
      <c r="I236" s="11">
        <v>0.4382</v>
      </c>
      <c r="J236" s="11">
        <v>0.5618</v>
      </c>
      <c r="K236" s="4" t="s">
        <v>110</v>
      </c>
      <c r="L236" s="4" t="s">
        <v>942</v>
      </c>
      <c r="N236" s="11">
        <v>0.4</v>
      </c>
      <c r="O236" s="13"/>
      <c r="P236" s="4" t="str">
        <f t="shared" si="1"/>
        <v/>
      </c>
      <c r="Q236" s="4">
        <v>7.15</v>
      </c>
      <c r="R236" s="11">
        <v>0.4519</v>
      </c>
      <c r="S236" s="4">
        <v>1.014</v>
      </c>
      <c r="T236" s="4">
        <v>7.52</v>
      </c>
      <c r="U236" s="4">
        <v>7.63</v>
      </c>
    </row>
    <row r="237" ht="15.75" customHeight="1">
      <c r="A237" s="4" t="s">
        <v>1216</v>
      </c>
      <c r="B237" s="4" t="s">
        <v>1214</v>
      </c>
      <c r="C237" s="4" t="s">
        <v>86</v>
      </c>
      <c r="D237" s="4" t="s">
        <v>838</v>
      </c>
      <c r="E237" s="4" t="s">
        <v>1519</v>
      </c>
      <c r="F237" s="4" t="s">
        <v>2882</v>
      </c>
      <c r="G237" s="4">
        <v>14.5</v>
      </c>
      <c r="H237" s="4">
        <v>14.34</v>
      </c>
      <c r="I237" s="11">
        <v>0.4856</v>
      </c>
      <c r="J237" s="11">
        <v>0.5144</v>
      </c>
      <c r="K237" s="4" t="s">
        <v>110</v>
      </c>
      <c r="L237" s="4" t="s">
        <v>942</v>
      </c>
      <c r="N237" s="11">
        <v>0.4</v>
      </c>
      <c r="O237" s="13"/>
      <c r="P237" s="4" t="str">
        <f t="shared" si="1"/>
        <v/>
      </c>
      <c r="Q237" s="4">
        <v>14.54</v>
      </c>
      <c r="R237" s="11">
        <v>0.5034</v>
      </c>
      <c r="S237" s="4">
        <v>1.014</v>
      </c>
      <c r="T237" s="4">
        <v>14.19</v>
      </c>
      <c r="U237" s="4">
        <v>14.39</v>
      </c>
    </row>
    <row r="238" ht="15.75" customHeight="1">
      <c r="A238" s="4" t="s">
        <v>1216</v>
      </c>
      <c r="B238" s="4" t="s">
        <v>1214</v>
      </c>
      <c r="C238" s="4" t="s">
        <v>86</v>
      </c>
      <c r="D238" s="4" t="s">
        <v>838</v>
      </c>
      <c r="E238" s="4" t="s">
        <v>1523</v>
      </c>
      <c r="F238" s="4" t="s">
        <v>2880</v>
      </c>
      <c r="G238" s="4">
        <v>7.0</v>
      </c>
      <c r="H238" s="4">
        <v>6.43</v>
      </c>
      <c r="I238" s="11">
        <v>0.3499</v>
      </c>
      <c r="J238" s="11">
        <v>0.5096</v>
      </c>
      <c r="K238" s="4" t="s">
        <v>110</v>
      </c>
      <c r="L238" s="4" t="s">
        <v>942</v>
      </c>
      <c r="N238" s="11">
        <v>0.3</v>
      </c>
      <c r="O238" s="13"/>
      <c r="P238" s="4" t="str">
        <f t="shared" si="1"/>
        <v/>
      </c>
      <c r="Q238" s="4">
        <v>6.52</v>
      </c>
      <c r="R238" s="11">
        <v>0.363</v>
      </c>
      <c r="S238" s="4">
        <v>1.014</v>
      </c>
      <c r="T238" s="4">
        <v>6.89</v>
      </c>
      <c r="U238" s="4">
        <v>6.98</v>
      </c>
    </row>
    <row r="239" ht="15.75" customHeight="1">
      <c r="A239" s="4" t="s">
        <v>1216</v>
      </c>
      <c r="B239" s="4" t="s">
        <v>1214</v>
      </c>
      <c r="C239" s="4" t="s">
        <v>86</v>
      </c>
      <c r="D239" s="4" t="s">
        <v>838</v>
      </c>
      <c r="E239" s="4" t="s">
        <v>1523</v>
      </c>
      <c r="F239" s="4" t="s">
        <v>2882</v>
      </c>
      <c r="G239" s="4">
        <v>15.5</v>
      </c>
      <c r="H239" s="4">
        <v>14.41</v>
      </c>
      <c r="I239" s="11">
        <v>0.4037</v>
      </c>
      <c r="J239" s="11">
        <v>0.5963</v>
      </c>
      <c r="K239" s="4" t="s">
        <v>110</v>
      </c>
      <c r="L239" s="4" t="s">
        <v>942</v>
      </c>
      <c r="N239" s="11">
        <v>0.2</v>
      </c>
      <c r="O239" s="13"/>
      <c r="P239" s="4" t="str">
        <f t="shared" si="1"/>
        <v/>
      </c>
      <c r="Q239" s="4">
        <v>14.61</v>
      </c>
      <c r="R239" s="11">
        <v>0.4217</v>
      </c>
      <c r="S239" s="4">
        <v>1.014</v>
      </c>
      <c r="T239" s="4">
        <v>14.41</v>
      </c>
      <c r="U239" s="4">
        <v>14.61</v>
      </c>
    </row>
    <row r="240" ht="15.75" customHeight="1">
      <c r="A240" s="4" t="s">
        <v>1216</v>
      </c>
      <c r="B240" s="4" t="s">
        <v>1214</v>
      </c>
      <c r="C240" s="4" t="s">
        <v>86</v>
      </c>
      <c r="D240" s="4" t="s">
        <v>838</v>
      </c>
      <c r="E240" s="4" t="s">
        <v>1526</v>
      </c>
      <c r="F240" s="4" t="s">
        <v>2880</v>
      </c>
      <c r="G240" s="4">
        <v>9.0</v>
      </c>
      <c r="H240" s="4">
        <v>8.9</v>
      </c>
      <c r="I240" s="11">
        <v>0.4293</v>
      </c>
      <c r="J240" s="11">
        <v>0.4517</v>
      </c>
      <c r="K240" s="4" t="s">
        <v>110</v>
      </c>
      <c r="L240" s="4" t="s">
        <v>942</v>
      </c>
      <c r="N240" s="11">
        <v>0.6</v>
      </c>
      <c r="O240" s="13"/>
      <c r="P240" s="4" t="str">
        <f t="shared" si="1"/>
        <v/>
      </c>
      <c r="Q240" s="4">
        <v>9.03</v>
      </c>
      <c r="R240" s="11">
        <v>0.4444</v>
      </c>
      <c r="S240" s="4">
        <v>1.014</v>
      </c>
      <c r="T240" s="4">
        <v>8.6</v>
      </c>
      <c r="U240" s="4">
        <v>8.72</v>
      </c>
    </row>
    <row r="241" ht="15.75" customHeight="1">
      <c r="A241" s="4" t="s">
        <v>1216</v>
      </c>
      <c r="B241" s="4" t="s">
        <v>1214</v>
      </c>
      <c r="C241" s="4" t="s">
        <v>86</v>
      </c>
      <c r="D241" s="4" t="s">
        <v>838</v>
      </c>
      <c r="E241" s="4" t="s">
        <v>1526</v>
      </c>
      <c r="F241" s="4" t="s">
        <v>2882</v>
      </c>
      <c r="G241" s="4">
        <v>15.0</v>
      </c>
      <c r="H241" s="4">
        <v>13.89</v>
      </c>
      <c r="I241" s="11">
        <v>0.3577</v>
      </c>
      <c r="J241" s="11">
        <v>0.5548</v>
      </c>
      <c r="K241" s="4" t="s">
        <v>110</v>
      </c>
      <c r="L241" s="4" t="s">
        <v>942</v>
      </c>
      <c r="N241" s="11">
        <v>0.5</v>
      </c>
      <c r="O241" s="13"/>
      <c r="P241" s="4" t="str">
        <f t="shared" si="1"/>
        <v/>
      </c>
      <c r="Q241" s="4">
        <v>14.09</v>
      </c>
      <c r="R241" s="11">
        <v>0.3752</v>
      </c>
      <c r="S241" s="4">
        <v>1.014</v>
      </c>
      <c r="T241" s="4">
        <v>13.76</v>
      </c>
      <c r="U241" s="4">
        <v>13.95</v>
      </c>
    </row>
    <row r="242" ht="15.75" customHeight="1">
      <c r="A242" s="4" t="s">
        <v>1216</v>
      </c>
      <c r="B242" s="4" t="s">
        <v>1214</v>
      </c>
      <c r="C242" s="4" t="s">
        <v>86</v>
      </c>
      <c r="D242" s="4" t="s">
        <v>838</v>
      </c>
      <c r="E242" s="4" t="s">
        <v>1515</v>
      </c>
      <c r="F242" s="4" t="s">
        <v>2882</v>
      </c>
      <c r="G242" s="4">
        <v>16.5</v>
      </c>
      <c r="H242" s="4">
        <v>17.37</v>
      </c>
      <c r="I242" s="11">
        <v>0.5697</v>
      </c>
      <c r="J242" s="11">
        <v>0.4303</v>
      </c>
      <c r="K242" s="4" t="s">
        <v>110</v>
      </c>
      <c r="L242" s="4" t="s">
        <v>942</v>
      </c>
      <c r="N242" s="11">
        <v>0.3</v>
      </c>
      <c r="O242" s="13"/>
      <c r="P242" s="4" t="str">
        <f t="shared" si="1"/>
        <v/>
      </c>
      <c r="Q242" s="4">
        <v>17.61</v>
      </c>
      <c r="R242" s="11">
        <v>0.5883</v>
      </c>
      <c r="S242" s="4">
        <v>1.014</v>
      </c>
      <c r="T242" s="4">
        <v>15.91</v>
      </c>
      <c r="U242" s="4">
        <v>16.13</v>
      </c>
    </row>
    <row r="243" ht="15.75" customHeight="1">
      <c r="A243" s="4" t="s">
        <v>1216</v>
      </c>
      <c r="B243" s="4" t="s">
        <v>1214</v>
      </c>
      <c r="C243" s="4" t="s">
        <v>86</v>
      </c>
      <c r="D243" s="4" t="s">
        <v>838</v>
      </c>
      <c r="E243" s="4" t="s">
        <v>1529</v>
      </c>
      <c r="F243" s="4" t="s">
        <v>2880</v>
      </c>
      <c r="G243" s="4">
        <v>7.0</v>
      </c>
      <c r="H243" s="4">
        <v>7.35</v>
      </c>
      <c r="I243" s="11">
        <v>0.4801</v>
      </c>
      <c r="J243" s="11">
        <v>0.3884</v>
      </c>
      <c r="K243" s="4" t="s">
        <v>110</v>
      </c>
      <c r="L243" s="4" t="s">
        <v>942</v>
      </c>
      <c r="N243" s="11">
        <v>0.4</v>
      </c>
      <c r="O243" s="13"/>
      <c r="P243" s="4" t="str">
        <f t="shared" si="1"/>
        <v/>
      </c>
      <c r="Q243" s="4">
        <v>7.45</v>
      </c>
      <c r="R243" s="11">
        <v>0.4938</v>
      </c>
      <c r="S243" s="4">
        <v>1.014</v>
      </c>
      <c r="T243" s="4">
        <v>6.68</v>
      </c>
      <c r="U243" s="4">
        <v>6.77</v>
      </c>
    </row>
    <row r="244" ht="15.75" customHeight="1">
      <c r="A244" s="4" t="s">
        <v>1216</v>
      </c>
      <c r="B244" s="4" t="s">
        <v>1214</v>
      </c>
      <c r="C244" s="4" t="s">
        <v>86</v>
      </c>
      <c r="D244" s="4" t="s">
        <v>838</v>
      </c>
      <c r="E244" s="4" t="s">
        <v>1529</v>
      </c>
      <c r="F244" s="4" t="s">
        <v>2882</v>
      </c>
      <c r="G244" s="4">
        <v>13.0</v>
      </c>
      <c r="H244" s="4">
        <v>12.25</v>
      </c>
      <c r="I244" s="11">
        <v>0.3819</v>
      </c>
      <c r="J244" s="11">
        <v>0.5236</v>
      </c>
      <c r="K244" s="4" t="s">
        <v>110</v>
      </c>
      <c r="L244" s="4" t="s">
        <v>942</v>
      </c>
      <c r="N244" s="11">
        <v>0.2</v>
      </c>
      <c r="O244" s="13"/>
      <c r="P244" s="4" t="str">
        <f t="shared" si="1"/>
        <v/>
      </c>
      <c r="Q244" s="4">
        <v>12.43</v>
      </c>
      <c r="R244" s="11">
        <v>0.3984</v>
      </c>
      <c r="S244" s="4">
        <v>1.014</v>
      </c>
      <c r="T244" s="4">
        <v>12.25</v>
      </c>
      <c r="U244" s="4">
        <v>12.43</v>
      </c>
    </row>
    <row r="245" ht="15.75" customHeight="1">
      <c r="A245" s="4" t="s">
        <v>1216</v>
      </c>
      <c r="B245" s="4" t="s">
        <v>1214</v>
      </c>
      <c r="C245" s="4" t="s">
        <v>86</v>
      </c>
      <c r="D245" s="4" t="s">
        <v>838</v>
      </c>
      <c r="E245" s="4" t="s">
        <v>1548</v>
      </c>
      <c r="F245" s="4" t="s">
        <v>2880</v>
      </c>
      <c r="G245" s="4">
        <v>8.0</v>
      </c>
      <c r="H245" s="4">
        <v>8.23</v>
      </c>
      <c r="I245" s="11">
        <v>0.4659</v>
      </c>
      <c r="J245" s="11">
        <v>0.4083</v>
      </c>
      <c r="K245" s="4" t="s">
        <v>110</v>
      </c>
      <c r="L245" s="4" t="s">
        <v>942</v>
      </c>
      <c r="N245" s="11">
        <v>0.5</v>
      </c>
      <c r="O245" s="13"/>
      <c r="P245" s="4" t="str">
        <f t="shared" si="1"/>
        <v/>
      </c>
      <c r="Q245" s="4">
        <v>7.89</v>
      </c>
      <c r="R245" s="11">
        <v>0.4217</v>
      </c>
      <c r="S245" s="4">
        <v>0.9587</v>
      </c>
      <c r="T245" s="4">
        <v>7.96</v>
      </c>
      <c r="U245" s="4">
        <v>7.63</v>
      </c>
    </row>
    <row r="246" ht="15.75" customHeight="1">
      <c r="A246" s="4" t="s">
        <v>1216</v>
      </c>
      <c r="B246" s="4" t="s">
        <v>1214</v>
      </c>
      <c r="C246" s="4" t="s">
        <v>86</v>
      </c>
      <c r="D246" s="4" t="s">
        <v>838</v>
      </c>
      <c r="E246" s="4" t="s">
        <v>1548</v>
      </c>
      <c r="F246" s="4" t="s">
        <v>2882</v>
      </c>
      <c r="G246" s="4">
        <v>15.5</v>
      </c>
      <c r="H246" s="4">
        <v>16.72</v>
      </c>
      <c r="I246" s="11">
        <v>0.5998</v>
      </c>
      <c r="J246" s="11">
        <v>0.4002</v>
      </c>
      <c r="K246" s="4" t="s">
        <v>110</v>
      </c>
      <c r="L246" s="4" t="s">
        <v>942</v>
      </c>
      <c r="N246" s="11">
        <v>0.4</v>
      </c>
      <c r="O246" s="13"/>
      <c r="P246" s="4" t="str">
        <f t="shared" si="1"/>
        <v/>
      </c>
      <c r="Q246" s="4">
        <v>16.03</v>
      </c>
      <c r="R246" s="11">
        <v>0.5447</v>
      </c>
      <c r="S246" s="4">
        <v>0.9587</v>
      </c>
      <c r="T246" s="4">
        <v>15.48</v>
      </c>
      <c r="U246" s="4">
        <v>14.84</v>
      </c>
    </row>
    <row r="247" ht="15.75" customHeight="1">
      <c r="A247" s="4" t="s">
        <v>1216</v>
      </c>
      <c r="B247" s="4" t="s">
        <v>1214</v>
      </c>
      <c r="C247" s="4" t="s">
        <v>86</v>
      </c>
      <c r="D247" s="4" t="s">
        <v>838</v>
      </c>
      <c r="E247" s="4" t="s">
        <v>1552</v>
      </c>
      <c r="F247" s="4" t="s">
        <v>2882</v>
      </c>
      <c r="G247" s="4">
        <v>15.5</v>
      </c>
      <c r="H247" s="4">
        <v>14.8</v>
      </c>
      <c r="I247" s="11">
        <v>0.4393</v>
      </c>
      <c r="J247" s="11">
        <v>0.5607</v>
      </c>
      <c r="K247" s="4" t="s">
        <v>110</v>
      </c>
      <c r="L247" s="4" t="s">
        <v>942</v>
      </c>
      <c r="N247" s="11">
        <v>0.4</v>
      </c>
      <c r="O247" s="13"/>
      <c r="P247" s="4" t="str">
        <f t="shared" si="1"/>
        <v/>
      </c>
      <c r="Q247" s="4">
        <v>14.19</v>
      </c>
      <c r="R247" s="11">
        <v>0.3846</v>
      </c>
      <c r="S247" s="4">
        <v>0.9587</v>
      </c>
      <c r="T247" s="4">
        <v>15.91</v>
      </c>
      <c r="U247" s="4">
        <v>15.25</v>
      </c>
    </row>
    <row r="248" ht="15.75" customHeight="1">
      <c r="A248" s="4" t="s">
        <v>1216</v>
      </c>
      <c r="B248" s="4" t="s">
        <v>1214</v>
      </c>
      <c r="C248" s="4" t="s">
        <v>86</v>
      </c>
      <c r="D248" s="4" t="s">
        <v>838</v>
      </c>
      <c r="E248" s="4" t="s">
        <v>1555</v>
      </c>
      <c r="F248" s="4" t="s">
        <v>2880</v>
      </c>
      <c r="G248" s="4">
        <v>8.5</v>
      </c>
      <c r="H248" s="4">
        <v>9.62</v>
      </c>
      <c r="I248" s="11">
        <v>0.6277</v>
      </c>
      <c r="J248" s="11">
        <v>0.3723</v>
      </c>
      <c r="K248" s="4" t="s">
        <v>110</v>
      </c>
      <c r="L248" s="4" t="s">
        <v>942</v>
      </c>
      <c r="N248" s="11">
        <v>0.5</v>
      </c>
      <c r="O248" s="13"/>
      <c r="P248" s="4" t="str">
        <f t="shared" si="1"/>
        <v/>
      </c>
      <c r="Q248" s="4">
        <v>9.22</v>
      </c>
      <c r="R248" s="11">
        <v>0.585</v>
      </c>
      <c r="S248" s="4">
        <v>0.9587</v>
      </c>
      <c r="T248" s="4">
        <v>8.83</v>
      </c>
      <c r="U248" s="4">
        <v>8.47</v>
      </c>
    </row>
    <row r="249" ht="15.75" customHeight="1">
      <c r="A249" s="4" t="s">
        <v>1216</v>
      </c>
      <c r="B249" s="4" t="s">
        <v>1214</v>
      </c>
      <c r="C249" s="4" t="s">
        <v>86</v>
      </c>
      <c r="D249" s="4" t="s">
        <v>838</v>
      </c>
      <c r="E249" s="4" t="s">
        <v>1555</v>
      </c>
      <c r="F249" s="4" t="s">
        <v>2882</v>
      </c>
      <c r="G249" s="4">
        <v>15.5</v>
      </c>
      <c r="H249" s="4">
        <v>17.26</v>
      </c>
      <c r="I249" s="11">
        <v>0.6399</v>
      </c>
      <c r="J249" s="11">
        <v>0.3601</v>
      </c>
      <c r="K249" s="4" t="s">
        <v>110</v>
      </c>
      <c r="L249" s="4" t="s">
        <v>942</v>
      </c>
      <c r="N249" s="11">
        <v>0.5</v>
      </c>
      <c r="O249" s="13"/>
      <c r="P249" s="4" t="str">
        <f t="shared" si="1"/>
        <v/>
      </c>
      <c r="Q249" s="4">
        <v>16.55</v>
      </c>
      <c r="R249" s="11">
        <v>0.5862</v>
      </c>
      <c r="S249" s="4">
        <v>0.9587</v>
      </c>
      <c r="T249" s="4">
        <v>15.05</v>
      </c>
      <c r="U249" s="4">
        <v>14.43</v>
      </c>
    </row>
    <row r="250" ht="15.75" customHeight="1">
      <c r="A250" s="4" t="s">
        <v>1216</v>
      </c>
      <c r="B250" s="4" t="s">
        <v>1214</v>
      </c>
      <c r="C250" s="4" t="s">
        <v>86</v>
      </c>
      <c r="D250" s="4" t="s">
        <v>838</v>
      </c>
      <c r="E250" s="4" t="s">
        <v>1558</v>
      </c>
      <c r="F250" s="4" t="s">
        <v>2880</v>
      </c>
      <c r="G250" s="4">
        <v>7.0</v>
      </c>
      <c r="H250" s="4">
        <v>6.98</v>
      </c>
      <c r="I250" s="11">
        <v>0.4289</v>
      </c>
      <c r="J250" s="11">
        <v>0.4338</v>
      </c>
      <c r="K250" s="4" t="s">
        <v>110</v>
      </c>
      <c r="L250" s="4" t="s">
        <v>942</v>
      </c>
      <c r="N250" s="11">
        <v>0.4</v>
      </c>
      <c r="O250" s="13"/>
      <c r="P250" s="4" t="str">
        <f t="shared" si="1"/>
        <v/>
      </c>
      <c r="Q250" s="4">
        <v>6.69</v>
      </c>
      <c r="R250" s="11">
        <v>0.3879</v>
      </c>
      <c r="S250" s="4">
        <v>0.9587</v>
      </c>
      <c r="T250" s="4">
        <v>6.91</v>
      </c>
      <c r="U250" s="4">
        <v>6.62</v>
      </c>
    </row>
    <row r="251" ht="15.75" customHeight="1">
      <c r="A251" s="4" t="s">
        <v>1216</v>
      </c>
      <c r="B251" s="4" t="s">
        <v>1214</v>
      </c>
      <c r="C251" s="4" t="s">
        <v>86</v>
      </c>
      <c r="D251" s="4" t="s">
        <v>838</v>
      </c>
      <c r="E251" s="4" t="s">
        <v>1558</v>
      </c>
      <c r="F251" s="4" t="s">
        <v>2882</v>
      </c>
      <c r="G251" s="4">
        <v>13.5</v>
      </c>
      <c r="H251" s="4">
        <v>14.65</v>
      </c>
      <c r="I251" s="11">
        <v>0.6003</v>
      </c>
      <c r="J251" s="11">
        <v>0.3997</v>
      </c>
      <c r="K251" s="4" t="s">
        <v>110</v>
      </c>
      <c r="L251" s="4" t="s">
        <v>942</v>
      </c>
      <c r="N251" s="11">
        <v>0.5</v>
      </c>
      <c r="O251" s="13"/>
      <c r="P251" s="4" t="str">
        <f t="shared" si="1"/>
        <v/>
      </c>
      <c r="Q251" s="4">
        <v>14.04</v>
      </c>
      <c r="R251" s="11">
        <v>0.5489</v>
      </c>
      <c r="S251" s="4">
        <v>0.9587</v>
      </c>
      <c r="T251" s="4">
        <v>13.54</v>
      </c>
      <c r="U251" s="4">
        <v>12.98</v>
      </c>
    </row>
    <row r="252" ht="15.75" customHeight="1">
      <c r="A252" s="4" t="s">
        <v>1216</v>
      </c>
      <c r="B252" s="4" t="s">
        <v>1214</v>
      </c>
      <c r="C252" s="4" t="s">
        <v>86</v>
      </c>
      <c r="D252" s="4" t="s">
        <v>838</v>
      </c>
      <c r="E252" s="4" t="s">
        <v>1561</v>
      </c>
      <c r="F252" s="4" t="s">
        <v>2880</v>
      </c>
      <c r="G252" s="4">
        <v>7.0</v>
      </c>
      <c r="H252" s="4">
        <v>6.8</v>
      </c>
      <c r="I252" s="11">
        <v>0.4031</v>
      </c>
      <c r="J252" s="11">
        <v>0.4579</v>
      </c>
      <c r="K252" s="4" t="s">
        <v>110</v>
      </c>
      <c r="L252" s="4" t="s">
        <v>942</v>
      </c>
      <c r="N252" s="11">
        <v>0.3</v>
      </c>
      <c r="O252" s="13"/>
      <c r="P252" s="4" t="str">
        <f t="shared" si="1"/>
        <v/>
      </c>
      <c r="Q252" s="4">
        <v>6.52</v>
      </c>
      <c r="R252" s="11">
        <v>0.3627</v>
      </c>
      <c r="S252" s="4">
        <v>0.9587</v>
      </c>
      <c r="T252" s="4">
        <v>7.38</v>
      </c>
      <c r="U252" s="4">
        <v>7.08</v>
      </c>
    </row>
    <row r="253" ht="15.75" customHeight="1">
      <c r="A253" s="4" t="s">
        <v>1216</v>
      </c>
      <c r="B253" s="4" t="s">
        <v>1214</v>
      </c>
      <c r="C253" s="4" t="s">
        <v>86</v>
      </c>
      <c r="D253" s="4" t="s">
        <v>838</v>
      </c>
      <c r="E253" s="4" t="s">
        <v>1561</v>
      </c>
      <c r="F253" s="4" t="s">
        <v>2882</v>
      </c>
      <c r="G253" s="4">
        <v>14.0</v>
      </c>
      <c r="H253" s="4">
        <v>13.93</v>
      </c>
      <c r="I253" s="11">
        <v>0.4486</v>
      </c>
      <c r="J253" s="11">
        <v>0.4613</v>
      </c>
      <c r="K253" s="4" t="s">
        <v>110</v>
      </c>
      <c r="L253" s="4" t="s">
        <v>942</v>
      </c>
      <c r="N253" s="11">
        <v>0.3</v>
      </c>
      <c r="O253" s="13"/>
      <c r="P253" s="4" t="str">
        <f t="shared" si="1"/>
        <v/>
      </c>
      <c r="Q253" s="4">
        <v>13.35</v>
      </c>
      <c r="R253" s="11">
        <v>0.3954</v>
      </c>
      <c r="S253" s="4">
        <v>0.9587</v>
      </c>
      <c r="T253" s="4">
        <v>14.62</v>
      </c>
      <c r="U253" s="4">
        <v>14.02</v>
      </c>
    </row>
    <row r="254" ht="15.75" customHeight="1">
      <c r="A254" s="4" t="s">
        <v>1216</v>
      </c>
      <c r="B254" s="4" t="s">
        <v>1214</v>
      </c>
      <c r="C254" s="4" t="s">
        <v>86</v>
      </c>
      <c r="D254" s="4" t="s">
        <v>1648</v>
      </c>
      <c r="E254" s="4" t="s">
        <v>1548</v>
      </c>
      <c r="F254" s="4" t="s">
        <v>2880</v>
      </c>
      <c r="G254" s="4">
        <v>8.0</v>
      </c>
      <c r="H254" s="4">
        <v>8.23</v>
      </c>
      <c r="I254" s="11">
        <v>0.4659</v>
      </c>
      <c r="J254" s="11">
        <v>0.4083</v>
      </c>
      <c r="K254" s="4" t="s">
        <v>110</v>
      </c>
      <c r="L254" s="4" t="s">
        <v>942</v>
      </c>
      <c r="N254" s="11">
        <v>0.5</v>
      </c>
      <c r="O254" s="13"/>
      <c r="P254" s="4" t="str">
        <f t="shared" si="1"/>
        <v/>
      </c>
      <c r="Q254" s="4">
        <v>8.9</v>
      </c>
      <c r="R254" s="11">
        <v>0.5483</v>
      </c>
      <c r="S254" s="4">
        <v>1.081</v>
      </c>
      <c r="T254" s="4">
        <v>7.96</v>
      </c>
      <c r="U254" s="4">
        <v>8.6</v>
      </c>
    </row>
    <row r="255" ht="15.75" customHeight="1">
      <c r="A255" s="4" t="s">
        <v>1216</v>
      </c>
      <c r="B255" s="4" t="s">
        <v>1214</v>
      </c>
      <c r="C255" s="4" t="s">
        <v>86</v>
      </c>
      <c r="D255" s="4" t="s">
        <v>1648</v>
      </c>
      <c r="E255" s="4" t="s">
        <v>1548</v>
      </c>
      <c r="F255" s="4" t="s">
        <v>2882</v>
      </c>
      <c r="G255" s="4">
        <v>15.5</v>
      </c>
      <c r="H255" s="4">
        <v>16.72</v>
      </c>
      <c r="I255" s="11">
        <v>0.5998</v>
      </c>
      <c r="J255" s="11">
        <v>0.4002</v>
      </c>
      <c r="K255" s="4" t="s">
        <v>110</v>
      </c>
      <c r="L255" s="4" t="s">
        <v>942</v>
      </c>
      <c r="N255" s="11">
        <v>0.4</v>
      </c>
      <c r="O255" s="13"/>
      <c r="P255" s="4" t="str">
        <f t="shared" si="1"/>
        <v/>
      </c>
      <c r="Q255" s="4">
        <v>18.08</v>
      </c>
      <c r="R255" s="11">
        <v>0.6959</v>
      </c>
      <c r="S255" s="4">
        <v>1.081</v>
      </c>
      <c r="T255" s="4">
        <v>15.48</v>
      </c>
      <c r="U255" s="4">
        <v>16.73</v>
      </c>
    </row>
    <row r="256" ht="15.75" customHeight="1">
      <c r="A256" s="4" t="s">
        <v>1216</v>
      </c>
      <c r="B256" s="4" t="s">
        <v>1214</v>
      </c>
      <c r="C256" s="4" t="s">
        <v>86</v>
      </c>
      <c r="D256" s="4" t="s">
        <v>1648</v>
      </c>
      <c r="E256" s="4" t="s">
        <v>1552</v>
      </c>
      <c r="F256" s="4" t="s">
        <v>2882</v>
      </c>
      <c r="G256" s="4">
        <v>15.5</v>
      </c>
      <c r="H256" s="4">
        <v>14.8</v>
      </c>
      <c r="I256" s="11">
        <v>0.4393</v>
      </c>
      <c r="J256" s="11">
        <v>0.5607</v>
      </c>
      <c r="K256" s="4" t="s">
        <v>110</v>
      </c>
      <c r="L256" s="4" t="s">
        <v>942</v>
      </c>
      <c r="N256" s="11">
        <v>0.4</v>
      </c>
      <c r="O256" s="13"/>
      <c r="P256" s="4" t="str">
        <f t="shared" si="1"/>
        <v/>
      </c>
      <c r="Q256" s="4">
        <v>16.0</v>
      </c>
      <c r="R256" s="11">
        <v>0.5424</v>
      </c>
      <c r="S256" s="4">
        <v>1.081</v>
      </c>
      <c r="T256" s="4">
        <v>15.91</v>
      </c>
      <c r="U256" s="4">
        <v>17.2</v>
      </c>
    </row>
    <row r="257" ht="15.75" customHeight="1">
      <c r="A257" s="4" t="s">
        <v>1216</v>
      </c>
      <c r="B257" s="4" t="s">
        <v>1214</v>
      </c>
      <c r="C257" s="4" t="s">
        <v>86</v>
      </c>
      <c r="D257" s="4" t="s">
        <v>1648</v>
      </c>
      <c r="E257" s="4" t="s">
        <v>1555</v>
      </c>
      <c r="F257" s="4" t="s">
        <v>2880</v>
      </c>
      <c r="G257" s="4">
        <v>8.5</v>
      </c>
      <c r="H257" s="4">
        <v>9.62</v>
      </c>
      <c r="I257" s="11">
        <v>0.6277</v>
      </c>
      <c r="J257" s="11">
        <v>0.3723</v>
      </c>
      <c r="K257" s="4" t="s">
        <v>110</v>
      </c>
      <c r="L257" s="4" t="s">
        <v>942</v>
      </c>
      <c r="N257" s="11">
        <v>0.5</v>
      </c>
      <c r="O257" s="13"/>
      <c r="P257" s="4" t="str">
        <f t="shared" si="1"/>
        <v/>
      </c>
      <c r="Q257" s="4">
        <v>10.4</v>
      </c>
      <c r="R257" s="11">
        <v>0.7024</v>
      </c>
      <c r="S257" s="4">
        <v>1.081</v>
      </c>
      <c r="T257" s="4">
        <v>8.83</v>
      </c>
      <c r="U257" s="4">
        <v>9.55</v>
      </c>
    </row>
    <row r="258" ht="15.75" customHeight="1">
      <c r="A258" s="4" t="s">
        <v>1216</v>
      </c>
      <c r="B258" s="4" t="s">
        <v>1214</v>
      </c>
      <c r="C258" s="4" t="s">
        <v>86</v>
      </c>
      <c r="D258" s="4" t="s">
        <v>1648</v>
      </c>
      <c r="E258" s="4" t="s">
        <v>1555</v>
      </c>
      <c r="F258" s="4" t="s">
        <v>2882</v>
      </c>
      <c r="G258" s="4">
        <v>15.5</v>
      </c>
      <c r="H258" s="4">
        <v>17.26</v>
      </c>
      <c r="I258" s="11">
        <v>0.6399</v>
      </c>
      <c r="J258" s="11">
        <v>0.3601</v>
      </c>
      <c r="K258" s="4" t="s">
        <v>110</v>
      </c>
      <c r="L258" s="4" t="s">
        <v>942</v>
      </c>
      <c r="N258" s="11">
        <v>0.5</v>
      </c>
      <c r="O258" s="13"/>
      <c r="P258" s="4" t="str">
        <f t="shared" si="1"/>
        <v/>
      </c>
      <c r="Q258" s="4">
        <v>18.66</v>
      </c>
      <c r="R258" s="11">
        <v>0.7318</v>
      </c>
      <c r="S258" s="4">
        <v>1.081</v>
      </c>
      <c r="T258" s="4">
        <v>15.05</v>
      </c>
      <c r="U258" s="4">
        <v>16.27</v>
      </c>
    </row>
    <row r="259" ht="15.75" customHeight="1">
      <c r="A259" s="4" t="s">
        <v>1216</v>
      </c>
      <c r="B259" s="4" t="s">
        <v>1214</v>
      </c>
      <c r="C259" s="4" t="s">
        <v>86</v>
      </c>
      <c r="D259" s="4" t="s">
        <v>1648</v>
      </c>
      <c r="E259" s="4" t="s">
        <v>1558</v>
      </c>
      <c r="F259" s="4" t="s">
        <v>2880</v>
      </c>
      <c r="G259" s="4">
        <v>7.0</v>
      </c>
      <c r="H259" s="4">
        <v>6.98</v>
      </c>
      <c r="I259" s="11">
        <v>0.4289</v>
      </c>
      <c r="J259" s="11">
        <v>0.4338</v>
      </c>
      <c r="K259" s="4" t="s">
        <v>110</v>
      </c>
      <c r="L259" s="4" t="s">
        <v>942</v>
      </c>
      <c r="N259" s="11">
        <v>0.4</v>
      </c>
      <c r="O259" s="13"/>
      <c r="P259" s="4" t="str">
        <f t="shared" si="1"/>
        <v/>
      </c>
      <c r="Q259" s="4">
        <v>7.55</v>
      </c>
      <c r="R259" s="11">
        <v>0.5064</v>
      </c>
      <c r="S259" s="4">
        <v>1.081</v>
      </c>
      <c r="T259" s="4">
        <v>6.91</v>
      </c>
      <c r="U259" s="4">
        <v>7.47</v>
      </c>
    </row>
    <row r="260" ht="15.75" customHeight="1">
      <c r="A260" s="4" t="s">
        <v>1216</v>
      </c>
      <c r="B260" s="4" t="s">
        <v>1214</v>
      </c>
      <c r="C260" s="4" t="s">
        <v>86</v>
      </c>
      <c r="D260" s="4" t="s">
        <v>1648</v>
      </c>
      <c r="E260" s="4" t="s">
        <v>1558</v>
      </c>
      <c r="F260" s="4" t="s">
        <v>2882</v>
      </c>
      <c r="G260" s="4">
        <v>14.0</v>
      </c>
      <c r="H260" s="4">
        <v>14.65</v>
      </c>
      <c r="I260" s="11">
        <v>0.5133</v>
      </c>
      <c r="J260" s="11">
        <v>0.3997</v>
      </c>
      <c r="K260" s="4" t="s">
        <v>110</v>
      </c>
      <c r="L260" s="4" t="s">
        <v>942</v>
      </c>
      <c r="N260" s="11">
        <v>0.5</v>
      </c>
      <c r="O260" s="13"/>
      <c r="P260" s="4" t="str">
        <f t="shared" si="1"/>
        <v/>
      </c>
      <c r="Q260" s="4">
        <v>15.84</v>
      </c>
      <c r="R260" s="11">
        <v>0.6119</v>
      </c>
      <c r="S260" s="4">
        <v>1.081</v>
      </c>
      <c r="T260" s="4">
        <v>13.54</v>
      </c>
      <c r="U260" s="4">
        <v>14.64</v>
      </c>
    </row>
    <row r="261" ht="15.75" customHeight="1">
      <c r="A261" s="4" t="s">
        <v>1216</v>
      </c>
      <c r="B261" s="4" t="s">
        <v>1214</v>
      </c>
      <c r="C261" s="4" t="s">
        <v>86</v>
      </c>
      <c r="D261" s="4" t="s">
        <v>1648</v>
      </c>
      <c r="E261" s="4" t="s">
        <v>1561</v>
      </c>
      <c r="F261" s="4" t="s">
        <v>2880</v>
      </c>
      <c r="G261" s="4">
        <v>7.0</v>
      </c>
      <c r="H261" s="4">
        <v>6.8</v>
      </c>
      <c r="I261" s="11">
        <v>0.4031</v>
      </c>
      <c r="J261" s="11">
        <v>0.4579</v>
      </c>
      <c r="K261" s="4" t="s">
        <v>110</v>
      </c>
      <c r="L261" s="4" t="s">
        <v>942</v>
      </c>
      <c r="N261" s="11">
        <v>0.3</v>
      </c>
      <c r="O261" s="13"/>
      <c r="P261" s="4" t="str">
        <f t="shared" si="1"/>
        <v/>
      </c>
      <c r="Q261" s="4">
        <v>7.35</v>
      </c>
      <c r="R261" s="11">
        <v>0.4801</v>
      </c>
      <c r="S261" s="4">
        <v>1.081</v>
      </c>
      <c r="T261" s="4">
        <v>7.38</v>
      </c>
      <c r="U261" s="4">
        <v>7.98</v>
      </c>
    </row>
    <row r="262" ht="15.75" customHeight="1">
      <c r="A262" s="4" t="s">
        <v>1216</v>
      </c>
      <c r="B262" s="4" t="s">
        <v>1214</v>
      </c>
      <c r="C262" s="4" t="s">
        <v>86</v>
      </c>
      <c r="D262" s="4" t="s">
        <v>1648</v>
      </c>
      <c r="E262" s="4" t="s">
        <v>1561</v>
      </c>
      <c r="F262" s="4" t="s">
        <v>2882</v>
      </c>
      <c r="G262" s="4">
        <v>14.0</v>
      </c>
      <c r="H262" s="4">
        <v>13.93</v>
      </c>
      <c r="I262" s="11">
        <v>0.4486</v>
      </c>
      <c r="J262" s="11">
        <v>0.4613</v>
      </c>
      <c r="K262" s="4" t="s">
        <v>110</v>
      </c>
      <c r="L262" s="4" t="s">
        <v>942</v>
      </c>
      <c r="N262" s="11">
        <v>0.3</v>
      </c>
      <c r="O262" s="13"/>
      <c r="P262" s="4" t="str">
        <f t="shared" si="1"/>
        <v/>
      </c>
      <c r="Q262" s="4">
        <v>15.06</v>
      </c>
      <c r="R262" s="11">
        <v>0.5483</v>
      </c>
      <c r="S262" s="4">
        <v>1.081</v>
      </c>
      <c r="T262" s="4">
        <v>14.62</v>
      </c>
      <c r="U262" s="4">
        <v>15.8</v>
      </c>
    </row>
    <row r="263" ht="15.75" customHeight="1">
      <c r="A263" s="4" t="s">
        <v>1216</v>
      </c>
      <c r="B263" s="4" t="s">
        <v>1214</v>
      </c>
      <c r="C263" s="4" t="s">
        <v>1582</v>
      </c>
      <c r="D263" s="4" t="s">
        <v>1833</v>
      </c>
      <c r="E263" s="4" t="s">
        <v>1581</v>
      </c>
      <c r="F263" s="4" t="s">
        <v>772</v>
      </c>
      <c r="G263" s="4">
        <v>30.0</v>
      </c>
      <c r="H263" s="4">
        <v>37.04</v>
      </c>
      <c r="I263" s="11">
        <v>0.8181</v>
      </c>
      <c r="J263" s="11">
        <v>0.1476</v>
      </c>
      <c r="K263" s="4" t="s">
        <v>2947</v>
      </c>
      <c r="L263" s="4" t="s">
        <v>2948</v>
      </c>
      <c r="M263" s="4">
        <v>34.18</v>
      </c>
      <c r="N263" s="11">
        <v>0.7</v>
      </c>
      <c r="O263" s="13"/>
      <c r="P263" s="4" t="str">
        <f t="shared" si="1"/>
        <v/>
      </c>
      <c r="Q263" s="4">
        <v>37.04</v>
      </c>
      <c r="R263" s="11">
        <v>0.8181</v>
      </c>
      <c r="S263" s="4">
        <v>1.0</v>
      </c>
      <c r="T263" s="4">
        <v>33.65</v>
      </c>
      <c r="U263" s="4">
        <v>33.65</v>
      </c>
    </row>
    <row r="264" ht="15.75" customHeight="1">
      <c r="A264" s="4" t="s">
        <v>1216</v>
      </c>
      <c r="B264" s="4" t="s">
        <v>1214</v>
      </c>
      <c r="C264" s="4" t="s">
        <v>1582</v>
      </c>
      <c r="D264" s="4" t="s">
        <v>1833</v>
      </c>
      <c r="E264" s="4" t="s">
        <v>1586</v>
      </c>
      <c r="F264" s="4" t="s">
        <v>772</v>
      </c>
      <c r="G264" s="4">
        <v>28.5</v>
      </c>
      <c r="H264" s="4">
        <v>30.43</v>
      </c>
      <c r="I264" s="11">
        <v>0.6162</v>
      </c>
      <c r="J264" s="11">
        <v>0.3838</v>
      </c>
      <c r="K264" s="4" t="s">
        <v>2947</v>
      </c>
      <c r="L264" s="4" t="s">
        <v>2948</v>
      </c>
      <c r="M264" s="4">
        <v>27.66</v>
      </c>
      <c r="N264" s="11">
        <v>0.6</v>
      </c>
      <c r="O264" s="13"/>
      <c r="P264" s="4" t="str">
        <f t="shared" si="1"/>
        <v/>
      </c>
      <c r="Q264" s="4">
        <v>30.43</v>
      </c>
      <c r="R264" s="11">
        <v>0.6162</v>
      </c>
      <c r="S264" s="4">
        <v>1.0</v>
      </c>
      <c r="T264" s="4">
        <v>29.34</v>
      </c>
      <c r="U264" s="4">
        <v>29.34</v>
      </c>
    </row>
    <row r="265" ht="15.75" customHeight="1">
      <c r="A265" s="4" t="s">
        <v>1216</v>
      </c>
      <c r="B265" s="4" t="s">
        <v>1214</v>
      </c>
      <c r="C265" s="4" t="s">
        <v>1582</v>
      </c>
      <c r="D265" s="4" t="s">
        <v>1833</v>
      </c>
      <c r="E265" s="4" t="s">
        <v>1589</v>
      </c>
      <c r="F265" s="4" t="s">
        <v>772</v>
      </c>
      <c r="G265" s="4">
        <v>32.5</v>
      </c>
      <c r="H265" s="4">
        <v>36.32</v>
      </c>
      <c r="I265" s="11">
        <v>0.7041</v>
      </c>
      <c r="J265" s="11">
        <v>0.2959</v>
      </c>
      <c r="K265" s="4" t="s">
        <v>2947</v>
      </c>
      <c r="L265" s="4" t="s">
        <v>2948</v>
      </c>
      <c r="N265" s="11">
        <v>0.3</v>
      </c>
      <c r="O265" s="13"/>
      <c r="P265" s="4" t="str">
        <f t="shared" si="1"/>
        <v/>
      </c>
      <c r="Q265" s="4">
        <v>36.32</v>
      </c>
      <c r="R265" s="11">
        <v>0.7041</v>
      </c>
      <c r="S265" s="4">
        <v>1.0</v>
      </c>
      <c r="T265" s="4">
        <v>32.36</v>
      </c>
      <c r="U265" s="4">
        <v>32.36</v>
      </c>
    </row>
    <row r="266" ht="15.75" customHeight="1">
      <c r="A266" s="4" t="s">
        <v>1216</v>
      </c>
      <c r="B266" s="4" t="s">
        <v>1214</v>
      </c>
      <c r="C266" s="4" t="s">
        <v>1582</v>
      </c>
      <c r="D266" s="4" t="s">
        <v>1833</v>
      </c>
      <c r="E266" s="4" t="s">
        <v>1592</v>
      </c>
      <c r="F266" s="4" t="s">
        <v>772</v>
      </c>
      <c r="G266" s="4">
        <v>33.5</v>
      </c>
      <c r="H266" s="4">
        <v>35.49</v>
      </c>
      <c r="I266" s="11">
        <v>0.6114</v>
      </c>
      <c r="J266" s="11">
        <v>0.3886</v>
      </c>
      <c r="K266" s="4" t="s">
        <v>2947</v>
      </c>
      <c r="L266" s="4" t="s">
        <v>2948</v>
      </c>
      <c r="M266" s="4">
        <v>32.32</v>
      </c>
      <c r="N266" s="11">
        <v>0.6</v>
      </c>
      <c r="O266" s="13"/>
      <c r="P266" s="4" t="str">
        <f t="shared" si="1"/>
        <v/>
      </c>
      <c r="Q266" s="4">
        <v>35.49</v>
      </c>
      <c r="R266" s="11">
        <v>0.6114</v>
      </c>
      <c r="S266" s="4">
        <v>1.0</v>
      </c>
      <c r="T266" s="4">
        <v>33.22</v>
      </c>
      <c r="U266" s="4">
        <v>33.22</v>
      </c>
    </row>
    <row r="267" ht="15.75" customHeight="1">
      <c r="A267" s="4" t="s">
        <v>1216</v>
      </c>
      <c r="B267" s="4" t="s">
        <v>1214</v>
      </c>
      <c r="C267" s="4" t="s">
        <v>1582</v>
      </c>
      <c r="D267" s="4" t="s">
        <v>1833</v>
      </c>
      <c r="E267" s="4" t="s">
        <v>1595</v>
      </c>
      <c r="F267" s="4" t="s">
        <v>772</v>
      </c>
      <c r="G267" s="4">
        <v>27.0</v>
      </c>
      <c r="H267" s="4">
        <v>27.5</v>
      </c>
      <c r="I267" s="11">
        <v>0.5001</v>
      </c>
      <c r="J267" s="11">
        <v>0.4359</v>
      </c>
      <c r="K267" s="4" t="s">
        <v>2947</v>
      </c>
      <c r="L267" s="4" t="s">
        <v>2948</v>
      </c>
      <c r="M267" s="4">
        <v>27.66</v>
      </c>
      <c r="N267" s="11">
        <v>0.6</v>
      </c>
      <c r="O267" s="13"/>
      <c r="P267" s="4" t="str">
        <f t="shared" si="1"/>
        <v/>
      </c>
      <c r="Q267" s="4">
        <v>27.5</v>
      </c>
      <c r="R267" s="11">
        <v>0.5001</v>
      </c>
      <c r="S267" s="4">
        <v>1.0</v>
      </c>
      <c r="T267" s="4">
        <v>28.04</v>
      </c>
      <c r="U267" s="4">
        <v>28.04</v>
      </c>
    </row>
    <row r="268" ht="15.75" customHeight="1">
      <c r="A268" s="4" t="s">
        <v>1216</v>
      </c>
      <c r="B268" s="4" t="s">
        <v>1214</v>
      </c>
      <c r="C268" s="4" t="s">
        <v>1582</v>
      </c>
      <c r="D268" s="4" t="s">
        <v>1833</v>
      </c>
      <c r="E268" s="4" t="s">
        <v>1598</v>
      </c>
      <c r="F268" s="4" t="s">
        <v>772</v>
      </c>
      <c r="G268" s="4">
        <v>29.5</v>
      </c>
      <c r="H268" s="4">
        <v>33.44</v>
      </c>
      <c r="I268" s="11">
        <v>0.7176</v>
      </c>
      <c r="J268" s="11">
        <v>0.2824</v>
      </c>
      <c r="K268" s="4" t="s">
        <v>2947</v>
      </c>
      <c r="L268" s="4" t="s">
        <v>2948</v>
      </c>
      <c r="M268" s="4">
        <v>30.2</v>
      </c>
      <c r="N268" s="11">
        <v>0.6</v>
      </c>
      <c r="O268" s="13"/>
      <c r="P268" s="4" t="str">
        <f t="shared" si="1"/>
        <v/>
      </c>
      <c r="Q268" s="4">
        <v>33.44</v>
      </c>
      <c r="R268" s="11">
        <v>0.7176</v>
      </c>
      <c r="S268" s="4">
        <v>1.0</v>
      </c>
      <c r="T268" s="4">
        <v>31.06</v>
      </c>
      <c r="U268" s="4">
        <v>31.06</v>
      </c>
    </row>
    <row r="269" ht="15.75" customHeight="1">
      <c r="A269" s="4" t="s">
        <v>1216</v>
      </c>
      <c r="B269" s="4" t="s">
        <v>1214</v>
      </c>
      <c r="C269" s="4" t="s">
        <v>1582</v>
      </c>
      <c r="D269" s="4" t="s">
        <v>1833</v>
      </c>
      <c r="E269" s="4" t="s">
        <v>1603</v>
      </c>
      <c r="F269" s="4" t="s">
        <v>772</v>
      </c>
      <c r="G269" s="4">
        <v>30.0</v>
      </c>
      <c r="H269" s="4">
        <v>29.96</v>
      </c>
      <c r="I269" s="11">
        <v>0.4666</v>
      </c>
      <c r="J269" s="11">
        <v>0.4719</v>
      </c>
      <c r="K269" s="4" t="s">
        <v>2947</v>
      </c>
      <c r="L269" s="4" t="s">
        <v>2948</v>
      </c>
      <c r="M269" s="4">
        <v>28.49</v>
      </c>
      <c r="N269" s="11">
        <v>0.2</v>
      </c>
      <c r="O269" s="13"/>
      <c r="P269" s="4" t="str">
        <f t="shared" si="1"/>
        <v/>
      </c>
      <c r="Q269" s="4">
        <v>29.96</v>
      </c>
      <c r="R269" s="11">
        <v>0.4666</v>
      </c>
      <c r="S269" s="4">
        <v>1.0</v>
      </c>
      <c r="T269" s="4">
        <v>29.34</v>
      </c>
      <c r="U269" s="4">
        <v>29.34</v>
      </c>
    </row>
    <row r="270" ht="15.75" customHeight="1">
      <c r="A270" s="4" t="s">
        <v>1216</v>
      </c>
      <c r="B270" s="4" t="s">
        <v>1214</v>
      </c>
      <c r="C270" s="4" t="s">
        <v>1582</v>
      </c>
      <c r="D270" s="4" t="s">
        <v>1833</v>
      </c>
      <c r="E270" s="4" t="s">
        <v>1606</v>
      </c>
      <c r="F270" s="4" t="s">
        <v>772</v>
      </c>
      <c r="G270" s="4">
        <v>29.5</v>
      </c>
      <c r="H270" s="4">
        <v>32.18</v>
      </c>
      <c r="I270" s="11">
        <v>0.6552</v>
      </c>
      <c r="J270" s="11">
        <v>0.3448</v>
      </c>
      <c r="K270" s="4" t="s">
        <v>2947</v>
      </c>
      <c r="L270" s="4" t="s">
        <v>2948</v>
      </c>
      <c r="M270" s="4">
        <v>30.2</v>
      </c>
      <c r="N270" s="11">
        <v>0.5</v>
      </c>
      <c r="O270" s="13"/>
      <c r="P270" s="4" t="str">
        <f t="shared" si="1"/>
        <v/>
      </c>
      <c r="Q270" s="4">
        <v>32.18</v>
      </c>
      <c r="R270" s="11">
        <v>0.6552</v>
      </c>
      <c r="S270" s="4">
        <v>1.0</v>
      </c>
      <c r="T270" s="4">
        <v>30.2</v>
      </c>
      <c r="U270" s="4">
        <v>30.2</v>
      </c>
    </row>
    <row r="271" ht="15.75" customHeight="1">
      <c r="A271" s="4" t="s">
        <v>1216</v>
      </c>
      <c r="B271" s="4" t="s">
        <v>1214</v>
      </c>
      <c r="C271" s="4" t="s">
        <v>1582</v>
      </c>
      <c r="D271" s="4" t="s">
        <v>1833</v>
      </c>
      <c r="E271" s="4" t="s">
        <v>1609</v>
      </c>
      <c r="F271" s="4" t="s">
        <v>772</v>
      </c>
      <c r="G271" s="4">
        <v>28.5</v>
      </c>
      <c r="H271" s="4">
        <v>30.9</v>
      </c>
      <c r="I271" s="11">
        <v>0.6424</v>
      </c>
      <c r="J271" s="11">
        <v>0.3576</v>
      </c>
      <c r="K271" s="4" t="s">
        <v>2947</v>
      </c>
      <c r="L271" s="4" t="s">
        <v>2948</v>
      </c>
      <c r="M271" s="4">
        <v>29.34</v>
      </c>
      <c r="N271" s="11">
        <v>0.7</v>
      </c>
      <c r="O271" s="13"/>
      <c r="P271" s="4" t="str">
        <f t="shared" si="1"/>
        <v/>
      </c>
      <c r="Q271" s="4">
        <v>30.9</v>
      </c>
      <c r="R271" s="11">
        <v>0.6424</v>
      </c>
      <c r="S271" s="4">
        <v>1.0</v>
      </c>
      <c r="T271" s="4">
        <v>31.06</v>
      </c>
      <c r="U271" s="4">
        <v>31.06</v>
      </c>
    </row>
    <row r="272" ht="15.75" customHeight="1">
      <c r="A272" s="4" t="s">
        <v>1216</v>
      </c>
      <c r="B272" s="4" t="s">
        <v>1214</v>
      </c>
      <c r="C272" s="4" t="s">
        <v>1582</v>
      </c>
      <c r="D272" s="4" t="s">
        <v>1833</v>
      </c>
      <c r="E272" s="4" t="s">
        <v>1612</v>
      </c>
      <c r="F272" s="4" t="s">
        <v>772</v>
      </c>
      <c r="G272" s="4">
        <v>28.5</v>
      </c>
      <c r="H272" s="4">
        <v>31.49</v>
      </c>
      <c r="I272" s="11">
        <v>0.6737</v>
      </c>
      <c r="J272" s="11">
        <v>0.3263</v>
      </c>
      <c r="K272" s="4" t="s">
        <v>2947</v>
      </c>
      <c r="L272" s="4" t="s">
        <v>2948</v>
      </c>
      <c r="M272" s="4">
        <v>28.09</v>
      </c>
      <c r="N272" s="11">
        <v>0.7</v>
      </c>
      <c r="O272" s="13"/>
      <c r="P272" s="4" t="str">
        <f t="shared" si="1"/>
        <v/>
      </c>
      <c r="Q272" s="4">
        <v>31.49</v>
      </c>
      <c r="R272" s="11">
        <v>0.6737</v>
      </c>
      <c r="S272" s="4">
        <v>1.0</v>
      </c>
      <c r="T272" s="4">
        <v>29.34</v>
      </c>
      <c r="U272" s="4">
        <v>29.34</v>
      </c>
    </row>
    <row r="273" ht="15.75" customHeight="1">
      <c r="A273" s="4" t="s">
        <v>1216</v>
      </c>
      <c r="B273" s="4" t="s">
        <v>1214</v>
      </c>
      <c r="C273" s="4" t="s">
        <v>1582</v>
      </c>
      <c r="D273" s="4" t="s">
        <v>1825</v>
      </c>
      <c r="E273" s="4" t="s">
        <v>1615</v>
      </c>
      <c r="F273" s="4" t="s">
        <v>772</v>
      </c>
      <c r="G273" s="4">
        <v>28.0</v>
      </c>
      <c r="H273" s="4">
        <v>25.23</v>
      </c>
      <c r="I273" s="11">
        <v>0.2911</v>
      </c>
      <c r="J273" s="11">
        <v>0.6488</v>
      </c>
      <c r="K273" s="4" t="s">
        <v>2954</v>
      </c>
      <c r="L273" s="4" t="s">
        <v>2948</v>
      </c>
      <c r="M273" s="4">
        <v>26.27</v>
      </c>
      <c r="N273" s="11">
        <v>0.4</v>
      </c>
      <c r="O273" s="13"/>
      <c r="P273" s="4" t="str">
        <f t="shared" si="1"/>
        <v/>
      </c>
      <c r="Q273" s="4">
        <v>25.23</v>
      </c>
      <c r="R273" s="11">
        <v>0.2911</v>
      </c>
      <c r="S273" s="4">
        <v>1.0</v>
      </c>
      <c r="T273" s="4">
        <v>25.94</v>
      </c>
      <c r="U273" s="4">
        <v>25.94</v>
      </c>
    </row>
    <row r="274" ht="15.75" customHeight="1">
      <c r="A274" s="4" t="s">
        <v>1216</v>
      </c>
      <c r="B274" s="4" t="s">
        <v>1214</v>
      </c>
      <c r="C274" s="4" t="s">
        <v>1582</v>
      </c>
      <c r="D274" s="4" t="s">
        <v>1825</v>
      </c>
      <c r="E274" s="4" t="s">
        <v>1620</v>
      </c>
      <c r="F274" s="4" t="s">
        <v>772</v>
      </c>
      <c r="G274" s="4">
        <v>24.5</v>
      </c>
      <c r="H274" s="4">
        <v>24.98</v>
      </c>
      <c r="I274" s="11">
        <v>0.5325</v>
      </c>
      <c r="J274" s="11">
        <v>0.4675</v>
      </c>
      <c r="K274" s="4" t="s">
        <v>2954</v>
      </c>
      <c r="L274" s="4" t="s">
        <v>2948</v>
      </c>
      <c r="M274" s="4">
        <v>23.69</v>
      </c>
      <c r="N274" s="11">
        <v>0.5</v>
      </c>
      <c r="O274" s="13"/>
      <c r="P274" s="4" t="str">
        <f t="shared" si="1"/>
        <v/>
      </c>
      <c r="Q274" s="4">
        <v>24.98</v>
      </c>
      <c r="R274" s="11">
        <v>0.5325</v>
      </c>
      <c r="S274" s="4">
        <v>1.0</v>
      </c>
      <c r="T274" s="4">
        <v>24.21</v>
      </c>
      <c r="U274" s="4">
        <v>24.21</v>
      </c>
    </row>
    <row r="275" ht="15.75" customHeight="1">
      <c r="A275" s="4" t="s">
        <v>1216</v>
      </c>
      <c r="B275" s="4" t="s">
        <v>1214</v>
      </c>
      <c r="C275" s="4" t="s">
        <v>1582</v>
      </c>
      <c r="D275" s="4" t="s">
        <v>1825</v>
      </c>
      <c r="E275" s="4" t="s">
        <v>1623</v>
      </c>
      <c r="F275" s="4" t="s">
        <v>772</v>
      </c>
      <c r="G275" s="4">
        <v>30.0</v>
      </c>
      <c r="H275" s="4">
        <v>35.4</v>
      </c>
      <c r="I275" s="11">
        <v>0.7569</v>
      </c>
      <c r="J275" s="11">
        <v>0.2009</v>
      </c>
      <c r="K275" s="4" t="s">
        <v>2954</v>
      </c>
      <c r="L275" s="4" t="s">
        <v>2948</v>
      </c>
      <c r="M275" s="4">
        <v>30.58</v>
      </c>
      <c r="N275" s="11">
        <v>0.9</v>
      </c>
      <c r="O275" s="13"/>
      <c r="P275" s="4" t="str">
        <f t="shared" si="1"/>
        <v/>
      </c>
      <c r="Q275" s="4">
        <v>35.4</v>
      </c>
      <c r="R275" s="11">
        <v>0.7569</v>
      </c>
      <c r="S275" s="4">
        <v>1.0</v>
      </c>
      <c r="T275" s="4">
        <v>32.0</v>
      </c>
      <c r="U275" s="4">
        <v>32.0</v>
      </c>
    </row>
    <row r="276" ht="15.75" customHeight="1">
      <c r="A276" s="4" t="s">
        <v>1216</v>
      </c>
      <c r="B276" s="4" t="s">
        <v>1214</v>
      </c>
      <c r="C276" s="4" t="s">
        <v>1582</v>
      </c>
      <c r="D276" s="4" t="s">
        <v>1825</v>
      </c>
      <c r="E276" s="4" t="s">
        <v>1626</v>
      </c>
      <c r="F276" s="4" t="s">
        <v>772</v>
      </c>
      <c r="G276" s="4">
        <v>36.0</v>
      </c>
      <c r="H276" s="4">
        <v>39.3</v>
      </c>
      <c r="I276" s="11">
        <v>0.6472</v>
      </c>
      <c r="J276" s="11">
        <v>0.3041</v>
      </c>
      <c r="K276" s="4" t="s">
        <v>2954</v>
      </c>
      <c r="L276" s="4" t="s">
        <v>2948</v>
      </c>
      <c r="N276" s="11">
        <v>0.6</v>
      </c>
      <c r="O276" s="13"/>
      <c r="P276" s="4" t="str">
        <f t="shared" si="1"/>
        <v/>
      </c>
      <c r="Q276" s="4">
        <v>39.3</v>
      </c>
      <c r="R276" s="11">
        <v>0.6472</v>
      </c>
      <c r="S276" s="4">
        <v>1.0</v>
      </c>
      <c r="T276" s="4">
        <v>38.48</v>
      </c>
      <c r="U276" s="4">
        <v>38.48</v>
      </c>
    </row>
    <row r="277" ht="15.75" customHeight="1">
      <c r="A277" s="4" t="s">
        <v>1216</v>
      </c>
      <c r="B277" s="4" t="s">
        <v>1214</v>
      </c>
      <c r="C277" s="4" t="s">
        <v>1582</v>
      </c>
      <c r="D277" s="4" t="s">
        <v>1825</v>
      </c>
      <c r="E277" s="4" t="s">
        <v>1629</v>
      </c>
      <c r="F277" s="4" t="s">
        <v>772</v>
      </c>
      <c r="G277" s="4">
        <v>33.0</v>
      </c>
      <c r="H277" s="4">
        <v>31.37</v>
      </c>
      <c r="I277" s="11">
        <v>0.3741</v>
      </c>
      <c r="J277" s="11">
        <v>0.5676</v>
      </c>
      <c r="K277" s="4" t="s">
        <v>2954</v>
      </c>
      <c r="L277" s="4" t="s">
        <v>2948</v>
      </c>
      <c r="M277" s="4">
        <v>32.27</v>
      </c>
      <c r="N277" s="11">
        <v>0.6</v>
      </c>
      <c r="O277" s="13"/>
      <c r="P277" s="4" t="str">
        <f t="shared" si="1"/>
        <v/>
      </c>
      <c r="Q277" s="4">
        <v>31.37</v>
      </c>
      <c r="R277" s="11">
        <v>0.3741</v>
      </c>
      <c r="S277" s="4">
        <v>1.0</v>
      </c>
      <c r="T277" s="4">
        <v>32.86</v>
      </c>
      <c r="U277" s="4">
        <v>32.86</v>
      </c>
    </row>
    <row r="278" ht="15.75" customHeight="1">
      <c r="A278" s="4" t="s">
        <v>1216</v>
      </c>
      <c r="B278" s="4" t="s">
        <v>1214</v>
      </c>
      <c r="C278" s="4" t="s">
        <v>1582</v>
      </c>
      <c r="D278" s="4" t="s">
        <v>1825</v>
      </c>
      <c r="E278" s="4" t="s">
        <v>1632</v>
      </c>
      <c r="F278" s="4" t="s">
        <v>772</v>
      </c>
      <c r="G278" s="4">
        <v>30.5</v>
      </c>
      <c r="H278" s="4">
        <v>36.07</v>
      </c>
      <c r="I278" s="11">
        <v>0.7835</v>
      </c>
      <c r="J278" s="11">
        <v>0.2165</v>
      </c>
      <c r="K278" s="4" t="s">
        <v>2954</v>
      </c>
      <c r="L278" s="4" t="s">
        <v>2948</v>
      </c>
      <c r="M278" s="4">
        <v>31.76</v>
      </c>
      <c r="N278" s="11">
        <v>0.5</v>
      </c>
      <c r="O278" s="13"/>
      <c r="P278" s="4" t="str">
        <f t="shared" si="1"/>
        <v/>
      </c>
      <c r="Q278" s="4">
        <v>36.07</v>
      </c>
      <c r="R278" s="11">
        <v>0.7835</v>
      </c>
      <c r="S278" s="4">
        <v>1.0</v>
      </c>
      <c r="T278" s="4">
        <v>31.57</v>
      </c>
      <c r="U278" s="4">
        <v>31.57</v>
      </c>
    </row>
    <row r="279" ht="15.75" customHeight="1">
      <c r="A279" s="4" t="s">
        <v>1216</v>
      </c>
      <c r="B279" s="4" t="s">
        <v>1214</v>
      </c>
      <c r="C279" s="4" t="s">
        <v>1582</v>
      </c>
      <c r="D279" s="4" t="s">
        <v>1825</v>
      </c>
      <c r="E279" s="4" t="s">
        <v>1637</v>
      </c>
      <c r="F279" s="4" t="s">
        <v>772</v>
      </c>
      <c r="G279" s="4">
        <v>33.5</v>
      </c>
      <c r="H279" s="4">
        <v>33.76</v>
      </c>
      <c r="I279" s="11">
        <v>0.515</v>
      </c>
      <c r="J279" s="11">
        <v>0.485</v>
      </c>
      <c r="K279" s="4" t="s">
        <v>2954</v>
      </c>
      <c r="L279" s="4" t="s">
        <v>2948</v>
      </c>
      <c r="N279" s="11">
        <v>0.7</v>
      </c>
      <c r="O279" s="13"/>
      <c r="P279" s="4" t="str">
        <f t="shared" si="1"/>
        <v/>
      </c>
      <c r="Q279" s="4">
        <v>33.76</v>
      </c>
      <c r="R279" s="11">
        <v>0.515</v>
      </c>
      <c r="S279" s="4">
        <v>1.0</v>
      </c>
      <c r="T279" s="4">
        <v>32.86</v>
      </c>
      <c r="U279" s="4">
        <v>32.86</v>
      </c>
    </row>
    <row r="280" ht="15.75" customHeight="1">
      <c r="A280" s="4" t="s">
        <v>1216</v>
      </c>
      <c r="B280" s="4" t="s">
        <v>1214</v>
      </c>
      <c r="C280" s="4" t="s">
        <v>1582</v>
      </c>
      <c r="D280" s="4" t="s">
        <v>1825</v>
      </c>
      <c r="E280" s="4" t="s">
        <v>1640</v>
      </c>
      <c r="F280" s="4" t="s">
        <v>772</v>
      </c>
      <c r="G280" s="4">
        <v>29.5</v>
      </c>
      <c r="H280" s="4">
        <v>31.53</v>
      </c>
      <c r="I280" s="11">
        <v>0.6198</v>
      </c>
      <c r="J280" s="11">
        <v>0.3802</v>
      </c>
      <c r="K280" s="4" t="s">
        <v>2954</v>
      </c>
      <c r="L280" s="4" t="s">
        <v>2948</v>
      </c>
      <c r="M280" s="4">
        <v>30.09</v>
      </c>
      <c r="N280" s="11">
        <v>0.8</v>
      </c>
      <c r="O280" s="13"/>
      <c r="P280" s="4" t="str">
        <f t="shared" si="1"/>
        <v/>
      </c>
      <c r="Q280" s="4">
        <v>31.53</v>
      </c>
      <c r="R280" s="11">
        <v>0.6198</v>
      </c>
      <c r="S280" s="4">
        <v>1.0</v>
      </c>
      <c r="T280" s="4">
        <v>29.84</v>
      </c>
      <c r="U280" s="4">
        <v>29.84</v>
      </c>
    </row>
    <row r="281" ht="15.75" customHeight="1">
      <c r="A281" s="4" t="s">
        <v>1216</v>
      </c>
      <c r="B281" s="4" t="s">
        <v>1214</v>
      </c>
      <c r="C281" s="4" t="s">
        <v>1582</v>
      </c>
      <c r="D281" s="4" t="s">
        <v>1825</v>
      </c>
      <c r="E281" s="4" t="s">
        <v>1643</v>
      </c>
      <c r="F281" s="4" t="s">
        <v>772</v>
      </c>
      <c r="G281" s="4">
        <v>27.5</v>
      </c>
      <c r="H281" s="4">
        <v>25.73</v>
      </c>
      <c r="I281" s="11">
        <v>0.3838</v>
      </c>
      <c r="J281" s="11">
        <v>0.6162</v>
      </c>
      <c r="K281" s="4" t="s">
        <v>2954</v>
      </c>
      <c r="L281" s="4" t="s">
        <v>2948</v>
      </c>
      <c r="M281" s="4">
        <v>25.92</v>
      </c>
      <c r="N281" s="11">
        <v>0.6</v>
      </c>
      <c r="O281" s="13"/>
      <c r="P281" s="4" t="str">
        <f t="shared" si="1"/>
        <v/>
      </c>
      <c r="Q281" s="4">
        <v>25.73</v>
      </c>
      <c r="R281" s="11">
        <v>0.3838</v>
      </c>
      <c r="S281" s="4">
        <v>1.0</v>
      </c>
      <c r="T281" s="4">
        <v>27.24</v>
      </c>
      <c r="U281" s="4">
        <v>27.24</v>
      </c>
    </row>
    <row r="282" ht="15.75" customHeight="1">
      <c r="A282" s="4" t="s">
        <v>1216</v>
      </c>
      <c r="B282" s="4" t="s">
        <v>1214</v>
      </c>
      <c r="C282" s="4" t="s">
        <v>1582</v>
      </c>
      <c r="D282" s="4" t="s">
        <v>1825</v>
      </c>
      <c r="E282" s="4" t="s">
        <v>1646</v>
      </c>
      <c r="F282" s="4" t="s">
        <v>772</v>
      </c>
      <c r="G282" s="4">
        <v>30.5</v>
      </c>
      <c r="H282" s="4">
        <v>31.13</v>
      </c>
      <c r="I282" s="11">
        <v>0.5382</v>
      </c>
      <c r="J282" s="11">
        <v>0.4618</v>
      </c>
      <c r="K282" s="4" t="s">
        <v>2954</v>
      </c>
      <c r="L282" s="4" t="s">
        <v>2948</v>
      </c>
      <c r="M282" s="4">
        <v>30.47</v>
      </c>
      <c r="N282" s="11">
        <v>0.6</v>
      </c>
      <c r="O282" s="13"/>
      <c r="P282" s="4" t="str">
        <f t="shared" si="1"/>
        <v/>
      </c>
      <c r="Q282" s="4">
        <v>31.13</v>
      </c>
      <c r="R282" s="11">
        <v>0.5382</v>
      </c>
      <c r="S282" s="4">
        <v>1.0</v>
      </c>
      <c r="T282" s="4">
        <v>32.0</v>
      </c>
      <c r="U282" s="4">
        <v>32.0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60.0"/>
    <col customWidth="1" min="3" max="26" width="8.71"/>
  </cols>
  <sheetData>
    <row r="1">
      <c r="A1" s="7" t="s">
        <v>2983</v>
      </c>
      <c r="B1" s="7" t="s">
        <v>2800</v>
      </c>
    </row>
    <row r="2">
      <c r="A2" s="4" t="s">
        <v>2984</v>
      </c>
      <c r="B2" s="4">
        <v>281.0</v>
      </c>
    </row>
    <row r="3">
      <c r="A3" s="4" t="s">
        <v>2985</v>
      </c>
      <c r="B3" s="4">
        <v>126.0</v>
      </c>
    </row>
    <row r="4">
      <c r="A4" s="4" t="s">
        <v>2986</v>
      </c>
      <c r="B4" s="4" t="s">
        <v>2987</v>
      </c>
    </row>
    <row r="5">
      <c r="A5" s="4" t="s">
        <v>2988</v>
      </c>
      <c r="B5" s="4">
        <v>0.0</v>
      </c>
    </row>
    <row r="6">
      <c r="A6" s="4" t="s">
        <v>2989</v>
      </c>
      <c r="B6" s="4" t="s">
        <v>2990</v>
      </c>
    </row>
    <row r="7">
      <c r="A7" s="4" t="s">
        <v>2991</v>
      </c>
      <c r="B7" s="4">
        <v>14.0</v>
      </c>
    </row>
    <row r="8">
      <c r="A8" s="4" t="s">
        <v>2992</v>
      </c>
      <c r="B8" s="4">
        <v>11.0</v>
      </c>
    </row>
    <row r="9">
      <c r="A9" s="4" t="s">
        <v>2993</v>
      </c>
      <c r="B9" s="4">
        <v>12.0</v>
      </c>
    </row>
    <row r="10">
      <c r="A10" s="4" t="s">
        <v>2995</v>
      </c>
      <c r="B10" s="4">
        <v>38.0</v>
      </c>
    </row>
    <row r="11">
      <c r="A11" s="4" t="s">
        <v>2996</v>
      </c>
      <c r="B11" s="4">
        <f>SUMPRODUCT(--ISERROR(Projections!G2:L282))</f>
        <v>0</v>
      </c>
    </row>
    <row r="12">
      <c r="A12" s="4" t="s">
        <v>2998</v>
      </c>
      <c r="B12" s="4">
        <f>COUNTBLANK(Projections!G2:G282)</f>
        <v>0</v>
      </c>
    </row>
    <row r="13">
      <c r="A13" s="4" t="s">
        <v>2999</v>
      </c>
      <c r="B13" s="4">
        <f>SUMPRODUCT(--ISERROR(Calc!A2:BK157))</f>
        <v>0</v>
      </c>
    </row>
    <row r="14">
      <c r="A14" s="4" t="s">
        <v>3001</v>
      </c>
      <c r="B14" s="4">
        <f>SUMPRODUCT(MAX(ABS(N(+Projections!G2:G282)-N(+Log!H2:H282))))</f>
        <v>0.005</v>
      </c>
    </row>
    <row r="15">
      <c r="A15" s="4" t="s">
        <v>3003</v>
      </c>
      <c r="B15" s="4">
        <f>SUMPRODUCT(MAX(ABS(N(+Projections!Z2:Z282)-N(+Log!Q2:Q282))))</f>
        <v>0.004994374173</v>
      </c>
    </row>
    <row r="16">
      <c r="A16" s="4" t="s">
        <v>3005</v>
      </c>
      <c r="B16" s="4">
        <f>SUMPRODUCT(--ISERROR(Matches!A5:BB22))</f>
        <v>0</v>
      </c>
    </row>
    <row r="17">
      <c r="A17" s="4" t="s">
        <v>3006</v>
      </c>
      <c r="B17" s="4">
        <v>16.0</v>
      </c>
    </row>
    <row r="18">
      <c r="A18" s="4" t="s">
        <v>3007</v>
      </c>
      <c r="B18" s="4" t="s">
        <v>3008</v>
      </c>
    </row>
    <row r="19">
      <c r="A19" s="4" t="s">
        <v>3007</v>
      </c>
      <c r="B19" s="4" t="s">
        <v>3009</v>
      </c>
    </row>
    <row r="20">
      <c r="A20" s="4" t="s">
        <v>3007</v>
      </c>
      <c r="B20" s="4" t="s">
        <v>3010</v>
      </c>
    </row>
    <row r="21" ht="15.75" customHeight="1">
      <c r="A21" s="4" t="s">
        <v>3007</v>
      </c>
      <c r="B21" s="4" t="s">
        <v>3011</v>
      </c>
    </row>
    <row r="22" ht="15.75" customHeight="1">
      <c r="A22" s="4" t="s">
        <v>3007</v>
      </c>
      <c r="B22" s="4" t="s">
        <v>3012</v>
      </c>
    </row>
    <row r="23" ht="15.75" customHeight="1">
      <c r="A23" s="4" t="s">
        <v>3007</v>
      </c>
      <c r="B23" s="4" t="s">
        <v>3013</v>
      </c>
    </row>
    <row r="24" ht="15.75" customHeight="1">
      <c r="A24" s="4" t="s">
        <v>3007</v>
      </c>
      <c r="B24" s="4" t="s">
        <v>3014</v>
      </c>
    </row>
    <row r="25" ht="15.75" customHeight="1">
      <c r="A25" s="4" t="s">
        <v>3007</v>
      </c>
      <c r="B25" s="4" t="s">
        <v>3016</v>
      </c>
    </row>
    <row r="26" ht="15.75" customHeight="1">
      <c r="A26" s="4" t="s">
        <v>3007</v>
      </c>
      <c r="B26" s="4" t="s">
        <v>3017</v>
      </c>
    </row>
    <row r="27" ht="15.75" customHeight="1">
      <c r="A27" s="4" t="s">
        <v>3007</v>
      </c>
      <c r="B27" s="4" t="s">
        <v>3018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