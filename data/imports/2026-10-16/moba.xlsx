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Board" sheetId="2" r:id="rId6"/>
    <sheet state="visible" name="Matches" sheetId="3" r:id="rId7"/>
    <sheet state="visible" name="Projections" sheetId="4" r:id="rId8"/>
    <sheet state="visible" name="Calc" sheetId="5" r:id="rId9"/>
    <sheet state="visible" name="Config" sheetId="6" r:id="rId10"/>
    <sheet state="visible" name="Players" sheetId="7" r:id="rId11"/>
    <sheet state="visible" name="Gamelog" sheetId="8" r:id="rId12"/>
    <sheet state="visible" name="Book_Props" sheetId="9" r:id="rId13"/>
    <sheet state="visible" name="Log" sheetId="10" r:id="rId14"/>
    <sheet state="visible" name="Data_Checks" sheetId="11" r:id="rId15"/>
  </sheets>
  <definedNames>
    <definedName hidden="1" localSheetId="3" name="_xlnm._FilterDatabase">Projections!$A$1:$AA$19</definedName>
  </definedNames>
  <calcPr/>
</workbook>
</file>

<file path=xl/sharedStrings.xml><?xml version="1.0" encoding="utf-8"?>
<sst xmlns="http://schemas.openxmlformats.org/spreadsheetml/2006/main" count="1562" uniqueCount="395">
  <si>
    <t>Board</t>
  </si>
  <si>
    <t>MOBA Player Model — LoL + Dota 2</t>
  </si>
  <si>
    <t>Matches — the shaded columns are yours: P(win) for each map, which maps get played, and the kill environment</t>
  </si>
  <si>
    <t>Match</t>
  </si>
  <si>
    <t>Match:</t>
  </si>
  <si>
    <t>Prefilled from Thunderpick, devigged: P(A wins map k) from Map k Winner (Bo1: Match Winner). Kills env × scales every projection in the match (1 = the players' own history; 1.10 = a game 10% bloodier).</t>
  </si>
  <si>
    <t>Kills projections built on the one effect the record measured cleanly in LoL: players score about twice as many kills in map wins as in losses (25 of 25 players, median 2.2×).</t>
  </si>
  <si>
    <t>Slate 2026-10-16 · 18 board legs · 2 matches</t>
  </si>
  <si>
    <t>HOW TO USE</t>
  </si>
  <si>
    <t>Event</t>
  </si>
  <si>
    <t>Player</t>
  </si>
  <si>
    <t>1. Matches tab: one row per match. Shaded: P(A wins) for maps 1, 2 and 3, whether maps 2 and 3 get played, and a kill-environment multiplier. They arrive prefilled from Thunderpick (map-winner odds, devigged). Bo5 "Maps 1-3" props always play three maps; Bo1 props are Map 1 only.</t>
  </si>
  <si>
    <t>Start (CT)</t>
  </si>
  <si>
    <t>Team</t>
  </si>
  <si>
    <t>2. Board tab: pick a match in B2. Both rosters, ranked by projected Map 1 kills, with the PrizePicks line, P(over), Thunderpick's own kill-line median and PickFinder's L10.</t>
  </si>
  <si>
    <t>Bo</t>
  </si>
  <si>
    <t>Market</t>
  </si>
  <si>
    <t>Team A</t>
  </si>
  <si>
    <t>3. Projections: every leg. Naive proj = his plain average per map, for comparison. Exact-line landings counts how often his last 15 series finished exactly on a whole-number line — the push check.</t>
  </si>
  <si>
    <t>Line</t>
  </si>
  <si>
    <t>Team B</t>
  </si>
  <si>
    <t>4. Log: the projections frozen as values when the sheet was built. Type Actual after settlement.</t>
  </si>
  <si>
    <t>P(A wins)</t>
  </si>
  <si>
    <t>TP total kills M1</t>
  </si>
  <si>
    <t>THE MODEL</t>
  </si>
  <si>
    <t>Proj</t>
  </si>
  <si>
    <t>TP A kills M1</t>
  </si>
  <si>
    <t>TP B kills M1</t>
  </si>
  <si>
    <t>Sigma</t>
  </si>
  <si>
    <t>K̄ = his kills per map, q = his map win rate (both from PickFinder Player Stats, same sample). r = WL_RATIO.</t>
  </si>
  <si>
    <t>TP duration M1</t>
  </si>
  <si>
    <t>P(over)</t>
  </si>
  <si>
    <t>TP markets</t>
  </si>
  <si>
    <t>P(under)</t>
  </si>
  <si>
    <t>k_win = K̄·r ÷ (q·r + 1 − q),  k_loss = K̄ ÷ (q·r + 1 − q).  These reproduce K̄ exactly at his own win rate.</t>
  </si>
  <si>
    <t>P(A wins M1)</t>
  </si>
  <si>
    <t>P(push)</t>
  </si>
  <si>
    <t>Map kills = Kills env × (P(win)·k_win + (1 − P(win))·k_loss). Maps 1-3 = sum over maps × P(map played).</t>
  </si>
  <si>
    <t>Model side (paper)</t>
  </si>
  <si>
    <t>Spread: within-result variance KILLS_DISPERSION × mean, PLUS the win/loss mixture P(1−P)(k_win − k_loss)². That second term is why a LoL leg is wider than its average suggests: one coin flip on the map result moves him between two very different kill counts.</t>
  </si>
  <si>
    <t>Naive proj</t>
  </si>
  <si>
    <t>P(over) naive</t>
  </si>
  <si>
    <t>WHERE EACH NUMBER COMES FROM</t>
  </si>
  <si>
    <t>TP book median</t>
  </si>
  <si>
    <t>PickFinder: /props board (lines, L5/L10/L15/H2H/streak) and each player page — Player Stats (Win Rate, Maps, K/D/A) and the 15-series gamelog (per-map kills).</t>
  </si>
  <si>
    <t>Map win rate q</t>
  </si>
  <si>
    <t>Thunderpick /api/markets: Match Winner, Map k Winner, Total Kills - Map k, each team's Total Kills, Map Kills Handicap, Map Duration, and each player's Total Kills ladder. Devigged; ladders read at the 50% crossing.</t>
  </si>
  <si>
    <t>P(win M1)</t>
  </si>
  <si>
    <t>PF Avg L10</t>
  </si>
  <si>
    <t>Dota: same model, its own ratio (1.77) and dispersion (1.84), both measured on OpenDota before the sheet was extended — see Config. Dota's win/loss gap is smaller than LoL's; its kill counts scatter more.</t>
  </si>
  <si>
    <t>PF L5</t>
  </si>
  <si>
    <t>PF L10</t>
  </si>
  <si>
    <t>P(A wins M2)</t>
  </si>
  <si>
    <t>PF L15</t>
  </si>
  <si>
    <t>Players flagged "new roster" played most of their recent games with other teammates (OpenDota co-occurrence). Their K̄ and q were earned on another team — the level/role-change check, not something the model can fix.</t>
  </si>
  <si>
    <t>P(A wins M3)</t>
  </si>
  <si>
    <t>PF H2H</t>
  </si>
  <si>
    <t>PF streak</t>
  </si>
  <si>
    <t>P(M2 played)</t>
  </si>
  <si>
    <t>READ THIS BEFORE TRUSTING A NUMBER</t>
  </si>
  <si>
    <t>Exact-line landings (15)</t>
  </si>
  <si>
    <t>P(M3 played)</t>
  </si>
  <si>
    <t>PAPER. The q-adjustment has been logged for retrodiction since 08-19 and never scored forward. This sheet's Log is the forward record.</t>
  </si>
  <si>
    <t>Kills env ×</t>
  </si>
  <si>
    <t>Flags</t>
  </si>
  <si>
    <t>Tag A</t>
  </si>
  <si>
    <t>Calc key</t>
  </si>
  <si>
    <t>Tag B</t>
  </si>
  <si>
    <t>The record's caveat stands: price alone predicted almost nothing (dog 43.1% over, fav 53.7%). If the adjustment carries information, it is through the interaction with each player's own q — which is exactly what Naive vs Proj isolates.</t>
  </si>
  <si>
    <t>Code</t>
  </si>
  <si>
    <t>LOL · KC vs MVK</t>
  </si>
  <si>
    <t>A likely sweep does NOT suppress LoL kills (6.60 vs 6.64, p = 0.69). Do not cut a leg on sweep risk.</t>
  </si>
  <si>
    <t>Lookup</t>
  </si>
  <si>
    <t>LOL · C9 vs FUR</t>
  </si>
  <si>
    <t>Demacia Cup Bo1s: teams from different leagues. A player's K̄ and q were earned in his own league's kill environment — that is what Kills env × is for, and it ships at 1.</t>
  </si>
  <si>
    <t>Worlds 2026</t>
  </si>
  <si>
    <t>REFRESHING</t>
  </si>
  <si>
    <t>Fri 13:00</t>
  </si>
  <si>
    <t>Blaber</t>
  </si>
  <si>
    <t>Karmine Corp (KC)</t>
  </si>
  <si>
    <t>C9</t>
  </si>
  <si>
    <t>MVK Esports (MVK)</t>
  </si>
  <si>
    <t>Rebuilt per slate from fresh captures and imported over this file (File → Import → Replace spreadsheet); the link stays the same.</t>
  </si>
  <si>
    <t>Maps 1-3 Kills</t>
  </si>
  <si>
    <t>Teams</t>
  </si>
  <si>
    <t>KC</t>
  </si>
  <si>
    <t>MVK</t>
  </si>
  <si>
    <t>Fri 18:00</t>
  </si>
  <si>
    <t>Cloud9 (C9)</t>
  </si>
  <si>
    <t>FURIA Esports (FUR)</t>
  </si>
  <si>
    <t>FUR</t>
  </si>
  <si>
    <t>TP A / B kills M1</t>
  </si>
  <si>
    <t>Key</t>
  </si>
  <si>
    <t>PID</t>
  </si>
  <si>
    <t>Side</t>
  </si>
  <si>
    <t>Maps n</t>
  </si>
  <si>
    <t>Win rate q</t>
  </si>
  <si>
    <t>K avg</t>
  </si>
  <si>
    <t>k win</t>
  </si>
  <si>
    <t>k loss</t>
  </si>
  <si>
    <t>Env</t>
  </si>
  <si>
    <t>M1 p win</t>
  </si>
  <si>
    <t>M1 p played</t>
  </si>
  <si>
    <t>M1 mean</t>
  </si>
  <si>
    <t>M1 var</t>
  </si>
  <si>
    <t>M2 p win</t>
  </si>
  <si>
    <t>M2 p played</t>
  </si>
  <si>
    <t>M2 mean</t>
  </si>
  <si>
    <t>M2 var</t>
  </si>
  <si>
    <t>M3 p win</t>
  </si>
  <si>
    <t>M3 p played</t>
  </si>
  <si>
    <t>M3 mean</t>
  </si>
  <si>
    <t>M3 var</t>
  </si>
  <si>
    <t>K1</t>
  </si>
  <si>
    <t>K1 var</t>
  </si>
  <si>
    <t>K12</t>
  </si>
  <si>
    <t>K12 var</t>
  </si>
  <si>
    <t>K13</t>
  </si>
  <si>
    <t>K13 var</t>
  </si>
  <si>
    <t>Naive K1</t>
  </si>
  <si>
    <t>Naive K12</t>
  </si>
  <si>
    <t>Naive K13</t>
  </si>
  <si>
    <t>Board rank</t>
  </si>
  <si>
    <t>Series code</t>
  </si>
  <si>
    <t>Series proj</t>
  </si>
  <si>
    <t>8c0cdne5gb1xf15|LOL · C9 vs FUR</t>
  </si>
  <si>
    <t>8c0cdne5gb1xf15</t>
  </si>
  <si>
    <t>P(M2 / M3 played)</t>
  </si>
  <si>
    <t>TP A − B kills M1</t>
  </si>
  <si>
    <t>Map win q</t>
  </si>
  <si>
    <t>0%/0/1</t>
  </si>
  <si>
    <t>Proj M1</t>
  </si>
  <si>
    <t>Naive M1</t>
  </si>
  <si>
    <t>Line M1</t>
  </si>
  <si>
    <t>P(over) M1</t>
  </si>
  <si>
    <t>Proj series</t>
  </si>
  <si>
    <t>Line series</t>
  </si>
  <si>
    <t>P(over) series</t>
  </si>
  <si>
    <t>TP book</t>
  </si>
  <si>
    <t>Sample</t>
  </si>
  <si>
    <t>row</t>
  </si>
  <si>
    <t>Loki</t>
  </si>
  <si>
    <t>Config — edit the shaded cells only</t>
  </si>
  <si>
    <t>Setting</t>
  </si>
  <si>
    <t>Value</t>
  </si>
  <si>
    <t>Notes</t>
  </si>
  <si>
    <t>WL_RATIO_LOL</t>
  </si>
  <si>
    <t>LoL: kills in map WINS ÷ kills in map LOSSES. Measured on 25 LoL players 2026-08-19: median 2.21, range 1.20–4.16, 25 of 25 above 1 (sign test p = 3×10⁻⁸). One value per title: per-player ratios from ~10 losses are too noisy to use.</t>
  </si>
  <si>
    <t>WL_RATIO_DOTA</t>
  </si>
  <si>
    <t>Dota: same quantity, measured 2026-10-03 on the 28 players on that day's board, last 40 Captains-Mode lobby games each (OpenDota): median 1.77, IQR 1.45–2.04, 27 of 28 above 1 (p = 1×10⁻⁷), leave-one-team-out medians 1.65–1.81. Criterion was written before the pull.</t>
  </si>
  <si>
    <t>KILLS_DISPERSION_LOL</t>
  </si>
  <si>
    <t>Variance ÷ mean of kills WITHIN a known map result (1 = Poisson), LoL. The win/loss mixture variance is added on top. Set by judgment, not measured.</t>
  </si>
  <si>
    <t>KILLS_DISPERSION_DOTA</t>
  </si>
  <si>
    <t>Same for Dota, measured: pooled within-result variance ÷ mean over the same 28 players × 40 games. Dota kill counts scatter more than LoL's.</t>
  </si>
  <si>
    <t>EDGE_MIN</t>
  </si>
  <si>
    <t>Model side shows OVER/UNDER only past 50% + this. PAPER: no forward record.</t>
  </si>
  <si>
    <t>THIN_SAMPLE_MAPS</t>
  </si>
  <si>
    <t>Flag players whose PickFinder sample is below this many maps.</t>
  </si>
  <si>
    <t>SLATE_DATE</t>
  </si>
  <si>
    <t>2026-10-16</t>
  </si>
  <si>
    <t>BUILT_UTC</t>
  </si>
  <si>
    <t>2026-10-16 02:36</t>
  </si>
  <si>
    <t>-</t>
  </si>
  <si>
    <t>dzriszc5pnz15ca|LOL · C9 vs FUR</t>
  </si>
  <si>
    <t>Tactical</t>
  </si>
  <si>
    <t>PF matchup</t>
  </si>
  <si>
    <t>Maps</t>
  </si>
  <si>
    <t>Map win rate</t>
  </si>
  <si>
    <t>K</t>
  </si>
  <si>
    <t>D</t>
  </si>
  <si>
    <t>A</t>
  </si>
  <si>
    <t>K/D</t>
  </si>
  <si>
    <t>Gamelog maps</t>
  </si>
  <si>
    <t>Gamelog kills/map</t>
  </si>
  <si>
    <t>Identity</t>
  </si>
  <si>
    <t>PickFinder page</t>
  </si>
  <si>
    <t>Title</t>
  </si>
  <si>
    <t>Role</t>
  </si>
  <si>
    <t>OpenDota W</t>
  </si>
  <si>
    <t>OpenDota L</t>
  </si>
  <si>
    <t>Own W/L ratio</t>
  </si>
  <si>
    <t>With current teammates</t>
  </si>
  <si>
    <t>C9 vs FUR</t>
  </si>
  <si>
    <t>OK</t>
  </si>
  <si>
    <t>https://www.pickfinder.app/players/lol/8c0cdne5gb1xf15</t>
  </si>
  <si>
    <t>LOL</t>
  </si>
  <si>
    <t>jun</t>
  </si>
  <si>
    <t>dzriszc5pnz15ca</t>
  </si>
  <si>
    <t>https://www.pickfinder.app/players/lol/dzriszc5pnz15ca</t>
  </si>
  <si>
    <t>mid</t>
  </si>
  <si>
    <t>m04u1esa2a4edat</t>
  </si>
  <si>
    <t>https://www.pickfinder.app/players/lol/m04u1esa2a4edat</t>
  </si>
  <si>
    <t>adc</t>
  </si>
  <si>
    <t>j7y9h08j24nae95</t>
  </si>
  <si>
    <t>Thanatos</t>
  </si>
  <si>
    <t>https://www.pickfinder.app/players/lol/j7y9h08j24nae95</t>
  </si>
  <si>
    <t>top</t>
  </si>
  <si>
    <t>e7oayaesoqb0bhf</t>
  </si>
  <si>
    <t>Ayu</t>
  </si>
  <si>
    <t>FUR vs C9</t>
  </si>
  <si>
    <t>https://www.pickfinder.app/players/lol/e7oayaesoqb0bhf</t>
  </si>
  <si>
    <t>yfeamupxfsjv1hs</t>
  </si>
  <si>
    <t>GUIGO</t>
  </si>
  <si>
    <t>https://www.pickfinder.app/players/lol/yfeamupxfsjv1hs</t>
  </si>
  <si>
    <t>0puc7tc09n5mldx</t>
  </si>
  <si>
    <t>Jojo</t>
  </si>
  <si>
    <t>https://www.pickfinder.app/players/lol/0puc7tc09n5mldx</t>
  </si>
  <si>
    <t>sup</t>
  </si>
  <si>
    <t>bfa7dj819gxo5o8</t>
  </si>
  <si>
    <t>Tatu</t>
  </si>
  <si>
    <t>https://www.pickfinder.app/players/lol/bfa7dj819gxo5o8</t>
  </si>
  <si>
    <t>vx8t2exqb0pxqzs</t>
  </si>
  <si>
    <t>Tutsz</t>
  </si>
  <si>
    <t>https://www.pickfinder.app/players/lol/vx8t2exqb0pxqzs</t>
  </si>
  <si>
    <t>60n3jocjohvthia</t>
  </si>
  <si>
    <t>Caliste</t>
  </si>
  <si>
    <t>KC vs MVK</t>
  </si>
  <si>
    <t>https://www.pickfinder.app/players/lol/60n3jocjohvthia</t>
  </si>
  <si>
    <t>5h8ktthuwylbro2</t>
  </si>
  <si>
    <t>Canna</t>
  </si>
  <si>
    <t>https://www.pickfinder.app/players/lol/5h8ktthuwylbro2</t>
  </si>
  <si>
    <t>cp4ibkwui10xeyj</t>
  </si>
  <si>
    <t>Kyeahoo</t>
  </si>
  <si>
    <t>https://www.pickfinder.app/players/lol/cp4ibkwui10xeyj</t>
  </si>
  <si>
    <t>rfespsq7mcurckt</t>
  </si>
  <si>
    <t>Yike</t>
  </si>
  <si>
    <t>https://www.pickfinder.app/players/lol/rfespsq7mcurckt</t>
  </si>
  <si>
    <t>r22pe1iajr6mhdp</t>
  </si>
  <si>
    <t>Chika</t>
  </si>
  <si>
    <t>MVK vs KC</t>
  </si>
  <si>
    <t>https://www.pickfinder.app/players/lol/r22pe1iajr6mhdp</t>
  </si>
  <si>
    <t>jr80asvwieexg6m</t>
  </si>
  <si>
    <t>Gury</t>
  </si>
  <si>
    <t>https://www.pickfinder.app/players/lol/jr80asvwieexg6m</t>
  </si>
  <si>
    <t>tuhm132yvf0f8gg</t>
  </si>
  <si>
    <t>Harky</t>
  </si>
  <si>
    <t>https://www.pickfinder.app/players/lol/tuhm132yvf0f8gg</t>
  </si>
  <si>
    <t>zzsjtlvrbi44rqp</t>
  </si>
  <si>
    <t>Kratos</t>
  </si>
  <si>
    <t>https://www.pickfinder.app/players/lol/zzsjtlvrbi44rqp</t>
  </si>
  <si>
    <t>16tiv29rhyefoti</t>
  </si>
  <si>
    <t>Siuloong</t>
  </si>
  <si>
    <t>https://www.pickfinder.app/players/lol/16tiv29rhyefoti</t>
  </si>
  <si>
    <t>m04u1esa2a4edat|LOL · C9 vs FUR</t>
  </si>
  <si>
    <t>j7y9h08j24nae95|LOL · C9 vs FUR</t>
  </si>
  <si>
    <t>100%/1/1</t>
  </si>
  <si>
    <t>e7oayaesoqb0bhf|LOL · C9 vs FUR</t>
  </si>
  <si>
    <t>Date</t>
  </si>
  <si>
    <t>Opponent</t>
  </si>
  <si>
    <t>M 1K</t>
  </si>
  <si>
    <t>M 2K</t>
  </si>
  <si>
    <t>M 3K</t>
  </si>
  <si>
    <t>M 1-2K</t>
  </si>
  <si>
    <t>M 1-3K</t>
  </si>
  <si>
    <t>10/15</t>
  </si>
  <si>
    <t>10/03</t>
  </si>
  <si>
    <t>LY</t>
  </si>
  <si>
    <t>09/27</t>
  </si>
  <si>
    <t>TL</t>
  </si>
  <si>
    <t>09/19</t>
  </si>
  <si>
    <t>09/12</t>
  </si>
  <si>
    <t>SR</t>
  </si>
  <si>
    <t>09/05</t>
  </si>
  <si>
    <t>SEN</t>
  </si>
  <si>
    <t>08/30</t>
  </si>
  <si>
    <t>08/29</t>
  </si>
  <si>
    <t>08/16</t>
  </si>
  <si>
    <t>FLY</t>
  </si>
  <si>
    <t>08/08</t>
  </si>
  <si>
    <t>DSG</t>
  </si>
  <si>
    <t>08/01</t>
  </si>
  <si>
    <t>DIG</t>
  </si>
  <si>
    <t>07/26</t>
  </si>
  <si>
    <t>06/13</t>
  </si>
  <si>
    <t>06/07</t>
  </si>
  <si>
    <t>05/23</t>
  </si>
  <si>
    <t>06/06</t>
  </si>
  <si>
    <t>DK</t>
  </si>
  <si>
    <t>04/23</t>
  </si>
  <si>
    <t>04/19</t>
  </si>
  <si>
    <t>NS</t>
  </si>
  <si>
    <t>06/05</t>
  </si>
  <si>
    <t>CCG</t>
  </si>
  <si>
    <t>05/29</t>
  </si>
  <si>
    <t>05/22</t>
  </si>
  <si>
    <t>SN</t>
  </si>
  <si>
    <t>yfeamupxfsjv1hs|LOL · C9 vs FUR</t>
  </si>
  <si>
    <t>10/10</t>
  </si>
  <si>
    <t>LOS</t>
  </si>
  <si>
    <t>LLL</t>
  </si>
  <si>
    <t>09/26</t>
  </si>
  <si>
    <t>RED</t>
  </si>
  <si>
    <t>09/06</t>
  </si>
  <si>
    <t>LEV</t>
  </si>
  <si>
    <t>08/22</t>
  </si>
  <si>
    <t>PNG</t>
  </si>
  <si>
    <t>08/15</t>
  </si>
  <si>
    <t>08/09</t>
  </si>
  <si>
    <t>FXW7</t>
  </si>
  <si>
    <t>08/07</t>
  </si>
  <si>
    <t>VKS</t>
  </si>
  <si>
    <t>07/25</t>
  </si>
  <si>
    <t>07/15</t>
  </si>
  <si>
    <t>G2</t>
  </si>
  <si>
    <t>07/06</t>
  </si>
  <si>
    <t>T1</t>
  </si>
  <si>
    <t>07/04</t>
  </si>
  <si>
    <t>0puc7tc09n5mldx|LOL · C9 vs FUR</t>
  </si>
  <si>
    <t>MKOI</t>
  </si>
  <si>
    <t>GX</t>
  </si>
  <si>
    <t>SK</t>
  </si>
  <si>
    <t>08/23</t>
  </si>
  <si>
    <t>SHFT</t>
  </si>
  <si>
    <t>08/17</t>
  </si>
  <si>
    <t>FNC</t>
  </si>
  <si>
    <t>08/03</t>
  </si>
  <si>
    <t>TH</t>
  </si>
  <si>
    <t>Navi</t>
  </si>
  <si>
    <t>07/24</t>
  </si>
  <si>
    <t>VIT</t>
  </si>
  <si>
    <t>07/19</t>
  </si>
  <si>
    <t>07/18</t>
  </si>
  <si>
    <t>CFO</t>
  </si>
  <si>
    <t>GAM</t>
  </si>
  <si>
    <t>08/20</t>
  </si>
  <si>
    <t>08/14</t>
  </si>
  <si>
    <t>DCG</t>
  </si>
  <si>
    <t>07/31</t>
  </si>
  <si>
    <t>TSW</t>
  </si>
  <si>
    <t>GZ</t>
  </si>
  <si>
    <t>05/13</t>
  </si>
  <si>
    <t>05/12</t>
  </si>
  <si>
    <t>05/09</t>
  </si>
  <si>
    <t>05/06</t>
  </si>
  <si>
    <t>SHG</t>
  </si>
  <si>
    <t>05/02</t>
  </si>
  <si>
    <t>04/26</t>
  </si>
  <si>
    <t>04/18</t>
  </si>
  <si>
    <t>DFM</t>
  </si>
  <si>
    <t>05/16</t>
  </si>
  <si>
    <t>bfa7dj819gxo5o8|LOL · C9 vs FUR</t>
  </si>
  <si>
    <t>04/11</t>
  </si>
  <si>
    <t>vx8t2exqb0pxqzs|LOL · C9 vs FUR</t>
  </si>
  <si>
    <t>60n3jocjohvthia|LOL · KC vs MVK</t>
  </si>
  <si>
    <t>TP player name</t>
  </si>
  <si>
    <t>Map 1 median</t>
  </si>
  <si>
    <t>Map 2 median</t>
  </si>
  <si>
    <t>Map 3 median</t>
  </si>
  <si>
    <t>Rungs (M1)</t>
  </si>
  <si>
    <t>Matched PID</t>
  </si>
  <si>
    <t>busio</t>
  </si>
  <si>
    <t>caliste</t>
  </si>
  <si>
    <t>canna</t>
  </si>
  <si>
    <t>chika</t>
  </si>
  <si>
    <t>gury</t>
  </si>
  <si>
    <t>harky</t>
  </si>
  <si>
    <t>kratos</t>
  </si>
  <si>
    <t>kyeahoo</t>
  </si>
  <si>
    <t>siuloong</t>
  </si>
  <si>
    <t>yike</t>
  </si>
  <si>
    <t>ayu</t>
  </si>
  <si>
    <t>blaber</t>
  </si>
  <si>
    <t>guigo</t>
  </si>
  <si>
    <t>jojo</t>
  </si>
  <si>
    <t>loki</t>
  </si>
  <si>
    <t>tactical</t>
  </si>
  <si>
    <t>tatu</t>
  </si>
  <si>
    <t>thanatos</t>
  </si>
  <si>
    <t>tutsz</t>
  </si>
  <si>
    <t>vulcan</t>
  </si>
  <si>
    <t>5h8ktthuwylbro2|LOL · KC vs MVK</t>
  </si>
  <si>
    <t>Logged (UTC)</t>
  </si>
  <si>
    <t>Slate</t>
  </si>
  <si>
    <t>Actual</t>
  </si>
  <si>
    <t>Result</t>
  </si>
  <si>
    <t>cp4ibkwui10xeyj|LOL · KC vs MVK</t>
  </si>
  <si>
    <t>rfespsq7mcurckt|LOL · KC vs MVK</t>
  </si>
  <si>
    <t>r22pe1iajr6mhdp|LOL · KC vs MVK</t>
  </si>
  <si>
    <t>jr80asvwieexg6m|LOL · KC vs MVK</t>
  </si>
  <si>
    <t>Check</t>
  </si>
  <si>
    <t>PickFinder board rows (LoL + Dota)</t>
  </si>
  <si>
    <t>Players with stats</t>
  </si>
  <si>
    <t>Gamelog identity M1+M2 = M1-2 and M1-2+M3 = M1-3, every row</t>
  </si>
  <si>
    <t>18 / 18 players pass</t>
  </si>
  <si>
    <t>Matches resolved to Thunderpick</t>
  </si>
  <si>
    <t>2 / 2</t>
  </si>
  <si>
    <t>Thunderpick player kill ladders matched to board players</t>
  </si>
  <si>
    <t>LIVE: formula errors on Projections (should be 0)</t>
  </si>
  <si>
    <t>LIVE: legs with no projection (should be 0)</t>
  </si>
  <si>
    <t>LIVE: largest |Projections − Log| (≈0 at default settings)</t>
  </si>
  <si>
    <t>LIVE: identity — legs where P(win M1) = q but Proj ≠ Naive (should be 0)</t>
  </si>
  <si>
    <t>tuhm132yvf0f8gg|LOL · KC vs MVK</t>
  </si>
  <si>
    <t>Proj = Σ maps of P(win map)·k_win + P(lose)·k_loss, with k_win = K̄·r/(q·r+1−q), k_loss = K̄/(q·r+1−q), r = WL_RATIO, q = his map win rate over PickFinder's sample. Naive = K̄ per map. At P(win) = q the two agree exactly. PAPER: no forward record.</t>
  </si>
  <si>
    <t>zzsjtlvrbi44rqp|LOL · KC vs MVK</t>
  </si>
  <si>
    <t>16tiv29rhyefoti|LOL · KC vs MVK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</si>
</sst>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0.0"/>
  </numFmts>
  <fonts count="8">
    <font>
      <sz val="11.0"/>
      <color theme="1"/>
      <name val="Calibri"/>
      <scheme val="minor"/>
    </font>
    <font>
      <b/>
      <sz val="14.0"/>
      <color theme="1"/>
      <name val="Cambria"/>
    </font>
    <font>
      <b/>
      <sz val="11.0"/>
      <color theme="1"/>
      <name val="Cambria"/>
    </font>
    <font>
      <i/>
      <sz val="11.0"/>
      <color rgb="FF6B7280"/>
      <name val="Cambria"/>
    </font>
    <font>
      <sz val="11.0"/>
      <color theme="1"/>
      <name val="Calibri"/>
    </font>
    <font>
      <b/>
      <sz val="11.0"/>
      <color rgb="FFFFFFFF"/>
      <name val="Cambria"/>
    </font>
    <font>
      <color theme="1"/>
      <name val="Calibri"/>
      <scheme val="minor"/>
    </font>
    <font>
      <b/>
      <sz val="12.0"/>
      <color theme="1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top" wrapText="1"/>
    </xf>
    <xf borderId="1" fillId="2" fontId="5" numFmtId="0" xfId="0" applyAlignment="1" applyBorder="1" applyFill="1" applyFont="1">
      <alignment shrinkToFit="0" vertical="center" wrapText="1"/>
    </xf>
    <xf borderId="0" fillId="0" fontId="6" numFmtId="0" xfId="0" applyFont="1"/>
    <xf borderId="1" fillId="3" fontId="7" numFmtId="0" xfId="0" applyAlignment="1" applyBorder="1" applyFill="1" applyFon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4" numFmtId="165" xfId="0" applyAlignment="1" applyFont="1" applyNumberFormat="1">
      <alignment shrinkToFit="0" vertical="bottom" wrapText="0"/>
    </xf>
    <xf borderId="1" fillId="3" fontId="4" numFmtId="164" xfId="0" applyAlignment="1" applyBorder="1" applyFill="1" applyFont="1" applyNumberFormat="1">
      <alignment shrinkToFit="0" vertical="bottom" wrapText="0"/>
    </xf>
    <xf borderId="1" fillId="3" fontId="4" numFmtId="0" xfId="0" applyAlignment="1" applyBorder="1" applyFill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2" xfId="0" applyAlignment="1" applyFont="1" applyNumberFormat="1">
      <alignment shrinkToFit="0" vertical="bottom" wrapText="0"/>
    </xf>
    <xf borderId="0" fillId="0" fontId="4" numFmtId="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8.0"/>
    <col customWidth="1" min="2" max="26" width="8.71"/>
  </cols>
  <sheetData>
    <row r="1">
      <c r="A1" s="1" t="s">
        <v>1</v>
      </c>
    </row>
    <row r="2">
      <c r="A2" s="4" t="s">
        <v>6</v>
      </c>
    </row>
    <row r="3">
      <c r="A3" s="3" t="s">
        <v>7</v>
      </c>
    </row>
    <row r="5">
      <c r="A5" s="2" t="s">
        <v>8</v>
      </c>
    </row>
    <row r="6">
      <c r="A6" s="4" t="s">
        <v>11</v>
      </c>
    </row>
    <row r="7">
      <c r="A7" s="4" t="s">
        <v>14</v>
      </c>
    </row>
    <row r="8">
      <c r="A8" s="4" t="s">
        <v>18</v>
      </c>
    </row>
    <row r="9">
      <c r="A9" s="4" t="s">
        <v>21</v>
      </c>
    </row>
    <row r="11">
      <c r="A11" s="2" t="s">
        <v>24</v>
      </c>
    </row>
    <row r="12">
      <c r="A12" s="4" t="s">
        <v>29</v>
      </c>
    </row>
    <row r="13">
      <c r="A13" s="4" t="s">
        <v>34</v>
      </c>
    </row>
    <row r="14">
      <c r="A14" s="4" t="s">
        <v>37</v>
      </c>
    </row>
    <row r="15">
      <c r="A15" s="4" t="s">
        <v>39</v>
      </c>
    </row>
    <row r="17">
      <c r="A17" s="2" t="s">
        <v>42</v>
      </c>
    </row>
    <row r="18">
      <c r="A18" s="4" t="s">
        <v>44</v>
      </c>
    </row>
    <row r="19">
      <c r="A19" s="4" t="s">
        <v>46</v>
      </c>
    </row>
    <row r="20">
      <c r="A20" s="4" t="s">
        <v>49</v>
      </c>
    </row>
    <row r="21" ht="15.75" customHeight="1">
      <c r="A21" s="4" t="s">
        <v>54</v>
      </c>
    </row>
    <row r="22" ht="15.75" customHeight="1"/>
    <row r="23" ht="15.75" customHeight="1">
      <c r="A23" s="2" t="s">
        <v>59</v>
      </c>
    </row>
    <row r="24" ht="15.75" customHeight="1">
      <c r="A24" s="4" t="s">
        <v>62</v>
      </c>
    </row>
    <row r="25" ht="15.75" customHeight="1">
      <c r="A25" s="4" t="s">
        <v>68</v>
      </c>
    </row>
    <row r="26" ht="15.75" customHeight="1">
      <c r="A26" s="4" t="s">
        <v>71</v>
      </c>
    </row>
    <row r="27" ht="15.75" customHeight="1">
      <c r="A27" s="4" t="s">
        <v>74</v>
      </c>
    </row>
    <row r="28" ht="15.75" customHeight="1"/>
    <row r="29" ht="15.75" customHeight="1">
      <c r="A29" s="2" t="s">
        <v>76</v>
      </c>
    </row>
    <row r="30" ht="15.75" customHeight="1">
      <c r="A30" s="4" t="s">
        <v>82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12.0"/>
    <col customWidth="1" min="2" max="2" width="26.0"/>
    <col customWidth="1" min="3" max="3" width="9.0"/>
    <col customWidth="1" min="4" max="6" width="7.0"/>
    <col customWidth="1" min="7" max="7" width="9.0"/>
    <col customWidth="1" min="8" max="10" width="8.0"/>
    <col customWidth="1" min="11" max="11" width="10.0"/>
    <col customWidth="1" min="12" max="13" width="8.0"/>
    <col customWidth="1" min="14" max="14" width="10.0"/>
    <col customWidth="1" min="15" max="16" width="8.0"/>
    <col customWidth="1" min="17" max="17" width="7.0"/>
    <col customWidth="1" min="18" max="18" width="30.0"/>
    <col customWidth="1" min="19" max="19" width="2.0"/>
    <col customWidth="1" hidden="1" min="20" max="20" width="5.0"/>
    <col customWidth="1" min="21" max="26" width="8.71"/>
  </cols>
  <sheetData>
    <row r="1">
      <c r="A1" s="1" t="s">
        <v>0</v>
      </c>
    </row>
    <row r="2">
      <c r="A2" s="2" t="s">
        <v>4</v>
      </c>
      <c r="B2" s="7" t="s">
        <v>70</v>
      </c>
    </row>
    <row r="4">
      <c r="A4" s="2" t="s">
        <v>84</v>
      </c>
      <c r="B4" s="6" t="str">
        <f t="array" ref="B4">IFERROR(IF(INDEX(Matches!$E$5:$E$6,MATCH($B$2,Matches!$A$5:$A$6,0))="","",INDEX(Matches!$E$5:$E$6,MATCH($B$2,Matches!$A$5:$A$6,0))),"")&amp;"  vs  "&amp;IFERROR(IF(INDEX(Matches!$F$5:$F$6,MATCH($B$2,Matches!$A$5:$A$6,0))="","",INDEX(Matches!$F$5:$F$6,MATCH($B$2,Matches!$A$5:$A$6,0))),"")</f>
        <v>Karmine Corp (KC)  vs  MVK Esports (MVK)</v>
      </c>
      <c r="D4" s="2" t="s">
        <v>12</v>
      </c>
      <c r="E4" s="6" t="str">
        <f t="array" ref="E4">IFERROR(IF(INDEX(Matches!$C$5:$C$6,MATCH($B$2,Matches!$A$5:$A$6,0))="","",INDEX(Matches!$C$5:$C$6,MATCH($B$2,Matches!$A$5:$A$6,0))),"")</f>
        <v>Fri 13:00</v>
      </c>
      <c r="G4" s="2" t="s">
        <v>15</v>
      </c>
      <c r="H4" s="12">
        <f t="array" ref="H4">IFERROR(IF(INDEX(Matches!$D$5:$D$6,MATCH($B$2,Matches!$A$5:$A$6,0))="","",INDEX(Matches!$D$5:$D$6,MATCH($B$2,Matches!$A$5:$A$6,0))),"")</f>
        <v>5</v>
      </c>
    </row>
    <row r="5">
      <c r="A5" s="2" t="s">
        <v>9</v>
      </c>
      <c r="B5" s="6" t="str">
        <f t="array" ref="B5">IFERROR(IF(INDEX(Matches!$B$5:$B$6,MATCH($B$2,Matches!$A$5:$A$6,0))="","",INDEX(Matches!$B$5:$B$6,MATCH($B$2,Matches!$A$5:$A$6,0))),"")</f>
        <v>Worlds 2026</v>
      </c>
      <c r="D5" s="2" t="s">
        <v>22</v>
      </c>
      <c r="E5" s="8">
        <f t="array" ref="E5">IFERROR(IF(INDEX(Matches!$G$5:$G$6,MATCH($B$2,Matches!$A$5:$A$6,0))="","",INDEX(Matches!$G$5:$G$6,MATCH($B$2,Matches!$A$5:$A$6,0))),"")</f>
        <v>0.7569721116</v>
      </c>
      <c r="G5" s="2" t="s">
        <v>35</v>
      </c>
      <c r="H5" s="8">
        <f t="array" ref="H5">IFERROR(IF(INDEX(Matches!$M$5:$M$6,MATCH($B$2,Matches!$A$5:$A$6,0))="","",INDEX(Matches!$M$5:$M$6,MATCH($B$2,Matches!$A$5:$A$6,0))),"")</f>
        <v>0.6699</v>
      </c>
    </row>
    <row r="6">
      <c r="A6" s="2" t="s">
        <v>23</v>
      </c>
      <c r="B6" s="9" t="str">
        <f t="array" ref="B6">IFERROR(IF(INDEX(Matches!$H$5:$H$6,MATCH($B$2,Matches!$A$5:$A$6,0))="","",INDEX(Matches!$H$5:$H$6,MATCH($B$2,Matches!$A$5:$A$6,0))),"")</f>
        <v/>
      </c>
      <c r="D6" s="2" t="s">
        <v>91</v>
      </c>
      <c r="E6" s="6" t="str">
        <f t="array" ref="E6">IF(IFERROR(IF(INDEX(Matches!$I$5:$I$6,MATCH($B$2,Matches!$A$5:$A$6,0))="","",INDEX(Matches!$I$5:$I$6,MATCH($B$2,Matches!$A$5:$A$6,0))),"")="","",TEXT(IFERROR(IF(INDEX(Matches!$I$5:$I$6,MATCH($B$2,Matches!$A$5:$A$6,0))="","",INDEX(Matches!$I$5:$I$6,MATCH($B$2,Matches!$A$5:$A$6,0))),""),"0.0")&amp;" / "&amp;TEXT(IFERROR(IF(INDEX(Matches!$J$5:$J$6,MATCH($B$2,Matches!$A$5:$A$6,0))="","",INDEX(Matches!$J$5:$J$6,MATCH($B$2,Matches!$A$5:$A$6,0))),""),"0.0"))</f>
        <v/>
      </c>
      <c r="G6" s="2" t="s">
        <v>30</v>
      </c>
      <c r="H6" s="9" t="str">
        <f t="array" ref="H6">IFERROR(IF(INDEX(Matches!$K$5:$K$6,MATCH($B$2,Matches!$A$5:$A$6,0))="","",INDEX(Matches!$K$5:$K$6,MATCH($B$2,Matches!$A$5:$A$6,0))),"")</f>
        <v/>
      </c>
    </row>
    <row r="7">
      <c r="A7" s="2" t="s">
        <v>63</v>
      </c>
      <c r="B7" s="12">
        <f t="array" ref="B7">IFERROR(IF(INDEX(Matches!$R$5:$R$6,MATCH($B$2,Matches!$A$5:$A$6,0))="","",INDEX(Matches!$R$5:$R$6,MATCH($B$2,Matches!$A$5:$A$6,0))),"")</f>
        <v>1</v>
      </c>
      <c r="D7" s="2" t="s">
        <v>127</v>
      </c>
      <c r="E7" s="6" t="str">
        <f t="array" ref="E7">TEXT(IFERROR(IF(INDEX(Matches!$P$5:$P$6,MATCH($B$2,Matches!$A$5:$A$6,0))="","",INDEX(Matches!$P$5:$P$6,MATCH($B$2,Matches!$A$5:$A$6,0))),""),"0%")&amp;" / "&amp;TEXT(IFERROR(IF(INDEX(Matches!$Q$5:$Q$6,MATCH($B$2,Matches!$A$5:$A$6,0))="","",INDEX(Matches!$Q$5:$Q$6,MATCH($B$2,Matches!$A$5:$A$6,0))),""),"0%")</f>
        <v>100% / 100%</v>
      </c>
      <c r="G7" s="2" t="s">
        <v>128</v>
      </c>
      <c r="H7" s="9" t="str">
        <f t="array" ref="H7">IF(IFERROR(IF(INDEX(Matches!$I$5:$I$6,MATCH($B$2,Matches!$A$5:$A$6,0))="","",INDEX(Matches!$I$5:$I$6,MATCH($B$2,Matches!$A$5:$A$6,0))),"")="","",IFERROR(IF(INDEX(Matches!$I$5:$I$6,MATCH($B$2,Matches!$A$5:$A$6,0))="","",INDEX(Matches!$I$5:$I$6,MATCH($B$2,Matches!$A$5:$A$6,0))),"")-IFERROR(IF(INDEX(Matches!$J$5:$J$6,MATCH($B$2,Matches!$A$5:$A$6,0))="","",INDEX(Matches!$J$5:$J$6,MATCH($B$2,Matches!$A$5:$A$6,0))),""))</f>
        <v/>
      </c>
    </row>
    <row r="9">
      <c r="B9" s="3" t="str">
        <f>"Change P(win), maps played or kill environment on the Matches tab, row "&amp;(MATCH($B$2,Matches!$A$5:$A$6,0)+4)&amp;"."</f>
        <v>Change P(win), maps played or kill environment on the Matches tab, row 5.</v>
      </c>
    </row>
    <row r="11">
      <c r="A11" s="5" t="s">
        <v>13</v>
      </c>
      <c r="B11" s="5" t="s">
        <v>10</v>
      </c>
      <c r="C11" s="5" t="s">
        <v>129</v>
      </c>
      <c r="D11" s="5" t="s">
        <v>97</v>
      </c>
      <c r="E11" s="5" t="s">
        <v>98</v>
      </c>
      <c r="F11" s="5" t="s">
        <v>99</v>
      </c>
      <c r="G11" s="5" t="s">
        <v>47</v>
      </c>
      <c r="H11" s="5" t="s">
        <v>131</v>
      </c>
      <c r="I11" s="5" t="s">
        <v>132</v>
      </c>
      <c r="J11" s="5" t="s">
        <v>133</v>
      </c>
      <c r="K11" s="5" t="s">
        <v>134</v>
      </c>
      <c r="L11" s="5" t="s">
        <v>135</v>
      </c>
      <c r="M11" s="5" t="s">
        <v>136</v>
      </c>
      <c r="N11" s="5" t="s">
        <v>137</v>
      </c>
      <c r="O11" s="5" t="s">
        <v>138</v>
      </c>
      <c r="P11" s="5" t="s">
        <v>51</v>
      </c>
      <c r="Q11" s="5" t="s">
        <v>139</v>
      </c>
      <c r="R11" s="5" t="s">
        <v>64</v>
      </c>
      <c r="S11" s="5"/>
      <c r="T11" s="5" t="s">
        <v>140</v>
      </c>
    </row>
    <row r="12">
      <c r="A12" s="6" t="str">
        <f t="array" ref="A12">IF($T12="","",INDEX(Calc!$C$2:$C$19,$T12))</f>
        <v>KC</v>
      </c>
      <c r="B12" s="6" t="str">
        <f t="array" ref="B12">IF($T12="","",INDEX(Calc!$D$2:$D$19,$T12))</f>
        <v>Caliste</v>
      </c>
      <c r="C12" s="8">
        <f t="array" ref="C12">IF($T12="","",INDEX(Calc!$H$2:$H$19,$T12))</f>
        <v>0.7</v>
      </c>
      <c r="D12" s="9">
        <f t="array" ref="D12">IF($T12="","",INDEX(Calc!$I$2:$I$19,$T12))</f>
        <v>5</v>
      </c>
      <c r="E12" s="9">
        <f t="array" ref="E12">IF($T12="","",INDEX(Calc!$J$2:$J$19,$T12))</f>
        <v>5.982674607</v>
      </c>
      <c r="F12" s="9">
        <f t="array" ref="F12">IF($T12="","",INDEX(Calc!$K$2:$K$19,$T12))</f>
        <v>2.707092583</v>
      </c>
      <c r="G12" s="8">
        <f t="array" ref="G12">IF($T12="","",INDEX(Calc!$M$2:$M$19,$T12))</f>
        <v>0.6699</v>
      </c>
      <c r="H12" s="9">
        <f t="array" ref="H12">IF($T12="","",INDEX(Calc!$Y$2:$Y$19,$T12))</f>
        <v>4.901404981</v>
      </c>
      <c r="I12" s="9">
        <f t="array" ref="I12">IF($T12="","",INDEX(Calc!$AE$2:$AE$19,$T12))</f>
        <v>5</v>
      </c>
      <c r="J12" s="6" t="str">
        <f t="array" ref="J12">IF($T12="","",IFERROR(INDEX(Projections!$E$2:$E$19,MATCH(INDEX(Calc!$A$2:$A$19,$T12)&amp;"|K1",Projections!$AA$2:$AA$19,0)),""))</f>
        <v/>
      </c>
      <c r="K12" s="8" t="str">
        <f t="array" ref="K12">IF($T12="","",IFERROR(INDEX(Projections!$H$2:$H$19,MATCH(INDEX(Calc!$A$2:$A$19,$T12)&amp;"|K1",Projections!$AA$2:$AA$19,0)),""))</f>
        <v/>
      </c>
      <c r="L12" s="9">
        <f t="array" ref="L12">IF($T12="","",INDEX(Calc!$AK$2:$AK$19,$T12))</f>
        <v>14.70421494</v>
      </c>
      <c r="M12" s="12">
        <f t="array" ref="M12">IF($T12="","",IFERROR(INDEX(Projections!$E$2:$E$19,MATCH(INDEX(Calc!$A$2:$A$19,$T12)&amp;"|"&amp;INDEX(Calc!$AJ$2:$AJ$19,$T12),Projections!$AA$2:$AA$19,0)),""))</f>
        <v>15.5</v>
      </c>
      <c r="N12" s="8">
        <f t="array" ref="N12">IF($T12="","",IFERROR(INDEX(Projections!$H$2:$H$19,MATCH(INDEX(Calc!$A$2:$A$19,$T12)&amp;"|"&amp;INDEX(Calc!$AJ$2:$AJ$19,$T12),Projections!$AA$2:$AA$19,0)),""))</f>
        <v>0.4382646412</v>
      </c>
      <c r="O12" s="12" t="str">
        <f t="array" ref="O12">IF($T12="","",IFERROR(INDEX(Projections!$N$2:$N$19,MATCH(INDEX(Calc!$A$2:$A$19,$T12)&amp;"|K1",Projections!$AA$2:$AA$19,0)),IFERROR(INDEX(Projections!$N$2:$N$19,MATCH(INDEX(Calc!$A$2:$A$19,$T12)&amp;"|"&amp;INDEX(Calc!$AJ$2:$AJ$19,$T12),Projections!$AA$2:$AA$19,0)),"")))</f>
        <v/>
      </c>
      <c r="P12" s="8">
        <f t="array" ref="P12">IF($T12="","",IFERROR(INDEX(Projections!$S$2:$S$19,MATCH(INDEX(Calc!$A$2:$A$19,$T12)&amp;"|K1",Projections!$AA$2:$AA$19,0)),IFERROR(INDEX(Projections!$S$2:$S$19,MATCH(INDEX(Calc!$A$2:$A$19,$T12)&amp;"|"&amp;INDEX(Calc!$AJ$2:$AJ$19,$T12),Projections!$AA$2:$AA$19,0)),"")))</f>
        <v>0.3</v>
      </c>
      <c r="Q12" s="12">
        <f t="array" ref="Q12">IF($T12="","",INDEX(Calc!$G$2:$G$19,$T12))</f>
        <v>30</v>
      </c>
      <c r="R12" s="6" t="str">
        <f t="array" ref="R12">IF($T12="","",INDEX(Calc!$AH$2:$AH$19,$T12))</f>
        <v>new roster: 0% of his recent games with these teammates</v>
      </c>
      <c r="T12" s="12">
        <f>IFERROR(MATCH(1,Calc!$AI$2:$AI$19,0),"")</f>
        <v>10</v>
      </c>
    </row>
    <row r="13">
      <c r="A13" s="6" t="str">
        <f t="array" ref="A13">IF($T13="","",INDEX(Calc!$C$2:$C$19,$T13))</f>
        <v>KC</v>
      </c>
      <c r="B13" s="6" t="str">
        <f t="array" ref="B13">IF($T13="","",INDEX(Calc!$D$2:$D$19,$T13))</f>
        <v>Yike</v>
      </c>
      <c r="C13" s="8">
        <f t="array" ref="C13">IF($T13="","",INDEX(Calc!$H$2:$H$19,$T13))</f>
        <v>0.63</v>
      </c>
      <c r="D13" s="9">
        <f t="array" ref="D13">IF($T13="","",INDEX(Calc!$I$2:$I$19,$T13))</f>
        <v>3.9</v>
      </c>
      <c r="E13" s="9">
        <f t="array" ref="E13">IF($T13="","",INDEX(Calc!$J$2:$J$19,$T13))</f>
        <v>4.890767747</v>
      </c>
      <c r="F13" s="9">
        <f t="array" ref="F13">IF($T13="","",INDEX(Calc!$K$2:$K$19,$T13))</f>
        <v>2.21301708</v>
      </c>
      <c r="G13" s="8">
        <f t="array" ref="G13">IF($T13="","",INDEX(Calc!$M$2:$M$19,$T13))</f>
        <v>0.6699</v>
      </c>
      <c r="H13" s="9">
        <f t="array" ref="H13">IF($T13="","",INDEX(Calc!$Y$2:$Y$19,$T13))</f>
        <v>4.006842252</v>
      </c>
      <c r="I13" s="9">
        <f t="array" ref="I13">IF($T13="","",INDEX(Calc!$AE$2:$AE$19,$T13))</f>
        <v>3.9</v>
      </c>
      <c r="J13" s="6" t="str">
        <f t="array" ref="J13">IF($T13="","",IFERROR(INDEX(Projections!$E$2:$E$19,MATCH(INDEX(Calc!$A$2:$A$19,$T13)&amp;"|K1",Projections!$AA$2:$AA$19,0)),""))</f>
        <v/>
      </c>
      <c r="K13" s="8" t="str">
        <f t="array" ref="K13">IF($T13="","",IFERROR(INDEX(Projections!$H$2:$H$19,MATCH(INDEX(Calc!$A$2:$A$19,$T13)&amp;"|K1",Projections!$AA$2:$AA$19,0)),""))</f>
        <v/>
      </c>
      <c r="L13" s="9">
        <f t="array" ref="L13">IF($T13="","",INDEX(Calc!$AK$2:$AK$19,$T13))</f>
        <v>12.02052675</v>
      </c>
      <c r="M13" s="12">
        <f t="array" ref="M13">IF($T13="","",IFERROR(INDEX(Projections!$E$2:$E$19,MATCH(INDEX(Calc!$A$2:$A$19,$T13)&amp;"|"&amp;INDEX(Calc!$AJ$2:$AJ$19,$T13),Projections!$AA$2:$AA$19,0)),""))</f>
        <v>12.5</v>
      </c>
      <c r="N13" s="8">
        <f t="array" ref="N13">IF($T13="","",IFERROR(INDEX(Projections!$H$2:$H$19,MATCH(INDEX(Calc!$A$2:$A$19,$T13)&amp;"|"&amp;INDEX(Calc!$AJ$2:$AJ$19,$T13),Projections!$AA$2:$AA$19,0)),""))</f>
        <v>0.4577117971</v>
      </c>
      <c r="O13" s="12" t="str">
        <f t="array" ref="O13">IF($T13="","",IFERROR(INDEX(Projections!$N$2:$N$19,MATCH(INDEX(Calc!$A$2:$A$19,$T13)&amp;"|K1",Projections!$AA$2:$AA$19,0)),IFERROR(INDEX(Projections!$N$2:$N$19,MATCH(INDEX(Calc!$A$2:$A$19,$T13)&amp;"|"&amp;INDEX(Calc!$AJ$2:$AJ$19,$T13),Projections!$AA$2:$AA$19,0)),"")))</f>
        <v/>
      </c>
      <c r="P13" s="8">
        <f t="array" ref="P13">IF($T13="","",IFERROR(INDEX(Projections!$S$2:$S$19,MATCH(INDEX(Calc!$A$2:$A$19,$T13)&amp;"|K1",Projections!$AA$2:$AA$19,0)),IFERROR(INDEX(Projections!$S$2:$S$19,MATCH(INDEX(Calc!$A$2:$A$19,$T13)&amp;"|"&amp;INDEX(Calc!$AJ$2:$AJ$19,$T13),Projections!$AA$2:$AA$19,0)),"")))</f>
        <v>0.2</v>
      </c>
      <c r="Q13" s="12">
        <f t="array" ref="Q13">IF($T13="","",INDEX(Calc!$G$2:$G$19,$T13))</f>
        <v>30</v>
      </c>
      <c r="R13" s="6" t="str">
        <f t="array" ref="R13">IF($T13="","",INDEX(Calc!$AH$2:$AH$19,$T13))</f>
        <v>new roster: 0% of his recent games with these teammates</v>
      </c>
      <c r="T13" s="12">
        <f>IFERROR(MATCH(2,Calc!$AI$2:$AI$19,0),"")</f>
        <v>13</v>
      </c>
    </row>
    <row r="14">
      <c r="A14" s="6" t="str">
        <f t="array" ref="A14">IF($T14="","",INDEX(Calc!$C$2:$C$19,$T14))</f>
        <v>MVK</v>
      </c>
      <c r="B14" s="6" t="str">
        <f t="array" ref="B14">IF($T14="","",INDEX(Calc!$D$2:$D$19,$T14))</f>
        <v>Chika</v>
      </c>
      <c r="C14" s="8">
        <f t="array" ref="C14">IF($T14="","",INDEX(Calc!$H$2:$H$19,$T14))</f>
        <v>0.43</v>
      </c>
      <c r="D14" s="9">
        <f t="array" ref="D14">IF($T14="","",INDEX(Calc!$I$2:$I$19,$T14))</f>
        <v>3.8</v>
      </c>
      <c r="E14" s="9">
        <f t="array" ref="E14">IF($T14="","",INDEX(Calc!$J$2:$J$19,$T14))</f>
        <v>5.523909755</v>
      </c>
      <c r="F14" s="9">
        <f t="array" ref="F14">IF($T14="","",INDEX(Calc!$K$2:$K$19,$T14))</f>
        <v>2.499506676</v>
      </c>
      <c r="G14" s="8">
        <f t="array" ref="G14">IF($T14="","",INDEX(Calc!$M$2:$M$19,$T14))</f>
        <v>0.3301</v>
      </c>
      <c r="H14" s="9">
        <f t="array" ref="H14">IF($T14="","",INDEX(Calc!$Y$2:$Y$19,$T14))</f>
        <v>3.497862132</v>
      </c>
      <c r="I14" s="9">
        <f t="array" ref="I14">IF($T14="","",INDEX(Calc!$AE$2:$AE$19,$T14))</f>
        <v>3.8</v>
      </c>
      <c r="J14" s="6" t="str">
        <f t="array" ref="J14">IF($T14="","",IFERROR(INDEX(Projections!$E$2:$E$19,MATCH(INDEX(Calc!$A$2:$A$19,$T14)&amp;"|K1",Projections!$AA$2:$AA$19,0)),""))</f>
        <v/>
      </c>
      <c r="K14" s="8" t="str">
        <f t="array" ref="K14">IF($T14="","",IFERROR(INDEX(Projections!$H$2:$H$19,MATCH(INDEX(Calc!$A$2:$A$19,$T14)&amp;"|K1",Projections!$AA$2:$AA$19,0)),""))</f>
        <v/>
      </c>
      <c r="L14" s="9">
        <f t="array" ref="L14">IF($T14="","",INDEX(Calc!$AK$2:$AK$19,$T14))</f>
        <v>10.4935864</v>
      </c>
      <c r="M14" s="12">
        <f t="array" ref="M14">IF($T14="","",IFERROR(INDEX(Projections!$E$2:$E$19,MATCH(INDEX(Calc!$A$2:$A$19,$T14)&amp;"|"&amp;INDEX(Calc!$AJ$2:$AJ$19,$T14),Projections!$AA$2:$AA$19,0)),""))</f>
        <v>8.5</v>
      </c>
      <c r="N14" s="8">
        <f t="array" ref="N14">IF($T14="","",IFERROR(INDEX(Projections!$H$2:$H$19,MATCH(INDEX(Calc!$A$2:$A$19,$T14)&amp;"|"&amp;INDEX(Calc!$AJ$2:$AJ$19,$T14),Projections!$AA$2:$AA$19,0)),""))</f>
        <v>0.6733018884</v>
      </c>
      <c r="O14" s="12" t="str">
        <f t="array" ref="O14">IF($T14="","",IFERROR(INDEX(Projections!$N$2:$N$19,MATCH(INDEX(Calc!$A$2:$A$19,$T14)&amp;"|K1",Projections!$AA$2:$AA$19,0)),IFERROR(INDEX(Projections!$N$2:$N$19,MATCH(INDEX(Calc!$A$2:$A$19,$T14)&amp;"|"&amp;INDEX(Calc!$AJ$2:$AJ$19,$T14),Projections!$AA$2:$AA$19,0)),"")))</f>
        <v/>
      </c>
      <c r="P14" s="8">
        <f t="array" ref="P14">IF($T14="","",IFERROR(INDEX(Projections!$S$2:$S$19,MATCH(INDEX(Calc!$A$2:$A$19,$T14)&amp;"|K1",Projections!$AA$2:$AA$19,0)),IFERROR(INDEX(Projections!$S$2:$S$19,MATCH(INDEX(Calc!$A$2:$A$19,$T14)&amp;"|"&amp;INDEX(Calc!$AJ$2:$AJ$19,$T14),Projections!$AA$2:$AA$19,0)),"")))</f>
        <v>0.8</v>
      </c>
      <c r="Q14" s="12">
        <f t="array" ref="Q14">IF($T14="","",INDEX(Calc!$G$2:$G$19,$T14))</f>
        <v>30</v>
      </c>
      <c r="R14" s="6" t="str">
        <f t="array" ref="R14">IF($T14="","",INDEX(Calc!$AH$2:$AH$19,$T14))</f>
        <v>new roster: 0% of his recent games with these teammates</v>
      </c>
      <c r="T14" s="12">
        <f>IFERROR(MATCH(3,Calc!$AI$2:$AI$19,0),"")</f>
        <v>14</v>
      </c>
    </row>
    <row r="15">
      <c r="A15" s="6" t="str">
        <f t="array" ref="A15">IF($T15="","",INDEX(Calc!$C$2:$C$19,$T15))</f>
        <v>KC</v>
      </c>
      <c r="B15" s="6" t="str">
        <f t="array" ref="B15">IF($T15="","",INDEX(Calc!$D$2:$D$19,$T15))</f>
        <v>Canna</v>
      </c>
      <c r="C15" s="8">
        <f t="array" ref="C15">IF($T15="","",INDEX(Calc!$H$2:$H$19,$T15))</f>
        <v>0.63</v>
      </c>
      <c r="D15" s="9">
        <f t="array" ref="D15">IF($T15="","",INDEX(Calc!$I$2:$I$19,$T15))</f>
        <v>3.4</v>
      </c>
      <c r="E15" s="9">
        <f t="array" ref="E15">IF($T15="","",INDEX(Calc!$J$2:$J$19,$T15))</f>
        <v>4.263746241</v>
      </c>
      <c r="F15" s="9">
        <f t="array" ref="F15">IF($T15="","",INDEX(Calc!$K$2:$K$19,$T15))</f>
        <v>1.929296941</v>
      </c>
      <c r="G15" s="8">
        <f t="array" ref="G15">IF($T15="","",INDEX(Calc!$M$2:$M$19,$T15))</f>
        <v>0.6699</v>
      </c>
      <c r="H15" s="9">
        <f t="array" ref="H15">IF($T15="","",INDEX(Calc!$Y$2:$Y$19,$T15))</f>
        <v>3.493144527</v>
      </c>
      <c r="I15" s="9">
        <f t="array" ref="I15">IF($T15="","",INDEX(Calc!$AE$2:$AE$19,$T15))</f>
        <v>3.4</v>
      </c>
      <c r="J15" s="6" t="str">
        <f t="array" ref="J15">IF($T15="","",IFERROR(INDEX(Projections!$E$2:$E$19,MATCH(INDEX(Calc!$A$2:$A$19,$T15)&amp;"|K1",Projections!$AA$2:$AA$19,0)),""))</f>
        <v/>
      </c>
      <c r="K15" s="8" t="str">
        <f t="array" ref="K15">IF($T15="","",IFERROR(INDEX(Projections!$H$2:$H$19,MATCH(INDEX(Calc!$A$2:$A$19,$T15)&amp;"|K1",Projections!$AA$2:$AA$19,0)),""))</f>
        <v/>
      </c>
      <c r="L15" s="9">
        <f t="array" ref="L15">IF($T15="","",INDEX(Calc!$AK$2:$AK$19,$T15))</f>
        <v>10.47943358</v>
      </c>
      <c r="M15" s="12">
        <f t="array" ref="M15">IF($T15="","",IFERROR(INDEX(Projections!$E$2:$E$19,MATCH(INDEX(Calc!$A$2:$A$19,$T15)&amp;"|"&amp;INDEX(Calc!$AJ$2:$AJ$19,$T15),Projections!$AA$2:$AA$19,0)),""))</f>
        <v>9.5</v>
      </c>
      <c r="N15" s="8">
        <f t="array" ref="N15">IF($T15="","",IFERROR(INDEX(Projections!$H$2:$H$19,MATCH(INDEX(Calc!$A$2:$A$19,$T15)&amp;"|"&amp;INDEX(Calc!$AJ$2:$AJ$19,$T15),Projections!$AA$2:$AA$19,0)),""))</f>
        <v>0.5932441017</v>
      </c>
      <c r="O15" s="12" t="str">
        <f t="array" ref="O15">IF($T15="","",IFERROR(INDEX(Projections!$N$2:$N$19,MATCH(INDEX(Calc!$A$2:$A$19,$T15)&amp;"|K1",Projections!$AA$2:$AA$19,0)),IFERROR(INDEX(Projections!$N$2:$N$19,MATCH(INDEX(Calc!$A$2:$A$19,$T15)&amp;"|"&amp;INDEX(Calc!$AJ$2:$AJ$19,$T15),Projections!$AA$2:$AA$19,0)),"")))</f>
        <v/>
      </c>
      <c r="P15" s="8">
        <f t="array" ref="P15">IF($T15="","",IFERROR(INDEX(Projections!$S$2:$S$19,MATCH(INDEX(Calc!$A$2:$A$19,$T15)&amp;"|K1",Projections!$AA$2:$AA$19,0)),IFERROR(INDEX(Projections!$S$2:$S$19,MATCH(INDEX(Calc!$A$2:$A$19,$T15)&amp;"|"&amp;INDEX(Calc!$AJ$2:$AJ$19,$T15),Projections!$AA$2:$AA$19,0)),"")))</f>
        <v>0.4</v>
      </c>
      <c r="Q15" s="12">
        <f t="array" ref="Q15">IF($T15="","",INDEX(Calc!$G$2:$G$19,$T15))</f>
        <v>30</v>
      </c>
      <c r="R15" s="6" t="str">
        <f t="array" ref="R15">IF($T15="","",INDEX(Calc!$AH$2:$AH$19,$T15))</f>
        <v>new roster: 0% of his recent games with these teammates</v>
      </c>
      <c r="T15" s="12">
        <f>IFERROR(MATCH(4,Calc!$AI$2:$AI$19,0),"")</f>
        <v>11</v>
      </c>
    </row>
    <row r="16">
      <c r="A16" s="6" t="str">
        <f t="array" ref="A16">IF($T16="","",INDEX(Calc!$C$2:$C$19,$T16))</f>
        <v>MVK</v>
      </c>
      <c r="B16" s="6" t="str">
        <f t="array" ref="B16">IF($T16="","",INDEX(Calc!$D$2:$D$19,$T16))</f>
        <v>Harky</v>
      </c>
      <c r="C16" s="8">
        <f t="array" ref="C16">IF($T16="","",INDEX(Calc!$H$2:$H$19,$T16))</f>
        <v>0.5</v>
      </c>
      <c r="D16" s="9">
        <f t="array" ref="D16">IF($T16="","",INDEX(Calc!$I$2:$I$19,$T16))</f>
        <v>3.4</v>
      </c>
      <c r="E16" s="9">
        <f t="array" ref="E16">IF($T16="","",INDEX(Calc!$J$2:$J$19,$T16))</f>
        <v>4.681619938</v>
      </c>
      <c r="F16" s="9">
        <f t="array" ref="F16">IF($T16="","",INDEX(Calc!$K$2:$K$19,$T16))</f>
        <v>2.118380062</v>
      </c>
      <c r="G16" s="8">
        <f t="array" ref="G16">IF($T16="","",INDEX(Calc!$M$2:$M$19,$T16))</f>
        <v>0.3301</v>
      </c>
      <c r="H16" s="9">
        <f t="array" ref="H16">IF($T16="","",INDEX(Calc!$Y$2:$Y$19,$T16))</f>
        <v>2.964505545</v>
      </c>
      <c r="I16" s="9">
        <f t="array" ref="I16">IF($T16="","",INDEX(Calc!$AE$2:$AE$19,$T16))</f>
        <v>3.4</v>
      </c>
      <c r="J16" s="6" t="str">
        <f t="array" ref="J16">IF($T16="","",IFERROR(INDEX(Projections!$E$2:$E$19,MATCH(INDEX(Calc!$A$2:$A$19,$T16)&amp;"|K1",Projections!$AA$2:$AA$19,0)),""))</f>
        <v/>
      </c>
      <c r="K16" s="8" t="str">
        <f t="array" ref="K16">IF($T16="","",IFERROR(INDEX(Projections!$H$2:$H$19,MATCH(INDEX(Calc!$A$2:$A$19,$T16)&amp;"|K1",Projections!$AA$2:$AA$19,0)),""))</f>
        <v/>
      </c>
      <c r="L16" s="9">
        <f t="array" ref="L16">IF($T16="","",INDEX(Calc!$AK$2:$AK$19,$T16))</f>
        <v>8.893516636</v>
      </c>
      <c r="M16" s="12">
        <f t="array" ref="M16">IF($T16="","",IFERROR(INDEX(Projections!$E$2:$E$19,MATCH(INDEX(Calc!$A$2:$A$19,$T16)&amp;"|"&amp;INDEX(Calc!$AJ$2:$AJ$19,$T16),Projections!$AA$2:$AA$19,0)),""))</f>
        <v>9</v>
      </c>
      <c r="N16" s="8">
        <f t="array" ref="N16">IF($T16="","",IFERROR(INDEX(Projections!$H$2:$H$19,MATCH(INDEX(Calc!$A$2:$A$19,$T16)&amp;"|"&amp;INDEX(Calc!$AJ$2:$AJ$19,$T16),Projections!$AA$2:$AA$19,0)),""))</f>
        <v>0.4395934259</v>
      </c>
      <c r="O16" s="12" t="str">
        <f t="array" ref="O16">IF($T16="","",IFERROR(INDEX(Projections!$N$2:$N$19,MATCH(INDEX(Calc!$A$2:$A$19,$T16)&amp;"|K1",Projections!$AA$2:$AA$19,0)),IFERROR(INDEX(Projections!$N$2:$N$19,MATCH(INDEX(Calc!$A$2:$A$19,$T16)&amp;"|"&amp;INDEX(Calc!$AJ$2:$AJ$19,$T16),Projections!$AA$2:$AA$19,0)),"")))</f>
        <v/>
      </c>
      <c r="P16" s="8">
        <f t="array" ref="P16">IF($T16="","",IFERROR(INDEX(Projections!$S$2:$S$19,MATCH(INDEX(Calc!$A$2:$A$19,$T16)&amp;"|K1",Projections!$AA$2:$AA$19,0)),IFERROR(INDEX(Projections!$S$2:$S$19,MATCH(INDEX(Calc!$A$2:$A$19,$T16)&amp;"|"&amp;INDEX(Calc!$AJ$2:$AJ$19,$T16),Projections!$AA$2:$AA$19,0)),"")))</f>
        <v>0.7</v>
      </c>
      <c r="Q16" s="12">
        <f t="array" ref="Q16">IF($T16="","",INDEX(Calc!$G$2:$G$19,$T16))</f>
        <v>30</v>
      </c>
      <c r="R16" s="6" t="str">
        <f t="array" ref="R16">IF($T16="","",INDEX(Calc!$AH$2:$AH$19,$T16))</f>
        <v>new roster: 0% of his recent games with these teammates</v>
      </c>
      <c r="T16" s="12">
        <f>IFERROR(MATCH(5,Calc!$AI$2:$AI$19,0),"")</f>
        <v>16</v>
      </c>
    </row>
    <row r="17">
      <c r="A17" s="6" t="str">
        <f t="array" ref="A17">IF($T17="","",INDEX(Calc!$C$2:$C$19,$T17))</f>
        <v>MVK</v>
      </c>
      <c r="B17" s="6" t="str">
        <f t="array" ref="B17">IF($T17="","",INDEX(Calc!$D$2:$D$19,$T17))</f>
        <v>Kratos</v>
      </c>
      <c r="C17" s="8">
        <f t="array" ref="C17">IF($T17="","",INDEX(Calc!$H$2:$H$19,$T17))</f>
        <v>0.43</v>
      </c>
      <c r="D17" s="9">
        <f t="array" ref="D17">IF($T17="","",INDEX(Calc!$I$2:$I$19,$T17))</f>
        <v>2.7</v>
      </c>
      <c r="E17" s="9">
        <f t="array" ref="E17">IF($T17="","",INDEX(Calc!$J$2:$J$19,$T17))</f>
        <v>3.924883247</v>
      </c>
      <c r="F17" s="9">
        <f t="array" ref="F17">IF($T17="","",INDEX(Calc!$K$2:$K$19,$T17))</f>
        <v>1.77596527</v>
      </c>
      <c r="G17" s="8">
        <f t="array" ref="G17">IF($T17="","",INDEX(Calc!$M$2:$M$19,$T17))</f>
        <v>0.3301</v>
      </c>
      <c r="H17" s="9">
        <f t="array" ref="H17">IF($T17="","",INDEX(Calc!$Y$2:$Y$19,$T17))</f>
        <v>2.485323094</v>
      </c>
      <c r="I17" s="9">
        <f t="array" ref="I17">IF($T17="","",INDEX(Calc!$AE$2:$AE$19,$T17))</f>
        <v>2.7</v>
      </c>
      <c r="J17" s="6" t="str">
        <f t="array" ref="J17">IF($T17="","",IFERROR(INDEX(Projections!$E$2:$E$19,MATCH(INDEX(Calc!$A$2:$A$19,$T17)&amp;"|K1",Projections!$AA$2:$AA$19,0)),""))</f>
        <v/>
      </c>
      <c r="K17" s="8" t="str">
        <f t="array" ref="K17">IF($T17="","",IFERROR(INDEX(Projections!$H$2:$H$19,MATCH(INDEX(Calc!$A$2:$A$19,$T17)&amp;"|K1",Projections!$AA$2:$AA$19,0)),""))</f>
        <v/>
      </c>
      <c r="L17" s="9">
        <f t="array" ref="L17">IF($T17="","",INDEX(Calc!$AK$2:$AK$19,$T17))</f>
        <v>7.455969282</v>
      </c>
      <c r="M17" s="12">
        <f t="array" ref="M17">IF($T17="","",IFERROR(INDEX(Projections!$E$2:$E$19,MATCH(INDEX(Calc!$A$2:$A$19,$T17)&amp;"|"&amp;INDEX(Calc!$AJ$2:$AJ$19,$T17),Projections!$AA$2:$AA$19,0)),""))</f>
        <v>6</v>
      </c>
      <c r="N17" s="8">
        <f t="array" ref="N17">IF($T17="","",IFERROR(INDEX(Projections!$H$2:$H$19,MATCH(INDEX(Calc!$A$2:$A$19,$T17)&amp;"|"&amp;INDEX(Calc!$AJ$2:$AJ$19,$T17),Projections!$AA$2:$AA$19,0)),""))</f>
        <v>0.6055192312</v>
      </c>
      <c r="O17" s="12" t="str">
        <f t="array" ref="O17">IF($T17="","",IFERROR(INDEX(Projections!$N$2:$N$19,MATCH(INDEX(Calc!$A$2:$A$19,$T17)&amp;"|K1",Projections!$AA$2:$AA$19,0)),IFERROR(INDEX(Projections!$N$2:$N$19,MATCH(INDEX(Calc!$A$2:$A$19,$T17)&amp;"|"&amp;INDEX(Calc!$AJ$2:$AJ$19,$T17),Projections!$AA$2:$AA$19,0)),"")))</f>
        <v/>
      </c>
      <c r="P17" s="8">
        <f t="array" ref="P17">IF($T17="","",IFERROR(INDEX(Projections!$S$2:$S$19,MATCH(INDEX(Calc!$A$2:$A$19,$T17)&amp;"|K1",Projections!$AA$2:$AA$19,0)),IFERROR(INDEX(Projections!$S$2:$S$19,MATCH(INDEX(Calc!$A$2:$A$19,$T17)&amp;"|"&amp;INDEX(Calc!$AJ$2:$AJ$19,$T17),Projections!$AA$2:$AA$19,0)),"")))</f>
        <v>0.8</v>
      </c>
      <c r="Q17" s="12">
        <f t="array" ref="Q17">IF($T17="","",INDEX(Calc!$G$2:$G$19,$T17))</f>
        <v>30</v>
      </c>
      <c r="R17" s="6" t="str">
        <f t="array" ref="R17">IF($T17="","",INDEX(Calc!$AH$2:$AH$19,$T17))</f>
        <v>new roster: 0% of his recent games with these teammates</v>
      </c>
      <c r="T17" s="12">
        <f>IFERROR(MATCH(6,Calc!$AI$2:$AI$19,0),"")</f>
        <v>17</v>
      </c>
    </row>
    <row r="18">
      <c r="A18" s="6" t="str">
        <f t="array" ref="A18">IF($T18="","",INDEX(Calc!$C$2:$C$19,$T18))</f>
        <v>KC</v>
      </c>
      <c r="B18" s="6" t="str">
        <f t="array" ref="B18">IF($T18="","",INDEX(Calc!$D$2:$D$19,$T18))</f>
        <v>Kyeahoo</v>
      </c>
      <c r="C18" s="8">
        <f t="array" ref="C18">IF($T18="","",INDEX(Calc!$H$2:$H$19,$T18))</f>
        <v>0.63</v>
      </c>
      <c r="D18" s="9">
        <f t="array" ref="D18">IF($T18="","",INDEX(Calc!$I$2:$I$19,$T18))</f>
        <v>2.3</v>
      </c>
      <c r="E18" s="9">
        <f t="array" ref="E18">IF($T18="","",INDEX(Calc!$J$2:$J$19,$T18))</f>
        <v>2.884298928</v>
      </c>
      <c r="F18" s="9">
        <f t="array" ref="F18">IF($T18="","",INDEX(Calc!$K$2:$K$19,$T18))</f>
        <v>1.305112637</v>
      </c>
      <c r="G18" s="8">
        <f t="array" ref="G18">IF($T18="","",INDEX(Calc!$M$2:$M$19,$T18))</f>
        <v>0.6699</v>
      </c>
      <c r="H18" s="9">
        <f t="array" ref="H18">IF($T18="","",INDEX(Calc!$Y$2:$Y$19,$T18))</f>
        <v>2.363009533</v>
      </c>
      <c r="I18" s="9">
        <f t="array" ref="I18">IF($T18="","",INDEX(Calc!$AE$2:$AE$19,$T18))</f>
        <v>2.3</v>
      </c>
      <c r="J18" s="6" t="str">
        <f t="array" ref="J18">IF($T18="","",IFERROR(INDEX(Projections!$E$2:$E$19,MATCH(INDEX(Calc!$A$2:$A$19,$T18)&amp;"|K1",Projections!$AA$2:$AA$19,0)),""))</f>
        <v/>
      </c>
      <c r="K18" s="8" t="str">
        <f t="array" ref="K18">IF($T18="","",IFERROR(INDEX(Projections!$H$2:$H$19,MATCH(INDEX(Calc!$A$2:$A$19,$T18)&amp;"|K1",Projections!$AA$2:$AA$19,0)),""))</f>
        <v/>
      </c>
      <c r="L18" s="9">
        <f t="array" ref="L18">IF($T18="","",INDEX(Calc!$AK$2:$AK$19,$T18))</f>
        <v>7.089028599</v>
      </c>
      <c r="M18" s="12">
        <f t="array" ref="M18">IF($T18="","",IFERROR(INDEX(Projections!$E$2:$E$19,MATCH(INDEX(Calc!$A$2:$A$19,$T18)&amp;"|"&amp;INDEX(Calc!$AJ$2:$AJ$19,$T18),Projections!$AA$2:$AA$19,0)),""))</f>
        <v>11.5</v>
      </c>
      <c r="N18" s="8">
        <f t="array" ref="N18">IF($T18="","",IFERROR(INDEX(Projections!$H$2:$H$19,MATCH(INDEX(Calc!$A$2:$A$19,$T18)&amp;"|"&amp;INDEX(Calc!$AJ$2:$AJ$19,$T18),Projections!$AA$2:$AA$19,0)),""))</f>
        <v>0.09046810912</v>
      </c>
      <c r="O18" s="12" t="str">
        <f t="array" ref="O18">IF($T18="","",IFERROR(INDEX(Projections!$N$2:$N$19,MATCH(INDEX(Calc!$A$2:$A$19,$T18)&amp;"|K1",Projections!$AA$2:$AA$19,0)),IFERROR(INDEX(Projections!$N$2:$N$19,MATCH(INDEX(Calc!$A$2:$A$19,$T18)&amp;"|"&amp;INDEX(Calc!$AJ$2:$AJ$19,$T18),Projections!$AA$2:$AA$19,0)),"")))</f>
        <v/>
      </c>
      <c r="P18" s="8">
        <f t="array" ref="P18">IF($T18="","",IFERROR(INDEX(Projections!$S$2:$S$19,MATCH(INDEX(Calc!$A$2:$A$19,$T18)&amp;"|K1",Projections!$AA$2:$AA$19,0)),IFERROR(INDEX(Projections!$S$2:$S$19,MATCH(INDEX(Calc!$A$2:$A$19,$T18)&amp;"|"&amp;INDEX(Calc!$AJ$2:$AJ$19,$T18),Projections!$AA$2:$AA$19,0)),"")))</f>
        <v>0</v>
      </c>
      <c r="Q18" s="12">
        <f t="array" ref="Q18">IF($T18="","",INDEX(Calc!$G$2:$G$19,$T18))</f>
        <v>30</v>
      </c>
      <c r="R18" s="6" t="str">
        <f t="array" ref="R18">IF($T18="","",INDEX(Calc!$AH$2:$AH$19,$T18))</f>
        <v>new roster: 0% of his recent games with these teammates</v>
      </c>
      <c r="T18" s="12">
        <f>IFERROR(MATCH(7,Calc!$AI$2:$AI$19,0),"")</f>
        <v>12</v>
      </c>
    </row>
    <row r="19">
      <c r="A19" s="6" t="str">
        <f t="array" ref="A19">IF($T19="","",INDEX(Calc!$C$2:$C$19,$T19))</f>
        <v>MVK</v>
      </c>
      <c r="B19" s="6" t="str">
        <f t="array" ref="B19">IF($T19="","",INDEX(Calc!$D$2:$D$19,$T19))</f>
        <v>Gury</v>
      </c>
      <c r="C19" s="8">
        <f t="array" ref="C19">IF($T19="","",INDEX(Calc!$H$2:$H$19,$T19))</f>
        <v>0.43</v>
      </c>
      <c r="D19" s="9">
        <f t="array" ref="D19">IF($T19="","",INDEX(Calc!$I$2:$I$19,$T19))</f>
        <v>2.1</v>
      </c>
      <c r="E19" s="9">
        <f t="array" ref="E19">IF($T19="","",INDEX(Calc!$J$2:$J$19,$T19))</f>
        <v>3.05268697</v>
      </c>
      <c r="F19" s="9">
        <f t="array" ref="F19">IF($T19="","",INDEX(Calc!$K$2:$K$19,$T19))</f>
        <v>1.381306321</v>
      </c>
      <c r="G19" s="8">
        <f t="array" ref="G19">IF($T19="","",INDEX(Calc!$M$2:$M$19,$T19))</f>
        <v>0.3301</v>
      </c>
      <c r="H19" s="9">
        <f t="array" ref="H19">IF($T19="","",INDEX(Calc!$Y$2:$Y$19,$T19))</f>
        <v>1.933029073</v>
      </c>
      <c r="I19" s="9">
        <f t="array" ref="I19">IF($T19="","",INDEX(Calc!$AE$2:$AE$19,$T19))</f>
        <v>2.1</v>
      </c>
      <c r="J19" s="6" t="str">
        <f t="array" ref="J19">IF($T19="","",IFERROR(INDEX(Projections!$E$2:$E$19,MATCH(INDEX(Calc!$A$2:$A$19,$T19)&amp;"|K1",Projections!$AA$2:$AA$19,0)),""))</f>
        <v/>
      </c>
      <c r="K19" s="8" t="str">
        <f t="array" ref="K19">IF($T19="","",IFERROR(INDEX(Projections!$H$2:$H$19,MATCH(INDEX(Calc!$A$2:$A$19,$T19)&amp;"|K1",Projections!$AA$2:$AA$19,0)),""))</f>
        <v/>
      </c>
      <c r="L19" s="9">
        <f t="array" ref="L19">IF($T19="","",INDEX(Calc!$AK$2:$AK$19,$T19))</f>
        <v>5.79908722</v>
      </c>
      <c r="M19" s="12">
        <f t="array" ref="M19">IF($T19="","",IFERROR(INDEX(Projections!$E$2:$E$19,MATCH(INDEX(Calc!$A$2:$A$19,$T19)&amp;"|"&amp;INDEX(Calc!$AJ$2:$AJ$19,$T19),Projections!$AA$2:$AA$19,0)),""))</f>
        <v>7</v>
      </c>
      <c r="N19" s="8">
        <f t="array" ref="N19">IF($T19="","",IFERROR(INDEX(Projections!$H$2:$H$19,MATCH(INDEX(Calc!$A$2:$A$19,$T19)&amp;"|"&amp;INDEX(Calc!$AJ$2:$AJ$19,$T19),Projections!$AA$2:$AA$19,0)),""))</f>
        <v>0.2894433109</v>
      </c>
      <c r="O19" s="12" t="str">
        <f t="array" ref="O19">IF($T19="","",IFERROR(INDEX(Projections!$N$2:$N$19,MATCH(INDEX(Calc!$A$2:$A$19,$T19)&amp;"|K1",Projections!$AA$2:$AA$19,0)),IFERROR(INDEX(Projections!$N$2:$N$19,MATCH(INDEX(Calc!$A$2:$A$19,$T19)&amp;"|"&amp;INDEX(Calc!$AJ$2:$AJ$19,$T19),Projections!$AA$2:$AA$19,0)),"")))</f>
        <v/>
      </c>
      <c r="P19" s="8">
        <f t="array" ref="P19">IF($T19="","",IFERROR(INDEX(Projections!$S$2:$S$19,MATCH(INDEX(Calc!$A$2:$A$19,$T19)&amp;"|K1",Projections!$AA$2:$AA$19,0)),IFERROR(INDEX(Projections!$S$2:$S$19,MATCH(INDEX(Calc!$A$2:$A$19,$T19)&amp;"|"&amp;INDEX(Calc!$AJ$2:$AJ$19,$T19),Projections!$AA$2:$AA$19,0)),"")))</f>
        <v>0.4</v>
      </c>
      <c r="Q19" s="12">
        <f t="array" ref="Q19">IF($T19="","",INDEX(Calc!$G$2:$G$19,$T19))</f>
        <v>30</v>
      </c>
      <c r="R19" s="6" t="str">
        <f t="array" ref="R19">IF($T19="","",INDEX(Calc!$AH$2:$AH$19,$T19))</f>
        <v>new roster: 0% of his recent games with these teammates</v>
      </c>
      <c r="T19" s="12">
        <f>IFERROR(MATCH(8,Calc!$AI$2:$AI$19,0),"")</f>
        <v>15</v>
      </c>
    </row>
    <row r="20">
      <c r="A20" s="6" t="str">
        <f t="array" ref="A20">IF($T20="","",INDEX(Calc!$C$2:$C$19,$T20))</f>
        <v>MVK</v>
      </c>
      <c r="B20" s="6" t="str">
        <f t="array" ref="B20">IF($T20="","",INDEX(Calc!$D$2:$D$19,$T20))</f>
        <v>Siuloong</v>
      </c>
      <c r="C20" s="8">
        <f t="array" ref="C20">IF($T20="","",INDEX(Calc!$H$2:$H$19,$T20))</f>
        <v>0.43</v>
      </c>
      <c r="D20" s="9">
        <f t="array" ref="D20">IF($T20="","",INDEX(Calc!$I$2:$I$19,$T20))</f>
        <v>0.7</v>
      </c>
      <c r="E20" s="9">
        <f t="array" ref="E20">IF($T20="","",INDEX(Calc!$J$2:$J$19,$T20))</f>
        <v>1.017562323</v>
      </c>
      <c r="F20" s="9">
        <f t="array" ref="F20">IF($T20="","",INDEX(Calc!$K$2:$K$19,$T20))</f>
        <v>0.4604354404</v>
      </c>
      <c r="G20" s="8">
        <f t="array" ref="G20">IF($T20="","",INDEX(Calc!$M$2:$M$19,$T20))</f>
        <v>0.3301</v>
      </c>
      <c r="H20" s="9">
        <f t="array" ref="H20">IF($T20="","",INDEX(Calc!$Y$2:$Y$19,$T20))</f>
        <v>0.6443430244</v>
      </c>
      <c r="I20" s="9">
        <f t="array" ref="I20">IF($T20="","",INDEX(Calc!$AE$2:$AE$19,$T20))</f>
        <v>0.7</v>
      </c>
      <c r="J20" s="6" t="str">
        <f t="array" ref="J20">IF($T20="","",IFERROR(INDEX(Projections!$E$2:$E$19,MATCH(INDEX(Calc!$A$2:$A$19,$T20)&amp;"|K1",Projections!$AA$2:$AA$19,0)),""))</f>
        <v/>
      </c>
      <c r="K20" s="8" t="str">
        <f t="array" ref="K20">IF($T20="","",IFERROR(INDEX(Projections!$H$2:$H$19,MATCH(INDEX(Calc!$A$2:$A$19,$T20)&amp;"|K1",Projections!$AA$2:$AA$19,0)),""))</f>
        <v/>
      </c>
      <c r="L20" s="9">
        <f t="array" ref="L20">IF($T20="","",INDEX(Calc!$AK$2:$AK$19,$T20))</f>
        <v>1.933029073</v>
      </c>
      <c r="M20" s="12">
        <f t="array" ref="M20">IF($T20="","",IFERROR(INDEX(Projections!$E$2:$E$19,MATCH(INDEX(Calc!$A$2:$A$19,$T20)&amp;"|"&amp;INDEX(Calc!$AJ$2:$AJ$19,$T20),Projections!$AA$2:$AA$19,0)),""))</f>
        <v>1.5</v>
      </c>
      <c r="N20" s="8">
        <f t="array" ref="N20">IF($T20="","",IFERROR(INDEX(Projections!$H$2:$H$19,MATCH(INDEX(Calc!$A$2:$A$19,$T20)&amp;"|"&amp;INDEX(Calc!$AJ$2:$AJ$19,$T20),Projections!$AA$2:$AA$19,0)),""))</f>
        <v>0.6035774484</v>
      </c>
      <c r="O20" s="12" t="str">
        <f t="array" ref="O20">IF($T20="","",IFERROR(INDEX(Projections!$N$2:$N$19,MATCH(INDEX(Calc!$A$2:$A$19,$T20)&amp;"|K1",Projections!$AA$2:$AA$19,0)),IFERROR(INDEX(Projections!$N$2:$N$19,MATCH(INDEX(Calc!$A$2:$A$19,$T20)&amp;"|"&amp;INDEX(Calc!$AJ$2:$AJ$19,$T20),Projections!$AA$2:$AA$19,0)),"")))</f>
        <v/>
      </c>
      <c r="P20" s="8">
        <f t="array" ref="P20">IF($T20="","",IFERROR(INDEX(Projections!$S$2:$S$19,MATCH(INDEX(Calc!$A$2:$A$19,$T20)&amp;"|K1",Projections!$AA$2:$AA$19,0)),IFERROR(INDEX(Projections!$S$2:$S$19,MATCH(INDEX(Calc!$A$2:$A$19,$T20)&amp;"|"&amp;INDEX(Calc!$AJ$2:$AJ$19,$T20),Projections!$AA$2:$AA$19,0)),"")))</f>
        <v>0.8</v>
      </c>
      <c r="Q20" s="12">
        <f t="array" ref="Q20">IF($T20="","",INDEX(Calc!$G$2:$G$19,$T20))</f>
        <v>30</v>
      </c>
      <c r="R20" s="6" t="str">
        <f t="array" ref="R20">IF($T20="","",INDEX(Calc!$AH$2:$AH$19,$T20))</f>
        <v>new roster: 0% of his recent games with these teammates</v>
      </c>
      <c r="T20" s="12">
        <f>IFERROR(MATCH(9,Calc!$AI$2:$AI$19,0),"")</f>
        <v>18</v>
      </c>
    </row>
    <row r="21" ht="15.75" customHeight="1">
      <c r="A21" s="6" t="str">
        <f t="array" ref="A21">IF($T21="","",INDEX(Calc!$C$2:$C$19,$T21))</f>
        <v/>
      </c>
      <c r="B21" s="6" t="str">
        <f t="array" ref="B21">IF($T21="","",INDEX(Calc!$D$2:$D$19,$T21))</f>
        <v/>
      </c>
      <c r="C21" s="8" t="str">
        <f t="array" ref="C21">IF($T21="","",INDEX(Calc!$H$2:$H$19,$T21))</f>
        <v/>
      </c>
      <c r="D21" s="9" t="str">
        <f t="array" ref="D21">IF($T21="","",INDEX(Calc!$I$2:$I$19,$T21))</f>
        <v/>
      </c>
      <c r="E21" s="9" t="str">
        <f t="array" ref="E21">IF($T21="","",INDEX(Calc!$J$2:$J$19,$T21))</f>
        <v/>
      </c>
      <c r="F21" s="9" t="str">
        <f t="array" ref="F21">IF($T21="","",INDEX(Calc!$K$2:$K$19,$T21))</f>
        <v/>
      </c>
      <c r="G21" s="8" t="str">
        <f t="array" ref="G21">IF($T21="","",INDEX(Calc!$M$2:$M$19,$T21))</f>
        <v/>
      </c>
      <c r="H21" s="9" t="str">
        <f t="array" ref="H21">IF($T21="","",INDEX(Calc!$Y$2:$Y$19,$T21))</f>
        <v/>
      </c>
      <c r="I21" s="9" t="str">
        <f t="array" ref="I21">IF($T21="","",INDEX(Calc!$AE$2:$AE$19,$T21))</f>
        <v/>
      </c>
      <c r="J21" s="6" t="str">
        <f t="array" ref="J21">IF($T21="","",IFERROR(INDEX(Projections!$E$2:$E$19,MATCH(INDEX(Calc!$A$2:$A$19,$T21)&amp;"|K1",Projections!$AA$2:$AA$19,0)),""))</f>
        <v/>
      </c>
      <c r="K21" s="8" t="str">
        <f t="array" ref="K21">IF($T21="","",IFERROR(INDEX(Projections!$H$2:$H$19,MATCH(INDEX(Calc!$A$2:$A$19,$T21)&amp;"|K1",Projections!$AA$2:$AA$19,0)),""))</f>
        <v/>
      </c>
      <c r="L21" s="9" t="str">
        <f t="array" ref="L21">IF($T21="","",INDEX(Calc!$AK$2:$AK$19,$T21))</f>
        <v/>
      </c>
      <c r="M21" s="6" t="str">
        <f t="array" ref="M21">IF($T21="","",IFERROR(INDEX(Projections!$E$2:$E$19,MATCH(INDEX(Calc!$A$2:$A$19,$T21)&amp;"|"&amp;INDEX(Calc!$AJ$2:$AJ$19,$T21),Projections!$AA$2:$AA$19,0)),""))</f>
        <v/>
      </c>
      <c r="N21" s="8" t="str">
        <f t="array" ref="N21">IF($T21="","",IFERROR(INDEX(Projections!$H$2:$H$19,MATCH(INDEX(Calc!$A$2:$A$19,$T21)&amp;"|"&amp;INDEX(Calc!$AJ$2:$AJ$19,$T21),Projections!$AA$2:$AA$19,0)),""))</f>
        <v/>
      </c>
      <c r="O21" s="6" t="str">
        <f t="array" ref="O21">IF($T21="","",IFERROR(INDEX(Projections!$N$2:$N$19,MATCH(INDEX(Calc!$A$2:$A$19,$T21)&amp;"|K1",Projections!$AA$2:$AA$19,0)),IFERROR(INDEX(Projections!$N$2:$N$19,MATCH(INDEX(Calc!$A$2:$A$19,$T21)&amp;"|"&amp;INDEX(Calc!$AJ$2:$AJ$19,$T21),Projections!$AA$2:$AA$19,0)),"")))</f>
        <v/>
      </c>
      <c r="P21" s="8" t="str">
        <f t="array" ref="P21">IF($T21="","",IFERROR(INDEX(Projections!$S$2:$S$19,MATCH(INDEX(Calc!$A$2:$A$19,$T21)&amp;"|K1",Projections!$AA$2:$AA$19,0)),IFERROR(INDEX(Projections!$S$2:$S$19,MATCH(INDEX(Calc!$A$2:$A$19,$T21)&amp;"|"&amp;INDEX(Calc!$AJ$2:$AJ$19,$T21),Projections!$AA$2:$AA$19,0)),"")))</f>
        <v/>
      </c>
      <c r="Q21" s="6" t="str">
        <f t="array" ref="Q21">IF($T21="","",INDEX(Calc!$G$2:$G$19,$T21))</f>
        <v/>
      </c>
      <c r="R21" s="6" t="str">
        <f t="array" ref="R21">IF($T21="","",INDEX(Calc!$AH$2:$AH$19,$T21))</f>
        <v/>
      </c>
      <c r="T21" s="6" t="str">
        <f>IFERROR(MATCH(10,Calc!$AI$2:$AI$19,0),"")</f>
        <v/>
      </c>
    </row>
    <row r="22" ht="15.75" customHeight="1">
      <c r="A22" s="6" t="str">
        <f t="array" ref="A22">IF($T22="","",INDEX(Calc!$C$2:$C$19,$T22))</f>
        <v/>
      </c>
      <c r="B22" s="6" t="str">
        <f t="array" ref="B22">IF($T22="","",INDEX(Calc!$D$2:$D$19,$T22))</f>
        <v/>
      </c>
      <c r="C22" s="8" t="str">
        <f t="array" ref="C22">IF($T22="","",INDEX(Calc!$H$2:$H$19,$T22))</f>
        <v/>
      </c>
      <c r="D22" s="9" t="str">
        <f t="array" ref="D22">IF($T22="","",INDEX(Calc!$I$2:$I$19,$T22))</f>
        <v/>
      </c>
      <c r="E22" s="9" t="str">
        <f t="array" ref="E22">IF($T22="","",INDEX(Calc!$J$2:$J$19,$T22))</f>
        <v/>
      </c>
      <c r="F22" s="9" t="str">
        <f t="array" ref="F22">IF($T22="","",INDEX(Calc!$K$2:$K$19,$T22))</f>
        <v/>
      </c>
      <c r="G22" s="8" t="str">
        <f t="array" ref="G22">IF($T22="","",INDEX(Calc!$M$2:$M$19,$T22))</f>
        <v/>
      </c>
      <c r="H22" s="9" t="str">
        <f t="array" ref="H22">IF($T22="","",INDEX(Calc!$Y$2:$Y$19,$T22))</f>
        <v/>
      </c>
      <c r="I22" s="9" t="str">
        <f t="array" ref="I22">IF($T22="","",INDEX(Calc!$AE$2:$AE$19,$T22))</f>
        <v/>
      </c>
      <c r="J22" s="6" t="str">
        <f t="array" ref="J22">IF($T22="","",IFERROR(INDEX(Projections!$E$2:$E$19,MATCH(INDEX(Calc!$A$2:$A$19,$T22)&amp;"|K1",Projections!$AA$2:$AA$19,0)),""))</f>
        <v/>
      </c>
      <c r="K22" s="8" t="str">
        <f t="array" ref="K22">IF($T22="","",IFERROR(INDEX(Projections!$H$2:$H$19,MATCH(INDEX(Calc!$A$2:$A$19,$T22)&amp;"|K1",Projections!$AA$2:$AA$19,0)),""))</f>
        <v/>
      </c>
      <c r="L22" s="9" t="str">
        <f t="array" ref="L22">IF($T22="","",INDEX(Calc!$AK$2:$AK$19,$T22))</f>
        <v/>
      </c>
      <c r="M22" s="6" t="str">
        <f t="array" ref="M22">IF($T22="","",IFERROR(INDEX(Projections!$E$2:$E$19,MATCH(INDEX(Calc!$A$2:$A$19,$T22)&amp;"|"&amp;INDEX(Calc!$AJ$2:$AJ$19,$T22),Projections!$AA$2:$AA$19,0)),""))</f>
        <v/>
      </c>
      <c r="N22" s="8" t="str">
        <f t="array" ref="N22">IF($T22="","",IFERROR(INDEX(Projections!$H$2:$H$19,MATCH(INDEX(Calc!$A$2:$A$19,$T22)&amp;"|"&amp;INDEX(Calc!$AJ$2:$AJ$19,$T22),Projections!$AA$2:$AA$19,0)),""))</f>
        <v/>
      </c>
      <c r="O22" s="6" t="str">
        <f t="array" ref="O22">IF($T22="","",IFERROR(INDEX(Projections!$N$2:$N$19,MATCH(INDEX(Calc!$A$2:$A$19,$T22)&amp;"|K1",Projections!$AA$2:$AA$19,0)),IFERROR(INDEX(Projections!$N$2:$N$19,MATCH(INDEX(Calc!$A$2:$A$19,$T22)&amp;"|"&amp;INDEX(Calc!$AJ$2:$AJ$19,$T22),Projections!$AA$2:$AA$19,0)),"")))</f>
        <v/>
      </c>
      <c r="P22" s="8" t="str">
        <f t="array" ref="P22">IF($T22="","",IFERROR(INDEX(Projections!$S$2:$S$19,MATCH(INDEX(Calc!$A$2:$A$19,$T22)&amp;"|K1",Projections!$AA$2:$AA$19,0)),IFERROR(INDEX(Projections!$S$2:$S$19,MATCH(INDEX(Calc!$A$2:$A$19,$T22)&amp;"|"&amp;INDEX(Calc!$AJ$2:$AJ$19,$T22),Projections!$AA$2:$AA$19,0)),"")))</f>
        <v/>
      </c>
      <c r="Q22" s="6" t="str">
        <f t="array" ref="Q22">IF($T22="","",INDEX(Calc!$G$2:$G$19,$T22))</f>
        <v/>
      </c>
      <c r="R22" s="6" t="str">
        <f t="array" ref="R22">IF($T22="","",INDEX(Calc!$AH$2:$AH$19,$T22))</f>
        <v/>
      </c>
      <c r="T22" s="6" t="str">
        <f>IFERROR(MATCH(11,Calc!$AI$2:$AI$19,0),"")</f>
        <v/>
      </c>
    </row>
    <row r="23" ht="15.75" customHeight="1">
      <c r="A23" s="6" t="str">
        <f t="array" ref="A23">IF($T23="","",INDEX(Calc!$C$2:$C$19,$T23))</f>
        <v/>
      </c>
      <c r="B23" s="6" t="str">
        <f t="array" ref="B23">IF($T23="","",INDEX(Calc!$D$2:$D$19,$T23))</f>
        <v/>
      </c>
      <c r="C23" s="8" t="str">
        <f t="array" ref="C23">IF($T23="","",INDEX(Calc!$H$2:$H$19,$T23))</f>
        <v/>
      </c>
      <c r="D23" s="9" t="str">
        <f t="array" ref="D23">IF($T23="","",INDEX(Calc!$I$2:$I$19,$T23))</f>
        <v/>
      </c>
      <c r="E23" s="9" t="str">
        <f t="array" ref="E23">IF($T23="","",INDEX(Calc!$J$2:$J$19,$T23))</f>
        <v/>
      </c>
      <c r="F23" s="9" t="str">
        <f t="array" ref="F23">IF($T23="","",INDEX(Calc!$K$2:$K$19,$T23))</f>
        <v/>
      </c>
      <c r="G23" s="8" t="str">
        <f t="array" ref="G23">IF($T23="","",INDEX(Calc!$M$2:$M$19,$T23))</f>
        <v/>
      </c>
      <c r="H23" s="9" t="str">
        <f t="array" ref="H23">IF($T23="","",INDEX(Calc!$Y$2:$Y$19,$T23))</f>
        <v/>
      </c>
      <c r="I23" s="9" t="str">
        <f t="array" ref="I23">IF($T23="","",INDEX(Calc!$AE$2:$AE$19,$T23))</f>
        <v/>
      </c>
      <c r="J23" s="6" t="str">
        <f t="array" ref="J23">IF($T23="","",IFERROR(INDEX(Projections!$E$2:$E$19,MATCH(INDEX(Calc!$A$2:$A$19,$T23)&amp;"|K1",Projections!$AA$2:$AA$19,0)),""))</f>
        <v/>
      </c>
      <c r="K23" s="8" t="str">
        <f t="array" ref="K23">IF($T23="","",IFERROR(INDEX(Projections!$H$2:$H$19,MATCH(INDEX(Calc!$A$2:$A$19,$T23)&amp;"|K1",Projections!$AA$2:$AA$19,0)),""))</f>
        <v/>
      </c>
      <c r="L23" s="9" t="str">
        <f t="array" ref="L23">IF($T23="","",INDEX(Calc!$AK$2:$AK$19,$T23))</f>
        <v/>
      </c>
      <c r="M23" s="6" t="str">
        <f t="array" ref="M23">IF($T23="","",IFERROR(INDEX(Projections!$E$2:$E$19,MATCH(INDEX(Calc!$A$2:$A$19,$T23)&amp;"|"&amp;INDEX(Calc!$AJ$2:$AJ$19,$T23),Projections!$AA$2:$AA$19,0)),""))</f>
        <v/>
      </c>
      <c r="N23" s="8" t="str">
        <f t="array" ref="N23">IF($T23="","",IFERROR(INDEX(Projections!$H$2:$H$19,MATCH(INDEX(Calc!$A$2:$A$19,$T23)&amp;"|"&amp;INDEX(Calc!$AJ$2:$AJ$19,$T23),Projections!$AA$2:$AA$19,0)),""))</f>
        <v/>
      </c>
      <c r="O23" s="6" t="str">
        <f t="array" ref="O23">IF($T23="","",IFERROR(INDEX(Projections!$N$2:$N$19,MATCH(INDEX(Calc!$A$2:$A$19,$T23)&amp;"|K1",Projections!$AA$2:$AA$19,0)),IFERROR(INDEX(Projections!$N$2:$N$19,MATCH(INDEX(Calc!$A$2:$A$19,$T23)&amp;"|"&amp;INDEX(Calc!$AJ$2:$AJ$19,$T23),Projections!$AA$2:$AA$19,0)),"")))</f>
        <v/>
      </c>
      <c r="P23" s="8" t="str">
        <f t="array" ref="P23">IF($T23="","",IFERROR(INDEX(Projections!$S$2:$S$19,MATCH(INDEX(Calc!$A$2:$A$19,$T23)&amp;"|K1",Projections!$AA$2:$AA$19,0)),IFERROR(INDEX(Projections!$S$2:$S$19,MATCH(INDEX(Calc!$A$2:$A$19,$T23)&amp;"|"&amp;INDEX(Calc!$AJ$2:$AJ$19,$T23),Projections!$AA$2:$AA$19,0)),"")))</f>
        <v/>
      </c>
      <c r="Q23" s="6" t="str">
        <f t="array" ref="Q23">IF($T23="","",INDEX(Calc!$G$2:$G$19,$T23))</f>
        <v/>
      </c>
      <c r="R23" s="6" t="str">
        <f t="array" ref="R23">IF($T23="","",INDEX(Calc!$AH$2:$AH$19,$T23))</f>
        <v/>
      </c>
      <c r="T23" s="6" t="str">
        <f>IFERROR(MATCH(12,Calc!$AI$2:$AI$19,0),"")</f>
        <v/>
      </c>
    </row>
    <row r="24" ht="15.75" customHeight="1"/>
    <row r="25" ht="15.75" customHeight="1">
      <c r="A25" s="3" t="s">
        <v>392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K12:K23">
    <cfRule type="colorScale" priority="1">
      <colorScale>
        <cfvo type="formula" val="0.3"/>
        <cfvo type="formula" val="0.5"/>
        <cfvo type="formula" val="0.7"/>
        <color rgb="FFF8D7DA"/>
        <color rgb="FFFFFFFF"/>
        <color rgb="FFD1E7DD"/>
      </colorScale>
    </cfRule>
  </conditionalFormatting>
  <conditionalFormatting sqref="N12:N23">
    <cfRule type="colorScale" priority="2">
      <colorScale>
        <cfvo type="formula" val="0.3"/>
        <cfvo type="formula" val="0.5"/>
        <cfvo type="formula" val="0.7"/>
        <color rgb="FFF8D7DA"/>
        <color rgb="FFFFFFFF"/>
        <color rgb="FFD1E7DD"/>
      </colorScale>
    </cfRule>
  </conditionalFormatting>
  <dataValidations>
    <dataValidation type="list" allowBlank="1" sqref="B2">
      <formula1>Matches!$A$5:$A$6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2.0"/>
    <col customWidth="1" min="2" max="2" width="34.0"/>
    <col customWidth="1" min="3" max="3" width="11.0"/>
    <col customWidth="1" min="4" max="4" width="4.0"/>
    <col customWidth="1" min="5" max="6" width="18.0"/>
    <col customWidth="1" min="7" max="7" width="8.0"/>
    <col customWidth="1" min="8" max="11" width="9.0"/>
    <col customWidth="1" min="12" max="12" width="7.0"/>
    <col customWidth="1" min="13" max="15" width="10.0"/>
    <col customWidth="1" min="16" max="18" width="9.0"/>
    <col customWidth="1" min="19" max="20" width="7.0"/>
    <col customWidth="1" min="21" max="26" width="8.71"/>
  </cols>
  <sheetData>
    <row r="1">
      <c r="A1" s="1" t="s">
        <v>2</v>
      </c>
    </row>
    <row r="2">
      <c r="A2" s="3" t="s">
        <v>5</v>
      </c>
    </row>
    <row r="4">
      <c r="A4" s="5" t="s">
        <v>3</v>
      </c>
      <c r="B4" s="5" t="s">
        <v>9</v>
      </c>
      <c r="C4" s="5" t="s">
        <v>12</v>
      </c>
      <c r="D4" s="5" t="s">
        <v>15</v>
      </c>
      <c r="E4" s="5" t="s">
        <v>17</v>
      </c>
      <c r="F4" s="5" t="s">
        <v>20</v>
      </c>
      <c r="G4" s="5" t="s">
        <v>22</v>
      </c>
      <c r="H4" s="5" t="s">
        <v>23</v>
      </c>
      <c r="I4" s="5" t="s">
        <v>26</v>
      </c>
      <c r="J4" s="5" t="s">
        <v>27</v>
      </c>
      <c r="K4" s="5" t="s">
        <v>30</v>
      </c>
      <c r="L4" s="5" t="s">
        <v>32</v>
      </c>
      <c r="M4" s="5" t="s">
        <v>35</v>
      </c>
      <c r="N4" s="5" t="s">
        <v>52</v>
      </c>
      <c r="O4" s="5" t="s">
        <v>55</v>
      </c>
      <c r="P4" s="5" t="s">
        <v>58</v>
      </c>
      <c r="Q4" s="5" t="s">
        <v>61</v>
      </c>
      <c r="R4" s="5" t="s">
        <v>63</v>
      </c>
      <c r="S4" s="5" t="s">
        <v>65</v>
      </c>
      <c r="T4" s="5" t="s">
        <v>67</v>
      </c>
    </row>
    <row r="5">
      <c r="A5" s="6" t="s">
        <v>70</v>
      </c>
      <c r="B5" s="6" t="s">
        <v>75</v>
      </c>
      <c r="C5" s="6" t="s">
        <v>77</v>
      </c>
      <c r="D5" s="6">
        <v>5.0</v>
      </c>
      <c r="E5" s="6" t="s">
        <v>79</v>
      </c>
      <c r="F5" s="6" t="s">
        <v>81</v>
      </c>
      <c r="G5" s="8">
        <v>0.756972111553785</v>
      </c>
      <c r="H5" s="9"/>
      <c r="I5" s="9"/>
      <c r="J5" s="9"/>
      <c r="K5" s="9"/>
      <c r="L5" s="6">
        <v>315.0</v>
      </c>
      <c r="M5" s="10">
        <v>0.6699</v>
      </c>
      <c r="N5" s="10">
        <v>0.6699</v>
      </c>
      <c r="O5" s="10">
        <v>0.6699</v>
      </c>
      <c r="P5" s="10">
        <v>1.0</v>
      </c>
      <c r="Q5" s="10">
        <v>1.0</v>
      </c>
      <c r="R5" s="11">
        <v>1.0</v>
      </c>
      <c r="S5" s="12" t="s">
        <v>85</v>
      </c>
      <c r="T5" s="12" t="s">
        <v>86</v>
      </c>
    </row>
    <row r="6">
      <c r="A6" s="6" t="s">
        <v>73</v>
      </c>
      <c r="B6" s="6" t="s">
        <v>75</v>
      </c>
      <c r="C6" s="6" t="s">
        <v>87</v>
      </c>
      <c r="D6" s="6">
        <v>5.0</v>
      </c>
      <c r="E6" s="6" t="s">
        <v>88</v>
      </c>
      <c r="F6" s="6" t="s">
        <v>89</v>
      </c>
      <c r="G6" s="8">
        <v>0.80672268907563</v>
      </c>
      <c r="H6" s="9"/>
      <c r="I6" s="9"/>
      <c r="J6" s="9"/>
      <c r="K6" s="9"/>
      <c r="L6" s="6">
        <v>315.0</v>
      </c>
      <c r="M6" s="10">
        <v>0.7014</v>
      </c>
      <c r="N6" s="10">
        <v>0.7014</v>
      </c>
      <c r="O6" s="10">
        <v>0.7014</v>
      </c>
      <c r="P6" s="10">
        <v>1.0</v>
      </c>
      <c r="Q6" s="10">
        <v>1.0</v>
      </c>
      <c r="R6" s="11">
        <v>1.0</v>
      </c>
      <c r="S6" s="12" t="s">
        <v>80</v>
      </c>
      <c r="T6" s="12" t="s">
        <v>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2.0"/>
    <col customWidth="1" min="2" max="2" width="13.0"/>
    <col customWidth="1" min="3" max="3" width="6.0"/>
    <col customWidth="1" min="4" max="4" width="14.0"/>
    <col customWidth="1" min="5" max="5" width="6.0"/>
    <col customWidth="1" min="6" max="6" width="7.0"/>
    <col customWidth="1" min="7" max="7" width="6.0"/>
    <col customWidth="1" min="8" max="9" width="8.0"/>
    <col customWidth="1" min="10" max="10" width="7.0"/>
    <col customWidth="1" min="11" max="11" width="10.0"/>
    <col customWidth="1" min="12" max="12" width="8.0"/>
    <col customWidth="1" min="13" max="15" width="9.0"/>
    <col customWidth="1" min="16" max="17" width="8.0"/>
    <col customWidth="1" min="18" max="20" width="6.0"/>
    <col customWidth="1" min="21" max="21" width="9.0"/>
    <col customWidth="1" min="22" max="22" width="6.0"/>
    <col customWidth="1" min="23" max="23" width="10.0"/>
    <col customWidth="1" min="24" max="24" width="30.0"/>
    <col customWidth="1" hidden="1" min="25" max="25" width="22.0"/>
    <col customWidth="1" hidden="1" min="26" max="26" width="5.0"/>
    <col customWidth="1" hidden="1" min="27" max="27" width="26.0"/>
  </cols>
  <sheetData>
    <row r="1">
      <c r="A1" s="5" t="s">
        <v>3</v>
      </c>
      <c r="B1" s="5" t="s">
        <v>10</v>
      </c>
      <c r="C1" s="5" t="s">
        <v>13</v>
      </c>
      <c r="D1" s="5" t="s">
        <v>16</v>
      </c>
      <c r="E1" s="5" t="s">
        <v>19</v>
      </c>
      <c r="F1" s="5" t="s">
        <v>25</v>
      </c>
      <c r="G1" s="5" t="s">
        <v>28</v>
      </c>
      <c r="H1" s="5" t="s">
        <v>31</v>
      </c>
      <c r="I1" s="5" t="s">
        <v>33</v>
      </c>
      <c r="J1" s="5" t="s">
        <v>36</v>
      </c>
      <c r="K1" s="5" t="s">
        <v>38</v>
      </c>
      <c r="L1" s="5" t="s">
        <v>40</v>
      </c>
      <c r="M1" s="5" t="s">
        <v>41</v>
      </c>
      <c r="N1" s="5" t="s">
        <v>43</v>
      </c>
      <c r="O1" s="5" t="s">
        <v>45</v>
      </c>
      <c r="P1" s="5" t="s">
        <v>47</v>
      </c>
      <c r="Q1" s="5" t="s">
        <v>48</v>
      </c>
      <c r="R1" s="5" t="s">
        <v>50</v>
      </c>
      <c r="S1" s="5" t="s">
        <v>51</v>
      </c>
      <c r="T1" s="5" t="s">
        <v>53</v>
      </c>
      <c r="U1" s="5" t="s">
        <v>56</v>
      </c>
      <c r="V1" s="5" t="s">
        <v>57</v>
      </c>
      <c r="W1" s="5" t="s">
        <v>60</v>
      </c>
      <c r="X1" s="5" t="s">
        <v>64</v>
      </c>
      <c r="Y1" s="5" t="s">
        <v>66</v>
      </c>
      <c r="Z1" s="5" t="s">
        <v>69</v>
      </c>
      <c r="AA1" s="5" t="s">
        <v>72</v>
      </c>
    </row>
    <row r="2">
      <c r="A2" s="6" t="s">
        <v>73</v>
      </c>
      <c r="B2" s="6" t="s">
        <v>78</v>
      </c>
      <c r="C2" s="6" t="s">
        <v>80</v>
      </c>
      <c r="D2" s="6" t="s">
        <v>83</v>
      </c>
      <c r="E2" s="6">
        <v>10.5</v>
      </c>
      <c r="F2" s="9">
        <f t="array" ref="F2">IFERROR(INDEX(CHOOSE(MATCH($Z2,{"K1","K12","K13"},0),Calc!$Y$2:$Y$19,Calc!$AA$2:$AA$19,Calc!$AC$2:$AC$19),MATCH($Y2,Calc!$A$2:$A$19,0)),"")</f>
        <v>9.639771727</v>
      </c>
      <c r="G2" s="9">
        <f t="array" ref="G2">IFERROR(SQRT(INDEX(CHOOSE(MATCH($Z2,{"K1","K12","K13"},0),Calc!$Z$2:$Z$19,Calc!$AB$2:$AB$19,Calc!$AD$2:$AD$19),MATCH($Y2,Calc!$A$2:$A$19,0))),"")</f>
        <v>3.912905678</v>
      </c>
      <c r="H2" s="8">
        <f t="shared" ref="H2:H19" si="1">IF(OR($E2="",$F2="",N($G2)&lt;=0),"",1-NORMDIST(FLOOR($E2,1)+0.5,$F2,$G2,TRUE()))</f>
        <v>0.4129963813</v>
      </c>
      <c r="I2" s="8">
        <f t="shared" ref="I2:I19" si="2">IF($H2="","",NORMDIST(CEILING($E2,1)-0.5,$F2,$G2,TRUE()))</f>
        <v>0.5870036187</v>
      </c>
      <c r="J2" s="8">
        <f t="shared" ref="J2:J19" si="3">IF($H2="","",MAX(0,1-$H2-$I2))</f>
        <v>0</v>
      </c>
      <c r="K2" s="6" t="str">
        <f>IF($H2="","",IF($H2&gt;=0.5+Config!$B$8,"OVER",IF($I2&gt;=0.5+Config!$B$8,"UNDER","—")))</f>
        <v>UNDER</v>
      </c>
      <c r="L2" s="9">
        <f t="array" ref="L2">IFERROR(INDEX(CHOOSE(MATCH($Z2,{"K1","K12","K13"},0),Calc!$AE$2:$AE$19,Calc!$AF$2:$AF$19,Calc!$AG$2:$AG$19),MATCH($Y2,Calc!$A$2:$A$19,0)),"")</f>
        <v>9</v>
      </c>
      <c r="M2" s="8">
        <f t="shared" ref="M2:M19" si="4">IF(OR($E2="",$L2="",N($G2)&lt;=0),"",1-NORMDIST(FLOOR($E2,1)+0.5,$L2,$G2*SQRT($L2/$F2),TRUE()))</f>
        <v>0.34578027</v>
      </c>
      <c r="O2" s="8">
        <f t="array" ref="O2">IFERROR(INDEX(Calc!$H$2:$H$19,MATCH($Y2,Calc!$A$2:$A$19,0)),"")</f>
        <v>0.6</v>
      </c>
      <c r="P2" s="8">
        <f t="array" ref="P2">IFERROR(INDEX(Calc!$M$2:$M$19,MATCH($Y2,Calc!$A$2:$A$19,0)),"")</f>
        <v>0.7014</v>
      </c>
      <c r="Q2" s="6">
        <v>8.8</v>
      </c>
      <c r="R2" s="8">
        <v>0.4</v>
      </c>
      <c r="S2" s="8">
        <v>0.4</v>
      </c>
      <c r="T2" s="8">
        <v>0.33</v>
      </c>
      <c r="U2" s="12" t="s">
        <v>130</v>
      </c>
      <c r="V2" s="6">
        <v>2.0</v>
      </c>
      <c r="X2" s="6" t="str">
        <f t="array" ref="X2">IFERROR(INDEX(Calc!$AH$2:$AH$19,MATCH($Y2,Calc!$A$2:$A$19,0)),"")</f>
        <v>new roster: 0% of his recent games with these teammates</v>
      </c>
      <c r="Y2" s="12" t="s">
        <v>125</v>
      </c>
      <c r="Z2" s="12" t="s">
        <v>117</v>
      </c>
      <c r="AA2" s="6" t="str">
        <f t="shared" ref="AA2:AA19" si="5">Y2&amp;"|"&amp;Z2</f>
        <v>8c0cdne5gb1xf15|LOL · C9 vs FUR|K13</v>
      </c>
    </row>
    <row r="3">
      <c r="A3" s="6" t="s">
        <v>73</v>
      </c>
      <c r="B3" s="6" t="s">
        <v>141</v>
      </c>
      <c r="C3" s="6" t="s">
        <v>80</v>
      </c>
      <c r="D3" s="6" t="s">
        <v>83</v>
      </c>
      <c r="E3" s="6">
        <v>14.5</v>
      </c>
      <c r="F3" s="9">
        <f t="array" ref="F3">IFERROR(INDEX(CHOOSE(MATCH($Z3,{"K1","K12","K13"},0),Calc!$Y$2:$Y$19,Calc!$AA$2:$AA$19,Calc!$AC$2:$AC$19),MATCH($Y3,Calc!$A$2:$A$19,0)),"")</f>
        <v>15.09852471</v>
      </c>
      <c r="G3" s="9">
        <f t="array" ref="G3">IFERROR(SQRT(INDEX(CHOOSE(MATCH($Z3,{"K1","K12","K13"},0),Calc!$Z$2:$Z$19,Calc!$AB$2:$AB$19,Calc!$AD$2:$AD$19),MATCH($Y3,Calc!$A$2:$A$19,0))),"")</f>
        <v>5.142555622</v>
      </c>
      <c r="H3" s="8">
        <f t="shared" si="1"/>
        <v>0.5463269337</v>
      </c>
      <c r="I3" s="8">
        <f t="shared" si="2"/>
        <v>0.4536730663</v>
      </c>
      <c r="J3" s="8">
        <f t="shared" si="3"/>
        <v>0</v>
      </c>
      <c r="K3" s="6" t="str">
        <f>IF($H3="","",IF($H3&gt;=0.5+Config!$B$8,"OVER",IF($I3&gt;=0.5+Config!$B$8,"UNDER","—")))</f>
        <v>OVER</v>
      </c>
      <c r="L3" s="9">
        <f t="array" ref="L3">IFERROR(INDEX(CHOOSE(MATCH($Z3,{"K1","K12","K13"},0),Calc!$AE$2:$AE$19,Calc!$AF$2:$AF$19,Calc!$AG$2:$AG$19),MATCH($Y3,Calc!$A$2:$A$19,0)),"")</f>
        <v>13.8</v>
      </c>
      <c r="M3" s="8">
        <f t="shared" si="4"/>
        <v>0.4433902186</v>
      </c>
      <c r="O3" s="8">
        <f t="array" ref="O3">IFERROR(INDEX(Calc!$H$2:$H$19,MATCH($Y3,Calc!$A$2:$A$19,0)),"")</f>
        <v>0.57</v>
      </c>
      <c r="P3" s="8">
        <f t="array" ref="P3">IFERROR(INDEX(Calc!$M$2:$M$19,MATCH($Y3,Calc!$A$2:$A$19,0)),"")</f>
        <v>0.7014</v>
      </c>
      <c r="Q3" s="6">
        <v>13.2</v>
      </c>
      <c r="R3" s="8">
        <v>0.4</v>
      </c>
      <c r="S3" s="8">
        <v>0.6</v>
      </c>
      <c r="T3" s="8">
        <v>0.53</v>
      </c>
      <c r="U3" s="12" t="s">
        <v>162</v>
      </c>
      <c r="V3" s="6">
        <v>1.0</v>
      </c>
      <c r="X3" s="6" t="str">
        <f t="array" ref="X3">IFERROR(INDEX(Calc!$AH$2:$AH$19,MATCH($Y3,Calc!$A$2:$A$19,0)),"")</f>
        <v>new roster: 0% of his recent games with these teammates</v>
      </c>
      <c r="Y3" s="12" t="s">
        <v>163</v>
      </c>
      <c r="Z3" s="12" t="s">
        <v>117</v>
      </c>
      <c r="AA3" s="6" t="str">
        <f t="shared" si="5"/>
        <v>dzriszc5pnz15ca|LOL · C9 vs FUR|K13</v>
      </c>
    </row>
    <row r="4">
      <c r="A4" s="6" t="s">
        <v>73</v>
      </c>
      <c r="B4" s="6" t="s">
        <v>164</v>
      </c>
      <c r="C4" s="6" t="s">
        <v>80</v>
      </c>
      <c r="D4" s="6" t="s">
        <v>83</v>
      </c>
      <c r="E4" s="6">
        <v>13.5</v>
      </c>
      <c r="F4" s="9">
        <f t="array" ref="F4">IFERROR(INDEX(CHOOSE(MATCH($Z4,{"K1","K12","K13"},0),Calc!$Y$2:$Y$19,Calc!$AA$2:$AA$19,Calc!$AC$2:$AC$19),MATCH($Y4,Calc!$A$2:$A$19,0)),"")</f>
        <v>11.15977913</v>
      </c>
      <c r="G4" s="9">
        <f t="array" ref="G4">IFERROR(SQRT(INDEX(CHOOSE(MATCH($Z4,{"K1","K12","K13"},0),Calc!$Z$2:$Z$19,Calc!$AB$2:$AB$19,Calc!$AD$2:$AD$19),MATCH($Y4,Calc!$A$2:$A$19,0))),"")</f>
        <v>4.269937824</v>
      </c>
      <c r="H4" s="8">
        <f t="shared" si="1"/>
        <v>0.2918222375</v>
      </c>
      <c r="I4" s="8">
        <f t="shared" si="2"/>
        <v>0.7081777625</v>
      </c>
      <c r="J4" s="8">
        <f t="shared" si="3"/>
        <v>0</v>
      </c>
      <c r="K4" s="6" t="str">
        <f>IF($H4="","",IF($H4&gt;=0.5+Config!$B$8,"OVER",IF($I4&gt;=0.5+Config!$B$8,"UNDER","—")))</f>
        <v>UNDER</v>
      </c>
      <c r="L4" s="9">
        <f t="array" ref="L4">IFERROR(INDEX(CHOOSE(MATCH($Z4,{"K1","K12","K13"},0),Calc!$AE$2:$AE$19,Calc!$AF$2:$AF$19,Calc!$AG$2:$AG$19),MATCH($Y4,Calc!$A$2:$A$19,0)),"")</f>
        <v>10.2</v>
      </c>
      <c r="M4" s="8">
        <f t="shared" si="4"/>
        <v>0.209433498</v>
      </c>
      <c r="O4" s="8">
        <f t="array" ref="O4">IFERROR(INDEX(Calc!$H$2:$H$19,MATCH($Y4,Calc!$A$2:$A$19,0)),"")</f>
        <v>0.57</v>
      </c>
      <c r="P4" s="8">
        <f t="array" ref="P4">IFERROR(INDEX(Calc!$M$2:$M$19,MATCH($Y4,Calc!$A$2:$A$19,0)),"")</f>
        <v>0.7014</v>
      </c>
      <c r="Q4" s="6">
        <v>11.4</v>
      </c>
      <c r="R4" s="8">
        <v>0.4</v>
      </c>
      <c r="S4" s="8">
        <v>0.4</v>
      </c>
      <c r="T4" s="8">
        <v>0.53</v>
      </c>
      <c r="U4" s="12" t="s">
        <v>162</v>
      </c>
      <c r="V4" s="6">
        <v>1.0</v>
      </c>
      <c r="X4" s="6" t="str">
        <f t="array" ref="X4">IFERROR(INDEX(Calc!$AH$2:$AH$19,MATCH($Y4,Calc!$A$2:$A$19,0)),"")</f>
        <v>new roster: 0% of his recent games with these teammates</v>
      </c>
      <c r="Y4" s="12" t="s">
        <v>243</v>
      </c>
      <c r="Z4" s="12" t="s">
        <v>117</v>
      </c>
      <c r="AA4" s="6" t="str">
        <f t="shared" si="5"/>
        <v>m04u1esa2a4edat|LOL · C9 vs FUR|K13</v>
      </c>
    </row>
    <row r="5">
      <c r="A5" s="6" t="s">
        <v>73</v>
      </c>
      <c r="B5" s="6" t="s">
        <v>194</v>
      </c>
      <c r="C5" s="6" t="s">
        <v>80</v>
      </c>
      <c r="D5" s="6" t="s">
        <v>83</v>
      </c>
      <c r="E5" s="6">
        <v>9.5</v>
      </c>
      <c r="F5" s="9">
        <f t="array" ref="F5">IFERROR(INDEX(CHOOSE(MATCH($Z5,{"K1","K12","K13"},0),Calc!$Y$2:$Y$19,Calc!$AA$2:$AA$19,Calc!$AC$2:$AC$19),MATCH($Y5,Calc!$A$2:$A$19,0)),"")</f>
        <v>10.92507462</v>
      </c>
      <c r="G5" s="9">
        <f t="array" ref="G5">IFERROR(SQRT(INDEX(CHOOSE(MATCH($Z5,{"K1","K12","K13"},0),Calc!$Z$2:$Z$19,Calc!$AB$2:$AB$19,Calc!$AD$2:$AD$19),MATCH($Y5,Calc!$A$2:$A$19,0))),"")</f>
        <v>4.215712516</v>
      </c>
      <c r="H5" s="8">
        <f t="shared" si="1"/>
        <v>0.6323330455</v>
      </c>
      <c r="I5" s="8">
        <f t="shared" si="2"/>
        <v>0.3676669545</v>
      </c>
      <c r="J5" s="8">
        <f t="shared" si="3"/>
        <v>0</v>
      </c>
      <c r="K5" s="6" t="str">
        <f>IF($H5="","",IF($H5&gt;=0.5+Config!$B$8,"OVER",IF($I5&gt;=0.5+Config!$B$8,"UNDER","—")))</f>
        <v>OVER</v>
      </c>
      <c r="L5" s="9">
        <f t="array" ref="L5">IFERROR(INDEX(CHOOSE(MATCH($Z5,{"K1","K12","K13"},0),Calc!$AE$2:$AE$19,Calc!$AF$2:$AF$19,Calc!$AG$2:$AG$19),MATCH($Y5,Calc!$A$2:$A$19,0)),"")</f>
        <v>10.2</v>
      </c>
      <c r="M5" s="8">
        <f t="shared" si="4"/>
        <v>0.5682206601</v>
      </c>
      <c r="O5" s="8">
        <f t="array" ref="O5">IFERROR(INDEX(Calc!$H$2:$H$19,MATCH($Y5,Calc!$A$2:$A$19,0)),"")</f>
        <v>0.6</v>
      </c>
      <c r="P5" s="8">
        <f t="array" ref="P5">IFERROR(INDEX(Calc!$M$2:$M$19,MATCH($Y5,Calc!$A$2:$A$19,0)),"")</f>
        <v>0.7014</v>
      </c>
      <c r="Q5" s="6">
        <v>9.2</v>
      </c>
      <c r="R5" s="8">
        <v>0.6</v>
      </c>
      <c r="S5" s="8">
        <v>0.5</v>
      </c>
      <c r="T5" s="8">
        <v>0.47</v>
      </c>
      <c r="U5" s="12" t="s">
        <v>130</v>
      </c>
      <c r="V5" s="6">
        <v>1.0</v>
      </c>
      <c r="X5" s="6" t="str">
        <f t="array" ref="X5">IFERROR(INDEX(Calc!$AH$2:$AH$19,MATCH($Y5,Calc!$A$2:$A$19,0)),"")</f>
        <v>new roster: 0% of his recent games with these teammates</v>
      </c>
      <c r="Y5" s="12" t="s">
        <v>244</v>
      </c>
      <c r="Z5" s="12" t="s">
        <v>117</v>
      </c>
      <c r="AA5" s="6" t="str">
        <f t="shared" si="5"/>
        <v>j7y9h08j24nae95|LOL · C9 vs FUR|K13</v>
      </c>
    </row>
    <row r="6">
      <c r="A6" s="6" t="s">
        <v>73</v>
      </c>
      <c r="B6" s="6" t="s">
        <v>198</v>
      </c>
      <c r="C6" s="6" t="s">
        <v>90</v>
      </c>
      <c r="D6" s="6" t="s">
        <v>83</v>
      </c>
      <c r="E6" s="6">
        <v>9.5</v>
      </c>
      <c r="F6" s="9">
        <f t="array" ref="F6">IFERROR(INDEX(CHOOSE(MATCH($Z6,{"K1","K12","K13"},0),Calc!$Y$2:$Y$19,Calc!$AA$2:$AA$19,Calc!$AC$2:$AC$19),MATCH($Y6,Calc!$A$2:$A$19,0)),"")</f>
        <v>10.64752665</v>
      </c>
      <c r="G6" s="9">
        <f t="array" ref="G6">IFERROR(SQRT(INDEX(CHOOSE(MATCH($Z6,{"K1","K12","K13"},0),Calc!$Z$2:$Z$19,Calc!$AB$2:$AB$19,Calc!$AD$2:$AD$19),MATCH($Y6,Calc!$A$2:$A$19,0))),"")</f>
        <v>4.482724812</v>
      </c>
      <c r="H6" s="8">
        <f t="shared" si="1"/>
        <v>0.6010201974</v>
      </c>
      <c r="I6" s="8">
        <f t="shared" si="2"/>
        <v>0.3989798026</v>
      </c>
      <c r="J6" s="8">
        <f t="shared" si="3"/>
        <v>0</v>
      </c>
      <c r="K6" s="6" t="str">
        <f>IF($H6="","",IF($H6&gt;=0.5+Config!$B$8,"OVER",IF($I6&gt;=0.5+Config!$B$8,"UNDER","—")))</f>
        <v>OVER</v>
      </c>
      <c r="L6" s="9">
        <f t="array" ref="L6">IFERROR(INDEX(CHOOSE(MATCH($Z6,{"K1","K12","K13"},0),Calc!$AE$2:$AE$19,Calc!$AF$2:$AF$19,Calc!$AG$2:$AG$19),MATCH($Y6,Calc!$A$2:$A$19,0)),"")</f>
        <v>13.5</v>
      </c>
      <c r="M6" s="8">
        <f t="shared" si="4"/>
        <v>0.7859527077</v>
      </c>
      <c r="O6" s="8">
        <f t="array" ref="O6">IFERROR(INDEX(Calc!$H$2:$H$19,MATCH($Y6,Calc!$A$2:$A$19,0)),"")</f>
        <v>0.6</v>
      </c>
      <c r="P6" s="8">
        <f t="array" ref="P6">IFERROR(INDEX(Calc!$M$2:$M$19,MATCH($Y6,Calc!$A$2:$A$19,0)),"")</f>
        <v>0.2986</v>
      </c>
      <c r="Q6" s="6">
        <v>13.3</v>
      </c>
      <c r="R6" s="8">
        <v>1.0</v>
      </c>
      <c r="S6" s="8">
        <v>0.8</v>
      </c>
      <c r="T6" s="8">
        <v>0.87</v>
      </c>
      <c r="U6" s="12" t="s">
        <v>245</v>
      </c>
      <c r="V6" s="6">
        <v>5.0</v>
      </c>
      <c r="X6" s="6" t="str">
        <f t="array" ref="X6">IFERROR(INDEX(Calc!$AH$2:$AH$19,MATCH($Y6,Calc!$A$2:$A$19,0)),"")</f>
        <v>new roster: 0% of his recent games with these teammates</v>
      </c>
      <c r="Y6" s="12" t="s">
        <v>246</v>
      </c>
      <c r="Z6" s="12" t="s">
        <v>117</v>
      </c>
      <c r="AA6" s="6" t="str">
        <f t="shared" si="5"/>
        <v>e7oayaesoqb0bhf|LOL · C9 vs FUR|K13</v>
      </c>
    </row>
    <row r="7">
      <c r="A7" s="6" t="s">
        <v>73</v>
      </c>
      <c r="B7" s="6" t="s">
        <v>202</v>
      </c>
      <c r="C7" s="6" t="s">
        <v>90</v>
      </c>
      <c r="D7" s="6" t="s">
        <v>83</v>
      </c>
      <c r="E7" s="6">
        <v>6.0</v>
      </c>
      <c r="F7" s="9">
        <f t="array" ref="F7">IFERROR(INDEX(CHOOSE(MATCH($Z7,{"K1","K12","K13"},0),Calc!$Y$2:$Y$19,Calc!$AA$2:$AA$19,Calc!$AC$2:$AC$19),MATCH($Y7,Calc!$A$2:$A$19,0)),"")</f>
        <v>7.517770005</v>
      </c>
      <c r="G7" s="9">
        <f t="array" ref="G7">IFERROR(SQRT(INDEX(CHOOSE(MATCH($Z7,{"K1","K12","K13"},0),Calc!$Z$2:$Z$19,Calc!$AB$2:$AB$19,Calc!$AD$2:$AD$19),MATCH($Y7,Calc!$A$2:$A$19,0))),"")</f>
        <v>3.590313467</v>
      </c>
      <c r="H7" s="8">
        <f t="shared" si="1"/>
        <v>0.6115942577</v>
      </c>
      <c r="I7" s="8">
        <f t="shared" si="2"/>
        <v>0.2870566966</v>
      </c>
      <c r="J7" s="8">
        <f t="shared" si="3"/>
        <v>0.1013490456</v>
      </c>
      <c r="K7" s="6" t="str">
        <f>IF($H7="","",IF($H7&gt;=0.5+Config!$B$8,"OVER",IF($I7&gt;=0.5+Config!$B$8,"UNDER","—")))</f>
        <v>OVER</v>
      </c>
      <c r="L7" s="9">
        <f t="array" ref="L7">IFERROR(INDEX(CHOOSE(MATCH($Z7,{"K1","K12","K13"},0),Calc!$AE$2:$AE$19,Calc!$AF$2:$AF$19,Calc!$AG$2:$AG$19),MATCH($Y7,Calc!$A$2:$A$19,0)),"")</f>
        <v>10.2</v>
      </c>
      <c r="M7" s="8">
        <f t="shared" si="4"/>
        <v>0.8118505314</v>
      </c>
      <c r="O7" s="8">
        <f t="array" ref="O7">IFERROR(INDEX(Calc!$H$2:$H$19,MATCH($Y7,Calc!$A$2:$A$19,0)),"")</f>
        <v>0.7</v>
      </c>
      <c r="P7" s="8">
        <f t="array" ref="P7">IFERROR(INDEX(Calc!$M$2:$M$19,MATCH($Y7,Calc!$A$2:$A$19,0)),"")</f>
        <v>0.2986</v>
      </c>
      <c r="Q7" s="6">
        <v>9.1</v>
      </c>
      <c r="R7" s="8">
        <v>0.8</v>
      </c>
      <c r="S7" s="8">
        <v>0.7</v>
      </c>
      <c r="T7" s="8">
        <v>0.8</v>
      </c>
      <c r="U7" s="12" t="s">
        <v>245</v>
      </c>
      <c r="V7" s="6">
        <v>-1.0</v>
      </c>
      <c r="W7" s="6">
        <v>1.0</v>
      </c>
      <c r="X7" s="6" t="str">
        <f t="array" ref="X7">IFERROR(INDEX(Calc!$AH$2:$AH$19,MATCH($Y7,Calc!$A$2:$A$19,0)),"")</f>
        <v>new roster: 0% of his recent games with these teammates</v>
      </c>
      <c r="Y7" s="12" t="s">
        <v>286</v>
      </c>
      <c r="Z7" s="12" t="s">
        <v>117</v>
      </c>
      <c r="AA7" s="6" t="str">
        <f t="shared" si="5"/>
        <v>yfeamupxfsjv1hs|LOL · C9 vs FUR|K13</v>
      </c>
    </row>
    <row r="8">
      <c r="A8" s="6" t="s">
        <v>73</v>
      </c>
      <c r="B8" s="6" t="s">
        <v>205</v>
      </c>
      <c r="C8" s="6" t="s">
        <v>90</v>
      </c>
      <c r="D8" s="6" t="s">
        <v>83</v>
      </c>
      <c r="E8" s="6">
        <v>1.5</v>
      </c>
      <c r="F8" s="9">
        <f t="array" ref="F8">IFERROR(INDEX(CHOOSE(MATCH($Z8,{"K1","K12","K13"},0),Calc!$Y$2:$Y$19,Calc!$AA$2:$AA$19,Calc!$AC$2:$AC$19),MATCH($Y8,Calc!$A$2:$A$19,0)),"")</f>
        <v>1.656281924</v>
      </c>
      <c r="G8" s="9">
        <f t="array" ref="G8">IFERROR(SQRT(INDEX(CHOOSE(MATCH($Z8,{"K1","K12","K13"},0),Calc!$Z$2:$Z$19,Calc!$AB$2:$AB$19,Calc!$AD$2:$AD$19),MATCH($Y8,Calc!$A$2:$A$19,0))),"")</f>
        <v>1.51804959</v>
      </c>
      <c r="H8" s="8">
        <f t="shared" si="1"/>
        <v>0.5409983378</v>
      </c>
      <c r="I8" s="8">
        <f t="shared" si="2"/>
        <v>0.4590016622</v>
      </c>
      <c r="J8" s="8">
        <f t="shared" si="3"/>
        <v>0</v>
      </c>
      <c r="K8" s="6" t="str">
        <f>IF($H8="","",IF($H8&gt;=0.5+Config!$B$8,"OVER",IF($I8&gt;=0.5+Config!$B$8,"UNDER","—")))</f>
        <v>OVER</v>
      </c>
      <c r="L8" s="9">
        <f t="array" ref="L8">IFERROR(INDEX(CHOOSE(MATCH($Z8,{"K1","K12","K13"},0),Calc!$AE$2:$AE$19,Calc!$AF$2:$AF$19,Calc!$AG$2:$AG$19),MATCH($Y8,Calc!$A$2:$A$19,0)),"")</f>
        <v>2.1</v>
      </c>
      <c r="M8" s="8">
        <f t="shared" si="4"/>
        <v>0.637210573</v>
      </c>
      <c r="O8" s="8">
        <f t="array" ref="O8">IFERROR(INDEX(Calc!$H$2:$H$19,MATCH($Y8,Calc!$A$2:$A$19,0)),"")</f>
        <v>0.6</v>
      </c>
      <c r="P8" s="8">
        <f t="array" ref="P8">IFERROR(INDEX(Calc!$M$2:$M$19,MATCH($Y8,Calc!$A$2:$A$19,0)),"")</f>
        <v>0.2986</v>
      </c>
      <c r="Q8" s="6">
        <v>2.1</v>
      </c>
      <c r="R8" s="8">
        <v>0.6</v>
      </c>
      <c r="S8" s="8">
        <v>0.6</v>
      </c>
      <c r="T8" s="8">
        <v>0.53</v>
      </c>
      <c r="U8" s="12" t="s">
        <v>245</v>
      </c>
      <c r="V8" s="6">
        <v>-2.0</v>
      </c>
      <c r="X8" s="6" t="str">
        <f t="array" ref="X8">IFERROR(INDEX(Calc!$AH$2:$AH$19,MATCH($Y8,Calc!$A$2:$A$19,0)),"")</f>
        <v>new roster: 0% of his recent games with these teammates</v>
      </c>
      <c r="Y8" s="12" t="s">
        <v>307</v>
      </c>
      <c r="Z8" s="12" t="s">
        <v>117</v>
      </c>
      <c r="AA8" s="6" t="str">
        <f t="shared" si="5"/>
        <v>0puc7tc09n5mldx|LOL · C9 vs FUR|K13</v>
      </c>
    </row>
    <row r="9">
      <c r="A9" s="6" t="s">
        <v>73</v>
      </c>
      <c r="B9" s="6" t="s">
        <v>209</v>
      </c>
      <c r="C9" s="6" t="s">
        <v>90</v>
      </c>
      <c r="D9" s="6" t="s">
        <v>83</v>
      </c>
      <c r="E9" s="6">
        <v>7.0</v>
      </c>
      <c r="F9" s="9">
        <f t="array" ref="F9">IFERROR(INDEX(CHOOSE(MATCH($Z9,{"K1","K12","K13"},0),Calc!$Y$2:$Y$19,Calc!$AA$2:$AA$19,Calc!$AC$2:$AC$19),MATCH($Y9,Calc!$A$2:$A$19,0)),"")</f>
        <v>6.19110471</v>
      </c>
      <c r="G9" s="9">
        <f t="array" ref="G9">IFERROR(SQRT(INDEX(CHOOSE(MATCH($Z9,{"K1","K12","K13"},0),Calc!$Z$2:$Z$19,Calc!$AB$2:$AB$19,Calc!$AD$2:$AD$19),MATCH($Y9,Calc!$A$2:$A$19,0))),"")</f>
        <v>3.187876579</v>
      </c>
      <c r="H9" s="8">
        <f t="shared" si="1"/>
        <v>0.340688319</v>
      </c>
      <c r="I9" s="8">
        <f t="shared" si="2"/>
        <v>0.5385958561</v>
      </c>
      <c r="J9" s="8">
        <f t="shared" si="3"/>
        <v>0.1207158248</v>
      </c>
      <c r="K9" s="6" t="str">
        <f>IF($H9="","",IF($H9&gt;=0.5+Config!$B$8,"OVER",IF($I9&gt;=0.5+Config!$B$8,"UNDER","—")))</f>
        <v>—</v>
      </c>
      <c r="L9" s="9">
        <f t="array" ref="L9">IFERROR(INDEX(CHOOSE(MATCH($Z9,{"K1","K12","K13"},0),Calc!$AE$2:$AE$19,Calc!$AF$2:$AF$19,Calc!$AG$2:$AG$19),MATCH($Y9,Calc!$A$2:$A$19,0)),"")</f>
        <v>8.4</v>
      </c>
      <c r="M9" s="8">
        <f t="shared" si="4"/>
        <v>0.5957546834</v>
      </c>
      <c r="O9" s="8">
        <f t="array" ref="O9">IFERROR(INDEX(Calc!$H$2:$H$19,MATCH($Y9,Calc!$A$2:$A$19,0)),"")</f>
        <v>0.7</v>
      </c>
      <c r="P9" s="8">
        <f t="array" ref="P9">IFERROR(INDEX(Calc!$M$2:$M$19,MATCH($Y9,Calc!$A$2:$A$19,0)),"")</f>
        <v>0.2986</v>
      </c>
      <c r="Q9" s="6">
        <v>11.8</v>
      </c>
      <c r="R9" s="8">
        <v>0.8</v>
      </c>
      <c r="S9" s="8">
        <v>0.9</v>
      </c>
      <c r="T9" s="8">
        <v>0.93</v>
      </c>
      <c r="U9" s="12" t="s">
        <v>245</v>
      </c>
      <c r="V9" s="6">
        <v>3.0</v>
      </c>
      <c r="W9" s="6">
        <v>1.0</v>
      </c>
      <c r="X9" s="6" t="str">
        <f t="array" ref="X9">IFERROR(INDEX(Calc!$AH$2:$AH$19,MATCH($Y9,Calc!$A$2:$A$19,0)),"")</f>
        <v>new roster: 0% of his recent games with these teammates</v>
      </c>
      <c r="Y9" s="12" t="s">
        <v>340</v>
      </c>
      <c r="Z9" s="12" t="s">
        <v>117</v>
      </c>
      <c r="AA9" s="6" t="str">
        <f t="shared" si="5"/>
        <v>bfa7dj819gxo5o8|LOL · C9 vs FUR|K13</v>
      </c>
    </row>
    <row r="10">
      <c r="A10" s="6" t="s">
        <v>73</v>
      </c>
      <c r="B10" s="6" t="s">
        <v>212</v>
      </c>
      <c r="C10" s="6" t="s">
        <v>90</v>
      </c>
      <c r="D10" s="6" t="s">
        <v>83</v>
      </c>
      <c r="E10" s="6">
        <v>8.5</v>
      </c>
      <c r="F10" s="9">
        <f t="array" ref="F10">IFERROR(INDEX(CHOOSE(MATCH($Z10,{"K1","K12","K13"},0),Calc!$Y$2:$Y$19,Calc!$AA$2:$AA$19,Calc!$AC$2:$AC$19),MATCH($Y10,Calc!$A$2:$A$19,0)),"")</f>
        <v>7.95999177</v>
      </c>
      <c r="G10" s="9">
        <f t="array" ref="G10">IFERROR(SQRT(INDEX(CHOOSE(MATCH($Z10,{"K1","K12","K13"},0),Calc!$Z$2:$Z$19,Calc!$AB$2:$AB$19,Calc!$AD$2:$AD$19),MATCH($Y10,Calc!$A$2:$A$19,0))),"")</f>
        <v>3.720586067</v>
      </c>
      <c r="H10" s="8">
        <f t="shared" si="1"/>
        <v>0.4422999174</v>
      </c>
      <c r="I10" s="8">
        <f t="shared" si="2"/>
        <v>0.5577000826</v>
      </c>
      <c r="J10" s="8">
        <f t="shared" si="3"/>
        <v>0</v>
      </c>
      <c r="K10" s="6" t="str">
        <f>IF($H10="","",IF($H10&gt;=0.5+Config!$B$8,"OVER",IF($I10&gt;=0.5+Config!$B$8,"UNDER","—")))</f>
        <v>UNDER</v>
      </c>
      <c r="L10" s="9">
        <f t="array" ref="L10">IFERROR(INDEX(CHOOSE(MATCH($Z10,{"K1","K12","K13"},0),Calc!$AE$2:$AE$19,Calc!$AF$2:$AF$19,Calc!$AG$2:$AG$19),MATCH($Y10,Calc!$A$2:$A$19,0)),"")</f>
        <v>10.8</v>
      </c>
      <c r="M10" s="8">
        <f t="shared" si="4"/>
        <v>0.7021916643</v>
      </c>
      <c r="O10" s="8">
        <f t="array" ref="O10">IFERROR(INDEX(Calc!$H$2:$H$19,MATCH($Y10,Calc!$A$2:$A$19,0)),"")</f>
        <v>0.7</v>
      </c>
      <c r="P10" s="8">
        <f t="array" ref="P10">IFERROR(INDEX(Calc!$M$2:$M$19,MATCH($Y10,Calc!$A$2:$A$19,0)),"")</f>
        <v>0.2986</v>
      </c>
      <c r="Q10" s="6">
        <v>9.3</v>
      </c>
      <c r="R10" s="8">
        <v>0.4</v>
      </c>
      <c r="S10" s="8">
        <v>0.5</v>
      </c>
      <c r="T10" s="8">
        <v>0.47</v>
      </c>
      <c r="U10" s="12" t="s">
        <v>245</v>
      </c>
      <c r="V10" s="6">
        <v>-3.0</v>
      </c>
      <c r="X10" s="6" t="str">
        <f t="array" ref="X10">IFERROR(INDEX(Calc!$AH$2:$AH$19,MATCH($Y10,Calc!$A$2:$A$19,0)),"")</f>
        <v>new roster: 0% of his recent games with these teammates</v>
      </c>
      <c r="Y10" s="12" t="s">
        <v>342</v>
      </c>
      <c r="Z10" s="12" t="s">
        <v>117</v>
      </c>
      <c r="AA10" s="6" t="str">
        <f t="shared" si="5"/>
        <v>vx8t2exqb0pxqzs|LOL · C9 vs FUR|K13</v>
      </c>
    </row>
    <row r="11">
      <c r="A11" s="6" t="s">
        <v>70</v>
      </c>
      <c r="B11" s="6" t="s">
        <v>215</v>
      </c>
      <c r="C11" s="6" t="s">
        <v>85</v>
      </c>
      <c r="D11" s="6" t="s">
        <v>83</v>
      </c>
      <c r="E11" s="6">
        <v>15.5</v>
      </c>
      <c r="F11" s="9">
        <f t="array" ref="F11">IFERROR(INDEX(CHOOSE(MATCH($Z11,{"K1","K12","K13"},0),Calc!$Y$2:$Y$19,Calc!$AA$2:$AA$19,Calc!$AC$2:$AC$19),MATCH($Y11,Calc!$A$2:$A$19,0)),"")</f>
        <v>14.70421494</v>
      </c>
      <c r="G11" s="9">
        <f t="array" ref="G11">IFERROR(SQRT(INDEX(CHOOSE(MATCH($Z11,{"K1","K12","K13"},0),Calc!$Z$2:$Z$19,Calc!$AB$2:$AB$19,Calc!$AD$2:$AD$19),MATCH($Y11,Calc!$A$2:$A$19,0))),"")</f>
        <v>5.121856057</v>
      </c>
      <c r="H11" s="8">
        <f t="shared" si="1"/>
        <v>0.4382646412</v>
      </c>
      <c r="I11" s="8">
        <f t="shared" si="2"/>
        <v>0.5617353588</v>
      </c>
      <c r="J11" s="8">
        <f t="shared" si="3"/>
        <v>0</v>
      </c>
      <c r="K11" s="6" t="str">
        <f>IF($H11="","",IF($H11&gt;=0.5+Config!$B$8,"OVER",IF($I11&gt;=0.5+Config!$B$8,"UNDER","—")))</f>
        <v>UNDER</v>
      </c>
      <c r="L11" s="9">
        <f t="array" ref="L11">IFERROR(INDEX(CHOOSE(MATCH($Z11,{"K1","K12","K13"},0),Calc!$AE$2:$AE$19,Calc!$AF$2:$AF$19,Calc!$AG$2:$AG$19),MATCH($Y11,Calc!$A$2:$A$19,0)),"")</f>
        <v>15</v>
      </c>
      <c r="M11" s="8">
        <f t="shared" si="4"/>
        <v>0.461500754</v>
      </c>
      <c r="O11" s="8">
        <f t="array" ref="O11">IFERROR(INDEX(Calc!$H$2:$H$19,MATCH($Y11,Calc!$A$2:$A$19,0)),"")</f>
        <v>0.7</v>
      </c>
      <c r="P11" s="8">
        <f t="array" ref="P11">IFERROR(INDEX(Calc!$M$2:$M$19,MATCH($Y11,Calc!$A$2:$A$19,0)),"")</f>
        <v>0.6699</v>
      </c>
      <c r="Q11" s="6">
        <v>12.3</v>
      </c>
      <c r="R11" s="8">
        <v>0.2</v>
      </c>
      <c r="S11" s="8">
        <v>0.3</v>
      </c>
      <c r="T11" s="8">
        <v>0.33</v>
      </c>
      <c r="U11" s="12" t="s">
        <v>162</v>
      </c>
      <c r="V11" s="6">
        <v>-4.0</v>
      </c>
      <c r="X11" s="6" t="str">
        <f t="array" ref="X11">IFERROR(INDEX(Calc!$AH$2:$AH$19,MATCH($Y11,Calc!$A$2:$A$19,0)),"")</f>
        <v>new roster: 0% of his recent games with these teammates</v>
      </c>
      <c r="Y11" s="12" t="s">
        <v>343</v>
      </c>
      <c r="Z11" s="12" t="s">
        <v>117</v>
      </c>
      <c r="AA11" s="6" t="str">
        <f t="shared" si="5"/>
        <v>60n3jocjohvthia|LOL · KC vs MVK|K13</v>
      </c>
    </row>
    <row r="12">
      <c r="A12" s="6" t="s">
        <v>70</v>
      </c>
      <c r="B12" s="6" t="s">
        <v>219</v>
      </c>
      <c r="C12" s="6" t="s">
        <v>85</v>
      </c>
      <c r="D12" s="6" t="s">
        <v>83</v>
      </c>
      <c r="E12" s="6">
        <v>9.5</v>
      </c>
      <c r="F12" s="9">
        <f t="array" ref="F12">IFERROR(INDEX(CHOOSE(MATCH($Z12,{"K1","K12","K13"},0),Calc!$Y$2:$Y$19,Calc!$AA$2:$AA$19,Calc!$AC$2:$AC$19),MATCH($Y12,Calc!$A$2:$A$19,0)),"")</f>
        <v>10.47943358</v>
      </c>
      <c r="G12" s="9">
        <f t="array" ref="G12">IFERROR(SQRT(INDEX(CHOOSE(MATCH($Z12,{"K1","K12","K13"},0),Calc!$Z$2:$Z$19,Calc!$AB$2:$AB$19,Calc!$AD$2:$AD$19),MATCH($Y12,Calc!$A$2:$A$19,0))),"")</f>
        <v>4.15193624</v>
      </c>
      <c r="H12" s="8">
        <f t="shared" si="1"/>
        <v>0.5932441017</v>
      </c>
      <c r="I12" s="8">
        <f t="shared" si="2"/>
        <v>0.4067558983</v>
      </c>
      <c r="J12" s="8">
        <f t="shared" si="3"/>
        <v>0</v>
      </c>
      <c r="K12" s="6" t="str">
        <f>IF($H12="","",IF($H12&gt;=0.5+Config!$B$8,"OVER",IF($I12&gt;=0.5+Config!$B$8,"UNDER","—")))</f>
        <v>OVER</v>
      </c>
      <c r="L12" s="9">
        <f t="array" ref="L12">IFERROR(INDEX(CHOOSE(MATCH($Z12,{"K1","K12","K13"},0),Calc!$AE$2:$AE$19,Calc!$AF$2:$AF$19,Calc!$AG$2:$AG$19),MATCH($Y12,Calc!$A$2:$A$19,0)),"")</f>
        <v>10.2</v>
      </c>
      <c r="M12" s="8">
        <f t="shared" si="4"/>
        <v>0.5678447979</v>
      </c>
      <c r="O12" s="8">
        <f t="array" ref="O12">IFERROR(INDEX(Calc!$H$2:$H$19,MATCH($Y12,Calc!$A$2:$A$19,0)),"")</f>
        <v>0.63</v>
      </c>
      <c r="P12" s="8">
        <f t="array" ref="P12">IFERROR(INDEX(Calc!$M$2:$M$19,MATCH($Y12,Calc!$A$2:$A$19,0)),"")</f>
        <v>0.6699</v>
      </c>
      <c r="Q12" s="6">
        <v>8.9</v>
      </c>
      <c r="R12" s="8">
        <v>0.4</v>
      </c>
      <c r="S12" s="8">
        <v>0.4</v>
      </c>
      <c r="T12" s="8">
        <v>0.47</v>
      </c>
      <c r="U12" s="12" t="s">
        <v>162</v>
      </c>
      <c r="V12" s="6">
        <v>-3.0</v>
      </c>
      <c r="X12" s="6" t="str">
        <f t="array" ref="X12">IFERROR(INDEX(Calc!$AH$2:$AH$19,MATCH($Y12,Calc!$A$2:$A$19,0)),"")</f>
        <v>new roster: 0% of his recent games with these teammates</v>
      </c>
      <c r="Y12" s="12" t="s">
        <v>370</v>
      </c>
      <c r="Z12" s="12" t="s">
        <v>117</v>
      </c>
      <c r="AA12" s="6" t="str">
        <f t="shared" si="5"/>
        <v>5h8ktthuwylbro2|LOL · KC vs MVK|K13</v>
      </c>
    </row>
    <row r="13">
      <c r="A13" s="6" t="s">
        <v>70</v>
      </c>
      <c r="B13" s="6" t="s">
        <v>222</v>
      </c>
      <c r="C13" s="6" t="s">
        <v>85</v>
      </c>
      <c r="D13" s="6" t="s">
        <v>83</v>
      </c>
      <c r="E13" s="6">
        <v>11.5</v>
      </c>
      <c r="F13" s="9">
        <f t="array" ref="F13">IFERROR(INDEX(CHOOSE(MATCH($Z13,{"K1","K12","K13"},0),Calc!$Y$2:$Y$19,Calc!$AA$2:$AA$19,Calc!$AC$2:$AC$19),MATCH($Y13,Calc!$A$2:$A$19,0)),"")</f>
        <v>7.089028599</v>
      </c>
      <c r="G13" s="9">
        <f t="array" ref="G13">IFERROR(SQRT(INDEX(CHOOSE(MATCH($Z13,{"K1","K12","K13"},0),Calc!$Z$2:$Z$19,Calc!$AB$2:$AB$19,Calc!$AD$2:$AD$19),MATCH($Y13,Calc!$A$2:$A$19,0))),"")</f>
        <v>3.296990821</v>
      </c>
      <c r="H13" s="8">
        <f t="shared" si="1"/>
        <v>0.09046810912</v>
      </c>
      <c r="I13" s="8">
        <f t="shared" si="2"/>
        <v>0.9095318909</v>
      </c>
      <c r="J13" s="8">
        <f t="shared" si="3"/>
        <v>0</v>
      </c>
      <c r="K13" s="6" t="str">
        <f>IF($H13="","",IF($H13&gt;=0.5+Config!$B$8,"OVER",IF($I13&gt;=0.5+Config!$B$8,"UNDER","—")))</f>
        <v>UNDER</v>
      </c>
      <c r="L13" s="9">
        <f t="array" ref="L13">IFERROR(INDEX(CHOOSE(MATCH($Z13,{"K1","K12","K13"},0),Calc!$AE$2:$AE$19,Calc!$AF$2:$AF$19,Calc!$AG$2:$AG$19),MATCH($Y13,Calc!$A$2:$A$19,0)),"")</f>
        <v>6.9</v>
      </c>
      <c r="M13" s="8">
        <f t="shared" si="4"/>
        <v>0.07865251182</v>
      </c>
      <c r="O13" s="8">
        <f t="array" ref="O13">IFERROR(INDEX(Calc!$H$2:$H$19,MATCH($Y13,Calc!$A$2:$A$19,0)),"")</f>
        <v>0.63</v>
      </c>
      <c r="P13" s="8">
        <f t="array" ref="P13">IFERROR(INDEX(Calc!$M$2:$M$19,MATCH($Y13,Calc!$A$2:$A$19,0)),"")</f>
        <v>0.6699</v>
      </c>
      <c r="Q13" s="6">
        <v>7.0</v>
      </c>
      <c r="R13" s="8">
        <v>0.0</v>
      </c>
      <c r="S13" s="8">
        <v>0.0</v>
      </c>
      <c r="T13" s="8">
        <v>0.13</v>
      </c>
      <c r="U13" s="12" t="s">
        <v>162</v>
      </c>
      <c r="V13" s="6">
        <v>-11.0</v>
      </c>
      <c r="X13" s="6" t="str">
        <f t="array" ref="X13">IFERROR(INDEX(Calc!$AH$2:$AH$19,MATCH($Y13,Calc!$A$2:$A$19,0)),"")</f>
        <v>new roster: 0% of his recent games with these teammates</v>
      </c>
      <c r="Y13" s="12" t="s">
        <v>375</v>
      </c>
      <c r="Z13" s="12" t="s">
        <v>117</v>
      </c>
      <c r="AA13" s="6" t="str">
        <f t="shared" si="5"/>
        <v>cp4ibkwui10xeyj|LOL · KC vs MVK|K13</v>
      </c>
    </row>
    <row r="14">
      <c r="A14" s="6" t="s">
        <v>70</v>
      </c>
      <c r="B14" s="6" t="s">
        <v>225</v>
      </c>
      <c r="C14" s="6" t="s">
        <v>85</v>
      </c>
      <c r="D14" s="6" t="s">
        <v>83</v>
      </c>
      <c r="E14" s="6">
        <v>12.5</v>
      </c>
      <c r="F14" s="9">
        <f t="array" ref="F14">IFERROR(INDEX(CHOOSE(MATCH($Z14,{"K1","K12","K13"},0),Calc!$Y$2:$Y$19,Calc!$AA$2:$AA$19,Calc!$AC$2:$AC$19),MATCH($Y14,Calc!$A$2:$A$19,0)),"")</f>
        <v>12.02052675</v>
      </c>
      <c r="G14" s="9">
        <f t="array" ref="G14">IFERROR(SQRT(INDEX(CHOOSE(MATCH($Z14,{"K1","K12","K13"},0),Calc!$Z$2:$Z$19,Calc!$AB$2:$AB$19,Calc!$AD$2:$AD$19),MATCH($Y14,Calc!$A$2:$A$19,0))),"")</f>
        <v>4.514809873</v>
      </c>
      <c r="H14" s="8">
        <f t="shared" si="1"/>
        <v>0.4577117971</v>
      </c>
      <c r="I14" s="8">
        <f t="shared" si="2"/>
        <v>0.5422882029</v>
      </c>
      <c r="J14" s="8">
        <f t="shared" si="3"/>
        <v>0</v>
      </c>
      <c r="K14" s="6" t="str">
        <f>IF($H14="","",IF($H14&gt;=0.5+Config!$B$8,"OVER",IF($I14&gt;=0.5+Config!$B$8,"UNDER","—")))</f>
        <v>UNDER</v>
      </c>
      <c r="L14" s="9">
        <f t="array" ref="L14">IFERROR(INDEX(CHOOSE(MATCH($Z14,{"K1","K12","K13"},0),Calc!$AE$2:$AE$19,Calc!$AF$2:$AF$19,Calc!$AG$2:$AG$19),MATCH($Y14,Calc!$A$2:$A$19,0)),"")</f>
        <v>11.7</v>
      </c>
      <c r="M14" s="8">
        <f t="shared" si="4"/>
        <v>0.4287311907</v>
      </c>
      <c r="O14" s="8">
        <f t="array" ref="O14">IFERROR(INDEX(Calc!$H$2:$H$19,MATCH($Y14,Calc!$A$2:$A$19,0)),"")</f>
        <v>0.63</v>
      </c>
      <c r="P14" s="8">
        <f t="array" ref="P14">IFERROR(INDEX(Calc!$M$2:$M$19,MATCH($Y14,Calc!$A$2:$A$19,0)),"")</f>
        <v>0.6699</v>
      </c>
      <c r="Q14" s="6">
        <v>9.1</v>
      </c>
      <c r="R14" s="8">
        <v>0.2</v>
      </c>
      <c r="S14" s="8">
        <v>0.2</v>
      </c>
      <c r="T14" s="8">
        <v>0.27</v>
      </c>
      <c r="U14" s="12" t="s">
        <v>162</v>
      </c>
      <c r="V14" s="6">
        <v>-4.0</v>
      </c>
      <c r="X14" s="6" t="str">
        <f t="array" ref="X14">IFERROR(INDEX(Calc!$AH$2:$AH$19,MATCH($Y14,Calc!$A$2:$A$19,0)),"")</f>
        <v>new roster: 0% of his recent games with these teammates</v>
      </c>
      <c r="Y14" s="12" t="s">
        <v>376</v>
      </c>
      <c r="Z14" s="12" t="s">
        <v>117</v>
      </c>
      <c r="AA14" s="6" t="str">
        <f t="shared" si="5"/>
        <v>rfespsq7mcurckt|LOL · KC vs MVK|K13</v>
      </c>
    </row>
    <row r="15">
      <c r="A15" s="6" t="s">
        <v>70</v>
      </c>
      <c r="B15" s="6" t="s">
        <v>228</v>
      </c>
      <c r="C15" s="6" t="s">
        <v>86</v>
      </c>
      <c r="D15" s="6" t="s">
        <v>83</v>
      </c>
      <c r="E15" s="6">
        <v>8.5</v>
      </c>
      <c r="F15" s="9">
        <f t="array" ref="F15">IFERROR(INDEX(CHOOSE(MATCH($Z15,{"K1","K12","K13"},0),Calc!$Y$2:$Y$19,Calc!$AA$2:$AA$19,Calc!$AC$2:$AC$19),MATCH($Y15,Calc!$A$2:$A$19,0)),"")</f>
        <v>10.4935864</v>
      </c>
      <c r="G15" s="9">
        <f t="array" ref="G15">IFERROR(SQRT(INDEX(CHOOSE(MATCH($Z15,{"K1","K12","K13"},0),Calc!$Z$2:$Z$19,Calc!$AB$2:$AB$19,Calc!$AD$2:$AD$19),MATCH($Y15,Calc!$A$2:$A$19,0))),"")</f>
        <v>4.439573111</v>
      </c>
      <c r="H15" s="8">
        <f t="shared" si="1"/>
        <v>0.6733018884</v>
      </c>
      <c r="I15" s="8">
        <f t="shared" si="2"/>
        <v>0.3266981116</v>
      </c>
      <c r="J15" s="8">
        <f t="shared" si="3"/>
        <v>0</v>
      </c>
      <c r="K15" s="6" t="str">
        <f>IF($H15="","",IF($H15&gt;=0.5+Config!$B$8,"OVER",IF($I15&gt;=0.5+Config!$B$8,"UNDER","—")))</f>
        <v>OVER</v>
      </c>
      <c r="L15" s="9">
        <f t="array" ref="L15">IFERROR(INDEX(CHOOSE(MATCH($Z15,{"K1","K12","K13"},0),Calc!$AE$2:$AE$19,Calc!$AF$2:$AF$19,Calc!$AG$2:$AG$19),MATCH($Y15,Calc!$A$2:$A$19,0)),"")</f>
        <v>11.4</v>
      </c>
      <c r="M15" s="8">
        <f t="shared" si="4"/>
        <v>0.7345751874</v>
      </c>
      <c r="O15" s="8">
        <f t="array" ref="O15">IFERROR(INDEX(Calc!$H$2:$H$19,MATCH($Y15,Calc!$A$2:$A$19,0)),"")</f>
        <v>0.43</v>
      </c>
      <c r="P15" s="8">
        <f t="array" ref="P15">IFERROR(INDEX(Calc!$M$2:$M$19,MATCH($Y15,Calc!$A$2:$A$19,0)),"")</f>
        <v>0.3301</v>
      </c>
      <c r="Q15" s="6">
        <v>12.1</v>
      </c>
      <c r="R15" s="8">
        <v>0.8</v>
      </c>
      <c r="S15" s="8">
        <v>0.8</v>
      </c>
      <c r="T15" s="8"/>
      <c r="U15" s="12" t="s">
        <v>162</v>
      </c>
      <c r="V15" s="6">
        <v>1.0</v>
      </c>
      <c r="X15" s="6" t="str">
        <f t="array" ref="X15">IFERROR(INDEX(Calc!$AH$2:$AH$19,MATCH($Y15,Calc!$A$2:$A$19,0)),"")</f>
        <v>new roster: 0% of his recent games with these teammates</v>
      </c>
      <c r="Y15" s="12" t="s">
        <v>377</v>
      </c>
      <c r="Z15" s="12" t="s">
        <v>117</v>
      </c>
      <c r="AA15" s="6" t="str">
        <f t="shared" si="5"/>
        <v>r22pe1iajr6mhdp|LOL · KC vs MVK|K13</v>
      </c>
    </row>
    <row r="16">
      <c r="A16" s="6" t="s">
        <v>70</v>
      </c>
      <c r="B16" s="6" t="s">
        <v>232</v>
      </c>
      <c r="C16" s="6" t="s">
        <v>86</v>
      </c>
      <c r="D16" s="6" t="s">
        <v>83</v>
      </c>
      <c r="E16" s="6">
        <v>7.0</v>
      </c>
      <c r="F16" s="9">
        <f t="array" ref="F16">IFERROR(INDEX(CHOOSE(MATCH($Z16,{"K1","K12","K13"},0),Calc!$Y$2:$Y$19,Calc!$AA$2:$AA$19,Calc!$AC$2:$AC$19),MATCH($Y16,Calc!$A$2:$A$19,0)),"")</f>
        <v>5.79908722</v>
      </c>
      <c r="G16" s="9">
        <f t="array" ref="G16">IFERROR(SQRT(INDEX(CHOOSE(MATCH($Z16,{"K1","K12","K13"},0),Calc!$Z$2:$Z$19,Calc!$AB$2:$AB$19,Calc!$AD$2:$AD$19),MATCH($Y16,Calc!$A$2:$A$19,0))),"")</f>
        <v>3.064642817</v>
      </c>
      <c r="H16" s="8">
        <f t="shared" si="1"/>
        <v>0.2894433109</v>
      </c>
      <c r="I16" s="8">
        <f t="shared" si="2"/>
        <v>0.5904526262</v>
      </c>
      <c r="J16" s="8">
        <f t="shared" si="3"/>
        <v>0.1201040629</v>
      </c>
      <c r="K16" s="6" t="str">
        <f>IF($H16="","",IF($H16&gt;=0.5+Config!$B$8,"OVER",IF($I16&gt;=0.5+Config!$B$8,"UNDER","—")))</f>
        <v>UNDER</v>
      </c>
      <c r="L16" s="9">
        <f t="array" ref="L16">IFERROR(INDEX(CHOOSE(MATCH($Z16,{"K1","K12","K13"},0),Calc!$AE$2:$AE$19,Calc!$AF$2:$AF$19,Calc!$AG$2:$AG$19),MATCH($Y16,Calc!$A$2:$A$19,0)),"")</f>
        <v>6.3</v>
      </c>
      <c r="M16" s="8">
        <f t="shared" si="4"/>
        <v>0.3535797029</v>
      </c>
      <c r="O16" s="8">
        <f t="array" ref="O16">IFERROR(INDEX(Calc!$H$2:$H$19,MATCH($Y16,Calc!$A$2:$A$19,0)),"")</f>
        <v>0.43</v>
      </c>
      <c r="P16" s="8">
        <f t="array" ref="P16">IFERROR(INDEX(Calc!$M$2:$M$19,MATCH($Y16,Calc!$A$2:$A$19,0)),"")</f>
        <v>0.3301</v>
      </c>
      <c r="Q16" s="6">
        <v>7.5</v>
      </c>
      <c r="R16" s="8">
        <v>0.4</v>
      </c>
      <c r="S16" s="8">
        <v>0.4</v>
      </c>
      <c r="T16" s="8">
        <v>0.33</v>
      </c>
      <c r="U16" s="12" t="s">
        <v>162</v>
      </c>
      <c r="V16" s="6">
        <v>-2.0</v>
      </c>
      <c r="W16" s="6">
        <v>1.0</v>
      </c>
      <c r="X16" s="6" t="str">
        <f t="array" ref="X16">IFERROR(INDEX(Calc!$AH$2:$AH$19,MATCH($Y16,Calc!$A$2:$A$19,0)),"")</f>
        <v>new roster: 0% of his recent games with these teammates</v>
      </c>
      <c r="Y16" s="12" t="s">
        <v>378</v>
      </c>
      <c r="Z16" s="12" t="s">
        <v>117</v>
      </c>
      <c r="AA16" s="6" t="str">
        <f t="shared" si="5"/>
        <v>jr80asvwieexg6m|LOL · KC vs MVK|K13</v>
      </c>
    </row>
    <row r="17">
      <c r="A17" s="6" t="s">
        <v>70</v>
      </c>
      <c r="B17" s="6" t="s">
        <v>235</v>
      </c>
      <c r="C17" s="6" t="s">
        <v>86</v>
      </c>
      <c r="D17" s="6" t="s">
        <v>83</v>
      </c>
      <c r="E17" s="6">
        <v>9.0</v>
      </c>
      <c r="F17" s="9">
        <f t="array" ref="F17">IFERROR(INDEX(CHOOSE(MATCH($Z17,{"K1","K12","K13"},0),Calc!$Y$2:$Y$19,Calc!$AA$2:$AA$19,Calc!$AC$2:$AC$19),MATCH($Y17,Calc!$A$2:$A$19,0)),"")</f>
        <v>8.893516636</v>
      </c>
      <c r="G17" s="9">
        <f t="array" ref="G17">IFERROR(SQRT(INDEX(CHOOSE(MATCH($Z17,{"K1","K12","K13"},0),Calc!$Z$2:$Z$19,Calc!$AB$2:$AB$19,Calc!$AD$2:$AD$19),MATCH($Y17,Calc!$A$2:$A$19,0))),"")</f>
        <v>3.990019343</v>
      </c>
      <c r="H17" s="8">
        <f t="shared" si="1"/>
        <v>0.4395934259</v>
      </c>
      <c r="I17" s="8">
        <f t="shared" si="2"/>
        <v>0.4607179125</v>
      </c>
      <c r="J17" s="8">
        <f t="shared" si="3"/>
        <v>0.09968866157</v>
      </c>
      <c r="K17" s="6" t="str">
        <f>IF($H17="","",IF($H17&gt;=0.5+Config!$B$8,"OVER",IF($I17&gt;=0.5+Config!$B$8,"UNDER","—")))</f>
        <v>—</v>
      </c>
      <c r="L17" s="9">
        <f t="array" ref="L17">IFERROR(INDEX(CHOOSE(MATCH($Z17,{"K1","K12","K13"},0),Calc!$AE$2:$AE$19,Calc!$AF$2:$AF$19,Calc!$AG$2:$AG$19),MATCH($Y17,Calc!$A$2:$A$19,0)),"")</f>
        <v>10.2</v>
      </c>
      <c r="M17" s="8">
        <f t="shared" si="4"/>
        <v>0.5650625065</v>
      </c>
      <c r="O17" s="8">
        <f t="array" ref="O17">IFERROR(INDEX(Calc!$H$2:$H$19,MATCH($Y17,Calc!$A$2:$A$19,0)),"")</f>
        <v>0.5</v>
      </c>
      <c r="P17" s="8">
        <f t="array" ref="P17">IFERROR(INDEX(Calc!$M$2:$M$19,MATCH($Y17,Calc!$A$2:$A$19,0)),"")</f>
        <v>0.3301</v>
      </c>
      <c r="Q17" s="6">
        <v>9.7</v>
      </c>
      <c r="R17" s="8">
        <v>0.8</v>
      </c>
      <c r="S17" s="8">
        <v>0.7</v>
      </c>
      <c r="T17" s="8">
        <v>0.73</v>
      </c>
      <c r="U17" s="12" t="s">
        <v>162</v>
      </c>
      <c r="V17" s="6">
        <v>2.0</v>
      </c>
      <c r="W17" s="6">
        <v>3.0</v>
      </c>
      <c r="X17" s="6" t="str">
        <f t="array" ref="X17">IFERROR(INDEX(Calc!$AH$2:$AH$19,MATCH($Y17,Calc!$A$2:$A$19,0)),"")</f>
        <v>new roster: 0% of his recent games with these teammates</v>
      </c>
      <c r="Y17" s="12" t="s">
        <v>391</v>
      </c>
      <c r="Z17" s="12" t="s">
        <v>117</v>
      </c>
      <c r="AA17" s="6" t="str">
        <f t="shared" si="5"/>
        <v>tuhm132yvf0f8gg|LOL · KC vs MVK|K13</v>
      </c>
    </row>
    <row r="18">
      <c r="A18" s="6" t="s">
        <v>70</v>
      </c>
      <c r="B18" s="6" t="s">
        <v>238</v>
      </c>
      <c r="C18" s="6" t="s">
        <v>86</v>
      </c>
      <c r="D18" s="6" t="s">
        <v>83</v>
      </c>
      <c r="E18" s="6">
        <v>6.0</v>
      </c>
      <c r="F18" s="9">
        <f t="array" ref="F18">IFERROR(INDEX(CHOOSE(MATCH($Z18,{"K1","K12","K13"},0),Calc!$Y$2:$Y$19,Calc!$AA$2:$AA$19,Calc!$AC$2:$AC$19),MATCH($Y18,Calc!$A$2:$A$19,0)),"")</f>
        <v>7.455969282</v>
      </c>
      <c r="G18" s="9">
        <f t="array" ref="G18">IFERROR(SQRT(INDEX(CHOOSE(MATCH($Z18,{"K1","K12","K13"},0),Calc!$Z$2:$Z$19,Calc!$AB$2:$AB$19,Calc!$AD$2:$AD$19),MATCH($Y18,Calc!$A$2:$A$19,0))),"")</f>
        <v>3.57158926</v>
      </c>
      <c r="H18" s="8">
        <f t="shared" si="1"/>
        <v>0.6055192312</v>
      </c>
      <c r="I18" s="8">
        <f t="shared" si="2"/>
        <v>0.2919672381</v>
      </c>
      <c r="J18" s="8">
        <f t="shared" si="3"/>
        <v>0.1025135307</v>
      </c>
      <c r="K18" s="6" t="str">
        <f>IF($H18="","",IF($H18&gt;=0.5+Config!$B$8,"OVER",IF($I18&gt;=0.5+Config!$B$8,"UNDER","—")))</f>
        <v>OVER</v>
      </c>
      <c r="L18" s="9">
        <f t="array" ref="L18">IFERROR(INDEX(CHOOSE(MATCH($Z18,{"K1","K12","K13"},0),Calc!$AE$2:$AE$19,Calc!$AF$2:$AF$19,Calc!$AG$2:$AG$19),MATCH($Y18,Calc!$A$2:$A$19,0)),"")</f>
        <v>8.1</v>
      </c>
      <c r="M18" s="8">
        <f t="shared" si="4"/>
        <v>0.6663300127</v>
      </c>
      <c r="O18" s="8">
        <f t="array" ref="O18">IFERROR(INDEX(Calc!$H$2:$H$19,MATCH($Y18,Calc!$A$2:$A$19,0)),"")</f>
        <v>0.43</v>
      </c>
      <c r="P18" s="8">
        <f t="array" ref="P18">IFERROR(INDEX(Calc!$M$2:$M$19,MATCH($Y18,Calc!$A$2:$A$19,0)),"")</f>
        <v>0.3301</v>
      </c>
      <c r="Q18" s="6">
        <v>7.6</v>
      </c>
      <c r="R18" s="8">
        <v>1.0</v>
      </c>
      <c r="S18" s="8">
        <v>0.8</v>
      </c>
      <c r="T18" s="8">
        <v>0.67</v>
      </c>
      <c r="U18" s="12" t="s">
        <v>162</v>
      </c>
      <c r="V18" s="6">
        <v>5.0</v>
      </c>
      <c r="W18" s="6">
        <v>2.0</v>
      </c>
      <c r="X18" s="6" t="str">
        <f t="array" ref="X18">IFERROR(INDEX(Calc!$AH$2:$AH$19,MATCH($Y18,Calc!$A$2:$A$19,0)),"")</f>
        <v>new roster: 0% of his recent games with these teammates</v>
      </c>
      <c r="Y18" s="12" t="s">
        <v>393</v>
      </c>
      <c r="Z18" s="12" t="s">
        <v>117</v>
      </c>
      <c r="AA18" s="6" t="str">
        <f t="shared" si="5"/>
        <v>zzsjtlvrbi44rqp|LOL · KC vs MVK|K13</v>
      </c>
    </row>
    <row r="19">
      <c r="A19" s="6" t="s">
        <v>70</v>
      </c>
      <c r="B19" s="6" t="s">
        <v>241</v>
      </c>
      <c r="C19" s="6" t="s">
        <v>86</v>
      </c>
      <c r="D19" s="6" t="s">
        <v>83</v>
      </c>
      <c r="E19" s="6">
        <v>1.5</v>
      </c>
      <c r="F19" s="9">
        <f t="array" ref="F19">IFERROR(INDEX(CHOOSE(MATCH($Z19,{"K1","K12","K13"},0),Calc!$Y$2:$Y$19,Calc!$AA$2:$AA$19,Calc!$AC$2:$AC$19),MATCH($Y19,Calc!$A$2:$A$19,0)),"")</f>
        <v>1.933029073</v>
      </c>
      <c r="G19" s="9">
        <f t="array" ref="G19">IFERROR(SQRT(INDEX(CHOOSE(MATCH($Z19,{"K1","K12","K13"},0),Calc!$Z$2:$Z$19,Calc!$AB$2:$AB$19,Calc!$AD$2:$AD$19),MATCH($Y19,Calc!$A$2:$A$19,0))),"")</f>
        <v>1.648893985</v>
      </c>
      <c r="H19" s="8">
        <f t="shared" si="1"/>
        <v>0.6035774484</v>
      </c>
      <c r="I19" s="8">
        <f t="shared" si="2"/>
        <v>0.3964225516</v>
      </c>
      <c r="J19" s="8">
        <f t="shared" si="3"/>
        <v>0</v>
      </c>
      <c r="K19" s="6" t="str">
        <f>IF($H19="","",IF($H19&gt;=0.5+Config!$B$8,"OVER",IF($I19&gt;=0.5+Config!$B$8,"UNDER","—")))</f>
        <v>OVER</v>
      </c>
      <c r="L19" s="9">
        <f t="array" ref="L19">IFERROR(INDEX(CHOOSE(MATCH($Z19,{"K1","K12","K13"},0),Calc!$AE$2:$AE$19,Calc!$AF$2:$AF$19,Calc!$AG$2:$AG$19),MATCH($Y19,Calc!$A$2:$A$19,0)),"")</f>
        <v>2.1</v>
      </c>
      <c r="M19" s="8">
        <f t="shared" si="4"/>
        <v>0.6364983773</v>
      </c>
      <c r="O19" s="8">
        <f t="array" ref="O19">IFERROR(INDEX(Calc!$H$2:$H$19,MATCH($Y19,Calc!$A$2:$A$19,0)),"")</f>
        <v>0.43</v>
      </c>
      <c r="P19" s="8">
        <f t="array" ref="P19">IFERROR(INDEX(Calc!$M$2:$M$19,MATCH($Y19,Calc!$A$2:$A$19,0)),"")</f>
        <v>0.3301</v>
      </c>
      <c r="Q19" s="6">
        <v>2.5</v>
      </c>
      <c r="R19" s="8">
        <v>0.6</v>
      </c>
      <c r="S19" s="8">
        <v>0.8</v>
      </c>
      <c r="T19" s="8">
        <v>0.8</v>
      </c>
      <c r="U19" s="12" t="s">
        <v>162</v>
      </c>
      <c r="V19" s="6">
        <v>2.0</v>
      </c>
      <c r="X19" s="6" t="str">
        <f t="array" ref="X19">IFERROR(INDEX(Calc!$AH$2:$AH$19,MATCH($Y19,Calc!$A$2:$A$19,0)),"")</f>
        <v>new roster: 0% of his recent games with these teammates</v>
      </c>
      <c r="Y19" s="12" t="s">
        <v>394</v>
      </c>
      <c r="Z19" s="12" t="s">
        <v>117</v>
      </c>
      <c r="AA19" s="6" t="str">
        <f t="shared" si="5"/>
        <v>16tiv29rhyefoti|LOL · KC vs MVK|K13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A$19"/>
  <conditionalFormatting sqref="H2:H19">
    <cfRule type="colorScale" priority="1">
      <colorScale>
        <cfvo type="formula" val="0.3"/>
        <cfvo type="formula" val="0.5"/>
        <cfvo type="formula" val="0.7"/>
        <color rgb="FFF8D7DA"/>
        <color rgb="FFFFFFFF"/>
        <color rgb="FFD1E7DD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24.0"/>
    <col customWidth="1" min="2" max="2" width="18.0"/>
    <col customWidth="1" min="3" max="3" width="6.0"/>
    <col customWidth="1" min="4" max="4" width="12.0"/>
    <col customWidth="1" min="5" max="5" width="16.0"/>
    <col customWidth="1" min="6" max="37" width="8.0"/>
  </cols>
  <sheetData>
    <row r="1">
      <c r="A1" s="5" t="s">
        <v>92</v>
      </c>
      <c r="B1" s="5" t="s">
        <v>3</v>
      </c>
      <c r="C1" s="5" t="s">
        <v>13</v>
      </c>
      <c r="D1" s="5" t="s">
        <v>10</v>
      </c>
      <c r="E1" s="5" t="s">
        <v>93</v>
      </c>
      <c r="F1" s="5" t="s">
        <v>94</v>
      </c>
      <c r="G1" s="5" t="s">
        <v>95</v>
      </c>
      <c r="H1" s="5" t="s">
        <v>96</v>
      </c>
      <c r="I1" s="5" t="s">
        <v>97</v>
      </c>
      <c r="J1" s="5" t="s">
        <v>98</v>
      </c>
      <c r="K1" s="5" t="s">
        <v>99</v>
      </c>
      <c r="L1" s="5" t="s">
        <v>100</v>
      </c>
      <c r="M1" s="5" t="s">
        <v>101</v>
      </c>
      <c r="N1" s="5" t="s">
        <v>102</v>
      </c>
      <c r="O1" s="5" t="s">
        <v>103</v>
      </c>
      <c r="P1" s="5" t="s">
        <v>104</v>
      </c>
      <c r="Q1" s="5" t="s">
        <v>105</v>
      </c>
      <c r="R1" s="5" t="s">
        <v>106</v>
      </c>
      <c r="S1" s="5" t="s">
        <v>107</v>
      </c>
      <c r="T1" s="5" t="s">
        <v>108</v>
      </c>
      <c r="U1" s="5" t="s">
        <v>109</v>
      </c>
      <c r="V1" s="5" t="s">
        <v>110</v>
      </c>
      <c r="W1" s="5" t="s">
        <v>111</v>
      </c>
      <c r="X1" s="5" t="s">
        <v>112</v>
      </c>
      <c r="Y1" s="5" t="s">
        <v>113</v>
      </c>
      <c r="Z1" s="5" t="s">
        <v>114</v>
      </c>
      <c r="AA1" s="5" t="s">
        <v>115</v>
      </c>
      <c r="AB1" s="5" t="s">
        <v>116</v>
      </c>
      <c r="AC1" s="5" t="s">
        <v>117</v>
      </c>
      <c r="AD1" s="5" t="s">
        <v>118</v>
      </c>
      <c r="AE1" s="5" t="s">
        <v>119</v>
      </c>
      <c r="AF1" s="5" t="s">
        <v>120</v>
      </c>
      <c r="AG1" s="5" t="s">
        <v>121</v>
      </c>
      <c r="AH1" s="5" t="s">
        <v>64</v>
      </c>
      <c r="AI1" s="5" t="s">
        <v>122</v>
      </c>
      <c r="AJ1" s="5" t="s">
        <v>123</v>
      </c>
      <c r="AK1" s="5" t="s">
        <v>124</v>
      </c>
    </row>
    <row r="2">
      <c r="A2" s="6" t="s">
        <v>125</v>
      </c>
      <c r="B2" s="6" t="s">
        <v>73</v>
      </c>
      <c r="C2" s="6" t="s">
        <v>80</v>
      </c>
      <c r="D2" s="6" t="s">
        <v>78</v>
      </c>
      <c r="E2" s="6" t="s">
        <v>126</v>
      </c>
      <c r="F2" s="6" t="str">
        <f t="array" ref="F2">IFERROR(IF($C2=INDEX(Matches!$S$5:$S$6,MATCH($B2,Matches!$A$5:$A$6,0)),"A",IF($C2=INDEX(Matches!$T$5:$T$6,MATCH($B2,Matches!$A$5:$A$6,0)),"B","")),"")</f>
        <v>A</v>
      </c>
      <c r="G2" s="6">
        <f t="array" ref="G2">IFERROR(INDEX(Players!$E$2:$E$19,MATCH($E2,Players!$A$2:$A$19,0)),0)</f>
        <v>30</v>
      </c>
      <c r="H2" s="8">
        <f t="array" ref="H2">IFERROR(INDEX(Players!$F$2:$F$19,MATCH($E2,Players!$A$2:$A$19,0)),"")</f>
        <v>0.6</v>
      </c>
      <c r="I2" s="12">
        <f t="array" ref="I2">IFERROR(INDEX(Players!$G$2:$G$19,MATCH($E2,Players!$A$2:$A$19,0)),"")</f>
        <v>3</v>
      </c>
      <c r="J2" s="13">
        <f>IF(OR($I2="",$H2=""),"",$I2*IF(LEFT($B2,4)="DOTA",Config!$B$5,Config!$B$4)/($H2*IF(LEFT($B2,4)="DOTA",Config!$B$5,Config!$B$4)+1-$H2))</f>
        <v>3.841251448</v>
      </c>
      <c r="K2" s="13">
        <f>IF(OR($I2="",$H2=""),"",$I2/($H2*IF(LEFT($B2,4)="DOTA",Config!$B$5,Config!$B$4)+1-$H2))</f>
        <v>1.738122827</v>
      </c>
      <c r="L2" s="12">
        <f t="array" ref="L2">IFERROR(INDEX(Matches!$R$5:$R$6,MATCH($B2,Matches!$A$5:$A$6,0)),1)</f>
        <v>1</v>
      </c>
      <c r="M2" s="8">
        <f t="array" ref="M2">IFERROR(IF(INDEX(Matches!$M$5:$M$6,MATCH($B2,Matches!$A$5:$A$6,0))="","",IF($F2="A",INDEX(Matches!$M$5:$M$6,MATCH($B2,Matches!$A$5:$A$6,0)),1-INDEX(Matches!$M$5:$M$6,MATCH($B2,Matches!$A$5:$A$6,0)))),"")</f>
        <v>0.7014</v>
      </c>
      <c r="N2" s="12">
        <f t="shared" ref="N2:N19" si="1">1</f>
        <v>1</v>
      </c>
      <c r="O2" s="13">
        <f t="shared" ref="O2:O19" si="2">IF(OR($M2="",$J2=""),"",$L2*($M2*$J2+(1-$M2)*$K2))</f>
        <v>3.213257242</v>
      </c>
      <c r="P2" s="12">
        <f>IF($O2="","",IF(LEFT($B2,4)="DOTA",Config!$B$7,Config!$B$6)*$O2+$L2^2*$M2*(1-$M2)*($J2-$K2)^2)</f>
        <v>5.103610281</v>
      </c>
      <c r="Q2" s="8">
        <f t="array" ref="Q2">IFERROR(IF(INDEX(Matches!$N$5:$N$6,MATCH($B2,Matches!$A$5:$A$6,0))="","",IF($F2="A",INDEX(Matches!$N$5:$N$6,MATCH($B2,Matches!$A$5:$A$6,0)),1-INDEX(Matches!$N$5:$N$6,MATCH($B2,Matches!$A$5:$A$6,0)))),"")</f>
        <v>0.7014</v>
      </c>
      <c r="R2" s="12">
        <f t="array" ref="R2">IFERROR(N(INDEX(Matches!$P$5:$P$6,MATCH($B2,Matches!$A$5:$A$6,0))),0)</f>
        <v>1</v>
      </c>
      <c r="S2" s="13">
        <f t="shared" ref="S2:S19" si="3">IF(OR($Q2="",$J2=""),"",$L2*($Q2*$J2+(1-$Q2)*$K2))</f>
        <v>3.213257242</v>
      </c>
      <c r="T2" s="12">
        <f>IF($S2="","",IF(LEFT($B2,4)="DOTA",Config!$B$7,Config!$B$6)*$S2+$L2^2*$Q2*(1-$Q2)*($J2-$K2)^2)</f>
        <v>5.103610281</v>
      </c>
      <c r="U2" s="8">
        <f t="array" ref="U2">IFERROR(IF(INDEX(Matches!$O$5:$O$6,MATCH($B2,Matches!$A$5:$A$6,0))="","",IF($F2="A",INDEX(Matches!$O$5:$O$6,MATCH($B2,Matches!$A$5:$A$6,0)),1-INDEX(Matches!$O$5:$O$6,MATCH($B2,Matches!$A$5:$A$6,0)))),"")</f>
        <v>0.7014</v>
      </c>
      <c r="V2" s="12">
        <f t="array" ref="V2">IFERROR(N(INDEX(Matches!$Q$5:$Q$6,MATCH($B2,Matches!$A$5:$A$6,0))),0)</f>
        <v>1</v>
      </c>
      <c r="W2" s="13">
        <f t="shared" ref="W2:W19" si="4">IF(OR($U2="",$J2=""),"",$L2*($U2*$J2+(1-$U2)*$K2))</f>
        <v>3.213257242</v>
      </c>
      <c r="X2" s="12">
        <f>IF($W2="","",IF(LEFT($B2,4)="DOTA",Config!$B$7,Config!$B$6)*$W2+$L2^2*$U2*(1-$U2)*($J2-$K2)^2)</f>
        <v>5.103610281</v>
      </c>
      <c r="Y2" s="13">
        <f t="shared" ref="Y2:Y19" si="5">IF($O2="","",$O2)</f>
        <v>3.213257242</v>
      </c>
      <c r="Z2" s="12">
        <f t="shared" ref="Z2:Z19" si="6">IF($P2="","",$P2)</f>
        <v>5.103610281</v>
      </c>
      <c r="AA2" s="13">
        <f t="shared" ref="AA2:AA19" si="7">IF($O2="","",N($N2)*N($O2)+N($R2)*N($S2))</f>
        <v>6.426514484</v>
      </c>
      <c r="AB2" s="12">
        <f t="shared" ref="AB2:AB19" si="8">IF($O2="","",(N($N2)*N($P2)+N($N2)*(1-N($N2))*N($O2)^2)+(N($R2)*N($T2)+N($R2)*(1-N($R2))*N($S2)^2))</f>
        <v>10.20722056</v>
      </c>
      <c r="AC2" s="13">
        <f t="shared" ref="AC2:AC19" si="9">IF($O2="","",N($N2)*N($O2)+N($R2)*N($S2)+N($V2)*N($W2))</f>
        <v>9.639771727</v>
      </c>
      <c r="AD2" s="12">
        <f t="shared" ref="AD2:AD19" si="10">IF($O2="","",(N($N2)*N($P2)+N($N2)*(1-N($N2))*N($O2)^2)+(N($R2)*N($T2)+N($R2)*(1-N($R2))*N($S2)^2)+(N($V2)*N($X2)+N($V2)*(1-N($V2))*N($W2)^2))</f>
        <v>15.31083084</v>
      </c>
      <c r="AE2" s="13">
        <f t="shared" ref="AE2:AE19" si="11">IF($I2="","",$I2*$L2)</f>
        <v>3</v>
      </c>
      <c r="AF2" s="13">
        <f t="shared" ref="AF2:AF19" si="12">IF($I2="","",$I2*$L2*(1+N($R2)))</f>
        <v>6</v>
      </c>
      <c r="AG2" s="13">
        <f t="shared" ref="AG2:AG19" si="13">IF($I2="","",$I2*$L2*(1+N($R2)+N($V2)))</f>
        <v>9</v>
      </c>
      <c r="AH2" s="6" t="str">
        <f t="array" ref="AH2">TRIM(IF($G2&lt;Config!$B$9,"thin sample ("&amp;$G2&amp;" maps) · ","")&amp;IF($I2="","no PickFinder stats · ","")&amp;IFERROR(IF(INDEX(Players!$T$2:$T$19,MATCH($E2,Players!$A$2:$A$19,0))&lt;0.5,"new roster: "&amp;TEXT(INDEX(Players!$T$2:$T$19,MATCH($E2,Players!$A$2:$A$19,0)),"0%")&amp;" of his recent games with these teammates",""),""))</f>
        <v>new roster: 0% of his recent games with these teammates</v>
      </c>
      <c r="AI2" s="6" t="str">
        <f>IF($B2=Board!$B$2,COUNTIFS($B$2:$B$19,Board!$B$2,$Y$2:$Y$19,"&gt;"&amp;$Y2)+COUNTIFS($B$1:$B1,Board!$B$2,$Y$1:$Y1,$Y2)+1,"")</f>
        <v/>
      </c>
      <c r="AJ2" s="6" t="str">
        <f t="array" ref="AJ2">IFERROR(IF(INDEX(Matches!$D$5:$D$6,MATCH($B2,Matches!$A$5:$A$6,0))=3,"K12","K13"),"K13")</f>
        <v>K13</v>
      </c>
      <c r="AK2" s="13">
        <f t="shared" ref="AK2:AK19" si="14">IF($AJ2="K12",$AA2,$AC2)</f>
        <v>9.639771727</v>
      </c>
    </row>
    <row r="3">
      <c r="A3" s="6" t="s">
        <v>163</v>
      </c>
      <c r="B3" s="6" t="s">
        <v>73</v>
      </c>
      <c r="C3" s="6" t="s">
        <v>80</v>
      </c>
      <c r="D3" s="6" t="s">
        <v>141</v>
      </c>
      <c r="E3" s="6" t="s">
        <v>187</v>
      </c>
      <c r="F3" s="6" t="str">
        <f t="array" ref="F3">IFERROR(IF($C3=INDEX(Matches!$S$5:$S$6,MATCH($B3,Matches!$A$5:$A$6,0)),"A",IF($C3=INDEX(Matches!$T$5:$T$6,MATCH($B3,Matches!$A$5:$A$6,0)),"B","")),"")</f>
        <v>A</v>
      </c>
      <c r="G3" s="6">
        <f t="array" ref="G3">IFERROR(INDEX(Players!$E$2:$E$19,MATCH($E3,Players!$A$2:$A$19,0)),0)</f>
        <v>30</v>
      </c>
      <c r="H3" s="8">
        <f t="array" ref="H3">IFERROR(INDEX(Players!$F$2:$F$19,MATCH($E3,Players!$A$2:$A$19,0)),"")</f>
        <v>0.57</v>
      </c>
      <c r="I3" s="12">
        <f t="array" ref="I3">IFERROR(INDEX(Players!$G$2:$G$19,MATCH($E3,Players!$A$2:$A$19,0)),"")</f>
        <v>4.6</v>
      </c>
      <c r="J3" s="13">
        <f>IF(OR($I3="",$H3=""),"",$I3*IF(LEFT($B3,4)="DOTA",Config!$B$5,Config!$B$4)/($H3*IF(LEFT($B3,4)="DOTA",Config!$B$5,Config!$B$4)+1-$H3))</f>
        <v>6.016452625</v>
      </c>
      <c r="K3" s="13">
        <f>IF(OR($I3="",$H3=""),"",$I3/($H3*IF(LEFT($B3,4)="DOTA",Config!$B$5,Config!$B$4)+1-$H3))</f>
        <v>2.722376753</v>
      </c>
      <c r="L3" s="12">
        <f t="array" ref="L3">IFERROR(INDEX(Matches!$R$5:$R$6,MATCH($B3,Matches!$A$5:$A$6,0)),1)</f>
        <v>1</v>
      </c>
      <c r="M3" s="8">
        <f t="array" ref="M3">IFERROR(IF(INDEX(Matches!$M$5:$M$6,MATCH($B3,Matches!$A$5:$A$6,0))="","",IF($F3="A",INDEX(Matches!$M$5:$M$6,MATCH($B3,Matches!$A$5:$A$6,0)),1-INDEX(Matches!$M$5:$M$6,MATCH($B3,Matches!$A$5:$A$6,0)))),"")</f>
        <v>0.7014</v>
      </c>
      <c r="N3" s="12">
        <f t="shared" si="1"/>
        <v>1</v>
      </c>
      <c r="O3" s="13">
        <f t="shared" si="2"/>
        <v>5.03284157</v>
      </c>
      <c r="P3" s="12">
        <f>IF($O3="","",IF(LEFT($B3,4)="DOTA",Config!$B$7,Config!$B$6)*$O3+$L3^2*$M3*(1-$M3)*($J3-$K3)^2)</f>
        <v>8.815292776</v>
      </c>
      <c r="Q3" s="8">
        <f t="array" ref="Q3">IFERROR(IF(INDEX(Matches!$N$5:$N$6,MATCH($B3,Matches!$A$5:$A$6,0))="","",IF($F3="A",INDEX(Matches!$N$5:$N$6,MATCH($B3,Matches!$A$5:$A$6,0)),1-INDEX(Matches!$N$5:$N$6,MATCH($B3,Matches!$A$5:$A$6,0)))),"")</f>
        <v>0.7014</v>
      </c>
      <c r="R3" s="12">
        <f t="array" ref="R3">IFERROR(N(INDEX(Matches!$P$5:$P$6,MATCH($B3,Matches!$A$5:$A$6,0))),0)</f>
        <v>1</v>
      </c>
      <c r="S3" s="13">
        <f t="shared" si="3"/>
        <v>5.03284157</v>
      </c>
      <c r="T3" s="12">
        <f>IF($S3="","",IF(LEFT($B3,4)="DOTA",Config!$B$7,Config!$B$6)*$S3+$L3^2*$Q3*(1-$Q3)*($J3-$K3)^2)</f>
        <v>8.815292776</v>
      </c>
      <c r="U3" s="8">
        <f t="array" ref="U3">IFERROR(IF(INDEX(Matches!$O$5:$O$6,MATCH($B3,Matches!$A$5:$A$6,0))="","",IF($F3="A",INDEX(Matches!$O$5:$O$6,MATCH($B3,Matches!$A$5:$A$6,0)),1-INDEX(Matches!$O$5:$O$6,MATCH($B3,Matches!$A$5:$A$6,0)))),"")</f>
        <v>0.7014</v>
      </c>
      <c r="V3" s="12">
        <f t="array" ref="V3">IFERROR(N(INDEX(Matches!$Q$5:$Q$6,MATCH($B3,Matches!$A$5:$A$6,0))),0)</f>
        <v>1</v>
      </c>
      <c r="W3" s="13">
        <f t="shared" si="4"/>
        <v>5.03284157</v>
      </c>
      <c r="X3" s="12">
        <f>IF($W3="","",IF(LEFT($B3,4)="DOTA",Config!$B$7,Config!$B$6)*$W3+$L3^2*$U3*(1-$U3)*($J3-$K3)^2)</f>
        <v>8.815292776</v>
      </c>
      <c r="Y3" s="13">
        <f t="shared" si="5"/>
        <v>5.03284157</v>
      </c>
      <c r="Z3" s="12">
        <f t="shared" si="6"/>
        <v>8.815292776</v>
      </c>
      <c r="AA3" s="13">
        <f t="shared" si="7"/>
        <v>10.06568314</v>
      </c>
      <c r="AB3" s="12">
        <f t="shared" si="8"/>
        <v>17.63058555</v>
      </c>
      <c r="AC3" s="13">
        <f t="shared" si="9"/>
        <v>15.09852471</v>
      </c>
      <c r="AD3" s="12">
        <f t="shared" si="10"/>
        <v>26.44587833</v>
      </c>
      <c r="AE3" s="13">
        <f t="shared" si="11"/>
        <v>4.6</v>
      </c>
      <c r="AF3" s="13">
        <f t="shared" si="12"/>
        <v>9.2</v>
      </c>
      <c r="AG3" s="13">
        <f t="shared" si="13"/>
        <v>13.8</v>
      </c>
      <c r="AH3" s="6" t="str">
        <f t="array" ref="AH3">TRIM(IF($G3&lt;Config!$B$9,"thin sample ("&amp;$G3&amp;" maps) · ","")&amp;IF($I3="","no PickFinder stats · ","")&amp;IFERROR(IF(INDEX(Players!$T$2:$T$19,MATCH($E3,Players!$A$2:$A$19,0))&lt;0.5,"new roster: "&amp;TEXT(INDEX(Players!$T$2:$T$19,MATCH($E3,Players!$A$2:$A$19,0)),"0%")&amp;" of his recent games with these teammates",""),""))</f>
        <v>new roster: 0% of his recent games with these teammates</v>
      </c>
      <c r="AI3" s="6" t="str">
        <f>IF($B3=Board!$B$2,COUNTIFS($B$2:$B$19,Board!$B$2,$Y$2:$Y$19,"&gt;"&amp;$Y3)+COUNTIFS($B$1:$B2,Board!$B$2,$Y$1:$Y2,$Y3)+1,"")</f>
        <v/>
      </c>
      <c r="AJ3" s="6" t="str">
        <f t="array" ref="AJ3">IFERROR(IF(INDEX(Matches!$D$5:$D$6,MATCH($B3,Matches!$A$5:$A$6,0))=3,"K12","K13"),"K13")</f>
        <v>K13</v>
      </c>
      <c r="AK3" s="13">
        <f t="shared" si="14"/>
        <v>15.09852471</v>
      </c>
    </row>
    <row r="4">
      <c r="A4" s="6" t="s">
        <v>243</v>
      </c>
      <c r="B4" s="6" t="s">
        <v>73</v>
      </c>
      <c r="C4" s="6" t="s">
        <v>80</v>
      </c>
      <c r="D4" s="6" t="s">
        <v>164</v>
      </c>
      <c r="E4" s="6" t="s">
        <v>190</v>
      </c>
      <c r="F4" s="6" t="str">
        <f t="array" ref="F4">IFERROR(IF($C4=INDEX(Matches!$S$5:$S$6,MATCH($B4,Matches!$A$5:$A$6,0)),"A",IF($C4=INDEX(Matches!$T$5:$T$6,MATCH($B4,Matches!$A$5:$A$6,0)),"B","")),"")</f>
        <v>A</v>
      </c>
      <c r="G4" s="6">
        <f t="array" ref="G4">IFERROR(INDEX(Players!$E$2:$E$19,MATCH($E4,Players!$A$2:$A$19,0)),0)</f>
        <v>30</v>
      </c>
      <c r="H4" s="8">
        <f t="array" ref="H4">IFERROR(INDEX(Players!$F$2:$F$19,MATCH($E4,Players!$A$2:$A$19,0)),"")</f>
        <v>0.57</v>
      </c>
      <c r="I4" s="12">
        <f t="array" ref="I4">IFERROR(INDEX(Players!$G$2:$G$19,MATCH($E4,Players!$A$2:$A$19,0)),"")</f>
        <v>3.4</v>
      </c>
      <c r="J4" s="13">
        <f>IF(OR($I4="",$H4=""),"",$I4*IF(LEFT($B4,4)="DOTA",Config!$B$5,Config!$B$4)/($H4*IF(LEFT($B4,4)="DOTA",Config!$B$5,Config!$B$4)+1-$H4))</f>
        <v>4.446943244</v>
      </c>
      <c r="K4" s="13">
        <f>IF(OR($I4="",$H4=""),"",$I4/($H4*IF(LEFT($B4,4)="DOTA",Config!$B$5,Config!$B$4)+1-$H4))</f>
        <v>2.012191513</v>
      </c>
      <c r="L4" s="12">
        <f t="array" ref="L4">IFERROR(INDEX(Matches!$R$5:$R$6,MATCH($B4,Matches!$A$5:$A$6,0)),1)</f>
        <v>1</v>
      </c>
      <c r="M4" s="8">
        <f t="array" ref="M4">IFERROR(IF(INDEX(Matches!$M$5:$M$6,MATCH($B4,Matches!$A$5:$A$6,0))="","",IF($F4="A",INDEX(Matches!$M$5:$M$6,MATCH($B4,Matches!$A$5:$A$6,0)),1-INDEX(Matches!$M$5:$M$6,MATCH($B4,Matches!$A$5:$A$6,0)))),"")</f>
        <v>0.7014</v>
      </c>
      <c r="N4" s="12">
        <f t="shared" si="1"/>
        <v>1</v>
      </c>
      <c r="O4" s="13">
        <f t="shared" si="2"/>
        <v>3.719926377</v>
      </c>
      <c r="P4" s="12">
        <f>IF($O4="","",IF(LEFT($B4,4)="DOTA",Config!$B$7,Config!$B$6)*$O4+$L4^2*$M4*(1-$M4)*($J4-$K4)^2)</f>
        <v>6.077456341</v>
      </c>
      <c r="Q4" s="8">
        <f t="array" ref="Q4">IFERROR(IF(INDEX(Matches!$N$5:$N$6,MATCH($B4,Matches!$A$5:$A$6,0))="","",IF($F4="A",INDEX(Matches!$N$5:$N$6,MATCH($B4,Matches!$A$5:$A$6,0)),1-INDEX(Matches!$N$5:$N$6,MATCH($B4,Matches!$A$5:$A$6,0)))),"")</f>
        <v>0.7014</v>
      </c>
      <c r="R4" s="12">
        <f t="array" ref="R4">IFERROR(N(INDEX(Matches!$P$5:$P$6,MATCH($B4,Matches!$A$5:$A$6,0))),0)</f>
        <v>1</v>
      </c>
      <c r="S4" s="13">
        <f t="shared" si="3"/>
        <v>3.719926377</v>
      </c>
      <c r="T4" s="12">
        <f>IF($S4="","",IF(LEFT($B4,4)="DOTA",Config!$B$7,Config!$B$6)*$S4+$L4^2*$Q4*(1-$Q4)*($J4-$K4)^2)</f>
        <v>6.077456341</v>
      </c>
      <c r="U4" s="8">
        <f t="array" ref="U4">IFERROR(IF(INDEX(Matches!$O$5:$O$6,MATCH($B4,Matches!$A$5:$A$6,0))="","",IF($F4="A",INDEX(Matches!$O$5:$O$6,MATCH($B4,Matches!$A$5:$A$6,0)),1-INDEX(Matches!$O$5:$O$6,MATCH($B4,Matches!$A$5:$A$6,0)))),"")</f>
        <v>0.7014</v>
      </c>
      <c r="V4" s="12">
        <f t="array" ref="V4">IFERROR(N(INDEX(Matches!$Q$5:$Q$6,MATCH($B4,Matches!$A$5:$A$6,0))),0)</f>
        <v>1</v>
      </c>
      <c r="W4" s="13">
        <f t="shared" si="4"/>
        <v>3.719926377</v>
      </c>
      <c r="X4" s="12">
        <f>IF($W4="","",IF(LEFT($B4,4)="DOTA",Config!$B$7,Config!$B$6)*$W4+$L4^2*$U4*(1-$U4)*($J4-$K4)^2)</f>
        <v>6.077456341</v>
      </c>
      <c r="Y4" s="13">
        <f t="shared" si="5"/>
        <v>3.719926377</v>
      </c>
      <c r="Z4" s="12">
        <f t="shared" si="6"/>
        <v>6.077456341</v>
      </c>
      <c r="AA4" s="13">
        <f t="shared" si="7"/>
        <v>7.439852755</v>
      </c>
      <c r="AB4" s="12">
        <f t="shared" si="8"/>
        <v>12.15491268</v>
      </c>
      <c r="AC4" s="13">
        <f t="shared" si="9"/>
        <v>11.15977913</v>
      </c>
      <c r="AD4" s="12">
        <f t="shared" si="10"/>
        <v>18.23236902</v>
      </c>
      <c r="AE4" s="13">
        <f t="shared" si="11"/>
        <v>3.4</v>
      </c>
      <c r="AF4" s="13">
        <f t="shared" si="12"/>
        <v>6.8</v>
      </c>
      <c r="AG4" s="13">
        <f t="shared" si="13"/>
        <v>10.2</v>
      </c>
      <c r="AH4" s="6" t="str">
        <f t="array" ref="AH4">TRIM(IF($G4&lt;Config!$B$9,"thin sample ("&amp;$G4&amp;" maps) · ","")&amp;IF($I4="","no PickFinder stats · ","")&amp;IFERROR(IF(INDEX(Players!$T$2:$T$19,MATCH($E4,Players!$A$2:$A$19,0))&lt;0.5,"new roster: "&amp;TEXT(INDEX(Players!$T$2:$T$19,MATCH($E4,Players!$A$2:$A$19,0)),"0%")&amp;" of his recent games with these teammates",""),""))</f>
        <v>new roster: 0% of his recent games with these teammates</v>
      </c>
      <c r="AI4" s="6" t="str">
        <f>IF($B4=Board!$B$2,COUNTIFS($B$2:$B$19,Board!$B$2,$Y$2:$Y$19,"&gt;"&amp;$Y4)+COUNTIFS($B$1:$B3,Board!$B$2,$Y$1:$Y3,$Y4)+1,"")</f>
        <v/>
      </c>
      <c r="AJ4" s="6" t="str">
        <f t="array" ref="AJ4">IFERROR(IF(INDEX(Matches!$D$5:$D$6,MATCH($B4,Matches!$A$5:$A$6,0))=3,"K12","K13"),"K13")</f>
        <v>K13</v>
      </c>
      <c r="AK4" s="13">
        <f t="shared" si="14"/>
        <v>11.15977913</v>
      </c>
    </row>
    <row r="5">
      <c r="A5" s="6" t="s">
        <v>244</v>
      </c>
      <c r="B5" s="6" t="s">
        <v>73</v>
      </c>
      <c r="C5" s="6" t="s">
        <v>80</v>
      </c>
      <c r="D5" s="6" t="s">
        <v>194</v>
      </c>
      <c r="E5" s="6" t="s">
        <v>193</v>
      </c>
      <c r="F5" s="6" t="str">
        <f t="array" ref="F5">IFERROR(IF($C5=INDEX(Matches!$S$5:$S$6,MATCH($B5,Matches!$A$5:$A$6,0)),"A",IF($C5=INDEX(Matches!$T$5:$T$6,MATCH($B5,Matches!$A$5:$A$6,0)),"B","")),"")</f>
        <v>A</v>
      </c>
      <c r="G5" s="6">
        <f t="array" ref="G5">IFERROR(INDEX(Players!$E$2:$E$19,MATCH($E5,Players!$A$2:$A$19,0)),0)</f>
        <v>30</v>
      </c>
      <c r="H5" s="8">
        <f t="array" ref="H5">IFERROR(INDEX(Players!$F$2:$F$19,MATCH($E5,Players!$A$2:$A$19,0)),"")</f>
        <v>0.6</v>
      </c>
      <c r="I5" s="12">
        <f t="array" ref="I5">IFERROR(INDEX(Players!$G$2:$G$19,MATCH($E5,Players!$A$2:$A$19,0)),"")</f>
        <v>3.4</v>
      </c>
      <c r="J5" s="13">
        <f>IF(OR($I5="",$H5=""),"",$I5*IF(LEFT($B5,4)="DOTA",Config!$B$5,Config!$B$4)/($H5*IF(LEFT($B5,4)="DOTA",Config!$B$5,Config!$B$4)+1-$H5))</f>
        <v>4.353418308</v>
      </c>
      <c r="K5" s="13">
        <f>IF(OR($I5="",$H5=""),"",$I5/($H5*IF(LEFT($B5,4)="DOTA",Config!$B$5,Config!$B$4)+1-$H5))</f>
        <v>1.969872538</v>
      </c>
      <c r="L5" s="12">
        <f t="array" ref="L5">IFERROR(INDEX(Matches!$R$5:$R$6,MATCH($B5,Matches!$A$5:$A$6,0)),1)</f>
        <v>1</v>
      </c>
      <c r="M5" s="8">
        <f t="array" ref="M5">IFERROR(IF(INDEX(Matches!$M$5:$M$6,MATCH($B5,Matches!$A$5:$A$6,0))="","",IF($F5="A",INDEX(Matches!$M$5:$M$6,MATCH($B5,Matches!$A$5:$A$6,0)),1-INDEX(Matches!$M$5:$M$6,MATCH($B5,Matches!$A$5:$A$6,0)))),"")</f>
        <v>0.7014</v>
      </c>
      <c r="N5" s="12">
        <f t="shared" si="1"/>
        <v>1</v>
      </c>
      <c r="O5" s="13">
        <f t="shared" si="2"/>
        <v>3.641691541</v>
      </c>
      <c r="P5" s="12">
        <f>IF($O5="","",IF(LEFT($B5,4)="DOTA",Config!$B$7,Config!$B$6)*$O5+$L5^2*$M5*(1-$M5)*($J5-$K5)^2)</f>
        <v>5.924077338</v>
      </c>
      <c r="Q5" s="8">
        <f t="array" ref="Q5">IFERROR(IF(INDEX(Matches!$N$5:$N$6,MATCH($B5,Matches!$A$5:$A$6,0))="","",IF($F5="A",INDEX(Matches!$N$5:$N$6,MATCH($B5,Matches!$A$5:$A$6,0)),1-INDEX(Matches!$N$5:$N$6,MATCH($B5,Matches!$A$5:$A$6,0)))),"")</f>
        <v>0.7014</v>
      </c>
      <c r="R5" s="12">
        <f t="array" ref="R5">IFERROR(N(INDEX(Matches!$P$5:$P$6,MATCH($B5,Matches!$A$5:$A$6,0))),0)</f>
        <v>1</v>
      </c>
      <c r="S5" s="13">
        <f t="shared" si="3"/>
        <v>3.641691541</v>
      </c>
      <c r="T5" s="12">
        <f>IF($S5="","",IF(LEFT($B5,4)="DOTA",Config!$B$7,Config!$B$6)*$S5+$L5^2*$Q5*(1-$Q5)*($J5-$K5)^2)</f>
        <v>5.924077338</v>
      </c>
      <c r="U5" s="8">
        <f t="array" ref="U5">IFERROR(IF(INDEX(Matches!$O$5:$O$6,MATCH($B5,Matches!$A$5:$A$6,0))="","",IF($F5="A",INDEX(Matches!$O$5:$O$6,MATCH($B5,Matches!$A$5:$A$6,0)),1-INDEX(Matches!$O$5:$O$6,MATCH($B5,Matches!$A$5:$A$6,0)))),"")</f>
        <v>0.7014</v>
      </c>
      <c r="V5" s="12">
        <f t="array" ref="V5">IFERROR(N(INDEX(Matches!$Q$5:$Q$6,MATCH($B5,Matches!$A$5:$A$6,0))),0)</f>
        <v>1</v>
      </c>
      <c r="W5" s="13">
        <f t="shared" si="4"/>
        <v>3.641691541</v>
      </c>
      <c r="X5" s="12">
        <f>IF($W5="","",IF(LEFT($B5,4)="DOTA",Config!$B$7,Config!$B$6)*$W5+$L5^2*$U5*(1-$U5)*($J5-$K5)^2)</f>
        <v>5.924077338</v>
      </c>
      <c r="Y5" s="13">
        <f t="shared" si="5"/>
        <v>3.641691541</v>
      </c>
      <c r="Z5" s="12">
        <f t="shared" si="6"/>
        <v>5.924077338</v>
      </c>
      <c r="AA5" s="13">
        <f t="shared" si="7"/>
        <v>7.283383082</v>
      </c>
      <c r="AB5" s="12">
        <f t="shared" si="8"/>
        <v>11.84815468</v>
      </c>
      <c r="AC5" s="13">
        <f t="shared" si="9"/>
        <v>10.92507462</v>
      </c>
      <c r="AD5" s="12">
        <f t="shared" si="10"/>
        <v>17.77223201</v>
      </c>
      <c r="AE5" s="13">
        <f t="shared" si="11"/>
        <v>3.4</v>
      </c>
      <c r="AF5" s="13">
        <f t="shared" si="12"/>
        <v>6.8</v>
      </c>
      <c r="AG5" s="13">
        <f t="shared" si="13"/>
        <v>10.2</v>
      </c>
      <c r="AH5" s="6" t="str">
        <f t="array" ref="AH5">TRIM(IF($G5&lt;Config!$B$9,"thin sample ("&amp;$G5&amp;" maps) · ","")&amp;IF($I5="","no PickFinder stats · ","")&amp;IFERROR(IF(INDEX(Players!$T$2:$T$19,MATCH($E5,Players!$A$2:$A$19,0))&lt;0.5,"new roster: "&amp;TEXT(INDEX(Players!$T$2:$T$19,MATCH($E5,Players!$A$2:$A$19,0)),"0%")&amp;" of his recent games with these teammates",""),""))</f>
        <v>new roster: 0% of his recent games with these teammates</v>
      </c>
      <c r="AI5" s="6" t="str">
        <f>IF($B5=Board!$B$2,COUNTIFS($B$2:$B$19,Board!$B$2,$Y$2:$Y$19,"&gt;"&amp;$Y5)+COUNTIFS($B$1:$B4,Board!$B$2,$Y$1:$Y4,$Y5)+1,"")</f>
        <v/>
      </c>
      <c r="AJ5" s="6" t="str">
        <f t="array" ref="AJ5">IFERROR(IF(INDEX(Matches!$D$5:$D$6,MATCH($B5,Matches!$A$5:$A$6,0))=3,"K12","K13"),"K13")</f>
        <v>K13</v>
      </c>
      <c r="AK5" s="13">
        <f t="shared" si="14"/>
        <v>10.92507462</v>
      </c>
    </row>
    <row r="6">
      <c r="A6" s="6" t="s">
        <v>246</v>
      </c>
      <c r="B6" s="6" t="s">
        <v>73</v>
      </c>
      <c r="C6" s="6" t="s">
        <v>90</v>
      </c>
      <c r="D6" s="6" t="s">
        <v>198</v>
      </c>
      <c r="E6" s="6" t="s">
        <v>197</v>
      </c>
      <c r="F6" s="6" t="str">
        <f t="array" ref="F6">IFERROR(IF($C6=INDEX(Matches!$S$5:$S$6,MATCH($B6,Matches!$A$5:$A$6,0)),"A",IF($C6=INDEX(Matches!$T$5:$T$6,MATCH($B6,Matches!$A$5:$A$6,0)),"B","")),"")</f>
        <v>B</v>
      </c>
      <c r="G6" s="6">
        <f t="array" ref="G6">IFERROR(INDEX(Players!$E$2:$E$19,MATCH($E6,Players!$A$2:$A$19,0)),0)</f>
        <v>30</v>
      </c>
      <c r="H6" s="8">
        <f t="array" ref="H6">IFERROR(INDEX(Players!$F$2:$F$19,MATCH($E6,Players!$A$2:$A$19,0)),"")</f>
        <v>0.6</v>
      </c>
      <c r="I6" s="12">
        <f t="array" ref="I6">IFERROR(INDEX(Players!$G$2:$G$19,MATCH($E6,Players!$A$2:$A$19,0)),"")</f>
        <v>4.5</v>
      </c>
      <c r="J6" s="13">
        <f>IF(OR($I6="",$H6=""),"",$I6*IF(LEFT($B6,4)="DOTA",Config!$B$5,Config!$B$4)/($H6*IF(LEFT($B6,4)="DOTA",Config!$B$5,Config!$B$4)+1-$H6))</f>
        <v>5.761877173</v>
      </c>
      <c r="K6" s="13">
        <f>IF(OR($I6="",$H6=""),"",$I6/($H6*IF(LEFT($B6,4)="DOTA",Config!$B$5,Config!$B$4)+1-$H6))</f>
        <v>2.607184241</v>
      </c>
      <c r="L6" s="12">
        <f t="array" ref="L6">IFERROR(INDEX(Matches!$R$5:$R$6,MATCH($B6,Matches!$A$5:$A$6,0)),1)</f>
        <v>1</v>
      </c>
      <c r="M6" s="8">
        <f t="array" ref="M6">IFERROR(IF(INDEX(Matches!$M$5:$M$6,MATCH($B6,Matches!$A$5:$A$6,0))="","",IF($F6="A",INDEX(Matches!$M$5:$M$6,MATCH($B6,Matches!$A$5:$A$6,0)),1-INDEX(Matches!$M$5:$M$6,MATCH($B6,Matches!$A$5:$A$6,0)))),"")</f>
        <v>0.2986</v>
      </c>
      <c r="N6" s="12">
        <f t="shared" si="1"/>
        <v>1</v>
      </c>
      <c r="O6" s="13">
        <f t="shared" si="2"/>
        <v>3.54917555</v>
      </c>
      <c r="P6" s="12">
        <f>IF($O6="","",IF(LEFT($B6,4)="DOTA",Config!$B$7,Config!$B$6)*$O6+$L6^2*$M6*(1-$M6)*($J6-$K6)^2)</f>
        <v>6.698273914</v>
      </c>
      <c r="Q6" s="8">
        <f t="array" ref="Q6">IFERROR(IF(INDEX(Matches!$N$5:$N$6,MATCH($B6,Matches!$A$5:$A$6,0))="","",IF($F6="A",INDEX(Matches!$N$5:$N$6,MATCH($B6,Matches!$A$5:$A$6,0)),1-INDEX(Matches!$N$5:$N$6,MATCH($B6,Matches!$A$5:$A$6,0)))),"")</f>
        <v>0.2986</v>
      </c>
      <c r="R6" s="12">
        <f t="array" ref="R6">IFERROR(N(INDEX(Matches!$P$5:$P$6,MATCH($B6,Matches!$A$5:$A$6,0))),0)</f>
        <v>1</v>
      </c>
      <c r="S6" s="13">
        <f t="shared" si="3"/>
        <v>3.54917555</v>
      </c>
      <c r="T6" s="12">
        <f>IF($S6="","",IF(LEFT($B6,4)="DOTA",Config!$B$7,Config!$B$6)*$S6+$L6^2*$Q6*(1-$Q6)*($J6-$K6)^2)</f>
        <v>6.698273914</v>
      </c>
      <c r="U6" s="8">
        <f t="array" ref="U6">IFERROR(IF(INDEX(Matches!$O$5:$O$6,MATCH($B6,Matches!$A$5:$A$6,0))="","",IF($F6="A",INDEX(Matches!$O$5:$O$6,MATCH($B6,Matches!$A$5:$A$6,0)),1-INDEX(Matches!$O$5:$O$6,MATCH($B6,Matches!$A$5:$A$6,0)))),"")</f>
        <v>0.2986</v>
      </c>
      <c r="V6" s="12">
        <f t="array" ref="V6">IFERROR(N(INDEX(Matches!$Q$5:$Q$6,MATCH($B6,Matches!$A$5:$A$6,0))),0)</f>
        <v>1</v>
      </c>
      <c r="W6" s="13">
        <f t="shared" si="4"/>
        <v>3.54917555</v>
      </c>
      <c r="X6" s="12">
        <f>IF($W6="","",IF(LEFT($B6,4)="DOTA",Config!$B$7,Config!$B$6)*$W6+$L6^2*$U6*(1-$U6)*($J6-$K6)^2)</f>
        <v>6.698273914</v>
      </c>
      <c r="Y6" s="13">
        <f t="shared" si="5"/>
        <v>3.54917555</v>
      </c>
      <c r="Z6" s="12">
        <f t="shared" si="6"/>
        <v>6.698273914</v>
      </c>
      <c r="AA6" s="13">
        <f t="shared" si="7"/>
        <v>7.098351101</v>
      </c>
      <c r="AB6" s="12">
        <f t="shared" si="8"/>
        <v>13.39654783</v>
      </c>
      <c r="AC6" s="13">
        <f t="shared" si="9"/>
        <v>10.64752665</v>
      </c>
      <c r="AD6" s="12">
        <f t="shared" si="10"/>
        <v>20.09482174</v>
      </c>
      <c r="AE6" s="13">
        <f t="shared" si="11"/>
        <v>4.5</v>
      </c>
      <c r="AF6" s="13">
        <f t="shared" si="12"/>
        <v>9</v>
      </c>
      <c r="AG6" s="13">
        <f t="shared" si="13"/>
        <v>13.5</v>
      </c>
      <c r="AH6" s="6" t="str">
        <f t="array" ref="AH6">TRIM(IF($G6&lt;Config!$B$9,"thin sample ("&amp;$G6&amp;" maps) · ","")&amp;IF($I6="","no PickFinder stats · ","")&amp;IFERROR(IF(INDEX(Players!$T$2:$T$19,MATCH($E6,Players!$A$2:$A$19,0))&lt;0.5,"new roster: "&amp;TEXT(INDEX(Players!$T$2:$T$19,MATCH($E6,Players!$A$2:$A$19,0)),"0%")&amp;" of his recent games with these teammates",""),""))</f>
        <v>new roster: 0% of his recent games with these teammates</v>
      </c>
      <c r="AI6" s="6" t="str">
        <f>IF($B6=Board!$B$2,COUNTIFS($B$2:$B$19,Board!$B$2,$Y$2:$Y$19,"&gt;"&amp;$Y6)+COUNTIFS($B$1:$B5,Board!$B$2,$Y$1:$Y5,$Y6)+1,"")</f>
        <v/>
      </c>
      <c r="AJ6" s="6" t="str">
        <f t="array" ref="AJ6">IFERROR(IF(INDEX(Matches!$D$5:$D$6,MATCH($B6,Matches!$A$5:$A$6,0))=3,"K12","K13"),"K13")</f>
        <v>K13</v>
      </c>
      <c r="AK6" s="13">
        <f t="shared" si="14"/>
        <v>10.64752665</v>
      </c>
    </row>
    <row r="7">
      <c r="A7" s="6" t="s">
        <v>286</v>
      </c>
      <c r="B7" s="6" t="s">
        <v>73</v>
      </c>
      <c r="C7" s="6" t="s">
        <v>90</v>
      </c>
      <c r="D7" s="6" t="s">
        <v>202</v>
      </c>
      <c r="E7" s="6" t="s">
        <v>201</v>
      </c>
      <c r="F7" s="6" t="str">
        <f t="array" ref="F7">IFERROR(IF($C7=INDEX(Matches!$S$5:$S$6,MATCH($B7,Matches!$A$5:$A$6,0)),"A",IF($C7=INDEX(Matches!$T$5:$T$6,MATCH($B7,Matches!$A$5:$A$6,0)),"B","")),"")</f>
        <v>B</v>
      </c>
      <c r="G7" s="6">
        <f t="array" ref="G7">IFERROR(INDEX(Players!$E$2:$E$19,MATCH($E7,Players!$A$2:$A$19,0)),0)</f>
        <v>30</v>
      </c>
      <c r="H7" s="8">
        <f t="array" ref="H7">IFERROR(INDEX(Players!$F$2:$F$19,MATCH($E7,Players!$A$2:$A$19,0)),"")</f>
        <v>0.7</v>
      </c>
      <c r="I7" s="12">
        <f t="array" ref="I7">IFERROR(INDEX(Players!$G$2:$G$19,MATCH($E7,Players!$A$2:$A$19,0)),"")</f>
        <v>3.4</v>
      </c>
      <c r="J7" s="13">
        <f>IF(OR($I7="",$H7=""),"",$I7*IF(LEFT($B7,4)="DOTA",Config!$B$5,Config!$B$4)/($H7*IF(LEFT($B7,4)="DOTA",Config!$B$5,Config!$B$4)+1-$H7))</f>
        <v>4.068218733</v>
      </c>
      <c r="K7" s="13">
        <f>IF(OR($I7="",$H7=""),"",$I7/($H7*IF(LEFT($B7,4)="DOTA",Config!$B$5,Config!$B$4)+1-$H7))</f>
        <v>1.840822956</v>
      </c>
      <c r="L7" s="12">
        <f t="array" ref="L7">IFERROR(INDEX(Matches!$R$5:$R$6,MATCH($B7,Matches!$A$5:$A$6,0)),1)</f>
        <v>1</v>
      </c>
      <c r="M7" s="8">
        <f t="array" ref="M7">IFERROR(IF(INDEX(Matches!$M$5:$M$6,MATCH($B7,Matches!$A$5:$A$6,0))="","",IF($F7="A",INDEX(Matches!$M$5:$M$6,MATCH($B7,Matches!$A$5:$A$6,0)),1-INDEX(Matches!$M$5:$M$6,MATCH($B7,Matches!$A$5:$A$6,0)))),"")</f>
        <v>0.2986</v>
      </c>
      <c r="N7" s="12">
        <f t="shared" si="1"/>
        <v>1</v>
      </c>
      <c r="O7" s="13">
        <f t="shared" si="2"/>
        <v>2.505923335</v>
      </c>
      <c r="P7" s="12">
        <f>IF($O7="","",IF(LEFT($B7,4)="DOTA",Config!$B$7,Config!$B$6)*$O7+$L7^2*$M7*(1-$M7)*($J7-$K7)^2)</f>
        <v>4.296783597</v>
      </c>
      <c r="Q7" s="8">
        <f t="array" ref="Q7">IFERROR(IF(INDEX(Matches!$N$5:$N$6,MATCH($B7,Matches!$A$5:$A$6,0))="","",IF($F7="A",INDEX(Matches!$N$5:$N$6,MATCH($B7,Matches!$A$5:$A$6,0)),1-INDEX(Matches!$N$5:$N$6,MATCH($B7,Matches!$A$5:$A$6,0)))),"")</f>
        <v>0.2986</v>
      </c>
      <c r="R7" s="12">
        <f t="array" ref="R7">IFERROR(N(INDEX(Matches!$P$5:$P$6,MATCH($B7,Matches!$A$5:$A$6,0))),0)</f>
        <v>1</v>
      </c>
      <c r="S7" s="13">
        <f t="shared" si="3"/>
        <v>2.505923335</v>
      </c>
      <c r="T7" s="12">
        <f>IF($S7="","",IF(LEFT($B7,4)="DOTA",Config!$B$7,Config!$B$6)*$S7+$L7^2*$Q7*(1-$Q7)*($J7-$K7)^2)</f>
        <v>4.296783597</v>
      </c>
      <c r="U7" s="8">
        <f t="array" ref="U7">IFERROR(IF(INDEX(Matches!$O$5:$O$6,MATCH($B7,Matches!$A$5:$A$6,0))="","",IF($F7="A",INDEX(Matches!$O$5:$O$6,MATCH($B7,Matches!$A$5:$A$6,0)),1-INDEX(Matches!$O$5:$O$6,MATCH($B7,Matches!$A$5:$A$6,0)))),"")</f>
        <v>0.2986</v>
      </c>
      <c r="V7" s="12">
        <f t="array" ref="V7">IFERROR(N(INDEX(Matches!$Q$5:$Q$6,MATCH($B7,Matches!$A$5:$A$6,0))),0)</f>
        <v>1</v>
      </c>
      <c r="W7" s="13">
        <f t="shared" si="4"/>
        <v>2.505923335</v>
      </c>
      <c r="X7" s="12">
        <f>IF($W7="","",IF(LEFT($B7,4)="DOTA",Config!$B$7,Config!$B$6)*$W7+$L7^2*$U7*(1-$U7)*($J7-$K7)^2)</f>
        <v>4.296783597</v>
      </c>
      <c r="Y7" s="13">
        <f t="shared" si="5"/>
        <v>2.505923335</v>
      </c>
      <c r="Z7" s="12">
        <f t="shared" si="6"/>
        <v>4.296783597</v>
      </c>
      <c r="AA7" s="13">
        <f t="shared" si="7"/>
        <v>5.01184667</v>
      </c>
      <c r="AB7" s="12">
        <f t="shared" si="8"/>
        <v>8.593567194</v>
      </c>
      <c r="AC7" s="13">
        <f t="shared" si="9"/>
        <v>7.517770005</v>
      </c>
      <c r="AD7" s="12">
        <f t="shared" si="10"/>
        <v>12.89035079</v>
      </c>
      <c r="AE7" s="13">
        <f t="shared" si="11"/>
        <v>3.4</v>
      </c>
      <c r="AF7" s="13">
        <f t="shared" si="12"/>
        <v>6.8</v>
      </c>
      <c r="AG7" s="13">
        <f t="shared" si="13"/>
        <v>10.2</v>
      </c>
      <c r="AH7" s="6" t="str">
        <f t="array" ref="AH7">TRIM(IF($G7&lt;Config!$B$9,"thin sample ("&amp;$G7&amp;" maps) · ","")&amp;IF($I7="","no PickFinder stats · ","")&amp;IFERROR(IF(INDEX(Players!$T$2:$T$19,MATCH($E7,Players!$A$2:$A$19,0))&lt;0.5,"new roster: "&amp;TEXT(INDEX(Players!$T$2:$T$19,MATCH($E7,Players!$A$2:$A$19,0)),"0%")&amp;" of his recent games with these teammates",""),""))</f>
        <v>new roster: 0% of his recent games with these teammates</v>
      </c>
      <c r="AI7" s="6" t="str">
        <f>IF($B7=Board!$B$2,COUNTIFS($B$2:$B$19,Board!$B$2,$Y$2:$Y$19,"&gt;"&amp;$Y7)+COUNTIFS($B$1:$B6,Board!$B$2,$Y$1:$Y6,$Y7)+1,"")</f>
        <v/>
      </c>
      <c r="AJ7" s="6" t="str">
        <f t="array" ref="AJ7">IFERROR(IF(INDEX(Matches!$D$5:$D$6,MATCH($B7,Matches!$A$5:$A$6,0))=3,"K12","K13"),"K13")</f>
        <v>K13</v>
      </c>
      <c r="AK7" s="13">
        <f t="shared" si="14"/>
        <v>7.517770005</v>
      </c>
    </row>
    <row r="8">
      <c r="A8" s="6" t="s">
        <v>307</v>
      </c>
      <c r="B8" s="6" t="s">
        <v>73</v>
      </c>
      <c r="C8" s="6" t="s">
        <v>90</v>
      </c>
      <c r="D8" s="6" t="s">
        <v>205</v>
      </c>
      <c r="E8" s="6" t="s">
        <v>204</v>
      </c>
      <c r="F8" s="6" t="str">
        <f t="array" ref="F8">IFERROR(IF($C8=INDEX(Matches!$S$5:$S$6,MATCH($B8,Matches!$A$5:$A$6,0)),"A",IF($C8=INDEX(Matches!$T$5:$T$6,MATCH($B8,Matches!$A$5:$A$6,0)),"B","")),"")</f>
        <v>B</v>
      </c>
      <c r="G8" s="6">
        <f t="array" ref="G8">IFERROR(INDEX(Players!$E$2:$E$19,MATCH($E8,Players!$A$2:$A$19,0)),0)</f>
        <v>30</v>
      </c>
      <c r="H8" s="8">
        <f t="array" ref="H8">IFERROR(INDEX(Players!$F$2:$F$19,MATCH($E8,Players!$A$2:$A$19,0)),"")</f>
        <v>0.6</v>
      </c>
      <c r="I8" s="12">
        <f t="array" ref="I8">IFERROR(INDEX(Players!$G$2:$G$19,MATCH($E8,Players!$A$2:$A$19,0)),"")</f>
        <v>0.7</v>
      </c>
      <c r="J8" s="13">
        <f>IF(OR($I8="",$H8=""),"",$I8*IF(LEFT($B8,4)="DOTA",Config!$B$5,Config!$B$4)/($H8*IF(LEFT($B8,4)="DOTA",Config!$B$5,Config!$B$4)+1-$H8))</f>
        <v>0.8962920046</v>
      </c>
      <c r="K8" s="13">
        <f>IF(OR($I8="",$H8=""),"",$I8/($H8*IF(LEFT($B8,4)="DOTA",Config!$B$5,Config!$B$4)+1-$H8))</f>
        <v>0.405561993</v>
      </c>
      <c r="L8" s="12">
        <f t="array" ref="L8">IFERROR(INDEX(Matches!$R$5:$R$6,MATCH($B8,Matches!$A$5:$A$6,0)),1)</f>
        <v>1</v>
      </c>
      <c r="M8" s="8">
        <f t="array" ref="M8">IFERROR(IF(INDEX(Matches!$M$5:$M$6,MATCH($B8,Matches!$A$5:$A$6,0))="","",IF($F8="A",INDEX(Matches!$M$5:$M$6,MATCH($B8,Matches!$A$5:$A$6,0)),1-INDEX(Matches!$M$5:$M$6,MATCH($B8,Matches!$A$5:$A$6,0)))),"")</f>
        <v>0.2986</v>
      </c>
      <c r="N8" s="12">
        <f t="shared" si="1"/>
        <v>1</v>
      </c>
      <c r="O8" s="13">
        <f t="shared" si="2"/>
        <v>0.5520939745</v>
      </c>
      <c r="P8" s="12">
        <f>IF($O8="","",IF(LEFT($B8,4)="DOTA",Config!$B$7,Config!$B$6)*$O8+$L8^2*$M8*(1-$M8)*($J8-$K8)^2)</f>
        <v>0.7681581862</v>
      </c>
      <c r="Q8" s="8">
        <f t="array" ref="Q8">IFERROR(IF(INDEX(Matches!$N$5:$N$6,MATCH($B8,Matches!$A$5:$A$6,0))="","",IF($F8="A",INDEX(Matches!$N$5:$N$6,MATCH($B8,Matches!$A$5:$A$6,0)),1-INDEX(Matches!$N$5:$N$6,MATCH($B8,Matches!$A$5:$A$6,0)))),"")</f>
        <v>0.2986</v>
      </c>
      <c r="R8" s="12">
        <f t="array" ref="R8">IFERROR(N(INDEX(Matches!$P$5:$P$6,MATCH($B8,Matches!$A$5:$A$6,0))),0)</f>
        <v>1</v>
      </c>
      <c r="S8" s="13">
        <f t="shared" si="3"/>
        <v>0.5520939745</v>
      </c>
      <c r="T8" s="12">
        <f>IF($S8="","",IF(LEFT($B8,4)="DOTA",Config!$B$7,Config!$B$6)*$S8+$L8^2*$Q8*(1-$Q8)*($J8-$K8)^2)</f>
        <v>0.7681581862</v>
      </c>
      <c r="U8" s="8">
        <f t="array" ref="U8">IFERROR(IF(INDEX(Matches!$O$5:$O$6,MATCH($B8,Matches!$A$5:$A$6,0))="","",IF($F8="A",INDEX(Matches!$O$5:$O$6,MATCH($B8,Matches!$A$5:$A$6,0)),1-INDEX(Matches!$O$5:$O$6,MATCH($B8,Matches!$A$5:$A$6,0)))),"")</f>
        <v>0.2986</v>
      </c>
      <c r="V8" s="12">
        <f t="array" ref="V8">IFERROR(N(INDEX(Matches!$Q$5:$Q$6,MATCH($B8,Matches!$A$5:$A$6,0))),0)</f>
        <v>1</v>
      </c>
      <c r="W8" s="13">
        <f t="shared" si="4"/>
        <v>0.5520939745</v>
      </c>
      <c r="X8" s="12">
        <f>IF($W8="","",IF(LEFT($B8,4)="DOTA",Config!$B$7,Config!$B$6)*$W8+$L8^2*$U8*(1-$U8)*($J8-$K8)^2)</f>
        <v>0.7681581862</v>
      </c>
      <c r="Y8" s="13">
        <f t="shared" si="5"/>
        <v>0.5520939745</v>
      </c>
      <c r="Z8" s="12">
        <f t="shared" si="6"/>
        <v>0.7681581862</v>
      </c>
      <c r="AA8" s="13">
        <f t="shared" si="7"/>
        <v>1.104187949</v>
      </c>
      <c r="AB8" s="12">
        <f t="shared" si="8"/>
        <v>1.536316372</v>
      </c>
      <c r="AC8" s="13">
        <f t="shared" si="9"/>
        <v>1.656281924</v>
      </c>
      <c r="AD8" s="12">
        <f t="shared" si="10"/>
        <v>2.304474559</v>
      </c>
      <c r="AE8" s="13">
        <f t="shared" si="11"/>
        <v>0.7</v>
      </c>
      <c r="AF8" s="13">
        <f t="shared" si="12"/>
        <v>1.4</v>
      </c>
      <c r="AG8" s="13">
        <f t="shared" si="13"/>
        <v>2.1</v>
      </c>
      <c r="AH8" s="6" t="str">
        <f t="array" ref="AH8">TRIM(IF($G8&lt;Config!$B$9,"thin sample ("&amp;$G8&amp;" maps) · ","")&amp;IF($I8="","no PickFinder stats · ","")&amp;IFERROR(IF(INDEX(Players!$T$2:$T$19,MATCH($E8,Players!$A$2:$A$19,0))&lt;0.5,"new roster: "&amp;TEXT(INDEX(Players!$T$2:$T$19,MATCH($E8,Players!$A$2:$A$19,0)),"0%")&amp;" of his recent games with these teammates",""),""))</f>
        <v>new roster: 0% of his recent games with these teammates</v>
      </c>
      <c r="AI8" s="6" t="str">
        <f>IF($B8=Board!$B$2,COUNTIFS($B$2:$B$19,Board!$B$2,$Y$2:$Y$19,"&gt;"&amp;$Y8)+COUNTIFS($B$1:$B7,Board!$B$2,$Y$1:$Y7,$Y8)+1,"")</f>
        <v/>
      </c>
      <c r="AJ8" s="6" t="str">
        <f t="array" ref="AJ8">IFERROR(IF(INDEX(Matches!$D$5:$D$6,MATCH($B8,Matches!$A$5:$A$6,0))=3,"K12","K13"),"K13")</f>
        <v>K13</v>
      </c>
      <c r="AK8" s="13">
        <f t="shared" si="14"/>
        <v>1.656281924</v>
      </c>
    </row>
    <row r="9">
      <c r="A9" s="6" t="s">
        <v>340</v>
      </c>
      <c r="B9" s="6" t="s">
        <v>73</v>
      </c>
      <c r="C9" s="6" t="s">
        <v>90</v>
      </c>
      <c r="D9" s="6" t="s">
        <v>209</v>
      </c>
      <c r="E9" s="6" t="s">
        <v>208</v>
      </c>
      <c r="F9" s="6" t="str">
        <f t="array" ref="F9">IFERROR(IF($C9=INDEX(Matches!$S$5:$S$6,MATCH($B9,Matches!$A$5:$A$6,0)),"A",IF($C9=INDEX(Matches!$T$5:$T$6,MATCH($B9,Matches!$A$5:$A$6,0)),"B","")),"")</f>
        <v>B</v>
      </c>
      <c r="G9" s="6">
        <f t="array" ref="G9">IFERROR(INDEX(Players!$E$2:$E$19,MATCH($E9,Players!$A$2:$A$19,0)),0)</f>
        <v>30</v>
      </c>
      <c r="H9" s="8">
        <f t="array" ref="H9">IFERROR(INDEX(Players!$F$2:$F$19,MATCH($E9,Players!$A$2:$A$19,0)),"")</f>
        <v>0.7</v>
      </c>
      <c r="I9" s="12">
        <f t="array" ref="I9">IFERROR(INDEX(Players!$G$2:$G$19,MATCH($E9,Players!$A$2:$A$19,0)),"")</f>
        <v>2.8</v>
      </c>
      <c r="J9" s="13">
        <f>IF(OR($I9="",$H9=""),"",$I9*IF(LEFT($B9,4)="DOTA",Config!$B$5,Config!$B$4)/($H9*IF(LEFT($B9,4)="DOTA",Config!$B$5,Config!$B$4)+1-$H9))</f>
        <v>3.35029778</v>
      </c>
      <c r="K9" s="13">
        <f>IF(OR($I9="",$H9=""),"",$I9/($H9*IF(LEFT($B9,4)="DOTA",Config!$B$5,Config!$B$4)+1-$H9))</f>
        <v>1.515971846</v>
      </c>
      <c r="L9" s="12">
        <f t="array" ref="L9">IFERROR(INDEX(Matches!$R$5:$R$6,MATCH($B9,Matches!$A$5:$A$6,0)),1)</f>
        <v>1</v>
      </c>
      <c r="M9" s="8">
        <f t="array" ref="M9">IFERROR(IF(INDEX(Matches!$M$5:$M$6,MATCH($B9,Matches!$A$5:$A$6,0))="","",IF($F9="A",INDEX(Matches!$M$5:$M$6,MATCH($B9,Matches!$A$5:$A$6,0)),1-INDEX(Matches!$M$5:$M$6,MATCH($B9,Matches!$A$5:$A$6,0)))),"")</f>
        <v>0.2986</v>
      </c>
      <c r="N9" s="12">
        <f t="shared" si="1"/>
        <v>1</v>
      </c>
      <c r="O9" s="13">
        <f t="shared" si="2"/>
        <v>2.06370157</v>
      </c>
      <c r="P9" s="12">
        <f>IF($O9="","",IF(LEFT($B9,4)="DOTA",Config!$B$7,Config!$B$6)*$O9+$L9^2*$M9*(1-$M9)*($J9-$K9)^2)</f>
        <v>3.387519028</v>
      </c>
      <c r="Q9" s="8">
        <f t="array" ref="Q9">IFERROR(IF(INDEX(Matches!$N$5:$N$6,MATCH($B9,Matches!$A$5:$A$6,0))="","",IF($F9="A",INDEX(Matches!$N$5:$N$6,MATCH($B9,Matches!$A$5:$A$6,0)),1-INDEX(Matches!$N$5:$N$6,MATCH($B9,Matches!$A$5:$A$6,0)))),"")</f>
        <v>0.2986</v>
      </c>
      <c r="R9" s="12">
        <f t="array" ref="R9">IFERROR(N(INDEX(Matches!$P$5:$P$6,MATCH($B9,Matches!$A$5:$A$6,0))),0)</f>
        <v>1</v>
      </c>
      <c r="S9" s="13">
        <f t="shared" si="3"/>
        <v>2.06370157</v>
      </c>
      <c r="T9" s="12">
        <f>IF($S9="","",IF(LEFT($B9,4)="DOTA",Config!$B$7,Config!$B$6)*$S9+$L9^2*$Q9*(1-$Q9)*($J9-$K9)^2)</f>
        <v>3.387519028</v>
      </c>
      <c r="U9" s="8">
        <f t="array" ref="U9">IFERROR(IF(INDEX(Matches!$O$5:$O$6,MATCH($B9,Matches!$A$5:$A$6,0))="","",IF($F9="A",INDEX(Matches!$O$5:$O$6,MATCH($B9,Matches!$A$5:$A$6,0)),1-INDEX(Matches!$O$5:$O$6,MATCH($B9,Matches!$A$5:$A$6,0)))),"")</f>
        <v>0.2986</v>
      </c>
      <c r="V9" s="12">
        <f t="array" ref="V9">IFERROR(N(INDEX(Matches!$Q$5:$Q$6,MATCH($B9,Matches!$A$5:$A$6,0))),0)</f>
        <v>1</v>
      </c>
      <c r="W9" s="13">
        <f t="shared" si="4"/>
        <v>2.06370157</v>
      </c>
      <c r="X9" s="12">
        <f>IF($W9="","",IF(LEFT($B9,4)="DOTA",Config!$B$7,Config!$B$6)*$W9+$L9^2*$U9*(1-$U9)*($J9-$K9)^2)</f>
        <v>3.387519028</v>
      </c>
      <c r="Y9" s="13">
        <f t="shared" si="5"/>
        <v>2.06370157</v>
      </c>
      <c r="Z9" s="12">
        <f t="shared" si="6"/>
        <v>3.387519028</v>
      </c>
      <c r="AA9" s="13">
        <f t="shared" si="7"/>
        <v>4.12740314</v>
      </c>
      <c r="AB9" s="12">
        <f t="shared" si="8"/>
        <v>6.775038056</v>
      </c>
      <c r="AC9" s="13">
        <f t="shared" si="9"/>
        <v>6.19110471</v>
      </c>
      <c r="AD9" s="12">
        <f t="shared" si="10"/>
        <v>10.16255708</v>
      </c>
      <c r="AE9" s="13">
        <f t="shared" si="11"/>
        <v>2.8</v>
      </c>
      <c r="AF9" s="13">
        <f t="shared" si="12"/>
        <v>5.6</v>
      </c>
      <c r="AG9" s="13">
        <f t="shared" si="13"/>
        <v>8.4</v>
      </c>
      <c r="AH9" s="6" t="str">
        <f t="array" ref="AH9">TRIM(IF($G9&lt;Config!$B$9,"thin sample ("&amp;$G9&amp;" maps) · ","")&amp;IF($I9="","no PickFinder stats · ","")&amp;IFERROR(IF(INDEX(Players!$T$2:$T$19,MATCH($E9,Players!$A$2:$A$19,0))&lt;0.5,"new roster: "&amp;TEXT(INDEX(Players!$T$2:$T$19,MATCH($E9,Players!$A$2:$A$19,0)),"0%")&amp;" of his recent games with these teammates",""),""))</f>
        <v>new roster: 0% of his recent games with these teammates</v>
      </c>
      <c r="AI9" s="6" t="str">
        <f>IF($B9=Board!$B$2,COUNTIFS($B$2:$B$19,Board!$B$2,$Y$2:$Y$19,"&gt;"&amp;$Y9)+COUNTIFS($B$1:$B8,Board!$B$2,$Y$1:$Y8,$Y9)+1,"")</f>
        <v/>
      </c>
      <c r="AJ9" s="6" t="str">
        <f t="array" ref="AJ9">IFERROR(IF(INDEX(Matches!$D$5:$D$6,MATCH($B9,Matches!$A$5:$A$6,0))=3,"K12","K13"),"K13")</f>
        <v>K13</v>
      </c>
      <c r="AK9" s="13">
        <f t="shared" si="14"/>
        <v>6.19110471</v>
      </c>
    </row>
    <row r="10">
      <c r="A10" s="6" t="s">
        <v>342</v>
      </c>
      <c r="B10" s="6" t="s">
        <v>73</v>
      </c>
      <c r="C10" s="6" t="s">
        <v>90</v>
      </c>
      <c r="D10" s="6" t="s">
        <v>212</v>
      </c>
      <c r="E10" s="6" t="s">
        <v>211</v>
      </c>
      <c r="F10" s="6" t="str">
        <f t="array" ref="F10">IFERROR(IF($C10=INDEX(Matches!$S$5:$S$6,MATCH($B10,Matches!$A$5:$A$6,0)),"A",IF($C10=INDEX(Matches!$T$5:$T$6,MATCH($B10,Matches!$A$5:$A$6,0)),"B","")),"")</f>
        <v>B</v>
      </c>
      <c r="G10" s="6">
        <f t="array" ref="G10">IFERROR(INDEX(Players!$E$2:$E$19,MATCH($E10,Players!$A$2:$A$19,0)),0)</f>
        <v>30</v>
      </c>
      <c r="H10" s="8">
        <f t="array" ref="H10">IFERROR(INDEX(Players!$F$2:$F$19,MATCH($E10,Players!$A$2:$A$19,0)),"")</f>
        <v>0.7</v>
      </c>
      <c r="I10" s="12">
        <f t="array" ref="I10">IFERROR(INDEX(Players!$G$2:$G$19,MATCH($E10,Players!$A$2:$A$19,0)),"")</f>
        <v>3.6</v>
      </c>
      <c r="J10" s="13">
        <f>IF(OR($I10="",$H10=""),"",$I10*IF(LEFT($B10,4)="DOTA",Config!$B$5,Config!$B$4)/($H10*IF(LEFT($B10,4)="DOTA",Config!$B$5,Config!$B$4)+1-$H10))</f>
        <v>4.307525717</v>
      </c>
      <c r="K10" s="13">
        <f>IF(OR($I10="",$H10=""),"",$I10/($H10*IF(LEFT($B10,4)="DOTA",Config!$B$5,Config!$B$4)+1-$H10))</f>
        <v>1.949106659</v>
      </c>
      <c r="L10" s="12">
        <f t="array" ref="L10">IFERROR(INDEX(Matches!$R$5:$R$6,MATCH($B10,Matches!$A$5:$A$6,0)),1)</f>
        <v>1</v>
      </c>
      <c r="M10" s="8">
        <f t="array" ref="M10">IFERROR(IF(INDEX(Matches!$M$5:$M$6,MATCH($B10,Matches!$A$5:$A$6,0))="","",IF($F10="A",INDEX(Matches!$M$5:$M$6,MATCH($B10,Matches!$A$5:$A$6,0)),1-INDEX(Matches!$M$5:$M$6,MATCH($B10,Matches!$A$5:$A$6,0)))),"")</f>
        <v>0.2986</v>
      </c>
      <c r="N10" s="12">
        <f t="shared" si="1"/>
        <v>1</v>
      </c>
      <c r="O10" s="13">
        <f t="shared" si="2"/>
        <v>2.65333059</v>
      </c>
      <c r="P10" s="12">
        <f>IF($O10="","",IF(LEFT($B10,4)="DOTA",Config!$B$7,Config!$B$6)*$O10+$L10^2*$M10*(1-$M10)*($J10-$K10)^2)</f>
        <v>4.614253562</v>
      </c>
      <c r="Q10" s="8">
        <f t="array" ref="Q10">IFERROR(IF(INDEX(Matches!$N$5:$N$6,MATCH($B10,Matches!$A$5:$A$6,0))="","",IF($F10="A",INDEX(Matches!$N$5:$N$6,MATCH($B10,Matches!$A$5:$A$6,0)),1-INDEX(Matches!$N$5:$N$6,MATCH($B10,Matches!$A$5:$A$6,0)))),"")</f>
        <v>0.2986</v>
      </c>
      <c r="R10" s="12">
        <f t="array" ref="R10">IFERROR(N(INDEX(Matches!$P$5:$P$6,MATCH($B10,Matches!$A$5:$A$6,0))),0)</f>
        <v>1</v>
      </c>
      <c r="S10" s="13">
        <f t="shared" si="3"/>
        <v>2.65333059</v>
      </c>
      <c r="T10" s="12">
        <f>IF($S10="","",IF(LEFT($B10,4)="DOTA",Config!$B$7,Config!$B$6)*$S10+$L10^2*$Q10*(1-$Q10)*($J10-$K10)^2)</f>
        <v>4.614253562</v>
      </c>
      <c r="U10" s="8">
        <f t="array" ref="U10">IFERROR(IF(INDEX(Matches!$O$5:$O$6,MATCH($B10,Matches!$A$5:$A$6,0))="","",IF($F10="A",INDEX(Matches!$O$5:$O$6,MATCH($B10,Matches!$A$5:$A$6,0)),1-INDEX(Matches!$O$5:$O$6,MATCH($B10,Matches!$A$5:$A$6,0)))),"")</f>
        <v>0.2986</v>
      </c>
      <c r="V10" s="12">
        <f t="array" ref="V10">IFERROR(N(INDEX(Matches!$Q$5:$Q$6,MATCH($B10,Matches!$A$5:$A$6,0))),0)</f>
        <v>1</v>
      </c>
      <c r="W10" s="13">
        <f t="shared" si="4"/>
        <v>2.65333059</v>
      </c>
      <c r="X10" s="12">
        <f>IF($W10="","",IF(LEFT($B10,4)="DOTA",Config!$B$7,Config!$B$6)*$W10+$L10^2*$U10*(1-$U10)*($J10-$K10)^2)</f>
        <v>4.614253562</v>
      </c>
      <c r="Y10" s="13">
        <f t="shared" si="5"/>
        <v>2.65333059</v>
      </c>
      <c r="Z10" s="12">
        <f t="shared" si="6"/>
        <v>4.614253562</v>
      </c>
      <c r="AA10" s="13">
        <f t="shared" si="7"/>
        <v>5.30666118</v>
      </c>
      <c r="AB10" s="12">
        <f t="shared" si="8"/>
        <v>9.228507124</v>
      </c>
      <c r="AC10" s="13">
        <f t="shared" si="9"/>
        <v>7.95999177</v>
      </c>
      <c r="AD10" s="12">
        <f t="shared" si="10"/>
        <v>13.84276069</v>
      </c>
      <c r="AE10" s="13">
        <f t="shared" si="11"/>
        <v>3.6</v>
      </c>
      <c r="AF10" s="13">
        <f t="shared" si="12"/>
        <v>7.2</v>
      </c>
      <c r="AG10" s="13">
        <f t="shared" si="13"/>
        <v>10.8</v>
      </c>
      <c r="AH10" s="6" t="str">
        <f t="array" ref="AH10">TRIM(IF($G10&lt;Config!$B$9,"thin sample ("&amp;$G10&amp;" maps) · ","")&amp;IF($I10="","no PickFinder stats · ","")&amp;IFERROR(IF(INDEX(Players!$T$2:$T$19,MATCH($E10,Players!$A$2:$A$19,0))&lt;0.5,"new roster: "&amp;TEXT(INDEX(Players!$T$2:$T$19,MATCH($E10,Players!$A$2:$A$19,0)),"0%")&amp;" of his recent games with these teammates",""),""))</f>
        <v>new roster: 0% of his recent games with these teammates</v>
      </c>
      <c r="AI10" s="6" t="str">
        <f>IF($B10=Board!$B$2,COUNTIFS($B$2:$B$19,Board!$B$2,$Y$2:$Y$19,"&gt;"&amp;$Y10)+COUNTIFS($B$1:$B9,Board!$B$2,$Y$1:$Y9,$Y10)+1,"")</f>
        <v/>
      </c>
      <c r="AJ10" s="6" t="str">
        <f t="array" ref="AJ10">IFERROR(IF(INDEX(Matches!$D$5:$D$6,MATCH($B10,Matches!$A$5:$A$6,0))=3,"K12","K13"),"K13")</f>
        <v>K13</v>
      </c>
      <c r="AK10" s="13">
        <f t="shared" si="14"/>
        <v>7.95999177</v>
      </c>
    </row>
    <row r="11">
      <c r="A11" s="6" t="s">
        <v>343</v>
      </c>
      <c r="B11" s="6" t="s">
        <v>70</v>
      </c>
      <c r="C11" s="6" t="s">
        <v>85</v>
      </c>
      <c r="D11" s="6" t="s">
        <v>215</v>
      </c>
      <c r="E11" s="6" t="s">
        <v>214</v>
      </c>
      <c r="F11" s="6" t="str">
        <f t="array" ref="F11">IFERROR(IF($C11=INDEX(Matches!$S$5:$S$6,MATCH($B11,Matches!$A$5:$A$6,0)),"A",IF($C11=INDEX(Matches!$T$5:$T$6,MATCH($B11,Matches!$A$5:$A$6,0)),"B","")),"")</f>
        <v>A</v>
      </c>
      <c r="G11" s="6">
        <f t="array" ref="G11">IFERROR(INDEX(Players!$E$2:$E$19,MATCH($E11,Players!$A$2:$A$19,0)),0)</f>
        <v>30</v>
      </c>
      <c r="H11" s="8">
        <f t="array" ref="H11">IFERROR(INDEX(Players!$F$2:$F$19,MATCH($E11,Players!$A$2:$A$19,0)),"")</f>
        <v>0.7</v>
      </c>
      <c r="I11" s="12">
        <f t="array" ref="I11">IFERROR(INDEX(Players!$G$2:$G$19,MATCH($E11,Players!$A$2:$A$19,0)),"")</f>
        <v>5</v>
      </c>
      <c r="J11" s="13">
        <f>IF(OR($I11="",$H11=""),"",$I11*IF(LEFT($B11,4)="DOTA",Config!$B$5,Config!$B$4)/($H11*IF(LEFT($B11,4)="DOTA",Config!$B$5,Config!$B$4)+1-$H11))</f>
        <v>5.982674607</v>
      </c>
      <c r="K11" s="13">
        <f>IF(OR($I11="",$H11=""),"",$I11/($H11*IF(LEFT($B11,4)="DOTA",Config!$B$5,Config!$B$4)+1-$H11))</f>
        <v>2.707092583</v>
      </c>
      <c r="L11" s="12">
        <f t="array" ref="L11">IFERROR(INDEX(Matches!$R$5:$R$6,MATCH($B11,Matches!$A$5:$A$6,0)),1)</f>
        <v>1</v>
      </c>
      <c r="M11" s="8">
        <f t="array" ref="M11">IFERROR(IF(INDEX(Matches!$M$5:$M$6,MATCH($B11,Matches!$A$5:$A$6,0))="","",IF($F11="A",INDEX(Matches!$M$5:$M$6,MATCH($B11,Matches!$A$5:$A$6,0)),1-INDEX(Matches!$M$5:$M$6,MATCH($B11,Matches!$A$5:$A$6,0)))),"")</f>
        <v>0.6699</v>
      </c>
      <c r="N11" s="12">
        <f t="shared" si="1"/>
        <v>1</v>
      </c>
      <c r="O11" s="13">
        <f t="shared" si="2"/>
        <v>4.901404981</v>
      </c>
      <c r="P11" s="12">
        <f>IF($O11="","",IF(LEFT($B11,4)="DOTA",Config!$B$7,Config!$B$6)*$O11+$L11^2*$M11*(1-$M11)*($J11-$K11)^2)</f>
        <v>8.744469823</v>
      </c>
      <c r="Q11" s="8">
        <f t="array" ref="Q11">IFERROR(IF(INDEX(Matches!$N$5:$N$6,MATCH($B11,Matches!$A$5:$A$6,0))="","",IF($F11="A",INDEX(Matches!$N$5:$N$6,MATCH($B11,Matches!$A$5:$A$6,0)),1-INDEX(Matches!$N$5:$N$6,MATCH($B11,Matches!$A$5:$A$6,0)))),"")</f>
        <v>0.6699</v>
      </c>
      <c r="R11" s="12">
        <f t="array" ref="R11">IFERROR(N(INDEX(Matches!$P$5:$P$6,MATCH($B11,Matches!$A$5:$A$6,0))),0)</f>
        <v>1</v>
      </c>
      <c r="S11" s="13">
        <f t="shared" si="3"/>
        <v>4.901404981</v>
      </c>
      <c r="T11" s="12">
        <f>IF($S11="","",IF(LEFT($B11,4)="DOTA",Config!$B$7,Config!$B$6)*$S11+$L11^2*$Q11*(1-$Q11)*($J11-$K11)^2)</f>
        <v>8.744469823</v>
      </c>
      <c r="U11" s="8">
        <f t="array" ref="U11">IFERROR(IF(INDEX(Matches!$O$5:$O$6,MATCH($B11,Matches!$A$5:$A$6,0))="","",IF($F11="A",INDEX(Matches!$O$5:$O$6,MATCH($B11,Matches!$A$5:$A$6,0)),1-INDEX(Matches!$O$5:$O$6,MATCH($B11,Matches!$A$5:$A$6,0)))),"")</f>
        <v>0.6699</v>
      </c>
      <c r="V11" s="12">
        <f t="array" ref="V11">IFERROR(N(INDEX(Matches!$Q$5:$Q$6,MATCH($B11,Matches!$A$5:$A$6,0))),0)</f>
        <v>1</v>
      </c>
      <c r="W11" s="13">
        <f t="shared" si="4"/>
        <v>4.901404981</v>
      </c>
      <c r="X11" s="12">
        <f>IF($W11="","",IF(LEFT($B11,4)="DOTA",Config!$B$7,Config!$B$6)*$W11+$L11^2*$U11*(1-$U11)*($J11-$K11)^2)</f>
        <v>8.744469823</v>
      </c>
      <c r="Y11" s="13">
        <f t="shared" si="5"/>
        <v>4.901404981</v>
      </c>
      <c r="Z11" s="12">
        <f t="shared" si="6"/>
        <v>8.744469823</v>
      </c>
      <c r="AA11" s="13">
        <f t="shared" si="7"/>
        <v>9.802809962</v>
      </c>
      <c r="AB11" s="12">
        <f t="shared" si="8"/>
        <v>17.48893965</v>
      </c>
      <c r="AC11" s="13">
        <f t="shared" si="9"/>
        <v>14.70421494</v>
      </c>
      <c r="AD11" s="12">
        <f t="shared" si="10"/>
        <v>26.23340947</v>
      </c>
      <c r="AE11" s="13">
        <f t="shared" si="11"/>
        <v>5</v>
      </c>
      <c r="AF11" s="13">
        <f t="shared" si="12"/>
        <v>10</v>
      </c>
      <c r="AG11" s="13">
        <f t="shared" si="13"/>
        <v>15</v>
      </c>
      <c r="AH11" s="6" t="str">
        <f t="array" ref="AH11">TRIM(IF($G11&lt;Config!$B$9,"thin sample ("&amp;$G11&amp;" maps) · ","")&amp;IF($I11="","no PickFinder stats · ","")&amp;IFERROR(IF(INDEX(Players!$T$2:$T$19,MATCH($E11,Players!$A$2:$A$19,0))&lt;0.5,"new roster: "&amp;TEXT(INDEX(Players!$T$2:$T$19,MATCH($E11,Players!$A$2:$A$19,0)),"0%")&amp;" of his recent games with these teammates",""),""))</f>
        <v>new roster: 0% of his recent games with these teammates</v>
      </c>
      <c r="AI11" s="12">
        <f>IF($B11=Board!$B$2,COUNTIFS($B$2:$B$19,Board!$B$2,$Y$2:$Y$19,"&gt;"&amp;$Y11)+COUNTIFS($B$1:$B10,Board!$B$2,$Y$1:$Y10,$Y11)+1,"")</f>
        <v>1</v>
      </c>
      <c r="AJ11" s="6" t="str">
        <f t="array" ref="AJ11">IFERROR(IF(INDEX(Matches!$D$5:$D$6,MATCH($B11,Matches!$A$5:$A$6,0))=3,"K12","K13"),"K13")</f>
        <v>K13</v>
      </c>
      <c r="AK11" s="13">
        <f t="shared" si="14"/>
        <v>14.70421494</v>
      </c>
    </row>
    <row r="12">
      <c r="A12" s="6" t="s">
        <v>370</v>
      </c>
      <c r="B12" s="6" t="s">
        <v>70</v>
      </c>
      <c r="C12" s="6" t="s">
        <v>85</v>
      </c>
      <c r="D12" s="6" t="s">
        <v>219</v>
      </c>
      <c r="E12" s="6" t="s">
        <v>218</v>
      </c>
      <c r="F12" s="6" t="str">
        <f t="array" ref="F12">IFERROR(IF($C12=INDEX(Matches!$S$5:$S$6,MATCH($B12,Matches!$A$5:$A$6,0)),"A",IF($C12=INDEX(Matches!$T$5:$T$6,MATCH($B12,Matches!$A$5:$A$6,0)),"B","")),"")</f>
        <v>A</v>
      </c>
      <c r="G12" s="6">
        <f t="array" ref="G12">IFERROR(INDEX(Players!$E$2:$E$19,MATCH($E12,Players!$A$2:$A$19,0)),0)</f>
        <v>30</v>
      </c>
      <c r="H12" s="8">
        <f t="array" ref="H12">IFERROR(INDEX(Players!$F$2:$F$19,MATCH($E12,Players!$A$2:$A$19,0)),"")</f>
        <v>0.63</v>
      </c>
      <c r="I12" s="12">
        <f t="array" ref="I12">IFERROR(INDEX(Players!$G$2:$G$19,MATCH($E12,Players!$A$2:$A$19,0)),"")</f>
        <v>3.4</v>
      </c>
      <c r="J12" s="13">
        <f>IF(OR($I12="",$H12=""),"",$I12*IF(LEFT($B12,4)="DOTA",Config!$B$5,Config!$B$4)/($H12*IF(LEFT($B12,4)="DOTA",Config!$B$5,Config!$B$4)+1-$H12))</f>
        <v>4.263746241</v>
      </c>
      <c r="K12" s="13">
        <f>IF(OR($I12="",$H12=""),"",$I12/($H12*IF(LEFT($B12,4)="DOTA",Config!$B$5,Config!$B$4)+1-$H12))</f>
        <v>1.929296941</v>
      </c>
      <c r="L12" s="12">
        <f t="array" ref="L12">IFERROR(INDEX(Matches!$R$5:$R$6,MATCH($B12,Matches!$A$5:$A$6,0)),1)</f>
        <v>1</v>
      </c>
      <c r="M12" s="8">
        <f t="array" ref="M12">IFERROR(IF(INDEX(Matches!$M$5:$M$6,MATCH($B12,Matches!$A$5:$A$6,0))="","",IF($F12="A",INDEX(Matches!$M$5:$M$6,MATCH($B12,Matches!$A$5:$A$6,0)),1-INDEX(Matches!$M$5:$M$6,MATCH($B12,Matches!$A$5:$A$6,0)))),"")</f>
        <v>0.6699</v>
      </c>
      <c r="N12" s="12">
        <f t="shared" si="1"/>
        <v>1</v>
      </c>
      <c r="O12" s="13">
        <f t="shared" si="2"/>
        <v>3.493144527</v>
      </c>
      <c r="P12" s="12">
        <f>IF($O12="","",IF(LEFT($B12,4)="DOTA",Config!$B$7,Config!$B$6)*$O12+$L12^2*$M12*(1-$M12)*($J12-$K12)^2)</f>
        <v>5.746191514</v>
      </c>
      <c r="Q12" s="8">
        <f t="array" ref="Q12">IFERROR(IF(INDEX(Matches!$N$5:$N$6,MATCH($B12,Matches!$A$5:$A$6,0))="","",IF($F12="A",INDEX(Matches!$N$5:$N$6,MATCH($B12,Matches!$A$5:$A$6,0)),1-INDEX(Matches!$N$5:$N$6,MATCH($B12,Matches!$A$5:$A$6,0)))),"")</f>
        <v>0.6699</v>
      </c>
      <c r="R12" s="12">
        <f t="array" ref="R12">IFERROR(N(INDEX(Matches!$P$5:$P$6,MATCH($B12,Matches!$A$5:$A$6,0))),0)</f>
        <v>1</v>
      </c>
      <c r="S12" s="13">
        <f t="shared" si="3"/>
        <v>3.493144527</v>
      </c>
      <c r="T12" s="12">
        <f>IF($S12="","",IF(LEFT($B12,4)="DOTA",Config!$B$7,Config!$B$6)*$S12+$L12^2*$Q12*(1-$Q12)*($J12-$K12)^2)</f>
        <v>5.746191514</v>
      </c>
      <c r="U12" s="8">
        <f t="array" ref="U12">IFERROR(IF(INDEX(Matches!$O$5:$O$6,MATCH($B12,Matches!$A$5:$A$6,0))="","",IF($F12="A",INDEX(Matches!$O$5:$O$6,MATCH($B12,Matches!$A$5:$A$6,0)),1-INDEX(Matches!$O$5:$O$6,MATCH($B12,Matches!$A$5:$A$6,0)))),"")</f>
        <v>0.6699</v>
      </c>
      <c r="V12" s="12">
        <f t="array" ref="V12">IFERROR(N(INDEX(Matches!$Q$5:$Q$6,MATCH($B12,Matches!$A$5:$A$6,0))),0)</f>
        <v>1</v>
      </c>
      <c r="W12" s="13">
        <f t="shared" si="4"/>
        <v>3.493144527</v>
      </c>
      <c r="X12" s="12">
        <f>IF($W12="","",IF(LEFT($B12,4)="DOTA",Config!$B$7,Config!$B$6)*$W12+$L12^2*$U12*(1-$U12)*($J12-$K12)^2)</f>
        <v>5.746191514</v>
      </c>
      <c r="Y12" s="13">
        <f t="shared" si="5"/>
        <v>3.493144527</v>
      </c>
      <c r="Z12" s="12">
        <f t="shared" si="6"/>
        <v>5.746191514</v>
      </c>
      <c r="AA12" s="13">
        <f t="shared" si="7"/>
        <v>6.986289054</v>
      </c>
      <c r="AB12" s="12">
        <f t="shared" si="8"/>
        <v>11.49238303</v>
      </c>
      <c r="AC12" s="13">
        <f t="shared" si="9"/>
        <v>10.47943358</v>
      </c>
      <c r="AD12" s="12">
        <f t="shared" si="10"/>
        <v>17.23857454</v>
      </c>
      <c r="AE12" s="13">
        <f t="shared" si="11"/>
        <v>3.4</v>
      </c>
      <c r="AF12" s="13">
        <f t="shared" si="12"/>
        <v>6.8</v>
      </c>
      <c r="AG12" s="13">
        <f t="shared" si="13"/>
        <v>10.2</v>
      </c>
      <c r="AH12" s="6" t="str">
        <f t="array" ref="AH12">TRIM(IF($G12&lt;Config!$B$9,"thin sample ("&amp;$G12&amp;" maps) · ","")&amp;IF($I12="","no PickFinder stats · ","")&amp;IFERROR(IF(INDEX(Players!$T$2:$T$19,MATCH($E12,Players!$A$2:$A$19,0))&lt;0.5,"new roster: "&amp;TEXT(INDEX(Players!$T$2:$T$19,MATCH($E12,Players!$A$2:$A$19,0)),"0%")&amp;" of his recent games with these teammates",""),""))</f>
        <v>new roster: 0% of his recent games with these teammates</v>
      </c>
      <c r="AI12" s="12">
        <f>IF($B12=Board!$B$2,COUNTIFS($B$2:$B$19,Board!$B$2,$Y$2:$Y$19,"&gt;"&amp;$Y12)+COUNTIFS($B$1:$B11,Board!$B$2,$Y$1:$Y11,$Y12)+1,"")</f>
        <v>4</v>
      </c>
      <c r="AJ12" s="6" t="str">
        <f t="array" ref="AJ12">IFERROR(IF(INDEX(Matches!$D$5:$D$6,MATCH($B12,Matches!$A$5:$A$6,0))=3,"K12","K13"),"K13")</f>
        <v>K13</v>
      </c>
      <c r="AK12" s="13">
        <f t="shared" si="14"/>
        <v>10.47943358</v>
      </c>
    </row>
    <row r="13">
      <c r="A13" s="6" t="s">
        <v>375</v>
      </c>
      <c r="B13" s="6" t="s">
        <v>70</v>
      </c>
      <c r="C13" s="6" t="s">
        <v>85</v>
      </c>
      <c r="D13" s="6" t="s">
        <v>222</v>
      </c>
      <c r="E13" s="6" t="s">
        <v>221</v>
      </c>
      <c r="F13" s="6" t="str">
        <f t="array" ref="F13">IFERROR(IF($C13=INDEX(Matches!$S$5:$S$6,MATCH($B13,Matches!$A$5:$A$6,0)),"A",IF($C13=INDEX(Matches!$T$5:$T$6,MATCH($B13,Matches!$A$5:$A$6,0)),"B","")),"")</f>
        <v>A</v>
      </c>
      <c r="G13" s="6">
        <f t="array" ref="G13">IFERROR(INDEX(Players!$E$2:$E$19,MATCH($E13,Players!$A$2:$A$19,0)),0)</f>
        <v>30</v>
      </c>
      <c r="H13" s="8">
        <f t="array" ref="H13">IFERROR(INDEX(Players!$F$2:$F$19,MATCH($E13,Players!$A$2:$A$19,0)),"")</f>
        <v>0.63</v>
      </c>
      <c r="I13" s="12">
        <f t="array" ref="I13">IFERROR(INDEX(Players!$G$2:$G$19,MATCH($E13,Players!$A$2:$A$19,0)),"")</f>
        <v>2.3</v>
      </c>
      <c r="J13" s="13">
        <f>IF(OR($I13="",$H13=""),"",$I13*IF(LEFT($B13,4)="DOTA",Config!$B$5,Config!$B$4)/($H13*IF(LEFT($B13,4)="DOTA",Config!$B$5,Config!$B$4)+1-$H13))</f>
        <v>2.884298928</v>
      </c>
      <c r="K13" s="13">
        <f>IF(OR($I13="",$H13=""),"",$I13/($H13*IF(LEFT($B13,4)="DOTA",Config!$B$5,Config!$B$4)+1-$H13))</f>
        <v>1.305112637</v>
      </c>
      <c r="L13" s="12">
        <f t="array" ref="L13">IFERROR(INDEX(Matches!$R$5:$R$6,MATCH($B13,Matches!$A$5:$A$6,0)),1)</f>
        <v>1</v>
      </c>
      <c r="M13" s="8">
        <f t="array" ref="M13">IFERROR(IF(INDEX(Matches!$M$5:$M$6,MATCH($B13,Matches!$A$5:$A$6,0))="","",IF($F13="A",INDEX(Matches!$M$5:$M$6,MATCH($B13,Matches!$A$5:$A$6,0)),1-INDEX(Matches!$M$5:$M$6,MATCH($B13,Matches!$A$5:$A$6,0)))),"")</f>
        <v>0.6699</v>
      </c>
      <c r="N13" s="12">
        <f t="shared" si="1"/>
        <v>1</v>
      </c>
      <c r="O13" s="13">
        <f t="shared" si="2"/>
        <v>2.363009533</v>
      </c>
      <c r="P13" s="12">
        <f>IF($O13="","",IF(LEFT($B13,4)="DOTA",Config!$B$7,Config!$B$6)*$O13+$L13^2*$M13*(1-$M13)*($J13-$K13)^2)</f>
        <v>3.623382825</v>
      </c>
      <c r="Q13" s="8">
        <f t="array" ref="Q13">IFERROR(IF(INDEX(Matches!$N$5:$N$6,MATCH($B13,Matches!$A$5:$A$6,0))="","",IF($F13="A",INDEX(Matches!$N$5:$N$6,MATCH($B13,Matches!$A$5:$A$6,0)),1-INDEX(Matches!$N$5:$N$6,MATCH($B13,Matches!$A$5:$A$6,0)))),"")</f>
        <v>0.6699</v>
      </c>
      <c r="R13" s="12">
        <f t="array" ref="R13">IFERROR(N(INDEX(Matches!$P$5:$P$6,MATCH($B13,Matches!$A$5:$A$6,0))),0)</f>
        <v>1</v>
      </c>
      <c r="S13" s="13">
        <f t="shared" si="3"/>
        <v>2.363009533</v>
      </c>
      <c r="T13" s="12">
        <f>IF($S13="","",IF(LEFT($B13,4)="DOTA",Config!$B$7,Config!$B$6)*$S13+$L13^2*$Q13*(1-$Q13)*($J13-$K13)^2)</f>
        <v>3.623382825</v>
      </c>
      <c r="U13" s="8">
        <f t="array" ref="U13">IFERROR(IF(INDEX(Matches!$O$5:$O$6,MATCH($B13,Matches!$A$5:$A$6,0))="","",IF($F13="A",INDEX(Matches!$O$5:$O$6,MATCH($B13,Matches!$A$5:$A$6,0)),1-INDEX(Matches!$O$5:$O$6,MATCH($B13,Matches!$A$5:$A$6,0)))),"")</f>
        <v>0.6699</v>
      </c>
      <c r="V13" s="12">
        <f t="array" ref="V13">IFERROR(N(INDEX(Matches!$Q$5:$Q$6,MATCH($B13,Matches!$A$5:$A$6,0))),0)</f>
        <v>1</v>
      </c>
      <c r="W13" s="13">
        <f t="shared" si="4"/>
        <v>2.363009533</v>
      </c>
      <c r="X13" s="12">
        <f>IF($W13="","",IF(LEFT($B13,4)="DOTA",Config!$B$7,Config!$B$6)*$W13+$L13^2*$U13*(1-$U13)*($J13-$K13)^2)</f>
        <v>3.623382825</v>
      </c>
      <c r="Y13" s="13">
        <f t="shared" si="5"/>
        <v>2.363009533</v>
      </c>
      <c r="Z13" s="12">
        <f t="shared" si="6"/>
        <v>3.623382825</v>
      </c>
      <c r="AA13" s="13">
        <f t="shared" si="7"/>
        <v>4.726019066</v>
      </c>
      <c r="AB13" s="12">
        <f t="shared" si="8"/>
        <v>7.246765651</v>
      </c>
      <c r="AC13" s="13">
        <f t="shared" si="9"/>
        <v>7.089028599</v>
      </c>
      <c r="AD13" s="12">
        <f t="shared" si="10"/>
        <v>10.87014848</v>
      </c>
      <c r="AE13" s="13">
        <f t="shared" si="11"/>
        <v>2.3</v>
      </c>
      <c r="AF13" s="13">
        <f t="shared" si="12"/>
        <v>4.6</v>
      </c>
      <c r="AG13" s="13">
        <f t="shared" si="13"/>
        <v>6.9</v>
      </c>
      <c r="AH13" s="6" t="str">
        <f t="array" ref="AH13">TRIM(IF($G13&lt;Config!$B$9,"thin sample ("&amp;$G13&amp;" maps) · ","")&amp;IF($I13="","no PickFinder stats · ","")&amp;IFERROR(IF(INDEX(Players!$T$2:$T$19,MATCH($E13,Players!$A$2:$A$19,0))&lt;0.5,"new roster: "&amp;TEXT(INDEX(Players!$T$2:$T$19,MATCH($E13,Players!$A$2:$A$19,0)),"0%")&amp;" of his recent games with these teammates",""),""))</f>
        <v>new roster: 0% of his recent games with these teammates</v>
      </c>
      <c r="AI13" s="12">
        <f>IF($B13=Board!$B$2,COUNTIFS($B$2:$B$19,Board!$B$2,$Y$2:$Y$19,"&gt;"&amp;$Y13)+COUNTIFS($B$1:$B12,Board!$B$2,$Y$1:$Y12,$Y13)+1,"")</f>
        <v>7</v>
      </c>
      <c r="AJ13" s="6" t="str">
        <f t="array" ref="AJ13">IFERROR(IF(INDEX(Matches!$D$5:$D$6,MATCH($B13,Matches!$A$5:$A$6,0))=3,"K12","K13"),"K13")</f>
        <v>K13</v>
      </c>
      <c r="AK13" s="13">
        <f t="shared" si="14"/>
        <v>7.089028599</v>
      </c>
    </row>
    <row r="14">
      <c r="A14" s="6" t="s">
        <v>376</v>
      </c>
      <c r="B14" s="6" t="s">
        <v>70</v>
      </c>
      <c r="C14" s="6" t="s">
        <v>85</v>
      </c>
      <c r="D14" s="6" t="s">
        <v>225</v>
      </c>
      <c r="E14" s="6" t="s">
        <v>224</v>
      </c>
      <c r="F14" s="6" t="str">
        <f t="array" ref="F14">IFERROR(IF($C14=INDEX(Matches!$S$5:$S$6,MATCH($B14,Matches!$A$5:$A$6,0)),"A",IF($C14=INDEX(Matches!$T$5:$T$6,MATCH($B14,Matches!$A$5:$A$6,0)),"B","")),"")</f>
        <v>A</v>
      </c>
      <c r="G14" s="6">
        <f t="array" ref="G14">IFERROR(INDEX(Players!$E$2:$E$19,MATCH($E14,Players!$A$2:$A$19,0)),0)</f>
        <v>30</v>
      </c>
      <c r="H14" s="8">
        <f t="array" ref="H14">IFERROR(INDEX(Players!$F$2:$F$19,MATCH($E14,Players!$A$2:$A$19,0)),"")</f>
        <v>0.63</v>
      </c>
      <c r="I14" s="12">
        <f t="array" ref="I14">IFERROR(INDEX(Players!$G$2:$G$19,MATCH($E14,Players!$A$2:$A$19,0)),"")</f>
        <v>3.9</v>
      </c>
      <c r="J14" s="13">
        <f>IF(OR($I14="",$H14=""),"",$I14*IF(LEFT($B14,4)="DOTA",Config!$B$5,Config!$B$4)/($H14*IF(LEFT($B14,4)="DOTA",Config!$B$5,Config!$B$4)+1-$H14))</f>
        <v>4.890767747</v>
      </c>
      <c r="K14" s="13">
        <f>IF(OR($I14="",$H14=""),"",$I14/($H14*IF(LEFT($B14,4)="DOTA",Config!$B$5,Config!$B$4)+1-$H14))</f>
        <v>2.21301708</v>
      </c>
      <c r="L14" s="12">
        <f t="array" ref="L14">IFERROR(INDEX(Matches!$R$5:$R$6,MATCH($B14,Matches!$A$5:$A$6,0)),1)</f>
        <v>1</v>
      </c>
      <c r="M14" s="8">
        <f t="array" ref="M14">IFERROR(IF(INDEX(Matches!$M$5:$M$6,MATCH($B14,Matches!$A$5:$A$6,0))="","",IF($F14="A",INDEX(Matches!$M$5:$M$6,MATCH($B14,Matches!$A$5:$A$6,0)),1-INDEX(Matches!$M$5:$M$6,MATCH($B14,Matches!$A$5:$A$6,0)))),"")</f>
        <v>0.6699</v>
      </c>
      <c r="N14" s="12">
        <f t="shared" si="1"/>
        <v>1</v>
      </c>
      <c r="O14" s="13">
        <f t="shared" si="2"/>
        <v>4.006842252</v>
      </c>
      <c r="P14" s="12">
        <f>IF($O14="","",IF(LEFT($B14,4)="DOTA",Config!$B$7,Config!$B$6)*$O14+$L14^2*$M14*(1-$M14)*($J14-$K14)^2)</f>
        <v>6.79450273</v>
      </c>
      <c r="Q14" s="8">
        <f t="array" ref="Q14">IFERROR(IF(INDEX(Matches!$N$5:$N$6,MATCH($B14,Matches!$A$5:$A$6,0))="","",IF($F14="A",INDEX(Matches!$N$5:$N$6,MATCH($B14,Matches!$A$5:$A$6,0)),1-INDEX(Matches!$N$5:$N$6,MATCH($B14,Matches!$A$5:$A$6,0)))),"")</f>
        <v>0.6699</v>
      </c>
      <c r="R14" s="12">
        <f t="array" ref="R14">IFERROR(N(INDEX(Matches!$P$5:$P$6,MATCH($B14,Matches!$A$5:$A$6,0))),0)</f>
        <v>1</v>
      </c>
      <c r="S14" s="13">
        <f t="shared" si="3"/>
        <v>4.006842252</v>
      </c>
      <c r="T14" s="12">
        <f>IF($S14="","",IF(LEFT($B14,4)="DOTA",Config!$B$7,Config!$B$6)*$S14+$L14^2*$Q14*(1-$Q14)*($J14-$K14)^2)</f>
        <v>6.79450273</v>
      </c>
      <c r="U14" s="8">
        <f t="array" ref="U14">IFERROR(IF(INDEX(Matches!$O$5:$O$6,MATCH($B14,Matches!$A$5:$A$6,0))="","",IF($F14="A",INDEX(Matches!$O$5:$O$6,MATCH($B14,Matches!$A$5:$A$6,0)),1-INDEX(Matches!$O$5:$O$6,MATCH($B14,Matches!$A$5:$A$6,0)))),"")</f>
        <v>0.6699</v>
      </c>
      <c r="V14" s="12">
        <f t="array" ref="V14">IFERROR(N(INDEX(Matches!$Q$5:$Q$6,MATCH($B14,Matches!$A$5:$A$6,0))),0)</f>
        <v>1</v>
      </c>
      <c r="W14" s="13">
        <f t="shared" si="4"/>
        <v>4.006842252</v>
      </c>
      <c r="X14" s="12">
        <f>IF($W14="","",IF(LEFT($B14,4)="DOTA",Config!$B$7,Config!$B$6)*$W14+$L14^2*$U14*(1-$U14)*($J14-$K14)^2)</f>
        <v>6.79450273</v>
      </c>
      <c r="Y14" s="13">
        <f t="shared" si="5"/>
        <v>4.006842252</v>
      </c>
      <c r="Z14" s="12">
        <f t="shared" si="6"/>
        <v>6.79450273</v>
      </c>
      <c r="AA14" s="13">
        <f t="shared" si="7"/>
        <v>8.013684503</v>
      </c>
      <c r="AB14" s="12">
        <f t="shared" si="8"/>
        <v>13.58900546</v>
      </c>
      <c r="AC14" s="13">
        <f t="shared" si="9"/>
        <v>12.02052675</v>
      </c>
      <c r="AD14" s="12">
        <f t="shared" si="10"/>
        <v>20.38350819</v>
      </c>
      <c r="AE14" s="13">
        <f t="shared" si="11"/>
        <v>3.9</v>
      </c>
      <c r="AF14" s="13">
        <f t="shared" si="12"/>
        <v>7.8</v>
      </c>
      <c r="AG14" s="13">
        <f t="shared" si="13"/>
        <v>11.7</v>
      </c>
      <c r="AH14" s="6" t="str">
        <f t="array" ref="AH14">TRIM(IF($G14&lt;Config!$B$9,"thin sample ("&amp;$G14&amp;" maps) · ","")&amp;IF($I14="","no PickFinder stats · ","")&amp;IFERROR(IF(INDEX(Players!$T$2:$T$19,MATCH($E14,Players!$A$2:$A$19,0))&lt;0.5,"new roster: "&amp;TEXT(INDEX(Players!$T$2:$T$19,MATCH($E14,Players!$A$2:$A$19,0)),"0%")&amp;" of his recent games with these teammates",""),""))</f>
        <v>new roster: 0% of his recent games with these teammates</v>
      </c>
      <c r="AI14" s="12">
        <f>IF($B14=Board!$B$2,COUNTIFS($B$2:$B$19,Board!$B$2,$Y$2:$Y$19,"&gt;"&amp;$Y14)+COUNTIFS($B$1:$B13,Board!$B$2,$Y$1:$Y13,$Y14)+1,"")</f>
        <v>2</v>
      </c>
      <c r="AJ14" s="6" t="str">
        <f t="array" ref="AJ14">IFERROR(IF(INDEX(Matches!$D$5:$D$6,MATCH($B14,Matches!$A$5:$A$6,0))=3,"K12","K13"),"K13")</f>
        <v>K13</v>
      </c>
      <c r="AK14" s="13">
        <f t="shared" si="14"/>
        <v>12.02052675</v>
      </c>
    </row>
    <row r="15">
      <c r="A15" s="6" t="s">
        <v>377</v>
      </c>
      <c r="B15" s="6" t="s">
        <v>70</v>
      </c>
      <c r="C15" s="6" t="s">
        <v>86</v>
      </c>
      <c r="D15" s="6" t="s">
        <v>228</v>
      </c>
      <c r="E15" s="6" t="s">
        <v>227</v>
      </c>
      <c r="F15" s="6" t="str">
        <f t="array" ref="F15">IFERROR(IF($C15=INDEX(Matches!$S$5:$S$6,MATCH($B15,Matches!$A$5:$A$6,0)),"A",IF($C15=INDEX(Matches!$T$5:$T$6,MATCH($B15,Matches!$A$5:$A$6,0)),"B","")),"")</f>
        <v>B</v>
      </c>
      <c r="G15" s="6">
        <f t="array" ref="G15">IFERROR(INDEX(Players!$E$2:$E$19,MATCH($E15,Players!$A$2:$A$19,0)),0)</f>
        <v>30</v>
      </c>
      <c r="H15" s="8">
        <f t="array" ref="H15">IFERROR(INDEX(Players!$F$2:$F$19,MATCH($E15,Players!$A$2:$A$19,0)),"")</f>
        <v>0.43</v>
      </c>
      <c r="I15" s="12">
        <f t="array" ref="I15">IFERROR(INDEX(Players!$G$2:$G$19,MATCH($E15,Players!$A$2:$A$19,0)),"")</f>
        <v>3.8</v>
      </c>
      <c r="J15" s="13">
        <f>IF(OR($I15="",$H15=""),"",$I15*IF(LEFT($B15,4)="DOTA",Config!$B$5,Config!$B$4)/($H15*IF(LEFT($B15,4)="DOTA",Config!$B$5,Config!$B$4)+1-$H15))</f>
        <v>5.523909755</v>
      </c>
      <c r="K15" s="13">
        <f>IF(OR($I15="",$H15=""),"",$I15/($H15*IF(LEFT($B15,4)="DOTA",Config!$B$5,Config!$B$4)+1-$H15))</f>
        <v>2.499506676</v>
      </c>
      <c r="L15" s="12">
        <f t="array" ref="L15">IFERROR(INDEX(Matches!$R$5:$R$6,MATCH($B15,Matches!$A$5:$A$6,0)),1)</f>
        <v>1</v>
      </c>
      <c r="M15" s="8">
        <f t="array" ref="M15">IFERROR(IF(INDEX(Matches!$M$5:$M$6,MATCH($B15,Matches!$A$5:$A$6,0))="","",IF($F15="A",INDEX(Matches!$M$5:$M$6,MATCH($B15,Matches!$A$5:$A$6,0)),1-INDEX(Matches!$M$5:$M$6,MATCH($B15,Matches!$A$5:$A$6,0)))),"")</f>
        <v>0.3301</v>
      </c>
      <c r="N15" s="12">
        <f t="shared" si="1"/>
        <v>1</v>
      </c>
      <c r="O15" s="13">
        <f t="shared" si="2"/>
        <v>3.497862132</v>
      </c>
      <c r="P15" s="12">
        <f>IF($O15="","",IF(LEFT($B15,4)="DOTA",Config!$B$7,Config!$B$6)*$O15+$L15^2*$M15*(1-$M15)*($J15-$K15)^2)</f>
        <v>6.56993647</v>
      </c>
      <c r="Q15" s="8">
        <f t="array" ref="Q15">IFERROR(IF(INDEX(Matches!$N$5:$N$6,MATCH($B15,Matches!$A$5:$A$6,0))="","",IF($F15="A",INDEX(Matches!$N$5:$N$6,MATCH($B15,Matches!$A$5:$A$6,0)),1-INDEX(Matches!$N$5:$N$6,MATCH($B15,Matches!$A$5:$A$6,0)))),"")</f>
        <v>0.3301</v>
      </c>
      <c r="R15" s="12">
        <f t="array" ref="R15">IFERROR(N(INDEX(Matches!$P$5:$P$6,MATCH($B15,Matches!$A$5:$A$6,0))),0)</f>
        <v>1</v>
      </c>
      <c r="S15" s="13">
        <f t="shared" si="3"/>
        <v>3.497862132</v>
      </c>
      <c r="T15" s="12">
        <f>IF($S15="","",IF(LEFT($B15,4)="DOTA",Config!$B$7,Config!$B$6)*$S15+$L15^2*$Q15*(1-$Q15)*($J15-$K15)^2)</f>
        <v>6.56993647</v>
      </c>
      <c r="U15" s="8">
        <f t="array" ref="U15">IFERROR(IF(INDEX(Matches!$O$5:$O$6,MATCH($B15,Matches!$A$5:$A$6,0))="","",IF($F15="A",INDEX(Matches!$O$5:$O$6,MATCH($B15,Matches!$A$5:$A$6,0)),1-INDEX(Matches!$O$5:$O$6,MATCH($B15,Matches!$A$5:$A$6,0)))),"")</f>
        <v>0.3301</v>
      </c>
      <c r="V15" s="12">
        <f t="array" ref="V15">IFERROR(N(INDEX(Matches!$Q$5:$Q$6,MATCH($B15,Matches!$A$5:$A$6,0))),0)</f>
        <v>1</v>
      </c>
      <c r="W15" s="13">
        <f t="shared" si="4"/>
        <v>3.497862132</v>
      </c>
      <c r="X15" s="12">
        <f>IF($W15="","",IF(LEFT($B15,4)="DOTA",Config!$B$7,Config!$B$6)*$W15+$L15^2*$U15*(1-$U15)*($J15-$K15)^2)</f>
        <v>6.56993647</v>
      </c>
      <c r="Y15" s="13">
        <f t="shared" si="5"/>
        <v>3.497862132</v>
      </c>
      <c r="Z15" s="12">
        <f t="shared" si="6"/>
        <v>6.56993647</v>
      </c>
      <c r="AA15" s="13">
        <f t="shared" si="7"/>
        <v>6.995724265</v>
      </c>
      <c r="AB15" s="12">
        <f t="shared" si="8"/>
        <v>13.13987294</v>
      </c>
      <c r="AC15" s="13">
        <f t="shared" si="9"/>
        <v>10.4935864</v>
      </c>
      <c r="AD15" s="12">
        <f t="shared" si="10"/>
        <v>19.70980941</v>
      </c>
      <c r="AE15" s="13">
        <f t="shared" si="11"/>
        <v>3.8</v>
      </c>
      <c r="AF15" s="13">
        <f t="shared" si="12"/>
        <v>7.6</v>
      </c>
      <c r="AG15" s="13">
        <f t="shared" si="13"/>
        <v>11.4</v>
      </c>
      <c r="AH15" s="6" t="str">
        <f t="array" ref="AH15">TRIM(IF($G15&lt;Config!$B$9,"thin sample ("&amp;$G15&amp;" maps) · ","")&amp;IF($I15="","no PickFinder stats · ","")&amp;IFERROR(IF(INDEX(Players!$T$2:$T$19,MATCH($E15,Players!$A$2:$A$19,0))&lt;0.5,"new roster: "&amp;TEXT(INDEX(Players!$T$2:$T$19,MATCH($E15,Players!$A$2:$A$19,0)),"0%")&amp;" of his recent games with these teammates",""),""))</f>
        <v>new roster: 0% of his recent games with these teammates</v>
      </c>
      <c r="AI15" s="12">
        <f>IF($B15=Board!$B$2,COUNTIFS($B$2:$B$19,Board!$B$2,$Y$2:$Y$19,"&gt;"&amp;$Y15)+COUNTIFS($B$1:$B14,Board!$B$2,$Y$1:$Y14,$Y15)+1,"")</f>
        <v>3</v>
      </c>
      <c r="AJ15" s="6" t="str">
        <f t="array" ref="AJ15">IFERROR(IF(INDEX(Matches!$D$5:$D$6,MATCH($B15,Matches!$A$5:$A$6,0))=3,"K12","K13"),"K13")</f>
        <v>K13</v>
      </c>
      <c r="AK15" s="13">
        <f t="shared" si="14"/>
        <v>10.4935864</v>
      </c>
    </row>
    <row r="16">
      <c r="A16" s="6" t="s">
        <v>378</v>
      </c>
      <c r="B16" s="6" t="s">
        <v>70</v>
      </c>
      <c r="C16" s="6" t="s">
        <v>86</v>
      </c>
      <c r="D16" s="6" t="s">
        <v>232</v>
      </c>
      <c r="E16" s="6" t="s">
        <v>231</v>
      </c>
      <c r="F16" s="6" t="str">
        <f t="array" ref="F16">IFERROR(IF($C16=INDEX(Matches!$S$5:$S$6,MATCH($B16,Matches!$A$5:$A$6,0)),"A",IF($C16=INDEX(Matches!$T$5:$T$6,MATCH($B16,Matches!$A$5:$A$6,0)),"B","")),"")</f>
        <v>B</v>
      </c>
      <c r="G16" s="6">
        <f t="array" ref="G16">IFERROR(INDEX(Players!$E$2:$E$19,MATCH($E16,Players!$A$2:$A$19,0)),0)</f>
        <v>30</v>
      </c>
      <c r="H16" s="8">
        <f t="array" ref="H16">IFERROR(INDEX(Players!$F$2:$F$19,MATCH($E16,Players!$A$2:$A$19,0)),"")</f>
        <v>0.43</v>
      </c>
      <c r="I16" s="12">
        <f t="array" ref="I16">IFERROR(INDEX(Players!$G$2:$G$19,MATCH($E16,Players!$A$2:$A$19,0)),"")</f>
        <v>2.1</v>
      </c>
      <c r="J16" s="13">
        <f>IF(OR($I16="",$H16=""),"",$I16*IF(LEFT($B16,4)="DOTA",Config!$B$5,Config!$B$4)/($H16*IF(LEFT($B16,4)="DOTA",Config!$B$5,Config!$B$4)+1-$H16))</f>
        <v>3.05268697</v>
      </c>
      <c r="K16" s="13">
        <f>IF(OR($I16="",$H16=""),"",$I16/($H16*IF(LEFT($B16,4)="DOTA",Config!$B$5,Config!$B$4)+1-$H16))</f>
        <v>1.381306321</v>
      </c>
      <c r="L16" s="12">
        <f t="array" ref="L16">IFERROR(INDEX(Matches!$R$5:$R$6,MATCH($B16,Matches!$A$5:$A$6,0)),1)</f>
        <v>1</v>
      </c>
      <c r="M16" s="8">
        <f t="array" ref="M16">IFERROR(IF(INDEX(Matches!$M$5:$M$6,MATCH($B16,Matches!$A$5:$A$6,0))="","",IF($F16="A",INDEX(Matches!$M$5:$M$6,MATCH($B16,Matches!$A$5:$A$6,0)),1-INDEX(Matches!$M$5:$M$6,MATCH($B16,Matches!$A$5:$A$6,0)))),"")</f>
        <v>0.3301</v>
      </c>
      <c r="N16" s="12">
        <f t="shared" si="1"/>
        <v>1</v>
      </c>
      <c r="O16" s="13">
        <f t="shared" si="2"/>
        <v>1.933029073</v>
      </c>
      <c r="P16" s="12">
        <f>IF($O16="","",IF(LEFT($B16,4)="DOTA",Config!$B$7,Config!$B$6)*$O16+$L16^2*$M16*(1-$M16)*($J16-$K16)^2)</f>
        <v>3.130678531</v>
      </c>
      <c r="Q16" s="8">
        <f t="array" ref="Q16">IFERROR(IF(INDEX(Matches!$N$5:$N$6,MATCH($B16,Matches!$A$5:$A$6,0))="","",IF($F16="A",INDEX(Matches!$N$5:$N$6,MATCH($B16,Matches!$A$5:$A$6,0)),1-INDEX(Matches!$N$5:$N$6,MATCH($B16,Matches!$A$5:$A$6,0)))),"")</f>
        <v>0.3301</v>
      </c>
      <c r="R16" s="12">
        <f t="array" ref="R16">IFERROR(N(INDEX(Matches!$P$5:$P$6,MATCH($B16,Matches!$A$5:$A$6,0))),0)</f>
        <v>1</v>
      </c>
      <c r="S16" s="13">
        <f t="shared" si="3"/>
        <v>1.933029073</v>
      </c>
      <c r="T16" s="12">
        <f>IF($S16="","",IF(LEFT($B16,4)="DOTA",Config!$B$7,Config!$B$6)*$S16+$L16^2*$Q16*(1-$Q16)*($J16-$K16)^2)</f>
        <v>3.130678531</v>
      </c>
      <c r="U16" s="8">
        <f t="array" ref="U16">IFERROR(IF(INDEX(Matches!$O$5:$O$6,MATCH($B16,Matches!$A$5:$A$6,0))="","",IF($F16="A",INDEX(Matches!$O$5:$O$6,MATCH($B16,Matches!$A$5:$A$6,0)),1-INDEX(Matches!$O$5:$O$6,MATCH($B16,Matches!$A$5:$A$6,0)))),"")</f>
        <v>0.3301</v>
      </c>
      <c r="V16" s="12">
        <f t="array" ref="V16">IFERROR(N(INDEX(Matches!$Q$5:$Q$6,MATCH($B16,Matches!$A$5:$A$6,0))),0)</f>
        <v>1</v>
      </c>
      <c r="W16" s="13">
        <f t="shared" si="4"/>
        <v>1.933029073</v>
      </c>
      <c r="X16" s="12">
        <f>IF($W16="","",IF(LEFT($B16,4)="DOTA",Config!$B$7,Config!$B$6)*$W16+$L16^2*$U16*(1-$U16)*($J16-$K16)^2)</f>
        <v>3.130678531</v>
      </c>
      <c r="Y16" s="13">
        <f t="shared" si="5"/>
        <v>1.933029073</v>
      </c>
      <c r="Z16" s="12">
        <f t="shared" si="6"/>
        <v>3.130678531</v>
      </c>
      <c r="AA16" s="13">
        <f t="shared" si="7"/>
        <v>3.866058146</v>
      </c>
      <c r="AB16" s="12">
        <f t="shared" si="8"/>
        <v>6.261357062</v>
      </c>
      <c r="AC16" s="13">
        <f t="shared" si="9"/>
        <v>5.79908722</v>
      </c>
      <c r="AD16" s="12">
        <f t="shared" si="10"/>
        <v>9.392035594</v>
      </c>
      <c r="AE16" s="13">
        <f t="shared" si="11"/>
        <v>2.1</v>
      </c>
      <c r="AF16" s="13">
        <f t="shared" si="12"/>
        <v>4.2</v>
      </c>
      <c r="AG16" s="13">
        <f t="shared" si="13"/>
        <v>6.3</v>
      </c>
      <c r="AH16" s="6" t="str">
        <f t="array" ref="AH16">TRIM(IF($G16&lt;Config!$B$9,"thin sample ("&amp;$G16&amp;" maps) · ","")&amp;IF($I16="","no PickFinder stats · ","")&amp;IFERROR(IF(INDEX(Players!$T$2:$T$19,MATCH($E16,Players!$A$2:$A$19,0))&lt;0.5,"new roster: "&amp;TEXT(INDEX(Players!$T$2:$T$19,MATCH($E16,Players!$A$2:$A$19,0)),"0%")&amp;" of his recent games with these teammates",""),""))</f>
        <v>new roster: 0% of his recent games with these teammates</v>
      </c>
      <c r="AI16" s="12">
        <f>IF($B16=Board!$B$2,COUNTIFS($B$2:$B$19,Board!$B$2,$Y$2:$Y$19,"&gt;"&amp;$Y16)+COUNTIFS($B$1:$B15,Board!$B$2,$Y$1:$Y15,$Y16)+1,"")</f>
        <v>8</v>
      </c>
      <c r="AJ16" s="6" t="str">
        <f t="array" ref="AJ16">IFERROR(IF(INDEX(Matches!$D$5:$D$6,MATCH($B16,Matches!$A$5:$A$6,0))=3,"K12","K13"),"K13")</f>
        <v>K13</v>
      </c>
      <c r="AK16" s="13">
        <f t="shared" si="14"/>
        <v>5.79908722</v>
      </c>
    </row>
    <row r="17">
      <c r="A17" s="6" t="s">
        <v>391</v>
      </c>
      <c r="B17" s="6" t="s">
        <v>70</v>
      </c>
      <c r="C17" s="6" t="s">
        <v>86</v>
      </c>
      <c r="D17" s="6" t="s">
        <v>235</v>
      </c>
      <c r="E17" s="6" t="s">
        <v>234</v>
      </c>
      <c r="F17" s="6" t="str">
        <f t="array" ref="F17">IFERROR(IF($C17=INDEX(Matches!$S$5:$S$6,MATCH($B17,Matches!$A$5:$A$6,0)),"A",IF($C17=INDEX(Matches!$T$5:$T$6,MATCH($B17,Matches!$A$5:$A$6,0)),"B","")),"")</f>
        <v>B</v>
      </c>
      <c r="G17" s="6">
        <f t="array" ref="G17">IFERROR(INDEX(Players!$E$2:$E$19,MATCH($E17,Players!$A$2:$A$19,0)),0)</f>
        <v>30</v>
      </c>
      <c r="H17" s="8">
        <f t="array" ref="H17">IFERROR(INDEX(Players!$F$2:$F$19,MATCH($E17,Players!$A$2:$A$19,0)),"")</f>
        <v>0.5</v>
      </c>
      <c r="I17" s="12">
        <f t="array" ref="I17">IFERROR(INDEX(Players!$G$2:$G$19,MATCH($E17,Players!$A$2:$A$19,0)),"")</f>
        <v>3.4</v>
      </c>
      <c r="J17" s="13">
        <f>IF(OR($I17="",$H17=""),"",$I17*IF(LEFT($B17,4)="DOTA",Config!$B$5,Config!$B$4)/($H17*IF(LEFT($B17,4)="DOTA",Config!$B$5,Config!$B$4)+1-$H17))</f>
        <v>4.681619938</v>
      </c>
      <c r="K17" s="13">
        <f>IF(OR($I17="",$H17=""),"",$I17/($H17*IF(LEFT($B17,4)="DOTA",Config!$B$5,Config!$B$4)+1-$H17))</f>
        <v>2.118380062</v>
      </c>
      <c r="L17" s="12">
        <f t="array" ref="L17">IFERROR(INDEX(Matches!$R$5:$R$6,MATCH($B17,Matches!$A$5:$A$6,0)),1)</f>
        <v>1</v>
      </c>
      <c r="M17" s="8">
        <f t="array" ref="M17">IFERROR(IF(INDEX(Matches!$M$5:$M$6,MATCH($B17,Matches!$A$5:$A$6,0))="","",IF($F17="A",INDEX(Matches!$M$5:$M$6,MATCH($B17,Matches!$A$5:$A$6,0)),1-INDEX(Matches!$M$5:$M$6,MATCH($B17,Matches!$A$5:$A$6,0)))),"")</f>
        <v>0.3301</v>
      </c>
      <c r="N17" s="12">
        <f t="shared" si="1"/>
        <v>1</v>
      </c>
      <c r="O17" s="13">
        <f t="shared" si="2"/>
        <v>2.964505545</v>
      </c>
      <c r="P17" s="12">
        <f>IF($O17="","",IF(LEFT($B17,4)="DOTA",Config!$B$7,Config!$B$6)*$O17+$L17^2*$M17*(1-$M17)*($J17-$K17)^2)</f>
        <v>5.306751453</v>
      </c>
      <c r="Q17" s="8">
        <f t="array" ref="Q17">IFERROR(IF(INDEX(Matches!$N$5:$N$6,MATCH($B17,Matches!$A$5:$A$6,0))="","",IF($F17="A",INDEX(Matches!$N$5:$N$6,MATCH($B17,Matches!$A$5:$A$6,0)),1-INDEX(Matches!$N$5:$N$6,MATCH($B17,Matches!$A$5:$A$6,0)))),"")</f>
        <v>0.3301</v>
      </c>
      <c r="R17" s="12">
        <f t="array" ref="R17">IFERROR(N(INDEX(Matches!$P$5:$P$6,MATCH($B17,Matches!$A$5:$A$6,0))),0)</f>
        <v>1</v>
      </c>
      <c r="S17" s="13">
        <f t="shared" si="3"/>
        <v>2.964505545</v>
      </c>
      <c r="T17" s="12">
        <f>IF($S17="","",IF(LEFT($B17,4)="DOTA",Config!$B$7,Config!$B$6)*$S17+$L17^2*$Q17*(1-$Q17)*($J17-$K17)^2)</f>
        <v>5.306751453</v>
      </c>
      <c r="U17" s="8">
        <f t="array" ref="U17">IFERROR(IF(INDEX(Matches!$O$5:$O$6,MATCH($B17,Matches!$A$5:$A$6,0))="","",IF($F17="A",INDEX(Matches!$O$5:$O$6,MATCH($B17,Matches!$A$5:$A$6,0)),1-INDEX(Matches!$O$5:$O$6,MATCH($B17,Matches!$A$5:$A$6,0)))),"")</f>
        <v>0.3301</v>
      </c>
      <c r="V17" s="12">
        <f t="array" ref="V17">IFERROR(N(INDEX(Matches!$Q$5:$Q$6,MATCH($B17,Matches!$A$5:$A$6,0))),0)</f>
        <v>1</v>
      </c>
      <c r="W17" s="13">
        <f t="shared" si="4"/>
        <v>2.964505545</v>
      </c>
      <c r="X17" s="12">
        <f>IF($W17="","",IF(LEFT($B17,4)="DOTA",Config!$B$7,Config!$B$6)*$W17+$L17^2*$U17*(1-$U17)*($J17-$K17)^2)</f>
        <v>5.306751453</v>
      </c>
      <c r="Y17" s="13">
        <f t="shared" si="5"/>
        <v>2.964505545</v>
      </c>
      <c r="Z17" s="12">
        <f t="shared" si="6"/>
        <v>5.306751453</v>
      </c>
      <c r="AA17" s="13">
        <f t="shared" si="7"/>
        <v>5.92901109</v>
      </c>
      <c r="AB17" s="12">
        <f t="shared" si="8"/>
        <v>10.61350291</v>
      </c>
      <c r="AC17" s="13">
        <f t="shared" si="9"/>
        <v>8.893516636</v>
      </c>
      <c r="AD17" s="12">
        <f t="shared" si="10"/>
        <v>15.92025436</v>
      </c>
      <c r="AE17" s="13">
        <f t="shared" si="11"/>
        <v>3.4</v>
      </c>
      <c r="AF17" s="13">
        <f t="shared" si="12"/>
        <v>6.8</v>
      </c>
      <c r="AG17" s="13">
        <f t="shared" si="13"/>
        <v>10.2</v>
      </c>
      <c r="AH17" s="6" t="str">
        <f t="array" ref="AH17">TRIM(IF($G17&lt;Config!$B$9,"thin sample ("&amp;$G17&amp;" maps) · ","")&amp;IF($I17="","no PickFinder stats · ","")&amp;IFERROR(IF(INDEX(Players!$T$2:$T$19,MATCH($E17,Players!$A$2:$A$19,0))&lt;0.5,"new roster: "&amp;TEXT(INDEX(Players!$T$2:$T$19,MATCH($E17,Players!$A$2:$A$19,0)),"0%")&amp;" of his recent games with these teammates",""),""))</f>
        <v>new roster: 0% of his recent games with these teammates</v>
      </c>
      <c r="AI17" s="12">
        <f>IF($B17=Board!$B$2,COUNTIFS($B$2:$B$19,Board!$B$2,$Y$2:$Y$19,"&gt;"&amp;$Y17)+COUNTIFS($B$1:$B16,Board!$B$2,$Y$1:$Y16,$Y17)+1,"")</f>
        <v>5</v>
      </c>
      <c r="AJ17" s="6" t="str">
        <f t="array" ref="AJ17">IFERROR(IF(INDEX(Matches!$D$5:$D$6,MATCH($B17,Matches!$A$5:$A$6,0))=3,"K12","K13"),"K13")</f>
        <v>K13</v>
      </c>
      <c r="AK17" s="13">
        <f t="shared" si="14"/>
        <v>8.893516636</v>
      </c>
    </row>
    <row r="18">
      <c r="A18" s="6" t="s">
        <v>393</v>
      </c>
      <c r="B18" s="6" t="s">
        <v>70</v>
      </c>
      <c r="C18" s="6" t="s">
        <v>86</v>
      </c>
      <c r="D18" s="6" t="s">
        <v>238</v>
      </c>
      <c r="E18" s="6" t="s">
        <v>237</v>
      </c>
      <c r="F18" s="6" t="str">
        <f t="array" ref="F18">IFERROR(IF($C18=INDEX(Matches!$S$5:$S$6,MATCH($B18,Matches!$A$5:$A$6,0)),"A",IF($C18=INDEX(Matches!$T$5:$T$6,MATCH($B18,Matches!$A$5:$A$6,0)),"B","")),"")</f>
        <v>B</v>
      </c>
      <c r="G18" s="6">
        <f t="array" ref="G18">IFERROR(INDEX(Players!$E$2:$E$19,MATCH($E18,Players!$A$2:$A$19,0)),0)</f>
        <v>30</v>
      </c>
      <c r="H18" s="8">
        <f t="array" ref="H18">IFERROR(INDEX(Players!$F$2:$F$19,MATCH($E18,Players!$A$2:$A$19,0)),"")</f>
        <v>0.43</v>
      </c>
      <c r="I18" s="12">
        <f t="array" ref="I18">IFERROR(INDEX(Players!$G$2:$G$19,MATCH($E18,Players!$A$2:$A$19,0)),"")</f>
        <v>2.7</v>
      </c>
      <c r="J18" s="13">
        <f>IF(OR($I18="",$H18=""),"",$I18*IF(LEFT($B18,4)="DOTA",Config!$B$5,Config!$B$4)/($H18*IF(LEFT($B18,4)="DOTA",Config!$B$5,Config!$B$4)+1-$H18))</f>
        <v>3.924883247</v>
      </c>
      <c r="K18" s="13">
        <f>IF(OR($I18="",$H18=""),"",$I18/($H18*IF(LEFT($B18,4)="DOTA",Config!$B$5,Config!$B$4)+1-$H18))</f>
        <v>1.77596527</v>
      </c>
      <c r="L18" s="12">
        <f t="array" ref="L18">IFERROR(INDEX(Matches!$R$5:$R$6,MATCH($B18,Matches!$A$5:$A$6,0)),1)</f>
        <v>1</v>
      </c>
      <c r="M18" s="8">
        <f t="array" ref="M18">IFERROR(IF(INDEX(Matches!$M$5:$M$6,MATCH($B18,Matches!$A$5:$A$6,0))="","",IF($F18="A",INDEX(Matches!$M$5:$M$6,MATCH($B18,Matches!$A$5:$A$6,0)),1-INDEX(Matches!$M$5:$M$6,MATCH($B18,Matches!$A$5:$A$6,0)))),"")</f>
        <v>0.3301</v>
      </c>
      <c r="N18" s="12">
        <f t="shared" si="1"/>
        <v>1</v>
      </c>
      <c r="O18" s="13">
        <f t="shared" si="2"/>
        <v>2.485323094</v>
      </c>
      <c r="P18" s="12">
        <f>IF($O18="","",IF(LEFT($B18,4)="DOTA",Config!$B$7,Config!$B$6)*$O18+$L18^2*$M18*(1-$M18)*($J18-$K18)^2)</f>
        <v>4.25208328</v>
      </c>
      <c r="Q18" s="8">
        <f t="array" ref="Q18">IFERROR(IF(INDEX(Matches!$N$5:$N$6,MATCH($B18,Matches!$A$5:$A$6,0))="","",IF($F18="A",INDEX(Matches!$N$5:$N$6,MATCH($B18,Matches!$A$5:$A$6,0)),1-INDEX(Matches!$N$5:$N$6,MATCH($B18,Matches!$A$5:$A$6,0)))),"")</f>
        <v>0.3301</v>
      </c>
      <c r="R18" s="12">
        <f t="array" ref="R18">IFERROR(N(INDEX(Matches!$P$5:$P$6,MATCH($B18,Matches!$A$5:$A$6,0))),0)</f>
        <v>1</v>
      </c>
      <c r="S18" s="13">
        <f t="shared" si="3"/>
        <v>2.485323094</v>
      </c>
      <c r="T18" s="12">
        <f>IF($S18="","",IF(LEFT($B18,4)="DOTA",Config!$B$7,Config!$B$6)*$S18+$L18^2*$Q18*(1-$Q18)*($J18-$K18)^2)</f>
        <v>4.25208328</v>
      </c>
      <c r="U18" s="8">
        <f t="array" ref="U18">IFERROR(IF(INDEX(Matches!$O$5:$O$6,MATCH($B18,Matches!$A$5:$A$6,0))="","",IF($F18="A",INDEX(Matches!$O$5:$O$6,MATCH($B18,Matches!$A$5:$A$6,0)),1-INDEX(Matches!$O$5:$O$6,MATCH($B18,Matches!$A$5:$A$6,0)))),"")</f>
        <v>0.3301</v>
      </c>
      <c r="V18" s="12">
        <f t="array" ref="V18">IFERROR(N(INDEX(Matches!$Q$5:$Q$6,MATCH($B18,Matches!$A$5:$A$6,0))),0)</f>
        <v>1</v>
      </c>
      <c r="W18" s="13">
        <f t="shared" si="4"/>
        <v>2.485323094</v>
      </c>
      <c r="X18" s="12">
        <f>IF($W18="","",IF(LEFT($B18,4)="DOTA",Config!$B$7,Config!$B$6)*$W18+$L18^2*$U18*(1-$U18)*($J18-$K18)^2)</f>
        <v>4.25208328</v>
      </c>
      <c r="Y18" s="13">
        <f t="shared" si="5"/>
        <v>2.485323094</v>
      </c>
      <c r="Z18" s="12">
        <f t="shared" si="6"/>
        <v>4.25208328</v>
      </c>
      <c r="AA18" s="13">
        <f t="shared" si="7"/>
        <v>4.970646188</v>
      </c>
      <c r="AB18" s="12">
        <f t="shared" si="8"/>
        <v>8.50416656</v>
      </c>
      <c r="AC18" s="13">
        <f t="shared" si="9"/>
        <v>7.455969282</v>
      </c>
      <c r="AD18" s="12">
        <f t="shared" si="10"/>
        <v>12.75624984</v>
      </c>
      <c r="AE18" s="13">
        <f t="shared" si="11"/>
        <v>2.7</v>
      </c>
      <c r="AF18" s="13">
        <f t="shared" si="12"/>
        <v>5.4</v>
      </c>
      <c r="AG18" s="13">
        <f t="shared" si="13"/>
        <v>8.1</v>
      </c>
      <c r="AH18" s="6" t="str">
        <f t="array" ref="AH18">TRIM(IF($G18&lt;Config!$B$9,"thin sample ("&amp;$G18&amp;" maps) · ","")&amp;IF($I18="","no PickFinder stats · ","")&amp;IFERROR(IF(INDEX(Players!$T$2:$T$19,MATCH($E18,Players!$A$2:$A$19,0))&lt;0.5,"new roster: "&amp;TEXT(INDEX(Players!$T$2:$T$19,MATCH($E18,Players!$A$2:$A$19,0)),"0%")&amp;" of his recent games with these teammates",""),""))</f>
        <v>new roster: 0% of his recent games with these teammates</v>
      </c>
      <c r="AI18" s="12">
        <f>IF($B18=Board!$B$2,COUNTIFS($B$2:$B$19,Board!$B$2,$Y$2:$Y$19,"&gt;"&amp;$Y18)+COUNTIFS($B$1:$B17,Board!$B$2,$Y$1:$Y17,$Y18)+1,"")</f>
        <v>6</v>
      </c>
      <c r="AJ18" s="6" t="str">
        <f t="array" ref="AJ18">IFERROR(IF(INDEX(Matches!$D$5:$D$6,MATCH($B18,Matches!$A$5:$A$6,0))=3,"K12","K13"),"K13")</f>
        <v>K13</v>
      </c>
      <c r="AK18" s="13">
        <f t="shared" si="14"/>
        <v>7.455969282</v>
      </c>
    </row>
    <row r="19">
      <c r="A19" s="6" t="s">
        <v>394</v>
      </c>
      <c r="B19" s="6" t="s">
        <v>70</v>
      </c>
      <c r="C19" s="6" t="s">
        <v>86</v>
      </c>
      <c r="D19" s="6" t="s">
        <v>241</v>
      </c>
      <c r="E19" s="6" t="s">
        <v>240</v>
      </c>
      <c r="F19" s="6" t="str">
        <f t="array" ref="F19">IFERROR(IF($C19=INDEX(Matches!$S$5:$S$6,MATCH($B19,Matches!$A$5:$A$6,0)),"A",IF($C19=INDEX(Matches!$T$5:$T$6,MATCH($B19,Matches!$A$5:$A$6,0)),"B","")),"")</f>
        <v>B</v>
      </c>
      <c r="G19" s="6">
        <f t="array" ref="G19">IFERROR(INDEX(Players!$E$2:$E$19,MATCH($E19,Players!$A$2:$A$19,0)),0)</f>
        <v>30</v>
      </c>
      <c r="H19" s="8">
        <f t="array" ref="H19">IFERROR(INDEX(Players!$F$2:$F$19,MATCH($E19,Players!$A$2:$A$19,0)),"")</f>
        <v>0.43</v>
      </c>
      <c r="I19" s="12">
        <f t="array" ref="I19">IFERROR(INDEX(Players!$G$2:$G$19,MATCH($E19,Players!$A$2:$A$19,0)),"")</f>
        <v>0.7</v>
      </c>
      <c r="J19" s="13">
        <f>IF(OR($I19="",$H19=""),"",$I19*IF(LEFT($B19,4)="DOTA",Config!$B$5,Config!$B$4)/($H19*IF(LEFT($B19,4)="DOTA",Config!$B$5,Config!$B$4)+1-$H19))</f>
        <v>1.017562323</v>
      </c>
      <c r="K19" s="13">
        <f>IF(OR($I19="",$H19=""),"",$I19/($H19*IF(LEFT($B19,4)="DOTA",Config!$B$5,Config!$B$4)+1-$H19))</f>
        <v>0.4604354404</v>
      </c>
      <c r="L19" s="12">
        <f t="array" ref="L19">IFERROR(INDEX(Matches!$R$5:$R$6,MATCH($B19,Matches!$A$5:$A$6,0)),1)</f>
        <v>1</v>
      </c>
      <c r="M19" s="8">
        <f t="array" ref="M19">IFERROR(IF(INDEX(Matches!$M$5:$M$6,MATCH($B19,Matches!$A$5:$A$6,0))="","",IF($F19="A",INDEX(Matches!$M$5:$M$6,MATCH($B19,Matches!$A$5:$A$6,0)),1-INDEX(Matches!$M$5:$M$6,MATCH($B19,Matches!$A$5:$A$6,0)))),"")</f>
        <v>0.3301</v>
      </c>
      <c r="N19" s="12">
        <f t="shared" si="1"/>
        <v>1</v>
      </c>
      <c r="O19" s="13">
        <f t="shared" si="2"/>
        <v>0.6443430244</v>
      </c>
      <c r="P19" s="12">
        <f>IF($O19="","",IF(LEFT($B19,4)="DOTA",Config!$B$7,Config!$B$6)*$O19+$L19^2*$M19*(1-$M19)*($J19-$K19)^2)</f>
        <v>0.9062837913</v>
      </c>
      <c r="Q19" s="8">
        <f t="array" ref="Q19">IFERROR(IF(INDEX(Matches!$N$5:$N$6,MATCH($B19,Matches!$A$5:$A$6,0))="","",IF($F19="A",INDEX(Matches!$N$5:$N$6,MATCH($B19,Matches!$A$5:$A$6,0)),1-INDEX(Matches!$N$5:$N$6,MATCH($B19,Matches!$A$5:$A$6,0)))),"")</f>
        <v>0.3301</v>
      </c>
      <c r="R19" s="12">
        <f t="array" ref="R19">IFERROR(N(INDEX(Matches!$P$5:$P$6,MATCH($B19,Matches!$A$5:$A$6,0))),0)</f>
        <v>1</v>
      </c>
      <c r="S19" s="13">
        <f t="shared" si="3"/>
        <v>0.6443430244</v>
      </c>
      <c r="T19" s="12">
        <f>IF($S19="","",IF(LEFT($B19,4)="DOTA",Config!$B$7,Config!$B$6)*$S19+$L19^2*$Q19*(1-$Q19)*($J19-$K19)^2)</f>
        <v>0.9062837913</v>
      </c>
      <c r="U19" s="8">
        <f t="array" ref="U19">IFERROR(IF(INDEX(Matches!$O$5:$O$6,MATCH($B19,Matches!$A$5:$A$6,0))="","",IF($F19="A",INDEX(Matches!$O$5:$O$6,MATCH($B19,Matches!$A$5:$A$6,0)),1-INDEX(Matches!$O$5:$O$6,MATCH($B19,Matches!$A$5:$A$6,0)))),"")</f>
        <v>0.3301</v>
      </c>
      <c r="V19" s="12">
        <f t="array" ref="V19">IFERROR(N(INDEX(Matches!$Q$5:$Q$6,MATCH($B19,Matches!$A$5:$A$6,0))),0)</f>
        <v>1</v>
      </c>
      <c r="W19" s="13">
        <f t="shared" si="4"/>
        <v>0.6443430244</v>
      </c>
      <c r="X19" s="12">
        <f>IF($W19="","",IF(LEFT($B19,4)="DOTA",Config!$B$7,Config!$B$6)*$W19+$L19^2*$U19*(1-$U19)*($J19-$K19)^2)</f>
        <v>0.9062837913</v>
      </c>
      <c r="Y19" s="13">
        <f t="shared" si="5"/>
        <v>0.6443430244</v>
      </c>
      <c r="Z19" s="12">
        <f t="shared" si="6"/>
        <v>0.9062837913</v>
      </c>
      <c r="AA19" s="13">
        <f t="shared" si="7"/>
        <v>1.288686049</v>
      </c>
      <c r="AB19" s="12">
        <f t="shared" si="8"/>
        <v>1.812567583</v>
      </c>
      <c r="AC19" s="13">
        <f t="shared" si="9"/>
        <v>1.933029073</v>
      </c>
      <c r="AD19" s="12">
        <f t="shared" si="10"/>
        <v>2.718851374</v>
      </c>
      <c r="AE19" s="13">
        <f t="shared" si="11"/>
        <v>0.7</v>
      </c>
      <c r="AF19" s="13">
        <f t="shared" si="12"/>
        <v>1.4</v>
      </c>
      <c r="AG19" s="13">
        <f t="shared" si="13"/>
        <v>2.1</v>
      </c>
      <c r="AH19" s="6" t="str">
        <f t="array" ref="AH19">TRIM(IF($G19&lt;Config!$B$9,"thin sample ("&amp;$G19&amp;" maps) · ","")&amp;IF($I19="","no PickFinder stats · ","")&amp;IFERROR(IF(INDEX(Players!$T$2:$T$19,MATCH($E19,Players!$A$2:$A$19,0))&lt;0.5,"new roster: "&amp;TEXT(INDEX(Players!$T$2:$T$19,MATCH($E19,Players!$A$2:$A$19,0)),"0%")&amp;" of his recent games with these teammates",""),""))</f>
        <v>new roster: 0% of his recent games with these teammates</v>
      </c>
      <c r="AI19" s="12">
        <f>IF($B19=Board!$B$2,COUNTIFS($B$2:$B$19,Board!$B$2,$Y$2:$Y$19,"&gt;"&amp;$Y19)+COUNTIFS($B$1:$B18,Board!$B$2,$Y$1:$Y18,$Y19)+1,"")</f>
        <v>9</v>
      </c>
      <c r="AJ19" s="6" t="str">
        <f t="array" ref="AJ19">IFERROR(IF(INDEX(Matches!$D$5:$D$6,MATCH($B19,Matches!$A$5:$A$6,0))=3,"K12","K13"),"K13")</f>
        <v>K13</v>
      </c>
      <c r="AK19" s="13">
        <f t="shared" si="14"/>
        <v>1.933029073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0.0"/>
    <col customWidth="1" min="3" max="3" width="110.0"/>
    <col customWidth="1" min="4" max="26" width="8.71"/>
  </cols>
  <sheetData>
    <row r="1">
      <c r="A1" s="1" t="s">
        <v>142</v>
      </c>
    </row>
    <row r="3">
      <c r="A3" s="5" t="s">
        <v>143</v>
      </c>
      <c r="B3" s="5" t="s">
        <v>144</v>
      </c>
      <c r="C3" s="5" t="s">
        <v>145</v>
      </c>
    </row>
    <row r="4">
      <c r="A4" s="2" t="s">
        <v>146</v>
      </c>
      <c r="B4" s="11">
        <v>2.21</v>
      </c>
      <c r="C4" s="4" t="s">
        <v>147</v>
      </c>
    </row>
    <row r="5">
      <c r="A5" s="2" t="s">
        <v>148</v>
      </c>
      <c r="B5" s="11">
        <v>1.77</v>
      </c>
      <c r="C5" s="4" t="s">
        <v>149</v>
      </c>
    </row>
    <row r="6">
      <c r="A6" s="2" t="s">
        <v>150</v>
      </c>
      <c r="B6" s="11">
        <v>1.3</v>
      </c>
      <c r="C6" s="4" t="s">
        <v>151</v>
      </c>
    </row>
    <row r="7">
      <c r="A7" s="2" t="s">
        <v>152</v>
      </c>
      <c r="B7" s="11">
        <v>1.84</v>
      </c>
      <c r="C7" s="4" t="s">
        <v>153</v>
      </c>
    </row>
    <row r="8">
      <c r="A8" s="2" t="s">
        <v>154</v>
      </c>
      <c r="B8" s="11">
        <v>0.04</v>
      </c>
      <c r="C8" s="4" t="s">
        <v>155</v>
      </c>
    </row>
    <row r="9">
      <c r="A9" s="2" t="s">
        <v>156</v>
      </c>
      <c r="B9" s="11">
        <v>15.0</v>
      </c>
      <c r="C9" s="4" t="s">
        <v>157</v>
      </c>
    </row>
    <row r="11">
      <c r="A11" s="6" t="s">
        <v>158</v>
      </c>
      <c r="B11" s="6" t="s">
        <v>159</v>
      </c>
    </row>
    <row r="12">
      <c r="A12" s="6" t="s">
        <v>160</v>
      </c>
      <c r="B12" s="6" t="s">
        <v>161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7.0"/>
    <col customWidth="1" min="2" max="2" width="14.0"/>
    <col customWidth="1" min="3" max="3" width="7.0"/>
    <col customWidth="1" min="4" max="4" width="16.0"/>
    <col customWidth="1" min="5" max="5" width="6.0"/>
    <col customWidth="1" min="6" max="6" width="9.0"/>
    <col customWidth="1" min="7" max="10" width="5.0"/>
    <col customWidth="1" min="11" max="11" width="9.0"/>
    <col customWidth="1" min="12" max="12" width="10.0"/>
    <col customWidth="1" min="13" max="13" width="8.0"/>
    <col customWidth="1" min="14" max="14" width="55.0"/>
    <col customWidth="1" min="15" max="15" width="6.0"/>
    <col customWidth="1" min="16" max="16" width="11.0"/>
    <col customWidth="1" min="17" max="18" width="9.0"/>
    <col customWidth="1" min="19" max="19" width="10.0"/>
    <col customWidth="1" min="20" max="20" width="12.0"/>
    <col customWidth="1" min="21" max="26" width="8.71"/>
  </cols>
  <sheetData>
    <row r="1">
      <c r="A1" s="5" t="s">
        <v>93</v>
      </c>
      <c r="B1" s="5" t="s">
        <v>10</v>
      </c>
      <c r="C1" s="5" t="s">
        <v>13</v>
      </c>
      <c r="D1" s="5" t="s">
        <v>165</v>
      </c>
      <c r="E1" s="5" t="s">
        <v>166</v>
      </c>
      <c r="F1" s="5" t="s">
        <v>167</v>
      </c>
      <c r="G1" s="5" t="s">
        <v>168</v>
      </c>
      <c r="H1" s="5" t="s">
        <v>169</v>
      </c>
      <c r="I1" s="5" t="s">
        <v>170</v>
      </c>
      <c r="J1" s="5" t="s">
        <v>171</v>
      </c>
      <c r="K1" s="5" t="s">
        <v>172</v>
      </c>
      <c r="L1" s="5" t="s">
        <v>173</v>
      </c>
      <c r="M1" s="5" t="s">
        <v>174</v>
      </c>
      <c r="N1" s="5" t="s">
        <v>175</v>
      </c>
      <c r="O1" s="5" t="s">
        <v>176</v>
      </c>
      <c r="P1" s="5" t="s">
        <v>177</v>
      </c>
      <c r="Q1" s="5" t="s">
        <v>178</v>
      </c>
      <c r="R1" s="5" t="s">
        <v>179</v>
      </c>
      <c r="S1" s="5" t="s">
        <v>180</v>
      </c>
      <c r="T1" s="5" t="s">
        <v>181</v>
      </c>
    </row>
    <row r="2">
      <c r="A2" s="6" t="s">
        <v>126</v>
      </c>
      <c r="B2" s="6" t="s">
        <v>78</v>
      </c>
      <c r="C2" s="6" t="s">
        <v>80</v>
      </c>
      <c r="D2" s="6" t="s">
        <v>182</v>
      </c>
      <c r="E2" s="6">
        <v>30.0</v>
      </c>
      <c r="F2" s="14">
        <v>0.6</v>
      </c>
      <c r="G2" s="6">
        <v>3.0</v>
      </c>
      <c r="H2" s="6">
        <v>2.4</v>
      </c>
      <c r="I2" s="6">
        <v>8.1</v>
      </c>
      <c r="J2" s="6">
        <v>1.2</v>
      </c>
      <c r="K2" s="6">
        <v>45.0</v>
      </c>
      <c r="L2" s="6">
        <v>2.53</v>
      </c>
      <c r="M2" s="12" t="s">
        <v>183</v>
      </c>
      <c r="N2" s="12" t="s">
        <v>184</v>
      </c>
      <c r="O2" s="12" t="s">
        <v>185</v>
      </c>
      <c r="P2" s="12" t="s">
        <v>186</v>
      </c>
      <c r="T2" s="14"/>
    </row>
    <row r="3">
      <c r="A3" s="6" t="s">
        <v>187</v>
      </c>
      <c r="B3" s="6" t="s">
        <v>141</v>
      </c>
      <c r="C3" s="6" t="s">
        <v>80</v>
      </c>
      <c r="D3" s="6" t="s">
        <v>182</v>
      </c>
      <c r="E3" s="6">
        <v>30.0</v>
      </c>
      <c r="F3" s="14">
        <v>0.57</v>
      </c>
      <c r="G3" s="6">
        <v>4.6</v>
      </c>
      <c r="H3" s="6">
        <v>2.2</v>
      </c>
      <c r="I3" s="6">
        <v>5.3</v>
      </c>
      <c r="J3" s="6">
        <v>2.1</v>
      </c>
      <c r="K3" s="6">
        <v>45.0</v>
      </c>
      <c r="L3" s="6">
        <v>3.49</v>
      </c>
      <c r="M3" s="12" t="s">
        <v>183</v>
      </c>
      <c r="N3" s="12" t="s">
        <v>188</v>
      </c>
      <c r="O3" s="12" t="s">
        <v>185</v>
      </c>
      <c r="P3" s="12" t="s">
        <v>189</v>
      </c>
      <c r="T3" s="14"/>
    </row>
    <row r="4">
      <c r="A4" s="6" t="s">
        <v>190</v>
      </c>
      <c r="B4" s="6" t="s">
        <v>164</v>
      </c>
      <c r="C4" s="6" t="s">
        <v>80</v>
      </c>
      <c r="D4" s="6" t="s">
        <v>182</v>
      </c>
      <c r="E4" s="6">
        <v>30.0</v>
      </c>
      <c r="F4" s="14">
        <v>0.57</v>
      </c>
      <c r="G4" s="6">
        <v>3.4</v>
      </c>
      <c r="H4" s="6">
        <v>2.1</v>
      </c>
      <c r="I4" s="6">
        <v>5.6</v>
      </c>
      <c r="J4" s="6">
        <v>1.6</v>
      </c>
      <c r="K4" s="6">
        <v>45.0</v>
      </c>
      <c r="L4" s="6">
        <v>3.53</v>
      </c>
      <c r="M4" s="12" t="s">
        <v>183</v>
      </c>
      <c r="N4" s="12" t="s">
        <v>191</v>
      </c>
      <c r="O4" s="12" t="s">
        <v>185</v>
      </c>
      <c r="P4" s="12" t="s">
        <v>192</v>
      </c>
      <c r="T4" s="14"/>
    </row>
    <row r="5">
      <c r="A5" s="6" t="s">
        <v>193</v>
      </c>
      <c r="B5" s="6" t="s">
        <v>194</v>
      </c>
      <c r="C5" s="6" t="s">
        <v>80</v>
      </c>
      <c r="D5" s="6" t="s">
        <v>182</v>
      </c>
      <c r="E5" s="6">
        <v>30.0</v>
      </c>
      <c r="F5" s="14">
        <v>0.6</v>
      </c>
      <c r="G5" s="6">
        <v>3.4</v>
      </c>
      <c r="H5" s="6">
        <v>2.4</v>
      </c>
      <c r="I5" s="6">
        <v>5.2</v>
      </c>
      <c r="J5" s="6">
        <v>1.4</v>
      </c>
      <c r="K5" s="6">
        <v>45.0</v>
      </c>
      <c r="L5" s="6">
        <v>2.87</v>
      </c>
      <c r="M5" s="12" t="s">
        <v>183</v>
      </c>
      <c r="N5" s="12" t="s">
        <v>195</v>
      </c>
      <c r="O5" s="12" t="s">
        <v>185</v>
      </c>
      <c r="P5" s="12" t="s">
        <v>196</v>
      </c>
      <c r="T5" s="14"/>
    </row>
    <row r="6">
      <c r="A6" s="6" t="s">
        <v>197</v>
      </c>
      <c r="B6" s="6" t="s">
        <v>198</v>
      </c>
      <c r="C6" s="6" t="s">
        <v>90</v>
      </c>
      <c r="D6" s="6" t="s">
        <v>199</v>
      </c>
      <c r="E6" s="6">
        <v>30.0</v>
      </c>
      <c r="F6" s="14">
        <v>0.6</v>
      </c>
      <c r="G6" s="6">
        <v>4.5</v>
      </c>
      <c r="H6" s="6">
        <v>2.3</v>
      </c>
      <c r="I6" s="6">
        <v>5.5</v>
      </c>
      <c r="J6" s="6">
        <v>2.0</v>
      </c>
      <c r="K6" s="6">
        <v>45.0</v>
      </c>
      <c r="L6" s="6">
        <v>3.44</v>
      </c>
      <c r="M6" s="12" t="s">
        <v>183</v>
      </c>
      <c r="N6" s="12" t="s">
        <v>200</v>
      </c>
      <c r="O6" s="12" t="s">
        <v>185</v>
      </c>
      <c r="P6" s="12" t="s">
        <v>192</v>
      </c>
      <c r="T6" s="14"/>
    </row>
    <row r="7">
      <c r="A7" s="6" t="s">
        <v>201</v>
      </c>
      <c r="B7" s="6" t="s">
        <v>202</v>
      </c>
      <c r="C7" s="6" t="s">
        <v>90</v>
      </c>
      <c r="D7" s="6" t="s">
        <v>199</v>
      </c>
      <c r="E7" s="6">
        <v>30.0</v>
      </c>
      <c r="F7" s="14">
        <v>0.7</v>
      </c>
      <c r="G7" s="6">
        <v>3.4</v>
      </c>
      <c r="H7" s="6">
        <v>2.5</v>
      </c>
      <c r="I7" s="6">
        <v>5.0</v>
      </c>
      <c r="J7" s="6">
        <v>1.4</v>
      </c>
      <c r="K7" s="6">
        <v>45.0</v>
      </c>
      <c r="L7" s="6">
        <v>2.4</v>
      </c>
      <c r="M7" s="12" t="s">
        <v>183</v>
      </c>
      <c r="N7" s="12" t="s">
        <v>203</v>
      </c>
      <c r="O7" s="12" t="s">
        <v>185</v>
      </c>
      <c r="P7" s="12" t="s">
        <v>196</v>
      </c>
      <c r="T7" s="14"/>
    </row>
    <row r="8">
      <c r="A8" s="6" t="s">
        <v>204</v>
      </c>
      <c r="B8" s="6" t="s">
        <v>205</v>
      </c>
      <c r="C8" s="6" t="s">
        <v>90</v>
      </c>
      <c r="D8" s="6" t="s">
        <v>199</v>
      </c>
      <c r="E8" s="6">
        <v>30.0</v>
      </c>
      <c r="F8" s="14">
        <v>0.6</v>
      </c>
      <c r="G8" s="6">
        <v>0.7</v>
      </c>
      <c r="H8" s="6">
        <v>1.7</v>
      </c>
      <c r="I8" s="6">
        <v>10.6</v>
      </c>
      <c r="J8" s="6">
        <v>0.4</v>
      </c>
      <c r="K8" s="6">
        <v>45.0</v>
      </c>
      <c r="L8" s="6">
        <v>0.58</v>
      </c>
      <c r="M8" s="12" t="s">
        <v>183</v>
      </c>
      <c r="N8" s="12" t="s">
        <v>206</v>
      </c>
      <c r="O8" s="12" t="s">
        <v>185</v>
      </c>
      <c r="P8" s="12" t="s">
        <v>207</v>
      </c>
      <c r="T8" s="14"/>
    </row>
    <row r="9">
      <c r="A9" s="6" t="s">
        <v>208</v>
      </c>
      <c r="B9" s="6" t="s">
        <v>209</v>
      </c>
      <c r="C9" s="6" t="s">
        <v>90</v>
      </c>
      <c r="D9" s="6" t="s">
        <v>199</v>
      </c>
      <c r="E9" s="6">
        <v>30.0</v>
      </c>
      <c r="F9" s="14">
        <v>0.7</v>
      </c>
      <c r="G9" s="6">
        <v>2.8</v>
      </c>
      <c r="H9" s="6">
        <v>2.2</v>
      </c>
      <c r="I9" s="6">
        <v>7.8</v>
      </c>
      <c r="J9" s="6">
        <v>1.3</v>
      </c>
      <c r="K9" s="6">
        <v>45.0</v>
      </c>
      <c r="L9" s="6">
        <v>2.69</v>
      </c>
      <c r="M9" s="12" t="s">
        <v>183</v>
      </c>
      <c r="N9" s="12" t="s">
        <v>210</v>
      </c>
      <c r="O9" s="12" t="s">
        <v>185</v>
      </c>
      <c r="P9" s="12" t="s">
        <v>186</v>
      </c>
      <c r="T9" s="14"/>
    </row>
    <row r="10">
      <c r="A10" s="6" t="s">
        <v>211</v>
      </c>
      <c r="B10" s="6" t="s">
        <v>212</v>
      </c>
      <c r="C10" s="6" t="s">
        <v>90</v>
      </c>
      <c r="D10" s="6" t="s">
        <v>199</v>
      </c>
      <c r="E10" s="6">
        <v>30.0</v>
      </c>
      <c r="F10" s="14">
        <v>0.7</v>
      </c>
      <c r="G10" s="6">
        <v>3.6</v>
      </c>
      <c r="H10" s="6">
        <v>1.7</v>
      </c>
      <c r="I10" s="6">
        <v>6.2</v>
      </c>
      <c r="J10" s="6">
        <v>2.1</v>
      </c>
      <c r="K10" s="6">
        <v>45.0</v>
      </c>
      <c r="L10" s="6">
        <v>2.51</v>
      </c>
      <c r="M10" s="12" t="s">
        <v>183</v>
      </c>
      <c r="N10" s="12" t="s">
        <v>213</v>
      </c>
      <c r="O10" s="12" t="s">
        <v>185</v>
      </c>
      <c r="P10" s="12" t="s">
        <v>189</v>
      </c>
      <c r="T10" s="14"/>
    </row>
    <row r="11">
      <c r="A11" s="6" t="s">
        <v>214</v>
      </c>
      <c r="B11" s="6" t="s">
        <v>215</v>
      </c>
      <c r="C11" s="6" t="s">
        <v>85</v>
      </c>
      <c r="D11" s="6" t="s">
        <v>216</v>
      </c>
      <c r="E11" s="6">
        <v>30.0</v>
      </c>
      <c r="F11" s="14">
        <v>0.7</v>
      </c>
      <c r="G11" s="6">
        <v>5.0</v>
      </c>
      <c r="H11" s="6">
        <v>1.8</v>
      </c>
      <c r="I11" s="6">
        <v>5.6</v>
      </c>
      <c r="J11" s="6">
        <v>2.8</v>
      </c>
      <c r="K11" s="6">
        <v>45.0</v>
      </c>
      <c r="L11" s="6">
        <v>3.98</v>
      </c>
      <c r="M11" s="12" t="s">
        <v>183</v>
      </c>
      <c r="N11" s="12" t="s">
        <v>217</v>
      </c>
      <c r="O11" s="12" t="s">
        <v>185</v>
      </c>
      <c r="P11" s="12" t="s">
        <v>192</v>
      </c>
      <c r="T11" s="14"/>
    </row>
    <row r="12">
      <c r="A12" s="6" t="s">
        <v>218</v>
      </c>
      <c r="B12" s="6" t="s">
        <v>219</v>
      </c>
      <c r="C12" s="6" t="s">
        <v>85</v>
      </c>
      <c r="D12" s="6" t="s">
        <v>216</v>
      </c>
      <c r="E12" s="6">
        <v>30.0</v>
      </c>
      <c r="F12" s="14">
        <v>0.63</v>
      </c>
      <c r="G12" s="6">
        <v>3.4</v>
      </c>
      <c r="H12" s="6">
        <v>2.7</v>
      </c>
      <c r="I12" s="6">
        <v>4.9</v>
      </c>
      <c r="J12" s="6">
        <v>1.3</v>
      </c>
      <c r="K12" s="6">
        <v>45.0</v>
      </c>
      <c r="L12" s="6">
        <v>2.91</v>
      </c>
      <c r="M12" s="12" t="s">
        <v>183</v>
      </c>
      <c r="N12" s="12" t="s">
        <v>220</v>
      </c>
      <c r="O12" s="12" t="s">
        <v>185</v>
      </c>
      <c r="P12" s="12" t="s">
        <v>196</v>
      </c>
      <c r="T12" s="14"/>
    </row>
    <row r="13">
      <c r="A13" s="6" t="s">
        <v>221</v>
      </c>
      <c r="B13" s="6" t="s">
        <v>222</v>
      </c>
      <c r="C13" s="6" t="s">
        <v>85</v>
      </c>
      <c r="D13" s="6" t="s">
        <v>216</v>
      </c>
      <c r="E13" s="6">
        <v>30.0</v>
      </c>
      <c r="F13" s="14">
        <v>0.63</v>
      </c>
      <c r="G13" s="6">
        <v>2.3</v>
      </c>
      <c r="H13" s="6">
        <v>2.3</v>
      </c>
      <c r="I13" s="6">
        <v>7.1</v>
      </c>
      <c r="J13" s="6">
        <v>1.0</v>
      </c>
      <c r="K13" s="6">
        <v>45.0</v>
      </c>
      <c r="L13" s="6">
        <v>2.2</v>
      </c>
      <c r="M13" s="12" t="s">
        <v>183</v>
      </c>
      <c r="N13" s="12" t="s">
        <v>223</v>
      </c>
      <c r="O13" s="12" t="s">
        <v>185</v>
      </c>
      <c r="P13" s="12" t="s">
        <v>189</v>
      </c>
      <c r="T13" s="14"/>
    </row>
    <row r="14">
      <c r="A14" s="6" t="s">
        <v>224</v>
      </c>
      <c r="B14" s="6" t="s">
        <v>225</v>
      </c>
      <c r="C14" s="6" t="s">
        <v>85</v>
      </c>
      <c r="D14" s="6" t="s">
        <v>216</v>
      </c>
      <c r="E14" s="6">
        <v>30.0</v>
      </c>
      <c r="F14" s="14">
        <v>0.63</v>
      </c>
      <c r="G14" s="6">
        <v>3.9</v>
      </c>
      <c r="H14" s="6">
        <v>2.9</v>
      </c>
      <c r="I14" s="6">
        <v>7.0</v>
      </c>
      <c r="J14" s="6">
        <v>1.3</v>
      </c>
      <c r="K14" s="6">
        <v>45.0</v>
      </c>
      <c r="L14" s="6">
        <v>3.22</v>
      </c>
      <c r="M14" s="12" t="s">
        <v>183</v>
      </c>
      <c r="N14" s="12" t="s">
        <v>226</v>
      </c>
      <c r="O14" s="12" t="s">
        <v>185</v>
      </c>
      <c r="P14" s="12" t="s">
        <v>186</v>
      </c>
      <c r="T14" s="14"/>
    </row>
    <row r="15">
      <c r="A15" s="6" t="s">
        <v>227</v>
      </c>
      <c r="B15" s="6" t="s">
        <v>228</v>
      </c>
      <c r="C15" s="6" t="s">
        <v>86</v>
      </c>
      <c r="D15" s="6" t="s">
        <v>229</v>
      </c>
      <c r="E15" s="6">
        <v>30.0</v>
      </c>
      <c r="F15" s="14">
        <v>0.43</v>
      </c>
      <c r="G15" s="6">
        <v>3.8</v>
      </c>
      <c r="H15" s="6">
        <v>3.1</v>
      </c>
      <c r="I15" s="6">
        <v>5.2</v>
      </c>
      <c r="J15" s="6">
        <v>1.3</v>
      </c>
      <c r="K15" s="6">
        <v>45.0</v>
      </c>
      <c r="L15" s="6">
        <v>2.84</v>
      </c>
      <c r="M15" s="12" t="s">
        <v>183</v>
      </c>
      <c r="N15" s="12" t="s">
        <v>230</v>
      </c>
      <c r="O15" s="12" t="s">
        <v>185</v>
      </c>
      <c r="P15" s="12" t="s">
        <v>189</v>
      </c>
      <c r="T15" s="14"/>
    </row>
    <row r="16">
      <c r="A16" s="6" t="s">
        <v>231</v>
      </c>
      <c r="B16" s="6" t="s">
        <v>232</v>
      </c>
      <c r="C16" s="6" t="s">
        <v>86</v>
      </c>
      <c r="D16" s="6" t="s">
        <v>229</v>
      </c>
      <c r="E16" s="6">
        <v>30.0</v>
      </c>
      <c r="F16" s="14">
        <v>0.43</v>
      </c>
      <c r="G16" s="6">
        <v>2.1</v>
      </c>
      <c r="H16" s="6">
        <v>3.5</v>
      </c>
      <c r="I16" s="6">
        <v>6.3</v>
      </c>
      <c r="J16" s="6">
        <v>0.6</v>
      </c>
      <c r="K16" s="6">
        <v>45.0</v>
      </c>
      <c r="L16" s="6">
        <v>2.02</v>
      </c>
      <c r="M16" s="12" t="s">
        <v>183</v>
      </c>
      <c r="N16" s="12" t="s">
        <v>233</v>
      </c>
      <c r="O16" s="12" t="s">
        <v>185</v>
      </c>
      <c r="P16" s="12" t="s">
        <v>186</v>
      </c>
      <c r="T16" s="14"/>
    </row>
    <row r="17">
      <c r="A17" s="6" t="s">
        <v>234</v>
      </c>
      <c r="B17" s="6" t="s">
        <v>235</v>
      </c>
      <c r="C17" s="6" t="s">
        <v>86</v>
      </c>
      <c r="D17" s="6" t="s">
        <v>229</v>
      </c>
      <c r="E17" s="6">
        <v>30.0</v>
      </c>
      <c r="F17" s="14">
        <v>0.5</v>
      </c>
      <c r="G17" s="6">
        <v>3.4</v>
      </c>
      <c r="H17" s="6">
        <v>3.0</v>
      </c>
      <c r="I17" s="6">
        <v>6.4</v>
      </c>
      <c r="J17" s="6">
        <v>1.1</v>
      </c>
      <c r="K17" s="6">
        <v>45.0</v>
      </c>
      <c r="L17" s="6">
        <v>2.67</v>
      </c>
      <c r="M17" s="12" t="s">
        <v>183</v>
      </c>
      <c r="N17" s="12" t="s">
        <v>236</v>
      </c>
      <c r="O17" s="12" t="s">
        <v>185</v>
      </c>
      <c r="P17" s="12" t="s">
        <v>192</v>
      </c>
      <c r="T17" s="14"/>
    </row>
    <row r="18">
      <c r="A18" s="6" t="s">
        <v>237</v>
      </c>
      <c r="B18" s="6" t="s">
        <v>238</v>
      </c>
      <c r="C18" s="6" t="s">
        <v>86</v>
      </c>
      <c r="D18" s="6" t="s">
        <v>229</v>
      </c>
      <c r="E18" s="6">
        <v>30.0</v>
      </c>
      <c r="F18" s="14">
        <v>0.43</v>
      </c>
      <c r="G18" s="6">
        <v>2.7</v>
      </c>
      <c r="H18" s="6">
        <v>3.6</v>
      </c>
      <c r="I18" s="6">
        <v>4.2</v>
      </c>
      <c r="J18" s="6">
        <v>0.8</v>
      </c>
      <c r="K18" s="6">
        <v>45.0</v>
      </c>
      <c r="L18" s="6">
        <v>2.36</v>
      </c>
      <c r="M18" s="12" t="s">
        <v>183</v>
      </c>
      <c r="N18" s="12" t="s">
        <v>239</v>
      </c>
      <c r="O18" s="12" t="s">
        <v>185</v>
      </c>
      <c r="P18" s="12" t="s">
        <v>196</v>
      </c>
      <c r="T18" s="14"/>
    </row>
    <row r="19">
      <c r="A19" s="6" t="s">
        <v>240</v>
      </c>
      <c r="B19" s="6" t="s">
        <v>241</v>
      </c>
      <c r="C19" s="6" t="s">
        <v>86</v>
      </c>
      <c r="D19" s="6" t="s">
        <v>229</v>
      </c>
      <c r="E19" s="6">
        <v>30.0</v>
      </c>
      <c r="F19" s="14">
        <v>0.43</v>
      </c>
      <c r="G19" s="6">
        <v>0.7</v>
      </c>
      <c r="H19" s="6">
        <v>3.4</v>
      </c>
      <c r="I19" s="6">
        <v>9.0</v>
      </c>
      <c r="J19" s="6">
        <v>0.2</v>
      </c>
      <c r="K19" s="6">
        <v>45.0</v>
      </c>
      <c r="L19" s="6">
        <v>0.69</v>
      </c>
      <c r="M19" s="12" t="s">
        <v>183</v>
      </c>
      <c r="N19" s="12" t="s">
        <v>242</v>
      </c>
      <c r="O19" s="12" t="s">
        <v>185</v>
      </c>
      <c r="P19" s="12" t="s">
        <v>207</v>
      </c>
      <c r="T19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" width="8.0"/>
    <col customWidth="1" min="3" max="3" width="10.0"/>
    <col customWidth="1" min="4" max="6" width="6.0"/>
    <col customWidth="1" min="7" max="8" width="7.0"/>
    <col customWidth="1" min="9" max="26" width="8.71"/>
  </cols>
  <sheetData>
    <row r="1">
      <c r="A1" s="5" t="s">
        <v>10</v>
      </c>
      <c r="B1" s="5" t="s">
        <v>247</v>
      </c>
      <c r="C1" s="5" t="s">
        <v>248</v>
      </c>
      <c r="D1" s="5" t="s">
        <v>249</v>
      </c>
      <c r="E1" s="5" t="s">
        <v>250</v>
      </c>
      <c r="F1" s="5" t="s">
        <v>251</v>
      </c>
      <c r="G1" s="5" t="s">
        <v>252</v>
      </c>
      <c r="H1" s="5" t="s">
        <v>253</v>
      </c>
    </row>
    <row r="2">
      <c r="A2" s="6" t="s">
        <v>78</v>
      </c>
      <c r="B2" s="6" t="s">
        <v>254</v>
      </c>
      <c r="C2" s="6" t="s">
        <v>85</v>
      </c>
      <c r="D2" s="6">
        <v>4.0</v>
      </c>
      <c r="E2" s="6">
        <v>1.0</v>
      </c>
      <c r="F2" s="6">
        <v>7.0</v>
      </c>
      <c r="G2" s="6">
        <v>5.0</v>
      </c>
      <c r="H2" s="6">
        <v>12.0</v>
      </c>
    </row>
    <row r="3">
      <c r="A3" s="6" t="s">
        <v>78</v>
      </c>
      <c r="B3" s="6" t="s">
        <v>255</v>
      </c>
      <c r="C3" s="6" t="s">
        <v>256</v>
      </c>
      <c r="D3" s="6">
        <v>7.0</v>
      </c>
      <c r="E3" s="6">
        <v>0.0</v>
      </c>
      <c r="F3" s="6">
        <v>5.0</v>
      </c>
      <c r="G3" s="6">
        <v>7.0</v>
      </c>
      <c r="H3" s="6">
        <v>12.0</v>
      </c>
    </row>
    <row r="4">
      <c r="A4" s="6" t="s">
        <v>78</v>
      </c>
      <c r="B4" s="6" t="s">
        <v>257</v>
      </c>
      <c r="C4" s="6" t="s">
        <v>258</v>
      </c>
      <c r="D4" s="6">
        <v>1.0</v>
      </c>
      <c r="E4" s="6">
        <v>1.0</v>
      </c>
      <c r="F4" s="6">
        <v>5.0</v>
      </c>
      <c r="G4" s="6">
        <v>2.0</v>
      </c>
      <c r="H4" s="6">
        <v>7.0</v>
      </c>
    </row>
    <row r="5">
      <c r="A5" s="6" t="s">
        <v>78</v>
      </c>
      <c r="B5" s="6" t="s">
        <v>259</v>
      </c>
      <c r="C5" s="6" t="s">
        <v>256</v>
      </c>
      <c r="D5" s="6">
        <v>0.0</v>
      </c>
      <c r="E5" s="6">
        <v>3.0</v>
      </c>
      <c r="F5" s="6">
        <v>1.0</v>
      </c>
      <c r="G5" s="6">
        <v>3.0</v>
      </c>
      <c r="H5" s="6">
        <v>4.0</v>
      </c>
    </row>
    <row r="6">
      <c r="A6" s="6" t="s">
        <v>78</v>
      </c>
      <c r="B6" s="6" t="s">
        <v>260</v>
      </c>
      <c r="C6" s="6" t="s">
        <v>261</v>
      </c>
      <c r="D6" s="6">
        <v>2.0</v>
      </c>
      <c r="E6" s="6">
        <v>3.0</v>
      </c>
      <c r="F6" s="6">
        <v>4.0</v>
      </c>
      <c r="G6" s="6">
        <v>5.0</v>
      </c>
      <c r="H6" s="6">
        <v>9.0</v>
      </c>
    </row>
    <row r="7">
      <c r="A7" s="6" t="s">
        <v>78</v>
      </c>
      <c r="B7" s="6" t="s">
        <v>262</v>
      </c>
      <c r="C7" s="6" t="s">
        <v>263</v>
      </c>
      <c r="D7" s="6">
        <v>6.0</v>
      </c>
      <c r="E7" s="6">
        <v>4.0</v>
      </c>
      <c r="F7" s="6">
        <v>0.0</v>
      </c>
      <c r="G7" s="6">
        <v>10.0</v>
      </c>
      <c r="H7" s="6">
        <v>10.0</v>
      </c>
    </row>
    <row r="8">
      <c r="A8" s="6" t="s">
        <v>78</v>
      </c>
      <c r="B8" s="6" t="s">
        <v>264</v>
      </c>
      <c r="C8" s="6" t="s">
        <v>261</v>
      </c>
      <c r="D8" s="6">
        <v>4.0</v>
      </c>
      <c r="E8" s="6">
        <v>5.0</v>
      </c>
      <c r="F8" s="6">
        <v>2.0</v>
      </c>
      <c r="G8" s="6">
        <v>9.0</v>
      </c>
      <c r="H8" s="6">
        <v>11.0</v>
      </c>
    </row>
    <row r="9">
      <c r="A9" s="6" t="s">
        <v>78</v>
      </c>
      <c r="B9" s="6" t="s">
        <v>265</v>
      </c>
      <c r="C9" s="6" t="s">
        <v>256</v>
      </c>
      <c r="D9" s="6">
        <v>1.0</v>
      </c>
      <c r="E9" s="6">
        <v>1.0</v>
      </c>
      <c r="F9" s="6">
        <v>0.0</v>
      </c>
      <c r="G9" s="6">
        <v>2.0</v>
      </c>
      <c r="H9" s="6">
        <v>2.0</v>
      </c>
    </row>
    <row r="10">
      <c r="A10" s="6" t="s">
        <v>78</v>
      </c>
      <c r="B10" s="6" t="s">
        <v>266</v>
      </c>
      <c r="C10" s="6" t="s">
        <v>267</v>
      </c>
      <c r="D10" s="6">
        <v>3.0</v>
      </c>
      <c r="E10" s="6">
        <v>0.0</v>
      </c>
      <c r="F10" s="6">
        <v>0.0</v>
      </c>
      <c r="G10" s="6">
        <v>3.0</v>
      </c>
      <c r="H10" s="6">
        <v>3.0</v>
      </c>
    </row>
    <row r="11">
      <c r="A11" s="6" t="s">
        <v>78</v>
      </c>
      <c r="B11" s="6" t="s">
        <v>268</v>
      </c>
      <c r="C11" s="6" t="s">
        <v>269</v>
      </c>
      <c r="D11" s="6">
        <v>1.0</v>
      </c>
      <c r="E11" s="6">
        <v>1.0</v>
      </c>
      <c r="F11" s="6">
        <v>2.0</v>
      </c>
      <c r="G11" s="6">
        <v>2.0</v>
      </c>
      <c r="H11" s="6">
        <v>4.0</v>
      </c>
    </row>
    <row r="12">
      <c r="A12" s="6" t="s">
        <v>78</v>
      </c>
      <c r="B12" s="6" t="s">
        <v>270</v>
      </c>
      <c r="C12" s="6" t="s">
        <v>271</v>
      </c>
      <c r="D12" s="6">
        <v>3.0</v>
      </c>
      <c r="E12" s="6">
        <v>7.0</v>
      </c>
      <c r="F12" s="6">
        <v>7.0</v>
      </c>
      <c r="G12" s="6">
        <v>10.0</v>
      </c>
      <c r="H12" s="6">
        <v>17.0</v>
      </c>
    </row>
    <row r="13">
      <c r="A13" s="6" t="s">
        <v>78</v>
      </c>
      <c r="B13" s="6" t="s">
        <v>272</v>
      </c>
      <c r="C13" s="6" t="s">
        <v>258</v>
      </c>
      <c r="D13" s="6">
        <v>1.0</v>
      </c>
      <c r="E13" s="6">
        <v>1.0</v>
      </c>
      <c r="F13" s="6">
        <v>0.0</v>
      </c>
      <c r="G13" s="6">
        <v>2.0</v>
      </c>
      <c r="H13" s="6">
        <v>2.0</v>
      </c>
    </row>
    <row r="14">
      <c r="A14" s="6" t="s">
        <v>78</v>
      </c>
      <c r="B14" s="6" t="s">
        <v>273</v>
      </c>
      <c r="C14" s="6" t="s">
        <v>258</v>
      </c>
      <c r="D14" s="6">
        <v>2.0</v>
      </c>
      <c r="E14" s="6">
        <v>0.0</v>
      </c>
      <c r="F14" s="6">
        <v>0.0</v>
      </c>
      <c r="G14" s="6">
        <v>2.0</v>
      </c>
      <c r="H14" s="6">
        <v>2.0</v>
      </c>
    </row>
    <row r="15">
      <c r="A15" s="6" t="s">
        <v>78</v>
      </c>
      <c r="B15" s="6" t="s">
        <v>274</v>
      </c>
      <c r="C15" s="6" t="s">
        <v>256</v>
      </c>
      <c r="D15" s="6">
        <v>7.0</v>
      </c>
      <c r="E15" s="6">
        <v>2.0</v>
      </c>
      <c r="F15" s="6">
        <v>1.0</v>
      </c>
      <c r="G15" s="6">
        <v>9.0</v>
      </c>
      <c r="H15" s="6">
        <v>10.0</v>
      </c>
    </row>
    <row r="16">
      <c r="A16" s="6" t="s">
        <v>78</v>
      </c>
      <c r="B16" s="6" t="s">
        <v>275</v>
      </c>
      <c r="C16" s="6" t="s">
        <v>267</v>
      </c>
      <c r="D16" s="6">
        <v>5.0</v>
      </c>
      <c r="E16" s="6">
        <v>4.0</v>
      </c>
      <c r="F16" s="6">
        <v>0.0</v>
      </c>
      <c r="G16" s="6">
        <v>9.0</v>
      </c>
      <c r="H16" s="6">
        <v>9.0</v>
      </c>
    </row>
    <row r="17">
      <c r="A17" s="6" t="s">
        <v>141</v>
      </c>
      <c r="B17" s="6" t="s">
        <v>254</v>
      </c>
      <c r="C17" s="6" t="s">
        <v>85</v>
      </c>
      <c r="D17" s="6">
        <v>11.0</v>
      </c>
      <c r="E17" s="6">
        <v>5.0</v>
      </c>
      <c r="F17" s="6">
        <v>1.0</v>
      </c>
      <c r="G17" s="6">
        <v>16.0</v>
      </c>
      <c r="H17" s="6">
        <v>17.0</v>
      </c>
    </row>
    <row r="18">
      <c r="A18" s="6" t="s">
        <v>141</v>
      </c>
      <c r="B18" s="6" t="s">
        <v>255</v>
      </c>
      <c r="C18" s="6" t="s">
        <v>256</v>
      </c>
      <c r="D18" s="6">
        <v>4.0</v>
      </c>
      <c r="E18" s="6">
        <v>4.0</v>
      </c>
      <c r="F18" s="6">
        <v>0.0</v>
      </c>
      <c r="G18" s="6">
        <v>8.0</v>
      </c>
      <c r="H18" s="6">
        <v>8.0</v>
      </c>
    </row>
    <row r="19">
      <c r="A19" s="6" t="s">
        <v>141</v>
      </c>
      <c r="B19" s="6" t="s">
        <v>257</v>
      </c>
      <c r="C19" s="6" t="s">
        <v>258</v>
      </c>
      <c r="D19" s="6">
        <v>2.0</v>
      </c>
      <c r="E19" s="6">
        <v>0.0</v>
      </c>
      <c r="F19" s="6">
        <v>2.0</v>
      </c>
      <c r="G19" s="6">
        <v>2.0</v>
      </c>
      <c r="H19" s="6">
        <v>4.0</v>
      </c>
    </row>
    <row r="20">
      <c r="A20" s="6" t="s">
        <v>141</v>
      </c>
      <c r="B20" s="6" t="s">
        <v>259</v>
      </c>
      <c r="C20" s="6" t="s">
        <v>256</v>
      </c>
      <c r="D20" s="6">
        <v>7.0</v>
      </c>
      <c r="E20" s="6">
        <v>3.0</v>
      </c>
      <c r="F20" s="6">
        <v>2.0</v>
      </c>
      <c r="G20" s="6">
        <v>10.0</v>
      </c>
      <c r="H20" s="6">
        <v>12.0</v>
      </c>
    </row>
    <row r="21" ht="15.75" customHeight="1">
      <c r="A21" s="6" t="s">
        <v>141</v>
      </c>
      <c r="B21" s="6" t="s">
        <v>260</v>
      </c>
      <c r="C21" s="6" t="s">
        <v>261</v>
      </c>
      <c r="D21" s="6">
        <v>6.0</v>
      </c>
      <c r="E21" s="6">
        <v>6.0</v>
      </c>
      <c r="F21" s="6">
        <v>4.0</v>
      </c>
      <c r="G21" s="6">
        <v>12.0</v>
      </c>
      <c r="H21" s="6">
        <v>16.0</v>
      </c>
    </row>
    <row r="22" ht="15.75" customHeight="1">
      <c r="A22" s="6" t="s">
        <v>141</v>
      </c>
      <c r="B22" s="6" t="s">
        <v>262</v>
      </c>
      <c r="C22" s="6" t="s">
        <v>263</v>
      </c>
      <c r="D22" s="6">
        <v>3.0</v>
      </c>
      <c r="E22" s="6">
        <v>8.0</v>
      </c>
      <c r="F22" s="6">
        <v>0.0</v>
      </c>
      <c r="G22" s="6">
        <v>11.0</v>
      </c>
      <c r="H22" s="6">
        <v>11.0</v>
      </c>
    </row>
    <row r="23" ht="15.75" customHeight="1">
      <c r="A23" s="6" t="s">
        <v>141</v>
      </c>
      <c r="B23" s="6" t="s">
        <v>264</v>
      </c>
      <c r="C23" s="6" t="s">
        <v>261</v>
      </c>
      <c r="D23" s="6">
        <v>11.0</v>
      </c>
      <c r="E23" s="6">
        <v>3.0</v>
      </c>
      <c r="F23" s="6">
        <v>3.0</v>
      </c>
      <c r="G23" s="6">
        <v>14.0</v>
      </c>
      <c r="H23" s="6">
        <v>17.0</v>
      </c>
    </row>
    <row r="24" ht="15.75" customHeight="1">
      <c r="A24" s="6" t="s">
        <v>141</v>
      </c>
      <c r="B24" s="6" t="s">
        <v>265</v>
      </c>
      <c r="C24" s="6" t="s">
        <v>256</v>
      </c>
      <c r="D24" s="6">
        <v>4.0</v>
      </c>
      <c r="E24" s="6">
        <v>0.0</v>
      </c>
      <c r="F24" s="6">
        <v>0.0</v>
      </c>
      <c r="G24" s="6">
        <v>4.0</v>
      </c>
      <c r="H24" s="6">
        <v>4.0</v>
      </c>
    </row>
    <row r="25" ht="15.75" customHeight="1">
      <c r="A25" s="6" t="s">
        <v>141</v>
      </c>
      <c r="B25" s="6" t="s">
        <v>266</v>
      </c>
      <c r="C25" s="6" t="s">
        <v>267</v>
      </c>
      <c r="D25" s="6">
        <v>2.0</v>
      </c>
      <c r="E25" s="6">
        <v>10.0</v>
      </c>
      <c r="F25" s="6">
        <v>0.0</v>
      </c>
      <c r="G25" s="6">
        <v>12.0</v>
      </c>
      <c r="H25" s="6">
        <v>12.0</v>
      </c>
    </row>
    <row r="26" ht="15.75" customHeight="1">
      <c r="A26" s="6" t="s">
        <v>141</v>
      </c>
      <c r="B26" s="6" t="s">
        <v>268</v>
      </c>
      <c r="C26" s="6" t="s">
        <v>269</v>
      </c>
      <c r="D26" s="6">
        <v>9.0</v>
      </c>
      <c r="E26" s="6">
        <v>3.0</v>
      </c>
      <c r="F26" s="6">
        <v>4.0</v>
      </c>
      <c r="G26" s="6">
        <v>12.0</v>
      </c>
      <c r="H26" s="6">
        <v>16.0</v>
      </c>
    </row>
    <row r="27" ht="15.75" customHeight="1">
      <c r="A27" s="6" t="s">
        <v>141</v>
      </c>
      <c r="B27" s="6" t="s">
        <v>270</v>
      </c>
      <c r="C27" s="6" t="s">
        <v>271</v>
      </c>
      <c r="D27" s="6">
        <v>4.0</v>
      </c>
      <c r="E27" s="6">
        <v>5.0</v>
      </c>
      <c r="F27" s="6">
        <v>9.0</v>
      </c>
      <c r="G27" s="6">
        <v>9.0</v>
      </c>
      <c r="H27" s="6">
        <v>18.0</v>
      </c>
    </row>
    <row r="28" ht="15.75" customHeight="1">
      <c r="A28" s="6" t="s">
        <v>141</v>
      </c>
      <c r="B28" s="6" t="s">
        <v>272</v>
      </c>
      <c r="C28" s="6" t="s">
        <v>258</v>
      </c>
      <c r="D28" s="6">
        <v>3.0</v>
      </c>
      <c r="E28" s="6">
        <v>1.0</v>
      </c>
      <c r="F28" s="6">
        <v>0.0</v>
      </c>
      <c r="G28" s="6">
        <v>4.0</v>
      </c>
      <c r="H28" s="6">
        <v>4.0</v>
      </c>
    </row>
    <row r="29" ht="15.75" customHeight="1">
      <c r="A29" s="6" t="s">
        <v>141</v>
      </c>
      <c r="B29" s="6" t="s">
        <v>276</v>
      </c>
      <c r="C29" s="6" t="s">
        <v>277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</row>
    <row r="30" ht="15.75" customHeight="1">
      <c r="A30" s="6" t="s">
        <v>141</v>
      </c>
      <c r="B30" s="6" t="s">
        <v>278</v>
      </c>
      <c r="C30" s="6" t="s">
        <v>277</v>
      </c>
      <c r="D30" s="6">
        <v>0.0</v>
      </c>
      <c r="E30" s="6">
        <v>3.0</v>
      </c>
      <c r="F30" s="6">
        <v>0.0</v>
      </c>
      <c r="G30" s="6">
        <v>3.0</v>
      </c>
      <c r="H30" s="6">
        <v>3.0</v>
      </c>
    </row>
    <row r="31" ht="15.75" customHeight="1">
      <c r="A31" s="6" t="s">
        <v>141</v>
      </c>
      <c r="B31" s="6" t="s">
        <v>279</v>
      </c>
      <c r="C31" s="6" t="s">
        <v>280</v>
      </c>
      <c r="D31" s="6">
        <v>8.0</v>
      </c>
      <c r="E31" s="6">
        <v>3.0</v>
      </c>
      <c r="F31" s="6">
        <v>4.0</v>
      </c>
      <c r="G31" s="6">
        <v>11.0</v>
      </c>
      <c r="H31" s="6">
        <v>15.0</v>
      </c>
    </row>
    <row r="32" ht="15.75" customHeight="1">
      <c r="A32" s="6" t="s">
        <v>164</v>
      </c>
      <c r="B32" s="6" t="s">
        <v>254</v>
      </c>
      <c r="C32" s="6" t="s">
        <v>85</v>
      </c>
      <c r="D32" s="6">
        <v>3.0</v>
      </c>
      <c r="E32" s="6">
        <v>6.0</v>
      </c>
      <c r="F32" s="6">
        <v>7.0</v>
      </c>
      <c r="G32" s="6">
        <v>9.0</v>
      </c>
      <c r="H32" s="6">
        <v>16.0</v>
      </c>
    </row>
    <row r="33" ht="15.75" customHeight="1">
      <c r="A33" s="6" t="s">
        <v>164</v>
      </c>
      <c r="B33" s="6" t="s">
        <v>255</v>
      </c>
      <c r="C33" s="6" t="s">
        <v>256</v>
      </c>
      <c r="D33" s="6">
        <v>2.0</v>
      </c>
      <c r="E33" s="6">
        <v>3.0</v>
      </c>
      <c r="F33" s="6">
        <v>0.0</v>
      </c>
      <c r="G33" s="6">
        <v>5.0</v>
      </c>
      <c r="H33" s="6">
        <v>5.0</v>
      </c>
    </row>
    <row r="34" ht="15.75" customHeight="1">
      <c r="A34" s="6" t="s">
        <v>164</v>
      </c>
      <c r="B34" s="6" t="s">
        <v>257</v>
      </c>
      <c r="C34" s="6" t="s">
        <v>258</v>
      </c>
      <c r="D34" s="6">
        <v>3.0</v>
      </c>
      <c r="E34" s="6">
        <v>0.0</v>
      </c>
      <c r="F34" s="6">
        <v>3.0</v>
      </c>
      <c r="G34" s="6">
        <v>3.0</v>
      </c>
      <c r="H34" s="6">
        <v>6.0</v>
      </c>
    </row>
    <row r="35" ht="15.75" customHeight="1">
      <c r="A35" s="6" t="s">
        <v>164</v>
      </c>
      <c r="B35" s="6" t="s">
        <v>259</v>
      </c>
      <c r="C35" s="6" t="s">
        <v>256</v>
      </c>
      <c r="D35" s="6">
        <v>2.0</v>
      </c>
      <c r="E35" s="6">
        <v>5.0</v>
      </c>
      <c r="F35" s="6">
        <v>4.0</v>
      </c>
      <c r="G35" s="6">
        <v>7.0</v>
      </c>
      <c r="H35" s="6">
        <v>11.0</v>
      </c>
    </row>
    <row r="36" ht="15.75" customHeight="1">
      <c r="A36" s="6" t="s">
        <v>164</v>
      </c>
      <c r="B36" s="6" t="s">
        <v>260</v>
      </c>
      <c r="C36" s="6" t="s">
        <v>261</v>
      </c>
      <c r="D36" s="6">
        <v>3.0</v>
      </c>
      <c r="E36" s="6">
        <v>2.0</v>
      </c>
      <c r="F36" s="6">
        <v>10.0</v>
      </c>
      <c r="G36" s="6">
        <v>5.0</v>
      </c>
      <c r="H36" s="6">
        <v>15.0</v>
      </c>
    </row>
    <row r="37" ht="15.75" customHeight="1">
      <c r="A37" s="6" t="s">
        <v>164</v>
      </c>
      <c r="B37" s="6" t="s">
        <v>262</v>
      </c>
      <c r="C37" s="6" t="s">
        <v>263</v>
      </c>
      <c r="D37" s="6">
        <v>2.0</v>
      </c>
      <c r="E37" s="6">
        <v>6.0</v>
      </c>
      <c r="F37" s="6">
        <v>0.0</v>
      </c>
      <c r="G37" s="6">
        <v>8.0</v>
      </c>
      <c r="H37" s="6">
        <v>8.0</v>
      </c>
    </row>
    <row r="38" ht="15.75" customHeight="1">
      <c r="A38" s="6" t="s">
        <v>164</v>
      </c>
      <c r="B38" s="6" t="s">
        <v>264</v>
      </c>
      <c r="C38" s="6" t="s">
        <v>261</v>
      </c>
      <c r="D38" s="6">
        <v>5.0</v>
      </c>
      <c r="E38" s="6">
        <v>4.0</v>
      </c>
      <c r="F38" s="6">
        <v>2.0</v>
      </c>
      <c r="G38" s="6">
        <v>9.0</v>
      </c>
      <c r="H38" s="6">
        <v>11.0</v>
      </c>
    </row>
    <row r="39" ht="15.75" customHeight="1">
      <c r="A39" s="6" t="s">
        <v>164</v>
      </c>
      <c r="B39" s="6" t="s">
        <v>265</v>
      </c>
      <c r="C39" s="6" t="s">
        <v>256</v>
      </c>
      <c r="D39" s="6">
        <v>3.0</v>
      </c>
      <c r="E39" s="6">
        <v>1.0</v>
      </c>
      <c r="F39" s="6">
        <v>0.0</v>
      </c>
      <c r="G39" s="6">
        <v>4.0</v>
      </c>
      <c r="H39" s="6">
        <v>4.0</v>
      </c>
    </row>
    <row r="40" ht="15.75" customHeight="1">
      <c r="A40" s="6" t="s">
        <v>164</v>
      </c>
      <c r="B40" s="6" t="s">
        <v>266</v>
      </c>
      <c r="C40" s="6" t="s">
        <v>267</v>
      </c>
      <c r="D40" s="6">
        <v>6.0</v>
      </c>
      <c r="E40" s="6">
        <v>5.0</v>
      </c>
      <c r="F40" s="6">
        <v>0.0</v>
      </c>
      <c r="G40" s="6">
        <v>11.0</v>
      </c>
      <c r="H40" s="6">
        <v>11.0</v>
      </c>
    </row>
    <row r="41" ht="15.75" customHeight="1">
      <c r="A41" s="6" t="s">
        <v>164</v>
      </c>
      <c r="B41" s="6" t="s">
        <v>268</v>
      </c>
      <c r="C41" s="6" t="s">
        <v>269</v>
      </c>
      <c r="D41" s="6">
        <v>7.0</v>
      </c>
      <c r="E41" s="6">
        <v>5.0</v>
      </c>
      <c r="F41" s="6">
        <v>2.0</v>
      </c>
      <c r="G41" s="6">
        <v>12.0</v>
      </c>
      <c r="H41" s="6">
        <v>14.0</v>
      </c>
    </row>
    <row r="42" ht="15.75" customHeight="1">
      <c r="A42" s="6" t="s">
        <v>164</v>
      </c>
      <c r="B42" s="6" t="s">
        <v>270</v>
      </c>
      <c r="C42" s="6" t="s">
        <v>271</v>
      </c>
      <c r="D42" s="6">
        <v>1.0</v>
      </c>
      <c r="E42" s="6">
        <v>3.0</v>
      </c>
      <c r="F42" s="6">
        <v>7.0</v>
      </c>
      <c r="G42" s="6">
        <v>4.0</v>
      </c>
      <c r="H42" s="6">
        <v>11.0</v>
      </c>
    </row>
    <row r="43" ht="15.75" customHeight="1">
      <c r="A43" s="6" t="s">
        <v>164</v>
      </c>
      <c r="B43" s="6" t="s">
        <v>272</v>
      </c>
      <c r="C43" s="6" t="s">
        <v>258</v>
      </c>
      <c r="D43" s="6">
        <v>3.0</v>
      </c>
      <c r="E43" s="6">
        <v>2.0</v>
      </c>
      <c r="F43" s="6">
        <v>0.0</v>
      </c>
      <c r="G43" s="6">
        <v>5.0</v>
      </c>
      <c r="H43" s="6">
        <v>5.0</v>
      </c>
    </row>
    <row r="44" ht="15.75" customHeight="1">
      <c r="A44" s="6" t="s">
        <v>164</v>
      </c>
      <c r="B44" s="6" t="s">
        <v>281</v>
      </c>
      <c r="C44" s="6" t="s">
        <v>282</v>
      </c>
      <c r="D44" s="6">
        <v>4.0</v>
      </c>
      <c r="E44" s="6">
        <v>7.0</v>
      </c>
      <c r="F44" s="6">
        <v>4.0</v>
      </c>
      <c r="G44" s="6">
        <v>11.0</v>
      </c>
      <c r="H44" s="6">
        <v>15.0</v>
      </c>
    </row>
    <row r="45" ht="15.75" customHeight="1">
      <c r="A45" s="6" t="s">
        <v>164</v>
      </c>
      <c r="B45" s="6" t="s">
        <v>283</v>
      </c>
      <c r="C45" s="6" t="s">
        <v>282</v>
      </c>
      <c r="D45" s="6">
        <v>4.0</v>
      </c>
      <c r="E45" s="6">
        <v>1.0</v>
      </c>
      <c r="F45" s="6">
        <v>5.0</v>
      </c>
      <c r="G45" s="6">
        <v>5.0</v>
      </c>
      <c r="H45" s="6">
        <v>10.0</v>
      </c>
    </row>
    <row r="46" ht="15.75" customHeight="1">
      <c r="A46" s="6" t="s">
        <v>164</v>
      </c>
      <c r="B46" s="6" t="s">
        <v>284</v>
      </c>
      <c r="C46" s="6" t="s">
        <v>285</v>
      </c>
      <c r="D46" s="6">
        <v>2.0</v>
      </c>
      <c r="E46" s="6">
        <v>3.0</v>
      </c>
      <c r="F46" s="6">
        <v>12.0</v>
      </c>
      <c r="G46" s="6">
        <v>5.0</v>
      </c>
      <c r="H46" s="6">
        <v>17.0</v>
      </c>
    </row>
    <row r="47" ht="15.75" customHeight="1">
      <c r="A47" s="6" t="s">
        <v>194</v>
      </c>
      <c r="B47" s="6" t="s">
        <v>254</v>
      </c>
      <c r="C47" s="6" t="s">
        <v>85</v>
      </c>
      <c r="D47" s="6">
        <v>1.0</v>
      </c>
      <c r="E47" s="6">
        <v>4.0</v>
      </c>
      <c r="F47" s="6">
        <v>5.0</v>
      </c>
      <c r="G47" s="6">
        <v>5.0</v>
      </c>
      <c r="H47" s="6">
        <v>10.0</v>
      </c>
    </row>
    <row r="48" ht="15.75" customHeight="1">
      <c r="A48" s="6" t="s">
        <v>194</v>
      </c>
      <c r="B48" s="6" t="s">
        <v>255</v>
      </c>
      <c r="C48" s="6" t="s">
        <v>256</v>
      </c>
      <c r="D48" s="6">
        <v>5.0</v>
      </c>
      <c r="E48" s="6">
        <v>2.0</v>
      </c>
      <c r="F48" s="6">
        <v>1.0</v>
      </c>
      <c r="G48" s="6">
        <v>7.0</v>
      </c>
      <c r="H48" s="6">
        <v>8.0</v>
      </c>
    </row>
    <row r="49" ht="15.75" customHeight="1">
      <c r="A49" s="6" t="s">
        <v>194</v>
      </c>
      <c r="B49" s="6" t="s">
        <v>257</v>
      </c>
      <c r="C49" s="6" t="s">
        <v>258</v>
      </c>
      <c r="D49" s="6">
        <v>1.0</v>
      </c>
      <c r="E49" s="6">
        <v>1.0</v>
      </c>
      <c r="F49" s="6">
        <v>4.0</v>
      </c>
      <c r="G49" s="6">
        <v>2.0</v>
      </c>
      <c r="H49" s="6">
        <v>6.0</v>
      </c>
    </row>
    <row r="50" ht="15.75" customHeight="1">
      <c r="A50" s="6" t="s">
        <v>194</v>
      </c>
      <c r="B50" s="6" t="s">
        <v>259</v>
      </c>
      <c r="C50" s="6" t="s">
        <v>256</v>
      </c>
      <c r="D50" s="6">
        <v>3.0</v>
      </c>
      <c r="E50" s="6">
        <v>7.0</v>
      </c>
      <c r="F50" s="6">
        <v>4.0</v>
      </c>
      <c r="G50" s="6">
        <v>10.0</v>
      </c>
      <c r="H50" s="6">
        <v>14.0</v>
      </c>
    </row>
    <row r="51" ht="15.75" customHeight="1">
      <c r="A51" s="6" t="s">
        <v>194</v>
      </c>
      <c r="B51" s="6" t="s">
        <v>260</v>
      </c>
      <c r="C51" s="6" t="s">
        <v>261</v>
      </c>
      <c r="D51" s="6">
        <v>7.0</v>
      </c>
      <c r="E51" s="6">
        <v>2.0</v>
      </c>
      <c r="F51" s="6">
        <v>7.0</v>
      </c>
      <c r="G51" s="6">
        <v>9.0</v>
      </c>
      <c r="H51" s="6">
        <v>16.0</v>
      </c>
    </row>
    <row r="52" ht="15.75" customHeight="1">
      <c r="A52" s="6" t="s">
        <v>194</v>
      </c>
      <c r="B52" s="6" t="s">
        <v>262</v>
      </c>
      <c r="C52" s="6" t="s">
        <v>263</v>
      </c>
      <c r="D52" s="6">
        <v>6.0</v>
      </c>
      <c r="E52" s="6">
        <v>3.0</v>
      </c>
      <c r="F52" s="6">
        <v>0.0</v>
      </c>
      <c r="G52" s="6">
        <v>9.0</v>
      </c>
      <c r="H52" s="6">
        <v>9.0</v>
      </c>
    </row>
    <row r="53" ht="15.75" customHeight="1">
      <c r="A53" s="6" t="s">
        <v>194</v>
      </c>
      <c r="B53" s="6" t="s">
        <v>264</v>
      </c>
      <c r="C53" s="6" t="s">
        <v>261</v>
      </c>
      <c r="D53" s="6">
        <v>0.0</v>
      </c>
      <c r="E53" s="6">
        <v>1.0</v>
      </c>
      <c r="F53" s="6">
        <v>3.0</v>
      </c>
      <c r="G53" s="6">
        <v>1.0</v>
      </c>
      <c r="H53" s="6">
        <v>4.0</v>
      </c>
    </row>
    <row r="54" ht="15.75" customHeight="1">
      <c r="A54" s="6" t="s">
        <v>194</v>
      </c>
      <c r="B54" s="6" t="s">
        <v>265</v>
      </c>
      <c r="C54" s="6" t="s">
        <v>256</v>
      </c>
      <c r="D54" s="6">
        <v>3.0</v>
      </c>
      <c r="E54" s="6">
        <v>2.0</v>
      </c>
      <c r="F54" s="6">
        <v>0.0</v>
      </c>
      <c r="G54" s="6">
        <v>5.0</v>
      </c>
      <c r="H54" s="6">
        <v>5.0</v>
      </c>
    </row>
    <row r="55" ht="15.75" customHeight="1">
      <c r="A55" s="6" t="s">
        <v>194</v>
      </c>
      <c r="B55" s="6" t="s">
        <v>266</v>
      </c>
      <c r="C55" s="6" t="s">
        <v>267</v>
      </c>
      <c r="D55" s="6">
        <v>5.0</v>
      </c>
      <c r="E55" s="6">
        <v>5.0</v>
      </c>
      <c r="F55" s="6">
        <v>0.0</v>
      </c>
      <c r="G55" s="6">
        <v>10.0</v>
      </c>
      <c r="H55" s="6">
        <v>10.0</v>
      </c>
    </row>
    <row r="56" ht="15.75" customHeight="1">
      <c r="A56" s="6" t="s">
        <v>194</v>
      </c>
      <c r="B56" s="6" t="s">
        <v>268</v>
      </c>
      <c r="C56" s="6" t="s">
        <v>269</v>
      </c>
      <c r="D56" s="6">
        <v>4.0</v>
      </c>
      <c r="E56" s="6">
        <v>0.0</v>
      </c>
      <c r="F56" s="6">
        <v>6.0</v>
      </c>
      <c r="G56" s="6">
        <v>4.0</v>
      </c>
      <c r="H56" s="6">
        <v>10.0</v>
      </c>
    </row>
    <row r="57" ht="15.75" customHeight="1">
      <c r="A57" s="6" t="s">
        <v>194</v>
      </c>
      <c r="B57" s="6" t="s">
        <v>270</v>
      </c>
      <c r="C57" s="6" t="s">
        <v>271</v>
      </c>
      <c r="D57" s="6">
        <v>6.0</v>
      </c>
      <c r="E57" s="6">
        <v>4.0</v>
      </c>
      <c r="F57" s="6">
        <v>4.0</v>
      </c>
      <c r="G57" s="6">
        <v>10.0</v>
      </c>
      <c r="H57" s="6">
        <v>14.0</v>
      </c>
    </row>
    <row r="58" ht="15.75" customHeight="1">
      <c r="A58" s="6" t="s">
        <v>194</v>
      </c>
      <c r="B58" s="6" t="s">
        <v>272</v>
      </c>
      <c r="C58" s="6" t="s">
        <v>258</v>
      </c>
      <c r="D58" s="6">
        <v>7.0</v>
      </c>
      <c r="E58" s="6">
        <v>1.0</v>
      </c>
      <c r="F58" s="6">
        <v>0.0</v>
      </c>
      <c r="G58" s="6">
        <v>8.0</v>
      </c>
      <c r="H58" s="6">
        <v>8.0</v>
      </c>
    </row>
    <row r="59" ht="15.75" customHeight="1">
      <c r="A59" s="6" t="s">
        <v>194</v>
      </c>
      <c r="B59" s="6" t="s">
        <v>273</v>
      </c>
      <c r="C59" s="6" t="s">
        <v>258</v>
      </c>
      <c r="D59" s="6">
        <v>0.0</v>
      </c>
      <c r="E59" s="6">
        <v>2.0</v>
      </c>
      <c r="F59" s="6">
        <v>0.0</v>
      </c>
      <c r="G59" s="6">
        <v>2.0</v>
      </c>
      <c r="H59" s="6">
        <v>2.0</v>
      </c>
    </row>
    <row r="60" ht="15.75" customHeight="1">
      <c r="A60" s="6" t="s">
        <v>194</v>
      </c>
      <c r="B60" s="6" t="s">
        <v>274</v>
      </c>
      <c r="C60" s="6" t="s">
        <v>256</v>
      </c>
      <c r="D60" s="6">
        <v>3.0</v>
      </c>
      <c r="E60" s="6">
        <v>3.0</v>
      </c>
      <c r="F60" s="6">
        <v>2.0</v>
      </c>
      <c r="G60" s="6">
        <v>6.0</v>
      </c>
      <c r="H60" s="6">
        <v>8.0</v>
      </c>
    </row>
    <row r="61" ht="15.75" customHeight="1">
      <c r="A61" s="6" t="s">
        <v>194</v>
      </c>
      <c r="B61" s="6" t="s">
        <v>275</v>
      </c>
      <c r="C61" s="6" t="s">
        <v>267</v>
      </c>
      <c r="D61" s="6">
        <v>1.0</v>
      </c>
      <c r="E61" s="6">
        <v>3.0</v>
      </c>
      <c r="F61" s="6">
        <v>1.0</v>
      </c>
      <c r="G61" s="6">
        <v>4.0</v>
      </c>
      <c r="H61" s="6">
        <v>5.0</v>
      </c>
    </row>
    <row r="62" ht="15.75" customHeight="1">
      <c r="A62" s="6" t="s">
        <v>198</v>
      </c>
      <c r="B62" s="6" t="s">
        <v>287</v>
      </c>
      <c r="C62" s="6" t="s">
        <v>288</v>
      </c>
      <c r="D62" s="6">
        <v>4.0</v>
      </c>
      <c r="E62" s="6">
        <v>7.0</v>
      </c>
      <c r="F62" s="6">
        <v>0.0</v>
      </c>
      <c r="G62" s="6">
        <v>11.0</v>
      </c>
      <c r="H62" s="6">
        <v>11.0</v>
      </c>
    </row>
    <row r="63" ht="15.75" customHeight="1">
      <c r="A63" s="6" t="s">
        <v>198</v>
      </c>
      <c r="B63" s="6" t="s">
        <v>255</v>
      </c>
      <c r="C63" s="6" t="s">
        <v>289</v>
      </c>
      <c r="D63" s="6">
        <v>4.0</v>
      </c>
      <c r="E63" s="6">
        <v>13.0</v>
      </c>
      <c r="F63" s="6">
        <v>12.0</v>
      </c>
      <c r="G63" s="6">
        <v>17.0</v>
      </c>
      <c r="H63" s="6">
        <v>29.0</v>
      </c>
    </row>
    <row r="64" ht="15.75" customHeight="1">
      <c r="A64" s="6" t="s">
        <v>198</v>
      </c>
      <c r="B64" s="6" t="s">
        <v>290</v>
      </c>
      <c r="C64" s="6" t="s">
        <v>291</v>
      </c>
      <c r="D64" s="6">
        <v>4.0</v>
      </c>
      <c r="E64" s="6">
        <v>5.0</v>
      </c>
      <c r="F64" s="6">
        <v>2.0</v>
      </c>
      <c r="G64" s="6">
        <v>9.0</v>
      </c>
      <c r="H64" s="6">
        <v>11.0</v>
      </c>
    </row>
    <row r="65" ht="15.75" customHeight="1">
      <c r="A65" s="6" t="s">
        <v>198</v>
      </c>
      <c r="B65" s="6" t="s">
        <v>260</v>
      </c>
      <c r="C65" s="6" t="s">
        <v>288</v>
      </c>
      <c r="D65" s="6">
        <v>4.0</v>
      </c>
      <c r="E65" s="6">
        <v>1.0</v>
      </c>
      <c r="F65" s="6">
        <v>5.0</v>
      </c>
      <c r="G65" s="6">
        <v>5.0</v>
      </c>
      <c r="H65" s="6">
        <v>10.0</v>
      </c>
    </row>
    <row r="66" ht="15.75" customHeight="1">
      <c r="A66" s="6" t="s">
        <v>198</v>
      </c>
      <c r="B66" s="6" t="s">
        <v>292</v>
      </c>
      <c r="C66" s="6" t="s">
        <v>291</v>
      </c>
      <c r="D66" s="6">
        <v>3.0</v>
      </c>
      <c r="E66" s="6">
        <v>8.0</v>
      </c>
      <c r="F66" s="6">
        <v>1.0</v>
      </c>
      <c r="G66" s="6">
        <v>11.0</v>
      </c>
      <c r="H66" s="6">
        <v>12.0</v>
      </c>
    </row>
    <row r="67" ht="15.75" customHeight="1">
      <c r="A67" s="6" t="s">
        <v>198</v>
      </c>
      <c r="B67" s="6" t="s">
        <v>264</v>
      </c>
      <c r="C67" s="6" t="s">
        <v>293</v>
      </c>
      <c r="D67" s="6">
        <v>5.0</v>
      </c>
      <c r="E67" s="6">
        <v>4.0</v>
      </c>
      <c r="F67" s="6">
        <v>0.0</v>
      </c>
      <c r="G67" s="6">
        <v>9.0</v>
      </c>
      <c r="H67" s="6">
        <v>9.0</v>
      </c>
    </row>
    <row r="68" ht="15.75" customHeight="1">
      <c r="A68" s="6" t="s">
        <v>198</v>
      </c>
      <c r="B68" s="6" t="s">
        <v>294</v>
      </c>
      <c r="C68" s="6" t="s">
        <v>295</v>
      </c>
      <c r="D68" s="6">
        <v>6.0</v>
      </c>
      <c r="E68" s="6">
        <v>9.0</v>
      </c>
      <c r="F68" s="6">
        <v>0.0</v>
      </c>
      <c r="G68" s="6">
        <v>15.0</v>
      </c>
      <c r="H68" s="6">
        <v>15.0</v>
      </c>
    </row>
    <row r="69" ht="15.75" customHeight="1">
      <c r="A69" s="6" t="s">
        <v>198</v>
      </c>
      <c r="B69" s="6" t="s">
        <v>296</v>
      </c>
      <c r="C69" s="6" t="s">
        <v>291</v>
      </c>
      <c r="D69" s="6">
        <v>4.0</v>
      </c>
      <c r="E69" s="6">
        <v>0.0</v>
      </c>
      <c r="F69" s="6">
        <v>1.0</v>
      </c>
      <c r="G69" s="6">
        <v>4.0</v>
      </c>
      <c r="H69" s="6">
        <v>5.0</v>
      </c>
    </row>
    <row r="70" ht="15.75" customHeight="1">
      <c r="A70" s="6" t="s">
        <v>198</v>
      </c>
      <c r="B70" s="6" t="s">
        <v>297</v>
      </c>
      <c r="C70" s="6" t="s">
        <v>298</v>
      </c>
      <c r="D70" s="6">
        <v>5.0</v>
      </c>
      <c r="E70" s="6">
        <v>9.0</v>
      </c>
      <c r="F70" s="6">
        <v>0.0</v>
      </c>
      <c r="G70" s="6">
        <v>14.0</v>
      </c>
      <c r="H70" s="6">
        <v>14.0</v>
      </c>
    </row>
    <row r="71" ht="15.75" customHeight="1">
      <c r="A71" s="6" t="s">
        <v>198</v>
      </c>
      <c r="B71" s="6" t="s">
        <v>299</v>
      </c>
      <c r="C71" s="6" t="s">
        <v>289</v>
      </c>
      <c r="D71" s="6">
        <v>10.0</v>
      </c>
      <c r="E71" s="6">
        <v>8.0</v>
      </c>
      <c r="F71" s="6">
        <v>0.0</v>
      </c>
      <c r="G71" s="6">
        <v>18.0</v>
      </c>
      <c r="H71" s="6">
        <v>18.0</v>
      </c>
    </row>
    <row r="72" ht="15.75" customHeight="1">
      <c r="A72" s="6" t="s">
        <v>198</v>
      </c>
      <c r="B72" s="6" t="s">
        <v>270</v>
      </c>
      <c r="C72" s="6" t="s">
        <v>300</v>
      </c>
      <c r="D72" s="6">
        <v>0.0</v>
      </c>
      <c r="E72" s="6">
        <v>4.0</v>
      </c>
      <c r="F72" s="6">
        <v>0.0</v>
      </c>
      <c r="G72" s="6">
        <v>4.0</v>
      </c>
      <c r="H72" s="6">
        <v>4.0</v>
      </c>
    </row>
    <row r="73" ht="15.75" customHeight="1">
      <c r="A73" s="6" t="s">
        <v>198</v>
      </c>
      <c r="B73" s="6" t="s">
        <v>301</v>
      </c>
      <c r="C73" s="6" t="s">
        <v>288</v>
      </c>
      <c r="D73" s="6">
        <v>3.0</v>
      </c>
      <c r="E73" s="6">
        <v>3.0</v>
      </c>
      <c r="F73" s="6">
        <v>0.0</v>
      </c>
      <c r="G73" s="6">
        <v>6.0</v>
      </c>
      <c r="H73" s="6">
        <v>6.0</v>
      </c>
    </row>
    <row r="74" ht="15.75" customHeight="1">
      <c r="A74" s="6" t="s">
        <v>198</v>
      </c>
      <c r="B74" s="6" t="s">
        <v>302</v>
      </c>
      <c r="C74" s="6" t="s">
        <v>277</v>
      </c>
      <c r="D74" s="6">
        <v>1.0</v>
      </c>
      <c r="E74" s="6">
        <v>0.0</v>
      </c>
      <c r="F74" s="6">
        <v>0.0</v>
      </c>
      <c r="G74" s="6">
        <v>1.0</v>
      </c>
      <c r="H74" s="6">
        <v>1.0</v>
      </c>
    </row>
    <row r="75" ht="15.75" customHeight="1">
      <c r="A75" s="6" t="s">
        <v>198</v>
      </c>
      <c r="B75" s="6" t="s">
        <v>302</v>
      </c>
      <c r="C75" s="6" t="s">
        <v>303</v>
      </c>
      <c r="D75" s="6">
        <v>3.0</v>
      </c>
      <c r="E75" s="6">
        <v>0.0</v>
      </c>
      <c r="F75" s="6">
        <v>0.0</v>
      </c>
      <c r="G75" s="6">
        <v>3.0</v>
      </c>
      <c r="H75" s="6">
        <v>3.0</v>
      </c>
    </row>
    <row r="76" ht="15.75" customHeight="1">
      <c r="A76" s="6" t="s">
        <v>198</v>
      </c>
      <c r="B76" s="6" t="s">
        <v>304</v>
      </c>
      <c r="C76" s="6" t="s">
        <v>305</v>
      </c>
      <c r="D76" s="6">
        <v>4.0</v>
      </c>
      <c r="E76" s="6">
        <v>1.0</v>
      </c>
      <c r="F76" s="6">
        <v>2.0</v>
      </c>
      <c r="G76" s="6">
        <v>5.0</v>
      </c>
      <c r="H76" s="6">
        <v>7.0</v>
      </c>
    </row>
    <row r="77" ht="15.75" customHeight="1">
      <c r="A77" s="6" t="s">
        <v>202</v>
      </c>
      <c r="B77" s="6" t="s">
        <v>287</v>
      </c>
      <c r="C77" s="6" t="s">
        <v>288</v>
      </c>
      <c r="D77" s="6">
        <v>1.0</v>
      </c>
      <c r="E77" s="6">
        <v>2.0</v>
      </c>
      <c r="F77" s="6">
        <v>2.0</v>
      </c>
      <c r="G77" s="6">
        <v>3.0</v>
      </c>
      <c r="H77" s="6">
        <v>5.0</v>
      </c>
    </row>
    <row r="78" ht="15.75" customHeight="1">
      <c r="A78" s="6" t="s">
        <v>202</v>
      </c>
      <c r="B78" s="6" t="s">
        <v>255</v>
      </c>
      <c r="C78" s="6" t="s">
        <v>289</v>
      </c>
      <c r="D78" s="6">
        <v>8.0</v>
      </c>
      <c r="E78" s="6">
        <v>5.0</v>
      </c>
      <c r="F78" s="6">
        <v>2.0</v>
      </c>
      <c r="G78" s="6">
        <v>13.0</v>
      </c>
      <c r="H78" s="6">
        <v>15.0</v>
      </c>
    </row>
    <row r="79" ht="15.75" customHeight="1">
      <c r="A79" s="6" t="s">
        <v>202</v>
      </c>
      <c r="B79" s="6" t="s">
        <v>290</v>
      </c>
      <c r="C79" s="6" t="s">
        <v>291</v>
      </c>
      <c r="D79" s="6">
        <v>1.0</v>
      </c>
      <c r="E79" s="6">
        <v>8.0</v>
      </c>
      <c r="F79" s="6">
        <v>1.0</v>
      </c>
      <c r="G79" s="6">
        <v>9.0</v>
      </c>
      <c r="H79" s="6">
        <v>10.0</v>
      </c>
    </row>
    <row r="80" ht="15.75" customHeight="1">
      <c r="A80" s="6" t="s">
        <v>202</v>
      </c>
      <c r="B80" s="6" t="s">
        <v>260</v>
      </c>
      <c r="C80" s="6" t="s">
        <v>288</v>
      </c>
      <c r="D80" s="6">
        <v>5.0</v>
      </c>
      <c r="E80" s="6">
        <v>4.0</v>
      </c>
      <c r="F80" s="6">
        <v>5.0</v>
      </c>
      <c r="G80" s="6">
        <v>9.0</v>
      </c>
      <c r="H80" s="6">
        <v>14.0</v>
      </c>
    </row>
    <row r="81" ht="15.75" customHeight="1">
      <c r="A81" s="6" t="s">
        <v>202</v>
      </c>
      <c r="B81" s="6" t="s">
        <v>292</v>
      </c>
      <c r="C81" s="6" t="s">
        <v>291</v>
      </c>
      <c r="D81" s="6">
        <v>4.0</v>
      </c>
      <c r="E81" s="6">
        <v>2.0</v>
      </c>
      <c r="F81" s="6">
        <v>1.0</v>
      </c>
      <c r="G81" s="6">
        <v>6.0</v>
      </c>
      <c r="H81" s="6">
        <v>7.0</v>
      </c>
    </row>
    <row r="82" ht="15.75" customHeight="1">
      <c r="A82" s="6" t="s">
        <v>202</v>
      </c>
      <c r="B82" s="6" t="s">
        <v>264</v>
      </c>
      <c r="C82" s="6" t="s">
        <v>293</v>
      </c>
      <c r="D82" s="6">
        <v>1.0</v>
      </c>
      <c r="E82" s="6">
        <v>0.0</v>
      </c>
      <c r="F82" s="6">
        <v>0.0</v>
      </c>
      <c r="G82" s="6">
        <v>1.0</v>
      </c>
      <c r="H82" s="6">
        <v>1.0</v>
      </c>
    </row>
    <row r="83" ht="15.75" customHeight="1">
      <c r="A83" s="6" t="s">
        <v>202</v>
      </c>
      <c r="B83" s="6" t="s">
        <v>294</v>
      </c>
      <c r="C83" s="6" t="s">
        <v>295</v>
      </c>
      <c r="D83" s="6">
        <v>7.0</v>
      </c>
      <c r="E83" s="6">
        <v>4.0</v>
      </c>
      <c r="F83" s="6">
        <v>0.0</v>
      </c>
      <c r="G83" s="6">
        <v>11.0</v>
      </c>
      <c r="H83" s="6">
        <v>11.0</v>
      </c>
    </row>
    <row r="84" ht="15.75" customHeight="1">
      <c r="A84" s="6" t="s">
        <v>202</v>
      </c>
      <c r="B84" s="6" t="s">
        <v>296</v>
      </c>
      <c r="C84" s="6" t="s">
        <v>291</v>
      </c>
      <c r="D84" s="6">
        <v>7.0</v>
      </c>
      <c r="E84" s="6">
        <v>2.0</v>
      </c>
      <c r="F84" s="6">
        <v>5.0</v>
      </c>
      <c r="G84" s="6">
        <v>9.0</v>
      </c>
      <c r="H84" s="6">
        <v>14.0</v>
      </c>
    </row>
    <row r="85" ht="15.75" customHeight="1">
      <c r="A85" s="6" t="s">
        <v>202</v>
      </c>
      <c r="B85" s="6" t="s">
        <v>297</v>
      </c>
      <c r="C85" s="6" t="s">
        <v>298</v>
      </c>
      <c r="D85" s="6">
        <v>1.0</v>
      </c>
      <c r="E85" s="6">
        <v>4.0</v>
      </c>
      <c r="F85" s="6">
        <v>0.0</v>
      </c>
      <c r="G85" s="6">
        <v>5.0</v>
      </c>
      <c r="H85" s="6">
        <v>5.0</v>
      </c>
    </row>
    <row r="86" ht="15.75" customHeight="1">
      <c r="A86" s="6" t="s">
        <v>202</v>
      </c>
      <c r="B86" s="6" t="s">
        <v>299</v>
      </c>
      <c r="C86" s="6" t="s">
        <v>289</v>
      </c>
      <c r="D86" s="6">
        <v>7.0</v>
      </c>
      <c r="E86" s="6">
        <v>3.0</v>
      </c>
      <c r="F86" s="6">
        <v>0.0</v>
      </c>
      <c r="G86" s="6">
        <v>10.0</v>
      </c>
      <c r="H86" s="6">
        <v>10.0</v>
      </c>
    </row>
    <row r="87" ht="15.75" customHeight="1">
      <c r="A87" s="6" t="s">
        <v>202</v>
      </c>
      <c r="B87" s="6" t="s">
        <v>270</v>
      </c>
      <c r="C87" s="6" t="s">
        <v>300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</row>
    <row r="88" ht="15.75" customHeight="1">
      <c r="A88" s="6" t="s">
        <v>202</v>
      </c>
      <c r="B88" s="6" t="s">
        <v>301</v>
      </c>
      <c r="C88" s="6" t="s">
        <v>288</v>
      </c>
      <c r="D88" s="6">
        <v>1.0</v>
      </c>
      <c r="E88" s="6">
        <v>4.0</v>
      </c>
      <c r="F88" s="6">
        <v>0.0</v>
      </c>
      <c r="G88" s="6">
        <v>5.0</v>
      </c>
      <c r="H88" s="6">
        <v>5.0</v>
      </c>
    </row>
    <row r="89" ht="15.75" customHeight="1">
      <c r="A89" s="6" t="s">
        <v>202</v>
      </c>
      <c r="B89" s="6" t="s">
        <v>302</v>
      </c>
      <c r="C89" s="6" t="s">
        <v>277</v>
      </c>
      <c r="D89" s="6">
        <v>3.0</v>
      </c>
      <c r="E89" s="6">
        <v>3.0</v>
      </c>
      <c r="F89" s="6">
        <v>0.0</v>
      </c>
      <c r="G89" s="6">
        <v>6.0</v>
      </c>
      <c r="H89" s="6">
        <v>6.0</v>
      </c>
    </row>
    <row r="90" ht="15.75" customHeight="1">
      <c r="A90" s="6" t="s">
        <v>202</v>
      </c>
      <c r="B90" s="6" t="s">
        <v>302</v>
      </c>
      <c r="C90" s="6" t="s">
        <v>303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</row>
    <row r="91" ht="15.75" customHeight="1">
      <c r="A91" s="6" t="s">
        <v>202</v>
      </c>
      <c r="B91" s="6" t="s">
        <v>304</v>
      </c>
      <c r="C91" s="6" t="s">
        <v>305</v>
      </c>
      <c r="D91" s="6">
        <v>0.0</v>
      </c>
      <c r="E91" s="6">
        <v>2.0</v>
      </c>
      <c r="F91" s="6">
        <v>3.0</v>
      </c>
      <c r="G91" s="6">
        <v>2.0</v>
      </c>
      <c r="H91" s="6">
        <v>5.0</v>
      </c>
    </row>
    <row r="92" ht="15.75" customHeight="1">
      <c r="A92" s="6" t="s">
        <v>205</v>
      </c>
      <c r="B92" s="6" t="s">
        <v>287</v>
      </c>
      <c r="C92" s="6" t="s">
        <v>288</v>
      </c>
      <c r="D92" s="6">
        <v>1.0</v>
      </c>
      <c r="E92" s="6">
        <v>0.0</v>
      </c>
      <c r="F92" s="6">
        <v>0.0</v>
      </c>
      <c r="G92" s="6">
        <v>1.0</v>
      </c>
      <c r="H92" s="6">
        <v>1.0</v>
      </c>
    </row>
    <row r="93" ht="15.75" customHeight="1">
      <c r="A93" s="6" t="s">
        <v>205</v>
      </c>
      <c r="B93" s="6" t="s">
        <v>255</v>
      </c>
      <c r="C93" s="6" t="s">
        <v>289</v>
      </c>
      <c r="D93" s="6">
        <v>1.0</v>
      </c>
      <c r="E93" s="6">
        <v>0.0</v>
      </c>
      <c r="F93" s="6">
        <v>0.0</v>
      </c>
      <c r="G93" s="6">
        <v>1.0</v>
      </c>
      <c r="H93" s="6">
        <v>1.0</v>
      </c>
    </row>
    <row r="94" ht="15.75" customHeight="1">
      <c r="A94" s="6" t="s">
        <v>205</v>
      </c>
      <c r="B94" s="6" t="s">
        <v>290</v>
      </c>
      <c r="C94" s="6" t="s">
        <v>291</v>
      </c>
      <c r="D94" s="6">
        <v>2.0</v>
      </c>
      <c r="E94" s="6">
        <v>1.0</v>
      </c>
      <c r="F94" s="6">
        <v>0.0</v>
      </c>
      <c r="G94" s="6">
        <v>3.0</v>
      </c>
      <c r="H94" s="6">
        <v>3.0</v>
      </c>
    </row>
    <row r="95" ht="15.75" customHeight="1">
      <c r="A95" s="6" t="s">
        <v>205</v>
      </c>
      <c r="B95" s="6" t="s">
        <v>260</v>
      </c>
      <c r="C95" s="6" t="s">
        <v>288</v>
      </c>
      <c r="D95" s="6">
        <v>2.0</v>
      </c>
      <c r="E95" s="6">
        <v>0.0</v>
      </c>
      <c r="F95" s="6">
        <v>1.0</v>
      </c>
      <c r="G95" s="6">
        <v>2.0</v>
      </c>
      <c r="H95" s="6">
        <v>3.0</v>
      </c>
    </row>
    <row r="96" ht="15.75" customHeight="1">
      <c r="A96" s="6" t="s">
        <v>205</v>
      </c>
      <c r="B96" s="6" t="s">
        <v>292</v>
      </c>
      <c r="C96" s="6" t="s">
        <v>291</v>
      </c>
      <c r="D96" s="6">
        <v>1.0</v>
      </c>
      <c r="E96" s="6">
        <v>0.0</v>
      </c>
      <c r="F96" s="6">
        <v>1.0</v>
      </c>
      <c r="G96" s="6">
        <v>1.0</v>
      </c>
      <c r="H96" s="6">
        <v>2.0</v>
      </c>
    </row>
    <row r="97" ht="15.75" customHeight="1">
      <c r="A97" s="6" t="s">
        <v>205</v>
      </c>
      <c r="B97" s="6" t="s">
        <v>264</v>
      </c>
      <c r="C97" s="6" t="s">
        <v>293</v>
      </c>
      <c r="D97" s="6">
        <v>1.0</v>
      </c>
      <c r="E97" s="6">
        <v>2.0</v>
      </c>
      <c r="F97" s="6">
        <v>0.0</v>
      </c>
      <c r="G97" s="6">
        <v>3.0</v>
      </c>
      <c r="H97" s="6">
        <v>3.0</v>
      </c>
    </row>
    <row r="98" ht="15.75" customHeight="1">
      <c r="A98" s="6" t="s">
        <v>205</v>
      </c>
      <c r="B98" s="6" t="s">
        <v>294</v>
      </c>
      <c r="C98" s="6" t="s">
        <v>295</v>
      </c>
      <c r="D98" s="6">
        <v>0.0</v>
      </c>
      <c r="E98" s="6">
        <v>1.0</v>
      </c>
      <c r="F98" s="6">
        <v>0.0</v>
      </c>
      <c r="G98" s="6">
        <v>1.0</v>
      </c>
      <c r="H98" s="6">
        <v>1.0</v>
      </c>
    </row>
    <row r="99" ht="15.75" customHeight="1">
      <c r="A99" s="6" t="s">
        <v>205</v>
      </c>
      <c r="B99" s="6" t="s">
        <v>296</v>
      </c>
      <c r="C99" s="6" t="s">
        <v>291</v>
      </c>
      <c r="D99" s="6">
        <v>0.0</v>
      </c>
      <c r="E99" s="6">
        <v>0.0</v>
      </c>
      <c r="F99" s="6">
        <v>1.0</v>
      </c>
      <c r="G99" s="6">
        <v>0.0</v>
      </c>
      <c r="H99" s="6">
        <v>1.0</v>
      </c>
    </row>
    <row r="100" ht="15.75" customHeight="1">
      <c r="A100" s="6" t="s">
        <v>205</v>
      </c>
      <c r="B100" s="6" t="s">
        <v>297</v>
      </c>
      <c r="C100" s="6" t="s">
        <v>298</v>
      </c>
      <c r="D100" s="6">
        <v>1.0</v>
      </c>
      <c r="E100" s="6">
        <v>0.0</v>
      </c>
      <c r="F100" s="6">
        <v>0.0</v>
      </c>
      <c r="G100" s="6">
        <v>1.0</v>
      </c>
      <c r="H100" s="6">
        <v>1.0</v>
      </c>
    </row>
    <row r="101" ht="15.75" customHeight="1">
      <c r="A101" s="6" t="s">
        <v>205</v>
      </c>
      <c r="B101" s="6" t="s">
        <v>299</v>
      </c>
      <c r="C101" s="6" t="s">
        <v>289</v>
      </c>
      <c r="D101" s="6">
        <v>2.0</v>
      </c>
      <c r="E101" s="6">
        <v>1.0</v>
      </c>
      <c r="F101" s="6">
        <v>0.0</v>
      </c>
      <c r="G101" s="6">
        <v>3.0</v>
      </c>
      <c r="H101" s="6">
        <v>3.0</v>
      </c>
    </row>
    <row r="102" ht="15.75" customHeight="1">
      <c r="A102" s="6" t="s">
        <v>205</v>
      </c>
      <c r="B102" s="6" t="s">
        <v>270</v>
      </c>
      <c r="C102" s="6" t="s">
        <v>300</v>
      </c>
      <c r="D102" s="6">
        <v>1.0</v>
      </c>
      <c r="E102" s="6">
        <v>1.0</v>
      </c>
      <c r="F102" s="6">
        <v>0.0</v>
      </c>
      <c r="G102" s="6">
        <v>2.0</v>
      </c>
      <c r="H102" s="6">
        <v>2.0</v>
      </c>
    </row>
    <row r="103" ht="15.75" customHeight="1">
      <c r="A103" s="6" t="s">
        <v>205</v>
      </c>
      <c r="B103" s="6" t="s">
        <v>301</v>
      </c>
      <c r="C103" s="6" t="s">
        <v>288</v>
      </c>
      <c r="D103" s="6">
        <v>1.0</v>
      </c>
      <c r="E103" s="6">
        <v>0.0</v>
      </c>
      <c r="F103" s="6">
        <v>0.0</v>
      </c>
      <c r="G103" s="6">
        <v>1.0</v>
      </c>
      <c r="H103" s="6">
        <v>1.0</v>
      </c>
    </row>
    <row r="104" ht="15.75" customHeight="1">
      <c r="A104" s="6" t="s">
        <v>205</v>
      </c>
      <c r="B104" s="6" t="s">
        <v>302</v>
      </c>
      <c r="C104" s="6" t="s">
        <v>277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</row>
    <row r="105" ht="15.75" customHeight="1">
      <c r="A105" s="6" t="s">
        <v>205</v>
      </c>
      <c r="B105" s="6" t="s">
        <v>302</v>
      </c>
      <c r="C105" s="6" t="s">
        <v>303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</row>
    <row r="106" ht="15.75" customHeight="1">
      <c r="A106" s="6" t="s">
        <v>205</v>
      </c>
      <c r="B106" s="6" t="s">
        <v>304</v>
      </c>
      <c r="C106" s="6" t="s">
        <v>305</v>
      </c>
      <c r="D106" s="6">
        <v>0.0</v>
      </c>
      <c r="E106" s="6">
        <v>1.0</v>
      </c>
      <c r="F106" s="6">
        <v>3.0</v>
      </c>
      <c r="G106" s="6">
        <v>1.0</v>
      </c>
      <c r="H106" s="6">
        <v>4.0</v>
      </c>
    </row>
    <row r="107" ht="15.75" customHeight="1">
      <c r="A107" s="6" t="s">
        <v>209</v>
      </c>
      <c r="B107" s="6" t="s">
        <v>287</v>
      </c>
      <c r="C107" s="6" t="s">
        <v>288</v>
      </c>
      <c r="D107" s="6">
        <v>4.0</v>
      </c>
      <c r="E107" s="6">
        <v>5.0</v>
      </c>
      <c r="F107" s="6">
        <v>1.0</v>
      </c>
      <c r="G107" s="6">
        <v>9.0</v>
      </c>
      <c r="H107" s="6">
        <v>10.0</v>
      </c>
    </row>
    <row r="108" ht="15.75" customHeight="1">
      <c r="A108" s="6" t="s">
        <v>209</v>
      </c>
      <c r="B108" s="6" t="s">
        <v>255</v>
      </c>
      <c r="C108" s="6" t="s">
        <v>289</v>
      </c>
      <c r="D108" s="6">
        <v>2.0</v>
      </c>
      <c r="E108" s="6">
        <v>1.0</v>
      </c>
      <c r="F108" s="6">
        <v>4.0</v>
      </c>
      <c r="G108" s="6">
        <v>3.0</v>
      </c>
      <c r="H108" s="6">
        <v>7.0</v>
      </c>
    </row>
    <row r="109" ht="15.75" customHeight="1">
      <c r="A109" s="6" t="s">
        <v>209</v>
      </c>
      <c r="B109" s="6" t="s">
        <v>290</v>
      </c>
      <c r="C109" s="6" t="s">
        <v>291</v>
      </c>
      <c r="D109" s="6">
        <v>4.0</v>
      </c>
      <c r="E109" s="6">
        <v>3.0</v>
      </c>
      <c r="F109" s="6">
        <v>3.0</v>
      </c>
      <c r="G109" s="6">
        <v>7.0</v>
      </c>
      <c r="H109" s="6">
        <v>10.0</v>
      </c>
    </row>
    <row r="110" ht="15.75" customHeight="1">
      <c r="A110" s="6" t="s">
        <v>209</v>
      </c>
      <c r="B110" s="6" t="s">
        <v>292</v>
      </c>
      <c r="C110" s="6" t="s">
        <v>291</v>
      </c>
      <c r="D110" s="6">
        <v>3.0</v>
      </c>
      <c r="E110" s="6">
        <v>1.0</v>
      </c>
      <c r="F110" s="6">
        <v>2.0</v>
      </c>
      <c r="G110" s="6">
        <v>4.0</v>
      </c>
      <c r="H110" s="6">
        <v>6.0</v>
      </c>
    </row>
    <row r="111" ht="15.75" customHeight="1">
      <c r="A111" s="6" t="s">
        <v>209</v>
      </c>
      <c r="B111" s="6" t="s">
        <v>264</v>
      </c>
      <c r="C111" s="6" t="s">
        <v>293</v>
      </c>
      <c r="D111" s="6">
        <v>4.0</v>
      </c>
      <c r="E111" s="6">
        <v>5.0</v>
      </c>
      <c r="F111" s="6">
        <v>0.0</v>
      </c>
      <c r="G111" s="6">
        <v>9.0</v>
      </c>
      <c r="H111" s="6">
        <v>9.0</v>
      </c>
    </row>
    <row r="112" ht="15.75" customHeight="1">
      <c r="A112" s="6" t="s">
        <v>209</v>
      </c>
      <c r="B112" s="6" t="s">
        <v>294</v>
      </c>
      <c r="C112" s="6" t="s">
        <v>295</v>
      </c>
      <c r="D112" s="6">
        <v>3.0</v>
      </c>
      <c r="E112" s="6">
        <v>2.0</v>
      </c>
      <c r="F112" s="6">
        <v>0.0</v>
      </c>
      <c r="G112" s="6">
        <v>5.0</v>
      </c>
      <c r="H112" s="6">
        <v>5.0</v>
      </c>
    </row>
    <row r="113" ht="15.75" customHeight="1">
      <c r="A113" s="6" t="s">
        <v>209</v>
      </c>
      <c r="B113" s="6" t="s">
        <v>296</v>
      </c>
      <c r="C113" s="6" t="s">
        <v>291</v>
      </c>
      <c r="D113" s="6">
        <v>3.0</v>
      </c>
      <c r="E113" s="6">
        <v>4.0</v>
      </c>
      <c r="F113" s="6">
        <v>4.0</v>
      </c>
      <c r="G113" s="6">
        <v>7.0</v>
      </c>
      <c r="H113" s="6">
        <v>11.0</v>
      </c>
    </row>
    <row r="114" ht="15.75" customHeight="1">
      <c r="A114" s="6" t="s">
        <v>209</v>
      </c>
      <c r="B114" s="6" t="s">
        <v>297</v>
      </c>
      <c r="C114" s="6" t="s">
        <v>298</v>
      </c>
      <c r="D114" s="6">
        <v>2.0</v>
      </c>
      <c r="E114" s="6">
        <v>1.0</v>
      </c>
      <c r="F114" s="6">
        <v>0.0</v>
      </c>
      <c r="G114" s="6">
        <v>3.0</v>
      </c>
      <c r="H114" s="6">
        <v>3.0</v>
      </c>
    </row>
    <row r="115" ht="15.75" customHeight="1">
      <c r="A115" s="6" t="s">
        <v>209</v>
      </c>
      <c r="B115" s="6" t="s">
        <v>299</v>
      </c>
      <c r="C115" s="6" t="s">
        <v>289</v>
      </c>
      <c r="D115" s="6">
        <v>6.0</v>
      </c>
      <c r="E115" s="6">
        <v>9.0</v>
      </c>
      <c r="F115" s="6">
        <v>0.0</v>
      </c>
      <c r="G115" s="6">
        <v>15.0</v>
      </c>
      <c r="H115" s="6">
        <v>15.0</v>
      </c>
    </row>
    <row r="116" ht="15.75" customHeight="1">
      <c r="A116" s="6" t="s">
        <v>209</v>
      </c>
      <c r="B116" s="6" t="s">
        <v>301</v>
      </c>
      <c r="C116" s="6" t="s">
        <v>288</v>
      </c>
      <c r="D116" s="6">
        <v>0.0</v>
      </c>
      <c r="E116" s="6">
        <v>2.0</v>
      </c>
      <c r="F116" s="6">
        <v>0.0</v>
      </c>
      <c r="G116" s="6">
        <v>2.0</v>
      </c>
      <c r="H116" s="6">
        <v>2.0</v>
      </c>
    </row>
    <row r="117" ht="15.75" customHeight="1">
      <c r="A117" s="6" t="s">
        <v>209</v>
      </c>
      <c r="B117" s="6" t="s">
        <v>302</v>
      </c>
      <c r="C117" s="6" t="s">
        <v>277</v>
      </c>
      <c r="D117" s="6">
        <v>4.0</v>
      </c>
      <c r="E117" s="6">
        <v>0.0</v>
      </c>
      <c r="F117" s="6">
        <v>0.0</v>
      </c>
      <c r="G117" s="6">
        <v>4.0</v>
      </c>
      <c r="H117" s="6">
        <v>4.0</v>
      </c>
    </row>
    <row r="118" ht="15.75" customHeight="1">
      <c r="A118" s="6" t="s">
        <v>209</v>
      </c>
      <c r="B118" s="6" t="s">
        <v>302</v>
      </c>
      <c r="C118" s="6" t="s">
        <v>303</v>
      </c>
      <c r="D118" s="6">
        <v>1.0</v>
      </c>
      <c r="E118" s="6">
        <v>0.0</v>
      </c>
      <c r="F118" s="6">
        <v>0.0</v>
      </c>
      <c r="G118" s="6">
        <v>1.0</v>
      </c>
      <c r="H118" s="6">
        <v>1.0</v>
      </c>
    </row>
    <row r="119" ht="15.75" customHeight="1">
      <c r="A119" s="6" t="s">
        <v>209</v>
      </c>
      <c r="B119" s="6" t="s">
        <v>304</v>
      </c>
      <c r="C119" s="6" t="s">
        <v>305</v>
      </c>
      <c r="D119" s="6">
        <v>4.0</v>
      </c>
      <c r="E119" s="6">
        <v>3.0</v>
      </c>
      <c r="F119" s="6">
        <v>8.0</v>
      </c>
      <c r="G119" s="6">
        <v>7.0</v>
      </c>
      <c r="H119" s="6">
        <v>15.0</v>
      </c>
    </row>
    <row r="120" ht="15.75" customHeight="1">
      <c r="A120" s="6" t="s">
        <v>209</v>
      </c>
      <c r="B120" s="6" t="s">
        <v>306</v>
      </c>
      <c r="C120" s="6" t="s">
        <v>256</v>
      </c>
      <c r="D120" s="6">
        <v>5.0</v>
      </c>
      <c r="E120" s="6">
        <v>2.0</v>
      </c>
      <c r="F120" s="6">
        <v>1.0</v>
      </c>
      <c r="G120" s="6">
        <v>7.0</v>
      </c>
      <c r="H120" s="6">
        <v>8.0</v>
      </c>
    </row>
    <row r="121" ht="15.75" customHeight="1">
      <c r="A121" s="6" t="s">
        <v>209</v>
      </c>
      <c r="B121" s="6" t="s">
        <v>276</v>
      </c>
      <c r="C121" s="6" t="s">
        <v>288</v>
      </c>
      <c r="D121" s="6">
        <v>6.0</v>
      </c>
      <c r="E121" s="6">
        <v>1.0</v>
      </c>
      <c r="F121" s="6">
        <v>8.0</v>
      </c>
      <c r="G121" s="6">
        <v>7.0</v>
      </c>
      <c r="H121" s="6">
        <v>15.0</v>
      </c>
    </row>
    <row r="122" ht="15.75" customHeight="1">
      <c r="A122" s="6" t="s">
        <v>212</v>
      </c>
      <c r="B122" s="6" t="s">
        <v>287</v>
      </c>
      <c r="C122" s="6" t="s">
        <v>288</v>
      </c>
      <c r="D122" s="6">
        <v>3.0</v>
      </c>
      <c r="E122" s="6">
        <v>2.0</v>
      </c>
      <c r="F122" s="6">
        <v>0.0</v>
      </c>
      <c r="G122" s="6">
        <v>5.0</v>
      </c>
      <c r="H122" s="6">
        <v>5.0</v>
      </c>
    </row>
    <row r="123" ht="15.75" customHeight="1">
      <c r="A123" s="6" t="s">
        <v>212</v>
      </c>
      <c r="B123" s="6" t="s">
        <v>255</v>
      </c>
      <c r="C123" s="6" t="s">
        <v>289</v>
      </c>
      <c r="D123" s="6">
        <v>2.0</v>
      </c>
      <c r="E123" s="6">
        <v>1.0</v>
      </c>
      <c r="F123" s="6">
        <v>4.0</v>
      </c>
      <c r="G123" s="6">
        <v>3.0</v>
      </c>
      <c r="H123" s="6">
        <v>7.0</v>
      </c>
    </row>
    <row r="124" ht="15.75" customHeight="1">
      <c r="A124" s="6" t="s">
        <v>212</v>
      </c>
      <c r="B124" s="6" t="s">
        <v>290</v>
      </c>
      <c r="C124" s="6" t="s">
        <v>291</v>
      </c>
      <c r="D124" s="6">
        <v>3.0</v>
      </c>
      <c r="E124" s="6">
        <v>2.0</v>
      </c>
      <c r="F124" s="6">
        <v>3.0</v>
      </c>
      <c r="G124" s="6">
        <v>5.0</v>
      </c>
      <c r="H124" s="6">
        <v>8.0</v>
      </c>
    </row>
    <row r="125" ht="15.75" customHeight="1">
      <c r="A125" s="6" t="s">
        <v>212</v>
      </c>
      <c r="B125" s="6" t="s">
        <v>260</v>
      </c>
      <c r="C125" s="6" t="s">
        <v>288</v>
      </c>
      <c r="D125" s="6">
        <v>2.0</v>
      </c>
      <c r="E125" s="6">
        <v>1.0</v>
      </c>
      <c r="F125" s="6">
        <v>8.0</v>
      </c>
      <c r="G125" s="6">
        <v>3.0</v>
      </c>
      <c r="H125" s="6">
        <v>11.0</v>
      </c>
    </row>
    <row r="126" ht="15.75" customHeight="1">
      <c r="A126" s="6" t="s">
        <v>212</v>
      </c>
      <c r="B126" s="6" t="s">
        <v>292</v>
      </c>
      <c r="C126" s="6" t="s">
        <v>291</v>
      </c>
      <c r="D126" s="6">
        <v>3.0</v>
      </c>
      <c r="E126" s="6">
        <v>3.0</v>
      </c>
      <c r="F126" s="6">
        <v>6.0</v>
      </c>
      <c r="G126" s="6">
        <v>6.0</v>
      </c>
      <c r="H126" s="6">
        <v>12.0</v>
      </c>
    </row>
    <row r="127" ht="15.75" customHeight="1">
      <c r="A127" s="6" t="s">
        <v>212</v>
      </c>
      <c r="B127" s="6" t="s">
        <v>264</v>
      </c>
      <c r="C127" s="6" t="s">
        <v>293</v>
      </c>
      <c r="D127" s="6">
        <v>3.0</v>
      </c>
      <c r="E127" s="6">
        <v>8.0</v>
      </c>
      <c r="F127" s="6">
        <v>0.0</v>
      </c>
      <c r="G127" s="6">
        <v>11.0</v>
      </c>
      <c r="H127" s="6">
        <v>11.0</v>
      </c>
    </row>
    <row r="128" ht="15.75" customHeight="1">
      <c r="A128" s="6" t="s">
        <v>212</v>
      </c>
      <c r="B128" s="6" t="s">
        <v>294</v>
      </c>
      <c r="C128" s="6" t="s">
        <v>295</v>
      </c>
      <c r="D128" s="6">
        <v>2.0</v>
      </c>
      <c r="E128" s="6">
        <v>10.0</v>
      </c>
      <c r="F128" s="6">
        <v>0.0</v>
      </c>
      <c r="G128" s="6">
        <v>12.0</v>
      </c>
      <c r="H128" s="6">
        <v>12.0</v>
      </c>
    </row>
    <row r="129" ht="15.75" customHeight="1">
      <c r="A129" s="6" t="s">
        <v>212</v>
      </c>
      <c r="B129" s="6" t="s">
        <v>296</v>
      </c>
      <c r="C129" s="6" t="s">
        <v>291</v>
      </c>
      <c r="D129" s="6">
        <v>7.0</v>
      </c>
      <c r="E129" s="6">
        <v>1.0</v>
      </c>
      <c r="F129" s="6">
        <v>3.0</v>
      </c>
      <c r="G129" s="6">
        <v>8.0</v>
      </c>
      <c r="H129" s="6">
        <v>11.0</v>
      </c>
    </row>
    <row r="130" ht="15.75" customHeight="1">
      <c r="A130" s="6" t="s">
        <v>212</v>
      </c>
      <c r="B130" s="6" t="s">
        <v>297</v>
      </c>
      <c r="C130" s="6" t="s">
        <v>298</v>
      </c>
      <c r="D130" s="6">
        <v>2.0</v>
      </c>
      <c r="E130" s="6">
        <v>0.0</v>
      </c>
      <c r="F130" s="6">
        <v>0.0</v>
      </c>
      <c r="G130" s="6">
        <v>2.0</v>
      </c>
      <c r="H130" s="6">
        <v>2.0</v>
      </c>
    </row>
    <row r="131" ht="15.75" customHeight="1">
      <c r="A131" s="6" t="s">
        <v>212</v>
      </c>
      <c r="B131" s="6" t="s">
        <v>299</v>
      </c>
      <c r="C131" s="6" t="s">
        <v>289</v>
      </c>
      <c r="D131" s="6">
        <v>3.0</v>
      </c>
      <c r="E131" s="6">
        <v>7.0</v>
      </c>
      <c r="F131" s="6">
        <v>0.0</v>
      </c>
      <c r="G131" s="6">
        <v>10.0</v>
      </c>
      <c r="H131" s="6">
        <v>10.0</v>
      </c>
    </row>
    <row r="132" ht="15.75" customHeight="1">
      <c r="A132" s="6" t="s">
        <v>212</v>
      </c>
      <c r="B132" s="6" t="s">
        <v>270</v>
      </c>
      <c r="C132" s="6" t="s">
        <v>300</v>
      </c>
      <c r="D132" s="6">
        <v>2.0</v>
      </c>
      <c r="E132" s="6">
        <v>2.0</v>
      </c>
      <c r="F132" s="6">
        <v>0.0</v>
      </c>
      <c r="G132" s="6">
        <v>4.0</v>
      </c>
      <c r="H132" s="6">
        <v>4.0</v>
      </c>
    </row>
    <row r="133" ht="15.75" customHeight="1">
      <c r="A133" s="6" t="s">
        <v>212</v>
      </c>
      <c r="B133" s="6" t="s">
        <v>301</v>
      </c>
      <c r="C133" s="6" t="s">
        <v>288</v>
      </c>
      <c r="D133" s="6">
        <v>3.0</v>
      </c>
      <c r="E133" s="6">
        <v>7.0</v>
      </c>
      <c r="F133" s="6">
        <v>0.0</v>
      </c>
      <c r="G133" s="6">
        <v>10.0</v>
      </c>
      <c r="H133" s="6">
        <v>10.0</v>
      </c>
    </row>
    <row r="134" ht="15.75" customHeight="1">
      <c r="A134" s="6" t="s">
        <v>212</v>
      </c>
      <c r="B134" s="6" t="s">
        <v>302</v>
      </c>
      <c r="C134" s="6" t="s">
        <v>277</v>
      </c>
      <c r="D134" s="6">
        <v>2.0</v>
      </c>
      <c r="E134" s="6">
        <v>0.0</v>
      </c>
      <c r="F134" s="6">
        <v>0.0</v>
      </c>
      <c r="G134" s="6">
        <v>2.0</v>
      </c>
      <c r="H134" s="6">
        <v>2.0</v>
      </c>
    </row>
    <row r="135" ht="15.75" customHeight="1">
      <c r="A135" s="6" t="s">
        <v>212</v>
      </c>
      <c r="B135" s="6" t="s">
        <v>302</v>
      </c>
      <c r="C135" s="6" t="s">
        <v>303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</row>
    <row r="136" ht="15.75" customHeight="1">
      <c r="A136" s="6" t="s">
        <v>212</v>
      </c>
      <c r="B136" s="6" t="s">
        <v>304</v>
      </c>
      <c r="C136" s="6" t="s">
        <v>305</v>
      </c>
      <c r="D136" s="6">
        <v>0.0</v>
      </c>
      <c r="E136" s="6">
        <v>1.0</v>
      </c>
      <c r="F136" s="6">
        <v>7.0</v>
      </c>
      <c r="G136" s="6">
        <v>1.0</v>
      </c>
      <c r="H136" s="6">
        <v>8.0</v>
      </c>
    </row>
    <row r="137" ht="15.75" customHeight="1">
      <c r="A137" s="6" t="s">
        <v>215</v>
      </c>
      <c r="B137" s="6" t="s">
        <v>254</v>
      </c>
      <c r="C137" s="6" t="s">
        <v>80</v>
      </c>
      <c r="D137" s="6">
        <v>0.0</v>
      </c>
      <c r="E137" s="6">
        <v>4.0</v>
      </c>
      <c r="F137" s="6">
        <v>2.0</v>
      </c>
      <c r="G137" s="6">
        <v>4.0</v>
      </c>
      <c r="H137" s="6">
        <v>6.0</v>
      </c>
    </row>
    <row r="138" ht="15.75" customHeight="1">
      <c r="A138" s="6" t="s">
        <v>215</v>
      </c>
      <c r="B138" s="6" t="s">
        <v>259</v>
      </c>
      <c r="C138" s="6" t="s">
        <v>308</v>
      </c>
      <c r="D138" s="6">
        <v>6.0</v>
      </c>
      <c r="E138" s="6">
        <v>5.0</v>
      </c>
      <c r="F138" s="6">
        <v>0.0</v>
      </c>
      <c r="G138" s="6">
        <v>11.0</v>
      </c>
      <c r="H138" s="6">
        <v>11.0</v>
      </c>
    </row>
    <row r="139" ht="15.75" customHeight="1">
      <c r="A139" s="6" t="s">
        <v>215</v>
      </c>
      <c r="B139" s="6" t="s">
        <v>292</v>
      </c>
      <c r="C139" s="6" t="s">
        <v>303</v>
      </c>
      <c r="D139" s="6">
        <v>4.0</v>
      </c>
      <c r="E139" s="6">
        <v>3.0</v>
      </c>
      <c r="F139" s="6">
        <v>4.0</v>
      </c>
      <c r="G139" s="6">
        <v>7.0</v>
      </c>
      <c r="H139" s="6">
        <v>11.0</v>
      </c>
    </row>
    <row r="140" ht="15.75" customHeight="1">
      <c r="A140" s="6" t="s">
        <v>215</v>
      </c>
      <c r="B140" s="6" t="s">
        <v>262</v>
      </c>
      <c r="C140" s="6" t="s">
        <v>309</v>
      </c>
      <c r="D140" s="6">
        <v>1.0</v>
      </c>
      <c r="E140" s="6">
        <v>2.0</v>
      </c>
      <c r="F140" s="6">
        <v>3.0</v>
      </c>
      <c r="G140" s="6">
        <v>3.0</v>
      </c>
      <c r="H140" s="6">
        <v>6.0</v>
      </c>
    </row>
    <row r="141" ht="15.75" customHeight="1">
      <c r="A141" s="6" t="s">
        <v>215</v>
      </c>
      <c r="B141" s="6" t="s">
        <v>265</v>
      </c>
      <c r="C141" s="6" t="s">
        <v>310</v>
      </c>
      <c r="D141" s="6">
        <v>7.0</v>
      </c>
      <c r="E141" s="6">
        <v>7.0</v>
      </c>
      <c r="F141" s="6">
        <v>0.0</v>
      </c>
      <c r="G141" s="6">
        <v>14.0</v>
      </c>
      <c r="H141" s="6">
        <v>14.0</v>
      </c>
    </row>
    <row r="142" ht="15.75" customHeight="1">
      <c r="A142" s="6" t="s">
        <v>215</v>
      </c>
      <c r="B142" s="6" t="s">
        <v>311</v>
      </c>
      <c r="C142" s="6" t="s">
        <v>312</v>
      </c>
      <c r="D142" s="6">
        <v>6.0</v>
      </c>
      <c r="E142" s="6">
        <v>9.0</v>
      </c>
      <c r="F142" s="6">
        <v>4.0</v>
      </c>
      <c r="G142" s="6">
        <v>15.0</v>
      </c>
      <c r="H142" s="6">
        <v>19.0</v>
      </c>
    </row>
    <row r="143" ht="15.75" customHeight="1">
      <c r="A143" s="6" t="s">
        <v>215</v>
      </c>
      <c r="B143" s="6" t="s">
        <v>313</v>
      </c>
      <c r="C143" s="6" t="s">
        <v>309</v>
      </c>
      <c r="D143" s="6">
        <v>9.0</v>
      </c>
      <c r="E143" s="6">
        <v>2.0</v>
      </c>
      <c r="F143" s="6">
        <v>0.0</v>
      </c>
      <c r="G143" s="6">
        <v>11.0</v>
      </c>
      <c r="H143" s="6">
        <v>11.0</v>
      </c>
    </row>
    <row r="144" ht="15.75" customHeight="1">
      <c r="A144" s="6" t="s">
        <v>215</v>
      </c>
      <c r="B144" s="6" t="s">
        <v>297</v>
      </c>
      <c r="C144" s="6" t="s">
        <v>314</v>
      </c>
      <c r="D144" s="6">
        <v>6.0</v>
      </c>
      <c r="E144" s="6">
        <v>9.0</v>
      </c>
      <c r="F144" s="6">
        <v>0.0</v>
      </c>
      <c r="G144" s="6">
        <v>15.0</v>
      </c>
      <c r="H144" s="6">
        <v>15.0</v>
      </c>
    </row>
    <row r="145" ht="15.75" customHeight="1">
      <c r="A145" s="6" t="s">
        <v>215</v>
      </c>
      <c r="B145" s="6" t="s">
        <v>315</v>
      </c>
      <c r="C145" s="6" t="s">
        <v>316</v>
      </c>
      <c r="D145" s="6">
        <v>3.0</v>
      </c>
      <c r="E145" s="6">
        <v>8.0</v>
      </c>
      <c r="F145" s="6">
        <v>0.0</v>
      </c>
      <c r="G145" s="6">
        <v>11.0</v>
      </c>
      <c r="H145" s="6">
        <v>11.0</v>
      </c>
    </row>
    <row r="146" ht="15.75" customHeight="1">
      <c r="A146" s="6" t="s">
        <v>215</v>
      </c>
      <c r="B146" s="6" t="s">
        <v>270</v>
      </c>
      <c r="C146" s="6" t="s">
        <v>317</v>
      </c>
      <c r="D146" s="6">
        <v>5.0</v>
      </c>
      <c r="E146" s="6">
        <v>4.0</v>
      </c>
      <c r="F146" s="6">
        <v>0.0</v>
      </c>
      <c r="G146" s="6">
        <v>9.0</v>
      </c>
      <c r="H146" s="6">
        <v>9.0</v>
      </c>
    </row>
    <row r="147" ht="15.75" customHeight="1">
      <c r="A147" s="6" t="s">
        <v>215</v>
      </c>
      <c r="B147" s="6" t="s">
        <v>272</v>
      </c>
      <c r="C147" s="6" t="s">
        <v>303</v>
      </c>
      <c r="D147" s="6">
        <v>6.0</v>
      </c>
      <c r="E147" s="6">
        <v>4.0</v>
      </c>
      <c r="F147" s="6">
        <v>10.0</v>
      </c>
      <c r="G147" s="6">
        <v>10.0</v>
      </c>
      <c r="H147" s="6">
        <v>20.0</v>
      </c>
    </row>
    <row r="148" ht="15.75" customHeight="1">
      <c r="A148" s="6" t="s">
        <v>215</v>
      </c>
      <c r="B148" s="6" t="s">
        <v>301</v>
      </c>
      <c r="C148" s="6" t="s">
        <v>308</v>
      </c>
      <c r="D148" s="6">
        <v>5.0</v>
      </c>
      <c r="E148" s="6">
        <v>5.0</v>
      </c>
      <c r="F148" s="6">
        <v>0.0</v>
      </c>
      <c r="G148" s="6">
        <v>10.0</v>
      </c>
      <c r="H148" s="6">
        <v>10.0</v>
      </c>
    </row>
    <row r="149" ht="15.75" customHeight="1">
      <c r="A149" s="6" t="s">
        <v>215</v>
      </c>
      <c r="B149" s="6" t="s">
        <v>318</v>
      </c>
      <c r="C149" s="6" t="s">
        <v>319</v>
      </c>
      <c r="D149" s="6">
        <v>3.0</v>
      </c>
      <c r="E149" s="6">
        <v>6.0</v>
      </c>
      <c r="F149" s="6">
        <v>0.0</v>
      </c>
      <c r="G149" s="6">
        <v>9.0</v>
      </c>
      <c r="H149" s="6">
        <v>9.0</v>
      </c>
    </row>
    <row r="150" ht="15.75" customHeight="1">
      <c r="A150" s="6" t="s">
        <v>215</v>
      </c>
      <c r="B150" s="6" t="s">
        <v>320</v>
      </c>
      <c r="C150" s="6" t="s">
        <v>277</v>
      </c>
      <c r="D150" s="6">
        <v>4.0</v>
      </c>
      <c r="E150" s="6">
        <v>2.0</v>
      </c>
      <c r="F150" s="6">
        <v>1.0</v>
      </c>
      <c r="G150" s="6">
        <v>6.0</v>
      </c>
      <c r="H150" s="6">
        <v>7.0</v>
      </c>
    </row>
    <row r="151" ht="15.75" customHeight="1">
      <c r="A151" s="6" t="s">
        <v>215</v>
      </c>
      <c r="B151" s="6" t="s">
        <v>321</v>
      </c>
      <c r="C151" s="6" t="s">
        <v>305</v>
      </c>
      <c r="D151" s="6">
        <v>5.0</v>
      </c>
      <c r="E151" s="6">
        <v>7.0</v>
      </c>
      <c r="F151" s="6">
        <v>8.0</v>
      </c>
      <c r="G151" s="6">
        <v>12.0</v>
      </c>
      <c r="H151" s="6">
        <v>20.0</v>
      </c>
    </row>
    <row r="152" ht="15.75" customHeight="1">
      <c r="A152" s="6" t="s">
        <v>219</v>
      </c>
      <c r="B152" s="6" t="s">
        <v>254</v>
      </c>
      <c r="C152" s="6" t="s">
        <v>80</v>
      </c>
      <c r="D152" s="6">
        <v>0.0</v>
      </c>
      <c r="E152" s="6">
        <v>5.0</v>
      </c>
      <c r="F152" s="6">
        <v>0.0</v>
      </c>
      <c r="G152" s="6">
        <v>5.0</v>
      </c>
      <c r="H152" s="6">
        <v>5.0</v>
      </c>
    </row>
    <row r="153" ht="15.75" customHeight="1">
      <c r="A153" s="6" t="s">
        <v>219</v>
      </c>
      <c r="B153" s="6" t="s">
        <v>259</v>
      </c>
      <c r="C153" s="6" t="s">
        <v>308</v>
      </c>
      <c r="D153" s="6">
        <v>4.0</v>
      </c>
      <c r="E153" s="6">
        <v>0.0</v>
      </c>
      <c r="F153" s="6">
        <v>0.0</v>
      </c>
      <c r="G153" s="6">
        <v>4.0</v>
      </c>
      <c r="H153" s="6">
        <v>4.0</v>
      </c>
    </row>
    <row r="154" ht="15.75" customHeight="1">
      <c r="A154" s="6" t="s">
        <v>219</v>
      </c>
      <c r="B154" s="6" t="s">
        <v>292</v>
      </c>
      <c r="C154" s="6" t="s">
        <v>303</v>
      </c>
      <c r="D154" s="6">
        <v>1.0</v>
      </c>
      <c r="E154" s="6">
        <v>5.0</v>
      </c>
      <c r="F154" s="6">
        <v>2.0</v>
      </c>
      <c r="G154" s="6">
        <v>6.0</v>
      </c>
      <c r="H154" s="6">
        <v>8.0</v>
      </c>
    </row>
    <row r="155" ht="15.75" customHeight="1">
      <c r="A155" s="6" t="s">
        <v>219</v>
      </c>
      <c r="B155" s="6" t="s">
        <v>262</v>
      </c>
      <c r="C155" s="6" t="s">
        <v>309</v>
      </c>
      <c r="D155" s="6">
        <v>6.0</v>
      </c>
      <c r="E155" s="6">
        <v>4.0</v>
      </c>
      <c r="F155" s="6">
        <v>5.0</v>
      </c>
      <c r="G155" s="6">
        <v>10.0</v>
      </c>
      <c r="H155" s="6">
        <v>15.0</v>
      </c>
    </row>
    <row r="156" ht="15.75" customHeight="1">
      <c r="A156" s="6" t="s">
        <v>219</v>
      </c>
      <c r="B156" s="6" t="s">
        <v>265</v>
      </c>
      <c r="C156" s="6" t="s">
        <v>310</v>
      </c>
      <c r="D156" s="6">
        <v>3.0</v>
      </c>
      <c r="E156" s="6">
        <v>8.0</v>
      </c>
      <c r="F156" s="6">
        <v>0.0</v>
      </c>
      <c r="G156" s="6">
        <v>11.0</v>
      </c>
      <c r="H156" s="6">
        <v>11.0</v>
      </c>
    </row>
    <row r="157" ht="15.75" customHeight="1">
      <c r="A157" s="6" t="s">
        <v>219</v>
      </c>
      <c r="B157" s="6" t="s">
        <v>311</v>
      </c>
      <c r="C157" s="6" t="s">
        <v>312</v>
      </c>
      <c r="D157" s="6">
        <v>3.0</v>
      </c>
      <c r="E157" s="6">
        <v>5.0</v>
      </c>
      <c r="F157" s="6">
        <v>4.0</v>
      </c>
      <c r="G157" s="6">
        <v>8.0</v>
      </c>
      <c r="H157" s="6">
        <v>12.0</v>
      </c>
    </row>
    <row r="158" ht="15.75" customHeight="1">
      <c r="A158" s="6" t="s">
        <v>219</v>
      </c>
      <c r="B158" s="6" t="s">
        <v>313</v>
      </c>
      <c r="C158" s="6" t="s">
        <v>309</v>
      </c>
      <c r="D158" s="6">
        <v>2.0</v>
      </c>
      <c r="E158" s="6">
        <v>1.0</v>
      </c>
      <c r="F158" s="6">
        <v>0.0</v>
      </c>
      <c r="G158" s="6">
        <v>3.0</v>
      </c>
      <c r="H158" s="6">
        <v>3.0</v>
      </c>
    </row>
    <row r="159" ht="15.75" customHeight="1">
      <c r="A159" s="6" t="s">
        <v>219</v>
      </c>
      <c r="B159" s="6" t="s">
        <v>297</v>
      </c>
      <c r="C159" s="6" t="s">
        <v>314</v>
      </c>
      <c r="D159" s="6">
        <v>4.0</v>
      </c>
      <c r="E159" s="6">
        <v>3.0</v>
      </c>
      <c r="F159" s="6">
        <v>0.0</v>
      </c>
      <c r="G159" s="6">
        <v>7.0</v>
      </c>
      <c r="H159" s="6">
        <v>7.0</v>
      </c>
    </row>
    <row r="160" ht="15.75" customHeight="1">
      <c r="A160" s="6" t="s">
        <v>219</v>
      </c>
      <c r="B160" s="6" t="s">
        <v>315</v>
      </c>
      <c r="C160" s="6" t="s">
        <v>316</v>
      </c>
      <c r="D160" s="6">
        <v>3.0</v>
      </c>
      <c r="E160" s="6">
        <v>1.0</v>
      </c>
      <c r="F160" s="6">
        <v>0.0</v>
      </c>
      <c r="G160" s="6">
        <v>4.0</v>
      </c>
      <c r="H160" s="6">
        <v>4.0</v>
      </c>
    </row>
    <row r="161" ht="15.75" customHeight="1">
      <c r="A161" s="6" t="s">
        <v>219</v>
      </c>
      <c r="B161" s="6" t="s">
        <v>270</v>
      </c>
      <c r="C161" s="6" t="s">
        <v>317</v>
      </c>
      <c r="D161" s="6">
        <v>7.0</v>
      </c>
      <c r="E161" s="6">
        <v>7.0</v>
      </c>
      <c r="F161" s="6">
        <v>0.0</v>
      </c>
      <c r="G161" s="6">
        <v>14.0</v>
      </c>
      <c r="H161" s="6">
        <v>14.0</v>
      </c>
    </row>
    <row r="162" ht="15.75" customHeight="1">
      <c r="A162" s="6" t="s">
        <v>219</v>
      </c>
      <c r="B162" s="6" t="s">
        <v>272</v>
      </c>
      <c r="C162" s="6" t="s">
        <v>303</v>
      </c>
      <c r="D162" s="6">
        <v>5.0</v>
      </c>
      <c r="E162" s="6">
        <v>1.0</v>
      </c>
      <c r="F162" s="6">
        <v>5.0</v>
      </c>
      <c r="G162" s="6">
        <v>6.0</v>
      </c>
      <c r="H162" s="6">
        <v>11.0</v>
      </c>
    </row>
    <row r="163" ht="15.75" customHeight="1">
      <c r="A163" s="6" t="s">
        <v>219</v>
      </c>
      <c r="B163" s="6" t="s">
        <v>301</v>
      </c>
      <c r="C163" s="6" t="s">
        <v>308</v>
      </c>
      <c r="D163" s="6">
        <v>2.0</v>
      </c>
      <c r="E163" s="6">
        <v>2.0</v>
      </c>
      <c r="F163" s="6">
        <v>0.0</v>
      </c>
      <c r="G163" s="6">
        <v>4.0</v>
      </c>
      <c r="H163" s="6">
        <v>4.0</v>
      </c>
    </row>
    <row r="164" ht="15.75" customHeight="1">
      <c r="A164" s="6" t="s">
        <v>219</v>
      </c>
      <c r="B164" s="6" t="s">
        <v>318</v>
      </c>
      <c r="C164" s="6" t="s">
        <v>319</v>
      </c>
      <c r="D164" s="6">
        <v>7.0</v>
      </c>
      <c r="E164" s="6">
        <v>6.0</v>
      </c>
      <c r="F164" s="6">
        <v>0.0</v>
      </c>
      <c r="G164" s="6">
        <v>13.0</v>
      </c>
      <c r="H164" s="6">
        <v>13.0</v>
      </c>
    </row>
    <row r="165" ht="15.75" customHeight="1">
      <c r="A165" s="6" t="s">
        <v>219</v>
      </c>
      <c r="B165" s="6" t="s">
        <v>320</v>
      </c>
      <c r="C165" s="6" t="s">
        <v>277</v>
      </c>
      <c r="D165" s="6">
        <v>1.0</v>
      </c>
      <c r="E165" s="6">
        <v>5.0</v>
      </c>
      <c r="F165" s="6">
        <v>1.0</v>
      </c>
      <c r="G165" s="6">
        <v>6.0</v>
      </c>
      <c r="H165" s="6">
        <v>7.0</v>
      </c>
    </row>
    <row r="166" ht="15.75" customHeight="1">
      <c r="A166" s="6" t="s">
        <v>219</v>
      </c>
      <c r="B166" s="6" t="s">
        <v>321</v>
      </c>
      <c r="C166" s="6" t="s">
        <v>305</v>
      </c>
      <c r="D166" s="6">
        <v>3.0</v>
      </c>
      <c r="E166" s="6">
        <v>5.0</v>
      </c>
      <c r="F166" s="6">
        <v>5.0</v>
      </c>
      <c r="G166" s="6">
        <v>8.0</v>
      </c>
      <c r="H166" s="6">
        <v>13.0</v>
      </c>
    </row>
    <row r="167" ht="15.75" customHeight="1">
      <c r="A167" s="6" t="s">
        <v>222</v>
      </c>
      <c r="B167" s="6" t="s">
        <v>254</v>
      </c>
      <c r="C167" s="6" t="s">
        <v>80</v>
      </c>
      <c r="D167" s="6">
        <v>1.0</v>
      </c>
      <c r="E167" s="6">
        <v>2.0</v>
      </c>
      <c r="F167" s="6">
        <v>2.0</v>
      </c>
      <c r="G167" s="6">
        <v>3.0</v>
      </c>
      <c r="H167" s="6">
        <v>5.0</v>
      </c>
    </row>
    <row r="168" ht="15.75" customHeight="1">
      <c r="A168" s="6" t="s">
        <v>222</v>
      </c>
      <c r="B168" s="6" t="s">
        <v>259</v>
      </c>
      <c r="C168" s="6" t="s">
        <v>308</v>
      </c>
      <c r="D168" s="6">
        <v>5.0</v>
      </c>
      <c r="E168" s="6">
        <v>1.0</v>
      </c>
      <c r="F168" s="6">
        <v>2.0</v>
      </c>
      <c r="G168" s="6">
        <v>6.0</v>
      </c>
      <c r="H168" s="6">
        <v>8.0</v>
      </c>
    </row>
    <row r="169" ht="15.75" customHeight="1">
      <c r="A169" s="6" t="s">
        <v>222</v>
      </c>
      <c r="B169" s="6" t="s">
        <v>292</v>
      </c>
      <c r="C169" s="6" t="s">
        <v>303</v>
      </c>
      <c r="D169" s="6">
        <v>1.0</v>
      </c>
      <c r="E169" s="6">
        <v>2.0</v>
      </c>
      <c r="F169" s="6">
        <v>5.0</v>
      </c>
      <c r="G169" s="6">
        <v>3.0</v>
      </c>
      <c r="H169" s="6">
        <v>8.0</v>
      </c>
    </row>
    <row r="170" ht="15.75" customHeight="1">
      <c r="A170" s="6" t="s">
        <v>222</v>
      </c>
      <c r="B170" s="6" t="s">
        <v>262</v>
      </c>
      <c r="C170" s="6" t="s">
        <v>309</v>
      </c>
      <c r="D170" s="6">
        <v>3.0</v>
      </c>
      <c r="E170" s="6">
        <v>3.0</v>
      </c>
      <c r="F170" s="6">
        <v>0.0</v>
      </c>
      <c r="G170" s="6">
        <v>6.0</v>
      </c>
      <c r="H170" s="6">
        <v>6.0</v>
      </c>
    </row>
    <row r="171" ht="15.75" customHeight="1">
      <c r="A171" s="6" t="s">
        <v>222</v>
      </c>
      <c r="B171" s="6" t="s">
        <v>265</v>
      </c>
      <c r="C171" s="6" t="s">
        <v>310</v>
      </c>
      <c r="D171" s="6">
        <v>2.0</v>
      </c>
      <c r="E171" s="6">
        <v>2.0</v>
      </c>
      <c r="F171" s="6">
        <v>0.0</v>
      </c>
      <c r="G171" s="6">
        <v>4.0</v>
      </c>
      <c r="H171" s="6">
        <v>4.0</v>
      </c>
    </row>
    <row r="172" ht="15.75" customHeight="1">
      <c r="A172" s="6" t="s">
        <v>222</v>
      </c>
      <c r="B172" s="6" t="s">
        <v>311</v>
      </c>
      <c r="C172" s="6" t="s">
        <v>312</v>
      </c>
      <c r="D172" s="6">
        <v>3.0</v>
      </c>
      <c r="E172" s="6">
        <v>2.0</v>
      </c>
      <c r="F172" s="6">
        <v>1.0</v>
      </c>
      <c r="G172" s="6">
        <v>5.0</v>
      </c>
      <c r="H172" s="6">
        <v>6.0</v>
      </c>
    </row>
    <row r="173" ht="15.75" customHeight="1">
      <c r="A173" s="6" t="s">
        <v>222</v>
      </c>
      <c r="B173" s="6" t="s">
        <v>313</v>
      </c>
      <c r="C173" s="6" t="s">
        <v>309</v>
      </c>
      <c r="D173" s="6">
        <v>2.0</v>
      </c>
      <c r="E173" s="6">
        <v>0.0</v>
      </c>
      <c r="F173" s="6">
        <v>0.0</v>
      </c>
      <c r="G173" s="6">
        <v>2.0</v>
      </c>
      <c r="H173" s="6">
        <v>2.0</v>
      </c>
    </row>
    <row r="174" ht="15.75" customHeight="1">
      <c r="A174" s="6" t="s">
        <v>222</v>
      </c>
      <c r="B174" s="6" t="s">
        <v>297</v>
      </c>
      <c r="C174" s="6" t="s">
        <v>314</v>
      </c>
      <c r="D174" s="6">
        <v>0.0</v>
      </c>
      <c r="E174" s="6">
        <v>2.0</v>
      </c>
      <c r="F174" s="6">
        <v>0.0</v>
      </c>
      <c r="G174" s="6">
        <v>2.0</v>
      </c>
      <c r="H174" s="6">
        <v>2.0</v>
      </c>
    </row>
    <row r="175" ht="15.75" customHeight="1">
      <c r="A175" s="6" t="s">
        <v>222</v>
      </c>
      <c r="B175" s="6" t="s">
        <v>315</v>
      </c>
      <c r="C175" s="6" t="s">
        <v>316</v>
      </c>
      <c r="D175" s="6">
        <v>3.0</v>
      </c>
      <c r="E175" s="6">
        <v>2.0</v>
      </c>
      <c r="F175" s="6">
        <v>0.0</v>
      </c>
      <c r="G175" s="6">
        <v>5.0</v>
      </c>
      <c r="H175" s="6">
        <v>5.0</v>
      </c>
    </row>
    <row r="176" ht="15.75" customHeight="1">
      <c r="A176" s="6" t="s">
        <v>222</v>
      </c>
      <c r="B176" s="6" t="s">
        <v>270</v>
      </c>
      <c r="C176" s="6" t="s">
        <v>317</v>
      </c>
      <c r="D176" s="6">
        <v>5.0</v>
      </c>
      <c r="E176" s="6">
        <v>5.0</v>
      </c>
      <c r="F176" s="6">
        <v>0.0</v>
      </c>
      <c r="G176" s="6">
        <v>10.0</v>
      </c>
      <c r="H176" s="6">
        <v>10.0</v>
      </c>
    </row>
    <row r="177" ht="15.75" customHeight="1">
      <c r="A177" s="6" t="s">
        <v>222</v>
      </c>
      <c r="B177" s="6" t="s">
        <v>272</v>
      </c>
      <c r="C177" s="6" t="s">
        <v>303</v>
      </c>
      <c r="D177" s="6">
        <v>4.0</v>
      </c>
      <c r="E177" s="6">
        <v>2.0</v>
      </c>
      <c r="F177" s="6">
        <v>3.0</v>
      </c>
      <c r="G177" s="6">
        <v>6.0</v>
      </c>
      <c r="H177" s="6">
        <v>9.0</v>
      </c>
    </row>
    <row r="178" ht="15.75" customHeight="1">
      <c r="A178" s="6" t="s">
        <v>222</v>
      </c>
      <c r="B178" s="6" t="s">
        <v>301</v>
      </c>
      <c r="C178" s="6" t="s">
        <v>308</v>
      </c>
      <c r="D178" s="6">
        <v>11.0</v>
      </c>
      <c r="E178" s="6">
        <v>1.0</v>
      </c>
      <c r="F178" s="6">
        <v>0.0</v>
      </c>
      <c r="G178" s="6">
        <v>12.0</v>
      </c>
      <c r="H178" s="6">
        <v>12.0</v>
      </c>
    </row>
    <row r="179" ht="15.75" customHeight="1">
      <c r="A179" s="6" t="s">
        <v>222</v>
      </c>
      <c r="B179" s="6" t="s">
        <v>318</v>
      </c>
      <c r="C179" s="6" t="s">
        <v>319</v>
      </c>
      <c r="D179" s="6">
        <v>4.0</v>
      </c>
      <c r="E179" s="6">
        <v>4.0</v>
      </c>
      <c r="F179" s="6">
        <v>0.0</v>
      </c>
      <c r="G179" s="6">
        <v>8.0</v>
      </c>
      <c r="H179" s="6">
        <v>8.0</v>
      </c>
    </row>
    <row r="180" ht="15.75" customHeight="1">
      <c r="A180" s="6" t="s">
        <v>222</v>
      </c>
      <c r="B180" s="6" t="s">
        <v>320</v>
      </c>
      <c r="C180" s="6" t="s">
        <v>277</v>
      </c>
      <c r="D180" s="6">
        <v>2.0</v>
      </c>
      <c r="E180" s="6">
        <v>0.0</v>
      </c>
      <c r="F180" s="6">
        <v>1.0</v>
      </c>
      <c r="G180" s="6">
        <v>2.0</v>
      </c>
      <c r="H180" s="6">
        <v>3.0</v>
      </c>
    </row>
    <row r="181" ht="15.75" customHeight="1">
      <c r="A181" s="6" t="s">
        <v>222</v>
      </c>
      <c r="B181" s="6" t="s">
        <v>321</v>
      </c>
      <c r="C181" s="6" t="s">
        <v>305</v>
      </c>
      <c r="D181" s="6">
        <v>2.0</v>
      </c>
      <c r="E181" s="6">
        <v>2.0</v>
      </c>
      <c r="F181" s="6">
        <v>7.0</v>
      </c>
      <c r="G181" s="6">
        <v>4.0</v>
      </c>
      <c r="H181" s="6">
        <v>11.0</v>
      </c>
    </row>
    <row r="182" ht="15.75" customHeight="1">
      <c r="A182" s="6" t="s">
        <v>225</v>
      </c>
      <c r="B182" s="6" t="s">
        <v>254</v>
      </c>
      <c r="C182" s="6" t="s">
        <v>80</v>
      </c>
      <c r="D182" s="6">
        <v>0.0</v>
      </c>
      <c r="E182" s="6">
        <v>1.0</v>
      </c>
      <c r="F182" s="6">
        <v>1.0</v>
      </c>
      <c r="G182" s="6">
        <v>1.0</v>
      </c>
      <c r="H182" s="6">
        <v>2.0</v>
      </c>
    </row>
    <row r="183" ht="15.75" customHeight="1">
      <c r="A183" s="6" t="s">
        <v>225</v>
      </c>
      <c r="B183" s="6" t="s">
        <v>259</v>
      </c>
      <c r="C183" s="6" t="s">
        <v>308</v>
      </c>
      <c r="D183" s="6">
        <v>0.0</v>
      </c>
      <c r="E183" s="6">
        <v>1.0</v>
      </c>
      <c r="F183" s="6">
        <v>1.0</v>
      </c>
      <c r="G183" s="6">
        <v>1.0</v>
      </c>
      <c r="H183" s="6">
        <v>2.0</v>
      </c>
    </row>
    <row r="184" ht="15.75" customHeight="1">
      <c r="A184" s="6" t="s">
        <v>225</v>
      </c>
      <c r="B184" s="6" t="s">
        <v>292</v>
      </c>
      <c r="C184" s="6" t="s">
        <v>303</v>
      </c>
      <c r="D184" s="6">
        <v>4.0</v>
      </c>
      <c r="E184" s="6">
        <v>4.0</v>
      </c>
      <c r="F184" s="6">
        <v>3.0</v>
      </c>
      <c r="G184" s="6">
        <v>8.0</v>
      </c>
      <c r="H184" s="6">
        <v>11.0</v>
      </c>
    </row>
    <row r="185" ht="15.75" customHeight="1">
      <c r="A185" s="6" t="s">
        <v>225</v>
      </c>
      <c r="B185" s="6" t="s">
        <v>262</v>
      </c>
      <c r="C185" s="6" t="s">
        <v>309</v>
      </c>
      <c r="D185" s="6">
        <v>1.0</v>
      </c>
      <c r="E185" s="6">
        <v>3.0</v>
      </c>
      <c r="F185" s="6">
        <v>5.0</v>
      </c>
      <c r="G185" s="6">
        <v>4.0</v>
      </c>
      <c r="H185" s="6">
        <v>9.0</v>
      </c>
    </row>
    <row r="186" ht="15.75" customHeight="1">
      <c r="A186" s="6" t="s">
        <v>225</v>
      </c>
      <c r="B186" s="6" t="s">
        <v>265</v>
      </c>
      <c r="C186" s="6" t="s">
        <v>310</v>
      </c>
      <c r="D186" s="6">
        <v>12.0</v>
      </c>
      <c r="E186" s="6">
        <v>6.0</v>
      </c>
      <c r="F186" s="6">
        <v>0.0</v>
      </c>
      <c r="G186" s="6">
        <v>18.0</v>
      </c>
      <c r="H186" s="6">
        <v>18.0</v>
      </c>
    </row>
    <row r="187" ht="15.75" customHeight="1">
      <c r="A187" s="6" t="s">
        <v>225</v>
      </c>
      <c r="B187" s="6" t="s">
        <v>311</v>
      </c>
      <c r="C187" s="6" t="s">
        <v>312</v>
      </c>
      <c r="D187" s="6">
        <v>5.0</v>
      </c>
      <c r="E187" s="6">
        <v>8.0</v>
      </c>
      <c r="F187" s="6">
        <v>7.0</v>
      </c>
      <c r="G187" s="6">
        <v>13.0</v>
      </c>
      <c r="H187" s="6">
        <v>20.0</v>
      </c>
    </row>
    <row r="188" ht="15.75" customHeight="1">
      <c r="A188" s="6" t="s">
        <v>225</v>
      </c>
      <c r="B188" s="6" t="s">
        <v>313</v>
      </c>
      <c r="C188" s="6" t="s">
        <v>309</v>
      </c>
      <c r="D188" s="6">
        <v>2.0</v>
      </c>
      <c r="E188" s="6">
        <v>8.0</v>
      </c>
      <c r="F188" s="6">
        <v>0.0</v>
      </c>
      <c r="G188" s="6">
        <v>10.0</v>
      </c>
      <c r="H188" s="6">
        <v>10.0</v>
      </c>
    </row>
    <row r="189" ht="15.75" customHeight="1">
      <c r="A189" s="6" t="s">
        <v>225</v>
      </c>
      <c r="B189" s="6" t="s">
        <v>297</v>
      </c>
      <c r="C189" s="6" t="s">
        <v>314</v>
      </c>
      <c r="D189" s="6">
        <v>5.0</v>
      </c>
      <c r="E189" s="6">
        <v>5.0</v>
      </c>
      <c r="F189" s="6">
        <v>0.0</v>
      </c>
      <c r="G189" s="6">
        <v>10.0</v>
      </c>
      <c r="H189" s="6">
        <v>10.0</v>
      </c>
    </row>
    <row r="190" ht="15.75" customHeight="1">
      <c r="A190" s="6" t="s">
        <v>225</v>
      </c>
      <c r="B190" s="6" t="s">
        <v>315</v>
      </c>
      <c r="C190" s="6" t="s">
        <v>316</v>
      </c>
      <c r="D190" s="6">
        <v>7.0</v>
      </c>
      <c r="E190" s="6">
        <v>2.0</v>
      </c>
      <c r="F190" s="6">
        <v>0.0</v>
      </c>
      <c r="G190" s="6">
        <v>9.0</v>
      </c>
      <c r="H190" s="6">
        <v>9.0</v>
      </c>
    </row>
    <row r="191" ht="15.75" customHeight="1">
      <c r="A191" s="6" t="s">
        <v>225</v>
      </c>
      <c r="B191" s="6" t="s">
        <v>270</v>
      </c>
      <c r="C191" s="6" t="s">
        <v>317</v>
      </c>
      <c r="D191" s="6">
        <v>1.0</v>
      </c>
      <c r="E191" s="6">
        <v>3.0</v>
      </c>
      <c r="F191" s="6">
        <v>0.0</v>
      </c>
      <c r="G191" s="6">
        <v>4.0</v>
      </c>
      <c r="H191" s="6">
        <v>4.0</v>
      </c>
    </row>
    <row r="192" ht="15.75" customHeight="1">
      <c r="A192" s="6" t="s">
        <v>225</v>
      </c>
      <c r="B192" s="6" t="s">
        <v>272</v>
      </c>
      <c r="C192" s="6" t="s">
        <v>303</v>
      </c>
      <c r="D192" s="6">
        <v>3.0</v>
      </c>
      <c r="E192" s="6">
        <v>2.0</v>
      </c>
      <c r="F192" s="6">
        <v>8.0</v>
      </c>
      <c r="G192" s="6">
        <v>5.0</v>
      </c>
      <c r="H192" s="6">
        <v>13.0</v>
      </c>
    </row>
    <row r="193" ht="15.75" customHeight="1">
      <c r="A193" s="6" t="s">
        <v>225</v>
      </c>
      <c r="B193" s="6" t="s">
        <v>301</v>
      </c>
      <c r="C193" s="6" t="s">
        <v>308</v>
      </c>
      <c r="D193" s="6">
        <v>5.0</v>
      </c>
      <c r="E193" s="6">
        <v>9.0</v>
      </c>
      <c r="F193" s="6">
        <v>0.0</v>
      </c>
      <c r="G193" s="6">
        <v>14.0</v>
      </c>
      <c r="H193" s="6">
        <v>14.0</v>
      </c>
    </row>
    <row r="194" ht="15.75" customHeight="1">
      <c r="A194" s="6" t="s">
        <v>225</v>
      </c>
      <c r="B194" s="6" t="s">
        <v>318</v>
      </c>
      <c r="C194" s="6" t="s">
        <v>319</v>
      </c>
      <c r="D194" s="6">
        <v>5.0</v>
      </c>
      <c r="E194" s="6">
        <v>2.0</v>
      </c>
      <c r="F194" s="6">
        <v>0.0</v>
      </c>
      <c r="G194" s="6">
        <v>7.0</v>
      </c>
      <c r="H194" s="6">
        <v>7.0</v>
      </c>
    </row>
    <row r="195" ht="15.75" customHeight="1">
      <c r="A195" s="6" t="s">
        <v>225</v>
      </c>
      <c r="B195" s="6" t="s">
        <v>320</v>
      </c>
      <c r="C195" s="6" t="s">
        <v>277</v>
      </c>
      <c r="D195" s="6">
        <v>2.0</v>
      </c>
      <c r="E195" s="6">
        <v>1.0</v>
      </c>
      <c r="F195" s="6">
        <v>2.0</v>
      </c>
      <c r="G195" s="6">
        <v>3.0</v>
      </c>
      <c r="H195" s="6">
        <v>5.0</v>
      </c>
    </row>
    <row r="196" ht="15.75" customHeight="1">
      <c r="A196" s="6" t="s">
        <v>225</v>
      </c>
      <c r="B196" s="6" t="s">
        <v>321</v>
      </c>
      <c r="C196" s="6" t="s">
        <v>305</v>
      </c>
      <c r="D196" s="6">
        <v>5.0</v>
      </c>
      <c r="E196" s="6">
        <v>2.0</v>
      </c>
      <c r="F196" s="6">
        <v>4.0</v>
      </c>
      <c r="G196" s="6">
        <v>7.0</v>
      </c>
      <c r="H196" s="6">
        <v>11.0</v>
      </c>
    </row>
    <row r="197" ht="15.75" customHeight="1">
      <c r="A197" s="6" t="s">
        <v>228</v>
      </c>
      <c r="B197" s="6" t="s">
        <v>265</v>
      </c>
      <c r="C197" s="6" t="s">
        <v>322</v>
      </c>
      <c r="D197" s="6">
        <v>7.0</v>
      </c>
      <c r="E197" s="6">
        <v>3.0</v>
      </c>
      <c r="F197" s="6">
        <v>9.0</v>
      </c>
      <c r="G197" s="6">
        <v>10.0</v>
      </c>
      <c r="H197" s="6">
        <v>19.0</v>
      </c>
    </row>
    <row r="198" ht="15.75" customHeight="1">
      <c r="A198" s="6" t="s">
        <v>228</v>
      </c>
      <c r="B198" s="6" t="s">
        <v>294</v>
      </c>
      <c r="C198" s="6" t="s">
        <v>323</v>
      </c>
      <c r="D198" s="6">
        <v>1.0</v>
      </c>
      <c r="E198" s="6">
        <v>4.0</v>
      </c>
      <c r="F198" s="6">
        <v>1.0</v>
      </c>
      <c r="G198" s="6">
        <v>5.0</v>
      </c>
      <c r="H198" s="6">
        <v>6.0</v>
      </c>
    </row>
    <row r="199" ht="15.75" customHeight="1">
      <c r="A199" s="6" t="s">
        <v>228</v>
      </c>
      <c r="B199" s="6" t="s">
        <v>324</v>
      </c>
      <c r="C199" s="6" t="s">
        <v>322</v>
      </c>
      <c r="D199" s="6">
        <v>7.0</v>
      </c>
      <c r="E199" s="6">
        <v>2.0</v>
      </c>
      <c r="F199" s="6">
        <v>0.0</v>
      </c>
      <c r="G199" s="6">
        <v>9.0</v>
      </c>
      <c r="H199" s="6">
        <v>9.0</v>
      </c>
    </row>
    <row r="200" ht="15.75" customHeight="1">
      <c r="A200" s="6" t="s">
        <v>228</v>
      </c>
      <c r="B200" s="6" t="s">
        <v>325</v>
      </c>
      <c r="C200" s="6" t="s">
        <v>322</v>
      </c>
      <c r="D200" s="6">
        <v>1.0</v>
      </c>
      <c r="E200" s="6">
        <v>5.0</v>
      </c>
      <c r="F200" s="6">
        <v>6.0</v>
      </c>
      <c r="G200" s="6">
        <v>6.0</v>
      </c>
      <c r="H200" s="6">
        <v>12.0</v>
      </c>
    </row>
    <row r="201" ht="15.75" customHeight="1">
      <c r="A201" s="6" t="s">
        <v>228</v>
      </c>
      <c r="B201" s="6" t="s">
        <v>268</v>
      </c>
      <c r="C201" s="6" t="s">
        <v>326</v>
      </c>
      <c r="D201" s="6">
        <v>1.0</v>
      </c>
      <c r="E201" s="6">
        <v>5.0</v>
      </c>
      <c r="F201" s="6">
        <v>8.0</v>
      </c>
      <c r="G201" s="6">
        <v>6.0</v>
      </c>
      <c r="H201" s="6">
        <v>14.0</v>
      </c>
    </row>
    <row r="202" ht="15.75" customHeight="1">
      <c r="A202" s="6" t="s">
        <v>228</v>
      </c>
      <c r="B202" s="6" t="s">
        <v>270</v>
      </c>
      <c r="C202" s="6" t="s">
        <v>323</v>
      </c>
      <c r="D202" s="6">
        <v>1.0</v>
      </c>
      <c r="E202" s="6">
        <v>7.0</v>
      </c>
      <c r="F202" s="6">
        <v>0.0</v>
      </c>
      <c r="G202" s="6">
        <v>8.0</v>
      </c>
      <c r="H202" s="6">
        <v>8.0</v>
      </c>
    </row>
    <row r="203" ht="15.75" customHeight="1">
      <c r="A203" s="6" t="s">
        <v>228</v>
      </c>
      <c r="B203" s="6" t="s">
        <v>327</v>
      </c>
      <c r="C203" s="6" t="s">
        <v>328</v>
      </c>
      <c r="D203" s="6">
        <v>2.0</v>
      </c>
      <c r="E203" s="6">
        <v>1.0</v>
      </c>
      <c r="F203" s="6">
        <v>0.0</v>
      </c>
      <c r="G203" s="6">
        <v>3.0</v>
      </c>
      <c r="H203" s="6">
        <v>3.0</v>
      </c>
    </row>
    <row r="204" ht="15.75" customHeight="1">
      <c r="A204" s="6" t="s">
        <v>228</v>
      </c>
      <c r="B204" s="6" t="s">
        <v>301</v>
      </c>
      <c r="C204" s="6" t="s">
        <v>329</v>
      </c>
      <c r="D204" s="6">
        <v>6.0</v>
      </c>
      <c r="E204" s="6">
        <v>3.0</v>
      </c>
      <c r="F204" s="6">
        <v>0.0</v>
      </c>
      <c r="G204" s="6">
        <v>9.0</v>
      </c>
      <c r="H204" s="6">
        <v>9.0</v>
      </c>
    </row>
    <row r="205" ht="15.75" customHeight="1">
      <c r="A205" s="6" t="s">
        <v>228</v>
      </c>
      <c r="B205" s="6" t="s">
        <v>330</v>
      </c>
      <c r="C205" s="6" t="s">
        <v>323</v>
      </c>
      <c r="D205" s="6">
        <v>0.0</v>
      </c>
      <c r="E205" s="6">
        <v>4.0</v>
      </c>
      <c r="F205" s="6">
        <v>0.0</v>
      </c>
      <c r="G205" s="6">
        <v>4.0</v>
      </c>
      <c r="H205" s="6">
        <v>4.0</v>
      </c>
    </row>
    <row r="206" ht="15.75" customHeight="1">
      <c r="A206" s="6" t="s">
        <v>228</v>
      </c>
      <c r="B206" s="6" t="s">
        <v>331</v>
      </c>
      <c r="C206" s="6" t="s">
        <v>329</v>
      </c>
      <c r="D206" s="6">
        <v>7.0</v>
      </c>
      <c r="E206" s="6">
        <v>4.0</v>
      </c>
      <c r="F206" s="6">
        <v>0.0</v>
      </c>
      <c r="G206" s="6">
        <v>11.0</v>
      </c>
      <c r="H206" s="6">
        <v>11.0</v>
      </c>
    </row>
    <row r="207" ht="15.75" customHeight="1">
      <c r="A207" s="6" t="s">
        <v>228</v>
      </c>
      <c r="B207" s="6" t="s">
        <v>332</v>
      </c>
      <c r="C207" s="6" t="s">
        <v>328</v>
      </c>
      <c r="D207" s="6">
        <v>2.0</v>
      </c>
      <c r="E207" s="6">
        <v>0.0</v>
      </c>
      <c r="F207" s="6">
        <v>0.0</v>
      </c>
      <c r="G207" s="6">
        <v>2.0</v>
      </c>
      <c r="H207" s="6">
        <v>2.0</v>
      </c>
    </row>
    <row r="208" ht="15.75" customHeight="1">
      <c r="A208" s="6" t="s">
        <v>228</v>
      </c>
      <c r="B208" s="6" t="s">
        <v>333</v>
      </c>
      <c r="C208" s="6" t="s">
        <v>334</v>
      </c>
      <c r="D208" s="6">
        <v>0.0</v>
      </c>
      <c r="E208" s="6">
        <v>2.0</v>
      </c>
      <c r="F208" s="6">
        <v>0.0</v>
      </c>
      <c r="G208" s="6">
        <v>2.0</v>
      </c>
      <c r="H208" s="6">
        <v>2.0</v>
      </c>
    </row>
    <row r="209" ht="15.75" customHeight="1">
      <c r="A209" s="6" t="s">
        <v>228</v>
      </c>
      <c r="B209" s="6" t="s">
        <v>335</v>
      </c>
      <c r="C209" s="6" t="s">
        <v>329</v>
      </c>
      <c r="D209" s="6">
        <v>8.0</v>
      </c>
      <c r="E209" s="6">
        <v>4.0</v>
      </c>
      <c r="F209" s="6">
        <v>0.0</v>
      </c>
      <c r="G209" s="6">
        <v>12.0</v>
      </c>
      <c r="H209" s="6">
        <v>12.0</v>
      </c>
    </row>
    <row r="210" ht="15.75" customHeight="1">
      <c r="A210" s="6" t="s">
        <v>228</v>
      </c>
      <c r="B210" s="6" t="s">
        <v>336</v>
      </c>
      <c r="C210" s="6" t="s">
        <v>322</v>
      </c>
      <c r="D210" s="6">
        <v>6.0</v>
      </c>
      <c r="E210" s="6">
        <v>3.0</v>
      </c>
      <c r="F210" s="6">
        <v>0.0</v>
      </c>
      <c r="G210" s="6">
        <v>9.0</v>
      </c>
      <c r="H210" s="6">
        <v>9.0</v>
      </c>
    </row>
    <row r="211" ht="15.75" customHeight="1">
      <c r="A211" s="6" t="s">
        <v>228</v>
      </c>
      <c r="B211" s="6" t="s">
        <v>337</v>
      </c>
      <c r="C211" s="6" t="s">
        <v>338</v>
      </c>
      <c r="D211" s="6">
        <v>5.0</v>
      </c>
      <c r="E211" s="6">
        <v>3.0</v>
      </c>
      <c r="F211" s="6">
        <v>0.0</v>
      </c>
      <c r="G211" s="6">
        <v>8.0</v>
      </c>
      <c r="H211" s="6">
        <v>8.0</v>
      </c>
    </row>
    <row r="212" ht="15.75" customHeight="1">
      <c r="A212" s="6" t="s">
        <v>232</v>
      </c>
      <c r="B212" s="6" t="s">
        <v>265</v>
      </c>
      <c r="C212" s="6" t="s">
        <v>322</v>
      </c>
      <c r="D212" s="6">
        <v>2.0</v>
      </c>
      <c r="E212" s="6">
        <v>0.0</v>
      </c>
      <c r="F212" s="6">
        <v>0.0</v>
      </c>
      <c r="G212" s="6">
        <v>2.0</v>
      </c>
      <c r="H212" s="6">
        <v>2.0</v>
      </c>
    </row>
    <row r="213" ht="15.75" customHeight="1">
      <c r="A213" s="6" t="s">
        <v>232</v>
      </c>
      <c r="B213" s="6" t="s">
        <v>294</v>
      </c>
      <c r="C213" s="6" t="s">
        <v>323</v>
      </c>
      <c r="D213" s="6">
        <v>0.0</v>
      </c>
      <c r="E213" s="6">
        <v>5.0</v>
      </c>
      <c r="F213" s="6">
        <v>1.0</v>
      </c>
      <c r="G213" s="6">
        <v>5.0</v>
      </c>
      <c r="H213" s="6">
        <v>6.0</v>
      </c>
    </row>
    <row r="214" ht="15.75" customHeight="1">
      <c r="A214" s="6" t="s">
        <v>232</v>
      </c>
      <c r="B214" s="6" t="s">
        <v>324</v>
      </c>
      <c r="C214" s="6" t="s">
        <v>322</v>
      </c>
      <c r="D214" s="6">
        <v>3.0</v>
      </c>
      <c r="E214" s="6">
        <v>4.0</v>
      </c>
      <c r="F214" s="6">
        <v>0.0</v>
      </c>
      <c r="G214" s="6">
        <v>7.0</v>
      </c>
      <c r="H214" s="6">
        <v>7.0</v>
      </c>
    </row>
    <row r="215" ht="15.75" customHeight="1">
      <c r="A215" s="6" t="s">
        <v>232</v>
      </c>
      <c r="B215" s="6" t="s">
        <v>325</v>
      </c>
      <c r="C215" s="6" t="s">
        <v>322</v>
      </c>
      <c r="D215" s="6">
        <v>2.0</v>
      </c>
      <c r="E215" s="6">
        <v>1.0</v>
      </c>
      <c r="F215" s="6">
        <v>3.0</v>
      </c>
      <c r="G215" s="6">
        <v>3.0</v>
      </c>
      <c r="H215" s="6">
        <v>6.0</v>
      </c>
    </row>
    <row r="216" ht="15.75" customHeight="1">
      <c r="A216" s="6" t="s">
        <v>232</v>
      </c>
      <c r="B216" s="6" t="s">
        <v>268</v>
      </c>
      <c r="C216" s="6" t="s">
        <v>326</v>
      </c>
      <c r="D216" s="6">
        <v>3.0</v>
      </c>
      <c r="E216" s="6">
        <v>5.0</v>
      </c>
      <c r="F216" s="6">
        <v>1.0</v>
      </c>
      <c r="G216" s="6">
        <v>8.0</v>
      </c>
      <c r="H216" s="6">
        <v>9.0</v>
      </c>
    </row>
    <row r="217" ht="15.75" customHeight="1">
      <c r="A217" s="6" t="s">
        <v>232</v>
      </c>
      <c r="B217" s="6" t="s">
        <v>270</v>
      </c>
      <c r="C217" s="6" t="s">
        <v>323</v>
      </c>
      <c r="D217" s="6">
        <v>2.0</v>
      </c>
      <c r="E217" s="6">
        <v>2.0</v>
      </c>
      <c r="F217" s="6">
        <v>0.0</v>
      </c>
      <c r="G217" s="6">
        <v>4.0</v>
      </c>
      <c r="H217" s="6">
        <v>4.0</v>
      </c>
    </row>
    <row r="218" ht="15.75" customHeight="1">
      <c r="A218" s="6" t="s">
        <v>232</v>
      </c>
      <c r="B218" s="6" t="s">
        <v>327</v>
      </c>
      <c r="C218" s="6" t="s">
        <v>328</v>
      </c>
      <c r="D218" s="6">
        <v>0.0</v>
      </c>
      <c r="E218" s="6">
        <v>1.0</v>
      </c>
      <c r="F218" s="6">
        <v>0.0</v>
      </c>
      <c r="G218" s="6">
        <v>1.0</v>
      </c>
      <c r="H218" s="6">
        <v>1.0</v>
      </c>
    </row>
    <row r="219" ht="15.75" customHeight="1">
      <c r="A219" s="6" t="s">
        <v>232</v>
      </c>
      <c r="B219" s="6" t="s">
        <v>301</v>
      </c>
      <c r="C219" s="6" t="s">
        <v>329</v>
      </c>
      <c r="D219" s="6">
        <v>1.0</v>
      </c>
      <c r="E219" s="6">
        <v>0.0</v>
      </c>
      <c r="F219" s="6">
        <v>0.0</v>
      </c>
      <c r="G219" s="6">
        <v>1.0</v>
      </c>
      <c r="H219" s="6">
        <v>1.0</v>
      </c>
    </row>
    <row r="220" ht="15.75" customHeight="1">
      <c r="A220" s="6" t="s">
        <v>232</v>
      </c>
      <c r="B220" s="6" t="s">
        <v>281</v>
      </c>
      <c r="C220" s="6" t="s">
        <v>323</v>
      </c>
      <c r="D220" s="6">
        <v>2.0</v>
      </c>
      <c r="E220" s="6">
        <v>1.0</v>
      </c>
      <c r="F220" s="6">
        <v>3.0</v>
      </c>
      <c r="G220" s="6">
        <v>3.0</v>
      </c>
      <c r="H220" s="6">
        <v>6.0</v>
      </c>
    </row>
    <row r="221" ht="15.75" customHeight="1">
      <c r="A221" s="6" t="s">
        <v>232</v>
      </c>
      <c r="B221" s="6" t="s">
        <v>283</v>
      </c>
      <c r="C221" s="6" t="s">
        <v>328</v>
      </c>
      <c r="D221" s="6">
        <v>3.0</v>
      </c>
      <c r="E221" s="6">
        <v>3.0</v>
      </c>
      <c r="F221" s="6">
        <v>0.0</v>
      </c>
      <c r="G221" s="6">
        <v>6.0</v>
      </c>
      <c r="H221" s="6">
        <v>6.0</v>
      </c>
    </row>
    <row r="222" ht="15.75" customHeight="1">
      <c r="A222" s="6" t="s">
        <v>232</v>
      </c>
      <c r="B222" s="6" t="s">
        <v>275</v>
      </c>
      <c r="C222" s="6" t="s">
        <v>322</v>
      </c>
      <c r="D222" s="6">
        <v>3.0</v>
      </c>
      <c r="E222" s="6">
        <v>6.0</v>
      </c>
      <c r="F222" s="6">
        <v>2.0</v>
      </c>
      <c r="G222" s="6">
        <v>9.0</v>
      </c>
      <c r="H222" s="6">
        <v>11.0</v>
      </c>
    </row>
    <row r="223" ht="15.75" customHeight="1">
      <c r="A223" s="6" t="s">
        <v>232</v>
      </c>
      <c r="B223" s="6" t="s">
        <v>339</v>
      </c>
      <c r="C223" s="6" t="s">
        <v>334</v>
      </c>
      <c r="D223" s="6">
        <v>2.0</v>
      </c>
      <c r="E223" s="6">
        <v>3.0</v>
      </c>
      <c r="F223" s="6">
        <v>1.0</v>
      </c>
      <c r="G223" s="6">
        <v>5.0</v>
      </c>
      <c r="H223" s="6">
        <v>6.0</v>
      </c>
    </row>
    <row r="224" ht="15.75" customHeight="1">
      <c r="A224" s="6" t="s">
        <v>232</v>
      </c>
      <c r="B224" s="6" t="s">
        <v>330</v>
      </c>
      <c r="C224" s="6" t="s">
        <v>323</v>
      </c>
      <c r="D224" s="6">
        <v>0.0</v>
      </c>
      <c r="E224" s="6">
        <v>2.0</v>
      </c>
      <c r="F224" s="6">
        <v>0.0</v>
      </c>
      <c r="G224" s="6">
        <v>2.0</v>
      </c>
      <c r="H224" s="6">
        <v>2.0</v>
      </c>
    </row>
    <row r="225" ht="15.75" customHeight="1">
      <c r="A225" s="6" t="s">
        <v>232</v>
      </c>
      <c r="B225" s="6" t="s">
        <v>331</v>
      </c>
      <c r="C225" s="6" t="s">
        <v>329</v>
      </c>
      <c r="D225" s="6">
        <v>7.0</v>
      </c>
      <c r="E225" s="6">
        <v>16.0</v>
      </c>
      <c r="F225" s="6">
        <v>0.0</v>
      </c>
      <c r="G225" s="6">
        <v>23.0</v>
      </c>
      <c r="H225" s="6">
        <v>23.0</v>
      </c>
    </row>
    <row r="226" ht="15.75" customHeight="1">
      <c r="A226" s="6" t="s">
        <v>232</v>
      </c>
      <c r="B226" s="6" t="s">
        <v>332</v>
      </c>
      <c r="C226" s="6" t="s">
        <v>328</v>
      </c>
      <c r="D226" s="6">
        <v>1.0</v>
      </c>
      <c r="E226" s="6">
        <v>0.0</v>
      </c>
      <c r="F226" s="6">
        <v>0.0</v>
      </c>
      <c r="G226" s="6">
        <v>1.0</v>
      </c>
      <c r="H226" s="6">
        <v>1.0</v>
      </c>
    </row>
    <row r="227" ht="15.75" customHeight="1">
      <c r="A227" s="6" t="s">
        <v>235</v>
      </c>
      <c r="B227" s="6" t="s">
        <v>265</v>
      </c>
      <c r="C227" s="6" t="s">
        <v>322</v>
      </c>
      <c r="D227" s="6">
        <v>1.0</v>
      </c>
      <c r="E227" s="6">
        <v>0.0</v>
      </c>
      <c r="F227" s="6">
        <v>11.0</v>
      </c>
      <c r="G227" s="6">
        <v>1.0</v>
      </c>
      <c r="H227" s="6">
        <v>12.0</v>
      </c>
    </row>
    <row r="228" ht="15.75" customHeight="1">
      <c r="A228" s="6" t="s">
        <v>235</v>
      </c>
      <c r="B228" s="6" t="s">
        <v>294</v>
      </c>
      <c r="C228" s="6" t="s">
        <v>323</v>
      </c>
      <c r="D228" s="6">
        <v>3.0</v>
      </c>
      <c r="E228" s="6">
        <v>5.0</v>
      </c>
      <c r="F228" s="6">
        <v>1.0</v>
      </c>
      <c r="G228" s="6">
        <v>8.0</v>
      </c>
      <c r="H228" s="6">
        <v>9.0</v>
      </c>
    </row>
    <row r="229" ht="15.75" customHeight="1">
      <c r="A229" s="6" t="s">
        <v>235</v>
      </c>
      <c r="B229" s="6" t="s">
        <v>324</v>
      </c>
      <c r="C229" s="6" t="s">
        <v>322</v>
      </c>
      <c r="D229" s="6">
        <v>2.0</v>
      </c>
      <c r="E229" s="6">
        <v>2.0</v>
      </c>
      <c r="F229" s="6">
        <v>1.0</v>
      </c>
      <c r="G229" s="6">
        <v>4.0</v>
      </c>
      <c r="H229" s="6">
        <v>5.0</v>
      </c>
    </row>
    <row r="230" ht="15.75" customHeight="1">
      <c r="A230" s="6" t="s">
        <v>235</v>
      </c>
      <c r="B230" s="6" t="s">
        <v>325</v>
      </c>
      <c r="C230" s="6" t="s">
        <v>322</v>
      </c>
      <c r="D230" s="6">
        <v>11.0</v>
      </c>
      <c r="E230" s="6">
        <v>7.0</v>
      </c>
      <c r="F230" s="6">
        <v>3.0</v>
      </c>
      <c r="G230" s="6">
        <v>18.0</v>
      </c>
      <c r="H230" s="6">
        <v>21.0</v>
      </c>
    </row>
    <row r="231" ht="15.75" customHeight="1">
      <c r="A231" s="6" t="s">
        <v>235</v>
      </c>
      <c r="B231" s="6" t="s">
        <v>268</v>
      </c>
      <c r="C231" s="6" t="s">
        <v>326</v>
      </c>
      <c r="D231" s="6">
        <v>1.0</v>
      </c>
      <c r="E231" s="6">
        <v>8.0</v>
      </c>
      <c r="F231" s="6">
        <v>1.0</v>
      </c>
      <c r="G231" s="6">
        <v>9.0</v>
      </c>
      <c r="H231" s="6">
        <v>10.0</v>
      </c>
    </row>
    <row r="232" ht="15.75" customHeight="1">
      <c r="A232" s="6" t="s">
        <v>235</v>
      </c>
      <c r="B232" s="6" t="s">
        <v>270</v>
      </c>
      <c r="C232" s="6" t="s">
        <v>323</v>
      </c>
      <c r="D232" s="6">
        <v>3.0</v>
      </c>
      <c r="E232" s="6">
        <v>6.0</v>
      </c>
      <c r="F232" s="6">
        <v>0.0</v>
      </c>
      <c r="G232" s="6">
        <v>9.0</v>
      </c>
      <c r="H232" s="6">
        <v>9.0</v>
      </c>
    </row>
    <row r="233" ht="15.75" customHeight="1">
      <c r="A233" s="6" t="s">
        <v>235</v>
      </c>
      <c r="B233" s="6" t="s">
        <v>327</v>
      </c>
      <c r="C233" s="6" t="s">
        <v>328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</row>
    <row r="234" ht="15.75" customHeight="1">
      <c r="A234" s="6" t="s">
        <v>235</v>
      </c>
      <c r="B234" s="6" t="s">
        <v>301</v>
      </c>
      <c r="C234" s="6" t="s">
        <v>329</v>
      </c>
      <c r="D234" s="6">
        <v>6.0</v>
      </c>
      <c r="E234" s="6">
        <v>3.0</v>
      </c>
      <c r="F234" s="6">
        <v>0.0</v>
      </c>
      <c r="G234" s="6">
        <v>9.0</v>
      </c>
      <c r="H234" s="6">
        <v>9.0</v>
      </c>
    </row>
    <row r="235" ht="15.75" customHeight="1">
      <c r="A235" s="6" t="s">
        <v>235</v>
      </c>
      <c r="B235" s="6" t="s">
        <v>281</v>
      </c>
      <c r="C235" s="6" t="s">
        <v>323</v>
      </c>
      <c r="D235" s="6">
        <v>1.0</v>
      </c>
      <c r="E235" s="6">
        <v>2.0</v>
      </c>
      <c r="F235" s="6">
        <v>0.0</v>
      </c>
      <c r="G235" s="6">
        <v>3.0</v>
      </c>
      <c r="H235" s="6">
        <v>3.0</v>
      </c>
    </row>
    <row r="236" ht="15.75" customHeight="1">
      <c r="A236" s="6" t="s">
        <v>235</v>
      </c>
      <c r="B236" s="6" t="s">
        <v>283</v>
      </c>
      <c r="C236" s="6" t="s">
        <v>328</v>
      </c>
      <c r="D236" s="6">
        <v>2.0</v>
      </c>
      <c r="E236" s="6">
        <v>3.0</v>
      </c>
      <c r="F236" s="6">
        <v>0.0</v>
      </c>
      <c r="G236" s="6">
        <v>5.0</v>
      </c>
      <c r="H236" s="6">
        <v>5.0</v>
      </c>
    </row>
    <row r="237" ht="15.75" customHeight="1">
      <c r="A237" s="6" t="s">
        <v>235</v>
      </c>
      <c r="B237" s="6" t="s">
        <v>275</v>
      </c>
      <c r="C237" s="6" t="s">
        <v>322</v>
      </c>
      <c r="D237" s="6">
        <v>1.0</v>
      </c>
      <c r="E237" s="6">
        <v>1.0</v>
      </c>
      <c r="F237" s="6">
        <v>9.0</v>
      </c>
      <c r="G237" s="6">
        <v>2.0</v>
      </c>
      <c r="H237" s="6">
        <v>11.0</v>
      </c>
    </row>
    <row r="238" ht="15.75" customHeight="1">
      <c r="A238" s="6" t="s">
        <v>235</v>
      </c>
      <c r="B238" s="6" t="s">
        <v>339</v>
      </c>
      <c r="C238" s="6" t="s">
        <v>334</v>
      </c>
      <c r="D238" s="6">
        <v>6.0</v>
      </c>
      <c r="E238" s="6">
        <v>0.0</v>
      </c>
      <c r="F238" s="6">
        <v>4.0</v>
      </c>
      <c r="G238" s="6">
        <v>6.0</v>
      </c>
      <c r="H238" s="6">
        <v>10.0</v>
      </c>
    </row>
    <row r="239" ht="15.75" customHeight="1">
      <c r="A239" s="6" t="s">
        <v>235</v>
      </c>
      <c r="B239" s="6" t="s">
        <v>330</v>
      </c>
      <c r="C239" s="6" t="s">
        <v>323</v>
      </c>
      <c r="D239" s="6">
        <v>1.0</v>
      </c>
      <c r="E239" s="6">
        <v>2.0</v>
      </c>
      <c r="F239" s="6">
        <v>0.0</v>
      </c>
      <c r="G239" s="6">
        <v>3.0</v>
      </c>
      <c r="H239" s="6">
        <v>3.0</v>
      </c>
    </row>
    <row r="240" ht="15.75" customHeight="1">
      <c r="A240" s="6" t="s">
        <v>235</v>
      </c>
      <c r="B240" s="6" t="s">
        <v>331</v>
      </c>
      <c r="C240" s="6" t="s">
        <v>329</v>
      </c>
      <c r="D240" s="6">
        <v>3.0</v>
      </c>
      <c r="E240" s="6">
        <v>8.0</v>
      </c>
      <c r="F240" s="6">
        <v>0.0</v>
      </c>
      <c r="G240" s="6">
        <v>11.0</v>
      </c>
      <c r="H240" s="6">
        <v>11.0</v>
      </c>
    </row>
    <row r="241" ht="15.75" customHeight="1">
      <c r="A241" s="6" t="s">
        <v>235</v>
      </c>
      <c r="B241" s="6" t="s">
        <v>332</v>
      </c>
      <c r="C241" s="6" t="s">
        <v>328</v>
      </c>
      <c r="D241" s="6">
        <v>2.0</v>
      </c>
      <c r="E241" s="6">
        <v>0.0</v>
      </c>
      <c r="F241" s="6">
        <v>0.0</v>
      </c>
      <c r="G241" s="6">
        <v>2.0</v>
      </c>
      <c r="H241" s="6">
        <v>2.0</v>
      </c>
    </row>
    <row r="242" ht="15.75" customHeight="1">
      <c r="A242" s="6" t="s">
        <v>238</v>
      </c>
      <c r="B242" s="6" t="s">
        <v>265</v>
      </c>
      <c r="C242" s="6" t="s">
        <v>322</v>
      </c>
      <c r="D242" s="6">
        <v>2.0</v>
      </c>
      <c r="E242" s="6">
        <v>0.0</v>
      </c>
      <c r="F242" s="6">
        <v>6.0</v>
      </c>
      <c r="G242" s="6">
        <v>2.0</v>
      </c>
      <c r="H242" s="6">
        <v>8.0</v>
      </c>
    </row>
    <row r="243" ht="15.75" customHeight="1">
      <c r="A243" s="6" t="s">
        <v>238</v>
      </c>
      <c r="B243" s="6" t="s">
        <v>294</v>
      </c>
      <c r="C243" s="6" t="s">
        <v>323</v>
      </c>
      <c r="D243" s="6">
        <v>1.0</v>
      </c>
      <c r="E243" s="6">
        <v>4.0</v>
      </c>
      <c r="F243" s="6">
        <v>1.0</v>
      </c>
      <c r="G243" s="6">
        <v>5.0</v>
      </c>
      <c r="H243" s="6">
        <v>6.0</v>
      </c>
    </row>
    <row r="244" ht="15.75" customHeight="1">
      <c r="A244" s="6" t="s">
        <v>238</v>
      </c>
      <c r="B244" s="6" t="s">
        <v>324</v>
      </c>
      <c r="C244" s="6" t="s">
        <v>322</v>
      </c>
      <c r="D244" s="6">
        <v>3.0</v>
      </c>
      <c r="E244" s="6">
        <v>0.0</v>
      </c>
      <c r="F244" s="6">
        <v>3.0</v>
      </c>
      <c r="G244" s="6">
        <v>3.0</v>
      </c>
      <c r="H244" s="6">
        <v>6.0</v>
      </c>
    </row>
    <row r="245" ht="15.75" customHeight="1">
      <c r="A245" s="6" t="s">
        <v>238</v>
      </c>
      <c r="B245" s="6" t="s">
        <v>325</v>
      </c>
      <c r="C245" s="6" t="s">
        <v>322</v>
      </c>
      <c r="D245" s="6">
        <v>5.0</v>
      </c>
      <c r="E245" s="6">
        <v>5.0</v>
      </c>
      <c r="F245" s="6">
        <v>2.0</v>
      </c>
      <c r="G245" s="6">
        <v>10.0</v>
      </c>
      <c r="H245" s="6">
        <v>12.0</v>
      </c>
    </row>
    <row r="246" ht="15.75" customHeight="1">
      <c r="A246" s="6" t="s">
        <v>238</v>
      </c>
      <c r="B246" s="6" t="s">
        <v>268</v>
      </c>
      <c r="C246" s="6" t="s">
        <v>326</v>
      </c>
      <c r="D246" s="6">
        <v>4.0</v>
      </c>
      <c r="E246" s="6">
        <v>7.0</v>
      </c>
      <c r="F246" s="6">
        <v>2.0</v>
      </c>
      <c r="G246" s="6">
        <v>11.0</v>
      </c>
      <c r="H246" s="6">
        <v>13.0</v>
      </c>
    </row>
    <row r="247" ht="15.75" customHeight="1">
      <c r="A247" s="6" t="s">
        <v>238</v>
      </c>
      <c r="B247" s="6" t="s">
        <v>270</v>
      </c>
      <c r="C247" s="6" t="s">
        <v>323</v>
      </c>
      <c r="D247" s="6">
        <v>5.0</v>
      </c>
      <c r="E247" s="6">
        <v>3.0</v>
      </c>
      <c r="F247" s="6">
        <v>0.0</v>
      </c>
      <c r="G247" s="6">
        <v>8.0</v>
      </c>
      <c r="H247" s="6">
        <v>8.0</v>
      </c>
    </row>
    <row r="248" ht="15.75" customHeight="1">
      <c r="A248" s="6" t="s">
        <v>238</v>
      </c>
      <c r="B248" s="6" t="s">
        <v>327</v>
      </c>
      <c r="C248" s="6" t="s">
        <v>328</v>
      </c>
      <c r="D248" s="6">
        <v>1.0</v>
      </c>
      <c r="E248" s="6">
        <v>1.0</v>
      </c>
      <c r="F248" s="6">
        <v>0.0</v>
      </c>
      <c r="G248" s="6">
        <v>2.0</v>
      </c>
      <c r="H248" s="6">
        <v>2.0</v>
      </c>
    </row>
    <row r="249" ht="15.75" customHeight="1">
      <c r="A249" s="6" t="s">
        <v>238</v>
      </c>
      <c r="B249" s="6" t="s">
        <v>301</v>
      </c>
      <c r="C249" s="6" t="s">
        <v>329</v>
      </c>
      <c r="D249" s="6">
        <v>8.0</v>
      </c>
      <c r="E249" s="6">
        <v>6.0</v>
      </c>
      <c r="F249" s="6">
        <v>0.0</v>
      </c>
      <c r="G249" s="6">
        <v>14.0</v>
      </c>
      <c r="H249" s="6">
        <v>14.0</v>
      </c>
    </row>
    <row r="250" ht="15.75" customHeight="1">
      <c r="A250" s="6" t="s">
        <v>238</v>
      </c>
      <c r="B250" s="6" t="s">
        <v>281</v>
      </c>
      <c r="C250" s="6" t="s">
        <v>323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</row>
    <row r="251" ht="15.75" customHeight="1">
      <c r="A251" s="6" t="s">
        <v>238</v>
      </c>
      <c r="B251" s="6" t="s">
        <v>283</v>
      </c>
      <c r="C251" s="6" t="s">
        <v>328</v>
      </c>
      <c r="D251" s="6">
        <v>0.0</v>
      </c>
      <c r="E251" s="6">
        <v>6.0</v>
      </c>
      <c r="F251" s="6">
        <v>2.0</v>
      </c>
      <c r="G251" s="6">
        <v>6.0</v>
      </c>
      <c r="H251" s="6">
        <v>8.0</v>
      </c>
    </row>
    <row r="252" ht="15.75" customHeight="1">
      <c r="A252" s="6" t="s">
        <v>238</v>
      </c>
      <c r="B252" s="6" t="s">
        <v>275</v>
      </c>
      <c r="C252" s="6" t="s">
        <v>322</v>
      </c>
      <c r="D252" s="6">
        <v>0.0</v>
      </c>
      <c r="E252" s="6">
        <v>6.0</v>
      </c>
      <c r="F252" s="6">
        <v>4.0</v>
      </c>
      <c r="G252" s="6">
        <v>6.0</v>
      </c>
      <c r="H252" s="6">
        <v>10.0</v>
      </c>
    </row>
    <row r="253" ht="15.75" customHeight="1">
      <c r="A253" s="6" t="s">
        <v>238</v>
      </c>
      <c r="B253" s="6" t="s">
        <v>330</v>
      </c>
      <c r="C253" s="6" t="s">
        <v>323</v>
      </c>
      <c r="D253" s="6">
        <v>1.0</v>
      </c>
      <c r="E253" s="6">
        <v>2.0</v>
      </c>
      <c r="F253" s="6">
        <v>0.0</v>
      </c>
      <c r="G253" s="6">
        <v>3.0</v>
      </c>
      <c r="H253" s="6">
        <v>3.0</v>
      </c>
    </row>
    <row r="254" ht="15.75" customHeight="1">
      <c r="A254" s="6" t="s">
        <v>238</v>
      </c>
      <c r="B254" s="6" t="s">
        <v>331</v>
      </c>
      <c r="C254" s="6" t="s">
        <v>329</v>
      </c>
      <c r="D254" s="6">
        <v>7.0</v>
      </c>
      <c r="E254" s="6">
        <v>3.0</v>
      </c>
      <c r="F254" s="6">
        <v>0.0</v>
      </c>
      <c r="G254" s="6">
        <v>10.0</v>
      </c>
      <c r="H254" s="6">
        <v>10.0</v>
      </c>
    </row>
    <row r="255" ht="15.75" customHeight="1">
      <c r="A255" s="6" t="s">
        <v>238</v>
      </c>
      <c r="B255" s="6" t="s">
        <v>332</v>
      </c>
      <c r="C255" s="6" t="s">
        <v>328</v>
      </c>
      <c r="D255" s="6">
        <v>1.0</v>
      </c>
      <c r="E255" s="6">
        <v>0.0</v>
      </c>
      <c r="F255" s="6">
        <v>0.0</v>
      </c>
      <c r="G255" s="6">
        <v>1.0</v>
      </c>
      <c r="H255" s="6">
        <v>1.0</v>
      </c>
    </row>
    <row r="256" ht="15.75" customHeight="1">
      <c r="A256" s="6" t="s">
        <v>238</v>
      </c>
      <c r="B256" s="6" t="s">
        <v>341</v>
      </c>
      <c r="C256" s="6" t="s">
        <v>323</v>
      </c>
      <c r="D256" s="6">
        <v>1.0</v>
      </c>
      <c r="E256" s="6">
        <v>1.0</v>
      </c>
      <c r="F256" s="6">
        <v>3.0</v>
      </c>
      <c r="G256" s="6">
        <v>2.0</v>
      </c>
      <c r="H256" s="6">
        <v>5.0</v>
      </c>
    </row>
    <row r="257" ht="15.75" customHeight="1">
      <c r="A257" s="6" t="s">
        <v>241</v>
      </c>
      <c r="B257" s="6" t="s">
        <v>265</v>
      </c>
      <c r="C257" s="6" t="s">
        <v>322</v>
      </c>
      <c r="D257" s="6">
        <v>3.0</v>
      </c>
      <c r="E257" s="6">
        <v>0.0</v>
      </c>
      <c r="F257" s="6">
        <v>0.0</v>
      </c>
      <c r="G257" s="6">
        <v>3.0</v>
      </c>
      <c r="H257" s="6">
        <v>3.0</v>
      </c>
    </row>
    <row r="258" ht="15.75" customHeight="1">
      <c r="A258" s="6" t="s">
        <v>241</v>
      </c>
      <c r="B258" s="6" t="s">
        <v>294</v>
      </c>
      <c r="C258" s="6" t="s">
        <v>323</v>
      </c>
      <c r="D258" s="6">
        <v>1.0</v>
      </c>
      <c r="E258" s="6">
        <v>1.0</v>
      </c>
      <c r="F258" s="6">
        <v>0.0</v>
      </c>
      <c r="G258" s="6">
        <v>2.0</v>
      </c>
      <c r="H258" s="6">
        <v>2.0</v>
      </c>
    </row>
    <row r="259" ht="15.75" customHeight="1">
      <c r="A259" s="6" t="s">
        <v>241</v>
      </c>
      <c r="B259" s="6" t="s">
        <v>324</v>
      </c>
      <c r="C259" s="6" t="s">
        <v>322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</row>
    <row r="260" ht="15.75" customHeight="1">
      <c r="A260" s="6" t="s">
        <v>241</v>
      </c>
      <c r="B260" s="6" t="s">
        <v>325</v>
      </c>
      <c r="C260" s="6" t="s">
        <v>322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</row>
    <row r="261" ht="15.75" customHeight="1">
      <c r="A261" s="6" t="s">
        <v>241</v>
      </c>
      <c r="B261" s="6" t="s">
        <v>268</v>
      </c>
      <c r="C261" s="6" t="s">
        <v>326</v>
      </c>
      <c r="D261" s="6">
        <v>1.0</v>
      </c>
      <c r="E261" s="6">
        <v>1.0</v>
      </c>
      <c r="F261" s="6">
        <v>2.0</v>
      </c>
      <c r="G261" s="6">
        <v>2.0</v>
      </c>
      <c r="H261" s="6">
        <v>4.0</v>
      </c>
    </row>
    <row r="262" ht="15.75" customHeight="1">
      <c r="A262" s="6" t="s">
        <v>241</v>
      </c>
      <c r="B262" s="6" t="s">
        <v>270</v>
      </c>
      <c r="C262" s="6" t="s">
        <v>323</v>
      </c>
      <c r="D262" s="6">
        <v>0.0</v>
      </c>
      <c r="E262" s="6">
        <v>1.0</v>
      </c>
      <c r="F262" s="6">
        <v>0.0</v>
      </c>
      <c r="G262" s="6">
        <v>1.0</v>
      </c>
      <c r="H262" s="6">
        <v>1.0</v>
      </c>
    </row>
    <row r="263" ht="15.75" customHeight="1">
      <c r="A263" s="6" t="s">
        <v>241</v>
      </c>
      <c r="B263" s="6" t="s">
        <v>327</v>
      </c>
      <c r="C263" s="6" t="s">
        <v>328</v>
      </c>
      <c r="D263" s="6">
        <v>1.0</v>
      </c>
      <c r="E263" s="6">
        <v>2.0</v>
      </c>
      <c r="F263" s="6">
        <v>0.0</v>
      </c>
      <c r="G263" s="6">
        <v>3.0</v>
      </c>
      <c r="H263" s="6">
        <v>3.0</v>
      </c>
    </row>
    <row r="264" ht="15.75" customHeight="1">
      <c r="A264" s="6" t="s">
        <v>241</v>
      </c>
      <c r="B264" s="6" t="s">
        <v>301</v>
      </c>
      <c r="C264" s="6" t="s">
        <v>329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</row>
    <row r="265" ht="15.75" customHeight="1">
      <c r="A265" s="6" t="s">
        <v>241</v>
      </c>
      <c r="B265" s="6" t="s">
        <v>281</v>
      </c>
      <c r="C265" s="6" t="s">
        <v>323</v>
      </c>
      <c r="D265" s="6">
        <v>4.0</v>
      </c>
      <c r="E265" s="6">
        <v>1.0</v>
      </c>
      <c r="F265" s="6">
        <v>1.0</v>
      </c>
      <c r="G265" s="6">
        <v>5.0</v>
      </c>
      <c r="H265" s="6">
        <v>6.0</v>
      </c>
    </row>
    <row r="266" ht="15.75" customHeight="1">
      <c r="A266" s="6" t="s">
        <v>241</v>
      </c>
      <c r="B266" s="6" t="s">
        <v>283</v>
      </c>
      <c r="C266" s="6" t="s">
        <v>328</v>
      </c>
      <c r="D266" s="6">
        <v>0.0</v>
      </c>
      <c r="E266" s="6">
        <v>1.0</v>
      </c>
      <c r="F266" s="6">
        <v>1.0</v>
      </c>
      <c r="G266" s="6">
        <v>1.0</v>
      </c>
      <c r="H266" s="6">
        <v>2.0</v>
      </c>
    </row>
    <row r="267" ht="15.75" customHeight="1">
      <c r="A267" s="6" t="s">
        <v>241</v>
      </c>
      <c r="B267" s="6" t="s">
        <v>275</v>
      </c>
      <c r="C267" s="6" t="s">
        <v>322</v>
      </c>
      <c r="D267" s="6">
        <v>1.0</v>
      </c>
      <c r="E267" s="6">
        <v>0.0</v>
      </c>
      <c r="F267" s="6">
        <v>1.0</v>
      </c>
      <c r="G267" s="6">
        <v>1.0</v>
      </c>
      <c r="H267" s="6">
        <v>2.0</v>
      </c>
    </row>
    <row r="268" ht="15.75" customHeight="1">
      <c r="A268" s="6" t="s">
        <v>241</v>
      </c>
      <c r="B268" s="6" t="s">
        <v>339</v>
      </c>
      <c r="C268" s="6" t="s">
        <v>334</v>
      </c>
      <c r="D268" s="6">
        <v>2.0</v>
      </c>
      <c r="E268" s="6">
        <v>0.0</v>
      </c>
      <c r="F268" s="6">
        <v>2.0</v>
      </c>
      <c r="G268" s="6">
        <v>2.0</v>
      </c>
      <c r="H268" s="6">
        <v>4.0</v>
      </c>
    </row>
    <row r="269" ht="15.75" customHeight="1">
      <c r="A269" s="6" t="s">
        <v>241</v>
      </c>
      <c r="B269" s="6" t="s">
        <v>330</v>
      </c>
      <c r="C269" s="6" t="s">
        <v>323</v>
      </c>
      <c r="D269" s="6">
        <v>1.0</v>
      </c>
      <c r="E269" s="6">
        <v>1.0</v>
      </c>
      <c r="F269" s="6">
        <v>0.0</v>
      </c>
      <c r="G269" s="6">
        <v>2.0</v>
      </c>
      <c r="H269" s="6">
        <v>2.0</v>
      </c>
    </row>
    <row r="270" ht="15.75" customHeight="1">
      <c r="A270" s="6" t="s">
        <v>241</v>
      </c>
      <c r="B270" s="6" t="s">
        <v>331</v>
      </c>
      <c r="C270" s="6" t="s">
        <v>329</v>
      </c>
      <c r="D270" s="6">
        <v>0.0</v>
      </c>
      <c r="E270" s="6">
        <v>2.0</v>
      </c>
      <c r="F270" s="6">
        <v>0.0</v>
      </c>
      <c r="G270" s="6">
        <v>2.0</v>
      </c>
      <c r="H270" s="6">
        <v>2.0</v>
      </c>
    </row>
    <row r="271" ht="15.75" customHeight="1">
      <c r="A271" s="6" t="s">
        <v>241</v>
      </c>
      <c r="B271" s="6" t="s">
        <v>332</v>
      </c>
      <c r="C271" s="6" t="s">
        <v>328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5" width="11.0"/>
    <col customWidth="1" min="6" max="6" width="9.0"/>
    <col customWidth="1" min="7" max="7" width="18.0"/>
    <col customWidth="1" min="8" max="26" width="8.71"/>
  </cols>
  <sheetData>
    <row r="1">
      <c r="A1" s="5" t="s">
        <v>3</v>
      </c>
      <c r="B1" s="5" t="s">
        <v>344</v>
      </c>
      <c r="C1" s="5" t="s">
        <v>345</v>
      </c>
      <c r="D1" s="5" t="s">
        <v>346</v>
      </c>
      <c r="E1" s="5" t="s">
        <v>347</v>
      </c>
      <c r="F1" s="5" t="s">
        <v>348</v>
      </c>
      <c r="G1" s="5" t="s">
        <v>349</v>
      </c>
    </row>
    <row r="2">
      <c r="A2" s="6" t="s">
        <v>70</v>
      </c>
      <c r="B2" s="6" t="s">
        <v>350</v>
      </c>
      <c r="F2" s="6">
        <v>1.0</v>
      </c>
    </row>
    <row r="3">
      <c r="A3" s="6" t="s">
        <v>70</v>
      </c>
      <c r="B3" s="6" t="s">
        <v>351</v>
      </c>
      <c r="C3" s="6">
        <v>4.75</v>
      </c>
      <c r="F3" s="6">
        <v>3.0</v>
      </c>
      <c r="G3" s="6" t="s">
        <v>214</v>
      </c>
    </row>
    <row r="4">
      <c r="A4" s="6" t="s">
        <v>70</v>
      </c>
      <c r="B4" s="6" t="s">
        <v>352</v>
      </c>
      <c r="C4" s="6">
        <v>3.12</v>
      </c>
      <c r="F4" s="6">
        <v>3.0</v>
      </c>
      <c r="G4" s="6" t="s">
        <v>218</v>
      </c>
    </row>
    <row r="5">
      <c r="A5" s="6" t="s">
        <v>70</v>
      </c>
      <c r="B5" s="6" t="s">
        <v>353</v>
      </c>
      <c r="C5" s="6">
        <v>2.45</v>
      </c>
      <c r="F5" s="6">
        <v>3.0</v>
      </c>
      <c r="G5" s="6" t="s">
        <v>227</v>
      </c>
    </row>
    <row r="6">
      <c r="A6" s="6" t="s">
        <v>70</v>
      </c>
      <c r="B6" s="6" t="s">
        <v>354</v>
      </c>
      <c r="C6" s="6">
        <v>1.93</v>
      </c>
      <c r="F6" s="6">
        <v>3.0</v>
      </c>
      <c r="G6" s="6" t="s">
        <v>231</v>
      </c>
    </row>
    <row r="7">
      <c r="A7" s="6" t="s">
        <v>70</v>
      </c>
      <c r="B7" s="6" t="s">
        <v>355</v>
      </c>
      <c r="C7" s="6">
        <v>1.96</v>
      </c>
      <c r="F7" s="6">
        <v>3.0</v>
      </c>
      <c r="G7" s="6" t="s">
        <v>234</v>
      </c>
    </row>
    <row r="8">
      <c r="A8" s="6" t="s">
        <v>70</v>
      </c>
      <c r="B8" s="6" t="s">
        <v>356</v>
      </c>
      <c r="C8" s="6">
        <v>1.78</v>
      </c>
      <c r="F8" s="6">
        <v>3.0</v>
      </c>
      <c r="G8" s="6" t="s">
        <v>237</v>
      </c>
    </row>
    <row r="9">
      <c r="A9" s="6" t="s">
        <v>70</v>
      </c>
      <c r="B9" s="6" t="s">
        <v>357</v>
      </c>
      <c r="C9" s="6">
        <v>3.25</v>
      </c>
      <c r="F9" s="6">
        <v>3.0</v>
      </c>
      <c r="G9" s="6" t="s">
        <v>221</v>
      </c>
    </row>
    <row r="10">
      <c r="A10" s="6" t="s">
        <v>70</v>
      </c>
      <c r="B10" s="6" t="s">
        <v>358</v>
      </c>
      <c r="F10" s="6">
        <v>1.0</v>
      </c>
      <c r="G10" s="6" t="s">
        <v>240</v>
      </c>
    </row>
    <row r="11">
      <c r="A11" s="6" t="s">
        <v>70</v>
      </c>
      <c r="B11" s="6" t="s">
        <v>359</v>
      </c>
      <c r="C11" s="6">
        <v>3.88</v>
      </c>
      <c r="F11" s="6">
        <v>3.0</v>
      </c>
      <c r="G11" s="6" t="s">
        <v>224</v>
      </c>
    </row>
    <row r="12">
      <c r="A12" s="6" t="s">
        <v>73</v>
      </c>
      <c r="B12" s="6" t="s">
        <v>360</v>
      </c>
      <c r="C12" s="6">
        <v>2.42</v>
      </c>
      <c r="F12" s="6">
        <v>3.0</v>
      </c>
      <c r="G12" s="6" t="s">
        <v>197</v>
      </c>
    </row>
    <row r="13">
      <c r="A13" s="6" t="s">
        <v>73</v>
      </c>
      <c r="B13" s="6" t="s">
        <v>361</v>
      </c>
      <c r="C13" s="6">
        <v>3.31</v>
      </c>
      <c r="F13" s="6">
        <v>3.0</v>
      </c>
      <c r="G13" s="6" t="s">
        <v>126</v>
      </c>
    </row>
    <row r="14">
      <c r="A14" s="6" t="s">
        <v>73</v>
      </c>
      <c r="B14" s="6" t="s">
        <v>362</v>
      </c>
      <c r="C14" s="6">
        <v>1.7</v>
      </c>
      <c r="F14" s="6">
        <v>3.0</v>
      </c>
      <c r="G14" s="6" t="s">
        <v>201</v>
      </c>
    </row>
    <row r="15">
      <c r="A15" s="6" t="s">
        <v>73</v>
      </c>
      <c r="B15" s="6" t="s">
        <v>363</v>
      </c>
      <c r="F15" s="6">
        <v>1.0</v>
      </c>
      <c r="G15" s="6" t="s">
        <v>204</v>
      </c>
    </row>
    <row r="16">
      <c r="A16" s="6" t="s">
        <v>73</v>
      </c>
      <c r="B16" s="6" t="s">
        <v>364</v>
      </c>
      <c r="C16" s="6">
        <v>4.5</v>
      </c>
      <c r="F16" s="6">
        <v>3.0</v>
      </c>
      <c r="G16" s="6" t="s">
        <v>187</v>
      </c>
    </row>
    <row r="17">
      <c r="A17" s="6" t="s">
        <v>73</v>
      </c>
      <c r="B17" s="6" t="s">
        <v>365</v>
      </c>
      <c r="C17" s="6">
        <v>4.09</v>
      </c>
      <c r="F17" s="6">
        <v>3.0</v>
      </c>
      <c r="G17" s="6" t="s">
        <v>190</v>
      </c>
    </row>
    <row r="18">
      <c r="A18" s="6" t="s">
        <v>73</v>
      </c>
      <c r="B18" s="6" t="s">
        <v>366</v>
      </c>
      <c r="C18" s="6">
        <v>2.1</v>
      </c>
      <c r="F18" s="6">
        <v>3.0</v>
      </c>
      <c r="G18" s="6" t="s">
        <v>208</v>
      </c>
    </row>
    <row r="19">
      <c r="A19" s="6" t="s">
        <v>73</v>
      </c>
      <c r="B19" s="6" t="s">
        <v>367</v>
      </c>
      <c r="C19" s="6">
        <v>3.12</v>
      </c>
      <c r="F19" s="6">
        <v>3.0</v>
      </c>
      <c r="G19" s="6" t="s">
        <v>193</v>
      </c>
    </row>
    <row r="20">
      <c r="A20" s="6" t="s">
        <v>73</v>
      </c>
      <c r="B20" s="6" t="s">
        <v>368</v>
      </c>
      <c r="C20" s="6">
        <v>1.88</v>
      </c>
      <c r="F20" s="6">
        <v>3.0</v>
      </c>
      <c r="G20" s="6" t="s">
        <v>211</v>
      </c>
    </row>
    <row r="21" ht="15.75" customHeight="1">
      <c r="A21" s="6" t="s">
        <v>73</v>
      </c>
      <c r="B21" s="6" t="s">
        <v>369</v>
      </c>
      <c r="F21" s="6">
        <v>1.0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16.0"/>
    <col customWidth="1" min="2" max="2" width="10.0"/>
    <col customWidth="1" min="3" max="3" width="22.0"/>
    <col customWidth="1" min="4" max="4" width="13.0"/>
    <col customWidth="1" min="5" max="5" width="14.0"/>
    <col customWidth="1" min="6" max="6" width="6.0"/>
    <col customWidth="1" min="7" max="7" width="7.0"/>
    <col customWidth="1" min="8" max="9" width="8.0"/>
    <col customWidth="1" min="10" max="10" width="9.0"/>
    <col customWidth="1" min="11" max="12" width="8.0"/>
    <col customWidth="1" min="13" max="13" width="9.0"/>
    <col customWidth="1" min="14" max="15" width="7.0"/>
    <col customWidth="1" min="16" max="16" width="8.0"/>
    <col customWidth="1" min="17" max="26" width="8.71"/>
  </cols>
  <sheetData>
    <row r="1">
      <c r="A1" s="5" t="s">
        <v>371</v>
      </c>
      <c r="B1" s="5" t="s">
        <v>372</v>
      </c>
      <c r="C1" s="5" t="s">
        <v>3</v>
      </c>
      <c r="D1" s="5" t="s">
        <v>10</v>
      </c>
      <c r="E1" s="5" t="s">
        <v>16</v>
      </c>
      <c r="F1" s="5" t="s">
        <v>19</v>
      </c>
      <c r="G1" s="5" t="s">
        <v>25</v>
      </c>
      <c r="H1" s="5" t="s">
        <v>31</v>
      </c>
      <c r="I1" s="5" t="s">
        <v>40</v>
      </c>
      <c r="J1" s="5" t="s">
        <v>41</v>
      </c>
      <c r="K1" s="5" t="s">
        <v>47</v>
      </c>
      <c r="L1" s="5" t="s">
        <v>129</v>
      </c>
      <c r="M1" s="5" t="s">
        <v>43</v>
      </c>
      <c r="N1" s="5" t="s">
        <v>51</v>
      </c>
      <c r="O1" s="5" t="s">
        <v>373</v>
      </c>
      <c r="P1" s="5" t="s">
        <v>374</v>
      </c>
    </row>
    <row r="2">
      <c r="A2" s="6" t="s">
        <v>161</v>
      </c>
      <c r="B2" s="6" t="s">
        <v>159</v>
      </c>
      <c r="C2" s="6" t="s">
        <v>73</v>
      </c>
      <c r="D2" s="6" t="s">
        <v>78</v>
      </c>
      <c r="E2" s="6" t="s">
        <v>83</v>
      </c>
      <c r="F2" s="6">
        <v>10.5</v>
      </c>
      <c r="G2" s="6">
        <v>9.64</v>
      </c>
      <c r="H2" s="8">
        <v>0.413</v>
      </c>
      <c r="I2" s="6">
        <v>9.0</v>
      </c>
      <c r="J2" s="8">
        <v>0.3458</v>
      </c>
      <c r="K2" s="8">
        <v>0.7014</v>
      </c>
      <c r="L2" s="8">
        <v>0.6</v>
      </c>
      <c r="N2" s="8">
        <v>0.4</v>
      </c>
      <c r="O2" s="11"/>
      <c r="P2" s="6" t="str">
        <f t="shared" ref="P2:P19" si="1">IF(O2="","",IF(O2&gt;F2,"OVER",IF(O2&lt;F2,"UNDER","PUSH")))</f>
        <v/>
      </c>
    </row>
    <row r="3">
      <c r="A3" s="6" t="s">
        <v>161</v>
      </c>
      <c r="B3" s="6" t="s">
        <v>159</v>
      </c>
      <c r="C3" s="6" t="s">
        <v>73</v>
      </c>
      <c r="D3" s="6" t="s">
        <v>141</v>
      </c>
      <c r="E3" s="6" t="s">
        <v>83</v>
      </c>
      <c r="F3" s="6">
        <v>14.5</v>
      </c>
      <c r="G3" s="6">
        <v>15.1</v>
      </c>
      <c r="H3" s="8">
        <v>0.5463</v>
      </c>
      <c r="I3" s="6">
        <v>13.8</v>
      </c>
      <c r="J3" s="8">
        <v>0.4434</v>
      </c>
      <c r="K3" s="8">
        <v>0.7014</v>
      </c>
      <c r="L3" s="8">
        <v>0.57</v>
      </c>
      <c r="N3" s="8">
        <v>0.6</v>
      </c>
      <c r="O3" s="11"/>
      <c r="P3" s="6" t="str">
        <f t="shared" si="1"/>
        <v/>
      </c>
    </row>
    <row r="4">
      <c r="A4" s="6" t="s">
        <v>161</v>
      </c>
      <c r="B4" s="6" t="s">
        <v>159</v>
      </c>
      <c r="C4" s="6" t="s">
        <v>73</v>
      </c>
      <c r="D4" s="6" t="s">
        <v>164</v>
      </c>
      <c r="E4" s="6" t="s">
        <v>83</v>
      </c>
      <c r="F4" s="6">
        <v>13.5</v>
      </c>
      <c r="G4" s="6">
        <v>11.16</v>
      </c>
      <c r="H4" s="8">
        <v>0.2918</v>
      </c>
      <c r="I4" s="6">
        <v>10.2</v>
      </c>
      <c r="J4" s="8">
        <v>0.2094</v>
      </c>
      <c r="K4" s="8">
        <v>0.7014</v>
      </c>
      <c r="L4" s="8">
        <v>0.57</v>
      </c>
      <c r="N4" s="8">
        <v>0.4</v>
      </c>
      <c r="O4" s="11"/>
      <c r="P4" s="6" t="str">
        <f t="shared" si="1"/>
        <v/>
      </c>
    </row>
    <row r="5">
      <c r="A5" s="6" t="s">
        <v>161</v>
      </c>
      <c r="B5" s="6" t="s">
        <v>159</v>
      </c>
      <c r="C5" s="6" t="s">
        <v>73</v>
      </c>
      <c r="D5" s="6" t="s">
        <v>194</v>
      </c>
      <c r="E5" s="6" t="s">
        <v>83</v>
      </c>
      <c r="F5" s="6">
        <v>9.5</v>
      </c>
      <c r="G5" s="6">
        <v>10.93</v>
      </c>
      <c r="H5" s="8">
        <v>0.6323</v>
      </c>
      <c r="I5" s="6">
        <v>10.2</v>
      </c>
      <c r="J5" s="8">
        <v>0.5682</v>
      </c>
      <c r="K5" s="8">
        <v>0.7014</v>
      </c>
      <c r="L5" s="8">
        <v>0.6</v>
      </c>
      <c r="N5" s="8">
        <v>0.5</v>
      </c>
      <c r="O5" s="11"/>
      <c r="P5" s="6" t="str">
        <f t="shared" si="1"/>
        <v/>
      </c>
    </row>
    <row r="6">
      <c r="A6" s="6" t="s">
        <v>161</v>
      </c>
      <c r="B6" s="6" t="s">
        <v>159</v>
      </c>
      <c r="C6" s="6" t="s">
        <v>73</v>
      </c>
      <c r="D6" s="6" t="s">
        <v>198</v>
      </c>
      <c r="E6" s="6" t="s">
        <v>83</v>
      </c>
      <c r="F6" s="6">
        <v>9.5</v>
      </c>
      <c r="G6" s="6">
        <v>10.65</v>
      </c>
      <c r="H6" s="8">
        <v>0.601</v>
      </c>
      <c r="I6" s="6">
        <v>13.5</v>
      </c>
      <c r="J6" s="8">
        <v>0.786</v>
      </c>
      <c r="K6" s="8">
        <v>0.2986</v>
      </c>
      <c r="L6" s="8">
        <v>0.6</v>
      </c>
      <c r="N6" s="8">
        <v>0.8</v>
      </c>
      <c r="O6" s="11"/>
      <c r="P6" s="6" t="str">
        <f t="shared" si="1"/>
        <v/>
      </c>
    </row>
    <row r="7">
      <c r="A7" s="6" t="s">
        <v>161</v>
      </c>
      <c r="B7" s="6" t="s">
        <v>159</v>
      </c>
      <c r="C7" s="6" t="s">
        <v>73</v>
      </c>
      <c r="D7" s="6" t="s">
        <v>202</v>
      </c>
      <c r="E7" s="6" t="s">
        <v>83</v>
      </c>
      <c r="F7" s="6">
        <v>6.0</v>
      </c>
      <c r="G7" s="6">
        <v>7.52</v>
      </c>
      <c r="H7" s="8">
        <v>0.6116</v>
      </c>
      <c r="I7" s="6">
        <v>10.2</v>
      </c>
      <c r="J7" s="8">
        <v>0.8119</v>
      </c>
      <c r="K7" s="8">
        <v>0.2986</v>
      </c>
      <c r="L7" s="8">
        <v>0.7</v>
      </c>
      <c r="N7" s="8">
        <v>0.7</v>
      </c>
      <c r="O7" s="11"/>
      <c r="P7" s="6" t="str">
        <f t="shared" si="1"/>
        <v/>
      </c>
    </row>
    <row r="8">
      <c r="A8" s="6" t="s">
        <v>161</v>
      </c>
      <c r="B8" s="6" t="s">
        <v>159</v>
      </c>
      <c r="C8" s="6" t="s">
        <v>73</v>
      </c>
      <c r="D8" s="6" t="s">
        <v>205</v>
      </c>
      <c r="E8" s="6" t="s">
        <v>83</v>
      </c>
      <c r="F8" s="6">
        <v>1.5</v>
      </c>
      <c r="G8" s="6">
        <v>1.66</v>
      </c>
      <c r="H8" s="8">
        <v>0.541</v>
      </c>
      <c r="I8" s="6">
        <v>2.1</v>
      </c>
      <c r="J8" s="8">
        <v>0.6372</v>
      </c>
      <c r="K8" s="8">
        <v>0.2986</v>
      </c>
      <c r="L8" s="8">
        <v>0.6</v>
      </c>
      <c r="N8" s="8">
        <v>0.6</v>
      </c>
      <c r="O8" s="11"/>
      <c r="P8" s="6" t="str">
        <f t="shared" si="1"/>
        <v/>
      </c>
    </row>
    <row r="9">
      <c r="A9" s="6" t="s">
        <v>161</v>
      </c>
      <c r="B9" s="6" t="s">
        <v>159</v>
      </c>
      <c r="C9" s="6" t="s">
        <v>73</v>
      </c>
      <c r="D9" s="6" t="s">
        <v>209</v>
      </c>
      <c r="E9" s="6" t="s">
        <v>83</v>
      </c>
      <c r="F9" s="6">
        <v>7.0</v>
      </c>
      <c r="G9" s="6">
        <v>6.19</v>
      </c>
      <c r="H9" s="8">
        <v>0.3407</v>
      </c>
      <c r="I9" s="6">
        <v>8.4</v>
      </c>
      <c r="J9" s="8">
        <v>0.5958</v>
      </c>
      <c r="K9" s="8">
        <v>0.2986</v>
      </c>
      <c r="L9" s="8">
        <v>0.7</v>
      </c>
      <c r="N9" s="8">
        <v>0.9</v>
      </c>
      <c r="O9" s="11"/>
      <c r="P9" s="6" t="str">
        <f t="shared" si="1"/>
        <v/>
      </c>
    </row>
    <row r="10">
      <c r="A10" s="6" t="s">
        <v>161</v>
      </c>
      <c r="B10" s="6" t="s">
        <v>159</v>
      </c>
      <c r="C10" s="6" t="s">
        <v>73</v>
      </c>
      <c r="D10" s="6" t="s">
        <v>212</v>
      </c>
      <c r="E10" s="6" t="s">
        <v>83</v>
      </c>
      <c r="F10" s="6">
        <v>8.5</v>
      </c>
      <c r="G10" s="6">
        <v>7.96</v>
      </c>
      <c r="H10" s="8">
        <v>0.4423</v>
      </c>
      <c r="I10" s="6">
        <v>10.8</v>
      </c>
      <c r="J10" s="8">
        <v>0.7022</v>
      </c>
      <c r="K10" s="8">
        <v>0.2986</v>
      </c>
      <c r="L10" s="8">
        <v>0.7</v>
      </c>
      <c r="N10" s="8">
        <v>0.5</v>
      </c>
      <c r="O10" s="11"/>
      <c r="P10" s="6" t="str">
        <f t="shared" si="1"/>
        <v/>
      </c>
    </row>
    <row r="11">
      <c r="A11" s="6" t="s">
        <v>161</v>
      </c>
      <c r="B11" s="6" t="s">
        <v>159</v>
      </c>
      <c r="C11" s="6" t="s">
        <v>70</v>
      </c>
      <c r="D11" s="6" t="s">
        <v>215</v>
      </c>
      <c r="E11" s="6" t="s">
        <v>83</v>
      </c>
      <c r="F11" s="6">
        <v>15.5</v>
      </c>
      <c r="G11" s="6">
        <v>14.7</v>
      </c>
      <c r="H11" s="8">
        <v>0.4383</v>
      </c>
      <c r="I11" s="6">
        <v>15.0</v>
      </c>
      <c r="J11" s="8">
        <v>0.4615</v>
      </c>
      <c r="K11" s="8">
        <v>0.6699</v>
      </c>
      <c r="L11" s="8">
        <v>0.7</v>
      </c>
      <c r="N11" s="8">
        <v>0.3</v>
      </c>
      <c r="O11" s="11"/>
      <c r="P11" s="6" t="str">
        <f t="shared" si="1"/>
        <v/>
      </c>
    </row>
    <row r="12">
      <c r="A12" s="6" t="s">
        <v>161</v>
      </c>
      <c r="B12" s="6" t="s">
        <v>159</v>
      </c>
      <c r="C12" s="6" t="s">
        <v>70</v>
      </c>
      <c r="D12" s="6" t="s">
        <v>219</v>
      </c>
      <c r="E12" s="6" t="s">
        <v>83</v>
      </c>
      <c r="F12" s="6">
        <v>9.5</v>
      </c>
      <c r="G12" s="6">
        <v>10.48</v>
      </c>
      <c r="H12" s="8">
        <v>0.5932</v>
      </c>
      <c r="I12" s="6">
        <v>10.2</v>
      </c>
      <c r="J12" s="8">
        <v>0.5678</v>
      </c>
      <c r="K12" s="8">
        <v>0.6699</v>
      </c>
      <c r="L12" s="8">
        <v>0.63</v>
      </c>
      <c r="N12" s="8">
        <v>0.4</v>
      </c>
      <c r="O12" s="11"/>
      <c r="P12" s="6" t="str">
        <f t="shared" si="1"/>
        <v/>
      </c>
    </row>
    <row r="13">
      <c r="A13" s="6" t="s">
        <v>161</v>
      </c>
      <c r="B13" s="6" t="s">
        <v>159</v>
      </c>
      <c r="C13" s="6" t="s">
        <v>70</v>
      </c>
      <c r="D13" s="6" t="s">
        <v>222</v>
      </c>
      <c r="E13" s="6" t="s">
        <v>83</v>
      </c>
      <c r="F13" s="6">
        <v>11.5</v>
      </c>
      <c r="G13" s="6">
        <v>7.09</v>
      </c>
      <c r="H13" s="8">
        <v>0.0905</v>
      </c>
      <c r="I13" s="6">
        <v>6.9</v>
      </c>
      <c r="J13" s="8">
        <v>0.0787</v>
      </c>
      <c r="K13" s="8">
        <v>0.6699</v>
      </c>
      <c r="L13" s="8">
        <v>0.63</v>
      </c>
      <c r="N13" s="8">
        <v>0.0</v>
      </c>
      <c r="O13" s="11"/>
      <c r="P13" s="6" t="str">
        <f t="shared" si="1"/>
        <v/>
      </c>
    </row>
    <row r="14">
      <c r="A14" s="6" t="s">
        <v>161</v>
      </c>
      <c r="B14" s="6" t="s">
        <v>159</v>
      </c>
      <c r="C14" s="6" t="s">
        <v>70</v>
      </c>
      <c r="D14" s="6" t="s">
        <v>225</v>
      </c>
      <c r="E14" s="6" t="s">
        <v>83</v>
      </c>
      <c r="F14" s="6">
        <v>12.5</v>
      </c>
      <c r="G14" s="6">
        <v>12.02</v>
      </c>
      <c r="H14" s="8">
        <v>0.4577</v>
      </c>
      <c r="I14" s="6">
        <v>11.7</v>
      </c>
      <c r="J14" s="8">
        <v>0.4287</v>
      </c>
      <c r="K14" s="8">
        <v>0.6699</v>
      </c>
      <c r="L14" s="8">
        <v>0.63</v>
      </c>
      <c r="N14" s="8">
        <v>0.2</v>
      </c>
      <c r="O14" s="11"/>
      <c r="P14" s="6" t="str">
        <f t="shared" si="1"/>
        <v/>
      </c>
    </row>
    <row r="15">
      <c r="A15" s="6" t="s">
        <v>161</v>
      </c>
      <c r="B15" s="6" t="s">
        <v>159</v>
      </c>
      <c r="C15" s="6" t="s">
        <v>70</v>
      </c>
      <c r="D15" s="6" t="s">
        <v>228</v>
      </c>
      <c r="E15" s="6" t="s">
        <v>83</v>
      </c>
      <c r="F15" s="6">
        <v>8.5</v>
      </c>
      <c r="G15" s="6">
        <v>10.49</v>
      </c>
      <c r="H15" s="8">
        <v>0.6733</v>
      </c>
      <c r="I15" s="6">
        <v>11.4</v>
      </c>
      <c r="J15" s="8">
        <v>0.7346</v>
      </c>
      <c r="K15" s="8">
        <v>0.3301</v>
      </c>
      <c r="L15" s="8">
        <v>0.43</v>
      </c>
      <c r="N15" s="8">
        <v>0.8</v>
      </c>
      <c r="O15" s="11"/>
      <c r="P15" s="6" t="str">
        <f t="shared" si="1"/>
        <v/>
      </c>
    </row>
    <row r="16">
      <c r="A16" s="6" t="s">
        <v>161</v>
      </c>
      <c r="B16" s="6" t="s">
        <v>159</v>
      </c>
      <c r="C16" s="6" t="s">
        <v>70</v>
      </c>
      <c r="D16" s="6" t="s">
        <v>232</v>
      </c>
      <c r="E16" s="6" t="s">
        <v>83</v>
      </c>
      <c r="F16" s="6">
        <v>7.0</v>
      </c>
      <c r="G16" s="6">
        <v>5.8</v>
      </c>
      <c r="H16" s="8">
        <v>0.2894</v>
      </c>
      <c r="I16" s="6">
        <v>6.3</v>
      </c>
      <c r="J16" s="8">
        <v>0.3536</v>
      </c>
      <c r="K16" s="8">
        <v>0.3301</v>
      </c>
      <c r="L16" s="8">
        <v>0.43</v>
      </c>
      <c r="N16" s="8">
        <v>0.4</v>
      </c>
      <c r="O16" s="11"/>
      <c r="P16" s="6" t="str">
        <f t="shared" si="1"/>
        <v/>
      </c>
    </row>
    <row r="17">
      <c r="A17" s="6" t="s">
        <v>161</v>
      </c>
      <c r="B17" s="6" t="s">
        <v>159</v>
      </c>
      <c r="C17" s="6" t="s">
        <v>70</v>
      </c>
      <c r="D17" s="6" t="s">
        <v>235</v>
      </c>
      <c r="E17" s="6" t="s">
        <v>83</v>
      </c>
      <c r="F17" s="6">
        <v>9.0</v>
      </c>
      <c r="G17" s="6">
        <v>8.89</v>
      </c>
      <c r="H17" s="8">
        <v>0.4396</v>
      </c>
      <c r="I17" s="6">
        <v>10.2</v>
      </c>
      <c r="J17" s="8">
        <v>0.5651</v>
      </c>
      <c r="K17" s="8">
        <v>0.3301</v>
      </c>
      <c r="L17" s="8">
        <v>0.5</v>
      </c>
      <c r="N17" s="8">
        <v>0.7</v>
      </c>
      <c r="O17" s="11"/>
      <c r="P17" s="6" t="str">
        <f t="shared" si="1"/>
        <v/>
      </c>
    </row>
    <row r="18">
      <c r="A18" s="6" t="s">
        <v>161</v>
      </c>
      <c r="B18" s="6" t="s">
        <v>159</v>
      </c>
      <c r="C18" s="6" t="s">
        <v>70</v>
      </c>
      <c r="D18" s="6" t="s">
        <v>238</v>
      </c>
      <c r="E18" s="6" t="s">
        <v>83</v>
      </c>
      <c r="F18" s="6">
        <v>6.0</v>
      </c>
      <c r="G18" s="6">
        <v>7.46</v>
      </c>
      <c r="H18" s="8">
        <v>0.6055</v>
      </c>
      <c r="I18" s="6">
        <v>8.1</v>
      </c>
      <c r="J18" s="8">
        <v>0.6663</v>
      </c>
      <c r="K18" s="8">
        <v>0.3301</v>
      </c>
      <c r="L18" s="8">
        <v>0.43</v>
      </c>
      <c r="N18" s="8">
        <v>0.8</v>
      </c>
      <c r="O18" s="11"/>
      <c r="P18" s="6" t="str">
        <f t="shared" si="1"/>
        <v/>
      </c>
    </row>
    <row r="19">
      <c r="A19" s="6" t="s">
        <v>161</v>
      </c>
      <c r="B19" s="6" t="s">
        <v>159</v>
      </c>
      <c r="C19" s="6" t="s">
        <v>70</v>
      </c>
      <c r="D19" s="6" t="s">
        <v>241</v>
      </c>
      <c r="E19" s="6" t="s">
        <v>83</v>
      </c>
      <c r="F19" s="6">
        <v>1.5</v>
      </c>
      <c r="G19" s="6">
        <v>1.93</v>
      </c>
      <c r="H19" s="8">
        <v>0.6036</v>
      </c>
      <c r="I19" s="6">
        <v>2.1</v>
      </c>
      <c r="J19" s="8">
        <v>0.6365</v>
      </c>
      <c r="K19" s="8">
        <v>0.3301</v>
      </c>
      <c r="L19" s="8">
        <v>0.43</v>
      </c>
      <c r="N19" s="8">
        <v>0.8</v>
      </c>
      <c r="O19" s="11"/>
      <c r="P19" s="6" t="str">
        <f t="shared" si="1"/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0.0"/>
    <col customWidth="1" min="2" max="2" width="60.0"/>
    <col customWidth="1" min="3" max="26" width="8.71"/>
  </cols>
  <sheetData>
    <row r="1">
      <c r="A1" s="5" t="s">
        <v>379</v>
      </c>
      <c r="B1" s="5" t="s">
        <v>374</v>
      </c>
    </row>
    <row r="2">
      <c r="A2" s="6" t="s">
        <v>380</v>
      </c>
      <c r="B2" s="6">
        <v>18.0</v>
      </c>
    </row>
    <row r="3">
      <c r="A3" s="6" t="s">
        <v>381</v>
      </c>
      <c r="B3" s="6">
        <v>18.0</v>
      </c>
    </row>
    <row r="4">
      <c r="A4" s="6" t="s">
        <v>382</v>
      </c>
      <c r="B4" s="6" t="s">
        <v>383</v>
      </c>
    </row>
    <row r="5">
      <c r="A5" s="6" t="s">
        <v>384</v>
      </c>
      <c r="B5" s="6" t="s">
        <v>385</v>
      </c>
    </row>
    <row r="6">
      <c r="A6" s="6" t="s">
        <v>386</v>
      </c>
      <c r="B6" s="6">
        <v>18.0</v>
      </c>
    </row>
    <row r="7">
      <c r="A7" s="6" t="s">
        <v>387</v>
      </c>
      <c r="B7" s="6">
        <f>SUMPRODUCT(--ISERROR(Projections!F2:M19))</f>
        <v>0</v>
      </c>
    </row>
    <row r="8">
      <c r="A8" s="6" t="s">
        <v>388</v>
      </c>
      <c r="B8" s="6">
        <f>COUNTBLANK(Projections!F2:F19)</f>
        <v>0</v>
      </c>
    </row>
    <row r="9">
      <c r="A9" s="6" t="s">
        <v>389</v>
      </c>
      <c r="B9" s="6">
        <f>SUMPRODUCT(MAX(ABS(N(+Projections!F2:F19)-N(+Log!G2:G19))))</f>
        <v>0.004925376593</v>
      </c>
    </row>
    <row r="10">
      <c r="A10" s="6" t="s">
        <v>390</v>
      </c>
      <c r="B10" s="6">
        <f>SUMPRODUCT((ABS(N(+Projections!O2:O19)-N(+Projections!P2:P19))&lt;0.00001)*(ABS(N(+Projections!F2:F19)-N(+Projections!L2:L19))&gt;0.001)*(Projections!D2:D19="Map 1 Kills"))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