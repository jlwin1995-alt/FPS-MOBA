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ard" sheetId="2" state="visible" r:id="rId2"/>
    <sheet xmlns:r="http://schemas.openxmlformats.org/officeDocument/2006/relationships" name="Matches" sheetId="3" state="visible" r:id="rId3"/>
    <sheet xmlns:r="http://schemas.openxmlformats.org/officeDocument/2006/relationships" name="Projection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Players" sheetId="7" state="visible" r:id="rId7"/>
    <sheet xmlns:r="http://schemas.openxmlformats.org/officeDocument/2006/relationships" name="Gamelog" sheetId="8" state="visible" r:id="rId8"/>
    <sheet xmlns:r="http://schemas.openxmlformats.org/officeDocument/2006/relationships" name="Book_Props" sheetId="9" state="visible" r:id="rId9"/>
    <sheet xmlns:r="http://schemas.openxmlformats.org/officeDocument/2006/relationships" name="Log" sheetId="10" state="visible" r:id="rId10"/>
    <sheet xmlns:r="http://schemas.openxmlformats.org/officeDocument/2006/relationships" name="Data_Checks" sheetId="11" state="visible" r:id="rId11"/>
  </sheets>
  <definedNames>
    <definedName name="_xlnm._FilterDatabase" localSheetId="3" hidden="1">'Projections'!$A$1:$AA$43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B728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3" borderId="0" pivotButton="0" quotePrefix="0" xfId="0"/>
    <xf numFmtId="0" fontId="0" fillId="3" borderId="0" pivotButton="0" quotePrefix="0" xfId="0"/>
    <xf numFmtId="2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MOBA Player Model — LoL + Dota 2</t>
        </is>
      </c>
    </row>
    <row r="2">
      <c r="A2" s="2" t="inlineStr">
        <is>
          <t>Kills projections built on the one effect the record measured cleanly in LoL: players score about twice as many kills in map wins as in losses (25 of 25 players, median 2.2×).</t>
        </is>
      </c>
    </row>
    <row r="3">
      <c r="A3" s="3" t="inlineStr">
        <is>
          <t>Slate 2026-10-29 · 42 board legs · 5 matches</t>
        </is>
      </c>
    </row>
    <row r="4">
      <c r="A4" t="inlineStr"/>
    </row>
    <row r="5">
      <c r="A5" s="4" t="inlineStr">
        <is>
          <t>HOW TO USE</t>
        </is>
      </c>
    </row>
    <row r="6">
      <c r="A6" s="2" t="inlineStr">
        <is>
          <t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      </is>
      </c>
    </row>
    <row r="7">
      <c r="A7" s="2" t="inlineStr">
        <is>
          <t>2. Board tab: pick a match in B2. Both rosters, ranked by projected Map 1 kills, with the PrizePicks line, P(over), Thunderpick's own kill-line median and PickFinder's L10.</t>
        </is>
      </c>
    </row>
    <row r="8">
      <c r="A8" s="2" t="inlineStr">
        <is>
          <t>3. Projections: every leg. Naive proj = his plain average per map, for comparison. Exact-line landings counts how often his last 15 series finished exactly on a whole-number line — the push check.</t>
        </is>
      </c>
    </row>
    <row r="9">
      <c r="A9" s="2" t="inlineStr">
        <is>
          <t>4. Log: the projections frozen as values when the sheet was built. Type Actual after settlement.</t>
        </is>
      </c>
    </row>
    <row r="10">
      <c r="A10" t="inlineStr"/>
    </row>
    <row r="11">
      <c r="A11" s="4" t="inlineStr">
        <is>
          <t>THE MODEL</t>
        </is>
      </c>
    </row>
    <row r="12">
      <c r="A12" s="2" t="inlineStr">
        <is>
          <t>K̄ = his kills per map, q = his map win rate (both from PickFinder Player Stats, same sample). r = WL_RATIO.</t>
        </is>
      </c>
    </row>
    <row r="13">
      <c r="A13" s="2" t="inlineStr">
        <is>
          <t>k_win = K̄·r ÷ (q·r + 1 − q),  k_loss = K̄ ÷ (q·r + 1 − q).  These reproduce K̄ exactly at his own win rate.</t>
        </is>
      </c>
    </row>
    <row r="14">
      <c r="A14" s="2" t="inlineStr">
        <is>
          <t>Map kills = Kills env × (P(win)·k_win + (1 − P(win))·k_loss). Maps 1-3 = sum over maps × P(map played).</t>
        </is>
      </c>
    </row>
    <row r="15">
      <c r="A15" s="2" t="inlineStr">
        <is>
          <t>Spread: within-result variance KILLS_DISPERSION × mean, PLUS the win/loss mixture P(1−P)(k_win − k_loss)². That second term is why a LoL leg is wider than its average suggests: one coin flip on the map result moves him between two very different kill counts.</t>
        </is>
      </c>
    </row>
    <row r="16">
      <c r="A16" t="inlineStr"/>
    </row>
    <row r="17">
      <c r="A17" s="4" t="inlineStr">
        <is>
          <t>WHERE EACH NUMBER COMES FROM</t>
        </is>
      </c>
    </row>
    <row r="18">
      <c r="A18" s="2" t="inlineStr">
        <is>
          <t>PickFinder: /props board (lines, L5/L10/L15/H2H/streak) and each player page — Player Stats (Win Rate, Maps, K/D/A) and the 15-series gamelog (per-map kills).</t>
        </is>
      </c>
    </row>
    <row r="19">
      <c r="A19" s="2" t="inlineStr">
        <is>
          <t>Thunderpick /api/markets: Match Winner, Map k Winner, Total Kills - Map k, each team's Total Kills, Map Kills Handicap, Map Duration, and each player's Total Kills ladder. Devigged; ladders read at the 50% crossing.</t>
        </is>
      </c>
    </row>
    <row r="20">
      <c r="A20" s="2" t="inlineStr">
        <is>
          <t>Dota: same model, its own ratio (1.77) and dispersion (1.84), both measured on OpenDota before the sheet was extended — see Config. Dota's win/loss gap is smaller than LoL's; its kill counts scatter more.</t>
        </is>
      </c>
    </row>
    <row r="21">
      <c r="A21" s="2" t="inlineStr">
        <is>
          <t>Players flagged "new roster" played most of their recent games with other teammates (OpenDota co-occurrence). Their K̄ and q were earned on another team — the level/role-change check, not something the model can fix.</t>
        </is>
      </c>
    </row>
    <row r="22">
      <c r="A22" t="inlineStr"/>
    </row>
    <row r="23">
      <c r="A23" s="4" t="inlineStr">
        <is>
          <t>READ THIS BEFORE TRUSTING A NUMBER</t>
        </is>
      </c>
    </row>
    <row r="24">
      <c r="A24" s="2" t="inlineStr">
        <is>
          <t>PAPER. The q-adjustment has been logged for retrodiction since 08-19 and never scored forward. This sheet's Log is the forward record.</t>
        </is>
      </c>
    </row>
    <row r="25">
      <c r="A25" s="2" t="inlineStr">
        <is>
          <t>The record's caveat stands: price alone predicted almost nothing (dog 43.1% over, fav 53.7%). If the adjustment carries information, it is through the interaction with each player's own q — which is exactly what Naive vs Proj isolates.</t>
        </is>
      </c>
    </row>
    <row r="26">
      <c r="A26" s="2" t="inlineStr">
        <is>
          <t>A likely sweep does NOT suppress LoL kills (6.60 vs 6.64, p = 0.69). Do not cut a leg on sweep risk.</t>
        </is>
      </c>
    </row>
    <row r="27">
      <c r="A27" s="2" t="inlineStr">
        <is>
          <t>Demacia Cup Bo1s: teams from different leagues. A player's K̄ and q were earned in his own league's kill environment — that is what Kills env × is for, and it ships at 1.</t>
        </is>
      </c>
    </row>
    <row r="28">
      <c r="A28" t="inlineStr"/>
    </row>
    <row r="29">
      <c r="A29" s="4" t="inlineStr">
        <is>
          <t>REFRESHING</t>
        </is>
      </c>
    </row>
    <row r="30">
      <c r="A30" s="2" t="inlineStr">
        <is>
          <t>Rebuilt per slate from fresh captures and imported over this file (File → Import → Replace spreadsheet); the link stays the same.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7" customWidth="1" min="4" max="4"/>
    <col width="7" customWidth="1" min="5" max="5"/>
    <col width="7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8" customWidth="1" min="15" max="15"/>
    <col width="8" customWidth="1" min="16" max="16"/>
    <col width="7" customWidth="1" min="17" max="17"/>
    <col width="30" customWidth="1" min="18" max="18"/>
    <col width="2" customWidth="1" min="19" max="19"/>
    <col hidden="1" width="5" customWidth="1" min="20" max="20"/>
  </cols>
  <sheetData>
    <row r="1">
      <c r="A1" s="1" t="inlineStr">
        <is>
          <t>Board</t>
        </is>
      </c>
    </row>
    <row r="2">
      <c r="A2" s="4" t="inlineStr">
        <is>
          <t>Match:</t>
        </is>
      </c>
      <c r="B2" s="5" t="inlineStr">
        <is>
          <t>DOTA · TS vs LEGION</t>
        </is>
      </c>
    </row>
    <row r="4">
      <c r="A4" s="4" t="inlineStr">
        <is>
          <t>Teams</t>
        </is>
      </c>
      <c r="B4">
        <f>IFERROR(IF(INDEX(Matches!$E$5:$E$9,MATCH($B$2,Matches!$A$5:$A$9,0))="","",INDEX(Matches!$E$5:$E$9,MATCH($B$2,Matches!$A$5:$A$9,0))),"")&amp;"  vs  "&amp;IFERROR(IF(INDEX(Matches!$F$5:$F$9,MATCH($B$2,Matches!$A$5:$A$9,0))="","",INDEX(Matches!$F$5:$F$9,MATCH($B$2,Matches!$A$5:$A$9,0))),"")</f>
        <v/>
      </c>
      <c r="D4" s="4" t="inlineStr">
        <is>
          <t>Start (CT)</t>
        </is>
      </c>
      <c r="E4">
        <f>IFERROR(IF(INDEX(Matches!$C$5:$C$9,MATCH($B$2,Matches!$A$5:$A$9,0))="","",INDEX(Matches!$C$5:$C$9,MATCH($B$2,Matches!$A$5:$A$9,0))),"")</f>
        <v/>
      </c>
      <c r="G4" s="4" t="inlineStr">
        <is>
          <t>Bo</t>
        </is>
      </c>
      <c r="H4">
        <f>IFERROR(IF(INDEX(Matches!$D$5:$D$9,MATCH($B$2,Matches!$A$5:$A$9,0))="","",INDEX(Matches!$D$5:$D$9,MATCH($B$2,Matches!$A$5:$A$9,0))),"")</f>
        <v/>
      </c>
    </row>
    <row r="5">
      <c r="A5" s="4" t="inlineStr">
        <is>
          <t>Event</t>
        </is>
      </c>
      <c r="B5">
        <f>IFERROR(IF(INDEX(Matches!$B$5:$B$9,MATCH($B$2,Matches!$A$5:$A$9,0))="","",INDEX(Matches!$B$5:$B$9,MATCH($B$2,Matches!$A$5:$A$9,0))),"")</f>
        <v/>
      </c>
      <c r="D5" s="4" t="inlineStr">
        <is>
          <t>P(A wins)</t>
        </is>
      </c>
      <c r="E5" s="6">
        <f>IFERROR(IF(INDEX(Matches!$G$5:$G$9,MATCH($B$2,Matches!$A$5:$A$9,0))="","",INDEX(Matches!$G$5:$G$9,MATCH($B$2,Matches!$A$5:$A$9,0))),"")</f>
        <v/>
      </c>
      <c r="G5" s="4" t="inlineStr">
        <is>
          <t>P(A wins M1)</t>
        </is>
      </c>
      <c r="H5" s="6">
        <f>IFERROR(IF(INDEX(Matches!$M$5:$M$9,MATCH($B$2,Matches!$A$5:$A$9,0))="","",INDEX(Matches!$M$5:$M$9,MATCH($B$2,Matches!$A$5:$A$9,0))),"")</f>
        <v/>
      </c>
    </row>
    <row r="6">
      <c r="A6" s="4" t="inlineStr">
        <is>
          <t>TP total kills M1</t>
        </is>
      </c>
      <c r="B6" s="7">
        <f>IFERROR(IF(INDEX(Matches!$H$5:$H$9,MATCH($B$2,Matches!$A$5:$A$9,0))="","",INDEX(Matches!$H$5:$H$9,MATCH($B$2,Matches!$A$5:$A$9,0))),"")</f>
        <v/>
      </c>
      <c r="D6" s="4" t="inlineStr">
        <is>
          <t>TP A / B kills M1</t>
        </is>
      </c>
      <c r="E6">
        <f>IF(IFERROR(IF(INDEX(Matches!$I$5:$I$9,MATCH($B$2,Matches!$A$5:$A$9,0))="","",INDEX(Matches!$I$5:$I$9,MATCH($B$2,Matches!$A$5:$A$9,0))),"")="","",TEXT(IFERROR(IF(INDEX(Matches!$I$5:$I$9,MATCH($B$2,Matches!$A$5:$A$9,0))="","",INDEX(Matches!$I$5:$I$9,MATCH($B$2,Matches!$A$5:$A$9,0))),""),"0.0")&amp;" / "&amp;TEXT(IFERROR(IF(INDEX(Matches!$J$5:$J$9,MATCH($B$2,Matches!$A$5:$A$9,0))="","",INDEX(Matches!$J$5:$J$9,MATCH($B$2,Matches!$A$5:$A$9,0))),""),"0.0"))</f>
        <v/>
      </c>
      <c r="G6" s="4" t="inlineStr">
        <is>
          <t>TP duration M1</t>
        </is>
      </c>
      <c r="H6" s="7">
        <f>IFERROR(IF(INDEX(Matches!$K$5:$K$9,MATCH($B$2,Matches!$A$5:$A$9,0))="","",INDEX(Matches!$K$5:$K$9,MATCH($B$2,Matches!$A$5:$A$9,0))),"")</f>
        <v/>
      </c>
    </row>
    <row r="7">
      <c r="A7" s="4" t="inlineStr">
        <is>
          <t>Kills env ×</t>
        </is>
      </c>
      <c r="B7">
        <f>IFERROR(IF(INDEX(Matches!$R$5:$R$9,MATCH($B$2,Matches!$A$5:$A$9,0))="","",INDEX(Matches!$R$5:$R$9,MATCH($B$2,Matches!$A$5:$A$9,0))),"")</f>
        <v/>
      </c>
      <c r="D7" s="4" t="inlineStr">
        <is>
          <t>P(M2 / M3 played)</t>
        </is>
      </c>
      <c r="E7">
        <f>TEXT(IFERROR(IF(INDEX(Matches!$P$5:$P$9,MATCH($B$2,Matches!$A$5:$A$9,0))="","",INDEX(Matches!$P$5:$P$9,MATCH($B$2,Matches!$A$5:$A$9,0))),""),"0%")&amp;" / "&amp;TEXT(IFERROR(IF(INDEX(Matches!$Q$5:$Q$9,MATCH($B$2,Matches!$A$5:$A$9,0))="","",INDEX(Matches!$Q$5:$Q$9,MATCH($B$2,Matches!$A$5:$A$9,0))),""),"0%")</f>
        <v/>
      </c>
      <c r="G7" s="4" t="inlineStr">
        <is>
          <t>TP A − B kills M1</t>
        </is>
      </c>
      <c r="H7" s="7">
        <f>IF(IFERROR(IF(INDEX(Matches!$I$5:$I$9,MATCH($B$2,Matches!$A$5:$A$9,0))="","",INDEX(Matches!$I$5:$I$9,MATCH($B$2,Matches!$A$5:$A$9,0))),"")="","",IFERROR(IF(INDEX(Matches!$I$5:$I$9,MATCH($B$2,Matches!$A$5:$A$9,0))="","",INDEX(Matches!$I$5:$I$9,MATCH($B$2,Matches!$A$5:$A$9,0))),"")-IFERROR(IF(INDEX(Matches!$J$5:$J$9,MATCH($B$2,Matches!$A$5:$A$9,0))="","",INDEX(Matches!$J$5:$J$9,MATCH($B$2,Matches!$A$5:$A$9,0))),""))</f>
        <v/>
      </c>
    </row>
    <row r="9">
      <c r="B9" s="3">
        <f>"Change P(win), maps played or kill environment on the Matches tab, row "&amp;(MATCH($B$2,Matches!$A$5:$A$9,0)+4)&amp;"."</f>
        <v/>
      </c>
    </row>
    <row r="11">
      <c r="A11" s="8" t="inlineStr">
        <is>
          <t>Team</t>
        </is>
      </c>
      <c r="B11" s="8" t="inlineStr">
        <is>
          <t>Player</t>
        </is>
      </c>
      <c r="C11" s="8" t="inlineStr">
        <is>
          <t>Map win q</t>
        </is>
      </c>
      <c r="D11" s="8" t="inlineStr">
        <is>
          <t>K avg</t>
        </is>
      </c>
      <c r="E11" s="8" t="inlineStr">
        <is>
          <t>k win</t>
        </is>
      </c>
      <c r="F11" s="8" t="inlineStr">
        <is>
          <t>k loss</t>
        </is>
      </c>
      <c r="G11" s="8" t="inlineStr">
        <is>
          <t>P(win M1)</t>
        </is>
      </c>
      <c r="H11" s="8" t="inlineStr">
        <is>
          <t>Proj M1</t>
        </is>
      </c>
      <c r="I11" s="8" t="inlineStr">
        <is>
          <t>Naive M1</t>
        </is>
      </c>
      <c r="J11" s="8" t="inlineStr">
        <is>
          <t>Line M1</t>
        </is>
      </c>
      <c r="K11" s="8" t="inlineStr">
        <is>
          <t>P(over) M1</t>
        </is>
      </c>
      <c r="L11" s="8" t="inlineStr">
        <is>
          <t>Proj series</t>
        </is>
      </c>
      <c r="M11" s="8" t="inlineStr">
        <is>
          <t>Line series</t>
        </is>
      </c>
      <c r="N11" s="8" t="inlineStr">
        <is>
          <t>P(over) series</t>
        </is>
      </c>
      <c r="O11" s="8" t="inlineStr">
        <is>
          <t>TP book</t>
        </is>
      </c>
      <c r="P11" s="8" t="inlineStr">
        <is>
          <t>PF L10</t>
        </is>
      </c>
      <c r="Q11" s="8" t="inlineStr">
        <is>
          <t>Sample</t>
        </is>
      </c>
      <c r="R11" s="8" t="inlineStr">
        <is>
          <t>Flags</t>
        </is>
      </c>
      <c r="S11" s="8" t="inlineStr"/>
      <c r="T11" s="8" t="inlineStr">
        <is>
          <t>row</t>
        </is>
      </c>
    </row>
    <row r="12">
      <c r="A12">
        <f>IF($T12="","",INDEX(Calc!$C$2:$C$43,$T12))</f>
        <v/>
      </c>
      <c r="B12">
        <f>IF($T12="","",INDEX(Calc!$D$2:$D$43,$T12))</f>
        <v/>
      </c>
      <c r="C12" s="6">
        <f>IF($T12="","",INDEX(Calc!$H$2:$H$43,$T12))</f>
        <v/>
      </c>
      <c r="D12" s="7">
        <f>IF($T12="","",INDEX(Calc!$I$2:$I$43,$T12))</f>
        <v/>
      </c>
      <c r="E12" s="7">
        <f>IF($T12="","",INDEX(Calc!$J$2:$J$43,$T12))</f>
        <v/>
      </c>
      <c r="F12" s="7">
        <f>IF($T12="","",INDEX(Calc!$K$2:$K$43,$T12))</f>
        <v/>
      </c>
      <c r="G12" s="6">
        <f>IF($T12="","",INDEX(Calc!$M$2:$M$43,$T12))</f>
        <v/>
      </c>
      <c r="H12" s="7">
        <f>IF($T12="","",INDEX(Calc!$Y$2:$Y$43,$T12))</f>
        <v/>
      </c>
      <c r="I12" s="7">
        <f>IF($T12="","",INDEX(Calc!$AE$2:$AE$43,$T12))</f>
        <v/>
      </c>
      <c r="J12">
        <f>IF($T12="","",IFERROR(INDEX(Projections!$E$2:$E$43,MATCH(INDEX(Calc!$A$2:$A$43,$T12)&amp;"|K1",Projections!$AA$2:$AA$43,0)),""))</f>
        <v/>
      </c>
      <c r="K12" s="6">
        <f>IF($T12="","",IFERROR(INDEX(Projections!$H$2:$H$43,MATCH(INDEX(Calc!$A$2:$A$43,$T12)&amp;"|K1",Projections!$AA$2:$AA$43,0)),""))</f>
        <v/>
      </c>
      <c r="L12" s="7">
        <f>IF($T12="","",INDEX(Calc!$AK$2:$AK$43,$T12))</f>
        <v/>
      </c>
      <c r="M12">
        <f>IF($T12="","",IFERROR(INDEX(Projections!$E$2:$E$43,MATCH(INDEX(Calc!$A$2:$A$43,$T12)&amp;"|"&amp;INDEX(Calc!$AJ$2:$AJ$43,$T12),Projections!$AA$2:$AA$43,0)),""))</f>
        <v/>
      </c>
      <c r="N12" s="6">
        <f>IF($T12="","",IFERROR(INDEX(Projections!$H$2:$H$43,MATCH(INDEX(Calc!$A$2:$A$43,$T12)&amp;"|"&amp;INDEX(Calc!$AJ$2:$AJ$43,$T12),Projections!$AA$2:$AA$43,0)),""))</f>
        <v/>
      </c>
      <c r="O12">
        <f>IF($T12="","",IFERROR(INDEX(Projections!$N$2:$N$43,MATCH(INDEX(Calc!$A$2:$A$43,$T12)&amp;"|K1",Projections!$AA$2:$AA$43,0)),IFERROR(INDEX(Projections!$N$2:$N$43,MATCH(INDEX(Calc!$A$2:$A$43,$T12)&amp;"|"&amp;INDEX(Calc!$AJ$2:$AJ$43,$T12),Projections!$AA$2:$AA$43,0)),"")))</f>
        <v/>
      </c>
      <c r="P12" s="6">
        <f>IF($T12="","",IFERROR(INDEX(Projections!$S$2:$S$43,MATCH(INDEX(Calc!$A$2:$A$43,$T12)&amp;"|K1",Projections!$AA$2:$AA$43,0)),IFERROR(INDEX(Projections!$S$2:$S$43,MATCH(INDEX(Calc!$A$2:$A$43,$T12)&amp;"|"&amp;INDEX(Calc!$AJ$2:$AJ$43,$T12),Projections!$AA$2:$AA$43,0)),"")))</f>
        <v/>
      </c>
      <c r="Q12">
        <f>IF($T12="","",INDEX(Calc!$G$2:$G$43,$T12))</f>
        <v/>
      </c>
      <c r="R12">
        <f>IF($T12="","",INDEX(Calc!$AH$2:$AH$43,$T12))</f>
        <v/>
      </c>
      <c r="T12">
        <f>IFERROR(MATCH(1,Calc!$AI$2:$AI$43,0),"")</f>
        <v/>
      </c>
    </row>
    <row r="13">
      <c r="A13">
        <f>IF($T13="","",INDEX(Calc!$C$2:$C$43,$T13))</f>
        <v/>
      </c>
      <c r="B13">
        <f>IF($T13="","",INDEX(Calc!$D$2:$D$43,$T13))</f>
        <v/>
      </c>
      <c r="C13" s="6">
        <f>IF($T13="","",INDEX(Calc!$H$2:$H$43,$T13))</f>
        <v/>
      </c>
      <c r="D13" s="7">
        <f>IF($T13="","",INDEX(Calc!$I$2:$I$43,$T13))</f>
        <v/>
      </c>
      <c r="E13" s="7">
        <f>IF($T13="","",INDEX(Calc!$J$2:$J$43,$T13))</f>
        <v/>
      </c>
      <c r="F13" s="7">
        <f>IF($T13="","",INDEX(Calc!$K$2:$K$43,$T13))</f>
        <v/>
      </c>
      <c r="G13" s="6">
        <f>IF($T13="","",INDEX(Calc!$M$2:$M$43,$T13))</f>
        <v/>
      </c>
      <c r="H13" s="7">
        <f>IF($T13="","",INDEX(Calc!$Y$2:$Y$43,$T13))</f>
        <v/>
      </c>
      <c r="I13" s="7">
        <f>IF($T13="","",INDEX(Calc!$AE$2:$AE$43,$T13))</f>
        <v/>
      </c>
      <c r="J13">
        <f>IF($T13="","",IFERROR(INDEX(Projections!$E$2:$E$43,MATCH(INDEX(Calc!$A$2:$A$43,$T13)&amp;"|K1",Projections!$AA$2:$AA$43,0)),""))</f>
        <v/>
      </c>
      <c r="K13" s="6">
        <f>IF($T13="","",IFERROR(INDEX(Projections!$H$2:$H$43,MATCH(INDEX(Calc!$A$2:$A$43,$T13)&amp;"|K1",Projections!$AA$2:$AA$43,0)),""))</f>
        <v/>
      </c>
      <c r="L13" s="7">
        <f>IF($T13="","",INDEX(Calc!$AK$2:$AK$43,$T13))</f>
        <v/>
      </c>
      <c r="M13">
        <f>IF($T13="","",IFERROR(INDEX(Projections!$E$2:$E$43,MATCH(INDEX(Calc!$A$2:$A$43,$T13)&amp;"|"&amp;INDEX(Calc!$AJ$2:$AJ$43,$T13),Projections!$AA$2:$AA$43,0)),""))</f>
        <v/>
      </c>
      <c r="N13" s="6">
        <f>IF($T13="","",IFERROR(INDEX(Projections!$H$2:$H$43,MATCH(INDEX(Calc!$A$2:$A$43,$T13)&amp;"|"&amp;INDEX(Calc!$AJ$2:$AJ$43,$T13),Projections!$AA$2:$AA$43,0)),""))</f>
        <v/>
      </c>
      <c r="O13">
        <f>IF($T13="","",IFERROR(INDEX(Projections!$N$2:$N$43,MATCH(INDEX(Calc!$A$2:$A$43,$T13)&amp;"|K1",Projections!$AA$2:$AA$43,0)),IFERROR(INDEX(Projections!$N$2:$N$43,MATCH(INDEX(Calc!$A$2:$A$43,$T13)&amp;"|"&amp;INDEX(Calc!$AJ$2:$AJ$43,$T13),Projections!$AA$2:$AA$43,0)),"")))</f>
        <v/>
      </c>
      <c r="P13" s="6">
        <f>IF($T13="","",IFERROR(INDEX(Projections!$S$2:$S$43,MATCH(INDEX(Calc!$A$2:$A$43,$T13)&amp;"|K1",Projections!$AA$2:$AA$43,0)),IFERROR(INDEX(Projections!$S$2:$S$43,MATCH(INDEX(Calc!$A$2:$A$43,$T13)&amp;"|"&amp;INDEX(Calc!$AJ$2:$AJ$43,$T13),Projections!$AA$2:$AA$43,0)),"")))</f>
        <v/>
      </c>
      <c r="Q13">
        <f>IF($T13="","",INDEX(Calc!$G$2:$G$43,$T13))</f>
        <v/>
      </c>
      <c r="R13">
        <f>IF($T13="","",INDEX(Calc!$AH$2:$AH$43,$T13))</f>
        <v/>
      </c>
      <c r="T13">
        <f>IFERROR(MATCH(2,Calc!$AI$2:$AI$43,0),"")</f>
        <v/>
      </c>
    </row>
    <row r="14">
      <c r="A14">
        <f>IF($T14="","",INDEX(Calc!$C$2:$C$43,$T14))</f>
        <v/>
      </c>
      <c r="B14">
        <f>IF($T14="","",INDEX(Calc!$D$2:$D$43,$T14))</f>
        <v/>
      </c>
      <c r="C14" s="6">
        <f>IF($T14="","",INDEX(Calc!$H$2:$H$43,$T14))</f>
        <v/>
      </c>
      <c r="D14" s="7">
        <f>IF($T14="","",INDEX(Calc!$I$2:$I$43,$T14))</f>
        <v/>
      </c>
      <c r="E14" s="7">
        <f>IF($T14="","",INDEX(Calc!$J$2:$J$43,$T14))</f>
        <v/>
      </c>
      <c r="F14" s="7">
        <f>IF($T14="","",INDEX(Calc!$K$2:$K$43,$T14))</f>
        <v/>
      </c>
      <c r="G14" s="6">
        <f>IF($T14="","",INDEX(Calc!$M$2:$M$43,$T14))</f>
        <v/>
      </c>
      <c r="H14" s="7">
        <f>IF($T14="","",INDEX(Calc!$Y$2:$Y$43,$T14))</f>
        <v/>
      </c>
      <c r="I14" s="7">
        <f>IF($T14="","",INDEX(Calc!$AE$2:$AE$43,$T14))</f>
        <v/>
      </c>
      <c r="J14">
        <f>IF($T14="","",IFERROR(INDEX(Projections!$E$2:$E$43,MATCH(INDEX(Calc!$A$2:$A$43,$T14)&amp;"|K1",Projections!$AA$2:$AA$43,0)),""))</f>
        <v/>
      </c>
      <c r="K14" s="6">
        <f>IF($T14="","",IFERROR(INDEX(Projections!$H$2:$H$43,MATCH(INDEX(Calc!$A$2:$A$43,$T14)&amp;"|K1",Projections!$AA$2:$AA$43,0)),""))</f>
        <v/>
      </c>
      <c r="L14" s="7">
        <f>IF($T14="","",INDEX(Calc!$AK$2:$AK$43,$T14))</f>
        <v/>
      </c>
      <c r="M14">
        <f>IF($T14="","",IFERROR(INDEX(Projections!$E$2:$E$43,MATCH(INDEX(Calc!$A$2:$A$43,$T14)&amp;"|"&amp;INDEX(Calc!$AJ$2:$AJ$43,$T14),Projections!$AA$2:$AA$43,0)),""))</f>
        <v/>
      </c>
      <c r="N14" s="6">
        <f>IF($T14="","",IFERROR(INDEX(Projections!$H$2:$H$43,MATCH(INDEX(Calc!$A$2:$A$43,$T14)&amp;"|"&amp;INDEX(Calc!$AJ$2:$AJ$43,$T14),Projections!$AA$2:$AA$43,0)),""))</f>
        <v/>
      </c>
      <c r="O14">
        <f>IF($T14="","",IFERROR(INDEX(Projections!$N$2:$N$43,MATCH(INDEX(Calc!$A$2:$A$43,$T14)&amp;"|K1",Projections!$AA$2:$AA$43,0)),IFERROR(INDEX(Projections!$N$2:$N$43,MATCH(INDEX(Calc!$A$2:$A$43,$T14)&amp;"|"&amp;INDEX(Calc!$AJ$2:$AJ$43,$T14),Projections!$AA$2:$AA$43,0)),"")))</f>
        <v/>
      </c>
      <c r="P14" s="6">
        <f>IF($T14="","",IFERROR(INDEX(Projections!$S$2:$S$43,MATCH(INDEX(Calc!$A$2:$A$43,$T14)&amp;"|K1",Projections!$AA$2:$AA$43,0)),IFERROR(INDEX(Projections!$S$2:$S$43,MATCH(INDEX(Calc!$A$2:$A$43,$T14)&amp;"|"&amp;INDEX(Calc!$AJ$2:$AJ$43,$T14),Projections!$AA$2:$AA$43,0)),"")))</f>
        <v/>
      </c>
      <c r="Q14">
        <f>IF($T14="","",INDEX(Calc!$G$2:$G$43,$T14))</f>
        <v/>
      </c>
      <c r="R14">
        <f>IF($T14="","",INDEX(Calc!$AH$2:$AH$43,$T14))</f>
        <v/>
      </c>
      <c r="T14">
        <f>IFERROR(MATCH(3,Calc!$AI$2:$AI$43,0),"")</f>
        <v/>
      </c>
    </row>
    <row r="15">
      <c r="A15">
        <f>IF($T15="","",INDEX(Calc!$C$2:$C$43,$T15))</f>
        <v/>
      </c>
      <c r="B15">
        <f>IF($T15="","",INDEX(Calc!$D$2:$D$43,$T15))</f>
        <v/>
      </c>
      <c r="C15" s="6">
        <f>IF($T15="","",INDEX(Calc!$H$2:$H$43,$T15))</f>
        <v/>
      </c>
      <c r="D15" s="7">
        <f>IF($T15="","",INDEX(Calc!$I$2:$I$43,$T15))</f>
        <v/>
      </c>
      <c r="E15" s="7">
        <f>IF($T15="","",INDEX(Calc!$J$2:$J$43,$T15))</f>
        <v/>
      </c>
      <c r="F15" s="7">
        <f>IF($T15="","",INDEX(Calc!$K$2:$K$43,$T15))</f>
        <v/>
      </c>
      <c r="G15" s="6">
        <f>IF($T15="","",INDEX(Calc!$M$2:$M$43,$T15))</f>
        <v/>
      </c>
      <c r="H15" s="7">
        <f>IF($T15="","",INDEX(Calc!$Y$2:$Y$43,$T15))</f>
        <v/>
      </c>
      <c r="I15" s="7">
        <f>IF($T15="","",INDEX(Calc!$AE$2:$AE$43,$T15))</f>
        <v/>
      </c>
      <c r="J15">
        <f>IF($T15="","",IFERROR(INDEX(Projections!$E$2:$E$43,MATCH(INDEX(Calc!$A$2:$A$43,$T15)&amp;"|K1",Projections!$AA$2:$AA$43,0)),""))</f>
        <v/>
      </c>
      <c r="K15" s="6">
        <f>IF($T15="","",IFERROR(INDEX(Projections!$H$2:$H$43,MATCH(INDEX(Calc!$A$2:$A$43,$T15)&amp;"|K1",Projections!$AA$2:$AA$43,0)),""))</f>
        <v/>
      </c>
      <c r="L15" s="7">
        <f>IF($T15="","",INDEX(Calc!$AK$2:$AK$43,$T15))</f>
        <v/>
      </c>
      <c r="M15">
        <f>IF($T15="","",IFERROR(INDEX(Projections!$E$2:$E$43,MATCH(INDEX(Calc!$A$2:$A$43,$T15)&amp;"|"&amp;INDEX(Calc!$AJ$2:$AJ$43,$T15),Projections!$AA$2:$AA$43,0)),""))</f>
        <v/>
      </c>
      <c r="N15" s="6">
        <f>IF($T15="","",IFERROR(INDEX(Projections!$H$2:$H$43,MATCH(INDEX(Calc!$A$2:$A$43,$T15)&amp;"|"&amp;INDEX(Calc!$AJ$2:$AJ$43,$T15),Projections!$AA$2:$AA$43,0)),""))</f>
        <v/>
      </c>
      <c r="O15">
        <f>IF($T15="","",IFERROR(INDEX(Projections!$N$2:$N$43,MATCH(INDEX(Calc!$A$2:$A$43,$T15)&amp;"|K1",Projections!$AA$2:$AA$43,0)),IFERROR(INDEX(Projections!$N$2:$N$43,MATCH(INDEX(Calc!$A$2:$A$43,$T15)&amp;"|"&amp;INDEX(Calc!$AJ$2:$AJ$43,$T15),Projections!$AA$2:$AA$43,0)),"")))</f>
        <v/>
      </c>
      <c r="P15" s="6">
        <f>IF($T15="","",IFERROR(INDEX(Projections!$S$2:$S$43,MATCH(INDEX(Calc!$A$2:$A$43,$T15)&amp;"|K1",Projections!$AA$2:$AA$43,0)),IFERROR(INDEX(Projections!$S$2:$S$43,MATCH(INDEX(Calc!$A$2:$A$43,$T15)&amp;"|"&amp;INDEX(Calc!$AJ$2:$AJ$43,$T15),Projections!$AA$2:$AA$43,0)),"")))</f>
        <v/>
      </c>
      <c r="Q15">
        <f>IF($T15="","",INDEX(Calc!$G$2:$G$43,$T15))</f>
        <v/>
      </c>
      <c r="R15">
        <f>IF($T15="","",INDEX(Calc!$AH$2:$AH$43,$T15))</f>
        <v/>
      </c>
      <c r="T15">
        <f>IFERROR(MATCH(4,Calc!$AI$2:$AI$43,0),"")</f>
        <v/>
      </c>
    </row>
    <row r="16">
      <c r="A16">
        <f>IF($T16="","",INDEX(Calc!$C$2:$C$43,$T16))</f>
        <v/>
      </c>
      <c r="B16">
        <f>IF($T16="","",INDEX(Calc!$D$2:$D$43,$T16))</f>
        <v/>
      </c>
      <c r="C16" s="6">
        <f>IF($T16="","",INDEX(Calc!$H$2:$H$43,$T16))</f>
        <v/>
      </c>
      <c r="D16" s="7">
        <f>IF($T16="","",INDEX(Calc!$I$2:$I$43,$T16))</f>
        <v/>
      </c>
      <c r="E16" s="7">
        <f>IF($T16="","",INDEX(Calc!$J$2:$J$43,$T16))</f>
        <v/>
      </c>
      <c r="F16" s="7">
        <f>IF($T16="","",INDEX(Calc!$K$2:$K$43,$T16))</f>
        <v/>
      </c>
      <c r="G16" s="6">
        <f>IF($T16="","",INDEX(Calc!$M$2:$M$43,$T16))</f>
        <v/>
      </c>
      <c r="H16" s="7">
        <f>IF($T16="","",INDEX(Calc!$Y$2:$Y$43,$T16))</f>
        <v/>
      </c>
      <c r="I16" s="7">
        <f>IF($T16="","",INDEX(Calc!$AE$2:$AE$43,$T16))</f>
        <v/>
      </c>
      <c r="J16">
        <f>IF($T16="","",IFERROR(INDEX(Projections!$E$2:$E$43,MATCH(INDEX(Calc!$A$2:$A$43,$T16)&amp;"|K1",Projections!$AA$2:$AA$43,0)),""))</f>
        <v/>
      </c>
      <c r="K16" s="6">
        <f>IF($T16="","",IFERROR(INDEX(Projections!$H$2:$H$43,MATCH(INDEX(Calc!$A$2:$A$43,$T16)&amp;"|K1",Projections!$AA$2:$AA$43,0)),""))</f>
        <v/>
      </c>
      <c r="L16" s="7">
        <f>IF($T16="","",INDEX(Calc!$AK$2:$AK$43,$T16))</f>
        <v/>
      </c>
      <c r="M16">
        <f>IF($T16="","",IFERROR(INDEX(Projections!$E$2:$E$43,MATCH(INDEX(Calc!$A$2:$A$43,$T16)&amp;"|"&amp;INDEX(Calc!$AJ$2:$AJ$43,$T16),Projections!$AA$2:$AA$43,0)),""))</f>
        <v/>
      </c>
      <c r="N16" s="6">
        <f>IF($T16="","",IFERROR(INDEX(Projections!$H$2:$H$43,MATCH(INDEX(Calc!$A$2:$A$43,$T16)&amp;"|"&amp;INDEX(Calc!$AJ$2:$AJ$43,$T16),Projections!$AA$2:$AA$43,0)),""))</f>
        <v/>
      </c>
      <c r="O16">
        <f>IF($T16="","",IFERROR(INDEX(Projections!$N$2:$N$43,MATCH(INDEX(Calc!$A$2:$A$43,$T16)&amp;"|K1",Projections!$AA$2:$AA$43,0)),IFERROR(INDEX(Projections!$N$2:$N$43,MATCH(INDEX(Calc!$A$2:$A$43,$T16)&amp;"|"&amp;INDEX(Calc!$AJ$2:$AJ$43,$T16),Projections!$AA$2:$AA$43,0)),"")))</f>
        <v/>
      </c>
      <c r="P16" s="6">
        <f>IF($T16="","",IFERROR(INDEX(Projections!$S$2:$S$43,MATCH(INDEX(Calc!$A$2:$A$43,$T16)&amp;"|K1",Projections!$AA$2:$AA$43,0)),IFERROR(INDEX(Projections!$S$2:$S$43,MATCH(INDEX(Calc!$A$2:$A$43,$T16)&amp;"|"&amp;INDEX(Calc!$AJ$2:$AJ$43,$T16),Projections!$AA$2:$AA$43,0)),"")))</f>
        <v/>
      </c>
      <c r="Q16">
        <f>IF($T16="","",INDEX(Calc!$G$2:$G$43,$T16))</f>
        <v/>
      </c>
      <c r="R16">
        <f>IF($T16="","",INDEX(Calc!$AH$2:$AH$43,$T16))</f>
        <v/>
      </c>
      <c r="T16">
        <f>IFERROR(MATCH(5,Calc!$AI$2:$AI$43,0),"")</f>
        <v/>
      </c>
    </row>
    <row r="17">
      <c r="A17">
        <f>IF($T17="","",INDEX(Calc!$C$2:$C$43,$T17))</f>
        <v/>
      </c>
      <c r="B17">
        <f>IF($T17="","",INDEX(Calc!$D$2:$D$43,$T17))</f>
        <v/>
      </c>
      <c r="C17" s="6">
        <f>IF($T17="","",INDEX(Calc!$H$2:$H$43,$T17))</f>
        <v/>
      </c>
      <c r="D17" s="7">
        <f>IF($T17="","",INDEX(Calc!$I$2:$I$43,$T17))</f>
        <v/>
      </c>
      <c r="E17" s="7">
        <f>IF($T17="","",INDEX(Calc!$J$2:$J$43,$T17))</f>
        <v/>
      </c>
      <c r="F17" s="7">
        <f>IF($T17="","",INDEX(Calc!$K$2:$K$43,$T17))</f>
        <v/>
      </c>
      <c r="G17" s="6">
        <f>IF($T17="","",INDEX(Calc!$M$2:$M$43,$T17))</f>
        <v/>
      </c>
      <c r="H17" s="7">
        <f>IF($T17="","",INDEX(Calc!$Y$2:$Y$43,$T17))</f>
        <v/>
      </c>
      <c r="I17" s="7">
        <f>IF($T17="","",INDEX(Calc!$AE$2:$AE$43,$T17))</f>
        <v/>
      </c>
      <c r="J17">
        <f>IF($T17="","",IFERROR(INDEX(Projections!$E$2:$E$43,MATCH(INDEX(Calc!$A$2:$A$43,$T17)&amp;"|K1",Projections!$AA$2:$AA$43,0)),""))</f>
        <v/>
      </c>
      <c r="K17" s="6">
        <f>IF($T17="","",IFERROR(INDEX(Projections!$H$2:$H$43,MATCH(INDEX(Calc!$A$2:$A$43,$T17)&amp;"|K1",Projections!$AA$2:$AA$43,0)),""))</f>
        <v/>
      </c>
      <c r="L17" s="7">
        <f>IF($T17="","",INDEX(Calc!$AK$2:$AK$43,$T17))</f>
        <v/>
      </c>
      <c r="M17">
        <f>IF($T17="","",IFERROR(INDEX(Projections!$E$2:$E$43,MATCH(INDEX(Calc!$A$2:$A$43,$T17)&amp;"|"&amp;INDEX(Calc!$AJ$2:$AJ$43,$T17),Projections!$AA$2:$AA$43,0)),""))</f>
        <v/>
      </c>
      <c r="N17" s="6">
        <f>IF($T17="","",IFERROR(INDEX(Projections!$H$2:$H$43,MATCH(INDEX(Calc!$A$2:$A$43,$T17)&amp;"|"&amp;INDEX(Calc!$AJ$2:$AJ$43,$T17),Projections!$AA$2:$AA$43,0)),""))</f>
        <v/>
      </c>
      <c r="O17">
        <f>IF($T17="","",IFERROR(INDEX(Projections!$N$2:$N$43,MATCH(INDEX(Calc!$A$2:$A$43,$T17)&amp;"|K1",Projections!$AA$2:$AA$43,0)),IFERROR(INDEX(Projections!$N$2:$N$43,MATCH(INDEX(Calc!$A$2:$A$43,$T17)&amp;"|"&amp;INDEX(Calc!$AJ$2:$AJ$43,$T17),Projections!$AA$2:$AA$43,0)),"")))</f>
        <v/>
      </c>
      <c r="P17" s="6">
        <f>IF($T17="","",IFERROR(INDEX(Projections!$S$2:$S$43,MATCH(INDEX(Calc!$A$2:$A$43,$T17)&amp;"|K1",Projections!$AA$2:$AA$43,0)),IFERROR(INDEX(Projections!$S$2:$S$43,MATCH(INDEX(Calc!$A$2:$A$43,$T17)&amp;"|"&amp;INDEX(Calc!$AJ$2:$AJ$43,$T17),Projections!$AA$2:$AA$43,0)),"")))</f>
        <v/>
      </c>
      <c r="Q17">
        <f>IF($T17="","",INDEX(Calc!$G$2:$G$43,$T17))</f>
        <v/>
      </c>
      <c r="R17">
        <f>IF($T17="","",INDEX(Calc!$AH$2:$AH$43,$T17))</f>
        <v/>
      </c>
      <c r="T17">
        <f>IFERROR(MATCH(6,Calc!$AI$2:$AI$43,0),"")</f>
        <v/>
      </c>
    </row>
    <row r="18">
      <c r="A18">
        <f>IF($T18="","",INDEX(Calc!$C$2:$C$43,$T18))</f>
        <v/>
      </c>
      <c r="B18">
        <f>IF($T18="","",INDEX(Calc!$D$2:$D$43,$T18))</f>
        <v/>
      </c>
      <c r="C18" s="6">
        <f>IF($T18="","",INDEX(Calc!$H$2:$H$43,$T18))</f>
        <v/>
      </c>
      <c r="D18" s="7">
        <f>IF($T18="","",INDEX(Calc!$I$2:$I$43,$T18))</f>
        <v/>
      </c>
      <c r="E18" s="7">
        <f>IF($T18="","",INDEX(Calc!$J$2:$J$43,$T18))</f>
        <v/>
      </c>
      <c r="F18" s="7">
        <f>IF($T18="","",INDEX(Calc!$K$2:$K$43,$T18))</f>
        <v/>
      </c>
      <c r="G18" s="6">
        <f>IF($T18="","",INDEX(Calc!$M$2:$M$43,$T18))</f>
        <v/>
      </c>
      <c r="H18" s="7">
        <f>IF($T18="","",INDEX(Calc!$Y$2:$Y$43,$T18))</f>
        <v/>
      </c>
      <c r="I18" s="7">
        <f>IF($T18="","",INDEX(Calc!$AE$2:$AE$43,$T18))</f>
        <v/>
      </c>
      <c r="J18">
        <f>IF($T18="","",IFERROR(INDEX(Projections!$E$2:$E$43,MATCH(INDEX(Calc!$A$2:$A$43,$T18)&amp;"|K1",Projections!$AA$2:$AA$43,0)),""))</f>
        <v/>
      </c>
      <c r="K18" s="6">
        <f>IF($T18="","",IFERROR(INDEX(Projections!$H$2:$H$43,MATCH(INDEX(Calc!$A$2:$A$43,$T18)&amp;"|K1",Projections!$AA$2:$AA$43,0)),""))</f>
        <v/>
      </c>
      <c r="L18" s="7">
        <f>IF($T18="","",INDEX(Calc!$AK$2:$AK$43,$T18))</f>
        <v/>
      </c>
      <c r="M18">
        <f>IF($T18="","",IFERROR(INDEX(Projections!$E$2:$E$43,MATCH(INDEX(Calc!$A$2:$A$43,$T18)&amp;"|"&amp;INDEX(Calc!$AJ$2:$AJ$43,$T18),Projections!$AA$2:$AA$43,0)),""))</f>
        <v/>
      </c>
      <c r="N18" s="6">
        <f>IF($T18="","",IFERROR(INDEX(Projections!$H$2:$H$43,MATCH(INDEX(Calc!$A$2:$A$43,$T18)&amp;"|"&amp;INDEX(Calc!$AJ$2:$AJ$43,$T18),Projections!$AA$2:$AA$43,0)),""))</f>
        <v/>
      </c>
      <c r="O18">
        <f>IF($T18="","",IFERROR(INDEX(Projections!$N$2:$N$43,MATCH(INDEX(Calc!$A$2:$A$43,$T18)&amp;"|K1",Projections!$AA$2:$AA$43,0)),IFERROR(INDEX(Projections!$N$2:$N$43,MATCH(INDEX(Calc!$A$2:$A$43,$T18)&amp;"|"&amp;INDEX(Calc!$AJ$2:$AJ$43,$T18),Projections!$AA$2:$AA$43,0)),"")))</f>
        <v/>
      </c>
      <c r="P18" s="6">
        <f>IF($T18="","",IFERROR(INDEX(Projections!$S$2:$S$43,MATCH(INDEX(Calc!$A$2:$A$43,$T18)&amp;"|K1",Projections!$AA$2:$AA$43,0)),IFERROR(INDEX(Projections!$S$2:$S$43,MATCH(INDEX(Calc!$A$2:$A$43,$T18)&amp;"|"&amp;INDEX(Calc!$AJ$2:$AJ$43,$T18),Projections!$AA$2:$AA$43,0)),"")))</f>
        <v/>
      </c>
      <c r="Q18">
        <f>IF($T18="","",INDEX(Calc!$G$2:$G$43,$T18))</f>
        <v/>
      </c>
      <c r="R18">
        <f>IF($T18="","",INDEX(Calc!$AH$2:$AH$43,$T18))</f>
        <v/>
      </c>
      <c r="T18">
        <f>IFERROR(MATCH(7,Calc!$AI$2:$AI$43,0),"")</f>
        <v/>
      </c>
    </row>
    <row r="19">
      <c r="A19">
        <f>IF($T19="","",INDEX(Calc!$C$2:$C$43,$T19))</f>
        <v/>
      </c>
      <c r="B19">
        <f>IF($T19="","",INDEX(Calc!$D$2:$D$43,$T19))</f>
        <v/>
      </c>
      <c r="C19" s="6">
        <f>IF($T19="","",INDEX(Calc!$H$2:$H$43,$T19))</f>
        <v/>
      </c>
      <c r="D19" s="7">
        <f>IF($T19="","",INDEX(Calc!$I$2:$I$43,$T19))</f>
        <v/>
      </c>
      <c r="E19" s="7">
        <f>IF($T19="","",INDEX(Calc!$J$2:$J$43,$T19))</f>
        <v/>
      </c>
      <c r="F19" s="7">
        <f>IF($T19="","",INDEX(Calc!$K$2:$K$43,$T19))</f>
        <v/>
      </c>
      <c r="G19" s="6">
        <f>IF($T19="","",INDEX(Calc!$M$2:$M$43,$T19))</f>
        <v/>
      </c>
      <c r="H19" s="7">
        <f>IF($T19="","",INDEX(Calc!$Y$2:$Y$43,$T19))</f>
        <v/>
      </c>
      <c r="I19" s="7">
        <f>IF($T19="","",INDEX(Calc!$AE$2:$AE$43,$T19))</f>
        <v/>
      </c>
      <c r="J19">
        <f>IF($T19="","",IFERROR(INDEX(Projections!$E$2:$E$43,MATCH(INDEX(Calc!$A$2:$A$43,$T19)&amp;"|K1",Projections!$AA$2:$AA$43,0)),""))</f>
        <v/>
      </c>
      <c r="K19" s="6">
        <f>IF($T19="","",IFERROR(INDEX(Projections!$H$2:$H$43,MATCH(INDEX(Calc!$A$2:$A$43,$T19)&amp;"|K1",Projections!$AA$2:$AA$43,0)),""))</f>
        <v/>
      </c>
      <c r="L19" s="7">
        <f>IF($T19="","",INDEX(Calc!$AK$2:$AK$43,$T19))</f>
        <v/>
      </c>
      <c r="M19">
        <f>IF($T19="","",IFERROR(INDEX(Projections!$E$2:$E$43,MATCH(INDEX(Calc!$A$2:$A$43,$T19)&amp;"|"&amp;INDEX(Calc!$AJ$2:$AJ$43,$T19),Projections!$AA$2:$AA$43,0)),""))</f>
        <v/>
      </c>
      <c r="N19" s="6">
        <f>IF($T19="","",IFERROR(INDEX(Projections!$H$2:$H$43,MATCH(INDEX(Calc!$A$2:$A$43,$T19)&amp;"|"&amp;INDEX(Calc!$AJ$2:$AJ$43,$T19),Projections!$AA$2:$AA$43,0)),""))</f>
        <v/>
      </c>
      <c r="O19">
        <f>IF($T19="","",IFERROR(INDEX(Projections!$N$2:$N$43,MATCH(INDEX(Calc!$A$2:$A$43,$T19)&amp;"|K1",Projections!$AA$2:$AA$43,0)),IFERROR(INDEX(Projections!$N$2:$N$43,MATCH(INDEX(Calc!$A$2:$A$43,$T19)&amp;"|"&amp;INDEX(Calc!$AJ$2:$AJ$43,$T19),Projections!$AA$2:$AA$43,0)),"")))</f>
        <v/>
      </c>
      <c r="P19" s="6">
        <f>IF($T19="","",IFERROR(INDEX(Projections!$S$2:$S$43,MATCH(INDEX(Calc!$A$2:$A$43,$T19)&amp;"|K1",Projections!$AA$2:$AA$43,0)),IFERROR(INDEX(Projections!$S$2:$S$43,MATCH(INDEX(Calc!$A$2:$A$43,$T19)&amp;"|"&amp;INDEX(Calc!$AJ$2:$AJ$43,$T19),Projections!$AA$2:$AA$43,0)),"")))</f>
        <v/>
      </c>
      <c r="Q19">
        <f>IF($T19="","",INDEX(Calc!$G$2:$G$43,$T19))</f>
        <v/>
      </c>
      <c r="R19">
        <f>IF($T19="","",INDEX(Calc!$AH$2:$AH$43,$T19))</f>
        <v/>
      </c>
      <c r="T19">
        <f>IFERROR(MATCH(8,Calc!$AI$2:$AI$43,0),"")</f>
        <v/>
      </c>
    </row>
    <row r="20">
      <c r="A20">
        <f>IF($T20="","",INDEX(Calc!$C$2:$C$43,$T20))</f>
        <v/>
      </c>
      <c r="B20">
        <f>IF($T20="","",INDEX(Calc!$D$2:$D$43,$T20))</f>
        <v/>
      </c>
      <c r="C20" s="6">
        <f>IF($T20="","",INDEX(Calc!$H$2:$H$43,$T20))</f>
        <v/>
      </c>
      <c r="D20" s="7">
        <f>IF($T20="","",INDEX(Calc!$I$2:$I$43,$T20))</f>
        <v/>
      </c>
      <c r="E20" s="7">
        <f>IF($T20="","",INDEX(Calc!$J$2:$J$43,$T20))</f>
        <v/>
      </c>
      <c r="F20" s="7">
        <f>IF($T20="","",INDEX(Calc!$K$2:$K$43,$T20))</f>
        <v/>
      </c>
      <c r="G20" s="6">
        <f>IF($T20="","",INDEX(Calc!$M$2:$M$43,$T20))</f>
        <v/>
      </c>
      <c r="H20" s="7">
        <f>IF($T20="","",INDEX(Calc!$Y$2:$Y$43,$T20))</f>
        <v/>
      </c>
      <c r="I20" s="7">
        <f>IF($T20="","",INDEX(Calc!$AE$2:$AE$43,$T20))</f>
        <v/>
      </c>
      <c r="J20">
        <f>IF($T20="","",IFERROR(INDEX(Projections!$E$2:$E$43,MATCH(INDEX(Calc!$A$2:$A$43,$T20)&amp;"|K1",Projections!$AA$2:$AA$43,0)),""))</f>
        <v/>
      </c>
      <c r="K20" s="6">
        <f>IF($T20="","",IFERROR(INDEX(Projections!$H$2:$H$43,MATCH(INDEX(Calc!$A$2:$A$43,$T20)&amp;"|K1",Projections!$AA$2:$AA$43,0)),""))</f>
        <v/>
      </c>
      <c r="L20" s="7">
        <f>IF($T20="","",INDEX(Calc!$AK$2:$AK$43,$T20))</f>
        <v/>
      </c>
      <c r="M20">
        <f>IF($T20="","",IFERROR(INDEX(Projections!$E$2:$E$43,MATCH(INDEX(Calc!$A$2:$A$43,$T20)&amp;"|"&amp;INDEX(Calc!$AJ$2:$AJ$43,$T20),Projections!$AA$2:$AA$43,0)),""))</f>
        <v/>
      </c>
      <c r="N20" s="6">
        <f>IF($T20="","",IFERROR(INDEX(Projections!$H$2:$H$43,MATCH(INDEX(Calc!$A$2:$A$43,$T20)&amp;"|"&amp;INDEX(Calc!$AJ$2:$AJ$43,$T20),Projections!$AA$2:$AA$43,0)),""))</f>
        <v/>
      </c>
      <c r="O20">
        <f>IF($T20="","",IFERROR(INDEX(Projections!$N$2:$N$43,MATCH(INDEX(Calc!$A$2:$A$43,$T20)&amp;"|K1",Projections!$AA$2:$AA$43,0)),IFERROR(INDEX(Projections!$N$2:$N$43,MATCH(INDEX(Calc!$A$2:$A$43,$T20)&amp;"|"&amp;INDEX(Calc!$AJ$2:$AJ$43,$T20),Projections!$AA$2:$AA$43,0)),"")))</f>
        <v/>
      </c>
      <c r="P20" s="6">
        <f>IF($T20="","",IFERROR(INDEX(Projections!$S$2:$S$43,MATCH(INDEX(Calc!$A$2:$A$43,$T20)&amp;"|K1",Projections!$AA$2:$AA$43,0)),IFERROR(INDEX(Projections!$S$2:$S$43,MATCH(INDEX(Calc!$A$2:$A$43,$T20)&amp;"|"&amp;INDEX(Calc!$AJ$2:$AJ$43,$T20),Projections!$AA$2:$AA$43,0)),"")))</f>
        <v/>
      </c>
      <c r="Q20">
        <f>IF($T20="","",INDEX(Calc!$G$2:$G$43,$T20))</f>
        <v/>
      </c>
      <c r="R20">
        <f>IF($T20="","",INDEX(Calc!$AH$2:$AH$43,$T20))</f>
        <v/>
      </c>
      <c r="T20">
        <f>IFERROR(MATCH(9,Calc!$AI$2:$AI$43,0),"")</f>
        <v/>
      </c>
    </row>
    <row r="21">
      <c r="A21">
        <f>IF($T21="","",INDEX(Calc!$C$2:$C$43,$T21))</f>
        <v/>
      </c>
      <c r="B21">
        <f>IF($T21="","",INDEX(Calc!$D$2:$D$43,$T21))</f>
        <v/>
      </c>
      <c r="C21" s="6">
        <f>IF($T21="","",INDEX(Calc!$H$2:$H$43,$T21))</f>
        <v/>
      </c>
      <c r="D21" s="7">
        <f>IF($T21="","",INDEX(Calc!$I$2:$I$43,$T21))</f>
        <v/>
      </c>
      <c r="E21" s="7">
        <f>IF($T21="","",INDEX(Calc!$J$2:$J$43,$T21))</f>
        <v/>
      </c>
      <c r="F21" s="7">
        <f>IF($T21="","",INDEX(Calc!$K$2:$K$43,$T21))</f>
        <v/>
      </c>
      <c r="G21" s="6">
        <f>IF($T21="","",INDEX(Calc!$M$2:$M$43,$T21))</f>
        <v/>
      </c>
      <c r="H21" s="7">
        <f>IF($T21="","",INDEX(Calc!$Y$2:$Y$43,$T21))</f>
        <v/>
      </c>
      <c r="I21" s="7">
        <f>IF($T21="","",INDEX(Calc!$AE$2:$AE$43,$T21))</f>
        <v/>
      </c>
      <c r="J21">
        <f>IF($T21="","",IFERROR(INDEX(Projections!$E$2:$E$43,MATCH(INDEX(Calc!$A$2:$A$43,$T21)&amp;"|K1",Projections!$AA$2:$AA$43,0)),""))</f>
        <v/>
      </c>
      <c r="K21" s="6">
        <f>IF($T21="","",IFERROR(INDEX(Projections!$H$2:$H$43,MATCH(INDEX(Calc!$A$2:$A$43,$T21)&amp;"|K1",Projections!$AA$2:$AA$43,0)),""))</f>
        <v/>
      </c>
      <c r="L21" s="7">
        <f>IF($T21="","",INDEX(Calc!$AK$2:$AK$43,$T21))</f>
        <v/>
      </c>
      <c r="M21">
        <f>IF($T21="","",IFERROR(INDEX(Projections!$E$2:$E$43,MATCH(INDEX(Calc!$A$2:$A$43,$T21)&amp;"|"&amp;INDEX(Calc!$AJ$2:$AJ$43,$T21),Projections!$AA$2:$AA$43,0)),""))</f>
        <v/>
      </c>
      <c r="N21" s="6">
        <f>IF($T21="","",IFERROR(INDEX(Projections!$H$2:$H$43,MATCH(INDEX(Calc!$A$2:$A$43,$T21)&amp;"|"&amp;INDEX(Calc!$AJ$2:$AJ$43,$T21),Projections!$AA$2:$AA$43,0)),""))</f>
        <v/>
      </c>
      <c r="O21">
        <f>IF($T21="","",IFERROR(INDEX(Projections!$N$2:$N$43,MATCH(INDEX(Calc!$A$2:$A$43,$T21)&amp;"|K1",Projections!$AA$2:$AA$43,0)),IFERROR(INDEX(Projections!$N$2:$N$43,MATCH(INDEX(Calc!$A$2:$A$43,$T21)&amp;"|"&amp;INDEX(Calc!$AJ$2:$AJ$43,$T21),Projections!$AA$2:$AA$43,0)),"")))</f>
        <v/>
      </c>
      <c r="P21" s="6">
        <f>IF($T21="","",IFERROR(INDEX(Projections!$S$2:$S$43,MATCH(INDEX(Calc!$A$2:$A$43,$T21)&amp;"|K1",Projections!$AA$2:$AA$43,0)),IFERROR(INDEX(Projections!$S$2:$S$43,MATCH(INDEX(Calc!$A$2:$A$43,$T21)&amp;"|"&amp;INDEX(Calc!$AJ$2:$AJ$43,$T21),Projections!$AA$2:$AA$43,0)),"")))</f>
        <v/>
      </c>
      <c r="Q21">
        <f>IF($T21="","",INDEX(Calc!$G$2:$G$43,$T21))</f>
        <v/>
      </c>
      <c r="R21">
        <f>IF($T21="","",INDEX(Calc!$AH$2:$AH$43,$T21))</f>
        <v/>
      </c>
      <c r="T21">
        <f>IFERROR(MATCH(10,Calc!$AI$2:$AI$43,0),"")</f>
        <v/>
      </c>
    </row>
    <row r="22">
      <c r="A22">
        <f>IF($T22="","",INDEX(Calc!$C$2:$C$43,$T22))</f>
        <v/>
      </c>
      <c r="B22">
        <f>IF($T22="","",INDEX(Calc!$D$2:$D$43,$T22))</f>
        <v/>
      </c>
      <c r="C22" s="6">
        <f>IF($T22="","",INDEX(Calc!$H$2:$H$43,$T22))</f>
        <v/>
      </c>
      <c r="D22" s="7">
        <f>IF($T22="","",INDEX(Calc!$I$2:$I$43,$T22))</f>
        <v/>
      </c>
      <c r="E22" s="7">
        <f>IF($T22="","",INDEX(Calc!$J$2:$J$43,$T22))</f>
        <v/>
      </c>
      <c r="F22" s="7">
        <f>IF($T22="","",INDEX(Calc!$K$2:$K$43,$T22))</f>
        <v/>
      </c>
      <c r="G22" s="6">
        <f>IF($T22="","",INDEX(Calc!$M$2:$M$43,$T22))</f>
        <v/>
      </c>
      <c r="H22" s="7">
        <f>IF($T22="","",INDEX(Calc!$Y$2:$Y$43,$T22))</f>
        <v/>
      </c>
      <c r="I22" s="7">
        <f>IF($T22="","",INDEX(Calc!$AE$2:$AE$43,$T22))</f>
        <v/>
      </c>
      <c r="J22">
        <f>IF($T22="","",IFERROR(INDEX(Projections!$E$2:$E$43,MATCH(INDEX(Calc!$A$2:$A$43,$T22)&amp;"|K1",Projections!$AA$2:$AA$43,0)),""))</f>
        <v/>
      </c>
      <c r="K22" s="6">
        <f>IF($T22="","",IFERROR(INDEX(Projections!$H$2:$H$43,MATCH(INDEX(Calc!$A$2:$A$43,$T22)&amp;"|K1",Projections!$AA$2:$AA$43,0)),""))</f>
        <v/>
      </c>
      <c r="L22" s="7">
        <f>IF($T22="","",INDEX(Calc!$AK$2:$AK$43,$T22))</f>
        <v/>
      </c>
      <c r="M22">
        <f>IF($T22="","",IFERROR(INDEX(Projections!$E$2:$E$43,MATCH(INDEX(Calc!$A$2:$A$43,$T22)&amp;"|"&amp;INDEX(Calc!$AJ$2:$AJ$43,$T22),Projections!$AA$2:$AA$43,0)),""))</f>
        <v/>
      </c>
      <c r="N22" s="6">
        <f>IF($T22="","",IFERROR(INDEX(Projections!$H$2:$H$43,MATCH(INDEX(Calc!$A$2:$A$43,$T22)&amp;"|"&amp;INDEX(Calc!$AJ$2:$AJ$43,$T22),Projections!$AA$2:$AA$43,0)),""))</f>
        <v/>
      </c>
      <c r="O22">
        <f>IF($T22="","",IFERROR(INDEX(Projections!$N$2:$N$43,MATCH(INDEX(Calc!$A$2:$A$43,$T22)&amp;"|K1",Projections!$AA$2:$AA$43,0)),IFERROR(INDEX(Projections!$N$2:$N$43,MATCH(INDEX(Calc!$A$2:$A$43,$T22)&amp;"|"&amp;INDEX(Calc!$AJ$2:$AJ$43,$T22),Projections!$AA$2:$AA$43,0)),"")))</f>
        <v/>
      </c>
      <c r="P22" s="6">
        <f>IF($T22="","",IFERROR(INDEX(Projections!$S$2:$S$43,MATCH(INDEX(Calc!$A$2:$A$43,$T22)&amp;"|K1",Projections!$AA$2:$AA$43,0)),IFERROR(INDEX(Projections!$S$2:$S$43,MATCH(INDEX(Calc!$A$2:$A$43,$T22)&amp;"|"&amp;INDEX(Calc!$AJ$2:$AJ$43,$T22),Projections!$AA$2:$AA$43,0)),"")))</f>
        <v/>
      </c>
      <c r="Q22">
        <f>IF($T22="","",INDEX(Calc!$G$2:$G$43,$T22))</f>
        <v/>
      </c>
      <c r="R22">
        <f>IF($T22="","",INDEX(Calc!$AH$2:$AH$43,$T22))</f>
        <v/>
      </c>
      <c r="T22">
        <f>IFERROR(MATCH(11,Calc!$AI$2:$AI$43,0),"")</f>
        <v/>
      </c>
    </row>
    <row r="23">
      <c r="A23">
        <f>IF($T23="","",INDEX(Calc!$C$2:$C$43,$T23))</f>
        <v/>
      </c>
      <c r="B23">
        <f>IF($T23="","",INDEX(Calc!$D$2:$D$43,$T23))</f>
        <v/>
      </c>
      <c r="C23" s="6">
        <f>IF($T23="","",INDEX(Calc!$H$2:$H$43,$T23))</f>
        <v/>
      </c>
      <c r="D23" s="7">
        <f>IF($T23="","",INDEX(Calc!$I$2:$I$43,$T23))</f>
        <v/>
      </c>
      <c r="E23" s="7">
        <f>IF($T23="","",INDEX(Calc!$J$2:$J$43,$T23))</f>
        <v/>
      </c>
      <c r="F23" s="7">
        <f>IF($T23="","",INDEX(Calc!$K$2:$K$43,$T23))</f>
        <v/>
      </c>
      <c r="G23" s="6">
        <f>IF($T23="","",INDEX(Calc!$M$2:$M$43,$T23))</f>
        <v/>
      </c>
      <c r="H23" s="7">
        <f>IF($T23="","",INDEX(Calc!$Y$2:$Y$43,$T23))</f>
        <v/>
      </c>
      <c r="I23" s="7">
        <f>IF($T23="","",INDEX(Calc!$AE$2:$AE$43,$T23))</f>
        <v/>
      </c>
      <c r="J23">
        <f>IF($T23="","",IFERROR(INDEX(Projections!$E$2:$E$43,MATCH(INDEX(Calc!$A$2:$A$43,$T23)&amp;"|K1",Projections!$AA$2:$AA$43,0)),""))</f>
        <v/>
      </c>
      <c r="K23" s="6">
        <f>IF($T23="","",IFERROR(INDEX(Projections!$H$2:$H$43,MATCH(INDEX(Calc!$A$2:$A$43,$T23)&amp;"|K1",Projections!$AA$2:$AA$43,0)),""))</f>
        <v/>
      </c>
      <c r="L23" s="7">
        <f>IF($T23="","",INDEX(Calc!$AK$2:$AK$43,$T23))</f>
        <v/>
      </c>
      <c r="M23">
        <f>IF($T23="","",IFERROR(INDEX(Projections!$E$2:$E$43,MATCH(INDEX(Calc!$A$2:$A$43,$T23)&amp;"|"&amp;INDEX(Calc!$AJ$2:$AJ$43,$T23),Projections!$AA$2:$AA$43,0)),""))</f>
        <v/>
      </c>
      <c r="N23" s="6">
        <f>IF($T23="","",IFERROR(INDEX(Projections!$H$2:$H$43,MATCH(INDEX(Calc!$A$2:$A$43,$T23)&amp;"|"&amp;INDEX(Calc!$AJ$2:$AJ$43,$T23),Projections!$AA$2:$AA$43,0)),""))</f>
        <v/>
      </c>
      <c r="O23">
        <f>IF($T23="","",IFERROR(INDEX(Projections!$N$2:$N$43,MATCH(INDEX(Calc!$A$2:$A$43,$T23)&amp;"|K1",Projections!$AA$2:$AA$43,0)),IFERROR(INDEX(Projections!$N$2:$N$43,MATCH(INDEX(Calc!$A$2:$A$43,$T23)&amp;"|"&amp;INDEX(Calc!$AJ$2:$AJ$43,$T23),Projections!$AA$2:$AA$43,0)),"")))</f>
        <v/>
      </c>
      <c r="P23" s="6">
        <f>IF($T23="","",IFERROR(INDEX(Projections!$S$2:$S$43,MATCH(INDEX(Calc!$A$2:$A$43,$T23)&amp;"|K1",Projections!$AA$2:$AA$43,0)),IFERROR(INDEX(Projections!$S$2:$S$43,MATCH(INDEX(Calc!$A$2:$A$43,$T23)&amp;"|"&amp;INDEX(Calc!$AJ$2:$AJ$43,$T23),Projections!$AA$2:$AA$43,0)),"")))</f>
        <v/>
      </c>
      <c r="Q23">
        <f>IF($T23="","",INDEX(Calc!$G$2:$G$43,$T23))</f>
        <v/>
      </c>
      <c r="R23">
        <f>IF($T23="","",INDEX(Calc!$AH$2:$AH$43,$T23))</f>
        <v/>
      </c>
      <c r="T23">
        <f>IFERROR(MATCH(12,Calc!$AI$2:$AI$43,0),"")</f>
        <v/>
      </c>
    </row>
    <row r="25">
      <c r="A25" s="3" t="inlineStr">
        <is>
          <t>Proj = Σ maps of P(win map)·k_win + P(lose)·k_loss, with k_win = K̄·r/(q·r+1−q), k_loss = K̄/(q·r+1−q), r = WL_RATIO, q = his map win rate over PickFinder's sample. Naive = K̄ per map. At P(win) = q the two agree exactly. PAPER: no forward record.</t>
        </is>
      </c>
    </row>
  </sheetData>
  <conditionalFormatting sqref="K12:K2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conditionalFormatting sqref="N12:N23">
    <cfRule type="colorScale" priority="2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dataValidations count="1">
    <dataValidation sqref="B2" showDropDown="0" showInputMessage="0" showErrorMessage="0" allowBlank="0" type="list">
      <formula1>=Matches!$A$5:$A$9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1" customWidth="1" min="3" max="3"/>
    <col width="4" customWidth="1" min="4" max="4"/>
    <col width="18" customWidth="1" min="5" max="5"/>
    <col width="18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  <col width="9" customWidth="1" min="18" max="18"/>
    <col width="7" customWidth="1" min="19" max="19"/>
    <col width="7" customWidth="1" min="20" max="20"/>
  </cols>
  <sheetData>
    <row r="1">
      <c r="A1" s="1" t="inlineStr">
        <is>
          <t>Matches — the shaded columns are yours: P(win) for each map, which maps get played, and the kill environment</t>
        </is>
      </c>
    </row>
    <row r="2">
      <c r="A2" s="3" t="inlineStr">
        <is>
          <t>Prefilled from Thunderpick, devigged: P(A wins map k) from Map k Winner (Bo1: Match Winner). Kills env × scales every projection in the match (1 = the players' own history; 1.10 = a game 10% bloodier).</t>
        </is>
      </c>
    </row>
    <row r="4">
      <c r="A4" s="8" t="inlineStr">
        <is>
          <t>Match</t>
        </is>
      </c>
      <c r="B4" s="8" t="inlineStr">
        <is>
          <t>Event</t>
        </is>
      </c>
      <c r="C4" s="8" t="inlineStr">
        <is>
          <t>Start (CT)</t>
        </is>
      </c>
      <c r="D4" s="8" t="inlineStr">
        <is>
          <t>Bo</t>
        </is>
      </c>
      <c r="E4" s="8" t="inlineStr">
        <is>
          <t>Team A</t>
        </is>
      </c>
      <c r="F4" s="8" t="inlineStr">
        <is>
          <t>Team B</t>
        </is>
      </c>
      <c r="G4" s="8" t="inlineStr">
        <is>
          <t>P(A wins)</t>
        </is>
      </c>
      <c r="H4" s="8" t="inlineStr">
        <is>
          <t>TP total kills M1</t>
        </is>
      </c>
      <c r="I4" s="8" t="inlineStr">
        <is>
          <t>TP A kills M1</t>
        </is>
      </c>
      <c r="J4" s="8" t="inlineStr">
        <is>
          <t>TP B kills M1</t>
        </is>
      </c>
      <c r="K4" s="8" t="inlineStr">
        <is>
          <t>TP duration M1</t>
        </is>
      </c>
      <c r="L4" s="8" t="inlineStr">
        <is>
          <t>TP markets</t>
        </is>
      </c>
      <c r="M4" s="8" t="inlineStr">
        <is>
          <t>P(A wins M1)</t>
        </is>
      </c>
      <c r="N4" s="8" t="inlineStr">
        <is>
          <t>P(A wins M2)</t>
        </is>
      </c>
      <c r="O4" s="8" t="inlineStr">
        <is>
          <t>P(A wins M3)</t>
        </is>
      </c>
      <c r="P4" s="8" t="inlineStr">
        <is>
          <t>P(M2 played)</t>
        </is>
      </c>
      <c r="Q4" s="8" t="inlineStr">
        <is>
          <t>P(M3 played)</t>
        </is>
      </c>
      <c r="R4" s="8" t="inlineStr">
        <is>
          <t>Kills env ×</t>
        </is>
      </c>
      <c r="S4" s="8" t="inlineStr">
        <is>
          <t>Tag A</t>
        </is>
      </c>
      <c r="T4" s="8" t="inlineStr">
        <is>
          <t>Tag B</t>
        </is>
      </c>
    </row>
    <row r="5">
      <c r="A5" t="inlineStr">
        <is>
          <t>DOTA · TS vs LEGION</t>
        </is>
      </c>
      <c r="B5" t="inlineStr">
        <is>
          <t>P Universe</t>
        </is>
      </c>
      <c r="C5" t="inlineStr">
        <is>
          <t>Thu 07:00</t>
        </is>
      </c>
      <c r="D5" t="n">
        <v>3</v>
      </c>
      <c r="E5" t="inlineStr">
        <is>
          <t>Team Spirit (TS)</t>
        </is>
      </c>
      <c r="F5" t="inlineStr">
        <is>
          <t>LEGION (LEGION)</t>
        </is>
      </c>
      <c r="G5" s="6" t="n">
        <v>0.8593749999999999</v>
      </c>
      <c r="H5" s="7" t="n">
        <v>55.8523166023166</v>
      </c>
      <c r="I5" s="7" t="n">
        <v>35.08333333333334</v>
      </c>
      <c r="J5" s="7" t="n">
        <v>22.26140808344198</v>
      </c>
      <c r="K5" s="7" t="n">
        <v>41.41666666666666</v>
      </c>
      <c r="L5" t="n">
        <v>292</v>
      </c>
      <c r="M5" s="9" t="n">
        <v>0.7765</v>
      </c>
      <c r="N5" s="9" t="n">
        <v>0.7765</v>
      </c>
      <c r="O5" s="9" t="n">
        <v>0.8594000000000001</v>
      </c>
      <c r="P5" s="9" t="n">
        <v>1</v>
      </c>
      <c r="Q5" s="9" t="n">
        <v>0.3419</v>
      </c>
      <c r="R5" s="10" t="n">
        <v>1</v>
      </c>
      <c r="S5" t="inlineStr">
        <is>
          <t>TS</t>
        </is>
      </c>
      <c r="T5" t="inlineStr">
        <is>
          <t>LEGION</t>
        </is>
      </c>
    </row>
    <row r="6">
      <c r="A6" t="inlineStr">
        <is>
          <t>DOTA · PARI vs TY</t>
        </is>
      </c>
      <c r="B6" t="inlineStr">
        <is>
          <t>P Universe</t>
        </is>
      </c>
      <c r="C6" t="inlineStr">
        <is>
          <t>Thu 10:00</t>
        </is>
      </c>
      <c r="D6" t="n">
        <v>3</v>
      </c>
      <c r="E6" t="inlineStr">
        <is>
          <t>PariVision (PARI)</t>
        </is>
      </c>
      <c r="F6" t="inlineStr">
        <is>
          <t>Team Yandex (TY)</t>
        </is>
      </c>
      <c r="G6" s="6" t="n">
        <v>0.4240837696335079</v>
      </c>
      <c r="H6" s="7" t="n">
        <v>51.73480486244402</v>
      </c>
      <c r="I6" s="7" t="n"/>
      <c r="J6" s="7" t="n">
        <v>27.95</v>
      </c>
      <c r="K6" s="7" t="n">
        <v>44.45454545454545</v>
      </c>
      <c r="L6" t="n">
        <v>323</v>
      </c>
      <c r="M6" s="9" t="n">
        <v>0.4497</v>
      </c>
      <c r="N6" s="9" t="n">
        <v>0.4497</v>
      </c>
      <c r="O6" s="9" t="n">
        <v>0.4241</v>
      </c>
      <c r="P6" s="9" t="n">
        <v>1</v>
      </c>
      <c r="Q6" s="9" t="n">
        <v>0.4932</v>
      </c>
      <c r="R6" s="10" t="n">
        <v>1</v>
      </c>
      <c r="S6" t="inlineStr">
        <is>
          <t>PARI</t>
        </is>
      </c>
      <c r="T6" t="inlineStr">
        <is>
          <t>TY</t>
        </is>
      </c>
    </row>
    <row r="7">
      <c r="A7" t="inlineStr">
        <is>
          <t>DOTA · OG vs GL</t>
        </is>
      </c>
      <c r="B7" t="inlineStr">
        <is>
          <t>P Universe</t>
        </is>
      </c>
      <c r="C7" t="inlineStr">
        <is>
          <t>Thu 13:00</t>
        </is>
      </c>
      <c r="D7" t="n">
        <v>3</v>
      </c>
      <c r="E7" t="inlineStr">
        <is>
          <t>OG (OG)</t>
        </is>
      </c>
      <c r="F7" t="inlineStr">
        <is>
          <t>GamerLegion (GL)</t>
        </is>
      </c>
      <c r="G7" s="6" t="n">
        <v>0.550531914893617</v>
      </c>
      <c r="H7" s="7" t="n">
        <v>53.26519781280154</v>
      </c>
      <c r="I7" s="7" t="n">
        <v>27.76368876080692</v>
      </c>
      <c r="J7" s="7" t="n">
        <v>26.92038583357328</v>
      </c>
      <c r="K7" s="7" t="n">
        <v>44.90909090909091</v>
      </c>
      <c r="L7" t="n">
        <v>314</v>
      </c>
      <c r="M7" s="9" t="n">
        <v>0.5333</v>
      </c>
      <c r="N7" s="9" t="n">
        <v>0.5333</v>
      </c>
      <c r="O7" s="9" t="n">
        <v>0.5505</v>
      </c>
      <c r="P7" s="9" t="n">
        <v>1</v>
      </c>
      <c r="Q7" s="9" t="n">
        <v>0.4919</v>
      </c>
      <c r="R7" s="10" t="n">
        <v>1</v>
      </c>
      <c r="S7" t="inlineStr">
        <is>
          <t>OG</t>
        </is>
      </c>
      <c r="T7" t="inlineStr">
        <is>
          <t>GL</t>
        </is>
      </c>
    </row>
    <row r="8">
      <c r="A8" t="inlineStr">
        <is>
          <t>LOL · KC vs CFO</t>
        </is>
      </c>
      <c r="B8" t="inlineStr">
        <is>
          <t>Worlds 2026</t>
        </is>
      </c>
      <c r="C8" t="inlineStr">
        <is>
          <t>Thu 15:00</t>
        </is>
      </c>
      <c r="D8" t="n">
        <v>3</v>
      </c>
      <c r="E8" t="inlineStr">
        <is>
          <t>Karmine Corp (KC)</t>
        </is>
      </c>
      <c r="F8" t="inlineStr">
        <is>
          <t>CTBC Flying Oyster (CFO)</t>
        </is>
      </c>
      <c r="G8" s="6" t="n">
        <v>0.7692307692307692</v>
      </c>
      <c r="H8" s="7" t="n">
        <v>26.5</v>
      </c>
      <c r="I8" s="7" t="n">
        <v>16.09868421052632</v>
      </c>
      <c r="J8" s="7" t="n">
        <v>10.69045495093667</v>
      </c>
      <c r="K8" s="7" t="n">
        <v>32.5</v>
      </c>
      <c r="L8" t="n">
        <v>386</v>
      </c>
      <c r="M8" s="9" t="n">
        <v>0.7111</v>
      </c>
      <c r="N8" s="9" t="n">
        <v>0.7111</v>
      </c>
      <c r="O8" s="9" t="n">
        <v>0.6699000000000001</v>
      </c>
      <c r="P8" s="9" t="n">
        <v>1</v>
      </c>
      <c r="Q8" s="9" t="n">
        <v>0.3925</v>
      </c>
      <c r="R8" s="10" t="n">
        <v>1</v>
      </c>
      <c r="S8" t="inlineStr">
        <is>
          <t>KC</t>
        </is>
      </c>
      <c r="T8" t="inlineStr">
        <is>
          <t>CFO</t>
        </is>
      </c>
    </row>
    <row r="9">
      <c r="A9" t="inlineStr">
        <is>
          <t>LOL · TES vs BLG</t>
        </is>
      </c>
      <c r="B9" t="inlineStr">
        <is>
          <t>Worlds 2026</t>
        </is>
      </c>
      <c r="C9" t="inlineStr">
        <is>
          <t>Thu 18:00</t>
        </is>
      </c>
      <c r="D9" t="n">
        <v>3</v>
      </c>
      <c r="E9" t="inlineStr">
        <is>
          <t>Top Esports (TES)</t>
        </is>
      </c>
      <c r="F9" t="inlineStr">
        <is>
          <t>Bilibili Gaming (BLG)</t>
        </is>
      </c>
      <c r="G9" s="6" t="n">
        <v>0.2888888888888889</v>
      </c>
      <c r="H9" s="7" t="n">
        <v>27.5</v>
      </c>
      <c r="I9" s="7" t="n">
        <v>11.43685300207039</v>
      </c>
      <c r="J9" s="7" t="n">
        <v>16.4455223880597</v>
      </c>
      <c r="K9" s="7" t="n">
        <v>32</v>
      </c>
      <c r="L9" t="n">
        <v>395</v>
      </c>
      <c r="M9" s="9" t="n">
        <v>0.3447</v>
      </c>
      <c r="N9" s="9" t="n">
        <v>0.3447</v>
      </c>
      <c r="O9" s="9" t="n">
        <v>0.358</v>
      </c>
      <c r="P9" s="9" t="n">
        <v>1</v>
      </c>
      <c r="Q9" s="9" t="n">
        <v>0.4515</v>
      </c>
      <c r="R9" s="10" t="n">
        <v>1</v>
      </c>
      <c r="S9" t="inlineStr">
        <is>
          <t>TES</t>
        </is>
      </c>
      <c r="T9" t="inlineStr">
        <is>
          <t>BLG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6" customWidth="1" min="3" max="3"/>
    <col width="14" customWidth="1" min="4" max="4"/>
    <col width="6" customWidth="1" min="5" max="5"/>
    <col width="7" customWidth="1" min="6" max="6"/>
    <col width="6" customWidth="1" min="7" max="7"/>
    <col width="8" customWidth="1" min="8" max="8"/>
    <col width="8" customWidth="1" min="9" max="9"/>
    <col width="7" customWidth="1" min="10" max="10"/>
    <col width="10" customWidth="1" min="11" max="11"/>
    <col width="8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  <col width="6" customWidth="1" min="18" max="18"/>
    <col width="6" customWidth="1" min="19" max="19"/>
    <col width="6" customWidth="1" min="20" max="20"/>
    <col width="9" customWidth="1" min="21" max="21"/>
    <col width="6" customWidth="1" min="22" max="22"/>
    <col width="10" customWidth="1" min="23" max="23"/>
    <col width="30" customWidth="1" min="24" max="24"/>
    <col hidden="1" width="22" customWidth="1" min="25" max="25"/>
    <col hidden="1" width="5" customWidth="1" min="26" max="26"/>
    <col hidden="1" width="26" customWidth="1" min="27" max="27"/>
  </cols>
  <sheetData>
    <row r="1">
      <c r="A1" s="8" t="inlineStr">
        <is>
          <t>Match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Market</t>
        </is>
      </c>
      <c r="E1" s="8" t="inlineStr">
        <is>
          <t>Line</t>
        </is>
      </c>
      <c r="F1" s="8" t="inlineStr">
        <is>
          <t>Proj</t>
        </is>
      </c>
      <c r="G1" s="8" t="inlineStr">
        <is>
          <t>Sigma</t>
        </is>
      </c>
      <c r="H1" s="8" t="inlineStr">
        <is>
          <t>P(over)</t>
        </is>
      </c>
      <c r="I1" s="8" t="inlineStr">
        <is>
          <t>P(under)</t>
        </is>
      </c>
      <c r="J1" s="8" t="inlineStr">
        <is>
          <t>P(push)</t>
        </is>
      </c>
      <c r="K1" s="8" t="inlineStr">
        <is>
          <t>Model side (paper)</t>
        </is>
      </c>
      <c r="L1" s="8" t="inlineStr">
        <is>
          <t>Naive proj</t>
        </is>
      </c>
      <c r="M1" s="8" t="inlineStr">
        <is>
          <t>P(over) naive</t>
        </is>
      </c>
      <c r="N1" s="8" t="inlineStr">
        <is>
          <t>TP book median</t>
        </is>
      </c>
      <c r="O1" s="8" t="inlineStr">
        <is>
          <t>Map win rate q</t>
        </is>
      </c>
      <c r="P1" s="8" t="inlineStr">
        <is>
          <t>P(win M1)</t>
        </is>
      </c>
      <c r="Q1" s="8" t="inlineStr">
        <is>
          <t>PF Avg L10</t>
        </is>
      </c>
      <c r="R1" s="8" t="inlineStr">
        <is>
          <t>PF L5</t>
        </is>
      </c>
      <c r="S1" s="8" t="inlineStr">
        <is>
          <t>PF L10</t>
        </is>
      </c>
      <c r="T1" s="8" t="inlineStr">
        <is>
          <t>PF L15</t>
        </is>
      </c>
      <c r="U1" s="8" t="inlineStr">
        <is>
          <t>PF H2H</t>
        </is>
      </c>
      <c r="V1" s="8" t="inlineStr">
        <is>
          <t>PF streak</t>
        </is>
      </c>
      <c r="W1" s="8" t="inlineStr">
        <is>
          <t>Exact-line landings (15)</t>
        </is>
      </c>
      <c r="X1" s="8" t="inlineStr">
        <is>
          <t>Flags</t>
        </is>
      </c>
      <c r="Y1" s="8" t="inlineStr">
        <is>
          <t>Calc key</t>
        </is>
      </c>
      <c r="Z1" s="8" t="inlineStr">
        <is>
          <t>Code</t>
        </is>
      </c>
      <c r="AA1" s="8" t="inlineStr">
        <is>
          <t>Lookup</t>
        </is>
      </c>
    </row>
    <row r="2">
      <c r="A2" t="inlineStr">
        <is>
          <t>DOTA · OG vs GL</t>
        </is>
      </c>
      <c r="B2" t="inlineStr">
        <is>
          <t>Bignum</t>
        </is>
      </c>
      <c r="C2" t="inlineStr">
        <is>
          <t>GL</t>
        </is>
      </c>
      <c r="D2" t="inlineStr">
        <is>
          <t>Maps 1-2 Kills</t>
        </is>
      </c>
      <c r="E2" t="n">
        <v>6.5</v>
      </c>
      <c r="F2" s="7">
        <f>IFERROR(INDEX(CHOOSE(MATCH($Z2,{"K1","K12","K13"},0),Calc!$Y$2:$Y$43,Calc!$AA$2:$AA$43,Calc!$AC$2:$AC$43),MATCH($Y2,Calc!$A$2:$A$43,0)),"")</f>
        <v/>
      </c>
      <c r="G2" s="7">
        <f>IFERROR(SQRT(INDEX(CHOOSE(MATCH($Z2,{"K1","K12","K13"},0),Calc!$Z$2:$Z$43,Calc!$AB$2:$AB$43,Calc!$AD$2:$AD$43),MATCH($Y2,Calc!$A$2:$A$43,0))),"")</f>
        <v/>
      </c>
      <c r="H2" s="6">
        <f>IF(OR($E2="",$F2="",N($G2)&lt;=0),"",1-NORMDIST(FLOOR($E2,1)+0.5,$F2,$G2,TRUE))</f>
        <v/>
      </c>
      <c r="I2" s="6">
        <f>IF($H2="","",NORMDIST(CEILING($E2,1)-0.5,$F2,$G2,TRUE))</f>
        <v/>
      </c>
      <c r="J2" s="6">
        <f>IF($H2="","",MAX(0,1-$H2-$I2))</f>
        <v/>
      </c>
      <c r="K2">
        <f>IF($H2="","",IF($H2&gt;=0.5+Config!$B$8,"OVER",IF($I2&gt;=0.5+Config!$B$8,"UNDER","—")))</f>
        <v/>
      </c>
      <c r="L2" s="7">
        <f>IFERROR(INDEX(CHOOSE(MATCH($Z2,{"K1","K12","K13"},0),Calc!$AE$2:$AE$43,Calc!$AF$2:$AF$43,Calc!$AG$2:$AG$43),MATCH($Y2,Calc!$A$2:$A$43,0)),"")</f>
        <v/>
      </c>
      <c r="M2" s="6">
        <f>IF(OR($E2="",$L2="",N($G2)&lt;=0),"",1-NORMDIST(FLOOR($E2,1)+0.5,$L2,$G2*SQRT($L2/$F2),TRUE))</f>
        <v/>
      </c>
      <c r="N2" t="n">
        <v>6.51</v>
      </c>
      <c r="O2" s="6">
        <f>IFERROR(INDEX(Calc!$H$2:$H$43,MATCH($Y2,Calc!$A$2:$A$43,0)),"")</f>
        <v/>
      </c>
      <c r="P2" s="6">
        <f>IFERROR(INDEX(Calc!$M$2:$M$43,MATCH($Y2,Calc!$A$2:$A$43,0)),"")</f>
        <v/>
      </c>
      <c r="Q2" t="n">
        <v>8.800000000000001</v>
      </c>
      <c r="R2" s="6" t="n">
        <v>0.8</v>
      </c>
      <c r="S2" s="6" t="n">
        <v>0.7</v>
      </c>
      <c r="T2" s="6" t="n">
        <v>0.6</v>
      </c>
      <c r="U2" t="inlineStr">
        <is>
          <t>57%/4/7</t>
        </is>
      </c>
      <c r="V2" t="n">
        <v>1</v>
      </c>
      <c r="X2">
        <f>IFERROR(INDEX(Calc!$AH$2:$AH$43,MATCH($Y2,Calc!$A$2:$A$43,0)),"")</f>
        <v/>
      </c>
      <c r="Y2" t="inlineStr">
        <is>
          <t>qviujqdmb4jzi0q|DOTA · OG vs GL</t>
        </is>
      </c>
      <c r="Z2" t="inlineStr">
        <is>
          <t>K12</t>
        </is>
      </c>
      <c r="AA2">
        <f>Y2&amp;"|"&amp;Z2</f>
        <v/>
      </c>
    </row>
    <row r="3">
      <c r="A3" t="inlineStr">
        <is>
          <t>DOTA · OG vs GL</t>
        </is>
      </c>
      <c r="B3" t="inlineStr">
        <is>
          <t>Fayde</t>
        </is>
      </c>
      <c r="C3" t="inlineStr">
        <is>
          <t>GL</t>
        </is>
      </c>
      <c r="D3" t="inlineStr">
        <is>
          <t>Maps 1-2 Kills</t>
        </is>
      </c>
      <c r="E3" t="n">
        <v>9</v>
      </c>
      <c r="F3" s="7">
        <f>IFERROR(INDEX(CHOOSE(MATCH($Z3,{"K1","K12","K13"},0),Calc!$Y$2:$Y$43,Calc!$AA$2:$AA$43,Calc!$AC$2:$AC$43),MATCH($Y3,Calc!$A$2:$A$43,0)),"")</f>
        <v/>
      </c>
      <c r="G3" s="7">
        <f>IFERROR(SQRT(INDEX(CHOOSE(MATCH($Z3,{"K1","K12","K13"},0),Calc!$Z$2:$Z$43,Calc!$AB$2:$AB$43,Calc!$AD$2:$AD$43),MATCH($Y3,Calc!$A$2:$A$43,0))),"")</f>
        <v/>
      </c>
      <c r="H3" s="6">
        <f>IF(OR($E3="",$F3="",N($G3)&lt;=0),"",1-NORMDIST(FLOOR($E3,1)+0.5,$F3,$G3,TRUE))</f>
        <v/>
      </c>
      <c r="I3" s="6">
        <f>IF($H3="","",NORMDIST(CEILING($E3,1)-0.5,$F3,$G3,TRUE))</f>
        <v/>
      </c>
      <c r="J3" s="6">
        <f>IF($H3="","",MAX(0,1-$H3-$I3))</f>
        <v/>
      </c>
      <c r="K3">
        <f>IF($H3="","",IF($H3&gt;=0.5+Config!$B$8,"OVER",IF($I3&gt;=0.5+Config!$B$8,"UNDER","—")))</f>
        <v/>
      </c>
      <c r="L3" s="7">
        <f>IFERROR(INDEX(CHOOSE(MATCH($Z3,{"K1","K12","K13"},0),Calc!$AE$2:$AE$43,Calc!$AF$2:$AF$43,Calc!$AG$2:$AG$43),MATCH($Y3,Calc!$A$2:$A$43,0)),"")</f>
        <v/>
      </c>
      <c r="M3" s="6">
        <f>IF(OR($E3="",$L3="",N($G3)&lt;=0),"",1-NORMDIST(FLOOR($E3,1)+0.5,$L3,$G3*SQRT($L3/$F3),TRUE))</f>
        <v/>
      </c>
      <c r="N3" t="n">
        <v>8.67</v>
      </c>
      <c r="O3" s="6">
        <f>IFERROR(INDEX(Calc!$H$2:$H$43,MATCH($Y3,Calc!$A$2:$A$43,0)),"")</f>
        <v/>
      </c>
      <c r="P3" s="6">
        <f>IFERROR(INDEX(Calc!$M$2:$M$43,MATCH($Y3,Calc!$A$2:$A$43,0)),"")</f>
        <v/>
      </c>
      <c r="Q3" t="n">
        <v>11.9</v>
      </c>
      <c r="R3" s="6" t="n">
        <v>0.6</v>
      </c>
      <c r="S3" s="6" t="n">
        <v>0.6</v>
      </c>
      <c r="T3" s="6" t="n">
        <v>0.6</v>
      </c>
      <c r="U3" t="inlineStr">
        <is>
          <t>43%/3/7</t>
        </is>
      </c>
      <c r="V3" t="n">
        <v>3</v>
      </c>
      <c r="W3" t="n">
        <v>1</v>
      </c>
      <c r="X3">
        <f>IFERROR(INDEX(Calc!$AH$2:$AH$43,MATCH($Y3,Calc!$A$2:$A$43,0)),"")</f>
        <v/>
      </c>
      <c r="Y3" t="inlineStr">
        <is>
          <t>7f340lwfa48ats4|DOTA · OG vs GL</t>
        </is>
      </c>
      <c r="Z3" t="inlineStr">
        <is>
          <t>K12</t>
        </is>
      </c>
      <c r="AA3">
        <f>Y3&amp;"|"&amp;Z3</f>
        <v/>
      </c>
    </row>
    <row r="4">
      <c r="A4" t="inlineStr">
        <is>
          <t>DOTA · OG vs GL</t>
        </is>
      </c>
      <c r="B4" t="inlineStr">
        <is>
          <t>RCY</t>
        </is>
      </c>
      <c r="C4" t="inlineStr">
        <is>
          <t>GL</t>
        </is>
      </c>
      <c r="D4" t="inlineStr">
        <is>
          <t>Maps 1-2 Kills</t>
        </is>
      </c>
      <c r="E4" t="n">
        <v>13</v>
      </c>
      <c r="F4" s="7">
        <f>IFERROR(INDEX(CHOOSE(MATCH($Z4,{"K1","K12","K13"},0),Calc!$Y$2:$Y$43,Calc!$AA$2:$AA$43,Calc!$AC$2:$AC$43),MATCH($Y4,Calc!$A$2:$A$43,0)),"")</f>
        <v/>
      </c>
      <c r="G4" s="7">
        <f>IFERROR(SQRT(INDEX(CHOOSE(MATCH($Z4,{"K1","K12","K13"},0),Calc!$Z$2:$Z$43,Calc!$AB$2:$AB$43,Calc!$AD$2:$AD$43),MATCH($Y4,Calc!$A$2:$A$43,0))),"")</f>
        <v/>
      </c>
      <c r="H4" s="6">
        <f>IF(OR($E4="",$F4="",N($G4)&lt;=0),"",1-NORMDIST(FLOOR($E4,1)+0.5,$F4,$G4,TRUE))</f>
        <v/>
      </c>
      <c r="I4" s="6">
        <f>IF($H4="","",NORMDIST(CEILING($E4,1)-0.5,$F4,$G4,TRUE))</f>
        <v/>
      </c>
      <c r="J4" s="6">
        <f>IF($H4="","",MAX(0,1-$H4-$I4))</f>
        <v/>
      </c>
      <c r="K4">
        <f>IF($H4="","",IF($H4&gt;=0.5+Config!$B$8,"OVER",IF($I4&gt;=0.5+Config!$B$8,"UNDER","—")))</f>
        <v/>
      </c>
      <c r="L4" s="7">
        <f>IFERROR(INDEX(CHOOSE(MATCH($Z4,{"K1","K12","K13"},0),Calc!$AE$2:$AE$43,Calc!$AF$2:$AF$43,Calc!$AG$2:$AG$43),MATCH($Y4,Calc!$A$2:$A$43,0)),"")</f>
        <v/>
      </c>
      <c r="M4" s="6">
        <f>IF(OR($E4="",$L4="",N($G4)&lt;=0),"",1-NORMDIST(FLOOR($E4,1)+0.5,$L4,$G4*SQRT($L4/$F4),TRUE))</f>
        <v/>
      </c>
      <c r="N4" t="n">
        <v>13.14</v>
      </c>
      <c r="O4" s="6">
        <f>IFERROR(INDEX(Calc!$H$2:$H$43,MATCH($Y4,Calc!$A$2:$A$43,0)),"")</f>
        <v/>
      </c>
      <c r="P4" s="6">
        <f>IFERROR(INDEX(Calc!$M$2:$M$43,MATCH($Y4,Calc!$A$2:$A$43,0)),"")</f>
        <v/>
      </c>
      <c r="Q4" t="n">
        <v>16.1</v>
      </c>
      <c r="R4" s="6" t="n">
        <v>0.6</v>
      </c>
      <c r="S4" s="6" t="n">
        <v>0.7</v>
      </c>
      <c r="T4" s="6" t="n">
        <v>0.67</v>
      </c>
      <c r="U4" t="inlineStr">
        <is>
          <t>67%/4/6</t>
        </is>
      </c>
      <c r="V4" t="n">
        <v>3</v>
      </c>
      <c r="W4" t="n">
        <v>3</v>
      </c>
      <c r="X4">
        <f>IFERROR(INDEX(Calc!$AH$2:$AH$43,MATCH($Y4,Calc!$A$2:$A$43,0)),"")</f>
        <v/>
      </c>
      <c r="Y4" t="inlineStr">
        <is>
          <t>3zaze8op521xnc4|DOTA · OG vs GL</t>
        </is>
      </c>
      <c r="Z4" t="inlineStr">
        <is>
          <t>K12</t>
        </is>
      </c>
      <c r="AA4">
        <f>Y4&amp;"|"&amp;Z4</f>
        <v/>
      </c>
    </row>
    <row r="5">
      <c r="A5" t="inlineStr">
        <is>
          <t>DOTA · OG vs GL</t>
        </is>
      </c>
      <c r="B5" t="inlineStr">
        <is>
          <t>Speeed</t>
        </is>
      </c>
      <c r="C5" t="inlineStr">
        <is>
          <t>GL</t>
        </is>
      </c>
      <c r="D5" t="inlineStr">
        <is>
          <t>Maps 1-2 Kills</t>
        </is>
      </c>
      <c r="E5" t="n">
        <v>5</v>
      </c>
      <c r="F5" s="7">
        <f>IFERROR(INDEX(CHOOSE(MATCH($Z5,{"K1","K12","K13"},0),Calc!$Y$2:$Y$43,Calc!$AA$2:$AA$43,Calc!$AC$2:$AC$43),MATCH($Y5,Calc!$A$2:$A$43,0)),"")</f>
        <v/>
      </c>
      <c r="G5" s="7">
        <f>IFERROR(SQRT(INDEX(CHOOSE(MATCH($Z5,{"K1","K12","K13"},0),Calc!$Z$2:$Z$43,Calc!$AB$2:$AB$43,Calc!$AD$2:$AD$43),MATCH($Y5,Calc!$A$2:$A$43,0))),"")</f>
        <v/>
      </c>
      <c r="H5" s="6">
        <f>IF(OR($E5="",$F5="",N($G5)&lt;=0),"",1-NORMDIST(FLOOR($E5,1)+0.5,$F5,$G5,TRUE))</f>
        <v/>
      </c>
      <c r="I5" s="6">
        <f>IF($H5="","",NORMDIST(CEILING($E5,1)-0.5,$F5,$G5,TRUE))</f>
        <v/>
      </c>
      <c r="J5" s="6">
        <f>IF($H5="","",MAX(0,1-$H5-$I5))</f>
        <v/>
      </c>
      <c r="K5">
        <f>IF($H5="","",IF($H5&gt;=0.5+Config!$B$8,"OVER",IF($I5&gt;=0.5+Config!$B$8,"UNDER","—")))</f>
        <v/>
      </c>
      <c r="L5" s="7">
        <f>IFERROR(INDEX(CHOOSE(MATCH($Z5,{"K1","K12","K13"},0),Calc!$AE$2:$AE$43,Calc!$AF$2:$AF$43,Calc!$AG$2:$AG$43),MATCH($Y5,Calc!$A$2:$A$43,0)),"")</f>
        <v/>
      </c>
      <c r="M5" s="6">
        <f>IF(OR($E5="",$L5="",N($G5)&lt;=0),"",1-NORMDIST(FLOOR($E5,1)+0.5,$L5,$G5*SQRT($L5/$F5),TRUE))</f>
        <v/>
      </c>
      <c r="N5" t="n">
        <v>5.05</v>
      </c>
      <c r="O5" s="6">
        <f>IFERROR(INDEX(Calc!$H$2:$H$43,MATCH($Y5,Calc!$A$2:$A$43,0)),"")</f>
        <v/>
      </c>
      <c r="P5" s="6">
        <f>IFERROR(INDEX(Calc!$M$2:$M$43,MATCH($Y5,Calc!$A$2:$A$43,0)),"")</f>
        <v/>
      </c>
      <c r="Q5" t="n">
        <v>5.4</v>
      </c>
      <c r="R5" s="6" t="n">
        <v>0.6</v>
      </c>
      <c r="S5" s="6" t="n">
        <v>0.6</v>
      </c>
      <c r="T5" s="6" t="n">
        <v>0.67</v>
      </c>
      <c r="U5" t="inlineStr">
        <is>
          <t>50%/3/6</t>
        </is>
      </c>
      <c r="V5" t="n">
        <v>1</v>
      </c>
      <c r="W5" t="n">
        <v>0</v>
      </c>
      <c r="X5">
        <f>IFERROR(INDEX(Calc!$AH$2:$AH$43,MATCH($Y5,Calc!$A$2:$A$43,0)),"")</f>
        <v/>
      </c>
      <c r="Y5" t="inlineStr">
        <is>
          <t>t3b3k5ym37f128b|DOTA · OG vs GL</t>
        </is>
      </c>
      <c r="Z5" t="inlineStr">
        <is>
          <t>K12</t>
        </is>
      </c>
      <c r="AA5">
        <f>Y5&amp;"|"&amp;Z5</f>
        <v/>
      </c>
    </row>
    <row r="6">
      <c r="A6" t="inlineStr">
        <is>
          <t>DOTA · OG vs GL</t>
        </is>
      </c>
      <c r="B6" t="inlineStr">
        <is>
          <t>Yuma</t>
        </is>
      </c>
      <c r="C6" t="inlineStr">
        <is>
          <t>GL</t>
        </is>
      </c>
      <c r="D6" t="inlineStr">
        <is>
          <t>Maps 1-2 Kills</t>
        </is>
      </c>
      <c r="E6" t="n">
        <v>15.5</v>
      </c>
      <c r="F6" s="7">
        <f>IFERROR(INDEX(CHOOSE(MATCH($Z6,{"K1","K12","K13"},0),Calc!$Y$2:$Y$43,Calc!$AA$2:$AA$43,Calc!$AC$2:$AC$43),MATCH($Y6,Calc!$A$2:$A$43,0)),"")</f>
        <v/>
      </c>
      <c r="G6" s="7">
        <f>IFERROR(SQRT(INDEX(CHOOSE(MATCH($Z6,{"K1","K12","K13"},0),Calc!$Z$2:$Z$43,Calc!$AB$2:$AB$43,Calc!$AD$2:$AD$43),MATCH($Y6,Calc!$A$2:$A$43,0))),"")</f>
        <v/>
      </c>
      <c r="H6" s="6">
        <f>IF(OR($E6="",$F6="",N($G6)&lt;=0),"",1-NORMDIST(FLOOR($E6,1)+0.5,$F6,$G6,TRUE))</f>
        <v/>
      </c>
      <c r="I6" s="6">
        <f>IF($H6="","",NORMDIST(CEILING($E6,1)-0.5,$F6,$G6,TRUE))</f>
        <v/>
      </c>
      <c r="J6" s="6">
        <f>IF($H6="","",MAX(0,1-$H6-$I6))</f>
        <v/>
      </c>
      <c r="K6">
        <f>IF($H6="","",IF($H6&gt;=0.5+Config!$B$8,"OVER",IF($I6&gt;=0.5+Config!$B$8,"UNDER","—")))</f>
        <v/>
      </c>
      <c r="L6" s="7">
        <f>IFERROR(INDEX(CHOOSE(MATCH($Z6,{"K1","K12","K13"},0),Calc!$AE$2:$AE$43,Calc!$AF$2:$AF$43,Calc!$AG$2:$AG$43),MATCH($Y6,Calc!$A$2:$A$43,0)),"")</f>
        <v/>
      </c>
      <c r="M6" s="6">
        <f>IF(OR($E6="",$L6="",N($G6)&lt;=0),"",1-NORMDIST(FLOOR($E6,1)+0.5,$L6,$G6*SQRT($L6/$F6),TRUE))</f>
        <v/>
      </c>
      <c r="N6" t="n">
        <v>13.62</v>
      </c>
      <c r="O6" s="6">
        <f>IFERROR(INDEX(Calc!$H$2:$H$43,MATCH($Y6,Calc!$A$2:$A$43,0)),"")</f>
        <v/>
      </c>
      <c r="P6" s="6">
        <f>IFERROR(INDEX(Calc!$M$2:$M$43,MATCH($Y6,Calc!$A$2:$A$43,0)),"")</f>
        <v/>
      </c>
      <c r="Q6" t="n">
        <v>17.6</v>
      </c>
      <c r="R6" s="6" t="n">
        <v>0.6</v>
      </c>
      <c r="S6" s="6" t="n">
        <v>0.5</v>
      </c>
      <c r="T6" s="6" t="n">
        <v>0.47</v>
      </c>
      <c r="U6" t="inlineStr">
        <is>
          <t>14%/1/7</t>
        </is>
      </c>
      <c r="V6" t="n">
        <v>3</v>
      </c>
      <c r="X6">
        <f>IFERROR(INDEX(Calc!$AH$2:$AH$43,MATCH($Y6,Calc!$A$2:$A$43,0)),"")</f>
        <v/>
      </c>
      <c r="Y6" t="inlineStr">
        <is>
          <t>388xfoz6m2jbt95|DOTA · OG vs GL</t>
        </is>
      </c>
      <c r="Z6" t="inlineStr">
        <is>
          <t>K12</t>
        </is>
      </c>
      <c r="AA6">
        <f>Y6&amp;"|"&amp;Z6</f>
        <v/>
      </c>
    </row>
    <row r="7">
      <c r="A7" t="inlineStr">
        <is>
          <t>DOTA · OG vs GL</t>
        </is>
      </c>
      <c r="B7" t="inlineStr">
        <is>
          <t>OneJey</t>
        </is>
      </c>
      <c r="C7" t="inlineStr">
        <is>
          <t>OG</t>
        </is>
      </c>
      <c r="D7" t="inlineStr">
        <is>
          <t>Maps 1-2 Kills</t>
        </is>
      </c>
      <c r="E7" t="n">
        <v>6</v>
      </c>
      <c r="F7" s="7">
        <f>IFERROR(INDEX(CHOOSE(MATCH($Z7,{"K1","K12","K13"},0),Calc!$Y$2:$Y$43,Calc!$AA$2:$AA$43,Calc!$AC$2:$AC$43),MATCH($Y7,Calc!$A$2:$A$43,0)),"")</f>
        <v/>
      </c>
      <c r="G7" s="7">
        <f>IFERROR(SQRT(INDEX(CHOOSE(MATCH($Z7,{"K1","K12","K13"},0),Calc!$Z$2:$Z$43,Calc!$AB$2:$AB$43,Calc!$AD$2:$AD$43),MATCH($Y7,Calc!$A$2:$A$43,0))),"")</f>
        <v/>
      </c>
      <c r="H7" s="6">
        <f>IF(OR($E7="",$F7="",N($G7)&lt;=0),"",1-NORMDIST(FLOOR($E7,1)+0.5,$F7,$G7,TRUE))</f>
        <v/>
      </c>
      <c r="I7" s="6">
        <f>IF($H7="","",NORMDIST(CEILING($E7,1)-0.5,$F7,$G7,TRUE))</f>
        <v/>
      </c>
      <c r="J7" s="6">
        <f>IF($H7="","",MAX(0,1-$H7-$I7))</f>
        <v/>
      </c>
      <c r="K7">
        <f>IF($H7="","",IF($H7&gt;=0.5+Config!$B$8,"OVER",IF($I7&gt;=0.5+Config!$B$8,"UNDER","—")))</f>
        <v/>
      </c>
      <c r="L7" s="7">
        <f>IFERROR(INDEX(CHOOSE(MATCH($Z7,{"K1","K12","K13"},0),Calc!$AE$2:$AE$43,Calc!$AF$2:$AF$43,Calc!$AG$2:$AG$43),MATCH($Y7,Calc!$A$2:$A$43,0)),"")</f>
        <v/>
      </c>
      <c r="M7" s="6">
        <f>IF(OR($E7="",$L7="",N($G7)&lt;=0),"",1-NORMDIST(FLOOR($E7,1)+0.5,$L7,$G7*SQRT($L7/$F7),TRUE))</f>
        <v/>
      </c>
      <c r="N7" t="n">
        <v>6.35</v>
      </c>
      <c r="O7" s="6">
        <f>IFERROR(INDEX(Calc!$H$2:$H$43,MATCH($Y7,Calc!$A$2:$A$43,0)),"")</f>
        <v/>
      </c>
      <c r="P7" s="6">
        <f>IFERROR(INDEX(Calc!$M$2:$M$43,MATCH($Y7,Calc!$A$2:$A$43,0)),"")</f>
        <v/>
      </c>
      <c r="Q7" t="n">
        <v>5.3</v>
      </c>
      <c r="R7" s="6" t="n">
        <v>0.4</v>
      </c>
      <c r="S7" s="6" t="n">
        <v>0.5</v>
      </c>
      <c r="T7" s="6" t="n">
        <v>0.53</v>
      </c>
      <c r="U7" t="inlineStr">
        <is>
          <t>0%/0/2</t>
        </is>
      </c>
      <c r="V7" t="n">
        <v>-3</v>
      </c>
      <c r="W7" t="n">
        <v>3</v>
      </c>
      <c r="X7">
        <f>IFERROR(INDEX(Calc!$AH$2:$AH$43,MATCH($Y7,Calc!$A$2:$A$43,0)),"")</f>
        <v/>
      </c>
      <c r="Y7" t="inlineStr">
        <is>
          <t>gf5trr3nqlr6rzi|DOTA · OG vs GL</t>
        </is>
      </c>
      <c r="Z7" t="inlineStr">
        <is>
          <t>K12</t>
        </is>
      </c>
      <c r="AA7">
        <f>Y7&amp;"|"&amp;Z7</f>
        <v/>
      </c>
    </row>
    <row r="8">
      <c r="A8" t="inlineStr">
        <is>
          <t>DOTA · OG vs GL</t>
        </is>
      </c>
      <c r="B8" t="inlineStr">
        <is>
          <t>Skem</t>
        </is>
      </c>
      <c r="C8" t="inlineStr">
        <is>
          <t>OG</t>
        </is>
      </c>
      <c r="D8" t="inlineStr">
        <is>
          <t>Maps 1-2 Kills</t>
        </is>
      </c>
      <c r="E8" t="n">
        <v>5.5</v>
      </c>
      <c r="F8" s="7">
        <f>IFERROR(INDEX(CHOOSE(MATCH($Z8,{"K1","K12","K13"},0),Calc!$Y$2:$Y$43,Calc!$AA$2:$AA$43,Calc!$AC$2:$AC$43),MATCH($Y8,Calc!$A$2:$A$43,0)),"")</f>
        <v/>
      </c>
      <c r="G8" s="7">
        <f>IFERROR(SQRT(INDEX(CHOOSE(MATCH($Z8,{"K1","K12","K13"},0),Calc!$Z$2:$Z$43,Calc!$AB$2:$AB$43,Calc!$AD$2:$AD$43),MATCH($Y8,Calc!$A$2:$A$43,0))),"")</f>
        <v/>
      </c>
      <c r="H8" s="6">
        <f>IF(OR($E8="",$F8="",N($G8)&lt;=0),"",1-NORMDIST(FLOOR($E8,1)+0.5,$F8,$G8,TRUE))</f>
        <v/>
      </c>
      <c r="I8" s="6">
        <f>IF($H8="","",NORMDIST(CEILING($E8,1)-0.5,$F8,$G8,TRUE))</f>
        <v/>
      </c>
      <c r="J8" s="6">
        <f>IF($H8="","",MAX(0,1-$H8-$I8))</f>
        <v/>
      </c>
      <c r="K8">
        <f>IF($H8="","",IF($H8&gt;=0.5+Config!$B$8,"OVER",IF($I8&gt;=0.5+Config!$B$8,"UNDER","—")))</f>
        <v/>
      </c>
      <c r="L8" s="7">
        <f>IFERROR(INDEX(CHOOSE(MATCH($Z8,{"K1","K12","K13"},0),Calc!$AE$2:$AE$43,Calc!$AF$2:$AF$43,Calc!$AG$2:$AG$43),MATCH($Y8,Calc!$A$2:$A$43,0)),"")</f>
        <v/>
      </c>
      <c r="M8" s="6">
        <f>IF(OR($E8="",$L8="",N($G8)&lt;=0),"",1-NORMDIST(FLOOR($E8,1)+0.5,$L8,$G8*SQRT($L8/$F8),TRUE))</f>
        <v/>
      </c>
      <c r="N8" t="n">
        <v>5.63</v>
      </c>
      <c r="O8" s="6">
        <f>IFERROR(INDEX(Calc!$H$2:$H$43,MATCH($Y8,Calc!$A$2:$A$43,0)),"")</f>
        <v/>
      </c>
      <c r="P8" s="6">
        <f>IFERROR(INDEX(Calc!$M$2:$M$43,MATCH($Y8,Calc!$A$2:$A$43,0)),"")</f>
        <v/>
      </c>
      <c r="Q8" t="n">
        <v>6.3</v>
      </c>
      <c r="R8" s="6" t="n">
        <v>0.8</v>
      </c>
      <c r="S8" s="6" t="n">
        <v>0.7</v>
      </c>
      <c r="T8" s="6" t="n">
        <v>0.67</v>
      </c>
      <c r="U8" t="inlineStr">
        <is>
          <t>67%/2/3</t>
        </is>
      </c>
      <c r="V8" t="n">
        <v>3</v>
      </c>
      <c r="X8">
        <f>IFERROR(INDEX(Calc!$AH$2:$AH$43,MATCH($Y8,Calc!$A$2:$A$43,0)),"")</f>
        <v/>
      </c>
      <c r="Y8" t="inlineStr">
        <is>
          <t>327bydu6uqe51dl|DOTA · OG vs GL</t>
        </is>
      </c>
      <c r="Z8" t="inlineStr">
        <is>
          <t>K12</t>
        </is>
      </c>
      <c r="AA8">
        <f>Y8&amp;"|"&amp;Z8</f>
        <v/>
      </c>
    </row>
    <row r="9">
      <c r="A9" t="inlineStr">
        <is>
          <t>DOTA · OG vs GL</t>
        </is>
      </c>
      <c r="B9" t="inlineStr">
        <is>
          <t>TOPSON</t>
        </is>
      </c>
      <c r="C9" t="inlineStr">
        <is>
          <t>OG</t>
        </is>
      </c>
      <c r="D9" t="inlineStr">
        <is>
          <t>Maps 1-2 Kills</t>
        </is>
      </c>
      <c r="E9" t="n">
        <v>14.5</v>
      </c>
      <c r="F9" s="7">
        <f>IFERROR(INDEX(CHOOSE(MATCH($Z9,{"K1","K12","K13"},0),Calc!$Y$2:$Y$43,Calc!$AA$2:$AA$43,Calc!$AC$2:$AC$43),MATCH($Y9,Calc!$A$2:$A$43,0)),"")</f>
        <v/>
      </c>
      <c r="G9" s="7">
        <f>IFERROR(SQRT(INDEX(CHOOSE(MATCH($Z9,{"K1","K12","K13"},0),Calc!$Z$2:$Z$43,Calc!$AB$2:$AB$43,Calc!$AD$2:$AD$43),MATCH($Y9,Calc!$A$2:$A$43,0))),"")</f>
        <v/>
      </c>
      <c r="H9" s="6">
        <f>IF(OR($E9="",$F9="",N($G9)&lt;=0),"",1-NORMDIST(FLOOR($E9,1)+0.5,$F9,$G9,TRUE))</f>
        <v/>
      </c>
      <c r="I9" s="6">
        <f>IF($H9="","",NORMDIST(CEILING($E9,1)-0.5,$F9,$G9,TRUE))</f>
        <v/>
      </c>
      <c r="J9" s="6">
        <f>IF($H9="","",MAX(0,1-$H9-$I9))</f>
        <v/>
      </c>
      <c r="K9">
        <f>IF($H9="","",IF($H9&gt;=0.5+Config!$B$8,"OVER",IF($I9&gt;=0.5+Config!$B$8,"UNDER","—")))</f>
        <v/>
      </c>
      <c r="L9" s="7">
        <f>IFERROR(INDEX(CHOOSE(MATCH($Z9,{"K1","K12","K13"},0),Calc!$AE$2:$AE$43,Calc!$AF$2:$AF$43,Calc!$AG$2:$AG$43),MATCH($Y9,Calc!$A$2:$A$43,0)),"")</f>
        <v/>
      </c>
      <c r="M9" s="6">
        <f>IF(OR($E9="",$L9="",N($G9)&lt;=0),"",1-NORMDIST(FLOOR($E9,1)+0.5,$L9,$G9*SQRT($L9/$F9),TRUE))</f>
        <v/>
      </c>
      <c r="N9" t="n">
        <v>12.71</v>
      </c>
      <c r="O9" s="6">
        <f>IFERROR(INDEX(Calc!$H$2:$H$43,MATCH($Y9,Calc!$A$2:$A$43,0)),"")</f>
        <v/>
      </c>
      <c r="P9" s="6">
        <f>IFERROR(INDEX(Calc!$M$2:$M$43,MATCH($Y9,Calc!$A$2:$A$43,0)),"")</f>
        <v/>
      </c>
      <c r="Q9" t="n">
        <v>13.6</v>
      </c>
      <c r="R9" s="6" t="n">
        <v>0.6</v>
      </c>
      <c r="S9" s="6" t="n">
        <v>0.4</v>
      </c>
      <c r="T9" s="6" t="n">
        <v>0.4</v>
      </c>
      <c r="U9" t="inlineStr">
        <is>
          <t>0%/0/1</t>
        </is>
      </c>
      <c r="V9" t="n">
        <v>-2</v>
      </c>
      <c r="X9">
        <f>IFERROR(INDEX(Calc!$AH$2:$AH$43,MATCH($Y9,Calc!$A$2:$A$43,0)),"")</f>
        <v/>
      </c>
      <c r="Y9" t="inlineStr">
        <is>
          <t>c9666oyxnrvurur|DOTA · OG vs GL</t>
        </is>
      </c>
      <c r="Z9" t="inlineStr">
        <is>
          <t>K12</t>
        </is>
      </c>
      <c r="AA9">
        <f>Y9&amp;"|"&amp;Z9</f>
        <v/>
      </c>
    </row>
    <row r="10">
      <c r="A10" t="inlineStr">
        <is>
          <t>DOTA · PARI vs TY</t>
        </is>
      </c>
      <c r="B10" t="inlineStr">
        <is>
          <t>9Class</t>
        </is>
      </c>
      <c r="C10" t="inlineStr">
        <is>
          <t>PARI</t>
        </is>
      </c>
      <c r="D10" t="inlineStr">
        <is>
          <t>Maps 1-2 Kills</t>
        </is>
      </c>
      <c r="E10" t="n">
        <v>6.5</v>
      </c>
      <c r="F10" s="7">
        <f>IFERROR(INDEX(CHOOSE(MATCH($Z10,{"K1","K12","K13"},0),Calc!$Y$2:$Y$43,Calc!$AA$2:$AA$43,Calc!$AC$2:$AC$43),MATCH($Y10,Calc!$A$2:$A$43,0)),"")</f>
        <v/>
      </c>
      <c r="G10" s="7">
        <f>IFERROR(SQRT(INDEX(CHOOSE(MATCH($Z10,{"K1","K12","K13"},0),Calc!$Z$2:$Z$43,Calc!$AB$2:$AB$43,Calc!$AD$2:$AD$43),MATCH($Y10,Calc!$A$2:$A$43,0))),"")</f>
        <v/>
      </c>
      <c r="H10" s="6">
        <f>IF(OR($E10="",$F10="",N($G10)&lt;=0),"",1-NORMDIST(FLOOR($E10,1)+0.5,$F10,$G10,TRUE))</f>
        <v/>
      </c>
      <c r="I10" s="6">
        <f>IF($H10="","",NORMDIST(CEILING($E10,1)-0.5,$F10,$G10,TRUE))</f>
        <v/>
      </c>
      <c r="J10" s="6">
        <f>IF($H10="","",MAX(0,1-$H10-$I10))</f>
        <v/>
      </c>
      <c r="K10">
        <f>IF($H10="","",IF($H10&gt;=0.5+Config!$B$8,"OVER",IF($I10&gt;=0.5+Config!$B$8,"UNDER","—")))</f>
        <v/>
      </c>
      <c r="L10" s="7">
        <f>IFERROR(INDEX(CHOOSE(MATCH($Z10,{"K1","K12","K13"},0),Calc!$AE$2:$AE$43,Calc!$AF$2:$AF$43,Calc!$AG$2:$AG$43),MATCH($Y10,Calc!$A$2:$A$43,0)),"")</f>
        <v/>
      </c>
      <c r="M10" s="6">
        <f>IF(OR($E10="",$L10="",N($G10)&lt;=0),"",1-NORMDIST(FLOOR($E10,1)+0.5,$L10,$G10*SQRT($L10/$F10),TRUE))</f>
        <v/>
      </c>
      <c r="N10" t="n">
        <v>6.21</v>
      </c>
      <c r="O10" s="6">
        <f>IFERROR(INDEX(Calc!$H$2:$H$43,MATCH($Y10,Calc!$A$2:$A$43,0)),"")</f>
        <v/>
      </c>
      <c r="P10" s="6">
        <f>IFERROR(INDEX(Calc!$M$2:$M$43,MATCH($Y10,Calc!$A$2:$A$43,0)),"")</f>
        <v/>
      </c>
      <c r="Q10" t="n">
        <v>10</v>
      </c>
      <c r="R10" s="6" t="n">
        <v>0.8</v>
      </c>
      <c r="S10" s="6" t="n">
        <v>0.8</v>
      </c>
      <c r="T10" s="6" t="n">
        <v>0.67</v>
      </c>
      <c r="U10" t="inlineStr">
        <is>
          <t>29%/2/7</t>
        </is>
      </c>
      <c r="V10" t="n">
        <v>3</v>
      </c>
      <c r="X10">
        <f>IFERROR(INDEX(Calc!$AH$2:$AH$43,MATCH($Y10,Calc!$A$2:$A$43,0)),"")</f>
        <v/>
      </c>
      <c r="Y10" t="inlineStr">
        <is>
          <t>p48p2vywpenq4iz|DOTA · PARI vs TY</t>
        </is>
      </c>
      <c r="Z10" t="inlineStr">
        <is>
          <t>K12</t>
        </is>
      </c>
      <c r="AA10">
        <f>Y10&amp;"|"&amp;Z10</f>
        <v/>
      </c>
    </row>
    <row r="11">
      <c r="A11" t="inlineStr">
        <is>
          <t>DOTA · PARI vs TY</t>
        </is>
      </c>
      <c r="B11" t="inlineStr">
        <is>
          <t>Dukalis</t>
        </is>
      </c>
      <c r="C11" t="inlineStr">
        <is>
          <t>PARI</t>
        </is>
      </c>
      <c r="D11" t="inlineStr">
        <is>
          <t>Maps 1-2 Kills</t>
        </is>
      </c>
      <c r="E11" t="n">
        <v>5</v>
      </c>
      <c r="F11" s="7">
        <f>IFERROR(INDEX(CHOOSE(MATCH($Z11,{"K1","K12","K13"},0),Calc!$Y$2:$Y$43,Calc!$AA$2:$AA$43,Calc!$AC$2:$AC$43),MATCH($Y11,Calc!$A$2:$A$43,0)),"")</f>
        <v/>
      </c>
      <c r="G11" s="7">
        <f>IFERROR(SQRT(INDEX(CHOOSE(MATCH($Z11,{"K1","K12","K13"},0),Calc!$Z$2:$Z$43,Calc!$AB$2:$AB$43,Calc!$AD$2:$AD$43),MATCH($Y11,Calc!$A$2:$A$43,0))),"")</f>
        <v/>
      </c>
      <c r="H11" s="6">
        <f>IF(OR($E11="",$F11="",N($G11)&lt;=0),"",1-NORMDIST(FLOOR($E11,1)+0.5,$F11,$G11,TRUE))</f>
        <v/>
      </c>
      <c r="I11" s="6">
        <f>IF($H11="","",NORMDIST(CEILING($E11,1)-0.5,$F11,$G11,TRUE))</f>
        <v/>
      </c>
      <c r="J11" s="6">
        <f>IF($H11="","",MAX(0,1-$H11-$I11))</f>
        <v/>
      </c>
      <c r="K11">
        <f>IF($H11="","",IF($H11&gt;=0.5+Config!$B$8,"OVER",IF($I11&gt;=0.5+Config!$B$8,"UNDER","—")))</f>
        <v/>
      </c>
      <c r="L11" s="7">
        <f>IFERROR(INDEX(CHOOSE(MATCH($Z11,{"K1","K12","K13"},0),Calc!$AE$2:$AE$43,Calc!$AF$2:$AF$43,Calc!$AG$2:$AG$43),MATCH($Y11,Calc!$A$2:$A$43,0)),"")</f>
        <v/>
      </c>
      <c r="M11" s="6">
        <f>IF(OR($E11="",$L11="",N($G11)&lt;=0),"",1-NORMDIST(FLOOR($E11,1)+0.5,$L11,$G11*SQRT($L11/$F11),TRUE))</f>
        <v/>
      </c>
      <c r="O11" s="6">
        <f>IFERROR(INDEX(Calc!$H$2:$H$43,MATCH($Y11,Calc!$A$2:$A$43,0)),"")</f>
        <v/>
      </c>
      <c r="P11" s="6">
        <f>IFERROR(INDEX(Calc!$M$2:$M$43,MATCH($Y11,Calc!$A$2:$A$43,0)),"")</f>
        <v/>
      </c>
      <c r="Q11" t="n">
        <v>5.9</v>
      </c>
      <c r="R11" s="6" t="n">
        <v>0.6</v>
      </c>
      <c r="S11" s="6" t="n">
        <v>0.5</v>
      </c>
      <c r="T11" s="6" t="n">
        <v>0.53</v>
      </c>
      <c r="U11" t="inlineStr">
        <is>
          <t>71%/5/7</t>
        </is>
      </c>
      <c r="V11" t="n">
        <v>-2</v>
      </c>
      <c r="W11" t="n">
        <v>2</v>
      </c>
      <c r="X11">
        <f>IFERROR(INDEX(Calc!$AH$2:$AH$43,MATCH($Y11,Calc!$A$2:$A$43,0)),"")</f>
        <v/>
      </c>
      <c r="Y11" t="inlineStr">
        <is>
          <t>38c4z9ycctww8gl|DOTA · PARI vs TY</t>
        </is>
      </c>
      <c r="Z11" t="inlineStr">
        <is>
          <t>K12</t>
        </is>
      </c>
      <c r="AA11">
        <f>Y11&amp;"|"&amp;Z11</f>
        <v/>
      </c>
    </row>
    <row r="12">
      <c r="A12" t="inlineStr">
        <is>
          <t>DOTA · PARI vs TY</t>
        </is>
      </c>
      <c r="B12" t="inlineStr">
        <is>
          <t>Noticed</t>
        </is>
      </c>
      <c r="C12" t="inlineStr">
        <is>
          <t>PARI</t>
        </is>
      </c>
      <c r="D12" t="inlineStr">
        <is>
          <t>Maps 1-2 Kills</t>
        </is>
      </c>
      <c r="E12" t="n">
        <v>9.5</v>
      </c>
      <c r="F12" s="7">
        <f>IFERROR(INDEX(CHOOSE(MATCH($Z12,{"K1","K12","K13"},0),Calc!$Y$2:$Y$43,Calc!$AA$2:$AA$43,Calc!$AC$2:$AC$43),MATCH($Y12,Calc!$A$2:$A$43,0)),"")</f>
        <v/>
      </c>
      <c r="G12" s="7">
        <f>IFERROR(SQRT(INDEX(CHOOSE(MATCH($Z12,{"K1","K12","K13"},0),Calc!$Z$2:$Z$43,Calc!$AB$2:$AB$43,Calc!$AD$2:$AD$43),MATCH($Y12,Calc!$A$2:$A$43,0))),"")</f>
        <v/>
      </c>
      <c r="H12" s="6">
        <f>IF(OR($E12="",$F12="",N($G12)&lt;=0),"",1-NORMDIST(FLOOR($E12,1)+0.5,$F12,$G12,TRUE))</f>
        <v/>
      </c>
      <c r="I12" s="6">
        <f>IF($H12="","",NORMDIST(CEILING($E12,1)-0.5,$F12,$G12,TRUE))</f>
        <v/>
      </c>
      <c r="J12" s="6">
        <f>IF($H12="","",MAX(0,1-$H12-$I12))</f>
        <v/>
      </c>
      <c r="K12">
        <f>IF($H12="","",IF($H12&gt;=0.5+Config!$B$8,"OVER",IF($I12&gt;=0.5+Config!$B$8,"UNDER","—")))</f>
        <v/>
      </c>
      <c r="L12" s="7">
        <f>IFERROR(INDEX(CHOOSE(MATCH($Z12,{"K1","K12","K13"},0),Calc!$AE$2:$AE$43,Calc!$AF$2:$AF$43,Calc!$AG$2:$AG$43),MATCH($Y12,Calc!$A$2:$A$43,0)),"")</f>
        <v/>
      </c>
      <c r="M12" s="6">
        <f>IF(OR($E12="",$L12="",N($G12)&lt;=0),"",1-NORMDIST(FLOOR($E12,1)+0.5,$L12,$G12*SQRT($L12/$F12),TRUE))</f>
        <v/>
      </c>
      <c r="N12" t="n">
        <v>8.050000000000001</v>
      </c>
      <c r="O12" s="6">
        <f>IFERROR(INDEX(Calc!$H$2:$H$43,MATCH($Y12,Calc!$A$2:$A$43,0)),"")</f>
        <v/>
      </c>
      <c r="P12" s="6">
        <f>IFERROR(INDEX(Calc!$M$2:$M$43,MATCH($Y12,Calc!$A$2:$A$43,0)),"")</f>
        <v/>
      </c>
      <c r="Q12" t="n">
        <v>11.1</v>
      </c>
      <c r="R12" s="6" t="n">
        <v>0.6</v>
      </c>
      <c r="S12" s="6" t="n">
        <v>0.5</v>
      </c>
      <c r="T12" s="6" t="n">
        <v>0.53</v>
      </c>
      <c r="U12" t="inlineStr">
        <is>
          <t>100%/3/3</t>
        </is>
      </c>
      <c r="V12" t="n">
        <v>1</v>
      </c>
      <c r="X12">
        <f>IFERROR(INDEX(Calc!$AH$2:$AH$43,MATCH($Y12,Calc!$A$2:$A$43,0)),"")</f>
        <v/>
      </c>
      <c r="Y12" t="inlineStr">
        <is>
          <t>hkpy2i1q2cf4qrd|DOTA · PARI vs TY</t>
        </is>
      </c>
      <c r="Z12" t="inlineStr">
        <is>
          <t>K12</t>
        </is>
      </c>
      <c r="AA12">
        <f>Y12&amp;"|"&amp;Z12</f>
        <v/>
      </c>
    </row>
    <row r="13">
      <c r="A13" t="inlineStr">
        <is>
          <t>DOTA · PARI vs TY</t>
        </is>
      </c>
      <c r="B13" t="inlineStr">
        <is>
          <t>Satanic</t>
        </is>
      </c>
      <c r="C13" t="inlineStr">
        <is>
          <t>PARI</t>
        </is>
      </c>
      <c r="D13" t="inlineStr">
        <is>
          <t>Maps 1-2 Kills</t>
        </is>
      </c>
      <c r="E13" t="n">
        <v>17.5</v>
      </c>
      <c r="F13" s="7">
        <f>IFERROR(INDEX(CHOOSE(MATCH($Z13,{"K1","K12","K13"},0),Calc!$Y$2:$Y$43,Calc!$AA$2:$AA$43,Calc!$AC$2:$AC$43),MATCH($Y13,Calc!$A$2:$A$43,0)),"")</f>
        <v/>
      </c>
      <c r="G13" s="7">
        <f>IFERROR(SQRT(INDEX(CHOOSE(MATCH($Z13,{"K1","K12","K13"},0),Calc!$Z$2:$Z$43,Calc!$AB$2:$AB$43,Calc!$AD$2:$AD$43),MATCH($Y13,Calc!$A$2:$A$43,0))),"")</f>
        <v/>
      </c>
      <c r="H13" s="6">
        <f>IF(OR($E13="",$F13="",N($G13)&lt;=0),"",1-NORMDIST(FLOOR($E13,1)+0.5,$F13,$G13,TRUE))</f>
        <v/>
      </c>
      <c r="I13" s="6">
        <f>IF($H13="","",NORMDIST(CEILING($E13,1)-0.5,$F13,$G13,TRUE))</f>
        <v/>
      </c>
      <c r="J13" s="6">
        <f>IF($H13="","",MAX(0,1-$H13-$I13))</f>
        <v/>
      </c>
      <c r="K13">
        <f>IF($H13="","",IF($H13&gt;=0.5+Config!$B$8,"OVER",IF($I13&gt;=0.5+Config!$B$8,"UNDER","—")))</f>
        <v/>
      </c>
      <c r="L13" s="7">
        <f>IFERROR(INDEX(CHOOSE(MATCH($Z13,{"K1","K12","K13"},0),Calc!$AE$2:$AE$43,Calc!$AF$2:$AF$43,Calc!$AG$2:$AG$43),MATCH($Y13,Calc!$A$2:$A$43,0)),"")</f>
        <v/>
      </c>
      <c r="M13" s="6">
        <f>IF(OR($E13="",$L13="",N($G13)&lt;=0),"",1-NORMDIST(FLOOR($E13,1)+0.5,$L13,$G13*SQRT($L13/$F13),TRUE))</f>
        <v/>
      </c>
      <c r="N13" t="n">
        <v>16.36</v>
      </c>
      <c r="O13" s="6">
        <f>IFERROR(INDEX(Calc!$H$2:$H$43,MATCH($Y13,Calc!$A$2:$A$43,0)),"")</f>
        <v/>
      </c>
      <c r="P13" s="6">
        <f>IFERROR(INDEX(Calc!$M$2:$M$43,MATCH($Y13,Calc!$A$2:$A$43,0)),"")</f>
        <v/>
      </c>
      <c r="Q13" t="n">
        <v>21.5</v>
      </c>
      <c r="R13" s="6" t="n">
        <v>0.8</v>
      </c>
      <c r="S13" s="6" t="n">
        <v>0.7</v>
      </c>
      <c r="T13" s="6" t="n">
        <v>0.73</v>
      </c>
      <c r="U13" t="inlineStr">
        <is>
          <t>43%/3/7</t>
        </is>
      </c>
      <c r="V13" t="n">
        <v>-1</v>
      </c>
      <c r="X13">
        <f>IFERROR(INDEX(Calc!$AH$2:$AH$43,MATCH($Y13,Calc!$A$2:$A$43,0)),"")</f>
        <v/>
      </c>
      <c r="Y13" t="inlineStr">
        <is>
          <t>s178rxweg2uixdf|DOTA · PARI vs TY</t>
        </is>
      </c>
      <c r="Z13" t="inlineStr">
        <is>
          <t>K12</t>
        </is>
      </c>
      <c r="AA13">
        <f>Y13&amp;"|"&amp;Z13</f>
        <v/>
      </c>
    </row>
    <row r="14">
      <c r="A14" t="inlineStr">
        <is>
          <t>DOTA · PARI vs TY</t>
        </is>
      </c>
      <c r="B14" t="inlineStr">
        <is>
          <t>ATF</t>
        </is>
      </c>
      <c r="C14" t="inlineStr">
        <is>
          <t>TY</t>
        </is>
      </c>
      <c r="D14" t="inlineStr">
        <is>
          <t>Maps 1-2 Kills</t>
        </is>
      </c>
      <c r="E14" t="n">
        <v>14.5</v>
      </c>
      <c r="F14" s="7">
        <f>IFERROR(INDEX(CHOOSE(MATCH($Z14,{"K1","K12","K13"},0),Calc!$Y$2:$Y$43,Calc!$AA$2:$AA$43,Calc!$AC$2:$AC$43),MATCH($Y14,Calc!$A$2:$A$43,0)),"")</f>
        <v/>
      </c>
      <c r="G14" s="7">
        <f>IFERROR(SQRT(INDEX(CHOOSE(MATCH($Z14,{"K1","K12","K13"},0),Calc!$Z$2:$Z$43,Calc!$AB$2:$AB$43,Calc!$AD$2:$AD$43),MATCH($Y14,Calc!$A$2:$A$43,0))),"")</f>
        <v/>
      </c>
      <c r="H14" s="6">
        <f>IF(OR($E14="",$F14="",N($G14)&lt;=0),"",1-NORMDIST(FLOOR($E14,1)+0.5,$F14,$G14,TRUE))</f>
        <v/>
      </c>
      <c r="I14" s="6">
        <f>IF($H14="","",NORMDIST(CEILING($E14,1)-0.5,$F14,$G14,TRUE))</f>
        <v/>
      </c>
      <c r="J14" s="6">
        <f>IF($H14="","",MAX(0,1-$H14-$I14))</f>
        <v/>
      </c>
      <c r="K14">
        <f>IF($H14="","",IF($H14&gt;=0.5+Config!$B$8,"OVER",IF($I14&gt;=0.5+Config!$B$8,"UNDER","—")))</f>
        <v/>
      </c>
      <c r="L14" s="7">
        <f>IFERROR(INDEX(CHOOSE(MATCH($Z14,{"K1","K12","K13"},0),Calc!$AE$2:$AE$43,Calc!$AF$2:$AF$43,Calc!$AG$2:$AG$43),MATCH($Y14,Calc!$A$2:$A$43,0)),"")</f>
        <v/>
      </c>
      <c r="M14" s="6">
        <f>IF(OR($E14="",$L14="",N($G14)&lt;=0),"",1-NORMDIST(FLOOR($E14,1)+0.5,$L14,$G14*SQRT($L14/$F14),TRUE))</f>
        <v/>
      </c>
      <c r="N14" t="n">
        <v>12.15</v>
      </c>
      <c r="O14" s="6">
        <f>IFERROR(INDEX(Calc!$H$2:$H$43,MATCH($Y14,Calc!$A$2:$A$43,0)),"")</f>
        <v/>
      </c>
      <c r="P14" s="6">
        <f>IFERROR(INDEX(Calc!$M$2:$M$43,MATCH($Y14,Calc!$A$2:$A$43,0)),"")</f>
        <v/>
      </c>
      <c r="Q14" t="n">
        <v>18.8</v>
      </c>
      <c r="R14" s="6" t="n">
        <v>0.8</v>
      </c>
      <c r="S14" s="6" t="n">
        <v>0.7</v>
      </c>
      <c r="T14" s="6" t="n">
        <v>0.67</v>
      </c>
      <c r="U14" t="inlineStr">
        <is>
          <t>21%/3/14</t>
        </is>
      </c>
      <c r="V14" t="n">
        <v>1</v>
      </c>
      <c r="X14">
        <f>IFERROR(INDEX(Calc!$AH$2:$AH$43,MATCH($Y14,Calc!$A$2:$A$43,0)),"")</f>
        <v/>
      </c>
      <c r="Y14" t="inlineStr">
        <is>
          <t>gjtmq8fbk0gya2i|DOTA · PARI vs TY</t>
        </is>
      </c>
      <c r="Z14" t="inlineStr">
        <is>
          <t>K12</t>
        </is>
      </c>
      <c r="AA14">
        <f>Y14&amp;"|"&amp;Z14</f>
        <v/>
      </c>
    </row>
    <row r="15">
      <c r="A15" t="inlineStr">
        <is>
          <t>DOTA · PARI vs TY</t>
        </is>
      </c>
      <c r="B15" t="inlineStr">
        <is>
          <t>Chira JUNIOR</t>
        </is>
      </c>
      <c r="C15" t="inlineStr">
        <is>
          <t>TY</t>
        </is>
      </c>
      <c r="D15" t="inlineStr">
        <is>
          <t>Maps 1-2 Kills</t>
        </is>
      </c>
      <c r="E15" t="n">
        <v>13.5</v>
      </c>
      <c r="F15" s="7">
        <f>IFERROR(INDEX(CHOOSE(MATCH($Z15,{"K1","K12","K13"},0),Calc!$Y$2:$Y$43,Calc!$AA$2:$AA$43,Calc!$AC$2:$AC$43),MATCH($Y15,Calc!$A$2:$A$43,0)),"")</f>
        <v/>
      </c>
      <c r="G15" s="7">
        <f>IFERROR(SQRT(INDEX(CHOOSE(MATCH($Z15,{"K1","K12","K13"},0),Calc!$Z$2:$Z$43,Calc!$AB$2:$AB$43,Calc!$AD$2:$AD$43),MATCH($Y15,Calc!$A$2:$A$43,0))),"")</f>
        <v/>
      </c>
      <c r="H15" s="6">
        <f>IF(OR($E15="",$F15="",N($G15)&lt;=0),"",1-NORMDIST(FLOOR($E15,1)+0.5,$F15,$G15,TRUE))</f>
        <v/>
      </c>
      <c r="I15" s="6">
        <f>IF($H15="","",NORMDIST(CEILING($E15,1)-0.5,$F15,$G15,TRUE))</f>
        <v/>
      </c>
      <c r="J15" s="6">
        <f>IF($H15="","",MAX(0,1-$H15-$I15))</f>
        <v/>
      </c>
      <c r="K15">
        <f>IF($H15="","",IF($H15&gt;=0.5+Config!$B$8,"OVER",IF($I15&gt;=0.5+Config!$B$8,"UNDER","—")))</f>
        <v/>
      </c>
      <c r="L15" s="7">
        <f>IFERROR(INDEX(CHOOSE(MATCH($Z15,{"K1","K12","K13"},0),Calc!$AE$2:$AE$43,Calc!$AF$2:$AF$43,Calc!$AG$2:$AG$43),MATCH($Y15,Calc!$A$2:$A$43,0)),"")</f>
        <v/>
      </c>
      <c r="M15" s="6">
        <f>IF(OR($E15="",$L15="",N($G15)&lt;=0),"",1-NORMDIST(FLOOR($E15,1)+0.5,$L15,$G15*SQRT($L15/$F15),TRUE))</f>
        <v/>
      </c>
      <c r="O15" s="6">
        <f>IFERROR(INDEX(Calc!$H$2:$H$43,MATCH($Y15,Calc!$A$2:$A$43,0)),"")</f>
        <v/>
      </c>
      <c r="P15" s="6">
        <f>IFERROR(INDEX(Calc!$M$2:$M$43,MATCH($Y15,Calc!$A$2:$A$43,0)),"")</f>
        <v/>
      </c>
      <c r="Q15" t="n">
        <v>12.9</v>
      </c>
      <c r="R15" s="6" t="n">
        <v>0.4</v>
      </c>
      <c r="S15" s="6" t="n">
        <v>0.4</v>
      </c>
      <c r="T15" s="6" t="n">
        <v>0.47</v>
      </c>
      <c r="U15" t="inlineStr">
        <is>
          <t>17%/1/6</t>
        </is>
      </c>
      <c r="V15" t="n">
        <v>-3</v>
      </c>
      <c r="X15">
        <f>IFERROR(INDEX(Calc!$AH$2:$AH$43,MATCH($Y15,Calc!$A$2:$A$43,0)),"")</f>
        <v/>
      </c>
      <c r="Y15" t="inlineStr">
        <is>
          <t>ms674i51eq6w83k|DOTA · PARI vs TY</t>
        </is>
      </c>
      <c r="Z15" t="inlineStr">
        <is>
          <t>K12</t>
        </is>
      </c>
      <c r="AA15">
        <f>Y15&amp;"|"&amp;Z15</f>
        <v/>
      </c>
    </row>
    <row r="16">
      <c r="A16" t="inlineStr">
        <is>
          <t>DOTA · PARI vs TY</t>
        </is>
      </c>
      <c r="B16" t="inlineStr">
        <is>
          <t>Malady</t>
        </is>
      </c>
      <c r="C16" t="inlineStr">
        <is>
          <t>TY</t>
        </is>
      </c>
      <c r="D16" t="inlineStr">
        <is>
          <t>Maps 1-2 Kills</t>
        </is>
      </c>
      <c r="E16" t="n">
        <v>5</v>
      </c>
      <c r="F16" s="7">
        <f>IFERROR(INDEX(CHOOSE(MATCH($Z16,{"K1","K12","K13"},0),Calc!$Y$2:$Y$43,Calc!$AA$2:$AA$43,Calc!$AC$2:$AC$43),MATCH($Y16,Calc!$A$2:$A$43,0)),"")</f>
        <v/>
      </c>
      <c r="G16" s="7">
        <f>IFERROR(SQRT(INDEX(CHOOSE(MATCH($Z16,{"K1","K12","K13"},0),Calc!$Z$2:$Z$43,Calc!$AB$2:$AB$43,Calc!$AD$2:$AD$43),MATCH($Y16,Calc!$A$2:$A$43,0))),"")</f>
        <v/>
      </c>
      <c r="H16" s="6">
        <f>IF(OR($E16="",$F16="",N($G16)&lt;=0),"",1-NORMDIST(FLOOR($E16,1)+0.5,$F16,$G16,TRUE))</f>
        <v/>
      </c>
      <c r="I16" s="6">
        <f>IF($H16="","",NORMDIST(CEILING($E16,1)-0.5,$F16,$G16,TRUE))</f>
        <v/>
      </c>
      <c r="J16" s="6">
        <f>IF($H16="","",MAX(0,1-$H16-$I16))</f>
        <v/>
      </c>
      <c r="K16">
        <f>IF($H16="","",IF($H16&gt;=0.5+Config!$B$8,"OVER",IF($I16&gt;=0.5+Config!$B$8,"UNDER","—")))</f>
        <v/>
      </c>
      <c r="L16" s="7">
        <f>IFERROR(INDEX(CHOOSE(MATCH($Z16,{"K1","K12","K13"},0),Calc!$AE$2:$AE$43,Calc!$AF$2:$AF$43,Calc!$AG$2:$AG$43),MATCH($Y16,Calc!$A$2:$A$43,0)),"")</f>
        <v/>
      </c>
      <c r="M16" s="6">
        <f>IF(OR($E16="",$L16="",N($G16)&lt;=0),"",1-NORMDIST(FLOOR($E16,1)+0.5,$L16,$G16*SQRT($L16/$F16),TRUE))</f>
        <v/>
      </c>
      <c r="O16" s="6">
        <f>IFERROR(INDEX(Calc!$H$2:$H$43,MATCH($Y16,Calc!$A$2:$A$43,0)),"")</f>
        <v/>
      </c>
      <c r="P16" s="6">
        <f>IFERROR(INDEX(Calc!$M$2:$M$43,MATCH($Y16,Calc!$A$2:$A$43,0)),"")</f>
        <v/>
      </c>
      <c r="Q16" t="n">
        <v>6.4</v>
      </c>
      <c r="R16" s="6" t="n">
        <v>0.8</v>
      </c>
      <c r="S16" s="6" t="n">
        <v>0.7</v>
      </c>
      <c r="T16" s="6" t="n">
        <v>0.8</v>
      </c>
      <c r="U16" t="inlineStr">
        <is>
          <t>55%/6/11</t>
        </is>
      </c>
      <c r="V16" t="n">
        <v>1</v>
      </c>
      <c r="W16" t="n">
        <v>4</v>
      </c>
      <c r="X16">
        <f>IFERROR(INDEX(Calc!$AH$2:$AH$43,MATCH($Y16,Calc!$A$2:$A$43,0)),"")</f>
        <v/>
      </c>
      <c r="Y16" t="inlineStr">
        <is>
          <t>0ajkyqw3r0k1f5j|DOTA · PARI vs TY</t>
        </is>
      </c>
      <c r="Z16" t="inlineStr">
        <is>
          <t>K12</t>
        </is>
      </c>
      <c r="AA16">
        <f>Y16&amp;"|"&amp;Z16</f>
        <v/>
      </c>
    </row>
    <row r="17">
      <c r="A17" t="inlineStr">
        <is>
          <t>DOTA · PARI vs TY</t>
        </is>
      </c>
      <c r="B17" t="inlineStr">
        <is>
          <t>Saksa</t>
        </is>
      </c>
      <c r="C17" t="inlineStr">
        <is>
          <t>TY</t>
        </is>
      </c>
      <c r="D17" t="inlineStr">
        <is>
          <t>Maps 1-2 Kills</t>
        </is>
      </c>
      <c r="E17" t="n">
        <v>6.5</v>
      </c>
      <c r="F17" s="7">
        <f>IFERROR(INDEX(CHOOSE(MATCH($Z17,{"K1","K12","K13"},0),Calc!$Y$2:$Y$43,Calc!$AA$2:$AA$43,Calc!$AC$2:$AC$43),MATCH($Y17,Calc!$A$2:$A$43,0)),"")</f>
        <v/>
      </c>
      <c r="G17" s="7">
        <f>IFERROR(SQRT(INDEX(CHOOSE(MATCH($Z17,{"K1","K12","K13"},0),Calc!$Z$2:$Z$43,Calc!$AB$2:$AB$43,Calc!$AD$2:$AD$43),MATCH($Y17,Calc!$A$2:$A$43,0))),"")</f>
        <v/>
      </c>
      <c r="H17" s="6">
        <f>IF(OR($E17="",$F17="",N($G17)&lt;=0),"",1-NORMDIST(FLOOR($E17,1)+0.5,$F17,$G17,TRUE))</f>
        <v/>
      </c>
      <c r="I17" s="6">
        <f>IF($H17="","",NORMDIST(CEILING($E17,1)-0.5,$F17,$G17,TRUE))</f>
        <v/>
      </c>
      <c r="J17" s="6">
        <f>IF($H17="","",MAX(0,1-$H17-$I17))</f>
        <v/>
      </c>
      <c r="K17">
        <f>IF($H17="","",IF($H17&gt;=0.5+Config!$B$8,"OVER",IF($I17&gt;=0.5+Config!$B$8,"UNDER","—")))</f>
        <v/>
      </c>
      <c r="L17" s="7">
        <f>IFERROR(INDEX(CHOOSE(MATCH($Z17,{"K1","K12","K13"},0),Calc!$AE$2:$AE$43,Calc!$AF$2:$AF$43,Calc!$AG$2:$AG$43),MATCH($Y17,Calc!$A$2:$A$43,0)),"")</f>
        <v/>
      </c>
      <c r="M17" s="6">
        <f>IF(OR($E17="",$L17="",N($G17)&lt;=0),"",1-NORMDIST(FLOOR($E17,1)+0.5,$L17,$G17*SQRT($L17/$F17),TRUE))</f>
        <v/>
      </c>
      <c r="N17" t="n">
        <v>5.64</v>
      </c>
      <c r="O17" s="6">
        <f>IFERROR(INDEX(Calc!$H$2:$H$43,MATCH($Y17,Calc!$A$2:$A$43,0)),"")</f>
        <v/>
      </c>
      <c r="P17" s="6">
        <f>IFERROR(INDEX(Calc!$M$2:$M$43,MATCH($Y17,Calc!$A$2:$A$43,0)),"")</f>
        <v/>
      </c>
      <c r="Q17" t="n">
        <v>8.9</v>
      </c>
      <c r="R17" s="6" t="n">
        <v>0.4</v>
      </c>
      <c r="S17" s="6" t="n">
        <v>0.6</v>
      </c>
      <c r="T17" s="6" t="n">
        <v>0.6</v>
      </c>
      <c r="U17" t="inlineStr">
        <is>
          <t>50%/6/12</t>
        </is>
      </c>
      <c r="V17" t="n">
        <v>-2</v>
      </c>
      <c r="X17">
        <f>IFERROR(INDEX(Calc!$AH$2:$AH$43,MATCH($Y17,Calc!$A$2:$A$43,0)),"")</f>
        <v/>
      </c>
      <c r="Y17" t="inlineStr">
        <is>
          <t>b2idu6d2bllmgsq|DOTA · PARI vs TY</t>
        </is>
      </c>
      <c r="Z17" t="inlineStr">
        <is>
          <t>K12</t>
        </is>
      </c>
      <c r="AA17">
        <f>Y17&amp;"|"&amp;Z17</f>
        <v/>
      </c>
    </row>
    <row r="18">
      <c r="A18" t="inlineStr">
        <is>
          <t>DOTA · PARI vs TY</t>
        </is>
      </c>
      <c r="B18" t="inlineStr">
        <is>
          <t>watson</t>
        </is>
      </c>
      <c r="C18" t="inlineStr">
        <is>
          <t>TY</t>
        </is>
      </c>
      <c r="D18" t="inlineStr">
        <is>
          <t>Maps 1-2 Kills</t>
        </is>
      </c>
      <c r="E18" t="n">
        <v>18.5</v>
      </c>
      <c r="F18" s="7">
        <f>IFERROR(INDEX(CHOOSE(MATCH($Z18,{"K1","K12","K13"},0),Calc!$Y$2:$Y$43,Calc!$AA$2:$AA$43,Calc!$AC$2:$AC$43),MATCH($Y18,Calc!$A$2:$A$43,0)),"")</f>
        <v/>
      </c>
      <c r="G18" s="7">
        <f>IFERROR(SQRT(INDEX(CHOOSE(MATCH($Z18,{"K1","K12","K13"},0),Calc!$Z$2:$Z$43,Calc!$AB$2:$AB$43,Calc!$AD$2:$AD$43),MATCH($Y18,Calc!$A$2:$A$43,0))),"")</f>
        <v/>
      </c>
      <c r="H18" s="6">
        <f>IF(OR($E18="",$F18="",N($G18)&lt;=0),"",1-NORMDIST(FLOOR($E18,1)+0.5,$F18,$G18,TRUE))</f>
        <v/>
      </c>
      <c r="I18" s="6">
        <f>IF($H18="","",NORMDIST(CEILING($E18,1)-0.5,$F18,$G18,TRUE))</f>
        <v/>
      </c>
      <c r="J18" s="6">
        <f>IF($H18="","",MAX(0,1-$H18-$I18))</f>
        <v/>
      </c>
      <c r="K18">
        <f>IF($H18="","",IF($H18&gt;=0.5+Config!$B$8,"OVER",IF($I18&gt;=0.5+Config!$B$8,"UNDER","—")))</f>
        <v/>
      </c>
      <c r="L18" s="7">
        <f>IFERROR(INDEX(CHOOSE(MATCH($Z18,{"K1","K12","K13"},0),Calc!$AE$2:$AE$43,Calc!$AF$2:$AF$43,Calc!$AG$2:$AG$43),MATCH($Y18,Calc!$A$2:$A$43,0)),"")</f>
        <v/>
      </c>
      <c r="M18" s="6">
        <f>IF(OR($E18="",$L18="",N($G18)&lt;=0),"",1-NORMDIST(FLOOR($E18,1)+0.5,$L18,$G18*SQRT($L18/$F18),TRUE))</f>
        <v/>
      </c>
      <c r="N18" t="n">
        <v>14.62</v>
      </c>
      <c r="O18" s="6">
        <f>IFERROR(INDEX(Calc!$H$2:$H$43,MATCH($Y18,Calc!$A$2:$A$43,0)),"")</f>
        <v/>
      </c>
      <c r="P18" s="6">
        <f>IFERROR(INDEX(Calc!$M$2:$M$43,MATCH($Y18,Calc!$A$2:$A$43,0)),"")</f>
        <v/>
      </c>
      <c r="Q18" t="n">
        <v>20.3</v>
      </c>
      <c r="R18" s="6" t="n">
        <v>0.6</v>
      </c>
      <c r="S18" s="6" t="n">
        <v>0.5</v>
      </c>
      <c r="T18" s="6" t="n">
        <v>0.6</v>
      </c>
      <c r="U18" t="inlineStr">
        <is>
          <t>46%/6/13</t>
        </is>
      </c>
      <c r="V18" t="n">
        <v>-1</v>
      </c>
      <c r="X18">
        <f>IFERROR(INDEX(Calc!$AH$2:$AH$43,MATCH($Y18,Calc!$A$2:$A$43,0)),"")</f>
        <v/>
      </c>
      <c r="Y18" t="inlineStr">
        <is>
          <t>sm63cqd6f6fdapn|DOTA · PARI vs TY</t>
        </is>
      </c>
      <c r="Z18" t="inlineStr">
        <is>
          <t>K12</t>
        </is>
      </c>
      <c r="AA18">
        <f>Y18&amp;"|"&amp;Z18</f>
        <v/>
      </c>
    </row>
    <row r="19">
      <c r="A19" t="inlineStr">
        <is>
          <t>DOTA · TS vs LEGION</t>
        </is>
      </c>
      <c r="B19" t="inlineStr">
        <is>
          <t>DarkLord^</t>
        </is>
      </c>
      <c r="C19" t="inlineStr">
        <is>
          <t>LEGION</t>
        </is>
      </c>
      <c r="D19" t="inlineStr">
        <is>
          <t>Maps 1-2 Kills</t>
        </is>
      </c>
      <c r="E19" t="n">
        <v>10.5</v>
      </c>
      <c r="F19" s="7">
        <f>IFERROR(INDEX(CHOOSE(MATCH($Z19,{"K1","K12","K13"},0),Calc!$Y$2:$Y$43,Calc!$AA$2:$AA$43,Calc!$AC$2:$AC$43),MATCH($Y19,Calc!$A$2:$A$43,0)),"")</f>
        <v/>
      </c>
      <c r="G19" s="7">
        <f>IFERROR(SQRT(INDEX(CHOOSE(MATCH($Z19,{"K1","K12","K13"},0),Calc!$Z$2:$Z$43,Calc!$AB$2:$AB$43,Calc!$AD$2:$AD$43),MATCH($Y19,Calc!$A$2:$A$43,0))),"")</f>
        <v/>
      </c>
      <c r="H19" s="6">
        <f>IF(OR($E19="",$F19="",N($G19)&lt;=0),"",1-NORMDIST(FLOOR($E19,1)+0.5,$F19,$G19,TRUE))</f>
        <v/>
      </c>
      <c r="I19" s="6">
        <f>IF($H19="","",NORMDIST(CEILING($E19,1)-0.5,$F19,$G19,TRUE))</f>
        <v/>
      </c>
      <c r="J19" s="6">
        <f>IF($H19="","",MAX(0,1-$H19-$I19))</f>
        <v/>
      </c>
      <c r="K19">
        <f>IF($H19="","",IF($H19&gt;=0.5+Config!$B$8,"OVER",IF($I19&gt;=0.5+Config!$B$8,"UNDER","—")))</f>
        <v/>
      </c>
      <c r="L19" s="7">
        <f>IFERROR(INDEX(CHOOSE(MATCH($Z19,{"K1","K12","K13"},0),Calc!$AE$2:$AE$43,Calc!$AF$2:$AF$43,Calc!$AG$2:$AG$43),MATCH($Y19,Calc!$A$2:$A$43,0)),"")</f>
        <v/>
      </c>
      <c r="M19" s="6">
        <f>IF(OR($E19="",$L19="",N($G19)&lt;=0),"",1-NORMDIST(FLOOR($E19,1)+0.5,$L19,$G19*SQRT($L19/$F19),TRUE))</f>
        <v/>
      </c>
      <c r="O19" s="6">
        <f>IFERROR(INDEX(Calc!$H$2:$H$43,MATCH($Y19,Calc!$A$2:$A$43,0)),"")</f>
        <v/>
      </c>
      <c r="P19" s="6">
        <f>IFERROR(INDEX(Calc!$M$2:$M$43,MATCH($Y19,Calc!$A$2:$A$43,0)),"")</f>
        <v/>
      </c>
      <c r="Q19" t="n">
        <v>13.6</v>
      </c>
      <c r="R19" s="6" t="n">
        <v>0.6</v>
      </c>
      <c r="S19" s="6" t="n">
        <v>0.6</v>
      </c>
      <c r="T19" s="6" t="n">
        <v>0.6</v>
      </c>
      <c r="U19" t="inlineStr">
        <is>
          <t>100%/1/1</t>
        </is>
      </c>
      <c r="V19" t="n">
        <v>-1</v>
      </c>
      <c r="X19">
        <f>IFERROR(INDEX(Calc!$AH$2:$AH$43,MATCH($Y19,Calc!$A$2:$A$43,0)),"")</f>
        <v/>
      </c>
      <c r="Y19" t="inlineStr">
        <is>
          <t>sb23yl47osfxk2h|DOTA · TS vs LEGION</t>
        </is>
      </c>
      <c r="Z19" t="inlineStr">
        <is>
          <t>K12</t>
        </is>
      </c>
      <c r="AA19">
        <f>Y19&amp;"|"&amp;Z19</f>
        <v/>
      </c>
    </row>
    <row r="20">
      <c r="A20" t="inlineStr">
        <is>
          <t>DOTA · TS vs LEGION</t>
        </is>
      </c>
      <c r="B20" t="inlineStr">
        <is>
          <t>KJ</t>
        </is>
      </c>
      <c r="C20" t="inlineStr">
        <is>
          <t>LEGION</t>
        </is>
      </c>
      <c r="D20" t="inlineStr">
        <is>
          <t>Maps 1-2 Kills</t>
        </is>
      </c>
      <c r="E20" t="n">
        <v>4</v>
      </c>
      <c r="F20" s="7">
        <f>IFERROR(INDEX(CHOOSE(MATCH($Z20,{"K1","K12","K13"},0),Calc!$Y$2:$Y$43,Calc!$AA$2:$AA$43,Calc!$AC$2:$AC$43),MATCH($Y20,Calc!$A$2:$A$43,0)),"")</f>
        <v/>
      </c>
      <c r="G20" s="7">
        <f>IFERROR(SQRT(INDEX(CHOOSE(MATCH($Z20,{"K1","K12","K13"},0),Calc!$Z$2:$Z$43,Calc!$AB$2:$AB$43,Calc!$AD$2:$AD$43),MATCH($Y20,Calc!$A$2:$A$43,0))),"")</f>
        <v/>
      </c>
      <c r="H20" s="6">
        <f>IF(OR($E20="",$F20="",N($G20)&lt;=0),"",1-NORMDIST(FLOOR($E20,1)+0.5,$F20,$G20,TRUE))</f>
        <v/>
      </c>
      <c r="I20" s="6">
        <f>IF($H20="","",NORMDIST(CEILING($E20,1)-0.5,$F20,$G20,TRUE))</f>
        <v/>
      </c>
      <c r="J20" s="6">
        <f>IF($H20="","",MAX(0,1-$H20-$I20))</f>
        <v/>
      </c>
      <c r="K20">
        <f>IF($H20="","",IF($H20&gt;=0.5+Config!$B$8,"OVER",IF($I20&gt;=0.5+Config!$B$8,"UNDER","—")))</f>
        <v/>
      </c>
      <c r="L20" s="7">
        <f>IFERROR(INDEX(CHOOSE(MATCH($Z20,{"K1","K12","K13"},0),Calc!$AE$2:$AE$43,Calc!$AF$2:$AF$43,Calc!$AG$2:$AG$43),MATCH($Y20,Calc!$A$2:$A$43,0)),"")</f>
        <v/>
      </c>
      <c r="M20" s="6">
        <f>IF(OR($E20="",$L20="",N($G20)&lt;=0),"",1-NORMDIST(FLOOR($E20,1)+0.5,$L20,$G20*SQRT($L20/$F20),TRUE))</f>
        <v/>
      </c>
      <c r="O20" s="6">
        <f>IFERROR(INDEX(Calc!$H$2:$H$43,MATCH($Y20,Calc!$A$2:$A$43,0)),"")</f>
        <v/>
      </c>
      <c r="P20" s="6">
        <f>IFERROR(INDEX(Calc!$M$2:$M$43,MATCH($Y20,Calc!$A$2:$A$43,0)),"")</f>
        <v/>
      </c>
      <c r="Q20" t="n">
        <v>4.1</v>
      </c>
      <c r="R20" s="6" t="n">
        <v>0.6</v>
      </c>
      <c r="S20" s="6" t="n">
        <v>0.5</v>
      </c>
      <c r="T20" s="6" t="n">
        <v>0.6</v>
      </c>
      <c r="U20" t="inlineStr">
        <is>
          <t>67%/8/12</t>
        </is>
      </c>
      <c r="V20" t="n">
        <v>-1</v>
      </c>
      <c r="W20" t="n">
        <v>2</v>
      </c>
      <c r="X20">
        <f>IFERROR(INDEX(Calc!$AH$2:$AH$43,MATCH($Y20,Calc!$A$2:$A$43,0)),"")</f>
        <v/>
      </c>
      <c r="Y20" t="inlineStr">
        <is>
          <t>ezjt5r016sp0fhe|DOTA · TS vs LEGION</t>
        </is>
      </c>
      <c r="Z20" t="inlineStr">
        <is>
          <t>K12</t>
        </is>
      </c>
      <c r="AA20">
        <f>Y20&amp;"|"&amp;Z20</f>
        <v/>
      </c>
    </row>
    <row r="21">
      <c r="A21" t="inlineStr">
        <is>
          <t>DOTA · TS vs LEGION</t>
        </is>
      </c>
      <c r="B21" t="inlineStr">
        <is>
          <t>SaberLight</t>
        </is>
      </c>
      <c r="C21" t="inlineStr">
        <is>
          <t>LEGION</t>
        </is>
      </c>
      <c r="D21" t="inlineStr">
        <is>
          <t>Maps 1-2 Kills</t>
        </is>
      </c>
      <c r="E21" t="n">
        <v>7</v>
      </c>
      <c r="F21" s="7">
        <f>IFERROR(INDEX(CHOOSE(MATCH($Z21,{"K1","K12","K13"},0),Calc!$Y$2:$Y$43,Calc!$AA$2:$AA$43,Calc!$AC$2:$AC$43),MATCH($Y21,Calc!$A$2:$A$43,0)),"")</f>
        <v/>
      </c>
      <c r="G21" s="7">
        <f>IFERROR(SQRT(INDEX(CHOOSE(MATCH($Z21,{"K1","K12","K13"},0),Calc!$Z$2:$Z$43,Calc!$AB$2:$AB$43,Calc!$AD$2:$AD$43),MATCH($Y21,Calc!$A$2:$A$43,0))),"")</f>
        <v/>
      </c>
      <c r="H21" s="6">
        <f>IF(OR($E21="",$F21="",N($G21)&lt;=0),"",1-NORMDIST(FLOOR($E21,1)+0.5,$F21,$G21,TRUE))</f>
        <v/>
      </c>
      <c r="I21" s="6">
        <f>IF($H21="","",NORMDIST(CEILING($E21,1)-0.5,$F21,$G21,TRUE))</f>
        <v/>
      </c>
      <c r="J21" s="6">
        <f>IF($H21="","",MAX(0,1-$H21-$I21))</f>
        <v/>
      </c>
      <c r="K21">
        <f>IF($H21="","",IF($H21&gt;=0.5+Config!$B$8,"OVER",IF($I21&gt;=0.5+Config!$B$8,"UNDER","—")))</f>
        <v/>
      </c>
      <c r="L21" s="7">
        <f>IFERROR(INDEX(CHOOSE(MATCH($Z21,{"K1","K12","K13"},0),Calc!$AE$2:$AE$43,Calc!$AF$2:$AF$43,Calc!$AG$2:$AG$43),MATCH($Y21,Calc!$A$2:$A$43,0)),"")</f>
        <v/>
      </c>
      <c r="M21" s="6">
        <f>IF(OR($E21="",$L21="",N($G21)&lt;=0),"",1-NORMDIST(FLOOR($E21,1)+0.5,$L21,$G21*SQRT($L21/$F21),TRUE))</f>
        <v/>
      </c>
      <c r="N21" t="n">
        <v>9.41</v>
      </c>
      <c r="O21" s="6">
        <f>IFERROR(INDEX(Calc!$H$2:$H$43,MATCH($Y21,Calc!$A$2:$A$43,0)),"")</f>
        <v/>
      </c>
      <c r="P21" s="6">
        <f>IFERROR(INDEX(Calc!$M$2:$M$43,MATCH($Y21,Calc!$A$2:$A$43,0)),"")</f>
        <v/>
      </c>
      <c r="Q21" t="n">
        <v>9.5</v>
      </c>
      <c r="R21" s="6" t="n">
        <v>0.8</v>
      </c>
      <c r="S21" s="6" t="n">
        <v>0.7</v>
      </c>
      <c r="T21" s="6" t="n">
        <v>0.8</v>
      </c>
      <c r="U21" t="inlineStr">
        <is>
          <t>86%/12/14</t>
        </is>
      </c>
      <c r="V21" t="n">
        <v>-1</v>
      </c>
      <c r="W21" t="n">
        <v>1</v>
      </c>
      <c r="X21">
        <f>IFERROR(INDEX(Calc!$AH$2:$AH$43,MATCH($Y21,Calc!$A$2:$A$43,0)),"")</f>
        <v/>
      </c>
      <c r="Y21" t="inlineStr">
        <is>
          <t>pd8esajdvd6l5ul|DOTA · TS vs LEGION</t>
        </is>
      </c>
      <c r="Z21" t="inlineStr">
        <is>
          <t>K12</t>
        </is>
      </c>
      <c r="AA21">
        <f>Y21&amp;"|"&amp;Z21</f>
        <v/>
      </c>
    </row>
    <row r="22">
      <c r="A22" t="inlineStr">
        <is>
          <t>DOTA · TS vs LEGION</t>
        </is>
      </c>
      <c r="B22" t="inlineStr">
        <is>
          <t>Stojkov</t>
        </is>
      </c>
      <c r="C22" t="inlineStr">
        <is>
          <t>LEGION</t>
        </is>
      </c>
      <c r="D22" t="inlineStr">
        <is>
          <t>Maps 1-2 Kills</t>
        </is>
      </c>
      <c r="E22" t="n">
        <v>11.5</v>
      </c>
      <c r="F22" s="7">
        <f>IFERROR(INDEX(CHOOSE(MATCH($Z22,{"K1","K12","K13"},0),Calc!$Y$2:$Y$43,Calc!$AA$2:$AA$43,Calc!$AC$2:$AC$43),MATCH($Y22,Calc!$A$2:$A$43,0)),"")</f>
        <v/>
      </c>
      <c r="G22" s="7">
        <f>IFERROR(SQRT(INDEX(CHOOSE(MATCH($Z22,{"K1","K12","K13"},0),Calc!$Z$2:$Z$43,Calc!$AB$2:$AB$43,Calc!$AD$2:$AD$43),MATCH($Y22,Calc!$A$2:$A$43,0))),"")</f>
        <v/>
      </c>
      <c r="H22" s="6">
        <f>IF(OR($E22="",$F22="",N($G22)&lt;=0),"",1-NORMDIST(FLOOR($E22,1)+0.5,$F22,$G22,TRUE))</f>
        <v/>
      </c>
      <c r="I22" s="6">
        <f>IF($H22="","",NORMDIST(CEILING($E22,1)-0.5,$F22,$G22,TRUE))</f>
        <v/>
      </c>
      <c r="J22" s="6">
        <f>IF($H22="","",MAX(0,1-$H22-$I22))</f>
        <v/>
      </c>
      <c r="K22">
        <f>IF($H22="","",IF($H22&gt;=0.5+Config!$B$8,"OVER",IF($I22&gt;=0.5+Config!$B$8,"UNDER","—")))</f>
        <v/>
      </c>
      <c r="L22" s="7">
        <f>IFERROR(INDEX(CHOOSE(MATCH($Z22,{"K1","K12","K13"},0),Calc!$AE$2:$AE$43,Calc!$AF$2:$AF$43,Calc!$AG$2:$AG$43),MATCH($Y22,Calc!$A$2:$A$43,0)),"")</f>
        <v/>
      </c>
      <c r="M22" s="6">
        <f>IF(OR($E22="",$L22="",N($G22)&lt;=0),"",1-NORMDIST(FLOOR($E22,1)+0.5,$L22,$G22*SQRT($L22/$F22),TRUE))</f>
        <v/>
      </c>
      <c r="N22" t="n">
        <v>11.97</v>
      </c>
      <c r="O22" s="6">
        <f>IFERROR(INDEX(Calc!$H$2:$H$43,MATCH($Y22,Calc!$A$2:$A$43,0)),"")</f>
        <v/>
      </c>
      <c r="P22" s="6">
        <f>IFERROR(INDEX(Calc!$M$2:$M$43,MATCH($Y22,Calc!$A$2:$A$43,0)),"")</f>
        <v/>
      </c>
      <c r="Q22" t="n">
        <v>13.7</v>
      </c>
      <c r="R22" s="6" t="n">
        <v>0.4</v>
      </c>
      <c r="S22" s="6" t="n">
        <v>0.5</v>
      </c>
      <c r="T22" s="6" t="n">
        <v>0.6</v>
      </c>
      <c r="U22" t="inlineStr">
        <is>
          <t>0%/0/1</t>
        </is>
      </c>
      <c r="V22" t="n">
        <v>-1</v>
      </c>
      <c r="X22">
        <f>IFERROR(INDEX(Calc!$AH$2:$AH$43,MATCH($Y22,Calc!$A$2:$A$43,0)),"")</f>
        <v/>
      </c>
      <c r="Y22" t="inlineStr">
        <is>
          <t>e8li27evib4y4db|DOTA · TS vs LEGION</t>
        </is>
      </c>
      <c r="Z22" t="inlineStr">
        <is>
          <t>K12</t>
        </is>
      </c>
      <c r="AA22">
        <f>Y22&amp;"|"&amp;Z22</f>
        <v/>
      </c>
    </row>
    <row r="23">
      <c r="A23" t="inlineStr">
        <is>
          <t>DOTA · TS vs LEGION</t>
        </is>
      </c>
      <c r="B23" t="inlineStr">
        <is>
          <t>Larl</t>
        </is>
      </c>
      <c r="C23" t="inlineStr">
        <is>
          <t>TS</t>
        </is>
      </c>
      <c r="D23" t="inlineStr">
        <is>
          <t>Maps 1-2 Kills</t>
        </is>
      </c>
      <c r="E23" t="n">
        <v>19.5</v>
      </c>
      <c r="F23" s="7">
        <f>IFERROR(INDEX(CHOOSE(MATCH($Z23,{"K1","K12","K13"},0),Calc!$Y$2:$Y$43,Calc!$AA$2:$AA$43,Calc!$AC$2:$AC$43),MATCH($Y23,Calc!$A$2:$A$43,0)),"")</f>
        <v/>
      </c>
      <c r="G23" s="7">
        <f>IFERROR(SQRT(INDEX(CHOOSE(MATCH($Z23,{"K1","K12","K13"},0),Calc!$Z$2:$Z$43,Calc!$AB$2:$AB$43,Calc!$AD$2:$AD$43),MATCH($Y23,Calc!$A$2:$A$43,0))),"")</f>
        <v/>
      </c>
      <c r="H23" s="6">
        <f>IF(OR($E23="",$F23="",N($G23)&lt;=0),"",1-NORMDIST(FLOOR($E23,1)+0.5,$F23,$G23,TRUE))</f>
        <v/>
      </c>
      <c r="I23" s="6">
        <f>IF($H23="","",NORMDIST(CEILING($E23,1)-0.5,$F23,$G23,TRUE))</f>
        <v/>
      </c>
      <c r="J23" s="6">
        <f>IF($H23="","",MAX(0,1-$H23-$I23))</f>
        <v/>
      </c>
      <c r="K23">
        <f>IF($H23="","",IF($H23&gt;=0.5+Config!$B$8,"OVER",IF($I23&gt;=0.5+Config!$B$8,"UNDER","—")))</f>
        <v/>
      </c>
      <c r="L23" s="7">
        <f>IFERROR(INDEX(CHOOSE(MATCH($Z23,{"K1","K12","K13"},0),Calc!$AE$2:$AE$43,Calc!$AF$2:$AF$43,Calc!$AG$2:$AG$43),MATCH($Y23,Calc!$A$2:$A$43,0)),"")</f>
        <v/>
      </c>
      <c r="M23" s="6">
        <f>IF(OR($E23="",$L23="",N($G23)&lt;=0),"",1-NORMDIST(FLOOR($E23,1)+0.5,$L23,$G23*SQRT($L23/$F23),TRUE))</f>
        <v/>
      </c>
      <c r="N23" t="n">
        <v>15.29</v>
      </c>
      <c r="O23" s="6">
        <f>IFERROR(INDEX(Calc!$H$2:$H$43,MATCH($Y23,Calc!$A$2:$A$43,0)),"")</f>
        <v/>
      </c>
      <c r="P23" s="6">
        <f>IFERROR(INDEX(Calc!$M$2:$M$43,MATCH($Y23,Calc!$A$2:$A$43,0)),"")</f>
        <v/>
      </c>
      <c r="Q23" t="n">
        <v>17.2</v>
      </c>
      <c r="R23" s="6" t="n">
        <v>0.4</v>
      </c>
      <c r="S23" s="6" t="n">
        <v>0.4</v>
      </c>
      <c r="T23" s="6" t="n">
        <v>0.27</v>
      </c>
      <c r="U23" t="inlineStr">
        <is>
          <t>100%/1/1</t>
        </is>
      </c>
      <c r="V23" t="n">
        <v>-3</v>
      </c>
      <c r="X23">
        <f>IFERROR(INDEX(Calc!$AH$2:$AH$43,MATCH($Y23,Calc!$A$2:$A$43,0)),"")</f>
        <v/>
      </c>
      <c r="Y23" t="inlineStr">
        <is>
          <t>3nhf9uupulsq9gw|DOTA · TS vs LEGION</t>
        </is>
      </c>
      <c r="Z23" t="inlineStr">
        <is>
          <t>K12</t>
        </is>
      </c>
      <c r="AA23">
        <f>Y23&amp;"|"&amp;Z23</f>
        <v/>
      </c>
    </row>
    <row r="24">
      <c r="A24" t="inlineStr">
        <is>
          <t>DOTA · TS vs LEGION</t>
        </is>
      </c>
      <c r="B24" t="inlineStr">
        <is>
          <t>not me</t>
        </is>
      </c>
      <c r="C24" t="inlineStr">
        <is>
          <t>TS</t>
        </is>
      </c>
      <c r="D24" t="inlineStr">
        <is>
          <t>Maps 1-2 Kills</t>
        </is>
      </c>
      <c r="E24" t="n">
        <v>9</v>
      </c>
      <c r="F24" s="7">
        <f>IFERROR(INDEX(CHOOSE(MATCH($Z24,{"K1","K12","K13"},0),Calc!$Y$2:$Y$43,Calc!$AA$2:$AA$43,Calc!$AC$2:$AC$43),MATCH($Y24,Calc!$A$2:$A$43,0)),"")</f>
        <v/>
      </c>
      <c r="G24" s="7">
        <f>IFERROR(SQRT(INDEX(CHOOSE(MATCH($Z24,{"K1","K12","K13"},0),Calc!$Z$2:$Z$43,Calc!$AB$2:$AB$43,Calc!$AD$2:$AD$43),MATCH($Y24,Calc!$A$2:$A$43,0))),"")</f>
        <v/>
      </c>
      <c r="H24" s="6">
        <f>IF(OR($E24="",$F24="",N($G24)&lt;=0),"",1-NORMDIST(FLOOR($E24,1)+0.5,$F24,$G24,TRUE))</f>
        <v/>
      </c>
      <c r="I24" s="6">
        <f>IF($H24="","",NORMDIST(CEILING($E24,1)-0.5,$F24,$G24,TRUE))</f>
        <v/>
      </c>
      <c r="J24" s="6">
        <f>IF($H24="","",MAX(0,1-$H24-$I24))</f>
        <v/>
      </c>
      <c r="K24">
        <f>IF($H24="","",IF($H24&gt;=0.5+Config!$B$8,"OVER",IF($I24&gt;=0.5+Config!$B$8,"UNDER","—")))</f>
        <v/>
      </c>
      <c r="L24" s="7">
        <f>IFERROR(INDEX(CHOOSE(MATCH($Z24,{"K1","K12","K13"},0),Calc!$AE$2:$AE$43,Calc!$AF$2:$AF$43,Calc!$AG$2:$AG$43),MATCH($Y24,Calc!$A$2:$A$43,0)),"")</f>
        <v/>
      </c>
      <c r="M24" s="6">
        <f>IF(OR($E24="",$L24="",N($G24)&lt;=0),"",1-NORMDIST(FLOOR($E24,1)+0.5,$L24,$G24*SQRT($L24/$F24),TRUE))</f>
        <v/>
      </c>
      <c r="N24" t="n">
        <v>8.69</v>
      </c>
      <c r="O24" s="6">
        <f>IFERROR(INDEX(Calc!$H$2:$H$43,MATCH($Y24,Calc!$A$2:$A$43,0)),"")</f>
        <v/>
      </c>
      <c r="P24" s="6">
        <f>IFERROR(INDEX(Calc!$M$2:$M$43,MATCH($Y24,Calc!$A$2:$A$43,0)),"")</f>
        <v/>
      </c>
      <c r="Q24" t="n">
        <v>11.1</v>
      </c>
      <c r="R24" s="6" t="n">
        <v>0.6</v>
      </c>
      <c r="S24" s="6" t="n">
        <v>0.7</v>
      </c>
      <c r="T24" s="6" t="n">
        <v>0.6</v>
      </c>
      <c r="U24" t="inlineStr">
        <is>
          <t>100%/1/1</t>
        </is>
      </c>
      <c r="V24" t="n">
        <v>1</v>
      </c>
      <c r="W24" t="n">
        <v>1</v>
      </c>
      <c r="X24">
        <f>IFERROR(INDEX(Calc!$AH$2:$AH$43,MATCH($Y24,Calc!$A$2:$A$43,0)),"")</f>
        <v/>
      </c>
      <c r="Y24" t="inlineStr">
        <is>
          <t>eu78tcmea0duae0|DOTA · TS vs LEGION</t>
        </is>
      </c>
      <c r="Z24" t="inlineStr">
        <is>
          <t>K12</t>
        </is>
      </c>
      <c r="AA24">
        <f>Y24&amp;"|"&amp;Z24</f>
        <v/>
      </c>
    </row>
    <row r="25">
      <c r="A25" t="inlineStr">
        <is>
          <t>DOTA · TS vs LEGION</t>
        </is>
      </c>
      <c r="B25" t="inlineStr">
        <is>
          <t>rue</t>
        </is>
      </c>
      <c r="C25" t="inlineStr">
        <is>
          <t>TS</t>
        </is>
      </c>
      <c r="D25" t="inlineStr">
        <is>
          <t>Maps 1-2 Kills</t>
        </is>
      </c>
      <c r="E25" t="n">
        <v>7</v>
      </c>
      <c r="F25" s="7">
        <f>IFERROR(INDEX(CHOOSE(MATCH($Z25,{"K1","K12","K13"},0),Calc!$Y$2:$Y$43,Calc!$AA$2:$AA$43,Calc!$AC$2:$AC$43),MATCH($Y25,Calc!$A$2:$A$43,0)),"")</f>
        <v/>
      </c>
      <c r="G25" s="7">
        <f>IFERROR(SQRT(INDEX(CHOOSE(MATCH($Z25,{"K1","K12","K13"},0),Calc!$Z$2:$Z$43,Calc!$AB$2:$AB$43,Calc!$AD$2:$AD$43),MATCH($Y25,Calc!$A$2:$A$43,0))),"")</f>
        <v/>
      </c>
      <c r="H25" s="6">
        <f>IF(OR($E25="",$F25="",N($G25)&lt;=0),"",1-NORMDIST(FLOOR($E25,1)+0.5,$F25,$G25,TRUE))</f>
        <v/>
      </c>
      <c r="I25" s="6">
        <f>IF($H25="","",NORMDIST(CEILING($E25,1)-0.5,$F25,$G25,TRUE))</f>
        <v/>
      </c>
      <c r="J25" s="6">
        <f>IF($H25="","",MAX(0,1-$H25-$I25))</f>
        <v/>
      </c>
      <c r="K25">
        <f>IF($H25="","",IF($H25&gt;=0.5+Config!$B$8,"OVER",IF($I25&gt;=0.5+Config!$B$8,"UNDER","—")))</f>
        <v/>
      </c>
      <c r="L25" s="7">
        <f>IFERROR(INDEX(CHOOSE(MATCH($Z25,{"K1","K12","K13"},0),Calc!$AE$2:$AE$43,Calc!$AF$2:$AF$43,Calc!$AG$2:$AG$43),MATCH($Y25,Calc!$A$2:$A$43,0)),"")</f>
        <v/>
      </c>
      <c r="M25" s="6">
        <f>IF(OR($E25="",$L25="",N($G25)&lt;=0),"",1-NORMDIST(FLOOR($E25,1)+0.5,$L25,$G25*SQRT($L25/$F25),TRUE))</f>
        <v/>
      </c>
      <c r="N25" t="n">
        <v>5.13</v>
      </c>
      <c r="O25" s="6">
        <f>IFERROR(INDEX(Calc!$H$2:$H$43,MATCH($Y25,Calc!$A$2:$A$43,0)),"")</f>
        <v/>
      </c>
      <c r="P25" s="6">
        <f>IFERROR(INDEX(Calc!$M$2:$M$43,MATCH($Y25,Calc!$A$2:$A$43,0)),"")</f>
        <v/>
      </c>
      <c r="Q25" t="n">
        <v>7.1</v>
      </c>
      <c r="R25" s="6" t="n">
        <v>0.8</v>
      </c>
      <c r="S25" s="6" t="n">
        <v>0.5</v>
      </c>
      <c r="T25" s="6" t="n">
        <v>0.4</v>
      </c>
      <c r="U25" t="inlineStr">
        <is>
          <t>100%/1/1</t>
        </is>
      </c>
      <c r="V25" t="n">
        <v>1</v>
      </c>
      <c r="W25" t="n">
        <v>2</v>
      </c>
      <c r="X25">
        <f>IFERROR(INDEX(Calc!$AH$2:$AH$43,MATCH($Y25,Calc!$A$2:$A$43,0)),"")</f>
        <v/>
      </c>
      <c r="Y25" t="inlineStr">
        <is>
          <t>sw7j8rqyn0xsj7y|DOTA · TS vs LEGION</t>
        </is>
      </c>
      <c r="Z25" t="inlineStr">
        <is>
          <t>K12</t>
        </is>
      </c>
      <c r="AA25">
        <f>Y25&amp;"|"&amp;Z25</f>
        <v/>
      </c>
    </row>
    <row r="26">
      <c r="A26" t="inlineStr">
        <is>
          <t>DOTA · TS vs LEGION</t>
        </is>
      </c>
      <c r="B26" t="inlineStr">
        <is>
          <t>Yatoro</t>
        </is>
      </c>
      <c r="C26" t="inlineStr">
        <is>
          <t>TS</t>
        </is>
      </c>
      <c r="D26" t="inlineStr">
        <is>
          <t>Maps 1-2 Kills</t>
        </is>
      </c>
      <c r="E26" t="n">
        <v>23.5</v>
      </c>
      <c r="F26" s="7">
        <f>IFERROR(INDEX(CHOOSE(MATCH($Z26,{"K1","K12","K13"},0),Calc!$Y$2:$Y$43,Calc!$AA$2:$AA$43,Calc!$AC$2:$AC$43),MATCH($Y26,Calc!$A$2:$A$43,0)),"")</f>
        <v/>
      </c>
      <c r="G26" s="7">
        <f>IFERROR(SQRT(INDEX(CHOOSE(MATCH($Z26,{"K1","K12","K13"},0),Calc!$Z$2:$Z$43,Calc!$AB$2:$AB$43,Calc!$AD$2:$AD$43),MATCH($Y26,Calc!$A$2:$A$43,0))),"")</f>
        <v/>
      </c>
      <c r="H26" s="6">
        <f>IF(OR($E26="",$F26="",N($G26)&lt;=0),"",1-NORMDIST(FLOOR($E26,1)+0.5,$F26,$G26,TRUE))</f>
        <v/>
      </c>
      <c r="I26" s="6">
        <f>IF($H26="","",NORMDIST(CEILING($E26,1)-0.5,$F26,$G26,TRUE))</f>
        <v/>
      </c>
      <c r="J26" s="6">
        <f>IF($H26="","",MAX(0,1-$H26-$I26))</f>
        <v/>
      </c>
      <c r="K26">
        <f>IF($H26="","",IF($H26&gt;=0.5+Config!$B$8,"OVER",IF($I26&gt;=0.5+Config!$B$8,"UNDER","—")))</f>
        <v/>
      </c>
      <c r="L26" s="7">
        <f>IFERROR(INDEX(CHOOSE(MATCH($Z26,{"K1","K12","K13"},0),Calc!$AE$2:$AE$43,Calc!$AF$2:$AF$43,Calc!$AG$2:$AG$43),MATCH($Y26,Calc!$A$2:$A$43,0)),"")</f>
        <v/>
      </c>
      <c r="M26" s="6">
        <f>IF(OR($E26="",$L26="",N($G26)&lt;=0),"",1-NORMDIST(FLOOR($E26,1)+0.5,$L26,$G26*SQRT($L26/$F26),TRUE))</f>
        <v/>
      </c>
      <c r="N26" t="n">
        <v>19.43</v>
      </c>
      <c r="O26" s="6">
        <f>IFERROR(INDEX(Calc!$H$2:$H$43,MATCH($Y26,Calc!$A$2:$A$43,0)),"")</f>
        <v/>
      </c>
      <c r="P26" s="6">
        <f>IFERROR(INDEX(Calc!$M$2:$M$43,MATCH($Y26,Calc!$A$2:$A$43,0)),"")</f>
        <v/>
      </c>
      <c r="Q26" t="n">
        <v>17.3</v>
      </c>
      <c r="R26" s="6" t="n">
        <v>0.2</v>
      </c>
      <c r="S26" s="6" t="n">
        <v>0.3</v>
      </c>
      <c r="T26" s="6" t="n">
        <v>0.27</v>
      </c>
      <c r="U26" t="inlineStr">
        <is>
          <t>100%/1/1</t>
        </is>
      </c>
      <c r="V26" t="n">
        <v>-4</v>
      </c>
      <c r="X26">
        <f>IFERROR(INDEX(Calc!$AH$2:$AH$43,MATCH($Y26,Calc!$A$2:$A$43,0)),"")</f>
        <v/>
      </c>
      <c r="Y26" t="inlineStr">
        <is>
          <t>7i0n30c69c9zmve|DOTA · TS vs LEGION</t>
        </is>
      </c>
      <c r="Z26" t="inlineStr">
        <is>
          <t>K12</t>
        </is>
      </c>
      <c r="AA26">
        <f>Y26&amp;"|"&amp;Z26</f>
        <v/>
      </c>
    </row>
    <row r="27">
      <c r="A27" t="inlineStr">
        <is>
          <t>LOL · KC vs CFO</t>
        </is>
      </c>
      <c r="B27" t="inlineStr">
        <is>
          <t>Doggo</t>
        </is>
      </c>
      <c r="C27" t="inlineStr">
        <is>
          <t>CFO</t>
        </is>
      </c>
      <c r="D27" t="inlineStr">
        <is>
          <t>Maps 1-2 Kills</t>
        </is>
      </c>
      <c r="E27" t="n">
        <v>6</v>
      </c>
      <c r="F27" s="7">
        <f>IFERROR(INDEX(CHOOSE(MATCH($Z27,{"K1","K12","K13"},0),Calc!$Y$2:$Y$43,Calc!$AA$2:$AA$43,Calc!$AC$2:$AC$43),MATCH($Y27,Calc!$A$2:$A$43,0)),"")</f>
        <v/>
      </c>
      <c r="G27" s="7">
        <f>IFERROR(SQRT(INDEX(CHOOSE(MATCH($Z27,{"K1","K12","K13"},0),Calc!$Z$2:$Z$43,Calc!$AB$2:$AB$43,Calc!$AD$2:$AD$43),MATCH($Y27,Calc!$A$2:$A$43,0))),"")</f>
        <v/>
      </c>
      <c r="H27" s="6">
        <f>IF(OR($E27="",$F27="",N($G27)&lt;=0),"",1-NORMDIST(FLOOR($E27,1)+0.5,$F27,$G27,TRUE))</f>
        <v/>
      </c>
      <c r="I27" s="6">
        <f>IF($H27="","",NORMDIST(CEILING($E27,1)-0.5,$F27,$G27,TRUE))</f>
        <v/>
      </c>
      <c r="J27" s="6">
        <f>IF($H27="","",MAX(0,1-$H27-$I27))</f>
        <v/>
      </c>
      <c r="K27">
        <f>IF($H27="","",IF($H27&gt;=0.5+Config!$B$8,"OVER",IF($I27&gt;=0.5+Config!$B$8,"UNDER","—")))</f>
        <v/>
      </c>
      <c r="L27" s="7">
        <f>IFERROR(INDEX(CHOOSE(MATCH($Z27,{"K1","K12","K13"},0),Calc!$AE$2:$AE$43,Calc!$AF$2:$AF$43,Calc!$AG$2:$AG$43),MATCH($Y27,Calc!$A$2:$A$43,0)),"")</f>
        <v/>
      </c>
      <c r="M27" s="6">
        <f>IF(OR($E27="",$L27="",N($G27)&lt;=0),"",1-NORMDIST(FLOOR($E27,1)+0.5,$L27,$G27*SQRT($L27/$F27),TRUE))</f>
        <v/>
      </c>
      <c r="O27" s="6">
        <f>IFERROR(INDEX(Calc!$H$2:$H$43,MATCH($Y27,Calc!$A$2:$A$43,0)),"")</f>
        <v/>
      </c>
      <c r="P27" s="6">
        <f>IFERROR(INDEX(Calc!$M$2:$M$43,MATCH($Y27,Calc!$A$2:$A$43,0)),"")</f>
        <v/>
      </c>
      <c r="Q27" t="n">
        <v>11.4</v>
      </c>
      <c r="R27" s="6" t="n">
        <v>0.6</v>
      </c>
      <c r="S27" s="6" t="n">
        <v>0.8</v>
      </c>
      <c r="T27" s="6" t="n">
        <v>0.8</v>
      </c>
      <c r="U27" t="inlineStr">
        <is>
          <t>50%/1/2</t>
        </is>
      </c>
      <c r="V27" t="n">
        <v>2</v>
      </c>
      <c r="W27" t="n">
        <v>0</v>
      </c>
      <c r="X27">
        <f>IFERROR(INDEX(Calc!$AH$2:$AH$43,MATCH($Y27,Calc!$A$2:$A$43,0)),"")</f>
        <v/>
      </c>
      <c r="Y27" t="inlineStr">
        <is>
          <t>a5wl3rb1ss2ow7n|LOL · KC vs CFO</t>
        </is>
      </c>
      <c r="Z27" t="inlineStr">
        <is>
          <t>K12</t>
        </is>
      </c>
      <c r="AA27">
        <f>Y27&amp;"|"&amp;Z27</f>
        <v/>
      </c>
    </row>
    <row r="28">
      <c r="A28" t="inlineStr">
        <is>
          <t>LOL · KC vs CFO</t>
        </is>
      </c>
      <c r="B28" t="inlineStr">
        <is>
          <t>Pout</t>
        </is>
      </c>
      <c r="C28" t="inlineStr">
        <is>
          <t>CFO</t>
        </is>
      </c>
      <c r="D28" t="inlineStr">
        <is>
          <t>Maps 1-2 Kills</t>
        </is>
      </c>
      <c r="E28" t="n">
        <v>5</v>
      </c>
      <c r="F28" s="7">
        <f>IFERROR(INDEX(CHOOSE(MATCH($Z28,{"K1","K12","K13"},0),Calc!$Y$2:$Y$43,Calc!$AA$2:$AA$43,Calc!$AC$2:$AC$43),MATCH($Y28,Calc!$A$2:$A$43,0)),"")</f>
        <v/>
      </c>
      <c r="G28" s="7">
        <f>IFERROR(SQRT(INDEX(CHOOSE(MATCH($Z28,{"K1","K12","K13"},0),Calc!$Z$2:$Z$43,Calc!$AB$2:$AB$43,Calc!$AD$2:$AD$43),MATCH($Y28,Calc!$A$2:$A$43,0))),"")</f>
        <v/>
      </c>
      <c r="H28" s="6">
        <f>IF(OR($E28="",$F28="",N($G28)&lt;=0),"",1-NORMDIST(FLOOR($E28,1)+0.5,$F28,$G28,TRUE))</f>
        <v/>
      </c>
      <c r="I28" s="6">
        <f>IF($H28="","",NORMDIST(CEILING($E28,1)-0.5,$F28,$G28,TRUE))</f>
        <v/>
      </c>
      <c r="J28" s="6">
        <f>IF($H28="","",MAX(0,1-$H28-$I28))</f>
        <v/>
      </c>
      <c r="K28">
        <f>IF($H28="","",IF($H28&gt;=0.5+Config!$B$8,"OVER",IF($I28&gt;=0.5+Config!$B$8,"UNDER","—")))</f>
        <v/>
      </c>
      <c r="L28" s="7">
        <f>IFERROR(INDEX(CHOOSE(MATCH($Z28,{"K1","K12","K13"},0),Calc!$AE$2:$AE$43,Calc!$AF$2:$AF$43,Calc!$AG$2:$AG$43),MATCH($Y28,Calc!$A$2:$A$43,0)),"")</f>
        <v/>
      </c>
      <c r="M28" s="6">
        <f>IF(OR($E28="",$L28="",N($G28)&lt;=0),"",1-NORMDIST(FLOOR($E28,1)+0.5,$L28,$G28*SQRT($L28/$F28),TRUE))</f>
        <v/>
      </c>
      <c r="O28" s="6">
        <f>IFERROR(INDEX(Calc!$H$2:$H$43,MATCH($Y28,Calc!$A$2:$A$43,0)),"")</f>
        <v/>
      </c>
      <c r="P28" s="6">
        <f>IFERROR(INDEX(Calc!$M$2:$M$43,MATCH($Y28,Calc!$A$2:$A$43,0)),"")</f>
        <v/>
      </c>
      <c r="Q28" t="n">
        <v>8.199999999999999</v>
      </c>
      <c r="R28" s="6" t="n">
        <v>0.8</v>
      </c>
      <c r="S28" s="6" t="n">
        <v>0.8</v>
      </c>
      <c r="T28" s="6" t="n">
        <v>0.8</v>
      </c>
      <c r="U28" t="inlineStr">
        <is>
          <t>-</t>
        </is>
      </c>
      <c r="V28" t="n">
        <v>2</v>
      </c>
      <c r="W28" t="n">
        <v>2</v>
      </c>
      <c r="X28">
        <f>IFERROR(INDEX(Calc!$AH$2:$AH$43,MATCH($Y28,Calc!$A$2:$A$43,0)),"")</f>
        <v/>
      </c>
      <c r="Y28" t="inlineStr">
        <is>
          <t>tn5wihneq593t21|LOL · KC vs CFO</t>
        </is>
      </c>
      <c r="Z28" t="inlineStr">
        <is>
          <t>K12</t>
        </is>
      </c>
      <c r="AA28">
        <f>Y28&amp;"|"&amp;Z28</f>
        <v/>
      </c>
    </row>
    <row r="29">
      <c r="A29" t="inlineStr">
        <is>
          <t>LOL · KC vs CFO</t>
        </is>
      </c>
      <c r="B29" t="inlineStr">
        <is>
          <t>Rest</t>
        </is>
      </c>
      <c r="C29" t="inlineStr">
        <is>
          <t>CFO</t>
        </is>
      </c>
      <c r="D29" t="inlineStr">
        <is>
          <t>Maps 1-2 Kills</t>
        </is>
      </c>
      <c r="E29" t="n">
        <v>3.5</v>
      </c>
      <c r="F29" s="7">
        <f>IFERROR(INDEX(CHOOSE(MATCH($Z29,{"K1","K12","K13"},0),Calc!$Y$2:$Y$43,Calc!$AA$2:$AA$43,Calc!$AC$2:$AC$43),MATCH($Y29,Calc!$A$2:$A$43,0)),"")</f>
        <v/>
      </c>
      <c r="G29" s="7">
        <f>IFERROR(SQRT(INDEX(CHOOSE(MATCH($Z29,{"K1","K12","K13"},0),Calc!$Z$2:$Z$43,Calc!$AB$2:$AB$43,Calc!$AD$2:$AD$43),MATCH($Y29,Calc!$A$2:$A$43,0))),"")</f>
        <v/>
      </c>
      <c r="H29" s="6">
        <f>IF(OR($E29="",$F29="",N($G29)&lt;=0),"",1-NORMDIST(FLOOR($E29,1)+0.5,$F29,$G29,TRUE))</f>
        <v/>
      </c>
      <c r="I29" s="6">
        <f>IF($H29="","",NORMDIST(CEILING($E29,1)-0.5,$F29,$G29,TRUE))</f>
        <v/>
      </c>
      <c r="J29" s="6">
        <f>IF($H29="","",MAX(0,1-$H29-$I29))</f>
        <v/>
      </c>
      <c r="K29">
        <f>IF($H29="","",IF($H29&gt;=0.5+Config!$B$8,"OVER",IF($I29&gt;=0.5+Config!$B$8,"UNDER","—")))</f>
        <v/>
      </c>
      <c r="L29" s="7">
        <f>IFERROR(INDEX(CHOOSE(MATCH($Z29,{"K1","K12","K13"},0),Calc!$AE$2:$AE$43,Calc!$AF$2:$AF$43,Calc!$AG$2:$AG$43),MATCH($Y29,Calc!$A$2:$A$43,0)),"")</f>
        <v/>
      </c>
      <c r="M29" s="6">
        <f>IF(OR($E29="",$L29="",N($G29)&lt;=0),"",1-NORMDIST(FLOOR($E29,1)+0.5,$L29,$G29*SQRT($L29/$F29),TRUE))</f>
        <v/>
      </c>
      <c r="O29" s="6">
        <f>IFERROR(INDEX(Calc!$H$2:$H$43,MATCH($Y29,Calc!$A$2:$A$43,0)),"")</f>
        <v/>
      </c>
      <c r="P29" s="6">
        <f>IFERROR(INDEX(Calc!$M$2:$M$43,MATCH($Y29,Calc!$A$2:$A$43,0)),"")</f>
        <v/>
      </c>
      <c r="Q29" t="n">
        <v>3.8</v>
      </c>
      <c r="R29" s="6" t="n">
        <v>0.4</v>
      </c>
      <c r="S29" s="6" t="n">
        <v>0.5</v>
      </c>
      <c r="T29" s="6" t="n">
        <v>0.4</v>
      </c>
      <c r="U29" t="inlineStr">
        <is>
          <t>0%/0/1</t>
        </is>
      </c>
      <c r="V29" t="n">
        <v>-1</v>
      </c>
      <c r="X29">
        <f>IFERROR(INDEX(Calc!$AH$2:$AH$43,MATCH($Y29,Calc!$A$2:$A$43,0)),"")</f>
        <v/>
      </c>
      <c r="Y29" t="inlineStr">
        <is>
          <t>53mtwbqgfk1n5zk|LOL · KC vs CFO</t>
        </is>
      </c>
      <c r="Z29" t="inlineStr">
        <is>
          <t>K12</t>
        </is>
      </c>
      <c r="AA29">
        <f>Y29&amp;"|"&amp;Z29</f>
        <v/>
      </c>
    </row>
    <row r="30">
      <c r="A30" t="inlineStr">
        <is>
          <t>LOL · KC vs CFO</t>
        </is>
      </c>
      <c r="B30" t="inlineStr">
        <is>
          <t>Shad0w</t>
        </is>
      </c>
      <c r="C30" t="inlineStr">
        <is>
          <t>CFO</t>
        </is>
      </c>
      <c r="D30" t="inlineStr">
        <is>
          <t>Maps 1-2 Kills</t>
        </is>
      </c>
      <c r="E30" t="n">
        <v>5</v>
      </c>
      <c r="F30" s="7">
        <f>IFERROR(INDEX(CHOOSE(MATCH($Z30,{"K1","K12","K13"},0),Calc!$Y$2:$Y$43,Calc!$AA$2:$AA$43,Calc!$AC$2:$AC$43),MATCH($Y30,Calc!$A$2:$A$43,0)),"")</f>
        <v/>
      </c>
      <c r="G30" s="7">
        <f>IFERROR(SQRT(INDEX(CHOOSE(MATCH($Z30,{"K1","K12","K13"},0),Calc!$Z$2:$Z$43,Calc!$AB$2:$AB$43,Calc!$AD$2:$AD$43),MATCH($Y30,Calc!$A$2:$A$43,0))),"")</f>
        <v/>
      </c>
      <c r="H30" s="6">
        <f>IF(OR($E30="",$F30="",N($G30)&lt;=0),"",1-NORMDIST(FLOOR($E30,1)+0.5,$F30,$G30,TRUE))</f>
        <v/>
      </c>
      <c r="I30" s="6">
        <f>IF($H30="","",NORMDIST(CEILING($E30,1)-0.5,$F30,$G30,TRUE))</f>
        <v/>
      </c>
      <c r="J30" s="6">
        <f>IF($H30="","",MAX(0,1-$H30-$I30))</f>
        <v/>
      </c>
      <c r="K30">
        <f>IF($H30="","",IF($H30&gt;=0.5+Config!$B$8,"OVER",IF($I30&gt;=0.5+Config!$B$8,"UNDER","—")))</f>
        <v/>
      </c>
      <c r="L30" s="7">
        <f>IFERROR(INDEX(CHOOSE(MATCH($Z30,{"K1","K12","K13"},0),Calc!$AE$2:$AE$43,Calc!$AF$2:$AF$43,Calc!$AG$2:$AG$43),MATCH($Y30,Calc!$A$2:$A$43,0)),"")</f>
        <v/>
      </c>
      <c r="M30" s="6">
        <f>IF(OR($E30="",$L30="",N($G30)&lt;=0),"",1-NORMDIST(FLOOR($E30,1)+0.5,$L30,$G30*SQRT($L30/$F30),TRUE))</f>
        <v/>
      </c>
      <c r="O30" s="6">
        <f>IFERROR(INDEX(Calc!$H$2:$H$43,MATCH($Y30,Calc!$A$2:$A$43,0)),"")</f>
        <v/>
      </c>
      <c r="P30" s="6">
        <f>IFERROR(INDEX(Calc!$M$2:$M$43,MATCH($Y30,Calc!$A$2:$A$43,0)),"")</f>
        <v/>
      </c>
      <c r="Q30" t="n">
        <v>6.2</v>
      </c>
      <c r="R30" s="6" t="n">
        <v>0.6</v>
      </c>
      <c r="S30" s="6" t="n">
        <v>0.4</v>
      </c>
      <c r="T30" s="6" t="n">
        <v>0.47</v>
      </c>
      <c r="U30" t="inlineStr">
        <is>
          <t>-</t>
        </is>
      </c>
      <c r="V30" t="n">
        <v>-1</v>
      </c>
      <c r="W30" t="n">
        <v>1</v>
      </c>
      <c r="X30">
        <f>IFERROR(INDEX(Calc!$AH$2:$AH$43,MATCH($Y30,Calc!$A$2:$A$43,0)),"")</f>
        <v/>
      </c>
      <c r="Y30" t="inlineStr">
        <is>
          <t>ko4ayhltzyln940|LOL · KC vs CFO</t>
        </is>
      </c>
      <c r="Z30" t="inlineStr">
        <is>
          <t>K12</t>
        </is>
      </c>
      <c r="AA30">
        <f>Y30&amp;"|"&amp;Z30</f>
        <v/>
      </c>
    </row>
    <row r="31">
      <c r="A31" t="inlineStr">
        <is>
          <t>LOL · KC vs CFO</t>
        </is>
      </c>
      <c r="B31" t="inlineStr">
        <is>
          <t>Busio</t>
        </is>
      </c>
      <c r="C31" t="inlineStr">
        <is>
          <t>KC</t>
        </is>
      </c>
      <c r="D31" t="inlineStr">
        <is>
          <t>Maps 1-2 Kills</t>
        </is>
      </c>
      <c r="E31" t="n">
        <v>1.5</v>
      </c>
      <c r="F31" s="7">
        <f>IFERROR(INDEX(CHOOSE(MATCH($Z31,{"K1","K12","K13"},0),Calc!$Y$2:$Y$43,Calc!$AA$2:$AA$43,Calc!$AC$2:$AC$43),MATCH($Y31,Calc!$A$2:$A$43,0)),"")</f>
        <v/>
      </c>
      <c r="G31" s="7">
        <f>IFERROR(SQRT(INDEX(CHOOSE(MATCH($Z31,{"K1","K12","K13"},0),Calc!$Z$2:$Z$43,Calc!$AB$2:$AB$43,Calc!$AD$2:$AD$43),MATCH($Y31,Calc!$A$2:$A$43,0))),"")</f>
        <v/>
      </c>
      <c r="H31" s="6">
        <f>IF(OR($E31="",$F31="",N($G31)&lt;=0),"",1-NORMDIST(FLOOR($E31,1)+0.5,$F31,$G31,TRUE))</f>
        <v/>
      </c>
      <c r="I31" s="6">
        <f>IF($H31="","",NORMDIST(CEILING($E31,1)-0.5,$F31,$G31,TRUE))</f>
        <v/>
      </c>
      <c r="J31" s="6">
        <f>IF($H31="","",MAX(0,1-$H31-$I31))</f>
        <v/>
      </c>
      <c r="K31">
        <f>IF($H31="","",IF($H31&gt;=0.5+Config!$B$8,"OVER",IF($I31&gt;=0.5+Config!$B$8,"UNDER","—")))</f>
        <v/>
      </c>
      <c r="L31" s="7">
        <f>IFERROR(INDEX(CHOOSE(MATCH($Z31,{"K1","K12","K13"},0),Calc!$AE$2:$AE$43,Calc!$AF$2:$AF$43,Calc!$AG$2:$AG$43),MATCH($Y31,Calc!$A$2:$A$43,0)),"")</f>
        <v/>
      </c>
      <c r="M31" s="6">
        <f>IF(OR($E31="",$L31="",N($G31)&lt;=0),"",1-NORMDIST(FLOOR($E31,1)+0.5,$L31,$G31*SQRT($L31/$F31),TRUE))</f>
        <v/>
      </c>
      <c r="O31" s="6">
        <f>IFERROR(INDEX(Calc!$H$2:$H$43,MATCH($Y31,Calc!$A$2:$A$43,0)),"")</f>
        <v/>
      </c>
      <c r="P31" s="6">
        <f>IFERROR(INDEX(Calc!$M$2:$M$43,MATCH($Y31,Calc!$A$2:$A$43,0)),"")</f>
        <v/>
      </c>
      <c r="Q31" t="n">
        <v>1.6</v>
      </c>
      <c r="R31" s="6" t="n">
        <v>0.4</v>
      </c>
      <c r="S31" s="6" t="n">
        <v>0.5</v>
      </c>
      <c r="T31" s="6" t="n">
        <v>0.47</v>
      </c>
      <c r="U31" t="inlineStr">
        <is>
          <t>0%/0/1</t>
        </is>
      </c>
      <c r="V31" t="n">
        <v>-1</v>
      </c>
      <c r="X31">
        <f>IFERROR(INDEX(Calc!$AH$2:$AH$43,MATCH($Y31,Calc!$A$2:$A$43,0)),"")</f>
        <v/>
      </c>
      <c r="Y31" t="inlineStr">
        <is>
          <t>s5zw84wcumkore8|LOL · KC vs CFO</t>
        </is>
      </c>
      <c r="Z31" t="inlineStr">
        <is>
          <t>K12</t>
        </is>
      </c>
      <c r="AA31">
        <f>Y31&amp;"|"&amp;Z31</f>
        <v/>
      </c>
    </row>
    <row r="32">
      <c r="A32" t="inlineStr">
        <is>
          <t>LOL · KC vs CFO</t>
        </is>
      </c>
      <c r="B32" t="inlineStr">
        <is>
          <t>Caliste</t>
        </is>
      </c>
      <c r="C32" t="inlineStr">
        <is>
          <t>KC</t>
        </is>
      </c>
      <c r="D32" t="inlineStr">
        <is>
          <t>Maps 1-2 Kills</t>
        </is>
      </c>
      <c r="E32" t="n">
        <v>10</v>
      </c>
      <c r="F32" s="7">
        <f>IFERROR(INDEX(CHOOSE(MATCH($Z32,{"K1","K12","K13"},0),Calc!$Y$2:$Y$43,Calc!$AA$2:$AA$43,Calc!$AC$2:$AC$43),MATCH($Y32,Calc!$A$2:$A$43,0)),"")</f>
        <v/>
      </c>
      <c r="G32" s="7">
        <f>IFERROR(SQRT(INDEX(CHOOSE(MATCH($Z32,{"K1","K12","K13"},0),Calc!$Z$2:$Z$43,Calc!$AB$2:$AB$43,Calc!$AD$2:$AD$43),MATCH($Y32,Calc!$A$2:$A$43,0))),"")</f>
        <v/>
      </c>
      <c r="H32" s="6">
        <f>IF(OR($E32="",$F32="",N($G32)&lt;=0),"",1-NORMDIST(FLOOR($E32,1)+0.5,$F32,$G32,TRUE))</f>
        <v/>
      </c>
      <c r="I32" s="6">
        <f>IF($H32="","",NORMDIST(CEILING($E32,1)-0.5,$F32,$G32,TRUE))</f>
        <v/>
      </c>
      <c r="J32" s="6">
        <f>IF($H32="","",MAX(0,1-$H32-$I32))</f>
        <v/>
      </c>
      <c r="K32">
        <f>IF($H32="","",IF($H32&gt;=0.5+Config!$B$8,"OVER",IF($I32&gt;=0.5+Config!$B$8,"UNDER","—")))</f>
        <v/>
      </c>
      <c r="L32" s="7">
        <f>IFERROR(INDEX(CHOOSE(MATCH($Z32,{"K1","K12","K13"},0),Calc!$AE$2:$AE$43,Calc!$AF$2:$AF$43,Calc!$AG$2:$AG$43),MATCH($Y32,Calc!$A$2:$A$43,0)),"")</f>
        <v/>
      </c>
      <c r="M32" s="6">
        <f>IF(OR($E32="",$L32="",N($G32)&lt;=0),"",1-NORMDIST(FLOOR($E32,1)+0.5,$L32,$G32*SQRT($L32/$F32),TRUE))</f>
        <v/>
      </c>
      <c r="O32" s="6">
        <f>IFERROR(INDEX(Calc!$H$2:$H$43,MATCH($Y32,Calc!$A$2:$A$43,0)),"")</f>
        <v/>
      </c>
      <c r="P32" s="6">
        <f>IFERROR(INDEX(Calc!$M$2:$M$43,MATCH($Y32,Calc!$A$2:$A$43,0)),"")</f>
        <v/>
      </c>
      <c r="Q32" t="n">
        <v>9.6</v>
      </c>
      <c r="R32" s="6" t="n">
        <v>0.2</v>
      </c>
      <c r="S32" s="6" t="n">
        <v>0.5</v>
      </c>
      <c r="T32" s="6" t="n">
        <v>0.53</v>
      </c>
      <c r="U32" t="inlineStr">
        <is>
          <t>50%/1/2</t>
        </is>
      </c>
      <c r="V32" t="n">
        <v>-3</v>
      </c>
      <c r="W32" t="n">
        <v>0</v>
      </c>
      <c r="X32">
        <f>IFERROR(INDEX(Calc!$AH$2:$AH$43,MATCH($Y32,Calc!$A$2:$A$43,0)),"")</f>
        <v/>
      </c>
      <c r="Y32" t="inlineStr">
        <is>
          <t>60n3jocjohvthia|LOL · KC vs CFO</t>
        </is>
      </c>
      <c r="Z32" t="inlineStr">
        <is>
          <t>K12</t>
        </is>
      </c>
      <c r="AA32">
        <f>Y32&amp;"|"&amp;Z32</f>
        <v/>
      </c>
    </row>
    <row r="33">
      <c r="A33" t="inlineStr">
        <is>
          <t>LOL · KC vs CFO</t>
        </is>
      </c>
      <c r="B33" t="inlineStr">
        <is>
          <t>Canna</t>
        </is>
      </c>
      <c r="C33" t="inlineStr">
        <is>
          <t>KC</t>
        </is>
      </c>
      <c r="D33" t="inlineStr">
        <is>
          <t>Maps 1-2 Kills</t>
        </is>
      </c>
      <c r="E33" t="n">
        <v>6</v>
      </c>
      <c r="F33" s="7">
        <f>IFERROR(INDEX(CHOOSE(MATCH($Z33,{"K1","K12","K13"},0),Calc!$Y$2:$Y$43,Calc!$AA$2:$AA$43,Calc!$AC$2:$AC$43),MATCH($Y33,Calc!$A$2:$A$43,0)),"")</f>
        <v/>
      </c>
      <c r="G33" s="7">
        <f>IFERROR(SQRT(INDEX(CHOOSE(MATCH($Z33,{"K1","K12","K13"},0),Calc!$Z$2:$Z$43,Calc!$AB$2:$AB$43,Calc!$AD$2:$AD$43),MATCH($Y33,Calc!$A$2:$A$43,0))),"")</f>
        <v/>
      </c>
      <c r="H33" s="6">
        <f>IF(OR($E33="",$F33="",N($G33)&lt;=0),"",1-NORMDIST(FLOOR($E33,1)+0.5,$F33,$G33,TRUE))</f>
        <v/>
      </c>
      <c r="I33" s="6">
        <f>IF($H33="","",NORMDIST(CEILING($E33,1)-0.5,$F33,$G33,TRUE))</f>
        <v/>
      </c>
      <c r="J33" s="6">
        <f>IF($H33="","",MAX(0,1-$H33-$I33))</f>
        <v/>
      </c>
      <c r="K33">
        <f>IF($H33="","",IF($H33&gt;=0.5+Config!$B$8,"OVER",IF($I33&gt;=0.5+Config!$B$8,"UNDER","—")))</f>
        <v/>
      </c>
      <c r="L33" s="7">
        <f>IFERROR(INDEX(CHOOSE(MATCH($Z33,{"K1","K12","K13"},0),Calc!$AE$2:$AE$43,Calc!$AF$2:$AF$43,Calc!$AG$2:$AG$43),MATCH($Y33,Calc!$A$2:$A$43,0)),"")</f>
        <v/>
      </c>
      <c r="M33" s="6">
        <f>IF(OR($E33="",$L33="",N($G33)&lt;=0),"",1-NORMDIST(FLOOR($E33,1)+0.5,$L33,$G33*SQRT($L33/$F33),TRUE))</f>
        <v/>
      </c>
      <c r="O33" s="6">
        <f>IFERROR(INDEX(Calc!$H$2:$H$43,MATCH($Y33,Calc!$A$2:$A$43,0)),"")</f>
        <v/>
      </c>
      <c r="P33" s="6">
        <f>IFERROR(INDEX(Calc!$M$2:$M$43,MATCH($Y33,Calc!$A$2:$A$43,0)),"")</f>
        <v/>
      </c>
      <c r="Q33" t="n">
        <v>5.8</v>
      </c>
      <c r="R33" s="6" t="n">
        <v>0.2</v>
      </c>
      <c r="S33" s="6" t="n">
        <v>0.5</v>
      </c>
      <c r="T33" s="6" t="n">
        <v>0.53</v>
      </c>
      <c r="U33" t="inlineStr">
        <is>
          <t>50%/1/2</t>
        </is>
      </c>
      <c r="V33" t="n">
        <v>-4</v>
      </c>
      <c r="W33" t="n">
        <v>1</v>
      </c>
      <c r="X33">
        <f>IFERROR(INDEX(Calc!$AH$2:$AH$43,MATCH($Y33,Calc!$A$2:$A$43,0)),"")</f>
        <v/>
      </c>
      <c r="Y33" t="inlineStr">
        <is>
          <t>5h8ktthuwylbro2|LOL · KC vs CFO</t>
        </is>
      </c>
      <c r="Z33" t="inlineStr">
        <is>
          <t>K12</t>
        </is>
      </c>
      <c r="AA33">
        <f>Y33&amp;"|"&amp;Z33</f>
        <v/>
      </c>
    </row>
    <row r="34">
      <c r="A34" t="inlineStr">
        <is>
          <t>LOL · KC vs CFO</t>
        </is>
      </c>
      <c r="B34" t="inlineStr">
        <is>
          <t>Kyeahoo</t>
        </is>
      </c>
      <c r="C34" t="inlineStr">
        <is>
          <t>KC</t>
        </is>
      </c>
      <c r="D34" t="inlineStr">
        <is>
          <t>Maps 1-2 Kills</t>
        </is>
      </c>
      <c r="E34" t="n">
        <v>7</v>
      </c>
      <c r="F34" s="7">
        <f>IFERROR(INDEX(CHOOSE(MATCH($Z34,{"K1","K12","K13"},0),Calc!$Y$2:$Y$43,Calc!$AA$2:$AA$43,Calc!$AC$2:$AC$43),MATCH($Y34,Calc!$A$2:$A$43,0)),"")</f>
        <v/>
      </c>
      <c r="G34" s="7">
        <f>IFERROR(SQRT(INDEX(CHOOSE(MATCH($Z34,{"K1","K12","K13"},0),Calc!$Z$2:$Z$43,Calc!$AB$2:$AB$43,Calc!$AD$2:$AD$43),MATCH($Y34,Calc!$A$2:$A$43,0))),"")</f>
        <v/>
      </c>
      <c r="H34" s="6">
        <f>IF(OR($E34="",$F34="",N($G34)&lt;=0),"",1-NORMDIST(FLOOR($E34,1)+0.5,$F34,$G34,TRUE))</f>
        <v/>
      </c>
      <c r="I34" s="6">
        <f>IF($H34="","",NORMDIST(CEILING($E34,1)-0.5,$F34,$G34,TRUE))</f>
        <v/>
      </c>
      <c r="J34" s="6">
        <f>IF($H34="","",MAX(0,1-$H34-$I34))</f>
        <v/>
      </c>
      <c r="K34">
        <f>IF($H34="","",IF($H34&gt;=0.5+Config!$B$8,"OVER",IF($I34&gt;=0.5+Config!$B$8,"UNDER","—")))</f>
        <v/>
      </c>
      <c r="L34" s="7">
        <f>IFERROR(INDEX(CHOOSE(MATCH($Z34,{"K1","K12","K13"},0),Calc!$AE$2:$AE$43,Calc!$AF$2:$AF$43,Calc!$AG$2:$AG$43),MATCH($Y34,Calc!$A$2:$A$43,0)),"")</f>
        <v/>
      </c>
      <c r="M34" s="6">
        <f>IF(OR($E34="",$L34="",N($G34)&lt;=0),"",1-NORMDIST(FLOOR($E34,1)+0.5,$L34,$G34*SQRT($L34/$F34),TRUE))</f>
        <v/>
      </c>
      <c r="O34" s="6">
        <f>IFERROR(INDEX(Calc!$H$2:$H$43,MATCH($Y34,Calc!$A$2:$A$43,0)),"")</f>
        <v/>
      </c>
      <c r="P34" s="6">
        <f>IFERROR(INDEX(Calc!$M$2:$M$43,MATCH($Y34,Calc!$A$2:$A$43,0)),"")</f>
        <v/>
      </c>
      <c r="Q34" t="n">
        <v>4.9</v>
      </c>
      <c r="R34" s="6" t="n">
        <v>0.4</v>
      </c>
      <c r="S34" s="6" t="n">
        <v>0.2</v>
      </c>
      <c r="T34" s="6" t="n">
        <v>0.33</v>
      </c>
      <c r="U34" t="inlineStr">
        <is>
          <t>-</t>
        </is>
      </c>
      <c r="V34" t="n">
        <v>2</v>
      </c>
      <c r="W34" t="n">
        <v>0</v>
      </c>
      <c r="X34">
        <f>IFERROR(INDEX(Calc!$AH$2:$AH$43,MATCH($Y34,Calc!$A$2:$A$43,0)),"")</f>
        <v/>
      </c>
      <c r="Y34" t="inlineStr">
        <is>
          <t>cp4ibkwui10xeyj|LOL · KC vs CFO</t>
        </is>
      </c>
      <c r="Z34" t="inlineStr">
        <is>
          <t>K12</t>
        </is>
      </c>
      <c r="AA34">
        <f>Y34&amp;"|"&amp;Z34</f>
        <v/>
      </c>
    </row>
    <row r="35">
      <c r="A35" t="inlineStr">
        <is>
          <t>LOL · KC vs CFO</t>
        </is>
      </c>
      <c r="B35" t="inlineStr">
        <is>
          <t>Yike</t>
        </is>
      </c>
      <c r="C35" t="inlineStr">
        <is>
          <t>KC</t>
        </is>
      </c>
      <c r="D35" t="inlineStr">
        <is>
          <t>Maps 1-2 Kills</t>
        </is>
      </c>
      <c r="E35" t="n">
        <v>8.5</v>
      </c>
      <c r="F35" s="7">
        <f>IFERROR(INDEX(CHOOSE(MATCH($Z35,{"K1","K12","K13"},0),Calc!$Y$2:$Y$43,Calc!$AA$2:$AA$43,Calc!$AC$2:$AC$43),MATCH($Y35,Calc!$A$2:$A$43,0)),"")</f>
        <v/>
      </c>
      <c r="G35" s="7">
        <f>IFERROR(SQRT(INDEX(CHOOSE(MATCH($Z35,{"K1","K12","K13"},0),Calc!$Z$2:$Z$43,Calc!$AB$2:$AB$43,Calc!$AD$2:$AD$43),MATCH($Y35,Calc!$A$2:$A$43,0))),"")</f>
        <v/>
      </c>
      <c r="H35" s="6">
        <f>IF(OR($E35="",$F35="",N($G35)&lt;=0),"",1-NORMDIST(FLOOR($E35,1)+0.5,$F35,$G35,TRUE))</f>
        <v/>
      </c>
      <c r="I35" s="6">
        <f>IF($H35="","",NORMDIST(CEILING($E35,1)-0.5,$F35,$G35,TRUE))</f>
        <v/>
      </c>
      <c r="J35" s="6">
        <f>IF($H35="","",MAX(0,1-$H35-$I35))</f>
        <v/>
      </c>
      <c r="K35">
        <f>IF($H35="","",IF($H35&gt;=0.5+Config!$B$8,"OVER",IF($I35&gt;=0.5+Config!$B$8,"UNDER","—")))</f>
        <v/>
      </c>
      <c r="L35" s="7">
        <f>IFERROR(INDEX(CHOOSE(MATCH($Z35,{"K1","K12","K13"},0),Calc!$AE$2:$AE$43,Calc!$AF$2:$AF$43,Calc!$AG$2:$AG$43),MATCH($Y35,Calc!$A$2:$A$43,0)),"")</f>
        <v/>
      </c>
      <c r="M35" s="6">
        <f>IF(OR($E35="",$L35="",N($G35)&lt;=0),"",1-NORMDIST(FLOOR($E35,1)+0.5,$L35,$G35*SQRT($L35/$F35),TRUE))</f>
        <v/>
      </c>
      <c r="O35" s="6">
        <f>IFERROR(INDEX(Calc!$H$2:$H$43,MATCH($Y35,Calc!$A$2:$A$43,0)),"")</f>
        <v/>
      </c>
      <c r="P35" s="6">
        <f>IFERROR(INDEX(Calc!$M$2:$M$43,MATCH($Y35,Calc!$A$2:$A$43,0)),"")</f>
        <v/>
      </c>
      <c r="Q35" t="n">
        <v>8.199999999999999</v>
      </c>
      <c r="R35" s="6" t="n">
        <v>0.2</v>
      </c>
      <c r="S35" s="6" t="n">
        <v>0.5</v>
      </c>
      <c r="T35" s="6" t="n">
        <v>0.47</v>
      </c>
      <c r="U35" t="inlineStr">
        <is>
          <t>0%/0/2</t>
        </is>
      </c>
      <c r="V35" t="n">
        <v>1</v>
      </c>
      <c r="X35">
        <f>IFERROR(INDEX(Calc!$AH$2:$AH$43,MATCH($Y35,Calc!$A$2:$A$43,0)),"")</f>
        <v/>
      </c>
      <c r="Y35" t="inlineStr">
        <is>
          <t>rfespsq7mcurckt|LOL · KC vs CFO</t>
        </is>
      </c>
      <c r="Z35" t="inlineStr">
        <is>
          <t>K12</t>
        </is>
      </c>
      <c r="AA35">
        <f>Y35&amp;"|"&amp;Z35</f>
        <v/>
      </c>
    </row>
    <row r="36">
      <c r="A36" t="inlineStr">
        <is>
          <t>LOL · TES vs BLG</t>
        </is>
      </c>
      <c r="B36" t="inlineStr">
        <is>
          <t>Bin</t>
        </is>
      </c>
      <c r="C36" t="inlineStr">
        <is>
          <t>BLG</t>
        </is>
      </c>
      <c r="D36" t="inlineStr">
        <is>
          <t>Maps 1-2 Kills</t>
        </is>
      </c>
      <c r="E36" t="n">
        <v>6</v>
      </c>
      <c r="F36" s="7">
        <f>IFERROR(INDEX(CHOOSE(MATCH($Z36,{"K1","K12","K13"},0),Calc!$Y$2:$Y$43,Calc!$AA$2:$AA$43,Calc!$AC$2:$AC$43),MATCH($Y36,Calc!$A$2:$A$43,0)),"")</f>
        <v/>
      </c>
      <c r="G36" s="7">
        <f>IFERROR(SQRT(INDEX(CHOOSE(MATCH($Z36,{"K1","K12","K13"},0),Calc!$Z$2:$Z$43,Calc!$AB$2:$AB$43,Calc!$AD$2:$AD$43),MATCH($Y36,Calc!$A$2:$A$43,0))),"")</f>
        <v/>
      </c>
      <c r="H36" s="6">
        <f>IF(OR($E36="",$F36="",N($G36)&lt;=0),"",1-NORMDIST(FLOOR($E36,1)+0.5,$F36,$G36,TRUE))</f>
        <v/>
      </c>
      <c r="I36" s="6">
        <f>IF($H36="","",NORMDIST(CEILING($E36,1)-0.5,$F36,$G36,TRUE))</f>
        <v/>
      </c>
      <c r="J36" s="6">
        <f>IF($H36="","",MAX(0,1-$H36-$I36))</f>
        <v/>
      </c>
      <c r="K36">
        <f>IF($H36="","",IF($H36&gt;=0.5+Config!$B$8,"OVER",IF($I36&gt;=0.5+Config!$B$8,"UNDER","—")))</f>
        <v/>
      </c>
      <c r="L36" s="7">
        <f>IFERROR(INDEX(CHOOSE(MATCH($Z36,{"K1","K12","K13"},0),Calc!$AE$2:$AE$43,Calc!$AF$2:$AF$43,Calc!$AG$2:$AG$43),MATCH($Y36,Calc!$A$2:$A$43,0)),"")</f>
        <v/>
      </c>
      <c r="M36" s="6">
        <f>IF(OR($E36="",$L36="",N($G36)&lt;=0),"",1-NORMDIST(FLOOR($E36,1)+0.5,$L36,$G36*SQRT($L36/$F36),TRUE))</f>
        <v/>
      </c>
      <c r="O36" s="6">
        <f>IFERROR(INDEX(Calc!$H$2:$H$43,MATCH($Y36,Calc!$A$2:$A$43,0)),"")</f>
        <v/>
      </c>
      <c r="P36" s="6">
        <f>IFERROR(INDEX(Calc!$M$2:$M$43,MATCH($Y36,Calc!$A$2:$A$43,0)),"")</f>
        <v/>
      </c>
      <c r="Q36" t="n">
        <v>6.3</v>
      </c>
      <c r="R36" s="6" t="n">
        <v>0.8</v>
      </c>
      <c r="S36" s="6" t="n">
        <v>0.7</v>
      </c>
      <c r="T36" s="6" t="n">
        <v>0.73</v>
      </c>
      <c r="U36" t="inlineStr">
        <is>
          <t>67%/12/18</t>
        </is>
      </c>
      <c r="V36" t="n">
        <v>4</v>
      </c>
      <c r="W36" t="n">
        <v>3</v>
      </c>
      <c r="X36">
        <f>IFERROR(INDEX(Calc!$AH$2:$AH$43,MATCH($Y36,Calc!$A$2:$A$43,0)),"")</f>
        <v/>
      </c>
      <c r="Y36" t="inlineStr">
        <is>
          <t>3x2ns60902wytr5|LOL · TES vs BLG</t>
        </is>
      </c>
      <c r="Z36" t="inlineStr">
        <is>
          <t>K12</t>
        </is>
      </c>
      <c r="AA36">
        <f>Y36&amp;"|"&amp;Z36</f>
        <v/>
      </c>
    </row>
    <row r="37">
      <c r="A37" t="inlineStr">
        <is>
          <t>LOL · TES vs BLG</t>
        </is>
      </c>
      <c r="B37" t="inlineStr">
        <is>
          <t>knight</t>
        </is>
      </c>
      <c r="C37" t="inlineStr">
        <is>
          <t>BLG</t>
        </is>
      </c>
      <c r="D37" t="inlineStr">
        <is>
          <t>Maps 1-2 Kills</t>
        </is>
      </c>
      <c r="E37" t="n">
        <v>10.5</v>
      </c>
      <c r="F37" s="7">
        <f>IFERROR(INDEX(CHOOSE(MATCH($Z37,{"K1","K12","K13"},0),Calc!$Y$2:$Y$43,Calc!$AA$2:$AA$43,Calc!$AC$2:$AC$43),MATCH($Y37,Calc!$A$2:$A$43,0)),"")</f>
        <v/>
      </c>
      <c r="G37" s="7">
        <f>IFERROR(SQRT(INDEX(CHOOSE(MATCH($Z37,{"K1","K12","K13"},0),Calc!$Z$2:$Z$43,Calc!$AB$2:$AB$43,Calc!$AD$2:$AD$43),MATCH($Y37,Calc!$A$2:$A$43,0))),"")</f>
        <v/>
      </c>
      <c r="H37" s="6">
        <f>IF(OR($E37="",$F37="",N($G37)&lt;=0),"",1-NORMDIST(FLOOR($E37,1)+0.5,$F37,$G37,TRUE))</f>
        <v/>
      </c>
      <c r="I37" s="6">
        <f>IF($H37="","",NORMDIST(CEILING($E37,1)-0.5,$F37,$G37,TRUE))</f>
        <v/>
      </c>
      <c r="J37" s="6">
        <f>IF($H37="","",MAX(0,1-$H37-$I37))</f>
        <v/>
      </c>
      <c r="K37">
        <f>IF($H37="","",IF($H37&gt;=0.5+Config!$B$8,"OVER",IF($I37&gt;=0.5+Config!$B$8,"UNDER","—")))</f>
        <v/>
      </c>
      <c r="L37" s="7">
        <f>IFERROR(INDEX(CHOOSE(MATCH($Z37,{"K1","K12","K13"},0),Calc!$AE$2:$AE$43,Calc!$AF$2:$AF$43,Calc!$AG$2:$AG$43),MATCH($Y37,Calc!$A$2:$A$43,0)),"")</f>
        <v/>
      </c>
      <c r="M37" s="6">
        <f>IF(OR($E37="",$L37="",N($G37)&lt;=0),"",1-NORMDIST(FLOOR($E37,1)+0.5,$L37,$G37*SQRT($L37/$F37),TRUE))</f>
        <v/>
      </c>
      <c r="O37" s="6">
        <f>IFERROR(INDEX(Calc!$H$2:$H$43,MATCH($Y37,Calc!$A$2:$A$43,0)),"")</f>
        <v/>
      </c>
      <c r="P37" s="6">
        <f>IFERROR(INDEX(Calc!$M$2:$M$43,MATCH($Y37,Calc!$A$2:$A$43,0)),"")</f>
        <v/>
      </c>
      <c r="Q37" t="n">
        <v>10</v>
      </c>
      <c r="R37" s="6" t="n">
        <v>0.2</v>
      </c>
      <c r="S37" s="6" t="n">
        <v>0.4</v>
      </c>
      <c r="T37" s="6" t="n">
        <v>0.4</v>
      </c>
      <c r="U37" t="inlineStr">
        <is>
          <t>53%/10/19</t>
        </is>
      </c>
      <c r="V37" t="n">
        <v>-4</v>
      </c>
      <c r="X37">
        <f>IFERROR(INDEX(Calc!$AH$2:$AH$43,MATCH($Y37,Calc!$A$2:$A$43,0)),"")</f>
        <v/>
      </c>
      <c r="Y37" t="inlineStr">
        <is>
          <t>n4f7lv5wvxndbnw|LOL · TES vs BLG</t>
        </is>
      </c>
      <c r="Z37" t="inlineStr">
        <is>
          <t>K12</t>
        </is>
      </c>
      <c r="AA37">
        <f>Y37&amp;"|"&amp;Z37</f>
        <v/>
      </c>
    </row>
    <row r="38">
      <c r="A38" t="inlineStr">
        <is>
          <t>LOL · TES vs BLG</t>
        </is>
      </c>
      <c r="B38" t="inlineStr">
        <is>
          <t>ON</t>
        </is>
      </c>
      <c r="C38" t="inlineStr">
        <is>
          <t>BLG</t>
        </is>
      </c>
      <c r="D38" t="inlineStr">
        <is>
          <t>Maps 1-2 Kills</t>
        </is>
      </c>
      <c r="E38" t="n">
        <v>1.5</v>
      </c>
      <c r="F38" s="7">
        <f>IFERROR(INDEX(CHOOSE(MATCH($Z38,{"K1","K12","K13"},0),Calc!$Y$2:$Y$43,Calc!$AA$2:$AA$43,Calc!$AC$2:$AC$43),MATCH($Y38,Calc!$A$2:$A$43,0)),"")</f>
        <v/>
      </c>
      <c r="G38" s="7">
        <f>IFERROR(SQRT(INDEX(CHOOSE(MATCH($Z38,{"K1","K12","K13"},0),Calc!$Z$2:$Z$43,Calc!$AB$2:$AB$43,Calc!$AD$2:$AD$43),MATCH($Y38,Calc!$A$2:$A$43,0))),"")</f>
        <v/>
      </c>
      <c r="H38" s="6">
        <f>IF(OR($E38="",$F38="",N($G38)&lt;=0),"",1-NORMDIST(FLOOR($E38,1)+0.5,$F38,$G38,TRUE))</f>
        <v/>
      </c>
      <c r="I38" s="6">
        <f>IF($H38="","",NORMDIST(CEILING($E38,1)-0.5,$F38,$G38,TRUE))</f>
        <v/>
      </c>
      <c r="J38" s="6">
        <f>IF($H38="","",MAX(0,1-$H38-$I38))</f>
        <v/>
      </c>
      <c r="K38">
        <f>IF($H38="","",IF($H38&gt;=0.5+Config!$B$8,"OVER",IF($I38&gt;=0.5+Config!$B$8,"UNDER","—")))</f>
        <v/>
      </c>
      <c r="L38" s="7">
        <f>IFERROR(INDEX(CHOOSE(MATCH($Z38,{"K1","K12","K13"},0),Calc!$AE$2:$AE$43,Calc!$AF$2:$AF$43,Calc!$AG$2:$AG$43),MATCH($Y38,Calc!$A$2:$A$43,0)),"")</f>
        <v/>
      </c>
      <c r="M38" s="6">
        <f>IF(OR($E38="",$L38="",N($G38)&lt;=0),"",1-NORMDIST(FLOOR($E38,1)+0.5,$L38,$G38*SQRT($L38/$F38),TRUE))</f>
        <v/>
      </c>
      <c r="O38" s="6">
        <f>IFERROR(INDEX(Calc!$H$2:$H$43,MATCH($Y38,Calc!$A$2:$A$43,0)),"")</f>
        <v/>
      </c>
      <c r="P38" s="6">
        <f>IFERROR(INDEX(Calc!$M$2:$M$43,MATCH($Y38,Calc!$A$2:$A$43,0)),"")</f>
        <v/>
      </c>
      <c r="Q38" t="n">
        <v>1.2</v>
      </c>
      <c r="R38" s="6" t="n">
        <v>0.6</v>
      </c>
      <c r="S38" s="6" t="n">
        <v>0.4</v>
      </c>
      <c r="T38" s="6" t="n">
        <v>0.6</v>
      </c>
      <c r="U38" t="inlineStr">
        <is>
          <t>63%/12/19</t>
        </is>
      </c>
      <c r="V38" t="n">
        <v>-2</v>
      </c>
      <c r="X38">
        <f>IFERROR(INDEX(Calc!$AH$2:$AH$43,MATCH($Y38,Calc!$A$2:$A$43,0)),"")</f>
        <v/>
      </c>
      <c r="Y38" t="inlineStr">
        <is>
          <t>rxzjxi7ziezffrs|LOL · TES vs BLG</t>
        </is>
      </c>
      <c r="Z38" t="inlineStr">
        <is>
          <t>K12</t>
        </is>
      </c>
      <c r="AA38">
        <f>Y38&amp;"|"&amp;Z38</f>
        <v/>
      </c>
    </row>
    <row r="39">
      <c r="A39" t="inlineStr">
        <is>
          <t>LOL · TES vs BLG</t>
        </is>
      </c>
      <c r="B39" t="inlineStr">
        <is>
          <t>Viper</t>
        </is>
      </c>
      <c r="C39" t="inlineStr">
        <is>
          <t>BLG</t>
        </is>
      </c>
      <c r="D39" t="inlineStr">
        <is>
          <t>Maps 1-2 Kills</t>
        </is>
      </c>
      <c r="E39" t="n">
        <v>10</v>
      </c>
      <c r="F39" s="7">
        <f>IFERROR(INDEX(CHOOSE(MATCH($Z39,{"K1","K12","K13"},0),Calc!$Y$2:$Y$43,Calc!$AA$2:$AA$43,Calc!$AC$2:$AC$43),MATCH($Y39,Calc!$A$2:$A$43,0)),"")</f>
        <v/>
      </c>
      <c r="G39" s="7">
        <f>IFERROR(SQRT(INDEX(CHOOSE(MATCH($Z39,{"K1","K12","K13"},0),Calc!$Z$2:$Z$43,Calc!$AB$2:$AB$43,Calc!$AD$2:$AD$43),MATCH($Y39,Calc!$A$2:$A$43,0))),"")</f>
        <v/>
      </c>
      <c r="H39" s="6">
        <f>IF(OR($E39="",$F39="",N($G39)&lt;=0),"",1-NORMDIST(FLOOR($E39,1)+0.5,$F39,$G39,TRUE))</f>
        <v/>
      </c>
      <c r="I39" s="6">
        <f>IF($H39="","",NORMDIST(CEILING($E39,1)-0.5,$F39,$G39,TRUE))</f>
        <v/>
      </c>
      <c r="J39" s="6">
        <f>IF($H39="","",MAX(0,1-$H39-$I39))</f>
        <v/>
      </c>
      <c r="K39">
        <f>IF($H39="","",IF($H39&gt;=0.5+Config!$B$8,"OVER",IF($I39&gt;=0.5+Config!$B$8,"UNDER","—")))</f>
        <v/>
      </c>
      <c r="L39" s="7">
        <f>IFERROR(INDEX(CHOOSE(MATCH($Z39,{"K1","K12","K13"},0),Calc!$AE$2:$AE$43,Calc!$AF$2:$AF$43,Calc!$AG$2:$AG$43),MATCH($Y39,Calc!$A$2:$A$43,0)),"")</f>
        <v/>
      </c>
      <c r="M39" s="6">
        <f>IF(OR($E39="",$L39="",N($G39)&lt;=0),"",1-NORMDIST(FLOOR($E39,1)+0.5,$L39,$G39*SQRT($L39/$F39),TRUE))</f>
        <v/>
      </c>
      <c r="O39" s="6">
        <f>IFERROR(INDEX(Calc!$H$2:$H$43,MATCH($Y39,Calc!$A$2:$A$43,0)),"")</f>
        <v/>
      </c>
      <c r="P39" s="6">
        <f>IFERROR(INDEX(Calc!$M$2:$M$43,MATCH($Y39,Calc!$A$2:$A$43,0)),"")</f>
        <v/>
      </c>
      <c r="Q39" t="n">
        <v>11.7</v>
      </c>
      <c r="R39" s="6" t="n">
        <v>0.6</v>
      </c>
      <c r="S39" s="6" t="n">
        <v>0.8</v>
      </c>
      <c r="T39" s="6" t="n">
        <v>0.67</v>
      </c>
      <c r="U39" t="inlineStr">
        <is>
          <t>89%/8/9</t>
        </is>
      </c>
      <c r="V39" t="n">
        <v>-2</v>
      </c>
      <c r="W39" t="n">
        <v>0</v>
      </c>
      <c r="X39">
        <f>IFERROR(INDEX(Calc!$AH$2:$AH$43,MATCH($Y39,Calc!$A$2:$A$43,0)),"")</f>
        <v/>
      </c>
      <c r="Y39" t="inlineStr">
        <is>
          <t>ik18oe6e112nifa|LOL · TES vs BLG</t>
        </is>
      </c>
      <c r="Z39" t="inlineStr">
        <is>
          <t>K12</t>
        </is>
      </c>
      <c r="AA39">
        <f>Y39&amp;"|"&amp;Z39</f>
        <v/>
      </c>
    </row>
    <row r="40">
      <c r="A40" t="inlineStr">
        <is>
          <t>LOL · TES vs BLG</t>
        </is>
      </c>
      <c r="B40" t="inlineStr">
        <is>
          <t>XUN</t>
        </is>
      </c>
      <c r="C40" t="inlineStr">
        <is>
          <t>BLG</t>
        </is>
      </c>
      <c r="D40" t="inlineStr">
        <is>
          <t>Maps 1-2 Kills</t>
        </is>
      </c>
      <c r="E40" t="n">
        <v>6.5</v>
      </c>
      <c r="F40" s="7">
        <f>IFERROR(INDEX(CHOOSE(MATCH($Z40,{"K1","K12","K13"},0),Calc!$Y$2:$Y$43,Calc!$AA$2:$AA$43,Calc!$AC$2:$AC$43),MATCH($Y40,Calc!$A$2:$A$43,0)),"")</f>
        <v/>
      </c>
      <c r="G40" s="7">
        <f>IFERROR(SQRT(INDEX(CHOOSE(MATCH($Z40,{"K1","K12","K13"},0),Calc!$Z$2:$Z$43,Calc!$AB$2:$AB$43,Calc!$AD$2:$AD$43),MATCH($Y40,Calc!$A$2:$A$43,0))),"")</f>
        <v/>
      </c>
      <c r="H40" s="6">
        <f>IF(OR($E40="",$F40="",N($G40)&lt;=0),"",1-NORMDIST(FLOOR($E40,1)+0.5,$F40,$G40,TRUE))</f>
        <v/>
      </c>
      <c r="I40" s="6">
        <f>IF($H40="","",NORMDIST(CEILING($E40,1)-0.5,$F40,$G40,TRUE))</f>
        <v/>
      </c>
      <c r="J40" s="6">
        <f>IF($H40="","",MAX(0,1-$H40-$I40))</f>
        <v/>
      </c>
      <c r="K40">
        <f>IF($H40="","",IF($H40&gt;=0.5+Config!$B$8,"OVER",IF($I40&gt;=0.5+Config!$B$8,"UNDER","—")))</f>
        <v/>
      </c>
      <c r="L40" s="7">
        <f>IFERROR(INDEX(CHOOSE(MATCH($Z40,{"K1","K12","K13"},0),Calc!$AE$2:$AE$43,Calc!$AF$2:$AF$43,Calc!$AG$2:$AG$43),MATCH($Y40,Calc!$A$2:$A$43,0)),"")</f>
        <v/>
      </c>
      <c r="M40" s="6">
        <f>IF(OR($E40="",$L40="",N($G40)&lt;=0),"",1-NORMDIST(FLOOR($E40,1)+0.5,$L40,$G40*SQRT($L40/$F40),TRUE))</f>
        <v/>
      </c>
      <c r="O40" s="6">
        <f>IFERROR(INDEX(Calc!$H$2:$H$43,MATCH($Y40,Calc!$A$2:$A$43,0)),"")</f>
        <v/>
      </c>
      <c r="P40" s="6">
        <f>IFERROR(INDEX(Calc!$M$2:$M$43,MATCH($Y40,Calc!$A$2:$A$43,0)),"")</f>
        <v/>
      </c>
      <c r="Q40" t="n">
        <v>8.300000000000001</v>
      </c>
      <c r="R40" s="6" t="n">
        <v>0.6</v>
      </c>
      <c r="S40" s="6" t="n">
        <v>0.6</v>
      </c>
      <c r="T40" s="6" t="n">
        <v>0.67</v>
      </c>
      <c r="U40" t="inlineStr">
        <is>
          <t>33%/5/15</t>
        </is>
      </c>
      <c r="V40" t="n">
        <v>-1</v>
      </c>
      <c r="X40">
        <f>IFERROR(INDEX(Calc!$AH$2:$AH$43,MATCH($Y40,Calc!$A$2:$A$43,0)),"")</f>
        <v/>
      </c>
      <c r="Y40" t="inlineStr">
        <is>
          <t>3565cqfb2f3cq21|LOL · TES vs BLG</t>
        </is>
      </c>
      <c r="Z40" t="inlineStr">
        <is>
          <t>K12</t>
        </is>
      </c>
      <c r="AA40">
        <f>Y40&amp;"|"&amp;Z40</f>
        <v/>
      </c>
    </row>
    <row r="41">
      <c r="A41" t="inlineStr">
        <is>
          <t>LOL · TES vs BLG</t>
        </is>
      </c>
      <c r="B41" t="inlineStr">
        <is>
          <t>369</t>
        </is>
      </c>
      <c r="C41" t="inlineStr">
        <is>
          <t>TES</t>
        </is>
      </c>
      <c r="D41" t="inlineStr">
        <is>
          <t>Maps 1-2 Kills</t>
        </is>
      </c>
      <c r="E41" t="n">
        <v>3.5</v>
      </c>
      <c r="F41" s="7">
        <f>IFERROR(INDEX(CHOOSE(MATCH($Z41,{"K1","K12","K13"},0),Calc!$Y$2:$Y$43,Calc!$AA$2:$AA$43,Calc!$AC$2:$AC$43),MATCH($Y41,Calc!$A$2:$A$43,0)),"")</f>
        <v/>
      </c>
      <c r="G41" s="7">
        <f>IFERROR(SQRT(INDEX(CHOOSE(MATCH($Z41,{"K1","K12","K13"},0),Calc!$Z$2:$Z$43,Calc!$AB$2:$AB$43,Calc!$AD$2:$AD$43),MATCH($Y41,Calc!$A$2:$A$43,0))),"")</f>
        <v/>
      </c>
      <c r="H41" s="6">
        <f>IF(OR($E41="",$F41="",N($G41)&lt;=0),"",1-NORMDIST(FLOOR($E41,1)+0.5,$F41,$G41,TRUE))</f>
        <v/>
      </c>
      <c r="I41" s="6">
        <f>IF($H41="","",NORMDIST(CEILING($E41,1)-0.5,$F41,$G41,TRUE))</f>
        <v/>
      </c>
      <c r="J41" s="6">
        <f>IF($H41="","",MAX(0,1-$H41-$I41))</f>
        <v/>
      </c>
      <c r="K41">
        <f>IF($H41="","",IF($H41&gt;=0.5+Config!$B$8,"OVER",IF($I41&gt;=0.5+Config!$B$8,"UNDER","—")))</f>
        <v/>
      </c>
      <c r="L41" s="7">
        <f>IFERROR(INDEX(CHOOSE(MATCH($Z41,{"K1","K12","K13"},0),Calc!$AE$2:$AE$43,Calc!$AF$2:$AF$43,Calc!$AG$2:$AG$43),MATCH($Y41,Calc!$A$2:$A$43,0)),"")</f>
        <v/>
      </c>
      <c r="M41" s="6">
        <f>IF(OR($E41="",$L41="",N($G41)&lt;=0),"",1-NORMDIST(FLOOR($E41,1)+0.5,$L41,$G41*SQRT($L41/$F41),TRUE))</f>
        <v/>
      </c>
      <c r="O41" s="6">
        <f>IFERROR(INDEX(Calc!$H$2:$H$43,MATCH($Y41,Calc!$A$2:$A$43,0)),"")</f>
        <v/>
      </c>
      <c r="P41" s="6">
        <f>IFERROR(INDEX(Calc!$M$2:$M$43,MATCH($Y41,Calc!$A$2:$A$43,0)),"")</f>
        <v/>
      </c>
      <c r="Q41" t="n">
        <v>4.4</v>
      </c>
      <c r="R41" s="6" t="n">
        <v>0.8</v>
      </c>
      <c r="S41" s="6" t="n">
        <v>0.6</v>
      </c>
      <c r="T41" s="6" t="n">
        <v>0.53</v>
      </c>
      <c r="U41" t="inlineStr">
        <is>
          <t>67%/10/15</t>
        </is>
      </c>
      <c r="V41" t="n">
        <v>2</v>
      </c>
      <c r="X41">
        <f>IFERROR(INDEX(Calc!$AH$2:$AH$43,MATCH($Y41,Calc!$A$2:$A$43,0)),"")</f>
        <v/>
      </c>
      <c r="Y41" t="inlineStr">
        <is>
          <t>d5dp09jubk87gzq|LOL · TES vs BLG</t>
        </is>
      </c>
      <c r="Z41" t="inlineStr">
        <is>
          <t>K12</t>
        </is>
      </c>
      <c r="AA41">
        <f>Y41&amp;"|"&amp;Z41</f>
        <v/>
      </c>
    </row>
    <row r="42">
      <c r="A42" t="inlineStr">
        <is>
          <t>LOL · TES vs BLG</t>
        </is>
      </c>
      <c r="B42" t="inlineStr">
        <is>
          <t>Creme</t>
        </is>
      </c>
      <c r="C42" t="inlineStr">
        <is>
          <t>TES</t>
        </is>
      </c>
      <c r="D42" t="inlineStr">
        <is>
          <t>Maps 1-2 Kills</t>
        </is>
      </c>
      <c r="E42" t="n">
        <v>5.5</v>
      </c>
      <c r="F42" s="7">
        <f>IFERROR(INDEX(CHOOSE(MATCH($Z42,{"K1","K12","K13"},0),Calc!$Y$2:$Y$43,Calc!$AA$2:$AA$43,Calc!$AC$2:$AC$43),MATCH($Y42,Calc!$A$2:$A$43,0)),"")</f>
        <v/>
      </c>
      <c r="G42" s="7">
        <f>IFERROR(SQRT(INDEX(CHOOSE(MATCH($Z42,{"K1","K12","K13"},0),Calc!$Z$2:$Z$43,Calc!$AB$2:$AB$43,Calc!$AD$2:$AD$43),MATCH($Y42,Calc!$A$2:$A$43,0))),"")</f>
        <v/>
      </c>
      <c r="H42" s="6">
        <f>IF(OR($E42="",$F42="",N($G42)&lt;=0),"",1-NORMDIST(FLOOR($E42,1)+0.5,$F42,$G42,TRUE))</f>
        <v/>
      </c>
      <c r="I42" s="6">
        <f>IF($H42="","",NORMDIST(CEILING($E42,1)-0.5,$F42,$G42,TRUE))</f>
        <v/>
      </c>
      <c r="J42" s="6">
        <f>IF($H42="","",MAX(0,1-$H42-$I42))</f>
        <v/>
      </c>
      <c r="K42">
        <f>IF($H42="","",IF($H42&gt;=0.5+Config!$B$8,"OVER",IF($I42&gt;=0.5+Config!$B$8,"UNDER","—")))</f>
        <v/>
      </c>
      <c r="L42" s="7">
        <f>IFERROR(INDEX(CHOOSE(MATCH($Z42,{"K1","K12","K13"},0),Calc!$AE$2:$AE$43,Calc!$AF$2:$AF$43,Calc!$AG$2:$AG$43),MATCH($Y42,Calc!$A$2:$A$43,0)),"")</f>
        <v/>
      </c>
      <c r="M42" s="6">
        <f>IF(OR($E42="",$L42="",N($G42)&lt;=0),"",1-NORMDIST(FLOOR($E42,1)+0.5,$L42,$G42*SQRT($L42/$F42),TRUE))</f>
        <v/>
      </c>
      <c r="O42" s="6">
        <f>IFERROR(INDEX(Calc!$H$2:$H$43,MATCH($Y42,Calc!$A$2:$A$43,0)),"")</f>
        <v/>
      </c>
      <c r="P42" s="6">
        <f>IFERROR(INDEX(Calc!$M$2:$M$43,MATCH($Y42,Calc!$A$2:$A$43,0)),"")</f>
        <v/>
      </c>
      <c r="Q42" t="n">
        <v>6.7</v>
      </c>
      <c r="R42" s="6" t="n">
        <v>0.4</v>
      </c>
      <c r="S42" s="6" t="n">
        <v>0.6</v>
      </c>
      <c r="T42" s="6" t="n">
        <v>0.6</v>
      </c>
      <c r="U42" t="inlineStr">
        <is>
          <t>50%/10/20</t>
        </is>
      </c>
      <c r="V42" t="n">
        <v>1</v>
      </c>
      <c r="X42">
        <f>IFERROR(INDEX(Calc!$AH$2:$AH$43,MATCH($Y42,Calc!$A$2:$A$43,0)),"")</f>
        <v/>
      </c>
      <c r="Y42" t="inlineStr">
        <is>
          <t>2lm5kmu2jy1q4aj|LOL · TES vs BLG</t>
        </is>
      </c>
      <c r="Z42" t="inlineStr">
        <is>
          <t>K12</t>
        </is>
      </c>
      <c r="AA42">
        <f>Y42&amp;"|"&amp;Z42</f>
        <v/>
      </c>
    </row>
    <row r="43">
      <c r="A43" t="inlineStr">
        <is>
          <t>LOL · TES vs BLG</t>
        </is>
      </c>
      <c r="B43" t="inlineStr">
        <is>
          <t>JackeyLove</t>
        </is>
      </c>
      <c r="C43" t="inlineStr">
        <is>
          <t>TES</t>
        </is>
      </c>
      <c r="D43" t="inlineStr">
        <is>
          <t>Maps 1-2 Kills</t>
        </is>
      </c>
      <c r="E43" t="n">
        <v>6.5</v>
      </c>
      <c r="F43" s="7">
        <f>IFERROR(INDEX(CHOOSE(MATCH($Z43,{"K1","K12","K13"},0),Calc!$Y$2:$Y$43,Calc!$AA$2:$AA$43,Calc!$AC$2:$AC$43),MATCH($Y43,Calc!$A$2:$A$43,0)),"")</f>
        <v/>
      </c>
      <c r="G43" s="7">
        <f>IFERROR(SQRT(INDEX(CHOOSE(MATCH($Z43,{"K1","K12","K13"},0),Calc!$Z$2:$Z$43,Calc!$AB$2:$AB$43,Calc!$AD$2:$AD$43),MATCH($Y43,Calc!$A$2:$A$43,0))),"")</f>
        <v/>
      </c>
      <c r="H43" s="6">
        <f>IF(OR($E43="",$F43="",N($G43)&lt;=0),"",1-NORMDIST(FLOOR($E43,1)+0.5,$F43,$G43,TRUE))</f>
        <v/>
      </c>
      <c r="I43" s="6">
        <f>IF($H43="","",NORMDIST(CEILING($E43,1)-0.5,$F43,$G43,TRUE))</f>
        <v/>
      </c>
      <c r="J43" s="6">
        <f>IF($H43="","",MAX(0,1-$H43-$I43))</f>
        <v/>
      </c>
      <c r="K43">
        <f>IF($H43="","",IF($H43&gt;=0.5+Config!$B$8,"OVER",IF($I43&gt;=0.5+Config!$B$8,"UNDER","—")))</f>
        <v/>
      </c>
      <c r="L43" s="7">
        <f>IFERROR(INDEX(CHOOSE(MATCH($Z43,{"K1","K12","K13"},0),Calc!$AE$2:$AE$43,Calc!$AF$2:$AF$43,Calc!$AG$2:$AG$43),MATCH($Y43,Calc!$A$2:$A$43,0)),"")</f>
        <v/>
      </c>
      <c r="M43" s="6">
        <f>IF(OR($E43="",$L43="",N($G43)&lt;=0),"",1-NORMDIST(FLOOR($E43,1)+0.5,$L43,$G43*SQRT($L43/$F43),TRUE))</f>
        <v/>
      </c>
      <c r="O43" s="6">
        <f>IFERROR(INDEX(Calc!$H$2:$H$43,MATCH($Y43,Calc!$A$2:$A$43,0)),"")</f>
        <v/>
      </c>
      <c r="P43" s="6">
        <f>IFERROR(INDEX(Calc!$M$2:$M$43,MATCH($Y43,Calc!$A$2:$A$43,0)),"")</f>
        <v/>
      </c>
      <c r="Q43" t="n">
        <v>7.3</v>
      </c>
      <c r="R43" s="6" t="n">
        <v>0.2</v>
      </c>
      <c r="S43" s="6" t="n">
        <v>0.4</v>
      </c>
      <c r="T43" s="6" t="n">
        <v>0.47</v>
      </c>
      <c r="U43" t="inlineStr">
        <is>
          <t>44%/8/18</t>
        </is>
      </c>
      <c r="V43" t="n">
        <v>-2</v>
      </c>
      <c r="X43">
        <f>IFERROR(INDEX(Calc!$AH$2:$AH$43,MATCH($Y43,Calc!$A$2:$A$43,0)),"")</f>
        <v/>
      </c>
      <c r="Y43" t="inlineStr">
        <is>
          <t>0hu7hmd8ldnn97r|LOL · TES vs BLG</t>
        </is>
      </c>
      <c r="Z43" t="inlineStr">
        <is>
          <t>K12</t>
        </is>
      </c>
      <c r="AA43">
        <f>Y43&amp;"|"&amp;Z43</f>
        <v/>
      </c>
    </row>
  </sheetData>
  <autoFilter ref="A1:AA43"/>
  <conditionalFormatting sqref="H2:H43">
    <cfRule type="colorScale" priority="1">
      <colorScale>
        <cfvo type="num" val="0.3"/>
        <cfvo type="num" val="0.5"/>
        <cfvo type="num" val="0.7"/>
        <color rgb="00F8D7DA"/>
        <color rgb="00FFFFFF"/>
        <color rgb="00D1E7DD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8" customWidth="1" min="2" max="2"/>
    <col width="6" customWidth="1" min="3" max="3"/>
    <col width="12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</cols>
  <sheetData>
    <row r="1">
      <c r="A1" s="8" t="inlineStr">
        <is>
          <t>Key</t>
        </is>
      </c>
      <c r="B1" s="8" t="inlineStr">
        <is>
          <t>Match</t>
        </is>
      </c>
      <c r="C1" s="8" t="inlineStr">
        <is>
          <t>Team</t>
        </is>
      </c>
      <c r="D1" s="8" t="inlineStr">
        <is>
          <t>Player</t>
        </is>
      </c>
      <c r="E1" s="8" t="inlineStr">
        <is>
          <t>PID</t>
        </is>
      </c>
      <c r="F1" s="8" t="inlineStr">
        <is>
          <t>Side</t>
        </is>
      </c>
      <c r="G1" s="8" t="inlineStr">
        <is>
          <t>Maps n</t>
        </is>
      </c>
      <c r="H1" s="8" t="inlineStr">
        <is>
          <t>Win rate q</t>
        </is>
      </c>
      <c r="I1" s="8" t="inlineStr">
        <is>
          <t>K avg</t>
        </is>
      </c>
      <c r="J1" s="8" t="inlineStr">
        <is>
          <t>k win</t>
        </is>
      </c>
      <c r="K1" s="8" t="inlineStr">
        <is>
          <t>k loss</t>
        </is>
      </c>
      <c r="L1" s="8" t="inlineStr">
        <is>
          <t>Env</t>
        </is>
      </c>
      <c r="M1" s="8" t="inlineStr">
        <is>
          <t>M1 p win</t>
        </is>
      </c>
      <c r="N1" s="8" t="inlineStr">
        <is>
          <t>M1 p played</t>
        </is>
      </c>
      <c r="O1" s="8" t="inlineStr">
        <is>
          <t>M1 mean</t>
        </is>
      </c>
      <c r="P1" s="8" t="inlineStr">
        <is>
          <t>M1 var</t>
        </is>
      </c>
      <c r="Q1" s="8" t="inlineStr">
        <is>
          <t>M2 p win</t>
        </is>
      </c>
      <c r="R1" s="8" t="inlineStr">
        <is>
          <t>M2 p played</t>
        </is>
      </c>
      <c r="S1" s="8" t="inlineStr">
        <is>
          <t>M2 mean</t>
        </is>
      </c>
      <c r="T1" s="8" t="inlineStr">
        <is>
          <t>M2 var</t>
        </is>
      </c>
      <c r="U1" s="8" t="inlineStr">
        <is>
          <t>M3 p win</t>
        </is>
      </c>
      <c r="V1" s="8" t="inlineStr">
        <is>
          <t>M3 p played</t>
        </is>
      </c>
      <c r="W1" s="8" t="inlineStr">
        <is>
          <t>M3 mean</t>
        </is>
      </c>
      <c r="X1" s="8" t="inlineStr">
        <is>
          <t>M3 var</t>
        </is>
      </c>
      <c r="Y1" s="8" t="inlineStr">
        <is>
          <t>K1</t>
        </is>
      </c>
      <c r="Z1" s="8" t="inlineStr">
        <is>
          <t>K1 var</t>
        </is>
      </c>
      <c r="AA1" s="8" t="inlineStr">
        <is>
          <t>K12</t>
        </is>
      </c>
      <c r="AB1" s="8" t="inlineStr">
        <is>
          <t>K12 var</t>
        </is>
      </c>
      <c r="AC1" s="8" t="inlineStr">
        <is>
          <t>K13</t>
        </is>
      </c>
      <c r="AD1" s="8" t="inlineStr">
        <is>
          <t>K13 var</t>
        </is>
      </c>
      <c r="AE1" s="8" t="inlineStr">
        <is>
          <t>Naive K1</t>
        </is>
      </c>
      <c r="AF1" s="8" t="inlineStr">
        <is>
          <t>Naive K12</t>
        </is>
      </c>
      <c r="AG1" s="8" t="inlineStr">
        <is>
          <t>Naive K13</t>
        </is>
      </c>
      <c r="AH1" s="8" t="inlineStr">
        <is>
          <t>Flags</t>
        </is>
      </c>
      <c r="AI1" s="8" t="inlineStr">
        <is>
          <t>Board rank</t>
        </is>
      </c>
      <c r="AJ1" s="8" t="inlineStr">
        <is>
          <t>Series code</t>
        </is>
      </c>
      <c r="AK1" s="8" t="inlineStr">
        <is>
          <t>Series proj</t>
        </is>
      </c>
    </row>
    <row r="2">
      <c r="A2" t="inlineStr">
        <is>
          <t>qviujqdmb4jzi0q|DOTA · OG vs GL</t>
        </is>
      </c>
      <c r="B2" t="inlineStr">
        <is>
          <t>DOTA · OG vs GL</t>
        </is>
      </c>
      <c r="C2" t="inlineStr">
        <is>
          <t>GL</t>
        </is>
      </c>
      <c r="D2" t="inlineStr">
        <is>
          <t>Bignum</t>
        </is>
      </c>
      <c r="E2" t="inlineStr">
        <is>
          <t>qviujqdmb4jzi0q</t>
        </is>
      </c>
      <c r="F2">
        <f>IFERROR(IF($C2=INDEX(Matches!$S$5:$S$9,MATCH($B2,Matches!$A$5:$A$9,0)),"A",IF($C2=INDEX(Matches!$T$5:$T$9,MATCH($B2,Matches!$A$5:$A$9,0)),"B","")),"")</f>
        <v/>
      </c>
      <c r="G2">
        <f>IFERROR(INDEX(Players!$E$2:$E$43,MATCH($E2,Players!$A$2:$A$43,0)),0)</f>
        <v/>
      </c>
      <c r="H2" s="6">
        <f>IFERROR(INDEX(Players!$F$2:$F$43,MATCH($E2,Players!$A$2:$A$43,0)),"")</f>
        <v/>
      </c>
      <c r="I2">
        <f>IFERROR(INDEX(Players!$G$2:$G$43,MATCH($E2,Players!$A$2:$A$43,0)),"")</f>
        <v/>
      </c>
      <c r="J2" s="11">
        <f>IF(OR($I2="",$H2=""),"",$I2*IF(LEFT($B2,4)="DOTA",Config!$B$5,Config!$B$4)/($H2*IF(LEFT($B2,4)="DOTA",Config!$B$5,Config!$B$4)+1-$H2))</f>
        <v/>
      </c>
      <c r="K2" s="11">
        <f>IF(OR($I2="",$H2=""),"",$I2/($H2*IF(LEFT($B2,4)="DOTA",Config!$B$5,Config!$B$4)+1-$H2))</f>
        <v/>
      </c>
      <c r="L2">
        <f>IFERROR(INDEX(Matches!$R$5:$R$9,MATCH($B2,Matches!$A$5:$A$9,0)),1)</f>
        <v/>
      </c>
      <c r="M2" s="6">
        <f>IFERROR(IF(INDEX(Matches!$M$5:$M$9,MATCH($B2,Matches!$A$5:$A$9,0))="","",IF($F2="A",INDEX(Matches!$M$5:$M$9,MATCH($B2,Matches!$A$5:$A$9,0)),1-INDEX(Matches!$M$5:$M$9,MATCH($B2,Matches!$A$5:$A$9,0)))),"")</f>
        <v/>
      </c>
      <c r="N2">
        <f>1</f>
        <v/>
      </c>
      <c r="O2" s="11">
        <f>IF(OR($M2="",$J2=""),"",$L2*($M2*$J2+(1-$M2)*$K2))</f>
        <v/>
      </c>
      <c r="P2">
        <f>IF($O2="","",IF(LEFT($B2,4)="DOTA",Config!$B$7,Config!$B$6)*$O2+$L2^2*$M2*(1-$M2)*($J2-$K2)^2)</f>
        <v/>
      </c>
      <c r="Q2" s="6">
        <f>IFERROR(IF(INDEX(Matches!$N$5:$N$9,MATCH($B2,Matches!$A$5:$A$9,0))="","",IF($F2="A",INDEX(Matches!$N$5:$N$9,MATCH($B2,Matches!$A$5:$A$9,0)),1-INDEX(Matches!$N$5:$N$9,MATCH($B2,Matches!$A$5:$A$9,0)))),"")</f>
        <v/>
      </c>
      <c r="R2">
        <f>IFERROR(N(INDEX(Matches!$P$5:$P$9,MATCH($B2,Matches!$A$5:$A$9,0))),0)</f>
        <v/>
      </c>
      <c r="S2" s="11">
        <f>IF(OR($Q2="",$J2=""),"",$L2*($Q2*$J2+(1-$Q2)*$K2))</f>
        <v/>
      </c>
      <c r="T2">
        <f>IF($S2="","",IF(LEFT($B2,4)="DOTA",Config!$B$7,Config!$B$6)*$S2+$L2^2*$Q2*(1-$Q2)*($J2-$K2)^2)</f>
        <v/>
      </c>
      <c r="U2" s="6">
        <f>IFERROR(IF(INDEX(Matches!$O$5:$O$9,MATCH($B2,Matches!$A$5:$A$9,0))="","",IF($F2="A",INDEX(Matches!$O$5:$O$9,MATCH($B2,Matches!$A$5:$A$9,0)),1-INDEX(Matches!$O$5:$O$9,MATCH($B2,Matches!$A$5:$A$9,0)))),"")</f>
        <v/>
      </c>
      <c r="V2">
        <f>IFERROR(N(INDEX(Matches!$Q$5:$Q$9,MATCH($B2,Matches!$A$5:$A$9,0))),0)</f>
        <v/>
      </c>
      <c r="W2" s="11">
        <f>IF(OR($U2="",$J2=""),"",$L2*($U2*$J2+(1-$U2)*$K2))</f>
        <v/>
      </c>
      <c r="X2">
        <f>IF($W2="","",IF(LEFT($B2,4)="DOTA",Config!$B$7,Config!$B$6)*$W2+$L2^2*$U2*(1-$U2)*($J2-$K2)^2)</f>
        <v/>
      </c>
      <c r="Y2" s="11">
        <f>IF($O2="","",$O2)</f>
        <v/>
      </c>
      <c r="Z2">
        <f>IF($P2="","",$P2)</f>
        <v/>
      </c>
      <c r="AA2" s="11">
        <f>IF($O2="","",N($N2)*N($O2)+N($R2)*N($S2))</f>
        <v/>
      </c>
      <c r="AB2">
        <f>IF($O2="","",(N($N2)*N($P2)+N($N2)*(1-N($N2))*N($O2)^2)+(N($R2)*N($T2)+N($R2)*(1-N($R2))*N($S2)^2))</f>
        <v/>
      </c>
      <c r="AC2" s="11">
        <f>IF($O2="","",N($N2)*N($O2)+N($R2)*N($S2)+N($V2)*N($W2))</f>
        <v/>
      </c>
      <c r="AD2">
        <f>IF($O2="","",(N($N2)*N($P2)+N($N2)*(1-N($N2))*N($O2)^2)+(N($R2)*N($T2)+N($R2)*(1-N($R2))*N($S2)^2)+(N($V2)*N($X2)+N($V2)*(1-N($V2))*N($W2)^2))</f>
        <v/>
      </c>
      <c r="AE2" s="11">
        <f>IF($I2="","",$I2*$L2)</f>
        <v/>
      </c>
      <c r="AF2" s="11">
        <f>IF($I2="","",$I2*$L2*(1+N($R2)))</f>
        <v/>
      </c>
      <c r="AG2" s="11">
        <f>IF($I2="","",$I2*$L2*(1+N($R2)+N($V2)))</f>
        <v/>
      </c>
      <c r="AH2">
        <f>TRIM(IF($G2&lt;Config!$B$9,"thin sample ("&amp;$G2&amp;" maps) · ","")&amp;IF($I2="","no PickFinder stats · ","")&amp;IFERROR(IF(INDEX(Players!$T$2:$T$43,MATCH($E2,Players!$A$2:$A$43,0))&lt;0.5,"new roster: "&amp;TEXT(INDEX(Players!$T$2:$T$43,MATCH($E2,Players!$A$2:$A$43,0)),"0%")&amp;" of his recent games with these teammates",""),""))</f>
        <v/>
      </c>
      <c r="AI2">
        <f>IF($B2=Board!$B$2,COUNTIFS($B$2:$B$43,Board!$B$2,$Y$2:$Y$43,"&gt;"&amp;$Y2)+COUNTIFS($B$1:$B1,Board!$B$2,$Y$1:$Y1,$Y2)+1,"")</f>
        <v/>
      </c>
      <c r="AJ2">
        <f>IFERROR(IF(INDEX(Matches!$D$5:$D$9,MATCH($B2,Matches!$A$5:$A$9,0))=3,"K12","K13"),"K13")</f>
        <v/>
      </c>
      <c r="AK2" s="11">
        <f>IF($AJ2="K12",$AA2,$AC2)</f>
        <v/>
      </c>
    </row>
    <row r="3">
      <c r="A3" t="inlineStr">
        <is>
          <t>7f340lwfa48ats4|DOTA · OG vs GL</t>
        </is>
      </c>
      <c r="B3" t="inlineStr">
        <is>
          <t>DOTA · OG vs GL</t>
        </is>
      </c>
      <c r="C3" t="inlineStr">
        <is>
          <t>GL</t>
        </is>
      </c>
      <c r="D3" t="inlineStr">
        <is>
          <t>Fayde</t>
        </is>
      </c>
      <c r="E3" t="inlineStr">
        <is>
          <t>7f340lwfa48ats4</t>
        </is>
      </c>
      <c r="F3">
        <f>IFERROR(IF($C3=INDEX(Matches!$S$5:$S$9,MATCH($B3,Matches!$A$5:$A$9,0)),"A",IF($C3=INDEX(Matches!$T$5:$T$9,MATCH($B3,Matches!$A$5:$A$9,0)),"B","")),"")</f>
        <v/>
      </c>
      <c r="G3">
        <f>IFERROR(INDEX(Players!$E$2:$E$43,MATCH($E3,Players!$A$2:$A$43,0)),0)</f>
        <v/>
      </c>
      <c r="H3" s="6">
        <f>IFERROR(INDEX(Players!$F$2:$F$43,MATCH($E3,Players!$A$2:$A$43,0)),"")</f>
        <v/>
      </c>
      <c r="I3">
        <f>IFERROR(INDEX(Players!$G$2:$G$43,MATCH($E3,Players!$A$2:$A$43,0)),"")</f>
        <v/>
      </c>
      <c r="J3" s="11">
        <f>IF(OR($I3="",$H3=""),"",$I3*IF(LEFT($B3,4)="DOTA",Config!$B$5,Config!$B$4)/($H3*IF(LEFT($B3,4)="DOTA",Config!$B$5,Config!$B$4)+1-$H3))</f>
        <v/>
      </c>
      <c r="K3" s="11">
        <f>IF(OR($I3="",$H3=""),"",$I3/($H3*IF(LEFT($B3,4)="DOTA",Config!$B$5,Config!$B$4)+1-$H3))</f>
        <v/>
      </c>
      <c r="L3">
        <f>IFERROR(INDEX(Matches!$R$5:$R$9,MATCH($B3,Matches!$A$5:$A$9,0)),1)</f>
        <v/>
      </c>
      <c r="M3" s="6">
        <f>IFERROR(IF(INDEX(Matches!$M$5:$M$9,MATCH($B3,Matches!$A$5:$A$9,0))="","",IF($F3="A",INDEX(Matches!$M$5:$M$9,MATCH($B3,Matches!$A$5:$A$9,0)),1-INDEX(Matches!$M$5:$M$9,MATCH($B3,Matches!$A$5:$A$9,0)))),"")</f>
        <v/>
      </c>
      <c r="N3">
        <f>1</f>
        <v/>
      </c>
      <c r="O3" s="11">
        <f>IF(OR($M3="",$J3=""),"",$L3*($M3*$J3+(1-$M3)*$K3))</f>
        <v/>
      </c>
      <c r="P3">
        <f>IF($O3="","",IF(LEFT($B3,4)="DOTA",Config!$B$7,Config!$B$6)*$O3+$L3^2*$M3*(1-$M3)*($J3-$K3)^2)</f>
        <v/>
      </c>
      <c r="Q3" s="6">
        <f>IFERROR(IF(INDEX(Matches!$N$5:$N$9,MATCH($B3,Matches!$A$5:$A$9,0))="","",IF($F3="A",INDEX(Matches!$N$5:$N$9,MATCH($B3,Matches!$A$5:$A$9,0)),1-INDEX(Matches!$N$5:$N$9,MATCH($B3,Matches!$A$5:$A$9,0)))),"")</f>
        <v/>
      </c>
      <c r="R3">
        <f>IFERROR(N(INDEX(Matches!$P$5:$P$9,MATCH($B3,Matches!$A$5:$A$9,0))),0)</f>
        <v/>
      </c>
      <c r="S3" s="11">
        <f>IF(OR($Q3="",$J3=""),"",$L3*($Q3*$J3+(1-$Q3)*$K3))</f>
        <v/>
      </c>
      <c r="T3">
        <f>IF($S3="","",IF(LEFT($B3,4)="DOTA",Config!$B$7,Config!$B$6)*$S3+$L3^2*$Q3*(1-$Q3)*($J3-$K3)^2)</f>
        <v/>
      </c>
      <c r="U3" s="6">
        <f>IFERROR(IF(INDEX(Matches!$O$5:$O$9,MATCH($B3,Matches!$A$5:$A$9,0))="","",IF($F3="A",INDEX(Matches!$O$5:$O$9,MATCH($B3,Matches!$A$5:$A$9,0)),1-INDEX(Matches!$O$5:$O$9,MATCH($B3,Matches!$A$5:$A$9,0)))),"")</f>
        <v/>
      </c>
      <c r="V3">
        <f>IFERROR(N(INDEX(Matches!$Q$5:$Q$9,MATCH($B3,Matches!$A$5:$A$9,0))),0)</f>
        <v/>
      </c>
      <c r="W3" s="11">
        <f>IF(OR($U3="",$J3=""),"",$L3*($U3*$J3+(1-$U3)*$K3))</f>
        <v/>
      </c>
      <c r="X3">
        <f>IF($W3="","",IF(LEFT($B3,4)="DOTA",Config!$B$7,Config!$B$6)*$W3+$L3^2*$U3*(1-$U3)*($J3-$K3)^2)</f>
        <v/>
      </c>
      <c r="Y3" s="11">
        <f>IF($O3="","",$O3)</f>
        <v/>
      </c>
      <c r="Z3">
        <f>IF($P3="","",$P3)</f>
        <v/>
      </c>
      <c r="AA3" s="11">
        <f>IF($O3="","",N($N3)*N($O3)+N($R3)*N($S3))</f>
        <v/>
      </c>
      <c r="AB3">
        <f>IF($O3="","",(N($N3)*N($P3)+N($N3)*(1-N($N3))*N($O3)^2)+(N($R3)*N($T3)+N($R3)*(1-N($R3))*N($S3)^2))</f>
        <v/>
      </c>
      <c r="AC3" s="11">
        <f>IF($O3="","",N($N3)*N($O3)+N($R3)*N($S3)+N($V3)*N($W3))</f>
        <v/>
      </c>
      <c r="AD3">
        <f>IF($O3="","",(N($N3)*N($P3)+N($N3)*(1-N($N3))*N($O3)^2)+(N($R3)*N($T3)+N($R3)*(1-N($R3))*N($S3)^2)+(N($V3)*N($X3)+N($V3)*(1-N($V3))*N($W3)^2))</f>
        <v/>
      </c>
      <c r="AE3" s="11">
        <f>IF($I3="","",$I3*$L3)</f>
        <v/>
      </c>
      <c r="AF3" s="11">
        <f>IF($I3="","",$I3*$L3*(1+N($R3)))</f>
        <v/>
      </c>
      <c r="AG3" s="11">
        <f>IF($I3="","",$I3*$L3*(1+N($R3)+N($V3)))</f>
        <v/>
      </c>
      <c r="AH3">
        <f>TRIM(IF($G3&lt;Config!$B$9,"thin sample ("&amp;$G3&amp;" maps) · ","")&amp;IF($I3="","no PickFinder stats · ","")&amp;IFERROR(IF(INDEX(Players!$T$2:$T$43,MATCH($E3,Players!$A$2:$A$43,0))&lt;0.5,"new roster: "&amp;TEXT(INDEX(Players!$T$2:$T$43,MATCH($E3,Players!$A$2:$A$43,0)),"0%")&amp;" of his recent games with these teammates",""),""))</f>
        <v/>
      </c>
      <c r="AI3">
        <f>IF($B3=Board!$B$2,COUNTIFS($B$2:$B$43,Board!$B$2,$Y$2:$Y$43,"&gt;"&amp;$Y3)+COUNTIFS($B$1:$B2,Board!$B$2,$Y$1:$Y2,$Y3)+1,"")</f>
        <v/>
      </c>
      <c r="AJ3">
        <f>IFERROR(IF(INDEX(Matches!$D$5:$D$9,MATCH($B3,Matches!$A$5:$A$9,0))=3,"K12","K13"),"K13")</f>
        <v/>
      </c>
      <c r="AK3" s="11">
        <f>IF($AJ3="K12",$AA3,$AC3)</f>
        <v/>
      </c>
    </row>
    <row r="4">
      <c r="A4" t="inlineStr">
        <is>
          <t>3zaze8op521xnc4|DOTA · OG vs GL</t>
        </is>
      </c>
      <c r="B4" t="inlineStr">
        <is>
          <t>DOTA · OG vs GL</t>
        </is>
      </c>
      <c r="C4" t="inlineStr">
        <is>
          <t>GL</t>
        </is>
      </c>
      <c r="D4" t="inlineStr">
        <is>
          <t>RCY</t>
        </is>
      </c>
      <c r="E4" t="inlineStr">
        <is>
          <t>3zaze8op521xnc4</t>
        </is>
      </c>
      <c r="F4">
        <f>IFERROR(IF($C4=INDEX(Matches!$S$5:$S$9,MATCH($B4,Matches!$A$5:$A$9,0)),"A",IF($C4=INDEX(Matches!$T$5:$T$9,MATCH($B4,Matches!$A$5:$A$9,0)),"B","")),"")</f>
        <v/>
      </c>
      <c r="G4">
        <f>IFERROR(INDEX(Players!$E$2:$E$43,MATCH($E4,Players!$A$2:$A$43,0)),0)</f>
        <v/>
      </c>
      <c r="H4" s="6">
        <f>IFERROR(INDEX(Players!$F$2:$F$43,MATCH($E4,Players!$A$2:$A$43,0)),"")</f>
        <v/>
      </c>
      <c r="I4">
        <f>IFERROR(INDEX(Players!$G$2:$G$43,MATCH($E4,Players!$A$2:$A$43,0)),"")</f>
        <v/>
      </c>
      <c r="J4" s="11">
        <f>IF(OR($I4="",$H4=""),"",$I4*IF(LEFT($B4,4)="DOTA",Config!$B$5,Config!$B$4)/($H4*IF(LEFT($B4,4)="DOTA",Config!$B$5,Config!$B$4)+1-$H4))</f>
        <v/>
      </c>
      <c r="K4" s="11">
        <f>IF(OR($I4="",$H4=""),"",$I4/($H4*IF(LEFT($B4,4)="DOTA",Config!$B$5,Config!$B$4)+1-$H4))</f>
        <v/>
      </c>
      <c r="L4">
        <f>IFERROR(INDEX(Matches!$R$5:$R$9,MATCH($B4,Matches!$A$5:$A$9,0)),1)</f>
        <v/>
      </c>
      <c r="M4" s="6">
        <f>IFERROR(IF(INDEX(Matches!$M$5:$M$9,MATCH($B4,Matches!$A$5:$A$9,0))="","",IF($F4="A",INDEX(Matches!$M$5:$M$9,MATCH($B4,Matches!$A$5:$A$9,0)),1-INDEX(Matches!$M$5:$M$9,MATCH($B4,Matches!$A$5:$A$9,0)))),"")</f>
        <v/>
      </c>
      <c r="N4">
        <f>1</f>
        <v/>
      </c>
      <c r="O4" s="11">
        <f>IF(OR($M4="",$J4=""),"",$L4*($M4*$J4+(1-$M4)*$K4))</f>
        <v/>
      </c>
      <c r="P4">
        <f>IF($O4="","",IF(LEFT($B4,4)="DOTA",Config!$B$7,Config!$B$6)*$O4+$L4^2*$M4*(1-$M4)*($J4-$K4)^2)</f>
        <v/>
      </c>
      <c r="Q4" s="6">
        <f>IFERROR(IF(INDEX(Matches!$N$5:$N$9,MATCH($B4,Matches!$A$5:$A$9,0))="","",IF($F4="A",INDEX(Matches!$N$5:$N$9,MATCH($B4,Matches!$A$5:$A$9,0)),1-INDEX(Matches!$N$5:$N$9,MATCH($B4,Matches!$A$5:$A$9,0)))),"")</f>
        <v/>
      </c>
      <c r="R4">
        <f>IFERROR(N(INDEX(Matches!$P$5:$P$9,MATCH($B4,Matches!$A$5:$A$9,0))),0)</f>
        <v/>
      </c>
      <c r="S4" s="11">
        <f>IF(OR($Q4="",$J4=""),"",$L4*($Q4*$J4+(1-$Q4)*$K4))</f>
        <v/>
      </c>
      <c r="T4">
        <f>IF($S4="","",IF(LEFT($B4,4)="DOTA",Config!$B$7,Config!$B$6)*$S4+$L4^2*$Q4*(1-$Q4)*($J4-$K4)^2)</f>
        <v/>
      </c>
      <c r="U4" s="6">
        <f>IFERROR(IF(INDEX(Matches!$O$5:$O$9,MATCH($B4,Matches!$A$5:$A$9,0))="","",IF($F4="A",INDEX(Matches!$O$5:$O$9,MATCH($B4,Matches!$A$5:$A$9,0)),1-INDEX(Matches!$O$5:$O$9,MATCH($B4,Matches!$A$5:$A$9,0)))),"")</f>
        <v/>
      </c>
      <c r="V4">
        <f>IFERROR(N(INDEX(Matches!$Q$5:$Q$9,MATCH($B4,Matches!$A$5:$A$9,0))),0)</f>
        <v/>
      </c>
      <c r="W4" s="11">
        <f>IF(OR($U4="",$J4=""),"",$L4*($U4*$J4+(1-$U4)*$K4))</f>
        <v/>
      </c>
      <c r="X4">
        <f>IF($W4="","",IF(LEFT($B4,4)="DOTA",Config!$B$7,Config!$B$6)*$W4+$L4^2*$U4*(1-$U4)*($J4-$K4)^2)</f>
        <v/>
      </c>
      <c r="Y4" s="11">
        <f>IF($O4="","",$O4)</f>
        <v/>
      </c>
      <c r="Z4">
        <f>IF($P4="","",$P4)</f>
        <v/>
      </c>
      <c r="AA4" s="11">
        <f>IF($O4="","",N($N4)*N($O4)+N($R4)*N($S4))</f>
        <v/>
      </c>
      <c r="AB4">
        <f>IF($O4="","",(N($N4)*N($P4)+N($N4)*(1-N($N4))*N($O4)^2)+(N($R4)*N($T4)+N($R4)*(1-N($R4))*N($S4)^2))</f>
        <v/>
      </c>
      <c r="AC4" s="11">
        <f>IF($O4="","",N($N4)*N($O4)+N($R4)*N($S4)+N($V4)*N($W4))</f>
        <v/>
      </c>
      <c r="AD4">
        <f>IF($O4="","",(N($N4)*N($P4)+N($N4)*(1-N($N4))*N($O4)^2)+(N($R4)*N($T4)+N($R4)*(1-N($R4))*N($S4)^2)+(N($V4)*N($X4)+N($V4)*(1-N($V4))*N($W4)^2))</f>
        <v/>
      </c>
      <c r="AE4" s="11">
        <f>IF($I4="","",$I4*$L4)</f>
        <v/>
      </c>
      <c r="AF4" s="11">
        <f>IF($I4="","",$I4*$L4*(1+N($R4)))</f>
        <v/>
      </c>
      <c r="AG4" s="11">
        <f>IF($I4="","",$I4*$L4*(1+N($R4)+N($V4)))</f>
        <v/>
      </c>
      <c r="AH4">
        <f>TRIM(IF($G4&lt;Config!$B$9,"thin sample ("&amp;$G4&amp;" maps) · ","")&amp;IF($I4="","no PickFinder stats · ","")&amp;IFERROR(IF(INDEX(Players!$T$2:$T$43,MATCH($E4,Players!$A$2:$A$43,0))&lt;0.5,"new roster: "&amp;TEXT(INDEX(Players!$T$2:$T$43,MATCH($E4,Players!$A$2:$A$43,0)),"0%")&amp;" of his recent games with these teammates",""),""))</f>
        <v/>
      </c>
      <c r="AI4">
        <f>IF($B4=Board!$B$2,COUNTIFS($B$2:$B$43,Board!$B$2,$Y$2:$Y$43,"&gt;"&amp;$Y4)+COUNTIFS($B$1:$B3,Board!$B$2,$Y$1:$Y3,$Y4)+1,"")</f>
        <v/>
      </c>
      <c r="AJ4">
        <f>IFERROR(IF(INDEX(Matches!$D$5:$D$9,MATCH($B4,Matches!$A$5:$A$9,0))=3,"K12","K13"),"K13")</f>
        <v/>
      </c>
      <c r="AK4" s="11">
        <f>IF($AJ4="K12",$AA4,$AC4)</f>
        <v/>
      </c>
    </row>
    <row r="5">
      <c r="A5" t="inlineStr">
        <is>
          <t>t3b3k5ym37f128b|DOTA · OG vs GL</t>
        </is>
      </c>
      <c r="B5" t="inlineStr">
        <is>
          <t>DOTA · OG vs GL</t>
        </is>
      </c>
      <c r="C5" t="inlineStr">
        <is>
          <t>GL</t>
        </is>
      </c>
      <c r="D5" t="inlineStr">
        <is>
          <t>Speeed</t>
        </is>
      </c>
      <c r="E5" t="inlineStr">
        <is>
          <t>t3b3k5ym37f128b</t>
        </is>
      </c>
      <c r="F5">
        <f>IFERROR(IF($C5=INDEX(Matches!$S$5:$S$9,MATCH($B5,Matches!$A$5:$A$9,0)),"A",IF($C5=INDEX(Matches!$T$5:$T$9,MATCH($B5,Matches!$A$5:$A$9,0)),"B","")),"")</f>
        <v/>
      </c>
      <c r="G5">
        <f>IFERROR(INDEX(Players!$E$2:$E$43,MATCH($E5,Players!$A$2:$A$43,0)),0)</f>
        <v/>
      </c>
      <c r="H5" s="6">
        <f>IFERROR(INDEX(Players!$F$2:$F$43,MATCH($E5,Players!$A$2:$A$43,0)),"")</f>
        <v/>
      </c>
      <c r="I5">
        <f>IFERROR(INDEX(Players!$G$2:$G$43,MATCH($E5,Players!$A$2:$A$43,0)),"")</f>
        <v/>
      </c>
      <c r="J5" s="11">
        <f>IF(OR($I5="",$H5=""),"",$I5*IF(LEFT($B5,4)="DOTA",Config!$B$5,Config!$B$4)/($H5*IF(LEFT($B5,4)="DOTA",Config!$B$5,Config!$B$4)+1-$H5))</f>
        <v/>
      </c>
      <c r="K5" s="11">
        <f>IF(OR($I5="",$H5=""),"",$I5/($H5*IF(LEFT($B5,4)="DOTA",Config!$B$5,Config!$B$4)+1-$H5))</f>
        <v/>
      </c>
      <c r="L5">
        <f>IFERROR(INDEX(Matches!$R$5:$R$9,MATCH($B5,Matches!$A$5:$A$9,0)),1)</f>
        <v/>
      </c>
      <c r="M5" s="6">
        <f>IFERROR(IF(INDEX(Matches!$M$5:$M$9,MATCH($B5,Matches!$A$5:$A$9,0))="","",IF($F5="A",INDEX(Matches!$M$5:$M$9,MATCH($B5,Matches!$A$5:$A$9,0)),1-INDEX(Matches!$M$5:$M$9,MATCH($B5,Matches!$A$5:$A$9,0)))),"")</f>
        <v/>
      </c>
      <c r="N5">
        <f>1</f>
        <v/>
      </c>
      <c r="O5" s="11">
        <f>IF(OR($M5="",$J5=""),"",$L5*($M5*$J5+(1-$M5)*$K5))</f>
        <v/>
      </c>
      <c r="P5">
        <f>IF($O5="","",IF(LEFT($B5,4)="DOTA",Config!$B$7,Config!$B$6)*$O5+$L5^2*$M5*(1-$M5)*($J5-$K5)^2)</f>
        <v/>
      </c>
      <c r="Q5" s="6">
        <f>IFERROR(IF(INDEX(Matches!$N$5:$N$9,MATCH($B5,Matches!$A$5:$A$9,0))="","",IF($F5="A",INDEX(Matches!$N$5:$N$9,MATCH($B5,Matches!$A$5:$A$9,0)),1-INDEX(Matches!$N$5:$N$9,MATCH($B5,Matches!$A$5:$A$9,0)))),"")</f>
        <v/>
      </c>
      <c r="R5">
        <f>IFERROR(N(INDEX(Matches!$P$5:$P$9,MATCH($B5,Matches!$A$5:$A$9,0))),0)</f>
        <v/>
      </c>
      <c r="S5" s="11">
        <f>IF(OR($Q5="",$J5=""),"",$L5*($Q5*$J5+(1-$Q5)*$K5))</f>
        <v/>
      </c>
      <c r="T5">
        <f>IF($S5="","",IF(LEFT($B5,4)="DOTA",Config!$B$7,Config!$B$6)*$S5+$L5^2*$Q5*(1-$Q5)*($J5-$K5)^2)</f>
        <v/>
      </c>
      <c r="U5" s="6">
        <f>IFERROR(IF(INDEX(Matches!$O$5:$O$9,MATCH($B5,Matches!$A$5:$A$9,0))="","",IF($F5="A",INDEX(Matches!$O$5:$O$9,MATCH($B5,Matches!$A$5:$A$9,0)),1-INDEX(Matches!$O$5:$O$9,MATCH($B5,Matches!$A$5:$A$9,0)))),"")</f>
        <v/>
      </c>
      <c r="V5">
        <f>IFERROR(N(INDEX(Matches!$Q$5:$Q$9,MATCH($B5,Matches!$A$5:$A$9,0))),0)</f>
        <v/>
      </c>
      <c r="W5" s="11">
        <f>IF(OR($U5="",$J5=""),"",$L5*($U5*$J5+(1-$U5)*$K5))</f>
        <v/>
      </c>
      <c r="X5">
        <f>IF($W5="","",IF(LEFT($B5,4)="DOTA",Config!$B$7,Config!$B$6)*$W5+$L5^2*$U5*(1-$U5)*($J5-$K5)^2)</f>
        <v/>
      </c>
      <c r="Y5" s="11">
        <f>IF($O5="","",$O5)</f>
        <v/>
      </c>
      <c r="Z5">
        <f>IF($P5="","",$P5)</f>
        <v/>
      </c>
      <c r="AA5" s="11">
        <f>IF($O5="","",N($N5)*N($O5)+N($R5)*N($S5))</f>
        <v/>
      </c>
      <c r="AB5">
        <f>IF($O5="","",(N($N5)*N($P5)+N($N5)*(1-N($N5))*N($O5)^2)+(N($R5)*N($T5)+N($R5)*(1-N($R5))*N($S5)^2))</f>
        <v/>
      </c>
      <c r="AC5" s="11">
        <f>IF($O5="","",N($N5)*N($O5)+N($R5)*N($S5)+N($V5)*N($W5))</f>
        <v/>
      </c>
      <c r="AD5">
        <f>IF($O5="","",(N($N5)*N($P5)+N($N5)*(1-N($N5))*N($O5)^2)+(N($R5)*N($T5)+N($R5)*(1-N($R5))*N($S5)^2)+(N($V5)*N($X5)+N($V5)*(1-N($V5))*N($W5)^2))</f>
        <v/>
      </c>
      <c r="AE5" s="11">
        <f>IF($I5="","",$I5*$L5)</f>
        <v/>
      </c>
      <c r="AF5" s="11">
        <f>IF($I5="","",$I5*$L5*(1+N($R5)))</f>
        <v/>
      </c>
      <c r="AG5" s="11">
        <f>IF($I5="","",$I5*$L5*(1+N($R5)+N($V5)))</f>
        <v/>
      </c>
      <c r="AH5">
        <f>TRIM(IF($G5&lt;Config!$B$9,"thin sample ("&amp;$G5&amp;" maps) · ","")&amp;IF($I5="","no PickFinder stats · ","")&amp;IFERROR(IF(INDEX(Players!$T$2:$T$43,MATCH($E5,Players!$A$2:$A$43,0))&lt;0.5,"new roster: "&amp;TEXT(INDEX(Players!$T$2:$T$43,MATCH($E5,Players!$A$2:$A$43,0)),"0%")&amp;" of his recent games with these teammates",""),""))</f>
        <v/>
      </c>
      <c r="AI5">
        <f>IF($B5=Board!$B$2,COUNTIFS($B$2:$B$43,Board!$B$2,$Y$2:$Y$43,"&gt;"&amp;$Y5)+COUNTIFS($B$1:$B4,Board!$B$2,$Y$1:$Y4,$Y5)+1,"")</f>
        <v/>
      </c>
      <c r="AJ5">
        <f>IFERROR(IF(INDEX(Matches!$D$5:$D$9,MATCH($B5,Matches!$A$5:$A$9,0))=3,"K12","K13"),"K13")</f>
        <v/>
      </c>
      <c r="AK5" s="11">
        <f>IF($AJ5="K12",$AA5,$AC5)</f>
        <v/>
      </c>
    </row>
    <row r="6">
      <c r="A6" t="inlineStr">
        <is>
          <t>388xfoz6m2jbt95|DOTA · OG vs GL</t>
        </is>
      </c>
      <c r="B6" t="inlineStr">
        <is>
          <t>DOTA · OG vs GL</t>
        </is>
      </c>
      <c r="C6" t="inlineStr">
        <is>
          <t>GL</t>
        </is>
      </c>
      <c r="D6" t="inlineStr">
        <is>
          <t>Yuma</t>
        </is>
      </c>
      <c r="E6" t="inlineStr">
        <is>
          <t>388xfoz6m2jbt95</t>
        </is>
      </c>
      <c r="F6">
        <f>IFERROR(IF($C6=INDEX(Matches!$S$5:$S$9,MATCH($B6,Matches!$A$5:$A$9,0)),"A",IF($C6=INDEX(Matches!$T$5:$T$9,MATCH($B6,Matches!$A$5:$A$9,0)),"B","")),"")</f>
        <v/>
      </c>
      <c r="G6">
        <f>IFERROR(INDEX(Players!$E$2:$E$43,MATCH($E6,Players!$A$2:$A$43,0)),0)</f>
        <v/>
      </c>
      <c r="H6" s="6">
        <f>IFERROR(INDEX(Players!$F$2:$F$43,MATCH($E6,Players!$A$2:$A$43,0)),"")</f>
        <v/>
      </c>
      <c r="I6">
        <f>IFERROR(INDEX(Players!$G$2:$G$43,MATCH($E6,Players!$A$2:$A$43,0)),"")</f>
        <v/>
      </c>
      <c r="J6" s="11">
        <f>IF(OR($I6="",$H6=""),"",$I6*IF(LEFT($B6,4)="DOTA",Config!$B$5,Config!$B$4)/($H6*IF(LEFT($B6,4)="DOTA",Config!$B$5,Config!$B$4)+1-$H6))</f>
        <v/>
      </c>
      <c r="K6" s="11">
        <f>IF(OR($I6="",$H6=""),"",$I6/($H6*IF(LEFT($B6,4)="DOTA",Config!$B$5,Config!$B$4)+1-$H6))</f>
        <v/>
      </c>
      <c r="L6">
        <f>IFERROR(INDEX(Matches!$R$5:$R$9,MATCH($B6,Matches!$A$5:$A$9,0)),1)</f>
        <v/>
      </c>
      <c r="M6" s="6">
        <f>IFERROR(IF(INDEX(Matches!$M$5:$M$9,MATCH($B6,Matches!$A$5:$A$9,0))="","",IF($F6="A",INDEX(Matches!$M$5:$M$9,MATCH($B6,Matches!$A$5:$A$9,0)),1-INDEX(Matches!$M$5:$M$9,MATCH($B6,Matches!$A$5:$A$9,0)))),"")</f>
        <v/>
      </c>
      <c r="N6">
        <f>1</f>
        <v/>
      </c>
      <c r="O6" s="11">
        <f>IF(OR($M6="",$J6=""),"",$L6*($M6*$J6+(1-$M6)*$K6))</f>
        <v/>
      </c>
      <c r="P6">
        <f>IF($O6="","",IF(LEFT($B6,4)="DOTA",Config!$B$7,Config!$B$6)*$O6+$L6^2*$M6*(1-$M6)*($J6-$K6)^2)</f>
        <v/>
      </c>
      <c r="Q6" s="6">
        <f>IFERROR(IF(INDEX(Matches!$N$5:$N$9,MATCH($B6,Matches!$A$5:$A$9,0))="","",IF($F6="A",INDEX(Matches!$N$5:$N$9,MATCH($B6,Matches!$A$5:$A$9,0)),1-INDEX(Matches!$N$5:$N$9,MATCH($B6,Matches!$A$5:$A$9,0)))),"")</f>
        <v/>
      </c>
      <c r="R6">
        <f>IFERROR(N(INDEX(Matches!$P$5:$P$9,MATCH($B6,Matches!$A$5:$A$9,0))),0)</f>
        <v/>
      </c>
      <c r="S6" s="11">
        <f>IF(OR($Q6="",$J6=""),"",$L6*($Q6*$J6+(1-$Q6)*$K6))</f>
        <v/>
      </c>
      <c r="T6">
        <f>IF($S6="","",IF(LEFT($B6,4)="DOTA",Config!$B$7,Config!$B$6)*$S6+$L6^2*$Q6*(1-$Q6)*($J6-$K6)^2)</f>
        <v/>
      </c>
      <c r="U6" s="6">
        <f>IFERROR(IF(INDEX(Matches!$O$5:$O$9,MATCH($B6,Matches!$A$5:$A$9,0))="","",IF($F6="A",INDEX(Matches!$O$5:$O$9,MATCH($B6,Matches!$A$5:$A$9,0)),1-INDEX(Matches!$O$5:$O$9,MATCH($B6,Matches!$A$5:$A$9,0)))),"")</f>
        <v/>
      </c>
      <c r="V6">
        <f>IFERROR(N(INDEX(Matches!$Q$5:$Q$9,MATCH($B6,Matches!$A$5:$A$9,0))),0)</f>
        <v/>
      </c>
      <c r="W6" s="11">
        <f>IF(OR($U6="",$J6=""),"",$L6*($U6*$J6+(1-$U6)*$K6))</f>
        <v/>
      </c>
      <c r="X6">
        <f>IF($W6="","",IF(LEFT($B6,4)="DOTA",Config!$B$7,Config!$B$6)*$W6+$L6^2*$U6*(1-$U6)*($J6-$K6)^2)</f>
        <v/>
      </c>
      <c r="Y6" s="11">
        <f>IF($O6="","",$O6)</f>
        <v/>
      </c>
      <c r="Z6">
        <f>IF($P6="","",$P6)</f>
        <v/>
      </c>
      <c r="AA6" s="11">
        <f>IF($O6="","",N($N6)*N($O6)+N($R6)*N($S6))</f>
        <v/>
      </c>
      <c r="AB6">
        <f>IF($O6="","",(N($N6)*N($P6)+N($N6)*(1-N($N6))*N($O6)^2)+(N($R6)*N($T6)+N($R6)*(1-N($R6))*N($S6)^2))</f>
        <v/>
      </c>
      <c r="AC6" s="11">
        <f>IF($O6="","",N($N6)*N($O6)+N($R6)*N($S6)+N($V6)*N($W6))</f>
        <v/>
      </c>
      <c r="AD6">
        <f>IF($O6="","",(N($N6)*N($P6)+N($N6)*(1-N($N6))*N($O6)^2)+(N($R6)*N($T6)+N($R6)*(1-N($R6))*N($S6)^2)+(N($V6)*N($X6)+N($V6)*(1-N($V6))*N($W6)^2))</f>
        <v/>
      </c>
      <c r="AE6" s="11">
        <f>IF($I6="","",$I6*$L6)</f>
        <v/>
      </c>
      <c r="AF6" s="11">
        <f>IF($I6="","",$I6*$L6*(1+N($R6)))</f>
        <v/>
      </c>
      <c r="AG6" s="11">
        <f>IF($I6="","",$I6*$L6*(1+N($R6)+N($V6)))</f>
        <v/>
      </c>
      <c r="AH6">
        <f>TRIM(IF($G6&lt;Config!$B$9,"thin sample ("&amp;$G6&amp;" maps) · ","")&amp;IF($I6="","no PickFinder stats · ","")&amp;IFERROR(IF(INDEX(Players!$T$2:$T$43,MATCH($E6,Players!$A$2:$A$43,0))&lt;0.5,"new roster: "&amp;TEXT(INDEX(Players!$T$2:$T$43,MATCH($E6,Players!$A$2:$A$43,0)),"0%")&amp;" of his recent games with these teammates",""),""))</f>
        <v/>
      </c>
      <c r="AI6">
        <f>IF($B6=Board!$B$2,COUNTIFS($B$2:$B$43,Board!$B$2,$Y$2:$Y$43,"&gt;"&amp;$Y6)+COUNTIFS($B$1:$B5,Board!$B$2,$Y$1:$Y5,$Y6)+1,"")</f>
        <v/>
      </c>
      <c r="AJ6">
        <f>IFERROR(IF(INDEX(Matches!$D$5:$D$9,MATCH($B6,Matches!$A$5:$A$9,0))=3,"K12","K13"),"K13")</f>
        <v/>
      </c>
      <c r="AK6" s="11">
        <f>IF($AJ6="K12",$AA6,$AC6)</f>
        <v/>
      </c>
    </row>
    <row r="7">
      <c r="A7" t="inlineStr">
        <is>
          <t>gf5trr3nqlr6rzi|DOTA · OG vs GL</t>
        </is>
      </c>
      <c r="B7" t="inlineStr">
        <is>
          <t>DOTA · OG vs GL</t>
        </is>
      </c>
      <c r="C7" t="inlineStr">
        <is>
          <t>OG</t>
        </is>
      </c>
      <c r="D7" t="inlineStr">
        <is>
          <t>OneJey</t>
        </is>
      </c>
      <c r="E7" t="inlineStr">
        <is>
          <t>gf5trr3nqlr6rzi</t>
        </is>
      </c>
      <c r="F7">
        <f>IFERROR(IF($C7=INDEX(Matches!$S$5:$S$9,MATCH($B7,Matches!$A$5:$A$9,0)),"A",IF($C7=INDEX(Matches!$T$5:$T$9,MATCH($B7,Matches!$A$5:$A$9,0)),"B","")),"")</f>
        <v/>
      </c>
      <c r="G7">
        <f>IFERROR(INDEX(Players!$E$2:$E$43,MATCH($E7,Players!$A$2:$A$43,0)),0)</f>
        <v/>
      </c>
      <c r="H7" s="6">
        <f>IFERROR(INDEX(Players!$F$2:$F$43,MATCH($E7,Players!$A$2:$A$43,0)),"")</f>
        <v/>
      </c>
      <c r="I7">
        <f>IFERROR(INDEX(Players!$G$2:$G$43,MATCH($E7,Players!$A$2:$A$43,0)),"")</f>
        <v/>
      </c>
      <c r="J7" s="11">
        <f>IF(OR($I7="",$H7=""),"",$I7*IF(LEFT($B7,4)="DOTA",Config!$B$5,Config!$B$4)/($H7*IF(LEFT($B7,4)="DOTA",Config!$B$5,Config!$B$4)+1-$H7))</f>
        <v/>
      </c>
      <c r="K7" s="11">
        <f>IF(OR($I7="",$H7=""),"",$I7/($H7*IF(LEFT($B7,4)="DOTA",Config!$B$5,Config!$B$4)+1-$H7))</f>
        <v/>
      </c>
      <c r="L7">
        <f>IFERROR(INDEX(Matches!$R$5:$R$9,MATCH($B7,Matches!$A$5:$A$9,0)),1)</f>
        <v/>
      </c>
      <c r="M7" s="6">
        <f>IFERROR(IF(INDEX(Matches!$M$5:$M$9,MATCH($B7,Matches!$A$5:$A$9,0))="","",IF($F7="A",INDEX(Matches!$M$5:$M$9,MATCH($B7,Matches!$A$5:$A$9,0)),1-INDEX(Matches!$M$5:$M$9,MATCH($B7,Matches!$A$5:$A$9,0)))),"")</f>
        <v/>
      </c>
      <c r="N7">
        <f>1</f>
        <v/>
      </c>
      <c r="O7" s="11">
        <f>IF(OR($M7="",$J7=""),"",$L7*($M7*$J7+(1-$M7)*$K7))</f>
        <v/>
      </c>
      <c r="P7">
        <f>IF($O7="","",IF(LEFT($B7,4)="DOTA",Config!$B$7,Config!$B$6)*$O7+$L7^2*$M7*(1-$M7)*($J7-$K7)^2)</f>
        <v/>
      </c>
      <c r="Q7" s="6">
        <f>IFERROR(IF(INDEX(Matches!$N$5:$N$9,MATCH($B7,Matches!$A$5:$A$9,0))="","",IF($F7="A",INDEX(Matches!$N$5:$N$9,MATCH($B7,Matches!$A$5:$A$9,0)),1-INDEX(Matches!$N$5:$N$9,MATCH($B7,Matches!$A$5:$A$9,0)))),"")</f>
        <v/>
      </c>
      <c r="R7">
        <f>IFERROR(N(INDEX(Matches!$P$5:$P$9,MATCH($B7,Matches!$A$5:$A$9,0))),0)</f>
        <v/>
      </c>
      <c r="S7" s="11">
        <f>IF(OR($Q7="",$J7=""),"",$L7*($Q7*$J7+(1-$Q7)*$K7))</f>
        <v/>
      </c>
      <c r="T7">
        <f>IF($S7="","",IF(LEFT($B7,4)="DOTA",Config!$B$7,Config!$B$6)*$S7+$L7^2*$Q7*(1-$Q7)*($J7-$K7)^2)</f>
        <v/>
      </c>
      <c r="U7" s="6">
        <f>IFERROR(IF(INDEX(Matches!$O$5:$O$9,MATCH($B7,Matches!$A$5:$A$9,0))="","",IF($F7="A",INDEX(Matches!$O$5:$O$9,MATCH($B7,Matches!$A$5:$A$9,0)),1-INDEX(Matches!$O$5:$O$9,MATCH($B7,Matches!$A$5:$A$9,0)))),"")</f>
        <v/>
      </c>
      <c r="V7">
        <f>IFERROR(N(INDEX(Matches!$Q$5:$Q$9,MATCH($B7,Matches!$A$5:$A$9,0))),0)</f>
        <v/>
      </c>
      <c r="W7" s="11">
        <f>IF(OR($U7="",$J7=""),"",$L7*($U7*$J7+(1-$U7)*$K7))</f>
        <v/>
      </c>
      <c r="X7">
        <f>IF($W7="","",IF(LEFT($B7,4)="DOTA",Config!$B$7,Config!$B$6)*$W7+$L7^2*$U7*(1-$U7)*($J7-$K7)^2)</f>
        <v/>
      </c>
      <c r="Y7" s="11">
        <f>IF($O7="","",$O7)</f>
        <v/>
      </c>
      <c r="Z7">
        <f>IF($P7="","",$P7)</f>
        <v/>
      </c>
      <c r="AA7" s="11">
        <f>IF($O7="","",N($N7)*N($O7)+N($R7)*N($S7))</f>
        <v/>
      </c>
      <c r="AB7">
        <f>IF($O7="","",(N($N7)*N($P7)+N($N7)*(1-N($N7))*N($O7)^2)+(N($R7)*N($T7)+N($R7)*(1-N($R7))*N($S7)^2))</f>
        <v/>
      </c>
      <c r="AC7" s="11">
        <f>IF($O7="","",N($N7)*N($O7)+N($R7)*N($S7)+N($V7)*N($W7))</f>
        <v/>
      </c>
      <c r="AD7">
        <f>IF($O7="","",(N($N7)*N($P7)+N($N7)*(1-N($N7))*N($O7)^2)+(N($R7)*N($T7)+N($R7)*(1-N($R7))*N($S7)^2)+(N($V7)*N($X7)+N($V7)*(1-N($V7))*N($W7)^2))</f>
        <v/>
      </c>
      <c r="AE7" s="11">
        <f>IF($I7="","",$I7*$L7)</f>
        <v/>
      </c>
      <c r="AF7" s="11">
        <f>IF($I7="","",$I7*$L7*(1+N($R7)))</f>
        <v/>
      </c>
      <c r="AG7" s="11">
        <f>IF($I7="","",$I7*$L7*(1+N($R7)+N($V7)))</f>
        <v/>
      </c>
      <c r="AH7">
        <f>TRIM(IF($G7&lt;Config!$B$9,"thin sample ("&amp;$G7&amp;" maps) · ","")&amp;IF($I7="","no PickFinder stats · ","")&amp;IFERROR(IF(INDEX(Players!$T$2:$T$43,MATCH($E7,Players!$A$2:$A$43,0))&lt;0.5,"new roster: "&amp;TEXT(INDEX(Players!$T$2:$T$43,MATCH($E7,Players!$A$2:$A$43,0)),"0%")&amp;" of his recent games with these teammates",""),""))</f>
        <v/>
      </c>
      <c r="AI7">
        <f>IF($B7=Board!$B$2,COUNTIFS($B$2:$B$43,Board!$B$2,$Y$2:$Y$43,"&gt;"&amp;$Y7)+COUNTIFS($B$1:$B6,Board!$B$2,$Y$1:$Y6,$Y7)+1,"")</f>
        <v/>
      </c>
      <c r="AJ7">
        <f>IFERROR(IF(INDEX(Matches!$D$5:$D$9,MATCH($B7,Matches!$A$5:$A$9,0))=3,"K12","K13"),"K13")</f>
        <v/>
      </c>
      <c r="AK7" s="11">
        <f>IF($AJ7="K12",$AA7,$AC7)</f>
        <v/>
      </c>
    </row>
    <row r="8">
      <c r="A8" t="inlineStr">
        <is>
          <t>327bydu6uqe51dl|DOTA · OG vs GL</t>
        </is>
      </c>
      <c r="B8" t="inlineStr">
        <is>
          <t>DOTA · OG vs GL</t>
        </is>
      </c>
      <c r="C8" t="inlineStr">
        <is>
          <t>OG</t>
        </is>
      </c>
      <c r="D8" t="inlineStr">
        <is>
          <t>Skem</t>
        </is>
      </c>
      <c r="E8" t="inlineStr">
        <is>
          <t>327bydu6uqe51dl</t>
        </is>
      </c>
      <c r="F8">
        <f>IFERROR(IF($C8=INDEX(Matches!$S$5:$S$9,MATCH($B8,Matches!$A$5:$A$9,0)),"A",IF($C8=INDEX(Matches!$T$5:$T$9,MATCH($B8,Matches!$A$5:$A$9,0)),"B","")),"")</f>
        <v/>
      </c>
      <c r="G8">
        <f>IFERROR(INDEX(Players!$E$2:$E$43,MATCH($E8,Players!$A$2:$A$43,0)),0)</f>
        <v/>
      </c>
      <c r="H8" s="6">
        <f>IFERROR(INDEX(Players!$F$2:$F$43,MATCH($E8,Players!$A$2:$A$43,0)),"")</f>
        <v/>
      </c>
      <c r="I8">
        <f>IFERROR(INDEX(Players!$G$2:$G$43,MATCH($E8,Players!$A$2:$A$43,0)),"")</f>
        <v/>
      </c>
      <c r="J8" s="11">
        <f>IF(OR($I8="",$H8=""),"",$I8*IF(LEFT($B8,4)="DOTA",Config!$B$5,Config!$B$4)/($H8*IF(LEFT($B8,4)="DOTA",Config!$B$5,Config!$B$4)+1-$H8))</f>
        <v/>
      </c>
      <c r="K8" s="11">
        <f>IF(OR($I8="",$H8=""),"",$I8/($H8*IF(LEFT($B8,4)="DOTA",Config!$B$5,Config!$B$4)+1-$H8))</f>
        <v/>
      </c>
      <c r="L8">
        <f>IFERROR(INDEX(Matches!$R$5:$R$9,MATCH($B8,Matches!$A$5:$A$9,0)),1)</f>
        <v/>
      </c>
      <c r="M8" s="6">
        <f>IFERROR(IF(INDEX(Matches!$M$5:$M$9,MATCH($B8,Matches!$A$5:$A$9,0))="","",IF($F8="A",INDEX(Matches!$M$5:$M$9,MATCH($B8,Matches!$A$5:$A$9,0)),1-INDEX(Matches!$M$5:$M$9,MATCH($B8,Matches!$A$5:$A$9,0)))),"")</f>
        <v/>
      </c>
      <c r="N8">
        <f>1</f>
        <v/>
      </c>
      <c r="O8" s="11">
        <f>IF(OR($M8="",$J8=""),"",$L8*($M8*$J8+(1-$M8)*$K8))</f>
        <v/>
      </c>
      <c r="P8">
        <f>IF($O8="","",IF(LEFT($B8,4)="DOTA",Config!$B$7,Config!$B$6)*$O8+$L8^2*$M8*(1-$M8)*($J8-$K8)^2)</f>
        <v/>
      </c>
      <c r="Q8" s="6">
        <f>IFERROR(IF(INDEX(Matches!$N$5:$N$9,MATCH($B8,Matches!$A$5:$A$9,0))="","",IF($F8="A",INDEX(Matches!$N$5:$N$9,MATCH($B8,Matches!$A$5:$A$9,0)),1-INDEX(Matches!$N$5:$N$9,MATCH($B8,Matches!$A$5:$A$9,0)))),"")</f>
        <v/>
      </c>
      <c r="R8">
        <f>IFERROR(N(INDEX(Matches!$P$5:$P$9,MATCH($B8,Matches!$A$5:$A$9,0))),0)</f>
        <v/>
      </c>
      <c r="S8" s="11">
        <f>IF(OR($Q8="",$J8=""),"",$L8*($Q8*$J8+(1-$Q8)*$K8))</f>
        <v/>
      </c>
      <c r="T8">
        <f>IF($S8="","",IF(LEFT($B8,4)="DOTA",Config!$B$7,Config!$B$6)*$S8+$L8^2*$Q8*(1-$Q8)*($J8-$K8)^2)</f>
        <v/>
      </c>
      <c r="U8" s="6">
        <f>IFERROR(IF(INDEX(Matches!$O$5:$O$9,MATCH($B8,Matches!$A$5:$A$9,0))="","",IF($F8="A",INDEX(Matches!$O$5:$O$9,MATCH($B8,Matches!$A$5:$A$9,0)),1-INDEX(Matches!$O$5:$O$9,MATCH($B8,Matches!$A$5:$A$9,0)))),"")</f>
        <v/>
      </c>
      <c r="V8">
        <f>IFERROR(N(INDEX(Matches!$Q$5:$Q$9,MATCH($B8,Matches!$A$5:$A$9,0))),0)</f>
        <v/>
      </c>
      <c r="W8" s="11">
        <f>IF(OR($U8="",$J8=""),"",$L8*($U8*$J8+(1-$U8)*$K8))</f>
        <v/>
      </c>
      <c r="X8">
        <f>IF($W8="","",IF(LEFT($B8,4)="DOTA",Config!$B$7,Config!$B$6)*$W8+$L8^2*$U8*(1-$U8)*($J8-$K8)^2)</f>
        <v/>
      </c>
      <c r="Y8" s="11">
        <f>IF($O8="","",$O8)</f>
        <v/>
      </c>
      <c r="Z8">
        <f>IF($P8="","",$P8)</f>
        <v/>
      </c>
      <c r="AA8" s="11">
        <f>IF($O8="","",N($N8)*N($O8)+N($R8)*N($S8))</f>
        <v/>
      </c>
      <c r="AB8">
        <f>IF($O8="","",(N($N8)*N($P8)+N($N8)*(1-N($N8))*N($O8)^2)+(N($R8)*N($T8)+N($R8)*(1-N($R8))*N($S8)^2))</f>
        <v/>
      </c>
      <c r="AC8" s="11">
        <f>IF($O8="","",N($N8)*N($O8)+N($R8)*N($S8)+N($V8)*N($W8))</f>
        <v/>
      </c>
      <c r="AD8">
        <f>IF($O8="","",(N($N8)*N($P8)+N($N8)*(1-N($N8))*N($O8)^2)+(N($R8)*N($T8)+N($R8)*(1-N($R8))*N($S8)^2)+(N($V8)*N($X8)+N($V8)*(1-N($V8))*N($W8)^2))</f>
        <v/>
      </c>
      <c r="AE8" s="11">
        <f>IF($I8="","",$I8*$L8)</f>
        <v/>
      </c>
      <c r="AF8" s="11">
        <f>IF($I8="","",$I8*$L8*(1+N($R8)))</f>
        <v/>
      </c>
      <c r="AG8" s="11">
        <f>IF($I8="","",$I8*$L8*(1+N($R8)+N($V8)))</f>
        <v/>
      </c>
      <c r="AH8">
        <f>TRIM(IF($G8&lt;Config!$B$9,"thin sample ("&amp;$G8&amp;" maps) · ","")&amp;IF($I8="","no PickFinder stats · ","")&amp;IFERROR(IF(INDEX(Players!$T$2:$T$43,MATCH($E8,Players!$A$2:$A$43,0))&lt;0.5,"new roster: "&amp;TEXT(INDEX(Players!$T$2:$T$43,MATCH($E8,Players!$A$2:$A$43,0)),"0%")&amp;" of his recent games with these teammates",""),""))</f>
        <v/>
      </c>
      <c r="AI8">
        <f>IF($B8=Board!$B$2,COUNTIFS($B$2:$B$43,Board!$B$2,$Y$2:$Y$43,"&gt;"&amp;$Y8)+COUNTIFS($B$1:$B7,Board!$B$2,$Y$1:$Y7,$Y8)+1,"")</f>
        <v/>
      </c>
      <c r="AJ8">
        <f>IFERROR(IF(INDEX(Matches!$D$5:$D$9,MATCH($B8,Matches!$A$5:$A$9,0))=3,"K12","K13"),"K13")</f>
        <v/>
      </c>
      <c r="AK8" s="11">
        <f>IF($AJ8="K12",$AA8,$AC8)</f>
        <v/>
      </c>
    </row>
    <row r="9">
      <c r="A9" t="inlineStr">
        <is>
          <t>c9666oyxnrvurur|DOTA · OG vs GL</t>
        </is>
      </c>
      <c r="B9" t="inlineStr">
        <is>
          <t>DOTA · OG vs GL</t>
        </is>
      </c>
      <c r="C9" t="inlineStr">
        <is>
          <t>OG</t>
        </is>
      </c>
      <c r="D9" t="inlineStr">
        <is>
          <t>TOPSON</t>
        </is>
      </c>
      <c r="E9" t="inlineStr">
        <is>
          <t>c9666oyxnrvurur</t>
        </is>
      </c>
      <c r="F9">
        <f>IFERROR(IF($C9=INDEX(Matches!$S$5:$S$9,MATCH($B9,Matches!$A$5:$A$9,0)),"A",IF($C9=INDEX(Matches!$T$5:$T$9,MATCH($B9,Matches!$A$5:$A$9,0)),"B","")),"")</f>
        <v/>
      </c>
      <c r="G9">
        <f>IFERROR(INDEX(Players!$E$2:$E$43,MATCH($E9,Players!$A$2:$A$43,0)),0)</f>
        <v/>
      </c>
      <c r="H9" s="6">
        <f>IFERROR(INDEX(Players!$F$2:$F$43,MATCH($E9,Players!$A$2:$A$43,0)),"")</f>
        <v/>
      </c>
      <c r="I9">
        <f>IFERROR(INDEX(Players!$G$2:$G$43,MATCH($E9,Players!$A$2:$A$43,0)),"")</f>
        <v/>
      </c>
      <c r="J9" s="11">
        <f>IF(OR($I9="",$H9=""),"",$I9*IF(LEFT($B9,4)="DOTA",Config!$B$5,Config!$B$4)/($H9*IF(LEFT($B9,4)="DOTA",Config!$B$5,Config!$B$4)+1-$H9))</f>
        <v/>
      </c>
      <c r="K9" s="11">
        <f>IF(OR($I9="",$H9=""),"",$I9/($H9*IF(LEFT($B9,4)="DOTA",Config!$B$5,Config!$B$4)+1-$H9))</f>
        <v/>
      </c>
      <c r="L9">
        <f>IFERROR(INDEX(Matches!$R$5:$R$9,MATCH($B9,Matches!$A$5:$A$9,0)),1)</f>
        <v/>
      </c>
      <c r="M9" s="6">
        <f>IFERROR(IF(INDEX(Matches!$M$5:$M$9,MATCH($B9,Matches!$A$5:$A$9,0))="","",IF($F9="A",INDEX(Matches!$M$5:$M$9,MATCH($B9,Matches!$A$5:$A$9,0)),1-INDEX(Matches!$M$5:$M$9,MATCH($B9,Matches!$A$5:$A$9,0)))),"")</f>
        <v/>
      </c>
      <c r="N9">
        <f>1</f>
        <v/>
      </c>
      <c r="O9" s="11">
        <f>IF(OR($M9="",$J9=""),"",$L9*($M9*$J9+(1-$M9)*$K9))</f>
        <v/>
      </c>
      <c r="P9">
        <f>IF($O9="","",IF(LEFT($B9,4)="DOTA",Config!$B$7,Config!$B$6)*$O9+$L9^2*$M9*(1-$M9)*($J9-$K9)^2)</f>
        <v/>
      </c>
      <c r="Q9" s="6">
        <f>IFERROR(IF(INDEX(Matches!$N$5:$N$9,MATCH($B9,Matches!$A$5:$A$9,0))="","",IF($F9="A",INDEX(Matches!$N$5:$N$9,MATCH($B9,Matches!$A$5:$A$9,0)),1-INDEX(Matches!$N$5:$N$9,MATCH($B9,Matches!$A$5:$A$9,0)))),"")</f>
        <v/>
      </c>
      <c r="R9">
        <f>IFERROR(N(INDEX(Matches!$P$5:$P$9,MATCH($B9,Matches!$A$5:$A$9,0))),0)</f>
        <v/>
      </c>
      <c r="S9" s="11">
        <f>IF(OR($Q9="",$J9=""),"",$L9*($Q9*$J9+(1-$Q9)*$K9))</f>
        <v/>
      </c>
      <c r="T9">
        <f>IF($S9="","",IF(LEFT($B9,4)="DOTA",Config!$B$7,Config!$B$6)*$S9+$L9^2*$Q9*(1-$Q9)*($J9-$K9)^2)</f>
        <v/>
      </c>
      <c r="U9" s="6">
        <f>IFERROR(IF(INDEX(Matches!$O$5:$O$9,MATCH($B9,Matches!$A$5:$A$9,0))="","",IF($F9="A",INDEX(Matches!$O$5:$O$9,MATCH($B9,Matches!$A$5:$A$9,0)),1-INDEX(Matches!$O$5:$O$9,MATCH($B9,Matches!$A$5:$A$9,0)))),"")</f>
        <v/>
      </c>
      <c r="V9">
        <f>IFERROR(N(INDEX(Matches!$Q$5:$Q$9,MATCH($B9,Matches!$A$5:$A$9,0))),0)</f>
        <v/>
      </c>
      <c r="W9" s="11">
        <f>IF(OR($U9="",$J9=""),"",$L9*($U9*$J9+(1-$U9)*$K9))</f>
        <v/>
      </c>
      <c r="X9">
        <f>IF($W9="","",IF(LEFT($B9,4)="DOTA",Config!$B$7,Config!$B$6)*$W9+$L9^2*$U9*(1-$U9)*($J9-$K9)^2)</f>
        <v/>
      </c>
      <c r="Y9" s="11">
        <f>IF($O9="","",$O9)</f>
        <v/>
      </c>
      <c r="Z9">
        <f>IF($P9="","",$P9)</f>
        <v/>
      </c>
      <c r="AA9" s="11">
        <f>IF($O9="","",N($N9)*N($O9)+N($R9)*N($S9))</f>
        <v/>
      </c>
      <c r="AB9">
        <f>IF($O9="","",(N($N9)*N($P9)+N($N9)*(1-N($N9))*N($O9)^2)+(N($R9)*N($T9)+N($R9)*(1-N($R9))*N($S9)^2))</f>
        <v/>
      </c>
      <c r="AC9" s="11">
        <f>IF($O9="","",N($N9)*N($O9)+N($R9)*N($S9)+N($V9)*N($W9))</f>
        <v/>
      </c>
      <c r="AD9">
        <f>IF($O9="","",(N($N9)*N($P9)+N($N9)*(1-N($N9))*N($O9)^2)+(N($R9)*N($T9)+N($R9)*(1-N($R9))*N($S9)^2)+(N($V9)*N($X9)+N($V9)*(1-N($V9))*N($W9)^2))</f>
        <v/>
      </c>
      <c r="AE9" s="11">
        <f>IF($I9="","",$I9*$L9)</f>
        <v/>
      </c>
      <c r="AF9" s="11">
        <f>IF($I9="","",$I9*$L9*(1+N($R9)))</f>
        <v/>
      </c>
      <c r="AG9" s="11">
        <f>IF($I9="","",$I9*$L9*(1+N($R9)+N($V9)))</f>
        <v/>
      </c>
      <c r="AH9">
        <f>TRIM(IF($G9&lt;Config!$B$9,"thin sample ("&amp;$G9&amp;" maps) · ","")&amp;IF($I9="","no PickFinder stats · ","")&amp;IFERROR(IF(INDEX(Players!$T$2:$T$43,MATCH($E9,Players!$A$2:$A$43,0))&lt;0.5,"new roster: "&amp;TEXT(INDEX(Players!$T$2:$T$43,MATCH($E9,Players!$A$2:$A$43,0)),"0%")&amp;" of his recent games with these teammates",""),""))</f>
        <v/>
      </c>
      <c r="AI9">
        <f>IF($B9=Board!$B$2,COUNTIFS($B$2:$B$43,Board!$B$2,$Y$2:$Y$43,"&gt;"&amp;$Y9)+COUNTIFS($B$1:$B8,Board!$B$2,$Y$1:$Y8,$Y9)+1,"")</f>
        <v/>
      </c>
      <c r="AJ9">
        <f>IFERROR(IF(INDEX(Matches!$D$5:$D$9,MATCH($B9,Matches!$A$5:$A$9,0))=3,"K12","K13"),"K13")</f>
        <v/>
      </c>
      <c r="AK9" s="11">
        <f>IF($AJ9="K12",$AA9,$AC9)</f>
        <v/>
      </c>
    </row>
    <row r="10">
      <c r="A10" t="inlineStr">
        <is>
          <t>p48p2vywpenq4iz|DOTA · PARI vs TY</t>
        </is>
      </c>
      <c r="B10" t="inlineStr">
        <is>
          <t>DOTA · PARI vs TY</t>
        </is>
      </c>
      <c r="C10" t="inlineStr">
        <is>
          <t>PARI</t>
        </is>
      </c>
      <c r="D10" t="inlineStr">
        <is>
          <t>9Class</t>
        </is>
      </c>
      <c r="E10" t="inlineStr">
        <is>
          <t>p48p2vywpenq4iz</t>
        </is>
      </c>
      <c r="F10">
        <f>IFERROR(IF($C10=INDEX(Matches!$S$5:$S$9,MATCH($B10,Matches!$A$5:$A$9,0)),"A",IF($C10=INDEX(Matches!$T$5:$T$9,MATCH($B10,Matches!$A$5:$A$9,0)),"B","")),"")</f>
        <v/>
      </c>
      <c r="G10">
        <f>IFERROR(INDEX(Players!$E$2:$E$43,MATCH($E10,Players!$A$2:$A$43,0)),0)</f>
        <v/>
      </c>
      <c r="H10" s="6">
        <f>IFERROR(INDEX(Players!$F$2:$F$43,MATCH($E10,Players!$A$2:$A$43,0)),"")</f>
        <v/>
      </c>
      <c r="I10">
        <f>IFERROR(INDEX(Players!$G$2:$G$43,MATCH($E10,Players!$A$2:$A$43,0)),"")</f>
        <v/>
      </c>
      <c r="J10" s="11">
        <f>IF(OR($I10="",$H10=""),"",$I10*IF(LEFT($B10,4)="DOTA",Config!$B$5,Config!$B$4)/($H10*IF(LEFT($B10,4)="DOTA",Config!$B$5,Config!$B$4)+1-$H10))</f>
        <v/>
      </c>
      <c r="K10" s="11">
        <f>IF(OR($I10="",$H10=""),"",$I10/($H10*IF(LEFT($B10,4)="DOTA",Config!$B$5,Config!$B$4)+1-$H10))</f>
        <v/>
      </c>
      <c r="L10">
        <f>IFERROR(INDEX(Matches!$R$5:$R$9,MATCH($B10,Matches!$A$5:$A$9,0)),1)</f>
        <v/>
      </c>
      <c r="M10" s="6">
        <f>IFERROR(IF(INDEX(Matches!$M$5:$M$9,MATCH($B10,Matches!$A$5:$A$9,0))="","",IF($F10="A",INDEX(Matches!$M$5:$M$9,MATCH($B10,Matches!$A$5:$A$9,0)),1-INDEX(Matches!$M$5:$M$9,MATCH($B10,Matches!$A$5:$A$9,0)))),"")</f>
        <v/>
      </c>
      <c r="N10">
        <f>1</f>
        <v/>
      </c>
      <c r="O10" s="11">
        <f>IF(OR($M10="",$J10=""),"",$L10*($M10*$J10+(1-$M10)*$K10))</f>
        <v/>
      </c>
      <c r="P10">
        <f>IF($O10="","",IF(LEFT($B10,4)="DOTA",Config!$B$7,Config!$B$6)*$O10+$L10^2*$M10*(1-$M10)*($J10-$K10)^2)</f>
        <v/>
      </c>
      <c r="Q10" s="6">
        <f>IFERROR(IF(INDEX(Matches!$N$5:$N$9,MATCH($B10,Matches!$A$5:$A$9,0))="","",IF($F10="A",INDEX(Matches!$N$5:$N$9,MATCH($B10,Matches!$A$5:$A$9,0)),1-INDEX(Matches!$N$5:$N$9,MATCH($B10,Matches!$A$5:$A$9,0)))),"")</f>
        <v/>
      </c>
      <c r="R10">
        <f>IFERROR(N(INDEX(Matches!$P$5:$P$9,MATCH($B10,Matches!$A$5:$A$9,0))),0)</f>
        <v/>
      </c>
      <c r="S10" s="11">
        <f>IF(OR($Q10="",$J10=""),"",$L10*($Q10*$J10+(1-$Q10)*$K10))</f>
        <v/>
      </c>
      <c r="T10">
        <f>IF($S10="","",IF(LEFT($B10,4)="DOTA",Config!$B$7,Config!$B$6)*$S10+$L10^2*$Q10*(1-$Q10)*($J10-$K10)^2)</f>
        <v/>
      </c>
      <c r="U10" s="6">
        <f>IFERROR(IF(INDEX(Matches!$O$5:$O$9,MATCH($B10,Matches!$A$5:$A$9,0))="","",IF($F10="A",INDEX(Matches!$O$5:$O$9,MATCH($B10,Matches!$A$5:$A$9,0)),1-INDEX(Matches!$O$5:$O$9,MATCH($B10,Matches!$A$5:$A$9,0)))),"")</f>
        <v/>
      </c>
      <c r="V10">
        <f>IFERROR(N(INDEX(Matches!$Q$5:$Q$9,MATCH($B10,Matches!$A$5:$A$9,0))),0)</f>
        <v/>
      </c>
      <c r="W10" s="11">
        <f>IF(OR($U10="",$J10=""),"",$L10*($U10*$J10+(1-$U10)*$K10))</f>
        <v/>
      </c>
      <c r="X10">
        <f>IF($W10="","",IF(LEFT($B10,4)="DOTA",Config!$B$7,Config!$B$6)*$W10+$L10^2*$U10*(1-$U10)*($J10-$K10)^2)</f>
        <v/>
      </c>
      <c r="Y10" s="11">
        <f>IF($O10="","",$O10)</f>
        <v/>
      </c>
      <c r="Z10">
        <f>IF($P10="","",$P10)</f>
        <v/>
      </c>
      <c r="AA10" s="11">
        <f>IF($O10="","",N($N10)*N($O10)+N($R10)*N($S10))</f>
        <v/>
      </c>
      <c r="AB10">
        <f>IF($O10="","",(N($N10)*N($P10)+N($N10)*(1-N($N10))*N($O10)^2)+(N($R10)*N($T10)+N($R10)*(1-N($R10))*N($S10)^2))</f>
        <v/>
      </c>
      <c r="AC10" s="11">
        <f>IF($O10="","",N($N10)*N($O10)+N($R10)*N($S10)+N($V10)*N($W10))</f>
        <v/>
      </c>
      <c r="AD10">
        <f>IF($O10="","",(N($N10)*N($P10)+N($N10)*(1-N($N10))*N($O10)^2)+(N($R10)*N($T10)+N($R10)*(1-N($R10))*N($S10)^2)+(N($V10)*N($X10)+N($V10)*(1-N($V10))*N($W10)^2))</f>
        <v/>
      </c>
      <c r="AE10" s="11">
        <f>IF($I10="","",$I10*$L10)</f>
        <v/>
      </c>
      <c r="AF10" s="11">
        <f>IF($I10="","",$I10*$L10*(1+N($R10)))</f>
        <v/>
      </c>
      <c r="AG10" s="11">
        <f>IF($I10="","",$I10*$L10*(1+N($R10)+N($V10)))</f>
        <v/>
      </c>
      <c r="AH10">
        <f>TRIM(IF($G10&lt;Config!$B$9,"thin sample ("&amp;$G10&amp;" maps) · ","")&amp;IF($I10="","no PickFinder stats · ","")&amp;IFERROR(IF(INDEX(Players!$T$2:$T$43,MATCH($E10,Players!$A$2:$A$43,0))&lt;0.5,"new roster: "&amp;TEXT(INDEX(Players!$T$2:$T$43,MATCH($E10,Players!$A$2:$A$43,0)),"0%")&amp;" of his recent games with these teammates",""),""))</f>
        <v/>
      </c>
      <c r="AI10">
        <f>IF($B10=Board!$B$2,COUNTIFS($B$2:$B$43,Board!$B$2,$Y$2:$Y$43,"&gt;"&amp;$Y10)+COUNTIFS($B$1:$B9,Board!$B$2,$Y$1:$Y9,$Y10)+1,"")</f>
        <v/>
      </c>
      <c r="AJ10">
        <f>IFERROR(IF(INDEX(Matches!$D$5:$D$9,MATCH($B10,Matches!$A$5:$A$9,0))=3,"K12","K13"),"K13")</f>
        <v/>
      </c>
      <c r="AK10" s="11">
        <f>IF($AJ10="K12",$AA10,$AC10)</f>
        <v/>
      </c>
    </row>
    <row r="11">
      <c r="A11" t="inlineStr">
        <is>
          <t>38c4z9ycctww8gl|DOTA · PARI vs TY</t>
        </is>
      </c>
      <c r="B11" t="inlineStr">
        <is>
          <t>DOTA · PARI vs TY</t>
        </is>
      </c>
      <c r="C11" t="inlineStr">
        <is>
          <t>PARI</t>
        </is>
      </c>
      <c r="D11" t="inlineStr">
        <is>
          <t>Dukalis</t>
        </is>
      </c>
      <c r="E11" t="inlineStr">
        <is>
          <t>38c4z9ycctww8gl</t>
        </is>
      </c>
      <c r="F11">
        <f>IFERROR(IF($C11=INDEX(Matches!$S$5:$S$9,MATCH($B11,Matches!$A$5:$A$9,0)),"A",IF($C11=INDEX(Matches!$T$5:$T$9,MATCH($B11,Matches!$A$5:$A$9,0)),"B","")),"")</f>
        <v/>
      </c>
      <c r="G11">
        <f>IFERROR(INDEX(Players!$E$2:$E$43,MATCH($E11,Players!$A$2:$A$43,0)),0)</f>
        <v/>
      </c>
      <c r="H11" s="6">
        <f>IFERROR(INDEX(Players!$F$2:$F$43,MATCH($E11,Players!$A$2:$A$43,0)),"")</f>
        <v/>
      </c>
      <c r="I11">
        <f>IFERROR(INDEX(Players!$G$2:$G$43,MATCH($E11,Players!$A$2:$A$43,0)),"")</f>
        <v/>
      </c>
      <c r="J11" s="11">
        <f>IF(OR($I11="",$H11=""),"",$I11*IF(LEFT($B11,4)="DOTA",Config!$B$5,Config!$B$4)/($H11*IF(LEFT($B11,4)="DOTA",Config!$B$5,Config!$B$4)+1-$H11))</f>
        <v/>
      </c>
      <c r="K11" s="11">
        <f>IF(OR($I11="",$H11=""),"",$I11/($H11*IF(LEFT($B11,4)="DOTA",Config!$B$5,Config!$B$4)+1-$H11))</f>
        <v/>
      </c>
      <c r="L11">
        <f>IFERROR(INDEX(Matches!$R$5:$R$9,MATCH($B11,Matches!$A$5:$A$9,0)),1)</f>
        <v/>
      </c>
      <c r="M11" s="6">
        <f>IFERROR(IF(INDEX(Matches!$M$5:$M$9,MATCH($B11,Matches!$A$5:$A$9,0))="","",IF($F11="A",INDEX(Matches!$M$5:$M$9,MATCH($B11,Matches!$A$5:$A$9,0)),1-INDEX(Matches!$M$5:$M$9,MATCH($B11,Matches!$A$5:$A$9,0)))),"")</f>
        <v/>
      </c>
      <c r="N11">
        <f>1</f>
        <v/>
      </c>
      <c r="O11" s="11">
        <f>IF(OR($M11="",$J11=""),"",$L11*($M11*$J11+(1-$M11)*$K11))</f>
        <v/>
      </c>
      <c r="P11">
        <f>IF($O11="","",IF(LEFT($B11,4)="DOTA",Config!$B$7,Config!$B$6)*$O11+$L11^2*$M11*(1-$M11)*($J11-$K11)^2)</f>
        <v/>
      </c>
      <c r="Q11" s="6">
        <f>IFERROR(IF(INDEX(Matches!$N$5:$N$9,MATCH($B11,Matches!$A$5:$A$9,0))="","",IF($F11="A",INDEX(Matches!$N$5:$N$9,MATCH($B11,Matches!$A$5:$A$9,0)),1-INDEX(Matches!$N$5:$N$9,MATCH($B11,Matches!$A$5:$A$9,0)))),"")</f>
        <v/>
      </c>
      <c r="R11">
        <f>IFERROR(N(INDEX(Matches!$P$5:$P$9,MATCH($B11,Matches!$A$5:$A$9,0))),0)</f>
        <v/>
      </c>
      <c r="S11" s="11">
        <f>IF(OR($Q11="",$J11=""),"",$L11*($Q11*$J11+(1-$Q11)*$K11))</f>
        <v/>
      </c>
      <c r="T11">
        <f>IF($S11="","",IF(LEFT($B11,4)="DOTA",Config!$B$7,Config!$B$6)*$S11+$L11^2*$Q11*(1-$Q11)*($J11-$K11)^2)</f>
        <v/>
      </c>
      <c r="U11" s="6">
        <f>IFERROR(IF(INDEX(Matches!$O$5:$O$9,MATCH($B11,Matches!$A$5:$A$9,0))="","",IF($F11="A",INDEX(Matches!$O$5:$O$9,MATCH($B11,Matches!$A$5:$A$9,0)),1-INDEX(Matches!$O$5:$O$9,MATCH($B11,Matches!$A$5:$A$9,0)))),"")</f>
        <v/>
      </c>
      <c r="V11">
        <f>IFERROR(N(INDEX(Matches!$Q$5:$Q$9,MATCH($B11,Matches!$A$5:$A$9,0))),0)</f>
        <v/>
      </c>
      <c r="W11" s="11">
        <f>IF(OR($U11="",$J11=""),"",$L11*($U11*$J11+(1-$U11)*$K11))</f>
        <v/>
      </c>
      <c r="X11">
        <f>IF($W11="","",IF(LEFT($B11,4)="DOTA",Config!$B$7,Config!$B$6)*$W11+$L11^2*$U11*(1-$U11)*($J11-$K11)^2)</f>
        <v/>
      </c>
      <c r="Y11" s="11">
        <f>IF($O11="","",$O11)</f>
        <v/>
      </c>
      <c r="Z11">
        <f>IF($P11="","",$P11)</f>
        <v/>
      </c>
      <c r="AA11" s="11">
        <f>IF($O11="","",N($N11)*N($O11)+N($R11)*N($S11))</f>
        <v/>
      </c>
      <c r="AB11">
        <f>IF($O11="","",(N($N11)*N($P11)+N($N11)*(1-N($N11))*N($O11)^2)+(N($R11)*N($T11)+N($R11)*(1-N($R11))*N($S11)^2))</f>
        <v/>
      </c>
      <c r="AC11" s="11">
        <f>IF($O11="","",N($N11)*N($O11)+N($R11)*N($S11)+N($V11)*N($W11))</f>
        <v/>
      </c>
      <c r="AD11">
        <f>IF($O11="","",(N($N11)*N($P11)+N($N11)*(1-N($N11))*N($O11)^2)+(N($R11)*N($T11)+N($R11)*(1-N($R11))*N($S11)^2)+(N($V11)*N($X11)+N($V11)*(1-N($V11))*N($W11)^2))</f>
        <v/>
      </c>
      <c r="AE11" s="11">
        <f>IF($I11="","",$I11*$L11)</f>
        <v/>
      </c>
      <c r="AF11" s="11">
        <f>IF($I11="","",$I11*$L11*(1+N($R11)))</f>
        <v/>
      </c>
      <c r="AG11" s="11">
        <f>IF($I11="","",$I11*$L11*(1+N($R11)+N($V11)))</f>
        <v/>
      </c>
      <c r="AH11">
        <f>TRIM(IF($G11&lt;Config!$B$9,"thin sample ("&amp;$G11&amp;" maps) · ","")&amp;IF($I11="","no PickFinder stats · ","")&amp;IFERROR(IF(INDEX(Players!$T$2:$T$43,MATCH($E11,Players!$A$2:$A$43,0))&lt;0.5,"new roster: "&amp;TEXT(INDEX(Players!$T$2:$T$43,MATCH($E11,Players!$A$2:$A$43,0)),"0%")&amp;" of his recent games with these teammates",""),""))</f>
        <v/>
      </c>
      <c r="AI11">
        <f>IF($B11=Board!$B$2,COUNTIFS($B$2:$B$43,Board!$B$2,$Y$2:$Y$43,"&gt;"&amp;$Y11)+COUNTIFS($B$1:$B10,Board!$B$2,$Y$1:$Y10,$Y11)+1,"")</f>
        <v/>
      </c>
      <c r="AJ11">
        <f>IFERROR(IF(INDEX(Matches!$D$5:$D$9,MATCH($B11,Matches!$A$5:$A$9,0))=3,"K12","K13"),"K13")</f>
        <v/>
      </c>
      <c r="AK11" s="11">
        <f>IF($AJ11="K12",$AA11,$AC11)</f>
        <v/>
      </c>
    </row>
    <row r="12">
      <c r="A12" t="inlineStr">
        <is>
          <t>hkpy2i1q2cf4qrd|DOTA · PARI vs TY</t>
        </is>
      </c>
      <c r="B12" t="inlineStr">
        <is>
          <t>DOTA · PARI vs TY</t>
        </is>
      </c>
      <c r="C12" t="inlineStr">
        <is>
          <t>PARI</t>
        </is>
      </c>
      <c r="D12" t="inlineStr">
        <is>
          <t>Noticed</t>
        </is>
      </c>
      <c r="E12" t="inlineStr">
        <is>
          <t>hkpy2i1q2cf4qrd</t>
        </is>
      </c>
      <c r="F12">
        <f>IFERROR(IF($C12=INDEX(Matches!$S$5:$S$9,MATCH($B12,Matches!$A$5:$A$9,0)),"A",IF($C12=INDEX(Matches!$T$5:$T$9,MATCH($B12,Matches!$A$5:$A$9,0)),"B","")),"")</f>
        <v/>
      </c>
      <c r="G12">
        <f>IFERROR(INDEX(Players!$E$2:$E$43,MATCH($E12,Players!$A$2:$A$43,0)),0)</f>
        <v/>
      </c>
      <c r="H12" s="6">
        <f>IFERROR(INDEX(Players!$F$2:$F$43,MATCH($E12,Players!$A$2:$A$43,0)),"")</f>
        <v/>
      </c>
      <c r="I12">
        <f>IFERROR(INDEX(Players!$G$2:$G$43,MATCH($E12,Players!$A$2:$A$43,0)),"")</f>
        <v/>
      </c>
      <c r="J12" s="11">
        <f>IF(OR($I12="",$H12=""),"",$I12*IF(LEFT($B12,4)="DOTA",Config!$B$5,Config!$B$4)/($H12*IF(LEFT($B12,4)="DOTA",Config!$B$5,Config!$B$4)+1-$H12))</f>
        <v/>
      </c>
      <c r="K12" s="11">
        <f>IF(OR($I12="",$H12=""),"",$I12/($H12*IF(LEFT($B12,4)="DOTA",Config!$B$5,Config!$B$4)+1-$H12))</f>
        <v/>
      </c>
      <c r="L12">
        <f>IFERROR(INDEX(Matches!$R$5:$R$9,MATCH($B12,Matches!$A$5:$A$9,0)),1)</f>
        <v/>
      </c>
      <c r="M12" s="6">
        <f>IFERROR(IF(INDEX(Matches!$M$5:$M$9,MATCH($B12,Matches!$A$5:$A$9,0))="","",IF($F12="A",INDEX(Matches!$M$5:$M$9,MATCH($B12,Matches!$A$5:$A$9,0)),1-INDEX(Matches!$M$5:$M$9,MATCH($B12,Matches!$A$5:$A$9,0)))),"")</f>
        <v/>
      </c>
      <c r="N12">
        <f>1</f>
        <v/>
      </c>
      <c r="O12" s="11">
        <f>IF(OR($M12="",$J12=""),"",$L12*($M12*$J12+(1-$M12)*$K12))</f>
        <v/>
      </c>
      <c r="P12">
        <f>IF($O12="","",IF(LEFT($B12,4)="DOTA",Config!$B$7,Config!$B$6)*$O12+$L12^2*$M12*(1-$M12)*($J12-$K12)^2)</f>
        <v/>
      </c>
      <c r="Q12" s="6">
        <f>IFERROR(IF(INDEX(Matches!$N$5:$N$9,MATCH($B12,Matches!$A$5:$A$9,0))="","",IF($F12="A",INDEX(Matches!$N$5:$N$9,MATCH($B12,Matches!$A$5:$A$9,0)),1-INDEX(Matches!$N$5:$N$9,MATCH($B12,Matches!$A$5:$A$9,0)))),"")</f>
        <v/>
      </c>
      <c r="R12">
        <f>IFERROR(N(INDEX(Matches!$P$5:$P$9,MATCH($B12,Matches!$A$5:$A$9,0))),0)</f>
        <v/>
      </c>
      <c r="S12" s="11">
        <f>IF(OR($Q12="",$J12=""),"",$L12*($Q12*$J12+(1-$Q12)*$K12))</f>
        <v/>
      </c>
      <c r="T12">
        <f>IF($S12="","",IF(LEFT($B12,4)="DOTA",Config!$B$7,Config!$B$6)*$S12+$L12^2*$Q12*(1-$Q12)*($J12-$K12)^2)</f>
        <v/>
      </c>
      <c r="U12" s="6">
        <f>IFERROR(IF(INDEX(Matches!$O$5:$O$9,MATCH($B12,Matches!$A$5:$A$9,0))="","",IF($F12="A",INDEX(Matches!$O$5:$O$9,MATCH($B12,Matches!$A$5:$A$9,0)),1-INDEX(Matches!$O$5:$O$9,MATCH($B12,Matches!$A$5:$A$9,0)))),"")</f>
        <v/>
      </c>
      <c r="V12">
        <f>IFERROR(N(INDEX(Matches!$Q$5:$Q$9,MATCH($B12,Matches!$A$5:$A$9,0))),0)</f>
        <v/>
      </c>
      <c r="W12" s="11">
        <f>IF(OR($U12="",$J12=""),"",$L12*($U12*$J12+(1-$U12)*$K12))</f>
        <v/>
      </c>
      <c r="X12">
        <f>IF($W12="","",IF(LEFT($B12,4)="DOTA",Config!$B$7,Config!$B$6)*$W12+$L12^2*$U12*(1-$U12)*($J12-$K12)^2)</f>
        <v/>
      </c>
      <c r="Y12" s="11">
        <f>IF($O12="","",$O12)</f>
        <v/>
      </c>
      <c r="Z12">
        <f>IF($P12="","",$P12)</f>
        <v/>
      </c>
      <c r="AA12" s="11">
        <f>IF($O12="","",N($N12)*N($O12)+N($R12)*N($S12))</f>
        <v/>
      </c>
      <c r="AB12">
        <f>IF($O12="","",(N($N12)*N($P12)+N($N12)*(1-N($N12))*N($O12)^2)+(N($R12)*N($T12)+N($R12)*(1-N($R12))*N($S12)^2))</f>
        <v/>
      </c>
      <c r="AC12" s="11">
        <f>IF($O12="","",N($N12)*N($O12)+N($R12)*N($S12)+N($V12)*N($W12))</f>
        <v/>
      </c>
      <c r="AD12">
        <f>IF($O12="","",(N($N12)*N($P12)+N($N12)*(1-N($N12))*N($O12)^2)+(N($R12)*N($T12)+N($R12)*(1-N($R12))*N($S12)^2)+(N($V12)*N($X12)+N($V12)*(1-N($V12))*N($W12)^2))</f>
        <v/>
      </c>
      <c r="AE12" s="11">
        <f>IF($I12="","",$I12*$L12)</f>
        <v/>
      </c>
      <c r="AF12" s="11">
        <f>IF($I12="","",$I12*$L12*(1+N($R12)))</f>
        <v/>
      </c>
      <c r="AG12" s="11">
        <f>IF($I12="","",$I12*$L12*(1+N($R12)+N($V12)))</f>
        <v/>
      </c>
      <c r="AH12">
        <f>TRIM(IF($G12&lt;Config!$B$9,"thin sample ("&amp;$G12&amp;" maps) · ","")&amp;IF($I12="","no PickFinder stats · ","")&amp;IFERROR(IF(INDEX(Players!$T$2:$T$43,MATCH($E12,Players!$A$2:$A$43,0))&lt;0.5,"new roster: "&amp;TEXT(INDEX(Players!$T$2:$T$43,MATCH($E12,Players!$A$2:$A$43,0)),"0%")&amp;" of his recent games with these teammates",""),""))</f>
        <v/>
      </c>
      <c r="AI12">
        <f>IF($B12=Board!$B$2,COUNTIFS($B$2:$B$43,Board!$B$2,$Y$2:$Y$43,"&gt;"&amp;$Y12)+COUNTIFS($B$1:$B11,Board!$B$2,$Y$1:$Y11,$Y12)+1,"")</f>
        <v/>
      </c>
      <c r="AJ12">
        <f>IFERROR(IF(INDEX(Matches!$D$5:$D$9,MATCH($B12,Matches!$A$5:$A$9,0))=3,"K12","K13"),"K13")</f>
        <v/>
      </c>
      <c r="AK12" s="11">
        <f>IF($AJ12="K12",$AA12,$AC12)</f>
        <v/>
      </c>
    </row>
    <row r="13">
      <c r="A13" t="inlineStr">
        <is>
          <t>s178rxweg2uixdf|DOTA · PARI vs TY</t>
        </is>
      </c>
      <c r="B13" t="inlineStr">
        <is>
          <t>DOTA · PARI vs TY</t>
        </is>
      </c>
      <c r="C13" t="inlineStr">
        <is>
          <t>PARI</t>
        </is>
      </c>
      <c r="D13" t="inlineStr">
        <is>
          <t>Satanic</t>
        </is>
      </c>
      <c r="E13" t="inlineStr">
        <is>
          <t>s178rxweg2uixdf</t>
        </is>
      </c>
      <c r="F13">
        <f>IFERROR(IF($C13=INDEX(Matches!$S$5:$S$9,MATCH($B13,Matches!$A$5:$A$9,0)),"A",IF($C13=INDEX(Matches!$T$5:$T$9,MATCH($B13,Matches!$A$5:$A$9,0)),"B","")),"")</f>
        <v/>
      </c>
      <c r="G13">
        <f>IFERROR(INDEX(Players!$E$2:$E$43,MATCH($E13,Players!$A$2:$A$43,0)),0)</f>
        <v/>
      </c>
      <c r="H13" s="6">
        <f>IFERROR(INDEX(Players!$F$2:$F$43,MATCH($E13,Players!$A$2:$A$43,0)),"")</f>
        <v/>
      </c>
      <c r="I13">
        <f>IFERROR(INDEX(Players!$G$2:$G$43,MATCH($E13,Players!$A$2:$A$43,0)),"")</f>
        <v/>
      </c>
      <c r="J13" s="11">
        <f>IF(OR($I13="",$H13=""),"",$I13*IF(LEFT($B13,4)="DOTA",Config!$B$5,Config!$B$4)/($H13*IF(LEFT($B13,4)="DOTA",Config!$B$5,Config!$B$4)+1-$H13))</f>
        <v/>
      </c>
      <c r="K13" s="11">
        <f>IF(OR($I13="",$H13=""),"",$I13/($H13*IF(LEFT($B13,4)="DOTA",Config!$B$5,Config!$B$4)+1-$H13))</f>
        <v/>
      </c>
      <c r="L13">
        <f>IFERROR(INDEX(Matches!$R$5:$R$9,MATCH($B13,Matches!$A$5:$A$9,0)),1)</f>
        <v/>
      </c>
      <c r="M13" s="6">
        <f>IFERROR(IF(INDEX(Matches!$M$5:$M$9,MATCH($B13,Matches!$A$5:$A$9,0))="","",IF($F13="A",INDEX(Matches!$M$5:$M$9,MATCH($B13,Matches!$A$5:$A$9,0)),1-INDEX(Matches!$M$5:$M$9,MATCH($B13,Matches!$A$5:$A$9,0)))),"")</f>
        <v/>
      </c>
      <c r="N13">
        <f>1</f>
        <v/>
      </c>
      <c r="O13" s="11">
        <f>IF(OR($M13="",$J13=""),"",$L13*($M13*$J13+(1-$M13)*$K13))</f>
        <v/>
      </c>
      <c r="P13">
        <f>IF($O13="","",IF(LEFT($B13,4)="DOTA",Config!$B$7,Config!$B$6)*$O13+$L13^2*$M13*(1-$M13)*($J13-$K13)^2)</f>
        <v/>
      </c>
      <c r="Q13" s="6">
        <f>IFERROR(IF(INDEX(Matches!$N$5:$N$9,MATCH($B13,Matches!$A$5:$A$9,0))="","",IF($F13="A",INDEX(Matches!$N$5:$N$9,MATCH($B13,Matches!$A$5:$A$9,0)),1-INDEX(Matches!$N$5:$N$9,MATCH($B13,Matches!$A$5:$A$9,0)))),"")</f>
        <v/>
      </c>
      <c r="R13">
        <f>IFERROR(N(INDEX(Matches!$P$5:$P$9,MATCH($B13,Matches!$A$5:$A$9,0))),0)</f>
        <v/>
      </c>
      <c r="S13" s="11">
        <f>IF(OR($Q13="",$J13=""),"",$L13*($Q13*$J13+(1-$Q13)*$K13))</f>
        <v/>
      </c>
      <c r="T13">
        <f>IF($S13="","",IF(LEFT($B13,4)="DOTA",Config!$B$7,Config!$B$6)*$S13+$L13^2*$Q13*(1-$Q13)*($J13-$K13)^2)</f>
        <v/>
      </c>
      <c r="U13" s="6">
        <f>IFERROR(IF(INDEX(Matches!$O$5:$O$9,MATCH($B13,Matches!$A$5:$A$9,0))="","",IF($F13="A",INDEX(Matches!$O$5:$O$9,MATCH($B13,Matches!$A$5:$A$9,0)),1-INDEX(Matches!$O$5:$O$9,MATCH($B13,Matches!$A$5:$A$9,0)))),"")</f>
        <v/>
      </c>
      <c r="V13">
        <f>IFERROR(N(INDEX(Matches!$Q$5:$Q$9,MATCH($B13,Matches!$A$5:$A$9,0))),0)</f>
        <v/>
      </c>
      <c r="W13" s="11">
        <f>IF(OR($U13="",$J13=""),"",$L13*($U13*$J13+(1-$U13)*$K13))</f>
        <v/>
      </c>
      <c r="X13">
        <f>IF($W13="","",IF(LEFT($B13,4)="DOTA",Config!$B$7,Config!$B$6)*$W13+$L13^2*$U13*(1-$U13)*($J13-$K13)^2)</f>
        <v/>
      </c>
      <c r="Y13" s="11">
        <f>IF($O13="","",$O13)</f>
        <v/>
      </c>
      <c r="Z13">
        <f>IF($P13="","",$P13)</f>
        <v/>
      </c>
      <c r="AA13" s="11">
        <f>IF($O13="","",N($N13)*N($O13)+N($R13)*N($S13))</f>
        <v/>
      </c>
      <c r="AB13">
        <f>IF($O13="","",(N($N13)*N($P13)+N($N13)*(1-N($N13))*N($O13)^2)+(N($R13)*N($T13)+N($R13)*(1-N($R13))*N($S13)^2))</f>
        <v/>
      </c>
      <c r="AC13" s="11">
        <f>IF($O13="","",N($N13)*N($O13)+N($R13)*N($S13)+N($V13)*N($W13))</f>
        <v/>
      </c>
      <c r="AD13">
        <f>IF($O13="","",(N($N13)*N($P13)+N($N13)*(1-N($N13))*N($O13)^2)+(N($R13)*N($T13)+N($R13)*(1-N($R13))*N($S13)^2)+(N($V13)*N($X13)+N($V13)*(1-N($V13))*N($W13)^2))</f>
        <v/>
      </c>
      <c r="AE13" s="11">
        <f>IF($I13="","",$I13*$L13)</f>
        <v/>
      </c>
      <c r="AF13" s="11">
        <f>IF($I13="","",$I13*$L13*(1+N($R13)))</f>
        <v/>
      </c>
      <c r="AG13" s="11">
        <f>IF($I13="","",$I13*$L13*(1+N($R13)+N($V13)))</f>
        <v/>
      </c>
      <c r="AH13">
        <f>TRIM(IF($G13&lt;Config!$B$9,"thin sample ("&amp;$G13&amp;" maps) · ","")&amp;IF($I13="","no PickFinder stats · ","")&amp;IFERROR(IF(INDEX(Players!$T$2:$T$43,MATCH($E13,Players!$A$2:$A$43,0))&lt;0.5,"new roster: "&amp;TEXT(INDEX(Players!$T$2:$T$43,MATCH($E13,Players!$A$2:$A$43,0)),"0%")&amp;" of his recent games with these teammates",""),""))</f>
        <v/>
      </c>
      <c r="AI13">
        <f>IF($B13=Board!$B$2,COUNTIFS($B$2:$B$43,Board!$B$2,$Y$2:$Y$43,"&gt;"&amp;$Y13)+COUNTIFS($B$1:$B12,Board!$B$2,$Y$1:$Y12,$Y13)+1,"")</f>
        <v/>
      </c>
      <c r="AJ13">
        <f>IFERROR(IF(INDEX(Matches!$D$5:$D$9,MATCH($B13,Matches!$A$5:$A$9,0))=3,"K12","K13"),"K13")</f>
        <v/>
      </c>
      <c r="AK13" s="11">
        <f>IF($AJ13="K12",$AA13,$AC13)</f>
        <v/>
      </c>
    </row>
    <row r="14">
      <c r="A14" t="inlineStr">
        <is>
          <t>gjtmq8fbk0gya2i|DOTA · PARI vs TY</t>
        </is>
      </c>
      <c r="B14" t="inlineStr">
        <is>
          <t>DOTA · PARI vs TY</t>
        </is>
      </c>
      <c r="C14" t="inlineStr">
        <is>
          <t>TY</t>
        </is>
      </c>
      <c r="D14" t="inlineStr">
        <is>
          <t>ATF</t>
        </is>
      </c>
      <c r="E14" t="inlineStr">
        <is>
          <t>gjtmq8fbk0gya2i</t>
        </is>
      </c>
      <c r="F14">
        <f>IFERROR(IF($C14=INDEX(Matches!$S$5:$S$9,MATCH($B14,Matches!$A$5:$A$9,0)),"A",IF($C14=INDEX(Matches!$T$5:$T$9,MATCH($B14,Matches!$A$5:$A$9,0)),"B","")),"")</f>
        <v/>
      </c>
      <c r="G14">
        <f>IFERROR(INDEX(Players!$E$2:$E$43,MATCH($E14,Players!$A$2:$A$43,0)),0)</f>
        <v/>
      </c>
      <c r="H14" s="6">
        <f>IFERROR(INDEX(Players!$F$2:$F$43,MATCH($E14,Players!$A$2:$A$43,0)),"")</f>
        <v/>
      </c>
      <c r="I14">
        <f>IFERROR(INDEX(Players!$G$2:$G$43,MATCH($E14,Players!$A$2:$A$43,0)),"")</f>
        <v/>
      </c>
      <c r="J14" s="11">
        <f>IF(OR($I14="",$H14=""),"",$I14*IF(LEFT($B14,4)="DOTA",Config!$B$5,Config!$B$4)/($H14*IF(LEFT($B14,4)="DOTA",Config!$B$5,Config!$B$4)+1-$H14))</f>
        <v/>
      </c>
      <c r="K14" s="11">
        <f>IF(OR($I14="",$H14=""),"",$I14/($H14*IF(LEFT($B14,4)="DOTA",Config!$B$5,Config!$B$4)+1-$H14))</f>
        <v/>
      </c>
      <c r="L14">
        <f>IFERROR(INDEX(Matches!$R$5:$R$9,MATCH($B14,Matches!$A$5:$A$9,0)),1)</f>
        <v/>
      </c>
      <c r="M14" s="6">
        <f>IFERROR(IF(INDEX(Matches!$M$5:$M$9,MATCH($B14,Matches!$A$5:$A$9,0))="","",IF($F14="A",INDEX(Matches!$M$5:$M$9,MATCH($B14,Matches!$A$5:$A$9,0)),1-INDEX(Matches!$M$5:$M$9,MATCH($B14,Matches!$A$5:$A$9,0)))),"")</f>
        <v/>
      </c>
      <c r="N14">
        <f>1</f>
        <v/>
      </c>
      <c r="O14" s="11">
        <f>IF(OR($M14="",$J14=""),"",$L14*($M14*$J14+(1-$M14)*$K14))</f>
        <v/>
      </c>
      <c r="P14">
        <f>IF($O14="","",IF(LEFT($B14,4)="DOTA",Config!$B$7,Config!$B$6)*$O14+$L14^2*$M14*(1-$M14)*($J14-$K14)^2)</f>
        <v/>
      </c>
      <c r="Q14" s="6">
        <f>IFERROR(IF(INDEX(Matches!$N$5:$N$9,MATCH($B14,Matches!$A$5:$A$9,0))="","",IF($F14="A",INDEX(Matches!$N$5:$N$9,MATCH($B14,Matches!$A$5:$A$9,0)),1-INDEX(Matches!$N$5:$N$9,MATCH($B14,Matches!$A$5:$A$9,0)))),"")</f>
        <v/>
      </c>
      <c r="R14">
        <f>IFERROR(N(INDEX(Matches!$P$5:$P$9,MATCH($B14,Matches!$A$5:$A$9,0))),0)</f>
        <v/>
      </c>
      <c r="S14" s="11">
        <f>IF(OR($Q14="",$J14=""),"",$L14*($Q14*$J14+(1-$Q14)*$K14))</f>
        <v/>
      </c>
      <c r="T14">
        <f>IF($S14="","",IF(LEFT($B14,4)="DOTA",Config!$B$7,Config!$B$6)*$S14+$L14^2*$Q14*(1-$Q14)*($J14-$K14)^2)</f>
        <v/>
      </c>
      <c r="U14" s="6">
        <f>IFERROR(IF(INDEX(Matches!$O$5:$O$9,MATCH($B14,Matches!$A$5:$A$9,0))="","",IF($F14="A",INDEX(Matches!$O$5:$O$9,MATCH($B14,Matches!$A$5:$A$9,0)),1-INDEX(Matches!$O$5:$O$9,MATCH($B14,Matches!$A$5:$A$9,0)))),"")</f>
        <v/>
      </c>
      <c r="V14">
        <f>IFERROR(N(INDEX(Matches!$Q$5:$Q$9,MATCH($B14,Matches!$A$5:$A$9,0))),0)</f>
        <v/>
      </c>
      <c r="W14" s="11">
        <f>IF(OR($U14="",$J14=""),"",$L14*($U14*$J14+(1-$U14)*$K14))</f>
        <v/>
      </c>
      <c r="X14">
        <f>IF($W14="","",IF(LEFT($B14,4)="DOTA",Config!$B$7,Config!$B$6)*$W14+$L14^2*$U14*(1-$U14)*($J14-$K14)^2)</f>
        <v/>
      </c>
      <c r="Y14" s="11">
        <f>IF($O14="","",$O14)</f>
        <v/>
      </c>
      <c r="Z14">
        <f>IF($P14="","",$P14)</f>
        <v/>
      </c>
      <c r="AA14" s="11">
        <f>IF($O14="","",N($N14)*N($O14)+N($R14)*N($S14))</f>
        <v/>
      </c>
      <c r="AB14">
        <f>IF($O14="","",(N($N14)*N($P14)+N($N14)*(1-N($N14))*N($O14)^2)+(N($R14)*N($T14)+N($R14)*(1-N($R14))*N($S14)^2))</f>
        <v/>
      </c>
      <c r="AC14" s="11">
        <f>IF($O14="","",N($N14)*N($O14)+N($R14)*N($S14)+N($V14)*N($W14))</f>
        <v/>
      </c>
      <c r="AD14">
        <f>IF($O14="","",(N($N14)*N($P14)+N($N14)*(1-N($N14))*N($O14)^2)+(N($R14)*N($T14)+N($R14)*(1-N($R14))*N($S14)^2)+(N($V14)*N($X14)+N($V14)*(1-N($V14))*N($W14)^2))</f>
        <v/>
      </c>
      <c r="AE14" s="11">
        <f>IF($I14="","",$I14*$L14)</f>
        <v/>
      </c>
      <c r="AF14" s="11">
        <f>IF($I14="","",$I14*$L14*(1+N($R14)))</f>
        <v/>
      </c>
      <c r="AG14" s="11">
        <f>IF($I14="","",$I14*$L14*(1+N($R14)+N($V14)))</f>
        <v/>
      </c>
      <c r="AH14">
        <f>TRIM(IF($G14&lt;Config!$B$9,"thin sample ("&amp;$G14&amp;" maps) · ","")&amp;IF($I14="","no PickFinder stats · ","")&amp;IFERROR(IF(INDEX(Players!$T$2:$T$43,MATCH($E14,Players!$A$2:$A$43,0))&lt;0.5,"new roster: "&amp;TEXT(INDEX(Players!$T$2:$T$43,MATCH($E14,Players!$A$2:$A$43,0)),"0%")&amp;" of his recent games with these teammates",""),""))</f>
        <v/>
      </c>
      <c r="AI14">
        <f>IF($B14=Board!$B$2,COUNTIFS($B$2:$B$43,Board!$B$2,$Y$2:$Y$43,"&gt;"&amp;$Y14)+COUNTIFS($B$1:$B13,Board!$B$2,$Y$1:$Y13,$Y14)+1,"")</f>
        <v/>
      </c>
      <c r="AJ14">
        <f>IFERROR(IF(INDEX(Matches!$D$5:$D$9,MATCH($B14,Matches!$A$5:$A$9,0))=3,"K12","K13"),"K13")</f>
        <v/>
      </c>
      <c r="AK14" s="11">
        <f>IF($AJ14="K12",$AA14,$AC14)</f>
        <v/>
      </c>
    </row>
    <row r="15">
      <c r="A15" t="inlineStr">
        <is>
          <t>ms674i51eq6w83k|DOTA · PARI vs TY</t>
        </is>
      </c>
      <c r="B15" t="inlineStr">
        <is>
          <t>DOTA · PARI vs TY</t>
        </is>
      </c>
      <c r="C15" t="inlineStr">
        <is>
          <t>TY</t>
        </is>
      </c>
      <c r="D15" t="inlineStr">
        <is>
          <t>Chira JUNIOR</t>
        </is>
      </c>
      <c r="E15" t="inlineStr">
        <is>
          <t>ms674i51eq6w83k</t>
        </is>
      </c>
      <c r="F15">
        <f>IFERROR(IF($C15=INDEX(Matches!$S$5:$S$9,MATCH($B15,Matches!$A$5:$A$9,0)),"A",IF($C15=INDEX(Matches!$T$5:$T$9,MATCH($B15,Matches!$A$5:$A$9,0)),"B","")),"")</f>
        <v/>
      </c>
      <c r="G15">
        <f>IFERROR(INDEX(Players!$E$2:$E$43,MATCH($E15,Players!$A$2:$A$43,0)),0)</f>
        <v/>
      </c>
      <c r="H15" s="6">
        <f>IFERROR(INDEX(Players!$F$2:$F$43,MATCH($E15,Players!$A$2:$A$43,0)),"")</f>
        <v/>
      </c>
      <c r="I15">
        <f>IFERROR(INDEX(Players!$G$2:$G$43,MATCH($E15,Players!$A$2:$A$43,0)),"")</f>
        <v/>
      </c>
      <c r="J15" s="11">
        <f>IF(OR($I15="",$H15=""),"",$I15*IF(LEFT($B15,4)="DOTA",Config!$B$5,Config!$B$4)/($H15*IF(LEFT($B15,4)="DOTA",Config!$B$5,Config!$B$4)+1-$H15))</f>
        <v/>
      </c>
      <c r="K15" s="11">
        <f>IF(OR($I15="",$H15=""),"",$I15/($H15*IF(LEFT($B15,4)="DOTA",Config!$B$5,Config!$B$4)+1-$H15))</f>
        <v/>
      </c>
      <c r="L15">
        <f>IFERROR(INDEX(Matches!$R$5:$R$9,MATCH($B15,Matches!$A$5:$A$9,0)),1)</f>
        <v/>
      </c>
      <c r="M15" s="6">
        <f>IFERROR(IF(INDEX(Matches!$M$5:$M$9,MATCH($B15,Matches!$A$5:$A$9,0))="","",IF($F15="A",INDEX(Matches!$M$5:$M$9,MATCH($B15,Matches!$A$5:$A$9,0)),1-INDEX(Matches!$M$5:$M$9,MATCH($B15,Matches!$A$5:$A$9,0)))),"")</f>
        <v/>
      </c>
      <c r="N15">
        <f>1</f>
        <v/>
      </c>
      <c r="O15" s="11">
        <f>IF(OR($M15="",$J15=""),"",$L15*($M15*$J15+(1-$M15)*$K15))</f>
        <v/>
      </c>
      <c r="P15">
        <f>IF($O15="","",IF(LEFT($B15,4)="DOTA",Config!$B$7,Config!$B$6)*$O15+$L15^2*$M15*(1-$M15)*($J15-$K15)^2)</f>
        <v/>
      </c>
      <c r="Q15" s="6">
        <f>IFERROR(IF(INDEX(Matches!$N$5:$N$9,MATCH($B15,Matches!$A$5:$A$9,0))="","",IF($F15="A",INDEX(Matches!$N$5:$N$9,MATCH($B15,Matches!$A$5:$A$9,0)),1-INDEX(Matches!$N$5:$N$9,MATCH($B15,Matches!$A$5:$A$9,0)))),"")</f>
        <v/>
      </c>
      <c r="R15">
        <f>IFERROR(N(INDEX(Matches!$P$5:$P$9,MATCH($B15,Matches!$A$5:$A$9,0))),0)</f>
        <v/>
      </c>
      <c r="S15" s="11">
        <f>IF(OR($Q15="",$J15=""),"",$L15*($Q15*$J15+(1-$Q15)*$K15))</f>
        <v/>
      </c>
      <c r="T15">
        <f>IF($S15="","",IF(LEFT($B15,4)="DOTA",Config!$B$7,Config!$B$6)*$S15+$L15^2*$Q15*(1-$Q15)*($J15-$K15)^2)</f>
        <v/>
      </c>
      <c r="U15" s="6">
        <f>IFERROR(IF(INDEX(Matches!$O$5:$O$9,MATCH($B15,Matches!$A$5:$A$9,0))="","",IF($F15="A",INDEX(Matches!$O$5:$O$9,MATCH($B15,Matches!$A$5:$A$9,0)),1-INDEX(Matches!$O$5:$O$9,MATCH($B15,Matches!$A$5:$A$9,0)))),"")</f>
        <v/>
      </c>
      <c r="V15">
        <f>IFERROR(N(INDEX(Matches!$Q$5:$Q$9,MATCH($B15,Matches!$A$5:$A$9,0))),0)</f>
        <v/>
      </c>
      <c r="W15" s="11">
        <f>IF(OR($U15="",$J15=""),"",$L15*($U15*$J15+(1-$U15)*$K15))</f>
        <v/>
      </c>
      <c r="X15">
        <f>IF($W15="","",IF(LEFT($B15,4)="DOTA",Config!$B$7,Config!$B$6)*$W15+$L15^2*$U15*(1-$U15)*($J15-$K15)^2)</f>
        <v/>
      </c>
      <c r="Y15" s="11">
        <f>IF($O15="","",$O15)</f>
        <v/>
      </c>
      <c r="Z15">
        <f>IF($P15="","",$P15)</f>
        <v/>
      </c>
      <c r="AA15" s="11">
        <f>IF($O15="","",N($N15)*N($O15)+N($R15)*N($S15))</f>
        <v/>
      </c>
      <c r="AB15">
        <f>IF($O15="","",(N($N15)*N($P15)+N($N15)*(1-N($N15))*N($O15)^2)+(N($R15)*N($T15)+N($R15)*(1-N($R15))*N($S15)^2))</f>
        <v/>
      </c>
      <c r="AC15" s="11">
        <f>IF($O15="","",N($N15)*N($O15)+N($R15)*N($S15)+N($V15)*N($W15))</f>
        <v/>
      </c>
      <c r="AD15">
        <f>IF($O15="","",(N($N15)*N($P15)+N($N15)*(1-N($N15))*N($O15)^2)+(N($R15)*N($T15)+N($R15)*(1-N($R15))*N($S15)^2)+(N($V15)*N($X15)+N($V15)*(1-N($V15))*N($W15)^2))</f>
        <v/>
      </c>
      <c r="AE15" s="11">
        <f>IF($I15="","",$I15*$L15)</f>
        <v/>
      </c>
      <c r="AF15" s="11">
        <f>IF($I15="","",$I15*$L15*(1+N($R15)))</f>
        <v/>
      </c>
      <c r="AG15" s="11">
        <f>IF($I15="","",$I15*$L15*(1+N($R15)+N($V15)))</f>
        <v/>
      </c>
      <c r="AH15">
        <f>TRIM(IF($G15&lt;Config!$B$9,"thin sample ("&amp;$G15&amp;" maps) · ","")&amp;IF($I15="","no PickFinder stats · ","")&amp;IFERROR(IF(INDEX(Players!$T$2:$T$43,MATCH($E15,Players!$A$2:$A$43,0))&lt;0.5,"new roster: "&amp;TEXT(INDEX(Players!$T$2:$T$43,MATCH($E15,Players!$A$2:$A$43,0)),"0%")&amp;" of his recent games with these teammates",""),""))</f>
        <v/>
      </c>
      <c r="AI15">
        <f>IF($B15=Board!$B$2,COUNTIFS($B$2:$B$43,Board!$B$2,$Y$2:$Y$43,"&gt;"&amp;$Y15)+COUNTIFS($B$1:$B14,Board!$B$2,$Y$1:$Y14,$Y15)+1,"")</f>
        <v/>
      </c>
      <c r="AJ15">
        <f>IFERROR(IF(INDEX(Matches!$D$5:$D$9,MATCH($B15,Matches!$A$5:$A$9,0))=3,"K12","K13"),"K13")</f>
        <v/>
      </c>
      <c r="AK15" s="11">
        <f>IF($AJ15="K12",$AA15,$AC15)</f>
        <v/>
      </c>
    </row>
    <row r="16">
      <c r="A16" t="inlineStr">
        <is>
          <t>0ajkyqw3r0k1f5j|DOTA · PARI vs TY</t>
        </is>
      </c>
      <c r="B16" t="inlineStr">
        <is>
          <t>DOTA · PARI vs TY</t>
        </is>
      </c>
      <c r="C16" t="inlineStr">
        <is>
          <t>TY</t>
        </is>
      </c>
      <c r="D16" t="inlineStr">
        <is>
          <t>Malady</t>
        </is>
      </c>
      <c r="E16" t="inlineStr">
        <is>
          <t>0ajkyqw3r0k1f5j</t>
        </is>
      </c>
      <c r="F16">
        <f>IFERROR(IF($C16=INDEX(Matches!$S$5:$S$9,MATCH($B16,Matches!$A$5:$A$9,0)),"A",IF($C16=INDEX(Matches!$T$5:$T$9,MATCH($B16,Matches!$A$5:$A$9,0)),"B","")),"")</f>
        <v/>
      </c>
      <c r="G16">
        <f>IFERROR(INDEX(Players!$E$2:$E$43,MATCH($E16,Players!$A$2:$A$43,0)),0)</f>
        <v/>
      </c>
      <c r="H16" s="6">
        <f>IFERROR(INDEX(Players!$F$2:$F$43,MATCH($E16,Players!$A$2:$A$43,0)),"")</f>
        <v/>
      </c>
      <c r="I16">
        <f>IFERROR(INDEX(Players!$G$2:$G$43,MATCH($E16,Players!$A$2:$A$43,0)),"")</f>
        <v/>
      </c>
      <c r="J16" s="11">
        <f>IF(OR($I16="",$H16=""),"",$I16*IF(LEFT($B16,4)="DOTA",Config!$B$5,Config!$B$4)/($H16*IF(LEFT($B16,4)="DOTA",Config!$B$5,Config!$B$4)+1-$H16))</f>
        <v/>
      </c>
      <c r="K16" s="11">
        <f>IF(OR($I16="",$H16=""),"",$I16/($H16*IF(LEFT($B16,4)="DOTA",Config!$B$5,Config!$B$4)+1-$H16))</f>
        <v/>
      </c>
      <c r="L16">
        <f>IFERROR(INDEX(Matches!$R$5:$R$9,MATCH($B16,Matches!$A$5:$A$9,0)),1)</f>
        <v/>
      </c>
      <c r="M16" s="6">
        <f>IFERROR(IF(INDEX(Matches!$M$5:$M$9,MATCH($B16,Matches!$A$5:$A$9,0))="","",IF($F16="A",INDEX(Matches!$M$5:$M$9,MATCH($B16,Matches!$A$5:$A$9,0)),1-INDEX(Matches!$M$5:$M$9,MATCH($B16,Matches!$A$5:$A$9,0)))),"")</f>
        <v/>
      </c>
      <c r="N16">
        <f>1</f>
        <v/>
      </c>
      <c r="O16" s="11">
        <f>IF(OR($M16="",$J16=""),"",$L16*($M16*$J16+(1-$M16)*$K16))</f>
        <v/>
      </c>
      <c r="P16">
        <f>IF($O16="","",IF(LEFT($B16,4)="DOTA",Config!$B$7,Config!$B$6)*$O16+$L16^2*$M16*(1-$M16)*($J16-$K16)^2)</f>
        <v/>
      </c>
      <c r="Q16" s="6">
        <f>IFERROR(IF(INDEX(Matches!$N$5:$N$9,MATCH($B16,Matches!$A$5:$A$9,0))="","",IF($F16="A",INDEX(Matches!$N$5:$N$9,MATCH($B16,Matches!$A$5:$A$9,0)),1-INDEX(Matches!$N$5:$N$9,MATCH($B16,Matches!$A$5:$A$9,0)))),"")</f>
        <v/>
      </c>
      <c r="R16">
        <f>IFERROR(N(INDEX(Matches!$P$5:$P$9,MATCH($B16,Matches!$A$5:$A$9,0))),0)</f>
        <v/>
      </c>
      <c r="S16" s="11">
        <f>IF(OR($Q16="",$J16=""),"",$L16*($Q16*$J16+(1-$Q16)*$K16))</f>
        <v/>
      </c>
      <c r="T16">
        <f>IF($S16="","",IF(LEFT($B16,4)="DOTA",Config!$B$7,Config!$B$6)*$S16+$L16^2*$Q16*(1-$Q16)*($J16-$K16)^2)</f>
        <v/>
      </c>
      <c r="U16" s="6">
        <f>IFERROR(IF(INDEX(Matches!$O$5:$O$9,MATCH($B16,Matches!$A$5:$A$9,0))="","",IF($F16="A",INDEX(Matches!$O$5:$O$9,MATCH($B16,Matches!$A$5:$A$9,0)),1-INDEX(Matches!$O$5:$O$9,MATCH($B16,Matches!$A$5:$A$9,0)))),"")</f>
        <v/>
      </c>
      <c r="V16">
        <f>IFERROR(N(INDEX(Matches!$Q$5:$Q$9,MATCH($B16,Matches!$A$5:$A$9,0))),0)</f>
        <v/>
      </c>
      <c r="W16" s="11">
        <f>IF(OR($U16="",$J16=""),"",$L16*($U16*$J16+(1-$U16)*$K16))</f>
        <v/>
      </c>
      <c r="X16">
        <f>IF($W16="","",IF(LEFT($B16,4)="DOTA",Config!$B$7,Config!$B$6)*$W16+$L16^2*$U16*(1-$U16)*($J16-$K16)^2)</f>
        <v/>
      </c>
      <c r="Y16" s="11">
        <f>IF($O16="","",$O16)</f>
        <v/>
      </c>
      <c r="Z16">
        <f>IF($P16="","",$P16)</f>
        <v/>
      </c>
      <c r="AA16" s="11">
        <f>IF($O16="","",N($N16)*N($O16)+N($R16)*N($S16))</f>
        <v/>
      </c>
      <c r="AB16">
        <f>IF($O16="","",(N($N16)*N($P16)+N($N16)*(1-N($N16))*N($O16)^2)+(N($R16)*N($T16)+N($R16)*(1-N($R16))*N($S16)^2))</f>
        <v/>
      </c>
      <c r="AC16" s="11">
        <f>IF($O16="","",N($N16)*N($O16)+N($R16)*N($S16)+N($V16)*N($W16))</f>
        <v/>
      </c>
      <c r="AD16">
        <f>IF($O16="","",(N($N16)*N($P16)+N($N16)*(1-N($N16))*N($O16)^2)+(N($R16)*N($T16)+N($R16)*(1-N($R16))*N($S16)^2)+(N($V16)*N($X16)+N($V16)*(1-N($V16))*N($W16)^2))</f>
        <v/>
      </c>
      <c r="AE16" s="11">
        <f>IF($I16="","",$I16*$L16)</f>
        <v/>
      </c>
      <c r="AF16" s="11">
        <f>IF($I16="","",$I16*$L16*(1+N($R16)))</f>
        <v/>
      </c>
      <c r="AG16" s="11">
        <f>IF($I16="","",$I16*$L16*(1+N($R16)+N($V16)))</f>
        <v/>
      </c>
      <c r="AH16">
        <f>TRIM(IF($G16&lt;Config!$B$9,"thin sample ("&amp;$G16&amp;" maps) · ","")&amp;IF($I16="","no PickFinder stats · ","")&amp;IFERROR(IF(INDEX(Players!$T$2:$T$43,MATCH($E16,Players!$A$2:$A$43,0))&lt;0.5,"new roster: "&amp;TEXT(INDEX(Players!$T$2:$T$43,MATCH($E16,Players!$A$2:$A$43,0)),"0%")&amp;" of his recent games with these teammates",""),""))</f>
        <v/>
      </c>
      <c r="AI16">
        <f>IF($B16=Board!$B$2,COUNTIFS($B$2:$B$43,Board!$B$2,$Y$2:$Y$43,"&gt;"&amp;$Y16)+COUNTIFS($B$1:$B15,Board!$B$2,$Y$1:$Y15,$Y16)+1,"")</f>
        <v/>
      </c>
      <c r="AJ16">
        <f>IFERROR(IF(INDEX(Matches!$D$5:$D$9,MATCH($B16,Matches!$A$5:$A$9,0))=3,"K12","K13"),"K13")</f>
        <v/>
      </c>
      <c r="AK16" s="11">
        <f>IF($AJ16="K12",$AA16,$AC16)</f>
        <v/>
      </c>
    </row>
    <row r="17">
      <c r="A17" t="inlineStr">
        <is>
          <t>b2idu6d2bllmgsq|DOTA · PARI vs TY</t>
        </is>
      </c>
      <c r="B17" t="inlineStr">
        <is>
          <t>DOTA · PARI vs TY</t>
        </is>
      </c>
      <c r="C17" t="inlineStr">
        <is>
          <t>TY</t>
        </is>
      </c>
      <c r="D17" t="inlineStr">
        <is>
          <t>Saksa</t>
        </is>
      </c>
      <c r="E17" t="inlineStr">
        <is>
          <t>b2idu6d2bllmgsq</t>
        </is>
      </c>
      <c r="F17">
        <f>IFERROR(IF($C17=INDEX(Matches!$S$5:$S$9,MATCH($B17,Matches!$A$5:$A$9,0)),"A",IF($C17=INDEX(Matches!$T$5:$T$9,MATCH($B17,Matches!$A$5:$A$9,0)),"B","")),"")</f>
        <v/>
      </c>
      <c r="G17">
        <f>IFERROR(INDEX(Players!$E$2:$E$43,MATCH($E17,Players!$A$2:$A$43,0)),0)</f>
        <v/>
      </c>
      <c r="H17" s="6">
        <f>IFERROR(INDEX(Players!$F$2:$F$43,MATCH($E17,Players!$A$2:$A$43,0)),"")</f>
        <v/>
      </c>
      <c r="I17">
        <f>IFERROR(INDEX(Players!$G$2:$G$43,MATCH($E17,Players!$A$2:$A$43,0)),"")</f>
        <v/>
      </c>
      <c r="J17" s="11">
        <f>IF(OR($I17="",$H17=""),"",$I17*IF(LEFT($B17,4)="DOTA",Config!$B$5,Config!$B$4)/($H17*IF(LEFT($B17,4)="DOTA",Config!$B$5,Config!$B$4)+1-$H17))</f>
        <v/>
      </c>
      <c r="K17" s="11">
        <f>IF(OR($I17="",$H17=""),"",$I17/($H17*IF(LEFT($B17,4)="DOTA",Config!$B$5,Config!$B$4)+1-$H17))</f>
        <v/>
      </c>
      <c r="L17">
        <f>IFERROR(INDEX(Matches!$R$5:$R$9,MATCH($B17,Matches!$A$5:$A$9,0)),1)</f>
        <v/>
      </c>
      <c r="M17" s="6">
        <f>IFERROR(IF(INDEX(Matches!$M$5:$M$9,MATCH($B17,Matches!$A$5:$A$9,0))="","",IF($F17="A",INDEX(Matches!$M$5:$M$9,MATCH($B17,Matches!$A$5:$A$9,0)),1-INDEX(Matches!$M$5:$M$9,MATCH($B17,Matches!$A$5:$A$9,0)))),"")</f>
        <v/>
      </c>
      <c r="N17">
        <f>1</f>
        <v/>
      </c>
      <c r="O17" s="11">
        <f>IF(OR($M17="",$J17=""),"",$L17*($M17*$J17+(1-$M17)*$K17))</f>
        <v/>
      </c>
      <c r="P17">
        <f>IF($O17="","",IF(LEFT($B17,4)="DOTA",Config!$B$7,Config!$B$6)*$O17+$L17^2*$M17*(1-$M17)*($J17-$K17)^2)</f>
        <v/>
      </c>
      <c r="Q17" s="6">
        <f>IFERROR(IF(INDEX(Matches!$N$5:$N$9,MATCH($B17,Matches!$A$5:$A$9,0))="","",IF($F17="A",INDEX(Matches!$N$5:$N$9,MATCH($B17,Matches!$A$5:$A$9,0)),1-INDEX(Matches!$N$5:$N$9,MATCH($B17,Matches!$A$5:$A$9,0)))),"")</f>
        <v/>
      </c>
      <c r="R17">
        <f>IFERROR(N(INDEX(Matches!$P$5:$P$9,MATCH($B17,Matches!$A$5:$A$9,0))),0)</f>
        <v/>
      </c>
      <c r="S17" s="11">
        <f>IF(OR($Q17="",$J17=""),"",$L17*($Q17*$J17+(1-$Q17)*$K17))</f>
        <v/>
      </c>
      <c r="T17">
        <f>IF($S17="","",IF(LEFT($B17,4)="DOTA",Config!$B$7,Config!$B$6)*$S17+$L17^2*$Q17*(1-$Q17)*($J17-$K17)^2)</f>
        <v/>
      </c>
      <c r="U17" s="6">
        <f>IFERROR(IF(INDEX(Matches!$O$5:$O$9,MATCH($B17,Matches!$A$5:$A$9,0))="","",IF($F17="A",INDEX(Matches!$O$5:$O$9,MATCH($B17,Matches!$A$5:$A$9,0)),1-INDEX(Matches!$O$5:$O$9,MATCH($B17,Matches!$A$5:$A$9,0)))),"")</f>
        <v/>
      </c>
      <c r="V17">
        <f>IFERROR(N(INDEX(Matches!$Q$5:$Q$9,MATCH($B17,Matches!$A$5:$A$9,0))),0)</f>
        <v/>
      </c>
      <c r="W17" s="11">
        <f>IF(OR($U17="",$J17=""),"",$L17*($U17*$J17+(1-$U17)*$K17))</f>
        <v/>
      </c>
      <c r="X17">
        <f>IF($W17="","",IF(LEFT($B17,4)="DOTA",Config!$B$7,Config!$B$6)*$W17+$L17^2*$U17*(1-$U17)*($J17-$K17)^2)</f>
        <v/>
      </c>
      <c r="Y17" s="11">
        <f>IF($O17="","",$O17)</f>
        <v/>
      </c>
      <c r="Z17">
        <f>IF($P17="","",$P17)</f>
        <v/>
      </c>
      <c r="AA17" s="11">
        <f>IF($O17="","",N($N17)*N($O17)+N($R17)*N($S17))</f>
        <v/>
      </c>
      <c r="AB17">
        <f>IF($O17="","",(N($N17)*N($P17)+N($N17)*(1-N($N17))*N($O17)^2)+(N($R17)*N($T17)+N($R17)*(1-N($R17))*N($S17)^2))</f>
        <v/>
      </c>
      <c r="AC17" s="11">
        <f>IF($O17="","",N($N17)*N($O17)+N($R17)*N($S17)+N($V17)*N($W17))</f>
        <v/>
      </c>
      <c r="AD17">
        <f>IF($O17="","",(N($N17)*N($P17)+N($N17)*(1-N($N17))*N($O17)^2)+(N($R17)*N($T17)+N($R17)*(1-N($R17))*N($S17)^2)+(N($V17)*N($X17)+N($V17)*(1-N($V17))*N($W17)^2))</f>
        <v/>
      </c>
      <c r="AE17" s="11">
        <f>IF($I17="","",$I17*$L17)</f>
        <v/>
      </c>
      <c r="AF17" s="11">
        <f>IF($I17="","",$I17*$L17*(1+N($R17)))</f>
        <v/>
      </c>
      <c r="AG17" s="11">
        <f>IF($I17="","",$I17*$L17*(1+N($R17)+N($V17)))</f>
        <v/>
      </c>
      <c r="AH17">
        <f>TRIM(IF($G17&lt;Config!$B$9,"thin sample ("&amp;$G17&amp;" maps) · ","")&amp;IF($I17="","no PickFinder stats · ","")&amp;IFERROR(IF(INDEX(Players!$T$2:$T$43,MATCH($E17,Players!$A$2:$A$43,0))&lt;0.5,"new roster: "&amp;TEXT(INDEX(Players!$T$2:$T$43,MATCH($E17,Players!$A$2:$A$43,0)),"0%")&amp;" of his recent games with these teammates",""),""))</f>
        <v/>
      </c>
      <c r="AI17">
        <f>IF($B17=Board!$B$2,COUNTIFS($B$2:$B$43,Board!$B$2,$Y$2:$Y$43,"&gt;"&amp;$Y17)+COUNTIFS($B$1:$B16,Board!$B$2,$Y$1:$Y16,$Y17)+1,"")</f>
        <v/>
      </c>
      <c r="AJ17">
        <f>IFERROR(IF(INDEX(Matches!$D$5:$D$9,MATCH($B17,Matches!$A$5:$A$9,0))=3,"K12","K13"),"K13")</f>
        <v/>
      </c>
      <c r="AK17" s="11">
        <f>IF($AJ17="K12",$AA17,$AC17)</f>
        <v/>
      </c>
    </row>
    <row r="18">
      <c r="A18" t="inlineStr">
        <is>
          <t>sm63cqd6f6fdapn|DOTA · PARI vs TY</t>
        </is>
      </c>
      <c r="B18" t="inlineStr">
        <is>
          <t>DOTA · PARI vs TY</t>
        </is>
      </c>
      <c r="C18" t="inlineStr">
        <is>
          <t>TY</t>
        </is>
      </c>
      <c r="D18" t="inlineStr">
        <is>
          <t>watson</t>
        </is>
      </c>
      <c r="E18" t="inlineStr">
        <is>
          <t>sm63cqd6f6fdapn</t>
        </is>
      </c>
      <c r="F18">
        <f>IFERROR(IF($C18=INDEX(Matches!$S$5:$S$9,MATCH($B18,Matches!$A$5:$A$9,0)),"A",IF($C18=INDEX(Matches!$T$5:$T$9,MATCH($B18,Matches!$A$5:$A$9,0)),"B","")),"")</f>
        <v/>
      </c>
      <c r="G18">
        <f>IFERROR(INDEX(Players!$E$2:$E$43,MATCH($E18,Players!$A$2:$A$43,0)),0)</f>
        <v/>
      </c>
      <c r="H18" s="6">
        <f>IFERROR(INDEX(Players!$F$2:$F$43,MATCH($E18,Players!$A$2:$A$43,0)),"")</f>
        <v/>
      </c>
      <c r="I18">
        <f>IFERROR(INDEX(Players!$G$2:$G$43,MATCH($E18,Players!$A$2:$A$43,0)),"")</f>
        <v/>
      </c>
      <c r="J18" s="11">
        <f>IF(OR($I18="",$H18=""),"",$I18*IF(LEFT($B18,4)="DOTA",Config!$B$5,Config!$B$4)/($H18*IF(LEFT($B18,4)="DOTA",Config!$B$5,Config!$B$4)+1-$H18))</f>
        <v/>
      </c>
      <c r="K18" s="11">
        <f>IF(OR($I18="",$H18=""),"",$I18/($H18*IF(LEFT($B18,4)="DOTA",Config!$B$5,Config!$B$4)+1-$H18))</f>
        <v/>
      </c>
      <c r="L18">
        <f>IFERROR(INDEX(Matches!$R$5:$R$9,MATCH($B18,Matches!$A$5:$A$9,0)),1)</f>
        <v/>
      </c>
      <c r="M18" s="6">
        <f>IFERROR(IF(INDEX(Matches!$M$5:$M$9,MATCH($B18,Matches!$A$5:$A$9,0))="","",IF($F18="A",INDEX(Matches!$M$5:$M$9,MATCH($B18,Matches!$A$5:$A$9,0)),1-INDEX(Matches!$M$5:$M$9,MATCH($B18,Matches!$A$5:$A$9,0)))),"")</f>
        <v/>
      </c>
      <c r="N18">
        <f>1</f>
        <v/>
      </c>
      <c r="O18" s="11">
        <f>IF(OR($M18="",$J18=""),"",$L18*($M18*$J18+(1-$M18)*$K18))</f>
        <v/>
      </c>
      <c r="P18">
        <f>IF($O18="","",IF(LEFT($B18,4)="DOTA",Config!$B$7,Config!$B$6)*$O18+$L18^2*$M18*(1-$M18)*($J18-$K18)^2)</f>
        <v/>
      </c>
      <c r="Q18" s="6">
        <f>IFERROR(IF(INDEX(Matches!$N$5:$N$9,MATCH($B18,Matches!$A$5:$A$9,0))="","",IF($F18="A",INDEX(Matches!$N$5:$N$9,MATCH($B18,Matches!$A$5:$A$9,0)),1-INDEX(Matches!$N$5:$N$9,MATCH($B18,Matches!$A$5:$A$9,0)))),"")</f>
        <v/>
      </c>
      <c r="R18">
        <f>IFERROR(N(INDEX(Matches!$P$5:$P$9,MATCH($B18,Matches!$A$5:$A$9,0))),0)</f>
        <v/>
      </c>
      <c r="S18" s="11">
        <f>IF(OR($Q18="",$J18=""),"",$L18*($Q18*$J18+(1-$Q18)*$K18))</f>
        <v/>
      </c>
      <c r="T18">
        <f>IF($S18="","",IF(LEFT($B18,4)="DOTA",Config!$B$7,Config!$B$6)*$S18+$L18^2*$Q18*(1-$Q18)*($J18-$K18)^2)</f>
        <v/>
      </c>
      <c r="U18" s="6">
        <f>IFERROR(IF(INDEX(Matches!$O$5:$O$9,MATCH($B18,Matches!$A$5:$A$9,0))="","",IF($F18="A",INDEX(Matches!$O$5:$O$9,MATCH($B18,Matches!$A$5:$A$9,0)),1-INDEX(Matches!$O$5:$O$9,MATCH($B18,Matches!$A$5:$A$9,0)))),"")</f>
        <v/>
      </c>
      <c r="V18">
        <f>IFERROR(N(INDEX(Matches!$Q$5:$Q$9,MATCH($B18,Matches!$A$5:$A$9,0))),0)</f>
        <v/>
      </c>
      <c r="W18" s="11">
        <f>IF(OR($U18="",$J18=""),"",$L18*($U18*$J18+(1-$U18)*$K18))</f>
        <v/>
      </c>
      <c r="X18">
        <f>IF($W18="","",IF(LEFT($B18,4)="DOTA",Config!$B$7,Config!$B$6)*$W18+$L18^2*$U18*(1-$U18)*($J18-$K18)^2)</f>
        <v/>
      </c>
      <c r="Y18" s="11">
        <f>IF($O18="","",$O18)</f>
        <v/>
      </c>
      <c r="Z18">
        <f>IF($P18="","",$P18)</f>
        <v/>
      </c>
      <c r="AA18" s="11">
        <f>IF($O18="","",N($N18)*N($O18)+N($R18)*N($S18))</f>
        <v/>
      </c>
      <c r="AB18">
        <f>IF($O18="","",(N($N18)*N($P18)+N($N18)*(1-N($N18))*N($O18)^2)+(N($R18)*N($T18)+N($R18)*(1-N($R18))*N($S18)^2))</f>
        <v/>
      </c>
      <c r="AC18" s="11">
        <f>IF($O18="","",N($N18)*N($O18)+N($R18)*N($S18)+N($V18)*N($W18))</f>
        <v/>
      </c>
      <c r="AD18">
        <f>IF($O18="","",(N($N18)*N($P18)+N($N18)*(1-N($N18))*N($O18)^2)+(N($R18)*N($T18)+N($R18)*(1-N($R18))*N($S18)^2)+(N($V18)*N($X18)+N($V18)*(1-N($V18))*N($W18)^2))</f>
        <v/>
      </c>
      <c r="AE18" s="11">
        <f>IF($I18="","",$I18*$L18)</f>
        <v/>
      </c>
      <c r="AF18" s="11">
        <f>IF($I18="","",$I18*$L18*(1+N($R18)))</f>
        <v/>
      </c>
      <c r="AG18" s="11">
        <f>IF($I18="","",$I18*$L18*(1+N($R18)+N($V18)))</f>
        <v/>
      </c>
      <c r="AH18">
        <f>TRIM(IF($G18&lt;Config!$B$9,"thin sample ("&amp;$G18&amp;" maps) · ","")&amp;IF($I18="","no PickFinder stats · ","")&amp;IFERROR(IF(INDEX(Players!$T$2:$T$43,MATCH($E18,Players!$A$2:$A$43,0))&lt;0.5,"new roster: "&amp;TEXT(INDEX(Players!$T$2:$T$43,MATCH($E18,Players!$A$2:$A$43,0)),"0%")&amp;" of his recent games with these teammates",""),""))</f>
        <v/>
      </c>
      <c r="AI18">
        <f>IF($B18=Board!$B$2,COUNTIFS($B$2:$B$43,Board!$B$2,$Y$2:$Y$43,"&gt;"&amp;$Y18)+COUNTIFS($B$1:$B17,Board!$B$2,$Y$1:$Y17,$Y18)+1,"")</f>
        <v/>
      </c>
      <c r="AJ18">
        <f>IFERROR(IF(INDEX(Matches!$D$5:$D$9,MATCH($B18,Matches!$A$5:$A$9,0))=3,"K12","K13"),"K13")</f>
        <v/>
      </c>
      <c r="AK18" s="11">
        <f>IF($AJ18="K12",$AA18,$AC18)</f>
        <v/>
      </c>
    </row>
    <row r="19">
      <c r="A19" t="inlineStr">
        <is>
          <t>sb23yl47osfxk2h|DOTA · TS vs LEGION</t>
        </is>
      </c>
      <c r="B19" t="inlineStr">
        <is>
          <t>DOTA · TS vs LEGION</t>
        </is>
      </c>
      <c r="C19" t="inlineStr">
        <is>
          <t>LEGION</t>
        </is>
      </c>
      <c r="D19" t="inlineStr">
        <is>
          <t>DarkLord^</t>
        </is>
      </c>
      <c r="E19" t="inlineStr">
        <is>
          <t>sb23yl47osfxk2h</t>
        </is>
      </c>
      <c r="F19">
        <f>IFERROR(IF($C19=INDEX(Matches!$S$5:$S$9,MATCH($B19,Matches!$A$5:$A$9,0)),"A",IF($C19=INDEX(Matches!$T$5:$T$9,MATCH($B19,Matches!$A$5:$A$9,0)),"B","")),"")</f>
        <v/>
      </c>
      <c r="G19">
        <f>IFERROR(INDEX(Players!$E$2:$E$43,MATCH($E19,Players!$A$2:$A$43,0)),0)</f>
        <v/>
      </c>
      <c r="H19" s="6">
        <f>IFERROR(INDEX(Players!$F$2:$F$43,MATCH($E19,Players!$A$2:$A$43,0)),"")</f>
        <v/>
      </c>
      <c r="I19">
        <f>IFERROR(INDEX(Players!$G$2:$G$43,MATCH($E19,Players!$A$2:$A$43,0)),"")</f>
        <v/>
      </c>
      <c r="J19" s="11">
        <f>IF(OR($I19="",$H19=""),"",$I19*IF(LEFT($B19,4)="DOTA",Config!$B$5,Config!$B$4)/($H19*IF(LEFT($B19,4)="DOTA",Config!$B$5,Config!$B$4)+1-$H19))</f>
        <v/>
      </c>
      <c r="K19" s="11">
        <f>IF(OR($I19="",$H19=""),"",$I19/($H19*IF(LEFT($B19,4)="DOTA",Config!$B$5,Config!$B$4)+1-$H19))</f>
        <v/>
      </c>
      <c r="L19">
        <f>IFERROR(INDEX(Matches!$R$5:$R$9,MATCH($B19,Matches!$A$5:$A$9,0)),1)</f>
        <v/>
      </c>
      <c r="M19" s="6">
        <f>IFERROR(IF(INDEX(Matches!$M$5:$M$9,MATCH($B19,Matches!$A$5:$A$9,0))="","",IF($F19="A",INDEX(Matches!$M$5:$M$9,MATCH($B19,Matches!$A$5:$A$9,0)),1-INDEX(Matches!$M$5:$M$9,MATCH($B19,Matches!$A$5:$A$9,0)))),"")</f>
        <v/>
      </c>
      <c r="N19">
        <f>1</f>
        <v/>
      </c>
      <c r="O19" s="11">
        <f>IF(OR($M19="",$J19=""),"",$L19*($M19*$J19+(1-$M19)*$K19))</f>
        <v/>
      </c>
      <c r="P19">
        <f>IF($O19="","",IF(LEFT($B19,4)="DOTA",Config!$B$7,Config!$B$6)*$O19+$L19^2*$M19*(1-$M19)*($J19-$K19)^2)</f>
        <v/>
      </c>
      <c r="Q19" s="6">
        <f>IFERROR(IF(INDEX(Matches!$N$5:$N$9,MATCH($B19,Matches!$A$5:$A$9,0))="","",IF($F19="A",INDEX(Matches!$N$5:$N$9,MATCH($B19,Matches!$A$5:$A$9,0)),1-INDEX(Matches!$N$5:$N$9,MATCH($B19,Matches!$A$5:$A$9,0)))),"")</f>
        <v/>
      </c>
      <c r="R19">
        <f>IFERROR(N(INDEX(Matches!$P$5:$P$9,MATCH($B19,Matches!$A$5:$A$9,0))),0)</f>
        <v/>
      </c>
      <c r="S19" s="11">
        <f>IF(OR($Q19="",$J19=""),"",$L19*($Q19*$J19+(1-$Q19)*$K19))</f>
        <v/>
      </c>
      <c r="T19">
        <f>IF($S19="","",IF(LEFT($B19,4)="DOTA",Config!$B$7,Config!$B$6)*$S19+$L19^2*$Q19*(1-$Q19)*($J19-$K19)^2)</f>
        <v/>
      </c>
      <c r="U19" s="6">
        <f>IFERROR(IF(INDEX(Matches!$O$5:$O$9,MATCH($B19,Matches!$A$5:$A$9,0))="","",IF($F19="A",INDEX(Matches!$O$5:$O$9,MATCH($B19,Matches!$A$5:$A$9,0)),1-INDEX(Matches!$O$5:$O$9,MATCH($B19,Matches!$A$5:$A$9,0)))),"")</f>
        <v/>
      </c>
      <c r="V19">
        <f>IFERROR(N(INDEX(Matches!$Q$5:$Q$9,MATCH($B19,Matches!$A$5:$A$9,0))),0)</f>
        <v/>
      </c>
      <c r="W19" s="11">
        <f>IF(OR($U19="",$J19=""),"",$L19*($U19*$J19+(1-$U19)*$K19))</f>
        <v/>
      </c>
      <c r="X19">
        <f>IF($W19="","",IF(LEFT($B19,4)="DOTA",Config!$B$7,Config!$B$6)*$W19+$L19^2*$U19*(1-$U19)*($J19-$K19)^2)</f>
        <v/>
      </c>
      <c r="Y19" s="11">
        <f>IF($O19="","",$O19)</f>
        <v/>
      </c>
      <c r="Z19">
        <f>IF($P19="","",$P19)</f>
        <v/>
      </c>
      <c r="AA19" s="11">
        <f>IF($O19="","",N($N19)*N($O19)+N($R19)*N($S19))</f>
        <v/>
      </c>
      <c r="AB19">
        <f>IF($O19="","",(N($N19)*N($P19)+N($N19)*(1-N($N19))*N($O19)^2)+(N($R19)*N($T19)+N($R19)*(1-N($R19))*N($S19)^2))</f>
        <v/>
      </c>
      <c r="AC19" s="11">
        <f>IF($O19="","",N($N19)*N($O19)+N($R19)*N($S19)+N($V19)*N($W19))</f>
        <v/>
      </c>
      <c r="AD19">
        <f>IF($O19="","",(N($N19)*N($P19)+N($N19)*(1-N($N19))*N($O19)^2)+(N($R19)*N($T19)+N($R19)*(1-N($R19))*N($S19)^2)+(N($V19)*N($X19)+N($V19)*(1-N($V19))*N($W19)^2))</f>
        <v/>
      </c>
      <c r="AE19" s="11">
        <f>IF($I19="","",$I19*$L19)</f>
        <v/>
      </c>
      <c r="AF19" s="11">
        <f>IF($I19="","",$I19*$L19*(1+N($R19)))</f>
        <v/>
      </c>
      <c r="AG19" s="11">
        <f>IF($I19="","",$I19*$L19*(1+N($R19)+N($V19)))</f>
        <v/>
      </c>
      <c r="AH19">
        <f>TRIM(IF($G19&lt;Config!$B$9,"thin sample ("&amp;$G19&amp;" maps) · ","")&amp;IF($I19="","no PickFinder stats · ","")&amp;IFERROR(IF(INDEX(Players!$T$2:$T$43,MATCH($E19,Players!$A$2:$A$43,0))&lt;0.5,"new roster: "&amp;TEXT(INDEX(Players!$T$2:$T$43,MATCH($E19,Players!$A$2:$A$43,0)),"0%")&amp;" of his recent games with these teammates",""),""))</f>
        <v/>
      </c>
      <c r="AI19">
        <f>IF($B19=Board!$B$2,COUNTIFS($B$2:$B$43,Board!$B$2,$Y$2:$Y$43,"&gt;"&amp;$Y19)+COUNTIFS($B$1:$B18,Board!$B$2,$Y$1:$Y18,$Y19)+1,"")</f>
        <v/>
      </c>
      <c r="AJ19">
        <f>IFERROR(IF(INDEX(Matches!$D$5:$D$9,MATCH($B19,Matches!$A$5:$A$9,0))=3,"K12","K13"),"K13")</f>
        <v/>
      </c>
      <c r="AK19" s="11">
        <f>IF($AJ19="K12",$AA19,$AC19)</f>
        <v/>
      </c>
    </row>
    <row r="20">
      <c r="A20" t="inlineStr">
        <is>
          <t>ezjt5r016sp0fhe|DOTA · TS vs LEGION</t>
        </is>
      </c>
      <c r="B20" t="inlineStr">
        <is>
          <t>DOTA · TS vs LEGION</t>
        </is>
      </c>
      <c r="C20" t="inlineStr">
        <is>
          <t>LEGION</t>
        </is>
      </c>
      <c r="D20" t="inlineStr">
        <is>
          <t>KJ</t>
        </is>
      </c>
      <c r="E20" t="inlineStr">
        <is>
          <t>ezjt5r016sp0fhe</t>
        </is>
      </c>
      <c r="F20">
        <f>IFERROR(IF($C20=INDEX(Matches!$S$5:$S$9,MATCH($B20,Matches!$A$5:$A$9,0)),"A",IF($C20=INDEX(Matches!$T$5:$T$9,MATCH($B20,Matches!$A$5:$A$9,0)),"B","")),"")</f>
        <v/>
      </c>
      <c r="G20">
        <f>IFERROR(INDEX(Players!$E$2:$E$43,MATCH($E20,Players!$A$2:$A$43,0)),0)</f>
        <v/>
      </c>
      <c r="H20" s="6">
        <f>IFERROR(INDEX(Players!$F$2:$F$43,MATCH($E20,Players!$A$2:$A$43,0)),"")</f>
        <v/>
      </c>
      <c r="I20">
        <f>IFERROR(INDEX(Players!$G$2:$G$43,MATCH($E20,Players!$A$2:$A$43,0)),"")</f>
        <v/>
      </c>
      <c r="J20" s="11">
        <f>IF(OR($I20="",$H20=""),"",$I20*IF(LEFT($B20,4)="DOTA",Config!$B$5,Config!$B$4)/($H20*IF(LEFT($B20,4)="DOTA",Config!$B$5,Config!$B$4)+1-$H20))</f>
        <v/>
      </c>
      <c r="K20" s="11">
        <f>IF(OR($I20="",$H20=""),"",$I20/($H20*IF(LEFT($B20,4)="DOTA",Config!$B$5,Config!$B$4)+1-$H20))</f>
        <v/>
      </c>
      <c r="L20">
        <f>IFERROR(INDEX(Matches!$R$5:$R$9,MATCH($B20,Matches!$A$5:$A$9,0)),1)</f>
        <v/>
      </c>
      <c r="M20" s="6">
        <f>IFERROR(IF(INDEX(Matches!$M$5:$M$9,MATCH($B20,Matches!$A$5:$A$9,0))="","",IF($F20="A",INDEX(Matches!$M$5:$M$9,MATCH($B20,Matches!$A$5:$A$9,0)),1-INDEX(Matches!$M$5:$M$9,MATCH($B20,Matches!$A$5:$A$9,0)))),"")</f>
        <v/>
      </c>
      <c r="N20">
        <f>1</f>
        <v/>
      </c>
      <c r="O20" s="11">
        <f>IF(OR($M20="",$J20=""),"",$L20*($M20*$J20+(1-$M20)*$K20))</f>
        <v/>
      </c>
      <c r="P20">
        <f>IF($O20="","",IF(LEFT($B20,4)="DOTA",Config!$B$7,Config!$B$6)*$O20+$L20^2*$M20*(1-$M20)*($J20-$K20)^2)</f>
        <v/>
      </c>
      <c r="Q20" s="6">
        <f>IFERROR(IF(INDEX(Matches!$N$5:$N$9,MATCH($B20,Matches!$A$5:$A$9,0))="","",IF($F20="A",INDEX(Matches!$N$5:$N$9,MATCH($B20,Matches!$A$5:$A$9,0)),1-INDEX(Matches!$N$5:$N$9,MATCH($B20,Matches!$A$5:$A$9,0)))),"")</f>
        <v/>
      </c>
      <c r="R20">
        <f>IFERROR(N(INDEX(Matches!$P$5:$P$9,MATCH($B20,Matches!$A$5:$A$9,0))),0)</f>
        <v/>
      </c>
      <c r="S20" s="11">
        <f>IF(OR($Q20="",$J20=""),"",$L20*($Q20*$J20+(1-$Q20)*$K20))</f>
        <v/>
      </c>
      <c r="T20">
        <f>IF($S20="","",IF(LEFT($B20,4)="DOTA",Config!$B$7,Config!$B$6)*$S20+$L20^2*$Q20*(1-$Q20)*($J20-$K20)^2)</f>
        <v/>
      </c>
      <c r="U20" s="6">
        <f>IFERROR(IF(INDEX(Matches!$O$5:$O$9,MATCH($B20,Matches!$A$5:$A$9,0))="","",IF($F20="A",INDEX(Matches!$O$5:$O$9,MATCH($B20,Matches!$A$5:$A$9,0)),1-INDEX(Matches!$O$5:$O$9,MATCH($B20,Matches!$A$5:$A$9,0)))),"")</f>
        <v/>
      </c>
      <c r="V20">
        <f>IFERROR(N(INDEX(Matches!$Q$5:$Q$9,MATCH($B20,Matches!$A$5:$A$9,0))),0)</f>
        <v/>
      </c>
      <c r="W20" s="11">
        <f>IF(OR($U20="",$J20=""),"",$L20*($U20*$J20+(1-$U20)*$K20))</f>
        <v/>
      </c>
      <c r="X20">
        <f>IF($W20="","",IF(LEFT($B20,4)="DOTA",Config!$B$7,Config!$B$6)*$W20+$L20^2*$U20*(1-$U20)*($J20-$K20)^2)</f>
        <v/>
      </c>
      <c r="Y20" s="11">
        <f>IF($O20="","",$O20)</f>
        <v/>
      </c>
      <c r="Z20">
        <f>IF($P20="","",$P20)</f>
        <v/>
      </c>
      <c r="AA20" s="11">
        <f>IF($O20="","",N($N20)*N($O20)+N($R20)*N($S20))</f>
        <v/>
      </c>
      <c r="AB20">
        <f>IF($O20="","",(N($N20)*N($P20)+N($N20)*(1-N($N20))*N($O20)^2)+(N($R20)*N($T20)+N($R20)*(1-N($R20))*N($S20)^2))</f>
        <v/>
      </c>
      <c r="AC20" s="11">
        <f>IF($O20="","",N($N20)*N($O20)+N($R20)*N($S20)+N($V20)*N($W20))</f>
        <v/>
      </c>
      <c r="AD20">
        <f>IF($O20="","",(N($N20)*N($P20)+N($N20)*(1-N($N20))*N($O20)^2)+(N($R20)*N($T20)+N($R20)*(1-N($R20))*N($S20)^2)+(N($V20)*N($X20)+N($V20)*(1-N($V20))*N($W20)^2))</f>
        <v/>
      </c>
      <c r="AE20" s="11">
        <f>IF($I20="","",$I20*$L20)</f>
        <v/>
      </c>
      <c r="AF20" s="11">
        <f>IF($I20="","",$I20*$L20*(1+N($R20)))</f>
        <v/>
      </c>
      <c r="AG20" s="11">
        <f>IF($I20="","",$I20*$L20*(1+N($R20)+N($V20)))</f>
        <v/>
      </c>
      <c r="AH20">
        <f>TRIM(IF($G20&lt;Config!$B$9,"thin sample ("&amp;$G20&amp;" maps) · ","")&amp;IF($I20="","no PickFinder stats · ","")&amp;IFERROR(IF(INDEX(Players!$T$2:$T$43,MATCH($E20,Players!$A$2:$A$43,0))&lt;0.5,"new roster: "&amp;TEXT(INDEX(Players!$T$2:$T$43,MATCH($E20,Players!$A$2:$A$43,0)),"0%")&amp;" of his recent games with these teammates",""),""))</f>
        <v/>
      </c>
      <c r="AI20">
        <f>IF($B20=Board!$B$2,COUNTIFS($B$2:$B$43,Board!$B$2,$Y$2:$Y$43,"&gt;"&amp;$Y20)+COUNTIFS($B$1:$B19,Board!$B$2,$Y$1:$Y19,$Y20)+1,"")</f>
        <v/>
      </c>
      <c r="AJ20">
        <f>IFERROR(IF(INDEX(Matches!$D$5:$D$9,MATCH($B20,Matches!$A$5:$A$9,0))=3,"K12","K13"),"K13")</f>
        <v/>
      </c>
      <c r="AK20" s="11">
        <f>IF($AJ20="K12",$AA20,$AC20)</f>
        <v/>
      </c>
    </row>
    <row r="21">
      <c r="A21" t="inlineStr">
        <is>
          <t>pd8esajdvd6l5ul|DOTA · TS vs LEGION</t>
        </is>
      </c>
      <c r="B21" t="inlineStr">
        <is>
          <t>DOTA · TS vs LEGION</t>
        </is>
      </c>
      <c r="C21" t="inlineStr">
        <is>
          <t>LEGION</t>
        </is>
      </c>
      <c r="D21" t="inlineStr">
        <is>
          <t>SaberLight</t>
        </is>
      </c>
      <c r="E21" t="inlineStr">
        <is>
          <t>pd8esajdvd6l5ul</t>
        </is>
      </c>
      <c r="F21">
        <f>IFERROR(IF($C21=INDEX(Matches!$S$5:$S$9,MATCH($B21,Matches!$A$5:$A$9,0)),"A",IF($C21=INDEX(Matches!$T$5:$T$9,MATCH($B21,Matches!$A$5:$A$9,0)),"B","")),"")</f>
        <v/>
      </c>
      <c r="G21">
        <f>IFERROR(INDEX(Players!$E$2:$E$43,MATCH($E21,Players!$A$2:$A$43,0)),0)</f>
        <v/>
      </c>
      <c r="H21" s="6">
        <f>IFERROR(INDEX(Players!$F$2:$F$43,MATCH($E21,Players!$A$2:$A$43,0)),"")</f>
        <v/>
      </c>
      <c r="I21">
        <f>IFERROR(INDEX(Players!$G$2:$G$43,MATCH($E21,Players!$A$2:$A$43,0)),"")</f>
        <v/>
      </c>
      <c r="J21" s="11">
        <f>IF(OR($I21="",$H21=""),"",$I21*IF(LEFT($B21,4)="DOTA",Config!$B$5,Config!$B$4)/($H21*IF(LEFT($B21,4)="DOTA",Config!$B$5,Config!$B$4)+1-$H21))</f>
        <v/>
      </c>
      <c r="K21" s="11">
        <f>IF(OR($I21="",$H21=""),"",$I21/($H21*IF(LEFT($B21,4)="DOTA",Config!$B$5,Config!$B$4)+1-$H21))</f>
        <v/>
      </c>
      <c r="L21">
        <f>IFERROR(INDEX(Matches!$R$5:$R$9,MATCH($B21,Matches!$A$5:$A$9,0)),1)</f>
        <v/>
      </c>
      <c r="M21" s="6">
        <f>IFERROR(IF(INDEX(Matches!$M$5:$M$9,MATCH($B21,Matches!$A$5:$A$9,0))="","",IF($F21="A",INDEX(Matches!$M$5:$M$9,MATCH($B21,Matches!$A$5:$A$9,0)),1-INDEX(Matches!$M$5:$M$9,MATCH($B21,Matches!$A$5:$A$9,0)))),"")</f>
        <v/>
      </c>
      <c r="N21">
        <f>1</f>
        <v/>
      </c>
      <c r="O21" s="11">
        <f>IF(OR($M21="",$J21=""),"",$L21*($M21*$J21+(1-$M21)*$K21))</f>
        <v/>
      </c>
      <c r="P21">
        <f>IF($O21="","",IF(LEFT($B21,4)="DOTA",Config!$B$7,Config!$B$6)*$O21+$L21^2*$M21*(1-$M21)*($J21-$K21)^2)</f>
        <v/>
      </c>
      <c r="Q21" s="6">
        <f>IFERROR(IF(INDEX(Matches!$N$5:$N$9,MATCH($B21,Matches!$A$5:$A$9,0))="","",IF($F21="A",INDEX(Matches!$N$5:$N$9,MATCH($B21,Matches!$A$5:$A$9,0)),1-INDEX(Matches!$N$5:$N$9,MATCH($B21,Matches!$A$5:$A$9,0)))),"")</f>
        <v/>
      </c>
      <c r="R21">
        <f>IFERROR(N(INDEX(Matches!$P$5:$P$9,MATCH($B21,Matches!$A$5:$A$9,0))),0)</f>
        <v/>
      </c>
      <c r="S21" s="11">
        <f>IF(OR($Q21="",$J21=""),"",$L21*($Q21*$J21+(1-$Q21)*$K21))</f>
        <v/>
      </c>
      <c r="T21">
        <f>IF($S21="","",IF(LEFT($B21,4)="DOTA",Config!$B$7,Config!$B$6)*$S21+$L21^2*$Q21*(1-$Q21)*($J21-$K21)^2)</f>
        <v/>
      </c>
      <c r="U21" s="6">
        <f>IFERROR(IF(INDEX(Matches!$O$5:$O$9,MATCH($B21,Matches!$A$5:$A$9,0))="","",IF($F21="A",INDEX(Matches!$O$5:$O$9,MATCH($B21,Matches!$A$5:$A$9,0)),1-INDEX(Matches!$O$5:$O$9,MATCH($B21,Matches!$A$5:$A$9,0)))),"")</f>
        <v/>
      </c>
      <c r="V21">
        <f>IFERROR(N(INDEX(Matches!$Q$5:$Q$9,MATCH($B21,Matches!$A$5:$A$9,0))),0)</f>
        <v/>
      </c>
      <c r="W21" s="11">
        <f>IF(OR($U21="",$J21=""),"",$L21*($U21*$J21+(1-$U21)*$K21))</f>
        <v/>
      </c>
      <c r="X21">
        <f>IF($W21="","",IF(LEFT($B21,4)="DOTA",Config!$B$7,Config!$B$6)*$W21+$L21^2*$U21*(1-$U21)*($J21-$K21)^2)</f>
        <v/>
      </c>
      <c r="Y21" s="11">
        <f>IF($O21="","",$O21)</f>
        <v/>
      </c>
      <c r="Z21">
        <f>IF($P21="","",$P21)</f>
        <v/>
      </c>
      <c r="AA21" s="11">
        <f>IF($O21="","",N($N21)*N($O21)+N($R21)*N($S21))</f>
        <v/>
      </c>
      <c r="AB21">
        <f>IF($O21="","",(N($N21)*N($P21)+N($N21)*(1-N($N21))*N($O21)^2)+(N($R21)*N($T21)+N($R21)*(1-N($R21))*N($S21)^2))</f>
        <v/>
      </c>
      <c r="AC21" s="11">
        <f>IF($O21="","",N($N21)*N($O21)+N($R21)*N($S21)+N($V21)*N($W21))</f>
        <v/>
      </c>
      <c r="AD21">
        <f>IF($O21="","",(N($N21)*N($P21)+N($N21)*(1-N($N21))*N($O21)^2)+(N($R21)*N($T21)+N($R21)*(1-N($R21))*N($S21)^2)+(N($V21)*N($X21)+N($V21)*(1-N($V21))*N($W21)^2))</f>
        <v/>
      </c>
      <c r="AE21" s="11">
        <f>IF($I21="","",$I21*$L21)</f>
        <v/>
      </c>
      <c r="AF21" s="11">
        <f>IF($I21="","",$I21*$L21*(1+N($R21)))</f>
        <v/>
      </c>
      <c r="AG21" s="11">
        <f>IF($I21="","",$I21*$L21*(1+N($R21)+N($V21)))</f>
        <v/>
      </c>
      <c r="AH21">
        <f>TRIM(IF($G21&lt;Config!$B$9,"thin sample ("&amp;$G21&amp;" maps) · ","")&amp;IF($I21="","no PickFinder stats · ","")&amp;IFERROR(IF(INDEX(Players!$T$2:$T$43,MATCH($E21,Players!$A$2:$A$43,0))&lt;0.5,"new roster: "&amp;TEXT(INDEX(Players!$T$2:$T$43,MATCH($E21,Players!$A$2:$A$43,0)),"0%")&amp;" of his recent games with these teammates",""),""))</f>
        <v/>
      </c>
      <c r="AI21">
        <f>IF($B21=Board!$B$2,COUNTIFS($B$2:$B$43,Board!$B$2,$Y$2:$Y$43,"&gt;"&amp;$Y21)+COUNTIFS($B$1:$B20,Board!$B$2,$Y$1:$Y20,$Y21)+1,"")</f>
        <v/>
      </c>
      <c r="AJ21">
        <f>IFERROR(IF(INDEX(Matches!$D$5:$D$9,MATCH($B21,Matches!$A$5:$A$9,0))=3,"K12","K13"),"K13")</f>
        <v/>
      </c>
      <c r="AK21" s="11">
        <f>IF($AJ21="K12",$AA21,$AC21)</f>
        <v/>
      </c>
    </row>
    <row r="22">
      <c r="A22" t="inlineStr">
        <is>
          <t>e8li27evib4y4db|DOTA · TS vs LEGION</t>
        </is>
      </c>
      <c r="B22" t="inlineStr">
        <is>
          <t>DOTA · TS vs LEGION</t>
        </is>
      </c>
      <c r="C22" t="inlineStr">
        <is>
          <t>LEGION</t>
        </is>
      </c>
      <c r="D22" t="inlineStr">
        <is>
          <t>Stojkov</t>
        </is>
      </c>
      <c r="E22" t="inlineStr">
        <is>
          <t>e8li27evib4y4db</t>
        </is>
      </c>
      <c r="F22">
        <f>IFERROR(IF($C22=INDEX(Matches!$S$5:$S$9,MATCH($B22,Matches!$A$5:$A$9,0)),"A",IF($C22=INDEX(Matches!$T$5:$T$9,MATCH($B22,Matches!$A$5:$A$9,0)),"B","")),"")</f>
        <v/>
      </c>
      <c r="G22">
        <f>IFERROR(INDEX(Players!$E$2:$E$43,MATCH($E22,Players!$A$2:$A$43,0)),0)</f>
        <v/>
      </c>
      <c r="H22" s="6">
        <f>IFERROR(INDEX(Players!$F$2:$F$43,MATCH($E22,Players!$A$2:$A$43,0)),"")</f>
        <v/>
      </c>
      <c r="I22">
        <f>IFERROR(INDEX(Players!$G$2:$G$43,MATCH($E22,Players!$A$2:$A$43,0)),"")</f>
        <v/>
      </c>
      <c r="J22" s="11">
        <f>IF(OR($I22="",$H22=""),"",$I22*IF(LEFT($B22,4)="DOTA",Config!$B$5,Config!$B$4)/($H22*IF(LEFT($B22,4)="DOTA",Config!$B$5,Config!$B$4)+1-$H22))</f>
        <v/>
      </c>
      <c r="K22" s="11">
        <f>IF(OR($I22="",$H22=""),"",$I22/($H22*IF(LEFT($B22,4)="DOTA",Config!$B$5,Config!$B$4)+1-$H22))</f>
        <v/>
      </c>
      <c r="L22">
        <f>IFERROR(INDEX(Matches!$R$5:$R$9,MATCH($B22,Matches!$A$5:$A$9,0)),1)</f>
        <v/>
      </c>
      <c r="M22" s="6">
        <f>IFERROR(IF(INDEX(Matches!$M$5:$M$9,MATCH($B22,Matches!$A$5:$A$9,0))="","",IF($F22="A",INDEX(Matches!$M$5:$M$9,MATCH($B22,Matches!$A$5:$A$9,0)),1-INDEX(Matches!$M$5:$M$9,MATCH($B22,Matches!$A$5:$A$9,0)))),"")</f>
        <v/>
      </c>
      <c r="N22">
        <f>1</f>
        <v/>
      </c>
      <c r="O22" s="11">
        <f>IF(OR($M22="",$J22=""),"",$L22*($M22*$J22+(1-$M22)*$K22))</f>
        <v/>
      </c>
      <c r="P22">
        <f>IF($O22="","",IF(LEFT($B22,4)="DOTA",Config!$B$7,Config!$B$6)*$O22+$L22^2*$M22*(1-$M22)*($J22-$K22)^2)</f>
        <v/>
      </c>
      <c r="Q22" s="6">
        <f>IFERROR(IF(INDEX(Matches!$N$5:$N$9,MATCH($B22,Matches!$A$5:$A$9,0))="","",IF($F22="A",INDEX(Matches!$N$5:$N$9,MATCH($B22,Matches!$A$5:$A$9,0)),1-INDEX(Matches!$N$5:$N$9,MATCH($B22,Matches!$A$5:$A$9,0)))),"")</f>
        <v/>
      </c>
      <c r="R22">
        <f>IFERROR(N(INDEX(Matches!$P$5:$P$9,MATCH($B22,Matches!$A$5:$A$9,0))),0)</f>
        <v/>
      </c>
      <c r="S22" s="11">
        <f>IF(OR($Q22="",$J22=""),"",$L22*($Q22*$J22+(1-$Q22)*$K22))</f>
        <v/>
      </c>
      <c r="T22">
        <f>IF($S22="","",IF(LEFT($B22,4)="DOTA",Config!$B$7,Config!$B$6)*$S22+$L22^2*$Q22*(1-$Q22)*($J22-$K22)^2)</f>
        <v/>
      </c>
      <c r="U22" s="6">
        <f>IFERROR(IF(INDEX(Matches!$O$5:$O$9,MATCH($B22,Matches!$A$5:$A$9,0))="","",IF($F22="A",INDEX(Matches!$O$5:$O$9,MATCH($B22,Matches!$A$5:$A$9,0)),1-INDEX(Matches!$O$5:$O$9,MATCH($B22,Matches!$A$5:$A$9,0)))),"")</f>
        <v/>
      </c>
      <c r="V22">
        <f>IFERROR(N(INDEX(Matches!$Q$5:$Q$9,MATCH($B22,Matches!$A$5:$A$9,0))),0)</f>
        <v/>
      </c>
      <c r="W22" s="11">
        <f>IF(OR($U22="",$J22=""),"",$L22*($U22*$J22+(1-$U22)*$K22))</f>
        <v/>
      </c>
      <c r="X22">
        <f>IF($W22="","",IF(LEFT($B22,4)="DOTA",Config!$B$7,Config!$B$6)*$W22+$L22^2*$U22*(1-$U22)*($J22-$K22)^2)</f>
        <v/>
      </c>
      <c r="Y22" s="11">
        <f>IF($O22="","",$O22)</f>
        <v/>
      </c>
      <c r="Z22">
        <f>IF($P22="","",$P22)</f>
        <v/>
      </c>
      <c r="AA22" s="11">
        <f>IF($O22="","",N($N22)*N($O22)+N($R22)*N($S22))</f>
        <v/>
      </c>
      <c r="AB22">
        <f>IF($O22="","",(N($N22)*N($P22)+N($N22)*(1-N($N22))*N($O22)^2)+(N($R22)*N($T22)+N($R22)*(1-N($R22))*N($S22)^2))</f>
        <v/>
      </c>
      <c r="AC22" s="11">
        <f>IF($O22="","",N($N22)*N($O22)+N($R22)*N($S22)+N($V22)*N($W22))</f>
        <v/>
      </c>
      <c r="AD22">
        <f>IF($O22="","",(N($N22)*N($P22)+N($N22)*(1-N($N22))*N($O22)^2)+(N($R22)*N($T22)+N($R22)*(1-N($R22))*N($S22)^2)+(N($V22)*N($X22)+N($V22)*(1-N($V22))*N($W22)^2))</f>
        <v/>
      </c>
      <c r="AE22" s="11">
        <f>IF($I22="","",$I22*$L22)</f>
        <v/>
      </c>
      <c r="AF22" s="11">
        <f>IF($I22="","",$I22*$L22*(1+N($R22)))</f>
        <v/>
      </c>
      <c r="AG22" s="11">
        <f>IF($I22="","",$I22*$L22*(1+N($R22)+N($V22)))</f>
        <v/>
      </c>
      <c r="AH22">
        <f>TRIM(IF($G22&lt;Config!$B$9,"thin sample ("&amp;$G22&amp;" maps) · ","")&amp;IF($I22="","no PickFinder stats · ","")&amp;IFERROR(IF(INDEX(Players!$T$2:$T$43,MATCH($E22,Players!$A$2:$A$43,0))&lt;0.5,"new roster: "&amp;TEXT(INDEX(Players!$T$2:$T$43,MATCH($E22,Players!$A$2:$A$43,0)),"0%")&amp;" of his recent games with these teammates",""),""))</f>
        <v/>
      </c>
      <c r="AI22">
        <f>IF($B22=Board!$B$2,COUNTIFS($B$2:$B$43,Board!$B$2,$Y$2:$Y$43,"&gt;"&amp;$Y22)+COUNTIFS($B$1:$B21,Board!$B$2,$Y$1:$Y21,$Y22)+1,"")</f>
        <v/>
      </c>
      <c r="AJ22">
        <f>IFERROR(IF(INDEX(Matches!$D$5:$D$9,MATCH($B22,Matches!$A$5:$A$9,0))=3,"K12","K13"),"K13")</f>
        <v/>
      </c>
      <c r="AK22" s="11">
        <f>IF($AJ22="K12",$AA22,$AC22)</f>
        <v/>
      </c>
    </row>
    <row r="23">
      <c r="A23" t="inlineStr">
        <is>
          <t>3nhf9uupulsq9gw|DOTA · TS vs LEGION</t>
        </is>
      </c>
      <c r="B23" t="inlineStr">
        <is>
          <t>DOTA · TS vs LEGION</t>
        </is>
      </c>
      <c r="C23" t="inlineStr">
        <is>
          <t>TS</t>
        </is>
      </c>
      <c r="D23" t="inlineStr">
        <is>
          <t>Larl</t>
        </is>
      </c>
      <c r="E23" t="inlineStr">
        <is>
          <t>3nhf9uupulsq9gw</t>
        </is>
      </c>
      <c r="F23">
        <f>IFERROR(IF($C23=INDEX(Matches!$S$5:$S$9,MATCH($B23,Matches!$A$5:$A$9,0)),"A",IF($C23=INDEX(Matches!$T$5:$T$9,MATCH($B23,Matches!$A$5:$A$9,0)),"B","")),"")</f>
        <v/>
      </c>
      <c r="G23">
        <f>IFERROR(INDEX(Players!$E$2:$E$43,MATCH($E23,Players!$A$2:$A$43,0)),0)</f>
        <v/>
      </c>
      <c r="H23" s="6">
        <f>IFERROR(INDEX(Players!$F$2:$F$43,MATCH($E23,Players!$A$2:$A$43,0)),"")</f>
        <v/>
      </c>
      <c r="I23">
        <f>IFERROR(INDEX(Players!$G$2:$G$43,MATCH($E23,Players!$A$2:$A$43,0)),"")</f>
        <v/>
      </c>
      <c r="J23" s="11">
        <f>IF(OR($I23="",$H23=""),"",$I23*IF(LEFT($B23,4)="DOTA",Config!$B$5,Config!$B$4)/($H23*IF(LEFT($B23,4)="DOTA",Config!$B$5,Config!$B$4)+1-$H23))</f>
        <v/>
      </c>
      <c r="K23" s="11">
        <f>IF(OR($I23="",$H23=""),"",$I23/($H23*IF(LEFT($B23,4)="DOTA",Config!$B$5,Config!$B$4)+1-$H23))</f>
        <v/>
      </c>
      <c r="L23">
        <f>IFERROR(INDEX(Matches!$R$5:$R$9,MATCH($B23,Matches!$A$5:$A$9,0)),1)</f>
        <v/>
      </c>
      <c r="M23" s="6">
        <f>IFERROR(IF(INDEX(Matches!$M$5:$M$9,MATCH($B23,Matches!$A$5:$A$9,0))="","",IF($F23="A",INDEX(Matches!$M$5:$M$9,MATCH($B23,Matches!$A$5:$A$9,0)),1-INDEX(Matches!$M$5:$M$9,MATCH($B23,Matches!$A$5:$A$9,0)))),"")</f>
        <v/>
      </c>
      <c r="N23">
        <f>1</f>
        <v/>
      </c>
      <c r="O23" s="11">
        <f>IF(OR($M23="",$J23=""),"",$L23*($M23*$J23+(1-$M23)*$K23))</f>
        <v/>
      </c>
      <c r="P23">
        <f>IF($O23="","",IF(LEFT($B23,4)="DOTA",Config!$B$7,Config!$B$6)*$O23+$L23^2*$M23*(1-$M23)*($J23-$K23)^2)</f>
        <v/>
      </c>
      <c r="Q23" s="6">
        <f>IFERROR(IF(INDEX(Matches!$N$5:$N$9,MATCH($B23,Matches!$A$5:$A$9,0))="","",IF($F23="A",INDEX(Matches!$N$5:$N$9,MATCH($B23,Matches!$A$5:$A$9,0)),1-INDEX(Matches!$N$5:$N$9,MATCH($B23,Matches!$A$5:$A$9,0)))),"")</f>
        <v/>
      </c>
      <c r="R23">
        <f>IFERROR(N(INDEX(Matches!$P$5:$P$9,MATCH($B23,Matches!$A$5:$A$9,0))),0)</f>
        <v/>
      </c>
      <c r="S23" s="11">
        <f>IF(OR($Q23="",$J23=""),"",$L23*($Q23*$J23+(1-$Q23)*$K23))</f>
        <v/>
      </c>
      <c r="T23">
        <f>IF($S23="","",IF(LEFT($B23,4)="DOTA",Config!$B$7,Config!$B$6)*$S23+$L23^2*$Q23*(1-$Q23)*($J23-$K23)^2)</f>
        <v/>
      </c>
      <c r="U23" s="6">
        <f>IFERROR(IF(INDEX(Matches!$O$5:$O$9,MATCH($B23,Matches!$A$5:$A$9,0))="","",IF($F23="A",INDEX(Matches!$O$5:$O$9,MATCH($B23,Matches!$A$5:$A$9,0)),1-INDEX(Matches!$O$5:$O$9,MATCH($B23,Matches!$A$5:$A$9,0)))),"")</f>
        <v/>
      </c>
      <c r="V23">
        <f>IFERROR(N(INDEX(Matches!$Q$5:$Q$9,MATCH($B23,Matches!$A$5:$A$9,0))),0)</f>
        <v/>
      </c>
      <c r="W23" s="11">
        <f>IF(OR($U23="",$J23=""),"",$L23*($U23*$J23+(1-$U23)*$K23))</f>
        <v/>
      </c>
      <c r="X23">
        <f>IF($W23="","",IF(LEFT($B23,4)="DOTA",Config!$B$7,Config!$B$6)*$W23+$L23^2*$U23*(1-$U23)*($J23-$K23)^2)</f>
        <v/>
      </c>
      <c r="Y23" s="11">
        <f>IF($O23="","",$O23)</f>
        <v/>
      </c>
      <c r="Z23">
        <f>IF($P23="","",$P23)</f>
        <v/>
      </c>
      <c r="AA23" s="11">
        <f>IF($O23="","",N($N23)*N($O23)+N($R23)*N($S23))</f>
        <v/>
      </c>
      <c r="AB23">
        <f>IF($O23="","",(N($N23)*N($P23)+N($N23)*(1-N($N23))*N($O23)^2)+(N($R23)*N($T23)+N($R23)*(1-N($R23))*N($S23)^2))</f>
        <v/>
      </c>
      <c r="AC23" s="11">
        <f>IF($O23="","",N($N23)*N($O23)+N($R23)*N($S23)+N($V23)*N($W23))</f>
        <v/>
      </c>
      <c r="AD23">
        <f>IF($O23="","",(N($N23)*N($P23)+N($N23)*(1-N($N23))*N($O23)^2)+(N($R23)*N($T23)+N($R23)*(1-N($R23))*N($S23)^2)+(N($V23)*N($X23)+N($V23)*(1-N($V23))*N($W23)^2))</f>
        <v/>
      </c>
      <c r="AE23" s="11">
        <f>IF($I23="","",$I23*$L23)</f>
        <v/>
      </c>
      <c r="AF23" s="11">
        <f>IF($I23="","",$I23*$L23*(1+N($R23)))</f>
        <v/>
      </c>
      <c r="AG23" s="11">
        <f>IF($I23="","",$I23*$L23*(1+N($R23)+N($V23)))</f>
        <v/>
      </c>
      <c r="AH23">
        <f>TRIM(IF($G23&lt;Config!$B$9,"thin sample ("&amp;$G23&amp;" maps) · ","")&amp;IF($I23="","no PickFinder stats · ","")&amp;IFERROR(IF(INDEX(Players!$T$2:$T$43,MATCH($E23,Players!$A$2:$A$43,0))&lt;0.5,"new roster: "&amp;TEXT(INDEX(Players!$T$2:$T$43,MATCH($E23,Players!$A$2:$A$43,0)),"0%")&amp;" of his recent games with these teammates",""),""))</f>
        <v/>
      </c>
      <c r="AI23">
        <f>IF($B23=Board!$B$2,COUNTIFS($B$2:$B$43,Board!$B$2,$Y$2:$Y$43,"&gt;"&amp;$Y23)+COUNTIFS($B$1:$B22,Board!$B$2,$Y$1:$Y22,$Y23)+1,"")</f>
        <v/>
      </c>
      <c r="AJ23">
        <f>IFERROR(IF(INDEX(Matches!$D$5:$D$9,MATCH($B23,Matches!$A$5:$A$9,0))=3,"K12","K13"),"K13")</f>
        <v/>
      </c>
      <c r="AK23" s="11">
        <f>IF($AJ23="K12",$AA23,$AC23)</f>
        <v/>
      </c>
    </row>
    <row r="24">
      <c r="A24" t="inlineStr">
        <is>
          <t>eu78tcmea0duae0|DOTA · TS vs LEGION</t>
        </is>
      </c>
      <c r="B24" t="inlineStr">
        <is>
          <t>DOTA · TS vs LEGION</t>
        </is>
      </c>
      <c r="C24" t="inlineStr">
        <is>
          <t>TS</t>
        </is>
      </c>
      <c r="D24" t="inlineStr">
        <is>
          <t>not me</t>
        </is>
      </c>
      <c r="E24" t="inlineStr">
        <is>
          <t>eu78tcmea0duae0</t>
        </is>
      </c>
      <c r="F24">
        <f>IFERROR(IF($C24=INDEX(Matches!$S$5:$S$9,MATCH($B24,Matches!$A$5:$A$9,0)),"A",IF($C24=INDEX(Matches!$T$5:$T$9,MATCH($B24,Matches!$A$5:$A$9,0)),"B","")),"")</f>
        <v/>
      </c>
      <c r="G24">
        <f>IFERROR(INDEX(Players!$E$2:$E$43,MATCH($E24,Players!$A$2:$A$43,0)),0)</f>
        <v/>
      </c>
      <c r="H24" s="6">
        <f>IFERROR(INDEX(Players!$F$2:$F$43,MATCH($E24,Players!$A$2:$A$43,0)),"")</f>
        <v/>
      </c>
      <c r="I24">
        <f>IFERROR(INDEX(Players!$G$2:$G$43,MATCH($E24,Players!$A$2:$A$43,0)),"")</f>
        <v/>
      </c>
      <c r="J24" s="11">
        <f>IF(OR($I24="",$H24=""),"",$I24*IF(LEFT($B24,4)="DOTA",Config!$B$5,Config!$B$4)/($H24*IF(LEFT($B24,4)="DOTA",Config!$B$5,Config!$B$4)+1-$H24))</f>
        <v/>
      </c>
      <c r="K24" s="11">
        <f>IF(OR($I24="",$H24=""),"",$I24/($H24*IF(LEFT($B24,4)="DOTA",Config!$B$5,Config!$B$4)+1-$H24))</f>
        <v/>
      </c>
      <c r="L24">
        <f>IFERROR(INDEX(Matches!$R$5:$R$9,MATCH($B24,Matches!$A$5:$A$9,0)),1)</f>
        <v/>
      </c>
      <c r="M24" s="6">
        <f>IFERROR(IF(INDEX(Matches!$M$5:$M$9,MATCH($B24,Matches!$A$5:$A$9,0))="","",IF($F24="A",INDEX(Matches!$M$5:$M$9,MATCH($B24,Matches!$A$5:$A$9,0)),1-INDEX(Matches!$M$5:$M$9,MATCH($B24,Matches!$A$5:$A$9,0)))),"")</f>
        <v/>
      </c>
      <c r="N24">
        <f>1</f>
        <v/>
      </c>
      <c r="O24" s="11">
        <f>IF(OR($M24="",$J24=""),"",$L24*($M24*$J24+(1-$M24)*$K24))</f>
        <v/>
      </c>
      <c r="P24">
        <f>IF($O24="","",IF(LEFT($B24,4)="DOTA",Config!$B$7,Config!$B$6)*$O24+$L24^2*$M24*(1-$M24)*($J24-$K24)^2)</f>
        <v/>
      </c>
      <c r="Q24" s="6">
        <f>IFERROR(IF(INDEX(Matches!$N$5:$N$9,MATCH($B24,Matches!$A$5:$A$9,0))="","",IF($F24="A",INDEX(Matches!$N$5:$N$9,MATCH($B24,Matches!$A$5:$A$9,0)),1-INDEX(Matches!$N$5:$N$9,MATCH($B24,Matches!$A$5:$A$9,0)))),"")</f>
        <v/>
      </c>
      <c r="R24">
        <f>IFERROR(N(INDEX(Matches!$P$5:$P$9,MATCH($B24,Matches!$A$5:$A$9,0))),0)</f>
        <v/>
      </c>
      <c r="S24" s="11">
        <f>IF(OR($Q24="",$J24=""),"",$L24*($Q24*$J24+(1-$Q24)*$K24))</f>
        <v/>
      </c>
      <c r="T24">
        <f>IF($S24="","",IF(LEFT($B24,4)="DOTA",Config!$B$7,Config!$B$6)*$S24+$L24^2*$Q24*(1-$Q24)*($J24-$K24)^2)</f>
        <v/>
      </c>
      <c r="U24" s="6">
        <f>IFERROR(IF(INDEX(Matches!$O$5:$O$9,MATCH($B24,Matches!$A$5:$A$9,0))="","",IF($F24="A",INDEX(Matches!$O$5:$O$9,MATCH($B24,Matches!$A$5:$A$9,0)),1-INDEX(Matches!$O$5:$O$9,MATCH($B24,Matches!$A$5:$A$9,0)))),"")</f>
        <v/>
      </c>
      <c r="V24">
        <f>IFERROR(N(INDEX(Matches!$Q$5:$Q$9,MATCH($B24,Matches!$A$5:$A$9,0))),0)</f>
        <v/>
      </c>
      <c r="W24" s="11">
        <f>IF(OR($U24="",$J24=""),"",$L24*($U24*$J24+(1-$U24)*$K24))</f>
        <v/>
      </c>
      <c r="X24">
        <f>IF($W24="","",IF(LEFT($B24,4)="DOTA",Config!$B$7,Config!$B$6)*$W24+$L24^2*$U24*(1-$U24)*($J24-$K24)^2)</f>
        <v/>
      </c>
      <c r="Y24" s="11">
        <f>IF($O24="","",$O24)</f>
        <v/>
      </c>
      <c r="Z24">
        <f>IF($P24="","",$P24)</f>
        <v/>
      </c>
      <c r="AA24" s="11">
        <f>IF($O24="","",N($N24)*N($O24)+N($R24)*N($S24))</f>
        <v/>
      </c>
      <c r="AB24">
        <f>IF($O24="","",(N($N24)*N($P24)+N($N24)*(1-N($N24))*N($O24)^2)+(N($R24)*N($T24)+N($R24)*(1-N($R24))*N($S24)^2))</f>
        <v/>
      </c>
      <c r="AC24" s="11">
        <f>IF($O24="","",N($N24)*N($O24)+N($R24)*N($S24)+N($V24)*N($W24))</f>
        <v/>
      </c>
      <c r="AD24">
        <f>IF($O24="","",(N($N24)*N($P24)+N($N24)*(1-N($N24))*N($O24)^2)+(N($R24)*N($T24)+N($R24)*(1-N($R24))*N($S24)^2)+(N($V24)*N($X24)+N($V24)*(1-N($V24))*N($W24)^2))</f>
        <v/>
      </c>
      <c r="AE24" s="11">
        <f>IF($I24="","",$I24*$L24)</f>
        <v/>
      </c>
      <c r="AF24" s="11">
        <f>IF($I24="","",$I24*$L24*(1+N($R24)))</f>
        <v/>
      </c>
      <c r="AG24" s="11">
        <f>IF($I24="","",$I24*$L24*(1+N($R24)+N($V24)))</f>
        <v/>
      </c>
      <c r="AH24">
        <f>TRIM(IF($G24&lt;Config!$B$9,"thin sample ("&amp;$G24&amp;" maps) · ","")&amp;IF($I24="","no PickFinder stats · ","")&amp;IFERROR(IF(INDEX(Players!$T$2:$T$43,MATCH($E24,Players!$A$2:$A$43,0))&lt;0.5,"new roster: "&amp;TEXT(INDEX(Players!$T$2:$T$43,MATCH($E24,Players!$A$2:$A$43,0)),"0%")&amp;" of his recent games with these teammates",""),""))</f>
        <v/>
      </c>
      <c r="AI24">
        <f>IF($B24=Board!$B$2,COUNTIFS($B$2:$B$43,Board!$B$2,$Y$2:$Y$43,"&gt;"&amp;$Y24)+COUNTIFS($B$1:$B23,Board!$B$2,$Y$1:$Y23,$Y24)+1,"")</f>
        <v/>
      </c>
      <c r="AJ24">
        <f>IFERROR(IF(INDEX(Matches!$D$5:$D$9,MATCH($B24,Matches!$A$5:$A$9,0))=3,"K12","K13"),"K13")</f>
        <v/>
      </c>
      <c r="AK24" s="11">
        <f>IF($AJ24="K12",$AA24,$AC24)</f>
        <v/>
      </c>
    </row>
    <row r="25">
      <c r="A25" t="inlineStr">
        <is>
          <t>sw7j8rqyn0xsj7y|DOTA · TS vs LEGION</t>
        </is>
      </c>
      <c r="B25" t="inlineStr">
        <is>
          <t>DOTA · TS vs LEGION</t>
        </is>
      </c>
      <c r="C25" t="inlineStr">
        <is>
          <t>TS</t>
        </is>
      </c>
      <c r="D25" t="inlineStr">
        <is>
          <t>rue</t>
        </is>
      </c>
      <c r="E25" t="inlineStr">
        <is>
          <t>sw7j8rqyn0xsj7y</t>
        </is>
      </c>
      <c r="F25">
        <f>IFERROR(IF($C25=INDEX(Matches!$S$5:$S$9,MATCH($B25,Matches!$A$5:$A$9,0)),"A",IF($C25=INDEX(Matches!$T$5:$T$9,MATCH($B25,Matches!$A$5:$A$9,0)),"B","")),"")</f>
        <v/>
      </c>
      <c r="G25">
        <f>IFERROR(INDEX(Players!$E$2:$E$43,MATCH($E25,Players!$A$2:$A$43,0)),0)</f>
        <v/>
      </c>
      <c r="H25" s="6">
        <f>IFERROR(INDEX(Players!$F$2:$F$43,MATCH($E25,Players!$A$2:$A$43,0)),"")</f>
        <v/>
      </c>
      <c r="I25">
        <f>IFERROR(INDEX(Players!$G$2:$G$43,MATCH($E25,Players!$A$2:$A$43,0)),"")</f>
        <v/>
      </c>
      <c r="J25" s="11">
        <f>IF(OR($I25="",$H25=""),"",$I25*IF(LEFT($B25,4)="DOTA",Config!$B$5,Config!$B$4)/($H25*IF(LEFT($B25,4)="DOTA",Config!$B$5,Config!$B$4)+1-$H25))</f>
        <v/>
      </c>
      <c r="K25" s="11">
        <f>IF(OR($I25="",$H25=""),"",$I25/($H25*IF(LEFT($B25,4)="DOTA",Config!$B$5,Config!$B$4)+1-$H25))</f>
        <v/>
      </c>
      <c r="L25">
        <f>IFERROR(INDEX(Matches!$R$5:$R$9,MATCH($B25,Matches!$A$5:$A$9,0)),1)</f>
        <v/>
      </c>
      <c r="M25" s="6">
        <f>IFERROR(IF(INDEX(Matches!$M$5:$M$9,MATCH($B25,Matches!$A$5:$A$9,0))="","",IF($F25="A",INDEX(Matches!$M$5:$M$9,MATCH($B25,Matches!$A$5:$A$9,0)),1-INDEX(Matches!$M$5:$M$9,MATCH($B25,Matches!$A$5:$A$9,0)))),"")</f>
        <v/>
      </c>
      <c r="N25">
        <f>1</f>
        <v/>
      </c>
      <c r="O25" s="11">
        <f>IF(OR($M25="",$J25=""),"",$L25*($M25*$J25+(1-$M25)*$K25))</f>
        <v/>
      </c>
      <c r="P25">
        <f>IF($O25="","",IF(LEFT($B25,4)="DOTA",Config!$B$7,Config!$B$6)*$O25+$L25^2*$M25*(1-$M25)*($J25-$K25)^2)</f>
        <v/>
      </c>
      <c r="Q25" s="6">
        <f>IFERROR(IF(INDEX(Matches!$N$5:$N$9,MATCH($B25,Matches!$A$5:$A$9,0))="","",IF($F25="A",INDEX(Matches!$N$5:$N$9,MATCH($B25,Matches!$A$5:$A$9,0)),1-INDEX(Matches!$N$5:$N$9,MATCH($B25,Matches!$A$5:$A$9,0)))),"")</f>
        <v/>
      </c>
      <c r="R25">
        <f>IFERROR(N(INDEX(Matches!$P$5:$P$9,MATCH($B25,Matches!$A$5:$A$9,0))),0)</f>
        <v/>
      </c>
      <c r="S25" s="11">
        <f>IF(OR($Q25="",$J25=""),"",$L25*($Q25*$J25+(1-$Q25)*$K25))</f>
        <v/>
      </c>
      <c r="T25">
        <f>IF($S25="","",IF(LEFT($B25,4)="DOTA",Config!$B$7,Config!$B$6)*$S25+$L25^2*$Q25*(1-$Q25)*($J25-$K25)^2)</f>
        <v/>
      </c>
      <c r="U25" s="6">
        <f>IFERROR(IF(INDEX(Matches!$O$5:$O$9,MATCH($B25,Matches!$A$5:$A$9,0))="","",IF($F25="A",INDEX(Matches!$O$5:$O$9,MATCH($B25,Matches!$A$5:$A$9,0)),1-INDEX(Matches!$O$5:$O$9,MATCH($B25,Matches!$A$5:$A$9,0)))),"")</f>
        <v/>
      </c>
      <c r="V25">
        <f>IFERROR(N(INDEX(Matches!$Q$5:$Q$9,MATCH($B25,Matches!$A$5:$A$9,0))),0)</f>
        <v/>
      </c>
      <c r="W25" s="11">
        <f>IF(OR($U25="",$J25=""),"",$L25*($U25*$J25+(1-$U25)*$K25))</f>
        <v/>
      </c>
      <c r="X25">
        <f>IF($W25="","",IF(LEFT($B25,4)="DOTA",Config!$B$7,Config!$B$6)*$W25+$L25^2*$U25*(1-$U25)*($J25-$K25)^2)</f>
        <v/>
      </c>
      <c r="Y25" s="11">
        <f>IF($O25="","",$O25)</f>
        <v/>
      </c>
      <c r="Z25">
        <f>IF($P25="","",$P25)</f>
        <v/>
      </c>
      <c r="AA25" s="11">
        <f>IF($O25="","",N($N25)*N($O25)+N($R25)*N($S25))</f>
        <v/>
      </c>
      <c r="AB25">
        <f>IF($O25="","",(N($N25)*N($P25)+N($N25)*(1-N($N25))*N($O25)^2)+(N($R25)*N($T25)+N($R25)*(1-N($R25))*N($S25)^2))</f>
        <v/>
      </c>
      <c r="AC25" s="11">
        <f>IF($O25="","",N($N25)*N($O25)+N($R25)*N($S25)+N($V25)*N($W25))</f>
        <v/>
      </c>
      <c r="AD25">
        <f>IF($O25="","",(N($N25)*N($P25)+N($N25)*(1-N($N25))*N($O25)^2)+(N($R25)*N($T25)+N($R25)*(1-N($R25))*N($S25)^2)+(N($V25)*N($X25)+N($V25)*(1-N($V25))*N($W25)^2))</f>
        <v/>
      </c>
      <c r="AE25" s="11">
        <f>IF($I25="","",$I25*$L25)</f>
        <v/>
      </c>
      <c r="AF25" s="11">
        <f>IF($I25="","",$I25*$L25*(1+N($R25)))</f>
        <v/>
      </c>
      <c r="AG25" s="11">
        <f>IF($I25="","",$I25*$L25*(1+N($R25)+N($V25)))</f>
        <v/>
      </c>
      <c r="AH25">
        <f>TRIM(IF($G25&lt;Config!$B$9,"thin sample ("&amp;$G25&amp;" maps) · ","")&amp;IF($I25="","no PickFinder stats · ","")&amp;IFERROR(IF(INDEX(Players!$T$2:$T$43,MATCH($E25,Players!$A$2:$A$43,0))&lt;0.5,"new roster: "&amp;TEXT(INDEX(Players!$T$2:$T$43,MATCH($E25,Players!$A$2:$A$43,0)),"0%")&amp;" of his recent games with these teammates",""),""))</f>
        <v/>
      </c>
      <c r="AI25">
        <f>IF($B25=Board!$B$2,COUNTIFS($B$2:$B$43,Board!$B$2,$Y$2:$Y$43,"&gt;"&amp;$Y25)+COUNTIFS($B$1:$B24,Board!$B$2,$Y$1:$Y24,$Y25)+1,"")</f>
        <v/>
      </c>
      <c r="AJ25">
        <f>IFERROR(IF(INDEX(Matches!$D$5:$D$9,MATCH($B25,Matches!$A$5:$A$9,0))=3,"K12","K13"),"K13")</f>
        <v/>
      </c>
      <c r="AK25" s="11">
        <f>IF($AJ25="K12",$AA25,$AC25)</f>
        <v/>
      </c>
    </row>
    <row r="26">
      <c r="A26" t="inlineStr">
        <is>
          <t>7i0n30c69c9zmve|DOTA · TS vs LEGION</t>
        </is>
      </c>
      <c r="B26" t="inlineStr">
        <is>
          <t>DOTA · TS vs LEGION</t>
        </is>
      </c>
      <c r="C26" t="inlineStr">
        <is>
          <t>TS</t>
        </is>
      </c>
      <c r="D26" t="inlineStr">
        <is>
          <t>Yatoro</t>
        </is>
      </c>
      <c r="E26" t="inlineStr">
        <is>
          <t>7i0n30c69c9zmve</t>
        </is>
      </c>
      <c r="F26">
        <f>IFERROR(IF($C26=INDEX(Matches!$S$5:$S$9,MATCH($B26,Matches!$A$5:$A$9,0)),"A",IF($C26=INDEX(Matches!$T$5:$T$9,MATCH($B26,Matches!$A$5:$A$9,0)),"B","")),"")</f>
        <v/>
      </c>
      <c r="G26">
        <f>IFERROR(INDEX(Players!$E$2:$E$43,MATCH($E26,Players!$A$2:$A$43,0)),0)</f>
        <v/>
      </c>
      <c r="H26" s="6">
        <f>IFERROR(INDEX(Players!$F$2:$F$43,MATCH($E26,Players!$A$2:$A$43,0)),"")</f>
        <v/>
      </c>
      <c r="I26">
        <f>IFERROR(INDEX(Players!$G$2:$G$43,MATCH($E26,Players!$A$2:$A$43,0)),"")</f>
        <v/>
      </c>
      <c r="J26" s="11">
        <f>IF(OR($I26="",$H26=""),"",$I26*IF(LEFT($B26,4)="DOTA",Config!$B$5,Config!$B$4)/($H26*IF(LEFT($B26,4)="DOTA",Config!$B$5,Config!$B$4)+1-$H26))</f>
        <v/>
      </c>
      <c r="K26" s="11">
        <f>IF(OR($I26="",$H26=""),"",$I26/($H26*IF(LEFT($B26,4)="DOTA",Config!$B$5,Config!$B$4)+1-$H26))</f>
        <v/>
      </c>
      <c r="L26">
        <f>IFERROR(INDEX(Matches!$R$5:$R$9,MATCH($B26,Matches!$A$5:$A$9,0)),1)</f>
        <v/>
      </c>
      <c r="M26" s="6">
        <f>IFERROR(IF(INDEX(Matches!$M$5:$M$9,MATCH($B26,Matches!$A$5:$A$9,0))="","",IF($F26="A",INDEX(Matches!$M$5:$M$9,MATCH($B26,Matches!$A$5:$A$9,0)),1-INDEX(Matches!$M$5:$M$9,MATCH($B26,Matches!$A$5:$A$9,0)))),"")</f>
        <v/>
      </c>
      <c r="N26">
        <f>1</f>
        <v/>
      </c>
      <c r="O26" s="11">
        <f>IF(OR($M26="",$J26=""),"",$L26*($M26*$J26+(1-$M26)*$K26))</f>
        <v/>
      </c>
      <c r="P26">
        <f>IF($O26="","",IF(LEFT($B26,4)="DOTA",Config!$B$7,Config!$B$6)*$O26+$L26^2*$M26*(1-$M26)*($J26-$K26)^2)</f>
        <v/>
      </c>
      <c r="Q26" s="6">
        <f>IFERROR(IF(INDEX(Matches!$N$5:$N$9,MATCH($B26,Matches!$A$5:$A$9,0))="","",IF($F26="A",INDEX(Matches!$N$5:$N$9,MATCH($B26,Matches!$A$5:$A$9,0)),1-INDEX(Matches!$N$5:$N$9,MATCH($B26,Matches!$A$5:$A$9,0)))),"")</f>
        <v/>
      </c>
      <c r="R26">
        <f>IFERROR(N(INDEX(Matches!$P$5:$P$9,MATCH($B26,Matches!$A$5:$A$9,0))),0)</f>
        <v/>
      </c>
      <c r="S26" s="11">
        <f>IF(OR($Q26="",$J26=""),"",$L26*($Q26*$J26+(1-$Q26)*$K26))</f>
        <v/>
      </c>
      <c r="T26">
        <f>IF($S26="","",IF(LEFT($B26,4)="DOTA",Config!$B$7,Config!$B$6)*$S26+$L26^2*$Q26*(1-$Q26)*($J26-$K26)^2)</f>
        <v/>
      </c>
      <c r="U26" s="6">
        <f>IFERROR(IF(INDEX(Matches!$O$5:$O$9,MATCH($B26,Matches!$A$5:$A$9,0))="","",IF($F26="A",INDEX(Matches!$O$5:$O$9,MATCH($B26,Matches!$A$5:$A$9,0)),1-INDEX(Matches!$O$5:$O$9,MATCH($B26,Matches!$A$5:$A$9,0)))),"")</f>
        <v/>
      </c>
      <c r="V26">
        <f>IFERROR(N(INDEX(Matches!$Q$5:$Q$9,MATCH($B26,Matches!$A$5:$A$9,0))),0)</f>
        <v/>
      </c>
      <c r="W26" s="11">
        <f>IF(OR($U26="",$J26=""),"",$L26*($U26*$J26+(1-$U26)*$K26))</f>
        <v/>
      </c>
      <c r="X26">
        <f>IF($W26="","",IF(LEFT($B26,4)="DOTA",Config!$B$7,Config!$B$6)*$W26+$L26^2*$U26*(1-$U26)*($J26-$K26)^2)</f>
        <v/>
      </c>
      <c r="Y26" s="11">
        <f>IF($O26="","",$O26)</f>
        <v/>
      </c>
      <c r="Z26">
        <f>IF($P26="","",$P26)</f>
        <v/>
      </c>
      <c r="AA26" s="11">
        <f>IF($O26="","",N($N26)*N($O26)+N($R26)*N($S26))</f>
        <v/>
      </c>
      <c r="AB26">
        <f>IF($O26="","",(N($N26)*N($P26)+N($N26)*(1-N($N26))*N($O26)^2)+(N($R26)*N($T26)+N($R26)*(1-N($R26))*N($S26)^2))</f>
        <v/>
      </c>
      <c r="AC26" s="11">
        <f>IF($O26="","",N($N26)*N($O26)+N($R26)*N($S26)+N($V26)*N($W26))</f>
        <v/>
      </c>
      <c r="AD26">
        <f>IF($O26="","",(N($N26)*N($P26)+N($N26)*(1-N($N26))*N($O26)^2)+(N($R26)*N($T26)+N($R26)*(1-N($R26))*N($S26)^2)+(N($V26)*N($X26)+N($V26)*(1-N($V26))*N($W26)^2))</f>
        <v/>
      </c>
      <c r="AE26" s="11">
        <f>IF($I26="","",$I26*$L26)</f>
        <v/>
      </c>
      <c r="AF26" s="11">
        <f>IF($I26="","",$I26*$L26*(1+N($R26)))</f>
        <v/>
      </c>
      <c r="AG26" s="11">
        <f>IF($I26="","",$I26*$L26*(1+N($R26)+N($V26)))</f>
        <v/>
      </c>
      <c r="AH26">
        <f>TRIM(IF($G26&lt;Config!$B$9,"thin sample ("&amp;$G26&amp;" maps) · ","")&amp;IF($I26="","no PickFinder stats · ","")&amp;IFERROR(IF(INDEX(Players!$T$2:$T$43,MATCH($E26,Players!$A$2:$A$43,0))&lt;0.5,"new roster: "&amp;TEXT(INDEX(Players!$T$2:$T$43,MATCH($E26,Players!$A$2:$A$43,0)),"0%")&amp;" of his recent games with these teammates",""),""))</f>
        <v/>
      </c>
      <c r="AI26">
        <f>IF($B26=Board!$B$2,COUNTIFS($B$2:$B$43,Board!$B$2,$Y$2:$Y$43,"&gt;"&amp;$Y26)+COUNTIFS($B$1:$B25,Board!$B$2,$Y$1:$Y25,$Y26)+1,"")</f>
        <v/>
      </c>
      <c r="AJ26">
        <f>IFERROR(IF(INDEX(Matches!$D$5:$D$9,MATCH($B26,Matches!$A$5:$A$9,0))=3,"K12","K13"),"K13")</f>
        <v/>
      </c>
      <c r="AK26" s="11">
        <f>IF($AJ26="K12",$AA26,$AC26)</f>
        <v/>
      </c>
    </row>
    <row r="27">
      <c r="A27" t="inlineStr">
        <is>
          <t>a5wl3rb1ss2ow7n|LOL · KC vs CFO</t>
        </is>
      </c>
      <c r="B27" t="inlineStr">
        <is>
          <t>LOL · KC vs CFO</t>
        </is>
      </c>
      <c r="C27" t="inlineStr">
        <is>
          <t>CFO</t>
        </is>
      </c>
      <c r="D27" t="inlineStr">
        <is>
          <t>Doggo</t>
        </is>
      </c>
      <c r="E27" t="inlineStr">
        <is>
          <t>a5wl3rb1ss2ow7n</t>
        </is>
      </c>
      <c r="F27">
        <f>IFERROR(IF($C27=INDEX(Matches!$S$5:$S$9,MATCH($B27,Matches!$A$5:$A$9,0)),"A",IF($C27=INDEX(Matches!$T$5:$T$9,MATCH($B27,Matches!$A$5:$A$9,0)),"B","")),"")</f>
        <v/>
      </c>
      <c r="G27">
        <f>IFERROR(INDEX(Players!$E$2:$E$43,MATCH($E27,Players!$A$2:$A$43,0)),0)</f>
        <v/>
      </c>
      <c r="H27" s="6">
        <f>IFERROR(INDEX(Players!$F$2:$F$43,MATCH($E27,Players!$A$2:$A$43,0)),"")</f>
        <v/>
      </c>
      <c r="I27">
        <f>IFERROR(INDEX(Players!$G$2:$G$43,MATCH($E27,Players!$A$2:$A$43,0)),"")</f>
        <v/>
      </c>
      <c r="J27" s="11">
        <f>IF(OR($I27="",$H27=""),"",$I27*IF(LEFT($B27,4)="DOTA",Config!$B$5,Config!$B$4)/($H27*IF(LEFT($B27,4)="DOTA",Config!$B$5,Config!$B$4)+1-$H27))</f>
        <v/>
      </c>
      <c r="K27" s="11">
        <f>IF(OR($I27="",$H27=""),"",$I27/($H27*IF(LEFT($B27,4)="DOTA",Config!$B$5,Config!$B$4)+1-$H27))</f>
        <v/>
      </c>
      <c r="L27">
        <f>IFERROR(INDEX(Matches!$R$5:$R$9,MATCH($B27,Matches!$A$5:$A$9,0)),1)</f>
        <v/>
      </c>
      <c r="M27" s="6">
        <f>IFERROR(IF(INDEX(Matches!$M$5:$M$9,MATCH($B27,Matches!$A$5:$A$9,0))="","",IF($F27="A",INDEX(Matches!$M$5:$M$9,MATCH($B27,Matches!$A$5:$A$9,0)),1-INDEX(Matches!$M$5:$M$9,MATCH($B27,Matches!$A$5:$A$9,0)))),"")</f>
        <v/>
      </c>
      <c r="N27">
        <f>1</f>
        <v/>
      </c>
      <c r="O27" s="11">
        <f>IF(OR($M27="",$J27=""),"",$L27*($M27*$J27+(1-$M27)*$K27))</f>
        <v/>
      </c>
      <c r="P27">
        <f>IF($O27="","",IF(LEFT($B27,4)="DOTA",Config!$B$7,Config!$B$6)*$O27+$L27^2*$M27*(1-$M27)*($J27-$K27)^2)</f>
        <v/>
      </c>
      <c r="Q27" s="6">
        <f>IFERROR(IF(INDEX(Matches!$N$5:$N$9,MATCH($B27,Matches!$A$5:$A$9,0))="","",IF($F27="A",INDEX(Matches!$N$5:$N$9,MATCH($B27,Matches!$A$5:$A$9,0)),1-INDEX(Matches!$N$5:$N$9,MATCH($B27,Matches!$A$5:$A$9,0)))),"")</f>
        <v/>
      </c>
      <c r="R27">
        <f>IFERROR(N(INDEX(Matches!$P$5:$P$9,MATCH($B27,Matches!$A$5:$A$9,0))),0)</f>
        <v/>
      </c>
      <c r="S27" s="11">
        <f>IF(OR($Q27="",$J27=""),"",$L27*($Q27*$J27+(1-$Q27)*$K27))</f>
        <v/>
      </c>
      <c r="T27">
        <f>IF($S27="","",IF(LEFT($B27,4)="DOTA",Config!$B$7,Config!$B$6)*$S27+$L27^2*$Q27*(1-$Q27)*($J27-$K27)^2)</f>
        <v/>
      </c>
      <c r="U27" s="6">
        <f>IFERROR(IF(INDEX(Matches!$O$5:$O$9,MATCH($B27,Matches!$A$5:$A$9,0))="","",IF($F27="A",INDEX(Matches!$O$5:$O$9,MATCH($B27,Matches!$A$5:$A$9,0)),1-INDEX(Matches!$O$5:$O$9,MATCH($B27,Matches!$A$5:$A$9,0)))),"")</f>
        <v/>
      </c>
      <c r="V27">
        <f>IFERROR(N(INDEX(Matches!$Q$5:$Q$9,MATCH($B27,Matches!$A$5:$A$9,0))),0)</f>
        <v/>
      </c>
      <c r="W27" s="11">
        <f>IF(OR($U27="",$J27=""),"",$L27*($U27*$J27+(1-$U27)*$K27))</f>
        <v/>
      </c>
      <c r="X27">
        <f>IF($W27="","",IF(LEFT($B27,4)="DOTA",Config!$B$7,Config!$B$6)*$W27+$L27^2*$U27*(1-$U27)*($J27-$K27)^2)</f>
        <v/>
      </c>
      <c r="Y27" s="11">
        <f>IF($O27="","",$O27)</f>
        <v/>
      </c>
      <c r="Z27">
        <f>IF($P27="","",$P27)</f>
        <v/>
      </c>
      <c r="AA27" s="11">
        <f>IF($O27="","",N($N27)*N($O27)+N($R27)*N($S27))</f>
        <v/>
      </c>
      <c r="AB27">
        <f>IF($O27="","",(N($N27)*N($P27)+N($N27)*(1-N($N27))*N($O27)^2)+(N($R27)*N($T27)+N($R27)*(1-N($R27))*N($S27)^2))</f>
        <v/>
      </c>
      <c r="AC27" s="11">
        <f>IF($O27="","",N($N27)*N($O27)+N($R27)*N($S27)+N($V27)*N($W27))</f>
        <v/>
      </c>
      <c r="AD27">
        <f>IF($O27="","",(N($N27)*N($P27)+N($N27)*(1-N($N27))*N($O27)^2)+(N($R27)*N($T27)+N($R27)*(1-N($R27))*N($S27)^2)+(N($V27)*N($X27)+N($V27)*(1-N($V27))*N($W27)^2))</f>
        <v/>
      </c>
      <c r="AE27" s="11">
        <f>IF($I27="","",$I27*$L27)</f>
        <v/>
      </c>
      <c r="AF27" s="11">
        <f>IF($I27="","",$I27*$L27*(1+N($R27)))</f>
        <v/>
      </c>
      <c r="AG27" s="11">
        <f>IF($I27="","",$I27*$L27*(1+N($R27)+N($V27)))</f>
        <v/>
      </c>
      <c r="AH27">
        <f>TRIM(IF($G27&lt;Config!$B$9,"thin sample ("&amp;$G27&amp;" maps) · ","")&amp;IF($I27="","no PickFinder stats · ","")&amp;IFERROR(IF(INDEX(Players!$T$2:$T$43,MATCH($E27,Players!$A$2:$A$43,0))&lt;0.5,"new roster: "&amp;TEXT(INDEX(Players!$T$2:$T$43,MATCH($E27,Players!$A$2:$A$43,0)),"0%")&amp;" of his recent games with these teammates",""),""))</f>
        <v/>
      </c>
      <c r="AI27">
        <f>IF($B27=Board!$B$2,COUNTIFS($B$2:$B$43,Board!$B$2,$Y$2:$Y$43,"&gt;"&amp;$Y27)+COUNTIFS($B$1:$B26,Board!$B$2,$Y$1:$Y26,$Y27)+1,"")</f>
        <v/>
      </c>
      <c r="AJ27">
        <f>IFERROR(IF(INDEX(Matches!$D$5:$D$9,MATCH($B27,Matches!$A$5:$A$9,0))=3,"K12","K13"),"K13")</f>
        <v/>
      </c>
      <c r="AK27" s="11">
        <f>IF($AJ27="K12",$AA27,$AC27)</f>
        <v/>
      </c>
    </row>
    <row r="28">
      <c r="A28" t="inlineStr">
        <is>
          <t>tn5wihneq593t21|LOL · KC vs CFO</t>
        </is>
      </c>
      <c r="B28" t="inlineStr">
        <is>
          <t>LOL · KC vs CFO</t>
        </is>
      </c>
      <c r="C28" t="inlineStr">
        <is>
          <t>CFO</t>
        </is>
      </c>
      <c r="D28" t="inlineStr">
        <is>
          <t>Pout</t>
        </is>
      </c>
      <c r="E28" t="inlineStr">
        <is>
          <t>tn5wihneq593t21</t>
        </is>
      </c>
      <c r="F28">
        <f>IFERROR(IF($C28=INDEX(Matches!$S$5:$S$9,MATCH($B28,Matches!$A$5:$A$9,0)),"A",IF($C28=INDEX(Matches!$T$5:$T$9,MATCH($B28,Matches!$A$5:$A$9,0)),"B","")),"")</f>
        <v/>
      </c>
      <c r="G28">
        <f>IFERROR(INDEX(Players!$E$2:$E$43,MATCH($E28,Players!$A$2:$A$43,0)),0)</f>
        <v/>
      </c>
      <c r="H28" s="6">
        <f>IFERROR(INDEX(Players!$F$2:$F$43,MATCH($E28,Players!$A$2:$A$43,0)),"")</f>
        <v/>
      </c>
      <c r="I28">
        <f>IFERROR(INDEX(Players!$G$2:$G$43,MATCH($E28,Players!$A$2:$A$43,0)),"")</f>
        <v/>
      </c>
      <c r="J28" s="11">
        <f>IF(OR($I28="",$H28=""),"",$I28*IF(LEFT($B28,4)="DOTA",Config!$B$5,Config!$B$4)/($H28*IF(LEFT($B28,4)="DOTA",Config!$B$5,Config!$B$4)+1-$H28))</f>
        <v/>
      </c>
      <c r="K28" s="11">
        <f>IF(OR($I28="",$H28=""),"",$I28/($H28*IF(LEFT($B28,4)="DOTA",Config!$B$5,Config!$B$4)+1-$H28))</f>
        <v/>
      </c>
      <c r="L28">
        <f>IFERROR(INDEX(Matches!$R$5:$R$9,MATCH($B28,Matches!$A$5:$A$9,0)),1)</f>
        <v/>
      </c>
      <c r="M28" s="6">
        <f>IFERROR(IF(INDEX(Matches!$M$5:$M$9,MATCH($B28,Matches!$A$5:$A$9,0))="","",IF($F28="A",INDEX(Matches!$M$5:$M$9,MATCH($B28,Matches!$A$5:$A$9,0)),1-INDEX(Matches!$M$5:$M$9,MATCH($B28,Matches!$A$5:$A$9,0)))),"")</f>
        <v/>
      </c>
      <c r="N28">
        <f>1</f>
        <v/>
      </c>
      <c r="O28" s="11">
        <f>IF(OR($M28="",$J28=""),"",$L28*($M28*$J28+(1-$M28)*$K28))</f>
        <v/>
      </c>
      <c r="P28">
        <f>IF($O28="","",IF(LEFT($B28,4)="DOTA",Config!$B$7,Config!$B$6)*$O28+$L28^2*$M28*(1-$M28)*($J28-$K28)^2)</f>
        <v/>
      </c>
      <c r="Q28" s="6">
        <f>IFERROR(IF(INDEX(Matches!$N$5:$N$9,MATCH($B28,Matches!$A$5:$A$9,0))="","",IF($F28="A",INDEX(Matches!$N$5:$N$9,MATCH($B28,Matches!$A$5:$A$9,0)),1-INDEX(Matches!$N$5:$N$9,MATCH($B28,Matches!$A$5:$A$9,0)))),"")</f>
        <v/>
      </c>
      <c r="R28">
        <f>IFERROR(N(INDEX(Matches!$P$5:$P$9,MATCH($B28,Matches!$A$5:$A$9,0))),0)</f>
        <v/>
      </c>
      <c r="S28" s="11">
        <f>IF(OR($Q28="",$J28=""),"",$L28*($Q28*$J28+(1-$Q28)*$K28))</f>
        <v/>
      </c>
      <c r="T28">
        <f>IF($S28="","",IF(LEFT($B28,4)="DOTA",Config!$B$7,Config!$B$6)*$S28+$L28^2*$Q28*(1-$Q28)*($J28-$K28)^2)</f>
        <v/>
      </c>
      <c r="U28" s="6">
        <f>IFERROR(IF(INDEX(Matches!$O$5:$O$9,MATCH($B28,Matches!$A$5:$A$9,0))="","",IF($F28="A",INDEX(Matches!$O$5:$O$9,MATCH($B28,Matches!$A$5:$A$9,0)),1-INDEX(Matches!$O$5:$O$9,MATCH($B28,Matches!$A$5:$A$9,0)))),"")</f>
        <v/>
      </c>
      <c r="V28">
        <f>IFERROR(N(INDEX(Matches!$Q$5:$Q$9,MATCH($B28,Matches!$A$5:$A$9,0))),0)</f>
        <v/>
      </c>
      <c r="W28" s="11">
        <f>IF(OR($U28="",$J28=""),"",$L28*($U28*$J28+(1-$U28)*$K28))</f>
        <v/>
      </c>
      <c r="X28">
        <f>IF($W28="","",IF(LEFT($B28,4)="DOTA",Config!$B$7,Config!$B$6)*$W28+$L28^2*$U28*(1-$U28)*($J28-$K28)^2)</f>
        <v/>
      </c>
      <c r="Y28" s="11">
        <f>IF($O28="","",$O28)</f>
        <v/>
      </c>
      <c r="Z28">
        <f>IF($P28="","",$P28)</f>
        <v/>
      </c>
      <c r="AA28" s="11">
        <f>IF($O28="","",N($N28)*N($O28)+N($R28)*N($S28))</f>
        <v/>
      </c>
      <c r="AB28">
        <f>IF($O28="","",(N($N28)*N($P28)+N($N28)*(1-N($N28))*N($O28)^2)+(N($R28)*N($T28)+N($R28)*(1-N($R28))*N($S28)^2))</f>
        <v/>
      </c>
      <c r="AC28" s="11">
        <f>IF($O28="","",N($N28)*N($O28)+N($R28)*N($S28)+N($V28)*N($W28))</f>
        <v/>
      </c>
      <c r="AD28">
        <f>IF($O28="","",(N($N28)*N($P28)+N($N28)*(1-N($N28))*N($O28)^2)+(N($R28)*N($T28)+N($R28)*(1-N($R28))*N($S28)^2)+(N($V28)*N($X28)+N($V28)*(1-N($V28))*N($W28)^2))</f>
        <v/>
      </c>
      <c r="AE28" s="11">
        <f>IF($I28="","",$I28*$L28)</f>
        <v/>
      </c>
      <c r="AF28" s="11">
        <f>IF($I28="","",$I28*$L28*(1+N($R28)))</f>
        <v/>
      </c>
      <c r="AG28" s="11">
        <f>IF($I28="","",$I28*$L28*(1+N($R28)+N($V28)))</f>
        <v/>
      </c>
      <c r="AH28">
        <f>TRIM(IF($G28&lt;Config!$B$9,"thin sample ("&amp;$G28&amp;" maps) · ","")&amp;IF($I28="","no PickFinder stats · ","")&amp;IFERROR(IF(INDEX(Players!$T$2:$T$43,MATCH($E28,Players!$A$2:$A$43,0))&lt;0.5,"new roster: "&amp;TEXT(INDEX(Players!$T$2:$T$43,MATCH($E28,Players!$A$2:$A$43,0)),"0%")&amp;" of his recent games with these teammates",""),""))</f>
        <v/>
      </c>
      <c r="AI28">
        <f>IF($B28=Board!$B$2,COUNTIFS($B$2:$B$43,Board!$B$2,$Y$2:$Y$43,"&gt;"&amp;$Y28)+COUNTIFS($B$1:$B27,Board!$B$2,$Y$1:$Y27,$Y28)+1,"")</f>
        <v/>
      </c>
      <c r="AJ28">
        <f>IFERROR(IF(INDEX(Matches!$D$5:$D$9,MATCH($B28,Matches!$A$5:$A$9,0))=3,"K12","K13"),"K13")</f>
        <v/>
      </c>
      <c r="AK28" s="11">
        <f>IF($AJ28="K12",$AA28,$AC28)</f>
        <v/>
      </c>
    </row>
    <row r="29">
      <c r="A29" t="inlineStr">
        <is>
          <t>53mtwbqgfk1n5zk|LOL · KC vs CFO</t>
        </is>
      </c>
      <c r="B29" t="inlineStr">
        <is>
          <t>LOL · KC vs CFO</t>
        </is>
      </c>
      <c r="C29" t="inlineStr">
        <is>
          <t>CFO</t>
        </is>
      </c>
      <c r="D29" t="inlineStr">
        <is>
          <t>Rest</t>
        </is>
      </c>
      <c r="E29" t="inlineStr">
        <is>
          <t>53mtwbqgfk1n5zk</t>
        </is>
      </c>
      <c r="F29">
        <f>IFERROR(IF($C29=INDEX(Matches!$S$5:$S$9,MATCH($B29,Matches!$A$5:$A$9,0)),"A",IF($C29=INDEX(Matches!$T$5:$T$9,MATCH($B29,Matches!$A$5:$A$9,0)),"B","")),"")</f>
        <v/>
      </c>
      <c r="G29">
        <f>IFERROR(INDEX(Players!$E$2:$E$43,MATCH($E29,Players!$A$2:$A$43,0)),0)</f>
        <v/>
      </c>
      <c r="H29" s="6">
        <f>IFERROR(INDEX(Players!$F$2:$F$43,MATCH($E29,Players!$A$2:$A$43,0)),"")</f>
        <v/>
      </c>
      <c r="I29">
        <f>IFERROR(INDEX(Players!$G$2:$G$43,MATCH($E29,Players!$A$2:$A$43,0)),"")</f>
        <v/>
      </c>
      <c r="J29" s="11">
        <f>IF(OR($I29="",$H29=""),"",$I29*IF(LEFT($B29,4)="DOTA",Config!$B$5,Config!$B$4)/($H29*IF(LEFT($B29,4)="DOTA",Config!$B$5,Config!$B$4)+1-$H29))</f>
        <v/>
      </c>
      <c r="K29" s="11">
        <f>IF(OR($I29="",$H29=""),"",$I29/($H29*IF(LEFT($B29,4)="DOTA",Config!$B$5,Config!$B$4)+1-$H29))</f>
        <v/>
      </c>
      <c r="L29">
        <f>IFERROR(INDEX(Matches!$R$5:$R$9,MATCH($B29,Matches!$A$5:$A$9,0)),1)</f>
        <v/>
      </c>
      <c r="M29" s="6">
        <f>IFERROR(IF(INDEX(Matches!$M$5:$M$9,MATCH($B29,Matches!$A$5:$A$9,0))="","",IF($F29="A",INDEX(Matches!$M$5:$M$9,MATCH($B29,Matches!$A$5:$A$9,0)),1-INDEX(Matches!$M$5:$M$9,MATCH($B29,Matches!$A$5:$A$9,0)))),"")</f>
        <v/>
      </c>
      <c r="N29">
        <f>1</f>
        <v/>
      </c>
      <c r="O29" s="11">
        <f>IF(OR($M29="",$J29=""),"",$L29*($M29*$J29+(1-$M29)*$K29))</f>
        <v/>
      </c>
      <c r="P29">
        <f>IF($O29="","",IF(LEFT($B29,4)="DOTA",Config!$B$7,Config!$B$6)*$O29+$L29^2*$M29*(1-$M29)*($J29-$K29)^2)</f>
        <v/>
      </c>
      <c r="Q29" s="6">
        <f>IFERROR(IF(INDEX(Matches!$N$5:$N$9,MATCH($B29,Matches!$A$5:$A$9,0))="","",IF($F29="A",INDEX(Matches!$N$5:$N$9,MATCH($B29,Matches!$A$5:$A$9,0)),1-INDEX(Matches!$N$5:$N$9,MATCH($B29,Matches!$A$5:$A$9,0)))),"")</f>
        <v/>
      </c>
      <c r="R29">
        <f>IFERROR(N(INDEX(Matches!$P$5:$P$9,MATCH($B29,Matches!$A$5:$A$9,0))),0)</f>
        <v/>
      </c>
      <c r="S29" s="11">
        <f>IF(OR($Q29="",$J29=""),"",$L29*($Q29*$J29+(1-$Q29)*$K29))</f>
        <v/>
      </c>
      <c r="T29">
        <f>IF($S29="","",IF(LEFT($B29,4)="DOTA",Config!$B$7,Config!$B$6)*$S29+$L29^2*$Q29*(1-$Q29)*($J29-$K29)^2)</f>
        <v/>
      </c>
      <c r="U29" s="6">
        <f>IFERROR(IF(INDEX(Matches!$O$5:$O$9,MATCH($B29,Matches!$A$5:$A$9,0))="","",IF($F29="A",INDEX(Matches!$O$5:$O$9,MATCH($B29,Matches!$A$5:$A$9,0)),1-INDEX(Matches!$O$5:$O$9,MATCH($B29,Matches!$A$5:$A$9,0)))),"")</f>
        <v/>
      </c>
      <c r="V29">
        <f>IFERROR(N(INDEX(Matches!$Q$5:$Q$9,MATCH($B29,Matches!$A$5:$A$9,0))),0)</f>
        <v/>
      </c>
      <c r="W29" s="11">
        <f>IF(OR($U29="",$J29=""),"",$L29*($U29*$J29+(1-$U29)*$K29))</f>
        <v/>
      </c>
      <c r="X29">
        <f>IF($W29="","",IF(LEFT($B29,4)="DOTA",Config!$B$7,Config!$B$6)*$W29+$L29^2*$U29*(1-$U29)*($J29-$K29)^2)</f>
        <v/>
      </c>
      <c r="Y29" s="11">
        <f>IF($O29="","",$O29)</f>
        <v/>
      </c>
      <c r="Z29">
        <f>IF($P29="","",$P29)</f>
        <v/>
      </c>
      <c r="AA29" s="11">
        <f>IF($O29="","",N($N29)*N($O29)+N($R29)*N($S29))</f>
        <v/>
      </c>
      <c r="AB29">
        <f>IF($O29="","",(N($N29)*N($P29)+N($N29)*(1-N($N29))*N($O29)^2)+(N($R29)*N($T29)+N($R29)*(1-N($R29))*N($S29)^2))</f>
        <v/>
      </c>
      <c r="AC29" s="11">
        <f>IF($O29="","",N($N29)*N($O29)+N($R29)*N($S29)+N($V29)*N($W29))</f>
        <v/>
      </c>
      <c r="AD29">
        <f>IF($O29="","",(N($N29)*N($P29)+N($N29)*(1-N($N29))*N($O29)^2)+(N($R29)*N($T29)+N($R29)*(1-N($R29))*N($S29)^2)+(N($V29)*N($X29)+N($V29)*(1-N($V29))*N($W29)^2))</f>
        <v/>
      </c>
      <c r="AE29" s="11">
        <f>IF($I29="","",$I29*$L29)</f>
        <v/>
      </c>
      <c r="AF29" s="11">
        <f>IF($I29="","",$I29*$L29*(1+N($R29)))</f>
        <v/>
      </c>
      <c r="AG29" s="11">
        <f>IF($I29="","",$I29*$L29*(1+N($R29)+N($V29)))</f>
        <v/>
      </c>
      <c r="AH29">
        <f>TRIM(IF($G29&lt;Config!$B$9,"thin sample ("&amp;$G29&amp;" maps) · ","")&amp;IF($I29="","no PickFinder stats · ","")&amp;IFERROR(IF(INDEX(Players!$T$2:$T$43,MATCH($E29,Players!$A$2:$A$43,0))&lt;0.5,"new roster: "&amp;TEXT(INDEX(Players!$T$2:$T$43,MATCH($E29,Players!$A$2:$A$43,0)),"0%")&amp;" of his recent games with these teammates",""),""))</f>
        <v/>
      </c>
      <c r="AI29">
        <f>IF($B29=Board!$B$2,COUNTIFS($B$2:$B$43,Board!$B$2,$Y$2:$Y$43,"&gt;"&amp;$Y29)+COUNTIFS($B$1:$B28,Board!$B$2,$Y$1:$Y28,$Y29)+1,"")</f>
        <v/>
      </c>
      <c r="AJ29">
        <f>IFERROR(IF(INDEX(Matches!$D$5:$D$9,MATCH($B29,Matches!$A$5:$A$9,0))=3,"K12","K13"),"K13")</f>
        <v/>
      </c>
      <c r="AK29" s="11">
        <f>IF($AJ29="K12",$AA29,$AC29)</f>
        <v/>
      </c>
    </row>
    <row r="30">
      <c r="A30" t="inlineStr">
        <is>
          <t>ko4ayhltzyln940|LOL · KC vs CFO</t>
        </is>
      </c>
      <c r="B30" t="inlineStr">
        <is>
          <t>LOL · KC vs CFO</t>
        </is>
      </c>
      <c r="C30" t="inlineStr">
        <is>
          <t>CFO</t>
        </is>
      </c>
      <c r="D30" t="inlineStr">
        <is>
          <t>Shad0w</t>
        </is>
      </c>
      <c r="E30" t="inlineStr">
        <is>
          <t>ko4ayhltzyln940</t>
        </is>
      </c>
      <c r="F30">
        <f>IFERROR(IF($C30=INDEX(Matches!$S$5:$S$9,MATCH($B30,Matches!$A$5:$A$9,0)),"A",IF($C30=INDEX(Matches!$T$5:$T$9,MATCH($B30,Matches!$A$5:$A$9,0)),"B","")),"")</f>
        <v/>
      </c>
      <c r="G30">
        <f>IFERROR(INDEX(Players!$E$2:$E$43,MATCH($E30,Players!$A$2:$A$43,0)),0)</f>
        <v/>
      </c>
      <c r="H30" s="6">
        <f>IFERROR(INDEX(Players!$F$2:$F$43,MATCH($E30,Players!$A$2:$A$43,0)),"")</f>
        <v/>
      </c>
      <c r="I30">
        <f>IFERROR(INDEX(Players!$G$2:$G$43,MATCH($E30,Players!$A$2:$A$43,0)),"")</f>
        <v/>
      </c>
      <c r="J30" s="11">
        <f>IF(OR($I30="",$H30=""),"",$I30*IF(LEFT($B30,4)="DOTA",Config!$B$5,Config!$B$4)/($H30*IF(LEFT($B30,4)="DOTA",Config!$B$5,Config!$B$4)+1-$H30))</f>
        <v/>
      </c>
      <c r="K30" s="11">
        <f>IF(OR($I30="",$H30=""),"",$I30/($H30*IF(LEFT($B30,4)="DOTA",Config!$B$5,Config!$B$4)+1-$H30))</f>
        <v/>
      </c>
      <c r="L30">
        <f>IFERROR(INDEX(Matches!$R$5:$R$9,MATCH($B30,Matches!$A$5:$A$9,0)),1)</f>
        <v/>
      </c>
      <c r="M30" s="6">
        <f>IFERROR(IF(INDEX(Matches!$M$5:$M$9,MATCH($B30,Matches!$A$5:$A$9,0))="","",IF($F30="A",INDEX(Matches!$M$5:$M$9,MATCH($B30,Matches!$A$5:$A$9,0)),1-INDEX(Matches!$M$5:$M$9,MATCH($B30,Matches!$A$5:$A$9,0)))),"")</f>
        <v/>
      </c>
      <c r="N30">
        <f>1</f>
        <v/>
      </c>
      <c r="O30" s="11">
        <f>IF(OR($M30="",$J30=""),"",$L30*($M30*$J30+(1-$M30)*$K30))</f>
        <v/>
      </c>
      <c r="P30">
        <f>IF($O30="","",IF(LEFT($B30,4)="DOTA",Config!$B$7,Config!$B$6)*$O30+$L30^2*$M30*(1-$M30)*($J30-$K30)^2)</f>
        <v/>
      </c>
      <c r="Q30" s="6">
        <f>IFERROR(IF(INDEX(Matches!$N$5:$N$9,MATCH($B30,Matches!$A$5:$A$9,0))="","",IF($F30="A",INDEX(Matches!$N$5:$N$9,MATCH($B30,Matches!$A$5:$A$9,0)),1-INDEX(Matches!$N$5:$N$9,MATCH($B30,Matches!$A$5:$A$9,0)))),"")</f>
        <v/>
      </c>
      <c r="R30">
        <f>IFERROR(N(INDEX(Matches!$P$5:$P$9,MATCH($B30,Matches!$A$5:$A$9,0))),0)</f>
        <v/>
      </c>
      <c r="S30" s="11">
        <f>IF(OR($Q30="",$J30=""),"",$L30*($Q30*$J30+(1-$Q30)*$K30))</f>
        <v/>
      </c>
      <c r="T30">
        <f>IF($S30="","",IF(LEFT($B30,4)="DOTA",Config!$B$7,Config!$B$6)*$S30+$L30^2*$Q30*(1-$Q30)*($J30-$K30)^2)</f>
        <v/>
      </c>
      <c r="U30" s="6">
        <f>IFERROR(IF(INDEX(Matches!$O$5:$O$9,MATCH($B30,Matches!$A$5:$A$9,0))="","",IF($F30="A",INDEX(Matches!$O$5:$O$9,MATCH($B30,Matches!$A$5:$A$9,0)),1-INDEX(Matches!$O$5:$O$9,MATCH($B30,Matches!$A$5:$A$9,0)))),"")</f>
        <v/>
      </c>
      <c r="V30">
        <f>IFERROR(N(INDEX(Matches!$Q$5:$Q$9,MATCH($B30,Matches!$A$5:$A$9,0))),0)</f>
        <v/>
      </c>
      <c r="W30" s="11">
        <f>IF(OR($U30="",$J30=""),"",$L30*($U30*$J30+(1-$U30)*$K30))</f>
        <v/>
      </c>
      <c r="X30">
        <f>IF($W30="","",IF(LEFT($B30,4)="DOTA",Config!$B$7,Config!$B$6)*$W30+$L30^2*$U30*(1-$U30)*($J30-$K30)^2)</f>
        <v/>
      </c>
      <c r="Y30" s="11">
        <f>IF($O30="","",$O30)</f>
        <v/>
      </c>
      <c r="Z30">
        <f>IF($P30="","",$P30)</f>
        <v/>
      </c>
      <c r="AA30" s="11">
        <f>IF($O30="","",N($N30)*N($O30)+N($R30)*N($S30))</f>
        <v/>
      </c>
      <c r="AB30">
        <f>IF($O30="","",(N($N30)*N($P30)+N($N30)*(1-N($N30))*N($O30)^2)+(N($R30)*N($T30)+N($R30)*(1-N($R30))*N($S30)^2))</f>
        <v/>
      </c>
      <c r="AC30" s="11">
        <f>IF($O30="","",N($N30)*N($O30)+N($R30)*N($S30)+N($V30)*N($W30))</f>
        <v/>
      </c>
      <c r="AD30">
        <f>IF($O30="","",(N($N30)*N($P30)+N($N30)*(1-N($N30))*N($O30)^2)+(N($R30)*N($T30)+N($R30)*(1-N($R30))*N($S30)^2)+(N($V30)*N($X30)+N($V30)*(1-N($V30))*N($W30)^2))</f>
        <v/>
      </c>
      <c r="AE30" s="11">
        <f>IF($I30="","",$I30*$L30)</f>
        <v/>
      </c>
      <c r="AF30" s="11">
        <f>IF($I30="","",$I30*$L30*(1+N($R30)))</f>
        <v/>
      </c>
      <c r="AG30" s="11">
        <f>IF($I30="","",$I30*$L30*(1+N($R30)+N($V30)))</f>
        <v/>
      </c>
      <c r="AH30">
        <f>TRIM(IF($G30&lt;Config!$B$9,"thin sample ("&amp;$G30&amp;" maps) · ","")&amp;IF($I30="","no PickFinder stats · ","")&amp;IFERROR(IF(INDEX(Players!$T$2:$T$43,MATCH($E30,Players!$A$2:$A$43,0))&lt;0.5,"new roster: "&amp;TEXT(INDEX(Players!$T$2:$T$43,MATCH($E30,Players!$A$2:$A$43,0)),"0%")&amp;" of his recent games with these teammates",""),""))</f>
        <v/>
      </c>
      <c r="AI30">
        <f>IF($B30=Board!$B$2,COUNTIFS($B$2:$B$43,Board!$B$2,$Y$2:$Y$43,"&gt;"&amp;$Y30)+COUNTIFS($B$1:$B29,Board!$B$2,$Y$1:$Y29,$Y30)+1,"")</f>
        <v/>
      </c>
      <c r="AJ30">
        <f>IFERROR(IF(INDEX(Matches!$D$5:$D$9,MATCH($B30,Matches!$A$5:$A$9,0))=3,"K12","K13"),"K13")</f>
        <v/>
      </c>
      <c r="AK30" s="11">
        <f>IF($AJ30="K12",$AA30,$AC30)</f>
        <v/>
      </c>
    </row>
    <row r="31">
      <c r="A31" t="inlineStr">
        <is>
          <t>s5zw84wcumkore8|LOL · KC vs CFO</t>
        </is>
      </c>
      <c r="B31" t="inlineStr">
        <is>
          <t>LOL · KC vs CFO</t>
        </is>
      </c>
      <c r="C31" t="inlineStr">
        <is>
          <t>KC</t>
        </is>
      </c>
      <c r="D31" t="inlineStr">
        <is>
          <t>Busio</t>
        </is>
      </c>
      <c r="E31" t="inlineStr">
        <is>
          <t>s5zw84wcumkore8</t>
        </is>
      </c>
      <c r="F31">
        <f>IFERROR(IF($C31=INDEX(Matches!$S$5:$S$9,MATCH($B31,Matches!$A$5:$A$9,0)),"A",IF($C31=INDEX(Matches!$T$5:$T$9,MATCH($B31,Matches!$A$5:$A$9,0)),"B","")),"")</f>
        <v/>
      </c>
      <c r="G31">
        <f>IFERROR(INDEX(Players!$E$2:$E$43,MATCH($E31,Players!$A$2:$A$43,0)),0)</f>
        <v/>
      </c>
      <c r="H31" s="6">
        <f>IFERROR(INDEX(Players!$F$2:$F$43,MATCH($E31,Players!$A$2:$A$43,0)),"")</f>
        <v/>
      </c>
      <c r="I31">
        <f>IFERROR(INDEX(Players!$G$2:$G$43,MATCH($E31,Players!$A$2:$A$43,0)),"")</f>
        <v/>
      </c>
      <c r="J31" s="11">
        <f>IF(OR($I31="",$H31=""),"",$I31*IF(LEFT($B31,4)="DOTA",Config!$B$5,Config!$B$4)/($H31*IF(LEFT($B31,4)="DOTA",Config!$B$5,Config!$B$4)+1-$H31))</f>
        <v/>
      </c>
      <c r="K31" s="11">
        <f>IF(OR($I31="",$H31=""),"",$I31/($H31*IF(LEFT($B31,4)="DOTA",Config!$B$5,Config!$B$4)+1-$H31))</f>
        <v/>
      </c>
      <c r="L31">
        <f>IFERROR(INDEX(Matches!$R$5:$R$9,MATCH($B31,Matches!$A$5:$A$9,0)),1)</f>
        <v/>
      </c>
      <c r="M31" s="6">
        <f>IFERROR(IF(INDEX(Matches!$M$5:$M$9,MATCH($B31,Matches!$A$5:$A$9,0))="","",IF($F31="A",INDEX(Matches!$M$5:$M$9,MATCH($B31,Matches!$A$5:$A$9,0)),1-INDEX(Matches!$M$5:$M$9,MATCH($B31,Matches!$A$5:$A$9,0)))),"")</f>
        <v/>
      </c>
      <c r="N31">
        <f>1</f>
        <v/>
      </c>
      <c r="O31" s="11">
        <f>IF(OR($M31="",$J31=""),"",$L31*($M31*$J31+(1-$M31)*$K31))</f>
        <v/>
      </c>
      <c r="P31">
        <f>IF($O31="","",IF(LEFT($B31,4)="DOTA",Config!$B$7,Config!$B$6)*$O31+$L31^2*$M31*(1-$M31)*($J31-$K31)^2)</f>
        <v/>
      </c>
      <c r="Q31" s="6">
        <f>IFERROR(IF(INDEX(Matches!$N$5:$N$9,MATCH($B31,Matches!$A$5:$A$9,0))="","",IF($F31="A",INDEX(Matches!$N$5:$N$9,MATCH($B31,Matches!$A$5:$A$9,0)),1-INDEX(Matches!$N$5:$N$9,MATCH($B31,Matches!$A$5:$A$9,0)))),"")</f>
        <v/>
      </c>
      <c r="R31">
        <f>IFERROR(N(INDEX(Matches!$P$5:$P$9,MATCH($B31,Matches!$A$5:$A$9,0))),0)</f>
        <v/>
      </c>
      <c r="S31" s="11">
        <f>IF(OR($Q31="",$J31=""),"",$L31*($Q31*$J31+(1-$Q31)*$K31))</f>
        <v/>
      </c>
      <c r="T31">
        <f>IF($S31="","",IF(LEFT($B31,4)="DOTA",Config!$B$7,Config!$B$6)*$S31+$L31^2*$Q31*(1-$Q31)*($J31-$K31)^2)</f>
        <v/>
      </c>
      <c r="U31" s="6">
        <f>IFERROR(IF(INDEX(Matches!$O$5:$O$9,MATCH($B31,Matches!$A$5:$A$9,0))="","",IF($F31="A",INDEX(Matches!$O$5:$O$9,MATCH($B31,Matches!$A$5:$A$9,0)),1-INDEX(Matches!$O$5:$O$9,MATCH($B31,Matches!$A$5:$A$9,0)))),"")</f>
        <v/>
      </c>
      <c r="V31">
        <f>IFERROR(N(INDEX(Matches!$Q$5:$Q$9,MATCH($B31,Matches!$A$5:$A$9,0))),0)</f>
        <v/>
      </c>
      <c r="W31" s="11">
        <f>IF(OR($U31="",$J31=""),"",$L31*($U31*$J31+(1-$U31)*$K31))</f>
        <v/>
      </c>
      <c r="X31">
        <f>IF($W31="","",IF(LEFT($B31,4)="DOTA",Config!$B$7,Config!$B$6)*$W31+$L31^2*$U31*(1-$U31)*($J31-$K31)^2)</f>
        <v/>
      </c>
      <c r="Y31" s="11">
        <f>IF($O31="","",$O31)</f>
        <v/>
      </c>
      <c r="Z31">
        <f>IF($P31="","",$P31)</f>
        <v/>
      </c>
      <c r="AA31" s="11">
        <f>IF($O31="","",N($N31)*N($O31)+N($R31)*N($S31))</f>
        <v/>
      </c>
      <c r="AB31">
        <f>IF($O31="","",(N($N31)*N($P31)+N($N31)*(1-N($N31))*N($O31)^2)+(N($R31)*N($T31)+N($R31)*(1-N($R31))*N($S31)^2))</f>
        <v/>
      </c>
      <c r="AC31" s="11">
        <f>IF($O31="","",N($N31)*N($O31)+N($R31)*N($S31)+N($V31)*N($W31))</f>
        <v/>
      </c>
      <c r="AD31">
        <f>IF($O31="","",(N($N31)*N($P31)+N($N31)*(1-N($N31))*N($O31)^2)+(N($R31)*N($T31)+N($R31)*(1-N($R31))*N($S31)^2)+(N($V31)*N($X31)+N($V31)*(1-N($V31))*N($W31)^2))</f>
        <v/>
      </c>
      <c r="AE31" s="11">
        <f>IF($I31="","",$I31*$L31)</f>
        <v/>
      </c>
      <c r="AF31" s="11">
        <f>IF($I31="","",$I31*$L31*(1+N($R31)))</f>
        <v/>
      </c>
      <c r="AG31" s="11">
        <f>IF($I31="","",$I31*$L31*(1+N($R31)+N($V31)))</f>
        <v/>
      </c>
      <c r="AH31">
        <f>TRIM(IF($G31&lt;Config!$B$9,"thin sample ("&amp;$G31&amp;" maps) · ","")&amp;IF($I31="","no PickFinder stats · ","")&amp;IFERROR(IF(INDEX(Players!$T$2:$T$43,MATCH($E31,Players!$A$2:$A$43,0))&lt;0.5,"new roster: "&amp;TEXT(INDEX(Players!$T$2:$T$43,MATCH($E31,Players!$A$2:$A$43,0)),"0%")&amp;" of his recent games with these teammates",""),""))</f>
        <v/>
      </c>
      <c r="AI31">
        <f>IF($B31=Board!$B$2,COUNTIFS($B$2:$B$43,Board!$B$2,$Y$2:$Y$43,"&gt;"&amp;$Y31)+COUNTIFS($B$1:$B30,Board!$B$2,$Y$1:$Y30,$Y31)+1,"")</f>
        <v/>
      </c>
      <c r="AJ31">
        <f>IFERROR(IF(INDEX(Matches!$D$5:$D$9,MATCH($B31,Matches!$A$5:$A$9,0))=3,"K12","K13"),"K13")</f>
        <v/>
      </c>
      <c r="AK31" s="11">
        <f>IF($AJ31="K12",$AA31,$AC31)</f>
        <v/>
      </c>
    </row>
    <row r="32">
      <c r="A32" t="inlineStr">
        <is>
          <t>60n3jocjohvthia|LOL · KC vs CFO</t>
        </is>
      </c>
      <c r="B32" t="inlineStr">
        <is>
          <t>LOL · KC vs CFO</t>
        </is>
      </c>
      <c r="C32" t="inlineStr">
        <is>
          <t>KC</t>
        </is>
      </c>
      <c r="D32" t="inlineStr">
        <is>
          <t>Caliste</t>
        </is>
      </c>
      <c r="E32" t="inlineStr">
        <is>
          <t>60n3jocjohvthia</t>
        </is>
      </c>
      <c r="F32">
        <f>IFERROR(IF($C32=INDEX(Matches!$S$5:$S$9,MATCH($B32,Matches!$A$5:$A$9,0)),"A",IF($C32=INDEX(Matches!$T$5:$T$9,MATCH($B32,Matches!$A$5:$A$9,0)),"B","")),"")</f>
        <v/>
      </c>
      <c r="G32">
        <f>IFERROR(INDEX(Players!$E$2:$E$43,MATCH($E32,Players!$A$2:$A$43,0)),0)</f>
        <v/>
      </c>
      <c r="H32" s="6">
        <f>IFERROR(INDEX(Players!$F$2:$F$43,MATCH($E32,Players!$A$2:$A$43,0)),"")</f>
        <v/>
      </c>
      <c r="I32">
        <f>IFERROR(INDEX(Players!$G$2:$G$43,MATCH($E32,Players!$A$2:$A$43,0)),"")</f>
        <v/>
      </c>
      <c r="J32" s="11">
        <f>IF(OR($I32="",$H32=""),"",$I32*IF(LEFT($B32,4)="DOTA",Config!$B$5,Config!$B$4)/($H32*IF(LEFT($B32,4)="DOTA",Config!$B$5,Config!$B$4)+1-$H32))</f>
        <v/>
      </c>
      <c r="K32" s="11">
        <f>IF(OR($I32="",$H32=""),"",$I32/($H32*IF(LEFT($B32,4)="DOTA",Config!$B$5,Config!$B$4)+1-$H32))</f>
        <v/>
      </c>
      <c r="L32">
        <f>IFERROR(INDEX(Matches!$R$5:$R$9,MATCH($B32,Matches!$A$5:$A$9,0)),1)</f>
        <v/>
      </c>
      <c r="M32" s="6">
        <f>IFERROR(IF(INDEX(Matches!$M$5:$M$9,MATCH($B32,Matches!$A$5:$A$9,0))="","",IF($F32="A",INDEX(Matches!$M$5:$M$9,MATCH($B32,Matches!$A$5:$A$9,0)),1-INDEX(Matches!$M$5:$M$9,MATCH($B32,Matches!$A$5:$A$9,0)))),"")</f>
        <v/>
      </c>
      <c r="N32">
        <f>1</f>
        <v/>
      </c>
      <c r="O32" s="11">
        <f>IF(OR($M32="",$J32=""),"",$L32*($M32*$J32+(1-$M32)*$K32))</f>
        <v/>
      </c>
      <c r="P32">
        <f>IF($O32="","",IF(LEFT($B32,4)="DOTA",Config!$B$7,Config!$B$6)*$O32+$L32^2*$M32*(1-$M32)*($J32-$K32)^2)</f>
        <v/>
      </c>
      <c r="Q32" s="6">
        <f>IFERROR(IF(INDEX(Matches!$N$5:$N$9,MATCH($B32,Matches!$A$5:$A$9,0))="","",IF($F32="A",INDEX(Matches!$N$5:$N$9,MATCH($B32,Matches!$A$5:$A$9,0)),1-INDEX(Matches!$N$5:$N$9,MATCH($B32,Matches!$A$5:$A$9,0)))),"")</f>
        <v/>
      </c>
      <c r="R32">
        <f>IFERROR(N(INDEX(Matches!$P$5:$P$9,MATCH($B32,Matches!$A$5:$A$9,0))),0)</f>
        <v/>
      </c>
      <c r="S32" s="11">
        <f>IF(OR($Q32="",$J32=""),"",$L32*($Q32*$J32+(1-$Q32)*$K32))</f>
        <v/>
      </c>
      <c r="T32">
        <f>IF($S32="","",IF(LEFT($B32,4)="DOTA",Config!$B$7,Config!$B$6)*$S32+$L32^2*$Q32*(1-$Q32)*($J32-$K32)^2)</f>
        <v/>
      </c>
      <c r="U32" s="6">
        <f>IFERROR(IF(INDEX(Matches!$O$5:$O$9,MATCH($B32,Matches!$A$5:$A$9,0))="","",IF($F32="A",INDEX(Matches!$O$5:$O$9,MATCH($B32,Matches!$A$5:$A$9,0)),1-INDEX(Matches!$O$5:$O$9,MATCH($B32,Matches!$A$5:$A$9,0)))),"")</f>
        <v/>
      </c>
      <c r="V32">
        <f>IFERROR(N(INDEX(Matches!$Q$5:$Q$9,MATCH($B32,Matches!$A$5:$A$9,0))),0)</f>
        <v/>
      </c>
      <c r="W32" s="11">
        <f>IF(OR($U32="",$J32=""),"",$L32*($U32*$J32+(1-$U32)*$K32))</f>
        <v/>
      </c>
      <c r="X32">
        <f>IF($W32="","",IF(LEFT($B32,4)="DOTA",Config!$B$7,Config!$B$6)*$W32+$L32^2*$U32*(1-$U32)*($J32-$K32)^2)</f>
        <v/>
      </c>
      <c r="Y32" s="11">
        <f>IF($O32="","",$O32)</f>
        <v/>
      </c>
      <c r="Z32">
        <f>IF($P32="","",$P32)</f>
        <v/>
      </c>
      <c r="AA32" s="11">
        <f>IF($O32="","",N($N32)*N($O32)+N($R32)*N($S32))</f>
        <v/>
      </c>
      <c r="AB32">
        <f>IF($O32="","",(N($N32)*N($P32)+N($N32)*(1-N($N32))*N($O32)^2)+(N($R32)*N($T32)+N($R32)*(1-N($R32))*N($S32)^2))</f>
        <v/>
      </c>
      <c r="AC32" s="11">
        <f>IF($O32="","",N($N32)*N($O32)+N($R32)*N($S32)+N($V32)*N($W32))</f>
        <v/>
      </c>
      <c r="AD32">
        <f>IF($O32="","",(N($N32)*N($P32)+N($N32)*(1-N($N32))*N($O32)^2)+(N($R32)*N($T32)+N($R32)*(1-N($R32))*N($S32)^2)+(N($V32)*N($X32)+N($V32)*(1-N($V32))*N($W32)^2))</f>
        <v/>
      </c>
      <c r="AE32" s="11">
        <f>IF($I32="","",$I32*$L32)</f>
        <v/>
      </c>
      <c r="AF32" s="11">
        <f>IF($I32="","",$I32*$L32*(1+N($R32)))</f>
        <v/>
      </c>
      <c r="AG32" s="11">
        <f>IF($I32="","",$I32*$L32*(1+N($R32)+N($V32)))</f>
        <v/>
      </c>
      <c r="AH32">
        <f>TRIM(IF($G32&lt;Config!$B$9,"thin sample ("&amp;$G32&amp;" maps) · ","")&amp;IF($I32="","no PickFinder stats · ","")&amp;IFERROR(IF(INDEX(Players!$T$2:$T$43,MATCH($E32,Players!$A$2:$A$43,0))&lt;0.5,"new roster: "&amp;TEXT(INDEX(Players!$T$2:$T$43,MATCH($E32,Players!$A$2:$A$43,0)),"0%")&amp;" of his recent games with these teammates",""),""))</f>
        <v/>
      </c>
      <c r="AI32">
        <f>IF($B32=Board!$B$2,COUNTIFS($B$2:$B$43,Board!$B$2,$Y$2:$Y$43,"&gt;"&amp;$Y32)+COUNTIFS($B$1:$B31,Board!$B$2,$Y$1:$Y31,$Y32)+1,"")</f>
        <v/>
      </c>
      <c r="AJ32">
        <f>IFERROR(IF(INDEX(Matches!$D$5:$D$9,MATCH($B32,Matches!$A$5:$A$9,0))=3,"K12","K13"),"K13")</f>
        <v/>
      </c>
      <c r="AK32" s="11">
        <f>IF($AJ32="K12",$AA32,$AC32)</f>
        <v/>
      </c>
    </row>
    <row r="33">
      <c r="A33" t="inlineStr">
        <is>
          <t>5h8ktthuwylbro2|LOL · KC vs CFO</t>
        </is>
      </c>
      <c r="B33" t="inlineStr">
        <is>
          <t>LOL · KC vs CFO</t>
        </is>
      </c>
      <c r="C33" t="inlineStr">
        <is>
          <t>KC</t>
        </is>
      </c>
      <c r="D33" t="inlineStr">
        <is>
          <t>Canna</t>
        </is>
      </c>
      <c r="E33" t="inlineStr">
        <is>
          <t>5h8ktthuwylbro2</t>
        </is>
      </c>
      <c r="F33">
        <f>IFERROR(IF($C33=INDEX(Matches!$S$5:$S$9,MATCH($B33,Matches!$A$5:$A$9,0)),"A",IF($C33=INDEX(Matches!$T$5:$T$9,MATCH($B33,Matches!$A$5:$A$9,0)),"B","")),"")</f>
        <v/>
      </c>
      <c r="G33">
        <f>IFERROR(INDEX(Players!$E$2:$E$43,MATCH($E33,Players!$A$2:$A$43,0)),0)</f>
        <v/>
      </c>
      <c r="H33" s="6">
        <f>IFERROR(INDEX(Players!$F$2:$F$43,MATCH($E33,Players!$A$2:$A$43,0)),"")</f>
        <v/>
      </c>
      <c r="I33">
        <f>IFERROR(INDEX(Players!$G$2:$G$43,MATCH($E33,Players!$A$2:$A$43,0)),"")</f>
        <v/>
      </c>
      <c r="J33" s="11">
        <f>IF(OR($I33="",$H33=""),"",$I33*IF(LEFT($B33,4)="DOTA",Config!$B$5,Config!$B$4)/($H33*IF(LEFT($B33,4)="DOTA",Config!$B$5,Config!$B$4)+1-$H33))</f>
        <v/>
      </c>
      <c r="K33" s="11">
        <f>IF(OR($I33="",$H33=""),"",$I33/($H33*IF(LEFT($B33,4)="DOTA",Config!$B$5,Config!$B$4)+1-$H33))</f>
        <v/>
      </c>
      <c r="L33">
        <f>IFERROR(INDEX(Matches!$R$5:$R$9,MATCH($B33,Matches!$A$5:$A$9,0)),1)</f>
        <v/>
      </c>
      <c r="M33" s="6">
        <f>IFERROR(IF(INDEX(Matches!$M$5:$M$9,MATCH($B33,Matches!$A$5:$A$9,0))="","",IF($F33="A",INDEX(Matches!$M$5:$M$9,MATCH($B33,Matches!$A$5:$A$9,0)),1-INDEX(Matches!$M$5:$M$9,MATCH($B33,Matches!$A$5:$A$9,0)))),"")</f>
        <v/>
      </c>
      <c r="N33">
        <f>1</f>
        <v/>
      </c>
      <c r="O33" s="11">
        <f>IF(OR($M33="",$J33=""),"",$L33*($M33*$J33+(1-$M33)*$K33))</f>
        <v/>
      </c>
      <c r="P33">
        <f>IF($O33="","",IF(LEFT($B33,4)="DOTA",Config!$B$7,Config!$B$6)*$O33+$L33^2*$M33*(1-$M33)*($J33-$K33)^2)</f>
        <v/>
      </c>
      <c r="Q33" s="6">
        <f>IFERROR(IF(INDEX(Matches!$N$5:$N$9,MATCH($B33,Matches!$A$5:$A$9,0))="","",IF($F33="A",INDEX(Matches!$N$5:$N$9,MATCH($B33,Matches!$A$5:$A$9,0)),1-INDEX(Matches!$N$5:$N$9,MATCH($B33,Matches!$A$5:$A$9,0)))),"")</f>
        <v/>
      </c>
      <c r="R33">
        <f>IFERROR(N(INDEX(Matches!$P$5:$P$9,MATCH($B33,Matches!$A$5:$A$9,0))),0)</f>
        <v/>
      </c>
      <c r="S33" s="11">
        <f>IF(OR($Q33="",$J33=""),"",$L33*($Q33*$J33+(1-$Q33)*$K33))</f>
        <v/>
      </c>
      <c r="T33">
        <f>IF($S33="","",IF(LEFT($B33,4)="DOTA",Config!$B$7,Config!$B$6)*$S33+$L33^2*$Q33*(1-$Q33)*($J33-$K33)^2)</f>
        <v/>
      </c>
      <c r="U33" s="6">
        <f>IFERROR(IF(INDEX(Matches!$O$5:$O$9,MATCH($B33,Matches!$A$5:$A$9,0))="","",IF($F33="A",INDEX(Matches!$O$5:$O$9,MATCH($B33,Matches!$A$5:$A$9,0)),1-INDEX(Matches!$O$5:$O$9,MATCH($B33,Matches!$A$5:$A$9,0)))),"")</f>
        <v/>
      </c>
      <c r="V33">
        <f>IFERROR(N(INDEX(Matches!$Q$5:$Q$9,MATCH($B33,Matches!$A$5:$A$9,0))),0)</f>
        <v/>
      </c>
      <c r="W33" s="11">
        <f>IF(OR($U33="",$J33=""),"",$L33*($U33*$J33+(1-$U33)*$K33))</f>
        <v/>
      </c>
      <c r="X33">
        <f>IF($W33="","",IF(LEFT($B33,4)="DOTA",Config!$B$7,Config!$B$6)*$W33+$L33^2*$U33*(1-$U33)*($J33-$K33)^2)</f>
        <v/>
      </c>
      <c r="Y33" s="11">
        <f>IF($O33="","",$O33)</f>
        <v/>
      </c>
      <c r="Z33">
        <f>IF($P33="","",$P33)</f>
        <v/>
      </c>
      <c r="AA33" s="11">
        <f>IF($O33="","",N($N33)*N($O33)+N($R33)*N($S33))</f>
        <v/>
      </c>
      <c r="AB33">
        <f>IF($O33="","",(N($N33)*N($P33)+N($N33)*(1-N($N33))*N($O33)^2)+(N($R33)*N($T33)+N($R33)*(1-N($R33))*N($S33)^2))</f>
        <v/>
      </c>
      <c r="AC33" s="11">
        <f>IF($O33="","",N($N33)*N($O33)+N($R33)*N($S33)+N($V33)*N($W33))</f>
        <v/>
      </c>
      <c r="AD33">
        <f>IF($O33="","",(N($N33)*N($P33)+N($N33)*(1-N($N33))*N($O33)^2)+(N($R33)*N($T33)+N($R33)*(1-N($R33))*N($S33)^2)+(N($V33)*N($X33)+N($V33)*(1-N($V33))*N($W33)^2))</f>
        <v/>
      </c>
      <c r="AE33" s="11">
        <f>IF($I33="","",$I33*$L33)</f>
        <v/>
      </c>
      <c r="AF33" s="11">
        <f>IF($I33="","",$I33*$L33*(1+N($R33)))</f>
        <v/>
      </c>
      <c r="AG33" s="11">
        <f>IF($I33="","",$I33*$L33*(1+N($R33)+N($V33)))</f>
        <v/>
      </c>
      <c r="AH33">
        <f>TRIM(IF($G33&lt;Config!$B$9,"thin sample ("&amp;$G33&amp;" maps) · ","")&amp;IF($I33="","no PickFinder stats · ","")&amp;IFERROR(IF(INDEX(Players!$T$2:$T$43,MATCH($E33,Players!$A$2:$A$43,0))&lt;0.5,"new roster: "&amp;TEXT(INDEX(Players!$T$2:$T$43,MATCH($E33,Players!$A$2:$A$43,0)),"0%")&amp;" of his recent games with these teammates",""),""))</f>
        <v/>
      </c>
      <c r="AI33">
        <f>IF($B33=Board!$B$2,COUNTIFS($B$2:$B$43,Board!$B$2,$Y$2:$Y$43,"&gt;"&amp;$Y33)+COUNTIFS($B$1:$B32,Board!$B$2,$Y$1:$Y32,$Y33)+1,"")</f>
        <v/>
      </c>
      <c r="AJ33">
        <f>IFERROR(IF(INDEX(Matches!$D$5:$D$9,MATCH($B33,Matches!$A$5:$A$9,0))=3,"K12","K13"),"K13")</f>
        <v/>
      </c>
      <c r="AK33" s="11">
        <f>IF($AJ33="K12",$AA33,$AC33)</f>
        <v/>
      </c>
    </row>
    <row r="34">
      <c r="A34" t="inlineStr">
        <is>
          <t>cp4ibkwui10xeyj|LOL · KC vs CFO</t>
        </is>
      </c>
      <c r="B34" t="inlineStr">
        <is>
          <t>LOL · KC vs CFO</t>
        </is>
      </c>
      <c r="C34" t="inlineStr">
        <is>
          <t>KC</t>
        </is>
      </c>
      <c r="D34" t="inlineStr">
        <is>
          <t>Kyeahoo</t>
        </is>
      </c>
      <c r="E34" t="inlineStr">
        <is>
          <t>cp4ibkwui10xeyj</t>
        </is>
      </c>
      <c r="F34">
        <f>IFERROR(IF($C34=INDEX(Matches!$S$5:$S$9,MATCH($B34,Matches!$A$5:$A$9,0)),"A",IF($C34=INDEX(Matches!$T$5:$T$9,MATCH($B34,Matches!$A$5:$A$9,0)),"B","")),"")</f>
        <v/>
      </c>
      <c r="G34">
        <f>IFERROR(INDEX(Players!$E$2:$E$43,MATCH($E34,Players!$A$2:$A$43,0)),0)</f>
        <v/>
      </c>
      <c r="H34" s="6">
        <f>IFERROR(INDEX(Players!$F$2:$F$43,MATCH($E34,Players!$A$2:$A$43,0)),"")</f>
        <v/>
      </c>
      <c r="I34">
        <f>IFERROR(INDEX(Players!$G$2:$G$43,MATCH($E34,Players!$A$2:$A$43,0)),"")</f>
        <v/>
      </c>
      <c r="J34" s="11">
        <f>IF(OR($I34="",$H34=""),"",$I34*IF(LEFT($B34,4)="DOTA",Config!$B$5,Config!$B$4)/($H34*IF(LEFT($B34,4)="DOTA",Config!$B$5,Config!$B$4)+1-$H34))</f>
        <v/>
      </c>
      <c r="K34" s="11">
        <f>IF(OR($I34="",$H34=""),"",$I34/($H34*IF(LEFT($B34,4)="DOTA",Config!$B$5,Config!$B$4)+1-$H34))</f>
        <v/>
      </c>
      <c r="L34">
        <f>IFERROR(INDEX(Matches!$R$5:$R$9,MATCH($B34,Matches!$A$5:$A$9,0)),1)</f>
        <v/>
      </c>
      <c r="M34" s="6">
        <f>IFERROR(IF(INDEX(Matches!$M$5:$M$9,MATCH($B34,Matches!$A$5:$A$9,0))="","",IF($F34="A",INDEX(Matches!$M$5:$M$9,MATCH($B34,Matches!$A$5:$A$9,0)),1-INDEX(Matches!$M$5:$M$9,MATCH($B34,Matches!$A$5:$A$9,0)))),"")</f>
        <v/>
      </c>
      <c r="N34">
        <f>1</f>
        <v/>
      </c>
      <c r="O34" s="11">
        <f>IF(OR($M34="",$J34=""),"",$L34*($M34*$J34+(1-$M34)*$K34))</f>
        <v/>
      </c>
      <c r="P34">
        <f>IF($O34="","",IF(LEFT($B34,4)="DOTA",Config!$B$7,Config!$B$6)*$O34+$L34^2*$M34*(1-$M34)*($J34-$K34)^2)</f>
        <v/>
      </c>
      <c r="Q34" s="6">
        <f>IFERROR(IF(INDEX(Matches!$N$5:$N$9,MATCH($B34,Matches!$A$5:$A$9,0))="","",IF($F34="A",INDEX(Matches!$N$5:$N$9,MATCH($B34,Matches!$A$5:$A$9,0)),1-INDEX(Matches!$N$5:$N$9,MATCH($B34,Matches!$A$5:$A$9,0)))),"")</f>
        <v/>
      </c>
      <c r="R34">
        <f>IFERROR(N(INDEX(Matches!$P$5:$P$9,MATCH($B34,Matches!$A$5:$A$9,0))),0)</f>
        <v/>
      </c>
      <c r="S34" s="11">
        <f>IF(OR($Q34="",$J34=""),"",$L34*($Q34*$J34+(1-$Q34)*$K34))</f>
        <v/>
      </c>
      <c r="T34">
        <f>IF($S34="","",IF(LEFT($B34,4)="DOTA",Config!$B$7,Config!$B$6)*$S34+$L34^2*$Q34*(1-$Q34)*($J34-$K34)^2)</f>
        <v/>
      </c>
      <c r="U34" s="6">
        <f>IFERROR(IF(INDEX(Matches!$O$5:$O$9,MATCH($B34,Matches!$A$5:$A$9,0))="","",IF($F34="A",INDEX(Matches!$O$5:$O$9,MATCH($B34,Matches!$A$5:$A$9,0)),1-INDEX(Matches!$O$5:$O$9,MATCH($B34,Matches!$A$5:$A$9,0)))),"")</f>
        <v/>
      </c>
      <c r="V34">
        <f>IFERROR(N(INDEX(Matches!$Q$5:$Q$9,MATCH($B34,Matches!$A$5:$A$9,0))),0)</f>
        <v/>
      </c>
      <c r="W34" s="11">
        <f>IF(OR($U34="",$J34=""),"",$L34*($U34*$J34+(1-$U34)*$K34))</f>
        <v/>
      </c>
      <c r="X34">
        <f>IF($W34="","",IF(LEFT($B34,4)="DOTA",Config!$B$7,Config!$B$6)*$W34+$L34^2*$U34*(1-$U34)*($J34-$K34)^2)</f>
        <v/>
      </c>
      <c r="Y34" s="11">
        <f>IF($O34="","",$O34)</f>
        <v/>
      </c>
      <c r="Z34">
        <f>IF($P34="","",$P34)</f>
        <v/>
      </c>
      <c r="AA34" s="11">
        <f>IF($O34="","",N($N34)*N($O34)+N($R34)*N($S34))</f>
        <v/>
      </c>
      <c r="AB34">
        <f>IF($O34="","",(N($N34)*N($P34)+N($N34)*(1-N($N34))*N($O34)^2)+(N($R34)*N($T34)+N($R34)*(1-N($R34))*N($S34)^2))</f>
        <v/>
      </c>
      <c r="AC34" s="11">
        <f>IF($O34="","",N($N34)*N($O34)+N($R34)*N($S34)+N($V34)*N($W34))</f>
        <v/>
      </c>
      <c r="AD34">
        <f>IF($O34="","",(N($N34)*N($P34)+N($N34)*(1-N($N34))*N($O34)^2)+(N($R34)*N($T34)+N($R34)*(1-N($R34))*N($S34)^2)+(N($V34)*N($X34)+N($V34)*(1-N($V34))*N($W34)^2))</f>
        <v/>
      </c>
      <c r="AE34" s="11">
        <f>IF($I34="","",$I34*$L34)</f>
        <v/>
      </c>
      <c r="AF34" s="11">
        <f>IF($I34="","",$I34*$L34*(1+N($R34)))</f>
        <v/>
      </c>
      <c r="AG34" s="11">
        <f>IF($I34="","",$I34*$L34*(1+N($R34)+N($V34)))</f>
        <v/>
      </c>
      <c r="AH34">
        <f>TRIM(IF($G34&lt;Config!$B$9,"thin sample ("&amp;$G34&amp;" maps) · ","")&amp;IF($I34="","no PickFinder stats · ","")&amp;IFERROR(IF(INDEX(Players!$T$2:$T$43,MATCH($E34,Players!$A$2:$A$43,0))&lt;0.5,"new roster: "&amp;TEXT(INDEX(Players!$T$2:$T$43,MATCH($E34,Players!$A$2:$A$43,0)),"0%")&amp;" of his recent games with these teammates",""),""))</f>
        <v/>
      </c>
      <c r="AI34">
        <f>IF($B34=Board!$B$2,COUNTIFS($B$2:$B$43,Board!$B$2,$Y$2:$Y$43,"&gt;"&amp;$Y34)+COUNTIFS($B$1:$B33,Board!$B$2,$Y$1:$Y33,$Y34)+1,"")</f>
        <v/>
      </c>
      <c r="AJ34">
        <f>IFERROR(IF(INDEX(Matches!$D$5:$D$9,MATCH($B34,Matches!$A$5:$A$9,0))=3,"K12","K13"),"K13")</f>
        <v/>
      </c>
      <c r="AK34" s="11">
        <f>IF($AJ34="K12",$AA34,$AC34)</f>
        <v/>
      </c>
    </row>
    <row r="35">
      <c r="A35" t="inlineStr">
        <is>
          <t>rfespsq7mcurckt|LOL · KC vs CFO</t>
        </is>
      </c>
      <c r="B35" t="inlineStr">
        <is>
          <t>LOL · KC vs CFO</t>
        </is>
      </c>
      <c r="C35" t="inlineStr">
        <is>
          <t>KC</t>
        </is>
      </c>
      <c r="D35" t="inlineStr">
        <is>
          <t>Yike</t>
        </is>
      </c>
      <c r="E35" t="inlineStr">
        <is>
          <t>rfespsq7mcurckt</t>
        </is>
      </c>
      <c r="F35">
        <f>IFERROR(IF($C35=INDEX(Matches!$S$5:$S$9,MATCH($B35,Matches!$A$5:$A$9,0)),"A",IF($C35=INDEX(Matches!$T$5:$T$9,MATCH($B35,Matches!$A$5:$A$9,0)),"B","")),"")</f>
        <v/>
      </c>
      <c r="G35">
        <f>IFERROR(INDEX(Players!$E$2:$E$43,MATCH($E35,Players!$A$2:$A$43,0)),0)</f>
        <v/>
      </c>
      <c r="H35" s="6">
        <f>IFERROR(INDEX(Players!$F$2:$F$43,MATCH($E35,Players!$A$2:$A$43,0)),"")</f>
        <v/>
      </c>
      <c r="I35">
        <f>IFERROR(INDEX(Players!$G$2:$G$43,MATCH($E35,Players!$A$2:$A$43,0)),"")</f>
        <v/>
      </c>
      <c r="J35" s="11">
        <f>IF(OR($I35="",$H35=""),"",$I35*IF(LEFT($B35,4)="DOTA",Config!$B$5,Config!$B$4)/($H35*IF(LEFT($B35,4)="DOTA",Config!$B$5,Config!$B$4)+1-$H35))</f>
        <v/>
      </c>
      <c r="K35" s="11">
        <f>IF(OR($I35="",$H35=""),"",$I35/($H35*IF(LEFT($B35,4)="DOTA",Config!$B$5,Config!$B$4)+1-$H35))</f>
        <v/>
      </c>
      <c r="L35">
        <f>IFERROR(INDEX(Matches!$R$5:$R$9,MATCH($B35,Matches!$A$5:$A$9,0)),1)</f>
        <v/>
      </c>
      <c r="M35" s="6">
        <f>IFERROR(IF(INDEX(Matches!$M$5:$M$9,MATCH($B35,Matches!$A$5:$A$9,0))="","",IF($F35="A",INDEX(Matches!$M$5:$M$9,MATCH($B35,Matches!$A$5:$A$9,0)),1-INDEX(Matches!$M$5:$M$9,MATCH($B35,Matches!$A$5:$A$9,0)))),"")</f>
        <v/>
      </c>
      <c r="N35">
        <f>1</f>
        <v/>
      </c>
      <c r="O35" s="11">
        <f>IF(OR($M35="",$J35=""),"",$L35*($M35*$J35+(1-$M35)*$K35))</f>
        <v/>
      </c>
      <c r="P35">
        <f>IF($O35="","",IF(LEFT($B35,4)="DOTA",Config!$B$7,Config!$B$6)*$O35+$L35^2*$M35*(1-$M35)*($J35-$K35)^2)</f>
        <v/>
      </c>
      <c r="Q35" s="6">
        <f>IFERROR(IF(INDEX(Matches!$N$5:$N$9,MATCH($B35,Matches!$A$5:$A$9,0))="","",IF($F35="A",INDEX(Matches!$N$5:$N$9,MATCH($B35,Matches!$A$5:$A$9,0)),1-INDEX(Matches!$N$5:$N$9,MATCH($B35,Matches!$A$5:$A$9,0)))),"")</f>
        <v/>
      </c>
      <c r="R35">
        <f>IFERROR(N(INDEX(Matches!$P$5:$P$9,MATCH($B35,Matches!$A$5:$A$9,0))),0)</f>
        <v/>
      </c>
      <c r="S35" s="11">
        <f>IF(OR($Q35="",$J35=""),"",$L35*($Q35*$J35+(1-$Q35)*$K35))</f>
        <v/>
      </c>
      <c r="T35">
        <f>IF($S35="","",IF(LEFT($B35,4)="DOTA",Config!$B$7,Config!$B$6)*$S35+$L35^2*$Q35*(1-$Q35)*($J35-$K35)^2)</f>
        <v/>
      </c>
      <c r="U35" s="6">
        <f>IFERROR(IF(INDEX(Matches!$O$5:$O$9,MATCH($B35,Matches!$A$5:$A$9,0))="","",IF($F35="A",INDEX(Matches!$O$5:$O$9,MATCH($B35,Matches!$A$5:$A$9,0)),1-INDEX(Matches!$O$5:$O$9,MATCH($B35,Matches!$A$5:$A$9,0)))),"")</f>
        <v/>
      </c>
      <c r="V35">
        <f>IFERROR(N(INDEX(Matches!$Q$5:$Q$9,MATCH($B35,Matches!$A$5:$A$9,0))),0)</f>
        <v/>
      </c>
      <c r="W35" s="11">
        <f>IF(OR($U35="",$J35=""),"",$L35*($U35*$J35+(1-$U35)*$K35))</f>
        <v/>
      </c>
      <c r="X35">
        <f>IF($W35="","",IF(LEFT($B35,4)="DOTA",Config!$B$7,Config!$B$6)*$W35+$L35^2*$U35*(1-$U35)*($J35-$K35)^2)</f>
        <v/>
      </c>
      <c r="Y35" s="11">
        <f>IF($O35="","",$O35)</f>
        <v/>
      </c>
      <c r="Z35">
        <f>IF($P35="","",$P35)</f>
        <v/>
      </c>
      <c r="AA35" s="11">
        <f>IF($O35="","",N($N35)*N($O35)+N($R35)*N($S35))</f>
        <v/>
      </c>
      <c r="AB35">
        <f>IF($O35="","",(N($N35)*N($P35)+N($N35)*(1-N($N35))*N($O35)^2)+(N($R35)*N($T35)+N($R35)*(1-N($R35))*N($S35)^2))</f>
        <v/>
      </c>
      <c r="AC35" s="11">
        <f>IF($O35="","",N($N35)*N($O35)+N($R35)*N($S35)+N($V35)*N($W35))</f>
        <v/>
      </c>
      <c r="AD35">
        <f>IF($O35="","",(N($N35)*N($P35)+N($N35)*(1-N($N35))*N($O35)^2)+(N($R35)*N($T35)+N($R35)*(1-N($R35))*N($S35)^2)+(N($V35)*N($X35)+N($V35)*(1-N($V35))*N($W35)^2))</f>
        <v/>
      </c>
      <c r="AE35" s="11">
        <f>IF($I35="","",$I35*$L35)</f>
        <v/>
      </c>
      <c r="AF35" s="11">
        <f>IF($I35="","",$I35*$L35*(1+N($R35)))</f>
        <v/>
      </c>
      <c r="AG35" s="11">
        <f>IF($I35="","",$I35*$L35*(1+N($R35)+N($V35)))</f>
        <v/>
      </c>
      <c r="AH35">
        <f>TRIM(IF($G35&lt;Config!$B$9,"thin sample ("&amp;$G35&amp;" maps) · ","")&amp;IF($I35="","no PickFinder stats · ","")&amp;IFERROR(IF(INDEX(Players!$T$2:$T$43,MATCH($E35,Players!$A$2:$A$43,0))&lt;0.5,"new roster: "&amp;TEXT(INDEX(Players!$T$2:$T$43,MATCH($E35,Players!$A$2:$A$43,0)),"0%")&amp;" of his recent games with these teammates",""),""))</f>
        <v/>
      </c>
      <c r="AI35">
        <f>IF($B35=Board!$B$2,COUNTIFS($B$2:$B$43,Board!$B$2,$Y$2:$Y$43,"&gt;"&amp;$Y35)+COUNTIFS($B$1:$B34,Board!$B$2,$Y$1:$Y34,$Y35)+1,"")</f>
        <v/>
      </c>
      <c r="AJ35">
        <f>IFERROR(IF(INDEX(Matches!$D$5:$D$9,MATCH($B35,Matches!$A$5:$A$9,0))=3,"K12","K13"),"K13")</f>
        <v/>
      </c>
      <c r="AK35" s="11">
        <f>IF($AJ35="K12",$AA35,$AC35)</f>
        <v/>
      </c>
    </row>
    <row r="36">
      <c r="A36" t="inlineStr">
        <is>
          <t>3x2ns60902wytr5|LOL · TES vs BLG</t>
        </is>
      </c>
      <c r="B36" t="inlineStr">
        <is>
          <t>LOL · TES vs BLG</t>
        </is>
      </c>
      <c r="C36" t="inlineStr">
        <is>
          <t>BLG</t>
        </is>
      </c>
      <c r="D36" t="inlineStr">
        <is>
          <t>Bin</t>
        </is>
      </c>
      <c r="E36" t="inlineStr">
        <is>
          <t>3x2ns60902wytr5</t>
        </is>
      </c>
      <c r="F36">
        <f>IFERROR(IF($C36=INDEX(Matches!$S$5:$S$9,MATCH($B36,Matches!$A$5:$A$9,0)),"A",IF($C36=INDEX(Matches!$T$5:$T$9,MATCH($B36,Matches!$A$5:$A$9,0)),"B","")),"")</f>
        <v/>
      </c>
      <c r="G36">
        <f>IFERROR(INDEX(Players!$E$2:$E$43,MATCH($E36,Players!$A$2:$A$43,0)),0)</f>
        <v/>
      </c>
      <c r="H36" s="6">
        <f>IFERROR(INDEX(Players!$F$2:$F$43,MATCH($E36,Players!$A$2:$A$43,0)),"")</f>
        <v/>
      </c>
      <c r="I36">
        <f>IFERROR(INDEX(Players!$G$2:$G$43,MATCH($E36,Players!$A$2:$A$43,0)),"")</f>
        <v/>
      </c>
      <c r="J36" s="11">
        <f>IF(OR($I36="",$H36=""),"",$I36*IF(LEFT($B36,4)="DOTA",Config!$B$5,Config!$B$4)/($H36*IF(LEFT($B36,4)="DOTA",Config!$B$5,Config!$B$4)+1-$H36))</f>
        <v/>
      </c>
      <c r="K36" s="11">
        <f>IF(OR($I36="",$H36=""),"",$I36/($H36*IF(LEFT($B36,4)="DOTA",Config!$B$5,Config!$B$4)+1-$H36))</f>
        <v/>
      </c>
      <c r="L36">
        <f>IFERROR(INDEX(Matches!$R$5:$R$9,MATCH($B36,Matches!$A$5:$A$9,0)),1)</f>
        <v/>
      </c>
      <c r="M36" s="6">
        <f>IFERROR(IF(INDEX(Matches!$M$5:$M$9,MATCH($B36,Matches!$A$5:$A$9,0))="","",IF($F36="A",INDEX(Matches!$M$5:$M$9,MATCH($B36,Matches!$A$5:$A$9,0)),1-INDEX(Matches!$M$5:$M$9,MATCH($B36,Matches!$A$5:$A$9,0)))),"")</f>
        <v/>
      </c>
      <c r="N36">
        <f>1</f>
        <v/>
      </c>
      <c r="O36" s="11">
        <f>IF(OR($M36="",$J36=""),"",$L36*($M36*$J36+(1-$M36)*$K36))</f>
        <v/>
      </c>
      <c r="P36">
        <f>IF($O36="","",IF(LEFT($B36,4)="DOTA",Config!$B$7,Config!$B$6)*$O36+$L36^2*$M36*(1-$M36)*($J36-$K36)^2)</f>
        <v/>
      </c>
      <c r="Q36" s="6">
        <f>IFERROR(IF(INDEX(Matches!$N$5:$N$9,MATCH($B36,Matches!$A$5:$A$9,0))="","",IF($F36="A",INDEX(Matches!$N$5:$N$9,MATCH($B36,Matches!$A$5:$A$9,0)),1-INDEX(Matches!$N$5:$N$9,MATCH($B36,Matches!$A$5:$A$9,0)))),"")</f>
        <v/>
      </c>
      <c r="R36">
        <f>IFERROR(N(INDEX(Matches!$P$5:$P$9,MATCH($B36,Matches!$A$5:$A$9,0))),0)</f>
        <v/>
      </c>
      <c r="S36" s="11">
        <f>IF(OR($Q36="",$J36=""),"",$L36*($Q36*$J36+(1-$Q36)*$K36))</f>
        <v/>
      </c>
      <c r="T36">
        <f>IF($S36="","",IF(LEFT($B36,4)="DOTA",Config!$B$7,Config!$B$6)*$S36+$L36^2*$Q36*(1-$Q36)*($J36-$K36)^2)</f>
        <v/>
      </c>
      <c r="U36" s="6">
        <f>IFERROR(IF(INDEX(Matches!$O$5:$O$9,MATCH($B36,Matches!$A$5:$A$9,0))="","",IF($F36="A",INDEX(Matches!$O$5:$O$9,MATCH($B36,Matches!$A$5:$A$9,0)),1-INDEX(Matches!$O$5:$O$9,MATCH($B36,Matches!$A$5:$A$9,0)))),"")</f>
        <v/>
      </c>
      <c r="V36">
        <f>IFERROR(N(INDEX(Matches!$Q$5:$Q$9,MATCH($B36,Matches!$A$5:$A$9,0))),0)</f>
        <v/>
      </c>
      <c r="W36" s="11">
        <f>IF(OR($U36="",$J36=""),"",$L36*($U36*$J36+(1-$U36)*$K36))</f>
        <v/>
      </c>
      <c r="X36">
        <f>IF($W36="","",IF(LEFT($B36,4)="DOTA",Config!$B$7,Config!$B$6)*$W36+$L36^2*$U36*(1-$U36)*($J36-$K36)^2)</f>
        <v/>
      </c>
      <c r="Y36" s="11">
        <f>IF($O36="","",$O36)</f>
        <v/>
      </c>
      <c r="Z36">
        <f>IF($P36="","",$P36)</f>
        <v/>
      </c>
      <c r="AA36" s="11">
        <f>IF($O36="","",N($N36)*N($O36)+N($R36)*N($S36))</f>
        <v/>
      </c>
      <c r="AB36">
        <f>IF($O36="","",(N($N36)*N($P36)+N($N36)*(1-N($N36))*N($O36)^2)+(N($R36)*N($T36)+N($R36)*(1-N($R36))*N($S36)^2))</f>
        <v/>
      </c>
      <c r="AC36" s="11">
        <f>IF($O36="","",N($N36)*N($O36)+N($R36)*N($S36)+N($V36)*N($W36))</f>
        <v/>
      </c>
      <c r="AD36">
        <f>IF($O36="","",(N($N36)*N($P36)+N($N36)*(1-N($N36))*N($O36)^2)+(N($R36)*N($T36)+N($R36)*(1-N($R36))*N($S36)^2)+(N($V36)*N($X36)+N($V36)*(1-N($V36))*N($W36)^2))</f>
        <v/>
      </c>
      <c r="AE36" s="11">
        <f>IF($I36="","",$I36*$L36)</f>
        <v/>
      </c>
      <c r="AF36" s="11">
        <f>IF($I36="","",$I36*$L36*(1+N($R36)))</f>
        <v/>
      </c>
      <c r="AG36" s="11">
        <f>IF($I36="","",$I36*$L36*(1+N($R36)+N($V36)))</f>
        <v/>
      </c>
      <c r="AH36">
        <f>TRIM(IF($G36&lt;Config!$B$9,"thin sample ("&amp;$G36&amp;" maps) · ","")&amp;IF($I36="","no PickFinder stats · ","")&amp;IFERROR(IF(INDEX(Players!$T$2:$T$43,MATCH($E36,Players!$A$2:$A$43,0))&lt;0.5,"new roster: "&amp;TEXT(INDEX(Players!$T$2:$T$43,MATCH($E36,Players!$A$2:$A$43,0)),"0%")&amp;" of his recent games with these teammates",""),""))</f>
        <v/>
      </c>
      <c r="AI36">
        <f>IF($B36=Board!$B$2,COUNTIFS($B$2:$B$43,Board!$B$2,$Y$2:$Y$43,"&gt;"&amp;$Y36)+COUNTIFS($B$1:$B35,Board!$B$2,$Y$1:$Y35,$Y36)+1,"")</f>
        <v/>
      </c>
      <c r="AJ36">
        <f>IFERROR(IF(INDEX(Matches!$D$5:$D$9,MATCH($B36,Matches!$A$5:$A$9,0))=3,"K12","K13"),"K13")</f>
        <v/>
      </c>
      <c r="AK36" s="11">
        <f>IF($AJ36="K12",$AA36,$AC36)</f>
        <v/>
      </c>
    </row>
    <row r="37">
      <c r="A37" t="inlineStr">
        <is>
          <t>n4f7lv5wvxndbnw|LOL · TES vs BLG</t>
        </is>
      </c>
      <c r="B37" t="inlineStr">
        <is>
          <t>LOL · TES vs BLG</t>
        </is>
      </c>
      <c r="C37" t="inlineStr">
        <is>
          <t>BLG</t>
        </is>
      </c>
      <c r="D37" t="inlineStr">
        <is>
          <t>knight</t>
        </is>
      </c>
      <c r="E37" t="inlineStr">
        <is>
          <t>n4f7lv5wvxndbnw</t>
        </is>
      </c>
      <c r="F37">
        <f>IFERROR(IF($C37=INDEX(Matches!$S$5:$S$9,MATCH($B37,Matches!$A$5:$A$9,0)),"A",IF($C37=INDEX(Matches!$T$5:$T$9,MATCH($B37,Matches!$A$5:$A$9,0)),"B","")),"")</f>
        <v/>
      </c>
      <c r="G37">
        <f>IFERROR(INDEX(Players!$E$2:$E$43,MATCH($E37,Players!$A$2:$A$43,0)),0)</f>
        <v/>
      </c>
      <c r="H37" s="6">
        <f>IFERROR(INDEX(Players!$F$2:$F$43,MATCH($E37,Players!$A$2:$A$43,0)),"")</f>
        <v/>
      </c>
      <c r="I37">
        <f>IFERROR(INDEX(Players!$G$2:$G$43,MATCH($E37,Players!$A$2:$A$43,0)),"")</f>
        <v/>
      </c>
      <c r="J37" s="11">
        <f>IF(OR($I37="",$H37=""),"",$I37*IF(LEFT($B37,4)="DOTA",Config!$B$5,Config!$B$4)/($H37*IF(LEFT($B37,4)="DOTA",Config!$B$5,Config!$B$4)+1-$H37))</f>
        <v/>
      </c>
      <c r="K37" s="11">
        <f>IF(OR($I37="",$H37=""),"",$I37/($H37*IF(LEFT($B37,4)="DOTA",Config!$B$5,Config!$B$4)+1-$H37))</f>
        <v/>
      </c>
      <c r="L37">
        <f>IFERROR(INDEX(Matches!$R$5:$R$9,MATCH($B37,Matches!$A$5:$A$9,0)),1)</f>
        <v/>
      </c>
      <c r="M37" s="6">
        <f>IFERROR(IF(INDEX(Matches!$M$5:$M$9,MATCH($B37,Matches!$A$5:$A$9,0))="","",IF($F37="A",INDEX(Matches!$M$5:$M$9,MATCH($B37,Matches!$A$5:$A$9,0)),1-INDEX(Matches!$M$5:$M$9,MATCH($B37,Matches!$A$5:$A$9,0)))),"")</f>
        <v/>
      </c>
      <c r="N37">
        <f>1</f>
        <v/>
      </c>
      <c r="O37" s="11">
        <f>IF(OR($M37="",$J37=""),"",$L37*($M37*$J37+(1-$M37)*$K37))</f>
        <v/>
      </c>
      <c r="P37">
        <f>IF($O37="","",IF(LEFT($B37,4)="DOTA",Config!$B$7,Config!$B$6)*$O37+$L37^2*$M37*(1-$M37)*($J37-$K37)^2)</f>
        <v/>
      </c>
      <c r="Q37" s="6">
        <f>IFERROR(IF(INDEX(Matches!$N$5:$N$9,MATCH($B37,Matches!$A$5:$A$9,0))="","",IF($F37="A",INDEX(Matches!$N$5:$N$9,MATCH($B37,Matches!$A$5:$A$9,0)),1-INDEX(Matches!$N$5:$N$9,MATCH($B37,Matches!$A$5:$A$9,0)))),"")</f>
        <v/>
      </c>
      <c r="R37">
        <f>IFERROR(N(INDEX(Matches!$P$5:$P$9,MATCH($B37,Matches!$A$5:$A$9,0))),0)</f>
        <v/>
      </c>
      <c r="S37" s="11">
        <f>IF(OR($Q37="",$J37=""),"",$L37*($Q37*$J37+(1-$Q37)*$K37))</f>
        <v/>
      </c>
      <c r="T37">
        <f>IF($S37="","",IF(LEFT($B37,4)="DOTA",Config!$B$7,Config!$B$6)*$S37+$L37^2*$Q37*(1-$Q37)*($J37-$K37)^2)</f>
        <v/>
      </c>
      <c r="U37" s="6">
        <f>IFERROR(IF(INDEX(Matches!$O$5:$O$9,MATCH($B37,Matches!$A$5:$A$9,0))="","",IF($F37="A",INDEX(Matches!$O$5:$O$9,MATCH($B37,Matches!$A$5:$A$9,0)),1-INDEX(Matches!$O$5:$O$9,MATCH($B37,Matches!$A$5:$A$9,0)))),"")</f>
        <v/>
      </c>
      <c r="V37">
        <f>IFERROR(N(INDEX(Matches!$Q$5:$Q$9,MATCH($B37,Matches!$A$5:$A$9,0))),0)</f>
        <v/>
      </c>
      <c r="W37" s="11">
        <f>IF(OR($U37="",$J37=""),"",$L37*($U37*$J37+(1-$U37)*$K37))</f>
        <v/>
      </c>
      <c r="X37">
        <f>IF($W37="","",IF(LEFT($B37,4)="DOTA",Config!$B$7,Config!$B$6)*$W37+$L37^2*$U37*(1-$U37)*($J37-$K37)^2)</f>
        <v/>
      </c>
      <c r="Y37" s="11">
        <f>IF($O37="","",$O37)</f>
        <v/>
      </c>
      <c r="Z37">
        <f>IF($P37="","",$P37)</f>
        <v/>
      </c>
      <c r="AA37" s="11">
        <f>IF($O37="","",N($N37)*N($O37)+N($R37)*N($S37))</f>
        <v/>
      </c>
      <c r="AB37">
        <f>IF($O37="","",(N($N37)*N($P37)+N($N37)*(1-N($N37))*N($O37)^2)+(N($R37)*N($T37)+N($R37)*(1-N($R37))*N($S37)^2))</f>
        <v/>
      </c>
      <c r="AC37" s="11">
        <f>IF($O37="","",N($N37)*N($O37)+N($R37)*N($S37)+N($V37)*N($W37))</f>
        <v/>
      </c>
      <c r="AD37">
        <f>IF($O37="","",(N($N37)*N($P37)+N($N37)*(1-N($N37))*N($O37)^2)+(N($R37)*N($T37)+N($R37)*(1-N($R37))*N($S37)^2)+(N($V37)*N($X37)+N($V37)*(1-N($V37))*N($W37)^2))</f>
        <v/>
      </c>
      <c r="AE37" s="11">
        <f>IF($I37="","",$I37*$L37)</f>
        <v/>
      </c>
      <c r="AF37" s="11">
        <f>IF($I37="","",$I37*$L37*(1+N($R37)))</f>
        <v/>
      </c>
      <c r="AG37" s="11">
        <f>IF($I37="","",$I37*$L37*(1+N($R37)+N($V37)))</f>
        <v/>
      </c>
      <c r="AH37">
        <f>TRIM(IF($G37&lt;Config!$B$9,"thin sample ("&amp;$G37&amp;" maps) · ","")&amp;IF($I37="","no PickFinder stats · ","")&amp;IFERROR(IF(INDEX(Players!$T$2:$T$43,MATCH($E37,Players!$A$2:$A$43,0))&lt;0.5,"new roster: "&amp;TEXT(INDEX(Players!$T$2:$T$43,MATCH($E37,Players!$A$2:$A$43,0)),"0%")&amp;" of his recent games with these teammates",""),""))</f>
        <v/>
      </c>
      <c r="AI37">
        <f>IF($B37=Board!$B$2,COUNTIFS($B$2:$B$43,Board!$B$2,$Y$2:$Y$43,"&gt;"&amp;$Y37)+COUNTIFS($B$1:$B36,Board!$B$2,$Y$1:$Y36,$Y37)+1,"")</f>
        <v/>
      </c>
      <c r="AJ37">
        <f>IFERROR(IF(INDEX(Matches!$D$5:$D$9,MATCH($B37,Matches!$A$5:$A$9,0))=3,"K12","K13"),"K13")</f>
        <v/>
      </c>
      <c r="AK37" s="11">
        <f>IF($AJ37="K12",$AA37,$AC37)</f>
        <v/>
      </c>
    </row>
    <row r="38">
      <c r="A38" t="inlineStr">
        <is>
          <t>rxzjxi7ziezffrs|LOL · TES vs BLG</t>
        </is>
      </c>
      <c r="B38" t="inlineStr">
        <is>
          <t>LOL · TES vs BLG</t>
        </is>
      </c>
      <c r="C38" t="inlineStr">
        <is>
          <t>BLG</t>
        </is>
      </c>
      <c r="D38" t="inlineStr">
        <is>
          <t>ON</t>
        </is>
      </c>
      <c r="E38" t="inlineStr">
        <is>
          <t>rxzjxi7ziezffrs</t>
        </is>
      </c>
      <c r="F38">
        <f>IFERROR(IF($C38=INDEX(Matches!$S$5:$S$9,MATCH($B38,Matches!$A$5:$A$9,0)),"A",IF($C38=INDEX(Matches!$T$5:$T$9,MATCH($B38,Matches!$A$5:$A$9,0)),"B","")),"")</f>
        <v/>
      </c>
      <c r="G38">
        <f>IFERROR(INDEX(Players!$E$2:$E$43,MATCH($E38,Players!$A$2:$A$43,0)),0)</f>
        <v/>
      </c>
      <c r="H38" s="6">
        <f>IFERROR(INDEX(Players!$F$2:$F$43,MATCH($E38,Players!$A$2:$A$43,0)),"")</f>
        <v/>
      </c>
      <c r="I38">
        <f>IFERROR(INDEX(Players!$G$2:$G$43,MATCH($E38,Players!$A$2:$A$43,0)),"")</f>
        <v/>
      </c>
      <c r="J38" s="11">
        <f>IF(OR($I38="",$H38=""),"",$I38*IF(LEFT($B38,4)="DOTA",Config!$B$5,Config!$B$4)/($H38*IF(LEFT($B38,4)="DOTA",Config!$B$5,Config!$B$4)+1-$H38))</f>
        <v/>
      </c>
      <c r="K38" s="11">
        <f>IF(OR($I38="",$H38=""),"",$I38/($H38*IF(LEFT($B38,4)="DOTA",Config!$B$5,Config!$B$4)+1-$H38))</f>
        <v/>
      </c>
      <c r="L38">
        <f>IFERROR(INDEX(Matches!$R$5:$R$9,MATCH($B38,Matches!$A$5:$A$9,0)),1)</f>
        <v/>
      </c>
      <c r="M38" s="6">
        <f>IFERROR(IF(INDEX(Matches!$M$5:$M$9,MATCH($B38,Matches!$A$5:$A$9,0))="","",IF($F38="A",INDEX(Matches!$M$5:$M$9,MATCH($B38,Matches!$A$5:$A$9,0)),1-INDEX(Matches!$M$5:$M$9,MATCH($B38,Matches!$A$5:$A$9,0)))),"")</f>
        <v/>
      </c>
      <c r="N38">
        <f>1</f>
        <v/>
      </c>
      <c r="O38" s="11">
        <f>IF(OR($M38="",$J38=""),"",$L38*($M38*$J38+(1-$M38)*$K38))</f>
        <v/>
      </c>
      <c r="P38">
        <f>IF($O38="","",IF(LEFT($B38,4)="DOTA",Config!$B$7,Config!$B$6)*$O38+$L38^2*$M38*(1-$M38)*($J38-$K38)^2)</f>
        <v/>
      </c>
      <c r="Q38" s="6">
        <f>IFERROR(IF(INDEX(Matches!$N$5:$N$9,MATCH($B38,Matches!$A$5:$A$9,0))="","",IF($F38="A",INDEX(Matches!$N$5:$N$9,MATCH($B38,Matches!$A$5:$A$9,0)),1-INDEX(Matches!$N$5:$N$9,MATCH($B38,Matches!$A$5:$A$9,0)))),"")</f>
        <v/>
      </c>
      <c r="R38">
        <f>IFERROR(N(INDEX(Matches!$P$5:$P$9,MATCH($B38,Matches!$A$5:$A$9,0))),0)</f>
        <v/>
      </c>
      <c r="S38" s="11">
        <f>IF(OR($Q38="",$J38=""),"",$L38*($Q38*$J38+(1-$Q38)*$K38))</f>
        <v/>
      </c>
      <c r="T38">
        <f>IF($S38="","",IF(LEFT($B38,4)="DOTA",Config!$B$7,Config!$B$6)*$S38+$L38^2*$Q38*(1-$Q38)*($J38-$K38)^2)</f>
        <v/>
      </c>
      <c r="U38" s="6">
        <f>IFERROR(IF(INDEX(Matches!$O$5:$O$9,MATCH($B38,Matches!$A$5:$A$9,0))="","",IF($F38="A",INDEX(Matches!$O$5:$O$9,MATCH($B38,Matches!$A$5:$A$9,0)),1-INDEX(Matches!$O$5:$O$9,MATCH($B38,Matches!$A$5:$A$9,0)))),"")</f>
        <v/>
      </c>
      <c r="V38">
        <f>IFERROR(N(INDEX(Matches!$Q$5:$Q$9,MATCH($B38,Matches!$A$5:$A$9,0))),0)</f>
        <v/>
      </c>
      <c r="W38" s="11">
        <f>IF(OR($U38="",$J38=""),"",$L38*($U38*$J38+(1-$U38)*$K38))</f>
        <v/>
      </c>
      <c r="X38">
        <f>IF($W38="","",IF(LEFT($B38,4)="DOTA",Config!$B$7,Config!$B$6)*$W38+$L38^2*$U38*(1-$U38)*($J38-$K38)^2)</f>
        <v/>
      </c>
      <c r="Y38" s="11">
        <f>IF($O38="","",$O38)</f>
        <v/>
      </c>
      <c r="Z38">
        <f>IF($P38="","",$P38)</f>
        <v/>
      </c>
      <c r="AA38" s="11">
        <f>IF($O38="","",N($N38)*N($O38)+N($R38)*N($S38))</f>
        <v/>
      </c>
      <c r="AB38">
        <f>IF($O38="","",(N($N38)*N($P38)+N($N38)*(1-N($N38))*N($O38)^2)+(N($R38)*N($T38)+N($R38)*(1-N($R38))*N($S38)^2))</f>
        <v/>
      </c>
      <c r="AC38" s="11">
        <f>IF($O38="","",N($N38)*N($O38)+N($R38)*N($S38)+N($V38)*N($W38))</f>
        <v/>
      </c>
      <c r="AD38">
        <f>IF($O38="","",(N($N38)*N($P38)+N($N38)*(1-N($N38))*N($O38)^2)+(N($R38)*N($T38)+N($R38)*(1-N($R38))*N($S38)^2)+(N($V38)*N($X38)+N($V38)*(1-N($V38))*N($W38)^2))</f>
        <v/>
      </c>
      <c r="AE38" s="11">
        <f>IF($I38="","",$I38*$L38)</f>
        <v/>
      </c>
      <c r="AF38" s="11">
        <f>IF($I38="","",$I38*$L38*(1+N($R38)))</f>
        <v/>
      </c>
      <c r="AG38" s="11">
        <f>IF($I38="","",$I38*$L38*(1+N($R38)+N($V38)))</f>
        <v/>
      </c>
      <c r="AH38">
        <f>TRIM(IF($G38&lt;Config!$B$9,"thin sample ("&amp;$G38&amp;" maps) · ","")&amp;IF($I38="","no PickFinder stats · ","")&amp;IFERROR(IF(INDEX(Players!$T$2:$T$43,MATCH($E38,Players!$A$2:$A$43,0))&lt;0.5,"new roster: "&amp;TEXT(INDEX(Players!$T$2:$T$43,MATCH($E38,Players!$A$2:$A$43,0)),"0%")&amp;" of his recent games with these teammates",""),""))</f>
        <v/>
      </c>
      <c r="AI38">
        <f>IF($B38=Board!$B$2,COUNTIFS($B$2:$B$43,Board!$B$2,$Y$2:$Y$43,"&gt;"&amp;$Y38)+COUNTIFS($B$1:$B37,Board!$B$2,$Y$1:$Y37,$Y38)+1,"")</f>
        <v/>
      </c>
      <c r="AJ38">
        <f>IFERROR(IF(INDEX(Matches!$D$5:$D$9,MATCH($B38,Matches!$A$5:$A$9,0))=3,"K12","K13"),"K13")</f>
        <v/>
      </c>
      <c r="AK38" s="11">
        <f>IF($AJ38="K12",$AA38,$AC38)</f>
        <v/>
      </c>
    </row>
    <row r="39">
      <c r="A39" t="inlineStr">
        <is>
          <t>ik18oe6e112nifa|LOL · TES vs BLG</t>
        </is>
      </c>
      <c r="B39" t="inlineStr">
        <is>
          <t>LOL · TES vs BLG</t>
        </is>
      </c>
      <c r="C39" t="inlineStr">
        <is>
          <t>BLG</t>
        </is>
      </c>
      <c r="D39" t="inlineStr">
        <is>
          <t>Viper</t>
        </is>
      </c>
      <c r="E39" t="inlineStr">
        <is>
          <t>ik18oe6e112nifa</t>
        </is>
      </c>
      <c r="F39">
        <f>IFERROR(IF($C39=INDEX(Matches!$S$5:$S$9,MATCH($B39,Matches!$A$5:$A$9,0)),"A",IF($C39=INDEX(Matches!$T$5:$T$9,MATCH($B39,Matches!$A$5:$A$9,0)),"B","")),"")</f>
        <v/>
      </c>
      <c r="G39">
        <f>IFERROR(INDEX(Players!$E$2:$E$43,MATCH($E39,Players!$A$2:$A$43,0)),0)</f>
        <v/>
      </c>
      <c r="H39" s="6">
        <f>IFERROR(INDEX(Players!$F$2:$F$43,MATCH($E39,Players!$A$2:$A$43,0)),"")</f>
        <v/>
      </c>
      <c r="I39">
        <f>IFERROR(INDEX(Players!$G$2:$G$43,MATCH($E39,Players!$A$2:$A$43,0)),"")</f>
        <v/>
      </c>
      <c r="J39" s="11">
        <f>IF(OR($I39="",$H39=""),"",$I39*IF(LEFT($B39,4)="DOTA",Config!$B$5,Config!$B$4)/($H39*IF(LEFT($B39,4)="DOTA",Config!$B$5,Config!$B$4)+1-$H39))</f>
        <v/>
      </c>
      <c r="K39" s="11">
        <f>IF(OR($I39="",$H39=""),"",$I39/($H39*IF(LEFT($B39,4)="DOTA",Config!$B$5,Config!$B$4)+1-$H39))</f>
        <v/>
      </c>
      <c r="L39">
        <f>IFERROR(INDEX(Matches!$R$5:$R$9,MATCH($B39,Matches!$A$5:$A$9,0)),1)</f>
        <v/>
      </c>
      <c r="M39" s="6">
        <f>IFERROR(IF(INDEX(Matches!$M$5:$M$9,MATCH($B39,Matches!$A$5:$A$9,0))="","",IF($F39="A",INDEX(Matches!$M$5:$M$9,MATCH($B39,Matches!$A$5:$A$9,0)),1-INDEX(Matches!$M$5:$M$9,MATCH($B39,Matches!$A$5:$A$9,0)))),"")</f>
        <v/>
      </c>
      <c r="N39">
        <f>1</f>
        <v/>
      </c>
      <c r="O39" s="11">
        <f>IF(OR($M39="",$J39=""),"",$L39*($M39*$J39+(1-$M39)*$K39))</f>
        <v/>
      </c>
      <c r="P39">
        <f>IF($O39="","",IF(LEFT($B39,4)="DOTA",Config!$B$7,Config!$B$6)*$O39+$L39^2*$M39*(1-$M39)*($J39-$K39)^2)</f>
        <v/>
      </c>
      <c r="Q39" s="6">
        <f>IFERROR(IF(INDEX(Matches!$N$5:$N$9,MATCH($B39,Matches!$A$5:$A$9,0))="","",IF($F39="A",INDEX(Matches!$N$5:$N$9,MATCH($B39,Matches!$A$5:$A$9,0)),1-INDEX(Matches!$N$5:$N$9,MATCH($B39,Matches!$A$5:$A$9,0)))),"")</f>
        <v/>
      </c>
      <c r="R39">
        <f>IFERROR(N(INDEX(Matches!$P$5:$P$9,MATCH($B39,Matches!$A$5:$A$9,0))),0)</f>
        <v/>
      </c>
      <c r="S39" s="11">
        <f>IF(OR($Q39="",$J39=""),"",$L39*($Q39*$J39+(1-$Q39)*$K39))</f>
        <v/>
      </c>
      <c r="T39">
        <f>IF($S39="","",IF(LEFT($B39,4)="DOTA",Config!$B$7,Config!$B$6)*$S39+$L39^2*$Q39*(1-$Q39)*($J39-$K39)^2)</f>
        <v/>
      </c>
      <c r="U39" s="6">
        <f>IFERROR(IF(INDEX(Matches!$O$5:$O$9,MATCH($B39,Matches!$A$5:$A$9,0))="","",IF($F39="A",INDEX(Matches!$O$5:$O$9,MATCH($B39,Matches!$A$5:$A$9,0)),1-INDEX(Matches!$O$5:$O$9,MATCH($B39,Matches!$A$5:$A$9,0)))),"")</f>
        <v/>
      </c>
      <c r="V39">
        <f>IFERROR(N(INDEX(Matches!$Q$5:$Q$9,MATCH($B39,Matches!$A$5:$A$9,0))),0)</f>
        <v/>
      </c>
      <c r="W39" s="11">
        <f>IF(OR($U39="",$J39=""),"",$L39*($U39*$J39+(1-$U39)*$K39))</f>
        <v/>
      </c>
      <c r="X39">
        <f>IF($W39="","",IF(LEFT($B39,4)="DOTA",Config!$B$7,Config!$B$6)*$W39+$L39^2*$U39*(1-$U39)*($J39-$K39)^2)</f>
        <v/>
      </c>
      <c r="Y39" s="11">
        <f>IF($O39="","",$O39)</f>
        <v/>
      </c>
      <c r="Z39">
        <f>IF($P39="","",$P39)</f>
        <v/>
      </c>
      <c r="AA39" s="11">
        <f>IF($O39="","",N($N39)*N($O39)+N($R39)*N($S39))</f>
        <v/>
      </c>
      <c r="AB39">
        <f>IF($O39="","",(N($N39)*N($P39)+N($N39)*(1-N($N39))*N($O39)^2)+(N($R39)*N($T39)+N($R39)*(1-N($R39))*N($S39)^2))</f>
        <v/>
      </c>
      <c r="AC39" s="11">
        <f>IF($O39="","",N($N39)*N($O39)+N($R39)*N($S39)+N($V39)*N($W39))</f>
        <v/>
      </c>
      <c r="AD39">
        <f>IF($O39="","",(N($N39)*N($P39)+N($N39)*(1-N($N39))*N($O39)^2)+(N($R39)*N($T39)+N($R39)*(1-N($R39))*N($S39)^2)+(N($V39)*N($X39)+N($V39)*(1-N($V39))*N($W39)^2))</f>
        <v/>
      </c>
      <c r="AE39" s="11">
        <f>IF($I39="","",$I39*$L39)</f>
        <v/>
      </c>
      <c r="AF39" s="11">
        <f>IF($I39="","",$I39*$L39*(1+N($R39)))</f>
        <v/>
      </c>
      <c r="AG39" s="11">
        <f>IF($I39="","",$I39*$L39*(1+N($R39)+N($V39)))</f>
        <v/>
      </c>
      <c r="AH39">
        <f>TRIM(IF($G39&lt;Config!$B$9,"thin sample ("&amp;$G39&amp;" maps) · ","")&amp;IF($I39="","no PickFinder stats · ","")&amp;IFERROR(IF(INDEX(Players!$T$2:$T$43,MATCH($E39,Players!$A$2:$A$43,0))&lt;0.5,"new roster: "&amp;TEXT(INDEX(Players!$T$2:$T$43,MATCH($E39,Players!$A$2:$A$43,0)),"0%")&amp;" of his recent games with these teammates",""),""))</f>
        <v/>
      </c>
      <c r="AI39">
        <f>IF($B39=Board!$B$2,COUNTIFS($B$2:$B$43,Board!$B$2,$Y$2:$Y$43,"&gt;"&amp;$Y39)+COUNTIFS($B$1:$B38,Board!$B$2,$Y$1:$Y38,$Y39)+1,"")</f>
        <v/>
      </c>
      <c r="AJ39">
        <f>IFERROR(IF(INDEX(Matches!$D$5:$D$9,MATCH($B39,Matches!$A$5:$A$9,0))=3,"K12","K13"),"K13")</f>
        <v/>
      </c>
      <c r="AK39" s="11">
        <f>IF($AJ39="K12",$AA39,$AC39)</f>
        <v/>
      </c>
    </row>
    <row r="40">
      <c r="A40" t="inlineStr">
        <is>
          <t>3565cqfb2f3cq21|LOL · TES vs BLG</t>
        </is>
      </c>
      <c r="B40" t="inlineStr">
        <is>
          <t>LOL · TES vs BLG</t>
        </is>
      </c>
      <c r="C40" t="inlineStr">
        <is>
          <t>BLG</t>
        </is>
      </c>
      <c r="D40" t="inlineStr">
        <is>
          <t>XUN</t>
        </is>
      </c>
      <c r="E40" t="inlineStr">
        <is>
          <t>3565cqfb2f3cq21</t>
        </is>
      </c>
      <c r="F40">
        <f>IFERROR(IF($C40=INDEX(Matches!$S$5:$S$9,MATCH($B40,Matches!$A$5:$A$9,0)),"A",IF($C40=INDEX(Matches!$T$5:$T$9,MATCH($B40,Matches!$A$5:$A$9,0)),"B","")),"")</f>
        <v/>
      </c>
      <c r="G40">
        <f>IFERROR(INDEX(Players!$E$2:$E$43,MATCH($E40,Players!$A$2:$A$43,0)),0)</f>
        <v/>
      </c>
      <c r="H40" s="6">
        <f>IFERROR(INDEX(Players!$F$2:$F$43,MATCH($E40,Players!$A$2:$A$43,0)),"")</f>
        <v/>
      </c>
      <c r="I40">
        <f>IFERROR(INDEX(Players!$G$2:$G$43,MATCH($E40,Players!$A$2:$A$43,0)),"")</f>
        <v/>
      </c>
      <c r="J40" s="11">
        <f>IF(OR($I40="",$H40=""),"",$I40*IF(LEFT($B40,4)="DOTA",Config!$B$5,Config!$B$4)/($H40*IF(LEFT($B40,4)="DOTA",Config!$B$5,Config!$B$4)+1-$H40))</f>
        <v/>
      </c>
      <c r="K40" s="11">
        <f>IF(OR($I40="",$H40=""),"",$I40/($H40*IF(LEFT($B40,4)="DOTA",Config!$B$5,Config!$B$4)+1-$H40))</f>
        <v/>
      </c>
      <c r="L40">
        <f>IFERROR(INDEX(Matches!$R$5:$R$9,MATCH($B40,Matches!$A$5:$A$9,0)),1)</f>
        <v/>
      </c>
      <c r="M40" s="6">
        <f>IFERROR(IF(INDEX(Matches!$M$5:$M$9,MATCH($B40,Matches!$A$5:$A$9,0))="","",IF($F40="A",INDEX(Matches!$M$5:$M$9,MATCH($B40,Matches!$A$5:$A$9,0)),1-INDEX(Matches!$M$5:$M$9,MATCH($B40,Matches!$A$5:$A$9,0)))),"")</f>
        <v/>
      </c>
      <c r="N40">
        <f>1</f>
        <v/>
      </c>
      <c r="O40" s="11">
        <f>IF(OR($M40="",$J40=""),"",$L40*($M40*$J40+(1-$M40)*$K40))</f>
        <v/>
      </c>
      <c r="P40">
        <f>IF($O40="","",IF(LEFT($B40,4)="DOTA",Config!$B$7,Config!$B$6)*$O40+$L40^2*$M40*(1-$M40)*($J40-$K40)^2)</f>
        <v/>
      </c>
      <c r="Q40" s="6">
        <f>IFERROR(IF(INDEX(Matches!$N$5:$N$9,MATCH($B40,Matches!$A$5:$A$9,0))="","",IF($F40="A",INDEX(Matches!$N$5:$N$9,MATCH($B40,Matches!$A$5:$A$9,0)),1-INDEX(Matches!$N$5:$N$9,MATCH($B40,Matches!$A$5:$A$9,0)))),"")</f>
        <v/>
      </c>
      <c r="R40">
        <f>IFERROR(N(INDEX(Matches!$P$5:$P$9,MATCH($B40,Matches!$A$5:$A$9,0))),0)</f>
        <v/>
      </c>
      <c r="S40" s="11">
        <f>IF(OR($Q40="",$J40=""),"",$L40*($Q40*$J40+(1-$Q40)*$K40))</f>
        <v/>
      </c>
      <c r="T40">
        <f>IF($S40="","",IF(LEFT($B40,4)="DOTA",Config!$B$7,Config!$B$6)*$S40+$L40^2*$Q40*(1-$Q40)*($J40-$K40)^2)</f>
        <v/>
      </c>
      <c r="U40" s="6">
        <f>IFERROR(IF(INDEX(Matches!$O$5:$O$9,MATCH($B40,Matches!$A$5:$A$9,0))="","",IF($F40="A",INDEX(Matches!$O$5:$O$9,MATCH($B40,Matches!$A$5:$A$9,0)),1-INDEX(Matches!$O$5:$O$9,MATCH($B40,Matches!$A$5:$A$9,0)))),"")</f>
        <v/>
      </c>
      <c r="V40">
        <f>IFERROR(N(INDEX(Matches!$Q$5:$Q$9,MATCH($B40,Matches!$A$5:$A$9,0))),0)</f>
        <v/>
      </c>
      <c r="W40" s="11">
        <f>IF(OR($U40="",$J40=""),"",$L40*($U40*$J40+(1-$U40)*$K40))</f>
        <v/>
      </c>
      <c r="X40">
        <f>IF($W40="","",IF(LEFT($B40,4)="DOTA",Config!$B$7,Config!$B$6)*$W40+$L40^2*$U40*(1-$U40)*($J40-$K40)^2)</f>
        <v/>
      </c>
      <c r="Y40" s="11">
        <f>IF($O40="","",$O40)</f>
        <v/>
      </c>
      <c r="Z40">
        <f>IF($P40="","",$P40)</f>
        <v/>
      </c>
      <c r="AA40" s="11">
        <f>IF($O40="","",N($N40)*N($O40)+N($R40)*N($S40))</f>
        <v/>
      </c>
      <c r="AB40">
        <f>IF($O40="","",(N($N40)*N($P40)+N($N40)*(1-N($N40))*N($O40)^2)+(N($R40)*N($T40)+N($R40)*(1-N($R40))*N($S40)^2))</f>
        <v/>
      </c>
      <c r="AC40" s="11">
        <f>IF($O40="","",N($N40)*N($O40)+N($R40)*N($S40)+N($V40)*N($W40))</f>
        <v/>
      </c>
      <c r="AD40">
        <f>IF($O40="","",(N($N40)*N($P40)+N($N40)*(1-N($N40))*N($O40)^2)+(N($R40)*N($T40)+N($R40)*(1-N($R40))*N($S40)^2)+(N($V40)*N($X40)+N($V40)*(1-N($V40))*N($W40)^2))</f>
        <v/>
      </c>
      <c r="AE40" s="11">
        <f>IF($I40="","",$I40*$L40)</f>
        <v/>
      </c>
      <c r="AF40" s="11">
        <f>IF($I40="","",$I40*$L40*(1+N($R40)))</f>
        <v/>
      </c>
      <c r="AG40" s="11">
        <f>IF($I40="","",$I40*$L40*(1+N($R40)+N($V40)))</f>
        <v/>
      </c>
      <c r="AH40">
        <f>TRIM(IF($G40&lt;Config!$B$9,"thin sample ("&amp;$G40&amp;" maps) · ","")&amp;IF($I40="","no PickFinder stats · ","")&amp;IFERROR(IF(INDEX(Players!$T$2:$T$43,MATCH($E40,Players!$A$2:$A$43,0))&lt;0.5,"new roster: "&amp;TEXT(INDEX(Players!$T$2:$T$43,MATCH($E40,Players!$A$2:$A$43,0)),"0%")&amp;" of his recent games with these teammates",""),""))</f>
        <v/>
      </c>
      <c r="AI40">
        <f>IF($B40=Board!$B$2,COUNTIFS($B$2:$B$43,Board!$B$2,$Y$2:$Y$43,"&gt;"&amp;$Y40)+COUNTIFS($B$1:$B39,Board!$B$2,$Y$1:$Y39,$Y40)+1,"")</f>
        <v/>
      </c>
      <c r="AJ40">
        <f>IFERROR(IF(INDEX(Matches!$D$5:$D$9,MATCH($B40,Matches!$A$5:$A$9,0))=3,"K12","K13"),"K13")</f>
        <v/>
      </c>
      <c r="AK40" s="11">
        <f>IF($AJ40="K12",$AA40,$AC40)</f>
        <v/>
      </c>
    </row>
    <row r="41">
      <c r="A41" t="inlineStr">
        <is>
          <t>d5dp09jubk87gzq|LOL · TES vs BLG</t>
        </is>
      </c>
      <c r="B41" t="inlineStr">
        <is>
          <t>LOL · TES vs BLG</t>
        </is>
      </c>
      <c r="C41" t="inlineStr">
        <is>
          <t>TES</t>
        </is>
      </c>
      <c r="D41" t="inlineStr">
        <is>
          <t>369</t>
        </is>
      </c>
      <c r="E41" t="inlineStr">
        <is>
          <t>d5dp09jubk87gzq</t>
        </is>
      </c>
      <c r="F41">
        <f>IFERROR(IF($C41=INDEX(Matches!$S$5:$S$9,MATCH($B41,Matches!$A$5:$A$9,0)),"A",IF($C41=INDEX(Matches!$T$5:$T$9,MATCH($B41,Matches!$A$5:$A$9,0)),"B","")),"")</f>
        <v/>
      </c>
      <c r="G41">
        <f>IFERROR(INDEX(Players!$E$2:$E$43,MATCH($E41,Players!$A$2:$A$43,0)),0)</f>
        <v/>
      </c>
      <c r="H41" s="6">
        <f>IFERROR(INDEX(Players!$F$2:$F$43,MATCH($E41,Players!$A$2:$A$43,0)),"")</f>
        <v/>
      </c>
      <c r="I41">
        <f>IFERROR(INDEX(Players!$G$2:$G$43,MATCH($E41,Players!$A$2:$A$43,0)),"")</f>
        <v/>
      </c>
      <c r="J41" s="11">
        <f>IF(OR($I41="",$H41=""),"",$I41*IF(LEFT($B41,4)="DOTA",Config!$B$5,Config!$B$4)/($H41*IF(LEFT($B41,4)="DOTA",Config!$B$5,Config!$B$4)+1-$H41))</f>
        <v/>
      </c>
      <c r="K41" s="11">
        <f>IF(OR($I41="",$H41=""),"",$I41/($H41*IF(LEFT($B41,4)="DOTA",Config!$B$5,Config!$B$4)+1-$H41))</f>
        <v/>
      </c>
      <c r="L41">
        <f>IFERROR(INDEX(Matches!$R$5:$R$9,MATCH($B41,Matches!$A$5:$A$9,0)),1)</f>
        <v/>
      </c>
      <c r="M41" s="6">
        <f>IFERROR(IF(INDEX(Matches!$M$5:$M$9,MATCH($B41,Matches!$A$5:$A$9,0))="","",IF($F41="A",INDEX(Matches!$M$5:$M$9,MATCH($B41,Matches!$A$5:$A$9,0)),1-INDEX(Matches!$M$5:$M$9,MATCH($B41,Matches!$A$5:$A$9,0)))),"")</f>
        <v/>
      </c>
      <c r="N41">
        <f>1</f>
        <v/>
      </c>
      <c r="O41" s="11">
        <f>IF(OR($M41="",$J41=""),"",$L41*($M41*$J41+(1-$M41)*$K41))</f>
        <v/>
      </c>
      <c r="P41">
        <f>IF($O41="","",IF(LEFT($B41,4)="DOTA",Config!$B$7,Config!$B$6)*$O41+$L41^2*$M41*(1-$M41)*($J41-$K41)^2)</f>
        <v/>
      </c>
      <c r="Q41" s="6">
        <f>IFERROR(IF(INDEX(Matches!$N$5:$N$9,MATCH($B41,Matches!$A$5:$A$9,0))="","",IF($F41="A",INDEX(Matches!$N$5:$N$9,MATCH($B41,Matches!$A$5:$A$9,0)),1-INDEX(Matches!$N$5:$N$9,MATCH($B41,Matches!$A$5:$A$9,0)))),"")</f>
        <v/>
      </c>
      <c r="R41">
        <f>IFERROR(N(INDEX(Matches!$P$5:$P$9,MATCH($B41,Matches!$A$5:$A$9,0))),0)</f>
        <v/>
      </c>
      <c r="S41" s="11">
        <f>IF(OR($Q41="",$J41=""),"",$L41*($Q41*$J41+(1-$Q41)*$K41))</f>
        <v/>
      </c>
      <c r="T41">
        <f>IF($S41="","",IF(LEFT($B41,4)="DOTA",Config!$B$7,Config!$B$6)*$S41+$L41^2*$Q41*(1-$Q41)*($J41-$K41)^2)</f>
        <v/>
      </c>
      <c r="U41" s="6">
        <f>IFERROR(IF(INDEX(Matches!$O$5:$O$9,MATCH($B41,Matches!$A$5:$A$9,0))="","",IF($F41="A",INDEX(Matches!$O$5:$O$9,MATCH($B41,Matches!$A$5:$A$9,0)),1-INDEX(Matches!$O$5:$O$9,MATCH($B41,Matches!$A$5:$A$9,0)))),"")</f>
        <v/>
      </c>
      <c r="V41">
        <f>IFERROR(N(INDEX(Matches!$Q$5:$Q$9,MATCH($B41,Matches!$A$5:$A$9,0))),0)</f>
        <v/>
      </c>
      <c r="W41" s="11">
        <f>IF(OR($U41="",$J41=""),"",$L41*($U41*$J41+(1-$U41)*$K41))</f>
        <v/>
      </c>
      <c r="X41">
        <f>IF($W41="","",IF(LEFT($B41,4)="DOTA",Config!$B$7,Config!$B$6)*$W41+$L41^2*$U41*(1-$U41)*($J41-$K41)^2)</f>
        <v/>
      </c>
      <c r="Y41" s="11">
        <f>IF($O41="","",$O41)</f>
        <v/>
      </c>
      <c r="Z41">
        <f>IF($P41="","",$P41)</f>
        <v/>
      </c>
      <c r="AA41" s="11">
        <f>IF($O41="","",N($N41)*N($O41)+N($R41)*N($S41))</f>
        <v/>
      </c>
      <c r="AB41">
        <f>IF($O41="","",(N($N41)*N($P41)+N($N41)*(1-N($N41))*N($O41)^2)+(N($R41)*N($T41)+N($R41)*(1-N($R41))*N($S41)^2))</f>
        <v/>
      </c>
      <c r="AC41" s="11">
        <f>IF($O41="","",N($N41)*N($O41)+N($R41)*N($S41)+N($V41)*N($W41))</f>
        <v/>
      </c>
      <c r="AD41">
        <f>IF($O41="","",(N($N41)*N($P41)+N($N41)*(1-N($N41))*N($O41)^2)+(N($R41)*N($T41)+N($R41)*(1-N($R41))*N($S41)^2)+(N($V41)*N($X41)+N($V41)*(1-N($V41))*N($W41)^2))</f>
        <v/>
      </c>
      <c r="AE41" s="11">
        <f>IF($I41="","",$I41*$L41)</f>
        <v/>
      </c>
      <c r="AF41" s="11">
        <f>IF($I41="","",$I41*$L41*(1+N($R41)))</f>
        <v/>
      </c>
      <c r="AG41" s="11">
        <f>IF($I41="","",$I41*$L41*(1+N($R41)+N($V41)))</f>
        <v/>
      </c>
      <c r="AH41">
        <f>TRIM(IF($G41&lt;Config!$B$9,"thin sample ("&amp;$G41&amp;" maps) · ","")&amp;IF($I41="","no PickFinder stats · ","")&amp;IFERROR(IF(INDEX(Players!$T$2:$T$43,MATCH($E41,Players!$A$2:$A$43,0))&lt;0.5,"new roster: "&amp;TEXT(INDEX(Players!$T$2:$T$43,MATCH($E41,Players!$A$2:$A$43,0)),"0%")&amp;" of his recent games with these teammates",""),""))</f>
        <v/>
      </c>
      <c r="AI41">
        <f>IF($B41=Board!$B$2,COUNTIFS($B$2:$B$43,Board!$B$2,$Y$2:$Y$43,"&gt;"&amp;$Y41)+COUNTIFS($B$1:$B40,Board!$B$2,$Y$1:$Y40,$Y41)+1,"")</f>
        <v/>
      </c>
      <c r="AJ41">
        <f>IFERROR(IF(INDEX(Matches!$D$5:$D$9,MATCH($B41,Matches!$A$5:$A$9,0))=3,"K12","K13"),"K13")</f>
        <v/>
      </c>
      <c r="AK41" s="11">
        <f>IF($AJ41="K12",$AA41,$AC41)</f>
        <v/>
      </c>
    </row>
    <row r="42">
      <c r="A42" t="inlineStr">
        <is>
          <t>2lm5kmu2jy1q4aj|LOL · TES vs BLG</t>
        </is>
      </c>
      <c r="B42" t="inlineStr">
        <is>
          <t>LOL · TES vs BLG</t>
        </is>
      </c>
      <c r="C42" t="inlineStr">
        <is>
          <t>TES</t>
        </is>
      </c>
      <c r="D42" t="inlineStr">
        <is>
          <t>Creme</t>
        </is>
      </c>
      <c r="E42" t="inlineStr">
        <is>
          <t>2lm5kmu2jy1q4aj</t>
        </is>
      </c>
      <c r="F42">
        <f>IFERROR(IF($C42=INDEX(Matches!$S$5:$S$9,MATCH($B42,Matches!$A$5:$A$9,0)),"A",IF($C42=INDEX(Matches!$T$5:$T$9,MATCH($B42,Matches!$A$5:$A$9,0)),"B","")),"")</f>
        <v/>
      </c>
      <c r="G42">
        <f>IFERROR(INDEX(Players!$E$2:$E$43,MATCH($E42,Players!$A$2:$A$43,0)),0)</f>
        <v/>
      </c>
      <c r="H42" s="6">
        <f>IFERROR(INDEX(Players!$F$2:$F$43,MATCH($E42,Players!$A$2:$A$43,0)),"")</f>
        <v/>
      </c>
      <c r="I42">
        <f>IFERROR(INDEX(Players!$G$2:$G$43,MATCH($E42,Players!$A$2:$A$43,0)),"")</f>
        <v/>
      </c>
      <c r="J42" s="11">
        <f>IF(OR($I42="",$H42=""),"",$I42*IF(LEFT($B42,4)="DOTA",Config!$B$5,Config!$B$4)/($H42*IF(LEFT($B42,4)="DOTA",Config!$B$5,Config!$B$4)+1-$H42))</f>
        <v/>
      </c>
      <c r="K42" s="11">
        <f>IF(OR($I42="",$H42=""),"",$I42/($H42*IF(LEFT($B42,4)="DOTA",Config!$B$5,Config!$B$4)+1-$H42))</f>
        <v/>
      </c>
      <c r="L42">
        <f>IFERROR(INDEX(Matches!$R$5:$R$9,MATCH($B42,Matches!$A$5:$A$9,0)),1)</f>
        <v/>
      </c>
      <c r="M42" s="6">
        <f>IFERROR(IF(INDEX(Matches!$M$5:$M$9,MATCH($B42,Matches!$A$5:$A$9,0))="","",IF($F42="A",INDEX(Matches!$M$5:$M$9,MATCH($B42,Matches!$A$5:$A$9,0)),1-INDEX(Matches!$M$5:$M$9,MATCH($B42,Matches!$A$5:$A$9,0)))),"")</f>
        <v/>
      </c>
      <c r="N42">
        <f>1</f>
        <v/>
      </c>
      <c r="O42" s="11">
        <f>IF(OR($M42="",$J42=""),"",$L42*($M42*$J42+(1-$M42)*$K42))</f>
        <v/>
      </c>
      <c r="P42">
        <f>IF($O42="","",IF(LEFT($B42,4)="DOTA",Config!$B$7,Config!$B$6)*$O42+$L42^2*$M42*(1-$M42)*($J42-$K42)^2)</f>
        <v/>
      </c>
      <c r="Q42" s="6">
        <f>IFERROR(IF(INDEX(Matches!$N$5:$N$9,MATCH($B42,Matches!$A$5:$A$9,0))="","",IF($F42="A",INDEX(Matches!$N$5:$N$9,MATCH($B42,Matches!$A$5:$A$9,0)),1-INDEX(Matches!$N$5:$N$9,MATCH($B42,Matches!$A$5:$A$9,0)))),"")</f>
        <v/>
      </c>
      <c r="R42">
        <f>IFERROR(N(INDEX(Matches!$P$5:$P$9,MATCH($B42,Matches!$A$5:$A$9,0))),0)</f>
        <v/>
      </c>
      <c r="S42" s="11">
        <f>IF(OR($Q42="",$J42=""),"",$L42*($Q42*$J42+(1-$Q42)*$K42))</f>
        <v/>
      </c>
      <c r="T42">
        <f>IF($S42="","",IF(LEFT($B42,4)="DOTA",Config!$B$7,Config!$B$6)*$S42+$L42^2*$Q42*(1-$Q42)*($J42-$K42)^2)</f>
        <v/>
      </c>
      <c r="U42" s="6">
        <f>IFERROR(IF(INDEX(Matches!$O$5:$O$9,MATCH($B42,Matches!$A$5:$A$9,0))="","",IF($F42="A",INDEX(Matches!$O$5:$O$9,MATCH($B42,Matches!$A$5:$A$9,0)),1-INDEX(Matches!$O$5:$O$9,MATCH($B42,Matches!$A$5:$A$9,0)))),"")</f>
        <v/>
      </c>
      <c r="V42">
        <f>IFERROR(N(INDEX(Matches!$Q$5:$Q$9,MATCH($B42,Matches!$A$5:$A$9,0))),0)</f>
        <v/>
      </c>
      <c r="W42" s="11">
        <f>IF(OR($U42="",$J42=""),"",$L42*($U42*$J42+(1-$U42)*$K42))</f>
        <v/>
      </c>
      <c r="X42">
        <f>IF($W42="","",IF(LEFT($B42,4)="DOTA",Config!$B$7,Config!$B$6)*$W42+$L42^2*$U42*(1-$U42)*($J42-$K42)^2)</f>
        <v/>
      </c>
      <c r="Y42" s="11">
        <f>IF($O42="","",$O42)</f>
        <v/>
      </c>
      <c r="Z42">
        <f>IF($P42="","",$P42)</f>
        <v/>
      </c>
      <c r="AA42" s="11">
        <f>IF($O42="","",N($N42)*N($O42)+N($R42)*N($S42))</f>
        <v/>
      </c>
      <c r="AB42">
        <f>IF($O42="","",(N($N42)*N($P42)+N($N42)*(1-N($N42))*N($O42)^2)+(N($R42)*N($T42)+N($R42)*(1-N($R42))*N($S42)^2))</f>
        <v/>
      </c>
      <c r="AC42" s="11">
        <f>IF($O42="","",N($N42)*N($O42)+N($R42)*N($S42)+N($V42)*N($W42))</f>
        <v/>
      </c>
      <c r="AD42">
        <f>IF($O42="","",(N($N42)*N($P42)+N($N42)*(1-N($N42))*N($O42)^2)+(N($R42)*N($T42)+N($R42)*(1-N($R42))*N($S42)^2)+(N($V42)*N($X42)+N($V42)*(1-N($V42))*N($W42)^2))</f>
        <v/>
      </c>
      <c r="AE42" s="11">
        <f>IF($I42="","",$I42*$L42)</f>
        <v/>
      </c>
      <c r="AF42" s="11">
        <f>IF($I42="","",$I42*$L42*(1+N($R42)))</f>
        <v/>
      </c>
      <c r="AG42" s="11">
        <f>IF($I42="","",$I42*$L42*(1+N($R42)+N($V42)))</f>
        <v/>
      </c>
      <c r="AH42">
        <f>TRIM(IF($G42&lt;Config!$B$9,"thin sample ("&amp;$G42&amp;" maps) · ","")&amp;IF($I42="","no PickFinder stats · ","")&amp;IFERROR(IF(INDEX(Players!$T$2:$T$43,MATCH($E42,Players!$A$2:$A$43,0))&lt;0.5,"new roster: "&amp;TEXT(INDEX(Players!$T$2:$T$43,MATCH($E42,Players!$A$2:$A$43,0)),"0%")&amp;" of his recent games with these teammates",""),""))</f>
        <v/>
      </c>
      <c r="AI42">
        <f>IF($B42=Board!$B$2,COUNTIFS($B$2:$B$43,Board!$B$2,$Y$2:$Y$43,"&gt;"&amp;$Y42)+COUNTIFS($B$1:$B41,Board!$B$2,$Y$1:$Y41,$Y42)+1,"")</f>
        <v/>
      </c>
      <c r="AJ42">
        <f>IFERROR(IF(INDEX(Matches!$D$5:$D$9,MATCH($B42,Matches!$A$5:$A$9,0))=3,"K12","K13"),"K13")</f>
        <v/>
      </c>
      <c r="AK42" s="11">
        <f>IF($AJ42="K12",$AA42,$AC42)</f>
        <v/>
      </c>
    </row>
    <row r="43">
      <c r="A43" t="inlineStr">
        <is>
          <t>0hu7hmd8ldnn97r|LOL · TES vs BLG</t>
        </is>
      </c>
      <c r="B43" t="inlineStr">
        <is>
          <t>LOL · TES vs BLG</t>
        </is>
      </c>
      <c r="C43" t="inlineStr">
        <is>
          <t>TES</t>
        </is>
      </c>
      <c r="D43" t="inlineStr">
        <is>
          <t>JackeyLove</t>
        </is>
      </c>
      <c r="E43" t="inlineStr">
        <is>
          <t>0hu7hmd8ldnn97r</t>
        </is>
      </c>
      <c r="F43">
        <f>IFERROR(IF($C43=INDEX(Matches!$S$5:$S$9,MATCH($B43,Matches!$A$5:$A$9,0)),"A",IF($C43=INDEX(Matches!$T$5:$T$9,MATCH($B43,Matches!$A$5:$A$9,0)),"B","")),"")</f>
        <v/>
      </c>
      <c r="G43">
        <f>IFERROR(INDEX(Players!$E$2:$E$43,MATCH($E43,Players!$A$2:$A$43,0)),0)</f>
        <v/>
      </c>
      <c r="H43" s="6">
        <f>IFERROR(INDEX(Players!$F$2:$F$43,MATCH($E43,Players!$A$2:$A$43,0)),"")</f>
        <v/>
      </c>
      <c r="I43">
        <f>IFERROR(INDEX(Players!$G$2:$G$43,MATCH($E43,Players!$A$2:$A$43,0)),"")</f>
        <v/>
      </c>
      <c r="J43" s="11">
        <f>IF(OR($I43="",$H43=""),"",$I43*IF(LEFT($B43,4)="DOTA",Config!$B$5,Config!$B$4)/($H43*IF(LEFT($B43,4)="DOTA",Config!$B$5,Config!$B$4)+1-$H43))</f>
        <v/>
      </c>
      <c r="K43" s="11">
        <f>IF(OR($I43="",$H43=""),"",$I43/($H43*IF(LEFT($B43,4)="DOTA",Config!$B$5,Config!$B$4)+1-$H43))</f>
        <v/>
      </c>
      <c r="L43">
        <f>IFERROR(INDEX(Matches!$R$5:$R$9,MATCH($B43,Matches!$A$5:$A$9,0)),1)</f>
        <v/>
      </c>
      <c r="M43" s="6">
        <f>IFERROR(IF(INDEX(Matches!$M$5:$M$9,MATCH($B43,Matches!$A$5:$A$9,0))="","",IF($F43="A",INDEX(Matches!$M$5:$M$9,MATCH($B43,Matches!$A$5:$A$9,0)),1-INDEX(Matches!$M$5:$M$9,MATCH($B43,Matches!$A$5:$A$9,0)))),"")</f>
        <v/>
      </c>
      <c r="N43">
        <f>1</f>
        <v/>
      </c>
      <c r="O43" s="11">
        <f>IF(OR($M43="",$J43=""),"",$L43*($M43*$J43+(1-$M43)*$K43))</f>
        <v/>
      </c>
      <c r="P43">
        <f>IF($O43="","",IF(LEFT($B43,4)="DOTA",Config!$B$7,Config!$B$6)*$O43+$L43^2*$M43*(1-$M43)*($J43-$K43)^2)</f>
        <v/>
      </c>
      <c r="Q43" s="6">
        <f>IFERROR(IF(INDEX(Matches!$N$5:$N$9,MATCH($B43,Matches!$A$5:$A$9,0))="","",IF($F43="A",INDEX(Matches!$N$5:$N$9,MATCH($B43,Matches!$A$5:$A$9,0)),1-INDEX(Matches!$N$5:$N$9,MATCH($B43,Matches!$A$5:$A$9,0)))),"")</f>
        <v/>
      </c>
      <c r="R43">
        <f>IFERROR(N(INDEX(Matches!$P$5:$P$9,MATCH($B43,Matches!$A$5:$A$9,0))),0)</f>
        <v/>
      </c>
      <c r="S43" s="11">
        <f>IF(OR($Q43="",$J43=""),"",$L43*($Q43*$J43+(1-$Q43)*$K43))</f>
        <v/>
      </c>
      <c r="T43">
        <f>IF($S43="","",IF(LEFT($B43,4)="DOTA",Config!$B$7,Config!$B$6)*$S43+$L43^2*$Q43*(1-$Q43)*($J43-$K43)^2)</f>
        <v/>
      </c>
      <c r="U43" s="6">
        <f>IFERROR(IF(INDEX(Matches!$O$5:$O$9,MATCH($B43,Matches!$A$5:$A$9,0))="","",IF($F43="A",INDEX(Matches!$O$5:$O$9,MATCH($B43,Matches!$A$5:$A$9,0)),1-INDEX(Matches!$O$5:$O$9,MATCH($B43,Matches!$A$5:$A$9,0)))),"")</f>
        <v/>
      </c>
      <c r="V43">
        <f>IFERROR(N(INDEX(Matches!$Q$5:$Q$9,MATCH($B43,Matches!$A$5:$A$9,0))),0)</f>
        <v/>
      </c>
      <c r="W43" s="11">
        <f>IF(OR($U43="",$J43=""),"",$L43*($U43*$J43+(1-$U43)*$K43))</f>
        <v/>
      </c>
      <c r="X43">
        <f>IF($W43="","",IF(LEFT($B43,4)="DOTA",Config!$B$7,Config!$B$6)*$W43+$L43^2*$U43*(1-$U43)*($J43-$K43)^2)</f>
        <v/>
      </c>
      <c r="Y43" s="11">
        <f>IF($O43="","",$O43)</f>
        <v/>
      </c>
      <c r="Z43">
        <f>IF($P43="","",$P43)</f>
        <v/>
      </c>
      <c r="AA43" s="11">
        <f>IF($O43="","",N($N43)*N($O43)+N($R43)*N($S43))</f>
        <v/>
      </c>
      <c r="AB43">
        <f>IF($O43="","",(N($N43)*N($P43)+N($N43)*(1-N($N43))*N($O43)^2)+(N($R43)*N($T43)+N($R43)*(1-N($R43))*N($S43)^2))</f>
        <v/>
      </c>
      <c r="AC43" s="11">
        <f>IF($O43="","",N($N43)*N($O43)+N($R43)*N($S43)+N($V43)*N($W43))</f>
        <v/>
      </c>
      <c r="AD43">
        <f>IF($O43="","",(N($N43)*N($P43)+N($N43)*(1-N($N43))*N($O43)^2)+(N($R43)*N($T43)+N($R43)*(1-N($R43))*N($S43)^2)+(N($V43)*N($X43)+N($V43)*(1-N($V43))*N($W43)^2))</f>
        <v/>
      </c>
      <c r="AE43" s="11">
        <f>IF($I43="","",$I43*$L43)</f>
        <v/>
      </c>
      <c r="AF43" s="11">
        <f>IF($I43="","",$I43*$L43*(1+N($R43)))</f>
        <v/>
      </c>
      <c r="AG43" s="11">
        <f>IF($I43="","",$I43*$L43*(1+N($R43)+N($V43)))</f>
        <v/>
      </c>
      <c r="AH43">
        <f>TRIM(IF($G43&lt;Config!$B$9,"thin sample ("&amp;$G43&amp;" maps) · ","")&amp;IF($I43="","no PickFinder stats · ","")&amp;IFERROR(IF(INDEX(Players!$T$2:$T$43,MATCH($E43,Players!$A$2:$A$43,0))&lt;0.5,"new roster: "&amp;TEXT(INDEX(Players!$T$2:$T$43,MATCH($E43,Players!$A$2:$A$43,0)),"0%")&amp;" of his recent games with these teammates",""),""))</f>
        <v/>
      </c>
      <c r="AI43">
        <f>IF($B43=Board!$B$2,COUNTIFS($B$2:$B$43,Board!$B$2,$Y$2:$Y$43,"&gt;"&amp;$Y43)+COUNTIFS($B$1:$B42,Board!$B$2,$Y$1:$Y42,$Y43)+1,"")</f>
        <v/>
      </c>
      <c r="AJ43">
        <f>IFERROR(IF(INDEX(Matches!$D$5:$D$9,MATCH($B43,Matches!$A$5:$A$9,0))=3,"K12","K13"),"K13")</f>
        <v/>
      </c>
      <c r="AK43" s="11">
        <f>IF($AJ43="K12",$AA43,$AC43)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10" customWidth="1" min="3" max="3"/>
  </cols>
  <sheetData>
    <row r="1">
      <c r="A1" s="1" t="inlineStr">
        <is>
          <t>Config — edit the shaded cells only</t>
        </is>
      </c>
    </row>
    <row r="3">
      <c r="A3" s="8" t="inlineStr">
        <is>
          <t>Setting</t>
        </is>
      </c>
      <c r="B3" s="8" t="inlineStr">
        <is>
          <t>Value</t>
        </is>
      </c>
      <c r="C3" s="8" t="inlineStr">
        <is>
          <t>Notes</t>
        </is>
      </c>
    </row>
    <row r="4">
      <c r="A4" s="4" t="inlineStr">
        <is>
          <t>WL_RATIO_LOL</t>
        </is>
      </c>
      <c r="B4" s="10" t="n">
        <v>2.21</v>
      </c>
      <c r="C4" s="2" t="inlineStr">
        <is>
          <t>LoL: kills in map WINS ÷ kills in map LOSSES. Measured on 25 LoL players 2026-08-19: median 2.21, range 1.20–4.16, 25 of 25 above 1 (sign test p = 3×10⁻⁸). One value per title: per-player ratios from ~10 losses are too noisy to use.</t>
        </is>
      </c>
    </row>
    <row r="5">
      <c r="A5" s="4" t="inlineStr">
        <is>
          <t>WL_RATIO_DOTA</t>
        </is>
      </c>
      <c r="B5" s="10" t="n">
        <v>1.77</v>
      </c>
      <c r="C5" s="2" t="inlineStr">
        <is>
          <t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      </is>
      </c>
    </row>
    <row r="6">
      <c r="A6" s="4" t="inlineStr">
        <is>
          <t>KILLS_DISPERSION_LOL</t>
        </is>
      </c>
      <c r="B6" s="10" t="n">
        <v>1.3</v>
      </c>
      <c r="C6" s="2" t="inlineStr">
        <is>
          <t>Variance ÷ mean of kills WITHIN a known map result (1 = Poisson), LoL. The win/loss mixture variance is added on top. Set by judgment, not measured.</t>
        </is>
      </c>
    </row>
    <row r="7">
      <c r="A7" s="4" t="inlineStr">
        <is>
          <t>KILLS_DISPERSION_DOTA</t>
        </is>
      </c>
      <c r="B7" s="10" t="n">
        <v>1.84</v>
      </c>
      <c r="C7" s="2" t="inlineStr">
        <is>
          <t>Same for Dota, measured: pooled within-result variance ÷ mean over the same 28 players × 40 games. Dota kill counts scatter more than LoL's.</t>
        </is>
      </c>
    </row>
    <row r="8">
      <c r="A8" s="4" t="inlineStr">
        <is>
          <t>EDGE_MIN</t>
        </is>
      </c>
      <c r="B8" s="10" t="n">
        <v>0.04</v>
      </c>
      <c r="C8" s="2" t="inlineStr">
        <is>
          <t>Model side shows OVER/UNDER only past 50% + this. PAPER: no forward record.</t>
        </is>
      </c>
    </row>
    <row r="9">
      <c r="A9" s="4" t="inlineStr">
        <is>
          <t>THIN_SAMPLE_MAPS</t>
        </is>
      </c>
      <c r="B9" s="10" t="n">
        <v>15</v>
      </c>
      <c r="C9" s="2" t="inlineStr">
        <is>
          <t>Flag players whose PickFinder sample is below this many maps.</t>
        </is>
      </c>
    </row>
    <row r="11">
      <c r="A11" t="inlineStr">
        <is>
          <t>SLATE_DATE</t>
        </is>
      </c>
      <c r="B11" t="inlineStr">
        <is>
          <t>2026-10-29</t>
        </is>
      </c>
    </row>
    <row r="12">
      <c r="A12" t="inlineStr">
        <is>
          <t>BUILT_UTC</t>
        </is>
      </c>
      <c r="B12" t="inlineStr">
        <is>
          <t>2026-10-29 05:19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7" customWidth="1" min="3" max="3"/>
    <col width="16" customWidth="1" min="4" max="4"/>
    <col width="6" customWidth="1" min="5" max="5"/>
    <col width="9" customWidth="1" min="6" max="6"/>
    <col width="5" customWidth="1" min="7" max="7"/>
    <col width="5" customWidth="1" min="8" max="8"/>
    <col width="5" customWidth="1" min="9" max="9"/>
    <col width="5" customWidth="1" min="10" max="10"/>
    <col width="9" customWidth="1" min="11" max="11"/>
    <col width="10" customWidth="1" min="12" max="12"/>
    <col width="8" customWidth="1" min="13" max="13"/>
    <col width="55" customWidth="1" min="14" max="14"/>
    <col width="6" customWidth="1" min="15" max="15"/>
    <col width="11" customWidth="1" min="16" max="16"/>
    <col width="9" customWidth="1" min="17" max="17"/>
    <col width="9" customWidth="1" min="18" max="18"/>
    <col width="10" customWidth="1" min="19" max="19"/>
    <col width="12" customWidth="1" min="20" max="20"/>
  </cols>
  <sheetData>
    <row r="1">
      <c r="A1" s="8" t="inlineStr">
        <is>
          <t>PID</t>
        </is>
      </c>
      <c r="B1" s="8" t="inlineStr">
        <is>
          <t>Player</t>
        </is>
      </c>
      <c r="C1" s="8" t="inlineStr">
        <is>
          <t>Team</t>
        </is>
      </c>
      <c r="D1" s="8" t="inlineStr">
        <is>
          <t>PF matchup</t>
        </is>
      </c>
      <c r="E1" s="8" t="inlineStr">
        <is>
          <t>Maps</t>
        </is>
      </c>
      <c r="F1" s="8" t="inlineStr">
        <is>
          <t>Map win rate</t>
        </is>
      </c>
      <c r="G1" s="8" t="inlineStr">
        <is>
          <t>K</t>
        </is>
      </c>
      <c r="H1" s="8" t="inlineStr">
        <is>
          <t>D</t>
        </is>
      </c>
      <c r="I1" s="8" t="inlineStr">
        <is>
          <t>A</t>
        </is>
      </c>
      <c r="J1" s="8" t="inlineStr">
        <is>
          <t>K/D</t>
        </is>
      </c>
      <c r="K1" s="8" t="inlineStr">
        <is>
          <t>Gamelog maps</t>
        </is>
      </c>
      <c r="L1" s="8" t="inlineStr">
        <is>
          <t>Gamelog kills/map</t>
        </is>
      </c>
      <c r="M1" s="8" t="inlineStr">
        <is>
          <t>Identity</t>
        </is>
      </c>
      <c r="N1" s="8" t="inlineStr">
        <is>
          <t>PickFinder page</t>
        </is>
      </c>
      <c r="O1" s="8" t="inlineStr">
        <is>
          <t>Title</t>
        </is>
      </c>
      <c r="P1" s="8" t="inlineStr">
        <is>
          <t>Role</t>
        </is>
      </c>
      <c r="Q1" s="8" t="inlineStr">
        <is>
          <t>OpenDota W</t>
        </is>
      </c>
      <c r="R1" s="8" t="inlineStr">
        <is>
          <t>OpenDota L</t>
        </is>
      </c>
      <c r="S1" s="8" t="inlineStr">
        <is>
          <t>Own W/L ratio</t>
        </is>
      </c>
      <c r="T1" s="8" t="inlineStr">
        <is>
          <t>With current teammates</t>
        </is>
      </c>
    </row>
    <row r="2">
      <c r="A2" t="inlineStr">
        <is>
          <t>3x2ns60902wytr5</t>
        </is>
      </c>
      <c r="B2" t="inlineStr">
        <is>
          <t>Bin</t>
        </is>
      </c>
      <c r="C2" t="inlineStr">
        <is>
          <t>BLG</t>
        </is>
      </c>
      <c r="D2" t="inlineStr">
        <is>
          <t>BLG vs TES</t>
        </is>
      </c>
      <c r="E2" t="n">
        <v>30</v>
      </c>
      <c r="F2" s="12" t="n">
        <v>0.63</v>
      </c>
      <c r="G2" t="n">
        <v>3.2</v>
      </c>
      <c r="H2" t="n">
        <v>2.6</v>
      </c>
      <c r="I2" t="n">
        <v>5.7</v>
      </c>
      <c r="J2" t="n">
        <v>1.2</v>
      </c>
      <c r="K2" t="n">
        <v>45</v>
      </c>
      <c r="L2" t="n">
        <v>2.24</v>
      </c>
      <c r="M2" t="inlineStr">
        <is>
          <t>OK</t>
        </is>
      </c>
      <c r="N2" t="inlineStr">
        <is>
          <t>https://www.pickfinder.app/players/lol/3x2ns60902wytr5</t>
        </is>
      </c>
      <c r="O2" t="inlineStr">
        <is>
          <t>LOL</t>
        </is>
      </c>
      <c r="P2" t="inlineStr">
        <is>
          <t>top</t>
        </is>
      </c>
      <c r="T2" s="12" t="n"/>
    </row>
    <row r="3">
      <c r="A3" t="inlineStr">
        <is>
          <t>n4f7lv5wvxndbnw</t>
        </is>
      </c>
      <c r="B3" t="inlineStr">
        <is>
          <t>knight</t>
        </is>
      </c>
      <c r="C3" t="inlineStr">
        <is>
          <t>BLG</t>
        </is>
      </c>
      <c r="D3" t="inlineStr">
        <is>
          <t>BLG vs TES</t>
        </is>
      </c>
      <c r="E3" t="n">
        <v>30</v>
      </c>
      <c r="F3" s="12" t="n">
        <v>0.7</v>
      </c>
      <c r="G3" t="n">
        <v>5.4</v>
      </c>
      <c r="H3" t="n">
        <v>2.2</v>
      </c>
      <c r="I3" t="n">
        <v>7.1</v>
      </c>
      <c r="J3" t="n">
        <v>2.5</v>
      </c>
      <c r="K3" t="n">
        <v>45</v>
      </c>
      <c r="L3" t="n">
        <v>3.98</v>
      </c>
      <c r="M3" t="inlineStr">
        <is>
          <t>OK</t>
        </is>
      </c>
      <c r="N3" t="inlineStr">
        <is>
          <t>https://www.pickfinder.app/players/lol/n4f7lv5wvxndbnw</t>
        </is>
      </c>
      <c r="O3" t="inlineStr">
        <is>
          <t>LOL</t>
        </is>
      </c>
      <c r="P3" t="inlineStr">
        <is>
          <t>mid</t>
        </is>
      </c>
      <c r="T3" s="12" t="n"/>
    </row>
    <row r="4">
      <c r="A4" t="inlineStr">
        <is>
          <t>rxzjxi7ziezffrs</t>
        </is>
      </c>
      <c r="B4" t="inlineStr">
        <is>
          <t>ON</t>
        </is>
      </c>
      <c r="C4" t="inlineStr">
        <is>
          <t>BLG</t>
        </is>
      </c>
      <c r="D4" t="inlineStr">
        <is>
          <t>BLG vs TES</t>
        </is>
      </c>
      <c r="E4" t="n">
        <v>30</v>
      </c>
      <c r="F4" s="12" t="n">
        <v>0.7</v>
      </c>
      <c r="G4" t="n">
        <v>0.6</v>
      </c>
      <c r="H4" t="n">
        <v>3</v>
      </c>
      <c r="I4" t="n">
        <v>13.7</v>
      </c>
      <c r="J4" t="n">
        <v>0.2</v>
      </c>
      <c r="K4" t="n">
        <v>45</v>
      </c>
      <c r="L4" t="n">
        <v>0.47</v>
      </c>
      <c r="M4" t="inlineStr">
        <is>
          <t>OK</t>
        </is>
      </c>
      <c r="N4" t="inlineStr">
        <is>
          <t>https://www.pickfinder.app/players/lol/rxzjxi7ziezffrs</t>
        </is>
      </c>
      <c r="O4" t="inlineStr">
        <is>
          <t>LOL</t>
        </is>
      </c>
      <c r="P4" t="inlineStr">
        <is>
          <t>sup</t>
        </is>
      </c>
      <c r="T4" s="12" t="n"/>
    </row>
    <row r="5">
      <c r="A5" t="inlineStr">
        <is>
          <t>ik18oe6e112nifa</t>
        </is>
      </c>
      <c r="B5" t="inlineStr">
        <is>
          <t>Viper</t>
        </is>
      </c>
      <c r="C5" t="inlineStr">
        <is>
          <t>BLG</t>
        </is>
      </c>
      <c r="D5" t="inlineStr">
        <is>
          <t>BLG vs TES</t>
        </is>
      </c>
      <c r="E5" t="n">
        <v>30</v>
      </c>
      <c r="F5" s="12" t="n">
        <v>0.7</v>
      </c>
      <c r="G5" t="n">
        <v>5.3</v>
      </c>
      <c r="H5" t="n">
        <v>2.2</v>
      </c>
      <c r="I5" t="n">
        <v>7.1</v>
      </c>
      <c r="J5" t="n">
        <v>2.5</v>
      </c>
      <c r="K5" t="n">
        <v>45</v>
      </c>
      <c r="L5" t="n">
        <v>4.07</v>
      </c>
      <c r="M5" t="inlineStr">
        <is>
          <t>OK</t>
        </is>
      </c>
      <c r="N5" t="inlineStr">
        <is>
          <t>https://www.pickfinder.app/players/lol/ik18oe6e112nifa</t>
        </is>
      </c>
      <c r="O5" t="inlineStr">
        <is>
          <t>LOL</t>
        </is>
      </c>
      <c r="P5" t="inlineStr">
        <is>
          <t>adc</t>
        </is>
      </c>
      <c r="T5" s="12" t="n"/>
    </row>
    <row r="6">
      <c r="A6" t="inlineStr">
        <is>
          <t>3565cqfb2f3cq21</t>
        </is>
      </c>
      <c r="B6" t="inlineStr">
        <is>
          <t>XUN</t>
        </is>
      </c>
      <c r="C6" t="inlineStr">
        <is>
          <t>BLG</t>
        </is>
      </c>
      <c r="D6" t="inlineStr">
        <is>
          <t>BLG vs TES</t>
        </is>
      </c>
      <c r="E6" t="n">
        <v>30</v>
      </c>
      <c r="F6" s="12" t="n">
        <v>0.7</v>
      </c>
      <c r="G6" t="n">
        <v>3.5</v>
      </c>
      <c r="H6" t="n">
        <v>2.6</v>
      </c>
      <c r="I6" t="n">
        <v>9.199999999999999</v>
      </c>
      <c r="J6" t="n">
        <v>1.4</v>
      </c>
      <c r="K6" t="n">
        <v>45</v>
      </c>
      <c r="L6" t="n">
        <v>2.67</v>
      </c>
      <c r="M6" t="inlineStr">
        <is>
          <t>OK</t>
        </is>
      </c>
      <c r="N6" t="inlineStr">
        <is>
          <t>https://www.pickfinder.app/players/lol/3565cqfb2f3cq21</t>
        </is>
      </c>
      <c r="O6" t="inlineStr">
        <is>
          <t>LOL</t>
        </is>
      </c>
      <c r="P6" t="inlineStr">
        <is>
          <t>jun</t>
        </is>
      </c>
      <c r="T6" s="12" t="n"/>
    </row>
    <row r="7">
      <c r="A7" t="inlineStr">
        <is>
          <t>a5wl3rb1ss2ow7n</t>
        </is>
      </c>
      <c r="B7" t="inlineStr">
        <is>
          <t>Doggo</t>
        </is>
      </c>
      <c r="C7" t="inlineStr">
        <is>
          <t>CFO</t>
        </is>
      </c>
      <c r="D7" t="inlineStr">
        <is>
          <t>CFO vs KC</t>
        </is>
      </c>
      <c r="E7" t="n">
        <v>30</v>
      </c>
      <c r="F7" s="12" t="n">
        <v>0.5</v>
      </c>
      <c r="G7" t="n">
        <v>4.9</v>
      </c>
      <c r="H7" t="n">
        <v>3</v>
      </c>
      <c r="I7" t="n">
        <v>5.7</v>
      </c>
      <c r="J7" t="n">
        <v>1.6</v>
      </c>
      <c r="K7" t="n">
        <v>45</v>
      </c>
      <c r="L7" t="n">
        <v>4</v>
      </c>
      <c r="M7" t="inlineStr">
        <is>
          <t>OK</t>
        </is>
      </c>
      <c r="N7" t="inlineStr">
        <is>
          <t>https://www.pickfinder.app/players/lol/a5wl3rb1ss2ow7n</t>
        </is>
      </c>
      <c r="O7" t="inlineStr">
        <is>
          <t>LOL</t>
        </is>
      </c>
      <c r="P7" t="inlineStr">
        <is>
          <t>adc</t>
        </is>
      </c>
      <c r="T7" s="12" t="n"/>
    </row>
    <row r="8">
      <c r="A8" t="inlineStr">
        <is>
          <t>tn5wihneq593t21</t>
        </is>
      </c>
      <c r="B8" t="inlineStr">
        <is>
          <t>Pout</t>
        </is>
      </c>
      <c r="C8" t="inlineStr">
        <is>
          <t>CFO</t>
        </is>
      </c>
      <c r="D8" t="inlineStr">
        <is>
          <t>CFO vs KC</t>
        </is>
      </c>
      <c r="E8" t="n">
        <v>30</v>
      </c>
      <c r="F8" s="12" t="n">
        <v>0.53</v>
      </c>
      <c r="G8" t="n">
        <v>4.1</v>
      </c>
      <c r="H8" t="n">
        <v>2.5</v>
      </c>
      <c r="I8" t="n">
        <v>6.3</v>
      </c>
      <c r="J8" t="n">
        <v>1.7</v>
      </c>
      <c r="K8" t="n">
        <v>45</v>
      </c>
      <c r="L8" t="n">
        <v>3.31</v>
      </c>
      <c r="M8" t="inlineStr">
        <is>
          <t>OK</t>
        </is>
      </c>
      <c r="N8" t="inlineStr">
        <is>
          <t>https://www.pickfinder.app/players/lol/tn5wihneq593t21</t>
        </is>
      </c>
      <c r="O8" t="inlineStr">
        <is>
          <t>LOL</t>
        </is>
      </c>
      <c r="P8" t="inlineStr">
        <is>
          <t>mid</t>
        </is>
      </c>
      <c r="T8" s="12" t="n"/>
    </row>
    <row r="9">
      <c r="A9" t="inlineStr">
        <is>
          <t>53mtwbqgfk1n5zk</t>
        </is>
      </c>
      <c r="B9" t="inlineStr">
        <is>
          <t>Rest</t>
        </is>
      </c>
      <c r="C9" t="inlineStr">
        <is>
          <t>CFO</t>
        </is>
      </c>
      <c r="D9" t="inlineStr">
        <is>
          <t>CFO vs KC</t>
        </is>
      </c>
      <c r="E9" t="n">
        <v>30</v>
      </c>
      <c r="F9" s="12" t="n">
        <v>0.53</v>
      </c>
      <c r="G9" t="n">
        <v>2.8</v>
      </c>
      <c r="H9" t="n">
        <v>2.9</v>
      </c>
      <c r="I9" t="n">
        <v>6.4</v>
      </c>
      <c r="J9" t="n">
        <v>1</v>
      </c>
      <c r="K9" t="n">
        <v>45</v>
      </c>
      <c r="L9" t="n">
        <v>2</v>
      </c>
      <c r="M9" t="inlineStr">
        <is>
          <t>OK</t>
        </is>
      </c>
      <c r="N9" t="inlineStr">
        <is>
          <t>https://www.pickfinder.app/players/lol/53mtwbqgfk1n5zk</t>
        </is>
      </c>
      <c r="O9" t="inlineStr">
        <is>
          <t>LOL</t>
        </is>
      </c>
      <c r="P9" t="inlineStr">
        <is>
          <t>top</t>
        </is>
      </c>
      <c r="T9" s="12" t="n"/>
    </row>
    <row r="10">
      <c r="A10" t="inlineStr">
        <is>
          <t>ko4ayhltzyln940</t>
        </is>
      </c>
      <c r="B10" t="inlineStr">
        <is>
          <t>Shad0w</t>
        </is>
      </c>
      <c r="C10" t="inlineStr">
        <is>
          <t>CFO</t>
        </is>
      </c>
      <c r="D10" t="inlineStr">
        <is>
          <t>CFO vs KC</t>
        </is>
      </c>
      <c r="E10" t="n">
        <v>30</v>
      </c>
      <c r="F10" s="12" t="n">
        <v>0.53</v>
      </c>
      <c r="G10" t="n">
        <v>3.5</v>
      </c>
      <c r="H10" t="n">
        <v>3.1</v>
      </c>
      <c r="I10" t="n">
        <v>8.9</v>
      </c>
      <c r="J10" t="n">
        <v>1.1</v>
      </c>
      <c r="K10" t="n">
        <v>45</v>
      </c>
      <c r="L10" t="n">
        <v>2.73</v>
      </c>
      <c r="M10" t="inlineStr">
        <is>
          <t>OK</t>
        </is>
      </c>
      <c r="N10" t="inlineStr">
        <is>
          <t>https://www.pickfinder.app/players/lol/ko4ayhltzyln940</t>
        </is>
      </c>
      <c r="O10" t="inlineStr">
        <is>
          <t>LOL</t>
        </is>
      </c>
      <c r="P10" t="inlineStr">
        <is>
          <t>jun</t>
        </is>
      </c>
      <c r="T10" s="12" t="n"/>
    </row>
    <row r="11">
      <c r="A11" t="inlineStr">
        <is>
          <t>qviujqdmb4jzi0q</t>
        </is>
      </c>
      <c r="B11" t="inlineStr">
        <is>
          <t>Bignum</t>
        </is>
      </c>
      <c r="C11" t="inlineStr">
        <is>
          <t>GL</t>
        </is>
      </c>
      <c r="D11" t="inlineStr">
        <is>
          <t>GL vs OG</t>
        </is>
      </c>
      <c r="E11" t="n">
        <v>30</v>
      </c>
      <c r="F11" s="12" t="n">
        <v>0.53</v>
      </c>
      <c r="G11" t="n">
        <v>4.3</v>
      </c>
      <c r="H11" t="n">
        <v>6.6</v>
      </c>
      <c r="I11" t="n">
        <v>15.7</v>
      </c>
      <c r="J11" t="n">
        <v>0.7</v>
      </c>
      <c r="K11" t="n">
        <v>45</v>
      </c>
      <c r="L11" t="n">
        <v>3.11</v>
      </c>
      <c r="M11" t="inlineStr">
        <is>
          <t>OK</t>
        </is>
      </c>
      <c r="N11" t="inlineStr">
        <is>
          <t>https://www.pickfinder.app/players/dota2/qviujqdmb4jzi0q</t>
        </is>
      </c>
      <c r="O11" t="inlineStr">
        <is>
          <t>DOTA</t>
        </is>
      </c>
      <c r="P11" t="inlineStr">
        <is>
          <t>4</t>
        </is>
      </c>
      <c r="T11" s="12" t="n"/>
    </row>
    <row r="12">
      <c r="A12" t="inlineStr">
        <is>
          <t>7f340lwfa48ats4</t>
        </is>
      </c>
      <c r="B12" t="inlineStr">
        <is>
          <t>Fayde</t>
        </is>
      </c>
      <c r="C12" t="inlineStr">
        <is>
          <t>GL</t>
        </is>
      </c>
      <c r="D12" t="inlineStr">
        <is>
          <t>GL vs OG</t>
        </is>
      </c>
      <c r="E12" t="n">
        <v>30</v>
      </c>
      <c r="F12" s="12" t="n">
        <v>0.57</v>
      </c>
      <c r="G12" t="n">
        <v>5.9</v>
      </c>
      <c r="H12" t="n">
        <v>4.5</v>
      </c>
      <c r="I12" t="n">
        <v>12.6</v>
      </c>
      <c r="J12" t="n">
        <v>1.3</v>
      </c>
      <c r="K12" t="n">
        <v>45</v>
      </c>
      <c r="L12" t="n">
        <v>4.16</v>
      </c>
      <c r="M12" t="inlineStr">
        <is>
          <t>OK</t>
        </is>
      </c>
      <c r="N12" t="inlineStr">
        <is>
          <t>https://www.pickfinder.app/players/dota2/7f340lwfa48ats4</t>
        </is>
      </c>
      <c r="O12" t="inlineStr">
        <is>
          <t>DOTA</t>
        </is>
      </c>
      <c r="P12" t="inlineStr">
        <is>
          <t>3</t>
        </is>
      </c>
      <c r="T12" s="12" t="n"/>
    </row>
    <row r="13">
      <c r="A13" t="inlineStr">
        <is>
          <t>3zaze8op521xnc4</t>
        </is>
      </c>
      <c r="B13" t="inlineStr">
        <is>
          <t>RCY</t>
        </is>
      </c>
      <c r="C13" t="inlineStr">
        <is>
          <t>GL</t>
        </is>
      </c>
      <c r="D13" t="inlineStr">
        <is>
          <t>GL vs OG</t>
        </is>
      </c>
      <c r="E13" t="n">
        <v>30</v>
      </c>
      <c r="F13" s="12" t="n">
        <v>0.53</v>
      </c>
      <c r="G13" t="n">
        <v>8.4</v>
      </c>
      <c r="H13" t="n">
        <v>3.2</v>
      </c>
      <c r="I13" t="n">
        <v>11.6</v>
      </c>
      <c r="J13" t="n">
        <v>2.6</v>
      </c>
      <c r="K13" t="n">
        <v>45</v>
      </c>
      <c r="L13" t="n">
        <v>6.33</v>
      </c>
      <c r="M13" t="inlineStr">
        <is>
          <t>OK</t>
        </is>
      </c>
      <c r="N13" t="inlineStr">
        <is>
          <t>https://www.pickfinder.app/players/dota2/3zaze8op521xnc4</t>
        </is>
      </c>
      <c r="O13" t="inlineStr">
        <is>
          <t>DOTA</t>
        </is>
      </c>
      <c r="P13" t="inlineStr">
        <is>
          <t>2</t>
        </is>
      </c>
      <c r="T13" s="12" t="n"/>
    </row>
    <row r="14">
      <c r="A14" t="inlineStr">
        <is>
          <t>t3b3k5ym37f128b</t>
        </is>
      </c>
      <c r="B14" t="inlineStr">
        <is>
          <t>Speeed</t>
        </is>
      </c>
      <c r="C14" t="inlineStr">
        <is>
          <t>GL</t>
        </is>
      </c>
      <c r="D14" t="inlineStr">
        <is>
          <t>GL vs OG</t>
        </is>
      </c>
      <c r="E14" t="n">
        <v>30</v>
      </c>
      <c r="F14" s="12" t="n">
        <v>0.53</v>
      </c>
      <c r="G14" t="n">
        <v>2.7</v>
      </c>
      <c r="H14" t="n">
        <v>5.9</v>
      </c>
      <c r="I14" t="n">
        <v>15.5</v>
      </c>
      <c r="J14" t="n">
        <v>0.5</v>
      </c>
      <c r="K14" t="n">
        <v>45</v>
      </c>
      <c r="L14" t="n">
        <v>2.2</v>
      </c>
      <c r="M14" t="inlineStr">
        <is>
          <t>OK</t>
        </is>
      </c>
      <c r="N14" t="inlineStr">
        <is>
          <t>https://www.pickfinder.app/players/dota2/t3b3k5ym37f128b</t>
        </is>
      </c>
      <c r="O14" t="inlineStr">
        <is>
          <t>DOTA</t>
        </is>
      </c>
      <c r="P14" t="inlineStr">
        <is>
          <t>5</t>
        </is>
      </c>
      <c r="T14" s="12" t="n"/>
    </row>
    <row r="15">
      <c r="A15" t="inlineStr">
        <is>
          <t>388xfoz6m2jbt95</t>
        </is>
      </c>
      <c r="B15" t="inlineStr">
        <is>
          <t>Yuma</t>
        </is>
      </c>
      <c r="C15" t="inlineStr">
        <is>
          <t>GL</t>
        </is>
      </c>
      <c r="D15" t="inlineStr">
        <is>
          <t>GL vs OG</t>
        </is>
      </c>
      <c r="E15" t="n">
        <v>30</v>
      </c>
      <c r="F15" s="12" t="n">
        <v>0.47</v>
      </c>
      <c r="G15" t="n">
        <v>8.5</v>
      </c>
      <c r="H15" t="n">
        <v>3.9</v>
      </c>
      <c r="I15" t="n">
        <v>8.9</v>
      </c>
      <c r="J15" t="n">
        <v>2.2</v>
      </c>
      <c r="K15" t="n">
        <v>45</v>
      </c>
      <c r="L15" t="n">
        <v>6.73</v>
      </c>
      <c r="M15" t="inlineStr">
        <is>
          <t>OK</t>
        </is>
      </c>
      <c r="N15" t="inlineStr">
        <is>
          <t>https://www.pickfinder.app/players/dota2/388xfoz6m2jbt95</t>
        </is>
      </c>
      <c r="O15" t="inlineStr">
        <is>
          <t>DOTA</t>
        </is>
      </c>
      <c r="P15" t="inlineStr">
        <is>
          <t>1</t>
        </is>
      </c>
      <c r="T15" s="12" t="n"/>
    </row>
    <row r="16">
      <c r="A16" t="inlineStr">
        <is>
          <t>s5zw84wcumkore8</t>
        </is>
      </c>
      <c r="B16" t="inlineStr">
        <is>
          <t>Busio</t>
        </is>
      </c>
      <c r="C16" t="inlineStr">
        <is>
          <t>KC</t>
        </is>
      </c>
      <c r="D16" t="inlineStr">
        <is>
          <t>KC vs CFO</t>
        </is>
      </c>
      <c r="E16" t="n">
        <v>30</v>
      </c>
      <c r="F16" s="12" t="n">
        <v>0.6</v>
      </c>
      <c r="G16" t="n">
        <v>0.7</v>
      </c>
      <c r="H16" t="n">
        <v>2.6</v>
      </c>
      <c r="I16" t="n">
        <v>9.4</v>
      </c>
      <c r="J16" t="n">
        <v>0.3</v>
      </c>
      <c r="K16" t="n">
        <v>45</v>
      </c>
      <c r="L16" t="n">
        <v>0.58</v>
      </c>
      <c r="M16" t="inlineStr">
        <is>
          <t>OK</t>
        </is>
      </c>
      <c r="N16" t="inlineStr">
        <is>
          <t>https://www.pickfinder.app/players/lol/s5zw84wcumkore8</t>
        </is>
      </c>
      <c r="O16" t="inlineStr">
        <is>
          <t>LOL</t>
        </is>
      </c>
      <c r="P16" t="inlineStr">
        <is>
          <t>sup</t>
        </is>
      </c>
      <c r="T16" s="12" t="n"/>
    </row>
    <row r="17">
      <c r="A17" t="inlineStr">
        <is>
          <t>60n3jocjohvthia</t>
        </is>
      </c>
      <c r="B17" t="inlineStr">
        <is>
          <t>Caliste</t>
        </is>
      </c>
      <c r="C17" t="inlineStr">
        <is>
          <t>KC</t>
        </is>
      </c>
      <c r="D17" t="inlineStr">
        <is>
          <t>KC vs CFO</t>
        </is>
      </c>
      <c r="E17" t="n">
        <v>30</v>
      </c>
      <c r="F17" s="12" t="n">
        <v>0.6</v>
      </c>
      <c r="G17" t="n">
        <v>4.3</v>
      </c>
      <c r="H17" t="n">
        <v>1.9</v>
      </c>
      <c r="I17" t="n">
        <v>5.3</v>
      </c>
      <c r="J17" t="n">
        <v>2.3</v>
      </c>
      <c r="K17" t="n">
        <v>45</v>
      </c>
      <c r="L17" t="n">
        <v>3.4</v>
      </c>
      <c r="M17" t="inlineStr">
        <is>
          <t>OK</t>
        </is>
      </c>
      <c r="N17" t="inlineStr">
        <is>
          <t>https://www.pickfinder.app/players/lol/60n3jocjohvthia</t>
        </is>
      </c>
      <c r="O17" t="inlineStr">
        <is>
          <t>LOL</t>
        </is>
      </c>
      <c r="P17" t="inlineStr">
        <is>
          <t>adc</t>
        </is>
      </c>
      <c r="T17" s="12" t="n"/>
    </row>
    <row r="18">
      <c r="A18" t="inlineStr">
        <is>
          <t>5h8ktthuwylbro2</t>
        </is>
      </c>
      <c r="B18" t="inlineStr">
        <is>
          <t>Canna</t>
        </is>
      </c>
      <c r="C18" t="inlineStr">
        <is>
          <t>KC</t>
        </is>
      </c>
      <c r="D18" t="inlineStr">
        <is>
          <t>KC vs CFO</t>
        </is>
      </c>
      <c r="E18" t="n">
        <v>30</v>
      </c>
      <c r="F18" s="12" t="n">
        <v>0.6</v>
      </c>
      <c r="G18" t="n">
        <v>2.9</v>
      </c>
      <c r="H18" t="n">
        <v>2.7</v>
      </c>
      <c r="I18" t="n">
        <v>4.6</v>
      </c>
      <c r="J18" t="n">
        <v>1.1</v>
      </c>
      <c r="K18" t="n">
        <v>45</v>
      </c>
      <c r="L18" t="n">
        <v>2.42</v>
      </c>
      <c r="M18" t="inlineStr">
        <is>
          <t>OK</t>
        </is>
      </c>
      <c r="N18" t="inlineStr">
        <is>
          <t>https://www.pickfinder.app/players/lol/5h8ktthuwylbro2</t>
        </is>
      </c>
      <c r="O18" t="inlineStr">
        <is>
          <t>LOL</t>
        </is>
      </c>
      <c r="P18" t="inlineStr">
        <is>
          <t>top</t>
        </is>
      </c>
      <c r="T18" s="12" t="n"/>
    </row>
    <row r="19">
      <c r="A19" t="inlineStr">
        <is>
          <t>cp4ibkwui10xeyj</t>
        </is>
      </c>
      <c r="B19" t="inlineStr">
        <is>
          <t>Kyeahoo</t>
        </is>
      </c>
      <c r="C19" t="inlineStr">
        <is>
          <t>KC</t>
        </is>
      </c>
      <c r="D19" t="inlineStr">
        <is>
          <t>KC vs CFO</t>
        </is>
      </c>
      <c r="E19" t="n">
        <v>30</v>
      </c>
      <c r="F19" s="12" t="n">
        <v>0.6</v>
      </c>
      <c r="G19" t="n">
        <v>2.5</v>
      </c>
      <c r="H19" t="n">
        <v>2.6</v>
      </c>
      <c r="I19" t="n">
        <v>5.8</v>
      </c>
      <c r="J19" t="n">
        <v>0.9</v>
      </c>
      <c r="K19" t="n">
        <v>45</v>
      </c>
      <c r="L19" t="n">
        <v>1.82</v>
      </c>
      <c r="M19" t="inlineStr">
        <is>
          <t>OK</t>
        </is>
      </c>
      <c r="N19" t="inlineStr">
        <is>
          <t>https://www.pickfinder.app/players/lol/cp4ibkwui10xeyj</t>
        </is>
      </c>
      <c r="O19" t="inlineStr">
        <is>
          <t>LOL</t>
        </is>
      </c>
      <c r="P19" t="inlineStr">
        <is>
          <t>mid</t>
        </is>
      </c>
      <c r="T19" s="12" t="n"/>
    </row>
    <row r="20">
      <c r="A20" t="inlineStr">
        <is>
          <t>rfespsq7mcurckt</t>
        </is>
      </c>
      <c r="B20" t="inlineStr">
        <is>
          <t>Yike</t>
        </is>
      </c>
      <c r="C20" t="inlineStr">
        <is>
          <t>KC</t>
        </is>
      </c>
      <c r="D20" t="inlineStr">
        <is>
          <t>KC vs CFO</t>
        </is>
      </c>
      <c r="E20" t="n">
        <v>30</v>
      </c>
      <c r="F20" s="12" t="n">
        <v>0.6</v>
      </c>
      <c r="G20" t="n">
        <v>3.8</v>
      </c>
      <c r="H20" t="n">
        <v>2.8</v>
      </c>
      <c r="I20" t="n">
        <v>6.2</v>
      </c>
      <c r="J20" t="n">
        <v>1.4</v>
      </c>
      <c r="K20" t="n">
        <v>45</v>
      </c>
      <c r="L20" t="n">
        <v>2.96</v>
      </c>
      <c r="M20" t="inlineStr">
        <is>
          <t>OK</t>
        </is>
      </c>
      <c r="N20" t="inlineStr">
        <is>
          <t>https://www.pickfinder.app/players/lol/rfespsq7mcurckt</t>
        </is>
      </c>
      <c r="O20" t="inlineStr">
        <is>
          <t>LOL</t>
        </is>
      </c>
      <c r="P20" t="inlineStr">
        <is>
          <t>jun</t>
        </is>
      </c>
      <c r="T20" s="12" t="n"/>
    </row>
    <row r="21">
      <c r="A21" t="inlineStr">
        <is>
          <t>sb23yl47osfxk2h</t>
        </is>
      </c>
      <c r="B21" t="inlineStr">
        <is>
          <t>DarkLord^</t>
        </is>
      </c>
      <c r="C21" t="inlineStr">
        <is>
          <t>LEGION</t>
        </is>
      </c>
      <c r="D21" t="inlineStr">
        <is>
          <t>LEGION vs TS</t>
        </is>
      </c>
      <c r="E21" t="n">
        <v>30</v>
      </c>
      <c r="F21" s="12" t="n">
        <v>0.57</v>
      </c>
      <c r="G21" t="n">
        <v>6.9</v>
      </c>
      <c r="H21" t="n">
        <v>3.1</v>
      </c>
      <c r="I21" t="n">
        <v>7.8</v>
      </c>
      <c r="J21" t="n">
        <v>2.2</v>
      </c>
      <c r="K21" t="n">
        <v>45</v>
      </c>
      <c r="L21" t="n">
        <v>5.78</v>
      </c>
      <c r="M21" t="inlineStr">
        <is>
          <t>OK</t>
        </is>
      </c>
      <c r="N21" t="inlineStr">
        <is>
          <t>https://www.pickfinder.app/players/dota2/sb23yl47osfxk2h</t>
        </is>
      </c>
      <c r="O21" t="inlineStr">
        <is>
          <t>DOTA</t>
        </is>
      </c>
      <c r="P21" t="inlineStr">
        <is>
          <t>1</t>
        </is>
      </c>
      <c r="T21" s="12" t="n"/>
    </row>
    <row r="22">
      <c r="A22" t="inlineStr">
        <is>
          <t>ezjt5r016sp0fhe</t>
        </is>
      </c>
      <c r="B22" t="inlineStr">
        <is>
          <t>KJ</t>
        </is>
      </c>
      <c r="C22" t="inlineStr">
        <is>
          <t>LEGION</t>
        </is>
      </c>
      <c r="D22" t="inlineStr">
        <is>
          <t>LEGION vs TS</t>
        </is>
      </c>
      <c r="E22" t="n">
        <v>30</v>
      </c>
      <c r="F22" s="12" t="n">
        <v>0.5</v>
      </c>
      <c r="G22" t="n">
        <v>2.5</v>
      </c>
      <c r="H22" t="n">
        <v>6.8</v>
      </c>
      <c r="I22" t="n">
        <v>12.9</v>
      </c>
      <c r="J22" t="n">
        <v>0.4</v>
      </c>
      <c r="K22" t="n">
        <v>45</v>
      </c>
      <c r="L22" t="n">
        <v>1.96</v>
      </c>
      <c r="M22" t="inlineStr">
        <is>
          <t>OK</t>
        </is>
      </c>
      <c r="N22" t="inlineStr">
        <is>
          <t>https://www.pickfinder.app/players/dota2/ezjt5r016sp0fhe</t>
        </is>
      </c>
      <c r="O22" t="inlineStr">
        <is>
          <t>DOTA</t>
        </is>
      </c>
      <c r="P22" t="inlineStr">
        <is>
          <t>5</t>
        </is>
      </c>
      <c r="T22" s="12" t="n"/>
    </row>
    <row r="23">
      <c r="A23" t="inlineStr">
        <is>
          <t>pd8esajdvd6l5ul</t>
        </is>
      </c>
      <c r="B23" t="inlineStr">
        <is>
          <t>SaberLight</t>
        </is>
      </c>
      <c r="C23" t="inlineStr">
        <is>
          <t>LEGION</t>
        </is>
      </c>
      <c r="D23" t="inlineStr">
        <is>
          <t>LEGION vs TS</t>
        </is>
      </c>
      <c r="E23" t="n">
        <v>30</v>
      </c>
      <c r="F23" s="12" t="n">
        <v>0.4</v>
      </c>
      <c r="G23" t="n">
        <v>4.9</v>
      </c>
      <c r="H23" t="n">
        <v>6.3</v>
      </c>
      <c r="I23" t="n">
        <v>13.7</v>
      </c>
      <c r="J23" t="n">
        <v>0.8</v>
      </c>
      <c r="K23" t="n">
        <v>45</v>
      </c>
      <c r="L23" t="n">
        <v>4.24</v>
      </c>
      <c r="M23" t="inlineStr">
        <is>
          <t>OK</t>
        </is>
      </c>
      <c r="N23" t="inlineStr">
        <is>
          <t>https://www.pickfinder.app/players/dota2/pd8esajdvd6l5ul</t>
        </is>
      </c>
      <c r="O23" t="inlineStr">
        <is>
          <t>DOTA</t>
        </is>
      </c>
      <c r="P23" t="inlineStr">
        <is>
          <t>3</t>
        </is>
      </c>
      <c r="T23" s="12" t="n"/>
    </row>
    <row r="24">
      <c r="A24" t="inlineStr">
        <is>
          <t>e8li27evib4y4db</t>
        </is>
      </c>
      <c r="B24" t="inlineStr">
        <is>
          <t>Stojkov</t>
        </is>
      </c>
      <c r="C24" t="inlineStr">
        <is>
          <t>LEGION</t>
        </is>
      </c>
      <c r="D24" t="inlineStr">
        <is>
          <t>LEGION vs TS</t>
        </is>
      </c>
      <c r="E24" t="n">
        <v>30</v>
      </c>
      <c r="F24" s="12" t="n">
        <v>0.6</v>
      </c>
      <c r="G24" t="n">
        <v>7.8</v>
      </c>
      <c r="H24" t="n">
        <v>4.1</v>
      </c>
      <c r="I24" t="n">
        <v>9.199999999999999</v>
      </c>
      <c r="J24" t="n">
        <v>1.9</v>
      </c>
      <c r="K24" t="n">
        <v>45</v>
      </c>
      <c r="L24" t="n">
        <v>5.22</v>
      </c>
      <c r="M24" t="inlineStr">
        <is>
          <t>OK</t>
        </is>
      </c>
      <c r="N24" t="inlineStr">
        <is>
          <t>https://www.pickfinder.app/players/dota2/e8li27evib4y4db</t>
        </is>
      </c>
      <c r="O24" t="inlineStr">
        <is>
          <t>DOTA</t>
        </is>
      </c>
      <c r="P24" t="inlineStr">
        <is>
          <t>2</t>
        </is>
      </c>
      <c r="T24" s="12" t="n"/>
    </row>
    <row r="25">
      <c r="A25" t="inlineStr">
        <is>
          <t>gf5trr3nqlr6rzi</t>
        </is>
      </c>
      <c r="B25" t="inlineStr">
        <is>
          <t>OneJey</t>
        </is>
      </c>
      <c r="C25" t="inlineStr">
        <is>
          <t>OG</t>
        </is>
      </c>
      <c r="D25" t="inlineStr">
        <is>
          <t>OG vs GL</t>
        </is>
      </c>
      <c r="E25" t="n">
        <v>30</v>
      </c>
      <c r="F25" s="12" t="n">
        <v>0.63</v>
      </c>
      <c r="G25" t="n">
        <v>3</v>
      </c>
      <c r="H25" t="n">
        <v>8.5</v>
      </c>
      <c r="I25" t="n">
        <v>13.9</v>
      </c>
      <c r="J25" t="n">
        <v>0.3</v>
      </c>
      <c r="K25" t="n">
        <v>45</v>
      </c>
      <c r="L25" t="n">
        <v>2.89</v>
      </c>
      <c r="M25" t="inlineStr">
        <is>
          <t>OK</t>
        </is>
      </c>
      <c r="N25" t="inlineStr">
        <is>
          <t>https://www.pickfinder.app/players/dota2/gf5trr3nqlr6rzi</t>
        </is>
      </c>
      <c r="O25" t="inlineStr">
        <is>
          <t>DOTA</t>
        </is>
      </c>
      <c r="P25" t="inlineStr">
        <is>
          <t>4</t>
        </is>
      </c>
      <c r="T25" s="12" t="n"/>
    </row>
    <row r="26">
      <c r="A26" t="inlineStr">
        <is>
          <t>327bydu6uqe51dl</t>
        </is>
      </c>
      <c r="B26" t="inlineStr">
        <is>
          <t>Skem</t>
        </is>
      </c>
      <c r="C26" t="inlineStr">
        <is>
          <t>OG</t>
        </is>
      </c>
      <c r="D26" t="inlineStr">
        <is>
          <t>OG vs GL</t>
        </is>
      </c>
      <c r="E26" t="n">
        <v>30</v>
      </c>
      <c r="F26" s="12" t="n">
        <v>0.67</v>
      </c>
      <c r="G26" t="n">
        <v>3.2</v>
      </c>
      <c r="H26" t="n">
        <v>6.7</v>
      </c>
      <c r="I26" t="n">
        <v>13</v>
      </c>
      <c r="J26" t="n">
        <v>0.5</v>
      </c>
      <c r="K26" t="n">
        <v>45</v>
      </c>
      <c r="L26" t="n">
        <v>2.64</v>
      </c>
      <c r="M26" t="inlineStr">
        <is>
          <t>OK</t>
        </is>
      </c>
      <c r="N26" t="inlineStr">
        <is>
          <t>https://www.pickfinder.app/players/dota2/327bydu6uqe51dl</t>
        </is>
      </c>
      <c r="O26" t="inlineStr">
        <is>
          <t>DOTA</t>
        </is>
      </c>
      <c r="P26" t="inlineStr">
        <is>
          <t>5</t>
        </is>
      </c>
      <c r="T26" s="12" t="n"/>
    </row>
    <row r="27">
      <c r="A27" t="inlineStr">
        <is>
          <t>c9666oyxnrvurur</t>
        </is>
      </c>
      <c r="B27" t="inlineStr">
        <is>
          <t>TOPSON</t>
        </is>
      </c>
      <c r="C27" t="inlineStr">
        <is>
          <t>OG</t>
        </is>
      </c>
      <c r="D27" t="inlineStr">
        <is>
          <t>OG vs GL</t>
        </is>
      </c>
      <c r="E27" t="n">
        <v>30</v>
      </c>
      <c r="F27" s="12" t="n">
        <v>0.63</v>
      </c>
      <c r="G27" t="n">
        <v>7</v>
      </c>
      <c r="H27" t="n">
        <v>4.5</v>
      </c>
      <c r="I27" t="n">
        <v>11.9</v>
      </c>
      <c r="J27" t="n">
        <v>1.6</v>
      </c>
      <c r="K27" t="n">
        <v>45</v>
      </c>
      <c r="L27" t="n">
        <v>5.91</v>
      </c>
      <c r="M27" t="inlineStr">
        <is>
          <t>OK</t>
        </is>
      </c>
      <c r="N27" t="inlineStr">
        <is>
          <t>https://www.pickfinder.app/players/dota2/c9666oyxnrvurur</t>
        </is>
      </c>
      <c r="O27" t="inlineStr">
        <is>
          <t>DOTA</t>
        </is>
      </c>
      <c r="P27" t="inlineStr">
        <is>
          <t>2</t>
        </is>
      </c>
      <c r="T27" s="12" t="n"/>
    </row>
    <row r="28">
      <c r="A28" t="inlineStr">
        <is>
          <t>p48p2vywpenq4iz</t>
        </is>
      </c>
      <c r="B28" t="inlineStr">
        <is>
          <t>9Class</t>
        </is>
      </c>
      <c r="C28" t="inlineStr">
        <is>
          <t>PARI</t>
        </is>
      </c>
      <c r="D28" t="inlineStr">
        <is>
          <t>PARI vs TY</t>
        </is>
      </c>
      <c r="E28" t="n">
        <v>30</v>
      </c>
      <c r="F28" s="12" t="n">
        <v>0.7</v>
      </c>
      <c r="G28" t="n">
        <v>4.6</v>
      </c>
      <c r="H28" t="n">
        <v>6.6</v>
      </c>
      <c r="I28" t="n">
        <v>15.7</v>
      </c>
      <c r="J28" t="n">
        <v>0.7</v>
      </c>
      <c r="K28" t="n">
        <v>45</v>
      </c>
      <c r="L28" t="n">
        <v>3.78</v>
      </c>
      <c r="M28" t="inlineStr">
        <is>
          <t>OK</t>
        </is>
      </c>
      <c r="N28" t="inlineStr">
        <is>
          <t>https://www.pickfinder.app/players/dota2/p48p2vywpenq4iz</t>
        </is>
      </c>
      <c r="O28" t="inlineStr">
        <is>
          <t>DOTA</t>
        </is>
      </c>
      <c r="P28" t="inlineStr">
        <is>
          <t>4</t>
        </is>
      </c>
      <c r="T28" s="12" t="n"/>
    </row>
    <row r="29">
      <c r="A29" t="inlineStr">
        <is>
          <t>38c4z9ycctww8gl</t>
        </is>
      </c>
      <c r="B29" t="inlineStr">
        <is>
          <t>Dukalis</t>
        </is>
      </c>
      <c r="C29" t="inlineStr">
        <is>
          <t>PARI</t>
        </is>
      </c>
      <c r="D29" t="inlineStr">
        <is>
          <t>PARI vs TY</t>
        </is>
      </c>
      <c r="E29" t="n">
        <v>30</v>
      </c>
      <c r="F29" s="12" t="n">
        <v>0.7</v>
      </c>
      <c r="G29" t="n">
        <v>2.9</v>
      </c>
      <c r="H29" t="n">
        <v>6.4</v>
      </c>
      <c r="I29" t="n">
        <v>16.3</v>
      </c>
      <c r="J29" t="n">
        <v>0.5</v>
      </c>
      <c r="K29" t="n">
        <v>45</v>
      </c>
      <c r="L29" t="n">
        <v>2.4</v>
      </c>
      <c r="M29" t="inlineStr">
        <is>
          <t>OK</t>
        </is>
      </c>
      <c r="N29" t="inlineStr">
        <is>
          <t>https://www.pickfinder.app/players/dota2/38c4z9ycctww8gl</t>
        </is>
      </c>
      <c r="O29" t="inlineStr">
        <is>
          <t>DOTA</t>
        </is>
      </c>
      <c r="P29" t="inlineStr">
        <is>
          <t>5</t>
        </is>
      </c>
      <c r="T29" s="12" t="n"/>
    </row>
    <row r="30">
      <c r="A30" t="inlineStr">
        <is>
          <t>hkpy2i1q2cf4qrd</t>
        </is>
      </c>
      <c r="B30" t="inlineStr">
        <is>
          <t>Noticed</t>
        </is>
      </c>
      <c r="C30" t="inlineStr">
        <is>
          <t>PARI</t>
        </is>
      </c>
      <c r="D30" t="inlineStr">
        <is>
          <t>PARI vs TY</t>
        </is>
      </c>
      <c r="E30" t="n">
        <v>30</v>
      </c>
      <c r="F30" s="12" t="n">
        <v>0.73</v>
      </c>
      <c r="G30" t="n">
        <v>5.4</v>
      </c>
      <c r="H30" t="n">
        <v>3.5</v>
      </c>
      <c r="I30" t="n">
        <v>13.5</v>
      </c>
      <c r="J30" t="n">
        <v>1.5</v>
      </c>
      <c r="K30" t="n">
        <v>45</v>
      </c>
      <c r="L30" t="n">
        <v>4.62</v>
      </c>
      <c r="M30" t="inlineStr">
        <is>
          <t>OK</t>
        </is>
      </c>
      <c r="N30" t="inlineStr">
        <is>
          <t>https://www.pickfinder.app/players/dota2/hkpy2i1q2cf4qrd</t>
        </is>
      </c>
      <c r="O30" t="inlineStr">
        <is>
          <t>DOTA</t>
        </is>
      </c>
      <c r="P30" t="inlineStr">
        <is>
          <t>3</t>
        </is>
      </c>
      <c r="T30" s="12" t="n"/>
    </row>
    <row r="31">
      <c r="A31" t="inlineStr">
        <is>
          <t>s178rxweg2uixdf</t>
        </is>
      </c>
      <c r="B31" t="inlineStr">
        <is>
          <t>Satanic</t>
        </is>
      </c>
      <c r="C31" t="inlineStr">
        <is>
          <t>PARI</t>
        </is>
      </c>
      <c r="D31" t="inlineStr">
        <is>
          <t>PARI vs TY</t>
        </is>
      </c>
      <c r="E31" t="n">
        <v>30</v>
      </c>
      <c r="F31" s="12" t="n">
        <v>0.7</v>
      </c>
      <c r="G31" t="n">
        <v>10.6</v>
      </c>
      <c r="H31" t="n">
        <v>3.2</v>
      </c>
      <c r="I31" t="n">
        <v>8.699999999999999</v>
      </c>
      <c r="J31" t="n">
        <v>3.3</v>
      </c>
      <c r="K31" t="n">
        <v>45</v>
      </c>
      <c r="L31" t="n">
        <v>8.84</v>
      </c>
      <c r="M31" t="inlineStr">
        <is>
          <t>OK</t>
        </is>
      </c>
      <c r="N31" t="inlineStr">
        <is>
          <t>https://www.pickfinder.app/players/dota2/s178rxweg2uixdf</t>
        </is>
      </c>
      <c r="O31" t="inlineStr">
        <is>
          <t>DOTA</t>
        </is>
      </c>
      <c r="P31" t="inlineStr">
        <is>
          <t>1</t>
        </is>
      </c>
      <c r="T31" s="12" t="n"/>
    </row>
    <row r="32">
      <c r="A32" t="inlineStr">
        <is>
          <t>d5dp09jubk87gzq</t>
        </is>
      </c>
      <c r="B32" t="inlineStr">
        <is>
          <t>369</t>
        </is>
      </c>
      <c r="C32" t="inlineStr">
        <is>
          <t>TES</t>
        </is>
      </c>
      <c r="D32" t="inlineStr">
        <is>
          <t>TES vs BLG</t>
        </is>
      </c>
      <c r="E32" t="n">
        <v>30</v>
      </c>
      <c r="F32" s="12" t="n">
        <v>0.57</v>
      </c>
      <c r="G32" t="n">
        <v>2.5</v>
      </c>
      <c r="H32" t="n">
        <v>2.4</v>
      </c>
      <c r="I32" t="n">
        <v>6</v>
      </c>
      <c r="J32" t="n">
        <v>1</v>
      </c>
      <c r="K32" t="n">
        <v>45</v>
      </c>
      <c r="L32" t="n">
        <v>1.76</v>
      </c>
      <c r="M32" t="inlineStr">
        <is>
          <t>OK</t>
        </is>
      </c>
      <c r="N32" t="inlineStr">
        <is>
          <t>https://www.pickfinder.app/players/lol/d5dp09jubk87gzq</t>
        </is>
      </c>
      <c r="O32" t="inlineStr">
        <is>
          <t>LOL</t>
        </is>
      </c>
      <c r="P32" t="inlineStr">
        <is>
          <t>top</t>
        </is>
      </c>
      <c r="T32" s="12" t="n"/>
    </row>
    <row r="33">
      <c r="A33" t="inlineStr">
        <is>
          <t>2lm5kmu2jy1q4aj</t>
        </is>
      </c>
      <c r="B33" t="inlineStr">
        <is>
          <t>Creme</t>
        </is>
      </c>
      <c r="C33" t="inlineStr">
        <is>
          <t>TES</t>
        </is>
      </c>
      <c r="D33" t="inlineStr">
        <is>
          <t>TES vs BLG</t>
        </is>
      </c>
      <c r="E33" t="n">
        <v>30</v>
      </c>
      <c r="F33" s="12" t="n">
        <v>0.43</v>
      </c>
      <c r="G33" t="n">
        <v>3.8</v>
      </c>
      <c r="H33" t="n">
        <v>2.7</v>
      </c>
      <c r="I33" t="n">
        <v>5.7</v>
      </c>
      <c r="J33" t="n">
        <v>1.4</v>
      </c>
      <c r="K33" t="n">
        <v>45</v>
      </c>
      <c r="L33" t="n">
        <v>2.8</v>
      </c>
      <c r="M33" t="inlineStr">
        <is>
          <t>OK</t>
        </is>
      </c>
      <c r="N33" t="inlineStr">
        <is>
          <t>https://www.pickfinder.app/players/lol/2lm5kmu2jy1q4aj</t>
        </is>
      </c>
      <c r="O33" t="inlineStr">
        <is>
          <t>LOL</t>
        </is>
      </c>
      <c r="P33" t="inlineStr">
        <is>
          <t>mid</t>
        </is>
      </c>
      <c r="T33" s="12" t="n"/>
    </row>
    <row r="34">
      <c r="A34" t="inlineStr">
        <is>
          <t>0hu7hmd8ldnn97r</t>
        </is>
      </c>
      <c r="B34" t="inlineStr">
        <is>
          <t>JackeyLove</t>
        </is>
      </c>
      <c r="C34" t="inlineStr">
        <is>
          <t>TES</t>
        </is>
      </c>
      <c r="D34" t="inlineStr">
        <is>
          <t>TES vs BLG</t>
        </is>
      </c>
      <c r="E34" t="n">
        <v>30</v>
      </c>
      <c r="F34" s="12" t="n">
        <v>0.43</v>
      </c>
      <c r="G34" t="n">
        <v>3.8</v>
      </c>
      <c r="H34" t="n">
        <v>3.4</v>
      </c>
      <c r="I34" t="n">
        <v>6.1</v>
      </c>
      <c r="J34" t="n">
        <v>1.1</v>
      </c>
      <c r="K34" t="n">
        <v>45</v>
      </c>
      <c r="L34" t="n">
        <v>2.76</v>
      </c>
      <c r="M34" t="inlineStr">
        <is>
          <t>OK</t>
        </is>
      </c>
      <c r="N34" t="inlineStr">
        <is>
          <t>https://www.pickfinder.app/players/lol/0hu7hmd8ldnn97r</t>
        </is>
      </c>
      <c r="O34" t="inlineStr">
        <is>
          <t>LOL</t>
        </is>
      </c>
      <c r="P34" t="inlineStr">
        <is>
          <t>adc</t>
        </is>
      </c>
      <c r="T34" s="12" t="n"/>
    </row>
    <row r="35">
      <c r="A35" t="inlineStr">
        <is>
          <t>3nhf9uupulsq9gw</t>
        </is>
      </c>
      <c r="B35" t="inlineStr">
        <is>
          <t>Larl</t>
        </is>
      </c>
      <c r="C35" t="inlineStr">
        <is>
          <t>TS</t>
        </is>
      </c>
      <c r="D35" t="inlineStr">
        <is>
          <t>TS vs LEGION</t>
        </is>
      </c>
      <c r="E35" t="n">
        <v>30</v>
      </c>
      <c r="F35" s="12" t="n">
        <v>0.63</v>
      </c>
      <c r="G35" t="n">
        <v>8.300000000000001</v>
      </c>
      <c r="H35" t="n">
        <v>4.1</v>
      </c>
      <c r="I35" t="n">
        <v>13.5</v>
      </c>
      <c r="J35" t="n">
        <v>2</v>
      </c>
      <c r="K35" t="n">
        <v>45</v>
      </c>
      <c r="L35" t="n">
        <v>6.76</v>
      </c>
      <c r="M35" t="inlineStr">
        <is>
          <t>OK</t>
        </is>
      </c>
      <c r="N35" t="inlineStr">
        <is>
          <t>https://www.pickfinder.app/players/dota2/3nhf9uupulsq9gw</t>
        </is>
      </c>
      <c r="O35" t="inlineStr">
        <is>
          <t>DOTA</t>
        </is>
      </c>
      <c r="P35" t="inlineStr">
        <is>
          <t>2</t>
        </is>
      </c>
      <c r="T35" s="12" t="n"/>
    </row>
    <row r="36">
      <c r="A36" t="inlineStr">
        <is>
          <t>eu78tcmea0duae0</t>
        </is>
      </c>
      <c r="B36" t="inlineStr">
        <is>
          <t>not me</t>
        </is>
      </c>
      <c r="C36" t="inlineStr">
        <is>
          <t>TS</t>
        </is>
      </c>
      <c r="D36" t="inlineStr">
        <is>
          <t>TS vs LEGION</t>
        </is>
      </c>
      <c r="E36" t="n">
        <v>30</v>
      </c>
      <c r="F36" s="12" t="n">
        <v>0.57</v>
      </c>
      <c r="G36" t="n">
        <v>5</v>
      </c>
      <c r="H36" t="n">
        <v>9</v>
      </c>
      <c r="I36" t="n">
        <v>15.5</v>
      </c>
      <c r="J36" t="n">
        <v>0.6</v>
      </c>
      <c r="K36" t="n">
        <v>45</v>
      </c>
      <c r="L36" t="n">
        <v>4.42</v>
      </c>
      <c r="M36" t="inlineStr">
        <is>
          <t>OK</t>
        </is>
      </c>
      <c r="N36" t="inlineStr">
        <is>
          <t>https://www.pickfinder.app/players/dota2/eu78tcmea0duae0</t>
        </is>
      </c>
      <c r="O36" t="inlineStr">
        <is>
          <t>DOTA</t>
        </is>
      </c>
      <c r="P36" t="inlineStr">
        <is>
          <t>4</t>
        </is>
      </c>
      <c r="T36" s="12" t="n"/>
    </row>
    <row r="37">
      <c r="A37" t="inlineStr">
        <is>
          <t>sw7j8rqyn0xsj7y</t>
        </is>
      </c>
      <c r="B37" t="inlineStr">
        <is>
          <t>rue</t>
        </is>
      </c>
      <c r="C37" t="inlineStr">
        <is>
          <t>TS</t>
        </is>
      </c>
      <c r="D37" t="inlineStr">
        <is>
          <t>TS vs LEGION</t>
        </is>
      </c>
      <c r="E37" t="n">
        <v>30</v>
      </c>
      <c r="F37" s="12" t="n">
        <v>0.63</v>
      </c>
      <c r="G37" t="n">
        <v>3.3</v>
      </c>
      <c r="H37" t="n">
        <v>6.2</v>
      </c>
      <c r="I37" t="n">
        <v>17</v>
      </c>
      <c r="J37" t="n">
        <v>0.5</v>
      </c>
      <c r="K37" t="n">
        <v>45</v>
      </c>
      <c r="L37" t="n">
        <v>2.64</v>
      </c>
      <c r="M37" t="inlineStr">
        <is>
          <t>OK</t>
        </is>
      </c>
      <c r="N37" t="inlineStr">
        <is>
          <t>https://www.pickfinder.app/players/dota2/sw7j8rqyn0xsj7y</t>
        </is>
      </c>
      <c r="O37" t="inlineStr">
        <is>
          <t>DOTA</t>
        </is>
      </c>
      <c r="P37" t="inlineStr">
        <is>
          <t>5</t>
        </is>
      </c>
      <c r="T37" s="12" t="n"/>
    </row>
    <row r="38">
      <c r="A38" t="inlineStr">
        <is>
          <t>7i0n30c69c9zmve</t>
        </is>
      </c>
      <c r="B38" t="inlineStr">
        <is>
          <t>Yatoro</t>
        </is>
      </c>
      <c r="C38" t="inlineStr">
        <is>
          <t>TS</t>
        </is>
      </c>
      <c r="D38" t="inlineStr">
        <is>
          <t>TS vs LEGION</t>
        </is>
      </c>
      <c r="E38" t="n">
        <v>30</v>
      </c>
      <c r="F38" s="12" t="n">
        <v>0.67</v>
      </c>
      <c r="G38" t="n">
        <v>9.800000000000001</v>
      </c>
      <c r="H38" t="n">
        <v>4.2</v>
      </c>
      <c r="I38" t="n">
        <v>9.199999999999999</v>
      </c>
      <c r="J38" t="n">
        <v>2.3</v>
      </c>
      <c r="K38" t="n">
        <v>45</v>
      </c>
      <c r="L38" t="n">
        <v>6.64</v>
      </c>
      <c r="M38" t="inlineStr">
        <is>
          <t>OK</t>
        </is>
      </c>
      <c r="N38" t="inlineStr">
        <is>
          <t>https://www.pickfinder.app/players/dota2/7i0n30c69c9zmve</t>
        </is>
      </c>
      <c r="O38" t="inlineStr">
        <is>
          <t>DOTA</t>
        </is>
      </c>
      <c r="P38" t="inlineStr">
        <is>
          <t>1</t>
        </is>
      </c>
      <c r="T38" s="12" t="n"/>
    </row>
    <row r="39">
      <c r="A39" t="inlineStr">
        <is>
          <t>gjtmq8fbk0gya2i</t>
        </is>
      </c>
      <c r="B39" t="inlineStr">
        <is>
          <t>ATF</t>
        </is>
      </c>
      <c r="C39" t="inlineStr">
        <is>
          <t>TY</t>
        </is>
      </c>
      <c r="D39" t="inlineStr">
        <is>
          <t>TY vs PARI</t>
        </is>
      </c>
      <c r="E39" t="n">
        <v>30</v>
      </c>
      <c r="F39" s="12" t="n">
        <v>0.77</v>
      </c>
      <c r="G39" t="n">
        <v>9.1</v>
      </c>
      <c r="H39" t="n">
        <v>4.5</v>
      </c>
      <c r="I39" t="n">
        <v>10.8</v>
      </c>
      <c r="J39" t="n">
        <v>2</v>
      </c>
      <c r="K39" t="n">
        <v>45</v>
      </c>
      <c r="L39" t="n">
        <v>7.42</v>
      </c>
      <c r="M39" t="inlineStr">
        <is>
          <t>OK</t>
        </is>
      </c>
      <c r="N39" t="inlineStr">
        <is>
          <t>https://www.pickfinder.app/players/dota2/gjtmq8fbk0gya2i</t>
        </is>
      </c>
      <c r="O39" t="inlineStr">
        <is>
          <t>DOTA</t>
        </is>
      </c>
      <c r="P39" t="inlineStr">
        <is>
          <t>3</t>
        </is>
      </c>
      <c r="T39" s="12" t="n"/>
    </row>
    <row r="40">
      <c r="A40" t="inlineStr">
        <is>
          <t>ms674i51eq6w83k</t>
        </is>
      </c>
      <c r="B40" t="inlineStr">
        <is>
          <t>Chira JUNIOR</t>
        </is>
      </c>
      <c r="C40" t="inlineStr">
        <is>
          <t>TY</t>
        </is>
      </c>
      <c r="D40" t="inlineStr">
        <is>
          <t>TY vs PARI</t>
        </is>
      </c>
      <c r="E40" t="n">
        <v>30</v>
      </c>
      <c r="F40" s="12" t="n">
        <v>0.77</v>
      </c>
      <c r="G40" t="n">
        <v>7.3</v>
      </c>
      <c r="H40" t="n">
        <v>3.8</v>
      </c>
      <c r="I40" t="n">
        <v>15.6</v>
      </c>
      <c r="J40" t="n">
        <v>1.9</v>
      </c>
      <c r="K40" t="n">
        <v>45</v>
      </c>
      <c r="L40" t="n">
        <v>5.93</v>
      </c>
      <c r="M40" t="inlineStr">
        <is>
          <t>OK</t>
        </is>
      </c>
      <c r="N40" t="inlineStr">
        <is>
          <t>https://www.pickfinder.app/players/dota2/ms674i51eq6w83k</t>
        </is>
      </c>
      <c r="O40" t="inlineStr">
        <is>
          <t>DOTA</t>
        </is>
      </c>
      <c r="P40" t="inlineStr">
        <is>
          <t>2</t>
        </is>
      </c>
      <c r="T40" s="12" t="n"/>
    </row>
    <row r="41">
      <c r="A41" t="inlineStr">
        <is>
          <t>0ajkyqw3r0k1f5j</t>
        </is>
      </c>
      <c r="B41" t="inlineStr">
        <is>
          <t>Malady</t>
        </is>
      </c>
      <c r="C41" t="inlineStr">
        <is>
          <t>TY</t>
        </is>
      </c>
      <c r="D41" t="inlineStr">
        <is>
          <t>TY vs PARI</t>
        </is>
      </c>
      <c r="E41" t="n">
        <v>30</v>
      </c>
      <c r="F41" s="12" t="n">
        <v>0.77</v>
      </c>
      <c r="G41" t="n">
        <v>3.6</v>
      </c>
      <c r="H41" t="n">
        <v>8.300000000000001</v>
      </c>
      <c r="I41" t="n">
        <v>16.4</v>
      </c>
      <c r="J41" t="n">
        <v>0.4</v>
      </c>
      <c r="K41" t="n">
        <v>45</v>
      </c>
      <c r="L41" t="n">
        <v>2.96</v>
      </c>
      <c r="M41" t="inlineStr">
        <is>
          <t>OK</t>
        </is>
      </c>
      <c r="N41" t="inlineStr">
        <is>
          <t>https://www.pickfinder.app/players/dota2/0ajkyqw3r0k1f5j</t>
        </is>
      </c>
      <c r="O41" t="inlineStr">
        <is>
          <t>DOTA</t>
        </is>
      </c>
      <c r="P41" t="inlineStr">
        <is>
          <t>5</t>
        </is>
      </c>
      <c r="T41" s="12" t="n"/>
    </row>
    <row r="42">
      <c r="A42" t="inlineStr">
        <is>
          <t>b2idu6d2bllmgsq</t>
        </is>
      </c>
      <c r="B42" t="inlineStr">
        <is>
          <t>Saksa</t>
        </is>
      </c>
      <c r="C42" t="inlineStr">
        <is>
          <t>TY</t>
        </is>
      </c>
      <c r="D42" t="inlineStr">
        <is>
          <t>TY vs PARI</t>
        </is>
      </c>
      <c r="E42" t="n">
        <v>30</v>
      </c>
      <c r="F42" s="12" t="n">
        <v>0.77</v>
      </c>
      <c r="G42" t="n">
        <v>3.9</v>
      </c>
      <c r="H42" t="n">
        <v>6.7</v>
      </c>
      <c r="I42" t="n">
        <v>18.4</v>
      </c>
      <c r="J42" t="n">
        <v>0.6</v>
      </c>
      <c r="K42" t="n">
        <v>45</v>
      </c>
      <c r="L42" t="n">
        <v>3.24</v>
      </c>
      <c r="M42" t="inlineStr">
        <is>
          <t>OK</t>
        </is>
      </c>
      <c r="N42" t="inlineStr">
        <is>
          <t>https://www.pickfinder.app/players/dota2/b2idu6d2bllmgsq</t>
        </is>
      </c>
      <c r="O42" t="inlineStr">
        <is>
          <t>DOTA</t>
        </is>
      </c>
      <c r="P42" t="inlineStr">
        <is>
          <t>4</t>
        </is>
      </c>
      <c r="T42" s="12" t="n"/>
    </row>
    <row r="43">
      <c r="A43" t="inlineStr">
        <is>
          <t>sm63cqd6f6fdapn</t>
        </is>
      </c>
      <c r="B43" t="inlineStr">
        <is>
          <t>watson</t>
        </is>
      </c>
      <c r="C43" t="inlineStr">
        <is>
          <t>TY</t>
        </is>
      </c>
      <c r="D43" t="inlineStr">
        <is>
          <t>TY vs PARI</t>
        </is>
      </c>
      <c r="E43" t="n">
        <v>30</v>
      </c>
      <c r="F43" s="12" t="n">
        <v>0.77</v>
      </c>
      <c r="G43" t="n">
        <v>11.1</v>
      </c>
      <c r="H43" t="n">
        <v>2.7</v>
      </c>
      <c r="I43" t="n">
        <v>11.3</v>
      </c>
      <c r="J43" t="n">
        <v>4.1</v>
      </c>
      <c r="K43" t="n">
        <v>45</v>
      </c>
      <c r="L43" t="n">
        <v>8.67</v>
      </c>
      <c r="M43" t="inlineStr">
        <is>
          <t>OK</t>
        </is>
      </c>
      <c r="N43" t="inlineStr">
        <is>
          <t>https://www.pickfinder.app/players/dota2/sm63cqd6f6fdapn</t>
        </is>
      </c>
      <c r="O43" t="inlineStr">
        <is>
          <t>DOTA</t>
        </is>
      </c>
      <c r="P43" t="inlineStr">
        <is>
          <t>1</t>
        </is>
      </c>
      <c r="T43" s="1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6" customWidth="1" min="4" max="4"/>
    <col width="6" customWidth="1" min="5" max="5"/>
    <col width="6" customWidth="1" min="6" max="6"/>
    <col width="7" customWidth="1" min="7" max="7"/>
    <col width="7" customWidth="1" min="8" max="8"/>
  </cols>
  <sheetData>
    <row r="1">
      <c r="A1" s="8" t="inlineStr">
        <is>
          <t>Player</t>
        </is>
      </c>
      <c r="B1" s="8" t="inlineStr">
        <is>
          <t>Date</t>
        </is>
      </c>
      <c r="C1" s="8" t="inlineStr">
        <is>
          <t>Opponent</t>
        </is>
      </c>
      <c r="D1" s="8" t="inlineStr">
        <is>
          <t>M 1K</t>
        </is>
      </c>
      <c r="E1" s="8" t="inlineStr">
        <is>
          <t>M 2K</t>
        </is>
      </c>
      <c r="F1" s="8" t="inlineStr">
        <is>
          <t>M 3K</t>
        </is>
      </c>
      <c r="G1" s="8" t="inlineStr">
        <is>
          <t>M 1-2K</t>
        </is>
      </c>
      <c r="H1" s="8" t="inlineStr">
        <is>
          <t>M 1-3K</t>
        </is>
      </c>
    </row>
    <row r="2">
      <c r="A2" t="inlineStr">
        <is>
          <t>Bin</t>
        </is>
      </c>
      <c r="B2" t="inlineStr">
        <is>
          <t>10/26</t>
        </is>
      </c>
      <c r="C2" t="inlineStr">
        <is>
          <t>KC</t>
        </is>
      </c>
      <c r="D2" t="n">
        <v>4</v>
      </c>
      <c r="E2" t="n">
        <v>0</v>
      </c>
      <c r="F2" t="n">
        <v>0</v>
      </c>
      <c r="G2" t="n">
        <v>4</v>
      </c>
      <c r="H2" t="n">
        <v>4</v>
      </c>
    </row>
    <row r="3">
      <c r="A3" t="inlineStr">
        <is>
          <t>Bin</t>
        </is>
      </c>
      <c r="B3" t="inlineStr">
        <is>
          <t>10/25</t>
        </is>
      </c>
      <c r="C3" t="inlineStr">
        <is>
          <t>TL</t>
        </is>
      </c>
      <c r="D3" t="n">
        <v>7</v>
      </c>
      <c r="E3" t="n">
        <v>0</v>
      </c>
      <c r="F3" t="n">
        <v>0</v>
      </c>
      <c r="G3" t="n">
        <v>7</v>
      </c>
      <c r="H3" t="n">
        <v>7</v>
      </c>
    </row>
    <row r="4">
      <c r="A4" t="inlineStr">
        <is>
          <t>Bin</t>
        </is>
      </c>
      <c r="B4" t="inlineStr">
        <is>
          <t>10/23</t>
        </is>
      </c>
      <c r="C4" t="inlineStr">
        <is>
          <t>MKOI</t>
        </is>
      </c>
      <c r="D4" t="n">
        <v>2</v>
      </c>
      <c r="E4" t="n">
        <v>0</v>
      </c>
      <c r="F4" t="n">
        <v>0</v>
      </c>
      <c r="G4" t="n">
        <v>2</v>
      </c>
      <c r="H4" t="n">
        <v>2</v>
      </c>
    </row>
    <row r="5">
      <c r="A5" t="inlineStr">
        <is>
          <t>Bin</t>
        </is>
      </c>
      <c r="B5" t="inlineStr">
        <is>
          <t>09/13</t>
        </is>
      </c>
      <c r="C5" t="inlineStr">
        <is>
          <t>AL</t>
        </is>
      </c>
      <c r="D5" t="n">
        <v>5</v>
      </c>
      <c r="E5" t="n">
        <v>1</v>
      </c>
      <c r="F5" t="n">
        <v>1</v>
      </c>
      <c r="G5" t="n">
        <v>6</v>
      </c>
      <c r="H5" t="n">
        <v>7</v>
      </c>
    </row>
    <row r="6">
      <c r="A6" t="inlineStr">
        <is>
          <t>Bin</t>
        </is>
      </c>
      <c r="B6" t="inlineStr">
        <is>
          <t>09/07</t>
        </is>
      </c>
      <c r="C6" t="inlineStr">
        <is>
          <t>AL</t>
        </is>
      </c>
      <c r="D6" t="n">
        <v>3</v>
      </c>
      <c r="E6" t="n">
        <v>5</v>
      </c>
      <c r="F6" t="n">
        <v>3</v>
      </c>
      <c r="G6" t="n">
        <v>8</v>
      </c>
      <c r="H6" t="n">
        <v>11</v>
      </c>
    </row>
    <row r="7">
      <c r="A7" t="inlineStr">
        <is>
          <t>Bin</t>
        </is>
      </c>
      <c r="B7" t="inlineStr">
        <is>
          <t>09/03</t>
        </is>
      </c>
      <c r="C7" t="inlineStr">
        <is>
          <t>WE</t>
        </is>
      </c>
      <c r="D7" t="n">
        <v>8</v>
      </c>
      <c r="E7" t="n">
        <v>3</v>
      </c>
      <c r="F7" t="n">
        <v>1</v>
      </c>
      <c r="G7" t="n">
        <v>11</v>
      </c>
      <c r="H7" t="n">
        <v>12</v>
      </c>
    </row>
    <row r="8">
      <c r="A8" t="inlineStr">
        <is>
          <t>Bin</t>
        </is>
      </c>
      <c r="B8" t="inlineStr">
        <is>
          <t>08/21</t>
        </is>
      </c>
      <c r="C8" t="inlineStr">
        <is>
          <t>TES</t>
        </is>
      </c>
      <c r="D8" t="n">
        <v>5</v>
      </c>
      <c r="E8" t="n">
        <v>5</v>
      </c>
      <c r="F8" t="n">
        <v>0</v>
      </c>
      <c r="G8" t="n">
        <v>10</v>
      </c>
      <c r="H8" t="n">
        <v>10</v>
      </c>
    </row>
    <row r="9">
      <c r="A9" t="inlineStr">
        <is>
          <t>Bin</t>
        </is>
      </c>
      <c r="B9" t="inlineStr">
        <is>
          <t>08/20</t>
        </is>
      </c>
      <c r="C9" t="inlineStr">
        <is>
          <t>LGD</t>
        </is>
      </c>
      <c r="D9" t="n">
        <v>1</v>
      </c>
      <c r="E9" t="n">
        <v>1</v>
      </c>
      <c r="F9" t="n">
        <v>3</v>
      </c>
      <c r="G9" t="n">
        <v>2</v>
      </c>
      <c r="H9" t="n">
        <v>5</v>
      </c>
    </row>
    <row r="10">
      <c r="A10" t="inlineStr">
        <is>
          <t>Bin</t>
        </is>
      </c>
      <c r="B10" t="inlineStr">
        <is>
          <t>07/17</t>
        </is>
      </c>
      <c r="C10" t="inlineStr">
        <is>
          <t>DK</t>
        </is>
      </c>
      <c r="D10" t="n">
        <v>4</v>
      </c>
      <c r="E10" t="n">
        <v>2</v>
      </c>
      <c r="F10" t="n">
        <v>0</v>
      </c>
      <c r="G10" t="n">
        <v>6</v>
      </c>
      <c r="H10" t="n">
        <v>6</v>
      </c>
    </row>
    <row r="11">
      <c r="A11" t="inlineStr">
        <is>
          <t>Bin</t>
        </is>
      </c>
      <c r="B11" t="inlineStr">
        <is>
          <t>07/16</t>
        </is>
      </c>
      <c r="C11" t="inlineStr">
        <is>
          <t>T1</t>
        </is>
      </c>
      <c r="D11" t="n">
        <v>3</v>
      </c>
      <c r="E11" t="n">
        <v>0</v>
      </c>
      <c r="F11" t="n">
        <v>0</v>
      </c>
      <c r="G11" t="n">
        <v>3</v>
      </c>
      <c r="H11" t="n">
        <v>3</v>
      </c>
    </row>
    <row r="12">
      <c r="A12" t="inlineStr">
        <is>
          <t>Bin</t>
        </is>
      </c>
      <c r="B12" t="inlineStr">
        <is>
          <t>07/15</t>
        </is>
      </c>
      <c r="C12" t="inlineStr">
        <is>
          <t>MKOI</t>
        </is>
      </c>
      <c r="D12" t="n">
        <v>2</v>
      </c>
      <c r="E12" t="n">
        <v>0</v>
      </c>
      <c r="F12" t="n">
        <v>0</v>
      </c>
      <c r="G12" t="n">
        <v>2</v>
      </c>
      <c r="H12" t="n">
        <v>2</v>
      </c>
    </row>
    <row r="13">
      <c r="A13" t="inlineStr">
        <is>
          <t>Bin</t>
        </is>
      </c>
      <c r="B13" t="inlineStr">
        <is>
          <t>07/12</t>
        </is>
      </c>
      <c r="C13" t="inlineStr">
        <is>
          <t>HLE</t>
        </is>
      </c>
      <c r="D13" t="n">
        <v>2</v>
      </c>
      <c r="E13" t="n">
        <v>4</v>
      </c>
      <c r="F13" t="n">
        <v>8</v>
      </c>
      <c r="G13" t="n">
        <v>6</v>
      </c>
      <c r="H13" t="n">
        <v>14</v>
      </c>
    </row>
    <row r="14">
      <c r="A14" t="inlineStr">
        <is>
          <t>Bin</t>
        </is>
      </c>
      <c r="B14" t="inlineStr">
        <is>
          <t>07/09</t>
        </is>
      </c>
      <c r="C14" t="inlineStr">
        <is>
          <t>HLE</t>
        </is>
      </c>
      <c r="D14" t="n">
        <v>3</v>
      </c>
      <c r="E14" t="n">
        <v>6</v>
      </c>
      <c r="F14" t="n">
        <v>1</v>
      </c>
      <c r="G14" t="n">
        <v>9</v>
      </c>
      <c r="H14" t="n">
        <v>10</v>
      </c>
    </row>
    <row r="15">
      <c r="A15" t="inlineStr">
        <is>
          <t>Bin</t>
        </is>
      </c>
      <c r="B15" t="inlineStr">
        <is>
          <t>07/06</t>
        </is>
      </c>
      <c r="C15" t="inlineStr">
        <is>
          <t>LY</t>
        </is>
      </c>
      <c r="D15" t="n">
        <v>2</v>
      </c>
      <c r="E15" t="n">
        <v>3</v>
      </c>
      <c r="F15" t="n">
        <v>2</v>
      </c>
      <c r="G15" t="n">
        <v>5</v>
      </c>
      <c r="H15" t="n">
        <v>7</v>
      </c>
    </row>
    <row r="16">
      <c r="A16" t="inlineStr">
        <is>
          <t>Bin</t>
        </is>
      </c>
      <c r="B16" t="inlineStr">
        <is>
          <t>07/04</t>
        </is>
      </c>
      <c r="C16" t="inlineStr">
        <is>
          <t>T1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</row>
    <row r="17">
      <c r="A17" t="inlineStr">
        <is>
          <t>knight</t>
        </is>
      </c>
      <c r="B17" t="inlineStr">
        <is>
          <t>10/26</t>
        </is>
      </c>
      <c r="C17" t="inlineStr">
        <is>
          <t>KC</t>
        </is>
      </c>
      <c r="D17" t="n">
        <v>3</v>
      </c>
      <c r="E17" t="n">
        <v>0</v>
      </c>
      <c r="F17" t="n">
        <v>0</v>
      </c>
      <c r="G17" t="n">
        <v>3</v>
      </c>
      <c r="H17" t="n">
        <v>3</v>
      </c>
    </row>
    <row r="18">
      <c r="A18" t="inlineStr">
        <is>
          <t>knight</t>
        </is>
      </c>
      <c r="B18" t="inlineStr">
        <is>
          <t>10/25</t>
        </is>
      </c>
      <c r="C18" t="inlineStr">
        <is>
          <t>TL</t>
        </is>
      </c>
      <c r="D18" t="n">
        <v>6</v>
      </c>
      <c r="E18" t="n">
        <v>0</v>
      </c>
      <c r="F18" t="n">
        <v>0</v>
      </c>
      <c r="G18" t="n">
        <v>6</v>
      </c>
      <c r="H18" t="n">
        <v>6</v>
      </c>
    </row>
    <row r="19">
      <c r="A19" t="inlineStr">
        <is>
          <t>knight</t>
        </is>
      </c>
      <c r="B19" t="inlineStr">
        <is>
          <t>10/23</t>
        </is>
      </c>
      <c r="C19" t="inlineStr">
        <is>
          <t>MKOI</t>
        </is>
      </c>
      <c r="D19" t="n">
        <v>6</v>
      </c>
      <c r="E19" t="n">
        <v>0</v>
      </c>
      <c r="F19" t="n">
        <v>0</v>
      </c>
      <c r="G19" t="n">
        <v>6</v>
      </c>
      <c r="H19" t="n">
        <v>6</v>
      </c>
    </row>
    <row r="20">
      <c r="A20" t="inlineStr">
        <is>
          <t>knight</t>
        </is>
      </c>
      <c r="B20" t="inlineStr">
        <is>
          <t>09/13</t>
        </is>
      </c>
      <c r="C20" t="inlineStr">
        <is>
          <t>AL</t>
        </is>
      </c>
      <c r="D20" t="n">
        <v>2</v>
      </c>
      <c r="E20" t="n">
        <v>0</v>
      </c>
      <c r="F20" t="n">
        <v>10</v>
      </c>
      <c r="G20" t="n">
        <v>2</v>
      </c>
      <c r="H20" t="n">
        <v>12</v>
      </c>
    </row>
    <row r="21">
      <c r="A21" t="inlineStr">
        <is>
          <t>knight</t>
        </is>
      </c>
      <c r="B21" t="inlineStr">
        <is>
          <t>09/07</t>
        </is>
      </c>
      <c r="C21" t="inlineStr">
        <is>
          <t>AL</t>
        </is>
      </c>
      <c r="D21" t="n">
        <v>6</v>
      </c>
      <c r="E21" t="n">
        <v>2</v>
      </c>
      <c r="F21" t="n">
        <v>8</v>
      </c>
      <c r="G21" t="n">
        <v>8</v>
      </c>
      <c r="H21" t="n">
        <v>16</v>
      </c>
    </row>
    <row r="22">
      <c r="A22" t="inlineStr">
        <is>
          <t>knight</t>
        </is>
      </c>
      <c r="B22" t="inlineStr">
        <is>
          <t>09/03</t>
        </is>
      </c>
      <c r="C22" t="inlineStr">
        <is>
          <t>WE</t>
        </is>
      </c>
      <c r="D22" t="n">
        <v>2</v>
      </c>
      <c r="E22" t="n">
        <v>7</v>
      </c>
      <c r="F22" t="n">
        <v>1</v>
      </c>
      <c r="G22" t="n">
        <v>9</v>
      </c>
      <c r="H22" t="n">
        <v>10</v>
      </c>
    </row>
    <row r="23">
      <c r="A23" t="inlineStr">
        <is>
          <t>knight</t>
        </is>
      </c>
      <c r="B23" t="inlineStr">
        <is>
          <t>08/23</t>
        </is>
      </c>
      <c r="C23" t="inlineStr">
        <is>
          <t>AL</t>
        </is>
      </c>
      <c r="D23" t="n">
        <v>4</v>
      </c>
      <c r="E23" t="n">
        <v>4</v>
      </c>
      <c r="F23" t="n">
        <v>11</v>
      </c>
      <c r="G23" t="n">
        <v>8</v>
      </c>
      <c r="H23" t="n">
        <v>19</v>
      </c>
    </row>
    <row r="24">
      <c r="A24" t="inlineStr">
        <is>
          <t>knight</t>
        </is>
      </c>
      <c r="B24" t="inlineStr">
        <is>
          <t>08/21</t>
        </is>
      </c>
      <c r="C24" t="inlineStr">
        <is>
          <t>TES</t>
        </is>
      </c>
      <c r="D24" t="n">
        <v>7</v>
      </c>
      <c r="E24" t="n">
        <v>7</v>
      </c>
      <c r="F24" t="n">
        <v>0</v>
      </c>
      <c r="G24" t="n">
        <v>14</v>
      </c>
      <c r="H24" t="n">
        <v>14</v>
      </c>
    </row>
    <row r="25">
      <c r="A25" t="inlineStr">
        <is>
          <t>knight</t>
        </is>
      </c>
      <c r="B25" t="inlineStr">
        <is>
          <t>08/20</t>
        </is>
      </c>
      <c r="C25" t="inlineStr">
        <is>
          <t>LGD</t>
        </is>
      </c>
      <c r="D25" t="n">
        <v>1</v>
      </c>
      <c r="E25" t="n">
        <v>6</v>
      </c>
      <c r="F25" t="n">
        <v>6</v>
      </c>
      <c r="G25" t="n">
        <v>7</v>
      </c>
      <c r="H25" t="n">
        <v>13</v>
      </c>
    </row>
    <row r="26">
      <c r="A26" t="inlineStr">
        <is>
          <t>knight</t>
        </is>
      </c>
      <c r="B26" t="inlineStr">
        <is>
          <t>08/15</t>
        </is>
      </c>
      <c r="C26" t="inlineStr">
        <is>
          <t>WE</t>
        </is>
      </c>
      <c r="D26" t="n">
        <v>4</v>
      </c>
      <c r="E26" t="n">
        <v>9</v>
      </c>
      <c r="F26" t="n">
        <v>0</v>
      </c>
      <c r="G26" t="n">
        <v>13</v>
      </c>
      <c r="H26" t="n">
        <v>13</v>
      </c>
    </row>
    <row r="27">
      <c r="A27" t="inlineStr">
        <is>
          <t>knight</t>
        </is>
      </c>
      <c r="B27" t="inlineStr">
        <is>
          <t>08/13</t>
        </is>
      </c>
      <c r="C27" t="inlineStr">
        <is>
          <t>TT</t>
        </is>
      </c>
      <c r="D27" t="n">
        <v>8</v>
      </c>
      <c r="E27" t="n">
        <v>8</v>
      </c>
      <c r="F27" t="n">
        <v>0</v>
      </c>
      <c r="G27" t="n">
        <v>16</v>
      </c>
      <c r="H27" t="n">
        <v>16</v>
      </c>
    </row>
    <row r="28">
      <c r="A28" t="inlineStr">
        <is>
          <t>knight</t>
        </is>
      </c>
      <c r="B28" t="inlineStr">
        <is>
          <t>08/12</t>
        </is>
      </c>
      <c r="C28" t="inlineStr">
        <is>
          <t>JDG</t>
        </is>
      </c>
      <c r="D28" t="n">
        <v>16</v>
      </c>
      <c r="E28" t="n">
        <v>2</v>
      </c>
      <c r="F28" t="n">
        <v>7</v>
      </c>
      <c r="G28" t="n">
        <v>18</v>
      </c>
      <c r="H28" t="n">
        <v>25</v>
      </c>
    </row>
    <row r="29">
      <c r="A29" t="inlineStr">
        <is>
          <t>knight</t>
        </is>
      </c>
      <c r="B29" t="inlineStr">
        <is>
          <t>08/08</t>
        </is>
      </c>
      <c r="C29" t="inlineStr">
        <is>
          <t>EDG</t>
        </is>
      </c>
      <c r="D29" t="n">
        <v>5</v>
      </c>
      <c r="E29" t="n">
        <v>0</v>
      </c>
      <c r="F29" t="n">
        <v>0</v>
      </c>
      <c r="G29" t="n">
        <v>5</v>
      </c>
      <c r="H29" t="n">
        <v>5</v>
      </c>
    </row>
    <row r="30">
      <c r="A30" t="inlineStr">
        <is>
          <t>knight</t>
        </is>
      </c>
      <c r="B30" t="inlineStr">
        <is>
          <t>08/07</t>
        </is>
      </c>
      <c r="C30" t="inlineStr">
        <is>
          <t>TES</t>
        </is>
      </c>
      <c r="D30" t="n">
        <v>5</v>
      </c>
      <c r="E30" t="n">
        <v>2</v>
      </c>
      <c r="F30" t="n">
        <v>0</v>
      </c>
      <c r="G30" t="n">
        <v>7</v>
      </c>
      <c r="H30" t="n">
        <v>7</v>
      </c>
    </row>
    <row r="31">
      <c r="A31" t="inlineStr">
        <is>
          <t>knight</t>
        </is>
      </c>
      <c r="B31" t="inlineStr">
        <is>
          <t>08/01</t>
        </is>
      </c>
      <c r="C31" t="inlineStr">
        <is>
          <t>JDG</t>
        </is>
      </c>
      <c r="D31" t="n">
        <v>6</v>
      </c>
      <c r="E31" t="n">
        <v>8</v>
      </c>
      <c r="F31" t="n">
        <v>0</v>
      </c>
      <c r="G31" t="n">
        <v>14</v>
      </c>
      <c r="H31" t="n">
        <v>14</v>
      </c>
    </row>
    <row r="32">
      <c r="A32" t="inlineStr">
        <is>
          <t>ON</t>
        </is>
      </c>
      <c r="B32" t="inlineStr">
        <is>
          <t>10/26</t>
        </is>
      </c>
      <c r="C32" t="inlineStr">
        <is>
          <t>KC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ON</t>
        </is>
      </c>
      <c r="B33" t="inlineStr">
        <is>
          <t>10/25</t>
        </is>
      </c>
      <c r="C33" t="inlineStr">
        <is>
          <t>TL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ON</t>
        </is>
      </c>
      <c r="B34" t="inlineStr">
        <is>
          <t>10/23</t>
        </is>
      </c>
      <c r="C34" t="inlineStr">
        <is>
          <t>MKOI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ON</t>
        </is>
      </c>
      <c r="B35" t="inlineStr">
        <is>
          <t>09/13</t>
        </is>
      </c>
      <c r="C35" t="inlineStr">
        <is>
          <t>AL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ON</t>
        </is>
      </c>
      <c r="B36" t="inlineStr">
        <is>
          <t>09/07</t>
        </is>
      </c>
      <c r="C36" t="inlineStr">
        <is>
          <t>AL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ON</t>
        </is>
      </c>
      <c r="B37" t="inlineStr">
        <is>
          <t>09/03</t>
        </is>
      </c>
      <c r="C37" t="inlineStr">
        <is>
          <t>WE</t>
        </is>
      </c>
      <c r="D37" t="n">
        <v>0</v>
      </c>
      <c r="E37" t="n">
        <v>2</v>
      </c>
      <c r="F37" t="n">
        <v>1</v>
      </c>
      <c r="G37" t="n">
        <v>2</v>
      </c>
      <c r="H37" t="n">
        <v>3</v>
      </c>
    </row>
    <row r="38">
      <c r="A38" t="inlineStr">
        <is>
          <t>ON</t>
        </is>
      </c>
      <c r="B38" t="inlineStr">
        <is>
          <t>08/23</t>
        </is>
      </c>
      <c r="C38" t="inlineStr">
        <is>
          <t>AL</t>
        </is>
      </c>
      <c r="D38" t="n">
        <v>3</v>
      </c>
      <c r="E38" t="n">
        <v>1</v>
      </c>
      <c r="F38" t="n">
        <v>2</v>
      </c>
      <c r="G38" t="n">
        <v>4</v>
      </c>
      <c r="H38" t="n">
        <v>6</v>
      </c>
    </row>
    <row r="39">
      <c r="A39" t="inlineStr">
        <is>
          <t>ON</t>
        </is>
      </c>
      <c r="B39" t="inlineStr">
        <is>
          <t>08/21</t>
        </is>
      </c>
      <c r="C39" t="inlineStr">
        <is>
          <t>TES</t>
        </is>
      </c>
      <c r="D39" t="n">
        <v>1</v>
      </c>
      <c r="E39" t="n">
        <v>1</v>
      </c>
      <c r="F39" t="n">
        <v>0</v>
      </c>
      <c r="G39" t="n">
        <v>2</v>
      </c>
      <c r="H39" t="n">
        <v>2</v>
      </c>
    </row>
    <row r="40">
      <c r="A40" t="inlineStr">
        <is>
          <t>ON</t>
        </is>
      </c>
      <c r="B40" t="inlineStr">
        <is>
          <t>08/20</t>
        </is>
      </c>
      <c r="C40" t="inlineStr">
        <is>
          <t>LGD</t>
        </is>
      </c>
      <c r="D40" t="n">
        <v>0</v>
      </c>
      <c r="E40" t="n">
        <v>0</v>
      </c>
      <c r="F40" t="n">
        <v>1</v>
      </c>
      <c r="G40" t="n">
        <v>0</v>
      </c>
      <c r="H40" t="n">
        <v>1</v>
      </c>
    </row>
    <row r="41">
      <c r="A41" t="inlineStr">
        <is>
          <t>ON</t>
        </is>
      </c>
      <c r="B41" t="inlineStr">
        <is>
          <t>08/15</t>
        </is>
      </c>
      <c r="C41" t="inlineStr">
        <is>
          <t>WE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ON</t>
        </is>
      </c>
      <c r="B42" t="inlineStr">
        <is>
          <t>08/13</t>
        </is>
      </c>
      <c r="C42" t="inlineStr">
        <is>
          <t>TT</t>
        </is>
      </c>
      <c r="D42" t="n">
        <v>2</v>
      </c>
      <c r="E42" t="n">
        <v>1</v>
      </c>
      <c r="F42" t="n">
        <v>0</v>
      </c>
      <c r="G42" t="n">
        <v>3</v>
      </c>
      <c r="H42" t="n">
        <v>3</v>
      </c>
    </row>
    <row r="43">
      <c r="A43" t="inlineStr">
        <is>
          <t>ON</t>
        </is>
      </c>
      <c r="B43" t="inlineStr">
        <is>
          <t>08/12</t>
        </is>
      </c>
      <c r="C43" t="inlineStr">
        <is>
          <t>JDG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ON</t>
        </is>
      </c>
      <c r="B44" t="inlineStr">
        <is>
          <t>08/08</t>
        </is>
      </c>
      <c r="C44" t="inlineStr">
        <is>
          <t>EDG</t>
        </is>
      </c>
      <c r="D44" t="n">
        <v>0</v>
      </c>
      <c r="E44" t="n">
        <v>1</v>
      </c>
      <c r="F44" t="n">
        <v>0</v>
      </c>
      <c r="G44" t="n">
        <v>1</v>
      </c>
      <c r="H44" t="n">
        <v>1</v>
      </c>
    </row>
    <row r="45">
      <c r="A45" t="inlineStr">
        <is>
          <t>ON</t>
        </is>
      </c>
      <c r="B45" t="inlineStr">
        <is>
          <t>08/07</t>
        </is>
      </c>
      <c r="C45" t="inlineStr">
        <is>
          <t>TES</t>
        </is>
      </c>
      <c r="D45" t="n">
        <v>2</v>
      </c>
      <c r="E45" t="n">
        <v>0</v>
      </c>
      <c r="F45" t="n">
        <v>0</v>
      </c>
      <c r="G45" t="n">
        <v>2</v>
      </c>
      <c r="H45" t="n">
        <v>2</v>
      </c>
    </row>
    <row r="46">
      <c r="A46" t="inlineStr">
        <is>
          <t>ON</t>
        </is>
      </c>
      <c r="B46" t="inlineStr">
        <is>
          <t>08/01</t>
        </is>
      </c>
      <c r="C46" t="inlineStr">
        <is>
          <t>JDG</t>
        </is>
      </c>
      <c r="D46" t="n">
        <v>1</v>
      </c>
      <c r="E46" t="n">
        <v>2</v>
      </c>
      <c r="F46" t="n">
        <v>0</v>
      </c>
      <c r="G46" t="n">
        <v>3</v>
      </c>
      <c r="H46" t="n">
        <v>3</v>
      </c>
    </row>
    <row r="47">
      <c r="A47" t="inlineStr">
        <is>
          <t>Viper</t>
        </is>
      </c>
      <c r="B47" t="inlineStr">
        <is>
          <t>10/26</t>
        </is>
      </c>
      <c r="C47" t="inlineStr">
        <is>
          <t>KC</t>
        </is>
      </c>
      <c r="D47" t="n">
        <v>5</v>
      </c>
      <c r="E47" t="n">
        <v>0</v>
      </c>
      <c r="F47" t="n">
        <v>0</v>
      </c>
      <c r="G47" t="n">
        <v>5</v>
      </c>
      <c r="H47" t="n">
        <v>5</v>
      </c>
    </row>
    <row r="48">
      <c r="A48" t="inlineStr">
        <is>
          <t>Viper</t>
        </is>
      </c>
      <c r="B48" t="inlineStr">
        <is>
          <t>10/25</t>
        </is>
      </c>
      <c r="C48" t="inlineStr">
        <is>
          <t>TL</t>
        </is>
      </c>
      <c r="D48" t="n">
        <v>2</v>
      </c>
      <c r="E48" t="n">
        <v>0</v>
      </c>
      <c r="F48" t="n">
        <v>0</v>
      </c>
      <c r="G48" t="n">
        <v>2</v>
      </c>
      <c r="H48" t="n">
        <v>2</v>
      </c>
    </row>
    <row r="49">
      <c r="A49" t="inlineStr">
        <is>
          <t>Viper</t>
        </is>
      </c>
      <c r="B49" t="inlineStr">
        <is>
          <t>10/23</t>
        </is>
      </c>
      <c r="C49" t="inlineStr">
        <is>
          <t>MKOI</t>
        </is>
      </c>
      <c r="D49" t="n">
        <v>3</v>
      </c>
      <c r="E49" t="n">
        <v>0</v>
      </c>
      <c r="F49" t="n">
        <v>0</v>
      </c>
      <c r="G49" t="n">
        <v>3</v>
      </c>
      <c r="H49" t="n">
        <v>3</v>
      </c>
    </row>
    <row r="50">
      <c r="A50" t="inlineStr">
        <is>
          <t>Viper</t>
        </is>
      </c>
      <c r="B50" t="inlineStr">
        <is>
          <t>09/13</t>
        </is>
      </c>
      <c r="C50" t="inlineStr">
        <is>
          <t>AL</t>
        </is>
      </c>
      <c r="D50" t="n">
        <v>1</v>
      </c>
      <c r="E50" t="n">
        <v>0</v>
      </c>
      <c r="F50" t="n">
        <v>6</v>
      </c>
      <c r="G50" t="n">
        <v>1</v>
      </c>
      <c r="H50" t="n">
        <v>7</v>
      </c>
    </row>
    <row r="51">
      <c r="A51" t="inlineStr">
        <is>
          <t>Viper</t>
        </is>
      </c>
      <c r="B51" t="inlineStr">
        <is>
          <t>09/07</t>
        </is>
      </c>
      <c r="C51" t="inlineStr">
        <is>
          <t>AL</t>
        </is>
      </c>
      <c r="D51" t="n">
        <v>4</v>
      </c>
      <c r="E51" t="n">
        <v>4</v>
      </c>
      <c r="F51" t="n">
        <v>11</v>
      </c>
      <c r="G51" t="n">
        <v>8</v>
      </c>
      <c r="H51" t="n">
        <v>19</v>
      </c>
    </row>
    <row r="52">
      <c r="A52" t="inlineStr">
        <is>
          <t>Viper</t>
        </is>
      </c>
      <c r="B52" t="inlineStr">
        <is>
          <t>09/03</t>
        </is>
      </c>
      <c r="C52" t="inlineStr">
        <is>
          <t>WE</t>
        </is>
      </c>
      <c r="D52" t="n">
        <v>7</v>
      </c>
      <c r="E52" t="n">
        <v>11</v>
      </c>
      <c r="F52" t="n">
        <v>5</v>
      </c>
      <c r="G52" t="n">
        <v>18</v>
      </c>
      <c r="H52" t="n">
        <v>23</v>
      </c>
    </row>
    <row r="53">
      <c r="A53" t="inlineStr">
        <is>
          <t>Viper</t>
        </is>
      </c>
      <c r="B53" t="inlineStr">
        <is>
          <t>08/23</t>
        </is>
      </c>
      <c r="C53" t="inlineStr">
        <is>
          <t>AL</t>
        </is>
      </c>
      <c r="D53" t="n">
        <v>4</v>
      </c>
      <c r="E53" t="n">
        <v>8</v>
      </c>
      <c r="F53" t="n">
        <v>3</v>
      </c>
      <c r="G53" t="n">
        <v>12</v>
      </c>
      <c r="H53" t="n">
        <v>15</v>
      </c>
    </row>
    <row r="54">
      <c r="A54" t="inlineStr">
        <is>
          <t>Viper</t>
        </is>
      </c>
      <c r="B54" t="inlineStr">
        <is>
          <t>08/21</t>
        </is>
      </c>
      <c r="C54" t="inlineStr">
        <is>
          <t>TES</t>
        </is>
      </c>
      <c r="D54" t="n">
        <v>8</v>
      </c>
      <c r="E54" t="n">
        <v>7</v>
      </c>
      <c r="F54" t="n">
        <v>0</v>
      </c>
      <c r="G54" t="n">
        <v>15</v>
      </c>
      <c r="H54" t="n">
        <v>15</v>
      </c>
    </row>
    <row r="55">
      <c r="A55" t="inlineStr">
        <is>
          <t>Viper</t>
        </is>
      </c>
      <c r="B55" t="inlineStr">
        <is>
          <t>08/20</t>
        </is>
      </c>
      <c r="C55" t="inlineStr">
        <is>
          <t>LGD</t>
        </is>
      </c>
      <c r="D55" t="n">
        <v>4</v>
      </c>
      <c r="E55" t="n">
        <v>7</v>
      </c>
      <c r="F55" t="n">
        <v>2</v>
      </c>
      <c r="G55" t="n">
        <v>11</v>
      </c>
      <c r="H55" t="n">
        <v>13</v>
      </c>
    </row>
    <row r="56">
      <c r="A56" t="inlineStr">
        <is>
          <t>Viper</t>
        </is>
      </c>
      <c r="B56" t="inlineStr">
        <is>
          <t>08/15</t>
        </is>
      </c>
      <c r="C56" t="inlineStr">
        <is>
          <t>WE</t>
        </is>
      </c>
      <c r="D56" t="n">
        <v>4</v>
      </c>
      <c r="E56" t="n">
        <v>8</v>
      </c>
      <c r="F56" t="n">
        <v>0</v>
      </c>
      <c r="G56" t="n">
        <v>12</v>
      </c>
      <c r="H56" t="n">
        <v>12</v>
      </c>
    </row>
    <row r="57">
      <c r="A57" t="inlineStr">
        <is>
          <t>Viper</t>
        </is>
      </c>
      <c r="B57" t="inlineStr">
        <is>
          <t>08/13</t>
        </is>
      </c>
      <c r="C57" t="inlineStr">
        <is>
          <t>TT</t>
        </is>
      </c>
      <c r="D57" t="n">
        <v>7</v>
      </c>
      <c r="E57" t="n">
        <v>6</v>
      </c>
      <c r="F57" t="n">
        <v>0</v>
      </c>
      <c r="G57" t="n">
        <v>13</v>
      </c>
      <c r="H57" t="n">
        <v>13</v>
      </c>
    </row>
    <row r="58">
      <c r="A58" t="inlineStr">
        <is>
          <t>Viper</t>
        </is>
      </c>
      <c r="B58" t="inlineStr">
        <is>
          <t>08/12</t>
        </is>
      </c>
      <c r="C58" t="inlineStr">
        <is>
          <t>JDG</t>
        </is>
      </c>
      <c r="D58" t="n">
        <v>8</v>
      </c>
      <c r="E58" t="n">
        <v>3</v>
      </c>
      <c r="F58" t="n">
        <v>4</v>
      </c>
      <c r="G58" t="n">
        <v>11</v>
      </c>
      <c r="H58" t="n">
        <v>15</v>
      </c>
    </row>
    <row r="59">
      <c r="A59" t="inlineStr">
        <is>
          <t>Viper</t>
        </is>
      </c>
      <c r="B59" t="inlineStr">
        <is>
          <t>08/08</t>
        </is>
      </c>
      <c r="C59" t="inlineStr">
        <is>
          <t>EDG</t>
        </is>
      </c>
      <c r="D59" t="n">
        <v>6</v>
      </c>
      <c r="E59" t="n">
        <v>10</v>
      </c>
      <c r="F59" t="n">
        <v>0</v>
      </c>
      <c r="G59" t="n">
        <v>16</v>
      </c>
      <c r="H59" t="n">
        <v>16</v>
      </c>
    </row>
    <row r="60">
      <c r="A60" t="inlineStr">
        <is>
          <t>Viper</t>
        </is>
      </c>
      <c r="B60" t="inlineStr">
        <is>
          <t>08/07</t>
        </is>
      </c>
      <c r="C60" t="inlineStr">
        <is>
          <t>TES</t>
        </is>
      </c>
      <c r="D60" t="n">
        <v>14</v>
      </c>
      <c r="E60" t="n">
        <v>2</v>
      </c>
      <c r="F60" t="n">
        <v>0</v>
      </c>
      <c r="G60" t="n">
        <v>16</v>
      </c>
      <c r="H60" t="n">
        <v>16</v>
      </c>
    </row>
    <row r="61">
      <c r="A61" t="inlineStr">
        <is>
          <t>Viper</t>
        </is>
      </c>
      <c r="B61" t="inlineStr">
        <is>
          <t>08/01</t>
        </is>
      </c>
      <c r="C61" t="inlineStr">
        <is>
          <t>JDG</t>
        </is>
      </c>
      <c r="D61" t="n">
        <v>4</v>
      </c>
      <c r="E61" t="n">
        <v>5</v>
      </c>
      <c r="F61" t="n">
        <v>0</v>
      </c>
      <c r="G61" t="n">
        <v>9</v>
      </c>
      <c r="H61" t="n">
        <v>9</v>
      </c>
    </row>
    <row r="62">
      <c r="A62" t="inlineStr">
        <is>
          <t>XUN</t>
        </is>
      </c>
      <c r="B62" t="inlineStr">
        <is>
          <t>10/26</t>
        </is>
      </c>
      <c r="C62" t="inlineStr">
        <is>
          <t>KC</t>
        </is>
      </c>
      <c r="D62" t="n">
        <v>2</v>
      </c>
      <c r="E62" t="n">
        <v>0</v>
      </c>
      <c r="F62" t="n">
        <v>0</v>
      </c>
      <c r="G62" t="n">
        <v>2</v>
      </c>
      <c r="H62" t="n">
        <v>2</v>
      </c>
    </row>
    <row r="63">
      <c r="A63" t="inlineStr">
        <is>
          <t>XUN</t>
        </is>
      </c>
      <c r="B63" t="inlineStr">
        <is>
          <t>10/25</t>
        </is>
      </c>
      <c r="C63" t="inlineStr">
        <is>
          <t>TL</t>
        </is>
      </c>
      <c r="D63" t="n">
        <v>2</v>
      </c>
      <c r="E63" t="n">
        <v>0</v>
      </c>
      <c r="F63" t="n">
        <v>0</v>
      </c>
      <c r="G63" t="n">
        <v>2</v>
      </c>
      <c r="H63" t="n">
        <v>2</v>
      </c>
    </row>
    <row r="64">
      <c r="A64" t="inlineStr">
        <is>
          <t>XUN</t>
        </is>
      </c>
      <c r="B64" t="inlineStr">
        <is>
          <t>10/23</t>
        </is>
      </c>
      <c r="C64" t="inlineStr">
        <is>
          <t>MKOI</t>
        </is>
      </c>
      <c r="D64" t="n">
        <v>3</v>
      </c>
      <c r="E64" t="n">
        <v>0</v>
      </c>
      <c r="F64" t="n">
        <v>0</v>
      </c>
      <c r="G64" t="n">
        <v>3</v>
      </c>
      <c r="H64" t="n">
        <v>3</v>
      </c>
    </row>
    <row r="65">
      <c r="A65" t="inlineStr">
        <is>
          <t>XUN</t>
        </is>
      </c>
      <c r="B65" t="inlineStr">
        <is>
          <t>09/13</t>
        </is>
      </c>
      <c r="C65" t="inlineStr">
        <is>
          <t>AL</t>
        </is>
      </c>
      <c r="D65" t="n">
        <v>1</v>
      </c>
      <c r="E65" t="n">
        <v>0</v>
      </c>
      <c r="F65" t="n">
        <v>3</v>
      </c>
      <c r="G65" t="n">
        <v>1</v>
      </c>
      <c r="H65" t="n">
        <v>4</v>
      </c>
    </row>
    <row r="66">
      <c r="A66" t="inlineStr">
        <is>
          <t>XUN</t>
        </is>
      </c>
      <c r="B66" t="inlineStr">
        <is>
          <t>09/07</t>
        </is>
      </c>
      <c r="C66" t="inlineStr">
        <is>
          <t>AL</t>
        </is>
      </c>
      <c r="D66" t="n">
        <v>7</v>
      </c>
      <c r="E66" t="n">
        <v>2</v>
      </c>
      <c r="F66" t="n">
        <v>1</v>
      </c>
      <c r="G66" t="n">
        <v>9</v>
      </c>
      <c r="H66" t="n">
        <v>10</v>
      </c>
    </row>
    <row r="67">
      <c r="A67" t="inlineStr">
        <is>
          <t>XUN</t>
        </is>
      </c>
      <c r="B67" t="inlineStr">
        <is>
          <t>09/03</t>
        </is>
      </c>
      <c r="C67" t="inlineStr">
        <is>
          <t>WE</t>
        </is>
      </c>
      <c r="D67" t="n">
        <v>6</v>
      </c>
      <c r="E67" t="n">
        <v>1</v>
      </c>
      <c r="F67" t="n">
        <v>4</v>
      </c>
      <c r="G67" t="n">
        <v>7</v>
      </c>
      <c r="H67" t="n">
        <v>11</v>
      </c>
    </row>
    <row r="68">
      <c r="A68" t="inlineStr">
        <is>
          <t>XUN</t>
        </is>
      </c>
      <c r="B68" t="inlineStr">
        <is>
          <t>08/23</t>
        </is>
      </c>
      <c r="C68" t="inlineStr">
        <is>
          <t>AL</t>
        </is>
      </c>
      <c r="D68" t="n">
        <v>4</v>
      </c>
      <c r="E68" t="n">
        <v>6</v>
      </c>
      <c r="F68" t="n">
        <v>5</v>
      </c>
      <c r="G68" t="n">
        <v>10</v>
      </c>
      <c r="H68" t="n">
        <v>15</v>
      </c>
    </row>
    <row r="69">
      <c r="A69" t="inlineStr">
        <is>
          <t>XUN</t>
        </is>
      </c>
      <c r="B69" t="inlineStr">
        <is>
          <t>08/21</t>
        </is>
      </c>
      <c r="C69" t="inlineStr">
        <is>
          <t>TES</t>
        </is>
      </c>
      <c r="D69" t="n">
        <v>3</v>
      </c>
      <c r="E69" t="n">
        <v>3</v>
      </c>
      <c r="F69" t="n">
        <v>0</v>
      </c>
      <c r="G69" t="n">
        <v>6</v>
      </c>
      <c r="H69" t="n">
        <v>6</v>
      </c>
    </row>
    <row r="70">
      <c r="A70" t="inlineStr">
        <is>
          <t>XUN</t>
        </is>
      </c>
      <c r="B70" t="inlineStr">
        <is>
          <t>08/20</t>
        </is>
      </c>
      <c r="C70" t="inlineStr">
        <is>
          <t>LGD</t>
        </is>
      </c>
      <c r="D70" t="n">
        <v>1</v>
      </c>
      <c r="E70" t="n">
        <v>3</v>
      </c>
      <c r="F70" t="n">
        <v>6</v>
      </c>
      <c r="G70" t="n">
        <v>4</v>
      </c>
      <c r="H70" t="n">
        <v>10</v>
      </c>
    </row>
    <row r="71">
      <c r="A71" t="inlineStr">
        <is>
          <t>XUN</t>
        </is>
      </c>
      <c r="B71" t="inlineStr">
        <is>
          <t>08/15</t>
        </is>
      </c>
      <c r="C71" t="inlineStr">
        <is>
          <t>WE</t>
        </is>
      </c>
      <c r="D71" t="n">
        <v>8</v>
      </c>
      <c r="E71" t="n">
        <v>5</v>
      </c>
      <c r="F71" t="n">
        <v>0</v>
      </c>
      <c r="G71" t="n">
        <v>13</v>
      </c>
      <c r="H71" t="n">
        <v>13</v>
      </c>
    </row>
    <row r="72">
      <c r="A72" t="inlineStr">
        <is>
          <t>XUN</t>
        </is>
      </c>
      <c r="B72" t="inlineStr">
        <is>
          <t>08/13</t>
        </is>
      </c>
      <c r="C72" t="inlineStr">
        <is>
          <t>TT</t>
        </is>
      </c>
      <c r="D72" t="n">
        <v>3</v>
      </c>
      <c r="E72" t="n">
        <v>8</v>
      </c>
      <c r="F72" t="n">
        <v>0</v>
      </c>
      <c r="G72" t="n">
        <v>11</v>
      </c>
      <c r="H72" t="n">
        <v>11</v>
      </c>
    </row>
    <row r="73">
      <c r="A73" t="inlineStr">
        <is>
          <t>XUN</t>
        </is>
      </c>
      <c r="B73" t="inlineStr">
        <is>
          <t>08/12</t>
        </is>
      </c>
      <c r="C73" t="inlineStr">
        <is>
          <t>JDG</t>
        </is>
      </c>
      <c r="D73" t="n">
        <v>2</v>
      </c>
      <c r="E73" t="n">
        <v>2</v>
      </c>
      <c r="F73" t="n">
        <v>1</v>
      </c>
      <c r="G73" t="n">
        <v>4</v>
      </c>
      <c r="H73" t="n">
        <v>5</v>
      </c>
    </row>
    <row r="74">
      <c r="A74" t="inlineStr">
        <is>
          <t>XUN</t>
        </is>
      </c>
      <c r="B74" t="inlineStr">
        <is>
          <t>08/08</t>
        </is>
      </c>
      <c r="C74" t="inlineStr">
        <is>
          <t>EDG</t>
        </is>
      </c>
      <c r="D74" t="n">
        <v>10</v>
      </c>
      <c r="E74" t="n">
        <v>8</v>
      </c>
      <c r="F74" t="n">
        <v>0</v>
      </c>
      <c r="G74" t="n">
        <v>18</v>
      </c>
      <c r="H74" t="n">
        <v>18</v>
      </c>
    </row>
    <row r="75">
      <c r="A75" t="inlineStr">
        <is>
          <t>XUN</t>
        </is>
      </c>
      <c r="B75" t="inlineStr">
        <is>
          <t>08/07</t>
        </is>
      </c>
      <c r="C75" t="inlineStr">
        <is>
          <t>TES</t>
        </is>
      </c>
      <c r="D75" t="n">
        <v>3</v>
      </c>
      <c r="E75" t="n">
        <v>0</v>
      </c>
      <c r="F75" t="n">
        <v>0</v>
      </c>
      <c r="G75" t="n">
        <v>3</v>
      </c>
      <c r="H75" t="n">
        <v>3</v>
      </c>
    </row>
    <row r="76">
      <c r="A76" t="inlineStr">
        <is>
          <t>XUN</t>
        </is>
      </c>
      <c r="B76" t="inlineStr">
        <is>
          <t>08/01</t>
        </is>
      </c>
      <c r="C76" t="inlineStr">
        <is>
          <t>JDG</t>
        </is>
      </c>
      <c r="D76" t="n">
        <v>5</v>
      </c>
      <c r="E76" t="n">
        <v>2</v>
      </c>
      <c r="F76" t="n">
        <v>0</v>
      </c>
      <c r="G76" t="n">
        <v>7</v>
      </c>
      <c r="H76" t="n">
        <v>7</v>
      </c>
    </row>
    <row r="77">
      <c r="A77" t="inlineStr">
        <is>
          <t>Doggo</t>
        </is>
      </c>
      <c r="B77" t="inlineStr">
        <is>
          <t>10/26</t>
        </is>
      </c>
      <c r="C77" t="inlineStr">
        <is>
          <t>T1</t>
        </is>
      </c>
      <c r="D77" t="n">
        <v>4</v>
      </c>
      <c r="E77" t="n">
        <v>0</v>
      </c>
      <c r="F77" t="n">
        <v>0</v>
      </c>
      <c r="G77" t="n">
        <v>4</v>
      </c>
      <c r="H77" t="n">
        <v>4</v>
      </c>
    </row>
    <row r="78">
      <c r="A78" t="inlineStr">
        <is>
          <t>Doggo</t>
        </is>
      </c>
      <c r="B78" t="inlineStr">
        <is>
          <t>10/24</t>
        </is>
      </c>
      <c r="C78" t="inlineStr">
        <is>
          <t>MKOI</t>
        </is>
      </c>
      <c r="D78" t="n">
        <v>1</v>
      </c>
      <c r="E78" t="n">
        <v>0</v>
      </c>
      <c r="F78" t="n">
        <v>0</v>
      </c>
      <c r="G78" t="n">
        <v>1</v>
      </c>
      <c r="H78" t="n">
        <v>1</v>
      </c>
    </row>
    <row r="79">
      <c r="A79" t="inlineStr">
        <is>
          <t>Doggo</t>
        </is>
      </c>
      <c r="B79" t="inlineStr">
        <is>
          <t>10/23</t>
        </is>
      </c>
      <c r="C79" t="inlineStr">
        <is>
          <t>TL</t>
        </is>
      </c>
      <c r="D79" t="n">
        <v>2</v>
      </c>
      <c r="E79" t="n">
        <v>0</v>
      </c>
      <c r="F79" t="n">
        <v>0</v>
      </c>
      <c r="G79" t="n">
        <v>2</v>
      </c>
      <c r="H79" t="n">
        <v>2</v>
      </c>
    </row>
    <row r="80">
      <c r="A80" t="inlineStr">
        <is>
          <t>Doggo</t>
        </is>
      </c>
      <c r="B80" t="inlineStr">
        <is>
          <t>10/02</t>
        </is>
      </c>
      <c r="C80" t="inlineStr">
        <is>
          <t>KOR</t>
        </is>
      </c>
      <c r="D80" t="n">
        <v>6</v>
      </c>
      <c r="E80" t="n">
        <v>5</v>
      </c>
      <c r="F80" t="n">
        <v>1</v>
      </c>
      <c r="G80" t="n">
        <v>11</v>
      </c>
      <c r="H80" t="n">
        <v>12</v>
      </c>
    </row>
    <row r="81">
      <c r="A81" t="inlineStr">
        <is>
          <t>Doggo</t>
        </is>
      </c>
      <c r="B81" t="inlineStr">
        <is>
          <t>09/30</t>
        </is>
      </c>
      <c r="C81" t="inlineStr">
        <is>
          <t>VIE</t>
        </is>
      </c>
      <c r="D81" t="n">
        <v>12</v>
      </c>
      <c r="E81" t="n">
        <v>7</v>
      </c>
      <c r="F81" t="n">
        <v>0</v>
      </c>
      <c r="G81" t="n">
        <v>19</v>
      </c>
      <c r="H81" t="n">
        <v>19</v>
      </c>
    </row>
    <row r="82">
      <c r="A82" t="inlineStr">
        <is>
          <t>Doggo</t>
        </is>
      </c>
      <c r="B82" t="inlineStr">
        <is>
          <t>09/30</t>
        </is>
      </c>
      <c r="C82" t="inlineStr">
        <is>
          <t>IND</t>
        </is>
      </c>
      <c r="D82" t="n">
        <v>4</v>
      </c>
      <c r="E82" t="n">
        <v>0</v>
      </c>
      <c r="F82" t="n">
        <v>0</v>
      </c>
      <c r="G82" t="n">
        <v>4</v>
      </c>
      <c r="H82" t="n">
        <v>4</v>
      </c>
    </row>
    <row r="83">
      <c r="A83" t="inlineStr">
        <is>
          <t>Doggo</t>
        </is>
      </c>
      <c r="B83" t="inlineStr">
        <is>
          <t>08/30</t>
        </is>
      </c>
      <c r="C83" t="inlineStr">
        <is>
          <t>TSW</t>
        </is>
      </c>
      <c r="D83" t="n">
        <v>2</v>
      </c>
      <c r="E83" t="n">
        <v>2</v>
      </c>
      <c r="F83" t="n">
        <v>1</v>
      </c>
      <c r="G83" t="n">
        <v>4</v>
      </c>
      <c r="H83" t="n">
        <v>5</v>
      </c>
    </row>
    <row r="84">
      <c r="A84" t="inlineStr">
        <is>
          <t>Doggo</t>
        </is>
      </c>
      <c r="B84" t="inlineStr">
        <is>
          <t>08/29</t>
        </is>
      </c>
      <c r="C84" t="inlineStr">
        <is>
          <t>MVK</t>
        </is>
      </c>
      <c r="D84" t="n">
        <v>12</v>
      </c>
      <c r="E84" t="n">
        <v>5</v>
      </c>
      <c r="F84" t="n">
        <v>2</v>
      </c>
      <c r="G84" t="n">
        <v>17</v>
      </c>
      <c r="H84" t="n">
        <v>19</v>
      </c>
    </row>
    <row r="85">
      <c r="A85" t="inlineStr">
        <is>
          <t>Doggo</t>
        </is>
      </c>
      <c r="B85" t="inlineStr">
        <is>
          <t>08/23</t>
        </is>
      </c>
      <c r="C85" t="inlineStr">
        <is>
          <t>TSW</t>
        </is>
      </c>
      <c r="D85" t="n">
        <v>0</v>
      </c>
      <c r="E85" t="n">
        <v>2</v>
      </c>
      <c r="F85" t="n">
        <v>5</v>
      </c>
      <c r="G85" t="n">
        <v>2</v>
      </c>
      <c r="H85" t="n">
        <v>7</v>
      </c>
    </row>
    <row r="86">
      <c r="A86" t="inlineStr">
        <is>
          <t>Doggo</t>
        </is>
      </c>
      <c r="B86" t="inlineStr">
        <is>
          <t>08/20</t>
        </is>
      </c>
      <c r="C86" t="inlineStr">
        <is>
          <t>MVK</t>
        </is>
      </c>
      <c r="D86" t="n">
        <v>6</v>
      </c>
      <c r="E86" t="n">
        <v>6</v>
      </c>
      <c r="F86" t="n">
        <v>8</v>
      </c>
      <c r="G86" t="n">
        <v>12</v>
      </c>
      <c r="H86" t="n">
        <v>20</v>
      </c>
    </row>
    <row r="87">
      <c r="A87" t="inlineStr">
        <is>
          <t>Doggo</t>
        </is>
      </c>
      <c r="B87" t="inlineStr">
        <is>
          <t>08/16</t>
        </is>
      </c>
      <c r="C87" t="inlineStr">
        <is>
          <t>TSW</t>
        </is>
      </c>
      <c r="D87" t="n">
        <v>6</v>
      </c>
      <c r="E87" t="n">
        <v>9</v>
      </c>
      <c r="F87" t="n">
        <v>5</v>
      </c>
      <c r="G87" t="n">
        <v>15</v>
      </c>
      <c r="H87" t="n">
        <v>20</v>
      </c>
    </row>
    <row r="88">
      <c r="A88" t="inlineStr">
        <is>
          <t>Doggo</t>
        </is>
      </c>
      <c r="B88" t="inlineStr">
        <is>
          <t>08/14</t>
        </is>
      </c>
      <c r="C88" t="inlineStr">
        <is>
          <t>MVK</t>
        </is>
      </c>
      <c r="D88" t="n">
        <v>1</v>
      </c>
      <c r="E88" t="n">
        <v>11</v>
      </c>
      <c r="F88" t="n">
        <v>5</v>
      </c>
      <c r="G88" t="n">
        <v>12</v>
      </c>
      <c r="H88" t="n">
        <v>17</v>
      </c>
    </row>
    <row r="89">
      <c r="A89" t="inlineStr">
        <is>
          <t>Doggo</t>
        </is>
      </c>
      <c r="B89" t="inlineStr">
        <is>
          <t>08/09</t>
        </is>
      </c>
      <c r="C89" t="inlineStr">
        <is>
          <t>GZ</t>
        </is>
      </c>
      <c r="D89" t="n">
        <v>1</v>
      </c>
      <c r="E89" t="n">
        <v>12</v>
      </c>
      <c r="F89" t="n">
        <v>4</v>
      </c>
      <c r="G89" t="n">
        <v>13</v>
      </c>
      <c r="H89" t="n">
        <v>17</v>
      </c>
    </row>
    <row r="90">
      <c r="A90" t="inlineStr">
        <is>
          <t>Doggo</t>
        </is>
      </c>
      <c r="B90" t="inlineStr">
        <is>
          <t>08/02</t>
        </is>
      </c>
      <c r="C90" t="inlineStr">
        <is>
          <t>TSW</t>
        </is>
      </c>
      <c r="D90" t="n">
        <v>6</v>
      </c>
      <c r="E90" t="n">
        <v>3</v>
      </c>
      <c r="F90" t="n">
        <v>1</v>
      </c>
      <c r="G90" t="n">
        <v>9</v>
      </c>
      <c r="H90" t="n">
        <v>10</v>
      </c>
    </row>
    <row r="91">
      <c r="A91" t="inlineStr">
        <is>
          <t>Doggo</t>
        </is>
      </c>
      <c r="B91" t="inlineStr">
        <is>
          <t>07/31</t>
        </is>
      </c>
      <c r="C91" t="inlineStr">
        <is>
          <t>GAM</t>
        </is>
      </c>
      <c r="D91" t="n">
        <v>9</v>
      </c>
      <c r="E91" t="n">
        <v>7</v>
      </c>
      <c r="F91" t="n">
        <v>7</v>
      </c>
      <c r="G91" t="n">
        <v>16</v>
      </c>
      <c r="H91" t="n">
        <v>23</v>
      </c>
    </row>
    <row r="92">
      <c r="A92" t="inlineStr">
        <is>
          <t>Pout</t>
        </is>
      </c>
      <c r="B92" t="inlineStr">
        <is>
          <t>10/26</t>
        </is>
      </c>
      <c r="C92" t="inlineStr">
        <is>
          <t>T1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Pout</t>
        </is>
      </c>
      <c r="B93" t="inlineStr">
        <is>
          <t>10/24</t>
        </is>
      </c>
      <c r="C93" t="inlineStr">
        <is>
          <t>MKOI</t>
        </is>
      </c>
      <c r="D93" t="n">
        <v>2</v>
      </c>
      <c r="E93" t="n">
        <v>0</v>
      </c>
      <c r="F93" t="n">
        <v>0</v>
      </c>
      <c r="G93" t="n">
        <v>2</v>
      </c>
      <c r="H93" t="n">
        <v>2</v>
      </c>
    </row>
    <row r="94">
      <c r="A94" t="inlineStr">
        <is>
          <t>Pout</t>
        </is>
      </c>
      <c r="B94" t="inlineStr">
        <is>
          <t>10/23</t>
        </is>
      </c>
      <c r="C94" t="inlineStr">
        <is>
          <t>TL</t>
        </is>
      </c>
      <c r="D94" t="n">
        <v>1</v>
      </c>
      <c r="E94" t="n">
        <v>0</v>
      </c>
      <c r="F94" t="n">
        <v>0</v>
      </c>
      <c r="G94" t="n">
        <v>1</v>
      </c>
      <c r="H94" t="n">
        <v>1</v>
      </c>
    </row>
    <row r="95">
      <c r="A95" t="inlineStr">
        <is>
          <t>Pout</t>
        </is>
      </c>
      <c r="B95" t="inlineStr">
        <is>
          <t>08/30</t>
        </is>
      </c>
      <c r="C95" t="inlineStr">
        <is>
          <t>TSW</t>
        </is>
      </c>
      <c r="D95" t="n">
        <v>4</v>
      </c>
      <c r="E95" t="n">
        <v>1</v>
      </c>
      <c r="F95" t="n">
        <v>4</v>
      </c>
      <c r="G95" t="n">
        <v>5</v>
      </c>
      <c r="H95" t="n">
        <v>9</v>
      </c>
    </row>
    <row r="96">
      <c r="A96" t="inlineStr">
        <is>
          <t>Pout</t>
        </is>
      </c>
      <c r="B96" t="inlineStr">
        <is>
          <t>08/29</t>
        </is>
      </c>
      <c r="C96" t="inlineStr">
        <is>
          <t>MVK</t>
        </is>
      </c>
      <c r="D96" t="n">
        <v>6</v>
      </c>
      <c r="E96" t="n">
        <v>3</v>
      </c>
      <c r="F96" t="n">
        <v>1</v>
      </c>
      <c r="G96" t="n">
        <v>9</v>
      </c>
      <c r="H96" t="n">
        <v>10</v>
      </c>
    </row>
    <row r="97">
      <c r="A97" t="inlineStr">
        <is>
          <t>Pout</t>
        </is>
      </c>
      <c r="B97" t="inlineStr">
        <is>
          <t>08/23</t>
        </is>
      </c>
      <c r="C97" t="inlineStr">
        <is>
          <t>TSW</t>
        </is>
      </c>
      <c r="D97" t="n">
        <v>0</v>
      </c>
      <c r="E97" t="n">
        <v>2</v>
      </c>
      <c r="F97" t="n">
        <v>5</v>
      </c>
      <c r="G97" t="n">
        <v>2</v>
      </c>
      <c r="H97" t="n">
        <v>7</v>
      </c>
    </row>
    <row r="98">
      <c r="A98" t="inlineStr">
        <is>
          <t>Pout</t>
        </is>
      </c>
      <c r="B98" t="inlineStr">
        <is>
          <t>08/20</t>
        </is>
      </c>
      <c r="C98" t="inlineStr">
        <is>
          <t>MVK</t>
        </is>
      </c>
      <c r="D98" t="n">
        <v>5</v>
      </c>
      <c r="E98" t="n">
        <v>7</v>
      </c>
      <c r="F98" t="n">
        <v>3</v>
      </c>
      <c r="G98" t="n">
        <v>12</v>
      </c>
      <c r="H98" t="n">
        <v>15</v>
      </c>
    </row>
    <row r="99">
      <c r="A99" t="inlineStr">
        <is>
          <t>Pout</t>
        </is>
      </c>
      <c r="B99" t="inlineStr">
        <is>
          <t>08/16</t>
        </is>
      </c>
      <c r="C99" t="inlineStr">
        <is>
          <t>TSW</t>
        </is>
      </c>
      <c r="D99" t="n">
        <v>2</v>
      </c>
      <c r="E99" t="n">
        <v>4</v>
      </c>
      <c r="F99" t="n">
        <v>7</v>
      </c>
      <c r="G99" t="n">
        <v>6</v>
      </c>
      <c r="H99" t="n">
        <v>13</v>
      </c>
    </row>
    <row r="100">
      <c r="A100" t="inlineStr">
        <is>
          <t>Pout</t>
        </is>
      </c>
      <c r="B100" t="inlineStr">
        <is>
          <t>08/14</t>
        </is>
      </c>
      <c r="C100" t="inlineStr">
        <is>
          <t>MVK</t>
        </is>
      </c>
      <c r="D100" t="n">
        <v>1</v>
      </c>
      <c r="E100" t="n">
        <v>6</v>
      </c>
      <c r="F100" t="n">
        <v>9</v>
      </c>
      <c r="G100" t="n">
        <v>7</v>
      </c>
      <c r="H100" t="n">
        <v>16</v>
      </c>
    </row>
    <row r="101">
      <c r="A101" t="inlineStr">
        <is>
          <t>Pout</t>
        </is>
      </c>
      <c r="B101" t="inlineStr">
        <is>
          <t>08/09</t>
        </is>
      </c>
      <c r="C101" t="inlineStr">
        <is>
          <t>GZ</t>
        </is>
      </c>
      <c r="D101" t="n">
        <v>4</v>
      </c>
      <c r="E101" t="n">
        <v>7</v>
      </c>
      <c r="F101" t="n">
        <v>8</v>
      </c>
      <c r="G101" t="n">
        <v>11</v>
      </c>
      <c r="H101" t="n">
        <v>19</v>
      </c>
    </row>
    <row r="102">
      <c r="A102" t="inlineStr">
        <is>
          <t>Pout</t>
        </is>
      </c>
      <c r="B102" t="inlineStr">
        <is>
          <t>08/02</t>
        </is>
      </c>
      <c r="C102" t="inlineStr">
        <is>
          <t>TSW</t>
        </is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</row>
    <row r="103">
      <c r="A103" t="inlineStr">
        <is>
          <t>Pout</t>
        </is>
      </c>
      <c r="B103" t="inlineStr">
        <is>
          <t>07/31</t>
        </is>
      </c>
      <c r="C103" t="inlineStr">
        <is>
          <t>GAM</t>
        </is>
      </c>
      <c r="D103" t="n">
        <v>5</v>
      </c>
      <c r="E103" t="n">
        <v>7</v>
      </c>
      <c r="F103" t="n">
        <v>5</v>
      </c>
      <c r="G103" t="n">
        <v>12</v>
      </c>
      <c r="H103" t="n">
        <v>17</v>
      </c>
    </row>
    <row r="104">
      <c r="A104" t="inlineStr">
        <is>
          <t>Pout</t>
        </is>
      </c>
      <c r="B104" t="inlineStr">
        <is>
          <t>07/26</t>
        </is>
      </c>
      <c r="C104" t="inlineStr">
        <is>
          <t>DCG</t>
        </is>
      </c>
      <c r="D104" t="n">
        <v>8</v>
      </c>
      <c r="E104" t="n">
        <v>9</v>
      </c>
      <c r="F104" t="n">
        <v>0</v>
      </c>
      <c r="G104" t="n">
        <v>17</v>
      </c>
      <c r="H104" t="n">
        <v>17</v>
      </c>
    </row>
    <row r="105">
      <c r="A105" t="inlineStr">
        <is>
          <t>Pout</t>
        </is>
      </c>
      <c r="B105" t="inlineStr">
        <is>
          <t>05/23</t>
        </is>
      </c>
      <c r="C105" t="inlineStr">
        <is>
          <t>MVK</t>
        </is>
      </c>
      <c r="D105" t="n">
        <v>3</v>
      </c>
      <c r="E105" t="n">
        <v>2</v>
      </c>
      <c r="F105" t="n">
        <v>8</v>
      </c>
      <c r="G105" t="n">
        <v>5</v>
      </c>
      <c r="H105" t="n">
        <v>13</v>
      </c>
    </row>
    <row r="106">
      <c r="A106" t="inlineStr">
        <is>
          <t>Pout</t>
        </is>
      </c>
      <c r="B106" t="inlineStr">
        <is>
          <t>05/17</t>
        </is>
      </c>
      <c r="C106" t="inlineStr">
        <is>
          <t>GAM</t>
        </is>
      </c>
      <c r="D106" t="n">
        <v>4</v>
      </c>
      <c r="E106" t="n">
        <v>2</v>
      </c>
      <c r="F106" t="n">
        <v>3</v>
      </c>
      <c r="G106" t="n">
        <v>6</v>
      </c>
      <c r="H106" t="n">
        <v>9</v>
      </c>
    </row>
    <row r="107">
      <c r="A107" t="inlineStr">
        <is>
          <t>Rest</t>
        </is>
      </c>
      <c r="B107" t="inlineStr">
        <is>
          <t>10/26</t>
        </is>
      </c>
      <c r="C107" t="inlineStr">
        <is>
          <t>T1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Rest</t>
        </is>
      </c>
      <c r="B108" t="inlineStr">
        <is>
          <t>10/24</t>
        </is>
      </c>
      <c r="C108" t="inlineStr">
        <is>
          <t>MKOI</t>
        </is>
      </c>
      <c r="D108" t="n">
        <v>3</v>
      </c>
      <c r="E108" t="n">
        <v>0</v>
      </c>
      <c r="F108" t="n">
        <v>0</v>
      </c>
      <c r="G108" t="n">
        <v>3</v>
      </c>
      <c r="H108" t="n">
        <v>3</v>
      </c>
    </row>
    <row r="109">
      <c r="A109" t="inlineStr">
        <is>
          <t>Rest</t>
        </is>
      </c>
      <c r="B109" t="inlineStr">
        <is>
          <t>10/23</t>
        </is>
      </c>
      <c r="C109" t="inlineStr">
        <is>
          <t>TL</t>
        </is>
      </c>
      <c r="D109" t="n">
        <v>4</v>
      </c>
      <c r="E109" t="n">
        <v>0</v>
      </c>
      <c r="F109" t="n">
        <v>0</v>
      </c>
      <c r="G109" t="n">
        <v>4</v>
      </c>
      <c r="H109" t="n">
        <v>4</v>
      </c>
    </row>
    <row r="110">
      <c r="A110" t="inlineStr">
        <is>
          <t>Rest</t>
        </is>
      </c>
      <c r="B110" t="inlineStr">
        <is>
          <t>08/30</t>
        </is>
      </c>
      <c r="C110" t="inlineStr">
        <is>
          <t>TSW</t>
        </is>
      </c>
      <c r="D110" t="n">
        <v>1</v>
      </c>
      <c r="E110" t="n">
        <v>2</v>
      </c>
      <c r="F110" t="n">
        <v>3</v>
      </c>
      <c r="G110" t="n">
        <v>3</v>
      </c>
      <c r="H110" t="n">
        <v>6</v>
      </c>
    </row>
    <row r="111">
      <c r="A111" t="inlineStr">
        <is>
          <t>Rest</t>
        </is>
      </c>
      <c r="B111" t="inlineStr">
        <is>
          <t>08/29</t>
        </is>
      </c>
      <c r="C111" t="inlineStr">
        <is>
          <t>MVK</t>
        </is>
      </c>
      <c r="D111" t="n">
        <v>3</v>
      </c>
      <c r="E111" t="n">
        <v>4</v>
      </c>
      <c r="F111" t="n">
        <v>2</v>
      </c>
      <c r="G111" t="n">
        <v>7</v>
      </c>
      <c r="H111" t="n">
        <v>9</v>
      </c>
    </row>
    <row r="112">
      <c r="A112" t="inlineStr">
        <is>
          <t>Rest</t>
        </is>
      </c>
      <c r="B112" t="inlineStr">
        <is>
          <t>08/23</t>
        </is>
      </c>
      <c r="C112" t="inlineStr">
        <is>
          <t>TSW</t>
        </is>
      </c>
      <c r="D112" t="n">
        <v>1</v>
      </c>
      <c r="E112" t="n">
        <v>1</v>
      </c>
      <c r="F112" t="n">
        <v>4</v>
      </c>
      <c r="G112" t="n">
        <v>2</v>
      </c>
      <c r="H112" t="n">
        <v>6</v>
      </c>
    </row>
    <row r="113">
      <c r="A113" t="inlineStr">
        <is>
          <t>Rest</t>
        </is>
      </c>
      <c r="B113" t="inlineStr">
        <is>
          <t>08/20</t>
        </is>
      </c>
      <c r="C113" t="inlineStr">
        <is>
          <t>MVK</t>
        </is>
      </c>
      <c r="D113" t="n">
        <v>1</v>
      </c>
      <c r="E113" t="n">
        <v>5</v>
      </c>
      <c r="F113" t="n">
        <v>1</v>
      </c>
      <c r="G113" t="n">
        <v>6</v>
      </c>
      <c r="H113" t="n">
        <v>7</v>
      </c>
    </row>
    <row r="114">
      <c r="A114" t="inlineStr">
        <is>
          <t>Rest</t>
        </is>
      </c>
      <c r="B114" t="inlineStr">
        <is>
          <t>08/16</t>
        </is>
      </c>
      <c r="C114" t="inlineStr">
        <is>
          <t>TSW</t>
        </is>
      </c>
      <c r="D114" t="n">
        <v>0</v>
      </c>
      <c r="E114" t="n">
        <v>3</v>
      </c>
      <c r="F114" t="n">
        <v>4</v>
      </c>
      <c r="G114" t="n">
        <v>3</v>
      </c>
      <c r="H114" t="n">
        <v>7</v>
      </c>
    </row>
    <row r="115">
      <c r="A115" t="inlineStr">
        <is>
          <t>Rest</t>
        </is>
      </c>
      <c r="B115" t="inlineStr">
        <is>
          <t>08/14</t>
        </is>
      </c>
      <c r="C115" t="inlineStr">
        <is>
          <t>MVK</t>
        </is>
      </c>
      <c r="D115" t="n">
        <v>2</v>
      </c>
      <c r="E115" t="n">
        <v>2</v>
      </c>
      <c r="F115" t="n">
        <v>6</v>
      </c>
      <c r="G115" t="n">
        <v>4</v>
      </c>
      <c r="H115" t="n">
        <v>10</v>
      </c>
    </row>
    <row r="116">
      <c r="A116" t="inlineStr">
        <is>
          <t>Rest</t>
        </is>
      </c>
      <c r="B116" t="inlineStr">
        <is>
          <t>08/09</t>
        </is>
      </c>
      <c r="C116" t="inlineStr">
        <is>
          <t>GZ</t>
        </is>
      </c>
      <c r="D116" t="n">
        <v>1</v>
      </c>
      <c r="E116" t="n">
        <v>0</v>
      </c>
      <c r="F116" t="n">
        <v>1</v>
      </c>
      <c r="G116" t="n">
        <v>1</v>
      </c>
      <c r="H116" t="n">
        <v>2</v>
      </c>
    </row>
    <row r="117">
      <c r="A117" t="inlineStr">
        <is>
          <t>Rest</t>
        </is>
      </c>
      <c r="B117" t="inlineStr">
        <is>
          <t>08/02</t>
        </is>
      </c>
      <c r="C117" t="inlineStr">
        <is>
          <t>TSW</t>
        </is>
      </c>
      <c r="D117" t="n">
        <v>1</v>
      </c>
      <c r="E117" t="n">
        <v>1</v>
      </c>
      <c r="F117" t="n">
        <v>2</v>
      </c>
      <c r="G117" t="n">
        <v>2</v>
      </c>
      <c r="H117" t="n">
        <v>4</v>
      </c>
    </row>
    <row r="118">
      <c r="A118" t="inlineStr">
        <is>
          <t>Rest</t>
        </is>
      </c>
      <c r="B118" t="inlineStr">
        <is>
          <t>07/31</t>
        </is>
      </c>
      <c r="C118" t="inlineStr">
        <is>
          <t>GAM</t>
        </is>
      </c>
      <c r="D118" t="n">
        <v>1</v>
      </c>
      <c r="E118" t="n">
        <v>3</v>
      </c>
      <c r="F118" t="n">
        <v>5</v>
      </c>
      <c r="G118" t="n">
        <v>4</v>
      </c>
      <c r="H118" t="n">
        <v>9</v>
      </c>
    </row>
    <row r="119">
      <c r="A119" t="inlineStr">
        <is>
          <t>Rest</t>
        </is>
      </c>
      <c r="B119" t="inlineStr">
        <is>
          <t>07/26</t>
        </is>
      </c>
      <c r="C119" t="inlineStr">
        <is>
          <t>DCG</t>
        </is>
      </c>
      <c r="D119" t="n">
        <v>5</v>
      </c>
      <c r="E119" t="n">
        <v>1</v>
      </c>
      <c r="F119" t="n">
        <v>0</v>
      </c>
      <c r="G119" t="n">
        <v>6</v>
      </c>
      <c r="H119" t="n">
        <v>6</v>
      </c>
    </row>
    <row r="120">
      <c r="A120" t="inlineStr">
        <is>
          <t>Rest</t>
        </is>
      </c>
      <c r="B120" t="inlineStr">
        <is>
          <t>05/23</t>
        </is>
      </c>
      <c r="C120" t="inlineStr">
        <is>
          <t>MVK</t>
        </is>
      </c>
      <c r="D120" t="n">
        <v>0</v>
      </c>
      <c r="E120" t="n">
        <v>0</v>
      </c>
      <c r="F120" t="n">
        <v>8</v>
      </c>
      <c r="G120" t="n">
        <v>0</v>
      </c>
      <c r="H120" t="n">
        <v>8</v>
      </c>
    </row>
    <row r="121">
      <c r="A121" t="inlineStr">
        <is>
          <t>Rest</t>
        </is>
      </c>
      <c r="B121" t="inlineStr">
        <is>
          <t>05/17</t>
        </is>
      </c>
      <c r="C121" t="inlineStr">
        <is>
          <t>GAM</t>
        </is>
      </c>
      <c r="D121" t="n">
        <v>4</v>
      </c>
      <c r="E121" t="n">
        <v>1</v>
      </c>
      <c r="F121" t="n">
        <v>4</v>
      </c>
      <c r="G121" t="n">
        <v>5</v>
      </c>
      <c r="H121" t="n">
        <v>9</v>
      </c>
    </row>
    <row r="122">
      <c r="A122" t="inlineStr">
        <is>
          <t>Shad0w</t>
        </is>
      </c>
      <c r="B122" t="inlineStr">
        <is>
          <t>10/26</t>
        </is>
      </c>
      <c r="C122" t="inlineStr">
        <is>
          <t>T1</t>
        </is>
      </c>
      <c r="D122" t="n">
        <v>2</v>
      </c>
      <c r="E122" t="n">
        <v>0</v>
      </c>
      <c r="F122" t="n">
        <v>0</v>
      </c>
      <c r="G122" t="n">
        <v>2</v>
      </c>
      <c r="H122" t="n">
        <v>2</v>
      </c>
    </row>
    <row r="123">
      <c r="A123" t="inlineStr">
        <is>
          <t>Shad0w</t>
        </is>
      </c>
      <c r="B123" t="inlineStr">
        <is>
          <t>10/24</t>
        </is>
      </c>
      <c r="C123" t="inlineStr">
        <is>
          <t>MKOI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Shad0w</t>
        </is>
      </c>
      <c r="B124" t="inlineStr">
        <is>
          <t>10/23</t>
        </is>
      </c>
      <c r="C124" t="inlineStr">
        <is>
          <t>TL</t>
        </is>
      </c>
      <c r="D124" t="n">
        <v>5</v>
      </c>
      <c r="E124" t="n">
        <v>0</v>
      </c>
      <c r="F124" t="n">
        <v>0</v>
      </c>
      <c r="G124" t="n">
        <v>5</v>
      </c>
      <c r="H124" t="n">
        <v>5</v>
      </c>
    </row>
    <row r="125">
      <c r="A125" t="inlineStr">
        <is>
          <t>Shad0w</t>
        </is>
      </c>
      <c r="B125" t="inlineStr">
        <is>
          <t>08/30</t>
        </is>
      </c>
      <c r="C125" t="inlineStr">
        <is>
          <t>TSW</t>
        </is>
      </c>
      <c r="D125" t="n">
        <v>2</v>
      </c>
      <c r="E125" t="n">
        <v>1</v>
      </c>
      <c r="F125" t="n">
        <v>3</v>
      </c>
      <c r="G125" t="n">
        <v>3</v>
      </c>
      <c r="H125" t="n">
        <v>6</v>
      </c>
    </row>
    <row r="126">
      <c r="A126" t="inlineStr">
        <is>
          <t>Shad0w</t>
        </is>
      </c>
      <c r="B126" t="inlineStr">
        <is>
          <t>08/29</t>
        </is>
      </c>
      <c r="C126" t="inlineStr">
        <is>
          <t>MVK</t>
        </is>
      </c>
      <c r="D126" t="n">
        <v>9</v>
      </c>
      <c r="E126" t="n">
        <v>3</v>
      </c>
      <c r="F126" t="n">
        <v>1</v>
      </c>
      <c r="G126" t="n">
        <v>12</v>
      </c>
      <c r="H126" t="n">
        <v>13</v>
      </c>
    </row>
    <row r="127">
      <c r="A127" t="inlineStr">
        <is>
          <t>Shad0w</t>
        </is>
      </c>
      <c r="B127" t="inlineStr">
        <is>
          <t>08/23</t>
        </is>
      </c>
      <c r="C127" t="inlineStr">
        <is>
          <t>TSW</t>
        </is>
      </c>
      <c r="D127" t="n">
        <v>1</v>
      </c>
      <c r="E127" t="n">
        <v>1</v>
      </c>
      <c r="F127" t="n">
        <v>4</v>
      </c>
      <c r="G127" t="n">
        <v>2</v>
      </c>
      <c r="H127" t="n">
        <v>6</v>
      </c>
    </row>
    <row r="128">
      <c r="A128" t="inlineStr">
        <is>
          <t>Shad0w</t>
        </is>
      </c>
      <c r="B128" t="inlineStr">
        <is>
          <t>08/20</t>
        </is>
      </c>
      <c r="C128" t="inlineStr">
        <is>
          <t>MVK</t>
        </is>
      </c>
      <c r="D128" t="n">
        <v>7</v>
      </c>
      <c r="E128" t="n">
        <v>2</v>
      </c>
      <c r="F128" t="n">
        <v>7</v>
      </c>
      <c r="G128" t="n">
        <v>9</v>
      </c>
      <c r="H128" t="n">
        <v>16</v>
      </c>
    </row>
    <row r="129">
      <c r="A129" t="inlineStr">
        <is>
          <t>Shad0w</t>
        </is>
      </c>
      <c r="B129" t="inlineStr">
        <is>
          <t>08/16</t>
        </is>
      </c>
      <c r="C129" t="inlineStr">
        <is>
          <t>TSW</t>
        </is>
      </c>
      <c r="D129" t="n">
        <v>3</v>
      </c>
      <c r="E129" t="n">
        <v>5</v>
      </c>
      <c r="F129" t="n">
        <v>6</v>
      </c>
      <c r="G129" t="n">
        <v>8</v>
      </c>
      <c r="H129" t="n">
        <v>14</v>
      </c>
    </row>
    <row r="130">
      <c r="A130" t="inlineStr">
        <is>
          <t>Shad0w</t>
        </is>
      </c>
      <c r="B130" t="inlineStr">
        <is>
          <t>08/14</t>
        </is>
      </c>
      <c r="C130" t="inlineStr">
        <is>
          <t>MVK</t>
        </is>
      </c>
      <c r="D130" t="n">
        <v>2</v>
      </c>
      <c r="E130" t="n">
        <v>2</v>
      </c>
      <c r="F130" t="n">
        <v>5</v>
      </c>
      <c r="G130" t="n">
        <v>4</v>
      </c>
      <c r="H130" t="n">
        <v>9</v>
      </c>
    </row>
    <row r="131">
      <c r="A131" t="inlineStr">
        <is>
          <t>Shad0w</t>
        </is>
      </c>
      <c r="B131" t="inlineStr">
        <is>
          <t>08/09</t>
        </is>
      </c>
      <c r="C131" t="inlineStr">
        <is>
          <t>GZ</t>
        </is>
      </c>
      <c r="D131" t="n">
        <v>0</v>
      </c>
      <c r="E131" t="n">
        <v>4</v>
      </c>
      <c r="F131" t="n">
        <v>4</v>
      </c>
      <c r="G131" t="n">
        <v>4</v>
      </c>
      <c r="H131" t="n">
        <v>8</v>
      </c>
    </row>
    <row r="132">
      <c r="A132" t="inlineStr">
        <is>
          <t>Shad0w</t>
        </is>
      </c>
      <c r="B132" t="inlineStr">
        <is>
          <t>08/02</t>
        </is>
      </c>
      <c r="C132" t="inlineStr">
        <is>
          <t>TSW</t>
        </is>
      </c>
      <c r="D132" t="n">
        <v>2</v>
      </c>
      <c r="E132" t="n">
        <v>1</v>
      </c>
      <c r="F132" t="n">
        <v>1</v>
      </c>
      <c r="G132" t="n">
        <v>3</v>
      </c>
      <c r="H132" t="n">
        <v>4</v>
      </c>
    </row>
    <row r="133">
      <c r="A133" t="inlineStr">
        <is>
          <t>Shad0w</t>
        </is>
      </c>
      <c r="B133" t="inlineStr">
        <is>
          <t>07/31</t>
        </is>
      </c>
      <c r="C133" t="inlineStr">
        <is>
          <t>GAM</t>
        </is>
      </c>
      <c r="D133" t="n">
        <v>2</v>
      </c>
      <c r="E133" t="n">
        <v>2</v>
      </c>
      <c r="F133" t="n">
        <v>3</v>
      </c>
      <c r="G133" t="n">
        <v>4</v>
      </c>
      <c r="H133" t="n">
        <v>7</v>
      </c>
    </row>
    <row r="134">
      <c r="A134" t="inlineStr">
        <is>
          <t>Shad0w</t>
        </is>
      </c>
      <c r="B134" t="inlineStr">
        <is>
          <t>07/26</t>
        </is>
      </c>
      <c r="C134" t="inlineStr">
        <is>
          <t>DCG</t>
        </is>
      </c>
      <c r="D134" t="n">
        <v>5</v>
      </c>
      <c r="E134" t="n">
        <v>8</v>
      </c>
      <c r="F134" t="n">
        <v>0</v>
      </c>
      <c r="G134" t="n">
        <v>13</v>
      </c>
      <c r="H134" t="n">
        <v>13</v>
      </c>
    </row>
    <row r="135">
      <c r="A135" t="inlineStr">
        <is>
          <t>Shad0w</t>
        </is>
      </c>
      <c r="B135" t="inlineStr">
        <is>
          <t>05/23</t>
        </is>
      </c>
      <c r="C135" t="inlineStr">
        <is>
          <t>MVK</t>
        </is>
      </c>
      <c r="D135" t="n">
        <v>5</v>
      </c>
      <c r="E135" t="n">
        <v>2</v>
      </c>
      <c r="F135" t="n">
        <v>2</v>
      </c>
      <c r="G135" t="n">
        <v>7</v>
      </c>
      <c r="H135" t="n">
        <v>9</v>
      </c>
    </row>
    <row r="136">
      <c r="A136" t="inlineStr">
        <is>
          <t>Shad0w</t>
        </is>
      </c>
      <c r="B136" t="inlineStr">
        <is>
          <t>05/17</t>
        </is>
      </c>
      <c r="C136" t="inlineStr">
        <is>
          <t>GAM</t>
        </is>
      </c>
      <c r="D136" t="n">
        <v>6</v>
      </c>
      <c r="E136" t="n">
        <v>1</v>
      </c>
      <c r="F136" t="n">
        <v>4</v>
      </c>
      <c r="G136" t="n">
        <v>7</v>
      </c>
      <c r="H136" t="n">
        <v>11</v>
      </c>
    </row>
    <row r="137">
      <c r="A137" t="inlineStr">
        <is>
          <t>Bignum</t>
        </is>
      </c>
      <c r="B137" t="inlineStr">
        <is>
          <t>10/26</t>
        </is>
      </c>
      <c r="C137" t="inlineStr">
        <is>
          <t>OG</t>
        </is>
      </c>
      <c r="D137" t="n">
        <v>4</v>
      </c>
      <c r="E137" t="n">
        <v>5</v>
      </c>
      <c r="F137" t="n">
        <v>7</v>
      </c>
      <c r="G137" t="n">
        <v>9</v>
      </c>
      <c r="H137" t="n">
        <v>16</v>
      </c>
    </row>
    <row r="138">
      <c r="A138" t="inlineStr">
        <is>
          <t>Bignum</t>
        </is>
      </c>
      <c r="B138" t="inlineStr">
        <is>
          <t>10/24</t>
        </is>
      </c>
      <c r="C138" t="inlineStr">
        <is>
          <t>1WIN</t>
        </is>
      </c>
      <c r="D138" t="n">
        <v>1</v>
      </c>
      <c r="E138" t="n">
        <v>4</v>
      </c>
      <c r="F138" t="n">
        <v>0</v>
      </c>
      <c r="G138" t="n">
        <v>5</v>
      </c>
      <c r="H138" t="n">
        <v>5</v>
      </c>
    </row>
    <row r="139">
      <c r="A139" t="inlineStr">
        <is>
          <t>Bignum</t>
        </is>
      </c>
      <c r="B139" t="inlineStr">
        <is>
          <t>10/23</t>
        </is>
      </c>
      <c r="C139" t="inlineStr">
        <is>
          <t>Liquid</t>
        </is>
      </c>
      <c r="D139" t="n">
        <v>6</v>
      </c>
      <c r="E139" t="n">
        <v>12</v>
      </c>
      <c r="F139" t="n">
        <v>0</v>
      </c>
      <c r="G139" t="n">
        <v>18</v>
      </c>
      <c r="H139" t="n">
        <v>18</v>
      </c>
    </row>
    <row r="140">
      <c r="A140" t="inlineStr">
        <is>
          <t>Bignum</t>
        </is>
      </c>
      <c r="B140" t="inlineStr">
        <is>
          <t>10/22</t>
        </is>
      </c>
      <c r="C140" t="inlineStr">
        <is>
          <t>TY</t>
        </is>
      </c>
      <c r="D140" t="n">
        <v>2</v>
      </c>
      <c r="E140" t="n">
        <v>5</v>
      </c>
      <c r="F140" t="n">
        <v>0</v>
      </c>
      <c r="G140" t="n">
        <v>7</v>
      </c>
      <c r="H140" t="n">
        <v>7</v>
      </c>
    </row>
    <row r="141">
      <c r="A141" t="inlineStr">
        <is>
          <t>Bignum</t>
        </is>
      </c>
      <c r="B141" t="inlineStr">
        <is>
          <t>10/03</t>
        </is>
      </c>
      <c r="C141" t="inlineStr">
        <is>
          <t>LGD</t>
        </is>
      </c>
      <c r="D141" t="n">
        <v>6</v>
      </c>
      <c r="E141" t="n">
        <v>1</v>
      </c>
      <c r="F141" t="n">
        <v>1</v>
      </c>
      <c r="G141" t="n">
        <v>7</v>
      </c>
      <c r="H141" t="n">
        <v>8</v>
      </c>
    </row>
    <row r="142">
      <c r="A142" t="inlineStr">
        <is>
          <t>Bignum</t>
        </is>
      </c>
      <c r="B142" t="inlineStr">
        <is>
          <t>10/02</t>
        </is>
      </c>
      <c r="C142" t="inlineStr">
        <is>
          <t>Liquid</t>
        </is>
      </c>
      <c r="D142" t="n">
        <v>2</v>
      </c>
      <c r="E142" t="n">
        <v>4</v>
      </c>
      <c r="F142" t="n">
        <v>0</v>
      </c>
      <c r="G142" t="n">
        <v>6</v>
      </c>
      <c r="H142" t="n">
        <v>6</v>
      </c>
    </row>
    <row r="143">
      <c r="A143" t="inlineStr">
        <is>
          <t>Bignum</t>
        </is>
      </c>
      <c r="B143" t="inlineStr">
        <is>
          <t>10/01</t>
        </is>
      </c>
      <c r="C143" t="inlineStr">
        <is>
          <t>YB</t>
        </is>
      </c>
      <c r="D143" t="n">
        <v>9</v>
      </c>
      <c r="E143" t="n">
        <v>9</v>
      </c>
      <c r="F143" t="n">
        <v>0</v>
      </c>
      <c r="G143" t="n">
        <v>18</v>
      </c>
      <c r="H143" t="n">
        <v>18</v>
      </c>
    </row>
    <row r="144">
      <c r="A144" t="inlineStr">
        <is>
          <t>Bignum</t>
        </is>
      </c>
      <c r="B144" t="inlineStr">
        <is>
          <t>09/29</t>
        </is>
      </c>
      <c r="C144" t="inlineStr">
        <is>
          <t>AUR</t>
        </is>
      </c>
      <c r="D144" t="n">
        <v>2</v>
      </c>
      <c r="E144" t="n">
        <v>5</v>
      </c>
      <c r="F144" t="n">
        <v>0</v>
      </c>
      <c r="G144" t="n">
        <v>7</v>
      </c>
      <c r="H144" t="n">
        <v>7</v>
      </c>
    </row>
    <row r="145">
      <c r="A145" t="inlineStr">
        <is>
          <t>Bignum</t>
        </is>
      </c>
      <c r="B145" t="inlineStr">
        <is>
          <t>09/26</t>
        </is>
      </c>
      <c r="C145" t="inlineStr">
        <is>
          <t>Xtreme</t>
        </is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</row>
    <row r="146">
      <c r="A146" t="inlineStr">
        <is>
          <t>Bignum</t>
        </is>
      </c>
      <c r="B146" t="inlineStr">
        <is>
          <t>09/25</t>
        </is>
      </c>
      <c r="C146" t="inlineStr">
        <is>
          <t>1WIN</t>
        </is>
      </c>
      <c r="D146" t="n">
        <v>2</v>
      </c>
      <c r="E146" t="n">
        <v>8</v>
      </c>
      <c r="F146" t="n">
        <v>5</v>
      </c>
      <c r="G146" t="n">
        <v>10</v>
      </c>
      <c r="H146" t="n">
        <v>15</v>
      </c>
    </row>
    <row r="147">
      <c r="A147" t="inlineStr">
        <is>
          <t>Bignum</t>
        </is>
      </c>
      <c r="B147" t="inlineStr">
        <is>
          <t>09/24</t>
        </is>
      </c>
      <c r="C147" t="inlineStr">
        <is>
          <t>AUR</t>
        </is>
      </c>
      <c r="D147" t="n">
        <v>7</v>
      </c>
      <c r="E147" t="n">
        <v>3</v>
      </c>
      <c r="F147" t="n">
        <v>0</v>
      </c>
      <c r="G147" t="n">
        <v>10</v>
      </c>
      <c r="H147" t="n">
        <v>10</v>
      </c>
    </row>
    <row r="148">
      <c r="A148" t="inlineStr">
        <is>
          <t>Bignum</t>
        </is>
      </c>
      <c r="B148" t="inlineStr">
        <is>
          <t>09/22</t>
        </is>
      </c>
      <c r="C148" t="inlineStr">
        <is>
          <t>Nem</t>
        </is>
      </c>
      <c r="D148" t="n">
        <v>2</v>
      </c>
      <c r="E148" t="n">
        <v>4</v>
      </c>
      <c r="F148" t="n">
        <v>1</v>
      </c>
      <c r="G148" t="n">
        <v>6</v>
      </c>
      <c r="H148" t="n">
        <v>7</v>
      </c>
    </row>
    <row r="149">
      <c r="A149" t="inlineStr">
        <is>
          <t>Bignum</t>
        </is>
      </c>
      <c r="B149" t="inlineStr">
        <is>
          <t>09/21</t>
        </is>
      </c>
      <c r="C149" t="inlineStr">
        <is>
          <t>PIPS+4</t>
        </is>
      </c>
      <c r="D149" t="n">
        <v>8</v>
      </c>
      <c r="E149" t="n">
        <v>4</v>
      </c>
      <c r="F149" t="n">
        <v>1</v>
      </c>
      <c r="G149" t="n">
        <v>12</v>
      </c>
      <c r="H149" t="n">
        <v>13</v>
      </c>
    </row>
    <row r="150">
      <c r="A150" t="inlineStr">
        <is>
          <t>Bignum</t>
        </is>
      </c>
      <c r="B150" t="inlineStr">
        <is>
          <t>09/20</t>
        </is>
      </c>
      <c r="C150" t="inlineStr">
        <is>
          <t>LGD</t>
        </is>
      </c>
      <c r="D150" t="n">
        <v>2</v>
      </c>
      <c r="E150" t="n">
        <v>1</v>
      </c>
      <c r="F150" t="n">
        <v>0</v>
      </c>
      <c r="G150" t="n">
        <v>3</v>
      </c>
      <c r="H150" t="n">
        <v>3</v>
      </c>
    </row>
    <row r="151">
      <c r="A151" t="inlineStr">
        <is>
          <t>Bignum</t>
        </is>
      </c>
      <c r="B151" t="inlineStr">
        <is>
          <t>09/19</t>
        </is>
      </c>
      <c r="C151" t="inlineStr">
        <is>
          <t>TC</t>
        </is>
      </c>
      <c r="D151" t="n">
        <v>3</v>
      </c>
      <c r="E151" t="n">
        <v>3</v>
      </c>
      <c r="F151" t="n">
        <v>0</v>
      </c>
      <c r="G151" t="n">
        <v>6</v>
      </c>
      <c r="H151" t="n">
        <v>6</v>
      </c>
    </row>
    <row r="152">
      <c r="A152" t="inlineStr">
        <is>
          <t>Fayde</t>
        </is>
      </c>
      <c r="B152" t="inlineStr">
        <is>
          <t>10/26</t>
        </is>
      </c>
      <c r="C152" t="inlineStr">
        <is>
          <t>OG</t>
        </is>
      </c>
      <c r="D152" t="n">
        <v>7</v>
      </c>
      <c r="E152" t="n">
        <v>3</v>
      </c>
      <c r="F152" t="n">
        <v>4</v>
      </c>
      <c r="G152" t="n">
        <v>10</v>
      </c>
      <c r="H152" t="n">
        <v>14</v>
      </c>
    </row>
    <row r="153">
      <c r="A153" t="inlineStr">
        <is>
          <t>Fayde</t>
        </is>
      </c>
      <c r="B153" t="inlineStr">
        <is>
          <t>10/24</t>
        </is>
      </c>
      <c r="C153" t="inlineStr">
        <is>
          <t>1WIN</t>
        </is>
      </c>
      <c r="D153" t="n">
        <v>10</v>
      </c>
      <c r="E153" t="n">
        <v>7</v>
      </c>
      <c r="F153" t="n">
        <v>0</v>
      </c>
      <c r="G153" t="n">
        <v>17</v>
      </c>
      <c r="H153" t="n">
        <v>17</v>
      </c>
    </row>
    <row r="154">
      <c r="A154" t="inlineStr">
        <is>
          <t>Fayde</t>
        </is>
      </c>
      <c r="B154" t="inlineStr">
        <is>
          <t>10/23</t>
        </is>
      </c>
      <c r="C154" t="inlineStr">
        <is>
          <t>Liquid</t>
        </is>
      </c>
      <c r="D154" t="n">
        <v>10</v>
      </c>
      <c r="E154" t="n">
        <v>12</v>
      </c>
      <c r="F154" t="n">
        <v>0</v>
      </c>
      <c r="G154" t="n">
        <v>22</v>
      </c>
      <c r="H154" t="n">
        <v>22</v>
      </c>
    </row>
    <row r="155">
      <c r="A155" t="inlineStr">
        <is>
          <t>Fayde</t>
        </is>
      </c>
      <c r="B155" t="inlineStr">
        <is>
          <t>10/22</t>
        </is>
      </c>
      <c r="C155" t="inlineStr">
        <is>
          <t>TY</t>
        </is>
      </c>
      <c r="D155" t="n">
        <v>3</v>
      </c>
      <c r="E155" t="n">
        <v>3</v>
      </c>
      <c r="F155" t="n">
        <v>0</v>
      </c>
      <c r="G155" t="n">
        <v>6</v>
      </c>
      <c r="H155" t="n">
        <v>6</v>
      </c>
    </row>
    <row r="156">
      <c r="A156" t="inlineStr">
        <is>
          <t>Fayde</t>
        </is>
      </c>
      <c r="B156" t="inlineStr">
        <is>
          <t>10/14</t>
        </is>
      </c>
      <c r="C156" t="inlineStr">
        <is>
          <t>Nix</t>
        </is>
      </c>
      <c r="D156" t="n">
        <v>10</v>
      </c>
      <c r="E156" t="n">
        <v>0</v>
      </c>
      <c r="F156" t="n">
        <v>0</v>
      </c>
      <c r="G156" t="n">
        <v>10</v>
      </c>
      <c r="H156" t="n">
        <v>10</v>
      </c>
    </row>
    <row r="157">
      <c r="A157" t="inlineStr">
        <is>
          <t>Fayde</t>
        </is>
      </c>
      <c r="B157" t="inlineStr">
        <is>
          <t>10/03</t>
        </is>
      </c>
      <c r="C157" t="inlineStr">
        <is>
          <t>LGD</t>
        </is>
      </c>
      <c r="D157" t="n">
        <v>6</v>
      </c>
      <c r="E157" t="n">
        <v>0</v>
      </c>
      <c r="F157" t="n">
        <v>2</v>
      </c>
      <c r="G157" t="n">
        <v>6</v>
      </c>
      <c r="H157" t="n">
        <v>8</v>
      </c>
    </row>
    <row r="158">
      <c r="A158" t="inlineStr">
        <is>
          <t>Fayde</t>
        </is>
      </c>
      <c r="B158" t="inlineStr">
        <is>
          <t>10/02</t>
        </is>
      </c>
      <c r="C158" t="inlineStr">
        <is>
          <t>Liquid</t>
        </is>
      </c>
      <c r="D158" t="n">
        <v>8</v>
      </c>
      <c r="E158" t="n">
        <v>6</v>
      </c>
      <c r="F158" t="n">
        <v>0</v>
      </c>
      <c r="G158" t="n">
        <v>14</v>
      </c>
      <c r="H158" t="n">
        <v>14</v>
      </c>
    </row>
    <row r="159">
      <c r="A159" t="inlineStr">
        <is>
          <t>Fayde</t>
        </is>
      </c>
      <c r="B159" t="inlineStr">
        <is>
          <t>10/01</t>
        </is>
      </c>
      <c r="C159" t="inlineStr">
        <is>
          <t>YB</t>
        </is>
      </c>
      <c r="D159" t="n">
        <v>13</v>
      </c>
      <c r="E159" t="n">
        <v>8</v>
      </c>
      <c r="F159" t="n">
        <v>0</v>
      </c>
      <c r="G159" t="n">
        <v>21</v>
      </c>
      <c r="H159" t="n">
        <v>21</v>
      </c>
    </row>
    <row r="160">
      <c r="A160" t="inlineStr">
        <is>
          <t>Fayde</t>
        </is>
      </c>
      <c r="B160" t="inlineStr">
        <is>
          <t>09/29</t>
        </is>
      </c>
      <c r="C160" t="inlineStr">
        <is>
          <t>AUR</t>
        </is>
      </c>
      <c r="D160" t="n">
        <v>3</v>
      </c>
      <c r="E160" t="n">
        <v>5</v>
      </c>
      <c r="F160" t="n">
        <v>0</v>
      </c>
      <c r="G160" t="n">
        <v>8</v>
      </c>
      <c r="H160" t="n">
        <v>8</v>
      </c>
    </row>
    <row r="161">
      <c r="A161" t="inlineStr">
        <is>
          <t>Fayde</t>
        </is>
      </c>
      <c r="B161" t="inlineStr">
        <is>
          <t>09/26</t>
        </is>
      </c>
      <c r="C161" t="inlineStr">
        <is>
          <t>Xtreme</t>
        </is>
      </c>
      <c r="D161" t="n">
        <v>1</v>
      </c>
      <c r="E161" t="n">
        <v>3</v>
      </c>
      <c r="F161" t="n">
        <v>0</v>
      </c>
      <c r="G161" t="n">
        <v>4</v>
      </c>
      <c r="H161" t="n">
        <v>4</v>
      </c>
    </row>
    <row r="162">
      <c r="A162" t="inlineStr">
        <is>
          <t>Fayde</t>
        </is>
      </c>
      <c r="B162" t="inlineStr">
        <is>
          <t>09/25</t>
        </is>
      </c>
      <c r="C162" t="inlineStr">
        <is>
          <t>1WIN</t>
        </is>
      </c>
      <c r="D162" t="n">
        <v>9</v>
      </c>
      <c r="E162" t="n">
        <v>2</v>
      </c>
      <c r="F162" t="n">
        <v>3</v>
      </c>
      <c r="G162" t="n">
        <v>11</v>
      </c>
      <c r="H162" t="n">
        <v>14</v>
      </c>
    </row>
    <row r="163">
      <c r="A163" t="inlineStr">
        <is>
          <t>Fayde</t>
        </is>
      </c>
      <c r="B163" t="inlineStr">
        <is>
          <t>09/24</t>
        </is>
      </c>
      <c r="C163" t="inlineStr">
        <is>
          <t>AUR</t>
        </is>
      </c>
      <c r="D163" t="n">
        <v>7</v>
      </c>
      <c r="E163" t="n">
        <v>2</v>
      </c>
      <c r="F163" t="n">
        <v>0</v>
      </c>
      <c r="G163" t="n">
        <v>9</v>
      </c>
      <c r="H163" t="n">
        <v>9</v>
      </c>
    </row>
    <row r="164">
      <c r="A164" t="inlineStr">
        <is>
          <t>Fayde</t>
        </is>
      </c>
      <c r="B164" t="inlineStr">
        <is>
          <t>09/22</t>
        </is>
      </c>
      <c r="C164" t="inlineStr">
        <is>
          <t>Nem</t>
        </is>
      </c>
      <c r="D164" t="n">
        <v>1</v>
      </c>
      <c r="E164" t="n">
        <v>6</v>
      </c>
      <c r="F164" t="n">
        <v>6</v>
      </c>
      <c r="G164" t="n">
        <v>7</v>
      </c>
      <c r="H164" t="n">
        <v>13</v>
      </c>
    </row>
    <row r="165">
      <c r="A165" t="inlineStr">
        <is>
          <t>Fayde</t>
        </is>
      </c>
      <c r="B165" t="inlineStr">
        <is>
          <t>09/21</t>
        </is>
      </c>
      <c r="C165" t="inlineStr">
        <is>
          <t>PIPS+4</t>
        </is>
      </c>
      <c r="D165" t="n">
        <v>2</v>
      </c>
      <c r="E165" t="n">
        <v>10</v>
      </c>
      <c r="F165" t="n">
        <v>12</v>
      </c>
      <c r="G165" t="n">
        <v>12</v>
      </c>
      <c r="H165" t="n">
        <v>24</v>
      </c>
    </row>
    <row r="166">
      <c r="A166" t="inlineStr">
        <is>
          <t>Fayde</t>
        </is>
      </c>
      <c r="B166" t="inlineStr">
        <is>
          <t>09/20</t>
        </is>
      </c>
      <c r="C166" t="inlineStr">
        <is>
          <t>LGD</t>
        </is>
      </c>
      <c r="D166" t="n">
        <v>1</v>
      </c>
      <c r="E166" t="n">
        <v>2</v>
      </c>
      <c r="F166" t="n">
        <v>0</v>
      </c>
      <c r="G166" t="n">
        <v>3</v>
      </c>
      <c r="H166" t="n">
        <v>3</v>
      </c>
    </row>
    <row r="167">
      <c r="A167" t="inlineStr">
        <is>
          <t>RCY</t>
        </is>
      </c>
      <c r="B167" t="inlineStr">
        <is>
          <t>10/26</t>
        </is>
      </c>
      <c r="C167" t="inlineStr">
        <is>
          <t>OG</t>
        </is>
      </c>
      <c r="D167" t="n">
        <v>7</v>
      </c>
      <c r="E167" t="n">
        <v>12</v>
      </c>
      <c r="F167" t="n">
        <v>13</v>
      </c>
      <c r="G167" t="n">
        <v>19</v>
      </c>
      <c r="H167" t="n">
        <v>32</v>
      </c>
    </row>
    <row r="168">
      <c r="A168" t="inlineStr">
        <is>
          <t>RCY</t>
        </is>
      </c>
      <c r="B168" t="inlineStr">
        <is>
          <t>10/24</t>
        </is>
      </c>
      <c r="C168" t="inlineStr">
        <is>
          <t>1WIN</t>
        </is>
      </c>
      <c r="D168" t="n">
        <v>5</v>
      </c>
      <c r="E168" t="n">
        <v>8</v>
      </c>
      <c r="F168" t="n">
        <v>0</v>
      </c>
      <c r="G168" t="n">
        <v>13</v>
      </c>
      <c r="H168" t="n">
        <v>13</v>
      </c>
    </row>
    <row r="169">
      <c r="A169" t="inlineStr">
        <is>
          <t>RCY</t>
        </is>
      </c>
      <c r="B169" t="inlineStr">
        <is>
          <t>10/23</t>
        </is>
      </c>
      <c r="C169" t="inlineStr">
        <is>
          <t>Liquid</t>
        </is>
      </c>
      <c r="D169" t="n">
        <v>13</v>
      </c>
      <c r="E169" t="n">
        <v>7</v>
      </c>
      <c r="F169" t="n">
        <v>0</v>
      </c>
      <c r="G169" t="n">
        <v>20</v>
      </c>
      <c r="H169" t="n">
        <v>20</v>
      </c>
    </row>
    <row r="170">
      <c r="A170" t="inlineStr">
        <is>
          <t>RCY</t>
        </is>
      </c>
      <c r="B170" t="inlineStr">
        <is>
          <t>10/22</t>
        </is>
      </c>
      <c r="C170" t="inlineStr">
        <is>
          <t>TY</t>
        </is>
      </c>
      <c r="D170" t="n">
        <v>4</v>
      </c>
      <c r="E170" t="n">
        <v>6</v>
      </c>
      <c r="F170" t="n">
        <v>0</v>
      </c>
      <c r="G170" t="n">
        <v>10</v>
      </c>
      <c r="H170" t="n">
        <v>10</v>
      </c>
    </row>
    <row r="171">
      <c r="A171" t="inlineStr">
        <is>
          <t>RCY</t>
        </is>
      </c>
      <c r="B171" t="inlineStr">
        <is>
          <t>10/03</t>
        </is>
      </c>
      <c r="C171" t="inlineStr">
        <is>
          <t>LGD</t>
        </is>
      </c>
      <c r="D171" t="n">
        <v>10</v>
      </c>
      <c r="E171" t="n">
        <v>0</v>
      </c>
      <c r="F171" t="n">
        <v>5</v>
      </c>
      <c r="G171" t="n">
        <v>10</v>
      </c>
      <c r="H171" t="n">
        <v>15</v>
      </c>
    </row>
    <row r="172">
      <c r="A172" t="inlineStr">
        <is>
          <t>RCY</t>
        </is>
      </c>
      <c r="B172" t="inlineStr">
        <is>
          <t>10/02</t>
        </is>
      </c>
      <c r="C172" t="inlineStr">
        <is>
          <t>Liquid</t>
        </is>
      </c>
      <c r="D172" t="n">
        <v>8</v>
      </c>
      <c r="E172" t="n">
        <v>16</v>
      </c>
      <c r="F172" t="n">
        <v>0</v>
      </c>
      <c r="G172" t="n">
        <v>24</v>
      </c>
      <c r="H172" t="n">
        <v>24</v>
      </c>
    </row>
    <row r="173">
      <c r="A173" t="inlineStr">
        <is>
          <t>RCY</t>
        </is>
      </c>
      <c r="B173" t="inlineStr">
        <is>
          <t>10/01</t>
        </is>
      </c>
      <c r="C173" t="inlineStr">
        <is>
          <t>YB</t>
        </is>
      </c>
      <c r="D173" t="n">
        <v>5</v>
      </c>
      <c r="E173" t="n">
        <v>8</v>
      </c>
      <c r="F173" t="n">
        <v>0</v>
      </c>
      <c r="G173" t="n">
        <v>13</v>
      </c>
      <c r="H173" t="n">
        <v>13</v>
      </c>
    </row>
    <row r="174">
      <c r="A174" t="inlineStr">
        <is>
          <t>RCY</t>
        </is>
      </c>
      <c r="B174" t="inlineStr">
        <is>
          <t>09/29</t>
        </is>
      </c>
      <c r="C174" t="inlineStr">
        <is>
          <t>AUR</t>
        </is>
      </c>
      <c r="D174" t="n">
        <v>4</v>
      </c>
      <c r="E174" t="n">
        <v>4</v>
      </c>
      <c r="F174" t="n">
        <v>0</v>
      </c>
      <c r="G174" t="n">
        <v>8</v>
      </c>
      <c r="H174" t="n">
        <v>8</v>
      </c>
    </row>
    <row r="175">
      <c r="A175" t="inlineStr">
        <is>
          <t>RCY</t>
        </is>
      </c>
      <c r="B175" t="inlineStr">
        <is>
          <t>09/26</t>
        </is>
      </c>
      <c r="C175" t="inlineStr">
        <is>
          <t>Xtreme</t>
        </is>
      </c>
      <c r="D175" t="n">
        <v>5</v>
      </c>
      <c r="E175" t="n">
        <v>14</v>
      </c>
      <c r="F175" t="n">
        <v>0</v>
      </c>
      <c r="G175" t="n">
        <v>19</v>
      </c>
      <c r="H175" t="n">
        <v>19</v>
      </c>
    </row>
    <row r="176">
      <c r="A176" t="inlineStr">
        <is>
          <t>RCY</t>
        </is>
      </c>
      <c r="B176" t="inlineStr">
        <is>
          <t>09/25</t>
        </is>
      </c>
      <c r="C176" t="inlineStr">
        <is>
          <t>1WIN</t>
        </is>
      </c>
      <c r="D176" t="n">
        <v>11</v>
      </c>
      <c r="E176" t="n">
        <v>14</v>
      </c>
      <c r="F176" t="n">
        <v>10</v>
      </c>
      <c r="G176" t="n">
        <v>25</v>
      </c>
      <c r="H176" t="n">
        <v>35</v>
      </c>
    </row>
    <row r="177">
      <c r="A177" t="inlineStr">
        <is>
          <t>RCY</t>
        </is>
      </c>
      <c r="B177" t="inlineStr">
        <is>
          <t>09/24</t>
        </is>
      </c>
      <c r="C177" t="inlineStr">
        <is>
          <t>AUR</t>
        </is>
      </c>
      <c r="D177" t="n">
        <v>3</v>
      </c>
      <c r="E177" t="n">
        <v>10</v>
      </c>
      <c r="F177" t="n">
        <v>0</v>
      </c>
      <c r="G177" t="n">
        <v>13</v>
      </c>
      <c r="H177" t="n">
        <v>13</v>
      </c>
    </row>
    <row r="178">
      <c r="A178" t="inlineStr">
        <is>
          <t>RCY</t>
        </is>
      </c>
      <c r="B178" t="inlineStr">
        <is>
          <t>09/22</t>
        </is>
      </c>
      <c r="C178" t="inlineStr">
        <is>
          <t>Nem</t>
        </is>
      </c>
      <c r="D178" t="n">
        <v>3</v>
      </c>
      <c r="E178" t="n">
        <v>15</v>
      </c>
      <c r="F178" t="n">
        <v>14</v>
      </c>
      <c r="G178" t="n">
        <v>18</v>
      </c>
      <c r="H178" t="n">
        <v>32</v>
      </c>
    </row>
    <row r="179">
      <c r="A179" t="inlineStr">
        <is>
          <t>RCY</t>
        </is>
      </c>
      <c r="B179" t="inlineStr">
        <is>
          <t>09/21</t>
        </is>
      </c>
      <c r="C179" t="inlineStr">
        <is>
          <t>PIPS+4</t>
        </is>
      </c>
      <c r="D179" t="n">
        <v>2</v>
      </c>
      <c r="E179" t="n">
        <v>8</v>
      </c>
      <c r="F179" t="n">
        <v>11</v>
      </c>
      <c r="G179" t="n">
        <v>10</v>
      </c>
      <c r="H179" t="n">
        <v>21</v>
      </c>
    </row>
    <row r="180">
      <c r="A180" t="inlineStr">
        <is>
          <t>RCY</t>
        </is>
      </c>
      <c r="B180" t="inlineStr">
        <is>
          <t>09/20</t>
        </is>
      </c>
      <c r="C180" t="inlineStr">
        <is>
          <t>LGD</t>
        </is>
      </c>
      <c r="D180" t="n">
        <v>4</v>
      </c>
      <c r="E180" t="n">
        <v>5</v>
      </c>
      <c r="F180" t="n">
        <v>0</v>
      </c>
      <c r="G180" t="n">
        <v>9</v>
      </c>
      <c r="H180" t="n">
        <v>9</v>
      </c>
    </row>
    <row r="181">
      <c r="A181" t="inlineStr">
        <is>
          <t>RCY</t>
        </is>
      </c>
      <c r="B181" t="inlineStr">
        <is>
          <t>09/19</t>
        </is>
      </c>
      <c r="C181" t="inlineStr">
        <is>
          <t>TC</t>
        </is>
      </c>
      <c r="D181" t="n">
        <v>8</v>
      </c>
      <c r="E181" t="n">
        <v>13</v>
      </c>
      <c r="F181" t="n">
        <v>0</v>
      </c>
      <c r="G181" t="n">
        <v>21</v>
      </c>
      <c r="H181" t="n">
        <v>21</v>
      </c>
    </row>
    <row r="182">
      <c r="A182" t="inlineStr">
        <is>
          <t>Speeed</t>
        </is>
      </c>
      <c r="B182" t="inlineStr">
        <is>
          <t>10/26</t>
        </is>
      </c>
      <c r="C182" t="inlineStr">
        <is>
          <t>OG</t>
        </is>
      </c>
      <c r="D182" t="n">
        <v>4</v>
      </c>
      <c r="E182" t="n">
        <v>5</v>
      </c>
      <c r="F182" t="n">
        <v>7</v>
      </c>
      <c r="G182" t="n">
        <v>9</v>
      </c>
      <c r="H182" t="n">
        <v>16</v>
      </c>
    </row>
    <row r="183">
      <c r="A183" t="inlineStr">
        <is>
          <t>Speeed</t>
        </is>
      </c>
      <c r="B183" t="inlineStr">
        <is>
          <t>10/24</t>
        </is>
      </c>
      <c r="C183" t="inlineStr">
        <is>
          <t>1WIN</t>
        </is>
      </c>
      <c r="D183" t="n">
        <v>1</v>
      </c>
      <c r="E183" t="n">
        <v>2</v>
      </c>
      <c r="F183" t="n">
        <v>0</v>
      </c>
      <c r="G183" t="n">
        <v>3</v>
      </c>
      <c r="H183" t="n">
        <v>3</v>
      </c>
    </row>
    <row r="184">
      <c r="A184" t="inlineStr">
        <is>
          <t>Speeed</t>
        </is>
      </c>
      <c r="B184" t="inlineStr">
        <is>
          <t>10/23</t>
        </is>
      </c>
      <c r="C184" t="inlineStr">
        <is>
          <t>Liquid</t>
        </is>
      </c>
      <c r="D184" t="n">
        <v>1</v>
      </c>
      <c r="E184" t="n">
        <v>6</v>
      </c>
      <c r="F184" t="n">
        <v>0</v>
      </c>
      <c r="G184" t="n">
        <v>7</v>
      </c>
      <c r="H184" t="n">
        <v>7</v>
      </c>
    </row>
    <row r="185">
      <c r="A185" t="inlineStr">
        <is>
          <t>Speeed</t>
        </is>
      </c>
      <c r="B185" t="inlineStr">
        <is>
          <t>10/22</t>
        </is>
      </c>
      <c r="C185" t="inlineStr">
        <is>
          <t>TY</t>
        </is>
      </c>
      <c r="D185" t="n">
        <v>1</v>
      </c>
      <c r="E185" t="n">
        <v>1</v>
      </c>
      <c r="F185" t="n">
        <v>0</v>
      </c>
      <c r="G185" t="n">
        <v>2</v>
      </c>
      <c r="H185" t="n">
        <v>2</v>
      </c>
    </row>
    <row r="186">
      <c r="A186" t="inlineStr">
        <is>
          <t>Speeed</t>
        </is>
      </c>
      <c r="B186" t="inlineStr">
        <is>
          <t>10/03</t>
        </is>
      </c>
      <c r="C186" t="inlineStr">
        <is>
          <t>LGD</t>
        </is>
      </c>
      <c r="D186" t="n">
        <v>7</v>
      </c>
      <c r="E186" t="n">
        <v>0</v>
      </c>
      <c r="F186" t="n">
        <v>1</v>
      </c>
      <c r="G186" t="n">
        <v>7</v>
      </c>
      <c r="H186" t="n">
        <v>8</v>
      </c>
    </row>
    <row r="187">
      <c r="A187" t="inlineStr">
        <is>
          <t>Speeed</t>
        </is>
      </c>
      <c r="B187" t="inlineStr">
        <is>
          <t>10/02</t>
        </is>
      </c>
      <c r="C187" t="inlineStr">
        <is>
          <t>Liquid</t>
        </is>
      </c>
      <c r="D187" t="n">
        <v>2</v>
      </c>
      <c r="E187" t="n">
        <v>6</v>
      </c>
      <c r="F187" t="n">
        <v>0</v>
      </c>
      <c r="G187" t="n">
        <v>8</v>
      </c>
      <c r="H187" t="n">
        <v>8</v>
      </c>
    </row>
    <row r="188">
      <c r="A188" t="inlineStr">
        <is>
          <t>Speeed</t>
        </is>
      </c>
      <c r="B188" t="inlineStr">
        <is>
          <t>10/01</t>
        </is>
      </c>
      <c r="C188" t="inlineStr">
        <is>
          <t>YB</t>
        </is>
      </c>
      <c r="D188" t="n">
        <v>4</v>
      </c>
      <c r="E188" t="n">
        <v>2</v>
      </c>
      <c r="F188" t="n">
        <v>0</v>
      </c>
      <c r="G188" t="n">
        <v>6</v>
      </c>
      <c r="H188" t="n">
        <v>6</v>
      </c>
    </row>
    <row r="189">
      <c r="A189" t="inlineStr">
        <is>
          <t>Speeed</t>
        </is>
      </c>
      <c r="B189" t="inlineStr">
        <is>
          <t>09/29</t>
        </is>
      </c>
      <c r="C189" t="inlineStr">
        <is>
          <t>AUR</t>
        </is>
      </c>
      <c r="D189" t="n">
        <v>1</v>
      </c>
      <c r="E189" t="n">
        <v>2</v>
      </c>
      <c r="F189" t="n">
        <v>0</v>
      </c>
      <c r="G189" t="n">
        <v>3</v>
      </c>
      <c r="H189" t="n">
        <v>3</v>
      </c>
    </row>
    <row r="190">
      <c r="A190" t="inlineStr">
        <is>
          <t>Speeed</t>
        </is>
      </c>
      <c r="B190" t="inlineStr">
        <is>
          <t>09/26</t>
        </is>
      </c>
      <c r="C190" t="inlineStr">
        <is>
          <t>Xtreme</t>
        </is>
      </c>
      <c r="D190" t="n">
        <v>1</v>
      </c>
      <c r="E190" t="n">
        <v>1</v>
      </c>
      <c r="F190" t="n">
        <v>0</v>
      </c>
      <c r="G190" t="n">
        <v>2</v>
      </c>
      <c r="H190" t="n">
        <v>2</v>
      </c>
    </row>
    <row r="191">
      <c r="A191" t="inlineStr">
        <is>
          <t>Speeed</t>
        </is>
      </c>
      <c r="B191" t="inlineStr">
        <is>
          <t>09/25</t>
        </is>
      </c>
      <c r="C191" t="inlineStr">
        <is>
          <t>1WIN</t>
        </is>
      </c>
      <c r="D191" t="n">
        <v>5</v>
      </c>
      <c r="E191" t="n">
        <v>2</v>
      </c>
      <c r="F191" t="n">
        <v>0</v>
      </c>
      <c r="G191" t="n">
        <v>7</v>
      </c>
      <c r="H191" t="n">
        <v>7</v>
      </c>
    </row>
    <row r="192">
      <c r="A192" t="inlineStr">
        <is>
          <t>Speeed</t>
        </is>
      </c>
      <c r="B192" t="inlineStr">
        <is>
          <t>09/24</t>
        </is>
      </c>
      <c r="C192" t="inlineStr">
        <is>
          <t>AUR</t>
        </is>
      </c>
      <c r="D192" t="n">
        <v>1</v>
      </c>
      <c r="E192" t="n">
        <v>3</v>
      </c>
      <c r="F192" t="n">
        <v>0</v>
      </c>
      <c r="G192" t="n">
        <v>4</v>
      </c>
      <c r="H192" t="n">
        <v>4</v>
      </c>
    </row>
    <row r="193">
      <c r="A193" t="inlineStr">
        <is>
          <t>Speeed</t>
        </is>
      </c>
      <c r="B193" t="inlineStr">
        <is>
          <t>09/22</t>
        </is>
      </c>
      <c r="C193" t="inlineStr">
        <is>
          <t>Nem</t>
        </is>
      </c>
      <c r="D193" t="n">
        <v>3</v>
      </c>
      <c r="E193" t="n">
        <v>3</v>
      </c>
      <c r="F193" t="n">
        <v>4</v>
      </c>
      <c r="G193" t="n">
        <v>6</v>
      </c>
      <c r="H193" t="n">
        <v>10</v>
      </c>
    </row>
    <row r="194">
      <c r="A194" t="inlineStr">
        <is>
          <t>Speeed</t>
        </is>
      </c>
      <c r="B194" t="inlineStr">
        <is>
          <t>09/21</t>
        </is>
      </c>
      <c r="C194" t="inlineStr">
        <is>
          <t>PIPS+4</t>
        </is>
      </c>
      <c r="D194" t="n">
        <v>5</v>
      </c>
      <c r="E194" t="n">
        <v>4</v>
      </c>
      <c r="F194" t="n">
        <v>0</v>
      </c>
      <c r="G194" t="n">
        <v>9</v>
      </c>
      <c r="H194" t="n">
        <v>9</v>
      </c>
    </row>
    <row r="195">
      <c r="A195" t="inlineStr">
        <is>
          <t>Speeed</t>
        </is>
      </c>
      <c r="B195" t="inlineStr">
        <is>
          <t>09/20</t>
        </is>
      </c>
      <c r="C195" t="inlineStr">
        <is>
          <t>LGD</t>
        </is>
      </c>
      <c r="D195" t="n">
        <v>5</v>
      </c>
      <c r="E195" t="n">
        <v>2</v>
      </c>
      <c r="F195" t="n">
        <v>0</v>
      </c>
      <c r="G195" t="n">
        <v>7</v>
      </c>
      <c r="H195" t="n">
        <v>7</v>
      </c>
    </row>
    <row r="196">
      <c r="A196" t="inlineStr">
        <is>
          <t>Speeed</t>
        </is>
      </c>
      <c r="B196" t="inlineStr">
        <is>
          <t>09/19</t>
        </is>
      </c>
      <c r="C196" t="inlineStr">
        <is>
          <t>TC</t>
        </is>
      </c>
      <c r="D196" t="n">
        <v>2</v>
      </c>
      <c r="E196" t="n">
        <v>5</v>
      </c>
      <c r="F196" t="n">
        <v>0</v>
      </c>
      <c r="G196" t="n">
        <v>7</v>
      </c>
      <c r="H196" t="n">
        <v>7</v>
      </c>
    </row>
    <row r="197">
      <c r="A197" t="inlineStr">
        <is>
          <t>Yuma</t>
        </is>
      </c>
      <c r="B197" t="inlineStr">
        <is>
          <t>10/26</t>
        </is>
      </c>
      <c r="C197" t="inlineStr">
        <is>
          <t>OG</t>
        </is>
      </c>
      <c r="D197" t="n">
        <v>10</v>
      </c>
      <c r="E197" t="n">
        <v>18</v>
      </c>
      <c r="F197" t="n">
        <v>7</v>
      </c>
      <c r="G197" t="n">
        <v>28</v>
      </c>
      <c r="H197" t="n">
        <v>35</v>
      </c>
    </row>
    <row r="198">
      <c r="A198" t="inlineStr">
        <is>
          <t>Yuma</t>
        </is>
      </c>
      <c r="B198" t="inlineStr">
        <is>
          <t>10/24</t>
        </is>
      </c>
      <c r="C198" t="inlineStr">
        <is>
          <t>1WIN</t>
        </is>
      </c>
      <c r="D198" t="n">
        <v>12</v>
      </c>
      <c r="E198" t="n">
        <v>11</v>
      </c>
      <c r="F198" t="n">
        <v>0</v>
      </c>
      <c r="G198" t="n">
        <v>23</v>
      </c>
      <c r="H198" t="n">
        <v>23</v>
      </c>
    </row>
    <row r="199">
      <c r="A199" t="inlineStr">
        <is>
          <t>Yuma</t>
        </is>
      </c>
      <c r="B199" t="inlineStr">
        <is>
          <t>10/23</t>
        </is>
      </c>
      <c r="C199" t="inlineStr">
        <is>
          <t>Liquid</t>
        </is>
      </c>
      <c r="D199" t="n">
        <v>15</v>
      </c>
      <c r="E199" t="n">
        <v>11</v>
      </c>
      <c r="F199" t="n">
        <v>0</v>
      </c>
      <c r="G199" t="n">
        <v>26</v>
      </c>
      <c r="H199" t="n">
        <v>26</v>
      </c>
    </row>
    <row r="200">
      <c r="A200" t="inlineStr">
        <is>
          <t>Yuma</t>
        </is>
      </c>
      <c r="B200" t="inlineStr">
        <is>
          <t>10/22</t>
        </is>
      </c>
      <c r="C200" t="inlineStr">
        <is>
          <t>TY</t>
        </is>
      </c>
      <c r="D200" t="n">
        <v>2</v>
      </c>
      <c r="E200" t="n">
        <v>5</v>
      </c>
      <c r="F200" t="n">
        <v>0</v>
      </c>
      <c r="G200" t="n">
        <v>7</v>
      </c>
      <c r="H200" t="n">
        <v>7</v>
      </c>
    </row>
    <row r="201">
      <c r="A201" t="inlineStr">
        <is>
          <t>Yuma</t>
        </is>
      </c>
      <c r="B201" t="inlineStr">
        <is>
          <t>10/03</t>
        </is>
      </c>
      <c r="C201" t="inlineStr">
        <is>
          <t>LGD</t>
        </is>
      </c>
      <c r="D201" t="n">
        <v>10</v>
      </c>
      <c r="E201" t="n">
        <v>0</v>
      </c>
      <c r="F201" t="n">
        <v>11</v>
      </c>
      <c r="G201" t="n">
        <v>10</v>
      </c>
      <c r="H201" t="n">
        <v>21</v>
      </c>
    </row>
    <row r="202">
      <c r="A202" t="inlineStr">
        <is>
          <t>Yuma</t>
        </is>
      </c>
      <c r="B202" t="inlineStr">
        <is>
          <t>10/02</t>
        </is>
      </c>
      <c r="C202" t="inlineStr">
        <is>
          <t>Liquid</t>
        </is>
      </c>
      <c r="D202" t="n">
        <v>7</v>
      </c>
      <c r="E202" t="n">
        <v>7</v>
      </c>
      <c r="F202" t="n">
        <v>0</v>
      </c>
      <c r="G202" t="n">
        <v>14</v>
      </c>
      <c r="H202" t="n">
        <v>14</v>
      </c>
    </row>
    <row r="203">
      <c r="A203" t="inlineStr">
        <is>
          <t>Yuma</t>
        </is>
      </c>
      <c r="B203" t="inlineStr">
        <is>
          <t>10/01</t>
        </is>
      </c>
      <c r="C203" t="inlineStr">
        <is>
          <t>YB</t>
        </is>
      </c>
      <c r="D203" t="n">
        <v>15</v>
      </c>
      <c r="E203" t="n">
        <v>15</v>
      </c>
      <c r="F203" t="n">
        <v>0</v>
      </c>
      <c r="G203" t="n">
        <v>30</v>
      </c>
      <c r="H203" t="n">
        <v>30</v>
      </c>
    </row>
    <row r="204">
      <c r="A204" t="inlineStr">
        <is>
          <t>Yuma</t>
        </is>
      </c>
      <c r="B204" t="inlineStr">
        <is>
          <t>09/29</t>
        </is>
      </c>
      <c r="C204" t="inlineStr">
        <is>
          <t>AUR</t>
        </is>
      </c>
      <c r="D204" t="n">
        <v>3</v>
      </c>
      <c r="E204" t="n">
        <v>2</v>
      </c>
      <c r="F204" t="n">
        <v>0</v>
      </c>
      <c r="G204" t="n">
        <v>5</v>
      </c>
      <c r="H204" t="n">
        <v>5</v>
      </c>
    </row>
    <row r="205">
      <c r="A205" t="inlineStr">
        <is>
          <t>Yuma</t>
        </is>
      </c>
      <c r="B205" t="inlineStr">
        <is>
          <t>09/21</t>
        </is>
      </c>
      <c r="C205" t="inlineStr">
        <is>
          <t>YB</t>
        </is>
      </c>
      <c r="D205" t="n">
        <v>6</v>
      </c>
      <c r="E205" t="n">
        <v>9</v>
      </c>
      <c r="F205" t="n">
        <v>0</v>
      </c>
      <c r="G205" t="n">
        <v>15</v>
      </c>
      <c r="H205" t="n">
        <v>15</v>
      </c>
    </row>
    <row r="206">
      <c r="A206" t="inlineStr">
        <is>
          <t>Yuma</t>
        </is>
      </c>
      <c r="B206" t="inlineStr">
        <is>
          <t>09/20</t>
        </is>
      </c>
      <c r="C206" t="inlineStr">
        <is>
          <t>TC</t>
        </is>
      </c>
      <c r="D206" t="n">
        <v>13</v>
      </c>
      <c r="E206" t="n">
        <v>5</v>
      </c>
      <c r="F206" t="n">
        <v>3</v>
      </c>
      <c r="G206" t="n">
        <v>18</v>
      </c>
      <c r="H206" t="n">
        <v>21</v>
      </c>
    </row>
    <row r="207">
      <c r="A207" t="inlineStr">
        <is>
          <t>Yuma</t>
        </is>
      </c>
      <c r="B207" t="inlineStr">
        <is>
          <t>09/19</t>
        </is>
      </c>
      <c r="C207" t="inlineStr">
        <is>
          <t>CS</t>
        </is>
      </c>
      <c r="D207" t="n">
        <v>1</v>
      </c>
      <c r="E207" t="n">
        <v>14</v>
      </c>
      <c r="F207" t="n">
        <v>10</v>
      </c>
      <c r="G207" t="n">
        <v>15</v>
      </c>
      <c r="H207" t="n">
        <v>25</v>
      </c>
    </row>
    <row r="208">
      <c r="A208" t="inlineStr">
        <is>
          <t>Yuma</t>
        </is>
      </c>
      <c r="B208" t="inlineStr">
        <is>
          <t>08/16</t>
        </is>
      </c>
      <c r="C208" t="inlineStr">
        <is>
          <t>TY</t>
        </is>
      </c>
      <c r="D208" t="n">
        <v>8</v>
      </c>
      <c r="E208" t="n">
        <v>4</v>
      </c>
      <c r="F208" t="n">
        <v>8</v>
      </c>
      <c r="G208" t="n">
        <v>12</v>
      </c>
      <c r="H208" t="n">
        <v>20</v>
      </c>
    </row>
    <row r="209">
      <c r="A209" t="inlineStr">
        <is>
          <t>Yuma</t>
        </is>
      </c>
      <c r="B209" t="inlineStr">
        <is>
          <t>08/15</t>
        </is>
      </c>
      <c r="C209" t="inlineStr">
        <is>
          <t>VG</t>
        </is>
      </c>
      <c r="D209" t="n">
        <v>15</v>
      </c>
      <c r="E209" t="n">
        <v>8</v>
      </c>
      <c r="F209" t="n">
        <v>0</v>
      </c>
      <c r="G209" t="n">
        <v>23</v>
      </c>
      <c r="H209" t="n">
        <v>23</v>
      </c>
    </row>
    <row r="210">
      <c r="A210" t="inlineStr">
        <is>
          <t>Yuma</t>
        </is>
      </c>
      <c r="B210" t="inlineStr">
        <is>
          <t>08/15</t>
        </is>
      </c>
      <c r="C210" t="inlineStr">
        <is>
          <t>Xtreme</t>
        </is>
      </c>
      <c r="D210" t="n">
        <v>4</v>
      </c>
      <c r="E210" t="n">
        <v>9</v>
      </c>
      <c r="F210" t="n">
        <v>5</v>
      </c>
      <c r="G210" t="n">
        <v>13</v>
      </c>
      <c r="H210" t="n">
        <v>18</v>
      </c>
    </row>
    <row r="211">
      <c r="A211" t="inlineStr">
        <is>
          <t>Yuma</t>
        </is>
      </c>
      <c r="B211" t="inlineStr">
        <is>
          <t>08/14</t>
        </is>
      </c>
      <c r="C211" t="inlineStr">
        <is>
          <t>NGX</t>
        </is>
      </c>
      <c r="D211" t="n">
        <v>10</v>
      </c>
      <c r="E211" t="n">
        <v>10</v>
      </c>
      <c r="F211" t="n">
        <v>0</v>
      </c>
      <c r="G211" t="n">
        <v>20</v>
      </c>
      <c r="H211" t="n">
        <v>20</v>
      </c>
    </row>
    <row r="212">
      <c r="A212" t="inlineStr">
        <is>
          <t>Busio</t>
        </is>
      </c>
      <c r="B212" t="inlineStr">
        <is>
          <t>10/26</t>
        </is>
      </c>
      <c r="C212" t="inlineStr">
        <is>
          <t>BLG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Busio</t>
        </is>
      </c>
      <c r="B213" t="inlineStr">
        <is>
          <t>10/24</t>
        </is>
      </c>
      <c r="C213" t="inlineStr">
        <is>
          <t>LY</t>
        </is>
      </c>
      <c r="D213" t="n">
        <v>1</v>
      </c>
      <c r="E213" t="n">
        <v>0</v>
      </c>
      <c r="F213" t="n">
        <v>0</v>
      </c>
      <c r="G213" t="n">
        <v>1</v>
      </c>
      <c r="H213" t="n">
        <v>1</v>
      </c>
    </row>
    <row r="214">
      <c r="A214" t="inlineStr">
        <is>
          <t>Busio</t>
        </is>
      </c>
      <c r="B214" t="inlineStr">
        <is>
          <t>10/23</t>
        </is>
      </c>
      <c r="C214" t="inlineStr">
        <is>
          <t>AL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Busio</t>
        </is>
      </c>
      <c r="B215" t="inlineStr">
        <is>
          <t>10/18</t>
        </is>
      </c>
      <c r="C215" t="inlineStr">
        <is>
          <t>MVK</t>
        </is>
      </c>
      <c r="D215" t="n">
        <v>0</v>
      </c>
      <c r="E215" t="n">
        <v>1</v>
      </c>
      <c r="F215" t="n">
        <v>1</v>
      </c>
      <c r="G215" t="n">
        <v>1</v>
      </c>
      <c r="H215" t="n">
        <v>2</v>
      </c>
    </row>
    <row r="216">
      <c r="A216" t="inlineStr">
        <is>
          <t>Busio</t>
        </is>
      </c>
      <c r="B216" t="inlineStr">
        <is>
          <t>10/16</t>
        </is>
      </c>
      <c r="C216" t="inlineStr">
        <is>
          <t>MVK</t>
        </is>
      </c>
      <c r="D216" t="n">
        <v>0</v>
      </c>
      <c r="E216" t="n">
        <v>4</v>
      </c>
      <c r="F216" t="n">
        <v>0</v>
      </c>
      <c r="G216" t="n">
        <v>4</v>
      </c>
      <c r="H216" t="n">
        <v>4</v>
      </c>
    </row>
    <row r="217">
      <c r="A217" t="inlineStr">
        <is>
          <t>Busio</t>
        </is>
      </c>
      <c r="B217" t="inlineStr">
        <is>
          <t>10/15</t>
        </is>
      </c>
      <c r="C217" t="inlineStr">
        <is>
          <t>C9</t>
        </is>
      </c>
      <c r="D217" t="n">
        <v>0</v>
      </c>
      <c r="E217" t="n">
        <v>2</v>
      </c>
      <c r="F217" t="n">
        <v>0</v>
      </c>
      <c r="G217" t="n">
        <v>2</v>
      </c>
      <c r="H217" t="n">
        <v>2</v>
      </c>
    </row>
    <row r="218">
      <c r="A218" t="inlineStr">
        <is>
          <t>Busio</t>
        </is>
      </c>
      <c r="B218" t="inlineStr">
        <is>
          <t>09/19</t>
        </is>
      </c>
      <c r="C218" t="inlineStr">
        <is>
          <t>MKOI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Busio</t>
        </is>
      </c>
      <c r="B219" t="inlineStr">
        <is>
          <t>09/06</t>
        </is>
      </c>
      <c r="C219" t="inlineStr">
        <is>
          <t>G2</t>
        </is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</row>
    <row r="220">
      <c r="A220" t="inlineStr">
        <is>
          <t>Busio</t>
        </is>
      </c>
      <c r="B220" t="inlineStr">
        <is>
          <t>09/05</t>
        </is>
      </c>
      <c r="C220" t="inlineStr">
        <is>
          <t>GX</t>
        </is>
      </c>
      <c r="D220" t="n">
        <v>1</v>
      </c>
      <c r="E220" t="n">
        <v>0</v>
      </c>
      <c r="F220" t="n">
        <v>1</v>
      </c>
      <c r="G220" t="n">
        <v>1</v>
      </c>
      <c r="H220" t="n">
        <v>2</v>
      </c>
    </row>
    <row r="221">
      <c r="A221" t="inlineStr">
        <is>
          <t>Busio</t>
        </is>
      </c>
      <c r="B221" t="inlineStr">
        <is>
          <t>08/29</t>
        </is>
      </c>
      <c r="C221" t="inlineStr">
        <is>
          <t>SK</t>
        </is>
      </c>
      <c r="D221" t="n">
        <v>0</v>
      </c>
      <c r="E221" t="n">
        <v>2</v>
      </c>
      <c r="F221" t="n">
        <v>0</v>
      </c>
      <c r="G221" t="n">
        <v>2</v>
      </c>
      <c r="H221" t="n">
        <v>2</v>
      </c>
    </row>
    <row r="222">
      <c r="A222" t="inlineStr">
        <is>
          <t>Busio</t>
        </is>
      </c>
      <c r="B222" t="inlineStr">
        <is>
          <t>08/23</t>
        </is>
      </c>
      <c r="C222" t="inlineStr">
        <is>
          <t>SHFT</t>
        </is>
      </c>
      <c r="D222" t="n">
        <v>2</v>
      </c>
      <c r="E222" t="n">
        <v>0</v>
      </c>
      <c r="F222" t="n">
        <v>1</v>
      </c>
      <c r="G222" t="n">
        <v>2</v>
      </c>
      <c r="H222" t="n">
        <v>3</v>
      </c>
    </row>
    <row r="223">
      <c r="A223" t="inlineStr">
        <is>
          <t>Busio</t>
        </is>
      </c>
      <c r="B223" t="inlineStr">
        <is>
          <t>08/17</t>
        </is>
      </c>
      <c r="C223" t="inlineStr">
        <is>
          <t>GX</t>
        </is>
      </c>
      <c r="D223" t="n">
        <v>1</v>
      </c>
      <c r="E223" t="n">
        <v>1</v>
      </c>
      <c r="F223" t="n">
        <v>0</v>
      </c>
      <c r="G223" t="n">
        <v>2</v>
      </c>
      <c r="H223" t="n">
        <v>2</v>
      </c>
    </row>
    <row r="224">
      <c r="A224" t="inlineStr">
        <is>
          <t>Busio</t>
        </is>
      </c>
      <c r="B224" t="inlineStr">
        <is>
          <t>08/09</t>
        </is>
      </c>
      <c r="C224" t="inlineStr">
        <is>
          <t>FNC</t>
        </is>
      </c>
      <c r="D224" t="n">
        <v>0</v>
      </c>
      <c r="E224" t="n">
        <v>1</v>
      </c>
      <c r="F224" t="n">
        <v>0</v>
      </c>
      <c r="G224" t="n">
        <v>1</v>
      </c>
      <c r="H224" t="n">
        <v>1</v>
      </c>
    </row>
    <row r="225">
      <c r="A225" t="inlineStr">
        <is>
          <t>Busio</t>
        </is>
      </c>
      <c r="B225" t="inlineStr">
        <is>
          <t>08/03</t>
        </is>
      </c>
      <c r="C225" t="inlineStr">
        <is>
          <t>TH</t>
        </is>
      </c>
      <c r="D225" t="n">
        <v>2</v>
      </c>
      <c r="E225" t="n">
        <v>3</v>
      </c>
      <c r="F225" t="n">
        <v>0</v>
      </c>
      <c r="G225" t="n">
        <v>5</v>
      </c>
      <c r="H225" t="n">
        <v>5</v>
      </c>
    </row>
    <row r="226">
      <c r="A226" t="inlineStr">
        <is>
          <t>Busio</t>
        </is>
      </c>
      <c r="B226" t="inlineStr">
        <is>
          <t>08/01</t>
        </is>
      </c>
      <c r="C226" t="inlineStr">
        <is>
          <t>Navi</t>
        </is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</row>
    <row r="227">
      <c r="A227" t="inlineStr">
        <is>
          <t>Caliste</t>
        </is>
      </c>
      <c r="B227" t="inlineStr">
        <is>
          <t>10/26</t>
        </is>
      </c>
      <c r="C227" t="inlineStr">
        <is>
          <t>BLG</t>
        </is>
      </c>
      <c r="D227" t="n">
        <v>4</v>
      </c>
      <c r="E227" t="n">
        <v>0</v>
      </c>
      <c r="F227" t="n">
        <v>0</v>
      </c>
      <c r="G227" t="n">
        <v>4</v>
      </c>
      <c r="H227" t="n">
        <v>4</v>
      </c>
    </row>
    <row r="228">
      <c r="A228" t="inlineStr">
        <is>
          <t>Caliste</t>
        </is>
      </c>
      <c r="B228" t="inlineStr">
        <is>
          <t>10/24</t>
        </is>
      </c>
      <c r="C228" t="inlineStr">
        <is>
          <t>LY</t>
        </is>
      </c>
      <c r="D228" t="n">
        <v>6</v>
      </c>
      <c r="E228" t="n">
        <v>0</v>
      </c>
      <c r="F228" t="n">
        <v>0</v>
      </c>
      <c r="G228" t="n">
        <v>6</v>
      </c>
      <c r="H228" t="n">
        <v>6</v>
      </c>
    </row>
    <row r="229">
      <c r="A229" t="inlineStr">
        <is>
          <t>Caliste</t>
        </is>
      </c>
      <c r="B229" t="inlineStr">
        <is>
          <t>10/23</t>
        </is>
      </c>
      <c r="C229" t="inlineStr">
        <is>
          <t>AL</t>
        </is>
      </c>
      <c r="D229" t="n">
        <v>3</v>
      </c>
      <c r="E229" t="n">
        <v>0</v>
      </c>
      <c r="F229" t="n">
        <v>0</v>
      </c>
      <c r="G229" t="n">
        <v>3</v>
      </c>
      <c r="H229" t="n">
        <v>3</v>
      </c>
    </row>
    <row r="230">
      <c r="A230" t="inlineStr">
        <is>
          <t>Caliste</t>
        </is>
      </c>
      <c r="B230" t="inlineStr">
        <is>
          <t>10/18</t>
        </is>
      </c>
      <c r="C230" t="inlineStr">
        <is>
          <t>MVK</t>
        </is>
      </c>
      <c r="D230" t="n">
        <v>6</v>
      </c>
      <c r="E230" t="n">
        <v>2</v>
      </c>
      <c r="F230" t="n">
        <v>9</v>
      </c>
      <c r="G230" t="n">
        <v>8</v>
      </c>
      <c r="H230" t="n">
        <v>17</v>
      </c>
    </row>
    <row r="231">
      <c r="A231" t="inlineStr">
        <is>
          <t>Caliste</t>
        </is>
      </c>
      <c r="B231" t="inlineStr">
        <is>
          <t>10/16</t>
        </is>
      </c>
      <c r="C231" t="inlineStr">
        <is>
          <t>MVK</t>
        </is>
      </c>
      <c r="D231" t="n">
        <v>3</v>
      </c>
      <c r="E231" t="n">
        <v>5</v>
      </c>
      <c r="F231" t="n">
        <v>2</v>
      </c>
      <c r="G231" t="n">
        <v>8</v>
      </c>
      <c r="H231" t="n">
        <v>10</v>
      </c>
    </row>
    <row r="232">
      <c r="A232" t="inlineStr">
        <is>
          <t>Caliste</t>
        </is>
      </c>
      <c r="B232" t="inlineStr">
        <is>
          <t>10/15</t>
        </is>
      </c>
      <c r="C232" t="inlineStr">
        <is>
          <t>C9</t>
        </is>
      </c>
      <c r="D232" t="n">
        <v>0</v>
      </c>
      <c r="E232" t="n">
        <v>4</v>
      </c>
      <c r="F232" t="n">
        <v>2</v>
      </c>
      <c r="G232" t="n">
        <v>4</v>
      </c>
      <c r="H232" t="n">
        <v>6</v>
      </c>
    </row>
    <row r="233">
      <c r="A233" t="inlineStr">
        <is>
          <t>Caliste</t>
        </is>
      </c>
      <c r="B233" t="inlineStr">
        <is>
          <t>09/19</t>
        </is>
      </c>
      <c r="C233" t="inlineStr">
        <is>
          <t>MKOI</t>
        </is>
      </c>
      <c r="D233" t="n">
        <v>6</v>
      </c>
      <c r="E233" t="n">
        <v>5</v>
      </c>
      <c r="F233" t="n">
        <v>0</v>
      </c>
      <c r="G233" t="n">
        <v>11</v>
      </c>
      <c r="H233" t="n">
        <v>11</v>
      </c>
    </row>
    <row r="234">
      <c r="A234" t="inlineStr">
        <is>
          <t>Caliste</t>
        </is>
      </c>
      <c r="B234" t="inlineStr">
        <is>
          <t>09/06</t>
        </is>
      </c>
      <c r="C234" t="inlineStr">
        <is>
          <t>G2</t>
        </is>
      </c>
      <c r="D234" t="n">
        <v>4</v>
      </c>
      <c r="E234" t="n">
        <v>3</v>
      </c>
      <c r="F234" t="n">
        <v>4</v>
      </c>
      <c r="G234" t="n">
        <v>7</v>
      </c>
      <c r="H234" t="n">
        <v>11</v>
      </c>
    </row>
    <row r="235">
      <c r="A235" t="inlineStr">
        <is>
          <t>Caliste</t>
        </is>
      </c>
      <c r="B235" t="inlineStr">
        <is>
          <t>09/05</t>
        </is>
      </c>
      <c r="C235" t="inlineStr">
        <is>
          <t>GX</t>
        </is>
      </c>
      <c r="D235" t="n">
        <v>1</v>
      </c>
      <c r="E235" t="n">
        <v>2</v>
      </c>
      <c r="F235" t="n">
        <v>3</v>
      </c>
      <c r="G235" t="n">
        <v>3</v>
      </c>
      <c r="H235" t="n">
        <v>6</v>
      </c>
    </row>
    <row r="236">
      <c r="A236" t="inlineStr">
        <is>
          <t>Caliste</t>
        </is>
      </c>
      <c r="B236" t="inlineStr">
        <is>
          <t>08/29</t>
        </is>
      </c>
      <c r="C236" t="inlineStr">
        <is>
          <t>SK</t>
        </is>
      </c>
      <c r="D236" t="n">
        <v>7</v>
      </c>
      <c r="E236" t="n">
        <v>7</v>
      </c>
      <c r="F236" t="n">
        <v>0</v>
      </c>
      <c r="G236" t="n">
        <v>14</v>
      </c>
      <c r="H236" t="n">
        <v>14</v>
      </c>
    </row>
    <row r="237">
      <c r="A237" t="inlineStr">
        <is>
          <t>Caliste</t>
        </is>
      </c>
      <c r="B237" t="inlineStr">
        <is>
          <t>08/23</t>
        </is>
      </c>
      <c r="C237" t="inlineStr">
        <is>
          <t>SHFT</t>
        </is>
      </c>
      <c r="D237" t="n">
        <v>6</v>
      </c>
      <c r="E237" t="n">
        <v>9</v>
      </c>
      <c r="F237" t="n">
        <v>4</v>
      </c>
      <c r="G237" t="n">
        <v>15</v>
      </c>
      <c r="H237" t="n">
        <v>19</v>
      </c>
    </row>
    <row r="238">
      <c r="A238" t="inlineStr">
        <is>
          <t>Caliste</t>
        </is>
      </c>
      <c r="B238" t="inlineStr">
        <is>
          <t>08/17</t>
        </is>
      </c>
      <c r="C238" t="inlineStr">
        <is>
          <t>GX</t>
        </is>
      </c>
      <c r="D238" t="n">
        <v>9</v>
      </c>
      <c r="E238" t="n">
        <v>2</v>
      </c>
      <c r="F238" t="n">
        <v>0</v>
      </c>
      <c r="G238" t="n">
        <v>11</v>
      </c>
      <c r="H238" t="n">
        <v>11</v>
      </c>
    </row>
    <row r="239">
      <c r="A239" t="inlineStr">
        <is>
          <t>Caliste</t>
        </is>
      </c>
      <c r="B239" t="inlineStr">
        <is>
          <t>08/09</t>
        </is>
      </c>
      <c r="C239" t="inlineStr">
        <is>
          <t>FNC</t>
        </is>
      </c>
      <c r="D239" t="n">
        <v>6</v>
      </c>
      <c r="E239" t="n">
        <v>9</v>
      </c>
      <c r="F239" t="n">
        <v>0</v>
      </c>
      <c r="G239" t="n">
        <v>15</v>
      </c>
      <c r="H239" t="n">
        <v>15</v>
      </c>
    </row>
    <row r="240">
      <c r="A240" t="inlineStr">
        <is>
          <t>Caliste</t>
        </is>
      </c>
      <c r="B240" t="inlineStr">
        <is>
          <t>08/03</t>
        </is>
      </c>
      <c r="C240" t="inlineStr">
        <is>
          <t>TH</t>
        </is>
      </c>
      <c r="D240" t="n">
        <v>3</v>
      </c>
      <c r="E240" t="n">
        <v>8</v>
      </c>
      <c r="F240" t="n">
        <v>0</v>
      </c>
      <c r="G240" t="n">
        <v>11</v>
      </c>
      <c r="H240" t="n">
        <v>11</v>
      </c>
    </row>
    <row r="241">
      <c r="A241" t="inlineStr">
        <is>
          <t>Caliste</t>
        </is>
      </c>
      <c r="B241" t="inlineStr">
        <is>
          <t>08/01</t>
        </is>
      </c>
      <c r="C241" t="inlineStr">
        <is>
          <t>Navi</t>
        </is>
      </c>
      <c r="D241" t="n">
        <v>5</v>
      </c>
      <c r="E241" t="n">
        <v>4</v>
      </c>
      <c r="F241" t="n">
        <v>0</v>
      </c>
      <c r="G241" t="n">
        <v>9</v>
      </c>
      <c r="H241" t="n">
        <v>9</v>
      </c>
    </row>
    <row r="242">
      <c r="A242" t="inlineStr">
        <is>
          <t>Canna</t>
        </is>
      </c>
      <c r="B242" t="inlineStr">
        <is>
          <t>10/26</t>
        </is>
      </c>
      <c r="C242" t="inlineStr">
        <is>
          <t>BLG</t>
        </is>
      </c>
      <c r="D242" t="n">
        <v>2</v>
      </c>
      <c r="E242" t="n">
        <v>0</v>
      </c>
      <c r="F242" t="n">
        <v>0</v>
      </c>
      <c r="G242" t="n">
        <v>2</v>
      </c>
      <c r="H242" t="n">
        <v>2</v>
      </c>
    </row>
    <row r="243">
      <c r="A243" t="inlineStr">
        <is>
          <t>Canna</t>
        </is>
      </c>
      <c r="B243" t="inlineStr">
        <is>
          <t>10/24</t>
        </is>
      </c>
      <c r="C243" t="inlineStr">
        <is>
          <t>LY</t>
        </is>
      </c>
      <c r="D243" t="n">
        <v>4</v>
      </c>
      <c r="E243" t="n">
        <v>0</v>
      </c>
      <c r="F243" t="n">
        <v>0</v>
      </c>
      <c r="G243" t="n">
        <v>4</v>
      </c>
      <c r="H243" t="n">
        <v>4</v>
      </c>
    </row>
    <row r="244">
      <c r="A244" t="inlineStr">
        <is>
          <t>Canna</t>
        </is>
      </c>
      <c r="B244" t="inlineStr">
        <is>
          <t>10/23</t>
        </is>
      </c>
      <c r="C244" t="inlineStr">
        <is>
          <t>AL</t>
        </is>
      </c>
      <c r="D244" t="n">
        <v>5</v>
      </c>
      <c r="E244" t="n">
        <v>0</v>
      </c>
      <c r="F244" t="n">
        <v>0</v>
      </c>
      <c r="G244" t="n">
        <v>5</v>
      </c>
      <c r="H244" t="n">
        <v>5</v>
      </c>
    </row>
    <row r="245">
      <c r="A245" t="inlineStr">
        <is>
          <t>Canna</t>
        </is>
      </c>
      <c r="B245" t="inlineStr">
        <is>
          <t>10/18</t>
        </is>
      </c>
      <c r="C245" t="inlineStr">
        <is>
          <t>MVK</t>
        </is>
      </c>
      <c r="D245" t="n">
        <v>1</v>
      </c>
      <c r="E245" t="n">
        <v>0</v>
      </c>
      <c r="F245" t="n">
        <v>5</v>
      </c>
      <c r="G245" t="n">
        <v>1</v>
      </c>
      <c r="H245" t="n">
        <v>6</v>
      </c>
    </row>
    <row r="246">
      <c r="A246" t="inlineStr">
        <is>
          <t>Canna</t>
        </is>
      </c>
      <c r="B246" t="inlineStr">
        <is>
          <t>10/16</t>
        </is>
      </c>
      <c r="C246" t="inlineStr">
        <is>
          <t>MVK</t>
        </is>
      </c>
      <c r="D246" t="n">
        <v>2</v>
      </c>
      <c r="E246" t="n">
        <v>1</v>
      </c>
      <c r="F246" t="n">
        <v>6</v>
      </c>
      <c r="G246" t="n">
        <v>3</v>
      </c>
      <c r="H246" t="n">
        <v>9</v>
      </c>
    </row>
    <row r="247">
      <c r="A247" t="inlineStr">
        <is>
          <t>Canna</t>
        </is>
      </c>
      <c r="B247" t="inlineStr">
        <is>
          <t>10/15</t>
        </is>
      </c>
      <c r="C247" t="inlineStr">
        <is>
          <t>C9</t>
        </is>
      </c>
      <c r="D247" t="n">
        <v>0</v>
      </c>
      <c r="E247" t="n">
        <v>5</v>
      </c>
      <c r="F247" t="n">
        <v>0</v>
      </c>
      <c r="G247" t="n">
        <v>5</v>
      </c>
      <c r="H247" t="n">
        <v>5</v>
      </c>
    </row>
    <row r="248">
      <c r="A248" t="inlineStr">
        <is>
          <t>Canna</t>
        </is>
      </c>
      <c r="B248" t="inlineStr">
        <is>
          <t>09/19</t>
        </is>
      </c>
      <c r="C248" t="inlineStr">
        <is>
          <t>MKOI</t>
        </is>
      </c>
      <c r="D248" t="n">
        <v>4</v>
      </c>
      <c r="E248" t="n">
        <v>0</v>
      </c>
      <c r="F248" t="n">
        <v>0</v>
      </c>
      <c r="G248" t="n">
        <v>4</v>
      </c>
      <c r="H248" t="n">
        <v>4</v>
      </c>
    </row>
    <row r="249">
      <c r="A249" t="inlineStr">
        <is>
          <t>Canna</t>
        </is>
      </c>
      <c r="B249" t="inlineStr">
        <is>
          <t>09/06</t>
        </is>
      </c>
      <c r="C249" t="inlineStr">
        <is>
          <t>G2</t>
        </is>
      </c>
      <c r="D249" t="n">
        <v>1</v>
      </c>
      <c r="E249" t="n">
        <v>5</v>
      </c>
      <c r="F249" t="n">
        <v>2</v>
      </c>
      <c r="G249" t="n">
        <v>6</v>
      </c>
      <c r="H249" t="n">
        <v>8</v>
      </c>
    </row>
    <row r="250">
      <c r="A250" t="inlineStr">
        <is>
          <t>Canna</t>
        </is>
      </c>
      <c r="B250" t="inlineStr">
        <is>
          <t>09/05</t>
        </is>
      </c>
      <c r="C250" t="inlineStr">
        <is>
          <t>GX</t>
        </is>
      </c>
      <c r="D250" t="n">
        <v>6</v>
      </c>
      <c r="E250" t="n">
        <v>4</v>
      </c>
      <c r="F250" t="n">
        <v>5</v>
      </c>
      <c r="G250" t="n">
        <v>10</v>
      </c>
      <c r="H250" t="n">
        <v>15</v>
      </c>
    </row>
    <row r="251">
      <c r="A251" t="inlineStr">
        <is>
          <t>Canna</t>
        </is>
      </c>
      <c r="B251" t="inlineStr">
        <is>
          <t>08/29</t>
        </is>
      </c>
      <c r="C251" t="inlineStr">
        <is>
          <t>SK</t>
        </is>
      </c>
      <c r="D251" t="n">
        <v>3</v>
      </c>
      <c r="E251" t="n">
        <v>8</v>
      </c>
      <c r="F251" t="n">
        <v>0</v>
      </c>
      <c r="G251" t="n">
        <v>11</v>
      </c>
      <c r="H251" t="n">
        <v>11</v>
      </c>
    </row>
    <row r="252">
      <c r="A252" t="inlineStr">
        <is>
          <t>Canna</t>
        </is>
      </c>
      <c r="B252" t="inlineStr">
        <is>
          <t>08/23</t>
        </is>
      </c>
      <c r="C252" t="inlineStr">
        <is>
          <t>SHFT</t>
        </is>
      </c>
      <c r="D252" t="n">
        <v>3</v>
      </c>
      <c r="E252" t="n">
        <v>5</v>
      </c>
      <c r="F252" t="n">
        <v>4</v>
      </c>
      <c r="G252" t="n">
        <v>8</v>
      </c>
      <c r="H252" t="n">
        <v>12</v>
      </c>
    </row>
    <row r="253">
      <c r="A253" t="inlineStr">
        <is>
          <t>Canna</t>
        </is>
      </c>
      <c r="B253" t="inlineStr">
        <is>
          <t>08/17</t>
        </is>
      </c>
      <c r="C253" t="inlineStr">
        <is>
          <t>GX</t>
        </is>
      </c>
      <c r="D253" t="n">
        <v>2</v>
      </c>
      <c r="E253" t="n">
        <v>1</v>
      </c>
      <c r="F253" t="n">
        <v>0</v>
      </c>
      <c r="G253" t="n">
        <v>3</v>
      </c>
      <c r="H253" t="n">
        <v>3</v>
      </c>
    </row>
    <row r="254">
      <c r="A254" t="inlineStr">
        <is>
          <t>Canna</t>
        </is>
      </c>
      <c r="B254" t="inlineStr">
        <is>
          <t>08/09</t>
        </is>
      </c>
      <c r="C254" t="inlineStr">
        <is>
          <t>FNC</t>
        </is>
      </c>
      <c r="D254" t="n">
        <v>4</v>
      </c>
      <c r="E254" t="n">
        <v>3</v>
      </c>
      <c r="F254" t="n">
        <v>0</v>
      </c>
      <c r="G254" t="n">
        <v>7</v>
      </c>
      <c r="H254" t="n">
        <v>7</v>
      </c>
    </row>
    <row r="255">
      <c r="A255" t="inlineStr">
        <is>
          <t>Canna</t>
        </is>
      </c>
      <c r="B255" t="inlineStr">
        <is>
          <t>08/03</t>
        </is>
      </c>
      <c r="C255" t="inlineStr">
        <is>
          <t>TH</t>
        </is>
      </c>
      <c r="D255" t="n">
        <v>3</v>
      </c>
      <c r="E255" t="n">
        <v>1</v>
      </c>
      <c r="F255" t="n">
        <v>0</v>
      </c>
      <c r="G255" t="n">
        <v>4</v>
      </c>
      <c r="H255" t="n">
        <v>4</v>
      </c>
    </row>
    <row r="256">
      <c r="A256" t="inlineStr">
        <is>
          <t>Canna</t>
        </is>
      </c>
      <c r="B256" t="inlineStr">
        <is>
          <t>08/01</t>
        </is>
      </c>
      <c r="C256" t="inlineStr">
        <is>
          <t>Navi</t>
        </is>
      </c>
      <c r="D256" t="n">
        <v>7</v>
      </c>
      <c r="E256" t="n">
        <v>7</v>
      </c>
      <c r="F256" t="n">
        <v>0</v>
      </c>
      <c r="G256" t="n">
        <v>14</v>
      </c>
      <c r="H256" t="n">
        <v>14</v>
      </c>
    </row>
    <row r="257">
      <c r="A257" t="inlineStr">
        <is>
          <t>Kyeahoo</t>
        </is>
      </c>
      <c r="B257" t="inlineStr">
        <is>
          <t>10/26</t>
        </is>
      </c>
      <c r="C257" t="inlineStr">
        <is>
          <t>BLG</t>
        </is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</row>
    <row r="258">
      <c r="A258" t="inlineStr">
        <is>
          <t>Kyeahoo</t>
        </is>
      </c>
      <c r="B258" t="inlineStr">
        <is>
          <t>10/24</t>
        </is>
      </c>
      <c r="C258" t="inlineStr">
        <is>
          <t>LY</t>
        </is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</row>
    <row r="259">
      <c r="A259" t="inlineStr">
        <is>
          <t>Kyeahoo</t>
        </is>
      </c>
      <c r="B259" t="inlineStr">
        <is>
          <t>10/23</t>
        </is>
      </c>
      <c r="C259" t="inlineStr">
        <is>
          <t>AL</t>
        </is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</row>
    <row r="260">
      <c r="A260" t="inlineStr">
        <is>
          <t>Kyeahoo</t>
        </is>
      </c>
      <c r="B260" t="inlineStr">
        <is>
          <t>10/18</t>
        </is>
      </c>
      <c r="C260" t="inlineStr">
        <is>
          <t>MVK</t>
        </is>
      </c>
      <c r="D260" t="n">
        <v>4</v>
      </c>
      <c r="E260" t="n">
        <v>5</v>
      </c>
      <c r="F260" t="n">
        <v>4</v>
      </c>
      <c r="G260" t="n">
        <v>9</v>
      </c>
      <c r="H260" t="n">
        <v>13</v>
      </c>
    </row>
    <row r="261">
      <c r="A261" t="inlineStr">
        <is>
          <t>Kyeahoo</t>
        </is>
      </c>
      <c r="B261" t="inlineStr">
        <is>
          <t>10/16</t>
        </is>
      </c>
      <c r="C261" t="inlineStr">
        <is>
          <t>MVK</t>
        </is>
      </c>
      <c r="D261" t="n">
        <v>3</v>
      </c>
      <c r="E261" t="n">
        <v>6</v>
      </c>
      <c r="F261" t="n">
        <v>1</v>
      </c>
      <c r="G261" t="n">
        <v>9</v>
      </c>
      <c r="H261" t="n">
        <v>10</v>
      </c>
    </row>
    <row r="262">
      <c r="A262" t="inlineStr">
        <is>
          <t>Kyeahoo</t>
        </is>
      </c>
      <c r="B262" t="inlineStr">
        <is>
          <t>10/15</t>
        </is>
      </c>
      <c r="C262" t="inlineStr">
        <is>
          <t>C9</t>
        </is>
      </c>
      <c r="D262" t="n">
        <v>1</v>
      </c>
      <c r="E262" t="n">
        <v>2</v>
      </c>
      <c r="F262" t="n">
        <v>2</v>
      </c>
      <c r="G262" t="n">
        <v>3</v>
      </c>
      <c r="H262" t="n">
        <v>5</v>
      </c>
    </row>
    <row r="263">
      <c r="A263" t="inlineStr">
        <is>
          <t>Kyeahoo</t>
        </is>
      </c>
      <c r="B263" t="inlineStr">
        <is>
          <t>09/19</t>
        </is>
      </c>
      <c r="C263" t="inlineStr">
        <is>
          <t>MKOI</t>
        </is>
      </c>
      <c r="D263" t="n">
        <v>5</v>
      </c>
      <c r="E263" t="n">
        <v>1</v>
      </c>
      <c r="F263" t="n">
        <v>2</v>
      </c>
      <c r="G263" t="n">
        <v>6</v>
      </c>
      <c r="H263" t="n">
        <v>8</v>
      </c>
    </row>
    <row r="264">
      <c r="A264" t="inlineStr">
        <is>
          <t>Kyeahoo</t>
        </is>
      </c>
      <c r="B264" t="inlineStr">
        <is>
          <t>09/06</t>
        </is>
      </c>
      <c r="C264" t="inlineStr">
        <is>
          <t>G2</t>
        </is>
      </c>
      <c r="D264" t="n">
        <v>1</v>
      </c>
      <c r="E264" t="n">
        <v>2</v>
      </c>
      <c r="F264" t="n">
        <v>5</v>
      </c>
      <c r="G264" t="n">
        <v>3</v>
      </c>
      <c r="H264" t="n">
        <v>8</v>
      </c>
    </row>
    <row r="265">
      <c r="A265" t="inlineStr">
        <is>
          <t>Kyeahoo</t>
        </is>
      </c>
      <c r="B265" t="inlineStr">
        <is>
          <t>09/05</t>
        </is>
      </c>
      <c r="C265" t="inlineStr">
        <is>
          <t>GX</t>
        </is>
      </c>
      <c r="D265" t="n">
        <v>3</v>
      </c>
      <c r="E265" t="n">
        <v>3</v>
      </c>
      <c r="F265" t="n">
        <v>0</v>
      </c>
      <c r="G265" t="n">
        <v>6</v>
      </c>
      <c r="H265" t="n">
        <v>6</v>
      </c>
    </row>
    <row r="266">
      <c r="A266" t="inlineStr">
        <is>
          <t>Kyeahoo</t>
        </is>
      </c>
      <c r="B266" t="inlineStr">
        <is>
          <t>08/29</t>
        </is>
      </c>
      <c r="C266" t="inlineStr">
        <is>
          <t>SK</t>
        </is>
      </c>
      <c r="D266" t="n">
        <v>2</v>
      </c>
      <c r="E266" t="n">
        <v>2</v>
      </c>
      <c r="F266" t="n">
        <v>0</v>
      </c>
      <c r="G266" t="n">
        <v>4</v>
      </c>
      <c r="H266" t="n">
        <v>4</v>
      </c>
    </row>
    <row r="267">
      <c r="A267" t="inlineStr">
        <is>
          <t>Kyeahoo</t>
        </is>
      </c>
      <c r="B267" t="inlineStr">
        <is>
          <t>08/23</t>
        </is>
      </c>
      <c r="C267" t="inlineStr">
        <is>
          <t>SHFT</t>
        </is>
      </c>
      <c r="D267" t="n">
        <v>3</v>
      </c>
      <c r="E267" t="n">
        <v>2</v>
      </c>
      <c r="F267" t="n">
        <v>1</v>
      </c>
      <c r="G267" t="n">
        <v>5</v>
      </c>
      <c r="H267" t="n">
        <v>6</v>
      </c>
    </row>
    <row r="268">
      <c r="A268" t="inlineStr">
        <is>
          <t>Kyeahoo</t>
        </is>
      </c>
      <c r="B268" t="inlineStr">
        <is>
          <t>08/17</t>
        </is>
      </c>
      <c r="C268" t="inlineStr">
        <is>
          <t>GX</t>
        </is>
      </c>
      <c r="D268" t="n">
        <v>2</v>
      </c>
      <c r="E268" t="n">
        <v>0</v>
      </c>
      <c r="F268" t="n">
        <v>0</v>
      </c>
      <c r="G268" t="n">
        <v>2</v>
      </c>
      <c r="H268" t="n">
        <v>2</v>
      </c>
    </row>
    <row r="269">
      <c r="A269" t="inlineStr">
        <is>
          <t>Kyeahoo</t>
        </is>
      </c>
      <c r="B269" t="inlineStr">
        <is>
          <t>08/09</t>
        </is>
      </c>
      <c r="C269" t="inlineStr">
        <is>
          <t>FNC</t>
        </is>
      </c>
      <c r="D269" t="n">
        <v>0</v>
      </c>
      <c r="E269" t="n">
        <v>2</v>
      </c>
      <c r="F269" t="n">
        <v>0</v>
      </c>
      <c r="G269" t="n">
        <v>2</v>
      </c>
      <c r="H269" t="n">
        <v>2</v>
      </c>
    </row>
    <row r="270">
      <c r="A270" t="inlineStr">
        <is>
          <t>Kyeahoo</t>
        </is>
      </c>
      <c r="B270" t="inlineStr">
        <is>
          <t>08/03</t>
        </is>
      </c>
      <c r="C270" t="inlineStr">
        <is>
          <t>TH</t>
        </is>
      </c>
      <c r="D270" t="n">
        <v>3</v>
      </c>
      <c r="E270" t="n">
        <v>2</v>
      </c>
      <c r="F270" t="n">
        <v>0</v>
      </c>
      <c r="G270" t="n">
        <v>5</v>
      </c>
      <c r="H270" t="n">
        <v>5</v>
      </c>
    </row>
    <row r="271">
      <c r="A271" t="inlineStr">
        <is>
          <t>Kyeahoo</t>
        </is>
      </c>
      <c r="B271" t="inlineStr">
        <is>
          <t>08/01</t>
        </is>
      </c>
      <c r="C271" t="inlineStr">
        <is>
          <t>Navi</t>
        </is>
      </c>
      <c r="D271" t="n">
        <v>5</v>
      </c>
      <c r="E271" t="n">
        <v>5</v>
      </c>
      <c r="F271" t="n">
        <v>0</v>
      </c>
      <c r="G271" t="n">
        <v>10</v>
      </c>
      <c r="H271" t="n">
        <v>10</v>
      </c>
    </row>
    <row r="272">
      <c r="A272" t="inlineStr">
        <is>
          <t>Yike</t>
        </is>
      </c>
      <c r="B272" t="inlineStr">
        <is>
          <t>10/26</t>
        </is>
      </c>
      <c r="C272" t="inlineStr">
        <is>
          <t>BLG</t>
        </is>
      </c>
      <c r="D272" t="n">
        <v>4</v>
      </c>
      <c r="E272" t="n">
        <v>0</v>
      </c>
      <c r="F272" t="n">
        <v>0</v>
      </c>
      <c r="G272" t="n">
        <v>4</v>
      </c>
      <c r="H272" t="n">
        <v>4</v>
      </c>
    </row>
    <row r="273">
      <c r="A273" t="inlineStr">
        <is>
          <t>Yike</t>
        </is>
      </c>
      <c r="B273" t="inlineStr">
        <is>
          <t>10/24</t>
        </is>
      </c>
      <c r="C273" t="inlineStr">
        <is>
          <t>LY</t>
        </is>
      </c>
      <c r="D273" t="n">
        <v>3</v>
      </c>
      <c r="E273" t="n">
        <v>0</v>
      </c>
      <c r="F273" t="n">
        <v>0</v>
      </c>
      <c r="G273" t="n">
        <v>3</v>
      </c>
      <c r="H273" t="n">
        <v>3</v>
      </c>
    </row>
    <row r="274">
      <c r="A274" t="inlineStr">
        <is>
          <t>Yike</t>
        </is>
      </c>
      <c r="B274" t="inlineStr">
        <is>
          <t>10/23</t>
        </is>
      </c>
      <c r="C274" t="inlineStr">
        <is>
          <t>AL</t>
        </is>
      </c>
      <c r="D274" t="n">
        <v>3</v>
      </c>
      <c r="E274" t="n">
        <v>0</v>
      </c>
      <c r="F274" t="n">
        <v>0</v>
      </c>
      <c r="G274" t="n">
        <v>3</v>
      </c>
      <c r="H274" t="n">
        <v>3</v>
      </c>
    </row>
    <row r="275">
      <c r="A275" t="inlineStr">
        <is>
          <t>Yike</t>
        </is>
      </c>
      <c r="B275" t="inlineStr">
        <is>
          <t>10/18</t>
        </is>
      </c>
      <c r="C275" t="inlineStr">
        <is>
          <t>MVK</t>
        </is>
      </c>
      <c r="D275" t="n">
        <v>2</v>
      </c>
      <c r="E275" t="n">
        <v>9</v>
      </c>
      <c r="F275" t="n">
        <v>6</v>
      </c>
      <c r="G275" t="n">
        <v>11</v>
      </c>
      <c r="H275" t="n">
        <v>17</v>
      </c>
    </row>
    <row r="276">
      <c r="A276" t="inlineStr">
        <is>
          <t>Yike</t>
        </is>
      </c>
      <c r="B276" t="inlineStr">
        <is>
          <t>10/16</t>
        </is>
      </c>
      <c r="C276" t="inlineStr">
        <is>
          <t>MVK</t>
        </is>
      </c>
      <c r="D276" t="n">
        <v>1</v>
      </c>
      <c r="E276" t="n">
        <v>5</v>
      </c>
      <c r="F276" t="n">
        <v>5</v>
      </c>
      <c r="G276" t="n">
        <v>6</v>
      </c>
      <c r="H276" t="n">
        <v>11</v>
      </c>
    </row>
    <row r="277">
      <c r="A277" t="inlineStr">
        <is>
          <t>Yike</t>
        </is>
      </c>
      <c r="B277" t="inlineStr">
        <is>
          <t>10/15</t>
        </is>
      </c>
      <c r="C277" t="inlineStr">
        <is>
          <t>C9</t>
        </is>
      </c>
      <c r="D277" t="n">
        <v>0</v>
      </c>
      <c r="E277" t="n">
        <v>1</v>
      </c>
      <c r="F277" t="n">
        <v>1</v>
      </c>
      <c r="G277" t="n">
        <v>1</v>
      </c>
      <c r="H277" t="n">
        <v>2</v>
      </c>
    </row>
    <row r="278">
      <c r="A278" t="inlineStr">
        <is>
          <t>Yike</t>
        </is>
      </c>
      <c r="B278" t="inlineStr">
        <is>
          <t>09/19</t>
        </is>
      </c>
      <c r="C278" t="inlineStr">
        <is>
          <t>MKOI</t>
        </is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</row>
    <row r="279">
      <c r="A279" t="inlineStr">
        <is>
          <t>Yike</t>
        </is>
      </c>
      <c r="B279" t="inlineStr">
        <is>
          <t>09/06</t>
        </is>
      </c>
      <c r="C279" t="inlineStr">
        <is>
          <t>G2</t>
        </is>
      </c>
      <c r="D279" t="n">
        <v>4</v>
      </c>
      <c r="E279" t="n">
        <v>4</v>
      </c>
      <c r="F279" t="n">
        <v>3</v>
      </c>
      <c r="G279" t="n">
        <v>8</v>
      </c>
      <c r="H279" t="n">
        <v>11</v>
      </c>
    </row>
    <row r="280">
      <c r="A280" t="inlineStr">
        <is>
          <t>Yike</t>
        </is>
      </c>
      <c r="B280" t="inlineStr">
        <is>
          <t>09/05</t>
        </is>
      </c>
      <c r="C280" t="inlineStr">
        <is>
          <t>GX</t>
        </is>
      </c>
      <c r="D280" t="n">
        <v>1</v>
      </c>
      <c r="E280" t="n">
        <v>3</v>
      </c>
      <c r="F280" t="n">
        <v>5</v>
      </c>
      <c r="G280" t="n">
        <v>4</v>
      </c>
      <c r="H280" t="n">
        <v>9</v>
      </c>
    </row>
    <row r="281">
      <c r="A281" t="inlineStr">
        <is>
          <t>Yike</t>
        </is>
      </c>
      <c r="B281" t="inlineStr">
        <is>
          <t>08/29</t>
        </is>
      </c>
      <c r="C281" t="inlineStr">
        <is>
          <t>SK</t>
        </is>
      </c>
      <c r="D281" t="n">
        <v>12</v>
      </c>
      <c r="E281" t="n">
        <v>6</v>
      </c>
      <c r="F281" t="n">
        <v>0</v>
      </c>
      <c r="G281" t="n">
        <v>18</v>
      </c>
      <c r="H281" t="n">
        <v>18</v>
      </c>
    </row>
    <row r="282">
      <c r="A282" t="inlineStr">
        <is>
          <t>Yike</t>
        </is>
      </c>
      <c r="B282" t="inlineStr">
        <is>
          <t>08/23</t>
        </is>
      </c>
      <c r="C282" t="inlineStr">
        <is>
          <t>SHFT</t>
        </is>
      </c>
      <c r="D282" t="n">
        <v>5</v>
      </c>
      <c r="E282" t="n">
        <v>8</v>
      </c>
      <c r="F282" t="n">
        <v>7</v>
      </c>
      <c r="G282" t="n">
        <v>13</v>
      </c>
      <c r="H282" t="n">
        <v>20</v>
      </c>
    </row>
    <row r="283">
      <c r="A283" t="inlineStr">
        <is>
          <t>Yike</t>
        </is>
      </c>
      <c r="B283" t="inlineStr">
        <is>
          <t>08/17</t>
        </is>
      </c>
      <c r="C283" t="inlineStr">
        <is>
          <t>GX</t>
        </is>
      </c>
      <c r="D283" t="n">
        <v>2</v>
      </c>
      <c r="E283" t="n">
        <v>8</v>
      </c>
      <c r="F283" t="n">
        <v>0</v>
      </c>
      <c r="G283" t="n">
        <v>10</v>
      </c>
      <c r="H283" t="n">
        <v>10</v>
      </c>
    </row>
    <row r="284">
      <c r="A284" t="inlineStr">
        <is>
          <t>Yike</t>
        </is>
      </c>
      <c r="B284" t="inlineStr">
        <is>
          <t>08/09</t>
        </is>
      </c>
      <c r="C284" t="inlineStr">
        <is>
          <t>FNC</t>
        </is>
      </c>
      <c r="D284" t="n">
        <v>5</v>
      </c>
      <c r="E284" t="n">
        <v>5</v>
      </c>
      <c r="F284" t="n">
        <v>0</v>
      </c>
      <c r="G284" t="n">
        <v>10</v>
      </c>
      <c r="H284" t="n">
        <v>10</v>
      </c>
    </row>
    <row r="285">
      <c r="A285" t="inlineStr">
        <is>
          <t>Yike</t>
        </is>
      </c>
      <c r="B285" t="inlineStr">
        <is>
          <t>08/03</t>
        </is>
      </c>
      <c r="C285" t="inlineStr">
        <is>
          <t>TH</t>
        </is>
      </c>
      <c r="D285" t="n">
        <v>7</v>
      </c>
      <c r="E285" t="n">
        <v>2</v>
      </c>
      <c r="F285" t="n">
        <v>0</v>
      </c>
      <c r="G285" t="n">
        <v>9</v>
      </c>
      <c r="H285" t="n">
        <v>9</v>
      </c>
    </row>
    <row r="286">
      <c r="A286" t="inlineStr">
        <is>
          <t>Yike</t>
        </is>
      </c>
      <c r="B286" t="inlineStr">
        <is>
          <t>08/01</t>
        </is>
      </c>
      <c r="C286" t="inlineStr">
        <is>
          <t>Navi</t>
        </is>
      </c>
      <c r="D286" t="n">
        <v>1</v>
      </c>
      <c r="E286" t="n">
        <v>3</v>
      </c>
      <c r="F286" t="n">
        <v>0</v>
      </c>
      <c r="G286" t="n">
        <v>4</v>
      </c>
      <c r="H286" t="n">
        <v>4</v>
      </c>
    </row>
    <row r="287">
      <c r="A287" t="inlineStr">
        <is>
          <t>DarkLord^</t>
        </is>
      </c>
      <c r="B287" t="inlineStr">
        <is>
          <t>10/27</t>
        </is>
      </c>
      <c r="C287" t="inlineStr">
        <is>
          <t>BB</t>
        </is>
      </c>
      <c r="D287" t="n">
        <v>8</v>
      </c>
      <c r="E287" t="n">
        <v>0</v>
      </c>
      <c r="F287" t="n">
        <v>0</v>
      </c>
      <c r="G287" t="n">
        <v>8</v>
      </c>
      <c r="H287" t="n">
        <v>8</v>
      </c>
    </row>
    <row r="288">
      <c r="A288" t="inlineStr">
        <is>
          <t>DarkLord^</t>
        </is>
      </c>
      <c r="B288" t="inlineStr">
        <is>
          <t>10/27</t>
        </is>
      </c>
      <c r="C288" t="inlineStr">
        <is>
          <t>AI</t>
        </is>
      </c>
      <c r="D288" t="n">
        <v>5</v>
      </c>
      <c r="E288" t="n">
        <v>0</v>
      </c>
      <c r="F288" t="n">
        <v>0</v>
      </c>
      <c r="G288" t="n">
        <v>5</v>
      </c>
      <c r="H288" t="n">
        <v>5</v>
      </c>
    </row>
    <row r="289">
      <c r="A289" t="inlineStr">
        <is>
          <t>DarkLord^</t>
        </is>
      </c>
      <c r="B289" t="inlineStr">
        <is>
          <t>10/26</t>
        </is>
      </c>
      <c r="C289" t="inlineStr">
        <is>
          <t>BB</t>
        </is>
      </c>
      <c r="D289" t="n">
        <v>3</v>
      </c>
      <c r="E289" t="n">
        <v>1</v>
      </c>
      <c r="F289" t="n">
        <v>0</v>
      </c>
      <c r="G289" t="n">
        <v>4</v>
      </c>
      <c r="H289" t="n">
        <v>4</v>
      </c>
    </row>
    <row r="290">
      <c r="A290" t="inlineStr">
        <is>
          <t>DarkLord^</t>
        </is>
      </c>
      <c r="B290" t="inlineStr">
        <is>
          <t>10/24</t>
        </is>
      </c>
      <c r="C290" t="inlineStr">
        <is>
          <t>AI</t>
        </is>
      </c>
      <c r="D290" t="n">
        <v>13</v>
      </c>
      <c r="E290" t="n">
        <v>6</v>
      </c>
      <c r="F290" t="n">
        <v>9</v>
      </c>
      <c r="G290" t="n">
        <v>19</v>
      </c>
      <c r="H290" t="n">
        <v>28</v>
      </c>
    </row>
    <row r="291">
      <c r="A291" t="inlineStr">
        <is>
          <t>DarkLord^</t>
        </is>
      </c>
      <c r="B291" t="inlineStr">
        <is>
          <t>10/22</t>
        </is>
      </c>
      <c r="C291" t="inlineStr">
        <is>
          <t>TS</t>
        </is>
      </c>
      <c r="D291" t="n">
        <v>8</v>
      </c>
      <c r="E291" t="n">
        <v>3</v>
      </c>
      <c r="F291" t="n">
        <v>0</v>
      </c>
      <c r="G291" t="n">
        <v>11</v>
      </c>
      <c r="H291" t="n">
        <v>11</v>
      </c>
    </row>
    <row r="292">
      <c r="A292" t="inlineStr">
        <is>
          <t>DarkLord^</t>
        </is>
      </c>
      <c r="B292" t="inlineStr">
        <is>
          <t>10/08</t>
        </is>
      </c>
      <c r="C292" t="inlineStr">
        <is>
          <t>BBL</t>
        </is>
      </c>
      <c r="D292" t="n">
        <v>5</v>
      </c>
      <c r="E292" t="n">
        <v>4</v>
      </c>
      <c r="F292" t="n">
        <v>7</v>
      </c>
      <c r="G292" t="n">
        <v>9</v>
      </c>
      <c r="H292" t="n">
        <v>16</v>
      </c>
    </row>
    <row r="293">
      <c r="A293" t="inlineStr">
        <is>
          <t>DarkLord^</t>
        </is>
      </c>
      <c r="B293" t="inlineStr">
        <is>
          <t>10/07</t>
        </is>
      </c>
      <c r="C293" t="inlineStr">
        <is>
          <t>Team Synapse</t>
        </is>
      </c>
      <c r="D293" t="n">
        <v>12</v>
      </c>
      <c r="E293" t="n">
        <v>13</v>
      </c>
      <c r="F293" t="n">
        <v>0</v>
      </c>
      <c r="G293" t="n">
        <v>25</v>
      </c>
      <c r="H293" t="n">
        <v>25</v>
      </c>
    </row>
    <row r="294">
      <c r="A294" t="inlineStr">
        <is>
          <t>DarkLord^</t>
        </is>
      </c>
      <c r="B294" t="inlineStr">
        <is>
          <t>10/06</t>
        </is>
      </c>
      <c r="C294" t="inlineStr">
        <is>
          <t>MOUZ</t>
        </is>
      </c>
      <c r="D294" t="n">
        <v>10</v>
      </c>
      <c r="E294" t="n">
        <v>13</v>
      </c>
      <c r="F294" t="n">
        <v>0</v>
      </c>
      <c r="G294" t="n">
        <v>23</v>
      </c>
      <c r="H294" t="n">
        <v>23</v>
      </c>
    </row>
    <row r="295">
      <c r="A295" t="inlineStr">
        <is>
          <t>DarkLord^</t>
        </is>
      </c>
      <c r="B295" t="inlineStr">
        <is>
          <t>10/05</t>
        </is>
      </c>
      <c r="C295" t="inlineStr">
        <is>
          <t>BBL</t>
        </is>
      </c>
      <c r="D295" t="n">
        <v>9</v>
      </c>
      <c r="E295" t="n">
        <v>11</v>
      </c>
      <c r="F295" t="n">
        <v>9</v>
      </c>
      <c r="G295" t="n">
        <v>20</v>
      </c>
      <c r="H295" t="n">
        <v>29</v>
      </c>
    </row>
    <row r="296">
      <c r="A296" t="inlineStr">
        <is>
          <t>DarkLord^</t>
        </is>
      </c>
      <c r="B296" t="inlineStr">
        <is>
          <t>09/12</t>
        </is>
      </c>
      <c r="C296" t="inlineStr">
        <is>
          <t>Dawn Bulls</t>
        </is>
      </c>
      <c r="D296" t="n">
        <v>5</v>
      </c>
      <c r="E296" t="n">
        <v>3</v>
      </c>
      <c r="F296" t="n">
        <v>0</v>
      </c>
      <c r="G296" t="n">
        <v>8</v>
      </c>
      <c r="H296" t="n">
        <v>8</v>
      </c>
    </row>
    <row r="297">
      <c r="A297" t="inlineStr">
        <is>
          <t>DarkLord^</t>
        </is>
      </c>
      <c r="B297" t="inlineStr">
        <is>
          <t>09/09</t>
        </is>
      </c>
      <c r="C297" t="inlineStr">
        <is>
          <t>KS</t>
        </is>
      </c>
      <c r="D297" t="n">
        <v>2</v>
      </c>
      <c r="E297" t="n">
        <v>15</v>
      </c>
      <c r="F297" t="n">
        <v>4</v>
      </c>
      <c r="G297" t="n">
        <v>17</v>
      </c>
      <c r="H297" t="n">
        <v>21</v>
      </c>
    </row>
    <row r="298">
      <c r="A298" t="inlineStr">
        <is>
          <t>DarkLord^</t>
        </is>
      </c>
      <c r="B298" t="inlineStr">
        <is>
          <t>09/09</t>
        </is>
      </c>
      <c r="C298" t="inlineStr">
        <is>
          <t>HULIGANI</t>
        </is>
      </c>
      <c r="D298" t="n">
        <v>0</v>
      </c>
      <c r="E298" t="n">
        <v>0</v>
      </c>
      <c r="F298" t="n">
        <v>12</v>
      </c>
      <c r="G298" t="n">
        <v>0</v>
      </c>
      <c r="H298" t="n">
        <v>12</v>
      </c>
    </row>
    <row r="299">
      <c r="A299" t="inlineStr">
        <is>
          <t>DarkLord^</t>
        </is>
      </c>
      <c r="B299" t="inlineStr">
        <is>
          <t>09/08</t>
        </is>
      </c>
      <c r="C299" t="inlineStr">
        <is>
          <t>GL</t>
        </is>
      </c>
      <c r="D299" t="n">
        <v>3</v>
      </c>
      <c r="E299" t="n">
        <v>13</v>
      </c>
      <c r="F299" t="n">
        <v>2</v>
      </c>
      <c r="G299" t="n">
        <v>16</v>
      </c>
      <c r="H299" t="n">
        <v>18</v>
      </c>
    </row>
    <row r="300">
      <c r="A300" t="inlineStr">
        <is>
          <t>DarkLord^</t>
        </is>
      </c>
      <c r="B300" t="inlineStr">
        <is>
          <t>09/07</t>
        </is>
      </c>
      <c r="C300" t="inlineStr">
        <is>
          <t>Team Synapse</t>
        </is>
      </c>
      <c r="D300" t="n">
        <v>16</v>
      </c>
      <c r="E300" t="n">
        <v>5</v>
      </c>
      <c r="F300" t="n">
        <v>24</v>
      </c>
      <c r="G300" t="n">
        <v>21</v>
      </c>
      <c r="H300" t="n">
        <v>45</v>
      </c>
    </row>
    <row r="301">
      <c r="A301" t="inlineStr">
        <is>
          <t>DarkLord^</t>
        </is>
      </c>
      <c r="B301" t="inlineStr">
        <is>
          <t>08/30</t>
        </is>
      </c>
      <c r="C301" t="inlineStr">
        <is>
          <t>Na`Vi</t>
        </is>
      </c>
      <c r="D301" t="n">
        <v>3</v>
      </c>
      <c r="E301" t="n">
        <v>4</v>
      </c>
      <c r="F301" t="n">
        <v>0</v>
      </c>
      <c r="G301" t="n">
        <v>7</v>
      </c>
      <c r="H301" t="n">
        <v>7</v>
      </c>
    </row>
    <row r="302">
      <c r="A302" t="inlineStr">
        <is>
          <t>KJ</t>
        </is>
      </c>
      <c r="B302" t="inlineStr">
        <is>
          <t>10/27</t>
        </is>
      </c>
      <c r="C302" t="inlineStr">
        <is>
          <t>BB</t>
        </is>
      </c>
      <c r="D302" t="n">
        <v>6</v>
      </c>
      <c r="E302" t="n">
        <v>0</v>
      </c>
      <c r="F302" t="n">
        <v>0</v>
      </c>
      <c r="G302" t="n">
        <v>6</v>
      </c>
      <c r="H302" t="n">
        <v>6</v>
      </c>
    </row>
    <row r="303">
      <c r="A303" t="inlineStr">
        <is>
          <t>KJ</t>
        </is>
      </c>
      <c r="B303" t="inlineStr">
        <is>
          <t>10/27</t>
        </is>
      </c>
      <c r="C303" t="inlineStr">
        <is>
          <t>AI</t>
        </is>
      </c>
      <c r="D303" t="n">
        <v>6</v>
      </c>
      <c r="E303" t="n">
        <v>0</v>
      </c>
      <c r="F303" t="n">
        <v>0</v>
      </c>
      <c r="G303" t="n">
        <v>6</v>
      </c>
      <c r="H303" t="n">
        <v>6</v>
      </c>
    </row>
    <row r="304">
      <c r="A304" t="inlineStr">
        <is>
          <t>KJ</t>
        </is>
      </c>
      <c r="B304" t="inlineStr">
        <is>
          <t>10/15</t>
        </is>
      </c>
      <c r="C304" t="inlineStr">
        <is>
          <t>Skyreavers</t>
        </is>
      </c>
      <c r="D304" t="n">
        <v>1</v>
      </c>
      <c r="E304" t="n">
        <v>2</v>
      </c>
      <c r="F304" t="n">
        <v>0</v>
      </c>
      <c r="G304" t="n">
        <v>3</v>
      </c>
      <c r="H304" t="n">
        <v>3</v>
      </c>
    </row>
    <row r="305">
      <c r="A305" t="inlineStr">
        <is>
          <t>KJ</t>
        </is>
      </c>
      <c r="B305" t="inlineStr">
        <is>
          <t>10/15</t>
        </is>
      </c>
      <c r="C305" t="inlineStr">
        <is>
          <t>Amaru Gaming</t>
        </is>
      </c>
      <c r="D305" t="n">
        <v>2</v>
      </c>
      <c r="E305" t="n">
        <v>3</v>
      </c>
      <c r="F305" t="n">
        <v>1</v>
      </c>
      <c r="G305" t="n">
        <v>5</v>
      </c>
      <c r="H305" t="n">
        <v>6</v>
      </c>
    </row>
    <row r="306">
      <c r="A306" t="inlineStr">
        <is>
          <t>KJ</t>
        </is>
      </c>
      <c r="B306" t="inlineStr">
        <is>
          <t>10/14</t>
        </is>
      </c>
      <c r="C306" t="inlineStr">
        <is>
          <t>Pibbles Corp</t>
        </is>
      </c>
      <c r="D306" t="n">
        <v>0</v>
      </c>
      <c r="E306" t="n">
        <v>1</v>
      </c>
      <c r="F306" t="n">
        <v>2</v>
      </c>
      <c r="G306" t="n">
        <v>1</v>
      </c>
      <c r="H306" t="n">
        <v>3</v>
      </c>
    </row>
    <row r="307">
      <c r="A307" t="inlineStr">
        <is>
          <t>KJ</t>
        </is>
      </c>
      <c r="B307" t="inlineStr">
        <is>
          <t>10/13</t>
        </is>
      </c>
      <c r="C307" t="inlineStr">
        <is>
          <t>HKR</t>
        </is>
      </c>
      <c r="D307" t="n">
        <v>3</v>
      </c>
      <c r="E307" t="n">
        <v>2</v>
      </c>
      <c r="F307" t="n">
        <v>0</v>
      </c>
      <c r="G307" t="n">
        <v>5</v>
      </c>
      <c r="H307" t="n">
        <v>5</v>
      </c>
    </row>
    <row r="308">
      <c r="A308" t="inlineStr">
        <is>
          <t>KJ</t>
        </is>
      </c>
      <c r="B308" t="inlineStr">
        <is>
          <t>09/21</t>
        </is>
      </c>
      <c r="C308" t="inlineStr">
        <is>
          <t>YB</t>
        </is>
      </c>
      <c r="D308" t="n">
        <v>6</v>
      </c>
      <c r="E308" t="n">
        <v>0</v>
      </c>
      <c r="F308" t="n">
        <v>0</v>
      </c>
      <c r="G308" t="n">
        <v>6</v>
      </c>
      <c r="H308" t="n">
        <v>6</v>
      </c>
    </row>
    <row r="309">
      <c r="A309" t="inlineStr">
        <is>
          <t>KJ</t>
        </is>
      </c>
      <c r="B309" t="inlineStr">
        <is>
          <t>09/20</t>
        </is>
      </c>
      <c r="C309" t="inlineStr">
        <is>
          <t>TC</t>
        </is>
      </c>
      <c r="D309" t="n">
        <v>2</v>
      </c>
      <c r="E309" t="n">
        <v>0</v>
      </c>
      <c r="F309" t="n">
        <v>1</v>
      </c>
      <c r="G309" t="n">
        <v>2</v>
      </c>
      <c r="H309" t="n">
        <v>3</v>
      </c>
    </row>
    <row r="310">
      <c r="A310" t="inlineStr">
        <is>
          <t>KJ</t>
        </is>
      </c>
      <c r="B310" t="inlineStr">
        <is>
          <t>09/19</t>
        </is>
      </c>
      <c r="C310" t="inlineStr">
        <is>
          <t>CS</t>
        </is>
      </c>
      <c r="D310" t="n">
        <v>0</v>
      </c>
      <c r="E310" t="n">
        <v>2</v>
      </c>
      <c r="F310" t="n">
        <v>5</v>
      </c>
      <c r="G310" t="n">
        <v>2</v>
      </c>
      <c r="H310" t="n">
        <v>7</v>
      </c>
    </row>
    <row r="311">
      <c r="A311" t="inlineStr">
        <is>
          <t>KJ</t>
        </is>
      </c>
      <c r="B311" t="inlineStr">
        <is>
          <t>08/16</t>
        </is>
      </c>
      <c r="C311" t="inlineStr">
        <is>
          <t>TY</t>
        </is>
      </c>
      <c r="D311" t="n">
        <v>3</v>
      </c>
      <c r="E311" t="n">
        <v>1</v>
      </c>
      <c r="F311" t="n">
        <v>1</v>
      </c>
      <c r="G311" t="n">
        <v>4</v>
      </c>
      <c r="H311" t="n">
        <v>5</v>
      </c>
    </row>
    <row r="312">
      <c r="A312" t="inlineStr">
        <is>
          <t>KJ</t>
        </is>
      </c>
      <c r="B312" t="inlineStr">
        <is>
          <t>08/15</t>
        </is>
      </c>
      <c r="C312" t="inlineStr">
        <is>
          <t>VG</t>
        </is>
      </c>
      <c r="D312" t="n">
        <v>4</v>
      </c>
      <c r="E312" t="n">
        <v>7</v>
      </c>
      <c r="F312" t="n">
        <v>0</v>
      </c>
      <c r="G312" t="n">
        <v>11</v>
      </c>
      <c r="H312" t="n">
        <v>11</v>
      </c>
    </row>
    <row r="313">
      <c r="A313" t="inlineStr">
        <is>
          <t>KJ</t>
        </is>
      </c>
      <c r="B313" t="inlineStr">
        <is>
          <t>08/15</t>
        </is>
      </c>
      <c r="C313" t="inlineStr">
        <is>
          <t>Xtreme</t>
        </is>
      </c>
      <c r="D313" t="n">
        <v>1</v>
      </c>
      <c r="E313" t="n">
        <v>1</v>
      </c>
      <c r="F313" t="n">
        <v>5</v>
      </c>
      <c r="G313" t="n">
        <v>2</v>
      </c>
      <c r="H313" t="n">
        <v>7</v>
      </c>
    </row>
    <row r="314">
      <c r="A314" t="inlineStr">
        <is>
          <t>KJ</t>
        </is>
      </c>
      <c r="B314" t="inlineStr">
        <is>
          <t>08/14</t>
        </is>
      </c>
      <c r="C314" t="inlineStr">
        <is>
          <t>NGX</t>
        </is>
      </c>
      <c r="D314" t="n">
        <v>0</v>
      </c>
      <c r="E314" t="n">
        <v>3</v>
      </c>
      <c r="F314" t="n">
        <v>0</v>
      </c>
      <c r="G314" t="n">
        <v>3</v>
      </c>
      <c r="H314" t="n">
        <v>3</v>
      </c>
    </row>
    <row r="315">
      <c r="A315" t="inlineStr">
        <is>
          <t>KJ</t>
        </is>
      </c>
      <c r="B315" t="inlineStr">
        <is>
          <t>08/13</t>
        </is>
      </c>
      <c r="C315" t="inlineStr">
        <is>
          <t>TR</t>
        </is>
      </c>
      <c r="D315" t="n">
        <v>0</v>
      </c>
      <c r="E315" t="n">
        <v>7</v>
      </c>
      <c r="F315" t="n">
        <v>3</v>
      </c>
      <c r="G315" t="n">
        <v>7</v>
      </c>
      <c r="H315" t="n">
        <v>10</v>
      </c>
    </row>
    <row r="316">
      <c r="A316" t="inlineStr">
        <is>
          <t>KJ</t>
        </is>
      </c>
      <c r="B316" t="inlineStr">
        <is>
          <t>08/13</t>
        </is>
      </c>
      <c r="C316" t="inlineStr">
        <is>
          <t>FLC</t>
        </is>
      </c>
      <c r="D316" t="n">
        <v>4</v>
      </c>
      <c r="E316" t="n">
        <v>0</v>
      </c>
      <c r="F316" t="n">
        <v>3</v>
      </c>
      <c r="G316" t="n">
        <v>4</v>
      </c>
      <c r="H316" t="n">
        <v>7</v>
      </c>
    </row>
    <row r="317">
      <c r="A317" t="inlineStr">
        <is>
          <t>SaberLight</t>
        </is>
      </c>
      <c r="B317" t="inlineStr">
        <is>
          <t>10/27</t>
        </is>
      </c>
      <c r="C317" t="inlineStr">
        <is>
          <t>BB</t>
        </is>
      </c>
      <c r="D317" t="n">
        <v>8</v>
      </c>
      <c r="E317" t="n">
        <v>0</v>
      </c>
      <c r="F317" t="n">
        <v>0</v>
      </c>
      <c r="G317" t="n">
        <v>8</v>
      </c>
      <c r="H317" t="n">
        <v>8</v>
      </c>
    </row>
    <row r="318">
      <c r="A318" t="inlineStr">
        <is>
          <t>SaberLight</t>
        </is>
      </c>
      <c r="B318" t="inlineStr">
        <is>
          <t>10/27</t>
        </is>
      </c>
      <c r="C318" t="inlineStr">
        <is>
          <t>AI</t>
        </is>
      </c>
      <c r="D318" t="n">
        <v>4</v>
      </c>
      <c r="E318" t="n">
        <v>0</v>
      </c>
      <c r="F318" t="n">
        <v>0</v>
      </c>
      <c r="G318" t="n">
        <v>4</v>
      </c>
      <c r="H318" t="n">
        <v>4</v>
      </c>
    </row>
    <row r="319">
      <c r="A319" t="inlineStr">
        <is>
          <t>SaberLight</t>
        </is>
      </c>
      <c r="B319" t="inlineStr">
        <is>
          <t>10/26</t>
        </is>
      </c>
      <c r="C319" t="inlineStr">
        <is>
          <t>BB</t>
        </is>
      </c>
      <c r="D319" t="n">
        <v>1</v>
      </c>
      <c r="E319" t="n">
        <v>1</v>
      </c>
      <c r="F319" t="n">
        <v>0</v>
      </c>
      <c r="G319" t="n">
        <v>2</v>
      </c>
      <c r="H319" t="n">
        <v>2</v>
      </c>
    </row>
    <row r="320">
      <c r="A320" t="inlineStr">
        <is>
          <t>SaberLight</t>
        </is>
      </c>
      <c r="B320" t="inlineStr">
        <is>
          <t>10/24</t>
        </is>
      </c>
      <c r="C320" t="inlineStr">
        <is>
          <t>AI</t>
        </is>
      </c>
      <c r="D320" t="n">
        <v>7</v>
      </c>
      <c r="E320" t="n">
        <v>8</v>
      </c>
      <c r="F320" t="n">
        <v>2</v>
      </c>
      <c r="G320" t="n">
        <v>15</v>
      </c>
      <c r="H320" t="n">
        <v>17</v>
      </c>
    </row>
    <row r="321">
      <c r="A321" t="inlineStr">
        <is>
          <t>SaberLight</t>
        </is>
      </c>
      <c r="B321" t="inlineStr">
        <is>
          <t>10/23</t>
        </is>
      </c>
      <c r="C321" t="inlineStr">
        <is>
          <t>PARI</t>
        </is>
      </c>
      <c r="D321" t="n">
        <v>4</v>
      </c>
      <c r="E321" t="n">
        <v>3</v>
      </c>
      <c r="F321" t="n">
        <v>0</v>
      </c>
      <c r="G321" t="n">
        <v>7</v>
      </c>
      <c r="H321" t="n">
        <v>7</v>
      </c>
    </row>
    <row r="322">
      <c r="A322" t="inlineStr">
        <is>
          <t>SaberLight</t>
        </is>
      </c>
      <c r="B322" t="inlineStr">
        <is>
          <t>10/22</t>
        </is>
      </c>
      <c r="C322" t="inlineStr">
        <is>
          <t>TS</t>
        </is>
      </c>
      <c r="D322" t="n">
        <v>7</v>
      </c>
      <c r="E322" t="n">
        <v>2</v>
      </c>
      <c r="F322" t="n">
        <v>0</v>
      </c>
      <c r="G322" t="n">
        <v>9</v>
      </c>
      <c r="H322" t="n">
        <v>9</v>
      </c>
    </row>
    <row r="323">
      <c r="A323" t="inlineStr">
        <is>
          <t>SaberLight</t>
        </is>
      </c>
      <c r="B323" t="inlineStr">
        <is>
          <t>10/18</t>
        </is>
      </c>
      <c r="C323" t="inlineStr">
        <is>
          <t>SBT</t>
        </is>
      </c>
      <c r="D323" t="n">
        <v>4</v>
      </c>
      <c r="E323" t="n">
        <v>7</v>
      </c>
      <c r="F323" t="n">
        <v>12</v>
      </c>
      <c r="G323" t="n">
        <v>11</v>
      </c>
      <c r="H323" t="n">
        <v>23</v>
      </c>
    </row>
    <row r="324">
      <c r="A324" t="inlineStr">
        <is>
          <t>SaberLight</t>
        </is>
      </c>
      <c r="B324" t="inlineStr">
        <is>
          <t>10/17</t>
        </is>
      </c>
      <c r="C324" t="inlineStr">
        <is>
          <t>LYNX</t>
        </is>
      </c>
      <c r="D324" t="n">
        <v>2</v>
      </c>
      <c r="E324" t="n">
        <v>0</v>
      </c>
      <c r="F324" t="n">
        <v>0</v>
      </c>
      <c r="G324" t="n">
        <v>2</v>
      </c>
      <c r="H324" t="n">
        <v>2</v>
      </c>
    </row>
    <row r="325">
      <c r="A325" t="inlineStr">
        <is>
          <t>SaberLight</t>
        </is>
      </c>
      <c r="B325" t="inlineStr">
        <is>
          <t>10/17</t>
        </is>
      </c>
      <c r="C325" t="inlineStr">
        <is>
          <t>ALOHA</t>
        </is>
      </c>
      <c r="D325" t="n">
        <v>12</v>
      </c>
      <c r="E325" t="n">
        <v>5</v>
      </c>
      <c r="F325" t="n">
        <v>3</v>
      </c>
      <c r="G325" t="n">
        <v>17</v>
      </c>
      <c r="H325" t="n">
        <v>20</v>
      </c>
    </row>
    <row r="326">
      <c r="A326" t="inlineStr">
        <is>
          <t>SaberLight</t>
        </is>
      </c>
      <c r="B326" t="inlineStr">
        <is>
          <t>10/16</t>
        </is>
      </c>
      <c r="C326" t="inlineStr">
        <is>
          <t>OG</t>
        </is>
      </c>
      <c r="D326" t="n">
        <v>1</v>
      </c>
      <c r="E326" t="n">
        <v>1</v>
      </c>
      <c r="F326" t="n">
        <v>0</v>
      </c>
      <c r="G326" t="n">
        <v>2</v>
      </c>
      <c r="H326" t="n">
        <v>2</v>
      </c>
    </row>
    <row r="327">
      <c r="A327" t="inlineStr">
        <is>
          <t>SaberLight</t>
        </is>
      </c>
      <c r="B327" t="inlineStr">
        <is>
          <t>10/16</t>
        </is>
      </c>
      <c r="C327" t="inlineStr">
        <is>
          <t>Stray</t>
        </is>
      </c>
      <c r="D327" t="n">
        <v>14</v>
      </c>
      <c r="E327" t="n">
        <v>5</v>
      </c>
      <c r="F327" t="n">
        <v>0</v>
      </c>
      <c r="G327" t="n">
        <v>19</v>
      </c>
      <c r="H327" t="n">
        <v>19</v>
      </c>
    </row>
    <row r="328">
      <c r="A328" t="inlineStr">
        <is>
          <t>SaberLight</t>
        </is>
      </c>
      <c r="B328" t="inlineStr">
        <is>
          <t>10/15</t>
        </is>
      </c>
      <c r="C328" t="inlineStr">
        <is>
          <t>LYNX</t>
        </is>
      </c>
      <c r="D328" t="n">
        <v>5</v>
      </c>
      <c r="E328" t="n">
        <v>6</v>
      </c>
      <c r="F328" t="n">
        <v>0</v>
      </c>
      <c r="G328" t="n">
        <v>11</v>
      </c>
      <c r="H328" t="n">
        <v>11</v>
      </c>
    </row>
    <row r="329">
      <c r="A329" t="inlineStr">
        <is>
          <t>SaberLight</t>
        </is>
      </c>
      <c r="B329" t="inlineStr">
        <is>
          <t>10/15</t>
        </is>
      </c>
      <c r="C329" t="inlineStr">
        <is>
          <t>zxcursed Team</t>
        </is>
      </c>
      <c r="D329" t="n">
        <v>7</v>
      </c>
      <c r="E329" t="n">
        <v>11</v>
      </c>
      <c r="F329" t="n">
        <v>13</v>
      </c>
      <c r="G329" t="n">
        <v>18</v>
      </c>
      <c r="H329" t="n">
        <v>31</v>
      </c>
    </row>
    <row r="330">
      <c r="A330" t="inlineStr">
        <is>
          <t>SaberLight</t>
        </is>
      </c>
      <c r="B330" t="inlineStr">
        <is>
          <t>10/15</t>
        </is>
      </c>
      <c r="C330" t="inlineStr">
        <is>
          <t>PckCp</t>
        </is>
      </c>
      <c r="D330" t="n">
        <v>6</v>
      </c>
      <c r="E330" t="n">
        <v>8</v>
      </c>
      <c r="F330" t="n">
        <v>0</v>
      </c>
      <c r="G330" t="n">
        <v>14</v>
      </c>
      <c r="H330" t="n">
        <v>14</v>
      </c>
    </row>
    <row r="331">
      <c r="A331" t="inlineStr">
        <is>
          <t>SaberLight</t>
        </is>
      </c>
      <c r="B331" t="inlineStr">
        <is>
          <t>10/13</t>
        </is>
      </c>
      <c r="C331" t="inlineStr">
        <is>
          <t>Nix</t>
        </is>
      </c>
      <c r="D331" t="n">
        <v>9</v>
      </c>
      <c r="E331" t="n">
        <v>13</v>
      </c>
      <c r="F331" t="n">
        <v>0</v>
      </c>
      <c r="G331" t="n">
        <v>22</v>
      </c>
      <c r="H331" t="n">
        <v>22</v>
      </c>
    </row>
    <row r="332">
      <c r="A332" t="inlineStr">
        <is>
          <t>Stojkov</t>
        </is>
      </c>
      <c r="B332" t="inlineStr">
        <is>
          <t>10/27</t>
        </is>
      </c>
      <c r="C332" t="inlineStr">
        <is>
          <t>BB</t>
        </is>
      </c>
      <c r="D332" t="n">
        <v>12</v>
      </c>
      <c r="E332" t="n">
        <v>0</v>
      </c>
      <c r="F332" t="n">
        <v>0</v>
      </c>
      <c r="G332" t="n">
        <v>12</v>
      </c>
      <c r="H332" t="n">
        <v>12</v>
      </c>
    </row>
    <row r="333">
      <c r="A333" t="inlineStr">
        <is>
          <t>Stojkov</t>
        </is>
      </c>
      <c r="B333" t="inlineStr">
        <is>
          <t>10/27</t>
        </is>
      </c>
      <c r="C333" t="inlineStr">
        <is>
          <t>AI</t>
        </is>
      </c>
      <c r="D333" t="n">
        <v>7</v>
      </c>
      <c r="E333" t="n">
        <v>0</v>
      </c>
      <c r="F333" t="n">
        <v>0</v>
      </c>
      <c r="G333" t="n">
        <v>7</v>
      </c>
      <c r="H333" t="n">
        <v>7</v>
      </c>
    </row>
    <row r="334">
      <c r="A334" t="inlineStr">
        <is>
          <t>Stojkov</t>
        </is>
      </c>
      <c r="B334" t="inlineStr">
        <is>
          <t>10/26</t>
        </is>
      </c>
      <c r="C334" t="inlineStr">
        <is>
          <t>BB</t>
        </is>
      </c>
      <c r="D334" t="n">
        <v>10</v>
      </c>
      <c r="E334" t="n">
        <v>0</v>
      </c>
      <c r="F334" t="n">
        <v>0</v>
      </c>
      <c r="G334" t="n">
        <v>10</v>
      </c>
      <c r="H334" t="n">
        <v>10</v>
      </c>
    </row>
    <row r="335">
      <c r="A335" t="inlineStr">
        <is>
          <t>Stojkov</t>
        </is>
      </c>
      <c r="B335" t="inlineStr">
        <is>
          <t>10/24</t>
        </is>
      </c>
      <c r="C335" t="inlineStr">
        <is>
          <t>AI</t>
        </is>
      </c>
      <c r="D335" t="n">
        <v>11</v>
      </c>
      <c r="E335" t="n">
        <v>8</v>
      </c>
      <c r="F335" t="n">
        <v>17</v>
      </c>
      <c r="G335" t="n">
        <v>19</v>
      </c>
      <c r="H335" t="n">
        <v>36</v>
      </c>
    </row>
    <row r="336">
      <c r="A336" t="inlineStr">
        <is>
          <t>Stojkov</t>
        </is>
      </c>
      <c r="B336" t="inlineStr">
        <is>
          <t>10/23</t>
        </is>
      </c>
      <c r="C336" t="inlineStr">
        <is>
          <t>PARI</t>
        </is>
      </c>
      <c r="D336" t="n">
        <v>3</v>
      </c>
      <c r="E336" t="n">
        <v>2</v>
      </c>
      <c r="F336" t="n">
        <v>0</v>
      </c>
      <c r="G336" t="n">
        <v>5</v>
      </c>
      <c r="H336" t="n">
        <v>5</v>
      </c>
    </row>
    <row r="337">
      <c r="A337" t="inlineStr">
        <is>
          <t>Stojkov</t>
        </is>
      </c>
      <c r="B337" t="inlineStr">
        <is>
          <t>10/17</t>
        </is>
      </c>
      <c r="C337" t="inlineStr">
        <is>
          <t>LYNX</t>
        </is>
      </c>
      <c r="D337" t="n">
        <v>7</v>
      </c>
      <c r="E337" t="n">
        <v>3</v>
      </c>
      <c r="F337" t="n">
        <v>0</v>
      </c>
      <c r="G337" t="n">
        <v>10</v>
      </c>
      <c r="H337" t="n">
        <v>10</v>
      </c>
    </row>
    <row r="338">
      <c r="A338" t="inlineStr">
        <is>
          <t>Stojkov</t>
        </is>
      </c>
      <c r="B338" t="inlineStr">
        <is>
          <t>10/16</t>
        </is>
      </c>
      <c r="C338" t="inlineStr">
        <is>
          <t>OG</t>
        </is>
      </c>
      <c r="D338" t="n">
        <v>9</v>
      </c>
      <c r="E338" t="n">
        <v>5</v>
      </c>
      <c r="F338" t="n">
        <v>0</v>
      </c>
      <c r="G338" t="n">
        <v>14</v>
      </c>
      <c r="H338" t="n">
        <v>14</v>
      </c>
    </row>
    <row r="339">
      <c r="A339" t="inlineStr">
        <is>
          <t>Stojkov</t>
        </is>
      </c>
      <c r="B339" t="inlineStr">
        <is>
          <t>10/15</t>
        </is>
      </c>
      <c r="C339" t="inlineStr">
        <is>
          <t>LYNX</t>
        </is>
      </c>
      <c r="D339" t="n">
        <v>10</v>
      </c>
      <c r="E339" t="n">
        <v>9</v>
      </c>
      <c r="F339" t="n">
        <v>0</v>
      </c>
      <c r="G339" t="n">
        <v>19</v>
      </c>
      <c r="H339" t="n">
        <v>19</v>
      </c>
    </row>
    <row r="340">
      <c r="A340" t="inlineStr">
        <is>
          <t>Stojkov</t>
        </is>
      </c>
      <c r="B340" t="inlineStr">
        <is>
          <t>10/15</t>
        </is>
      </c>
      <c r="C340" t="inlineStr">
        <is>
          <t>PckCp</t>
        </is>
      </c>
      <c r="D340" t="n">
        <v>4</v>
      </c>
      <c r="E340" t="n">
        <v>5</v>
      </c>
      <c r="F340" t="n">
        <v>0</v>
      </c>
      <c r="G340" t="n">
        <v>9</v>
      </c>
      <c r="H340" t="n">
        <v>9</v>
      </c>
    </row>
    <row r="341">
      <c r="A341" t="inlineStr">
        <is>
          <t>Stojkov</t>
        </is>
      </c>
      <c r="B341" t="inlineStr">
        <is>
          <t>10/08</t>
        </is>
      </c>
      <c r="C341" t="inlineStr">
        <is>
          <t>BBL</t>
        </is>
      </c>
      <c r="D341" t="n">
        <v>13</v>
      </c>
      <c r="E341" t="n">
        <v>7</v>
      </c>
      <c r="F341" t="n">
        <v>13</v>
      </c>
      <c r="G341" t="n">
        <v>20</v>
      </c>
      <c r="H341" t="n">
        <v>33</v>
      </c>
    </row>
    <row r="342">
      <c r="A342" t="inlineStr">
        <is>
          <t>Stojkov</t>
        </is>
      </c>
      <c r="B342" t="inlineStr">
        <is>
          <t>10/07</t>
        </is>
      </c>
      <c r="C342" t="inlineStr">
        <is>
          <t>Team Synapse</t>
        </is>
      </c>
      <c r="D342" t="n">
        <v>1</v>
      </c>
      <c r="E342" t="n">
        <v>10</v>
      </c>
      <c r="F342" t="n">
        <v>0</v>
      </c>
      <c r="G342" t="n">
        <v>11</v>
      </c>
      <c r="H342" t="n">
        <v>11</v>
      </c>
    </row>
    <row r="343">
      <c r="A343" t="inlineStr">
        <is>
          <t>Stojkov</t>
        </is>
      </c>
      <c r="B343" t="inlineStr">
        <is>
          <t>10/06</t>
        </is>
      </c>
      <c r="C343" t="inlineStr">
        <is>
          <t>MOUZ</t>
        </is>
      </c>
      <c r="D343" t="n">
        <v>8</v>
      </c>
      <c r="E343" t="n">
        <v>12</v>
      </c>
      <c r="F343" t="n">
        <v>0</v>
      </c>
      <c r="G343" t="n">
        <v>20</v>
      </c>
      <c r="H343" t="n">
        <v>20</v>
      </c>
    </row>
    <row r="344">
      <c r="A344" t="inlineStr">
        <is>
          <t>Stojkov</t>
        </is>
      </c>
      <c r="B344" t="inlineStr">
        <is>
          <t>10/05</t>
        </is>
      </c>
      <c r="C344" t="inlineStr">
        <is>
          <t>BBL</t>
        </is>
      </c>
      <c r="D344" t="n">
        <v>5</v>
      </c>
      <c r="E344" t="n">
        <v>13</v>
      </c>
      <c r="F344" t="n">
        <v>6</v>
      </c>
      <c r="G344" t="n">
        <v>18</v>
      </c>
      <c r="H344" t="n">
        <v>24</v>
      </c>
    </row>
    <row r="345">
      <c r="A345" t="inlineStr">
        <is>
          <t>Stojkov</t>
        </is>
      </c>
      <c r="B345" t="inlineStr">
        <is>
          <t>09/26</t>
        </is>
      </c>
      <c r="C345" t="inlineStr">
        <is>
          <t>Na`Vi</t>
        </is>
      </c>
      <c r="D345" t="n">
        <v>6</v>
      </c>
      <c r="E345" t="n">
        <v>3</v>
      </c>
      <c r="F345" t="n">
        <v>0</v>
      </c>
      <c r="G345" t="n">
        <v>9</v>
      </c>
      <c r="H345" t="n">
        <v>9</v>
      </c>
    </row>
    <row r="346">
      <c r="A346" t="inlineStr">
        <is>
          <t>Stojkov</t>
        </is>
      </c>
      <c r="B346" t="inlineStr">
        <is>
          <t>09/25</t>
        </is>
      </c>
      <c r="C346" t="inlineStr">
        <is>
          <t>TY</t>
        </is>
      </c>
      <c r="D346" t="n">
        <v>11</v>
      </c>
      <c r="E346" t="n">
        <v>4</v>
      </c>
      <c r="F346" t="n">
        <v>1</v>
      </c>
      <c r="G346" t="n">
        <v>15</v>
      </c>
      <c r="H346" t="n">
        <v>16</v>
      </c>
    </row>
    <row r="347">
      <c r="A347" t="inlineStr">
        <is>
          <t>OneJey</t>
        </is>
      </c>
      <c r="B347" t="inlineStr">
        <is>
          <t>10/28</t>
        </is>
      </c>
      <c r="C347" t="inlineStr">
        <is>
          <t>TS</t>
        </is>
      </c>
      <c r="D347" t="n">
        <v>0</v>
      </c>
      <c r="E347" t="n">
        <v>2</v>
      </c>
      <c r="F347" t="n">
        <v>4</v>
      </c>
      <c r="G347" t="n">
        <v>2</v>
      </c>
      <c r="H347" t="n">
        <v>6</v>
      </c>
    </row>
    <row r="348">
      <c r="A348" t="inlineStr">
        <is>
          <t>OneJey</t>
        </is>
      </c>
      <c r="B348" t="inlineStr">
        <is>
          <t>10/26</t>
        </is>
      </c>
      <c r="C348" t="inlineStr">
        <is>
          <t>GL</t>
        </is>
      </c>
      <c r="D348" t="n">
        <v>2</v>
      </c>
      <c r="E348" t="n">
        <v>1</v>
      </c>
      <c r="F348" t="n">
        <v>0</v>
      </c>
      <c r="G348" t="n">
        <v>3</v>
      </c>
      <c r="H348" t="n">
        <v>3</v>
      </c>
    </row>
    <row r="349">
      <c r="A349" t="inlineStr">
        <is>
          <t>OneJey</t>
        </is>
      </c>
      <c r="B349" t="inlineStr">
        <is>
          <t>10/25</t>
        </is>
      </c>
      <c r="C349" t="inlineStr">
        <is>
          <t>Liquid</t>
        </is>
      </c>
      <c r="D349" t="n">
        <v>1</v>
      </c>
      <c r="E349" t="n">
        <v>1</v>
      </c>
      <c r="F349" t="n">
        <v>4</v>
      </c>
      <c r="G349" t="n">
        <v>2</v>
      </c>
      <c r="H349" t="n">
        <v>6</v>
      </c>
    </row>
    <row r="350">
      <c r="A350" t="inlineStr">
        <is>
          <t>OneJey</t>
        </is>
      </c>
      <c r="B350" t="inlineStr">
        <is>
          <t>10/24</t>
        </is>
      </c>
      <c r="C350" t="inlineStr">
        <is>
          <t>TY</t>
        </is>
      </c>
      <c r="D350" t="n">
        <v>3</v>
      </c>
      <c r="E350" t="n">
        <v>4</v>
      </c>
      <c r="F350" t="n">
        <v>0</v>
      </c>
      <c r="G350" t="n">
        <v>7</v>
      </c>
      <c r="H350" t="n">
        <v>7</v>
      </c>
    </row>
    <row r="351">
      <c r="A351" t="inlineStr">
        <is>
          <t>OneJey</t>
        </is>
      </c>
      <c r="B351" t="inlineStr">
        <is>
          <t>10/23</t>
        </is>
      </c>
      <c r="C351" t="inlineStr">
        <is>
          <t>1WIN</t>
        </is>
      </c>
      <c r="D351" t="n">
        <v>6</v>
      </c>
      <c r="E351" t="n">
        <v>4</v>
      </c>
      <c r="F351" t="n">
        <v>0</v>
      </c>
      <c r="G351" t="n">
        <v>10</v>
      </c>
      <c r="H351" t="n">
        <v>10</v>
      </c>
    </row>
    <row r="352">
      <c r="A352" t="inlineStr">
        <is>
          <t>OneJey</t>
        </is>
      </c>
      <c r="B352" t="inlineStr">
        <is>
          <t>10/16</t>
        </is>
      </c>
      <c r="C352" t="inlineStr">
        <is>
          <t>LEGION</t>
        </is>
      </c>
      <c r="D352" t="n">
        <v>5</v>
      </c>
      <c r="E352" t="n">
        <v>1</v>
      </c>
      <c r="F352" t="n">
        <v>0</v>
      </c>
      <c r="G352" t="n">
        <v>6</v>
      </c>
      <c r="H352" t="n">
        <v>6</v>
      </c>
    </row>
    <row r="353">
      <c r="A353" t="inlineStr">
        <is>
          <t>OneJey</t>
        </is>
      </c>
      <c r="B353" t="inlineStr">
        <is>
          <t>10/15</t>
        </is>
      </c>
      <c r="C353" t="inlineStr">
        <is>
          <t>Team Synapse</t>
        </is>
      </c>
      <c r="D353" t="n">
        <v>0</v>
      </c>
      <c r="E353" t="n">
        <v>1</v>
      </c>
      <c r="F353" t="n">
        <v>0</v>
      </c>
      <c r="G353" t="n">
        <v>1</v>
      </c>
      <c r="H353" t="n">
        <v>1</v>
      </c>
    </row>
    <row r="354">
      <c r="A354" t="inlineStr">
        <is>
          <t>OneJey</t>
        </is>
      </c>
      <c r="B354" t="inlineStr">
        <is>
          <t>10/15</t>
        </is>
      </c>
      <c r="C354" t="inlineStr">
        <is>
          <t>P-</t>
        </is>
      </c>
      <c r="D354" t="n">
        <v>4</v>
      </c>
      <c r="E354" t="n">
        <v>2</v>
      </c>
      <c r="F354" t="n">
        <v>0</v>
      </c>
      <c r="G354" t="n">
        <v>6</v>
      </c>
      <c r="H354" t="n">
        <v>6</v>
      </c>
    </row>
    <row r="355">
      <c r="A355" t="inlineStr">
        <is>
          <t>OneJey</t>
        </is>
      </c>
      <c r="B355" t="inlineStr">
        <is>
          <t>10/03</t>
        </is>
      </c>
      <c r="C355" t="inlineStr">
        <is>
          <t>1WIN</t>
        </is>
      </c>
      <c r="D355" t="n">
        <v>9</v>
      </c>
      <c r="E355" t="n">
        <v>3</v>
      </c>
      <c r="F355" t="n">
        <v>0</v>
      </c>
      <c r="G355" t="n">
        <v>12</v>
      </c>
      <c r="H355" t="n">
        <v>12</v>
      </c>
    </row>
    <row r="356">
      <c r="A356" t="inlineStr">
        <is>
          <t>OneJey</t>
        </is>
      </c>
      <c r="B356" t="inlineStr">
        <is>
          <t>10/02</t>
        </is>
      </c>
      <c r="C356" t="inlineStr">
        <is>
          <t>BB</t>
        </is>
      </c>
      <c r="D356" t="n">
        <v>2</v>
      </c>
      <c r="E356" t="n">
        <v>2</v>
      </c>
      <c r="F356" t="n">
        <v>12</v>
      </c>
      <c r="G356" t="n">
        <v>4</v>
      </c>
      <c r="H356" t="n">
        <v>16</v>
      </c>
    </row>
    <row r="357">
      <c r="A357" t="inlineStr">
        <is>
          <t>OneJey</t>
        </is>
      </c>
      <c r="B357" t="inlineStr">
        <is>
          <t>10/01</t>
        </is>
      </c>
      <c r="C357" t="inlineStr">
        <is>
          <t>MOUZ</t>
        </is>
      </c>
      <c r="D357" t="n">
        <v>1</v>
      </c>
      <c r="E357" t="n">
        <v>4</v>
      </c>
      <c r="F357" t="n">
        <v>0</v>
      </c>
      <c r="G357" t="n">
        <v>5</v>
      </c>
      <c r="H357" t="n">
        <v>5</v>
      </c>
    </row>
    <row r="358">
      <c r="A358" t="inlineStr">
        <is>
          <t>OneJey</t>
        </is>
      </c>
      <c r="B358" t="inlineStr">
        <is>
          <t>09/30</t>
        </is>
      </c>
      <c r="C358" t="inlineStr">
        <is>
          <t>BB</t>
        </is>
      </c>
      <c r="D358" t="n">
        <v>0</v>
      </c>
      <c r="E358" t="n">
        <v>5</v>
      </c>
      <c r="F358" t="n">
        <v>6</v>
      </c>
      <c r="G358" t="n">
        <v>5</v>
      </c>
      <c r="H358" t="n">
        <v>11</v>
      </c>
    </row>
    <row r="359">
      <c r="A359" t="inlineStr">
        <is>
          <t>OneJey</t>
        </is>
      </c>
      <c r="B359" t="inlineStr">
        <is>
          <t>08/11</t>
        </is>
      </c>
      <c r="C359" t="inlineStr">
        <is>
          <t>RE</t>
        </is>
      </c>
      <c r="D359" t="n">
        <v>6</v>
      </c>
      <c r="E359" t="n">
        <v>5</v>
      </c>
      <c r="F359" t="n">
        <v>5</v>
      </c>
      <c r="G359" t="n">
        <v>11</v>
      </c>
      <c r="H359" t="n">
        <v>16</v>
      </c>
    </row>
    <row r="360">
      <c r="A360" t="inlineStr">
        <is>
          <t>OneJey</t>
        </is>
      </c>
      <c r="B360" t="inlineStr">
        <is>
          <t>08/10</t>
        </is>
      </c>
      <c r="C360" t="inlineStr">
        <is>
          <t>PR</t>
        </is>
      </c>
      <c r="D360" t="n">
        <v>0</v>
      </c>
      <c r="E360" t="n">
        <v>14</v>
      </c>
      <c r="F360" t="n">
        <v>5</v>
      </c>
      <c r="G360" t="n">
        <v>14</v>
      </c>
      <c r="H360" t="n">
        <v>19</v>
      </c>
    </row>
    <row r="361">
      <c r="A361" t="inlineStr">
        <is>
          <t>OneJey</t>
        </is>
      </c>
      <c r="B361" t="inlineStr">
        <is>
          <t>08/09</t>
        </is>
      </c>
      <c r="C361" t="inlineStr">
        <is>
          <t>LVLUP</t>
        </is>
      </c>
      <c r="D361" t="n">
        <v>0</v>
      </c>
      <c r="E361" t="n">
        <v>6</v>
      </c>
      <c r="F361" t="n">
        <v>0</v>
      </c>
      <c r="G361" t="n">
        <v>6</v>
      </c>
      <c r="H361" t="n">
        <v>6</v>
      </c>
    </row>
    <row r="362">
      <c r="A362" t="inlineStr">
        <is>
          <t>Skem</t>
        </is>
      </c>
      <c r="B362" t="inlineStr">
        <is>
          <t>10/28</t>
        </is>
      </c>
      <c r="C362" t="inlineStr">
        <is>
          <t>TS</t>
        </is>
      </c>
      <c r="D362" t="n">
        <v>4</v>
      </c>
      <c r="E362" t="n">
        <v>3</v>
      </c>
      <c r="F362" t="n">
        <v>2</v>
      </c>
      <c r="G362" t="n">
        <v>7</v>
      </c>
      <c r="H362" t="n">
        <v>9</v>
      </c>
    </row>
    <row r="363">
      <c r="A363" t="inlineStr">
        <is>
          <t>Skem</t>
        </is>
      </c>
      <c r="B363" t="inlineStr">
        <is>
          <t>10/26</t>
        </is>
      </c>
      <c r="C363" t="inlineStr">
        <is>
          <t>GL</t>
        </is>
      </c>
      <c r="D363" t="n">
        <v>7</v>
      </c>
      <c r="E363" t="n">
        <v>3</v>
      </c>
      <c r="F363" t="n">
        <v>1</v>
      </c>
      <c r="G363" t="n">
        <v>10</v>
      </c>
      <c r="H363" t="n">
        <v>11</v>
      </c>
    </row>
    <row r="364">
      <c r="A364" t="inlineStr">
        <is>
          <t>Skem</t>
        </is>
      </c>
      <c r="B364" t="inlineStr">
        <is>
          <t>10/25</t>
        </is>
      </c>
      <c r="C364" t="inlineStr">
        <is>
          <t>Liquid</t>
        </is>
      </c>
      <c r="D364" t="n">
        <v>5</v>
      </c>
      <c r="E364" t="n">
        <v>1</v>
      </c>
      <c r="F364" t="n">
        <v>5</v>
      </c>
      <c r="G364" t="n">
        <v>6</v>
      </c>
      <c r="H364" t="n">
        <v>11</v>
      </c>
    </row>
    <row r="365">
      <c r="A365" t="inlineStr">
        <is>
          <t>Skem</t>
        </is>
      </c>
      <c r="B365" t="inlineStr">
        <is>
          <t>10/24</t>
        </is>
      </c>
      <c r="C365" t="inlineStr">
        <is>
          <t>TY</t>
        </is>
      </c>
      <c r="D365" t="n">
        <v>1</v>
      </c>
      <c r="E365" t="n">
        <v>2</v>
      </c>
      <c r="F365" t="n">
        <v>0</v>
      </c>
      <c r="G365" t="n">
        <v>3</v>
      </c>
      <c r="H365" t="n">
        <v>3</v>
      </c>
    </row>
    <row r="366">
      <c r="A366" t="inlineStr">
        <is>
          <t>Skem</t>
        </is>
      </c>
      <c r="B366" t="inlineStr">
        <is>
          <t>10/23</t>
        </is>
      </c>
      <c r="C366" t="inlineStr">
        <is>
          <t>1WIN</t>
        </is>
      </c>
      <c r="D366" t="n">
        <v>1</v>
      </c>
      <c r="E366" t="n">
        <v>7</v>
      </c>
      <c r="F366" t="n">
        <v>0</v>
      </c>
      <c r="G366" t="n">
        <v>8</v>
      </c>
      <c r="H366" t="n">
        <v>8</v>
      </c>
    </row>
    <row r="367">
      <c r="A367" t="inlineStr">
        <is>
          <t>Skem</t>
        </is>
      </c>
      <c r="B367" t="inlineStr">
        <is>
          <t>10/16</t>
        </is>
      </c>
      <c r="C367" t="inlineStr">
        <is>
          <t>LEGION</t>
        </is>
      </c>
      <c r="D367" t="n">
        <v>1</v>
      </c>
      <c r="E367" t="n">
        <v>3</v>
      </c>
      <c r="F367" t="n">
        <v>0</v>
      </c>
      <c r="G367" t="n">
        <v>4</v>
      </c>
      <c r="H367" t="n">
        <v>4</v>
      </c>
    </row>
    <row r="368">
      <c r="A368" t="inlineStr">
        <is>
          <t>Skem</t>
        </is>
      </c>
      <c r="B368" t="inlineStr">
        <is>
          <t>10/15</t>
        </is>
      </c>
      <c r="C368" t="inlineStr">
        <is>
          <t>Team Synapse</t>
        </is>
      </c>
      <c r="D368" t="n">
        <v>4</v>
      </c>
      <c r="E368" t="n">
        <v>2</v>
      </c>
      <c r="F368" t="n">
        <v>0</v>
      </c>
      <c r="G368" t="n">
        <v>6</v>
      </c>
      <c r="H368" t="n">
        <v>6</v>
      </c>
    </row>
    <row r="369">
      <c r="A369" t="inlineStr">
        <is>
          <t>Skem</t>
        </is>
      </c>
      <c r="B369" t="inlineStr">
        <is>
          <t>10/15</t>
        </is>
      </c>
      <c r="C369" t="inlineStr">
        <is>
          <t>P-</t>
        </is>
      </c>
      <c r="D369" t="n">
        <v>2</v>
      </c>
      <c r="E369" t="n">
        <v>7</v>
      </c>
      <c r="F369" t="n">
        <v>0</v>
      </c>
      <c r="G369" t="n">
        <v>9</v>
      </c>
      <c r="H369" t="n">
        <v>9</v>
      </c>
    </row>
    <row r="370">
      <c r="A370" t="inlineStr">
        <is>
          <t>Skem</t>
        </is>
      </c>
      <c r="B370" t="inlineStr">
        <is>
          <t>10/03</t>
        </is>
      </c>
      <c r="C370" t="inlineStr">
        <is>
          <t>1WIN</t>
        </is>
      </c>
      <c r="D370" t="n">
        <v>1</v>
      </c>
      <c r="E370" t="n">
        <v>2</v>
      </c>
      <c r="F370" t="n">
        <v>1</v>
      </c>
      <c r="G370" t="n">
        <v>3</v>
      </c>
      <c r="H370" t="n">
        <v>4</v>
      </c>
    </row>
    <row r="371">
      <c r="A371" t="inlineStr">
        <is>
          <t>Skem</t>
        </is>
      </c>
      <c r="B371" t="inlineStr">
        <is>
          <t>10/02</t>
        </is>
      </c>
      <c r="C371" t="inlineStr">
        <is>
          <t>BB</t>
        </is>
      </c>
      <c r="D371" t="n">
        <v>1</v>
      </c>
      <c r="E371" t="n">
        <v>6</v>
      </c>
      <c r="F371" t="n">
        <v>1</v>
      </c>
      <c r="G371" t="n">
        <v>7</v>
      </c>
      <c r="H371" t="n">
        <v>8</v>
      </c>
    </row>
    <row r="372">
      <c r="A372" t="inlineStr">
        <is>
          <t>Skem</t>
        </is>
      </c>
      <c r="B372" t="inlineStr">
        <is>
          <t>10/01</t>
        </is>
      </c>
      <c r="C372" t="inlineStr">
        <is>
          <t>MOUZ</t>
        </is>
      </c>
      <c r="D372" t="n">
        <v>1</v>
      </c>
      <c r="E372" t="n">
        <v>2</v>
      </c>
      <c r="F372" t="n">
        <v>0</v>
      </c>
      <c r="G372" t="n">
        <v>3</v>
      </c>
      <c r="H372" t="n">
        <v>3</v>
      </c>
    </row>
    <row r="373">
      <c r="A373" t="inlineStr">
        <is>
          <t>Skem</t>
        </is>
      </c>
      <c r="B373" t="inlineStr">
        <is>
          <t>09/30</t>
        </is>
      </c>
      <c r="C373" t="inlineStr">
        <is>
          <t>BB</t>
        </is>
      </c>
      <c r="D373" t="n">
        <v>7</v>
      </c>
      <c r="E373" t="n">
        <v>8</v>
      </c>
      <c r="F373" t="n">
        <v>0</v>
      </c>
      <c r="G373" t="n">
        <v>15</v>
      </c>
      <c r="H373" t="n">
        <v>15</v>
      </c>
    </row>
    <row r="374">
      <c r="A374" t="inlineStr">
        <is>
          <t>Skem</t>
        </is>
      </c>
      <c r="B374" t="inlineStr">
        <is>
          <t>08/15</t>
        </is>
      </c>
      <c r="C374" t="inlineStr">
        <is>
          <t>GL</t>
        </is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</row>
    <row r="375">
      <c r="A375" t="inlineStr">
        <is>
          <t>Skem</t>
        </is>
      </c>
      <c r="B375" t="inlineStr">
        <is>
          <t>08/15</t>
        </is>
      </c>
      <c r="C375" t="inlineStr">
        <is>
          <t>HULIGANI</t>
        </is>
      </c>
      <c r="D375" t="n">
        <v>6</v>
      </c>
      <c r="E375" t="n">
        <v>7</v>
      </c>
      <c r="F375" t="n">
        <v>6</v>
      </c>
      <c r="G375" t="n">
        <v>13</v>
      </c>
      <c r="H375" t="n">
        <v>19</v>
      </c>
    </row>
    <row r="376">
      <c r="A376" t="inlineStr">
        <is>
          <t>Skem</t>
        </is>
      </c>
      <c r="B376" t="inlineStr">
        <is>
          <t>08/14</t>
        </is>
      </c>
      <c r="C376" t="inlineStr">
        <is>
          <t>TR</t>
        </is>
      </c>
      <c r="D376" t="n">
        <v>2</v>
      </c>
      <c r="E376" t="n">
        <v>6</v>
      </c>
      <c r="F376" t="n">
        <v>0</v>
      </c>
      <c r="G376" t="n">
        <v>8</v>
      </c>
      <c r="H376" t="n">
        <v>8</v>
      </c>
    </row>
    <row r="377">
      <c r="A377" t="inlineStr">
        <is>
          <t>TOPSON</t>
        </is>
      </c>
      <c r="B377" t="inlineStr">
        <is>
          <t>10/28</t>
        </is>
      </c>
      <c r="C377" t="inlineStr">
        <is>
          <t>TS</t>
        </is>
      </c>
      <c r="D377" t="n">
        <v>0</v>
      </c>
      <c r="E377" t="n">
        <v>13</v>
      </c>
      <c r="F377" t="n">
        <v>12</v>
      </c>
      <c r="G377" t="n">
        <v>13</v>
      </c>
      <c r="H377" t="n">
        <v>25</v>
      </c>
    </row>
    <row r="378">
      <c r="A378" t="inlineStr">
        <is>
          <t>TOPSON</t>
        </is>
      </c>
      <c r="B378" t="inlineStr">
        <is>
          <t>10/26</t>
        </is>
      </c>
      <c r="C378" t="inlineStr">
        <is>
          <t>GL</t>
        </is>
      </c>
      <c r="D378" t="n">
        <v>9</v>
      </c>
      <c r="E378" t="n">
        <v>4</v>
      </c>
      <c r="F378" t="n">
        <v>4</v>
      </c>
      <c r="G378" t="n">
        <v>13</v>
      </c>
      <c r="H378" t="n">
        <v>17</v>
      </c>
    </row>
    <row r="379">
      <c r="A379" t="inlineStr">
        <is>
          <t>TOPSON</t>
        </is>
      </c>
      <c r="B379" t="inlineStr">
        <is>
          <t>10/25</t>
        </is>
      </c>
      <c r="C379" t="inlineStr">
        <is>
          <t>Liquid</t>
        </is>
      </c>
      <c r="D379" t="n">
        <v>11</v>
      </c>
      <c r="E379" t="n">
        <v>4</v>
      </c>
      <c r="F379" t="n">
        <v>7</v>
      </c>
      <c r="G379" t="n">
        <v>15</v>
      </c>
      <c r="H379" t="n">
        <v>22</v>
      </c>
    </row>
    <row r="380">
      <c r="A380" t="inlineStr">
        <is>
          <t>TOPSON</t>
        </is>
      </c>
      <c r="B380" t="inlineStr">
        <is>
          <t>10/24</t>
        </is>
      </c>
      <c r="C380" t="inlineStr">
        <is>
          <t>TY</t>
        </is>
      </c>
      <c r="D380" t="n">
        <v>5</v>
      </c>
      <c r="E380" t="n">
        <v>11</v>
      </c>
      <c r="F380" t="n">
        <v>0</v>
      </c>
      <c r="G380" t="n">
        <v>16</v>
      </c>
      <c r="H380" t="n">
        <v>16</v>
      </c>
    </row>
    <row r="381">
      <c r="A381" t="inlineStr">
        <is>
          <t>TOPSON</t>
        </is>
      </c>
      <c r="B381" t="inlineStr">
        <is>
          <t>10/23</t>
        </is>
      </c>
      <c r="C381" t="inlineStr">
        <is>
          <t>1WIN</t>
        </is>
      </c>
      <c r="D381" t="n">
        <v>2</v>
      </c>
      <c r="E381" t="n">
        <v>16</v>
      </c>
      <c r="F381" t="n">
        <v>0</v>
      </c>
      <c r="G381" t="n">
        <v>18</v>
      </c>
      <c r="H381" t="n">
        <v>18</v>
      </c>
    </row>
    <row r="382">
      <c r="A382" t="inlineStr">
        <is>
          <t>TOPSON</t>
        </is>
      </c>
      <c r="B382" t="inlineStr">
        <is>
          <t>10/16</t>
        </is>
      </c>
      <c r="C382" t="inlineStr">
        <is>
          <t>LEGION</t>
        </is>
      </c>
      <c r="D382" t="n">
        <v>5</v>
      </c>
      <c r="E382" t="n">
        <v>6</v>
      </c>
      <c r="F382" t="n">
        <v>0</v>
      </c>
      <c r="G382" t="n">
        <v>11</v>
      </c>
      <c r="H382" t="n">
        <v>11</v>
      </c>
    </row>
    <row r="383">
      <c r="A383" t="inlineStr">
        <is>
          <t>TOPSON</t>
        </is>
      </c>
      <c r="B383" t="inlineStr">
        <is>
          <t>10/15</t>
        </is>
      </c>
      <c r="C383" t="inlineStr">
        <is>
          <t>Team Synapse</t>
        </is>
      </c>
      <c r="D383" t="n">
        <v>13</v>
      </c>
      <c r="E383" t="n">
        <v>6</v>
      </c>
      <c r="F383" t="n">
        <v>0</v>
      </c>
      <c r="G383" t="n">
        <v>19</v>
      </c>
      <c r="H383" t="n">
        <v>19</v>
      </c>
    </row>
    <row r="384">
      <c r="A384" t="inlineStr">
        <is>
          <t>TOPSON</t>
        </is>
      </c>
      <c r="B384" t="inlineStr">
        <is>
          <t>10/15</t>
        </is>
      </c>
      <c r="C384" t="inlineStr">
        <is>
          <t>P-</t>
        </is>
      </c>
      <c r="D384" t="n">
        <v>6</v>
      </c>
      <c r="E384" t="n">
        <v>8</v>
      </c>
      <c r="F384" t="n">
        <v>0</v>
      </c>
      <c r="G384" t="n">
        <v>14</v>
      </c>
      <c r="H384" t="n">
        <v>14</v>
      </c>
    </row>
    <row r="385">
      <c r="A385" t="inlineStr">
        <is>
          <t>TOPSON</t>
        </is>
      </c>
      <c r="B385" t="inlineStr">
        <is>
          <t>10/03</t>
        </is>
      </c>
      <c r="C385" t="inlineStr">
        <is>
          <t>1WIN</t>
        </is>
      </c>
      <c r="D385" t="n">
        <v>7</v>
      </c>
      <c r="E385" t="n">
        <v>0</v>
      </c>
      <c r="F385" t="n">
        <v>3</v>
      </c>
      <c r="G385" t="n">
        <v>7</v>
      </c>
      <c r="H385" t="n">
        <v>10</v>
      </c>
    </row>
    <row r="386">
      <c r="A386" t="inlineStr">
        <is>
          <t>TOPSON</t>
        </is>
      </c>
      <c r="B386" t="inlineStr">
        <is>
          <t>10/02</t>
        </is>
      </c>
      <c r="C386" t="inlineStr">
        <is>
          <t>BB</t>
        </is>
      </c>
      <c r="D386" t="n">
        <v>6</v>
      </c>
      <c r="E386" t="n">
        <v>4</v>
      </c>
      <c r="F386" t="n">
        <v>8</v>
      </c>
      <c r="G386" t="n">
        <v>10</v>
      </c>
      <c r="H386" t="n">
        <v>18</v>
      </c>
    </row>
    <row r="387">
      <c r="A387" t="inlineStr">
        <is>
          <t>TOPSON</t>
        </is>
      </c>
      <c r="B387" t="inlineStr">
        <is>
          <t>10/01</t>
        </is>
      </c>
      <c r="C387" t="inlineStr">
        <is>
          <t>MOUZ</t>
        </is>
      </c>
      <c r="D387" t="n">
        <v>12</v>
      </c>
      <c r="E387" t="n">
        <v>7</v>
      </c>
      <c r="F387" t="n">
        <v>0</v>
      </c>
      <c r="G387" t="n">
        <v>19</v>
      </c>
      <c r="H387" t="n">
        <v>19</v>
      </c>
    </row>
    <row r="388">
      <c r="A388" t="inlineStr">
        <is>
          <t>TOPSON</t>
        </is>
      </c>
      <c r="B388" t="inlineStr">
        <is>
          <t>09/30</t>
        </is>
      </c>
      <c r="C388" t="inlineStr">
        <is>
          <t>BB</t>
        </is>
      </c>
      <c r="D388" t="n">
        <v>4</v>
      </c>
      <c r="E388" t="n">
        <v>7</v>
      </c>
      <c r="F388" t="n">
        <v>10</v>
      </c>
      <c r="G388" t="n">
        <v>11</v>
      </c>
      <c r="H388" t="n">
        <v>21</v>
      </c>
    </row>
    <row r="389">
      <c r="A389" t="inlineStr">
        <is>
          <t>TOPSON</t>
        </is>
      </c>
      <c r="B389" t="inlineStr">
        <is>
          <t>08/16</t>
        </is>
      </c>
      <c r="C389" t="inlineStr">
        <is>
          <t>TY</t>
        </is>
      </c>
      <c r="D389" t="n">
        <v>10</v>
      </c>
      <c r="E389" t="n">
        <v>8</v>
      </c>
      <c r="F389" t="n">
        <v>5</v>
      </c>
      <c r="G389" t="n">
        <v>18</v>
      </c>
      <c r="H389" t="n">
        <v>23</v>
      </c>
    </row>
    <row r="390">
      <c r="A390" t="inlineStr">
        <is>
          <t>TOPSON</t>
        </is>
      </c>
      <c r="B390" t="inlineStr">
        <is>
          <t>08/15</t>
        </is>
      </c>
      <c r="C390" t="inlineStr">
        <is>
          <t>VG</t>
        </is>
      </c>
      <c r="D390" t="n">
        <v>5</v>
      </c>
      <c r="E390" t="n">
        <v>9</v>
      </c>
      <c r="F390" t="n">
        <v>0</v>
      </c>
      <c r="G390" t="n">
        <v>14</v>
      </c>
      <c r="H390" t="n">
        <v>14</v>
      </c>
    </row>
    <row r="391">
      <c r="A391" t="inlineStr">
        <is>
          <t>TOPSON</t>
        </is>
      </c>
      <c r="B391" t="inlineStr">
        <is>
          <t>08/15</t>
        </is>
      </c>
      <c r="C391" t="inlineStr">
        <is>
          <t>Xtreme</t>
        </is>
      </c>
      <c r="D391" t="n">
        <v>8</v>
      </c>
      <c r="E391" t="n">
        <v>6</v>
      </c>
      <c r="F391" t="n">
        <v>5</v>
      </c>
      <c r="G391" t="n">
        <v>14</v>
      </c>
      <c r="H391" t="n">
        <v>19</v>
      </c>
    </row>
    <row r="392">
      <c r="A392" t="inlineStr">
        <is>
          <t>9Class</t>
        </is>
      </c>
      <c r="B392" t="inlineStr">
        <is>
          <t>10/28</t>
        </is>
      </c>
      <c r="C392" t="inlineStr">
        <is>
          <t>Liquid</t>
        </is>
      </c>
      <c r="D392" t="n">
        <v>3</v>
      </c>
      <c r="E392" t="n">
        <v>5</v>
      </c>
      <c r="F392" t="n">
        <v>5</v>
      </c>
      <c r="G392" t="n">
        <v>8</v>
      </c>
      <c r="H392" t="n">
        <v>13</v>
      </c>
    </row>
    <row r="393">
      <c r="A393" t="inlineStr">
        <is>
          <t>9Class</t>
        </is>
      </c>
      <c r="B393" t="inlineStr">
        <is>
          <t>10/26</t>
        </is>
      </c>
      <c r="C393" t="inlineStr">
        <is>
          <t>TS</t>
        </is>
      </c>
      <c r="D393" t="n">
        <v>4</v>
      </c>
      <c r="E393" t="n">
        <v>3</v>
      </c>
      <c r="F393" t="n">
        <v>1</v>
      </c>
      <c r="G393" t="n">
        <v>7</v>
      </c>
      <c r="H393" t="n">
        <v>8</v>
      </c>
    </row>
    <row r="394">
      <c r="A394" t="inlineStr">
        <is>
          <t>9Class</t>
        </is>
      </c>
      <c r="B394" t="inlineStr">
        <is>
          <t>10/25</t>
        </is>
      </c>
      <c r="C394" t="inlineStr">
        <is>
          <t>BB</t>
        </is>
      </c>
      <c r="D394" t="n">
        <v>6</v>
      </c>
      <c r="E394" t="n">
        <v>3</v>
      </c>
      <c r="F394" t="n">
        <v>0</v>
      </c>
      <c r="G394" t="n">
        <v>9</v>
      </c>
      <c r="H394" t="n">
        <v>9</v>
      </c>
    </row>
    <row r="395">
      <c r="A395" t="inlineStr">
        <is>
          <t>9Class</t>
        </is>
      </c>
      <c r="B395" t="inlineStr">
        <is>
          <t>10/23</t>
        </is>
      </c>
      <c r="C395" t="inlineStr">
        <is>
          <t>LEGION</t>
        </is>
      </c>
      <c r="D395" t="n">
        <v>4</v>
      </c>
      <c r="E395" t="n">
        <v>2</v>
      </c>
      <c r="F395" t="n">
        <v>0</v>
      </c>
      <c r="G395" t="n">
        <v>6</v>
      </c>
      <c r="H395" t="n">
        <v>6</v>
      </c>
    </row>
    <row r="396">
      <c r="A396" t="inlineStr">
        <is>
          <t>9Class</t>
        </is>
      </c>
      <c r="B396" t="inlineStr">
        <is>
          <t>10/22</t>
        </is>
      </c>
      <c r="C396" t="inlineStr">
        <is>
          <t>AI</t>
        </is>
      </c>
      <c r="D396" t="n">
        <v>10</v>
      </c>
      <c r="E396" t="n">
        <v>7</v>
      </c>
      <c r="F396" t="n">
        <v>0</v>
      </c>
      <c r="G396" t="n">
        <v>17</v>
      </c>
      <c r="H396" t="n">
        <v>17</v>
      </c>
    </row>
    <row r="397">
      <c r="A397" t="inlineStr">
        <is>
          <t>9Class</t>
        </is>
      </c>
      <c r="B397" t="inlineStr">
        <is>
          <t>10/11</t>
        </is>
      </c>
      <c r="C397" t="inlineStr">
        <is>
          <t>TS</t>
        </is>
      </c>
      <c r="D397" t="n">
        <v>3</v>
      </c>
      <c r="E397" t="n">
        <v>3</v>
      </c>
      <c r="F397" t="n">
        <v>1</v>
      </c>
      <c r="G397" t="n">
        <v>6</v>
      </c>
      <c r="H397" t="n">
        <v>7</v>
      </c>
    </row>
    <row r="398">
      <c r="A398" t="inlineStr">
        <is>
          <t>9Class</t>
        </is>
      </c>
      <c r="B398" t="inlineStr">
        <is>
          <t>10/10</t>
        </is>
      </c>
      <c r="C398" t="inlineStr">
        <is>
          <t>AUR</t>
        </is>
      </c>
      <c r="D398" t="n">
        <v>12</v>
      </c>
      <c r="E398" t="n">
        <v>3</v>
      </c>
      <c r="F398" t="n">
        <v>0</v>
      </c>
      <c r="G398" t="n">
        <v>15</v>
      </c>
      <c r="H398" t="n">
        <v>15</v>
      </c>
    </row>
    <row r="399">
      <c r="A399" t="inlineStr">
        <is>
          <t>9Class</t>
        </is>
      </c>
      <c r="B399" t="inlineStr">
        <is>
          <t>10/09</t>
        </is>
      </c>
      <c r="C399" t="inlineStr">
        <is>
          <t>1WIN</t>
        </is>
      </c>
      <c r="D399" t="n">
        <v>4</v>
      </c>
      <c r="E399" t="n">
        <v>7</v>
      </c>
      <c r="F399" t="n">
        <v>7</v>
      </c>
      <c r="G399" t="n">
        <v>11</v>
      </c>
      <c r="H399" t="n">
        <v>18</v>
      </c>
    </row>
    <row r="400">
      <c r="A400" t="inlineStr">
        <is>
          <t>9Class</t>
        </is>
      </c>
      <c r="B400" t="inlineStr">
        <is>
          <t>10/08</t>
        </is>
      </c>
      <c r="C400" t="inlineStr">
        <is>
          <t>TY</t>
        </is>
      </c>
      <c r="D400" t="n">
        <v>2</v>
      </c>
      <c r="E400" t="n">
        <v>6</v>
      </c>
      <c r="F400" t="n">
        <v>4</v>
      </c>
      <c r="G400" t="n">
        <v>8</v>
      </c>
      <c r="H400" t="n">
        <v>12</v>
      </c>
    </row>
    <row r="401">
      <c r="A401" t="inlineStr">
        <is>
          <t>9Class</t>
        </is>
      </c>
      <c r="B401" t="inlineStr">
        <is>
          <t>10/03</t>
        </is>
      </c>
      <c r="C401" t="inlineStr">
        <is>
          <t>AUR</t>
        </is>
      </c>
      <c r="D401" t="n">
        <v>6</v>
      </c>
      <c r="E401" t="n">
        <v>7</v>
      </c>
      <c r="F401" t="n">
        <v>0</v>
      </c>
      <c r="G401" t="n">
        <v>13</v>
      </c>
      <c r="H401" t="n">
        <v>13</v>
      </c>
    </row>
    <row r="402">
      <c r="A402" t="inlineStr">
        <is>
          <t>9Class</t>
        </is>
      </c>
      <c r="B402" t="inlineStr">
        <is>
          <t>09/30</t>
        </is>
      </c>
      <c r="C402" t="inlineStr">
        <is>
          <t>LGD</t>
        </is>
      </c>
      <c r="D402" t="n">
        <v>8</v>
      </c>
      <c r="E402" t="n">
        <v>5</v>
      </c>
      <c r="F402" t="n">
        <v>0</v>
      </c>
      <c r="G402" t="n">
        <v>13</v>
      </c>
      <c r="H402" t="n">
        <v>13</v>
      </c>
    </row>
    <row r="403">
      <c r="A403" t="inlineStr">
        <is>
          <t>9Class</t>
        </is>
      </c>
      <c r="B403" t="inlineStr">
        <is>
          <t>09/29</t>
        </is>
      </c>
      <c r="C403" t="inlineStr">
        <is>
          <t>LVLUP</t>
        </is>
      </c>
      <c r="D403" t="n">
        <v>3</v>
      </c>
      <c r="E403" t="n">
        <v>2</v>
      </c>
      <c r="F403" t="n">
        <v>0</v>
      </c>
      <c r="G403" t="n">
        <v>5</v>
      </c>
      <c r="H403" t="n">
        <v>5</v>
      </c>
    </row>
    <row r="404">
      <c r="A404" t="inlineStr">
        <is>
          <t>9Class</t>
        </is>
      </c>
      <c r="B404" t="inlineStr">
        <is>
          <t>08/23</t>
        </is>
      </c>
      <c r="C404" t="inlineStr">
        <is>
          <t>TS</t>
        </is>
      </c>
      <c r="D404" t="n">
        <v>5</v>
      </c>
      <c r="E404" t="n">
        <v>0</v>
      </c>
      <c r="F404" t="n">
        <v>2</v>
      </c>
      <c r="G404" t="n">
        <v>5</v>
      </c>
      <c r="H404" t="n">
        <v>7</v>
      </c>
    </row>
    <row r="405">
      <c r="A405" t="inlineStr">
        <is>
          <t>9Class</t>
        </is>
      </c>
      <c r="B405" t="inlineStr">
        <is>
          <t>08/22</t>
        </is>
      </c>
      <c r="C405" t="inlineStr">
        <is>
          <t>TY</t>
        </is>
      </c>
      <c r="D405" t="n">
        <v>7</v>
      </c>
      <c r="E405" t="n">
        <v>3</v>
      </c>
      <c r="F405" t="n">
        <v>8</v>
      </c>
      <c r="G405" t="n">
        <v>10</v>
      </c>
      <c r="H405" t="n">
        <v>18</v>
      </c>
    </row>
    <row r="406">
      <c r="A406" t="inlineStr">
        <is>
          <t>9Class</t>
        </is>
      </c>
      <c r="B406" t="inlineStr">
        <is>
          <t>08/21</t>
        </is>
      </c>
      <c r="C406" t="inlineStr">
        <is>
          <t>TS</t>
        </is>
      </c>
      <c r="D406" t="n">
        <v>2</v>
      </c>
      <c r="E406" t="n">
        <v>1</v>
      </c>
      <c r="F406" t="n">
        <v>6</v>
      </c>
      <c r="G406" t="n">
        <v>3</v>
      </c>
      <c r="H406" t="n">
        <v>9</v>
      </c>
    </row>
    <row r="407">
      <c r="A407" t="inlineStr">
        <is>
          <t>Dukalis</t>
        </is>
      </c>
      <c r="B407" t="inlineStr">
        <is>
          <t>10/28</t>
        </is>
      </c>
      <c r="C407" t="inlineStr">
        <is>
          <t>Liquid</t>
        </is>
      </c>
      <c r="D407" t="n">
        <v>3</v>
      </c>
      <c r="E407" t="n">
        <v>1</v>
      </c>
      <c r="F407" t="n">
        <v>2</v>
      </c>
      <c r="G407" t="n">
        <v>4</v>
      </c>
      <c r="H407" t="n">
        <v>6</v>
      </c>
    </row>
    <row r="408">
      <c r="A408" t="inlineStr">
        <is>
          <t>Dukalis</t>
        </is>
      </c>
      <c r="B408" t="inlineStr">
        <is>
          <t>10/26</t>
        </is>
      </c>
      <c r="C408" t="inlineStr">
        <is>
          <t>TS</t>
        </is>
      </c>
      <c r="D408" t="n">
        <v>1</v>
      </c>
      <c r="E408" t="n">
        <v>1</v>
      </c>
      <c r="F408" t="n">
        <v>0</v>
      </c>
      <c r="G408" t="n">
        <v>2</v>
      </c>
      <c r="H408" t="n">
        <v>2</v>
      </c>
    </row>
    <row r="409">
      <c r="A409" t="inlineStr">
        <is>
          <t>Dukalis</t>
        </is>
      </c>
      <c r="B409" t="inlineStr">
        <is>
          <t>10/25</t>
        </is>
      </c>
      <c r="C409" t="inlineStr">
        <is>
          <t>BB</t>
        </is>
      </c>
      <c r="D409" t="n">
        <v>4</v>
      </c>
      <c r="E409" t="n">
        <v>1</v>
      </c>
      <c r="F409" t="n">
        <v>0</v>
      </c>
      <c r="G409" t="n">
        <v>5</v>
      </c>
      <c r="H409" t="n">
        <v>5</v>
      </c>
    </row>
    <row r="410">
      <c r="A410" t="inlineStr">
        <is>
          <t>Dukalis</t>
        </is>
      </c>
      <c r="B410" t="inlineStr">
        <is>
          <t>10/23</t>
        </is>
      </c>
      <c r="C410" t="inlineStr">
        <is>
          <t>LEGION</t>
        </is>
      </c>
      <c r="D410" t="n">
        <v>4</v>
      </c>
      <c r="E410" t="n">
        <v>7</v>
      </c>
      <c r="F410" t="n">
        <v>0</v>
      </c>
      <c r="G410" t="n">
        <v>11</v>
      </c>
      <c r="H410" t="n">
        <v>11</v>
      </c>
    </row>
    <row r="411">
      <c r="A411" t="inlineStr">
        <is>
          <t>Dukalis</t>
        </is>
      </c>
      <c r="B411" t="inlineStr">
        <is>
          <t>10/22</t>
        </is>
      </c>
      <c r="C411" t="inlineStr">
        <is>
          <t>AI</t>
        </is>
      </c>
      <c r="D411" t="n">
        <v>5</v>
      </c>
      <c r="E411" t="n">
        <v>5</v>
      </c>
      <c r="F411" t="n">
        <v>0</v>
      </c>
      <c r="G411" t="n">
        <v>10</v>
      </c>
      <c r="H411" t="n">
        <v>10</v>
      </c>
    </row>
    <row r="412">
      <c r="A412" t="inlineStr">
        <is>
          <t>Dukalis</t>
        </is>
      </c>
      <c r="B412" t="inlineStr">
        <is>
          <t>10/11</t>
        </is>
      </c>
      <c r="C412" t="inlineStr">
        <is>
          <t>TS</t>
        </is>
      </c>
      <c r="D412" t="n">
        <v>2</v>
      </c>
      <c r="E412" t="n">
        <v>1</v>
      </c>
      <c r="F412" t="n">
        <v>1</v>
      </c>
      <c r="G412" t="n">
        <v>3</v>
      </c>
      <c r="H412" t="n">
        <v>4</v>
      </c>
    </row>
    <row r="413">
      <c r="A413" t="inlineStr">
        <is>
          <t>Dukalis</t>
        </is>
      </c>
      <c r="B413" t="inlineStr">
        <is>
          <t>10/10</t>
        </is>
      </c>
      <c r="C413" t="inlineStr">
        <is>
          <t>AUR</t>
        </is>
      </c>
      <c r="D413" t="n">
        <v>2</v>
      </c>
      <c r="E413" t="n">
        <v>1</v>
      </c>
      <c r="F413" t="n">
        <v>0</v>
      </c>
      <c r="G413" t="n">
        <v>3</v>
      </c>
      <c r="H413" t="n">
        <v>3</v>
      </c>
    </row>
    <row r="414">
      <c r="A414" t="inlineStr">
        <is>
          <t>Dukalis</t>
        </is>
      </c>
      <c r="B414" t="inlineStr">
        <is>
          <t>10/09</t>
        </is>
      </c>
      <c r="C414" t="inlineStr">
        <is>
          <t>1WIN</t>
        </is>
      </c>
      <c r="D414" t="n">
        <v>3</v>
      </c>
      <c r="E414" t="n">
        <v>1</v>
      </c>
      <c r="F414" t="n">
        <v>3</v>
      </c>
      <c r="G414" t="n">
        <v>4</v>
      </c>
      <c r="H414" t="n">
        <v>7</v>
      </c>
    </row>
    <row r="415">
      <c r="A415" t="inlineStr">
        <is>
          <t>Dukalis</t>
        </is>
      </c>
      <c r="B415" t="inlineStr">
        <is>
          <t>10/08</t>
        </is>
      </c>
      <c r="C415" t="inlineStr">
        <is>
          <t>TY</t>
        </is>
      </c>
      <c r="D415" t="n">
        <v>5</v>
      </c>
      <c r="E415" t="n">
        <v>3</v>
      </c>
      <c r="F415" t="n">
        <v>2</v>
      </c>
      <c r="G415" t="n">
        <v>8</v>
      </c>
      <c r="H415" t="n">
        <v>10</v>
      </c>
    </row>
    <row r="416">
      <c r="A416" t="inlineStr">
        <is>
          <t>Dukalis</t>
        </is>
      </c>
      <c r="B416" t="inlineStr">
        <is>
          <t>10/03</t>
        </is>
      </c>
      <c r="C416" t="inlineStr">
        <is>
          <t>AUR</t>
        </is>
      </c>
      <c r="D416" t="n">
        <v>3</v>
      </c>
      <c r="E416" t="n">
        <v>6</v>
      </c>
      <c r="F416" t="n">
        <v>0</v>
      </c>
      <c r="G416" t="n">
        <v>9</v>
      </c>
      <c r="H416" t="n">
        <v>9</v>
      </c>
    </row>
    <row r="417">
      <c r="A417" t="inlineStr">
        <is>
          <t>Dukalis</t>
        </is>
      </c>
      <c r="B417" t="inlineStr">
        <is>
          <t>09/30</t>
        </is>
      </c>
      <c r="C417" t="inlineStr">
        <is>
          <t>LGD</t>
        </is>
      </c>
      <c r="D417" t="n">
        <v>5</v>
      </c>
      <c r="E417" t="n">
        <v>3</v>
      </c>
      <c r="F417" t="n">
        <v>0</v>
      </c>
      <c r="G417" t="n">
        <v>8</v>
      </c>
      <c r="H417" t="n">
        <v>8</v>
      </c>
    </row>
    <row r="418">
      <c r="A418" t="inlineStr">
        <is>
          <t>Dukalis</t>
        </is>
      </c>
      <c r="B418" t="inlineStr">
        <is>
          <t>09/29</t>
        </is>
      </c>
      <c r="C418" t="inlineStr">
        <is>
          <t>LVLUP</t>
        </is>
      </c>
      <c r="D418" t="n">
        <v>3</v>
      </c>
      <c r="E418" t="n">
        <v>2</v>
      </c>
      <c r="F418" t="n">
        <v>0</v>
      </c>
      <c r="G418" t="n">
        <v>5</v>
      </c>
      <c r="H418" t="n">
        <v>5</v>
      </c>
    </row>
    <row r="419">
      <c r="A419" t="inlineStr">
        <is>
          <t>Dukalis</t>
        </is>
      </c>
      <c r="B419" t="inlineStr">
        <is>
          <t>08/23</t>
        </is>
      </c>
      <c r="C419" t="inlineStr">
        <is>
          <t>TS</t>
        </is>
      </c>
      <c r="D419" t="n">
        <v>3</v>
      </c>
      <c r="E419" t="n">
        <v>8</v>
      </c>
      <c r="F419" t="n">
        <v>4</v>
      </c>
      <c r="G419" t="n">
        <v>11</v>
      </c>
      <c r="H419" t="n">
        <v>15</v>
      </c>
    </row>
    <row r="420">
      <c r="A420" t="inlineStr">
        <is>
          <t>Dukalis</t>
        </is>
      </c>
      <c r="B420" t="inlineStr">
        <is>
          <t>08/22</t>
        </is>
      </c>
      <c r="C420" t="inlineStr">
        <is>
          <t>TY</t>
        </is>
      </c>
      <c r="D420" t="n">
        <v>3</v>
      </c>
      <c r="E420" t="n">
        <v>0</v>
      </c>
      <c r="F420" t="n">
        <v>5</v>
      </c>
      <c r="G420" t="n">
        <v>3</v>
      </c>
      <c r="H420" t="n">
        <v>8</v>
      </c>
    </row>
    <row r="421">
      <c r="A421" t="inlineStr">
        <is>
          <t>Dukalis</t>
        </is>
      </c>
      <c r="B421" t="inlineStr">
        <is>
          <t>08/21</t>
        </is>
      </c>
      <c r="C421" t="inlineStr">
        <is>
          <t>TS</t>
        </is>
      </c>
      <c r="D421" t="n">
        <v>2</v>
      </c>
      <c r="E421" t="n">
        <v>0</v>
      </c>
      <c r="F421" t="n">
        <v>3</v>
      </c>
      <c r="G421" t="n">
        <v>2</v>
      </c>
      <c r="H421" t="n">
        <v>5</v>
      </c>
    </row>
    <row r="422">
      <c r="A422" t="inlineStr">
        <is>
          <t>Noticed</t>
        </is>
      </c>
      <c r="B422" t="inlineStr">
        <is>
          <t>10/28</t>
        </is>
      </c>
      <c r="C422" t="inlineStr">
        <is>
          <t>Liquid</t>
        </is>
      </c>
      <c r="D422" t="n">
        <v>9</v>
      </c>
      <c r="E422" t="n">
        <v>5</v>
      </c>
      <c r="F422" t="n">
        <v>7</v>
      </c>
      <c r="G422" t="n">
        <v>14</v>
      </c>
      <c r="H422" t="n">
        <v>21</v>
      </c>
    </row>
    <row r="423">
      <c r="A423" t="inlineStr">
        <is>
          <t>Noticed</t>
        </is>
      </c>
      <c r="B423" t="inlineStr">
        <is>
          <t>10/26</t>
        </is>
      </c>
      <c r="C423" t="inlineStr">
        <is>
          <t>TS</t>
        </is>
      </c>
      <c r="D423" t="n">
        <v>1</v>
      </c>
      <c r="E423" t="n">
        <v>3</v>
      </c>
      <c r="F423" t="n">
        <v>5</v>
      </c>
      <c r="G423" t="n">
        <v>4</v>
      </c>
      <c r="H423" t="n">
        <v>9</v>
      </c>
    </row>
    <row r="424">
      <c r="A424" t="inlineStr">
        <is>
          <t>Noticed</t>
        </is>
      </c>
      <c r="B424" t="inlineStr">
        <is>
          <t>10/25</t>
        </is>
      </c>
      <c r="C424" t="inlineStr">
        <is>
          <t>BB</t>
        </is>
      </c>
      <c r="D424" t="n">
        <v>2</v>
      </c>
      <c r="E424" t="n">
        <v>5</v>
      </c>
      <c r="F424" t="n">
        <v>0</v>
      </c>
      <c r="G424" t="n">
        <v>7</v>
      </c>
      <c r="H424" t="n">
        <v>7</v>
      </c>
    </row>
    <row r="425">
      <c r="A425" t="inlineStr">
        <is>
          <t>Noticed</t>
        </is>
      </c>
      <c r="B425" t="inlineStr">
        <is>
          <t>10/23</t>
        </is>
      </c>
      <c r="C425" t="inlineStr">
        <is>
          <t>LEGION</t>
        </is>
      </c>
      <c r="D425" t="n">
        <v>9</v>
      </c>
      <c r="E425" t="n">
        <v>7</v>
      </c>
      <c r="F425" t="n">
        <v>0</v>
      </c>
      <c r="G425" t="n">
        <v>16</v>
      </c>
      <c r="H425" t="n">
        <v>16</v>
      </c>
    </row>
    <row r="426">
      <c r="A426" t="inlineStr">
        <is>
          <t>Noticed</t>
        </is>
      </c>
      <c r="B426" t="inlineStr">
        <is>
          <t>10/22</t>
        </is>
      </c>
      <c r="C426" t="inlineStr">
        <is>
          <t>AI</t>
        </is>
      </c>
      <c r="D426" t="n">
        <v>5</v>
      </c>
      <c r="E426" t="n">
        <v>9</v>
      </c>
      <c r="F426" t="n">
        <v>0</v>
      </c>
      <c r="G426" t="n">
        <v>14</v>
      </c>
      <c r="H426" t="n">
        <v>14</v>
      </c>
    </row>
    <row r="427">
      <c r="A427" t="inlineStr">
        <is>
          <t>Noticed</t>
        </is>
      </c>
      <c r="B427" t="inlineStr">
        <is>
          <t>10/11</t>
        </is>
      </c>
      <c r="C427" t="inlineStr">
        <is>
          <t>TS</t>
        </is>
      </c>
      <c r="D427" t="n">
        <v>4</v>
      </c>
      <c r="E427" t="n">
        <v>1</v>
      </c>
      <c r="F427" t="n">
        <v>2</v>
      </c>
      <c r="G427" t="n">
        <v>5</v>
      </c>
      <c r="H427" t="n">
        <v>7</v>
      </c>
    </row>
    <row r="428">
      <c r="A428" t="inlineStr">
        <is>
          <t>Noticed</t>
        </is>
      </c>
      <c r="B428" t="inlineStr">
        <is>
          <t>10/10</t>
        </is>
      </c>
      <c r="C428" t="inlineStr">
        <is>
          <t>AUR</t>
        </is>
      </c>
      <c r="D428" t="n">
        <v>8</v>
      </c>
      <c r="E428" t="n">
        <v>11</v>
      </c>
      <c r="F428" t="n">
        <v>0</v>
      </c>
      <c r="G428" t="n">
        <v>19</v>
      </c>
      <c r="H428" t="n">
        <v>19</v>
      </c>
    </row>
    <row r="429">
      <c r="A429" t="inlineStr">
        <is>
          <t>Noticed</t>
        </is>
      </c>
      <c r="B429" t="inlineStr">
        <is>
          <t>10/09</t>
        </is>
      </c>
      <c r="C429" t="inlineStr">
        <is>
          <t>1WIN</t>
        </is>
      </c>
      <c r="D429" t="n">
        <v>5</v>
      </c>
      <c r="E429" t="n">
        <v>4</v>
      </c>
      <c r="F429" t="n">
        <v>4</v>
      </c>
      <c r="G429" t="n">
        <v>9</v>
      </c>
      <c r="H429" t="n">
        <v>13</v>
      </c>
    </row>
    <row r="430">
      <c r="A430" t="inlineStr">
        <is>
          <t>Noticed</t>
        </is>
      </c>
      <c r="B430" t="inlineStr">
        <is>
          <t>10/08</t>
        </is>
      </c>
      <c r="C430" t="inlineStr">
        <is>
          <t>TY</t>
        </is>
      </c>
      <c r="D430" t="n">
        <v>10</v>
      </c>
      <c r="E430" t="n">
        <v>9</v>
      </c>
      <c r="F430" t="n">
        <v>3</v>
      </c>
      <c r="G430" t="n">
        <v>19</v>
      </c>
      <c r="H430" t="n">
        <v>22</v>
      </c>
    </row>
    <row r="431">
      <c r="A431" t="inlineStr">
        <is>
          <t>Noticed</t>
        </is>
      </c>
      <c r="B431" t="inlineStr">
        <is>
          <t>10/03</t>
        </is>
      </c>
      <c r="C431" t="inlineStr">
        <is>
          <t>AUR</t>
        </is>
      </c>
      <c r="D431" t="n">
        <v>3</v>
      </c>
      <c r="E431" t="n">
        <v>1</v>
      </c>
      <c r="F431" t="n">
        <v>0</v>
      </c>
      <c r="G431" t="n">
        <v>4</v>
      </c>
      <c r="H431" t="n">
        <v>4</v>
      </c>
    </row>
    <row r="432">
      <c r="A432" t="inlineStr">
        <is>
          <t>Noticed</t>
        </is>
      </c>
      <c r="B432" t="inlineStr">
        <is>
          <t>09/30</t>
        </is>
      </c>
      <c r="C432" t="inlineStr">
        <is>
          <t>LGD</t>
        </is>
      </c>
      <c r="D432" t="n">
        <v>6</v>
      </c>
      <c r="E432" t="n">
        <v>4</v>
      </c>
      <c r="F432" t="n">
        <v>0</v>
      </c>
      <c r="G432" t="n">
        <v>10</v>
      </c>
      <c r="H432" t="n">
        <v>10</v>
      </c>
    </row>
    <row r="433">
      <c r="A433" t="inlineStr">
        <is>
          <t>Noticed</t>
        </is>
      </c>
      <c r="B433" t="inlineStr">
        <is>
          <t>09/29</t>
        </is>
      </c>
      <c r="C433" t="inlineStr">
        <is>
          <t>LVLUP</t>
        </is>
      </c>
      <c r="D433" t="n">
        <v>3</v>
      </c>
      <c r="E433" t="n">
        <v>4</v>
      </c>
      <c r="F433" t="n">
        <v>0</v>
      </c>
      <c r="G433" t="n">
        <v>7</v>
      </c>
      <c r="H433" t="n">
        <v>7</v>
      </c>
    </row>
    <row r="434">
      <c r="A434" t="inlineStr">
        <is>
          <t>Noticed</t>
        </is>
      </c>
      <c r="B434" t="inlineStr">
        <is>
          <t>09/15</t>
        </is>
      </c>
      <c r="C434" t="inlineStr">
        <is>
          <t>NS Club</t>
        </is>
      </c>
      <c r="D434" t="n">
        <v>8</v>
      </c>
      <c r="E434" t="n">
        <v>6</v>
      </c>
      <c r="F434" t="n">
        <v>13</v>
      </c>
      <c r="G434" t="n">
        <v>14</v>
      </c>
      <c r="H434" t="n">
        <v>27</v>
      </c>
    </row>
    <row r="435">
      <c r="A435" t="inlineStr">
        <is>
          <t>Noticed</t>
        </is>
      </c>
      <c r="B435" t="inlineStr">
        <is>
          <t>09/13</t>
        </is>
      </c>
      <c r="C435" t="inlineStr">
        <is>
          <t>Stariy Bog Club</t>
        </is>
      </c>
      <c r="D435" t="n">
        <v>11</v>
      </c>
      <c r="E435" t="n">
        <v>8</v>
      </c>
      <c r="F435" t="n">
        <v>4</v>
      </c>
      <c r="G435" t="n">
        <v>19</v>
      </c>
      <c r="H435" t="n">
        <v>23</v>
      </c>
    </row>
    <row r="436">
      <c r="A436" t="inlineStr">
        <is>
          <t>Noticed</t>
        </is>
      </c>
      <c r="B436" t="inlineStr">
        <is>
          <t>09/11</t>
        </is>
      </c>
      <c r="C436" t="inlineStr">
        <is>
          <t>VooDooSh Club</t>
        </is>
      </c>
      <c r="D436" t="n">
        <v>3</v>
      </c>
      <c r="E436" t="n">
        <v>6</v>
      </c>
      <c r="F436" t="n">
        <v>0</v>
      </c>
      <c r="G436" t="n">
        <v>9</v>
      </c>
      <c r="H436" t="n">
        <v>9</v>
      </c>
    </row>
    <row r="437">
      <c r="A437" t="inlineStr">
        <is>
          <t>Satanic</t>
        </is>
      </c>
      <c r="B437" t="inlineStr">
        <is>
          <t>10/28</t>
        </is>
      </c>
      <c r="C437" t="inlineStr">
        <is>
          <t>Liquid</t>
        </is>
      </c>
      <c r="D437" t="n">
        <v>3</v>
      </c>
      <c r="E437" t="n">
        <v>13</v>
      </c>
      <c r="F437" t="n">
        <v>16</v>
      </c>
      <c r="G437" t="n">
        <v>16</v>
      </c>
      <c r="H437" t="n">
        <v>32</v>
      </c>
    </row>
    <row r="438">
      <c r="A438" t="inlineStr">
        <is>
          <t>Satanic</t>
        </is>
      </c>
      <c r="B438" t="inlineStr">
        <is>
          <t>10/26</t>
        </is>
      </c>
      <c r="C438" t="inlineStr">
        <is>
          <t>TS</t>
        </is>
      </c>
      <c r="D438" t="n">
        <v>1</v>
      </c>
      <c r="E438" t="n">
        <v>20</v>
      </c>
      <c r="F438" t="n">
        <v>1</v>
      </c>
      <c r="G438" t="n">
        <v>21</v>
      </c>
      <c r="H438" t="n">
        <v>22</v>
      </c>
    </row>
    <row r="439">
      <c r="A439" t="inlineStr">
        <is>
          <t>Satanic</t>
        </is>
      </c>
      <c r="B439" t="inlineStr">
        <is>
          <t>10/25</t>
        </is>
      </c>
      <c r="C439" t="inlineStr">
        <is>
          <t>BB</t>
        </is>
      </c>
      <c r="D439" t="n">
        <v>6</v>
      </c>
      <c r="E439" t="n">
        <v>12</v>
      </c>
      <c r="F439" t="n">
        <v>0</v>
      </c>
      <c r="G439" t="n">
        <v>18</v>
      </c>
      <c r="H439" t="n">
        <v>18</v>
      </c>
    </row>
    <row r="440">
      <c r="A440" t="inlineStr">
        <is>
          <t>Satanic</t>
        </is>
      </c>
      <c r="B440" t="inlineStr">
        <is>
          <t>10/23</t>
        </is>
      </c>
      <c r="C440" t="inlineStr">
        <is>
          <t>LEGION</t>
        </is>
      </c>
      <c r="D440" t="n">
        <v>9</v>
      </c>
      <c r="E440" t="n">
        <v>11</v>
      </c>
      <c r="F440" t="n">
        <v>0</v>
      </c>
      <c r="G440" t="n">
        <v>20</v>
      </c>
      <c r="H440" t="n">
        <v>20</v>
      </c>
    </row>
    <row r="441">
      <c r="A441" t="inlineStr">
        <is>
          <t>Satanic</t>
        </is>
      </c>
      <c r="B441" t="inlineStr">
        <is>
          <t>10/22</t>
        </is>
      </c>
      <c r="C441" t="inlineStr">
        <is>
          <t>AI</t>
        </is>
      </c>
      <c r="D441" t="n">
        <v>11</v>
      </c>
      <c r="E441" t="n">
        <v>15</v>
      </c>
      <c r="F441" t="n">
        <v>0</v>
      </c>
      <c r="G441" t="n">
        <v>26</v>
      </c>
      <c r="H441" t="n">
        <v>26</v>
      </c>
    </row>
    <row r="442">
      <c r="A442" t="inlineStr">
        <is>
          <t>Satanic</t>
        </is>
      </c>
      <c r="B442" t="inlineStr">
        <is>
          <t>10/11</t>
        </is>
      </c>
      <c r="C442" t="inlineStr">
        <is>
          <t>TS</t>
        </is>
      </c>
      <c r="D442" t="n">
        <v>9</v>
      </c>
      <c r="E442" t="n">
        <v>3</v>
      </c>
      <c r="F442" t="n">
        <v>6</v>
      </c>
      <c r="G442" t="n">
        <v>12</v>
      </c>
      <c r="H442" t="n">
        <v>18</v>
      </c>
    </row>
    <row r="443">
      <c r="A443" t="inlineStr">
        <is>
          <t>Satanic</t>
        </is>
      </c>
      <c r="B443" t="inlineStr">
        <is>
          <t>10/10</t>
        </is>
      </c>
      <c r="C443" t="inlineStr">
        <is>
          <t>AUR</t>
        </is>
      </c>
      <c r="D443" t="n">
        <v>24</v>
      </c>
      <c r="E443" t="n">
        <v>16</v>
      </c>
      <c r="F443" t="n">
        <v>0</v>
      </c>
      <c r="G443" t="n">
        <v>40</v>
      </c>
      <c r="H443" t="n">
        <v>40</v>
      </c>
    </row>
    <row r="444">
      <c r="A444" t="inlineStr">
        <is>
          <t>Satanic</t>
        </is>
      </c>
      <c r="B444" t="inlineStr">
        <is>
          <t>10/09</t>
        </is>
      </c>
      <c r="C444" t="inlineStr">
        <is>
          <t>1WIN</t>
        </is>
      </c>
      <c r="D444" t="n">
        <v>4</v>
      </c>
      <c r="E444" t="n">
        <v>22</v>
      </c>
      <c r="F444" t="n">
        <v>24</v>
      </c>
      <c r="G444" t="n">
        <v>26</v>
      </c>
      <c r="H444" t="n">
        <v>50</v>
      </c>
    </row>
    <row r="445">
      <c r="A445" t="inlineStr">
        <is>
          <t>Satanic</t>
        </is>
      </c>
      <c r="B445" t="inlineStr">
        <is>
          <t>10/08</t>
        </is>
      </c>
      <c r="C445" t="inlineStr">
        <is>
          <t>TY</t>
        </is>
      </c>
      <c r="D445" t="n">
        <v>6</v>
      </c>
      <c r="E445" t="n">
        <v>6</v>
      </c>
      <c r="F445" t="n">
        <v>7</v>
      </c>
      <c r="G445" t="n">
        <v>12</v>
      </c>
      <c r="H445" t="n">
        <v>19</v>
      </c>
    </row>
    <row r="446">
      <c r="A446" t="inlineStr">
        <is>
          <t>Satanic</t>
        </is>
      </c>
      <c r="B446" t="inlineStr">
        <is>
          <t>10/03</t>
        </is>
      </c>
      <c r="C446" t="inlineStr">
        <is>
          <t>AUR</t>
        </is>
      </c>
      <c r="D446" t="n">
        <v>12</v>
      </c>
      <c r="E446" t="n">
        <v>12</v>
      </c>
      <c r="F446" t="n">
        <v>0</v>
      </c>
      <c r="G446" t="n">
        <v>24</v>
      </c>
      <c r="H446" t="n">
        <v>24</v>
      </c>
    </row>
    <row r="447">
      <c r="A447" t="inlineStr">
        <is>
          <t>Satanic</t>
        </is>
      </c>
      <c r="B447" t="inlineStr">
        <is>
          <t>09/30</t>
        </is>
      </c>
      <c r="C447" t="inlineStr">
        <is>
          <t>LGD</t>
        </is>
      </c>
      <c r="D447" t="n">
        <v>9</v>
      </c>
      <c r="E447" t="n">
        <v>11</v>
      </c>
      <c r="F447" t="n">
        <v>0</v>
      </c>
      <c r="G447" t="n">
        <v>20</v>
      </c>
      <c r="H447" t="n">
        <v>20</v>
      </c>
    </row>
    <row r="448">
      <c r="A448" t="inlineStr">
        <is>
          <t>Satanic</t>
        </is>
      </c>
      <c r="B448" t="inlineStr">
        <is>
          <t>09/29</t>
        </is>
      </c>
      <c r="C448" t="inlineStr">
        <is>
          <t>LVLUP</t>
        </is>
      </c>
      <c r="D448" t="n">
        <v>15</v>
      </c>
      <c r="E448" t="n">
        <v>3</v>
      </c>
      <c r="F448" t="n">
        <v>0</v>
      </c>
      <c r="G448" t="n">
        <v>18</v>
      </c>
      <c r="H448" t="n">
        <v>18</v>
      </c>
    </row>
    <row r="449">
      <c r="A449" t="inlineStr">
        <is>
          <t>Satanic</t>
        </is>
      </c>
      <c r="B449" t="inlineStr">
        <is>
          <t>09/19</t>
        </is>
      </c>
      <c r="C449" t="inlineStr">
        <is>
          <t>Daxak Club</t>
        </is>
      </c>
      <c r="D449" t="n">
        <v>12</v>
      </c>
      <c r="E449" t="n">
        <v>11</v>
      </c>
      <c r="F449" t="n">
        <v>10</v>
      </c>
      <c r="G449" t="n">
        <v>23</v>
      </c>
      <c r="H449" t="n">
        <v>33</v>
      </c>
    </row>
    <row r="450">
      <c r="A450" t="inlineStr">
        <is>
          <t>Satanic</t>
        </is>
      </c>
      <c r="B450" t="inlineStr">
        <is>
          <t>09/19</t>
        </is>
      </c>
      <c r="C450" t="inlineStr">
        <is>
          <t>VooDooSh Club</t>
        </is>
      </c>
      <c r="D450" t="n">
        <v>4</v>
      </c>
      <c r="E450" t="n">
        <v>13</v>
      </c>
      <c r="F450" t="n">
        <v>22</v>
      </c>
      <c r="G450" t="n">
        <v>17</v>
      </c>
      <c r="H450" t="n">
        <v>39</v>
      </c>
    </row>
    <row r="451">
      <c r="A451" t="inlineStr">
        <is>
          <t>Satanic</t>
        </is>
      </c>
      <c r="B451" t="inlineStr">
        <is>
          <t>09/18</t>
        </is>
      </c>
      <c r="C451" t="inlineStr">
        <is>
          <t>Daxak Club</t>
        </is>
      </c>
      <c r="D451" t="n">
        <v>8</v>
      </c>
      <c r="E451" t="n">
        <v>11</v>
      </c>
      <c r="F451" t="n">
        <v>0</v>
      </c>
      <c r="G451" t="n">
        <v>19</v>
      </c>
      <c r="H451" t="n">
        <v>19</v>
      </c>
    </row>
    <row r="452">
      <c r="A452" t="inlineStr">
        <is>
          <t>369</t>
        </is>
      </c>
      <c r="B452" t="inlineStr">
        <is>
          <t>10/25</t>
        </is>
      </c>
      <c r="C452" t="inlineStr">
        <is>
          <t>G2</t>
        </is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</row>
    <row r="453">
      <c r="A453" t="inlineStr">
        <is>
          <t>369</t>
        </is>
      </c>
      <c r="B453" t="inlineStr">
        <is>
          <t>10/24</t>
        </is>
      </c>
      <c r="C453" t="inlineStr">
        <is>
          <t>AL</t>
        </is>
      </c>
      <c r="D453" t="n">
        <v>1</v>
      </c>
      <c r="E453" t="n">
        <v>0</v>
      </c>
      <c r="F453" t="n">
        <v>0</v>
      </c>
      <c r="G453" t="n">
        <v>1</v>
      </c>
      <c r="H453" t="n">
        <v>1</v>
      </c>
    </row>
    <row r="454">
      <c r="A454" t="inlineStr">
        <is>
          <t>369</t>
        </is>
      </c>
      <c r="B454" t="inlineStr">
        <is>
          <t>10/23</t>
        </is>
      </c>
      <c r="C454" t="inlineStr">
        <is>
          <t>HLE</t>
        </is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</row>
    <row r="455">
      <c r="A455" t="inlineStr">
        <is>
          <t>369</t>
        </is>
      </c>
      <c r="B455" t="inlineStr">
        <is>
          <t>03/02</t>
        </is>
      </c>
      <c r="C455" t="inlineStr">
        <is>
          <t>WB</t>
        </is>
      </c>
      <c r="D455" t="n">
        <v>1</v>
      </c>
      <c r="E455" t="n">
        <v>5</v>
      </c>
      <c r="F455" t="n">
        <v>2</v>
      </c>
      <c r="G455" t="n">
        <v>6</v>
      </c>
      <c r="H455" t="n">
        <v>8</v>
      </c>
    </row>
    <row r="456">
      <c r="A456" t="inlineStr">
        <is>
          <t>369</t>
        </is>
      </c>
      <c r="B456" t="inlineStr">
        <is>
          <t>02/28</t>
        </is>
      </c>
      <c r="C456" t="inlineStr">
        <is>
          <t>WE</t>
        </is>
      </c>
      <c r="D456" t="n">
        <v>5</v>
      </c>
      <c r="E456" t="n">
        <v>1</v>
      </c>
      <c r="F456" t="n">
        <v>3</v>
      </c>
      <c r="G456" t="n">
        <v>6</v>
      </c>
      <c r="H456" t="n">
        <v>9</v>
      </c>
    </row>
    <row r="457">
      <c r="A457" t="inlineStr">
        <is>
          <t>369</t>
        </is>
      </c>
      <c r="B457" t="inlineStr">
        <is>
          <t>02/24</t>
        </is>
      </c>
      <c r="C457" t="inlineStr">
        <is>
          <t>JDG</t>
        </is>
      </c>
      <c r="D457" t="n">
        <v>3</v>
      </c>
      <c r="E457" t="n">
        <v>0</v>
      </c>
      <c r="F457" t="n">
        <v>4</v>
      </c>
      <c r="G457" t="n">
        <v>3</v>
      </c>
      <c r="H457" t="n">
        <v>7</v>
      </c>
    </row>
    <row r="458">
      <c r="A458" t="inlineStr">
        <is>
          <t>369</t>
        </is>
      </c>
      <c r="B458" t="inlineStr">
        <is>
          <t>02/09</t>
        </is>
      </c>
      <c r="C458" t="inlineStr">
        <is>
          <t>WE</t>
        </is>
      </c>
      <c r="D458" t="n">
        <v>4</v>
      </c>
      <c r="E458" t="n">
        <v>2</v>
      </c>
      <c r="F458" t="n">
        <v>6</v>
      </c>
      <c r="G458" t="n">
        <v>6</v>
      </c>
      <c r="H458" t="n">
        <v>12</v>
      </c>
    </row>
    <row r="459">
      <c r="A459" t="inlineStr">
        <is>
          <t>369</t>
        </is>
      </c>
      <c r="B459" t="inlineStr">
        <is>
          <t>02/05</t>
        </is>
      </c>
      <c r="C459" t="inlineStr">
        <is>
          <t>JDG</t>
        </is>
      </c>
      <c r="D459" t="n">
        <v>1</v>
      </c>
      <c r="E459" t="n">
        <v>3</v>
      </c>
      <c r="F459" t="n">
        <v>0</v>
      </c>
      <c r="G459" t="n">
        <v>4</v>
      </c>
      <c r="H459" t="n">
        <v>4</v>
      </c>
    </row>
    <row r="460">
      <c r="A460" t="inlineStr">
        <is>
          <t>369</t>
        </is>
      </c>
      <c r="B460" t="inlineStr">
        <is>
          <t>02/01</t>
        </is>
      </c>
      <c r="C460" t="inlineStr">
        <is>
          <t>AL</t>
        </is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</row>
    <row r="461">
      <c r="A461" t="inlineStr">
        <is>
          <t>369</t>
        </is>
      </c>
      <c r="B461" t="inlineStr">
        <is>
          <t>01/30</t>
        </is>
      </c>
      <c r="C461" t="inlineStr">
        <is>
          <t>BLG</t>
        </is>
      </c>
      <c r="D461" t="n">
        <v>0</v>
      </c>
      <c r="E461" t="n">
        <v>6</v>
      </c>
      <c r="F461" t="n">
        <v>2</v>
      </c>
      <c r="G461" t="n">
        <v>6</v>
      </c>
      <c r="H461" t="n">
        <v>8</v>
      </c>
    </row>
    <row r="462">
      <c r="A462" t="inlineStr">
        <is>
          <t>369</t>
        </is>
      </c>
      <c r="B462" t="inlineStr">
        <is>
          <t>01/27</t>
        </is>
      </c>
      <c r="C462" t="inlineStr">
        <is>
          <t>WB</t>
        </is>
      </c>
      <c r="D462" t="n">
        <v>1</v>
      </c>
      <c r="E462" t="n">
        <v>1</v>
      </c>
      <c r="F462" t="n">
        <v>1</v>
      </c>
      <c r="G462" t="n">
        <v>2</v>
      </c>
      <c r="H462" t="n">
        <v>3</v>
      </c>
    </row>
    <row r="463">
      <c r="A463" t="inlineStr">
        <is>
          <t>369</t>
        </is>
      </c>
      <c r="B463" t="inlineStr">
        <is>
          <t>01/25</t>
        </is>
      </c>
      <c r="C463" t="inlineStr">
        <is>
          <t>IG</t>
        </is>
      </c>
      <c r="D463" t="n">
        <v>7</v>
      </c>
      <c r="E463" t="n">
        <v>2</v>
      </c>
      <c r="F463" t="n">
        <v>0</v>
      </c>
      <c r="G463" t="n">
        <v>9</v>
      </c>
      <c r="H463" t="n">
        <v>9</v>
      </c>
    </row>
    <row r="464">
      <c r="A464" t="inlineStr">
        <is>
          <t>369</t>
        </is>
      </c>
      <c r="B464" t="inlineStr">
        <is>
          <t>01/24</t>
        </is>
      </c>
      <c r="C464" t="inlineStr">
        <is>
          <t>AL</t>
        </is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</row>
    <row r="465">
      <c r="A465" t="inlineStr">
        <is>
          <t>369</t>
        </is>
      </c>
      <c r="B465" t="inlineStr">
        <is>
          <t>01/21</t>
        </is>
      </c>
      <c r="C465" t="inlineStr">
        <is>
          <t>IG</t>
        </is>
      </c>
      <c r="D465" t="n">
        <v>5</v>
      </c>
      <c r="E465" t="n">
        <v>0</v>
      </c>
      <c r="F465" t="n">
        <v>1</v>
      </c>
      <c r="G465" t="n">
        <v>5</v>
      </c>
      <c r="H465" t="n">
        <v>6</v>
      </c>
    </row>
    <row r="466">
      <c r="A466" t="inlineStr">
        <is>
          <t>369</t>
        </is>
      </c>
      <c r="B466" t="inlineStr">
        <is>
          <t>01/19</t>
        </is>
      </c>
      <c r="C466" t="inlineStr">
        <is>
          <t>WB</t>
        </is>
      </c>
      <c r="D466" t="n">
        <v>2</v>
      </c>
      <c r="E466" t="n">
        <v>0</v>
      </c>
      <c r="F466" t="n">
        <v>6</v>
      </c>
      <c r="G466" t="n">
        <v>2</v>
      </c>
      <c r="H466" t="n">
        <v>8</v>
      </c>
    </row>
    <row r="467">
      <c r="A467" t="inlineStr">
        <is>
          <t>Creme</t>
        </is>
      </c>
      <c r="B467" t="inlineStr">
        <is>
          <t>10/25</t>
        </is>
      </c>
      <c r="C467" t="inlineStr">
        <is>
          <t>G2</t>
        </is>
      </c>
      <c r="D467" t="n">
        <v>3</v>
      </c>
      <c r="E467" t="n">
        <v>0</v>
      </c>
      <c r="F467" t="n">
        <v>0</v>
      </c>
      <c r="G467" t="n">
        <v>3</v>
      </c>
      <c r="H467" t="n">
        <v>3</v>
      </c>
    </row>
    <row r="468">
      <c r="A468" t="inlineStr">
        <is>
          <t>Creme</t>
        </is>
      </c>
      <c r="B468" t="inlineStr">
        <is>
          <t>10/24</t>
        </is>
      </c>
      <c r="C468" t="inlineStr">
        <is>
          <t>AL</t>
        </is>
      </c>
      <c r="D468" t="n">
        <v>8</v>
      </c>
      <c r="E468" t="n">
        <v>0</v>
      </c>
      <c r="F468" t="n">
        <v>0</v>
      </c>
      <c r="G468" t="n">
        <v>8</v>
      </c>
      <c r="H468" t="n">
        <v>8</v>
      </c>
    </row>
    <row r="469">
      <c r="A469" t="inlineStr">
        <is>
          <t>Creme</t>
        </is>
      </c>
      <c r="B469" t="inlineStr">
        <is>
          <t>10/23</t>
        </is>
      </c>
      <c r="C469" t="inlineStr">
        <is>
          <t>HLE</t>
        </is>
      </c>
      <c r="D469" t="n">
        <v>2</v>
      </c>
      <c r="E469" t="n">
        <v>0</v>
      </c>
      <c r="F469" t="n">
        <v>0</v>
      </c>
      <c r="G469" t="n">
        <v>2</v>
      </c>
      <c r="H469" t="n">
        <v>2</v>
      </c>
    </row>
    <row r="470">
      <c r="A470" t="inlineStr">
        <is>
          <t>Creme</t>
        </is>
      </c>
      <c r="B470" t="inlineStr">
        <is>
          <t>09/17</t>
        </is>
      </c>
      <c r="C470" t="inlineStr">
        <is>
          <t>IG</t>
        </is>
      </c>
      <c r="D470" t="n">
        <v>7</v>
      </c>
      <c r="E470" t="n">
        <v>2</v>
      </c>
      <c r="F470" t="n">
        <v>13</v>
      </c>
      <c r="G470" t="n">
        <v>9</v>
      </c>
      <c r="H470" t="n">
        <v>22</v>
      </c>
    </row>
    <row r="471">
      <c r="A471" t="inlineStr">
        <is>
          <t>Creme</t>
        </is>
      </c>
      <c r="B471" t="inlineStr">
        <is>
          <t>09/05</t>
        </is>
      </c>
      <c r="C471" t="inlineStr">
        <is>
          <t>IG</t>
        </is>
      </c>
      <c r="D471" t="n">
        <v>1</v>
      </c>
      <c r="E471" t="n">
        <v>4</v>
      </c>
      <c r="F471" t="n">
        <v>4</v>
      </c>
      <c r="G471" t="n">
        <v>5</v>
      </c>
      <c r="H471" t="n">
        <v>9</v>
      </c>
    </row>
    <row r="472">
      <c r="A472" t="inlineStr">
        <is>
          <t>Creme</t>
        </is>
      </c>
      <c r="B472" t="inlineStr">
        <is>
          <t>08/22</t>
        </is>
      </c>
      <c r="C472" t="inlineStr">
        <is>
          <t>JDG</t>
        </is>
      </c>
      <c r="D472" t="n">
        <v>2</v>
      </c>
      <c r="E472" t="n">
        <v>0</v>
      </c>
      <c r="F472" t="n">
        <v>0</v>
      </c>
      <c r="G472" t="n">
        <v>2</v>
      </c>
      <c r="H472" t="n">
        <v>2</v>
      </c>
    </row>
    <row r="473">
      <c r="A473" t="inlineStr">
        <is>
          <t>Creme</t>
        </is>
      </c>
      <c r="B473" t="inlineStr">
        <is>
          <t>08/21</t>
        </is>
      </c>
      <c r="C473" t="inlineStr">
        <is>
          <t>BLG</t>
        </is>
      </c>
      <c r="D473" t="n">
        <v>2</v>
      </c>
      <c r="E473" t="n">
        <v>3</v>
      </c>
      <c r="F473" t="n">
        <v>0</v>
      </c>
      <c r="G473" t="n">
        <v>5</v>
      </c>
      <c r="H473" t="n">
        <v>5</v>
      </c>
    </row>
    <row r="474">
      <c r="A474" t="inlineStr">
        <is>
          <t>Creme</t>
        </is>
      </c>
      <c r="B474" t="inlineStr">
        <is>
          <t>08/19</t>
        </is>
      </c>
      <c r="C474" t="inlineStr">
        <is>
          <t>AL</t>
        </is>
      </c>
      <c r="D474" t="n">
        <v>5</v>
      </c>
      <c r="E474" t="n">
        <v>3</v>
      </c>
      <c r="F474" t="n">
        <v>9</v>
      </c>
      <c r="G474" t="n">
        <v>8</v>
      </c>
      <c r="H474" t="n">
        <v>17</v>
      </c>
    </row>
    <row r="475">
      <c r="A475" t="inlineStr">
        <is>
          <t>Creme</t>
        </is>
      </c>
      <c r="B475" t="inlineStr">
        <is>
          <t>08/16</t>
        </is>
      </c>
      <c r="C475" t="inlineStr">
        <is>
          <t>EDG</t>
        </is>
      </c>
      <c r="D475" t="n">
        <v>5</v>
      </c>
      <c r="E475" t="n">
        <v>4</v>
      </c>
      <c r="F475" t="n">
        <v>0</v>
      </c>
      <c r="G475" t="n">
        <v>9</v>
      </c>
      <c r="H475" t="n">
        <v>9</v>
      </c>
    </row>
    <row r="476">
      <c r="A476" t="inlineStr">
        <is>
          <t>Creme</t>
        </is>
      </c>
      <c r="B476" t="inlineStr">
        <is>
          <t>08/14</t>
        </is>
      </c>
      <c r="C476" t="inlineStr">
        <is>
          <t>WE</t>
        </is>
      </c>
      <c r="D476" t="n">
        <v>3</v>
      </c>
      <c r="E476" t="n">
        <v>5</v>
      </c>
      <c r="F476" t="n">
        <v>0</v>
      </c>
      <c r="G476" t="n">
        <v>8</v>
      </c>
      <c r="H476" t="n">
        <v>8</v>
      </c>
    </row>
    <row r="477">
      <c r="A477" t="inlineStr">
        <is>
          <t>Creme</t>
        </is>
      </c>
      <c r="B477" t="inlineStr">
        <is>
          <t>08/13</t>
        </is>
      </c>
      <c r="C477" t="inlineStr">
        <is>
          <t>LGD</t>
        </is>
      </c>
      <c r="D477" t="n">
        <v>5</v>
      </c>
      <c r="E477" t="n">
        <v>1</v>
      </c>
      <c r="F477" t="n">
        <v>0</v>
      </c>
      <c r="G477" t="n">
        <v>6</v>
      </c>
      <c r="H477" t="n">
        <v>6</v>
      </c>
    </row>
    <row r="478">
      <c r="A478" t="inlineStr">
        <is>
          <t>Creme</t>
        </is>
      </c>
      <c r="B478" t="inlineStr">
        <is>
          <t>08/09</t>
        </is>
      </c>
      <c r="C478" t="inlineStr">
        <is>
          <t>TT</t>
        </is>
      </c>
      <c r="D478" t="n">
        <v>6</v>
      </c>
      <c r="E478" t="n">
        <v>4</v>
      </c>
      <c r="F478" t="n">
        <v>0</v>
      </c>
      <c r="G478" t="n">
        <v>10</v>
      </c>
      <c r="H478" t="n">
        <v>10</v>
      </c>
    </row>
    <row r="479">
      <c r="A479" t="inlineStr">
        <is>
          <t>Creme</t>
        </is>
      </c>
      <c r="B479" t="inlineStr">
        <is>
          <t>08/07</t>
        </is>
      </c>
      <c r="C479" t="inlineStr">
        <is>
          <t>BLG</t>
        </is>
      </c>
      <c r="D479" t="n">
        <v>4</v>
      </c>
      <c r="E479" t="n">
        <v>1</v>
      </c>
      <c r="F479" t="n">
        <v>0</v>
      </c>
      <c r="G479" t="n">
        <v>5</v>
      </c>
      <c r="H479" t="n">
        <v>5</v>
      </c>
    </row>
    <row r="480">
      <c r="A480" t="inlineStr">
        <is>
          <t>Creme</t>
        </is>
      </c>
      <c r="B480" t="inlineStr">
        <is>
          <t>08/05</t>
        </is>
      </c>
      <c r="C480" t="inlineStr">
        <is>
          <t>EDG</t>
        </is>
      </c>
      <c r="D480" t="n">
        <v>6</v>
      </c>
      <c r="E480" t="n">
        <v>4</v>
      </c>
      <c r="F480" t="n">
        <v>0</v>
      </c>
      <c r="G480" t="n">
        <v>10</v>
      </c>
      <c r="H480" t="n">
        <v>10</v>
      </c>
    </row>
    <row r="481">
      <c r="A481" t="inlineStr">
        <is>
          <t>Creme</t>
        </is>
      </c>
      <c r="B481" t="inlineStr">
        <is>
          <t>08/02</t>
        </is>
      </c>
      <c r="C481" t="inlineStr">
        <is>
          <t>JDG</t>
        </is>
      </c>
      <c r="D481" t="n">
        <v>8</v>
      </c>
      <c r="E481" t="n">
        <v>2</v>
      </c>
      <c r="F481" t="n">
        <v>0</v>
      </c>
      <c r="G481" t="n">
        <v>10</v>
      </c>
      <c r="H481" t="n">
        <v>10</v>
      </c>
    </row>
    <row r="482">
      <c r="A482" t="inlineStr">
        <is>
          <t>JackeyLove</t>
        </is>
      </c>
      <c r="B482" t="inlineStr">
        <is>
          <t>10/25</t>
        </is>
      </c>
      <c r="C482" t="inlineStr">
        <is>
          <t>G2</t>
        </is>
      </c>
      <c r="D482" t="n">
        <v>7</v>
      </c>
      <c r="E482" t="n">
        <v>0</v>
      </c>
      <c r="F482" t="n">
        <v>0</v>
      </c>
      <c r="G482" t="n">
        <v>7</v>
      </c>
      <c r="H482" t="n">
        <v>7</v>
      </c>
    </row>
    <row r="483">
      <c r="A483" t="inlineStr">
        <is>
          <t>JackeyLove</t>
        </is>
      </c>
      <c r="B483" t="inlineStr">
        <is>
          <t>10/24</t>
        </is>
      </c>
      <c r="C483" t="inlineStr">
        <is>
          <t>AL</t>
        </is>
      </c>
      <c r="D483" t="n">
        <v>5</v>
      </c>
      <c r="E483" t="n">
        <v>0</v>
      </c>
      <c r="F483" t="n">
        <v>0</v>
      </c>
      <c r="G483" t="n">
        <v>5</v>
      </c>
      <c r="H483" t="n">
        <v>5</v>
      </c>
    </row>
    <row r="484">
      <c r="A484" t="inlineStr">
        <is>
          <t>JackeyLove</t>
        </is>
      </c>
      <c r="B484" t="inlineStr">
        <is>
          <t>10/23</t>
        </is>
      </c>
      <c r="C484" t="inlineStr">
        <is>
          <t>HLE</t>
        </is>
      </c>
      <c r="D484" t="n">
        <v>2</v>
      </c>
      <c r="E484" t="n">
        <v>0</v>
      </c>
      <c r="F484" t="n">
        <v>0</v>
      </c>
      <c r="G484" t="n">
        <v>2</v>
      </c>
      <c r="H484" t="n">
        <v>2</v>
      </c>
    </row>
    <row r="485">
      <c r="A485" t="inlineStr">
        <is>
          <t>JackeyLove</t>
        </is>
      </c>
      <c r="B485" t="inlineStr">
        <is>
          <t>09/17</t>
        </is>
      </c>
      <c r="C485" t="inlineStr">
        <is>
          <t>IG</t>
        </is>
      </c>
      <c r="D485" t="n">
        <v>2</v>
      </c>
      <c r="E485" t="n">
        <v>1</v>
      </c>
      <c r="F485" t="n">
        <v>4</v>
      </c>
      <c r="G485" t="n">
        <v>3</v>
      </c>
      <c r="H485" t="n">
        <v>7</v>
      </c>
    </row>
    <row r="486">
      <c r="A486" t="inlineStr">
        <is>
          <t>JackeyLove</t>
        </is>
      </c>
      <c r="B486" t="inlineStr">
        <is>
          <t>09/05</t>
        </is>
      </c>
      <c r="C486" t="inlineStr">
        <is>
          <t>IG</t>
        </is>
      </c>
      <c r="D486" t="n">
        <v>1</v>
      </c>
      <c r="E486" t="n">
        <v>5</v>
      </c>
      <c r="F486" t="n">
        <v>2</v>
      </c>
      <c r="G486" t="n">
        <v>6</v>
      </c>
      <c r="H486" t="n">
        <v>8</v>
      </c>
    </row>
    <row r="487">
      <c r="A487" t="inlineStr">
        <is>
          <t>JackeyLove</t>
        </is>
      </c>
      <c r="B487" t="inlineStr">
        <is>
          <t>08/22</t>
        </is>
      </c>
      <c r="C487" t="inlineStr">
        <is>
          <t>JDG</t>
        </is>
      </c>
      <c r="D487" t="n">
        <v>5</v>
      </c>
      <c r="E487" t="n">
        <v>5</v>
      </c>
      <c r="F487" t="n">
        <v>0</v>
      </c>
      <c r="G487" t="n">
        <v>10</v>
      </c>
      <c r="H487" t="n">
        <v>10</v>
      </c>
    </row>
    <row r="488">
      <c r="A488" t="inlineStr">
        <is>
          <t>JackeyLove</t>
        </is>
      </c>
      <c r="B488" t="inlineStr">
        <is>
          <t>08/21</t>
        </is>
      </c>
      <c r="C488" t="inlineStr">
        <is>
          <t>BLG</t>
        </is>
      </c>
      <c r="D488" t="n">
        <v>0</v>
      </c>
      <c r="E488" t="n">
        <v>2</v>
      </c>
      <c r="F488" t="n">
        <v>0</v>
      </c>
      <c r="G488" t="n">
        <v>2</v>
      </c>
      <c r="H488" t="n">
        <v>2</v>
      </c>
    </row>
    <row r="489">
      <c r="A489" t="inlineStr">
        <is>
          <t>JackeyLove</t>
        </is>
      </c>
      <c r="B489" t="inlineStr">
        <is>
          <t>08/19</t>
        </is>
      </c>
      <c r="C489" t="inlineStr">
        <is>
          <t>AL</t>
        </is>
      </c>
      <c r="D489" t="n">
        <v>0</v>
      </c>
      <c r="E489" t="n">
        <v>0</v>
      </c>
      <c r="F489" t="n">
        <v>5</v>
      </c>
      <c r="G489" t="n">
        <v>0</v>
      </c>
      <c r="H489" t="n">
        <v>5</v>
      </c>
    </row>
    <row r="490">
      <c r="A490" t="inlineStr">
        <is>
          <t>JackeyLove</t>
        </is>
      </c>
      <c r="B490" t="inlineStr">
        <is>
          <t>08/16</t>
        </is>
      </c>
      <c r="C490" t="inlineStr">
        <is>
          <t>EDG</t>
        </is>
      </c>
      <c r="D490" t="n">
        <v>6</v>
      </c>
      <c r="E490" t="n">
        <v>8</v>
      </c>
      <c r="F490" t="n">
        <v>0</v>
      </c>
      <c r="G490" t="n">
        <v>14</v>
      </c>
      <c r="H490" t="n">
        <v>14</v>
      </c>
    </row>
    <row r="491">
      <c r="A491" t="inlineStr">
        <is>
          <t>JackeyLove</t>
        </is>
      </c>
      <c r="B491" t="inlineStr">
        <is>
          <t>08/14</t>
        </is>
      </c>
      <c r="C491" t="inlineStr">
        <is>
          <t>WE</t>
        </is>
      </c>
      <c r="D491" t="n">
        <v>5</v>
      </c>
      <c r="E491" t="n">
        <v>0</v>
      </c>
      <c r="F491" t="n">
        <v>0</v>
      </c>
      <c r="G491" t="n">
        <v>5</v>
      </c>
      <c r="H491" t="n">
        <v>5</v>
      </c>
    </row>
    <row r="492">
      <c r="A492" t="inlineStr">
        <is>
          <t>JackeyLove</t>
        </is>
      </c>
      <c r="B492" t="inlineStr">
        <is>
          <t>08/13</t>
        </is>
      </c>
      <c r="C492" t="inlineStr">
        <is>
          <t>LGD</t>
        </is>
      </c>
      <c r="D492" t="n">
        <v>1</v>
      </c>
      <c r="E492" t="n">
        <v>2</v>
      </c>
      <c r="F492" t="n">
        <v>0</v>
      </c>
      <c r="G492" t="n">
        <v>3</v>
      </c>
      <c r="H492" t="n">
        <v>3</v>
      </c>
    </row>
    <row r="493">
      <c r="A493" t="inlineStr">
        <is>
          <t>JackeyLove</t>
        </is>
      </c>
      <c r="B493" t="inlineStr">
        <is>
          <t>08/09</t>
        </is>
      </c>
      <c r="C493" t="inlineStr">
        <is>
          <t>TT</t>
        </is>
      </c>
      <c r="D493" t="n">
        <v>5</v>
      </c>
      <c r="E493" t="n">
        <v>4</v>
      </c>
      <c r="F493" t="n">
        <v>0</v>
      </c>
      <c r="G493" t="n">
        <v>9</v>
      </c>
      <c r="H493" t="n">
        <v>9</v>
      </c>
    </row>
    <row r="494">
      <c r="A494" t="inlineStr">
        <is>
          <t>JackeyLove</t>
        </is>
      </c>
      <c r="B494" t="inlineStr">
        <is>
          <t>08/07</t>
        </is>
      </c>
      <c r="C494" t="inlineStr">
        <is>
          <t>BLG</t>
        </is>
      </c>
      <c r="D494" t="n">
        <v>13</v>
      </c>
      <c r="E494" t="n">
        <v>8</v>
      </c>
      <c r="F494" t="n">
        <v>0</v>
      </c>
      <c r="G494" t="n">
        <v>21</v>
      </c>
      <c r="H494" t="n">
        <v>21</v>
      </c>
    </row>
    <row r="495">
      <c r="A495" t="inlineStr">
        <is>
          <t>JackeyLove</t>
        </is>
      </c>
      <c r="B495" t="inlineStr">
        <is>
          <t>08/05</t>
        </is>
      </c>
      <c r="C495" t="inlineStr">
        <is>
          <t>EDG</t>
        </is>
      </c>
      <c r="D495" t="n">
        <v>6</v>
      </c>
      <c r="E495" t="n">
        <v>10</v>
      </c>
      <c r="F495" t="n">
        <v>0</v>
      </c>
      <c r="G495" t="n">
        <v>16</v>
      </c>
      <c r="H495" t="n">
        <v>16</v>
      </c>
    </row>
    <row r="496">
      <c r="A496" t="inlineStr">
        <is>
          <t>JackeyLove</t>
        </is>
      </c>
      <c r="B496" t="inlineStr">
        <is>
          <t>08/02</t>
        </is>
      </c>
      <c r="C496" t="inlineStr">
        <is>
          <t>JDG</t>
        </is>
      </c>
      <c r="D496" t="n">
        <v>7</v>
      </c>
      <c r="E496" t="n">
        <v>3</v>
      </c>
      <c r="F496" t="n">
        <v>0</v>
      </c>
      <c r="G496" t="n">
        <v>10</v>
      </c>
      <c r="H496" t="n">
        <v>10</v>
      </c>
    </row>
    <row r="497">
      <c r="A497" t="inlineStr">
        <is>
          <t>Larl</t>
        </is>
      </c>
      <c r="B497" t="inlineStr">
        <is>
          <t>10/28</t>
        </is>
      </c>
      <c r="C497" t="inlineStr">
        <is>
          <t>OG</t>
        </is>
      </c>
      <c r="D497" t="n">
        <v>9</v>
      </c>
      <c r="E497" t="n">
        <v>6</v>
      </c>
      <c r="F497" t="n">
        <v>1</v>
      </c>
      <c r="G497" t="n">
        <v>15</v>
      </c>
      <c r="H497" t="n">
        <v>16</v>
      </c>
    </row>
    <row r="498">
      <c r="A498" t="inlineStr">
        <is>
          <t>Larl</t>
        </is>
      </c>
      <c r="B498" t="inlineStr">
        <is>
          <t>10/26</t>
        </is>
      </c>
      <c r="C498" t="inlineStr">
        <is>
          <t>PARI</t>
        </is>
      </c>
      <c r="D498" t="n">
        <v>10</v>
      </c>
      <c r="E498" t="n">
        <v>4</v>
      </c>
      <c r="F498" t="n">
        <v>15</v>
      </c>
      <c r="G498" t="n">
        <v>14</v>
      </c>
      <c r="H498" t="n">
        <v>29</v>
      </c>
    </row>
    <row r="499">
      <c r="A499" t="inlineStr">
        <is>
          <t>Larl</t>
        </is>
      </c>
      <c r="B499" t="inlineStr">
        <is>
          <t>10/25</t>
        </is>
      </c>
      <c r="C499" t="inlineStr">
        <is>
          <t>AI</t>
        </is>
      </c>
      <c r="D499" t="n">
        <v>4</v>
      </c>
      <c r="E499" t="n">
        <v>10</v>
      </c>
      <c r="F499" t="n">
        <v>0</v>
      </c>
      <c r="G499" t="n">
        <v>14</v>
      </c>
      <c r="H499" t="n">
        <v>14</v>
      </c>
    </row>
    <row r="500">
      <c r="A500" t="inlineStr">
        <is>
          <t>Larl</t>
        </is>
      </c>
      <c r="B500" t="inlineStr">
        <is>
          <t>10/24</t>
        </is>
      </c>
      <c r="C500" t="inlineStr">
        <is>
          <t>BB</t>
        </is>
      </c>
      <c r="D500" t="n">
        <v>13</v>
      </c>
      <c r="E500" t="n">
        <v>9</v>
      </c>
      <c r="F500" t="n">
        <v>0</v>
      </c>
      <c r="G500" t="n">
        <v>22</v>
      </c>
      <c r="H500" t="n">
        <v>22</v>
      </c>
    </row>
    <row r="501">
      <c r="A501" t="inlineStr">
        <is>
          <t>Larl</t>
        </is>
      </c>
      <c r="B501" t="inlineStr">
        <is>
          <t>10/22</t>
        </is>
      </c>
      <c r="C501" t="inlineStr">
        <is>
          <t>LEGION</t>
        </is>
      </c>
      <c r="D501" t="n">
        <v>16</v>
      </c>
      <c r="E501" t="n">
        <v>11</v>
      </c>
      <c r="F501" t="n">
        <v>0</v>
      </c>
      <c r="G501" t="n">
        <v>27</v>
      </c>
      <c r="H501" t="n">
        <v>27</v>
      </c>
    </row>
    <row r="502">
      <c r="A502" t="inlineStr">
        <is>
          <t>Larl</t>
        </is>
      </c>
      <c r="B502" t="inlineStr">
        <is>
          <t>10/11</t>
        </is>
      </c>
      <c r="C502" t="inlineStr">
        <is>
          <t>TY</t>
        </is>
      </c>
      <c r="D502" t="n">
        <v>9</v>
      </c>
      <c r="E502" t="n">
        <v>12</v>
      </c>
      <c r="F502" t="n">
        <v>6</v>
      </c>
      <c r="G502" t="n">
        <v>21</v>
      </c>
      <c r="H502" t="n">
        <v>27</v>
      </c>
    </row>
    <row r="503">
      <c r="A503" t="inlineStr">
        <is>
          <t>Larl</t>
        </is>
      </c>
      <c r="B503" t="inlineStr">
        <is>
          <t>10/11</t>
        </is>
      </c>
      <c r="C503" t="inlineStr">
        <is>
          <t>PARI</t>
        </is>
      </c>
      <c r="D503" t="n">
        <v>0</v>
      </c>
      <c r="E503" t="n">
        <v>8</v>
      </c>
      <c r="F503" t="n">
        <v>8</v>
      </c>
      <c r="G503" t="n">
        <v>8</v>
      </c>
      <c r="H503" t="n">
        <v>16</v>
      </c>
    </row>
    <row r="504">
      <c r="A504" t="inlineStr">
        <is>
          <t>Larl</t>
        </is>
      </c>
      <c r="B504" t="inlineStr">
        <is>
          <t>10/10</t>
        </is>
      </c>
      <c r="C504" t="inlineStr">
        <is>
          <t>TY</t>
        </is>
      </c>
      <c r="D504" t="n">
        <v>1</v>
      </c>
      <c r="E504" t="n">
        <v>5</v>
      </c>
      <c r="F504" t="n">
        <v>0</v>
      </c>
      <c r="G504" t="n">
        <v>6</v>
      </c>
      <c r="H504" t="n">
        <v>6</v>
      </c>
    </row>
    <row r="505">
      <c r="A505" t="inlineStr">
        <is>
          <t>Larl</t>
        </is>
      </c>
      <c r="B505" t="inlineStr">
        <is>
          <t>10/09</t>
        </is>
      </c>
      <c r="C505" t="inlineStr">
        <is>
          <t>AUR</t>
        </is>
      </c>
      <c r="D505" t="n">
        <v>21</v>
      </c>
      <c r="E505" t="n">
        <v>7</v>
      </c>
      <c r="F505" t="n">
        <v>6</v>
      </c>
      <c r="G505" t="n">
        <v>28</v>
      </c>
      <c r="H505" t="n">
        <v>34</v>
      </c>
    </row>
    <row r="506">
      <c r="A506" t="inlineStr">
        <is>
          <t>Larl</t>
        </is>
      </c>
      <c r="B506" t="inlineStr">
        <is>
          <t>10/03</t>
        </is>
      </c>
      <c r="C506" t="inlineStr">
        <is>
          <t>TY</t>
        </is>
      </c>
      <c r="D506" t="n">
        <v>5</v>
      </c>
      <c r="E506" t="n">
        <v>12</v>
      </c>
      <c r="F506" t="n">
        <v>6</v>
      </c>
      <c r="G506" t="n">
        <v>17</v>
      </c>
      <c r="H506" t="n">
        <v>23</v>
      </c>
    </row>
    <row r="507">
      <c r="A507" t="inlineStr">
        <is>
          <t>Larl</t>
        </is>
      </c>
      <c r="B507" t="inlineStr">
        <is>
          <t>09/30</t>
        </is>
      </c>
      <c r="C507" t="inlineStr">
        <is>
          <t>1WIN</t>
        </is>
      </c>
      <c r="D507" t="n">
        <v>7</v>
      </c>
      <c r="E507" t="n">
        <v>2</v>
      </c>
      <c r="F507" t="n">
        <v>0</v>
      </c>
      <c r="G507" t="n">
        <v>9</v>
      </c>
      <c r="H507" t="n">
        <v>9</v>
      </c>
    </row>
    <row r="508">
      <c r="A508" t="inlineStr">
        <is>
          <t>Larl</t>
        </is>
      </c>
      <c r="B508" t="inlineStr">
        <is>
          <t>09/29</t>
        </is>
      </c>
      <c r="C508" t="inlineStr">
        <is>
          <t>Nem</t>
        </is>
      </c>
      <c r="D508" t="n">
        <v>5</v>
      </c>
      <c r="E508" t="n">
        <v>10</v>
      </c>
      <c r="F508" t="n">
        <v>15</v>
      </c>
      <c r="G508" t="n">
        <v>15</v>
      </c>
      <c r="H508" t="n">
        <v>30</v>
      </c>
    </row>
    <row r="509">
      <c r="A509" t="inlineStr">
        <is>
          <t>Larl</t>
        </is>
      </c>
      <c r="B509" t="inlineStr">
        <is>
          <t>08/23</t>
        </is>
      </c>
      <c r="C509" t="inlineStr">
        <is>
          <t>VSN</t>
        </is>
      </c>
      <c r="D509" t="n">
        <v>6</v>
      </c>
      <c r="E509" t="n">
        <v>8</v>
      </c>
      <c r="F509" t="n">
        <v>4</v>
      </c>
      <c r="G509" t="n">
        <v>14</v>
      </c>
      <c r="H509" t="n">
        <v>18</v>
      </c>
    </row>
    <row r="510">
      <c r="A510" t="inlineStr">
        <is>
          <t>Larl</t>
        </is>
      </c>
      <c r="B510" t="inlineStr">
        <is>
          <t>08/23</t>
        </is>
      </c>
      <c r="C510" t="inlineStr">
        <is>
          <t>TY</t>
        </is>
      </c>
      <c r="D510" t="n">
        <v>3</v>
      </c>
      <c r="E510" t="n">
        <v>13</v>
      </c>
      <c r="F510" t="n">
        <v>0</v>
      </c>
      <c r="G510" t="n">
        <v>16</v>
      </c>
      <c r="H510" t="n">
        <v>16</v>
      </c>
    </row>
    <row r="511">
      <c r="A511" t="inlineStr">
        <is>
          <t>Larl</t>
        </is>
      </c>
      <c r="B511" t="inlineStr">
        <is>
          <t>08/22</t>
        </is>
      </c>
      <c r="C511" t="inlineStr">
        <is>
          <t>Liquid</t>
        </is>
      </c>
      <c r="D511" t="n">
        <v>7</v>
      </c>
      <c r="E511" t="n">
        <v>10</v>
      </c>
      <c r="F511" t="n">
        <v>0</v>
      </c>
      <c r="G511" t="n">
        <v>17</v>
      </c>
      <c r="H511" t="n">
        <v>17</v>
      </c>
    </row>
    <row r="512">
      <c r="A512" t="inlineStr">
        <is>
          <t>not me</t>
        </is>
      </c>
      <c r="B512" t="inlineStr">
        <is>
          <t>10/28</t>
        </is>
      </c>
      <c r="C512" t="inlineStr">
        <is>
          <t>OG</t>
        </is>
      </c>
      <c r="D512" t="n">
        <v>7</v>
      </c>
      <c r="E512" t="n">
        <v>2</v>
      </c>
      <c r="F512" t="n">
        <v>3</v>
      </c>
      <c r="G512" t="n">
        <v>9</v>
      </c>
      <c r="H512" t="n">
        <v>12</v>
      </c>
    </row>
    <row r="513">
      <c r="A513" t="inlineStr">
        <is>
          <t>not me</t>
        </is>
      </c>
      <c r="B513" t="inlineStr">
        <is>
          <t>10/26</t>
        </is>
      </c>
      <c r="C513" t="inlineStr">
        <is>
          <t>PARI</t>
        </is>
      </c>
      <c r="D513" t="n">
        <v>5</v>
      </c>
      <c r="E513" t="n">
        <v>2</v>
      </c>
      <c r="F513" t="n">
        <v>3</v>
      </c>
      <c r="G513" t="n">
        <v>7</v>
      </c>
      <c r="H513" t="n">
        <v>10</v>
      </c>
    </row>
    <row r="514">
      <c r="A514" t="inlineStr">
        <is>
          <t>not me</t>
        </is>
      </c>
      <c r="B514" t="inlineStr">
        <is>
          <t>10/25</t>
        </is>
      </c>
      <c r="C514" t="inlineStr">
        <is>
          <t>AI</t>
        </is>
      </c>
      <c r="D514" t="n">
        <v>4</v>
      </c>
      <c r="E514" t="n">
        <v>1</v>
      </c>
      <c r="F514" t="n">
        <v>0</v>
      </c>
      <c r="G514" t="n">
        <v>5</v>
      </c>
      <c r="H514" t="n">
        <v>5</v>
      </c>
    </row>
    <row r="515">
      <c r="A515" t="inlineStr">
        <is>
          <t>not me</t>
        </is>
      </c>
      <c r="B515" t="inlineStr">
        <is>
          <t>10/24</t>
        </is>
      </c>
      <c r="C515" t="inlineStr">
        <is>
          <t>BB</t>
        </is>
      </c>
      <c r="D515" t="n">
        <v>7</v>
      </c>
      <c r="E515" t="n">
        <v>13</v>
      </c>
      <c r="F515" t="n">
        <v>0</v>
      </c>
      <c r="G515" t="n">
        <v>20</v>
      </c>
      <c r="H515" t="n">
        <v>20</v>
      </c>
    </row>
    <row r="516">
      <c r="A516" t="inlineStr">
        <is>
          <t>not me</t>
        </is>
      </c>
      <c r="B516" t="inlineStr">
        <is>
          <t>10/22</t>
        </is>
      </c>
      <c r="C516" t="inlineStr">
        <is>
          <t>LEGION</t>
        </is>
      </c>
      <c r="D516" t="n">
        <v>5</v>
      </c>
      <c r="E516" t="n">
        <v>10</v>
      </c>
      <c r="F516" t="n">
        <v>0</v>
      </c>
      <c r="G516" t="n">
        <v>15</v>
      </c>
      <c r="H516" t="n">
        <v>15</v>
      </c>
    </row>
    <row r="517">
      <c r="A517" t="inlineStr">
        <is>
          <t>not me</t>
        </is>
      </c>
      <c r="B517" t="inlineStr">
        <is>
          <t>10/16</t>
        </is>
      </c>
      <c r="C517" t="inlineStr">
        <is>
          <t>SBT</t>
        </is>
      </c>
      <c r="D517" t="n">
        <v>4</v>
      </c>
      <c r="E517" t="n">
        <v>11</v>
      </c>
      <c r="F517" t="n">
        <v>7</v>
      </c>
      <c r="G517" t="n">
        <v>15</v>
      </c>
      <c r="H517" t="n">
        <v>22</v>
      </c>
    </row>
    <row r="518">
      <c r="A518" t="inlineStr">
        <is>
          <t>not me</t>
        </is>
      </c>
      <c r="B518" t="inlineStr">
        <is>
          <t>10/15</t>
        </is>
      </c>
      <c r="C518" t="inlineStr">
        <is>
          <t>SBT</t>
        </is>
      </c>
      <c r="D518" t="n">
        <v>1</v>
      </c>
      <c r="E518" t="n">
        <v>14</v>
      </c>
      <c r="F518" t="n">
        <v>5</v>
      </c>
      <c r="G518" t="n">
        <v>15</v>
      </c>
      <c r="H518" t="n">
        <v>20</v>
      </c>
    </row>
    <row r="519">
      <c r="A519" t="inlineStr">
        <is>
          <t>not me</t>
        </is>
      </c>
      <c r="B519" t="inlineStr">
        <is>
          <t>10/15</t>
        </is>
      </c>
      <c r="C519" t="inlineStr">
        <is>
          <t>Stray</t>
        </is>
      </c>
      <c r="D519" t="n">
        <v>1</v>
      </c>
      <c r="E519" t="n">
        <v>9</v>
      </c>
      <c r="F519" t="n">
        <v>0</v>
      </c>
      <c r="G519" t="n">
        <v>10</v>
      </c>
      <c r="H519" t="n">
        <v>10</v>
      </c>
    </row>
    <row r="520">
      <c r="A520" t="inlineStr">
        <is>
          <t>not me</t>
        </is>
      </c>
      <c r="B520" t="inlineStr">
        <is>
          <t>10/14</t>
        </is>
      </c>
      <c r="C520" t="inlineStr">
        <is>
          <t>BOT</t>
        </is>
      </c>
      <c r="D520" t="n">
        <v>0</v>
      </c>
      <c r="E520" t="n">
        <v>4</v>
      </c>
      <c r="F520" t="n">
        <v>0</v>
      </c>
      <c r="G520" t="n">
        <v>4</v>
      </c>
      <c r="H520" t="n">
        <v>4</v>
      </c>
    </row>
    <row r="521">
      <c r="A521" t="inlineStr">
        <is>
          <t>not me</t>
        </is>
      </c>
      <c r="B521" t="inlineStr">
        <is>
          <t>10/11</t>
        </is>
      </c>
      <c r="C521" t="inlineStr">
        <is>
          <t>TY</t>
        </is>
      </c>
      <c r="D521" t="n">
        <v>9</v>
      </c>
      <c r="E521" t="n">
        <v>2</v>
      </c>
      <c r="F521" t="n">
        <v>2</v>
      </c>
      <c r="G521" t="n">
        <v>11</v>
      </c>
      <c r="H521" t="n">
        <v>13</v>
      </c>
    </row>
    <row r="522">
      <c r="A522" t="inlineStr">
        <is>
          <t>not me</t>
        </is>
      </c>
      <c r="B522" t="inlineStr">
        <is>
          <t>10/11</t>
        </is>
      </c>
      <c r="C522" t="inlineStr">
        <is>
          <t>PARI</t>
        </is>
      </c>
      <c r="D522" t="n">
        <v>3</v>
      </c>
      <c r="E522" t="n">
        <v>2</v>
      </c>
      <c r="F522" t="n">
        <v>4</v>
      </c>
      <c r="G522" t="n">
        <v>5</v>
      </c>
      <c r="H522" t="n">
        <v>9</v>
      </c>
    </row>
    <row r="523">
      <c r="A523" t="inlineStr">
        <is>
          <t>not me</t>
        </is>
      </c>
      <c r="B523" t="inlineStr">
        <is>
          <t>10/10</t>
        </is>
      </c>
      <c r="C523" t="inlineStr">
        <is>
          <t>TY</t>
        </is>
      </c>
      <c r="D523" t="n">
        <v>4</v>
      </c>
      <c r="E523" t="n">
        <v>4</v>
      </c>
      <c r="F523" t="n">
        <v>0</v>
      </c>
      <c r="G523" t="n">
        <v>8</v>
      </c>
      <c r="H523" t="n">
        <v>8</v>
      </c>
    </row>
    <row r="524">
      <c r="A524" t="inlineStr">
        <is>
          <t>not me</t>
        </is>
      </c>
      <c r="B524" t="inlineStr">
        <is>
          <t>10/09</t>
        </is>
      </c>
      <c r="C524" t="inlineStr">
        <is>
          <t>AUR</t>
        </is>
      </c>
      <c r="D524" t="n">
        <v>3</v>
      </c>
      <c r="E524" t="n">
        <v>2</v>
      </c>
      <c r="F524" t="n">
        <v>14</v>
      </c>
      <c r="G524" t="n">
        <v>5</v>
      </c>
      <c r="H524" t="n">
        <v>19</v>
      </c>
    </row>
    <row r="525">
      <c r="A525" t="inlineStr">
        <is>
          <t>not me</t>
        </is>
      </c>
      <c r="B525" t="inlineStr">
        <is>
          <t>10/03</t>
        </is>
      </c>
      <c r="C525" t="inlineStr">
        <is>
          <t>TY</t>
        </is>
      </c>
      <c r="D525" t="n">
        <v>5</v>
      </c>
      <c r="E525" t="n">
        <v>5</v>
      </c>
      <c r="F525" t="n">
        <v>7</v>
      </c>
      <c r="G525" t="n">
        <v>10</v>
      </c>
      <c r="H525" t="n">
        <v>17</v>
      </c>
    </row>
    <row r="526">
      <c r="A526" t="inlineStr">
        <is>
          <t>not me</t>
        </is>
      </c>
      <c r="B526" t="inlineStr">
        <is>
          <t>09/30</t>
        </is>
      </c>
      <c r="C526" t="inlineStr">
        <is>
          <t>1WIN</t>
        </is>
      </c>
      <c r="D526" t="n">
        <v>8</v>
      </c>
      <c r="E526" t="n">
        <v>7</v>
      </c>
      <c r="F526" t="n">
        <v>0</v>
      </c>
      <c r="G526" t="n">
        <v>15</v>
      </c>
      <c r="H526" t="n">
        <v>15</v>
      </c>
    </row>
    <row r="527">
      <c r="A527" t="inlineStr">
        <is>
          <t>rue</t>
        </is>
      </c>
      <c r="B527" t="inlineStr">
        <is>
          <t>10/28</t>
        </is>
      </c>
      <c r="C527" t="inlineStr">
        <is>
          <t>OG</t>
        </is>
      </c>
      <c r="D527" t="n">
        <v>6</v>
      </c>
      <c r="E527" t="n">
        <v>3</v>
      </c>
      <c r="F527" t="n">
        <v>3</v>
      </c>
      <c r="G527" t="n">
        <v>9</v>
      </c>
      <c r="H527" t="n">
        <v>12</v>
      </c>
    </row>
    <row r="528">
      <c r="A528" t="inlineStr">
        <is>
          <t>rue</t>
        </is>
      </c>
      <c r="B528" t="inlineStr">
        <is>
          <t>10/26</t>
        </is>
      </c>
      <c r="C528" t="inlineStr">
        <is>
          <t>PARI</t>
        </is>
      </c>
      <c r="D528" t="n">
        <v>1</v>
      </c>
      <c r="E528" t="n">
        <v>4</v>
      </c>
      <c r="F528" t="n">
        <v>3</v>
      </c>
      <c r="G528" t="n">
        <v>5</v>
      </c>
      <c r="H528" t="n">
        <v>8</v>
      </c>
    </row>
    <row r="529">
      <c r="A529" t="inlineStr">
        <is>
          <t>rue</t>
        </is>
      </c>
      <c r="B529" t="inlineStr">
        <is>
          <t>10/25</t>
        </is>
      </c>
      <c r="C529" t="inlineStr">
        <is>
          <t>AI</t>
        </is>
      </c>
      <c r="D529" t="n">
        <v>6</v>
      </c>
      <c r="E529" t="n">
        <v>6</v>
      </c>
      <c r="F529" t="n">
        <v>0</v>
      </c>
      <c r="G529" t="n">
        <v>12</v>
      </c>
      <c r="H529" t="n">
        <v>12</v>
      </c>
    </row>
    <row r="530">
      <c r="A530" t="inlineStr">
        <is>
          <t>rue</t>
        </is>
      </c>
      <c r="B530" t="inlineStr">
        <is>
          <t>10/24</t>
        </is>
      </c>
      <c r="C530" t="inlineStr">
        <is>
          <t>BB</t>
        </is>
      </c>
      <c r="D530" t="n">
        <v>0</v>
      </c>
      <c r="E530" t="n">
        <v>11</v>
      </c>
      <c r="F530" t="n">
        <v>0</v>
      </c>
      <c r="G530" t="n">
        <v>11</v>
      </c>
      <c r="H530" t="n">
        <v>11</v>
      </c>
    </row>
    <row r="531">
      <c r="A531" t="inlineStr">
        <is>
          <t>rue</t>
        </is>
      </c>
      <c r="B531" t="inlineStr">
        <is>
          <t>10/22</t>
        </is>
      </c>
      <c r="C531" t="inlineStr">
        <is>
          <t>LEGION</t>
        </is>
      </c>
      <c r="D531" t="n">
        <v>8</v>
      </c>
      <c r="E531" t="n">
        <v>2</v>
      </c>
      <c r="F531" t="n">
        <v>0</v>
      </c>
      <c r="G531" t="n">
        <v>10</v>
      </c>
      <c r="H531" t="n">
        <v>10</v>
      </c>
    </row>
    <row r="532">
      <c r="A532" t="inlineStr">
        <is>
          <t>rue</t>
        </is>
      </c>
      <c r="B532" t="inlineStr">
        <is>
          <t>10/11</t>
        </is>
      </c>
      <c r="C532" t="inlineStr">
        <is>
          <t>TY</t>
        </is>
      </c>
      <c r="D532" t="n">
        <v>3</v>
      </c>
      <c r="E532" t="n">
        <v>2</v>
      </c>
      <c r="F532" t="n">
        <v>2</v>
      </c>
      <c r="G532" t="n">
        <v>5</v>
      </c>
      <c r="H532" t="n">
        <v>7</v>
      </c>
    </row>
    <row r="533">
      <c r="A533" t="inlineStr">
        <is>
          <t>rue</t>
        </is>
      </c>
      <c r="B533" t="inlineStr">
        <is>
          <t>10/11</t>
        </is>
      </c>
      <c r="C533" t="inlineStr">
        <is>
          <t>PARI</t>
        </is>
      </c>
      <c r="D533" t="n">
        <v>4</v>
      </c>
      <c r="E533" t="n">
        <v>3</v>
      </c>
      <c r="F533" t="n">
        <v>5</v>
      </c>
      <c r="G533" t="n">
        <v>7</v>
      </c>
      <c r="H533" t="n">
        <v>12</v>
      </c>
    </row>
    <row r="534">
      <c r="A534" t="inlineStr">
        <is>
          <t>rue</t>
        </is>
      </c>
      <c r="B534" t="inlineStr">
        <is>
          <t>10/10</t>
        </is>
      </c>
      <c r="C534" t="inlineStr">
        <is>
          <t>TY</t>
        </is>
      </c>
      <c r="D534" t="n">
        <v>1</v>
      </c>
      <c r="E534" t="n">
        <v>2</v>
      </c>
      <c r="F534" t="n">
        <v>0</v>
      </c>
      <c r="G534" t="n">
        <v>3</v>
      </c>
      <c r="H534" t="n">
        <v>3</v>
      </c>
    </row>
    <row r="535">
      <c r="A535" t="inlineStr">
        <is>
          <t>rue</t>
        </is>
      </c>
      <c r="B535" t="inlineStr">
        <is>
          <t>10/09</t>
        </is>
      </c>
      <c r="C535" t="inlineStr">
        <is>
          <t>AUR</t>
        </is>
      </c>
      <c r="D535" t="n">
        <v>6</v>
      </c>
      <c r="E535" t="n">
        <v>0</v>
      </c>
      <c r="F535" t="n">
        <v>1</v>
      </c>
      <c r="G535" t="n">
        <v>6</v>
      </c>
      <c r="H535" t="n">
        <v>7</v>
      </c>
    </row>
    <row r="536">
      <c r="A536" t="inlineStr">
        <is>
          <t>rue</t>
        </is>
      </c>
      <c r="B536" t="inlineStr">
        <is>
          <t>10/03</t>
        </is>
      </c>
      <c r="C536" t="inlineStr">
        <is>
          <t>TY</t>
        </is>
      </c>
      <c r="D536" t="n">
        <v>2</v>
      </c>
      <c r="E536" t="n">
        <v>1</v>
      </c>
      <c r="F536" t="n">
        <v>8</v>
      </c>
      <c r="G536" t="n">
        <v>3</v>
      </c>
      <c r="H536" t="n">
        <v>11</v>
      </c>
    </row>
    <row r="537">
      <c r="A537" t="inlineStr">
        <is>
          <t>rue</t>
        </is>
      </c>
      <c r="B537" t="inlineStr">
        <is>
          <t>09/30</t>
        </is>
      </c>
      <c r="C537" t="inlineStr">
        <is>
          <t>1WIN</t>
        </is>
      </c>
      <c r="D537" t="n">
        <v>2</v>
      </c>
      <c r="E537" t="n">
        <v>1</v>
      </c>
      <c r="F537" t="n">
        <v>0</v>
      </c>
      <c r="G537" t="n">
        <v>3</v>
      </c>
      <c r="H537" t="n">
        <v>3</v>
      </c>
    </row>
    <row r="538">
      <c r="A538" t="inlineStr">
        <is>
          <t>rue</t>
        </is>
      </c>
      <c r="B538" t="inlineStr">
        <is>
          <t>09/29</t>
        </is>
      </c>
      <c r="C538" t="inlineStr">
        <is>
          <t>Nem</t>
        </is>
      </c>
      <c r="D538" t="n">
        <v>2</v>
      </c>
      <c r="E538" t="n">
        <v>3</v>
      </c>
      <c r="F538" t="n">
        <v>1</v>
      </c>
      <c r="G538" t="n">
        <v>5</v>
      </c>
      <c r="H538" t="n">
        <v>6</v>
      </c>
    </row>
    <row r="539">
      <c r="A539" t="inlineStr">
        <is>
          <t>rue</t>
        </is>
      </c>
      <c r="B539" t="inlineStr">
        <is>
          <t>08/23</t>
        </is>
      </c>
      <c r="C539" t="inlineStr">
        <is>
          <t>VSN</t>
        </is>
      </c>
      <c r="D539" t="n">
        <v>2</v>
      </c>
      <c r="E539" t="n">
        <v>5</v>
      </c>
      <c r="F539" t="n">
        <v>1</v>
      </c>
      <c r="G539" t="n">
        <v>7</v>
      </c>
      <c r="H539" t="n">
        <v>8</v>
      </c>
    </row>
    <row r="540">
      <c r="A540" t="inlineStr">
        <is>
          <t>rue</t>
        </is>
      </c>
      <c r="B540" t="inlineStr">
        <is>
          <t>08/23</t>
        </is>
      </c>
      <c r="C540" t="inlineStr">
        <is>
          <t>TY</t>
        </is>
      </c>
      <c r="D540" t="n">
        <v>1</v>
      </c>
      <c r="E540" t="n">
        <v>2</v>
      </c>
      <c r="F540" t="n">
        <v>0</v>
      </c>
      <c r="G540" t="n">
        <v>3</v>
      </c>
      <c r="H540" t="n">
        <v>3</v>
      </c>
    </row>
    <row r="541">
      <c r="A541" t="inlineStr">
        <is>
          <t>rue</t>
        </is>
      </c>
      <c r="B541" t="inlineStr">
        <is>
          <t>08/22</t>
        </is>
      </c>
      <c r="C541" t="inlineStr">
        <is>
          <t>Liquid</t>
        </is>
      </c>
      <c r="D541" t="n">
        <v>2</v>
      </c>
      <c r="E541" t="n">
        <v>4</v>
      </c>
      <c r="F541" t="n">
        <v>0</v>
      </c>
      <c r="G541" t="n">
        <v>6</v>
      </c>
      <c r="H541" t="n">
        <v>6</v>
      </c>
    </row>
    <row r="542">
      <c r="A542" t="inlineStr">
        <is>
          <t>Yatoro</t>
        </is>
      </c>
      <c r="B542" t="inlineStr">
        <is>
          <t>10/28</t>
        </is>
      </c>
      <c r="C542" t="inlineStr">
        <is>
          <t>OG</t>
        </is>
      </c>
      <c r="D542" t="n">
        <v>15</v>
      </c>
      <c r="E542" t="n">
        <v>5</v>
      </c>
      <c r="F542" t="n">
        <v>8</v>
      </c>
      <c r="G542" t="n">
        <v>20</v>
      </c>
      <c r="H542" t="n">
        <v>28</v>
      </c>
    </row>
    <row r="543">
      <c r="A543" t="inlineStr">
        <is>
          <t>Yatoro</t>
        </is>
      </c>
      <c r="B543" t="inlineStr">
        <is>
          <t>10/26</t>
        </is>
      </c>
      <c r="C543" t="inlineStr">
        <is>
          <t>PARI</t>
        </is>
      </c>
      <c r="D543" t="n">
        <v>4</v>
      </c>
      <c r="E543" t="n">
        <v>3</v>
      </c>
      <c r="F543" t="n">
        <v>12</v>
      </c>
      <c r="G543" t="n">
        <v>7</v>
      </c>
      <c r="H543" t="n">
        <v>19</v>
      </c>
    </row>
    <row r="544">
      <c r="A544" t="inlineStr">
        <is>
          <t>Yatoro</t>
        </is>
      </c>
      <c r="B544" t="inlineStr">
        <is>
          <t>10/25</t>
        </is>
      </c>
      <c r="C544" t="inlineStr">
        <is>
          <t>AI</t>
        </is>
      </c>
      <c r="D544" t="n">
        <v>8</v>
      </c>
      <c r="E544" t="n">
        <v>9</v>
      </c>
      <c r="F544" t="n">
        <v>0</v>
      </c>
      <c r="G544" t="n">
        <v>17</v>
      </c>
      <c r="H544" t="n">
        <v>17</v>
      </c>
    </row>
    <row r="545">
      <c r="A545" t="inlineStr">
        <is>
          <t>Yatoro</t>
        </is>
      </c>
      <c r="B545" t="inlineStr">
        <is>
          <t>10/24</t>
        </is>
      </c>
      <c r="C545" t="inlineStr">
        <is>
          <t>BB</t>
        </is>
      </c>
      <c r="D545" t="n">
        <v>10</v>
      </c>
      <c r="E545" t="n">
        <v>11</v>
      </c>
      <c r="F545" t="n">
        <v>0</v>
      </c>
      <c r="G545" t="n">
        <v>21</v>
      </c>
      <c r="H545" t="n">
        <v>21</v>
      </c>
    </row>
    <row r="546">
      <c r="A546" t="inlineStr">
        <is>
          <t>Yatoro</t>
        </is>
      </c>
      <c r="B546" t="inlineStr">
        <is>
          <t>10/22</t>
        </is>
      </c>
      <c r="C546" t="inlineStr">
        <is>
          <t>LEGION</t>
        </is>
      </c>
      <c r="D546" t="n">
        <v>7</v>
      </c>
      <c r="E546" t="n">
        <v>17</v>
      </c>
      <c r="F546" t="n">
        <v>0</v>
      </c>
      <c r="G546" t="n">
        <v>24</v>
      </c>
      <c r="H546" t="n">
        <v>24</v>
      </c>
    </row>
    <row r="547">
      <c r="A547" t="inlineStr">
        <is>
          <t>Yatoro</t>
        </is>
      </c>
      <c r="B547" t="inlineStr">
        <is>
          <t>10/17</t>
        </is>
      </c>
      <c r="C547" t="inlineStr">
        <is>
          <t>Nix</t>
        </is>
      </c>
      <c r="D547" t="n">
        <v>12</v>
      </c>
      <c r="E547" t="n">
        <v>0</v>
      </c>
      <c r="F547" t="n">
        <v>0</v>
      </c>
      <c r="G547" t="n">
        <v>12</v>
      </c>
      <c r="H547" t="n">
        <v>12</v>
      </c>
    </row>
    <row r="548">
      <c r="A548" t="inlineStr">
        <is>
          <t>Yatoro</t>
        </is>
      </c>
      <c r="B548" t="inlineStr">
        <is>
          <t>10/17</t>
        </is>
      </c>
      <c r="C548" t="inlineStr">
        <is>
          <t>Stray</t>
        </is>
      </c>
      <c r="D548" t="n">
        <v>6</v>
      </c>
      <c r="E548" t="n">
        <v>1</v>
      </c>
      <c r="F548" t="n">
        <v>9</v>
      </c>
      <c r="G548" t="n">
        <v>7</v>
      </c>
      <c r="H548" t="n">
        <v>16</v>
      </c>
    </row>
    <row r="549">
      <c r="A549" t="inlineStr">
        <is>
          <t>Yatoro</t>
        </is>
      </c>
      <c r="B549" t="inlineStr">
        <is>
          <t>10/16</t>
        </is>
      </c>
      <c r="C549" t="inlineStr">
        <is>
          <t>KT</t>
        </is>
      </c>
      <c r="D549" t="n">
        <v>19</v>
      </c>
      <c r="E549" t="n">
        <v>7</v>
      </c>
      <c r="F549" t="n">
        <v>3</v>
      </c>
      <c r="G549" t="n">
        <v>26</v>
      </c>
      <c r="H549" t="n">
        <v>29</v>
      </c>
    </row>
    <row r="550">
      <c r="A550" t="inlineStr">
        <is>
          <t>Yatoro</t>
        </is>
      </c>
      <c r="B550" t="inlineStr">
        <is>
          <t>10/15</t>
        </is>
      </c>
      <c r="C550" t="inlineStr">
        <is>
          <t>KT</t>
        </is>
      </c>
      <c r="D550" t="n">
        <v>7</v>
      </c>
      <c r="E550" t="n">
        <v>2</v>
      </c>
      <c r="F550" t="n">
        <v>6</v>
      </c>
      <c r="G550" t="n">
        <v>9</v>
      </c>
      <c r="H550" t="n">
        <v>15</v>
      </c>
    </row>
    <row r="551">
      <c r="A551" t="inlineStr">
        <is>
          <t>Yatoro</t>
        </is>
      </c>
      <c r="B551" t="inlineStr">
        <is>
          <t>10/15</t>
        </is>
      </c>
      <c r="C551" t="inlineStr">
        <is>
          <t>Stray</t>
        </is>
      </c>
      <c r="D551" t="n">
        <v>17</v>
      </c>
      <c r="E551" t="n">
        <v>20</v>
      </c>
      <c r="F551" t="n">
        <v>0</v>
      </c>
      <c r="G551" t="n">
        <v>37</v>
      </c>
      <c r="H551" t="n">
        <v>37</v>
      </c>
    </row>
    <row r="552">
      <c r="A552" t="inlineStr">
        <is>
          <t>Yatoro</t>
        </is>
      </c>
      <c r="B552" t="inlineStr">
        <is>
          <t>10/14</t>
        </is>
      </c>
      <c r="C552" t="inlineStr">
        <is>
          <t>BOT</t>
        </is>
      </c>
      <c r="D552" t="n">
        <v>1</v>
      </c>
      <c r="E552" t="n">
        <v>4</v>
      </c>
      <c r="F552" t="n">
        <v>0</v>
      </c>
      <c r="G552" t="n">
        <v>5</v>
      </c>
      <c r="H552" t="n">
        <v>5</v>
      </c>
    </row>
    <row r="553">
      <c r="A553" t="inlineStr">
        <is>
          <t>Yatoro</t>
        </is>
      </c>
      <c r="B553" t="inlineStr">
        <is>
          <t>10/13</t>
        </is>
      </c>
      <c r="C553" t="inlineStr">
        <is>
          <t>BOT</t>
        </is>
      </c>
      <c r="D553" t="n">
        <v>6</v>
      </c>
      <c r="E553" t="n">
        <v>2</v>
      </c>
      <c r="F553" t="n">
        <v>1</v>
      </c>
      <c r="G553" t="n">
        <v>8</v>
      </c>
      <c r="H553" t="n">
        <v>9</v>
      </c>
    </row>
    <row r="554">
      <c r="A554" t="inlineStr">
        <is>
          <t>Yatoro</t>
        </is>
      </c>
      <c r="B554" t="inlineStr">
        <is>
          <t>10/13</t>
        </is>
      </c>
      <c r="C554" t="inlineStr">
        <is>
          <t>Stray</t>
        </is>
      </c>
      <c r="D554" t="n">
        <v>3</v>
      </c>
      <c r="E554" t="n">
        <v>6</v>
      </c>
      <c r="F554" t="n">
        <v>1</v>
      </c>
      <c r="G554" t="n">
        <v>9</v>
      </c>
      <c r="H554" t="n">
        <v>10</v>
      </c>
    </row>
    <row r="555">
      <c r="A555" t="inlineStr">
        <is>
          <t>Yatoro</t>
        </is>
      </c>
      <c r="B555" t="inlineStr">
        <is>
          <t>10/11</t>
        </is>
      </c>
      <c r="C555" t="inlineStr">
        <is>
          <t>TY</t>
        </is>
      </c>
      <c r="D555" t="n">
        <v>19</v>
      </c>
      <c r="E555" t="n">
        <v>7</v>
      </c>
      <c r="F555" t="n">
        <v>3</v>
      </c>
      <c r="G555" t="n">
        <v>26</v>
      </c>
      <c r="H555" t="n">
        <v>29</v>
      </c>
    </row>
    <row r="556">
      <c r="A556" t="inlineStr">
        <is>
          <t>Yatoro</t>
        </is>
      </c>
      <c r="B556" t="inlineStr">
        <is>
          <t>10/11</t>
        </is>
      </c>
      <c r="C556" t="inlineStr">
        <is>
          <t>PARI</t>
        </is>
      </c>
      <c r="D556" t="n">
        <v>7</v>
      </c>
      <c r="E556" t="n">
        <v>11</v>
      </c>
      <c r="F556" t="n">
        <v>10</v>
      </c>
      <c r="G556" t="n">
        <v>18</v>
      </c>
      <c r="H556" t="n">
        <v>28</v>
      </c>
    </row>
    <row r="557">
      <c r="A557" t="inlineStr">
        <is>
          <t>ATF</t>
        </is>
      </c>
      <c r="B557" t="inlineStr">
        <is>
          <t>10/28</t>
        </is>
      </c>
      <c r="C557" t="inlineStr">
        <is>
          <t>AI</t>
        </is>
      </c>
      <c r="D557" t="n">
        <v>4</v>
      </c>
      <c r="E557" t="n">
        <v>14</v>
      </c>
      <c r="F557" t="n">
        <v>3</v>
      </c>
      <c r="G557" t="n">
        <v>18</v>
      </c>
      <c r="H557" t="n">
        <v>21</v>
      </c>
    </row>
    <row r="558">
      <c r="A558" t="inlineStr">
        <is>
          <t>ATF</t>
        </is>
      </c>
      <c r="B558" t="inlineStr">
        <is>
          <t>10/26</t>
        </is>
      </c>
      <c r="C558" t="inlineStr">
        <is>
          <t>Liquid</t>
        </is>
      </c>
      <c r="D558" t="n">
        <v>7</v>
      </c>
      <c r="E558" t="n">
        <v>7</v>
      </c>
      <c r="F558" t="n">
        <v>9</v>
      </c>
      <c r="G558" t="n">
        <v>14</v>
      </c>
      <c r="H558" t="n">
        <v>23</v>
      </c>
    </row>
    <row r="559">
      <c r="A559" t="inlineStr">
        <is>
          <t>ATF</t>
        </is>
      </c>
      <c r="B559" t="inlineStr">
        <is>
          <t>10/25</t>
        </is>
      </c>
      <c r="C559" t="inlineStr">
        <is>
          <t>1WIN</t>
        </is>
      </c>
      <c r="D559" t="n">
        <v>10</v>
      </c>
      <c r="E559" t="n">
        <v>8</v>
      </c>
      <c r="F559" t="n">
        <v>0</v>
      </c>
      <c r="G559" t="n">
        <v>18</v>
      </c>
      <c r="H559" t="n">
        <v>18</v>
      </c>
    </row>
    <row r="560">
      <c r="A560" t="inlineStr">
        <is>
          <t>ATF</t>
        </is>
      </c>
      <c r="B560" t="inlineStr">
        <is>
          <t>10/24</t>
        </is>
      </c>
      <c r="C560" t="inlineStr">
        <is>
          <t>DB</t>
        </is>
      </c>
      <c r="D560" t="n">
        <v>9</v>
      </c>
      <c r="E560" t="n">
        <v>12</v>
      </c>
      <c r="F560" t="n">
        <v>0</v>
      </c>
      <c r="G560" t="n">
        <v>21</v>
      </c>
      <c r="H560" t="n">
        <v>21</v>
      </c>
    </row>
    <row r="561">
      <c r="A561" t="inlineStr">
        <is>
          <t>ATF</t>
        </is>
      </c>
      <c r="B561" t="inlineStr">
        <is>
          <t>10/24</t>
        </is>
      </c>
      <c r="C561" t="inlineStr">
        <is>
          <t>OG</t>
        </is>
      </c>
      <c r="D561" t="n">
        <v>11</v>
      </c>
      <c r="E561" t="n">
        <v>18</v>
      </c>
      <c r="F561" t="n">
        <v>0</v>
      </c>
      <c r="G561" t="n">
        <v>29</v>
      </c>
      <c r="H561" t="n">
        <v>29</v>
      </c>
    </row>
    <row r="562">
      <c r="A562" t="inlineStr">
        <is>
          <t>ATF</t>
        </is>
      </c>
      <c r="B562" t="inlineStr">
        <is>
          <t>10/11</t>
        </is>
      </c>
      <c r="C562" t="inlineStr">
        <is>
          <t>TS</t>
        </is>
      </c>
      <c r="D562" t="n">
        <v>4</v>
      </c>
      <c r="E562" t="n">
        <v>20</v>
      </c>
      <c r="F562" t="n">
        <v>8</v>
      </c>
      <c r="G562" t="n">
        <v>24</v>
      </c>
      <c r="H562" t="n">
        <v>32</v>
      </c>
    </row>
    <row r="563">
      <c r="A563" t="inlineStr">
        <is>
          <t>ATF</t>
        </is>
      </c>
      <c r="B563" t="inlineStr">
        <is>
          <t>10/10</t>
        </is>
      </c>
      <c r="C563" t="inlineStr">
        <is>
          <t>TS</t>
        </is>
      </c>
      <c r="D563" t="n">
        <v>11</v>
      </c>
      <c r="E563" t="n">
        <v>15</v>
      </c>
      <c r="F563" t="n">
        <v>0</v>
      </c>
      <c r="G563" t="n">
        <v>26</v>
      </c>
      <c r="H563" t="n">
        <v>26</v>
      </c>
    </row>
    <row r="564">
      <c r="A564" t="inlineStr">
        <is>
          <t>ATF</t>
        </is>
      </c>
      <c r="B564" t="inlineStr">
        <is>
          <t>10/08</t>
        </is>
      </c>
      <c r="C564" t="inlineStr">
        <is>
          <t>PARI</t>
        </is>
      </c>
      <c r="D564" t="n">
        <v>4</v>
      </c>
      <c r="E564" t="n">
        <v>6</v>
      </c>
      <c r="F564" t="n">
        <v>11</v>
      </c>
      <c r="G564" t="n">
        <v>10</v>
      </c>
      <c r="H564" t="n">
        <v>21</v>
      </c>
    </row>
    <row r="565">
      <c r="A565" t="inlineStr">
        <is>
          <t>ATF</t>
        </is>
      </c>
      <c r="B565" t="inlineStr">
        <is>
          <t>10/08</t>
        </is>
      </c>
      <c r="C565" t="inlineStr">
        <is>
          <t>LGD</t>
        </is>
      </c>
      <c r="D565" t="n">
        <v>11</v>
      </c>
      <c r="E565" t="n">
        <v>2</v>
      </c>
      <c r="F565" t="n">
        <v>4</v>
      </c>
      <c r="G565" t="n">
        <v>13</v>
      </c>
      <c r="H565" t="n">
        <v>17</v>
      </c>
    </row>
    <row r="566">
      <c r="A566" t="inlineStr">
        <is>
          <t>ATF</t>
        </is>
      </c>
      <c r="B566" t="inlineStr">
        <is>
          <t>10/03</t>
        </is>
      </c>
      <c r="C566" t="inlineStr">
        <is>
          <t>TS</t>
        </is>
      </c>
      <c r="D566" t="n">
        <v>10</v>
      </c>
      <c r="E566" t="n">
        <v>5</v>
      </c>
      <c r="F566" t="n">
        <v>9</v>
      </c>
      <c r="G566" t="n">
        <v>15</v>
      </c>
      <c r="H566" t="n">
        <v>24</v>
      </c>
    </row>
    <row r="567">
      <c r="A567" t="inlineStr">
        <is>
          <t>ATF</t>
        </is>
      </c>
      <c r="B567" t="inlineStr">
        <is>
          <t>10/01</t>
        </is>
      </c>
      <c r="C567" t="inlineStr">
        <is>
          <t>BB</t>
        </is>
      </c>
      <c r="D567" t="n">
        <v>12</v>
      </c>
      <c r="E567" t="n">
        <v>11</v>
      </c>
      <c r="F567" t="n">
        <v>0</v>
      </c>
      <c r="G567" t="n">
        <v>23</v>
      </c>
      <c r="H567" t="n">
        <v>23</v>
      </c>
    </row>
    <row r="568">
      <c r="A568" t="inlineStr">
        <is>
          <t>ATF</t>
        </is>
      </c>
      <c r="B568" t="inlineStr">
        <is>
          <t>09/30</t>
        </is>
      </c>
      <c r="C568" t="inlineStr">
        <is>
          <t>MOUZ</t>
        </is>
      </c>
      <c r="D568" t="n">
        <v>7</v>
      </c>
      <c r="E568" t="n">
        <v>6</v>
      </c>
      <c r="F568" t="n">
        <v>0</v>
      </c>
      <c r="G568" t="n">
        <v>13</v>
      </c>
      <c r="H568" t="n">
        <v>13</v>
      </c>
    </row>
    <row r="569">
      <c r="A569" t="inlineStr">
        <is>
          <t>ATF</t>
        </is>
      </c>
      <c r="B569" t="inlineStr">
        <is>
          <t>09/27</t>
        </is>
      </c>
      <c r="C569" t="inlineStr">
        <is>
          <t>Na`Vi</t>
        </is>
      </c>
      <c r="D569" t="n">
        <v>6</v>
      </c>
      <c r="E569" t="n">
        <v>10</v>
      </c>
      <c r="F569" t="n">
        <v>5</v>
      </c>
      <c r="G569" t="n">
        <v>16</v>
      </c>
      <c r="H569" t="n">
        <v>21</v>
      </c>
    </row>
    <row r="570">
      <c r="A570" t="inlineStr">
        <is>
          <t>ATF</t>
        </is>
      </c>
      <c r="B570" t="inlineStr">
        <is>
          <t>09/26</t>
        </is>
      </c>
      <c r="C570" t="inlineStr">
        <is>
          <t>LGD</t>
        </is>
      </c>
      <c r="D570" t="n">
        <v>14</v>
      </c>
      <c r="E570" t="n">
        <v>16</v>
      </c>
      <c r="F570" t="n">
        <v>0</v>
      </c>
      <c r="G570" t="n">
        <v>30</v>
      </c>
      <c r="H570" t="n">
        <v>30</v>
      </c>
    </row>
    <row r="571">
      <c r="A571" t="inlineStr">
        <is>
          <t>ATF</t>
        </is>
      </c>
      <c r="B571" t="inlineStr">
        <is>
          <t>09/25</t>
        </is>
      </c>
      <c r="C571" t="inlineStr">
        <is>
          <t>AUR</t>
        </is>
      </c>
      <c r="D571" t="n">
        <v>1</v>
      </c>
      <c r="E571" t="n">
        <v>9</v>
      </c>
      <c r="F571" t="n">
        <v>5</v>
      </c>
      <c r="G571" t="n">
        <v>10</v>
      </c>
      <c r="H571" t="n">
        <v>15</v>
      </c>
    </row>
    <row r="572">
      <c r="A572" t="inlineStr">
        <is>
          <t>Chira JUNIOR</t>
        </is>
      </c>
      <c r="B572" t="inlineStr">
        <is>
          <t>10/28</t>
        </is>
      </c>
      <c r="C572" t="inlineStr">
        <is>
          <t>AI</t>
        </is>
      </c>
      <c r="D572" t="n">
        <v>2</v>
      </c>
      <c r="E572" t="n">
        <v>2</v>
      </c>
      <c r="F572" t="n">
        <v>8</v>
      </c>
      <c r="G572" t="n">
        <v>4</v>
      </c>
      <c r="H572" t="n">
        <v>12</v>
      </c>
    </row>
    <row r="573">
      <c r="A573" t="inlineStr">
        <is>
          <t>Chira JUNIOR</t>
        </is>
      </c>
      <c r="B573" t="inlineStr">
        <is>
          <t>10/26</t>
        </is>
      </c>
      <c r="C573" t="inlineStr">
        <is>
          <t>Liquid</t>
        </is>
      </c>
      <c r="D573" t="n">
        <v>2</v>
      </c>
      <c r="E573" t="n">
        <v>1</v>
      </c>
      <c r="F573" t="n">
        <v>10</v>
      </c>
      <c r="G573" t="n">
        <v>3</v>
      </c>
      <c r="H573" t="n">
        <v>13</v>
      </c>
    </row>
    <row r="574">
      <c r="A574" t="inlineStr">
        <is>
          <t>Chira JUNIOR</t>
        </is>
      </c>
      <c r="B574" t="inlineStr">
        <is>
          <t>10/25</t>
        </is>
      </c>
      <c r="C574" t="inlineStr">
        <is>
          <t>1WIN</t>
        </is>
      </c>
      <c r="D574" t="n">
        <v>4</v>
      </c>
      <c r="E574" t="n">
        <v>6</v>
      </c>
      <c r="F574" t="n">
        <v>0</v>
      </c>
      <c r="G574" t="n">
        <v>10</v>
      </c>
      <c r="H574" t="n">
        <v>10</v>
      </c>
    </row>
    <row r="575">
      <c r="A575" t="inlineStr">
        <is>
          <t>Chira JUNIOR</t>
        </is>
      </c>
      <c r="B575" t="inlineStr">
        <is>
          <t>10/24</t>
        </is>
      </c>
      <c r="C575" t="inlineStr">
        <is>
          <t>OG</t>
        </is>
      </c>
      <c r="D575" t="n">
        <v>12</v>
      </c>
      <c r="E575" t="n">
        <v>16</v>
      </c>
      <c r="F575" t="n">
        <v>0</v>
      </c>
      <c r="G575" t="n">
        <v>28</v>
      </c>
      <c r="H575" t="n">
        <v>28</v>
      </c>
    </row>
    <row r="576">
      <c r="A576" t="inlineStr">
        <is>
          <t>Chira JUNIOR</t>
        </is>
      </c>
      <c r="B576" t="inlineStr">
        <is>
          <t>10/22</t>
        </is>
      </c>
      <c r="C576" t="inlineStr">
        <is>
          <t>GL</t>
        </is>
      </c>
      <c r="D576" t="n">
        <v>14</v>
      </c>
      <c r="E576" t="n">
        <v>9</v>
      </c>
      <c r="F576" t="n">
        <v>0</v>
      </c>
      <c r="G576" t="n">
        <v>23</v>
      </c>
      <c r="H576" t="n">
        <v>23</v>
      </c>
    </row>
    <row r="577">
      <c r="A577" t="inlineStr">
        <is>
          <t>Chira JUNIOR</t>
        </is>
      </c>
      <c r="B577" t="inlineStr">
        <is>
          <t>10/11</t>
        </is>
      </c>
      <c r="C577" t="inlineStr">
        <is>
          <t>TS</t>
        </is>
      </c>
      <c r="D577" t="n">
        <v>6</v>
      </c>
      <c r="E577" t="n">
        <v>7</v>
      </c>
      <c r="F577" t="n">
        <v>7</v>
      </c>
      <c r="G577" t="n">
        <v>13</v>
      </c>
      <c r="H577" t="n">
        <v>20</v>
      </c>
    </row>
    <row r="578">
      <c r="A578" t="inlineStr">
        <is>
          <t>Chira JUNIOR</t>
        </is>
      </c>
      <c r="B578" t="inlineStr">
        <is>
          <t>10/10</t>
        </is>
      </c>
      <c r="C578" t="inlineStr">
        <is>
          <t>TS</t>
        </is>
      </c>
      <c r="D578" t="n">
        <v>12</v>
      </c>
      <c r="E578" t="n">
        <v>6</v>
      </c>
      <c r="F578" t="n">
        <v>0</v>
      </c>
      <c r="G578" t="n">
        <v>18</v>
      </c>
      <c r="H578" t="n">
        <v>18</v>
      </c>
    </row>
    <row r="579">
      <c r="A579" t="inlineStr">
        <is>
          <t>Chira JUNIOR</t>
        </is>
      </c>
      <c r="B579" t="inlineStr">
        <is>
          <t>10/08</t>
        </is>
      </c>
      <c r="C579" t="inlineStr">
        <is>
          <t>PARI</t>
        </is>
      </c>
      <c r="D579" t="n">
        <v>3</v>
      </c>
      <c r="E579" t="n">
        <v>8</v>
      </c>
      <c r="F579" t="n">
        <v>12</v>
      </c>
      <c r="G579" t="n">
        <v>11</v>
      </c>
      <c r="H579" t="n">
        <v>23</v>
      </c>
    </row>
    <row r="580">
      <c r="A580" t="inlineStr">
        <is>
          <t>Chira JUNIOR</t>
        </is>
      </c>
      <c r="B580" t="inlineStr">
        <is>
          <t>10/08</t>
        </is>
      </c>
      <c r="C580" t="inlineStr">
        <is>
          <t>LGD</t>
        </is>
      </c>
      <c r="D580" t="n">
        <v>6</v>
      </c>
      <c r="E580" t="n">
        <v>8</v>
      </c>
      <c r="F580" t="n">
        <v>8</v>
      </c>
      <c r="G580" t="n">
        <v>14</v>
      </c>
      <c r="H580" t="n">
        <v>22</v>
      </c>
    </row>
    <row r="581">
      <c r="A581" t="inlineStr">
        <is>
          <t>Chira JUNIOR</t>
        </is>
      </c>
      <c r="B581" t="inlineStr">
        <is>
          <t>10/03</t>
        </is>
      </c>
      <c r="C581" t="inlineStr">
        <is>
          <t>TS</t>
        </is>
      </c>
      <c r="D581" t="n">
        <v>5</v>
      </c>
      <c r="E581" t="n">
        <v>0</v>
      </c>
      <c r="F581" t="n">
        <v>7</v>
      </c>
      <c r="G581" t="n">
        <v>5</v>
      </c>
      <c r="H581" t="n">
        <v>12</v>
      </c>
    </row>
    <row r="582">
      <c r="A582" t="inlineStr">
        <is>
          <t>Chira JUNIOR</t>
        </is>
      </c>
      <c r="B582" t="inlineStr">
        <is>
          <t>10/01</t>
        </is>
      </c>
      <c r="C582" t="inlineStr">
        <is>
          <t>BB</t>
        </is>
      </c>
      <c r="D582" t="n">
        <v>10</v>
      </c>
      <c r="E582" t="n">
        <v>10</v>
      </c>
      <c r="F582" t="n">
        <v>0</v>
      </c>
      <c r="G582" t="n">
        <v>20</v>
      </c>
      <c r="H582" t="n">
        <v>20</v>
      </c>
    </row>
    <row r="583">
      <c r="A583" t="inlineStr">
        <is>
          <t>Chira JUNIOR</t>
        </is>
      </c>
      <c r="B583" t="inlineStr">
        <is>
          <t>09/30</t>
        </is>
      </c>
      <c r="C583" t="inlineStr">
        <is>
          <t>MOUZ</t>
        </is>
      </c>
      <c r="D583" t="n">
        <v>6</v>
      </c>
      <c r="E583" t="n">
        <v>8</v>
      </c>
      <c r="F583" t="n">
        <v>0</v>
      </c>
      <c r="G583" t="n">
        <v>14</v>
      </c>
      <c r="H583" t="n">
        <v>14</v>
      </c>
    </row>
    <row r="584">
      <c r="A584" t="inlineStr">
        <is>
          <t>Chira JUNIOR</t>
        </is>
      </c>
      <c r="B584" t="inlineStr">
        <is>
          <t>09/27</t>
        </is>
      </c>
      <c r="C584" t="inlineStr">
        <is>
          <t>Na`Vi</t>
        </is>
      </c>
      <c r="D584" t="n">
        <v>3</v>
      </c>
      <c r="E584" t="n">
        <v>5</v>
      </c>
      <c r="F584" t="n">
        <v>7</v>
      </c>
      <c r="G584" t="n">
        <v>8</v>
      </c>
      <c r="H584" t="n">
        <v>15</v>
      </c>
    </row>
    <row r="585">
      <c r="A585" t="inlineStr">
        <is>
          <t>Chira JUNIOR</t>
        </is>
      </c>
      <c r="B585" t="inlineStr">
        <is>
          <t>09/26</t>
        </is>
      </c>
      <c r="C585" t="inlineStr">
        <is>
          <t>LGD</t>
        </is>
      </c>
      <c r="D585" t="n">
        <v>6</v>
      </c>
      <c r="E585" t="n">
        <v>13</v>
      </c>
      <c r="F585" t="n">
        <v>0</v>
      </c>
      <c r="G585" t="n">
        <v>19</v>
      </c>
      <c r="H585" t="n">
        <v>19</v>
      </c>
    </row>
    <row r="586">
      <c r="A586" t="inlineStr">
        <is>
          <t>Chira JUNIOR</t>
        </is>
      </c>
      <c r="B586" t="inlineStr">
        <is>
          <t>09/25</t>
        </is>
      </c>
      <c r="C586" t="inlineStr">
        <is>
          <t>AUR</t>
        </is>
      </c>
      <c r="D586" t="n">
        <v>4</v>
      </c>
      <c r="E586" t="n">
        <v>8</v>
      </c>
      <c r="F586" t="n">
        <v>6</v>
      </c>
      <c r="G586" t="n">
        <v>12</v>
      </c>
      <c r="H586" t="n">
        <v>18</v>
      </c>
    </row>
    <row r="587">
      <c r="A587" t="inlineStr">
        <is>
          <t>Malady</t>
        </is>
      </c>
      <c r="B587" t="inlineStr">
        <is>
          <t>10/28</t>
        </is>
      </c>
      <c r="C587" t="inlineStr">
        <is>
          <t>AI</t>
        </is>
      </c>
      <c r="D587" t="n">
        <v>1</v>
      </c>
      <c r="E587" t="n">
        <v>4</v>
      </c>
      <c r="F587" t="n">
        <v>4</v>
      </c>
      <c r="G587" t="n">
        <v>5</v>
      </c>
      <c r="H587" t="n">
        <v>9</v>
      </c>
    </row>
    <row r="588">
      <c r="A588" t="inlineStr">
        <is>
          <t>Malady</t>
        </is>
      </c>
      <c r="B588" t="inlineStr">
        <is>
          <t>10/26</t>
        </is>
      </c>
      <c r="C588" t="inlineStr">
        <is>
          <t>Liquid</t>
        </is>
      </c>
      <c r="D588" t="n">
        <v>3</v>
      </c>
      <c r="E588" t="n">
        <v>0</v>
      </c>
      <c r="F588" t="n">
        <v>6</v>
      </c>
      <c r="G588" t="n">
        <v>3</v>
      </c>
      <c r="H588" t="n">
        <v>9</v>
      </c>
    </row>
    <row r="589">
      <c r="A589" t="inlineStr">
        <is>
          <t>Malady</t>
        </is>
      </c>
      <c r="B589" t="inlineStr">
        <is>
          <t>10/25</t>
        </is>
      </c>
      <c r="C589" t="inlineStr">
        <is>
          <t>1WIN</t>
        </is>
      </c>
      <c r="D589" t="n">
        <v>3</v>
      </c>
      <c r="E589" t="n">
        <v>2</v>
      </c>
      <c r="F589" t="n">
        <v>0</v>
      </c>
      <c r="G589" t="n">
        <v>5</v>
      </c>
      <c r="H589" t="n">
        <v>5</v>
      </c>
    </row>
    <row r="590">
      <c r="A590" t="inlineStr">
        <is>
          <t>Malady</t>
        </is>
      </c>
      <c r="B590" t="inlineStr">
        <is>
          <t>10/24</t>
        </is>
      </c>
      <c r="C590" t="inlineStr">
        <is>
          <t>OG</t>
        </is>
      </c>
      <c r="D590" t="n">
        <v>10</v>
      </c>
      <c r="E590" t="n">
        <v>11</v>
      </c>
      <c r="F590" t="n">
        <v>0</v>
      </c>
      <c r="G590" t="n">
        <v>21</v>
      </c>
      <c r="H590" t="n">
        <v>21</v>
      </c>
    </row>
    <row r="591">
      <c r="A591" t="inlineStr">
        <is>
          <t>Malady</t>
        </is>
      </c>
      <c r="B591" t="inlineStr">
        <is>
          <t>10/22</t>
        </is>
      </c>
      <c r="C591" t="inlineStr">
        <is>
          <t>GL</t>
        </is>
      </c>
      <c r="D591" t="n">
        <v>3</v>
      </c>
      <c r="E591" t="n">
        <v>5</v>
      </c>
      <c r="F591" t="n">
        <v>0</v>
      </c>
      <c r="G591" t="n">
        <v>8</v>
      </c>
      <c r="H591" t="n">
        <v>8</v>
      </c>
    </row>
    <row r="592">
      <c r="A592" t="inlineStr">
        <is>
          <t>Malady</t>
        </is>
      </c>
      <c r="B592" t="inlineStr">
        <is>
          <t>10/11</t>
        </is>
      </c>
      <c r="C592" t="inlineStr">
        <is>
          <t>TS</t>
        </is>
      </c>
      <c r="D592" t="n">
        <v>1</v>
      </c>
      <c r="E592" t="n">
        <v>2</v>
      </c>
      <c r="F592" t="n">
        <v>1</v>
      </c>
      <c r="G592" t="n">
        <v>3</v>
      </c>
      <c r="H592" t="n">
        <v>4</v>
      </c>
    </row>
    <row r="593">
      <c r="A593" t="inlineStr">
        <is>
          <t>Malady</t>
        </is>
      </c>
      <c r="B593" t="inlineStr">
        <is>
          <t>10/10</t>
        </is>
      </c>
      <c r="C593" t="inlineStr">
        <is>
          <t>TS</t>
        </is>
      </c>
      <c r="D593" t="n">
        <v>3</v>
      </c>
      <c r="E593" t="n">
        <v>2</v>
      </c>
      <c r="F593" t="n">
        <v>0</v>
      </c>
      <c r="G593" t="n">
        <v>5</v>
      </c>
      <c r="H593" t="n">
        <v>5</v>
      </c>
    </row>
    <row r="594">
      <c r="A594" t="inlineStr">
        <is>
          <t>Malady</t>
        </is>
      </c>
      <c r="B594" t="inlineStr">
        <is>
          <t>10/08</t>
        </is>
      </c>
      <c r="C594" t="inlineStr">
        <is>
          <t>PARI</t>
        </is>
      </c>
      <c r="D594" t="n">
        <v>2</v>
      </c>
      <c r="E594" t="n">
        <v>4</v>
      </c>
      <c r="F594" t="n">
        <v>6</v>
      </c>
      <c r="G594" t="n">
        <v>6</v>
      </c>
      <c r="H594" t="n">
        <v>12</v>
      </c>
    </row>
    <row r="595">
      <c r="A595" t="inlineStr">
        <is>
          <t>Malady</t>
        </is>
      </c>
      <c r="B595" t="inlineStr">
        <is>
          <t>10/08</t>
        </is>
      </c>
      <c r="C595" t="inlineStr">
        <is>
          <t>LGD</t>
        </is>
      </c>
      <c r="D595" t="n">
        <v>6</v>
      </c>
      <c r="E595" t="n">
        <v>0</v>
      </c>
      <c r="F595" t="n">
        <v>4</v>
      </c>
      <c r="G595" t="n">
        <v>6</v>
      </c>
      <c r="H595" t="n">
        <v>10</v>
      </c>
    </row>
    <row r="596">
      <c r="A596" t="inlineStr">
        <is>
          <t>Malady</t>
        </is>
      </c>
      <c r="B596" t="inlineStr">
        <is>
          <t>10/03</t>
        </is>
      </c>
      <c r="C596" t="inlineStr">
        <is>
          <t>TS</t>
        </is>
      </c>
      <c r="D596" t="n">
        <v>1</v>
      </c>
      <c r="E596" t="n">
        <v>1</v>
      </c>
      <c r="F596" t="n">
        <v>4</v>
      </c>
      <c r="G596" t="n">
        <v>2</v>
      </c>
      <c r="H596" t="n">
        <v>6</v>
      </c>
    </row>
    <row r="597">
      <c r="A597" t="inlineStr">
        <is>
          <t>Malady</t>
        </is>
      </c>
      <c r="B597" t="inlineStr">
        <is>
          <t>10/01</t>
        </is>
      </c>
      <c r="C597" t="inlineStr">
        <is>
          <t>BB</t>
        </is>
      </c>
      <c r="D597" t="n">
        <v>2</v>
      </c>
      <c r="E597" t="n">
        <v>3</v>
      </c>
      <c r="F597" t="n">
        <v>0</v>
      </c>
      <c r="G597" t="n">
        <v>5</v>
      </c>
      <c r="H597" t="n">
        <v>5</v>
      </c>
    </row>
    <row r="598">
      <c r="A598" t="inlineStr">
        <is>
          <t>Malady</t>
        </is>
      </c>
      <c r="B598" t="inlineStr">
        <is>
          <t>09/30</t>
        </is>
      </c>
      <c r="C598" t="inlineStr">
        <is>
          <t>MOUZ</t>
        </is>
      </c>
      <c r="D598" t="n">
        <v>0</v>
      </c>
      <c r="E598" t="n">
        <v>7</v>
      </c>
      <c r="F598" t="n">
        <v>0</v>
      </c>
      <c r="G598" t="n">
        <v>7</v>
      </c>
      <c r="H598" t="n">
        <v>7</v>
      </c>
    </row>
    <row r="599">
      <c r="A599" t="inlineStr">
        <is>
          <t>Malady</t>
        </is>
      </c>
      <c r="B599" t="inlineStr">
        <is>
          <t>09/27</t>
        </is>
      </c>
      <c r="C599" t="inlineStr">
        <is>
          <t>Na`Vi</t>
        </is>
      </c>
      <c r="D599" t="n">
        <v>4</v>
      </c>
      <c r="E599" t="n">
        <v>4</v>
      </c>
      <c r="F599" t="n">
        <v>2</v>
      </c>
      <c r="G599" t="n">
        <v>8</v>
      </c>
      <c r="H599" t="n">
        <v>10</v>
      </c>
    </row>
    <row r="600">
      <c r="A600" t="inlineStr">
        <is>
          <t>Malady</t>
        </is>
      </c>
      <c r="B600" t="inlineStr">
        <is>
          <t>09/26</t>
        </is>
      </c>
      <c r="C600" t="inlineStr">
        <is>
          <t>LGD</t>
        </is>
      </c>
      <c r="D600" t="n">
        <v>5</v>
      </c>
      <c r="E600" t="n">
        <v>2</v>
      </c>
      <c r="F600" t="n">
        <v>0</v>
      </c>
      <c r="G600" t="n">
        <v>7</v>
      </c>
      <c r="H600" t="n">
        <v>7</v>
      </c>
    </row>
    <row r="601">
      <c r="A601" t="inlineStr">
        <is>
          <t>Malady</t>
        </is>
      </c>
      <c r="B601" t="inlineStr">
        <is>
          <t>09/25</t>
        </is>
      </c>
      <c r="C601" t="inlineStr">
        <is>
          <t>AUR</t>
        </is>
      </c>
      <c r="D601" t="n">
        <v>6</v>
      </c>
      <c r="E601" t="n">
        <v>7</v>
      </c>
      <c r="F601" t="n">
        <v>2</v>
      </c>
      <c r="G601" t="n">
        <v>13</v>
      </c>
      <c r="H601" t="n">
        <v>15</v>
      </c>
    </row>
    <row r="602">
      <c r="A602" t="inlineStr">
        <is>
          <t>Saksa</t>
        </is>
      </c>
      <c r="B602" t="inlineStr">
        <is>
          <t>10/28</t>
        </is>
      </c>
      <c r="C602" t="inlineStr">
        <is>
          <t>AI</t>
        </is>
      </c>
      <c r="D602" t="n">
        <v>4</v>
      </c>
      <c r="E602" t="n">
        <v>2</v>
      </c>
      <c r="F602" t="n">
        <v>4</v>
      </c>
      <c r="G602" t="n">
        <v>6</v>
      </c>
      <c r="H602" t="n">
        <v>10</v>
      </c>
    </row>
    <row r="603">
      <c r="A603" t="inlineStr">
        <is>
          <t>Saksa</t>
        </is>
      </c>
      <c r="B603" t="inlineStr">
        <is>
          <t>10/26</t>
        </is>
      </c>
      <c r="C603" t="inlineStr">
        <is>
          <t>Liquid</t>
        </is>
      </c>
      <c r="D603" t="n">
        <v>2</v>
      </c>
      <c r="E603" t="n">
        <v>2</v>
      </c>
      <c r="F603" t="n">
        <v>2</v>
      </c>
      <c r="G603" t="n">
        <v>4</v>
      </c>
      <c r="H603" t="n">
        <v>6</v>
      </c>
    </row>
    <row r="604">
      <c r="A604" t="inlineStr">
        <is>
          <t>Saksa</t>
        </is>
      </c>
      <c r="B604" t="inlineStr">
        <is>
          <t>10/25</t>
        </is>
      </c>
      <c r="C604" t="inlineStr">
        <is>
          <t>1WIN</t>
        </is>
      </c>
      <c r="D604" t="n">
        <v>8</v>
      </c>
      <c r="E604" t="n">
        <v>8</v>
      </c>
      <c r="F604" t="n">
        <v>0</v>
      </c>
      <c r="G604" t="n">
        <v>16</v>
      </c>
      <c r="H604" t="n">
        <v>16</v>
      </c>
    </row>
    <row r="605">
      <c r="A605" t="inlineStr">
        <is>
          <t>Saksa</t>
        </is>
      </c>
      <c r="B605" t="inlineStr">
        <is>
          <t>10/24</t>
        </is>
      </c>
      <c r="C605" t="inlineStr">
        <is>
          <t>OG</t>
        </is>
      </c>
      <c r="D605" t="n">
        <v>2</v>
      </c>
      <c r="E605" t="n">
        <v>4</v>
      </c>
      <c r="F605" t="n">
        <v>0</v>
      </c>
      <c r="G605" t="n">
        <v>6</v>
      </c>
      <c r="H605" t="n">
        <v>6</v>
      </c>
    </row>
    <row r="606">
      <c r="A606" t="inlineStr">
        <is>
          <t>Saksa</t>
        </is>
      </c>
      <c r="B606" t="inlineStr">
        <is>
          <t>10/22</t>
        </is>
      </c>
      <c r="C606" t="inlineStr">
        <is>
          <t>GL</t>
        </is>
      </c>
      <c r="D606" t="n">
        <v>5</v>
      </c>
      <c r="E606" t="n">
        <v>3</v>
      </c>
      <c r="F606" t="n">
        <v>0</v>
      </c>
      <c r="G606" t="n">
        <v>8</v>
      </c>
      <c r="H606" t="n">
        <v>8</v>
      </c>
    </row>
    <row r="607">
      <c r="A607" t="inlineStr">
        <is>
          <t>Saksa</t>
        </is>
      </c>
      <c r="B607" t="inlineStr">
        <is>
          <t>10/11</t>
        </is>
      </c>
      <c r="C607" t="inlineStr">
        <is>
          <t>TS</t>
        </is>
      </c>
      <c r="D607" t="n">
        <v>1</v>
      </c>
      <c r="E607" t="n">
        <v>4</v>
      </c>
      <c r="F607" t="n">
        <v>3</v>
      </c>
      <c r="G607" t="n">
        <v>5</v>
      </c>
      <c r="H607" t="n">
        <v>8</v>
      </c>
    </row>
    <row r="608">
      <c r="A608" t="inlineStr">
        <is>
          <t>Saksa</t>
        </is>
      </c>
      <c r="B608" t="inlineStr">
        <is>
          <t>10/10</t>
        </is>
      </c>
      <c r="C608" t="inlineStr">
        <is>
          <t>TS</t>
        </is>
      </c>
      <c r="D608" t="n">
        <v>5</v>
      </c>
      <c r="E608" t="n">
        <v>9</v>
      </c>
      <c r="F608" t="n">
        <v>0</v>
      </c>
      <c r="G608" t="n">
        <v>14</v>
      </c>
      <c r="H608" t="n">
        <v>14</v>
      </c>
    </row>
    <row r="609">
      <c r="A609" t="inlineStr">
        <is>
          <t>Saksa</t>
        </is>
      </c>
      <c r="B609" t="inlineStr">
        <is>
          <t>10/08</t>
        </is>
      </c>
      <c r="C609" t="inlineStr">
        <is>
          <t>PARI</t>
        </is>
      </c>
      <c r="D609" t="n">
        <v>6</v>
      </c>
      <c r="E609" t="n">
        <v>6</v>
      </c>
      <c r="F609" t="n">
        <v>3</v>
      </c>
      <c r="G609" t="n">
        <v>12</v>
      </c>
      <c r="H609" t="n">
        <v>15</v>
      </c>
    </row>
    <row r="610">
      <c r="A610" t="inlineStr">
        <is>
          <t>Saksa</t>
        </is>
      </c>
      <c r="B610" t="inlineStr">
        <is>
          <t>10/08</t>
        </is>
      </c>
      <c r="C610" t="inlineStr">
        <is>
          <t>LGD</t>
        </is>
      </c>
      <c r="D610" t="n">
        <v>6</v>
      </c>
      <c r="E610" t="n">
        <v>4</v>
      </c>
      <c r="F610" t="n">
        <v>2</v>
      </c>
      <c r="G610" t="n">
        <v>10</v>
      </c>
      <c r="H610" t="n">
        <v>12</v>
      </c>
    </row>
    <row r="611">
      <c r="A611" t="inlineStr">
        <is>
          <t>Saksa</t>
        </is>
      </c>
      <c r="B611" t="inlineStr">
        <is>
          <t>10/03</t>
        </is>
      </c>
      <c r="C611" t="inlineStr">
        <is>
          <t>TS</t>
        </is>
      </c>
      <c r="D611" t="n">
        <v>3</v>
      </c>
      <c r="E611" t="n">
        <v>5</v>
      </c>
      <c r="F611" t="n">
        <v>1</v>
      </c>
      <c r="G611" t="n">
        <v>8</v>
      </c>
      <c r="H611" t="n">
        <v>9</v>
      </c>
    </row>
    <row r="612">
      <c r="A612" t="inlineStr">
        <is>
          <t>Saksa</t>
        </is>
      </c>
      <c r="B612" t="inlineStr">
        <is>
          <t>10/01</t>
        </is>
      </c>
      <c r="C612" t="inlineStr">
        <is>
          <t>BB</t>
        </is>
      </c>
      <c r="D612" t="n">
        <v>5</v>
      </c>
      <c r="E612" t="n">
        <v>1</v>
      </c>
      <c r="F612" t="n">
        <v>0</v>
      </c>
      <c r="G612" t="n">
        <v>6</v>
      </c>
      <c r="H612" t="n">
        <v>6</v>
      </c>
    </row>
    <row r="613">
      <c r="A613" t="inlineStr">
        <is>
          <t>Saksa</t>
        </is>
      </c>
      <c r="B613" t="inlineStr">
        <is>
          <t>09/30</t>
        </is>
      </c>
      <c r="C613" t="inlineStr">
        <is>
          <t>MOUZ</t>
        </is>
      </c>
      <c r="D613" t="n">
        <v>4</v>
      </c>
      <c r="E613" t="n">
        <v>5</v>
      </c>
      <c r="F613" t="n">
        <v>0</v>
      </c>
      <c r="G613" t="n">
        <v>9</v>
      </c>
      <c r="H613" t="n">
        <v>9</v>
      </c>
    </row>
    <row r="614">
      <c r="A614" t="inlineStr">
        <is>
          <t>Saksa</t>
        </is>
      </c>
      <c r="B614" t="inlineStr">
        <is>
          <t>09/27</t>
        </is>
      </c>
      <c r="C614" t="inlineStr">
        <is>
          <t>Na`Vi</t>
        </is>
      </c>
      <c r="D614" t="n">
        <v>4</v>
      </c>
      <c r="E614" t="n">
        <v>4</v>
      </c>
      <c r="F614" t="n">
        <v>2</v>
      </c>
      <c r="G614" t="n">
        <v>8</v>
      </c>
      <c r="H614" t="n">
        <v>10</v>
      </c>
    </row>
    <row r="615">
      <c r="A615" t="inlineStr">
        <is>
          <t>Saksa</t>
        </is>
      </c>
      <c r="B615" t="inlineStr">
        <is>
          <t>09/26</t>
        </is>
      </c>
      <c r="C615" t="inlineStr">
        <is>
          <t>LGD</t>
        </is>
      </c>
      <c r="D615" t="n">
        <v>2</v>
      </c>
      <c r="E615" t="n">
        <v>5</v>
      </c>
      <c r="F615" t="n">
        <v>0</v>
      </c>
      <c r="G615" t="n">
        <v>7</v>
      </c>
      <c r="H615" t="n">
        <v>7</v>
      </c>
    </row>
    <row r="616">
      <c r="A616" t="inlineStr">
        <is>
          <t>Saksa</t>
        </is>
      </c>
      <c r="B616" t="inlineStr">
        <is>
          <t>09/25</t>
        </is>
      </c>
      <c r="C616" t="inlineStr">
        <is>
          <t>AUR</t>
        </is>
      </c>
      <c r="D616" t="n">
        <v>1</v>
      </c>
      <c r="E616" t="n">
        <v>4</v>
      </c>
      <c r="F616" t="n">
        <v>5</v>
      </c>
      <c r="G616" t="n">
        <v>5</v>
      </c>
      <c r="H616" t="n">
        <v>10</v>
      </c>
    </row>
    <row r="617">
      <c r="A617" t="inlineStr">
        <is>
          <t>watson</t>
        </is>
      </c>
      <c r="B617" t="inlineStr">
        <is>
          <t>10/28</t>
        </is>
      </c>
      <c r="C617" t="inlineStr">
        <is>
          <t>AI</t>
        </is>
      </c>
      <c r="D617" t="n">
        <v>13</v>
      </c>
      <c r="E617" t="n">
        <v>3</v>
      </c>
      <c r="F617" t="n">
        <v>12</v>
      </c>
      <c r="G617" t="n">
        <v>16</v>
      </c>
      <c r="H617" t="n">
        <v>28</v>
      </c>
    </row>
    <row r="618">
      <c r="A618" t="inlineStr">
        <is>
          <t>watson</t>
        </is>
      </c>
      <c r="B618" t="inlineStr">
        <is>
          <t>10/26</t>
        </is>
      </c>
      <c r="C618" t="inlineStr">
        <is>
          <t>Liquid</t>
        </is>
      </c>
      <c r="D618" t="n">
        <v>14</v>
      </c>
      <c r="E618" t="n">
        <v>6</v>
      </c>
      <c r="F618" t="n">
        <v>8</v>
      </c>
      <c r="G618" t="n">
        <v>20</v>
      </c>
      <c r="H618" t="n">
        <v>28</v>
      </c>
    </row>
    <row r="619">
      <c r="A619" t="inlineStr">
        <is>
          <t>watson</t>
        </is>
      </c>
      <c r="B619" t="inlineStr">
        <is>
          <t>10/25</t>
        </is>
      </c>
      <c r="C619" t="inlineStr">
        <is>
          <t>1WIN</t>
        </is>
      </c>
      <c r="D619" t="n">
        <v>14</v>
      </c>
      <c r="E619" t="n">
        <v>3</v>
      </c>
      <c r="F619" t="n">
        <v>0</v>
      </c>
      <c r="G619" t="n">
        <v>17</v>
      </c>
      <c r="H619" t="n">
        <v>17</v>
      </c>
    </row>
    <row r="620">
      <c r="A620" t="inlineStr">
        <is>
          <t>watson</t>
        </is>
      </c>
      <c r="B620" t="inlineStr">
        <is>
          <t>10/24</t>
        </is>
      </c>
      <c r="C620" t="inlineStr">
        <is>
          <t>OG</t>
        </is>
      </c>
      <c r="D620" t="n">
        <v>16</v>
      </c>
      <c r="E620" t="n">
        <v>22</v>
      </c>
      <c r="F620" t="n">
        <v>0</v>
      </c>
      <c r="G620" t="n">
        <v>38</v>
      </c>
      <c r="H620" t="n">
        <v>38</v>
      </c>
    </row>
    <row r="621">
      <c r="A621" t="inlineStr">
        <is>
          <t>watson</t>
        </is>
      </c>
      <c r="B621" t="inlineStr">
        <is>
          <t>10/22</t>
        </is>
      </c>
      <c r="C621" t="inlineStr">
        <is>
          <t>GL</t>
        </is>
      </c>
      <c r="D621" t="n">
        <v>6</v>
      </c>
      <c r="E621" t="n">
        <v>13</v>
      </c>
      <c r="F621" t="n">
        <v>0</v>
      </c>
      <c r="G621" t="n">
        <v>19</v>
      </c>
      <c r="H621" t="n">
        <v>19</v>
      </c>
    </row>
    <row r="622">
      <c r="A622" t="inlineStr">
        <is>
          <t>watson</t>
        </is>
      </c>
      <c r="B622" t="inlineStr">
        <is>
          <t>10/11</t>
        </is>
      </c>
      <c r="C622" t="inlineStr">
        <is>
          <t>TS</t>
        </is>
      </c>
      <c r="D622" t="n">
        <v>7</v>
      </c>
      <c r="E622" t="n">
        <v>10</v>
      </c>
      <c r="F622" t="n">
        <v>14</v>
      </c>
      <c r="G622" t="n">
        <v>17</v>
      </c>
      <c r="H622" t="n">
        <v>31</v>
      </c>
    </row>
    <row r="623">
      <c r="A623" t="inlineStr">
        <is>
          <t>watson</t>
        </is>
      </c>
      <c r="B623" t="inlineStr">
        <is>
          <t>10/10</t>
        </is>
      </c>
      <c r="C623" t="inlineStr">
        <is>
          <t>TS</t>
        </is>
      </c>
      <c r="D623" t="n">
        <v>19</v>
      </c>
      <c r="E623" t="n">
        <v>17</v>
      </c>
      <c r="F623" t="n">
        <v>0</v>
      </c>
      <c r="G623" t="n">
        <v>36</v>
      </c>
      <c r="H623" t="n">
        <v>36</v>
      </c>
    </row>
    <row r="624">
      <c r="A624" t="inlineStr">
        <is>
          <t>watson</t>
        </is>
      </c>
      <c r="B624" t="inlineStr">
        <is>
          <t>10/08</t>
        </is>
      </c>
      <c r="C624" t="inlineStr">
        <is>
          <t>PARI</t>
        </is>
      </c>
      <c r="D624" t="n">
        <v>6</v>
      </c>
      <c r="E624" t="n">
        <v>5</v>
      </c>
      <c r="F624" t="n">
        <v>21</v>
      </c>
      <c r="G624" t="n">
        <v>11</v>
      </c>
      <c r="H624" t="n">
        <v>32</v>
      </c>
    </row>
    <row r="625">
      <c r="A625" t="inlineStr">
        <is>
          <t>watson</t>
        </is>
      </c>
      <c r="B625" t="inlineStr">
        <is>
          <t>10/08</t>
        </is>
      </c>
      <c r="C625" t="inlineStr">
        <is>
          <t>LGD</t>
        </is>
      </c>
      <c r="D625" t="n">
        <v>10</v>
      </c>
      <c r="E625" t="n">
        <v>9</v>
      </c>
      <c r="F625" t="n">
        <v>10</v>
      </c>
      <c r="G625" t="n">
        <v>19</v>
      </c>
      <c r="H625" t="n">
        <v>29</v>
      </c>
    </row>
    <row r="626">
      <c r="A626" t="inlineStr">
        <is>
          <t>watson</t>
        </is>
      </c>
      <c r="B626" t="inlineStr">
        <is>
          <t>10/03</t>
        </is>
      </c>
      <c r="C626" t="inlineStr">
        <is>
          <t>TS</t>
        </is>
      </c>
      <c r="D626" t="n">
        <v>8</v>
      </c>
      <c r="E626" t="n">
        <v>2</v>
      </c>
      <c r="F626" t="n">
        <v>12</v>
      </c>
      <c r="G626" t="n">
        <v>10</v>
      </c>
      <c r="H626" t="n">
        <v>22</v>
      </c>
    </row>
    <row r="627">
      <c r="A627" t="inlineStr">
        <is>
          <t>watson</t>
        </is>
      </c>
      <c r="B627" t="inlineStr">
        <is>
          <t>10/01</t>
        </is>
      </c>
      <c r="C627" t="inlineStr">
        <is>
          <t>BB</t>
        </is>
      </c>
      <c r="D627" t="n">
        <v>12</v>
      </c>
      <c r="E627" t="n">
        <v>9</v>
      </c>
      <c r="F627" t="n">
        <v>0</v>
      </c>
      <c r="G627" t="n">
        <v>21</v>
      </c>
      <c r="H627" t="n">
        <v>21</v>
      </c>
    </row>
    <row r="628">
      <c r="A628" t="inlineStr">
        <is>
          <t>watson</t>
        </is>
      </c>
      <c r="B628" t="inlineStr">
        <is>
          <t>09/30</t>
        </is>
      </c>
      <c r="C628" t="inlineStr">
        <is>
          <t>MOUZ</t>
        </is>
      </c>
      <c r="D628" t="n">
        <v>10</v>
      </c>
      <c r="E628" t="n">
        <v>12</v>
      </c>
      <c r="F628" t="n">
        <v>0</v>
      </c>
      <c r="G628" t="n">
        <v>22</v>
      </c>
      <c r="H628" t="n">
        <v>22</v>
      </c>
    </row>
    <row r="629">
      <c r="A629" t="inlineStr">
        <is>
          <t>watson</t>
        </is>
      </c>
      <c r="B629" t="inlineStr">
        <is>
          <t>09/27</t>
        </is>
      </c>
      <c r="C629" t="inlineStr">
        <is>
          <t>Na`Vi</t>
        </is>
      </c>
      <c r="D629" t="n">
        <v>10</v>
      </c>
      <c r="E629" t="n">
        <v>12</v>
      </c>
      <c r="F629" t="n">
        <v>8</v>
      </c>
      <c r="G629" t="n">
        <v>22</v>
      </c>
      <c r="H629" t="n">
        <v>30</v>
      </c>
    </row>
    <row r="630">
      <c r="A630" t="inlineStr">
        <is>
          <t>watson</t>
        </is>
      </c>
      <c r="B630" t="inlineStr">
        <is>
          <t>09/26</t>
        </is>
      </c>
      <c r="C630" t="inlineStr">
        <is>
          <t>LGD</t>
        </is>
      </c>
      <c r="D630" t="n">
        <v>9</v>
      </c>
      <c r="E630" t="n">
        <v>12</v>
      </c>
      <c r="F630" t="n">
        <v>0</v>
      </c>
      <c r="G630" t="n">
        <v>21</v>
      </c>
      <c r="H630" t="n">
        <v>21</v>
      </c>
    </row>
    <row r="631">
      <c r="A631" t="inlineStr">
        <is>
          <t>watson</t>
        </is>
      </c>
      <c r="B631" t="inlineStr">
        <is>
          <t>09/25</t>
        </is>
      </c>
      <c r="C631" t="inlineStr">
        <is>
          <t>AUR</t>
        </is>
      </c>
      <c r="D631" t="n">
        <v>4</v>
      </c>
      <c r="E631" t="n">
        <v>4</v>
      </c>
      <c r="F631" t="n">
        <v>8</v>
      </c>
      <c r="G631" t="n">
        <v>8</v>
      </c>
      <c r="H631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1" customWidth="1" min="3" max="3"/>
    <col width="11" customWidth="1" min="4" max="4"/>
    <col width="11" customWidth="1" min="5" max="5"/>
    <col width="9" customWidth="1" min="6" max="6"/>
    <col width="18" customWidth="1" min="7" max="7"/>
  </cols>
  <sheetData>
    <row r="1">
      <c r="A1" s="8" t="inlineStr">
        <is>
          <t>Match</t>
        </is>
      </c>
      <c r="B1" s="8" t="inlineStr">
        <is>
          <t>TP player name</t>
        </is>
      </c>
      <c r="C1" s="8" t="inlineStr">
        <is>
          <t>Map 1 median</t>
        </is>
      </c>
      <c r="D1" s="8" t="inlineStr">
        <is>
          <t>Map 2 median</t>
        </is>
      </c>
      <c r="E1" s="8" t="inlineStr">
        <is>
          <t>Map 3 median</t>
        </is>
      </c>
      <c r="F1" s="8" t="inlineStr">
        <is>
          <t>Rungs (M1)</t>
        </is>
      </c>
      <c r="G1" s="8" t="inlineStr">
        <is>
          <t>Matched PID</t>
        </is>
      </c>
    </row>
    <row r="2">
      <c r="A2" t="inlineStr">
        <is>
          <t>DOTA · TS vs LEGION</t>
        </is>
      </c>
      <c r="B2" t="inlineStr">
        <is>
          <t>batyuk</t>
        </is>
      </c>
      <c r="C2" t="n">
        <v>5.28</v>
      </c>
      <c r="D2" t="n">
        <v>5.28</v>
      </c>
      <c r="F2" t="n">
        <v>3</v>
      </c>
    </row>
    <row r="3">
      <c r="A3" t="inlineStr">
        <is>
          <t>DOTA · TS vs LEGION</t>
        </is>
      </c>
      <c r="B3" t="inlineStr">
        <is>
          <t>darklord</t>
        </is>
      </c>
      <c r="C3" t="n">
        <v>5.98</v>
      </c>
      <c r="D3" t="n">
        <v>5.98</v>
      </c>
      <c r="F3" t="n">
        <v>4</v>
      </c>
    </row>
    <row r="4">
      <c r="A4" t="inlineStr">
        <is>
          <t>DOTA · TS vs LEGION</t>
        </is>
      </c>
      <c r="B4" t="inlineStr">
        <is>
          <t>larl</t>
        </is>
      </c>
      <c r="C4" t="n">
        <v>7.65</v>
      </c>
      <c r="D4" t="n">
        <v>7.65</v>
      </c>
      <c r="F4" t="n">
        <v>4</v>
      </c>
      <c r="G4" t="inlineStr">
        <is>
          <t>3nhf9uupulsq9gw</t>
        </is>
      </c>
    </row>
    <row r="5">
      <c r="A5" t="inlineStr">
        <is>
          <t>DOTA · TS vs LEGION</t>
        </is>
      </c>
      <c r="B5" t="inlineStr">
        <is>
          <t>not me</t>
        </is>
      </c>
      <c r="C5" t="n">
        <v>4.35</v>
      </c>
      <c r="D5" t="n">
        <v>4.35</v>
      </c>
      <c r="F5" t="n">
        <v>3</v>
      </c>
      <c r="G5" t="inlineStr">
        <is>
          <t>eu78tcmea0duae0</t>
        </is>
      </c>
    </row>
    <row r="6">
      <c r="A6" t="inlineStr">
        <is>
          <t>DOTA · TS vs LEGION</t>
        </is>
      </c>
      <c r="B6" t="inlineStr">
        <is>
          <t>rue</t>
        </is>
      </c>
      <c r="C6" t="n">
        <v>2.56</v>
      </c>
      <c r="D6" t="n">
        <v>2.56</v>
      </c>
      <c r="F6" t="n">
        <v>2</v>
      </c>
      <c r="G6" t="inlineStr">
        <is>
          <t>sw7j8rqyn0xsj7y</t>
        </is>
      </c>
    </row>
    <row r="7">
      <c r="A7" t="inlineStr">
        <is>
          <t>DOTA · TS vs LEGION</t>
        </is>
      </c>
      <c r="B7" t="inlineStr">
        <is>
          <t>saberlight</t>
        </is>
      </c>
      <c r="C7" t="n">
        <v>4.7</v>
      </c>
      <c r="D7" t="n">
        <v>4.7</v>
      </c>
      <c r="F7" t="n">
        <v>3</v>
      </c>
      <c r="G7" t="inlineStr">
        <is>
          <t>pd8esajdvd6l5ul</t>
        </is>
      </c>
    </row>
    <row r="8">
      <c r="A8" t="inlineStr">
        <is>
          <t>DOTA · TS vs LEGION</t>
        </is>
      </c>
      <c r="B8" t="inlineStr">
        <is>
          <t>stojkov</t>
        </is>
      </c>
      <c r="C8" t="n">
        <v>5.98</v>
      </c>
      <c r="D8" t="n">
        <v>5.98</v>
      </c>
      <c r="F8" t="n">
        <v>4</v>
      </c>
      <c r="G8" t="inlineStr">
        <is>
          <t>e8li27evib4y4db</t>
        </is>
      </c>
    </row>
    <row r="9">
      <c r="A9" t="inlineStr">
        <is>
          <t>DOTA · TS vs LEGION</t>
        </is>
      </c>
      <c r="B9" t="inlineStr">
        <is>
          <t>xsvampire</t>
        </is>
      </c>
      <c r="C9" t="n">
        <v>2.63</v>
      </c>
      <c r="D9" t="n">
        <v>2.63</v>
      </c>
      <c r="F9" t="n">
        <v>2</v>
      </c>
    </row>
    <row r="10">
      <c r="A10" t="inlineStr">
        <is>
          <t>DOTA · TS vs LEGION</t>
        </is>
      </c>
      <c r="B10" t="inlineStr">
        <is>
          <t>yatoro</t>
        </is>
      </c>
      <c r="C10" t="n">
        <v>9.710000000000001</v>
      </c>
      <c r="D10" t="n">
        <v>9.710000000000001</v>
      </c>
      <c r="F10" t="n">
        <v>5</v>
      </c>
      <c r="G10" t="inlineStr">
        <is>
          <t>7i0n30c69c9zmve</t>
        </is>
      </c>
    </row>
    <row r="11">
      <c r="A11" t="inlineStr">
        <is>
          <t>DOTA · PARI vs TY</t>
        </is>
      </c>
      <c r="B11" t="inlineStr">
        <is>
          <t>9class</t>
        </is>
      </c>
      <c r="C11" t="n">
        <v>3.11</v>
      </c>
      <c r="D11" t="n">
        <v>3.1</v>
      </c>
      <c r="F11" t="n">
        <v>2</v>
      </c>
      <c r="G11" t="inlineStr">
        <is>
          <t>p48p2vywpenq4iz</t>
        </is>
      </c>
    </row>
    <row r="12">
      <c r="A12" t="inlineStr">
        <is>
          <t>DOTA · PARI vs TY</t>
        </is>
      </c>
      <c r="B12" t="inlineStr">
        <is>
          <t>atf</t>
        </is>
      </c>
      <c r="C12" t="n">
        <v>6.08</v>
      </c>
      <c r="D12" t="n">
        <v>6.08</v>
      </c>
      <c r="F12" t="n">
        <v>4</v>
      </c>
      <c r="G12" t="inlineStr">
        <is>
          <t>gjtmq8fbk0gya2i</t>
        </is>
      </c>
    </row>
    <row r="13">
      <c r="A13" t="inlineStr">
        <is>
          <t>DOTA · PARI vs TY</t>
        </is>
      </c>
      <c r="B13" t="inlineStr">
        <is>
          <t>chira_junior</t>
        </is>
      </c>
      <c r="C13" t="n">
        <v>5.7</v>
      </c>
      <c r="D13" t="n">
        <v>5.7</v>
      </c>
      <c r="F13" t="n">
        <v>4</v>
      </c>
    </row>
    <row r="14">
      <c r="A14" t="inlineStr">
        <is>
          <t>DOTA · PARI vs TY</t>
        </is>
      </c>
      <c r="B14" t="inlineStr">
        <is>
          <t>dukalis</t>
        </is>
      </c>
      <c r="F14" t="n">
        <v>1</v>
      </c>
      <c r="G14" t="inlineStr">
        <is>
          <t>38c4z9ycctww8gl</t>
        </is>
      </c>
    </row>
    <row r="15">
      <c r="A15" t="inlineStr">
        <is>
          <t>DOTA · PARI vs TY</t>
        </is>
      </c>
      <c r="B15" t="inlineStr">
        <is>
          <t>malady</t>
        </is>
      </c>
      <c r="C15" t="n">
        <v>2.51</v>
      </c>
      <c r="F15" t="n">
        <v>2</v>
      </c>
      <c r="G15" t="inlineStr">
        <is>
          <t>0ajkyqw3r0k1f5j</t>
        </is>
      </c>
    </row>
    <row r="16">
      <c r="A16" t="inlineStr">
        <is>
          <t>DOTA · PARI vs TY</t>
        </is>
      </c>
      <c r="B16" t="inlineStr">
        <is>
          <t>no[o]ne-</t>
        </is>
      </c>
      <c r="C16" t="n">
        <v>5.84</v>
      </c>
      <c r="D16" t="n">
        <v>5.83</v>
      </c>
      <c r="F16" t="n">
        <v>4</v>
      </c>
    </row>
    <row r="17">
      <c r="A17" t="inlineStr">
        <is>
          <t>DOTA · PARI vs TY</t>
        </is>
      </c>
      <c r="B17" t="inlineStr">
        <is>
          <t>noticed</t>
        </is>
      </c>
      <c r="C17" t="n">
        <v>4.03</v>
      </c>
      <c r="D17" t="n">
        <v>4.02</v>
      </c>
      <c r="F17" t="n">
        <v>2</v>
      </c>
      <c r="G17" t="inlineStr">
        <is>
          <t>hkpy2i1q2cf4qrd</t>
        </is>
      </c>
    </row>
    <row r="18">
      <c r="A18" t="inlineStr">
        <is>
          <t>DOTA · PARI vs TY</t>
        </is>
      </c>
      <c r="B18" t="inlineStr">
        <is>
          <t>saksa</t>
        </is>
      </c>
      <c r="C18" t="n">
        <v>2.82</v>
      </c>
      <c r="D18" t="n">
        <v>2.82</v>
      </c>
      <c r="F18" t="n">
        <v>2</v>
      </c>
      <c r="G18" t="inlineStr">
        <is>
          <t>b2idu6d2bllmgsq</t>
        </is>
      </c>
    </row>
    <row r="19">
      <c r="A19" t="inlineStr">
        <is>
          <t>DOTA · PARI vs TY</t>
        </is>
      </c>
      <c r="B19" t="inlineStr">
        <is>
          <t>satanic</t>
        </is>
      </c>
      <c r="C19" t="n">
        <v>8.18</v>
      </c>
      <c r="D19" t="n">
        <v>8.18</v>
      </c>
      <c r="F19" t="n">
        <v>4</v>
      </c>
      <c r="G19" t="inlineStr">
        <is>
          <t>s178rxweg2uixdf</t>
        </is>
      </c>
    </row>
    <row r="20">
      <c r="A20" t="inlineStr">
        <is>
          <t>DOTA · PARI vs TY</t>
        </is>
      </c>
      <c r="B20" t="inlineStr">
        <is>
          <t>watson</t>
        </is>
      </c>
      <c r="C20" t="n">
        <v>7.32</v>
      </c>
      <c r="D20" t="n">
        <v>7.3</v>
      </c>
      <c r="F20" t="n">
        <v>4</v>
      </c>
      <c r="G20" t="inlineStr">
        <is>
          <t>sm63cqd6f6fdapn</t>
        </is>
      </c>
    </row>
    <row r="21">
      <c r="A21" t="inlineStr">
        <is>
          <t>DOTA · OG vs GL</t>
        </is>
      </c>
      <c r="B21" t="inlineStr">
        <is>
          <t>bignum</t>
        </is>
      </c>
      <c r="C21" t="n">
        <v>3.25</v>
      </c>
      <c r="D21" t="n">
        <v>3.25</v>
      </c>
      <c r="F21" t="n">
        <v>2</v>
      </c>
      <c r="G21" t="inlineStr">
        <is>
          <t>qviujqdmb4jzi0q</t>
        </is>
      </c>
    </row>
    <row r="22">
      <c r="A22" t="inlineStr">
        <is>
          <t>DOTA · OG vs GL</t>
        </is>
      </c>
      <c r="B22" t="inlineStr">
        <is>
          <t>fayde</t>
        </is>
      </c>
      <c r="C22" t="n">
        <v>4.33</v>
      </c>
      <c r="D22" t="n">
        <v>4.33</v>
      </c>
      <c r="F22" t="n">
        <v>3</v>
      </c>
      <c r="G22" t="inlineStr">
        <is>
          <t>7f340lwfa48ats4</t>
        </is>
      </c>
    </row>
    <row r="23">
      <c r="A23" t="inlineStr">
        <is>
          <t>DOTA · OG vs GL</t>
        </is>
      </c>
      <c r="B23" t="inlineStr">
        <is>
          <t>natsumi</t>
        </is>
      </c>
      <c r="C23" t="n">
        <v>6.32</v>
      </c>
      <c r="D23" t="n">
        <v>6.32</v>
      </c>
      <c r="F23" t="n">
        <v>4</v>
      </c>
    </row>
    <row r="24">
      <c r="A24" t="inlineStr">
        <is>
          <t>DOTA · OG vs GL</t>
        </is>
      </c>
      <c r="B24" t="inlineStr">
        <is>
          <t>onejey</t>
        </is>
      </c>
      <c r="C24" t="n">
        <v>3.17</v>
      </c>
      <c r="D24" t="n">
        <v>3.17</v>
      </c>
      <c r="F24" t="n">
        <v>2</v>
      </c>
      <c r="G24" t="inlineStr">
        <is>
          <t>gf5trr3nqlr6rzi</t>
        </is>
      </c>
    </row>
    <row r="25">
      <c r="A25" t="inlineStr">
        <is>
          <t>DOTA · OG vs GL</t>
        </is>
      </c>
      <c r="B25" t="inlineStr">
        <is>
          <t>rcy</t>
        </is>
      </c>
      <c r="C25" t="n">
        <v>6.57</v>
      </c>
      <c r="D25" t="n">
        <v>6.57</v>
      </c>
      <c r="F25" t="n">
        <v>4</v>
      </c>
      <c r="G25" t="inlineStr">
        <is>
          <t>3zaze8op521xnc4</t>
        </is>
      </c>
    </row>
    <row r="26">
      <c r="A26" t="inlineStr">
        <is>
          <t>DOTA · OG vs GL</t>
        </is>
      </c>
      <c r="B26" t="inlineStr">
        <is>
          <t>skem</t>
        </is>
      </c>
      <c r="C26" t="n">
        <v>2.81</v>
      </c>
      <c r="D26" t="n">
        <v>2.81</v>
      </c>
      <c r="F26" t="n">
        <v>2</v>
      </c>
      <c r="G26" t="inlineStr">
        <is>
          <t>327bydu6uqe51dl</t>
        </is>
      </c>
    </row>
    <row r="27">
      <c r="A27" t="inlineStr">
        <is>
          <t>DOTA · OG vs GL</t>
        </is>
      </c>
      <c r="B27" t="inlineStr">
        <is>
          <t>speeed</t>
        </is>
      </c>
      <c r="C27" t="n">
        <v>2.53</v>
      </c>
      <c r="D27" t="n">
        <v>2.53</v>
      </c>
      <c r="F27" t="n">
        <v>2</v>
      </c>
      <c r="G27" t="inlineStr">
        <is>
          <t>t3b3k5ym37f128b</t>
        </is>
      </c>
    </row>
    <row r="28">
      <c r="A28" t="inlineStr">
        <is>
          <t>DOTA · OG vs GL</t>
        </is>
      </c>
      <c r="B28" t="inlineStr">
        <is>
          <t>topson</t>
        </is>
      </c>
      <c r="C28" t="n">
        <v>6.36</v>
      </c>
      <c r="D28" t="n">
        <v>6.36</v>
      </c>
      <c r="F28" t="n">
        <v>3</v>
      </c>
      <c r="G28" t="inlineStr">
        <is>
          <t>c9666oyxnrvurur</t>
        </is>
      </c>
    </row>
    <row r="29">
      <c r="A29" t="inlineStr">
        <is>
          <t>DOTA · OG vs GL</t>
        </is>
      </c>
      <c r="B29" t="inlineStr">
        <is>
          <t>triplesss</t>
        </is>
      </c>
      <c r="C29" t="n">
        <v>5.52</v>
      </c>
      <c r="D29" t="n">
        <v>5.52</v>
      </c>
      <c r="F29" t="n">
        <v>3</v>
      </c>
    </row>
    <row r="30">
      <c r="A30" t="inlineStr">
        <is>
          <t>DOTA · OG vs GL</t>
        </is>
      </c>
      <c r="B30" t="inlineStr">
        <is>
          <t>yuma</t>
        </is>
      </c>
      <c r="C30" t="n">
        <v>6.81</v>
      </c>
      <c r="D30" t="n">
        <v>6.81</v>
      </c>
      <c r="F30" t="n">
        <v>4</v>
      </c>
      <c r="G30" t="inlineStr">
        <is>
          <t>388xfoz6m2jbt95</t>
        </is>
      </c>
    </row>
    <row r="31">
      <c r="A31" t="inlineStr">
        <is>
          <t>LOL · KC vs CFO</t>
        </is>
      </c>
      <c r="B31" t="inlineStr">
        <is>
          <t>busio</t>
        </is>
      </c>
      <c r="F31" t="n">
        <v>1</v>
      </c>
      <c r="G31" t="inlineStr">
        <is>
          <t>s5zw84wcumkore8</t>
        </is>
      </c>
    </row>
    <row r="32">
      <c r="A32" t="inlineStr">
        <is>
          <t>LOL · KC vs CFO</t>
        </is>
      </c>
      <c r="B32" t="inlineStr">
        <is>
          <t>caliste</t>
        </is>
      </c>
      <c r="C32" t="n">
        <v>4.81</v>
      </c>
      <c r="F32" t="n">
        <v>3</v>
      </c>
      <c r="G32" t="inlineStr">
        <is>
          <t>60n3jocjohvthia</t>
        </is>
      </c>
    </row>
    <row r="33">
      <c r="A33" t="inlineStr">
        <is>
          <t>LOL · KC vs CFO</t>
        </is>
      </c>
      <c r="B33" t="inlineStr">
        <is>
          <t>canna</t>
        </is>
      </c>
      <c r="C33" t="n">
        <v>2.88</v>
      </c>
      <c r="F33" t="n">
        <v>3</v>
      </c>
      <c r="G33" t="inlineStr">
        <is>
          <t>5h8ktthuwylbro2</t>
        </is>
      </c>
    </row>
    <row r="34">
      <c r="A34" t="inlineStr">
        <is>
          <t>LOL · KC vs CFO</t>
        </is>
      </c>
      <c r="B34" t="inlineStr">
        <is>
          <t>doggo</t>
        </is>
      </c>
      <c r="C34" t="n">
        <v>2.92</v>
      </c>
      <c r="F34" t="n">
        <v>3</v>
      </c>
      <c r="G34" t="inlineStr">
        <is>
          <t>a5wl3rb1ss2ow7n</t>
        </is>
      </c>
    </row>
    <row r="35">
      <c r="A35" t="inlineStr">
        <is>
          <t>LOL · KC vs CFO</t>
        </is>
      </c>
      <c r="B35" t="inlineStr">
        <is>
          <t>kino</t>
        </is>
      </c>
      <c r="F35" t="n">
        <v>1</v>
      </c>
    </row>
    <row r="36">
      <c r="A36" t="inlineStr">
        <is>
          <t>LOL · KC vs CFO</t>
        </is>
      </c>
      <c r="B36" t="inlineStr">
        <is>
          <t>kyeahoo</t>
        </is>
      </c>
      <c r="C36" t="n">
        <v>3.5</v>
      </c>
      <c r="F36" t="n">
        <v>3</v>
      </c>
      <c r="G36" t="inlineStr">
        <is>
          <t>cp4ibkwui10xeyj</t>
        </is>
      </c>
    </row>
    <row r="37">
      <c r="A37" t="inlineStr">
        <is>
          <t>LOL · KC vs CFO</t>
        </is>
      </c>
      <c r="B37" t="inlineStr">
        <is>
          <t>pout</t>
        </is>
      </c>
      <c r="C37" t="n">
        <v>2.1</v>
      </c>
      <c r="F37" t="n">
        <v>3</v>
      </c>
      <c r="G37" t="inlineStr">
        <is>
          <t>tn5wihneq593t21</t>
        </is>
      </c>
    </row>
    <row r="38">
      <c r="A38" t="inlineStr">
        <is>
          <t>LOL · KC vs CFO</t>
        </is>
      </c>
      <c r="B38" t="inlineStr">
        <is>
          <t>rest</t>
        </is>
      </c>
      <c r="C38" t="n">
        <v>1.5</v>
      </c>
      <c r="F38" t="n">
        <v>3</v>
      </c>
      <c r="G38" t="inlineStr">
        <is>
          <t>53mtwbqgfk1n5zk</t>
        </is>
      </c>
    </row>
    <row r="39">
      <c r="A39" t="inlineStr">
        <is>
          <t>LOL · KC vs CFO</t>
        </is>
      </c>
      <c r="B39" t="inlineStr">
        <is>
          <t>shad0w</t>
        </is>
      </c>
      <c r="C39" t="n">
        <v>1.88</v>
      </c>
      <c r="F39" t="n">
        <v>3</v>
      </c>
      <c r="G39" t="inlineStr">
        <is>
          <t>ko4ayhltzyln940</t>
        </is>
      </c>
    </row>
    <row r="40">
      <c r="A40" t="inlineStr">
        <is>
          <t>LOL · KC vs CFO</t>
        </is>
      </c>
      <c r="B40" t="inlineStr">
        <is>
          <t>yike</t>
        </is>
      </c>
      <c r="C40" t="n">
        <v>3.78</v>
      </c>
      <c r="F40" t="n">
        <v>3</v>
      </c>
      <c r="G40" t="inlineStr">
        <is>
          <t>rfespsq7mcurckt</t>
        </is>
      </c>
    </row>
    <row r="41">
      <c r="A41" t="inlineStr">
        <is>
          <t>LOL · TES vs BLG</t>
        </is>
      </c>
      <c r="B41" t="inlineStr">
        <is>
          <t>369</t>
        </is>
      </c>
      <c r="C41" t="n">
        <v>1.93</v>
      </c>
      <c r="F41" t="n">
        <v>3</v>
      </c>
      <c r="G41" t="inlineStr">
        <is>
          <t>d5dp09jubk87gzq</t>
        </is>
      </c>
    </row>
    <row r="42">
      <c r="A42" t="inlineStr">
        <is>
          <t>LOL · TES vs BLG</t>
        </is>
      </c>
      <c r="B42" t="inlineStr">
        <is>
          <t>bin</t>
        </is>
      </c>
      <c r="C42" t="n">
        <v>2.75</v>
      </c>
      <c r="F42" t="n">
        <v>3</v>
      </c>
      <c r="G42" t="inlineStr">
        <is>
          <t>3x2ns60902wytr5</t>
        </is>
      </c>
    </row>
    <row r="43">
      <c r="A43" t="inlineStr">
        <is>
          <t>LOL · TES vs BLG</t>
        </is>
      </c>
      <c r="B43" t="inlineStr">
        <is>
          <t>creme</t>
        </is>
      </c>
      <c r="C43" t="n">
        <v>2.27</v>
      </c>
      <c r="F43" t="n">
        <v>3</v>
      </c>
      <c r="G43" t="inlineStr">
        <is>
          <t>2lm5kmu2jy1q4aj</t>
        </is>
      </c>
    </row>
    <row r="44">
      <c r="A44" t="inlineStr">
        <is>
          <t>LOL · TES vs BLG</t>
        </is>
      </c>
      <c r="B44" t="inlineStr">
        <is>
          <t>jackeylove</t>
        </is>
      </c>
      <c r="C44" t="n">
        <v>2.64</v>
      </c>
      <c r="F44" t="n">
        <v>3</v>
      </c>
      <c r="G44" t="inlineStr">
        <is>
          <t>0hu7hmd8ldnn97r</t>
        </is>
      </c>
    </row>
    <row r="45">
      <c r="A45" t="inlineStr">
        <is>
          <t>LOL · TES vs BLG</t>
        </is>
      </c>
      <c r="B45" t="inlineStr">
        <is>
          <t>knight</t>
        </is>
      </c>
      <c r="C45" t="n">
        <v>5.11</v>
      </c>
      <c r="F45" t="n">
        <v>3</v>
      </c>
      <c r="G45" t="inlineStr">
        <is>
          <t>n4f7lv5wvxndbnw</t>
        </is>
      </c>
    </row>
    <row r="46">
      <c r="A46" t="inlineStr">
        <is>
          <t>LOL · TES vs BLG</t>
        </is>
      </c>
      <c r="B46" t="inlineStr">
        <is>
          <t>on</t>
        </is>
      </c>
      <c r="F46" t="n">
        <v>1</v>
      </c>
      <c r="G46" t="inlineStr">
        <is>
          <t>rxzjxi7ziezffrs</t>
        </is>
      </c>
    </row>
    <row r="47">
      <c r="A47" t="inlineStr">
        <is>
          <t>LOL · TES vs BLG</t>
        </is>
      </c>
      <c r="B47" t="inlineStr">
        <is>
          <t>tian</t>
        </is>
      </c>
      <c r="C47" t="n">
        <v>2.07</v>
      </c>
      <c r="F47" t="n">
        <v>3</v>
      </c>
    </row>
    <row r="48">
      <c r="A48" t="inlineStr">
        <is>
          <t>LOL · TES vs BLG</t>
        </is>
      </c>
      <c r="B48" t="inlineStr">
        <is>
          <t>viper</t>
        </is>
      </c>
      <c r="C48" t="n">
        <v>4.34</v>
      </c>
      <c r="F48" t="n">
        <v>3</v>
      </c>
      <c r="G48" t="inlineStr">
        <is>
          <t>ik18oe6e112nifa</t>
        </is>
      </c>
    </row>
    <row r="49">
      <c r="A49" t="inlineStr">
        <is>
          <t>LOL · TES vs BLG</t>
        </is>
      </c>
      <c r="B49" t="inlineStr">
        <is>
          <t>xun</t>
        </is>
      </c>
      <c r="C49" t="n">
        <v>3.5</v>
      </c>
      <c r="F49" t="n">
        <v>3</v>
      </c>
      <c r="G49" t="inlineStr">
        <is>
          <t>3565cqfb2f3cq21</t>
        </is>
      </c>
    </row>
    <row r="50">
      <c r="A50" t="inlineStr">
        <is>
          <t>LOL · TES vs BLG</t>
        </is>
      </c>
      <c r="B50" t="inlineStr">
        <is>
          <t>zhuo</t>
        </is>
      </c>
      <c r="F5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3" customWidth="1" min="4" max="4"/>
    <col width="14" customWidth="1" min="5" max="5"/>
    <col width="6" customWidth="1" min="6" max="6"/>
    <col width="7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7" customWidth="1" min="14" max="14"/>
    <col width="7" customWidth="1" min="15" max="15"/>
    <col width="8" customWidth="1" min="16" max="16"/>
  </cols>
  <sheetData>
    <row r="1">
      <c r="A1" s="8" t="inlineStr">
        <is>
          <t>Logged (UTC)</t>
        </is>
      </c>
      <c r="B1" s="8" t="inlineStr">
        <is>
          <t>Slate</t>
        </is>
      </c>
      <c r="C1" s="8" t="inlineStr">
        <is>
          <t>Match</t>
        </is>
      </c>
      <c r="D1" s="8" t="inlineStr">
        <is>
          <t>Player</t>
        </is>
      </c>
      <c r="E1" s="8" t="inlineStr">
        <is>
          <t>Market</t>
        </is>
      </c>
      <c r="F1" s="8" t="inlineStr">
        <is>
          <t>Line</t>
        </is>
      </c>
      <c r="G1" s="8" t="inlineStr">
        <is>
          <t>Proj</t>
        </is>
      </c>
      <c r="H1" s="8" t="inlineStr">
        <is>
          <t>P(over)</t>
        </is>
      </c>
      <c r="I1" s="8" t="inlineStr">
        <is>
          <t>Naive proj</t>
        </is>
      </c>
      <c r="J1" s="8" t="inlineStr">
        <is>
          <t>P(over) naive</t>
        </is>
      </c>
      <c r="K1" s="8" t="inlineStr">
        <is>
          <t>P(win M1)</t>
        </is>
      </c>
      <c r="L1" s="8" t="inlineStr">
        <is>
          <t>Map win q</t>
        </is>
      </c>
      <c r="M1" s="8" t="inlineStr">
        <is>
          <t>TP book median</t>
        </is>
      </c>
      <c r="N1" s="8" t="inlineStr">
        <is>
          <t>PF L10</t>
        </is>
      </c>
      <c r="O1" s="8" t="inlineStr">
        <is>
          <t>Actual</t>
        </is>
      </c>
      <c r="P1" s="8" t="inlineStr">
        <is>
          <t>Result</t>
        </is>
      </c>
    </row>
    <row r="2">
      <c r="A2" t="inlineStr">
        <is>
          <t>2026-10-29 05:19</t>
        </is>
      </c>
      <c r="B2" t="inlineStr">
        <is>
          <t>2026-10-29</t>
        </is>
      </c>
      <c r="C2" t="inlineStr">
        <is>
          <t>DOTA · OG vs GL</t>
        </is>
      </c>
      <c r="D2" t="inlineStr">
        <is>
          <t>Bignum</t>
        </is>
      </c>
      <c r="E2" t="inlineStr">
        <is>
          <t>Maps 1-2 Kills</t>
        </is>
      </c>
      <c r="F2" t="n">
        <v>6.5</v>
      </c>
      <c r="G2" t="n">
        <v>8.300000000000001</v>
      </c>
      <c r="H2" s="6" t="n">
        <v>0.6644</v>
      </c>
      <c r="I2" t="n">
        <v>8.6</v>
      </c>
      <c r="J2" s="6" t="n">
        <v>0.6865</v>
      </c>
      <c r="K2" s="6" t="n">
        <v>0.4667</v>
      </c>
      <c r="L2" s="6" t="n">
        <v>0.53</v>
      </c>
      <c r="M2" t="n">
        <v>6.51</v>
      </c>
      <c r="N2" s="6" t="n">
        <v>0.7</v>
      </c>
      <c r="O2" s="10" t="n"/>
      <c r="P2">
        <f>IF(O2="","",IF(O2&gt;F2,"OVER",IF(O2&lt;F2,"UNDER","PUSH")))</f>
        <v/>
      </c>
    </row>
    <row r="3">
      <c r="A3" t="inlineStr">
        <is>
          <t>2026-10-29 05:19</t>
        </is>
      </c>
      <c r="B3" t="inlineStr">
        <is>
          <t>2026-10-29</t>
        </is>
      </c>
      <c r="C3" t="inlineStr">
        <is>
          <t>DOTA · OG vs GL</t>
        </is>
      </c>
      <c r="D3" t="inlineStr">
        <is>
          <t>Fayde</t>
        </is>
      </c>
      <c r="E3" t="inlineStr">
        <is>
          <t>Maps 1-2 Kills</t>
        </is>
      </c>
      <c r="F3" t="n">
        <v>9</v>
      </c>
      <c r="G3" t="n">
        <v>11.15</v>
      </c>
      <c r="H3" s="6" t="n">
        <v>0.628</v>
      </c>
      <c r="I3" t="n">
        <v>11.8</v>
      </c>
      <c r="J3" s="6" t="n">
        <v>0.6711</v>
      </c>
      <c r="K3" s="6" t="n">
        <v>0.4667</v>
      </c>
      <c r="L3" s="6" t="n">
        <v>0.57</v>
      </c>
      <c r="M3" t="n">
        <v>8.67</v>
      </c>
      <c r="N3" s="6" t="n">
        <v>0.6</v>
      </c>
      <c r="O3" s="10" t="n"/>
      <c r="P3">
        <f>IF(O3="","",IF(O3&gt;F3,"OVER",IF(O3&lt;F3,"UNDER","PUSH")))</f>
        <v/>
      </c>
    </row>
    <row r="4">
      <c r="A4" t="inlineStr">
        <is>
          <t>2026-10-29 05:19</t>
        </is>
      </c>
      <c r="B4" t="inlineStr">
        <is>
          <t>2026-10-29</t>
        </is>
      </c>
      <c r="C4" t="inlineStr">
        <is>
          <t>DOTA · OG vs GL</t>
        </is>
      </c>
      <c r="D4" t="inlineStr">
        <is>
          <t>RCY</t>
        </is>
      </c>
      <c r="E4" t="inlineStr">
        <is>
          <t>Maps 1-2 Kills</t>
        </is>
      </c>
      <c r="F4" t="n">
        <v>13</v>
      </c>
      <c r="G4" t="n">
        <v>16.22</v>
      </c>
      <c r="H4" s="6" t="n">
        <v>0.6657</v>
      </c>
      <c r="I4" t="n">
        <v>16.8</v>
      </c>
      <c r="J4" s="6" t="n">
        <v>0.6951000000000001</v>
      </c>
      <c r="K4" s="6" t="n">
        <v>0.4667</v>
      </c>
      <c r="L4" s="6" t="n">
        <v>0.53</v>
      </c>
      <c r="M4" t="n">
        <v>13.14</v>
      </c>
      <c r="N4" s="6" t="n">
        <v>0.7</v>
      </c>
      <c r="O4" s="10" t="n"/>
      <c r="P4">
        <f>IF(O4="","",IF(O4&gt;F4,"OVER",IF(O4&lt;F4,"UNDER","PUSH")))</f>
        <v/>
      </c>
    </row>
    <row r="5">
      <c r="A5" t="inlineStr">
        <is>
          <t>2026-10-29 05:19</t>
        </is>
      </c>
      <c r="B5" t="inlineStr">
        <is>
          <t>2026-10-29</t>
        </is>
      </c>
      <c r="C5" t="inlineStr">
        <is>
          <t>DOTA · OG vs GL</t>
        </is>
      </c>
      <c r="D5" t="inlineStr">
        <is>
          <t>Speeed</t>
        </is>
      </c>
      <c r="E5" t="inlineStr">
        <is>
          <t>Maps 1-2 Kills</t>
        </is>
      </c>
      <c r="F5" t="n">
        <v>5</v>
      </c>
      <c r="G5" t="n">
        <v>5.21</v>
      </c>
      <c r="H5" s="6" t="n">
        <v>0.465</v>
      </c>
      <c r="I5" t="n">
        <v>5.4</v>
      </c>
      <c r="J5" s="6" t="n">
        <v>0.488</v>
      </c>
      <c r="K5" s="6" t="n">
        <v>0.4667</v>
      </c>
      <c r="L5" s="6" t="n">
        <v>0.53</v>
      </c>
      <c r="M5" t="n">
        <v>5.05</v>
      </c>
      <c r="N5" s="6" t="n">
        <v>0.6</v>
      </c>
      <c r="O5" s="10" t="n"/>
      <c r="P5">
        <f>IF(O5="","",IF(O5&gt;F5,"OVER",IF(O5&lt;F5,"UNDER","PUSH")))</f>
        <v/>
      </c>
    </row>
    <row r="6">
      <c r="A6" t="inlineStr">
        <is>
          <t>2026-10-29 05:19</t>
        </is>
      </c>
      <c r="B6" t="inlineStr">
        <is>
          <t>2026-10-29</t>
        </is>
      </c>
      <c r="C6" t="inlineStr">
        <is>
          <t>DOTA · OG vs GL</t>
        </is>
      </c>
      <c r="D6" t="inlineStr">
        <is>
          <t>Yuma</t>
        </is>
      </c>
      <c r="E6" t="inlineStr">
        <is>
          <t>Maps 1-2 Kills</t>
        </is>
      </c>
      <c r="F6" t="n">
        <v>15.5</v>
      </c>
      <c r="G6" t="n">
        <v>16.97</v>
      </c>
      <c r="H6" s="6" t="n">
        <v>0.5889</v>
      </c>
      <c r="I6" t="n">
        <v>17</v>
      </c>
      <c r="J6" s="6" t="n">
        <v>0.5907</v>
      </c>
      <c r="K6" s="6" t="n">
        <v>0.4667</v>
      </c>
      <c r="L6" s="6" t="n">
        <v>0.47</v>
      </c>
      <c r="M6" t="n">
        <v>13.62</v>
      </c>
      <c r="N6" s="6" t="n">
        <v>0.5</v>
      </c>
      <c r="O6" s="10" t="n"/>
      <c r="P6">
        <f>IF(O6="","",IF(O6&gt;F6,"OVER",IF(O6&lt;F6,"UNDER","PUSH")))</f>
        <v/>
      </c>
    </row>
    <row r="7">
      <c r="A7" t="inlineStr">
        <is>
          <t>2026-10-29 05:19</t>
        </is>
      </c>
      <c r="B7" t="inlineStr">
        <is>
          <t>2026-10-29</t>
        </is>
      </c>
      <c r="C7" t="inlineStr">
        <is>
          <t>DOTA · OG vs GL</t>
        </is>
      </c>
      <c r="D7" t="inlineStr">
        <is>
          <t>OneJey</t>
        </is>
      </c>
      <c r="E7" t="inlineStr">
        <is>
          <t>Maps 1-2 Kills</t>
        </is>
      </c>
      <c r="F7" t="n">
        <v>6</v>
      </c>
      <c r="G7" t="n">
        <v>5.7</v>
      </c>
      <c r="H7" s="6" t="n">
        <v>0.4074</v>
      </c>
      <c r="I7" t="n">
        <v>6</v>
      </c>
      <c r="J7" s="6" t="n">
        <v>0.4433</v>
      </c>
      <c r="K7" s="6" t="n">
        <v>0.5333</v>
      </c>
      <c r="L7" s="6" t="n">
        <v>0.63</v>
      </c>
      <c r="M7" t="n">
        <v>6.35</v>
      </c>
      <c r="N7" s="6" t="n">
        <v>0.5</v>
      </c>
      <c r="O7" s="10" t="n"/>
      <c r="P7">
        <f>IF(O7="","",IF(O7&gt;F7,"OVER",IF(O7&lt;F7,"UNDER","PUSH")))</f>
        <v/>
      </c>
    </row>
    <row r="8">
      <c r="A8" t="inlineStr">
        <is>
          <t>2026-10-29 05:19</t>
        </is>
      </c>
      <c r="B8" t="inlineStr">
        <is>
          <t>2026-10-29</t>
        </is>
      </c>
      <c r="C8" t="inlineStr">
        <is>
          <t>DOTA · OG vs GL</t>
        </is>
      </c>
      <c r="D8" t="inlineStr">
        <is>
          <t>Skem</t>
        </is>
      </c>
      <c r="E8" t="inlineStr">
        <is>
          <t>Maps 1-2 Kills</t>
        </is>
      </c>
      <c r="F8" t="n">
        <v>5.5</v>
      </c>
      <c r="G8" t="n">
        <v>5.96</v>
      </c>
      <c r="H8" s="6" t="n">
        <v>0.5517</v>
      </c>
      <c r="I8" t="n">
        <v>6.4</v>
      </c>
      <c r="J8" s="6" t="n">
        <v>0.5979</v>
      </c>
      <c r="K8" s="6" t="n">
        <v>0.5333</v>
      </c>
      <c r="L8" s="6" t="n">
        <v>0.67</v>
      </c>
      <c r="M8" t="n">
        <v>5.63</v>
      </c>
      <c r="N8" s="6" t="n">
        <v>0.7</v>
      </c>
      <c r="O8" s="10" t="n"/>
      <c r="P8">
        <f>IF(O8="","",IF(O8&gt;F8,"OVER",IF(O8&lt;F8,"UNDER","PUSH")))</f>
        <v/>
      </c>
    </row>
    <row r="9">
      <c r="A9" t="inlineStr">
        <is>
          <t>2026-10-29 05:19</t>
        </is>
      </c>
      <c r="B9" t="inlineStr">
        <is>
          <t>2026-10-29</t>
        </is>
      </c>
      <c r="C9" t="inlineStr">
        <is>
          <t>DOTA · OG vs GL</t>
        </is>
      </c>
      <c r="D9" t="inlineStr">
        <is>
          <t>TOPSON</t>
        </is>
      </c>
      <c r="E9" t="inlineStr">
        <is>
          <t>Maps 1-2 Kills</t>
        </is>
      </c>
      <c r="F9" t="n">
        <v>14.5</v>
      </c>
      <c r="G9" t="n">
        <v>13.3</v>
      </c>
      <c r="H9" s="6" t="n">
        <v>0.4146</v>
      </c>
      <c r="I9" t="n">
        <v>14</v>
      </c>
      <c r="J9" s="6" t="n">
        <v>0.4651</v>
      </c>
      <c r="K9" s="6" t="n">
        <v>0.5333</v>
      </c>
      <c r="L9" s="6" t="n">
        <v>0.63</v>
      </c>
      <c r="M9" t="n">
        <v>12.71</v>
      </c>
      <c r="N9" s="6" t="n">
        <v>0.4</v>
      </c>
      <c r="O9" s="10" t="n"/>
      <c r="P9">
        <f>IF(O9="","",IF(O9&gt;F9,"OVER",IF(O9&lt;F9,"UNDER","PUSH")))</f>
        <v/>
      </c>
    </row>
    <row r="10">
      <c r="A10" t="inlineStr">
        <is>
          <t>2026-10-29 05:19</t>
        </is>
      </c>
      <c r="B10" t="inlineStr">
        <is>
          <t>2026-10-29</t>
        </is>
      </c>
      <c r="C10" t="inlineStr">
        <is>
          <t>DOTA · PARI vs TY</t>
        </is>
      </c>
      <c r="D10" t="inlineStr">
        <is>
          <t>9Class</t>
        </is>
      </c>
      <c r="E10" t="inlineStr">
        <is>
          <t>Maps 1-2 Kills</t>
        </is>
      </c>
      <c r="F10" t="n">
        <v>6.5</v>
      </c>
      <c r="G10" t="n">
        <v>8.050000000000001</v>
      </c>
      <c r="H10" s="6" t="n">
        <v>0.6446</v>
      </c>
      <c r="I10" t="n">
        <v>9.199999999999999</v>
      </c>
      <c r="J10" s="6" t="n">
        <v>0.7274</v>
      </c>
      <c r="K10" s="6" t="n">
        <v>0.4497</v>
      </c>
      <c r="L10" s="6" t="n">
        <v>0.7</v>
      </c>
      <c r="M10" t="n">
        <v>6.21</v>
      </c>
      <c r="N10" s="6" t="n">
        <v>0.8</v>
      </c>
      <c r="O10" s="10" t="n"/>
      <c r="P10">
        <f>IF(O10="","",IF(O10&gt;F10,"OVER",IF(O10&lt;F10,"UNDER","PUSH")))</f>
        <v/>
      </c>
    </row>
    <row r="11">
      <c r="A11" t="inlineStr">
        <is>
          <t>2026-10-29 05:19</t>
        </is>
      </c>
      <c r="B11" t="inlineStr">
        <is>
          <t>2026-10-29</t>
        </is>
      </c>
      <c r="C11" t="inlineStr">
        <is>
          <t>DOTA · PARI vs TY</t>
        </is>
      </c>
      <c r="D11" t="inlineStr">
        <is>
          <t>Dukalis</t>
        </is>
      </c>
      <c r="E11" t="inlineStr">
        <is>
          <t>Maps 1-2 Kills</t>
        </is>
      </c>
      <c r="F11" t="n">
        <v>5</v>
      </c>
      <c r="G11" t="n">
        <v>5.07</v>
      </c>
      <c r="H11" s="6" t="n">
        <v>0.4474</v>
      </c>
      <c r="I11" t="n">
        <v>5.8</v>
      </c>
      <c r="J11" s="6" t="n">
        <v>0.5347</v>
      </c>
      <c r="K11" s="6" t="n">
        <v>0.4497</v>
      </c>
      <c r="L11" s="6" t="n">
        <v>0.7</v>
      </c>
      <c r="N11" s="6" t="n">
        <v>0.5</v>
      </c>
      <c r="O11" s="10" t="n"/>
      <c r="P11">
        <f>IF(O11="","",IF(O11&gt;F11,"OVER",IF(O11&lt;F11,"UNDER","PUSH")))</f>
        <v/>
      </c>
    </row>
    <row r="12">
      <c r="A12" t="inlineStr">
        <is>
          <t>2026-10-29 05:19</t>
        </is>
      </c>
      <c r="B12" t="inlineStr">
        <is>
          <t>2026-10-29</t>
        </is>
      </c>
      <c r="C12" t="inlineStr">
        <is>
          <t>DOTA · PARI vs TY</t>
        </is>
      </c>
      <c r="D12" t="inlineStr">
        <is>
          <t>Noticed</t>
        </is>
      </c>
      <c r="E12" t="inlineStr">
        <is>
          <t>Maps 1-2 Kills</t>
        </is>
      </c>
      <c r="F12" t="n">
        <v>9.5</v>
      </c>
      <c r="G12" t="n">
        <v>9.31</v>
      </c>
      <c r="H12" s="6" t="n">
        <v>0.4831</v>
      </c>
      <c r="I12" t="n">
        <v>10.8</v>
      </c>
      <c r="J12" s="6" t="n">
        <v>0.6048</v>
      </c>
      <c r="K12" s="6" t="n">
        <v>0.4497</v>
      </c>
      <c r="L12" s="6" t="n">
        <v>0.73</v>
      </c>
      <c r="M12" t="n">
        <v>8.050000000000001</v>
      </c>
      <c r="N12" s="6" t="n">
        <v>0.5</v>
      </c>
      <c r="O12" s="10" t="n"/>
      <c r="P12">
        <f>IF(O12="","",IF(O12&gt;F12,"OVER",IF(O12&lt;F12,"UNDER","PUSH")))</f>
        <v/>
      </c>
    </row>
    <row r="13">
      <c r="A13" t="inlineStr">
        <is>
          <t>2026-10-29 05:19</t>
        </is>
      </c>
      <c r="B13" t="inlineStr">
        <is>
          <t>2026-10-29</t>
        </is>
      </c>
      <c r="C13" t="inlineStr">
        <is>
          <t>DOTA · PARI vs TY</t>
        </is>
      </c>
      <c r="D13" t="inlineStr">
        <is>
          <t>Satanic</t>
        </is>
      </c>
      <c r="E13" t="inlineStr">
        <is>
          <t>Maps 1-2 Kills</t>
        </is>
      </c>
      <c r="F13" t="n">
        <v>17.5</v>
      </c>
      <c r="G13" t="n">
        <v>18.55</v>
      </c>
      <c r="H13" s="6" t="n">
        <v>0.5599</v>
      </c>
      <c r="I13" t="n">
        <v>21.2</v>
      </c>
      <c r="J13" s="6" t="n">
        <v>0.6912</v>
      </c>
      <c r="K13" s="6" t="n">
        <v>0.4497</v>
      </c>
      <c r="L13" s="6" t="n">
        <v>0.7</v>
      </c>
      <c r="M13" t="n">
        <v>16.36</v>
      </c>
      <c r="N13" s="6" t="n">
        <v>0.7</v>
      </c>
      <c r="O13" s="10" t="n"/>
      <c r="P13">
        <f>IF(O13="","",IF(O13&gt;F13,"OVER",IF(O13&lt;F13,"UNDER","PUSH")))</f>
        <v/>
      </c>
    </row>
    <row r="14">
      <c r="A14" t="inlineStr">
        <is>
          <t>2026-10-29 05:19</t>
        </is>
      </c>
      <c r="B14" t="inlineStr">
        <is>
          <t>2026-10-29</t>
        </is>
      </c>
      <c r="C14" t="inlineStr">
        <is>
          <t>DOTA · PARI vs TY</t>
        </is>
      </c>
      <c r="D14" t="inlineStr">
        <is>
          <t>ATF</t>
        </is>
      </c>
      <c r="E14" t="inlineStr">
        <is>
          <t>Maps 1-2 Kills</t>
        </is>
      </c>
      <c r="F14" t="n">
        <v>14.5</v>
      </c>
      <c r="G14" t="n">
        <v>16.27</v>
      </c>
      <c r="H14" s="6" t="n">
        <v>0.6107</v>
      </c>
      <c r="I14" t="n">
        <v>18.2</v>
      </c>
      <c r="J14" s="6" t="n">
        <v>0.7111</v>
      </c>
      <c r="K14" s="6" t="n">
        <v>0.5503</v>
      </c>
      <c r="L14" s="6" t="n">
        <v>0.77</v>
      </c>
      <c r="M14" t="n">
        <v>12.15</v>
      </c>
      <c r="N14" s="6" t="n">
        <v>0.7</v>
      </c>
      <c r="O14" s="10" t="n"/>
      <c r="P14">
        <f>IF(O14="","",IF(O14&gt;F14,"OVER",IF(O14&lt;F14,"UNDER","PUSH")))</f>
        <v/>
      </c>
    </row>
    <row r="15">
      <c r="A15" t="inlineStr">
        <is>
          <t>2026-10-29 05:19</t>
        </is>
      </c>
      <c r="B15" t="inlineStr">
        <is>
          <t>2026-10-29</t>
        </is>
      </c>
      <c r="C15" t="inlineStr">
        <is>
          <t>DOTA · PARI vs TY</t>
        </is>
      </c>
      <c r="D15" t="inlineStr">
        <is>
          <t>Chira JUNIOR</t>
        </is>
      </c>
      <c r="E15" t="inlineStr">
        <is>
          <t>Maps 1-2 Kills</t>
        </is>
      </c>
      <c r="F15" t="n">
        <v>13.5</v>
      </c>
      <c r="G15" t="n">
        <v>13.05</v>
      </c>
      <c r="H15" s="6" t="n">
        <v>0.4673</v>
      </c>
      <c r="I15" t="n">
        <v>14.6</v>
      </c>
      <c r="J15" s="6" t="n">
        <v>0.5750999999999999</v>
      </c>
      <c r="K15" s="6" t="n">
        <v>0.5503</v>
      </c>
      <c r="L15" s="6" t="n">
        <v>0.77</v>
      </c>
      <c r="N15" s="6" t="n">
        <v>0.4</v>
      </c>
      <c r="O15" s="10" t="n"/>
      <c r="P15">
        <f>IF(O15="","",IF(O15&gt;F15,"OVER",IF(O15&lt;F15,"UNDER","PUSH")))</f>
        <v/>
      </c>
    </row>
    <row r="16">
      <c r="A16" t="inlineStr">
        <is>
          <t>2026-10-29 05:19</t>
        </is>
      </c>
      <c r="B16" t="inlineStr">
        <is>
          <t>2026-10-29</t>
        </is>
      </c>
      <c r="C16" t="inlineStr">
        <is>
          <t>DOTA · PARI vs TY</t>
        </is>
      </c>
      <c r="D16" t="inlineStr">
        <is>
          <t>Malady</t>
        </is>
      </c>
      <c r="E16" t="inlineStr">
        <is>
          <t>Maps 1-2 Kills</t>
        </is>
      </c>
      <c r="F16" t="n">
        <v>5</v>
      </c>
      <c r="G16" t="n">
        <v>6.44</v>
      </c>
      <c r="H16" s="6" t="n">
        <v>0.6011</v>
      </c>
      <c r="I16" t="n">
        <v>7.2</v>
      </c>
      <c r="J16" s="6" t="n">
        <v>0.67</v>
      </c>
      <c r="K16" s="6" t="n">
        <v>0.5503</v>
      </c>
      <c r="L16" s="6" t="n">
        <v>0.77</v>
      </c>
      <c r="N16" s="6" t="n">
        <v>0.7</v>
      </c>
      <c r="O16" s="10" t="n"/>
      <c r="P16">
        <f>IF(O16="","",IF(O16&gt;F16,"OVER",IF(O16&lt;F16,"UNDER","PUSH")))</f>
        <v/>
      </c>
    </row>
    <row r="17">
      <c r="A17" t="inlineStr">
        <is>
          <t>2026-10-29 05:19</t>
        </is>
      </c>
      <c r="B17" t="inlineStr">
        <is>
          <t>2026-10-29</t>
        </is>
      </c>
      <c r="C17" t="inlineStr">
        <is>
          <t>DOTA · PARI vs TY</t>
        </is>
      </c>
      <c r="D17" t="inlineStr">
        <is>
          <t>Saksa</t>
        </is>
      </c>
      <c r="E17" t="inlineStr">
        <is>
          <t>Maps 1-2 Kills</t>
        </is>
      </c>
      <c r="F17" t="n">
        <v>6.5</v>
      </c>
      <c r="G17" t="n">
        <v>6.97</v>
      </c>
      <c r="H17" s="6" t="n">
        <v>0.5491</v>
      </c>
      <c r="I17" t="n">
        <v>7.8</v>
      </c>
      <c r="J17" s="6" t="n">
        <v>0.6262</v>
      </c>
      <c r="K17" s="6" t="n">
        <v>0.5503</v>
      </c>
      <c r="L17" s="6" t="n">
        <v>0.77</v>
      </c>
      <c r="M17" t="n">
        <v>5.64</v>
      </c>
      <c r="N17" s="6" t="n">
        <v>0.6</v>
      </c>
      <c r="O17" s="10" t="n"/>
      <c r="P17">
        <f>IF(O17="","",IF(O17&gt;F17,"OVER",IF(O17&lt;F17,"UNDER","PUSH")))</f>
        <v/>
      </c>
    </row>
    <row r="18">
      <c r="A18" t="inlineStr">
        <is>
          <t>2026-10-29 05:19</t>
        </is>
      </c>
      <c r="B18" t="inlineStr">
        <is>
          <t>2026-10-29</t>
        </is>
      </c>
      <c r="C18" t="inlineStr">
        <is>
          <t>DOTA · PARI vs TY</t>
        </is>
      </c>
      <c r="D18" t="inlineStr">
        <is>
          <t>watson</t>
        </is>
      </c>
      <c r="E18" t="inlineStr">
        <is>
          <t>Maps 1-2 Kills</t>
        </is>
      </c>
      <c r="F18" t="n">
        <v>18.5</v>
      </c>
      <c r="G18" t="n">
        <v>19.84</v>
      </c>
      <c r="H18" s="6" t="n">
        <v>0.5747</v>
      </c>
      <c r="I18" t="n">
        <v>22.2</v>
      </c>
      <c r="J18" s="6" t="n">
        <v>0.6883</v>
      </c>
      <c r="K18" s="6" t="n">
        <v>0.5503</v>
      </c>
      <c r="L18" s="6" t="n">
        <v>0.77</v>
      </c>
      <c r="M18" t="n">
        <v>14.62</v>
      </c>
      <c r="N18" s="6" t="n">
        <v>0.5</v>
      </c>
      <c r="O18" s="10" t="n"/>
      <c r="P18">
        <f>IF(O18="","",IF(O18&gt;F18,"OVER",IF(O18&lt;F18,"UNDER","PUSH")))</f>
        <v/>
      </c>
    </row>
    <row r="19">
      <c r="A19" t="inlineStr">
        <is>
          <t>2026-10-29 05:19</t>
        </is>
      </c>
      <c r="B19" t="inlineStr">
        <is>
          <t>2026-10-29</t>
        </is>
      </c>
      <c r="C19" t="inlineStr">
        <is>
          <t>DOTA · TS vs LEGION</t>
        </is>
      </c>
      <c r="D19" t="inlineStr">
        <is>
          <t>DarkLord^</t>
        </is>
      </c>
      <c r="E19" t="inlineStr">
        <is>
          <t>Maps 1-2 Kills</t>
        </is>
      </c>
      <c r="F19" t="n">
        <v>10.5</v>
      </c>
      <c r="G19" t="n">
        <v>11.24</v>
      </c>
      <c r="H19" s="6" t="n">
        <v>0.5584</v>
      </c>
      <c r="I19" t="n">
        <v>13.8</v>
      </c>
      <c r="J19" s="6" t="n">
        <v>0.7227</v>
      </c>
      <c r="K19" s="6" t="n">
        <v>0.2235</v>
      </c>
      <c r="L19" s="6" t="n">
        <v>0.57</v>
      </c>
      <c r="N19" s="6" t="n">
        <v>0.6</v>
      </c>
      <c r="O19" s="10" t="n"/>
      <c r="P19">
        <f>IF(O19="","",IF(O19&gt;F19,"OVER",IF(O19&lt;F19,"UNDER","PUSH")))</f>
        <v/>
      </c>
    </row>
    <row r="20">
      <c r="A20" t="inlineStr">
        <is>
          <t>2026-10-29 05:19</t>
        </is>
      </c>
      <c r="B20" t="inlineStr">
        <is>
          <t>2026-10-29</t>
        </is>
      </c>
      <c r="C20" t="inlineStr">
        <is>
          <t>DOTA · TS vs LEGION</t>
        </is>
      </c>
      <c r="D20" t="inlineStr">
        <is>
          <t>KJ</t>
        </is>
      </c>
      <c r="E20" t="inlineStr">
        <is>
          <t>Maps 1-2 Kills</t>
        </is>
      </c>
      <c r="F20" t="n">
        <v>4</v>
      </c>
      <c r="G20" t="n">
        <v>4.23</v>
      </c>
      <c r="H20" s="6" t="n">
        <v>0.4632</v>
      </c>
      <c r="I20" t="n">
        <v>5</v>
      </c>
      <c r="J20" s="6" t="n">
        <v>0.5628</v>
      </c>
      <c r="K20" s="6" t="n">
        <v>0.2235</v>
      </c>
      <c r="L20" s="6" t="n">
        <v>0.5</v>
      </c>
      <c r="N20" s="6" t="n">
        <v>0.5</v>
      </c>
      <c r="O20" s="10" t="n"/>
      <c r="P20">
        <f>IF(O20="","",IF(O20&gt;F20,"OVER",IF(O20&lt;F20,"UNDER","PUSH")))</f>
        <v/>
      </c>
    </row>
    <row r="21">
      <c r="A21" t="inlineStr">
        <is>
          <t>2026-10-29 05:19</t>
        </is>
      </c>
      <c r="B21" t="inlineStr">
        <is>
          <t>2026-10-29</t>
        </is>
      </c>
      <c r="C21" t="inlineStr">
        <is>
          <t>DOTA · TS vs LEGION</t>
        </is>
      </c>
      <c r="D21" t="inlineStr">
        <is>
          <t>SaberLight</t>
        </is>
      </c>
      <c r="E21" t="inlineStr">
        <is>
          <t>Maps 1-2 Kills</t>
        </is>
      </c>
      <c r="F21" t="n">
        <v>7</v>
      </c>
      <c r="G21" t="n">
        <v>8.779999999999999</v>
      </c>
      <c r="H21" s="6" t="n">
        <v>0.6155</v>
      </c>
      <c r="I21" t="n">
        <v>9.800000000000001</v>
      </c>
      <c r="J21" s="6" t="n">
        <v>0.6911</v>
      </c>
      <c r="K21" s="6" t="n">
        <v>0.2235</v>
      </c>
      <c r="L21" s="6" t="n">
        <v>0.4</v>
      </c>
      <c r="M21" t="n">
        <v>9.41</v>
      </c>
      <c r="N21" s="6" t="n">
        <v>0.7</v>
      </c>
      <c r="O21" s="10" t="n"/>
      <c r="P21">
        <f>IF(O21="","",IF(O21&gt;F21,"OVER",IF(O21&lt;F21,"UNDER","PUSH")))</f>
        <v/>
      </c>
    </row>
    <row r="22">
      <c r="A22" t="inlineStr">
        <is>
          <t>2026-10-29 05:19</t>
        </is>
      </c>
      <c r="B22" t="inlineStr">
        <is>
          <t>2026-10-29</t>
        </is>
      </c>
      <c r="C22" t="inlineStr">
        <is>
          <t>DOTA · TS vs LEGION</t>
        </is>
      </c>
      <c r="D22" t="inlineStr">
        <is>
          <t>Stojkov</t>
        </is>
      </c>
      <c r="E22" t="inlineStr">
        <is>
          <t>Maps 1-2 Kills</t>
        </is>
      </c>
      <c r="F22" t="n">
        <v>11.5</v>
      </c>
      <c r="G22" t="n">
        <v>12.51</v>
      </c>
      <c r="H22" s="6" t="n">
        <v>0.5743</v>
      </c>
      <c r="I22" t="n">
        <v>15.6</v>
      </c>
      <c r="J22" s="6" t="n">
        <v>0.7528</v>
      </c>
      <c r="K22" s="6" t="n">
        <v>0.2235</v>
      </c>
      <c r="L22" s="6" t="n">
        <v>0.6</v>
      </c>
      <c r="M22" t="n">
        <v>11.97</v>
      </c>
      <c r="N22" s="6" t="n">
        <v>0.5</v>
      </c>
      <c r="O22" s="10" t="n"/>
      <c r="P22">
        <f>IF(O22="","",IF(O22&gt;F22,"OVER",IF(O22&lt;F22,"UNDER","PUSH")))</f>
        <v/>
      </c>
    </row>
    <row r="23">
      <c r="A23" t="inlineStr">
        <is>
          <t>2026-10-29 05:19</t>
        </is>
      </c>
      <c r="B23" t="inlineStr">
        <is>
          <t>2026-10-29</t>
        </is>
      </c>
      <c r="C23" t="inlineStr">
        <is>
          <t>DOTA · TS vs LEGION</t>
        </is>
      </c>
      <c r="D23" t="inlineStr">
        <is>
          <t>Larl</t>
        </is>
      </c>
      <c r="E23" t="inlineStr">
        <is>
          <t>Maps 1-2 Kills</t>
        </is>
      </c>
      <c r="F23" t="n">
        <v>19.5</v>
      </c>
      <c r="G23" t="n">
        <v>17.86</v>
      </c>
      <c r="H23" s="6" t="n">
        <v>0.3969</v>
      </c>
      <c r="I23" t="n">
        <v>16.6</v>
      </c>
      <c r="J23" s="6" t="n">
        <v>0.3157</v>
      </c>
      <c r="K23" s="6" t="n">
        <v>0.7765</v>
      </c>
      <c r="L23" s="6" t="n">
        <v>0.63</v>
      </c>
      <c r="M23" t="n">
        <v>15.29</v>
      </c>
      <c r="N23" s="6" t="n">
        <v>0.4</v>
      </c>
      <c r="O23" s="10" t="n"/>
      <c r="P23">
        <f>IF(O23="","",IF(O23&gt;F23,"OVER",IF(O23&lt;F23,"UNDER","PUSH")))</f>
        <v/>
      </c>
    </row>
    <row r="24">
      <c r="A24" t="inlineStr">
        <is>
          <t>2026-10-29 05:19</t>
        </is>
      </c>
      <c r="B24" t="inlineStr">
        <is>
          <t>2026-10-29</t>
        </is>
      </c>
      <c r="C24" t="inlineStr">
        <is>
          <t>DOTA · TS vs LEGION</t>
        </is>
      </c>
      <c r="D24" t="inlineStr">
        <is>
          <t>not me</t>
        </is>
      </c>
      <c r="E24" t="inlineStr">
        <is>
          <t>Maps 1-2 Kills</t>
        </is>
      </c>
      <c r="F24" t="n">
        <v>9</v>
      </c>
      <c r="G24" t="n">
        <v>11.11</v>
      </c>
      <c r="H24" s="6" t="n">
        <v>0.6313</v>
      </c>
      <c r="I24" t="n">
        <v>10</v>
      </c>
      <c r="J24" s="6" t="n">
        <v>0.5438</v>
      </c>
      <c r="K24" s="6" t="n">
        <v>0.7765</v>
      </c>
      <c r="L24" s="6" t="n">
        <v>0.57</v>
      </c>
      <c r="M24" t="n">
        <v>8.69</v>
      </c>
      <c r="N24" s="6" t="n">
        <v>0.7</v>
      </c>
      <c r="O24" s="10" t="n"/>
      <c r="P24">
        <f>IF(O24="","",IF(O24&gt;F24,"OVER",IF(O24&lt;F24,"UNDER","PUSH")))</f>
        <v/>
      </c>
    </row>
    <row r="25">
      <c r="A25" t="inlineStr">
        <is>
          <t>2026-10-29 05:19</t>
        </is>
      </c>
      <c r="B25" t="inlineStr">
        <is>
          <t>2026-10-29</t>
        </is>
      </c>
      <c r="C25" t="inlineStr">
        <is>
          <t>DOTA · TS vs LEGION</t>
        </is>
      </c>
      <c r="D25" t="inlineStr">
        <is>
          <t>rue</t>
        </is>
      </c>
      <c r="E25" t="inlineStr">
        <is>
          <t>Maps 1-2 Kills</t>
        </is>
      </c>
      <c r="F25" t="n">
        <v>7</v>
      </c>
      <c r="G25" t="n">
        <v>7.1</v>
      </c>
      <c r="H25" s="6" t="n">
        <v>0.4577</v>
      </c>
      <c r="I25" t="n">
        <v>6.6</v>
      </c>
      <c r="J25" s="6" t="n">
        <v>0.4018</v>
      </c>
      <c r="K25" s="6" t="n">
        <v>0.7765</v>
      </c>
      <c r="L25" s="6" t="n">
        <v>0.63</v>
      </c>
      <c r="M25" t="n">
        <v>5.13</v>
      </c>
      <c r="N25" s="6" t="n">
        <v>0.5</v>
      </c>
      <c r="O25" s="10" t="n"/>
      <c r="P25">
        <f>IF(O25="","",IF(O25&gt;F25,"OVER",IF(O25&lt;F25,"UNDER","PUSH")))</f>
        <v/>
      </c>
    </row>
    <row r="26">
      <c r="A26" t="inlineStr">
        <is>
          <t>2026-10-29 05:19</t>
        </is>
      </c>
      <c r="B26" t="inlineStr">
        <is>
          <t>2026-10-29</t>
        </is>
      </c>
      <c r="C26" t="inlineStr">
        <is>
          <t>DOTA · TS vs LEGION</t>
        </is>
      </c>
      <c r="D26" t="inlineStr">
        <is>
          <t>Yatoro</t>
        </is>
      </c>
      <c r="E26" t="inlineStr">
        <is>
          <t>Maps 1-2 Kills</t>
        </is>
      </c>
      <c r="F26" t="n">
        <v>23.5</v>
      </c>
      <c r="G26" t="n">
        <v>20.66</v>
      </c>
      <c r="H26" s="6" t="n">
        <v>0.3387</v>
      </c>
      <c r="I26" t="n">
        <v>19.6</v>
      </c>
      <c r="J26" s="6" t="n">
        <v>0.2788</v>
      </c>
      <c r="K26" s="6" t="n">
        <v>0.7765</v>
      </c>
      <c r="L26" s="6" t="n">
        <v>0.67</v>
      </c>
      <c r="M26" t="n">
        <v>19.43</v>
      </c>
      <c r="N26" s="6" t="n">
        <v>0.3</v>
      </c>
      <c r="O26" s="10" t="n"/>
      <c r="P26">
        <f>IF(O26="","",IF(O26&gt;F26,"OVER",IF(O26&lt;F26,"UNDER","PUSH")))</f>
        <v/>
      </c>
    </row>
    <row r="27">
      <c r="A27" t="inlineStr">
        <is>
          <t>2026-10-29 05:19</t>
        </is>
      </c>
      <c r="B27" t="inlineStr">
        <is>
          <t>2026-10-29</t>
        </is>
      </c>
      <c r="C27" t="inlineStr">
        <is>
          <t>LOL · KC vs CFO</t>
        </is>
      </c>
      <c r="D27" t="inlineStr">
        <is>
          <t>Doggo</t>
        </is>
      </c>
      <c r="E27" t="inlineStr">
        <is>
          <t>Maps 1-2 Kills</t>
        </is>
      </c>
      <c r="F27" t="n">
        <v>6</v>
      </c>
      <c r="G27" t="n">
        <v>8.24</v>
      </c>
      <c r="H27" s="6" t="n">
        <v>0.6667</v>
      </c>
      <c r="I27" t="n">
        <v>9.800000000000001</v>
      </c>
      <c r="J27" s="6" t="n">
        <v>0.7731</v>
      </c>
      <c r="K27" s="6" t="n">
        <v>0.2889</v>
      </c>
      <c r="L27" s="6" t="n">
        <v>0.5</v>
      </c>
      <c r="N27" s="6" t="n">
        <v>0.8</v>
      </c>
      <c r="O27" s="10" t="n"/>
      <c r="P27">
        <f>IF(O27="","",IF(O27&gt;F27,"OVER",IF(O27&lt;F27,"UNDER","PUSH")))</f>
        <v/>
      </c>
    </row>
    <row r="28">
      <c r="A28" t="inlineStr">
        <is>
          <t>2026-10-29 05:19</t>
        </is>
      </c>
      <c r="B28" t="inlineStr">
        <is>
          <t>2026-10-29</t>
        </is>
      </c>
      <c r="C28" t="inlineStr">
        <is>
          <t>LOL · KC vs CFO</t>
        </is>
      </c>
      <c r="D28" t="inlineStr">
        <is>
          <t>Pout</t>
        </is>
      </c>
      <c r="E28" t="inlineStr">
        <is>
          <t>Maps 1-2 Kills</t>
        </is>
      </c>
      <c r="F28" t="n">
        <v>5</v>
      </c>
      <c r="G28" t="n">
        <v>6.74</v>
      </c>
      <c r="H28" s="6" t="n">
        <v>0.6373</v>
      </c>
      <c r="I28" t="n">
        <v>8.199999999999999</v>
      </c>
      <c r="J28" s="6" t="n">
        <v>0.7554999999999999</v>
      </c>
      <c r="K28" s="6" t="n">
        <v>0.2889</v>
      </c>
      <c r="L28" s="6" t="n">
        <v>0.53</v>
      </c>
      <c r="N28" s="6" t="n">
        <v>0.8</v>
      </c>
      <c r="O28" s="10" t="n"/>
      <c r="P28">
        <f>IF(O28="","",IF(O28&gt;F28,"OVER",IF(O28&lt;F28,"UNDER","PUSH")))</f>
        <v/>
      </c>
    </row>
    <row r="29">
      <c r="A29" t="inlineStr">
        <is>
          <t>2026-10-29 05:19</t>
        </is>
      </c>
      <c r="B29" t="inlineStr">
        <is>
          <t>2026-10-29</t>
        </is>
      </c>
      <c r="C29" t="inlineStr">
        <is>
          <t>LOL · KC vs CFO</t>
        </is>
      </c>
      <c r="D29" t="inlineStr">
        <is>
          <t>Rest</t>
        </is>
      </c>
      <c r="E29" t="inlineStr">
        <is>
          <t>Maps 1-2 Kills</t>
        </is>
      </c>
      <c r="F29" t="n">
        <v>3.5</v>
      </c>
      <c r="G29" t="n">
        <v>4.6</v>
      </c>
      <c r="H29" s="6" t="n">
        <v>0.6544</v>
      </c>
      <c r="I29" t="n">
        <v>5.6</v>
      </c>
      <c r="J29" s="6" t="n">
        <v>0.7532</v>
      </c>
      <c r="K29" s="6" t="n">
        <v>0.2889</v>
      </c>
      <c r="L29" s="6" t="n">
        <v>0.53</v>
      </c>
      <c r="N29" s="6" t="n">
        <v>0.5</v>
      </c>
      <c r="O29" s="10" t="n"/>
      <c r="P29">
        <f>IF(O29="","",IF(O29&gt;F29,"OVER",IF(O29&lt;F29,"UNDER","PUSH")))</f>
        <v/>
      </c>
    </row>
    <row r="30">
      <c r="A30" t="inlineStr">
        <is>
          <t>2026-10-29 05:19</t>
        </is>
      </c>
      <c r="B30" t="inlineStr">
        <is>
          <t>2026-10-29</t>
        </is>
      </c>
      <c r="C30" t="inlineStr">
        <is>
          <t>LOL · KC vs CFO</t>
        </is>
      </c>
      <c r="D30" t="inlineStr">
        <is>
          <t>Shad0w</t>
        </is>
      </c>
      <c r="E30" t="inlineStr">
        <is>
          <t>Maps 1-2 Kills</t>
        </is>
      </c>
      <c r="F30" t="n">
        <v>5</v>
      </c>
      <c r="G30" t="n">
        <v>5.76</v>
      </c>
      <c r="H30" s="6" t="n">
        <v>0.5319</v>
      </c>
      <c r="I30" t="n">
        <v>7</v>
      </c>
      <c r="J30" s="6" t="n">
        <v>0.6647999999999999</v>
      </c>
      <c r="K30" s="6" t="n">
        <v>0.2889</v>
      </c>
      <c r="L30" s="6" t="n">
        <v>0.53</v>
      </c>
      <c r="N30" s="6" t="n">
        <v>0.4</v>
      </c>
      <c r="O30" s="10" t="n"/>
      <c r="P30">
        <f>IF(O30="","",IF(O30&gt;F30,"OVER",IF(O30&lt;F30,"UNDER","PUSH")))</f>
        <v/>
      </c>
    </row>
    <row r="31">
      <c r="A31" t="inlineStr">
        <is>
          <t>2026-10-29 05:19</t>
        </is>
      </c>
      <c r="B31" t="inlineStr">
        <is>
          <t>2026-10-29</t>
        </is>
      </c>
      <c r="C31" t="inlineStr">
        <is>
          <t>LOL · KC vs CFO</t>
        </is>
      </c>
      <c r="D31" t="inlineStr">
        <is>
          <t>Busio</t>
        </is>
      </c>
      <c r="E31" t="inlineStr">
        <is>
          <t>Maps 1-2 Kills</t>
        </is>
      </c>
      <c r="F31" t="n">
        <v>1.5</v>
      </c>
      <c r="G31" t="n">
        <v>1.51</v>
      </c>
      <c r="H31" s="6" t="n">
        <v>0.5024999999999999</v>
      </c>
      <c r="I31" t="n">
        <v>1.4</v>
      </c>
      <c r="J31" s="6" t="n">
        <v>0.4712</v>
      </c>
      <c r="K31" s="6" t="n">
        <v>0.7111</v>
      </c>
      <c r="L31" s="6" t="n">
        <v>0.6</v>
      </c>
      <c r="N31" s="6" t="n">
        <v>0.5</v>
      </c>
      <c r="O31" s="10" t="n"/>
      <c r="P31">
        <f>IF(O31="","",IF(O31&gt;F31,"OVER",IF(O31&lt;F31,"UNDER","PUSH")))</f>
        <v/>
      </c>
    </row>
    <row r="32">
      <c r="A32" t="inlineStr">
        <is>
          <t>2026-10-29 05:19</t>
        </is>
      </c>
      <c r="B32" t="inlineStr">
        <is>
          <t>2026-10-29</t>
        </is>
      </c>
      <c r="C32" t="inlineStr">
        <is>
          <t>LOL · KC vs CFO</t>
        </is>
      </c>
      <c r="D32" t="inlineStr">
        <is>
          <t>Caliste</t>
        </is>
      </c>
      <c r="E32" t="inlineStr">
        <is>
          <t>Maps 1-2 Kills</t>
        </is>
      </c>
      <c r="F32" t="n">
        <v>10</v>
      </c>
      <c r="G32" t="n">
        <v>9.27</v>
      </c>
      <c r="H32" s="6" t="n">
        <v>0.3784</v>
      </c>
      <c r="I32" t="n">
        <v>8.6</v>
      </c>
      <c r="J32" s="6" t="n">
        <v>0.3098</v>
      </c>
      <c r="K32" s="6" t="n">
        <v>0.7111</v>
      </c>
      <c r="L32" s="6" t="n">
        <v>0.6</v>
      </c>
      <c r="N32" s="6" t="n">
        <v>0.5</v>
      </c>
      <c r="O32" s="10" t="n"/>
      <c r="P32">
        <f>IF(O32="","",IF(O32&gt;F32,"OVER",IF(O32&lt;F32,"UNDER","PUSH")))</f>
        <v/>
      </c>
    </row>
    <row r="33">
      <c r="A33" t="inlineStr">
        <is>
          <t>2026-10-29 05:19</t>
        </is>
      </c>
      <c r="B33" t="inlineStr">
        <is>
          <t>2026-10-29</t>
        </is>
      </c>
      <c r="C33" t="inlineStr">
        <is>
          <t>LOL · KC vs CFO</t>
        </is>
      </c>
      <c r="D33" t="inlineStr">
        <is>
          <t>Canna</t>
        </is>
      </c>
      <c r="E33" t="inlineStr">
        <is>
          <t>Maps 1-2 Kills</t>
        </is>
      </c>
      <c r="F33" t="n">
        <v>6</v>
      </c>
      <c r="G33" t="n">
        <v>6.25</v>
      </c>
      <c r="H33" s="6" t="n">
        <v>0.4684</v>
      </c>
      <c r="I33" t="n">
        <v>5.8</v>
      </c>
      <c r="J33" s="6" t="n">
        <v>0.4083</v>
      </c>
      <c r="K33" s="6" t="n">
        <v>0.7111</v>
      </c>
      <c r="L33" s="6" t="n">
        <v>0.6</v>
      </c>
      <c r="N33" s="6" t="n">
        <v>0.5</v>
      </c>
      <c r="O33" s="10" t="n"/>
      <c r="P33">
        <f>IF(O33="","",IF(O33&gt;F33,"OVER",IF(O33&lt;F33,"UNDER","PUSH")))</f>
        <v/>
      </c>
    </row>
    <row r="34">
      <c r="A34" t="inlineStr">
        <is>
          <t>2026-10-29 05:19</t>
        </is>
      </c>
      <c r="B34" t="inlineStr">
        <is>
          <t>2026-10-29</t>
        </is>
      </c>
      <c r="C34" t="inlineStr">
        <is>
          <t>LOL · KC vs CFO</t>
        </is>
      </c>
      <c r="D34" t="inlineStr">
        <is>
          <t>Kyeahoo</t>
        </is>
      </c>
      <c r="E34" t="inlineStr">
        <is>
          <t>Maps 1-2 Kills</t>
        </is>
      </c>
      <c r="F34" t="n">
        <v>7</v>
      </c>
      <c r="G34" t="n">
        <v>5.39</v>
      </c>
      <c r="H34" s="6" t="n">
        <v>0.2315</v>
      </c>
      <c r="I34" t="n">
        <v>5</v>
      </c>
      <c r="J34" s="6" t="n">
        <v>0.1834</v>
      </c>
      <c r="K34" s="6" t="n">
        <v>0.7111</v>
      </c>
      <c r="L34" s="6" t="n">
        <v>0.6</v>
      </c>
      <c r="N34" s="6" t="n">
        <v>0.2</v>
      </c>
      <c r="O34" s="10" t="n"/>
      <c r="P34">
        <f>IF(O34="","",IF(O34&gt;F34,"OVER",IF(O34&lt;F34,"UNDER","PUSH")))</f>
        <v/>
      </c>
    </row>
    <row r="35">
      <c r="A35" t="inlineStr">
        <is>
          <t>2026-10-29 05:19</t>
        </is>
      </c>
      <c r="B35" t="inlineStr">
        <is>
          <t>2026-10-29</t>
        </is>
      </c>
      <c r="C35" t="inlineStr">
        <is>
          <t>LOL · KC vs CFO</t>
        </is>
      </c>
      <c r="D35" t="inlineStr">
        <is>
          <t>Yike</t>
        </is>
      </c>
      <c r="E35" t="inlineStr">
        <is>
          <t>Maps 1-2 Kills</t>
        </is>
      </c>
      <c r="F35" t="n">
        <v>8.5</v>
      </c>
      <c r="G35" t="n">
        <v>8.19</v>
      </c>
      <c r="H35" s="6" t="n">
        <v>0.4667</v>
      </c>
      <c r="I35" t="n">
        <v>7.6</v>
      </c>
      <c r="J35" s="6" t="n">
        <v>0.3999</v>
      </c>
      <c r="K35" s="6" t="n">
        <v>0.7111</v>
      </c>
      <c r="L35" s="6" t="n">
        <v>0.6</v>
      </c>
      <c r="N35" s="6" t="n">
        <v>0.5</v>
      </c>
      <c r="O35" s="10" t="n"/>
      <c r="P35">
        <f>IF(O35="","",IF(O35&gt;F35,"OVER",IF(O35&lt;F35,"UNDER","PUSH")))</f>
        <v/>
      </c>
    </row>
    <row r="36">
      <c r="A36" t="inlineStr">
        <is>
          <t>2026-10-29 05:19</t>
        </is>
      </c>
      <c r="B36" t="inlineStr">
        <is>
          <t>2026-10-29</t>
        </is>
      </c>
      <c r="C36" t="inlineStr">
        <is>
          <t>LOL · TES vs BLG</t>
        </is>
      </c>
      <c r="D36" t="inlineStr">
        <is>
          <t>Bin</t>
        </is>
      </c>
      <c r="E36" t="inlineStr">
        <is>
          <t>Maps 1-2 Kills</t>
        </is>
      </c>
      <c r="F36" t="n">
        <v>6</v>
      </c>
      <c r="G36" t="n">
        <v>6.51</v>
      </c>
      <c r="H36" s="6" t="n">
        <v>0.5014</v>
      </c>
      <c r="I36" t="n">
        <v>6.4</v>
      </c>
      <c r="J36" s="6" t="n">
        <v>0.4877</v>
      </c>
      <c r="K36" s="6" t="n">
        <v>0.6553</v>
      </c>
      <c r="L36" s="6" t="n">
        <v>0.63</v>
      </c>
      <c r="N36" s="6" t="n">
        <v>0.7</v>
      </c>
      <c r="O36" s="10" t="n"/>
      <c r="P36">
        <f>IF(O36="","",IF(O36&gt;F36,"OVER",IF(O36&lt;F36,"UNDER","PUSH")))</f>
        <v/>
      </c>
    </row>
    <row r="37">
      <c r="A37" t="inlineStr">
        <is>
          <t>2026-10-29 05:19</t>
        </is>
      </c>
      <c r="B37" t="inlineStr">
        <is>
          <t>2026-10-29</t>
        </is>
      </c>
      <c r="C37" t="inlineStr">
        <is>
          <t>LOL · TES vs BLG</t>
        </is>
      </c>
      <c r="D37" t="inlineStr">
        <is>
          <t>knight</t>
        </is>
      </c>
      <c r="E37" t="inlineStr">
        <is>
          <t>Maps 1-2 Kills</t>
        </is>
      </c>
      <c r="F37" t="n">
        <v>10.5</v>
      </c>
      <c r="G37" t="n">
        <v>10.48</v>
      </c>
      <c r="H37" s="6" t="n">
        <v>0.4985</v>
      </c>
      <c r="I37" t="n">
        <v>10.8</v>
      </c>
      <c r="J37" s="6" t="n">
        <v>0.5268</v>
      </c>
      <c r="K37" s="6" t="n">
        <v>0.6553</v>
      </c>
      <c r="L37" s="6" t="n">
        <v>0.7</v>
      </c>
      <c r="N37" s="6" t="n">
        <v>0.4</v>
      </c>
      <c r="O37" s="10" t="n"/>
      <c r="P37">
        <f>IF(O37="","",IF(O37&gt;F37,"OVER",IF(O37&lt;F37,"UNDER","PUSH")))</f>
        <v/>
      </c>
    </row>
    <row r="38">
      <c r="A38" t="inlineStr">
        <is>
          <t>2026-10-29 05:19</t>
        </is>
      </c>
      <c r="B38" t="inlineStr">
        <is>
          <t>2026-10-29</t>
        </is>
      </c>
      <c r="C38" t="inlineStr">
        <is>
          <t>LOL · TES vs BLG</t>
        </is>
      </c>
      <c r="D38" t="inlineStr">
        <is>
          <t>ON</t>
        </is>
      </c>
      <c r="E38" t="inlineStr">
        <is>
          <t>Maps 1-2 Kills</t>
        </is>
      </c>
      <c r="F38" t="n">
        <v>1.5</v>
      </c>
      <c r="G38" t="n">
        <v>1.16</v>
      </c>
      <c r="H38" s="6" t="n">
        <v>0.395</v>
      </c>
      <c r="I38" t="n">
        <v>1.2</v>
      </c>
      <c r="J38" s="6" t="n">
        <v>0.4072</v>
      </c>
      <c r="K38" s="6" t="n">
        <v>0.6553</v>
      </c>
      <c r="L38" s="6" t="n">
        <v>0.7</v>
      </c>
      <c r="N38" s="6" t="n">
        <v>0.4</v>
      </c>
      <c r="O38" s="10" t="n"/>
      <c r="P38">
        <f>IF(O38="","",IF(O38&gt;F38,"OVER",IF(O38&lt;F38,"UNDER","PUSH")))</f>
        <v/>
      </c>
    </row>
    <row r="39">
      <c r="A39" t="inlineStr">
        <is>
          <t>2026-10-29 05:19</t>
        </is>
      </c>
      <c r="B39" t="inlineStr">
        <is>
          <t>2026-10-29</t>
        </is>
      </c>
      <c r="C39" t="inlineStr">
        <is>
          <t>LOL · TES vs BLG</t>
        </is>
      </c>
      <c r="D39" t="inlineStr">
        <is>
          <t>Viper</t>
        </is>
      </c>
      <c r="E39" t="inlineStr">
        <is>
          <t>Maps 1-2 Kills</t>
        </is>
      </c>
      <c r="F39" t="n">
        <v>10</v>
      </c>
      <c r="G39" t="n">
        <v>10.29</v>
      </c>
      <c r="H39" s="6" t="n">
        <v>0.4807</v>
      </c>
      <c r="I39" t="n">
        <v>10.6</v>
      </c>
      <c r="J39" s="6" t="n">
        <v>0.5091</v>
      </c>
      <c r="K39" s="6" t="n">
        <v>0.6553</v>
      </c>
      <c r="L39" s="6" t="n">
        <v>0.7</v>
      </c>
      <c r="N39" s="6" t="n">
        <v>0.8</v>
      </c>
      <c r="O39" s="10" t="n"/>
      <c r="P39">
        <f>IF(O39="","",IF(O39&gt;F39,"OVER",IF(O39&lt;F39,"UNDER","PUSH")))</f>
        <v/>
      </c>
    </row>
    <row r="40">
      <c r="A40" t="inlineStr">
        <is>
          <t>2026-10-29 05:19</t>
        </is>
      </c>
      <c r="B40" t="inlineStr">
        <is>
          <t>2026-10-29</t>
        </is>
      </c>
      <c r="C40" t="inlineStr">
        <is>
          <t>LOL · TES vs BLG</t>
        </is>
      </c>
      <c r="D40" t="inlineStr">
        <is>
          <t>XUN</t>
        </is>
      </c>
      <c r="E40" t="inlineStr">
        <is>
          <t>Maps 1-2 Kills</t>
        </is>
      </c>
      <c r="F40" t="n">
        <v>6.5</v>
      </c>
      <c r="G40" t="n">
        <v>6.8</v>
      </c>
      <c r="H40" s="6" t="n">
        <v>0.5351</v>
      </c>
      <c r="I40" t="n">
        <v>7</v>
      </c>
      <c r="J40" s="6" t="n">
        <v>0.5585</v>
      </c>
      <c r="K40" s="6" t="n">
        <v>0.6553</v>
      </c>
      <c r="L40" s="6" t="n">
        <v>0.7</v>
      </c>
      <c r="N40" s="6" t="n">
        <v>0.6</v>
      </c>
      <c r="O40" s="10" t="n"/>
      <c r="P40">
        <f>IF(O40="","",IF(O40&gt;F40,"OVER",IF(O40&lt;F40,"UNDER","PUSH")))</f>
        <v/>
      </c>
    </row>
    <row r="41">
      <c r="A41" t="inlineStr">
        <is>
          <t>2026-10-29 05:19</t>
        </is>
      </c>
      <c r="B41" t="inlineStr">
        <is>
          <t>2026-10-29</t>
        </is>
      </c>
      <c r="C41" t="inlineStr">
        <is>
          <t>LOL · TES vs BLG</t>
        </is>
      </c>
      <c r="D41" t="inlineStr">
        <is>
          <t>369</t>
        </is>
      </c>
      <c r="E41" t="inlineStr">
        <is>
          <t>Maps 1-2 Kills</t>
        </is>
      </c>
      <c r="F41" t="n">
        <v>3.5</v>
      </c>
      <c r="G41" t="n">
        <v>4.19</v>
      </c>
      <c r="H41" s="6" t="n">
        <v>0.6041</v>
      </c>
      <c r="I41" t="n">
        <v>5</v>
      </c>
      <c r="J41" s="6" t="n">
        <v>0.6995</v>
      </c>
      <c r="K41" s="6" t="n">
        <v>0.3447</v>
      </c>
      <c r="L41" s="6" t="n">
        <v>0.57</v>
      </c>
      <c r="N41" s="6" t="n">
        <v>0.6</v>
      </c>
      <c r="O41" s="10" t="n"/>
      <c r="P41">
        <f>IF(O41="","",IF(O41&gt;F41,"OVER",IF(O41&lt;F41,"UNDER","PUSH")))</f>
        <v/>
      </c>
    </row>
    <row r="42">
      <c r="A42" t="inlineStr">
        <is>
          <t>2026-10-29 05:19</t>
        </is>
      </c>
      <c r="B42" t="inlineStr">
        <is>
          <t>2026-10-29</t>
        </is>
      </c>
      <c r="C42" t="inlineStr">
        <is>
          <t>LOL · TES vs BLG</t>
        </is>
      </c>
      <c r="D42" t="inlineStr">
        <is>
          <t>Creme</t>
        </is>
      </c>
      <c r="E42" t="inlineStr">
        <is>
          <t>Maps 1-2 Kills</t>
        </is>
      </c>
      <c r="F42" t="n">
        <v>5.5</v>
      </c>
      <c r="G42" t="n">
        <v>7.08</v>
      </c>
      <c r="H42" s="6" t="n">
        <v>0.6677</v>
      </c>
      <c r="I42" t="n">
        <v>7.6</v>
      </c>
      <c r="J42" s="6" t="n">
        <v>0.7106</v>
      </c>
      <c r="K42" s="6" t="n">
        <v>0.3447</v>
      </c>
      <c r="L42" s="6" t="n">
        <v>0.43</v>
      </c>
      <c r="N42" s="6" t="n">
        <v>0.6</v>
      </c>
      <c r="O42" s="10" t="n"/>
      <c r="P42">
        <f>IF(O42="","",IF(O42&gt;F42,"OVER",IF(O42&lt;F42,"UNDER","PUSH")))</f>
        <v/>
      </c>
    </row>
    <row r="43">
      <c r="A43" t="inlineStr">
        <is>
          <t>2026-10-29 05:19</t>
        </is>
      </c>
      <c r="B43" t="inlineStr">
        <is>
          <t>2026-10-29</t>
        </is>
      </c>
      <c r="C43" t="inlineStr">
        <is>
          <t>LOL · TES vs BLG</t>
        </is>
      </c>
      <c r="D43" t="inlineStr">
        <is>
          <t>JackeyLove</t>
        </is>
      </c>
      <c r="E43" t="inlineStr">
        <is>
          <t>Maps 1-2 Kills</t>
        </is>
      </c>
      <c r="F43" t="n">
        <v>6.5</v>
      </c>
      <c r="G43" t="n">
        <v>7.08</v>
      </c>
      <c r="H43" s="6" t="n">
        <v>0.5635</v>
      </c>
      <c r="I43" t="n">
        <v>7.6</v>
      </c>
      <c r="J43" s="6" t="n">
        <v>0.6143999999999999</v>
      </c>
      <c r="K43" s="6" t="n">
        <v>0.3447</v>
      </c>
      <c r="L43" s="6" t="n">
        <v>0.43</v>
      </c>
      <c r="N43" s="6" t="n">
        <v>0.4</v>
      </c>
      <c r="O43" s="10" t="n"/>
      <c r="P43">
        <f>IF(O43="","",IF(O43&gt;F43,"OVER",IF(O43&lt;F43,"UNDER","PUSH")))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</cols>
  <sheetData>
    <row r="1">
      <c r="A1" s="8" t="inlineStr">
        <is>
          <t>Check</t>
        </is>
      </c>
      <c r="B1" s="8" t="inlineStr">
        <is>
          <t>Result</t>
        </is>
      </c>
    </row>
    <row r="2">
      <c r="A2" t="inlineStr">
        <is>
          <t>PickFinder board rows (LoL + Dota)</t>
        </is>
      </c>
      <c r="B2" t="n">
        <v>42</v>
      </c>
    </row>
    <row r="3">
      <c r="A3" t="inlineStr">
        <is>
          <t>Players with stats</t>
        </is>
      </c>
      <c r="B3" t="n">
        <v>42</v>
      </c>
    </row>
    <row r="4">
      <c r="A4" t="inlineStr">
        <is>
          <t>Gamelog identity M1+M2 = M1-2 and M1-2+M3 = M1-3, every row</t>
        </is>
      </c>
      <c r="B4" t="inlineStr">
        <is>
          <t>42 / 42 players pass</t>
        </is>
      </c>
    </row>
    <row r="5">
      <c r="A5" t="inlineStr">
        <is>
          <t>Matches resolved to Thunderpick</t>
        </is>
      </c>
      <c r="B5" t="inlineStr">
        <is>
          <t>5 / 5</t>
        </is>
      </c>
    </row>
    <row r="6">
      <c r="A6" t="inlineStr">
        <is>
          <t>Thunderpick player kill ladders matched to board players</t>
        </is>
      </c>
      <c r="B6" t="n">
        <v>39</v>
      </c>
    </row>
    <row r="7">
      <c r="A7" t="inlineStr">
        <is>
          <t>LIVE: formula errors on Projections (should be 0)</t>
        </is>
      </c>
      <c r="B7">
        <f>SUMPRODUCT(--ISERROR(Projections!F2:M43))</f>
        <v/>
      </c>
    </row>
    <row r="8">
      <c r="A8" t="inlineStr">
        <is>
          <t>LIVE: legs with no projection (should be 0)</t>
        </is>
      </c>
      <c r="B8">
        <f>COUNTBLANK(Projections!F2:F43)</f>
        <v/>
      </c>
    </row>
    <row r="9">
      <c r="A9" t="inlineStr">
        <is>
          <t>LIVE: largest |Projections − Log| (≈0 at default settings)</t>
        </is>
      </c>
      <c r="B9">
        <f>SUMPRODUCT(MAX(ABS(N(+Projections!F2:F43)-N(+Log!G2:G43))))</f>
        <v/>
      </c>
    </row>
    <row r="10">
      <c r="A10" t="inlineStr">
        <is>
          <t>LIVE: identity — legs where P(win M1) = q but Proj ≠ Naive (should be 0)</t>
        </is>
      </c>
      <c r="B10">
        <f>SUMPRODUCT((ABS(N(+Projections!O2:O43)-N(+Projections!P2:P43))&lt;0.00001)*(ABS(N(+Projections!F2:F43)-N(+Projections!L2:L43))&gt;0.001)*(Projections!D2:D43="Map 1 Kills"))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2026-10-29T05:19:32Z</dcterms:created>
  <dcterms:modified xmlns:dcterms="http://purl.org/dc/terms/" xmlns:xsi="http://www.w3.org/2001/XMLSchema-instance" xsi:type="dcterms:W3CDTF">2026-10-29T05:19:32Z</dcterms:modified>
</cp:coreProperties>
</file>